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defaultThemeVersion="124226"/>
  <mc:AlternateContent xmlns:mc="http://schemas.openxmlformats.org/markup-compatibility/2006">
    <mc:Choice Requires="x15">
      <x15ac:absPath xmlns:x15ac="http://schemas.microsoft.com/office/spreadsheetml/2010/11/ac" url="/Users/skorpius/My Drive/2024/FO local_EPS ICM/Diario/20250317_Trans2/BPoEFUbVT/"/>
    </mc:Choice>
  </mc:AlternateContent>
  <xr:revisionPtr revIDLastSave="0" documentId="13_ncr:1_{9D79FC2F-5D20-F04C-8295-A294EC4FC867}" xr6:coauthVersionLast="47" xr6:coauthVersionMax="47" xr10:uidLastSave="{00000000-0000-0000-0000-000000000000}"/>
  <bookViews>
    <workbookView xWindow="-1100" yWindow="-21100" windowWidth="33600" windowHeight="20500" firstSheet="9" activeTab="9" xr2:uid="{00000000-000D-0000-FFFF-FFFF00000000}"/>
  </bookViews>
  <sheets>
    <sheet name="About" sheetId="1" r:id="rId1"/>
    <sheet name="EIA-fuel-ethanol-motor-gasoline" sheetId="97" r:id="rId2"/>
    <sheet name="AEO Table 73" sheetId="103" r:id="rId3"/>
    <sheet name="ethanol content" sheetId="102" r:id="rId4"/>
    <sheet name="AEO 2023 Table 17" sheetId="98" r:id="rId5"/>
    <sheet name="AEO 2022 Table 17" sheetId="9" r:id="rId6"/>
    <sheet name="AEO 2023 Table 36 Raw" sheetId="100" r:id="rId7"/>
    <sheet name="AEO 2023 Table 36 " sheetId="99" r:id="rId8"/>
    <sheet name="AEO 2022 Table 36" sheetId="4" r:id="rId9"/>
    <sheet name="Biodiesel Fraction" sheetId="10" r:id="rId10"/>
    <sheet name="Plug-in Hybrid Elec Fraction" sheetId="11" r:id="rId11"/>
    <sheet name="Freight Ships" sheetId="101" r:id="rId12"/>
    <sheet name="LDVs-psgr" sheetId="17" r:id="rId13"/>
    <sheet name="BPoEFUbVT-LDVs-psgr-batelc" sheetId="2" r:id="rId14"/>
    <sheet name="BPoEFUbVT-LDVs-psgr-natgas" sheetId="3" r:id="rId15"/>
    <sheet name="BPoEFUbVT-LDVs-psgr-gasveh" sheetId="5" r:id="rId16"/>
    <sheet name="BPoEFUbVT-LDVs-psgr-dslveh" sheetId="6" r:id="rId17"/>
    <sheet name="BPoEFUbVT-LDVs-psgr-plghyb" sheetId="7" r:id="rId18"/>
    <sheet name="BPoEFUbVT-LDVs-psgr-LPG" sheetId="50" r:id="rId19"/>
    <sheet name="BPoEFUbVT-LDVs-psgr-hydgn" sheetId="51" r:id="rId20"/>
    <sheet name="LDVs-frgt" sheetId="18" r:id="rId21"/>
    <sheet name="BPoEFUbVT-LDVs-frgt-batelc" sheetId="12" r:id="rId22"/>
    <sheet name="BPoEFUbVT-LDVs-frgt-natgas" sheetId="13" r:id="rId23"/>
    <sheet name="BPoEFUbVT-LDVs-frgt-gasveh" sheetId="14" r:id="rId24"/>
    <sheet name="BPoEFUbVT-LDVs-frgt-dslveh" sheetId="15" r:id="rId25"/>
    <sheet name="BPoEFUbVT-LDVs-frgt-plghyb" sheetId="16" r:id="rId26"/>
    <sheet name="BPoEFUbVT-LDVs-frgt-LPG" sheetId="52" r:id="rId27"/>
    <sheet name="BPoEFUbVT-LDVs-frgt-hydgn" sheetId="53" r:id="rId28"/>
    <sheet name="HDVs-psgr" sheetId="24" r:id="rId29"/>
    <sheet name="BPoEFUbVT-HDVs-psgr-batelc" sheetId="19" r:id="rId30"/>
    <sheet name="BPoEFUbVT-HDVs-psgr-natgas" sheetId="20" r:id="rId31"/>
    <sheet name="BPoEFUbVT-HDVs-psgr-gasveh" sheetId="21" r:id="rId32"/>
    <sheet name="BPoEFUbVT-HDVs-psgr-dslveh" sheetId="22" r:id="rId33"/>
    <sheet name="BPoEFUbVT-HDVs-psgr-plghyb" sheetId="23" r:id="rId34"/>
    <sheet name="BPoEFUbVT-HDVs-psgr-LPG" sheetId="54" r:id="rId35"/>
    <sheet name="BPoEFUbVT-HDVs-psgr-hydgn" sheetId="55" r:id="rId36"/>
    <sheet name="HDVs-frgt" sheetId="25" r:id="rId37"/>
    <sheet name="BPoEFUbVT-HDVs-frgt-batelc" sheetId="26" r:id="rId38"/>
    <sheet name="BPoEFUbVT-HDVs-frgt-natgas" sheetId="27" r:id="rId39"/>
    <sheet name="BPoEFUbVT-HDVs-frgt-gasveh" sheetId="28" r:id="rId40"/>
    <sheet name="BPoEFUbVT-HDVs-frgt-dslveh" sheetId="29" r:id="rId41"/>
    <sheet name="BPoEFUbVT-HDVs-frgt-plghyb" sheetId="30" r:id="rId42"/>
    <sheet name="BPoEFUbVT-HDVs-frgt-LPG" sheetId="56" r:id="rId43"/>
    <sheet name="BPoEFUbVT-HDVs-frgt-hydgn" sheetId="57" r:id="rId44"/>
    <sheet name="aircraft-psgr" sheetId="31" r:id="rId45"/>
    <sheet name="BPoEFUbVT-aircraft-psgr-batelc" sheetId="62" r:id="rId46"/>
    <sheet name="BPoEFUbVT-aircraft-psgr-natgas" sheetId="65" r:id="rId47"/>
    <sheet name="BPoEFUbVT-aircraft-psgr-gasveh" sheetId="75" r:id="rId48"/>
    <sheet name="BPoEFUbVT-aircraft-psgr-dslveh" sheetId="63" r:id="rId49"/>
    <sheet name="BPoEFUbVT-aircraft-psgr-hydgn" sheetId="64" r:id="rId50"/>
    <sheet name="aircraft-frgt" sheetId="66" r:id="rId51"/>
    <sheet name="BPoEFUbVT-aircraft-frgt-batelc" sheetId="67" r:id="rId52"/>
    <sheet name="BPoEFUbVT-aircraft-frgt-natgas" sheetId="68" r:id="rId53"/>
    <sheet name="BPoEFUbVT-aircraft-frgt-gasveh" sheetId="76" r:id="rId54"/>
    <sheet name="BPoEFUbVT-aircraft-frgt-dslveh" sheetId="69" r:id="rId55"/>
    <sheet name="BPoEFUbVT-aircraft-frgt-hydgn" sheetId="70" r:id="rId56"/>
    <sheet name="rail-psgr" sheetId="71" r:id="rId57"/>
    <sheet name="BPoEFUbVT-rail-psgr-batelc" sheetId="77" r:id="rId58"/>
    <sheet name="BPoEFUbVT-rail-psgr-natgas" sheetId="78" r:id="rId59"/>
    <sheet name="BPoEFUbVT-rail-psgr-gasveh" sheetId="79" r:id="rId60"/>
    <sheet name="BPoEFUbVT-rail-psgr-dslveh" sheetId="80" r:id="rId61"/>
    <sheet name="BPoEFUbVT-rail-psgr-hydgn" sheetId="81" r:id="rId62"/>
    <sheet name="rail-frgt" sheetId="72" r:id="rId63"/>
    <sheet name="BPoEFUbVT-rail-frgt-batelc" sheetId="82" r:id="rId64"/>
    <sheet name="BPoEFUbVT-rail-frgt-natgas" sheetId="83" r:id="rId65"/>
    <sheet name="BPoEFUbVT-rail-frgt-gasveh" sheetId="84" r:id="rId66"/>
    <sheet name="BPoEFUbVT-rail-frgt-dslveh" sheetId="85" r:id="rId67"/>
    <sheet name="BPoEFUbVT-rail-frgt-hydgn" sheetId="86" r:id="rId68"/>
    <sheet name="ships-psgr" sheetId="73" r:id="rId69"/>
    <sheet name="BPoEFUbVT-ships-psgr-batelc" sheetId="87" r:id="rId70"/>
    <sheet name="BPoEFUbVT-ships-psgr-natgas" sheetId="88" r:id="rId71"/>
    <sheet name="BPoEFUbVT-ships-psgr-gasveh" sheetId="89" r:id="rId72"/>
    <sheet name="BPoEFUbVT-ships-psgr-dslveh" sheetId="90" r:id="rId73"/>
    <sheet name="BPoEFUbVT-ships-psgr-hydgn" sheetId="91" r:id="rId74"/>
    <sheet name="ships-frgt" sheetId="74" r:id="rId75"/>
    <sheet name="BPoEFUbVT-ships-frgt-batelc" sheetId="92" r:id="rId76"/>
    <sheet name="BPoEFUbVT-ships-frgt-natgas" sheetId="93" r:id="rId77"/>
    <sheet name="BPoEFUbVT-ships-frgt-gasveh" sheetId="94" r:id="rId78"/>
    <sheet name="BPoEFUbVT-ships-frgt-dslveh" sheetId="95" r:id="rId79"/>
    <sheet name="BPoEFUbVT-ships-frgt-hydgn" sheetId="96" r:id="rId80"/>
    <sheet name="mtrbks-psgr" sheetId="38" r:id="rId81"/>
    <sheet name="BPoEFUbVT-mtrbks-psgr-batelc" sheetId="39" r:id="rId82"/>
    <sheet name="BPoEFUbVT-mtrbks-psgr-natgas" sheetId="40" r:id="rId83"/>
    <sheet name="BPoEFUbVT-mtrbks-psgr-gasveh" sheetId="41" r:id="rId84"/>
    <sheet name="BPoEFUbVT-mtrbks-psgr-dslveh" sheetId="42" r:id="rId85"/>
    <sheet name="BPoEFUbVT-mtrbks-psgr-plghyb" sheetId="43" r:id="rId86"/>
    <sheet name="BPoEFUbVT-mtrbks-psgr-LPG" sheetId="60" r:id="rId87"/>
    <sheet name="BPoEFUbVT-mtrbks-psgr-hydgn" sheetId="61" r:id="rId88"/>
    <sheet name="mtrbks-frgt" sheetId="44" r:id="rId89"/>
    <sheet name="BPoEFUbVT-mtrbks-frgt-batelc" sheetId="45" r:id="rId90"/>
    <sheet name="BPoEFUbVT-mtrbks-frgt-natgas" sheetId="46" r:id="rId91"/>
    <sheet name="BPoEFUbVT-mtrbks-frgt-gasveh" sheetId="47" r:id="rId92"/>
    <sheet name="BPoEFUbVT-mtrbks-frgt-dslveh" sheetId="48" r:id="rId93"/>
    <sheet name="BPoEFUbVT-mtrbks-frgt-plghyb" sheetId="49" r:id="rId94"/>
    <sheet name="BPoEFUbVT-mtrbks-frgt-LPG" sheetId="58" r:id="rId95"/>
    <sheet name="BPoEFUbVT-mtrbks-frgt-hydgn" sheetId="59" r:id="rId96"/>
  </sheets>
  <externalReferences>
    <externalReference r:id="rId97"/>
    <externalReference r:id="rId98"/>
  </externalReferences>
  <definedNames>
    <definedName name="CH4_Ar4_to_AR5">#REF!</definedName>
    <definedName name="gal_per_barrel" localSheetId="2">[1]About!$A$75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1" i="59" l="1"/>
  <c r="AG11" i="59" s="1"/>
  <c r="AH11" i="59" s="1"/>
  <c r="AI11" i="59" s="1"/>
  <c r="AJ11" i="59" s="1"/>
  <c r="AK11" i="59" s="1"/>
  <c r="AL11" i="59" s="1"/>
  <c r="AM11" i="59" s="1"/>
  <c r="AN11" i="59" s="1"/>
  <c r="AO11" i="59" s="1"/>
  <c r="AP11" i="59" s="1"/>
  <c r="AQ11" i="59" s="1"/>
  <c r="AR11" i="59" s="1"/>
  <c r="AS11" i="59" s="1"/>
  <c r="AT11" i="59" s="1"/>
  <c r="AU11" i="59" s="1"/>
  <c r="AV11" i="59" s="1"/>
  <c r="AW11" i="59" s="1"/>
  <c r="AX11" i="59" s="1"/>
  <c r="AY11" i="59" s="1"/>
  <c r="AF10" i="59"/>
  <c r="AG10" i="59" s="1"/>
  <c r="AH10" i="59" s="1"/>
  <c r="AI10" i="59" s="1"/>
  <c r="AJ10" i="59" s="1"/>
  <c r="AK10" i="59" s="1"/>
  <c r="AL10" i="59" s="1"/>
  <c r="AM10" i="59" s="1"/>
  <c r="AN10" i="59" s="1"/>
  <c r="AO10" i="59" s="1"/>
  <c r="AP10" i="59" s="1"/>
  <c r="AQ10" i="59" s="1"/>
  <c r="AR10" i="59" s="1"/>
  <c r="AS10" i="59" s="1"/>
  <c r="AT10" i="59" s="1"/>
  <c r="AU10" i="59" s="1"/>
  <c r="AV10" i="59" s="1"/>
  <c r="AW10" i="59" s="1"/>
  <c r="AX10" i="59" s="1"/>
  <c r="AY10" i="59" s="1"/>
  <c r="AF9" i="59"/>
  <c r="AG9" i="59" s="1"/>
  <c r="AH9" i="59" s="1"/>
  <c r="AI9" i="59" s="1"/>
  <c r="AJ9" i="59" s="1"/>
  <c r="AK9" i="59" s="1"/>
  <c r="AL9" i="59" s="1"/>
  <c r="AM9" i="59" s="1"/>
  <c r="AN9" i="59" s="1"/>
  <c r="AO9" i="59" s="1"/>
  <c r="AP9" i="59" s="1"/>
  <c r="AQ9" i="59" s="1"/>
  <c r="AR9" i="59" s="1"/>
  <c r="AS9" i="59" s="1"/>
  <c r="AT9" i="59" s="1"/>
  <c r="AU9" i="59" s="1"/>
  <c r="AV9" i="59" s="1"/>
  <c r="AW9" i="59" s="1"/>
  <c r="AX9" i="59" s="1"/>
  <c r="AY9" i="59" s="1"/>
  <c r="AF8" i="59"/>
  <c r="AG8" i="59" s="1"/>
  <c r="AH8" i="59" s="1"/>
  <c r="AI8" i="59" s="1"/>
  <c r="AJ8" i="59" s="1"/>
  <c r="AK8" i="59" s="1"/>
  <c r="AL8" i="59" s="1"/>
  <c r="AM8" i="59" s="1"/>
  <c r="AN8" i="59" s="1"/>
  <c r="AO8" i="59" s="1"/>
  <c r="AP8" i="59" s="1"/>
  <c r="AQ8" i="59" s="1"/>
  <c r="AR8" i="59" s="1"/>
  <c r="AS8" i="59" s="1"/>
  <c r="AT8" i="59" s="1"/>
  <c r="AU8" i="59" s="1"/>
  <c r="AV8" i="59" s="1"/>
  <c r="AW8" i="59" s="1"/>
  <c r="AX8" i="59" s="1"/>
  <c r="AY8" i="59" s="1"/>
  <c r="AF7" i="59"/>
  <c r="AG7" i="59" s="1"/>
  <c r="AH7" i="59" s="1"/>
  <c r="AI7" i="59" s="1"/>
  <c r="AJ7" i="59" s="1"/>
  <c r="AK7" i="59" s="1"/>
  <c r="AL7" i="59" s="1"/>
  <c r="AM7" i="59" s="1"/>
  <c r="AN7" i="59" s="1"/>
  <c r="AO7" i="59" s="1"/>
  <c r="AP7" i="59" s="1"/>
  <c r="AQ7" i="59" s="1"/>
  <c r="AR7" i="59" s="1"/>
  <c r="AS7" i="59" s="1"/>
  <c r="AT7" i="59" s="1"/>
  <c r="AU7" i="59" s="1"/>
  <c r="AV7" i="59" s="1"/>
  <c r="AW7" i="59" s="1"/>
  <c r="AX7" i="59" s="1"/>
  <c r="AY7" i="59" s="1"/>
  <c r="AF6" i="59"/>
  <c r="AG6" i="59" s="1"/>
  <c r="AH6" i="59" s="1"/>
  <c r="AI6" i="59" s="1"/>
  <c r="AJ6" i="59" s="1"/>
  <c r="AK6" i="59" s="1"/>
  <c r="AL6" i="59" s="1"/>
  <c r="AM6" i="59" s="1"/>
  <c r="AN6" i="59" s="1"/>
  <c r="AO6" i="59" s="1"/>
  <c r="AP6" i="59" s="1"/>
  <c r="AQ6" i="59" s="1"/>
  <c r="AR6" i="59" s="1"/>
  <c r="AS6" i="59" s="1"/>
  <c r="AT6" i="59" s="1"/>
  <c r="AU6" i="59" s="1"/>
  <c r="AV6" i="59" s="1"/>
  <c r="AW6" i="59" s="1"/>
  <c r="AX6" i="59" s="1"/>
  <c r="AY6" i="59" s="1"/>
  <c r="AF5" i="59"/>
  <c r="AG5" i="59" s="1"/>
  <c r="AH5" i="59" s="1"/>
  <c r="AI5" i="59" s="1"/>
  <c r="AJ5" i="59" s="1"/>
  <c r="AK5" i="59" s="1"/>
  <c r="AL5" i="59" s="1"/>
  <c r="AM5" i="59" s="1"/>
  <c r="AN5" i="59" s="1"/>
  <c r="AO5" i="59" s="1"/>
  <c r="AP5" i="59" s="1"/>
  <c r="AQ5" i="59" s="1"/>
  <c r="AR5" i="59" s="1"/>
  <c r="AS5" i="59" s="1"/>
  <c r="AT5" i="59" s="1"/>
  <c r="AU5" i="59" s="1"/>
  <c r="AV5" i="59" s="1"/>
  <c r="AW5" i="59" s="1"/>
  <c r="AX5" i="59" s="1"/>
  <c r="AY5" i="59" s="1"/>
  <c r="AF4" i="59"/>
  <c r="AG4" i="59" s="1"/>
  <c r="AH4" i="59" s="1"/>
  <c r="AI4" i="59" s="1"/>
  <c r="AJ4" i="59" s="1"/>
  <c r="AK4" i="59" s="1"/>
  <c r="AL4" i="59" s="1"/>
  <c r="AM4" i="59" s="1"/>
  <c r="AN4" i="59" s="1"/>
  <c r="AO4" i="59" s="1"/>
  <c r="AP4" i="59" s="1"/>
  <c r="AQ4" i="59" s="1"/>
  <c r="AR4" i="59" s="1"/>
  <c r="AS4" i="59" s="1"/>
  <c r="AT4" i="59" s="1"/>
  <c r="AU4" i="59" s="1"/>
  <c r="AV4" i="59" s="1"/>
  <c r="AW4" i="59" s="1"/>
  <c r="AX4" i="59" s="1"/>
  <c r="AY4" i="59" s="1"/>
  <c r="AF3" i="59"/>
  <c r="AG3" i="59" s="1"/>
  <c r="AH3" i="59" s="1"/>
  <c r="AI3" i="59" s="1"/>
  <c r="AJ3" i="59" s="1"/>
  <c r="AK3" i="59" s="1"/>
  <c r="AL3" i="59" s="1"/>
  <c r="AM3" i="59" s="1"/>
  <c r="AN3" i="59" s="1"/>
  <c r="AO3" i="59" s="1"/>
  <c r="AP3" i="59" s="1"/>
  <c r="AQ3" i="59" s="1"/>
  <c r="AR3" i="59" s="1"/>
  <c r="AS3" i="59" s="1"/>
  <c r="AT3" i="59" s="1"/>
  <c r="AU3" i="59" s="1"/>
  <c r="AV3" i="59" s="1"/>
  <c r="AW3" i="59" s="1"/>
  <c r="AX3" i="59" s="1"/>
  <c r="AY3" i="59" s="1"/>
  <c r="AF2" i="59"/>
  <c r="AG2" i="59" s="1"/>
  <c r="AH2" i="59" s="1"/>
  <c r="AI2" i="59" s="1"/>
  <c r="AJ2" i="59" s="1"/>
  <c r="AK2" i="59" s="1"/>
  <c r="AL2" i="59" s="1"/>
  <c r="AM2" i="59" s="1"/>
  <c r="AN2" i="59" s="1"/>
  <c r="AO2" i="59" s="1"/>
  <c r="AP2" i="59" s="1"/>
  <c r="AQ2" i="59" s="1"/>
  <c r="AR2" i="59" s="1"/>
  <c r="AS2" i="59" s="1"/>
  <c r="AT2" i="59" s="1"/>
  <c r="AU2" i="59" s="1"/>
  <c r="AV2" i="59" s="1"/>
  <c r="AW2" i="59" s="1"/>
  <c r="AX2" i="59" s="1"/>
  <c r="AY2" i="59" s="1"/>
  <c r="AF1" i="59"/>
  <c r="AG1" i="59" s="1"/>
  <c r="AH1" i="59" s="1"/>
  <c r="AI1" i="59" s="1"/>
  <c r="AJ1" i="59" s="1"/>
  <c r="AK1" i="59" s="1"/>
  <c r="AL1" i="59" s="1"/>
  <c r="AM1" i="59" s="1"/>
  <c r="AN1" i="59" s="1"/>
  <c r="AO1" i="59" s="1"/>
  <c r="AP1" i="59" s="1"/>
  <c r="AQ1" i="59" s="1"/>
  <c r="AR1" i="59" s="1"/>
  <c r="AS1" i="59" s="1"/>
  <c r="AT1" i="59" s="1"/>
  <c r="AU1" i="59" s="1"/>
  <c r="AV1" i="59" s="1"/>
  <c r="AW1" i="59" s="1"/>
  <c r="AX1" i="59" s="1"/>
  <c r="AY1" i="59" s="1"/>
  <c r="AF11" i="58"/>
  <c r="AG11" i="58" s="1"/>
  <c r="AH11" i="58" s="1"/>
  <c r="AI11" i="58" s="1"/>
  <c r="AJ11" i="58" s="1"/>
  <c r="AK11" i="58" s="1"/>
  <c r="AL11" i="58" s="1"/>
  <c r="AM11" i="58" s="1"/>
  <c r="AN11" i="58" s="1"/>
  <c r="AO11" i="58" s="1"/>
  <c r="AP11" i="58" s="1"/>
  <c r="AQ11" i="58" s="1"/>
  <c r="AR11" i="58" s="1"/>
  <c r="AS11" i="58" s="1"/>
  <c r="AT11" i="58" s="1"/>
  <c r="AU11" i="58" s="1"/>
  <c r="AV11" i="58" s="1"/>
  <c r="AW11" i="58" s="1"/>
  <c r="AX11" i="58" s="1"/>
  <c r="AY11" i="58" s="1"/>
  <c r="AF10" i="58"/>
  <c r="AG10" i="58" s="1"/>
  <c r="AH10" i="58" s="1"/>
  <c r="AI10" i="58" s="1"/>
  <c r="AJ10" i="58" s="1"/>
  <c r="AK10" i="58" s="1"/>
  <c r="AL10" i="58" s="1"/>
  <c r="AM10" i="58" s="1"/>
  <c r="AN10" i="58" s="1"/>
  <c r="AO10" i="58" s="1"/>
  <c r="AP10" i="58" s="1"/>
  <c r="AQ10" i="58" s="1"/>
  <c r="AR10" i="58" s="1"/>
  <c r="AS10" i="58" s="1"/>
  <c r="AT10" i="58" s="1"/>
  <c r="AU10" i="58" s="1"/>
  <c r="AV10" i="58" s="1"/>
  <c r="AW10" i="58" s="1"/>
  <c r="AX10" i="58" s="1"/>
  <c r="AY10" i="58" s="1"/>
  <c r="AF9" i="58"/>
  <c r="AG9" i="58" s="1"/>
  <c r="AH9" i="58" s="1"/>
  <c r="AI9" i="58" s="1"/>
  <c r="AJ9" i="58" s="1"/>
  <c r="AK9" i="58" s="1"/>
  <c r="AL9" i="58" s="1"/>
  <c r="AM9" i="58" s="1"/>
  <c r="AN9" i="58" s="1"/>
  <c r="AO9" i="58" s="1"/>
  <c r="AP9" i="58" s="1"/>
  <c r="AQ9" i="58" s="1"/>
  <c r="AR9" i="58" s="1"/>
  <c r="AS9" i="58" s="1"/>
  <c r="AT9" i="58" s="1"/>
  <c r="AU9" i="58" s="1"/>
  <c r="AV9" i="58" s="1"/>
  <c r="AW9" i="58" s="1"/>
  <c r="AX9" i="58" s="1"/>
  <c r="AY9" i="58" s="1"/>
  <c r="AF8" i="58"/>
  <c r="AG8" i="58" s="1"/>
  <c r="AH8" i="58" s="1"/>
  <c r="AI8" i="58" s="1"/>
  <c r="AJ8" i="58" s="1"/>
  <c r="AK8" i="58" s="1"/>
  <c r="AL8" i="58" s="1"/>
  <c r="AM8" i="58" s="1"/>
  <c r="AN8" i="58" s="1"/>
  <c r="AO8" i="58" s="1"/>
  <c r="AP8" i="58" s="1"/>
  <c r="AQ8" i="58" s="1"/>
  <c r="AR8" i="58" s="1"/>
  <c r="AS8" i="58" s="1"/>
  <c r="AT8" i="58" s="1"/>
  <c r="AU8" i="58" s="1"/>
  <c r="AV8" i="58" s="1"/>
  <c r="AW8" i="58" s="1"/>
  <c r="AX8" i="58" s="1"/>
  <c r="AY8" i="58" s="1"/>
  <c r="AF7" i="58"/>
  <c r="AG7" i="58" s="1"/>
  <c r="AH7" i="58" s="1"/>
  <c r="AI7" i="58" s="1"/>
  <c r="AJ7" i="58" s="1"/>
  <c r="AK7" i="58" s="1"/>
  <c r="AL7" i="58" s="1"/>
  <c r="AM7" i="58" s="1"/>
  <c r="AN7" i="58" s="1"/>
  <c r="AO7" i="58" s="1"/>
  <c r="AP7" i="58" s="1"/>
  <c r="AQ7" i="58" s="1"/>
  <c r="AR7" i="58" s="1"/>
  <c r="AS7" i="58" s="1"/>
  <c r="AT7" i="58" s="1"/>
  <c r="AU7" i="58" s="1"/>
  <c r="AV7" i="58" s="1"/>
  <c r="AW7" i="58" s="1"/>
  <c r="AX7" i="58" s="1"/>
  <c r="AY7" i="58" s="1"/>
  <c r="AF6" i="58"/>
  <c r="AG6" i="58" s="1"/>
  <c r="AH6" i="58" s="1"/>
  <c r="AI6" i="58" s="1"/>
  <c r="AJ6" i="58" s="1"/>
  <c r="AK6" i="58" s="1"/>
  <c r="AL6" i="58" s="1"/>
  <c r="AM6" i="58" s="1"/>
  <c r="AN6" i="58" s="1"/>
  <c r="AO6" i="58" s="1"/>
  <c r="AP6" i="58" s="1"/>
  <c r="AQ6" i="58" s="1"/>
  <c r="AR6" i="58" s="1"/>
  <c r="AS6" i="58" s="1"/>
  <c r="AT6" i="58" s="1"/>
  <c r="AU6" i="58" s="1"/>
  <c r="AV6" i="58" s="1"/>
  <c r="AW6" i="58" s="1"/>
  <c r="AX6" i="58" s="1"/>
  <c r="AY6" i="58" s="1"/>
  <c r="AF5" i="58"/>
  <c r="AG5" i="58" s="1"/>
  <c r="AH5" i="58" s="1"/>
  <c r="AI5" i="58" s="1"/>
  <c r="AJ5" i="58" s="1"/>
  <c r="AK5" i="58" s="1"/>
  <c r="AL5" i="58" s="1"/>
  <c r="AM5" i="58" s="1"/>
  <c r="AN5" i="58" s="1"/>
  <c r="AO5" i="58" s="1"/>
  <c r="AP5" i="58" s="1"/>
  <c r="AQ5" i="58" s="1"/>
  <c r="AR5" i="58" s="1"/>
  <c r="AS5" i="58" s="1"/>
  <c r="AT5" i="58" s="1"/>
  <c r="AU5" i="58" s="1"/>
  <c r="AV5" i="58" s="1"/>
  <c r="AW5" i="58" s="1"/>
  <c r="AX5" i="58" s="1"/>
  <c r="AY5" i="58" s="1"/>
  <c r="AF4" i="58"/>
  <c r="AG4" i="58" s="1"/>
  <c r="AH4" i="58" s="1"/>
  <c r="AI4" i="58" s="1"/>
  <c r="AJ4" i="58" s="1"/>
  <c r="AK4" i="58" s="1"/>
  <c r="AL4" i="58" s="1"/>
  <c r="AM4" i="58" s="1"/>
  <c r="AN4" i="58" s="1"/>
  <c r="AO4" i="58" s="1"/>
  <c r="AP4" i="58" s="1"/>
  <c r="AQ4" i="58" s="1"/>
  <c r="AR4" i="58" s="1"/>
  <c r="AS4" i="58" s="1"/>
  <c r="AT4" i="58" s="1"/>
  <c r="AU4" i="58" s="1"/>
  <c r="AV4" i="58" s="1"/>
  <c r="AW4" i="58" s="1"/>
  <c r="AX4" i="58" s="1"/>
  <c r="AY4" i="58" s="1"/>
  <c r="AF3" i="58"/>
  <c r="AG3" i="58" s="1"/>
  <c r="AH3" i="58" s="1"/>
  <c r="AI3" i="58" s="1"/>
  <c r="AJ3" i="58" s="1"/>
  <c r="AK3" i="58" s="1"/>
  <c r="AL3" i="58" s="1"/>
  <c r="AM3" i="58" s="1"/>
  <c r="AN3" i="58" s="1"/>
  <c r="AO3" i="58" s="1"/>
  <c r="AP3" i="58" s="1"/>
  <c r="AQ3" i="58" s="1"/>
  <c r="AR3" i="58" s="1"/>
  <c r="AS3" i="58" s="1"/>
  <c r="AT3" i="58" s="1"/>
  <c r="AU3" i="58" s="1"/>
  <c r="AV3" i="58" s="1"/>
  <c r="AW3" i="58" s="1"/>
  <c r="AX3" i="58" s="1"/>
  <c r="AY3" i="58" s="1"/>
  <c r="AF2" i="58"/>
  <c r="AG2" i="58" s="1"/>
  <c r="AH2" i="58" s="1"/>
  <c r="AI2" i="58" s="1"/>
  <c r="AJ2" i="58" s="1"/>
  <c r="AK2" i="58" s="1"/>
  <c r="AL2" i="58" s="1"/>
  <c r="AM2" i="58" s="1"/>
  <c r="AN2" i="58" s="1"/>
  <c r="AO2" i="58" s="1"/>
  <c r="AP2" i="58" s="1"/>
  <c r="AQ2" i="58" s="1"/>
  <c r="AR2" i="58" s="1"/>
  <c r="AS2" i="58" s="1"/>
  <c r="AT2" i="58" s="1"/>
  <c r="AU2" i="58" s="1"/>
  <c r="AV2" i="58" s="1"/>
  <c r="AW2" i="58" s="1"/>
  <c r="AX2" i="58" s="1"/>
  <c r="AY2" i="58" s="1"/>
  <c r="AF1" i="58"/>
  <c r="AG1" i="58" s="1"/>
  <c r="AH1" i="58" s="1"/>
  <c r="AI1" i="58" s="1"/>
  <c r="AJ1" i="58" s="1"/>
  <c r="AK1" i="58" s="1"/>
  <c r="AL1" i="58" s="1"/>
  <c r="AM1" i="58" s="1"/>
  <c r="AN1" i="58" s="1"/>
  <c r="AO1" i="58" s="1"/>
  <c r="AP1" i="58" s="1"/>
  <c r="AQ1" i="58" s="1"/>
  <c r="AR1" i="58" s="1"/>
  <c r="AS1" i="58" s="1"/>
  <c r="AT1" i="58" s="1"/>
  <c r="AU1" i="58" s="1"/>
  <c r="AV1" i="58" s="1"/>
  <c r="AW1" i="58" s="1"/>
  <c r="AX1" i="58" s="1"/>
  <c r="AY1" i="58" s="1"/>
  <c r="AF11" i="48"/>
  <c r="AG11" i="48" s="1"/>
  <c r="AH11" i="48" s="1"/>
  <c r="AI11" i="48" s="1"/>
  <c r="AJ11" i="48" s="1"/>
  <c r="AK11" i="48" s="1"/>
  <c r="AL11" i="48" s="1"/>
  <c r="AM11" i="48" s="1"/>
  <c r="AN11" i="48" s="1"/>
  <c r="AO11" i="48" s="1"/>
  <c r="AP11" i="48" s="1"/>
  <c r="AQ11" i="48" s="1"/>
  <c r="AR11" i="48" s="1"/>
  <c r="AS11" i="48" s="1"/>
  <c r="AT11" i="48" s="1"/>
  <c r="AU11" i="48" s="1"/>
  <c r="AV11" i="48" s="1"/>
  <c r="AW11" i="48" s="1"/>
  <c r="AX11" i="48" s="1"/>
  <c r="AY11" i="48" s="1"/>
  <c r="AF10" i="48"/>
  <c r="AG10" i="48" s="1"/>
  <c r="AH10" i="48" s="1"/>
  <c r="AI10" i="48" s="1"/>
  <c r="AJ10" i="48" s="1"/>
  <c r="AK10" i="48" s="1"/>
  <c r="AL10" i="48" s="1"/>
  <c r="AM10" i="48" s="1"/>
  <c r="AN10" i="48" s="1"/>
  <c r="AO10" i="48" s="1"/>
  <c r="AP10" i="48" s="1"/>
  <c r="AQ10" i="48" s="1"/>
  <c r="AR10" i="48" s="1"/>
  <c r="AS10" i="48" s="1"/>
  <c r="AT10" i="48" s="1"/>
  <c r="AU10" i="48" s="1"/>
  <c r="AV10" i="48" s="1"/>
  <c r="AW10" i="48" s="1"/>
  <c r="AX10" i="48" s="1"/>
  <c r="AY10" i="48" s="1"/>
  <c r="AF9" i="48"/>
  <c r="AG9" i="48" s="1"/>
  <c r="AH9" i="48" s="1"/>
  <c r="AI9" i="48" s="1"/>
  <c r="AJ9" i="48" s="1"/>
  <c r="AK9" i="48" s="1"/>
  <c r="AL9" i="48" s="1"/>
  <c r="AM9" i="48" s="1"/>
  <c r="AN9" i="48" s="1"/>
  <c r="AO9" i="48" s="1"/>
  <c r="AP9" i="48" s="1"/>
  <c r="AQ9" i="48" s="1"/>
  <c r="AR9" i="48" s="1"/>
  <c r="AS9" i="48" s="1"/>
  <c r="AT9" i="48" s="1"/>
  <c r="AU9" i="48" s="1"/>
  <c r="AV9" i="48" s="1"/>
  <c r="AW9" i="48" s="1"/>
  <c r="AX9" i="48" s="1"/>
  <c r="AY9" i="48" s="1"/>
  <c r="AF8" i="48"/>
  <c r="AG8" i="48" s="1"/>
  <c r="AH8" i="48" s="1"/>
  <c r="AI8" i="48" s="1"/>
  <c r="AJ8" i="48" s="1"/>
  <c r="AK8" i="48" s="1"/>
  <c r="AL8" i="48" s="1"/>
  <c r="AM8" i="48" s="1"/>
  <c r="AN8" i="48" s="1"/>
  <c r="AO8" i="48" s="1"/>
  <c r="AP8" i="48" s="1"/>
  <c r="AQ8" i="48" s="1"/>
  <c r="AR8" i="48" s="1"/>
  <c r="AS8" i="48" s="1"/>
  <c r="AT8" i="48" s="1"/>
  <c r="AU8" i="48" s="1"/>
  <c r="AV8" i="48" s="1"/>
  <c r="AW8" i="48" s="1"/>
  <c r="AX8" i="48" s="1"/>
  <c r="AY8" i="48" s="1"/>
  <c r="AF7" i="48"/>
  <c r="AG7" i="48" s="1"/>
  <c r="AH7" i="48" s="1"/>
  <c r="AI7" i="48" s="1"/>
  <c r="AJ7" i="48" s="1"/>
  <c r="AK7" i="48" s="1"/>
  <c r="AL7" i="48" s="1"/>
  <c r="AM7" i="48" s="1"/>
  <c r="AN7" i="48" s="1"/>
  <c r="AO7" i="48" s="1"/>
  <c r="AP7" i="48" s="1"/>
  <c r="AQ7" i="48" s="1"/>
  <c r="AR7" i="48" s="1"/>
  <c r="AS7" i="48" s="1"/>
  <c r="AT7" i="48" s="1"/>
  <c r="AU7" i="48" s="1"/>
  <c r="AV7" i="48" s="1"/>
  <c r="AW7" i="48" s="1"/>
  <c r="AX7" i="48" s="1"/>
  <c r="AY7" i="48" s="1"/>
  <c r="AF6" i="48"/>
  <c r="AG6" i="48" s="1"/>
  <c r="AH6" i="48" s="1"/>
  <c r="AI6" i="48" s="1"/>
  <c r="AJ6" i="48" s="1"/>
  <c r="AK6" i="48" s="1"/>
  <c r="AL6" i="48" s="1"/>
  <c r="AM6" i="48" s="1"/>
  <c r="AN6" i="48" s="1"/>
  <c r="AO6" i="48" s="1"/>
  <c r="AP6" i="48" s="1"/>
  <c r="AQ6" i="48" s="1"/>
  <c r="AR6" i="48" s="1"/>
  <c r="AS6" i="48" s="1"/>
  <c r="AT6" i="48" s="1"/>
  <c r="AU6" i="48" s="1"/>
  <c r="AV6" i="48" s="1"/>
  <c r="AW6" i="48" s="1"/>
  <c r="AX6" i="48" s="1"/>
  <c r="AY6" i="48" s="1"/>
  <c r="AF5" i="48"/>
  <c r="AG5" i="48" s="1"/>
  <c r="AH5" i="48" s="1"/>
  <c r="AI5" i="48" s="1"/>
  <c r="AJ5" i="48" s="1"/>
  <c r="AK5" i="48" s="1"/>
  <c r="AL5" i="48" s="1"/>
  <c r="AM5" i="48" s="1"/>
  <c r="AN5" i="48" s="1"/>
  <c r="AO5" i="48" s="1"/>
  <c r="AP5" i="48" s="1"/>
  <c r="AQ5" i="48" s="1"/>
  <c r="AR5" i="48" s="1"/>
  <c r="AS5" i="48" s="1"/>
  <c r="AT5" i="48" s="1"/>
  <c r="AU5" i="48" s="1"/>
  <c r="AV5" i="48" s="1"/>
  <c r="AW5" i="48" s="1"/>
  <c r="AX5" i="48" s="1"/>
  <c r="AY5" i="48" s="1"/>
  <c r="AF4" i="48"/>
  <c r="AG4" i="48" s="1"/>
  <c r="AH4" i="48" s="1"/>
  <c r="AI4" i="48" s="1"/>
  <c r="AJ4" i="48" s="1"/>
  <c r="AK4" i="48" s="1"/>
  <c r="AL4" i="48" s="1"/>
  <c r="AM4" i="48" s="1"/>
  <c r="AN4" i="48" s="1"/>
  <c r="AO4" i="48" s="1"/>
  <c r="AP4" i="48" s="1"/>
  <c r="AQ4" i="48" s="1"/>
  <c r="AR4" i="48" s="1"/>
  <c r="AS4" i="48" s="1"/>
  <c r="AT4" i="48" s="1"/>
  <c r="AU4" i="48" s="1"/>
  <c r="AV4" i="48" s="1"/>
  <c r="AW4" i="48" s="1"/>
  <c r="AX4" i="48" s="1"/>
  <c r="AY4" i="48" s="1"/>
  <c r="AF3" i="48"/>
  <c r="AG3" i="48" s="1"/>
  <c r="AH3" i="48" s="1"/>
  <c r="AI3" i="48" s="1"/>
  <c r="AJ3" i="48" s="1"/>
  <c r="AK3" i="48" s="1"/>
  <c r="AL3" i="48" s="1"/>
  <c r="AM3" i="48" s="1"/>
  <c r="AN3" i="48" s="1"/>
  <c r="AO3" i="48" s="1"/>
  <c r="AP3" i="48" s="1"/>
  <c r="AQ3" i="48" s="1"/>
  <c r="AR3" i="48" s="1"/>
  <c r="AS3" i="48" s="1"/>
  <c r="AT3" i="48" s="1"/>
  <c r="AU3" i="48" s="1"/>
  <c r="AV3" i="48" s="1"/>
  <c r="AW3" i="48" s="1"/>
  <c r="AX3" i="48" s="1"/>
  <c r="AY3" i="48" s="1"/>
  <c r="AF2" i="48"/>
  <c r="AG2" i="48" s="1"/>
  <c r="AH2" i="48" s="1"/>
  <c r="AI2" i="48" s="1"/>
  <c r="AJ2" i="48" s="1"/>
  <c r="AK2" i="48" s="1"/>
  <c r="AL2" i="48" s="1"/>
  <c r="AM2" i="48" s="1"/>
  <c r="AN2" i="48" s="1"/>
  <c r="AO2" i="48" s="1"/>
  <c r="AP2" i="48" s="1"/>
  <c r="AQ2" i="48" s="1"/>
  <c r="AR2" i="48" s="1"/>
  <c r="AS2" i="48" s="1"/>
  <c r="AT2" i="48" s="1"/>
  <c r="AU2" i="48" s="1"/>
  <c r="AV2" i="48" s="1"/>
  <c r="AW2" i="48" s="1"/>
  <c r="AX2" i="48" s="1"/>
  <c r="AY2" i="48" s="1"/>
  <c r="AF1" i="48"/>
  <c r="AG1" i="48" s="1"/>
  <c r="AH1" i="48" s="1"/>
  <c r="AI1" i="48" s="1"/>
  <c r="AJ1" i="48" s="1"/>
  <c r="AK1" i="48" s="1"/>
  <c r="AL1" i="48" s="1"/>
  <c r="AM1" i="48" s="1"/>
  <c r="AN1" i="48" s="1"/>
  <c r="AO1" i="48" s="1"/>
  <c r="AP1" i="48" s="1"/>
  <c r="AQ1" i="48" s="1"/>
  <c r="AR1" i="48" s="1"/>
  <c r="AS1" i="48" s="1"/>
  <c r="AT1" i="48" s="1"/>
  <c r="AU1" i="48" s="1"/>
  <c r="AV1" i="48" s="1"/>
  <c r="AW1" i="48" s="1"/>
  <c r="AX1" i="48" s="1"/>
  <c r="AY1" i="48" s="1"/>
  <c r="AF11" i="47"/>
  <c r="AG11" i="47" s="1"/>
  <c r="AH11" i="47" s="1"/>
  <c r="AI11" i="47" s="1"/>
  <c r="AJ11" i="47" s="1"/>
  <c r="AK11" i="47" s="1"/>
  <c r="AL11" i="47" s="1"/>
  <c r="AM11" i="47" s="1"/>
  <c r="AN11" i="47" s="1"/>
  <c r="AO11" i="47" s="1"/>
  <c r="AP11" i="47" s="1"/>
  <c r="AQ11" i="47" s="1"/>
  <c r="AR11" i="47" s="1"/>
  <c r="AS11" i="47" s="1"/>
  <c r="AT11" i="47" s="1"/>
  <c r="AU11" i="47" s="1"/>
  <c r="AV11" i="47" s="1"/>
  <c r="AW11" i="47" s="1"/>
  <c r="AX11" i="47" s="1"/>
  <c r="AY11" i="47" s="1"/>
  <c r="AF10" i="47"/>
  <c r="AG10" i="47" s="1"/>
  <c r="AH10" i="47" s="1"/>
  <c r="AI10" i="47" s="1"/>
  <c r="AJ10" i="47" s="1"/>
  <c r="AK10" i="47" s="1"/>
  <c r="AL10" i="47" s="1"/>
  <c r="AM10" i="47" s="1"/>
  <c r="AN10" i="47" s="1"/>
  <c r="AO10" i="47" s="1"/>
  <c r="AP10" i="47" s="1"/>
  <c r="AQ10" i="47" s="1"/>
  <c r="AR10" i="47" s="1"/>
  <c r="AS10" i="47" s="1"/>
  <c r="AT10" i="47" s="1"/>
  <c r="AU10" i="47" s="1"/>
  <c r="AV10" i="47" s="1"/>
  <c r="AW10" i="47" s="1"/>
  <c r="AX10" i="47" s="1"/>
  <c r="AY10" i="47" s="1"/>
  <c r="AF9" i="47"/>
  <c r="AG9" i="47" s="1"/>
  <c r="AH9" i="47" s="1"/>
  <c r="AI9" i="47" s="1"/>
  <c r="AJ9" i="47" s="1"/>
  <c r="AK9" i="47" s="1"/>
  <c r="AL9" i="47" s="1"/>
  <c r="AM9" i="47" s="1"/>
  <c r="AN9" i="47" s="1"/>
  <c r="AO9" i="47" s="1"/>
  <c r="AP9" i="47" s="1"/>
  <c r="AQ9" i="47" s="1"/>
  <c r="AR9" i="47" s="1"/>
  <c r="AS9" i="47" s="1"/>
  <c r="AT9" i="47" s="1"/>
  <c r="AU9" i="47" s="1"/>
  <c r="AV9" i="47" s="1"/>
  <c r="AW9" i="47" s="1"/>
  <c r="AX9" i="47" s="1"/>
  <c r="AY9" i="47" s="1"/>
  <c r="AF8" i="47"/>
  <c r="AG8" i="47" s="1"/>
  <c r="AH8" i="47" s="1"/>
  <c r="AI8" i="47" s="1"/>
  <c r="AJ8" i="47" s="1"/>
  <c r="AK8" i="47" s="1"/>
  <c r="AL8" i="47" s="1"/>
  <c r="AM8" i="47" s="1"/>
  <c r="AN8" i="47" s="1"/>
  <c r="AO8" i="47" s="1"/>
  <c r="AP8" i="47" s="1"/>
  <c r="AQ8" i="47" s="1"/>
  <c r="AR8" i="47" s="1"/>
  <c r="AS8" i="47" s="1"/>
  <c r="AT8" i="47" s="1"/>
  <c r="AU8" i="47" s="1"/>
  <c r="AV8" i="47" s="1"/>
  <c r="AW8" i="47" s="1"/>
  <c r="AX8" i="47" s="1"/>
  <c r="AY8" i="47" s="1"/>
  <c r="AF7" i="47"/>
  <c r="AG7" i="47" s="1"/>
  <c r="AH7" i="47" s="1"/>
  <c r="AI7" i="47" s="1"/>
  <c r="AJ7" i="47" s="1"/>
  <c r="AK7" i="47" s="1"/>
  <c r="AL7" i="47" s="1"/>
  <c r="AM7" i="47" s="1"/>
  <c r="AN7" i="47" s="1"/>
  <c r="AO7" i="47" s="1"/>
  <c r="AP7" i="47" s="1"/>
  <c r="AQ7" i="47" s="1"/>
  <c r="AR7" i="47" s="1"/>
  <c r="AS7" i="47" s="1"/>
  <c r="AT7" i="47" s="1"/>
  <c r="AU7" i="47" s="1"/>
  <c r="AV7" i="47" s="1"/>
  <c r="AW7" i="47" s="1"/>
  <c r="AX7" i="47" s="1"/>
  <c r="AY7" i="47" s="1"/>
  <c r="AF6" i="47"/>
  <c r="AG6" i="47" s="1"/>
  <c r="AH6" i="47" s="1"/>
  <c r="AI6" i="47" s="1"/>
  <c r="AJ6" i="47" s="1"/>
  <c r="AK6" i="47" s="1"/>
  <c r="AL6" i="47" s="1"/>
  <c r="AM6" i="47" s="1"/>
  <c r="AN6" i="47" s="1"/>
  <c r="AO6" i="47" s="1"/>
  <c r="AP6" i="47" s="1"/>
  <c r="AQ6" i="47" s="1"/>
  <c r="AR6" i="47" s="1"/>
  <c r="AS6" i="47" s="1"/>
  <c r="AT6" i="47" s="1"/>
  <c r="AU6" i="47" s="1"/>
  <c r="AV6" i="47" s="1"/>
  <c r="AW6" i="47" s="1"/>
  <c r="AX6" i="47" s="1"/>
  <c r="AY6" i="47" s="1"/>
  <c r="AF5" i="47"/>
  <c r="AG5" i="47" s="1"/>
  <c r="AH5" i="47" s="1"/>
  <c r="AI5" i="47" s="1"/>
  <c r="AJ5" i="47" s="1"/>
  <c r="AK5" i="47" s="1"/>
  <c r="AL5" i="47" s="1"/>
  <c r="AM5" i="47" s="1"/>
  <c r="AN5" i="47" s="1"/>
  <c r="AO5" i="47" s="1"/>
  <c r="AP5" i="47" s="1"/>
  <c r="AQ5" i="47" s="1"/>
  <c r="AR5" i="47" s="1"/>
  <c r="AS5" i="47" s="1"/>
  <c r="AT5" i="47" s="1"/>
  <c r="AU5" i="47" s="1"/>
  <c r="AV5" i="47" s="1"/>
  <c r="AW5" i="47" s="1"/>
  <c r="AX5" i="47" s="1"/>
  <c r="AY5" i="47" s="1"/>
  <c r="AF4" i="47"/>
  <c r="AG4" i="47" s="1"/>
  <c r="AH4" i="47" s="1"/>
  <c r="AI4" i="47" s="1"/>
  <c r="AJ4" i="47" s="1"/>
  <c r="AK4" i="47" s="1"/>
  <c r="AL4" i="47" s="1"/>
  <c r="AM4" i="47" s="1"/>
  <c r="AN4" i="47" s="1"/>
  <c r="AO4" i="47" s="1"/>
  <c r="AP4" i="47" s="1"/>
  <c r="AQ4" i="47" s="1"/>
  <c r="AR4" i="47" s="1"/>
  <c r="AS4" i="47" s="1"/>
  <c r="AT4" i="47" s="1"/>
  <c r="AU4" i="47" s="1"/>
  <c r="AV4" i="47" s="1"/>
  <c r="AW4" i="47" s="1"/>
  <c r="AX4" i="47" s="1"/>
  <c r="AY4" i="47" s="1"/>
  <c r="AF3" i="47"/>
  <c r="AG3" i="47" s="1"/>
  <c r="AH3" i="47" s="1"/>
  <c r="AI3" i="47" s="1"/>
  <c r="AJ3" i="47" s="1"/>
  <c r="AK3" i="47" s="1"/>
  <c r="AL3" i="47" s="1"/>
  <c r="AM3" i="47" s="1"/>
  <c r="AN3" i="47" s="1"/>
  <c r="AO3" i="47" s="1"/>
  <c r="AP3" i="47" s="1"/>
  <c r="AQ3" i="47" s="1"/>
  <c r="AR3" i="47" s="1"/>
  <c r="AS3" i="47" s="1"/>
  <c r="AT3" i="47" s="1"/>
  <c r="AU3" i="47" s="1"/>
  <c r="AV3" i="47" s="1"/>
  <c r="AW3" i="47" s="1"/>
  <c r="AX3" i="47" s="1"/>
  <c r="AY3" i="47" s="1"/>
  <c r="AF2" i="47"/>
  <c r="AG2" i="47" s="1"/>
  <c r="AH2" i="47" s="1"/>
  <c r="AI2" i="47" s="1"/>
  <c r="AJ2" i="47" s="1"/>
  <c r="AK2" i="47" s="1"/>
  <c r="AL2" i="47" s="1"/>
  <c r="AM2" i="47" s="1"/>
  <c r="AN2" i="47" s="1"/>
  <c r="AO2" i="47" s="1"/>
  <c r="AP2" i="47" s="1"/>
  <c r="AQ2" i="47" s="1"/>
  <c r="AR2" i="47" s="1"/>
  <c r="AS2" i="47" s="1"/>
  <c r="AT2" i="47" s="1"/>
  <c r="AU2" i="47" s="1"/>
  <c r="AV2" i="47" s="1"/>
  <c r="AW2" i="47" s="1"/>
  <c r="AX2" i="47" s="1"/>
  <c r="AY2" i="47" s="1"/>
  <c r="AF1" i="47"/>
  <c r="AG1" i="47" s="1"/>
  <c r="AH1" i="47" s="1"/>
  <c r="AI1" i="47" s="1"/>
  <c r="AJ1" i="47" s="1"/>
  <c r="AK1" i="47" s="1"/>
  <c r="AL1" i="47" s="1"/>
  <c r="AM1" i="47" s="1"/>
  <c r="AN1" i="47" s="1"/>
  <c r="AO1" i="47" s="1"/>
  <c r="AP1" i="47" s="1"/>
  <c r="AQ1" i="47" s="1"/>
  <c r="AR1" i="47" s="1"/>
  <c r="AS1" i="47" s="1"/>
  <c r="AT1" i="47" s="1"/>
  <c r="AU1" i="47" s="1"/>
  <c r="AV1" i="47" s="1"/>
  <c r="AW1" i="47" s="1"/>
  <c r="AX1" i="47" s="1"/>
  <c r="AY1" i="47" s="1"/>
  <c r="AF11" i="46"/>
  <c r="AG11" i="46" s="1"/>
  <c r="AH11" i="46" s="1"/>
  <c r="AI11" i="46" s="1"/>
  <c r="AJ11" i="46" s="1"/>
  <c r="AK11" i="46" s="1"/>
  <c r="AL11" i="46" s="1"/>
  <c r="AM11" i="46" s="1"/>
  <c r="AN11" i="46" s="1"/>
  <c r="AO11" i="46" s="1"/>
  <c r="AP11" i="46" s="1"/>
  <c r="AQ11" i="46" s="1"/>
  <c r="AR11" i="46" s="1"/>
  <c r="AS11" i="46" s="1"/>
  <c r="AT11" i="46" s="1"/>
  <c r="AU11" i="46" s="1"/>
  <c r="AV11" i="46" s="1"/>
  <c r="AW11" i="46" s="1"/>
  <c r="AX11" i="46" s="1"/>
  <c r="AY11" i="46" s="1"/>
  <c r="AF10" i="46"/>
  <c r="AG10" i="46" s="1"/>
  <c r="AH10" i="46" s="1"/>
  <c r="AI10" i="46" s="1"/>
  <c r="AJ10" i="46" s="1"/>
  <c r="AK10" i="46" s="1"/>
  <c r="AL10" i="46" s="1"/>
  <c r="AM10" i="46" s="1"/>
  <c r="AN10" i="46" s="1"/>
  <c r="AO10" i="46" s="1"/>
  <c r="AP10" i="46" s="1"/>
  <c r="AQ10" i="46" s="1"/>
  <c r="AR10" i="46" s="1"/>
  <c r="AS10" i="46" s="1"/>
  <c r="AT10" i="46" s="1"/>
  <c r="AU10" i="46" s="1"/>
  <c r="AV10" i="46" s="1"/>
  <c r="AW10" i="46" s="1"/>
  <c r="AX10" i="46" s="1"/>
  <c r="AY10" i="46" s="1"/>
  <c r="AF9" i="46"/>
  <c r="AG9" i="46" s="1"/>
  <c r="AH9" i="46" s="1"/>
  <c r="AI9" i="46" s="1"/>
  <c r="AJ9" i="46" s="1"/>
  <c r="AK9" i="46" s="1"/>
  <c r="AL9" i="46" s="1"/>
  <c r="AM9" i="46" s="1"/>
  <c r="AN9" i="46" s="1"/>
  <c r="AO9" i="46" s="1"/>
  <c r="AP9" i="46" s="1"/>
  <c r="AQ9" i="46" s="1"/>
  <c r="AR9" i="46" s="1"/>
  <c r="AS9" i="46" s="1"/>
  <c r="AT9" i="46" s="1"/>
  <c r="AU9" i="46" s="1"/>
  <c r="AV9" i="46" s="1"/>
  <c r="AW9" i="46" s="1"/>
  <c r="AX9" i="46" s="1"/>
  <c r="AY9" i="46" s="1"/>
  <c r="AF8" i="46"/>
  <c r="AG8" i="46" s="1"/>
  <c r="AH8" i="46" s="1"/>
  <c r="AI8" i="46" s="1"/>
  <c r="AJ8" i="46" s="1"/>
  <c r="AK8" i="46" s="1"/>
  <c r="AL8" i="46" s="1"/>
  <c r="AM8" i="46" s="1"/>
  <c r="AN8" i="46" s="1"/>
  <c r="AO8" i="46" s="1"/>
  <c r="AP8" i="46" s="1"/>
  <c r="AQ8" i="46" s="1"/>
  <c r="AR8" i="46" s="1"/>
  <c r="AS8" i="46" s="1"/>
  <c r="AT8" i="46" s="1"/>
  <c r="AU8" i="46" s="1"/>
  <c r="AV8" i="46" s="1"/>
  <c r="AW8" i="46" s="1"/>
  <c r="AX8" i="46" s="1"/>
  <c r="AY8" i="46" s="1"/>
  <c r="AF7" i="46"/>
  <c r="AG7" i="46" s="1"/>
  <c r="AH7" i="46" s="1"/>
  <c r="AI7" i="46" s="1"/>
  <c r="AJ7" i="46" s="1"/>
  <c r="AK7" i="46" s="1"/>
  <c r="AL7" i="46" s="1"/>
  <c r="AM7" i="46" s="1"/>
  <c r="AN7" i="46" s="1"/>
  <c r="AO7" i="46" s="1"/>
  <c r="AP7" i="46" s="1"/>
  <c r="AQ7" i="46" s="1"/>
  <c r="AR7" i="46" s="1"/>
  <c r="AS7" i="46" s="1"/>
  <c r="AT7" i="46" s="1"/>
  <c r="AU7" i="46" s="1"/>
  <c r="AV7" i="46" s="1"/>
  <c r="AW7" i="46" s="1"/>
  <c r="AX7" i="46" s="1"/>
  <c r="AY7" i="46" s="1"/>
  <c r="AF6" i="46"/>
  <c r="AG6" i="46" s="1"/>
  <c r="AH6" i="46" s="1"/>
  <c r="AI6" i="46" s="1"/>
  <c r="AJ6" i="46" s="1"/>
  <c r="AK6" i="46" s="1"/>
  <c r="AL6" i="46" s="1"/>
  <c r="AM6" i="46" s="1"/>
  <c r="AN6" i="46" s="1"/>
  <c r="AO6" i="46" s="1"/>
  <c r="AP6" i="46" s="1"/>
  <c r="AQ6" i="46" s="1"/>
  <c r="AR6" i="46" s="1"/>
  <c r="AS6" i="46" s="1"/>
  <c r="AT6" i="46" s="1"/>
  <c r="AU6" i="46" s="1"/>
  <c r="AV6" i="46" s="1"/>
  <c r="AW6" i="46" s="1"/>
  <c r="AX6" i="46" s="1"/>
  <c r="AY6" i="46" s="1"/>
  <c r="AF5" i="46"/>
  <c r="AG5" i="46" s="1"/>
  <c r="AH5" i="46" s="1"/>
  <c r="AI5" i="46" s="1"/>
  <c r="AJ5" i="46" s="1"/>
  <c r="AK5" i="46" s="1"/>
  <c r="AL5" i="46" s="1"/>
  <c r="AM5" i="46" s="1"/>
  <c r="AN5" i="46" s="1"/>
  <c r="AO5" i="46" s="1"/>
  <c r="AP5" i="46" s="1"/>
  <c r="AQ5" i="46" s="1"/>
  <c r="AR5" i="46" s="1"/>
  <c r="AS5" i="46" s="1"/>
  <c r="AT5" i="46" s="1"/>
  <c r="AU5" i="46" s="1"/>
  <c r="AV5" i="46" s="1"/>
  <c r="AW5" i="46" s="1"/>
  <c r="AX5" i="46" s="1"/>
  <c r="AY5" i="46" s="1"/>
  <c r="AF4" i="46"/>
  <c r="AG4" i="46" s="1"/>
  <c r="AH4" i="46" s="1"/>
  <c r="AI4" i="46" s="1"/>
  <c r="AJ4" i="46" s="1"/>
  <c r="AK4" i="46" s="1"/>
  <c r="AL4" i="46" s="1"/>
  <c r="AM4" i="46" s="1"/>
  <c r="AN4" i="46" s="1"/>
  <c r="AO4" i="46" s="1"/>
  <c r="AP4" i="46" s="1"/>
  <c r="AQ4" i="46" s="1"/>
  <c r="AR4" i="46" s="1"/>
  <c r="AS4" i="46" s="1"/>
  <c r="AT4" i="46" s="1"/>
  <c r="AU4" i="46" s="1"/>
  <c r="AV4" i="46" s="1"/>
  <c r="AW4" i="46" s="1"/>
  <c r="AX4" i="46" s="1"/>
  <c r="AY4" i="46" s="1"/>
  <c r="AF3" i="46"/>
  <c r="AG3" i="46" s="1"/>
  <c r="AH3" i="46" s="1"/>
  <c r="AI3" i="46" s="1"/>
  <c r="AJ3" i="46" s="1"/>
  <c r="AK3" i="46" s="1"/>
  <c r="AL3" i="46" s="1"/>
  <c r="AM3" i="46" s="1"/>
  <c r="AN3" i="46" s="1"/>
  <c r="AO3" i="46" s="1"/>
  <c r="AP3" i="46" s="1"/>
  <c r="AQ3" i="46" s="1"/>
  <c r="AR3" i="46" s="1"/>
  <c r="AS3" i="46" s="1"/>
  <c r="AT3" i="46" s="1"/>
  <c r="AU3" i="46" s="1"/>
  <c r="AV3" i="46" s="1"/>
  <c r="AW3" i="46" s="1"/>
  <c r="AX3" i="46" s="1"/>
  <c r="AY3" i="46" s="1"/>
  <c r="AF2" i="46"/>
  <c r="AG2" i="46" s="1"/>
  <c r="AH2" i="46" s="1"/>
  <c r="AI2" i="46" s="1"/>
  <c r="AJ2" i="46" s="1"/>
  <c r="AK2" i="46" s="1"/>
  <c r="AL2" i="46" s="1"/>
  <c r="AM2" i="46" s="1"/>
  <c r="AN2" i="46" s="1"/>
  <c r="AO2" i="46" s="1"/>
  <c r="AP2" i="46" s="1"/>
  <c r="AQ2" i="46" s="1"/>
  <c r="AR2" i="46" s="1"/>
  <c r="AS2" i="46" s="1"/>
  <c r="AT2" i="46" s="1"/>
  <c r="AU2" i="46" s="1"/>
  <c r="AV2" i="46" s="1"/>
  <c r="AW2" i="46" s="1"/>
  <c r="AX2" i="46" s="1"/>
  <c r="AY2" i="46" s="1"/>
  <c r="AF1" i="46"/>
  <c r="AG1" i="46" s="1"/>
  <c r="AH1" i="46" s="1"/>
  <c r="AI1" i="46" s="1"/>
  <c r="AJ1" i="46" s="1"/>
  <c r="AK1" i="46" s="1"/>
  <c r="AL1" i="46" s="1"/>
  <c r="AM1" i="46" s="1"/>
  <c r="AN1" i="46" s="1"/>
  <c r="AO1" i="46" s="1"/>
  <c r="AP1" i="46" s="1"/>
  <c r="AQ1" i="46" s="1"/>
  <c r="AR1" i="46" s="1"/>
  <c r="AS1" i="46" s="1"/>
  <c r="AT1" i="46" s="1"/>
  <c r="AU1" i="46" s="1"/>
  <c r="AV1" i="46" s="1"/>
  <c r="AW1" i="46" s="1"/>
  <c r="AX1" i="46" s="1"/>
  <c r="AY1" i="46" s="1"/>
  <c r="AF11" i="45"/>
  <c r="AG11" i="45" s="1"/>
  <c r="AH11" i="45" s="1"/>
  <c r="AI11" i="45" s="1"/>
  <c r="AJ11" i="45" s="1"/>
  <c r="AK11" i="45" s="1"/>
  <c r="AL11" i="45" s="1"/>
  <c r="AM11" i="45" s="1"/>
  <c r="AN11" i="45" s="1"/>
  <c r="AO11" i="45" s="1"/>
  <c r="AP11" i="45" s="1"/>
  <c r="AQ11" i="45" s="1"/>
  <c r="AR11" i="45" s="1"/>
  <c r="AS11" i="45" s="1"/>
  <c r="AT11" i="45" s="1"/>
  <c r="AU11" i="45" s="1"/>
  <c r="AV11" i="45" s="1"/>
  <c r="AW11" i="45" s="1"/>
  <c r="AX11" i="45" s="1"/>
  <c r="AY11" i="45" s="1"/>
  <c r="AF10" i="45"/>
  <c r="AG10" i="45" s="1"/>
  <c r="AH10" i="45" s="1"/>
  <c r="AI10" i="45" s="1"/>
  <c r="AJ10" i="45" s="1"/>
  <c r="AK10" i="45" s="1"/>
  <c r="AL10" i="45" s="1"/>
  <c r="AM10" i="45" s="1"/>
  <c r="AN10" i="45" s="1"/>
  <c r="AO10" i="45" s="1"/>
  <c r="AP10" i="45" s="1"/>
  <c r="AQ10" i="45" s="1"/>
  <c r="AR10" i="45" s="1"/>
  <c r="AS10" i="45" s="1"/>
  <c r="AT10" i="45" s="1"/>
  <c r="AU10" i="45" s="1"/>
  <c r="AV10" i="45" s="1"/>
  <c r="AW10" i="45" s="1"/>
  <c r="AX10" i="45" s="1"/>
  <c r="AY10" i="45" s="1"/>
  <c r="AF9" i="45"/>
  <c r="AG9" i="45" s="1"/>
  <c r="AH9" i="45" s="1"/>
  <c r="AI9" i="45" s="1"/>
  <c r="AJ9" i="45" s="1"/>
  <c r="AK9" i="45" s="1"/>
  <c r="AL9" i="45" s="1"/>
  <c r="AM9" i="45" s="1"/>
  <c r="AN9" i="45" s="1"/>
  <c r="AO9" i="45" s="1"/>
  <c r="AP9" i="45" s="1"/>
  <c r="AQ9" i="45" s="1"/>
  <c r="AR9" i="45" s="1"/>
  <c r="AS9" i="45" s="1"/>
  <c r="AT9" i="45" s="1"/>
  <c r="AU9" i="45" s="1"/>
  <c r="AV9" i="45" s="1"/>
  <c r="AW9" i="45" s="1"/>
  <c r="AX9" i="45" s="1"/>
  <c r="AY9" i="45" s="1"/>
  <c r="AF8" i="45"/>
  <c r="AG8" i="45" s="1"/>
  <c r="AH8" i="45" s="1"/>
  <c r="AI8" i="45" s="1"/>
  <c r="AJ8" i="45" s="1"/>
  <c r="AK8" i="45" s="1"/>
  <c r="AL8" i="45" s="1"/>
  <c r="AM8" i="45" s="1"/>
  <c r="AN8" i="45" s="1"/>
  <c r="AO8" i="45" s="1"/>
  <c r="AP8" i="45" s="1"/>
  <c r="AQ8" i="45" s="1"/>
  <c r="AR8" i="45" s="1"/>
  <c r="AS8" i="45" s="1"/>
  <c r="AT8" i="45" s="1"/>
  <c r="AU8" i="45" s="1"/>
  <c r="AV8" i="45" s="1"/>
  <c r="AW8" i="45" s="1"/>
  <c r="AX8" i="45" s="1"/>
  <c r="AY8" i="45" s="1"/>
  <c r="AF7" i="45"/>
  <c r="AG7" i="45" s="1"/>
  <c r="AH7" i="45" s="1"/>
  <c r="AI7" i="45" s="1"/>
  <c r="AJ7" i="45" s="1"/>
  <c r="AK7" i="45" s="1"/>
  <c r="AL7" i="45" s="1"/>
  <c r="AM7" i="45" s="1"/>
  <c r="AN7" i="45" s="1"/>
  <c r="AO7" i="45" s="1"/>
  <c r="AP7" i="45" s="1"/>
  <c r="AQ7" i="45" s="1"/>
  <c r="AR7" i="45" s="1"/>
  <c r="AS7" i="45" s="1"/>
  <c r="AT7" i="45" s="1"/>
  <c r="AU7" i="45" s="1"/>
  <c r="AV7" i="45" s="1"/>
  <c r="AW7" i="45" s="1"/>
  <c r="AX7" i="45" s="1"/>
  <c r="AY7" i="45" s="1"/>
  <c r="AF6" i="45"/>
  <c r="AG6" i="45" s="1"/>
  <c r="AH6" i="45" s="1"/>
  <c r="AI6" i="45" s="1"/>
  <c r="AJ6" i="45" s="1"/>
  <c r="AK6" i="45" s="1"/>
  <c r="AL6" i="45" s="1"/>
  <c r="AM6" i="45" s="1"/>
  <c r="AN6" i="45" s="1"/>
  <c r="AO6" i="45" s="1"/>
  <c r="AP6" i="45" s="1"/>
  <c r="AQ6" i="45" s="1"/>
  <c r="AR6" i="45" s="1"/>
  <c r="AS6" i="45" s="1"/>
  <c r="AT6" i="45" s="1"/>
  <c r="AU6" i="45" s="1"/>
  <c r="AV6" i="45" s="1"/>
  <c r="AW6" i="45" s="1"/>
  <c r="AX6" i="45" s="1"/>
  <c r="AY6" i="45" s="1"/>
  <c r="AF5" i="45"/>
  <c r="AG5" i="45" s="1"/>
  <c r="AH5" i="45" s="1"/>
  <c r="AI5" i="45" s="1"/>
  <c r="AJ5" i="45" s="1"/>
  <c r="AK5" i="45" s="1"/>
  <c r="AL5" i="45" s="1"/>
  <c r="AM5" i="45" s="1"/>
  <c r="AN5" i="45" s="1"/>
  <c r="AO5" i="45" s="1"/>
  <c r="AP5" i="45" s="1"/>
  <c r="AQ5" i="45" s="1"/>
  <c r="AR5" i="45" s="1"/>
  <c r="AS5" i="45" s="1"/>
  <c r="AT5" i="45" s="1"/>
  <c r="AU5" i="45" s="1"/>
  <c r="AV5" i="45" s="1"/>
  <c r="AW5" i="45" s="1"/>
  <c r="AX5" i="45" s="1"/>
  <c r="AY5" i="45" s="1"/>
  <c r="AF4" i="45"/>
  <c r="AG4" i="45" s="1"/>
  <c r="AH4" i="45" s="1"/>
  <c r="AI4" i="45" s="1"/>
  <c r="AJ4" i="45" s="1"/>
  <c r="AK4" i="45" s="1"/>
  <c r="AL4" i="45" s="1"/>
  <c r="AM4" i="45" s="1"/>
  <c r="AN4" i="45" s="1"/>
  <c r="AO4" i="45" s="1"/>
  <c r="AP4" i="45" s="1"/>
  <c r="AQ4" i="45" s="1"/>
  <c r="AR4" i="45" s="1"/>
  <c r="AS4" i="45" s="1"/>
  <c r="AT4" i="45" s="1"/>
  <c r="AU4" i="45" s="1"/>
  <c r="AV4" i="45" s="1"/>
  <c r="AW4" i="45" s="1"/>
  <c r="AX4" i="45" s="1"/>
  <c r="AY4" i="45" s="1"/>
  <c r="AF3" i="45"/>
  <c r="AG3" i="45" s="1"/>
  <c r="AH3" i="45" s="1"/>
  <c r="AI3" i="45" s="1"/>
  <c r="AJ3" i="45" s="1"/>
  <c r="AK3" i="45" s="1"/>
  <c r="AL3" i="45" s="1"/>
  <c r="AM3" i="45" s="1"/>
  <c r="AN3" i="45" s="1"/>
  <c r="AO3" i="45" s="1"/>
  <c r="AP3" i="45" s="1"/>
  <c r="AQ3" i="45" s="1"/>
  <c r="AR3" i="45" s="1"/>
  <c r="AS3" i="45" s="1"/>
  <c r="AT3" i="45" s="1"/>
  <c r="AU3" i="45" s="1"/>
  <c r="AV3" i="45" s="1"/>
  <c r="AW3" i="45" s="1"/>
  <c r="AX3" i="45" s="1"/>
  <c r="AY3" i="45" s="1"/>
  <c r="AF2" i="45"/>
  <c r="AG2" i="45" s="1"/>
  <c r="AH2" i="45" s="1"/>
  <c r="AI2" i="45" s="1"/>
  <c r="AJ2" i="45" s="1"/>
  <c r="AK2" i="45" s="1"/>
  <c r="AL2" i="45" s="1"/>
  <c r="AM2" i="45" s="1"/>
  <c r="AN2" i="45" s="1"/>
  <c r="AO2" i="45" s="1"/>
  <c r="AP2" i="45" s="1"/>
  <c r="AQ2" i="45" s="1"/>
  <c r="AR2" i="45" s="1"/>
  <c r="AS2" i="45" s="1"/>
  <c r="AT2" i="45" s="1"/>
  <c r="AU2" i="45" s="1"/>
  <c r="AV2" i="45" s="1"/>
  <c r="AW2" i="45" s="1"/>
  <c r="AX2" i="45" s="1"/>
  <c r="AY2" i="45" s="1"/>
  <c r="AF1" i="45"/>
  <c r="AG1" i="45" s="1"/>
  <c r="AH1" i="45" s="1"/>
  <c r="AI1" i="45" s="1"/>
  <c r="AJ1" i="45" s="1"/>
  <c r="AK1" i="45" s="1"/>
  <c r="AL1" i="45" s="1"/>
  <c r="AM1" i="45" s="1"/>
  <c r="AN1" i="45" s="1"/>
  <c r="AO1" i="45" s="1"/>
  <c r="AP1" i="45" s="1"/>
  <c r="AQ1" i="45" s="1"/>
  <c r="AR1" i="45" s="1"/>
  <c r="AS1" i="45" s="1"/>
  <c r="AT1" i="45" s="1"/>
  <c r="AU1" i="45" s="1"/>
  <c r="AV1" i="45" s="1"/>
  <c r="AW1" i="45" s="1"/>
  <c r="AX1" i="45" s="1"/>
  <c r="AY1" i="45" s="1"/>
  <c r="AF11" i="61"/>
  <c r="AG11" i="61" s="1"/>
  <c r="AH11" i="61" s="1"/>
  <c r="AI11" i="61" s="1"/>
  <c r="AJ11" i="61" s="1"/>
  <c r="AK11" i="61" s="1"/>
  <c r="AL11" i="61" s="1"/>
  <c r="AM11" i="61" s="1"/>
  <c r="AN11" i="61" s="1"/>
  <c r="AO11" i="61" s="1"/>
  <c r="AP11" i="61" s="1"/>
  <c r="AQ11" i="61" s="1"/>
  <c r="AR11" i="61" s="1"/>
  <c r="AS11" i="61" s="1"/>
  <c r="AT11" i="61" s="1"/>
  <c r="AU11" i="61" s="1"/>
  <c r="AV11" i="61" s="1"/>
  <c r="AW11" i="61" s="1"/>
  <c r="AX11" i="61" s="1"/>
  <c r="AY11" i="61" s="1"/>
  <c r="AF10" i="61"/>
  <c r="AG10" i="61" s="1"/>
  <c r="AH10" i="61" s="1"/>
  <c r="AI10" i="61" s="1"/>
  <c r="AJ10" i="61" s="1"/>
  <c r="AK10" i="61" s="1"/>
  <c r="AL10" i="61" s="1"/>
  <c r="AM10" i="61" s="1"/>
  <c r="AN10" i="61" s="1"/>
  <c r="AO10" i="61" s="1"/>
  <c r="AP10" i="61" s="1"/>
  <c r="AQ10" i="61" s="1"/>
  <c r="AR10" i="61" s="1"/>
  <c r="AS10" i="61" s="1"/>
  <c r="AT10" i="61" s="1"/>
  <c r="AU10" i="61" s="1"/>
  <c r="AV10" i="61" s="1"/>
  <c r="AW10" i="61" s="1"/>
  <c r="AX10" i="61" s="1"/>
  <c r="AY10" i="61" s="1"/>
  <c r="AF9" i="61"/>
  <c r="AG9" i="61" s="1"/>
  <c r="AH9" i="61" s="1"/>
  <c r="AI9" i="61" s="1"/>
  <c r="AJ9" i="61" s="1"/>
  <c r="AK9" i="61" s="1"/>
  <c r="AL9" i="61" s="1"/>
  <c r="AM9" i="61" s="1"/>
  <c r="AN9" i="61" s="1"/>
  <c r="AO9" i="61" s="1"/>
  <c r="AP9" i="61" s="1"/>
  <c r="AQ9" i="61" s="1"/>
  <c r="AR9" i="61" s="1"/>
  <c r="AS9" i="61" s="1"/>
  <c r="AT9" i="61" s="1"/>
  <c r="AU9" i="61" s="1"/>
  <c r="AV9" i="61" s="1"/>
  <c r="AW9" i="61" s="1"/>
  <c r="AX9" i="61" s="1"/>
  <c r="AY9" i="61" s="1"/>
  <c r="AF8" i="61"/>
  <c r="AG8" i="61" s="1"/>
  <c r="AH8" i="61" s="1"/>
  <c r="AI8" i="61" s="1"/>
  <c r="AJ8" i="61" s="1"/>
  <c r="AK8" i="61" s="1"/>
  <c r="AL8" i="61" s="1"/>
  <c r="AM8" i="61" s="1"/>
  <c r="AN8" i="61" s="1"/>
  <c r="AO8" i="61" s="1"/>
  <c r="AP8" i="61" s="1"/>
  <c r="AQ8" i="61" s="1"/>
  <c r="AR8" i="61" s="1"/>
  <c r="AS8" i="61" s="1"/>
  <c r="AT8" i="61" s="1"/>
  <c r="AU8" i="61" s="1"/>
  <c r="AV8" i="61" s="1"/>
  <c r="AW8" i="61" s="1"/>
  <c r="AX8" i="61" s="1"/>
  <c r="AY8" i="61" s="1"/>
  <c r="AF7" i="61"/>
  <c r="AG7" i="61" s="1"/>
  <c r="AH7" i="61" s="1"/>
  <c r="AI7" i="61" s="1"/>
  <c r="AJ7" i="61" s="1"/>
  <c r="AK7" i="61" s="1"/>
  <c r="AL7" i="61" s="1"/>
  <c r="AM7" i="61" s="1"/>
  <c r="AN7" i="61" s="1"/>
  <c r="AO7" i="61" s="1"/>
  <c r="AP7" i="61" s="1"/>
  <c r="AQ7" i="61" s="1"/>
  <c r="AR7" i="61" s="1"/>
  <c r="AS7" i="61" s="1"/>
  <c r="AT7" i="61" s="1"/>
  <c r="AU7" i="61" s="1"/>
  <c r="AV7" i="61" s="1"/>
  <c r="AW7" i="61" s="1"/>
  <c r="AX7" i="61" s="1"/>
  <c r="AY7" i="61" s="1"/>
  <c r="AF6" i="61"/>
  <c r="AG6" i="61" s="1"/>
  <c r="AH6" i="61" s="1"/>
  <c r="AI6" i="61" s="1"/>
  <c r="AJ6" i="61" s="1"/>
  <c r="AK6" i="61" s="1"/>
  <c r="AL6" i="61" s="1"/>
  <c r="AM6" i="61" s="1"/>
  <c r="AN6" i="61" s="1"/>
  <c r="AO6" i="61" s="1"/>
  <c r="AP6" i="61" s="1"/>
  <c r="AQ6" i="61" s="1"/>
  <c r="AR6" i="61" s="1"/>
  <c r="AS6" i="61" s="1"/>
  <c r="AT6" i="61" s="1"/>
  <c r="AU6" i="61" s="1"/>
  <c r="AV6" i="61" s="1"/>
  <c r="AW6" i="61" s="1"/>
  <c r="AX6" i="61" s="1"/>
  <c r="AY6" i="61" s="1"/>
  <c r="AF5" i="61"/>
  <c r="AG5" i="61" s="1"/>
  <c r="AH5" i="61" s="1"/>
  <c r="AI5" i="61" s="1"/>
  <c r="AJ5" i="61" s="1"/>
  <c r="AK5" i="61" s="1"/>
  <c r="AL5" i="61" s="1"/>
  <c r="AM5" i="61" s="1"/>
  <c r="AN5" i="61" s="1"/>
  <c r="AO5" i="61" s="1"/>
  <c r="AP5" i="61" s="1"/>
  <c r="AQ5" i="61" s="1"/>
  <c r="AR5" i="61" s="1"/>
  <c r="AS5" i="61" s="1"/>
  <c r="AT5" i="61" s="1"/>
  <c r="AU5" i="61" s="1"/>
  <c r="AV5" i="61" s="1"/>
  <c r="AW5" i="61" s="1"/>
  <c r="AX5" i="61" s="1"/>
  <c r="AY5" i="61" s="1"/>
  <c r="AF4" i="61"/>
  <c r="AG4" i="61" s="1"/>
  <c r="AH4" i="61" s="1"/>
  <c r="AI4" i="61" s="1"/>
  <c r="AJ4" i="61" s="1"/>
  <c r="AK4" i="61" s="1"/>
  <c r="AL4" i="61" s="1"/>
  <c r="AM4" i="61" s="1"/>
  <c r="AN4" i="61" s="1"/>
  <c r="AO4" i="61" s="1"/>
  <c r="AP4" i="61" s="1"/>
  <c r="AQ4" i="61" s="1"/>
  <c r="AR4" i="61" s="1"/>
  <c r="AS4" i="61" s="1"/>
  <c r="AT4" i="61" s="1"/>
  <c r="AU4" i="61" s="1"/>
  <c r="AV4" i="61" s="1"/>
  <c r="AW4" i="61" s="1"/>
  <c r="AX4" i="61" s="1"/>
  <c r="AY4" i="61" s="1"/>
  <c r="AF3" i="61"/>
  <c r="AG3" i="61" s="1"/>
  <c r="AH3" i="61" s="1"/>
  <c r="AI3" i="61" s="1"/>
  <c r="AJ3" i="61" s="1"/>
  <c r="AK3" i="61" s="1"/>
  <c r="AL3" i="61" s="1"/>
  <c r="AM3" i="61" s="1"/>
  <c r="AN3" i="61" s="1"/>
  <c r="AO3" i="61" s="1"/>
  <c r="AP3" i="61" s="1"/>
  <c r="AQ3" i="61" s="1"/>
  <c r="AR3" i="61" s="1"/>
  <c r="AS3" i="61" s="1"/>
  <c r="AT3" i="61" s="1"/>
  <c r="AU3" i="61" s="1"/>
  <c r="AV3" i="61" s="1"/>
  <c r="AW3" i="61" s="1"/>
  <c r="AX3" i="61" s="1"/>
  <c r="AY3" i="61" s="1"/>
  <c r="AF2" i="61"/>
  <c r="AG2" i="61" s="1"/>
  <c r="AH2" i="61" s="1"/>
  <c r="AI2" i="61" s="1"/>
  <c r="AJ2" i="61" s="1"/>
  <c r="AK2" i="61" s="1"/>
  <c r="AL2" i="61" s="1"/>
  <c r="AM2" i="61" s="1"/>
  <c r="AN2" i="61" s="1"/>
  <c r="AO2" i="61" s="1"/>
  <c r="AP2" i="61" s="1"/>
  <c r="AQ2" i="61" s="1"/>
  <c r="AR2" i="61" s="1"/>
  <c r="AS2" i="61" s="1"/>
  <c r="AT2" i="61" s="1"/>
  <c r="AU2" i="61" s="1"/>
  <c r="AV2" i="61" s="1"/>
  <c r="AW2" i="61" s="1"/>
  <c r="AX2" i="61" s="1"/>
  <c r="AY2" i="61" s="1"/>
  <c r="AF1" i="61"/>
  <c r="AG1" i="61" s="1"/>
  <c r="AH1" i="61" s="1"/>
  <c r="AI1" i="61" s="1"/>
  <c r="AJ1" i="61" s="1"/>
  <c r="AK1" i="61" s="1"/>
  <c r="AL1" i="61" s="1"/>
  <c r="AM1" i="61" s="1"/>
  <c r="AN1" i="61" s="1"/>
  <c r="AO1" i="61" s="1"/>
  <c r="AP1" i="61" s="1"/>
  <c r="AQ1" i="61" s="1"/>
  <c r="AR1" i="61" s="1"/>
  <c r="AS1" i="61" s="1"/>
  <c r="AT1" i="61" s="1"/>
  <c r="AU1" i="61" s="1"/>
  <c r="AV1" i="61" s="1"/>
  <c r="AW1" i="61" s="1"/>
  <c r="AX1" i="61" s="1"/>
  <c r="AY1" i="61" s="1"/>
  <c r="AF11" i="60"/>
  <c r="AG11" i="60" s="1"/>
  <c r="AH11" i="60" s="1"/>
  <c r="AI11" i="60" s="1"/>
  <c r="AJ11" i="60" s="1"/>
  <c r="AK11" i="60" s="1"/>
  <c r="AL11" i="60" s="1"/>
  <c r="AM11" i="60" s="1"/>
  <c r="AN11" i="60" s="1"/>
  <c r="AO11" i="60" s="1"/>
  <c r="AP11" i="60" s="1"/>
  <c r="AQ11" i="60" s="1"/>
  <c r="AR11" i="60" s="1"/>
  <c r="AS11" i="60" s="1"/>
  <c r="AT11" i="60" s="1"/>
  <c r="AU11" i="60" s="1"/>
  <c r="AV11" i="60" s="1"/>
  <c r="AW11" i="60" s="1"/>
  <c r="AX11" i="60" s="1"/>
  <c r="AY11" i="60" s="1"/>
  <c r="AF10" i="60"/>
  <c r="AG10" i="60" s="1"/>
  <c r="AH10" i="60" s="1"/>
  <c r="AI10" i="60" s="1"/>
  <c r="AJ10" i="60" s="1"/>
  <c r="AK10" i="60" s="1"/>
  <c r="AL10" i="60" s="1"/>
  <c r="AM10" i="60" s="1"/>
  <c r="AN10" i="60" s="1"/>
  <c r="AO10" i="60" s="1"/>
  <c r="AP10" i="60" s="1"/>
  <c r="AQ10" i="60" s="1"/>
  <c r="AR10" i="60" s="1"/>
  <c r="AS10" i="60" s="1"/>
  <c r="AT10" i="60" s="1"/>
  <c r="AU10" i="60" s="1"/>
  <c r="AV10" i="60" s="1"/>
  <c r="AW10" i="60" s="1"/>
  <c r="AX10" i="60" s="1"/>
  <c r="AY10" i="60" s="1"/>
  <c r="AF9" i="60"/>
  <c r="AG9" i="60" s="1"/>
  <c r="AH9" i="60" s="1"/>
  <c r="AI9" i="60" s="1"/>
  <c r="AJ9" i="60" s="1"/>
  <c r="AK9" i="60" s="1"/>
  <c r="AL9" i="60" s="1"/>
  <c r="AM9" i="60" s="1"/>
  <c r="AN9" i="60" s="1"/>
  <c r="AO9" i="60" s="1"/>
  <c r="AP9" i="60" s="1"/>
  <c r="AQ9" i="60" s="1"/>
  <c r="AR9" i="60" s="1"/>
  <c r="AS9" i="60" s="1"/>
  <c r="AT9" i="60" s="1"/>
  <c r="AU9" i="60" s="1"/>
  <c r="AV9" i="60" s="1"/>
  <c r="AW9" i="60" s="1"/>
  <c r="AX9" i="60" s="1"/>
  <c r="AY9" i="60" s="1"/>
  <c r="AF8" i="60"/>
  <c r="AG8" i="60" s="1"/>
  <c r="AH8" i="60" s="1"/>
  <c r="AI8" i="60" s="1"/>
  <c r="AJ8" i="60" s="1"/>
  <c r="AK8" i="60" s="1"/>
  <c r="AL8" i="60" s="1"/>
  <c r="AM8" i="60" s="1"/>
  <c r="AN8" i="60" s="1"/>
  <c r="AO8" i="60" s="1"/>
  <c r="AP8" i="60" s="1"/>
  <c r="AQ8" i="60" s="1"/>
  <c r="AR8" i="60" s="1"/>
  <c r="AS8" i="60" s="1"/>
  <c r="AT8" i="60" s="1"/>
  <c r="AU8" i="60" s="1"/>
  <c r="AV8" i="60" s="1"/>
  <c r="AW8" i="60" s="1"/>
  <c r="AX8" i="60" s="1"/>
  <c r="AY8" i="60" s="1"/>
  <c r="AF7" i="60"/>
  <c r="AG7" i="60" s="1"/>
  <c r="AH7" i="60" s="1"/>
  <c r="AI7" i="60" s="1"/>
  <c r="AJ7" i="60" s="1"/>
  <c r="AK7" i="60" s="1"/>
  <c r="AL7" i="60" s="1"/>
  <c r="AM7" i="60" s="1"/>
  <c r="AN7" i="60" s="1"/>
  <c r="AO7" i="60" s="1"/>
  <c r="AP7" i="60" s="1"/>
  <c r="AQ7" i="60" s="1"/>
  <c r="AR7" i="60" s="1"/>
  <c r="AS7" i="60" s="1"/>
  <c r="AT7" i="60" s="1"/>
  <c r="AU7" i="60" s="1"/>
  <c r="AV7" i="60" s="1"/>
  <c r="AW7" i="60" s="1"/>
  <c r="AX7" i="60" s="1"/>
  <c r="AY7" i="60" s="1"/>
  <c r="AF6" i="60"/>
  <c r="AG6" i="60" s="1"/>
  <c r="AH6" i="60" s="1"/>
  <c r="AI6" i="60" s="1"/>
  <c r="AJ6" i="60" s="1"/>
  <c r="AK6" i="60" s="1"/>
  <c r="AL6" i="60" s="1"/>
  <c r="AM6" i="60" s="1"/>
  <c r="AN6" i="60" s="1"/>
  <c r="AO6" i="60" s="1"/>
  <c r="AP6" i="60" s="1"/>
  <c r="AQ6" i="60" s="1"/>
  <c r="AR6" i="60" s="1"/>
  <c r="AS6" i="60" s="1"/>
  <c r="AT6" i="60" s="1"/>
  <c r="AU6" i="60" s="1"/>
  <c r="AV6" i="60" s="1"/>
  <c r="AW6" i="60" s="1"/>
  <c r="AX6" i="60" s="1"/>
  <c r="AY6" i="60" s="1"/>
  <c r="AF5" i="60"/>
  <c r="AG5" i="60" s="1"/>
  <c r="AH5" i="60" s="1"/>
  <c r="AI5" i="60" s="1"/>
  <c r="AJ5" i="60" s="1"/>
  <c r="AK5" i="60" s="1"/>
  <c r="AL5" i="60" s="1"/>
  <c r="AM5" i="60" s="1"/>
  <c r="AN5" i="60" s="1"/>
  <c r="AO5" i="60" s="1"/>
  <c r="AP5" i="60" s="1"/>
  <c r="AQ5" i="60" s="1"/>
  <c r="AR5" i="60" s="1"/>
  <c r="AS5" i="60" s="1"/>
  <c r="AT5" i="60" s="1"/>
  <c r="AU5" i="60" s="1"/>
  <c r="AV5" i="60" s="1"/>
  <c r="AW5" i="60" s="1"/>
  <c r="AX5" i="60" s="1"/>
  <c r="AY5" i="60" s="1"/>
  <c r="AF4" i="60"/>
  <c r="AG4" i="60" s="1"/>
  <c r="AH4" i="60" s="1"/>
  <c r="AI4" i="60" s="1"/>
  <c r="AJ4" i="60" s="1"/>
  <c r="AK4" i="60" s="1"/>
  <c r="AL4" i="60" s="1"/>
  <c r="AM4" i="60" s="1"/>
  <c r="AN4" i="60" s="1"/>
  <c r="AO4" i="60" s="1"/>
  <c r="AP4" i="60" s="1"/>
  <c r="AQ4" i="60" s="1"/>
  <c r="AR4" i="60" s="1"/>
  <c r="AS4" i="60" s="1"/>
  <c r="AT4" i="60" s="1"/>
  <c r="AU4" i="60" s="1"/>
  <c r="AV4" i="60" s="1"/>
  <c r="AW4" i="60" s="1"/>
  <c r="AX4" i="60" s="1"/>
  <c r="AY4" i="60" s="1"/>
  <c r="AF3" i="60"/>
  <c r="AG3" i="60" s="1"/>
  <c r="AH3" i="60" s="1"/>
  <c r="AI3" i="60" s="1"/>
  <c r="AJ3" i="60" s="1"/>
  <c r="AK3" i="60" s="1"/>
  <c r="AL3" i="60" s="1"/>
  <c r="AM3" i="60" s="1"/>
  <c r="AN3" i="60" s="1"/>
  <c r="AO3" i="60" s="1"/>
  <c r="AP3" i="60" s="1"/>
  <c r="AQ3" i="60" s="1"/>
  <c r="AR3" i="60" s="1"/>
  <c r="AS3" i="60" s="1"/>
  <c r="AT3" i="60" s="1"/>
  <c r="AU3" i="60" s="1"/>
  <c r="AV3" i="60" s="1"/>
  <c r="AW3" i="60" s="1"/>
  <c r="AX3" i="60" s="1"/>
  <c r="AY3" i="60" s="1"/>
  <c r="AF2" i="60"/>
  <c r="AG2" i="60" s="1"/>
  <c r="AH2" i="60" s="1"/>
  <c r="AI2" i="60" s="1"/>
  <c r="AJ2" i="60" s="1"/>
  <c r="AK2" i="60" s="1"/>
  <c r="AL2" i="60" s="1"/>
  <c r="AM2" i="60" s="1"/>
  <c r="AN2" i="60" s="1"/>
  <c r="AO2" i="60" s="1"/>
  <c r="AP2" i="60" s="1"/>
  <c r="AQ2" i="60" s="1"/>
  <c r="AR2" i="60" s="1"/>
  <c r="AS2" i="60" s="1"/>
  <c r="AT2" i="60" s="1"/>
  <c r="AU2" i="60" s="1"/>
  <c r="AV2" i="60" s="1"/>
  <c r="AW2" i="60" s="1"/>
  <c r="AX2" i="60" s="1"/>
  <c r="AY2" i="60" s="1"/>
  <c r="AF1" i="60"/>
  <c r="AG1" i="60" s="1"/>
  <c r="AH1" i="60" s="1"/>
  <c r="AI1" i="60" s="1"/>
  <c r="AJ1" i="60" s="1"/>
  <c r="AK1" i="60" s="1"/>
  <c r="AL1" i="60" s="1"/>
  <c r="AM1" i="60" s="1"/>
  <c r="AN1" i="60" s="1"/>
  <c r="AO1" i="60" s="1"/>
  <c r="AP1" i="60" s="1"/>
  <c r="AQ1" i="60" s="1"/>
  <c r="AR1" i="60" s="1"/>
  <c r="AS1" i="60" s="1"/>
  <c r="AT1" i="60" s="1"/>
  <c r="AU1" i="60" s="1"/>
  <c r="AV1" i="60" s="1"/>
  <c r="AW1" i="60" s="1"/>
  <c r="AX1" i="60" s="1"/>
  <c r="AY1" i="60" s="1"/>
  <c r="AF11" i="43"/>
  <c r="AG11" i="43" s="1"/>
  <c r="AH11" i="43" s="1"/>
  <c r="AI11" i="43" s="1"/>
  <c r="AJ11" i="43" s="1"/>
  <c r="AK11" i="43" s="1"/>
  <c r="AL11" i="43" s="1"/>
  <c r="AM11" i="43" s="1"/>
  <c r="AN11" i="43" s="1"/>
  <c r="AO11" i="43" s="1"/>
  <c r="AP11" i="43" s="1"/>
  <c r="AQ11" i="43" s="1"/>
  <c r="AR11" i="43" s="1"/>
  <c r="AS11" i="43" s="1"/>
  <c r="AT11" i="43" s="1"/>
  <c r="AU11" i="43" s="1"/>
  <c r="AV11" i="43" s="1"/>
  <c r="AW11" i="43" s="1"/>
  <c r="AX11" i="43" s="1"/>
  <c r="AY11" i="43" s="1"/>
  <c r="AF10" i="43"/>
  <c r="AG10" i="43" s="1"/>
  <c r="AH10" i="43" s="1"/>
  <c r="AI10" i="43" s="1"/>
  <c r="AJ10" i="43" s="1"/>
  <c r="AK10" i="43" s="1"/>
  <c r="AL10" i="43" s="1"/>
  <c r="AM10" i="43" s="1"/>
  <c r="AN10" i="43" s="1"/>
  <c r="AO10" i="43" s="1"/>
  <c r="AP10" i="43" s="1"/>
  <c r="AQ10" i="43" s="1"/>
  <c r="AR10" i="43" s="1"/>
  <c r="AS10" i="43" s="1"/>
  <c r="AT10" i="43" s="1"/>
  <c r="AU10" i="43" s="1"/>
  <c r="AV10" i="43" s="1"/>
  <c r="AW10" i="43" s="1"/>
  <c r="AX10" i="43" s="1"/>
  <c r="AY10" i="43" s="1"/>
  <c r="AF9" i="43"/>
  <c r="AG9" i="43" s="1"/>
  <c r="AH9" i="43" s="1"/>
  <c r="AI9" i="43" s="1"/>
  <c r="AJ9" i="43" s="1"/>
  <c r="AK9" i="43" s="1"/>
  <c r="AL9" i="43" s="1"/>
  <c r="AM9" i="43" s="1"/>
  <c r="AN9" i="43" s="1"/>
  <c r="AO9" i="43" s="1"/>
  <c r="AP9" i="43" s="1"/>
  <c r="AQ9" i="43" s="1"/>
  <c r="AR9" i="43" s="1"/>
  <c r="AS9" i="43" s="1"/>
  <c r="AT9" i="43" s="1"/>
  <c r="AU9" i="43" s="1"/>
  <c r="AV9" i="43" s="1"/>
  <c r="AW9" i="43" s="1"/>
  <c r="AX9" i="43" s="1"/>
  <c r="AY9" i="43" s="1"/>
  <c r="AF8" i="43"/>
  <c r="AG8" i="43" s="1"/>
  <c r="AH8" i="43" s="1"/>
  <c r="AI8" i="43" s="1"/>
  <c r="AJ8" i="43" s="1"/>
  <c r="AK8" i="43" s="1"/>
  <c r="AL8" i="43" s="1"/>
  <c r="AM8" i="43" s="1"/>
  <c r="AN8" i="43" s="1"/>
  <c r="AO8" i="43" s="1"/>
  <c r="AP8" i="43" s="1"/>
  <c r="AQ8" i="43" s="1"/>
  <c r="AR8" i="43" s="1"/>
  <c r="AS8" i="43" s="1"/>
  <c r="AT8" i="43" s="1"/>
  <c r="AU8" i="43" s="1"/>
  <c r="AV8" i="43" s="1"/>
  <c r="AW8" i="43" s="1"/>
  <c r="AX8" i="43" s="1"/>
  <c r="AY8" i="43" s="1"/>
  <c r="AF7" i="43"/>
  <c r="AG7" i="43" s="1"/>
  <c r="AH7" i="43" s="1"/>
  <c r="AI7" i="43" s="1"/>
  <c r="AJ7" i="43" s="1"/>
  <c r="AK7" i="43" s="1"/>
  <c r="AL7" i="43" s="1"/>
  <c r="AM7" i="43" s="1"/>
  <c r="AN7" i="43" s="1"/>
  <c r="AO7" i="43" s="1"/>
  <c r="AP7" i="43" s="1"/>
  <c r="AQ7" i="43" s="1"/>
  <c r="AR7" i="43" s="1"/>
  <c r="AS7" i="43" s="1"/>
  <c r="AT7" i="43" s="1"/>
  <c r="AU7" i="43" s="1"/>
  <c r="AV7" i="43" s="1"/>
  <c r="AW7" i="43" s="1"/>
  <c r="AX7" i="43" s="1"/>
  <c r="AY7" i="43" s="1"/>
  <c r="AF6" i="43"/>
  <c r="AG6" i="43" s="1"/>
  <c r="AH6" i="43" s="1"/>
  <c r="AI6" i="43" s="1"/>
  <c r="AJ6" i="43" s="1"/>
  <c r="AK6" i="43" s="1"/>
  <c r="AL6" i="43" s="1"/>
  <c r="AM6" i="43" s="1"/>
  <c r="AN6" i="43" s="1"/>
  <c r="AO6" i="43" s="1"/>
  <c r="AP6" i="43" s="1"/>
  <c r="AQ6" i="43" s="1"/>
  <c r="AR6" i="43" s="1"/>
  <c r="AS6" i="43" s="1"/>
  <c r="AT6" i="43" s="1"/>
  <c r="AU6" i="43" s="1"/>
  <c r="AV6" i="43" s="1"/>
  <c r="AW6" i="43" s="1"/>
  <c r="AX6" i="43" s="1"/>
  <c r="AY6" i="43" s="1"/>
  <c r="AF5" i="43"/>
  <c r="AG5" i="43" s="1"/>
  <c r="AH5" i="43" s="1"/>
  <c r="AI5" i="43" s="1"/>
  <c r="AJ5" i="43" s="1"/>
  <c r="AK5" i="43" s="1"/>
  <c r="AL5" i="43" s="1"/>
  <c r="AM5" i="43" s="1"/>
  <c r="AN5" i="43" s="1"/>
  <c r="AO5" i="43" s="1"/>
  <c r="AP5" i="43" s="1"/>
  <c r="AQ5" i="43" s="1"/>
  <c r="AR5" i="43" s="1"/>
  <c r="AS5" i="43" s="1"/>
  <c r="AT5" i="43" s="1"/>
  <c r="AU5" i="43" s="1"/>
  <c r="AV5" i="43" s="1"/>
  <c r="AW5" i="43" s="1"/>
  <c r="AX5" i="43" s="1"/>
  <c r="AY5" i="43" s="1"/>
  <c r="AF4" i="43"/>
  <c r="AG4" i="43" s="1"/>
  <c r="AH4" i="43" s="1"/>
  <c r="AI4" i="43" s="1"/>
  <c r="AJ4" i="43" s="1"/>
  <c r="AK4" i="43" s="1"/>
  <c r="AL4" i="43" s="1"/>
  <c r="AM4" i="43" s="1"/>
  <c r="AN4" i="43" s="1"/>
  <c r="AO4" i="43" s="1"/>
  <c r="AP4" i="43" s="1"/>
  <c r="AQ4" i="43" s="1"/>
  <c r="AR4" i="43" s="1"/>
  <c r="AS4" i="43" s="1"/>
  <c r="AT4" i="43" s="1"/>
  <c r="AU4" i="43" s="1"/>
  <c r="AV4" i="43" s="1"/>
  <c r="AW4" i="43" s="1"/>
  <c r="AX4" i="43" s="1"/>
  <c r="AY4" i="43" s="1"/>
  <c r="AF3" i="43"/>
  <c r="AG3" i="43" s="1"/>
  <c r="AH3" i="43" s="1"/>
  <c r="AI3" i="43" s="1"/>
  <c r="AJ3" i="43" s="1"/>
  <c r="AK3" i="43" s="1"/>
  <c r="AL3" i="43" s="1"/>
  <c r="AM3" i="43" s="1"/>
  <c r="AN3" i="43" s="1"/>
  <c r="AO3" i="43" s="1"/>
  <c r="AP3" i="43" s="1"/>
  <c r="AQ3" i="43" s="1"/>
  <c r="AR3" i="43" s="1"/>
  <c r="AS3" i="43" s="1"/>
  <c r="AT3" i="43" s="1"/>
  <c r="AU3" i="43" s="1"/>
  <c r="AV3" i="43" s="1"/>
  <c r="AW3" i="43" s="1"/>
  <c r="AX3" i="43" s="1"/>
  <c r="AY3" i="43" s="1"/>
  <c r="AF2" i="43"/>
  <c r="AG2" i="43" s="1"/>
  <c r="AH2" i="43" s="1"/>
  <c r="AI2" i="43" s="1"/>
  <c r="AJ2" i="43" s="1"/>
  <c r="AK2" i="43" s="1"/>
  <c r="AL2" i="43" s="1"/>
  <c r="AM2" i="43" s="1"/>
  <c r="AN2" i="43" s="1"/>
  <c r="AO2" i="43" s="1"/>
  <c r="AP2" i="43" s="1"/>
  <c r="AQ2" i="43" s="1"/>
  <c r="AR2" i="43" s="1"/>
  <c r="AS2" i="43" s="1"/>
  <c r="AT2" i="43" s="1"/>
  <c r="AU2" i="43" s="1"/>
  <c r="AV2" i="43" s="1"/>
  <c r="AW2" i="43" s="1"/>
  <c r="AX2" i="43" s="1"/>
  <c r="AY2" i="43" s="1"/>
  <c r="AF1" i="43"/>
  <c r="AG1" i="43" s="1"/>
  <c r="AF11" i="42"/>
  <c r="AG11" i="42" s="1"/>
  <c r="AH11" i="42" s="1"/>
  <c r="AI11" i="42" s="1"/>
  <c r="AJ11" i="42" s="1"/>
  <c r="AK11" i="42" s="1"/>
  <c r="AL11" i="42" s="1"/>
  <c r="AM11" i="42" s="1"/>
  <c r="AN11" i="42" s="1"/>
  <c r="AO11" i="42" s="1"/>
  <c r="AP11" i="42" s="1"/>
  <c r="AQ11" i="42" s="1"/>
  <c r="AR11" i="42" s="1"/>
  <c r="AS11" i="42" s="1"/>
  <c r="AT11" i="42" s="1"/>
  <c r="AU11" i="42" s="1"/>
  <c r="AV11" i="42" s="1"/>
  <c r="AW11" i="42" s="1"/>
  <c r="AX11" i="42" s="1"/>
  <c r="AY11" i="42" s="1"/>
  <c r="AF10" i="42"/>
  <c r="AG10" i="42" s="1"/>
  <c r="AH10" i="42" s="1"/>
  <c r="AI10" i="42" s="1"/>
  <c r="AJ10" i="42" s="1"/>
  <c r="AK10" i="42" s="1"/>
  <c r="AL10" i="42" s="1"/>
  <c r="AM10" i="42" s="1"/>
  <c r="AN10" i="42" s="1"/>
  <c r="AO10" i="42" s="1"/>
  <c r="AP10" i="42" s="1"/>
  <c r="AQ10" i="42" s="1"/>
  <c r="AR10" i="42" s="1"/>
  <c r="AS10" i="42" s="1"/>
  <c r="AT10" i="42" s="1"/>
  <c r="AU10" i="42" s="1"/>
  <c r="AV10" i="42" s="1"/>
  <c r="AW10" i="42" s="1"/>
  <c r="AX10" i="42" s="1"/>
  <c r="AY10" i="42" s="1"/>
  <c r="AF9" i="42"/>
  <c r="AG9" i="42" s="1"/>
  <c r="AH9" i="42" s="1"/>
  <c r="AI9" i="42" s="1"/>
  <c r="AJ9" i="42" s="1"/>
  <c r="AK9" i="42" s="1"/>
  <c r="AL9" i="42" s="1"/>
  <c r="AM9" i="42" s="1"/>
  <c r="AN9" i="42" s="1"/>
  <c r="AO9" i="42" s="1"/>
  <c r="AP9" i="42" s="1"/>
  <c r="AQ9" i="42" s="1"/>
  <c r="AR9" i="42" s="1"/>
  <c r="AS9" i="42" s="1"/>
  <c r="AT9" i="42" s="1"/>
  <c r="AU9" i="42" s="1"/>
  <c r="AV9" i="42" s="1"/>
  <c r="AW9" i="42" s="1"/>
  <c r="AX9" i="42" s="1"/>
  <c r="AY9" i="42" s="1"/>
  <c r="AF8" i="42"/>
  <c r="AG8" i="42" s="1"/>
  <c r="AH8" i="42" s="1"/>
  <c r="AI8" i="42" s="1"/>
  <c r="AJ8" i="42" s="1"/>
  <c r="AK8" i="42" s="1"/>
  <c r="AL8" i="42" s="1"/>
  <c r="AM8" i="42" s="1"/>
  <c r="AN8" i="42" s="1"/>
  <c r="AO8" i="42" s="1"/>
  <c r="AP8" i="42" s="1"/>
  <c r="AQ8" i="42" s="1"/>
  <c r="AR8" i="42" s="1"/>
  <c r="AS8" i="42" s="1"/>
  <c r="AT8" i="42" s="1"/>
  <c r="AU8" i="42" s="1"/>
  <c r="AV8" i="42" s="1"/>
  <c r="AW8" i="42" s="1"/>
  <c r="AX8" i="42" s="1"/>
  <c r="AY8" i="42" s="1"/>
  <c r="AF7" i="42"/>
  <c r="AG7" i="42" s="1"/>
  <c r="AH7" i="42" s="1"/>
  <c r="AI7" i="42" s="1"/>
  <c r="AJ7" i="42" s="1"/>
  <c r="AK7" i="42" s="1"/>
  <c r="AL7" i="42" s="1"/>
  <c r="AM7" i="42" s="1"/>
  <c r="AN7" i="42" s="1"/>
  <c r="AO7" i="42" s="1"/>
  <c r="AP7" i="42" s="1"/>
  <c r="AQ7" i="42" s="1"/>
  <c r="AR7" i="42" s="1"/>
  <c r="AS7" i="42" s="1"/>
  <c r="AT7" i="42" s="1"/>
  <c r="AU7" i="42" s="1"/>
  <c r="AV7" i="42" s="1"/>
  <c r="AW7" i="42" s="1"/>
  <c r="AX7" i="42" s="1"/>
  <c r="AY7" i="42" s="1"/>
  <c r="AF6" i="42"/>
  <c r="AG6" i="42" s="1"/>
  <c r="AH6" i="42" s="1"/>
  <c r="AI6" i="42" s="1"/>
  <c r="AJ6" i="42" s="1"/>
  <c r="AK6" i="42" s="1"/>
  <c r="AL6" i="42" s="1"/>
  <c r="AM6" i="42" s="1"/>
  <c r="AN6" i="42" s="1"/>
  <c r="AO6" i="42" s="1"/>
  <c r="AP6" i="42" s="1"/>
  <c r="AQ6" i="42" s="1"/>
  <c r="AR6" i="42" s="1"/>
  <c r="AS6" i="42" s="1"/>
  <c r="AT6" i="42" s="1"/>
  <c r="AU6" i="42" s="1"/>
  <c r="AV6" i="42" s="1"/>
  <c r="AW6" i="42" s="1"/>
  <c r="AX6" i="42" s="1"/>
  <c r="AY6" i="42" s="1"/>
  <c r="AF5" i="42"/>
  <c r="AG5" i="42" s="1"/>
  <c r="AH5" i="42" s="1"/>
  <c r="AI5" i="42" s="1"/>
  <c r="AJ5" i="42" s="1"/>
  <c r="AK5" i="42" s="1"/>
  <c r="AL5" i="42" s="1"/>
  <c r="AM5" i="42" s="1"/>
  <c r="AN5" i="42" s="1"/>
  <c r="AO5" i="42" s="1"/>
  <c r="AP5" i="42" s="1"/>
  <c r="AQ5" i="42" s="1"/>
  <c r="AR5" i="42" s="1"/>
  <c r="AS5" i="42" s="1"/>
  <c r="AT5" i="42" s="1"/>
  <c r="AU5" i="42" s="1"/>
  <c r="AV5" i="42" s="1"/>
  <c r="AW5" i="42" s="1"/>
  <c r="AX5" i="42" s="1"/>
  <c r="AY5" i="42" s="1"/>
  <c r="AF4" i="42"/>
  <c r="AG4" i="42" s="1"/>
  <c r="AH4" i="42" s="1"/>
  <c r="AI4" i="42" s="1"/>
  <c r="AJ4" i="42" s="1"/>
  <c r="AK4" i="42" s="1"/>
  <c r="AL4" i="42" s="1"/>
  <c r="AM4" i="42" s="1"/>
  <c r="AN4" i="42" s="1"/>
  <c r="AO4" i="42" s="1"/>
  <c r="AP4" i="42" s="1"/>
  <c r="AQ4" i="42" s="1"/>
  <c r="AR4" i="42" s="1"/>
  <c r="AS4" i="42" s="1"/>
  <c r="AT4" i="42" s="1"/>
  <c r="AU4" i="42" s="1"/>
  <c r="AV4" i="42" s="1"/>
  <c r="AW4" i="42" s="1"/>
  <c r="AX4" i="42" s="1"/>
  <c r="AY4" i="42" s="1"/>
  <c r="AF3" i="42"/>
  <c r="AG3" i="42" s="1"/>
  <c r="AH3" i="42" s="1"/>
  <c r="AI3" i="42" s="1"/>
  <c r="AJ3" i="42" s="1"/>
  <c r="AK3" i="42" s="1"/>
  <c r="AL3" i="42" s="1"/>
  <c r="AM3" i="42" s="1"/>
  <c r="AN3" i="42" s="1"/>
  <c r="AO3" i="42" s="1"/>
  <c r="AP3" i="42" s="1"/>
  <c r="AQ3" i="42" s="1"/>
  <c r="AR3" i="42" s="1"/>
  <c r="AS3" i="42" s="1"/>
  <c r="AT3" i="42" s="1"/>
  <c r="AU3" i="42" s="1"/>
  <c r="AV3" i="42" s="1"/>
  <c r="AW3" i="42" s="1"/>
  <c r="AX3" i="42" s="1"/>
  <c r="AY3" i="42" s="1"/>
  <c r="AF2" i="42"/>
  <c r="AG2" i="42" s="1"/>
  <c r="AH2" i="42" s="1"/>
  <c r="AI2" i="42" s="1"/>
  <c r="AJ2" i="42" s="1"/>
  <c r="AK2" i="42" s="1"/>
  <c r="AL2" i="42" s="1"/>
  <c r="AM2" i="42" s="1"/>
  <c r="AN2" i="42" s="1"/>
  <c r="AO2" i="42" s="1"/>
  <c r="AP2" i="42" s="1"/>
  <c r="AQ2" i="42" s="1"/>
  <c r="AR2" i="42" s="1"/>
  <c r="AS2" i="42" s="1"/>
  <c r="AT2" i="42" s="1"/>
  <c r="AU2" i="42" s="1"/>
  <c r="AV2" i="42" s="1"/>
  <c r="AW2" i="42" s="1"/>
  <c r="AX2" i="42" s="1"/>
  <c r="AY2" i="42" s="1"/>
  <c r="AF1" i="42"/>
  <c r="AG1" i="42" s="1"/>
  <c r="AF11" i="41"/>
  <c r="AG11" i="41" s="1"/>
  <c r="AH11" i="41" s="1"/>
  <c r="AI11" i="41" s="1"/>
  <c r="AJ11" i="41" s="1"/>
  <c r="AK11" i="41" s="1"/>
  <c r="AL11" i="41" s="1"/>
  <c r="AM11" i="41" s="1"/>
  <c r="AN11" i="41" s="1"/>
  <c r="AO11" i="41" s="1"/>
  <c r="AP11" i="41" s="1"/>
  <c r="AQ11" i="41" s="1"/>
  <c r="AR11" i="41" s="1"/>
  <c r="AS11" i="41" s="1"/>
  <c r="AT11" i="41" s="1"/>
  <c r="AU11" i="41" s="1"/>
  <c r="AV11" i="41" s="1"/>
  <c r="AW11" i="41" s="1"/>
  <c r="AX11" i="41" s="1"/>
  <c r="AY11" i="41" s="1"/>
  <c r="AF10" i="41"/>
  <c r="AG10" i="41" s="1"/>
  <c r="AH10" i="41" s="1"/>
  <c r="AI10" i="41" s="1"/>
  <c r="AJ10" i="41" s="1"/>
  <c r="AK10" i="41" s="1"/>
  <c r="AL10" i="41" s="1"/>
  <c r="AM10" i="41" s="1"/>
  <c r="AN10" i="41" s="1"/>
  <c r="AO10" i="41" s="1"/>
  <c r="AP10" i="41" s="1"/>
  <c r="AQ10" i="41" s="1"/>
  <c r="AR10" i="41" s="1"/>
  <c r="AS10" i="41" s="1"/>
  <c r="AT10" i="41" s="1"/>
  <c r="AU10" i="41" s="1"/>
  <c r="AV10" i="41" s="1"/>
  <c r="AW10" i="41" s="1"/>
  <c r="AX10" i="41" s="1"/>
  <c r="AY10" i="41" s="1"/>
  <c r="AF9" i="41"/>
  <c r="AG9" i="41" s="1"/>
  <c r="AH9" i="41" s="1"/>
  <c r="AI9" i="41" s="1"/>
  <c r="AJ9" i="41" s="1"/>
  <c r="AK9" i="41" s="1"/>
  <c r="AL9" i="41" s="1"/>
  <c r="AM9" i="41" s="1"/>
  <c r="AN9" i="41" s="1"/>
  <c r="AO9" i="41" s="1"/>
  <c r="AP9" i="41" s="1"/>
  <c r="AQ9" i="41" s="1"/>
  <c r="AR9" i="41" s="1"/>
  <c r="AS9" i="41" s="1"/>
  <c r="AT9" i="41" s="1"/>
  <c r="AU9" i="41" s="1"/>
  <c r="AV9" i="41" s="1"/>
  <c r="AW9" i="41" s="1"/>
  <c r="AX9" i="41" s="1"/>
  <c r="AY9" i="41" s="1"/>
  <c r="AF8" i="41"/>
  <c r="AG8" i="41" s="1"/>
  <c r="AH8" i="41" s="1"/>
  <c r="AI8" i="41" s="1"/>
  <c r="AJ8" i="41" s="1"/>
  <c r="AK8" i="41" s="1"/>
  <c r="AL8" i="41" s="1"/>
  <c r="AM8" i="41" s="1"/>
  <c r="AN8" i="41" s="1"/>
  <c r="AO8" i="41" s="1"/>
  <c r="AP8" i="41" s="1"/>
  <c r="AQ8" i="41" s="1"/>
  <c r="AR8" i="41" s="1"/>
  <c r="AS8" i="41" s="1"/>
  <c r="AT8" i="41" s="1"/>
  <c r="AU8" i="41" s="1"/>
  <c r="AV8" i="41" s="1"/>
  <c r="AW8" i="41" s="1"/>
  <c r="AX8" i="41" s="1"/>
  <c r="AY8" i="41" s="1"/>
  <c r="AF7" i="41"/>
  <c r="AG7" i="41" s="1"/>
  <c r="AH7" i="41" s="1"/>
  <c r="AI7" i="41" s="1"/>
  <c r="AJ7" i="41" s="1"/>
  <c r="AK7" i="41" s="1"/>
  <c r="AL7" i="41" s="1"/>
  <c r="AM7" i="41" s="1"/>
  <c r="AN7" i="41" s="1"/>
  <c r="AO7" i="41" s="1"/>
  <c r="AP7" i="41" s="1"/>
  <c r="AQ7" i="41" s="1"/>
  <c r="AR7" i="41" s="1"/>
  <c r="AS7" i="41" s="1"/>
  <c r="AT7" i="41" s="1"/>
  <c r="AU7" i="41" s="1"/>
  <c r="AV7" i="41" s="1"/>
  <c r="AW7" i="41" s="1"/>
  <c r="AX7" i="41" s="1"/>
  <c r="AY7" i="41" s="1"/>
  <c r="AF6" i="41"/>
  <c r="AG6" i="41" s="1"/>
  <c r="AH6" i="41" s="1"/>
  <c r="AI6" i="41" s="1"/>
  <c r="AJ6" i="41" s="1"/>
  <c r="AK6" i="41" s="1"/>
  <c r="AL6" i="41" s="1"/>
  <c r="AM6" i="41" s="1"/>
  <c r="AN6" i="41" s="1"/>
  <c r="AO6" i="41" s="1"/>
  <c r="AP6" i="41" s="1"/>
  <c r="AQ6" i="41" s="1"/>
  <c r="AR6" i="41" s="1"/>
  <c r="AS6" i="41" s="1"/>
  <c r="AT6" i="41" s="1"/>
  <c r="AU6" i="41" s="1"/>
  <c r="AV6" i="41" s="1"/>
  <c r="AW6" i="41" s="1"/>
  <c r="AX6" i="41" s="1"/>
  <c r="AY6" i="41" s="1"/>
  <c r="AF5" i="41"/>
  <c r="AG5" i="41" s="1"/>
  <c r="AH5" i="41" s="1"/>
  <c r="AI5" i="41" s="1"/>
  <c r="AJ5" i="41" s="1"/>
  <c r="AK5" i="41" s="1"/>
  <c r="AL5" i="41" s="1"/>
  <c r="AM5" i="41" s="1"/>
  <c r="AN5" i="41" s="1"/>
  <c r="AO5" i="41" s="1"/>
  <c r="AP5" i="41" s="1"/>
  <c r="AQ5" i="41" s="1"/>
  <c r="AR5" i="41" s="1"/>
  <c r="AS5" i="41" s="1"/>
  <c r="AT5" i="41" s="1"/>
  <c r="AU5" i="41" s="1"/>
  <c r="AV5" i="41" s="1"/>
  <c r="AW5" i="41" s="1"/>
  <c r="AX5" i="41" s="1"/>
  <c r="AY5" i="41" s="1"/>
  <c r="AF4" i="41"/>
  <c r="AG4" i="41" s="1"/>
  <c r="AH4" i="41" s="1"/>
  <c r="AI4" i="41" s="1"/>
  <c r="AJ4" i="41" s="1"/>
  <c r="AK4" i="41" s="1"/>
  <c r="AL4" i="41" s="1"/>
  <c r="AM4" i="41" s="1"/>
  <c r="AN4" i="41" s="1"/>
  <c r="AO4" i="41" s="1"/>
  <c r="AP4" i="41" s="1"/>
  <c r="AQ4" i="41" s="1"/>
  <c r="AR4" i="41" s="1"/>
  <c r="AS4" i="41" s="1"/>
  <c r="AT4" i="41" s="1"/>
  <c r="AU4" i="41" s="1"/>
  <c r="AV4" i="41" s="1"/>
  <c r="AW4" i="41" s="1"/>
  <c r="AX4" i="41" s="1"/>
  <c r="AY4" i="41" s="1"/>
  <c r="AF3" i="41"/>
  <c r="AG3" i="41" s="1"/>
  <c r="AH3" i="41" s="1"/>
  <c r="AI3" i="41" s="1"/>
  <c r="AJ3" i="41" s="1"/>
  <c r="AK3" i="41" s="1"/>
  <c r="AL3" i="41" s="1"/>
  <c r="AM3" i="41" s="1"/>
  <c r="AN3" i="41" s="1"/>
  <c r="AO3" i="41" s="1"/>
  <c r="AP3" i="41" s="1"/>
  <c r="AQ3" i="41" s="1"/>
  <c r="AR3" i="41" s="1"/>
  <c r="AS3" i="41" s="1"/>
  <c r="AT3" i="41" s="1"/>
  <c r="AU3" i="41" s="1"/>
  <c r="AV3" i="41" s="1"/>
  <c r="AW3" i="41" s="1"/>
  <c r="AX3" i="41" s="1"/>
  <c r="AY3" i="41" s="1"/>
  <c r="AF2" i="41"/>
  <c r="AG2" i="41" s="1"/>
  <c r="AH2" i="41" s="1"/>
  <c r="AI2" i="41" s="1"/>
  <c r="AJ2" i="41" s="1"/>
  <c r="AK2" i="41" s="1"/>
  <c r="AL2" i="41" s="1"/>
  <c r="AM2" i="41" s="1"/>
  <c r="AN2" i="41" s="1"/>
  <c r="AO2" i="41" s="1"/>
  <c r="AP2" i="41" s="1"/>
  <c r="AQ2" i="41" s="1"/>
  <c r="AR2" i="41" s="1"/>
  <c r="AS2" i="41" s="1"/>
  <c r="AT2" i="41" s="1"/>
  <c r="AU2" i="41" s="1"/>
  <c r="AV2" i="41" s="1"/>
  <c r="AW2" i="41" s="1"/>
  <c r="AX2" i="41" s="1"/>
  <c r="AY2" i="41" s="1"/>
  <c r="AF1" i="41"/>
  <c r="AG1" i="41" s="1"/>
  <c r="AF11" i="40"/>
  <c r="AG11" i="40" s="1"/>
  <c r="AH11" i="40" s="1"/>
  <c r="AI11" i="40" s="1"/>
  <c r="AJ11" i="40" s="1"/>
  <c r="AK11" i="40" s="1"/>
  <c r="AL11" i="40" s="1"/>
  <c r="AM11" i="40" s="1"/>
  <c r="AN11" i="40" s="1"/>
  <c r="AO11" i="40" s="1"/>
  <c r="AP11" i="40" s="1"/>
  <c r="AQ11" i="40" s="1"/>
  <c r="AR11" i="40" s="1"/>
  <c r="AS11" i="40" s="1"/>
  <c r="AT11" i="40" s="1"/>
  <c r="AU11" i="40" s="1"/>
  <c r="AV11" i="40" s="1"/>
  <c r="AW11" i="40" s="1"/>
  <c r="AX11" i="40" s="1"/>
  <c r="AY11" i="40" s="1"/>
  <c r="AF10" i="40"/>
  <c r="AG10" i="40" s="1"/>
  <c r="AH10" i="40" s="1"/>
  <c r="AI10" i="40" s="1"/>
  <c r="AJ10" i="40" s="1"/>
  <c r="AK10" i="40" s="1"/>
  <c r="AL10" i="40" s="1"/>
  <c r="AM10" i="40" s="1"/>
  <c r="AN10" i="40" s="1"/>
  <c r="AO10" i="40" s="1"/>
  <c r="AP10" i="40" s="1"/>
  <c r="AQ10" i="40" s="1"/>
  <c r="AR10" i="40" s="1"/>
  <c r="AS10" i="40" s="1"/>
  <c r="AT10" i="40" s="1"/>
  <c r="AU10" i="40" s="1"/>
  <c r="AV10" i="40" s="1"/>
  <c r="AW10" i="40" s="1"/>
  <c r="AX10" i="40" s="1"/>
  <c r="AY10" i="40" s="1"/>
  <c r="AF9" i="40"/>
  <c r="AG9" i="40" s="1"/>
  <c r="AH9" i="40" s="1"/>
  <c r="AI9" i="40" s="1"/>
  <c r="AJ9" i="40" s="1"/>
  <c r="AK9" i="40" s="1"/>
  <c r="AL9" i="40" s="1"/>
  <c r="AM9" i="40" s="1"/>
  <c r="AN9" i="40" s="1"/>
  <c r="AO9" i="40" s="1"/>
  <c r="AP9" i="40" s="1"/>
  <c r="AQ9" i="40" s="1"/>
  <c r="AR9" i="40" s="1"/>
  <c r="AS9" i="40" s="1"/>
  <c r="AT9" i="40" s="1"/>
  <c r="AU9" i="40" s="1"/>
  <c r="AV9" i="40" s="1"/>
  <c r="AW9" i="40" s="1"/>
  <c r="AX9" i="40" s="1"/>
  <c r="AY9" i="40" s="1"/>
  <c r="AF8" i="40"/>
  <c r="AG8" i="40" s="1"/>
  <c r="AH8" i="40" s="1"/>
  <c r="AI8" i="40" s="1"/>
  <c r="AJ8" i="40" s="1"/>
  <c r="AK8" i="40" s="1"/>
  <c r="AL8" i="40" s="1"/>
  <c r="AM8" i="40" s="1"/>
  <c r="AN8" i="40" s="1"/>
  <c r="AO8" i="40" s="1"/>
  <c r="AP8" i="40" s="1"/>
  <c r="AQ8" i="40" s="1"/>
  <c r="AR8" i="40" s="1"/>
  <c r="AS8" i="40" s="1"/>
  <c r="AT8" i="40" s="1"/>
  <c r="AU8" i="40" s="1"/>
  <c r="AV8" i="40" s="1"/>
  <c r="AW8" i="40" s="1"/>
  <c r="AX8" i="40" s="1"/>
  <c r="AY8" i="40" s="1"/>
  <c r="AF7" i="40"/>
  <c r="AG7" i="40" s="1"/>
  <c r="AH7" i="40" s="1"/>
  <c r="AI7" i="40" s="1"/>
  <c r="AJ7" i="40" s="1"/>
  <c r="AK7" i="40" s="1"/>
  <c r="AL7" i="40" s="1"/>
  <c r="AM7" i="40" s="1"/>
  <c r="AN7" i="40" s="1"/>
  <c r="AO7" i="40" s="1"/>
  <c r="AP7" i="40" s="1"/>
  <c r="AQ7" i="40" s="1"/>
  <c r="AR7" i="40" s="1"/>
  <c r="AS7" i="40" s="1"/>
  <c r="AT7" i="40" s="1"/>
  <c r="AU7" i="40" s="1"/>
  <c r="AV7" i="40" s="1"/>
  <c r="AW7" i="40" s="1"/>
  <c r="AX7" i="40" s="1"/>
  <c r="AY7" i="40" s="1"/>
  <c r="AF6" i="40"/>
  <c r="AG6" i="40" s="1"/>
  <c r="AH6" i="40" s="1"/>
  <c r="AI6" i="40" s="1"/>
  <c r="AJ6" i="40" s="1"/>
  <c r="AK6" i="40" s="1"/>
  <c r="AL6" i="40" s="1"/>
  <c r="AM6" i="40" s="1"/>
  <c r="AN6" i="40" s="1"/>
  <c r="AO6" i="40" s="1"/>
  <c r="AP6" i="40" s="1"/>
  <c r="AQ6" i="40" s="1"/>
  <c r="AR6" i="40" s="1"/>
  <c r="AS6" i="40" s="1"/>
  <c r="AT6" i="40" s="1"/>
  <c r="AU6" i="40" s="1"/>
  <c r="AV6" i="40" s="1"/>
  <c r="AW6" i="40" s="1"/>
  <c r="AX6" i="40" s="1"/>
  <c r="AY6" i="40" s="1"/>
  <c r="AF5" i="40"/>
  <c r="AG5" i="40" s="1"/>
  <c r="AH5" i="40" s="1"/>
  <c r="AI5" i="40" s="1"/>
  <c r="AJ5" i="40" s="1"/>
  <c r="AK5" i="40" s="1"/>
  <c r="AL5" i="40" s="1"/>
  <c r="AM5" i="40" s="1"/>
  <c r="AN5" i="40" s="1"/>
  <c r="AO5" i="40" s="1"/>
  <c r="AP5" i="40" s="1"/>
  <c r="AQ5" i="40" s="1"/>
  <c r="AR5" i="40" s="1"/>
  <c r="AS5" i="40" s="1"/>
  <c r="AT5" i="40" s="1"/>
  <c r="AU5" i="40" s="1"/>
  <c r="AV5" i="40" s="1"/>
  <c r="AW5" i="40" s="1"/>
  <c r="AX5" i="40" s="1"/>
  <c r="AY5" i="40" s="1"/>
  <c r="AF4" i="40"/>
  <c r="AG4" i="40" s="1"/>
  <c r="AH4" i="40" s="1"/>
  <c r="AI4" i="40" s="1"/>
  <c r="AJ4" i="40" s="1"/>
  <c r="AK4" i="40" s="1"/>
  <c r="AL4" i="40" s="1"/>
  <c r="AM4" i="40" s="1"/>
  <c r="AN4" i="40" s="1"/>
  <c r="AO4" i="40" s="1"/>
  <c r="AP4" i="40" s="1"/>
  <c r="AQ4" i="40" s="1"/>
  <c r="AR4" i="40" s="1"/>
  <c r="AS4" i="40" s="1"/>
  <c r="AT4" i="40" s="1"/>
  <c r="AU4" i="40" s="1"/>
  <c r="AV4" i="40" s="1"/>
  <c r="AW4" i="40" s="1"/>
  <c r="AX4" i="40" s="1"/>
  <c r="AY4" i="40" s="1"/>
  <c r="AF3" i="40"/>
  <c r="AG3" i="40" s="1"/>
  <c r="AH3" i="40" s="1"/>
  <c r="AI3" i="40" s="1"/>
  <c r="AJ3" i="40" s="1"/>
  <c r="AK3" i="40" s="1"/>
  <c r="AL3" i="40" s="1"/>
  <c r="AM3" i="40" s="1"/>
  <c r="AN3" i="40" s="1"/>
  <c r="AO3" i="40" s="1"/>
  <c r="AP3" i="40" s="1"/>
  <c r="AQ3" i="40" s="1"/>
  <c r="AR3" i="40" s="1"/>
  <c r="AS3" i="40" s="1"/>
  <c r="AT3" i="40" s="1"/>
  <c r="AU3" i="40" s="1"/>
  <c r="AV3" i="40" s="1"/>
  <c r="AW3" i="40" s="1"/>
  <c r="AX3" i="40" s="1"/>
  <c r="AY3" i="40" s="1"/>
  <c r="AF2" i="40"/>
  <c r="AG2" i="40" s="1"/>
  <c r="AH2" i="40" s="1"/>
  <c r="AI2" i="40" s="1"/>
  <c r="AJ2" i="40" s="1"/>
  <c r="AK2" i="40" s="1"/>
  <c r="AL2" i="40" s="1"/>
  <c r="AM2" i="40" s="1"/>
  <c r="AN2" i="40" s="1"/>
  <c r="AO2" i="40" s="1"/>
  <c r="AP2" i="40" s="1"/>
  <c r="AQ2" i="40" s="1"/>
  <c r="AR2" i="40" s="1"/>
  <c r="AS2" i="40" s="1"/>
  <c r="AT2" i="40" s="1"/>
  <c r="AU2" i="40" s="1"/>
  <c r="AV2" i="40" s="1"/>
  <c r="AW2" i="40" s="1"/>
  <c r="AX2" i="40" s="1"/>
  <c r="AY2" i="40" s="1"/>
  <c r="AF1" i="40"/>
  <c r="AG1" i="40" s="1"/>
  <c r="AH1" i="40" s="1"/>
  <c r="AI1" i="40" s="1"/>
  <c r="AJ1" i="40" s="1"/>
  <c r="AK1" i="40" s="1"/>
  <c r="AL1" i="40" s="1"/>
  <c r="AM1" i="40" s="1"/>
  <c r="AN1" i="40" s="1"/>
  <c r="AO1" i="40" s="1"/>
  <c r="AP1" i="40" s="1"/>
  <c r="AQ1" i="40" s="1"/>
  <c r="AR1" i="40" s="1"/>
  <c r="AS1" i="40" s="1"/>
  <c r="AT1" i="40" s="1"/>
  <c r="AU1" i="40" s="1"/>
  <c r="AV1" i="40" s="1"/>
  <c r="AW1" i="40" s="1"/>
  <c r="AX1" i="40" s="1"/>
  <c r="AY1" i="40" s="1"/>
  <c r="AF11" i="39"/>
  <c r="AG11" i="39" s="1"/>
  <c r="AH11" i="39" s="1"/>
  <c r="AI11" i="39" s="1"/>
  <c r="AJ11" i="39" s="1"/>
  <c r="AK11" i="39" s="1"/>
  <c r="AL11" i="39" s="1"/>
  <c r="AM11" i="39" s="1"/>
  <c r="AN11" i="39" s="1"/>
  <c r="AO11" i="39" s="1"/>
  <c r="AP11" i="39" s="1"/>
  <c r="AQ11" i="39" s="1"/>
  <c r="AR11" i="39" s="1"/>
  <c r="AS11" i="39" s="1"/>
  <c r="AT11" i="39" s="1"/>
  <c r="AU11" i="39" s="1"/>
  <c r="AV11" i="39" s="1"/>
  <c r="AW11" i="39" s="1"/>
  <c r="AX11" i="39" s="1"/>
  <c r="AY11" i="39" s="1"/>
  <c r="AF10" i="39"/>
  <c r="AG10" i="39" s="1"/>
  <c r="AH10" i="39" s="1"/>
  <c r="AI10" i="39" s="1"/>
  <c r="AJ10" i="39" s="1"/>
  <c r="AK10" i="39" s="1"/>
  <c r="AL10" i="39" s="1"/>
  <c r="AM10" i="39" s="1"/>
  <c r="AN10" i="39" s="1"/>
  <c r="AO10" i="39" s="1"/>
  <c r="AP10" i="39" s="1"/>
  <c r="AQ10" i="39" s="1"/>
  <c r="AR10" i="39" s="1"/>
  <c r="AS10" i="39" s="1"/>
  <c r="AT10" i="39" s="1"/>
  <c r="AU10" i="39" s="1"/>
  <c r="AV10" i="39" s="1"/>
  <c r="AW10" i="39" s="1"/>
  <c r="AX10" i="39" s="1"/>
  <c r="AY10" i="39" s="1"/>
  <c r="AF9" i="39"/>
  <c r="AG9" i="39" s="1"/>
  <c r="AH9" i="39" s="1"/>
  <c r="AI9" i="39" s="1"/>
  <c r="AJ9" i="39" s="1"/>
  <c r="AK9" i="39" s="1"/>
  <c r="AL9" i="39" s="1"/>
  <c r="AM9" i="39" s="1"/>
  <c r="AN9" i="39" s="1"/>
  <c r="AO9" i="39" s="1"/>
  <c r="AP9" i="39" s="1"/>
  <c r="AQ9" i="39" s="1"/>
  <c r="AR9" i="39" s="1"/>
  <c r="AS9" i="39" s="1"/>
  <c r="AT9" i="39" s="1"/>
  <c r="AU9" i="39" s="1"/>
  <c r="AV9" i="39" s="1"/>
  <c r="AW9" i="39" s="1"/>
  <c r="AX9" i="39" s="1"/>
  <c r="AY9" i="39" s="1"/>
  <c r="AF8" i="39"/>
  <c r="AG8" i="39" s="1"/>
  <c r="AH8" i="39" s="1"/>
  <c r="AI8" i="39" s="1"/>
  <c r="AJ8" i="39" s="1"/>
  <c r="AK8" i="39" s="1"/>
  <c r="AL8" i="39" s="1"/>
  <c r="AM8" i="39" s="1"/>
  <c r="AN8" i="39" s="1"/>
  <c r="AO8" i="39" s="1"/>
  <c r="AP8" i="39" s="1"/>
  <c r="AQ8" i="39" s="1"/>
  <c r="AR8" i="39" s="1"/>
  <c r="AS8" i="39" s="1"/>
  <c r="AT8" i="39" s="1"/>
  <c r="AU8" i="39" s="1"/>
  <c r="AV8" i="39" s="1"/>
  <c r="AW8" i="39" s="1"/>
  <c r="AX8" i="39" s="1"/>
  <c r="AY8" i="39" s="1"/>
  <c r="AF7" i="39"/>
  <c r="AG7" i="39" s="1"/>
  <c r="AH7" i="39" s="1"/>
  <c r="AI7" i="39" s="1"/>
  <c r="AJ7" i="39" s="1"/>
  <c r="AK7" i="39" s="1"/>
  <c r="AL7" i="39" s="1"/>
  <c r="AM7" i="39" s="1"/>
  <c r="AN7" i="39" s="1"/>
  <c r="AO7" i="39" s="1"/>
  <c r="AP7" i="39" s="1"/>
  <c r="AQ7" i="39" s="1"/>
  <c r="AR7" i="39" s="1"/>
  <c r="AS7" i="39" s="1"/>
  <c r="AT7" i="39" s="1"/>
  <c r="AU7" i="39" s="1"/>
  <c r="AV7" i="39" s="1"/>
  <c r="AW7" i="39" s="1"/>
  <c r="AX7" i="39" s="1"/>
  <c r="AY7" i="39" s="1"/>
  <c r="AF6" i="39"/>
  <c r="AG6" i="39" s="1"/>
  <c r="AH6" i="39" s="1"/>
  <c r="AI6" i="39" s="1"/>
  <c r="AJ6" i="39" s="1"/>
  <c r="AK6" i="39" s="1"/>
  <c r="AL6" i="39" s="1"/>
  <c r="AM6" i="39" s="1"/>
  <c r="AN6" i="39" s="1"/>
  <c r="AO6" i="39" s="1"/>
  <c r="AP6" i="39" s="1"/>
  <c r="AQ6" i="39" s="1"/>
  <c r="AR6" i="39" s="1"/>
  <c r="AS6" i="39" s="1"/>
  <c r="AT6" i="39" s="1"/>
  <c r="AU6" i="39" s="1"/>
  <c r="AV6" i="39" s="1"/>
  <c r="AW6" i="39" s="1"/>
  <c r="AX6" i="39" s="1"/>
  <c r="AY6" i="39" s="1"/>
  <c r="AF5" i="39"/>
  <c r="AG5" i="39" s="1"/>
  <c r="AH5" i="39" s="1"/>
  <c r="AI5" i="39" s="1"/>
  <c r="AJ5" i="39" s="1"/>
  <c r="AK5" i="39" s="1"/>
  <c r="AL5" i="39" s="1"/>
  <c r="AM5" i="39" s="1"/>
  <c r="AN5" i="39" s="1"/>
  <c r="AO5" i="39" s="1"/>
  <c r="AP5" i="39" s="1"/>
  <c r="AQ5" i="39" s="1"/>
  <c r="AR5" i="39" s="1"/>
  <c r="AS5" i="39" s="1"/>
  <c r="AT5" i="39" s="1"/>
  <c r="AU5" i="39" s="1"/>
  <c r="AV5" i="39" s="1"/>
  <c r="AW5" i="39" s="1"/>
  <c r="AX5" i="39" s="1"/>
  <c r="AY5" i="39" s="1"/>
  <c r="AF4" i="39"/>
  <c r="AG4" i="39" s="1"/>
  <c r="AH4" i="39" s="1"/>
  <c r="AI4" i="39" s="1"/>
  <c r="AJ4" i="39" s="1"/>
  <c r="AK4" i="39" s="1"/>
  <c r="AL4" i="39" s="1"/>
  <c r="AM4" i="39" s="1"/>
  <c r="AN4" i="39" s="1"/>
  <c r="AO4" i="39" s="1"/>
  <c r="AP4" i="39" s="1"/>
  <c r="AQ4" i="39" s="1"/>
  <c r="AR4" i="39" s="1"/>
  <c r="AS4" i="39" s="1"/>
  <c r="AT4" i="39" s="1"/>
  <c r="AU4" i="39" s="1"/>
  <c r="AV4" i="39" s="1"/>
  <c r="AW4" i="39" s="1"/>
  <c r="AX4" i="39" s="1"/>
  <c r="AY4" i="39" s="1"/>
  <c r="AF3" i="39"/>
  <c r="AG3" i="39" s="1"/>
  <c r="AH3" i="39" s="1"/>
  <c r="AI3" i="39" s="1"/>
  <c r="AJ3" i="39" s="1"/>
  <c r="AK3" i="39" s="1"/>
  <c r="AL3" i="39" s="1"/>
  <c r="AM3" i="39" s="1"/>
  <c r="AN3" i="39" s="1"/>
  <c r="AO3" i="39" s="1"/>
  <c r="AP3" i="39" s="1"/>
  <c r="AQ3" i="39" s="1"/>
  <c r="AR3" i="39" s="1"/>
  <c r="AS3" i="39" s="1"/>
  <c r="AT3" i="39" s="1"/>
  <c r="AU3" i="39" s="1"/>
  <c r="AV3" i="39" s="1"/>
  <c r="AW3" i="39" s="1"/>
  <c r="AX3" i="39" s="1"/>
  <c r="AY3" i="39" s="1"/>
  <c r="AF2" i="39"/>
  <c r="AG2" i="39" s="1"/>
  <c r="AH2" i="39" s="1"/>
  <c r="AI2" i="39" s="1"/>
  <c r="AJ2" i="39" s="1"/>
  <c r="AK2" i="39" s="1"/>
  <c r="AL2" i="39" s="1"/>
  <c r="AM2" i="39" s="1"/>
  <c r="AN2" i="39" s="1"/>
  <c r="AO2" i="39" s="1"/>
  <c r="AP2" i="39" s="1"/>
  <c r="AQ2" i="39" s="1"/>
  <c r="AR2" i="39" s="1"/>
  <c r="AS2" i="39" s="1"/>
  <c r="AT2" i="39" s="1"/>
  <c r="AU2" i="39" s="1"/>
  <c r="AV2" i="39" s="1"/>
  <c r="AW2" i="39" s="1"/>
  <c r="AX2" i="39" s="1"/>
  <c r="AY2" i="39" s="1"/>
  <c r="AF1" i="39"/>
  <c r="AG1" i="39" s="1"/>
  <c r="AH1" i="39" s="1"/>
  <c r="AI1" i="39" s="1"/>
  <c r="AJ1" i="39" s="1"/>
  <c r="AK1" i="39" s="1"/>
  <c r="AL1" i="39" s="1"/>
  <c r="AM1" i="39" s="1"/>
  <c r="AN1" i="39" s="1"/>
  <c r="AO1" i="39" s="1"/>
  <c r="AP1" i="39" s="1"/>
  <c r="AQ1" i="39" s="1"/>
  <c r="AR1" i="39" s="1"/>
  <c r="AS1" i="39" s="1"/>
  <c r="AT1" i="39" s="1"/>
  <c r="AU1" i="39" s="1"/>
  <c r="AV1" i="39" s="1"/>
  <c r="AW1" i="39" s="1"/>
  <c r="AX1" i="39" s="1"/>
  <c r="AY1" i="39" s="1"/>
  <c r="AF11" i="96"/>
  <c r="AG11" i="96" s="1"/>
  <c r="AH11" i="96" s="1"/>
  <c r="AI11" i="96" s="1"/>
  <c r="AJ11" i="96" s="1"/>
  <c r="AK11" i="96" s="1"/>
  <c r="AL11" i="96" s="1"/>
  <c r="AM11" i="96" s="1"/>
  <c r="AN11" i="96" s="1"/>
  <c r="AO11" i="96" s="1"/>
  <c r="AP11" i="96" s="1"/>
  <c r="AQ11" i="96" s="1"/>
  <c r="AR11" i="96" s="1"/>
  <c r="AS11" i="96" s="1"/>
  <c r="AT11" i="96" s="1"/>
  <c r="AU11" i="96" s="1"/>
  <c r="AV11" i="96" s="1"/>
  <c r="AW11" i="96" s="1"/>
  <c r="AX11" i="96" s="1"/>
  <c r="AY11" i="96" s="1"/>
  <c r="AF10" i="96"/>
  <c r="AG10" i="96" s="1"/>
  <c r="AH10" i="96" s="1"/>
  <c r="AI10" i="96" s="1"/>
  <c r="AJ10" i="96" s="1"/>
  <c r="AK10" i="96" s="1"/>
  <c r="AL10" i="96" s="1"/>
  <c r="AM10" i="96" s="1"/>
  <c r="AN10" i="96" s="1"/>
  <c r="AO10" i="96" s="1"/>
  <c r="AP10" i="96" s="1"/>
  <c r="AQ10" i="96" s="1"/>
  <c r="AR10" i="96" s="1"/>
  <c r="AS10" i="96" s="1"/>
  <c r="AT10" i="96" s="1"/>
  <c r="AU10" i="96" s="1"/>
  <c r="AV10" i="96" s="1"/>
  <c r="AW10" i="96" s="1"/>
  <c r="AX10" i="96" s="1"/>
  <c r="AY10" i="96" s="1"/>
  <c r="AF9" i="96"/>
  <c r="AG9" i="96" s="1"/>
  <c r="AH9" i="96" s="1"/>
  <c r="AI9" i="96" s="1"/>
  <c r="AJ9" i="96" s="1"/>
  <c r="AK9" i="96" s="1"/>
  <c r="AL9" i="96" s="1"/>
  <c r="AM9" i="96" s="1"/>
  <c r="AN9" i="96" s="1"/>
  <c r="AO9" i="96" s="1"/>
  <c r="AP9" i="96" s="1"/>
  <c r="AQ9" i="96" s="1"/>
  <c r="AR9" i="96" s="1"/>
  <c r="AS9" i="96" s="1"/>
  <c r="AT9" i="96" s="1"/>
  <c r="AU9" i="96" s="1"/>
  <c r="AV9" i="96" s="1"/>
  <c r="AW9" i="96" s="1"/>
  <c r="AX9" i="96" s="1"/>
  <c r="AY9" i="96" s="1"/>
  <c r="AF8" i="96"/>
  <c r="AG8" i="96" s="1"/>
  <c r="AH8" i="96" s="1"/>
  <c r="AI8" i="96" s="1"/>
  <c r="AJ8" i="96" s="1"/>
  <c r="AK8" i="96" s="1"/>
  <c r="AL8" i="96" s="1"/>
  <c r="AM8" i="96" s="1"/>
  <c r="AN8" i="96" s="1"/>
  <c r="AO8" i="96" s="1"/>
  <c r="AP8" i="96" s="1"/>
  <c r="AQ8" i="96" s="1"/>
  <c r="AR8" i="96" s="1"/>
  <c r="AS8" i="96" s="1"/>
  <c r="AT8" i="96" s="1"/>
  <c r="AU8" i="96" s="1"/>
  <c r="AV8" i="96" s="1"/>
  <c r="AW8" i="96" s="1"/>
  <c r="AX8" i="96" s="1"/>
  <c r="AY8" i="96" s="1"/>
  <c r="AF7" i="96"/>
  <c r="AG7" i="96" s="1"/>
  <c r="AH7" i="96" s="1"/>
  <c r="AI7" i="96" s="1"/>
  <c r="AJ7" i="96" s="1"/>
  <c r="AK7" i="96" s="1"/>
  <c r="AL7" i="96" s="1"/>
  <c r="AM7" i="96" s="1"/>
  <c r="AN7" i="96" s="1"/>
  <c r="AO7" i="96" s="1"/>
  <c r="AP7" i="96" s="1"/>
  <c r="AQ7" i="96" s="1"/>
  <c r="AR7" i="96" s="1"/>
  <c r="AS7" i="96" s="1"/>
  <c r="AT7" i="96" s="1"/>
  <c r="AU7" i="96" s="1"/>
  <c r="AV7" i="96" s="1"/>
  <c r="AW7" i="96" s="1"/>
  <c r="AX7" i="96" s="1"/>
  <c r="AY7" i="96" s="1"/>
  <c r="AF6" i="96"/>
  <c r="AG6" i="96" s="1"/>
  <c r="AH6" i="96" s="1"/>
  <c r="AI6" i="96" s="1"/>
  <c r="AJ6" i="96" s="1"/>
  <c r="AK6" i="96" s="1"/>
  <c r="AL6" i="96" s="1"/>
  <c r="AM6" i="96" s="1"/>
  <c r="AN6" i="96" s="1"/>
  <c r="AO6" i="96" s="1"/>
  <c r="AP6" i="96" s="1"/>
  <c r="AQ6" i="96" s="1"/>
  <c r="AR6" i="96" s="1"/>
  <c r="AS6" i="96" s="1"/>
  <c r="AT6" i="96" s="1"/>
  <c r="AU6" i="96" s="1"/>
  <c r="AV6" i="96" s="1"/>
  <c r="AW6" i="96" s="1"/>
  <c r="AX6" i="96" s="1"/>
  <c r="AY6" i="96" s="1"/>
  <c r="AF5" i="96"/>
  <c r="AG5" i="96" s="1"/>
  <c r="AH5" i="96" s="1"/>
  <c r="AI5" i="96" s="1"/>
  <c r="AJ5" i="96" s="1"/>
  <c r="AK5" i="96" s="1"/>
  <c r="AL5" i="96" s="1"/>
  <c r="AM5" i="96" s="1"/>
  <c r="AN5" i="96" s="1"/>
  <c r="AO5" i="96" s="1"/>
  <c r="AP5" i="96" s="1"/>
  <c r="AQ5" i="96" s="1"/>
  <c r="AR5" i="96" s="1"/>
  <c r="AS5" i="96" s="1"/>
  <c r="AT5" i="96" s="1"/>
  <c r="AU5" i="96" s="1"/>
  <c r="AV5" i="96" s="1"/>
  <c r="AW5" i="96" s="1"/>
  <c r="AX5" i="96" s="1"/>
  <c r="AY5" i="96" s="1"/>
  <c r="AF4" i="96"/>
  <c r="AG4" i="96" s="1"/>
  <c r="AH4" i="96" s="1"/>
  <c r="AI4" i="96" s="1"/>
  <c r="AJ4" i="96" s="1"/>
  <c r="AK4" i="96" s="1"/>
  <c r="AL4" i="96" s="1"/>
  <c r="AM4" i="96" s="1"/>
  <c r="AN4" i="96" s="1"/>
  <c r="AO4" i="96" s="1"/>
  <c r="AP4" i="96" s="1"/>
  <c r="AQ4" i="96" s="1"/>
  <c r="AR4" i="96" s="1"/>
  <c r="AS4" i="96" s="1"/>
  <c r="AT4" i="96" s="1"/>
  <c r="AU4" i="96" s="1"/>
  <c r="AV4" i="96" s="1"/>
  <c r="AW4" i="96" s="1"/>
  <c r="AX4" i="96" s="1"/>
  <c r="AY4" i="96" s="1"/>
  <c r="AF3" i="96"/>
  <c r="AG3" i="96" s="1"/>
  <c r="AH3" i="96" s="1"/>
  <c r="AI3" i="96" s="1"/>
  <c r="AJ3" i="96" s="1"/>
  <c r="AK3" i="96" s="1"/>
  <c r="AL3" i="96" s="1"/>
  <c r="AM3" i="96" s="1"/>
  <c r="AN3" i="96" s="1"/>
  <c r="AO3" i="96" s="1"/>
  <c r="AP3" i="96" s="1"/>
  <c r="AQ3" i="96" s="1"/>
  <c r="AR3" i="96" s="1"/>
  <c r="AS3" i="96" s="1"/>
  <c r="AT3" i="96" s="1"/>
  <c r="AU3" i="96" s="1"/>
  <c r="AV3" i="96" s="1"/>
  <c r="AW3" i="96" s="1"/>
  <c r="AX3" i="96" s="1"/>
  <c r="AY3" i="96" s="1"/>
  <c r="AF2" i="96"/>
  <c r="AG2" i="96" s="1"/>
  <c r="AH2" i="96" s="1"/>
  <c r="AI2" i="96" s="1"/>
  <c r="AJ2" i="96" s="1"/>
  <c r="AK2" i="96" s="1"/>
  <c r="AL2" i="96" s="1"/>
  <c r="AM2" i="96" s="1"/>
  <c r="AN2" i="96" s="1"/>
  <c r="AO2" i="96" s="1"/>
  <c r="AP2" i="96" s="1"/>
  <c r="AQ2" i="96" s="1"/>
  <c r="AR2" i="96" s="1"/>
  <c r="AS2" i="96" s="1"/>
  <c r="AT2" i="96" s="1"/>
  <c r="AU2" i="96" s="1"/>
  <c r="AV2" i="96" s="1"/>
  <c r="AW2" i="96" s="1"/>
  <c r="AX2" i="96" s="1"/>
  <c r="AY2" i="96" s="1"/>
  <c r="AF1" i="96"/>
  <c r="AG1" i="96" s="1"/>
  <c r="AH1" i="96" s="1"/>
  <c r="AI1" i="96" s="1"/>
  <c r="AJ1" i="96" s="1"/>
  <c r="AK1" i="96" s="1"/>
  <c r="AL1" i="96" s="1"/>
  <c r="AM1" i="96" s="1"/>
  <c r="AN1" i="96" s="1"/>
  <c r="AO1" i="96" s="1"/>
  <c r="AP1" i="96" s="1"/>
  <c r="AQ1" i="96" s="1"/>
  <c r="AR1" i="96" s="1"/>
  <c r="AS1" i="96" s="1"/>
  <c r="AT1" i="96" s="1"/>
  <c r="AU1" i="96" s="1"/>
  <c r="AV1" i="96" s="1"/>
  <c r="AW1" i="96" s="1"/>
  <c r="AX1" i="96" s="1"/>
  <c r="AY1" i="96" s="1"/>
  <c r="AF11" i="95"/>
  <c r="AG11" i="95" s="1"/>
  <c r="AH11" i="95" s="1"/>
  <c r="AI11" i="95" s="1"/>
  <c r="AJ11" i="95" s="1"/>
  <c r="AK11" i="95" s="1"/>
  <c r="AL11" i="95" s="1"/>
  <c r="AM11" i="95" s="1"/>
  <c r="AN11" i="95" s="1"/>
  <c r="AO11" i="95" s="1"/>
  <c r="AP11" i="95" s="1"/>
  <c r="AQ11" i="95" s="1"/>
  <c r="AR11" i="95" s="1"/>
  <c r="AS11" i="95" s="1"/>
  <c r="AT11" i="95" s="1"/>
  <c r="AU11" i="95" s="1"/>
  <c r="AV11" i="95" s="1"/>
  <c r="AW11" i="95" s="1"/>
  <c r="AX11" i="95" s="1"/>
  <c r="AY11" i="95" s="1"/>
  <c r="AF10" i="95"/>
  <c r="AG10" i="95" s="1"/>
  <c r="AH10" i="95" s="1"/>
  <c r="AI10" i="95" s="1"/>
  <c r="AJ10" i="95" s="1"/>
  <c r="AK10" i="95" s="1"/>
  <c r="AL10" i="95" s="1"/>
  <c r="AM10" i="95" s="1"/>
  <c r="AN10" i="95" s="1"/>
  <c r="AO10" i="95" s="1"/>
  <c r="AP10" i="95" s="1"/>
  <c r="AQ10" i="95" s="1"/>
  <c r="AR10" i="95" s="1"/>
  <c r="AS10" i="95" s="1"/>
  <c r="AT10" i="95" s="1"/>
  <c r="AU10" i="95" s="1"/>
  <c r="AV10" i="95" s="1"/>
  <c r="AW10" i="95" s="1"/>
  <c r="AX10" i="95" s="1"/>
  <c r="AY10" i="95" s="1"/>
  <c r="AF9" i="95"/>
  <c r="AG9" i="95" s="1"/>
  <c r="AH9" i="95" s="1"/>
  <c r="AI9" i="95" s="1"/>
  <c r="AJ9" i="95" s="1"/>
  <c r="AK9" i="95" s="1"/>
  <c r="AL9" i="95" s="1"/>
  <c r="AM9" i="95" s="1"/>
  <c r="AN9" i="95" s="1"/>
  <c r="AO9" i="95" s="1"/>
  <c r="AP9" i="95" s="1"/>
  <c r="AQ9" i="95" s="1"/>
  <c r="AR9" i="95" s="1"/>
  <c r="AS9" i="95" s="1"/>
  <c r="AT9" i="95" s="1"/>
  <c r="AU9" i="95" s="1"/>
  <c r="AV9" i="95" s="1"/>
  <c r="AW9" i="95" s="1"/>
  <c r="AX9" i="95" s="1"/>
  <c r="AY9" i="95" s="1"/>
  <c r="AF8" i="95"/>
  <c r="AG8" i="95" s="1"/>
  <c r="AH8" i="95" s="1"/>
  <c r="AI8" i="95" s="1"/>
  <c r="AJ8" i="95" s="1"/>
  <c r="AK8" i="95" s="1"/>
  <c r="AL8" i="95" s="1"/>
  <c r="AM8" i="95" s="1"/>
  <c r="AN8" i="95" s="1"/>
  <c r="AO8" i="95" s="1"/>
  <c r="AP8" i="95" s="1"/>
  <c r="AQ8" i="95" s="1"/>
  <c r="AR8" i="95" s="1"/>
  <c r="AS8" i="95" s="1"/>
  <c r="AT8" i="95" s="1"/>
  <c r="AU8" i="95" s="1"/>
  <c r="AV8" i="95" s="1"/>
  <c r="AW8" i="95" s="1"/>
  <c r="AX8" i="95" s="1"/>
  <c r="AY8" i="95" s="1"/>
  <c r="AF7" i="95"/>
  <c r="AG7" i="95" s="1"/>
  <c r="AH7" i="95" s="1"/>
  <c r="AI7" i="95" s="1"/>
  <c r="AJ7" i="95" s="1"/>
  <c r="AK7" i="95" s="1"/>
  <c r="AL7" i="95" s="1"/>
  <c r="AM7" i="95" s="1"/>
  <c r="AN7" i="95" s="1"/>
  <c r="AO7" i="95" s="1"/>
  <c r="AP7" i="95" s="1"/>
  <c r="AQ7" i="95" s="1"/>
  <c r="AR7" i="95" s="1"/>
  <c r="AS7" i="95" s="1"/>
  <c r="AT7" i="95" s="1"/>
  <c r="AU7" i="95" s="1"/>
  <c r="AV7" i="95" s="1"/>
  <c r="AW7" i="95" s="1"/>
  <c r="AX7" i="95" s="1"/>
  <c r="AY7" i="95" s="1"/>
  <c r="AF6" i="95"/>
  <c r="AG6" i="95" s="1"/>
  <c r="AH6" i="95" s="1"/>
  <c r="AI6" i="95" s="1"/>
  <c r="AJ6" i="95" s="1"/>
  <c r="AK6" i="95" s="1"/>
  <c r="AL6" i="95" s="1"/>
  <c r="AM6" i="95" s="1"/>
  <c r="AN6" i="95" s="1"/>
  <c r="AO6" i="95" s="1"/>
  <c r="AP6" i="95" s="1"/>
  <c r="AQ6" i="95" s="1"/>
  <c r="AR6" i="95" s="1"/>
  <c r="AS6" i="95" s="1"/>
  <c r="AT6" i="95" s="1"/>
  <c r="AU6" i="95" s="1"/>
  <c r="AV6" i="95" s="1"/>
  <c r="AW6" i="95" s="1"/>
  <c r="AX6" i="95" s="1"/>
  <c r="AY6" i="95" s="1"/>
  <c r="AF5" i="95"/>
  <c r="AG5" i="95" s="1"/>
  <c r="AH5" i="95" s="1"/>
  <c r="AI5" i="95" s="1"/>
  <c r="AJ5" i="95" s="1"/>
  <c r="AK5" i="95" s="1"/>
  <c r="AL5" i="95" s="1"/>
  <c r="AM5" i="95" s="1"/>
  <c r="AN5" i="95" s="1"/>
  <c r="AO5" i="95" s="1"/>
  <c r="AP5" i="95" s="1"/>
  <c r="AQ5" i="95" s="1"/>
  <c r="AR5" i="95" s="1"/>
  <c r="AS5" i="95" s="1"/>
  <c r="AT5" i="95" s="1"/>
  <c r="AU5" i="95" s="1"/>
  <c r="AV5" i="95" s="1"/>
  <c r="AW5" i="95" s="1"/>
  <c r="AX5" i="95" s="1"/>
  <c r="AY5" i="95" s="1"/>
  <c r="AF4" i="95"/>
  <c r="AG4" i="95" s="1"/>
  <c r="AH4" i="95" s="1"/>
  <c r="AI4" i="95" s="1"/>
  <c r="AJ4" i="95" s="1"/>
  <c r="AK4" i="95" s="1"/>
  <c r="AL4" i="95" s="1"/>
  <c r="AM4" i="95" s="1"/>
  <c r="AN4" i="95" s="1"/>
  <c r="AO4" i="95" s="1"/>
  <c r="AP4" i="95" s="1"/>
  <c r="AQ4" i="95" s="1"/>
  <c r="AR4" i="95" s="1"/>
  <c r="AS4" i="95" s="1"/>
  <c r="AT4" i="95" s="1"/>
  <c r="AU4" i="95" s="1"/>
  <c r="AV4" i="95" s="1"/>
  <c r="AW4" i="95" s="1"/>
  <c r="AX4" i="95" s="1"/>
  <c r="AY4" i="95" s="1"/>
  <c r="AF3" i="95"/>
  <c r="AG3" i="95" s="1"/>
  <c r="AH3" i="95" s="1"/>
  <c r="AI3" i="95" s="1"/>
  <c r="AJ3" i="95" s="1"/>
  <c r="AK3" i="95" s="1"/>
  <c r="AL3" i="95" s="1"/>
  <c r="AM3" i="95" s="1"/>
  <c r="AN3" i="95" s="1"/>
  <c r="AO3" i="95" s="1"/>
  <c r="AP3" i="95" s="1"/>
  <c r="AQ3" i="95" s="1"/>
  <c r="AR3" i="95" s="1"/>
  <c r="AS3" i="95" s="1"/>
  <c r="AT3" i="95" s="1"/>
  <c r="AU3" i="95" s="1"/>
  <c r="AV3" i="95" s="1"/>
  <c r="AW3" i="95" s="1"/>
  <c r="AX3" i="95" s="1"/>
  <c r="AY3" i="95" s="1"/>
  <c r="AF2" i="95"/>
  <c r="AG2" i="95" s="1"/>
  <c r="AH2" i="95" s="1"/>
  <c r="AI2" i="95" s="1"/>
  <c r="AJ2" i="95" s="1"/>
  <c r="AK2" i="95" s="1"/>
  <c r="AL2" i="95" s="1"/>
  <c r="AM2" i="95" s="1"/>
  <c r="AN2" i="95" s="1"/>
  <c r="AO2" i="95" s="1"/>
  <c r="AP2" i="95" s="1"/>
  <c r="AQ2" i="95" s="1"/>
  <c r="AR2" i="95" s="1"/>
  <c r="AS2" i="95" s="1"/>
  <c r="AT2" i="95" s="1"/>
  <c r="AU2" i="95" s="1"/>
  <c r="AV2" i="95" s="1"/>
  <c r="AW2" i="95" s="1"/>
  <c r="AX2" i="95" s="1"/>
  <c r="AY2" i="95" s="1"/>
  <c r="AF1" i="95"/>
  <c r="AG1" i="95" s="1"/>
  <c r="AH1" i="95" s="1"/>
  <c r="AI1" i="95" s="1"/>
  <c r="AJ1" i="95" s="1"/>
  <c r="AK1" i="95" s="1"/>
  <c r="AL1" i="95" s="1"/>
  <c r="AM1" i="95" s="1"/>
  <c r="AN1" i="95" s="1"/>
  <c r="AO1" i="95" s="1"/>
  <c r="AP1" i="95" s="1"/>
  <c r="AQ1" i="95" s="1"/>
  <c r="AR1" i="95" s="1"/>
  <c r="AS1" i="95" s="1"/>
  <c r="AT1" i="95" s="1"/>
  <c r="AU1" i="95" s="1"/>
  <c r="AV1" i="95" s="1"/>
  <c r="AW1" i="95" s="1"/>
  <c r="AX1" i="95" s="1"/>
  <c r="AY1" i="95" s="1"/>
  <c r="AF11" i="94"/>
  <c r="AG11" i="94" s="1"/>
  <c r="AH11" i="94" s="1"/>
  <c r="AI11" i="94" s="1"/>
  <c r="AJ11" i="94" s="1"/>
  <c r="AK11" i="94" s="1"/>
  <c r="AL11" i="94" s="1"/>
  <c r="AM11" i="94" s="1"/>
  <c r="AN11" i="94" s="1"/>
  <c r="AO11" i="94" s="1"/>
  <c r="AP11" i="94" s="1"/>
  <c r="AQ11" i="94" s="1"/>
  <c r="AR11" i="94" s="1"/>
  <c r="AS11" i="94" s="1"/>
  <c r="AT11" i="94" s="1"/>
  <c r="AU11" i="94" s="1"/>
  <c r="AV11" i="94" s="1"/>
  <c r="AW11" i="94" s="1"/>
  <c r="AX11" i="94" s="1"/>
  <c r="AY11" i="94" s="1"/>
  <c r="AF10" i="94"/>
  <c r="AG10" i="94" s="1"/>
  <c r="AH10" i="94" s="1"/>
  <c r="AI10" i="94" s="1"/>
  <c r="AJ10" i="94" s="1"/>
  <c r="AK10" i="94" s="1"/>
  <c r="AL10" i="94" s="1"/>
  <c r="AM10" i="94" s="1"/>
  <c r="AN10" i="94" s="1"/>
  <c r="AO10" i="94" s="1"/>
  <c r="AP10" i="94" s="1"/>
  <c r="AQ10" i="94" s="1"/>
  <c r="AR10" i="94" s="1"/>
  <c r="AS10" i="94" s="1"/>
  <c r="AT10" i="94" s="1"/>
  <c r="AU10" i="94" s="1"/>
  <c r="AV10" i="94" s="1"/>
  <c r="AW10" i="94" s="1"/>
  <c r="AX10" i="94" s="1"/>
  <c r="AY10" i="94" s="1"/>
  <c r="AF9" i="94"/>
  <c r="AG9" i="94" s="1"/>
  <c r="AH9" i="94" s="1"/>
  <c r="AI9" i="94" s="1"/>
  <c r="AJ9" i="94" s="1"/>
  <c r="AK9" i="94" s="1"/>
  <c r="AL9" i="94" s="1"/>
  <c r="AM9" i="94" s="1"/>
  <c r="AN9" i="94" s="1"/>
  <c r="AO9" i="94" s="1"/>
  <c r="AP9" i="94" s="1"/>
  <c r="AQ9" i="94" s="1"/>
  <c r="AR9" i="94" s="1"/>
  <c r="AS9" i="94" s="1"/>
  <c r="AT9" i="94" s="1"/>
  <c r="AU9" i="94" s="1"/>
  <c r="AV9" i="94" s="1"/>
  <c r="AW9" i="94" s="1"/>
  <c r="AX9" i="94" s="1"/>
  <c r="AY9" i="94" s="1"/>
  <c r="AF8" i="94"/>
  <c r="AG8" i="94" s="1"/>
  <c r="AH8" i="94" s="1"/>
  <c r="AI8" i="94" s="1"/>
  <c r="AJ8" i="94" s="1"/>
  <c r="AK8" i="94" s="1"/>
  <c r="AL8" i="94" s="1"/>
  <c r="AM8" i="94" s="1"/>
  <c r="AN8" i="94" s="1"/>
  <c r="AO8" i="94" s="1"/>
  <c r="AP8" i="94" s="1"/>
  <c r="AQ8" i="94" s="1"/>
  <c r="AR8" i="94" s="1"/>
  <c r="AS8" i="94" s="1"/>
  <c r="AT8" i="94" s="1"/>
  <c r="AU8" i="94" s="1"/>
  <c r="AV8" i="94" s="1"/>
  <c r="AW8" i="94" s="1"/>
  <c r="AX8" i="94" s="1"/>
  <c r="AY8" i="94" s="1"/>
  <c r="AF7" i="94"/>
  <c r="AG7" i="94" s="1"/>
  <c r="AH7" i="94" s="1"/>
  <c r="AI7" i="94" s="1"/>
  <c r="AJ7" i="94" s="1"/>
  <c r="AK7" i="94" s="1"/>
  <c r="AL7" i="94" s="1"/>
  <c r="AM7" i="94" s="1"/>
  <c r="AN7" i="94" s="1"/>
  <c r="AO7" i="94" s="1"/>
  <c r="AP7" i="94" s="1"/>
  <c r="AQ7" i="94" s="1"/>
  <c r="AR7" i="94" s="1"/>
  <c r="AS7" i="94" s="1"/>
  <c r="AT7" i="94" s="1"/>
  <c r="AU7" i="94" s="1"/>
  <c r="AV7" i="94" s="1"/>
  <c r="AW7" i="94" s="1"/>
  <c r="AX7" i="94" s="1"/>
  <c r="AY7" i="94" s="1"/>
  <c r="AF6" i="94"/>
  <c r="AG6" i="94" s="1"/>
  <c r="AH6" i="94" s="1"/>
  <c r="AI6" i="94" s="1"/>
  <c r="AJ6" i="94" s="1"/>
  <c r="AK6" i="94" s="1"/>
  <c r="AL6" i="94" s="1"/>
  <c r="AM6" i="94" s="1"/>
  <c r="AN6" i="94" s="1"/>
  <c r="AO6" i="94" s="1"/>
  <c r="AP6" i="94" s="1"/>
  <c r="AQ6" i="94" s="1"/>
  <c r="AR6" i="94" s="1"/>
  <c r="AS6" i="94" s="1"/>
  <c r="AT6" i="94" s="1"/>
  <c r="AU6" i="94" s="1"/>
  <c r="AV6" i="94" s="1"/>
  <c r="AW6" i="94" s="1"/>
  <c r="AX6" i="94" s="1"/>
  <c r="AY6" i="94" s="1"/>
  <c r="AF5" i="94"/>
  <c r="AG5" i="94" s="1"/>
  <c r="AH5" i="94" s="1"/>
  <c r="AI5" i="94" s="1"/>
  <c r="AJ5" i="94" s="1"/>
  <c r="AK5" i="94" s="1"/>
  <c r="AL5" i="94" s="1"/>
  <c r="AM5" i="94" s="1"/>
  <c r="AN5" i="94" s="1"/>
  <c r="AO5" i="94" s="1"/>
  <c r="AP5" i="94" s="1"/>
  <c r="AQ5" i="94" s="1"/>
  <c r="AR5" i="94" s="1"/>
  <c r="AS5" i="94" s="1"/>
  <c r="AT5" i="94" s="1"/>
  <c r="AU5" i="94" s="1"/>
  <c r="AV5" i="94" s="1"/>
  <c r="AW5" i="94" s="1"/>
  <c r="AX5" i="94" s="1"/>
  <c r="AY5" i="94" s="1"/>
  <c r="AF4" i="94"/>
  <c r="AG4" i="94" s="1"/>
  <c r="AH4" i="94" s="1"/>
  <c r="AI4" i="94" s="1"/>
  <c r="AJ4" i="94" s="1"/>
  <c r="AK4" i="94" s="1"/>
  <c r="AL4" i="94" s="1"/>
  <c r="AM4" i="94" s="1"/>
  <c r="AN4" i="94" s="1"/>
  <c r="AO4" i="94" s="1"/>
  <c r="AP4" i="94" s="1"/>
  <c r="AQ4" i="94" s="1"/>
  <c r="AR4" i="94" s="1"/>
  <c r="AS4" i="94" s="1"/>
  <c r="AT4" i="94" s="1"/>
  <c r="AU4" i="94" s="1"/>
  <c r="AV4" i="94" s="1"/>
  <c r="AW4" i="94" s="1"/>
  <c r="AX4" i="94" s="1"/>
  <c r="AY4" i="94" s="1"/>
  <c r="AF3" i="94"/>
  <c r="AG3" i="94" s="1"/>
  <c r="AH3" i="94" s="1"/>
  <c r="AI3" i="94" s="1"/>
  <c r="AJ3" i="94" s="1"/>
  <c r="AK3" i="94" s="1"/>
  <c r="AL3" i="94" s="1"/>
  <c r="AM3" i="94" s="1"/>
  <c r="AN3" i="94" s="1"/>
  <c r="AO3" i="94" s="1"/>
  <c r="AP3" i="94" s="1"/>
  <c r="AQ3" i="94" s="1"/>
  <c r="AR3" i="94" s="1"/>
  <c r="AS3" i="94" s="1"/>
  <c r="AT3" i="94" s="1"/>
  <c r="AU3" i="94" s="1"/>
  <c r="AV3" i="94" s="1"/>
  <c r="AW3" i="94" s="1"/>
  <c r="AX3" i="94" s="1"/>
  <c r="AY3" i="94" s="1"/>
  <c r="AF2" i="94"/>
  <c r="AG2" i="94" s="1"/>
  <c r="AH2" i="94" s="1"/>
  <c r="AI2" i="94" s="1"/>
  <c r="AJ2" i="94" s="1"/>
  <c r="AK2" i="94" s="1"/>
  <c r="AL2" i="94" s="1"/>
  <c r="AM2" i="94" s="1"/>
  <c r="AN2" i="94" s="1"/>
  <c r="AO2" i="94" s="1"/>
  <c r="AP2" i="94" s="1"/>
  <c r="AQ2" i="94" s="1"/>
  <c r="AR2" i="94" s="1"/>
  <c r="AS2" i="94" s="1"/>
  <c r="AT2" i="94" s="1"/>
  <c r="AU2" i="94" s="1"/>
  <c r="AV2" i="94" s="1"/>
  <c r="AW2" i="94" s="1"/>
  <c r="AX2" i="94" s="1"/>
  <c r="AY2" i="94" s="1"/>
  <c r="AF1" i="94"/>
  <c r="AG1" i="94" s="1"/>
  <c r="AH1" i="94" s="1"/>
  <c r="AI1" i="94" s="1"/>
  <c r="AJ1" i="94" s="1"/>
  <c r="AK1" i="94" s="1"/>
  <c r="AL1" i="94" s="1"/>
  <c r="AM1" i="94" s="1"/>
  <c r="AN1" i="94" s="1"/>
  <c r="AO1" i="94" s="1"/>
  <c r="AP1" i="94" s="1"/>
  <c r="AQ1" i="94" s="1"/>
  <c r="AR1" i="94" s="1"/>
  <c r="AS1" i="94" s="1"/>
  <c r="AT1" i="94" s="1"/>
  <c r="AU1" i="94" s="1"/>
  <c r="AV1" i="94" s="1"/>
  <c r="AW1" i="94" s="1"/>
  <c r="AX1" i="94" s="1"/>
  <c r="AY1" i="94" s="1"/>
  <c r="AF11" i="93"/>
  <c r="AG11" i="93" s="1"/>
  <c r="AH11" i="93" s="1"/>
  <c r="AI11" i="93" s="1"/>
  <c r="AJ11" i="93" s="1"/>
  <c r="AK11" i="93" s="1"/>
  <c r="AL11" i="93" s="1"/>
  <c r="AM11" i="93" s="1"/>
  <c r="AN11" i="93" s="1"/>
  <c r="AO11" i="93" s="1"/>
  <c r="AP11" i="93" s="1"/>
  <c r="AQ11" i="93" s="1"/>
  <c r="AR11" i="93" s="1"/>
  <c r="AS11" i="93" s="1"/>
  <c r="AT11" i="93" s="1"/>
  <c r="AU11" i="93" s="1"/>
  <c r="AV11" i="93" s="1"/>
  <c r="AW11" i="93" s="1"/>
  <c r="AX11" i="93" s="1"/>
  <c r="AY11" i="93" s="1"/>
  <c r="AF10" i="93"/>
  <c r="AG10" i="93" s="1"/>
  <c r="AH10" i="93" s="1"/>
  <c r="AI10" i="93" s="1"/>
  <c r="AJ10" i="93" s="1"/>
  <c r="AK10" i="93" s="1"/>
  <c r="AL10" i="93" s="1"/>
  <c r="AM10" i="93" s="1"/>
  <c r="AN10" i="93" s="1"/>
  <c r="AO10" i="93" s="1"/>
  <c r="AP10" i="93" s="1"/>
  <c r="AQ10" i="93" s="1"/>
  <c r="AR10" i="93" s="1"/>
  <c r="AS10" i="93" s="1"/>
  <c r="AT10" i="93" s="1"/>
  <c r="AU10" i="93" s="1"/>
  <c r="AV10" i="93" s="1"/>
  <c r="AW10" i="93" s="1"/>
  <c r="AX10" i="93" s="1"/>
  <c r="AY10" i="93" s="1"/>
  <c r="AF9" i="93"/>
  <c r="AG9" i="93" s="1"/>
  <c r="AH9" i="93" s="1"/>
  <c r="AI9" i="93" s="1"/>
  <c r="AJ9" i="93" s="1"/>
  <c r="AK9" i="93" s="1"/>
  <c r="AL9" i="93" s="1"/>
  <c r="AM9" i="93" s="1"/>
  <c r="AN9" i="93" s="1"/>
  <c r="AO9" i="93" s="1"/>
  <c r="AP9" i="93" s="1"/>
  <c r="AQ9" i="93" s="1"/>
  <c r="AR9" i="93" s="1"/>
  <c r="AS9" i="93" s="1"/>
  <c r="AT9" i="93" s="1"/>
  <c r="AU9" i="93" s="1"/>
  <c r="AV9" i="93" s="1"/>
  <c r="AW9" i="93" s="1"/>
  <c r="AX9" i="93" s="1"/>
  <c r="AY9" i="93" s="1"/>
  <c r="AF8" i="93"/>
  <c r="AG8" i="93" s="1"/>
  <c r="AH8" i="93" s="1"/>
  <c r="AI8" i="93" s="1"/>
  <c r="AJ8" i="93" s="1"/>
  <c r="AK8" i="93" s="1"/>
  <c r="AL8" i="93" s="1"/>
  <c r="AM8" i="93" s="1"/>
  <c r="AN8" i="93" s="1"/>
  <c r="AO8" i="93" s="1"/>
  <c r="AP8" i="93" s="1"/>
  <c r="AQ8" i="93" s="1"/>
  <c r="AR8" i="93" s="1"/>
  <c r="AS8" i="93" s="1"/>
  <c r="AT8" i="93" s="1"/>
  <c r="AU8" i="93" s="1"/>
  <c r="AV8" i="93" s="1"/>
  <c r="AW8" i="93" s="1"/>
  <c r="AX8" i="93" s="1"/>
  <c r="AY8" i="93" s="1"/>
  <c r="AF7" i="93"/>
  <c r="AG7" i="93" s="1"/>
  <c r="AH7" i="93" s="1"/>
  <c r="AI7" i="93" s="1"/>
  <c r="AJ7" i="93" s="1"/>
  <c r="AK7" i="93" s="1"/>
  <c r="AL7" i="93" s="1"/>
  <c r="AM7" i="93" s="1"/>
  <c r="AN7" i="93" s="1"/>
  <c r="AO7" i="93" s="1"/>
  <c r="AP7" i="93" s="1"/>
  <c r="AQ7" i="93" s="1"/>
  <c r="AR7" i="93" s="1"/>
  <c r="AS7" i="93" s="1"/>
  <c r="AT7" i="93" s="1"/>
  <c r="AU7" i="93" s="1"/>
  <c r="AV7" i="93" s="1"/>
  <c r="AW7" i="93" s="1"/>
  <c r="AX7" i="93" s="1"/>
  <c r="AY7" i="93" s="1"/>
  <c r="AF6" i="93"/>
  <c r="AG6" i="93" s="1"/>
  <c r="AH6" i="93" s="1"/>
  <c r="AI6" i="93" s="1"/>
  <c r="AJ6" i="93" s="1"/>
  <c r="AK6" i="93" s="1"/>
  <c r="AL6" i="93" s="1"/>
  <c r="AM6" i="93" s="1"/>
  <c r="AN6" i="93" s="1"/>
  <c r="AO6" i="93" s="1"/>
  <c r="AP6" i="93" s="1"/>
  <c r="AQ6" i="93" s="1"/>
  <c r="AR6" i="93" s="1"/>
  <c r="AS6" i="93" s="1"/>
  <c r="AT6" i="93" s="1"/>
  <c r="AU6" i="93" s="1"/>
  <c r="AV6" i="93" s="1"/>
  <c r="AW6" i="93" s="1"/>
  <c r="AX6" i="93" s="1"/>
  <c r="AY6" i="93" s="1"/>
  <c r="AF5" i="93"/>
  <c r="AG5" i="93" s="1"/>
  <c r="AH5" i="93" s="1"/>
  <c r="AI5" i="93" s="1"/>
  <c r="AJ5" i="93" s="1"/>
  <c r="AK5" i="93" s="1"/>
  <c r="AL5" i="93" s="1"/>
  <c r="AM5" i="93" s="1"/>
  <c r="AN5" i="93" s="1"/>
  <c r="AO5" i="93" s="1"/>
  <c r="AP5" i="93" s="1"/>
  <c r="AQ5" i="93" s="1"/>
  <c r="AR5" i="93" s="1"/>
  <c r="AS5" i="93" s="1"/>
  <c r="AT5" i="93" s="1"/>
  <c r="AU5" i="93" s="1"/>
  <c r="AV5" i="93" s="1"/>
  <c r="AW5" i="93" s="1"/>
  <c r="AX5" i="93" s="1"/>
  <c r="AY5" i="93" s="1"/>
  <c r="AF4" i="93"/>
  <c r="AG4" i="93" s="1"/>
  <c r="AH4" i="93" s="1"/>
  <c r="AI4" i="93" s="1"/>
  <c r="AJ4" i="93" s="1"/>
  <c r="AK4" i="93" s="1"/>
  <c r="AL4" i="93" s="1"/>
  <c r="AM4" i="93" s="1"/>
  <c r="AN4" i="93" s="1"/>
  <c r="AO4" i="93" s="1"/>
  <c r="AP4" i="93" s="1"/>
  <c r="AQ4" i="93" s="1"/>
  <c r="AR4" i="93" s="1"/>
  <c r="AS4" i="93" s="1"/>
  <c r="AT4" i="93" s="1"/>
  <c r="AU4" i="93" s="1"/>
  <c r="AV4" i="93" s="1"/>
  <c r="AW4" i="93" s="1"/>
  <c r="AX4" i="93" s="1"/>
  <c r="AY4" i="93" s="1"/>
  <c r="AF3" i="93"/>
  <c r="AG3" i="93" s="1"/>
  <c r="AH3" i="93" s="1"/>
  <c r="AI3" i="93" s="1"/>
  <c r="AJ3" i="93" s="1"/>
  <c r="AK3" i="93" s="1"/>
  <c r="AL3" i="93" s="1"/>
  <c r="AM3" i="93" s="1"/>
  <c r="AN3" i="93" s="1"/>
  <c r="AO3" i="93" s="1"/>
  <c r="AP3" i="93" s="1"/>
  <c r="AQ3" i="93" s="1"/>
  <c r="AR3" i="93" s="1"/>
  <c r="AS3" i="93" s="1"/>
  <c r="AT3" i="93" s="1"/>
  <c r="AU3" i="93" s="1"/>
  <c r="AV3" i="93" s="1"/>
  <c r="AW3" i="93" s="1"/>
  <c r="AX3" i="93" s="1"/>
  <c r="AY3" i="93" s="1"/>
  <c r="AF2" i="93"/>
  <c r="AG2" i="93" s="1"/>
  <c r="AH2" i="93" s="1"/>
  <c r="AI2" i="93" s="1"/>
  <c r="AJ2" i="93" s="1"/>
  <c r="AK2" i="93" s="1"/>
  <c r="AL2" i="93" s="1"/>
  <c r="AM2" i="93" s="1"/>
  <c r="AN2" i="93" s="1"/>
  <c r="AO2" i="93" s="1"/>
  <c r="AP2" i="93" s="1"/>
  <c r="AQ2" i="93" s="1"/>
  <c r="AR2" i="93" s="1"/>
  <c r="AS2" i="93" s="1"/>
  <c r="AT2" i="93" s="1"/>
  <c r="AU2" i="93" s="1"/>
  <c r="AV2" i="93" s="1"/>
  <c r="AW2" i="93" s="1"/>
  <c r="AX2" i="93" s="1"/>
  <c r="AY2" i="93" s="1"/>
  <c r="AF1" i="93"/>
  <c r="AG1" i="93" s="1"/>
  <c r="AH1" i="93" s="1"/>
  <c r="AI1" i="93" s="1"/>
  <c r="AJ1" i="93" s="1"/>
  <c r="AK1" i="93" s="1"/>
  <c r="AL1" i="93" s="1"/>
  <c r="AM1" i="93" s="1"/>
  <c r="AN1" i="93" s="1"/>
  <c r="AO1" i="93" s="1"/>
  <c r="AP1" i="93" s="1"/>
  <c r="AQ1" i="93" s="1"/>
  <c r="AR1" i="93" s="1"/>
  <c r="AS1" i="93" s="1"/>
  <c r="AT1" i="93" s="1"/>
  <c r="AU1" i="93" s="1"/>
  <c r="AV1" i="93" s="1"/>
  <c r="AW1" i="93" s="1"/>
  <c r="AX1" i="93" s="1"/>
  <c r="AY1" i="93" s="1"/>
  <c r="AG11" i="92"/>
  <c r="AH11" i="92" s="1"/>
  <c r="AI11" i="92" s="1"/>
  <c r="AJ11" i="92" s="1"/>
  <c r="AK11" i="92" s="1"/>
  <c r="AL11" i="92" s="1"/>
  <c r="AM11" i="92" s="1"/>
  <c r="AN11" i="92" s="1"/>
  <c r="AO11" i="92" s="1"/>
  <c r="AP11" i="92" s="1"/>
  <c r="AQ11" i="92" s="1"/>
  <c r="AR11" i="92" s="1"/>
  <c r="AS11" i="92" s="1"/>
  <c r="AT11" i="92" s="1"/>
  <c r="AU11" i="92" s="1"/>
  <c r="AV11" i="92" s="1"/>
  <c r="AW11" i="92" s="1"/>
  <c r="AX11" i="92" s="1"/>
  <c r="AY11" i="92" s="1"/>
  <c r="AF11" i="92"/>
  <c r="AF10" i="92"/>
  <c r="AG10" i="92" s="1"/>
  <c r="AH10" i="92" s="1"/>
  <c r="AI10" i="92" s="1"/>
  <c r="AJ10" i="92" s="1"/>
  <c r="AK10" i="92" s="1"/>
  <c r="AL10" i="92" s="1"/>
  <c r="AM10" i="92" s="1"/>
  <c r="AN10" i="92" s="1"/>
  <c r="AO10" i="92" s="1"/>
  <c r="AP10" i="92" s="1"/>
  <c r="AQ10" i="92" s="1"/>
  <c r="AR10" i="92" s="1"/>
  <c r="AS10" i="92" s="1"/>
  <c r="AT10" i="92" s="1"/>
  <c r="AU10" i="92" s="1"/>
  <c r="AV10" i="92" s="1"/>
  <c r="AW10" i="92" s="1"/>
  <c r="AX10" i="92" s="1"/>
  <c r="AY10" i="92" s="1"/>
  <c r="AG9" i="92"/>
  <c r="AH9" i="92" s="1"/>
  <c r="AI9" i="92" s="1"/>
  <c r="AJ9" i="92" s="1"/>
  <c r="AK9" i="92" s="1"/>
  <c r="AL9" i="92" s="1"/>
  <c r="AM9" i="92" s="1"/>
  <c r="AN9" i="92" s="1"/>
  <c r="AO9" i="92" s="1"/>
  <c r="AP9" i="92" s="1"/>
  <c r="AQ9" i="92" s="1"/>
  <c r="AR9" i="92" s="1"/>
  <c r="AS9" i="92" s="1"/>
  <c r="AT9" i="92" s="1"/>
  <c r="AU9" i="92" s="1"/>
  <c r="AV9" i="92" s="1"/>
  <c r="AW9" i="92" s="1"/>
  <c r="AX9" i="92" s="1"/>
  <c r="AY9" i="92" s="1"/>
  <c r="AF9" i="92"/>
  <c r="AF8" i="92"/>
  <c r="AG8" i="92" s="1"/>
  <c r="AH8" i="92" s="1"/>
  <c r="AI8" i="92" s="1"/>
  <c r="AJ8" i="92" s="1"/>
  <c r="AK8" i="92" s="1"/>
  <c r="AL8" i="92" s="1"/>
  <c r="AM8" i="92" s="1"/>
  <c r="AN8" i="92" s="1"/>
  <c r="AO8" i="92" s="1"/>
  <c r="AP8" i="92" s="1"/>
  <c r="AQ8" i="92" s="1"/>
  <c r="AR8" i="92" s="1"/>
  <c r="AS8" i="92" s="1"/>
  <c r="AT8" i="92" s="1"/>
  <c r="AU8" i="92" s="1"/>
  <c r="AV8" i="92" s="1"/>
  <c r="AW8" i="92" s="1"/>
  <c r="AX8" i="92" s="1"/>
  <c r="AY8" i="92" s="1"/>
  <c r="AG7" i="92"/>
  <c r="AH7" i="92" s="1"/>
  <c r="AI7" i="92" s="1"/>
  <c r="AJ7" i="92" s="1"/>
  <c r="AK7" i="92" s="1"/>
  <c r="AL7" i="92" s="1"/>
  <c r="AM7" i="92" s="1"/>
  <c r="AN7" i="92" s="1"/>
  <c r="AO7" i="92" s="1"/>
  <c r="AP7" i="92" s="1"/>
  <c r="AQ7" i="92" s="1"/>
  <c r="AR7" i="92" s="1"/>
  <c r="AS7" i="92" s="1"/>
  <c r="AT7" i="92" s="1"/>
  <c r="AU7" i="92" s="1"/>
  <c r="AV7" i="92" s="1"/>
  <c r="AW7" i="92" s="1"/>
  <c r="AX7" i="92" s="1"/>
  <c r="AY7" i="92" s="1"/>
  <c r="AF7" i="92"/>
  <c r="AF6" i="92"/>
  <c r="AG6" i="92" s="1"/>
  <c r="AH6" i="92" s="1"/>
  <c r="AI6" i="92" s="1"/>
  <c r="AJ6" i="92" s="1"/>
  <c r="AK6" i="92" s="1"/>
  <c r="AL6" i="92" s="1"/>
  <c r="AM6" i="92" s="1"/>
  <c r="AN6" i="92" s="1"/>
  <c r="AO6" i="92" s="1"/>
  <c r="AP6" i="92" s="1"/>
  <c r="AQ6" i="92" s="1"/>
  <c r="AR6" i="92" s="1"/>
  <c r="AS6" i="92" s="1"/>
  <c r="AT6" i="92" s="1"/>
  <c r="AU6" i="92" s="1"/>
  <c r="AV6" i="92" s="1"/>
  <c r="AW6" i="92" s="1"/>
  <c r="AX6" i="92" s="1"/>
  <c r="AY6" i="92" s="1"/>
  <c r="AG5" i="92"/>
  <c r="AH5" i="92" s="1"/>
  <c r="AI5" i="92" s="1"/>
  <c r="AJ5" i="92" s="1"/>
  <c r="AK5" i="92" s="1"/>
  <c r="AL5" i="92" s="1"/>
  <c r="AM5" i="92" s="1"/>
  <c r="AN5" i="92" s="1"/>
  <c r="AO5" i="92" s="1"/>
  <c r="AP5" i="92" s="1"/>
  <c r="AQ5" i="92" s="1"/>
  <c r="AR5" i="92" s="1"/>
  <c r="AS5" i="92" s="1"/>
  <c r="AT5" i="92" s="1"/>
  <c r="AU5" i="92" s="1"/>
  <c r="AV5" i="92" s="1"/>
  <c r="AW5" i="92" s="1"/>
  <c r="AX5" i="92" s="1"/>
  <c r="AY5" i="92" s="1"/>
  <c r="AF5" i="92"/>
  <c r="AF4" i="92"/>
  <c r="AG4" i="92" s="1"/>
  <c r="AH4" i="92" s="1"/>
  <c r="AI4" i="92" s="1"/>
  <c r="AJ4" i="92" s="1"/>
  <c r="AK4" i="92" s="1"/>
  <c r="AL4" i="92" s="1"/>
  <c r="AM4" i="92" s="1"/>
  <c r="AN4" i="92" s="1"/>
  <c r="AO4" i="92" s="1"/>
  <c r="AP4" i="92" s="1"/>
  <c r="AQ4" i="92" s="1"/>
  <c r="AR4" i="92" s="1"/>
  <c r="AS4" i="92" s="1"/>
  <c r="AT4" i="92" s="1"/>
  <c r="AU4" i="92" s="1"/>
  <c r="AV4" i="92" s="1"/>
  <c r="AW4" i="92" s="1"/>
  <c r="AX4" i="92" s="1"/>
  <c r="AY4" i="92" s="1"/>
  <c r="AG3" i="92"/>
  <c r="AH3" i="92" s="1"/>
  <c r="AI3" i="92" s="1"/>
  <c r="AJ3" i="92" s="1"/>
  <c r="AK3" i="92" s="1"/>
  <c r="AL3" i="92" s="1"/>
  <c r="AM3" i="92" s="1"/>
  <c r="AN3" i="92" s="1"/>
  <c r="AO3" i="92" s="1"/>
  <c r="AP3" i="92" s="1"/>
  <c r="AQ3" i="92" s="1"/>
  <c r="AR3" i="92" s="1"/>
  <c r="AS3" i="92" s="1"/>
  <c r="AT3" i="92" s="1"/>
  <c r="AU3" i="92" s="1"/>
  <c r="AV3" i="92" s="1"/>
  <c r="AW3" i="92" s="1"/>
  <c r="AX3" i="92" s="1"/>
  <c r="AY3" i="92" s="1"/>
  <c r="AF3" i="92"/>
  <c r="AF2" i="92"/>
  <c r="AG2" i="92" s="1"/>
  <c r="AH2" i="92" s="1"/>
  <c r="AI2" i="92" s="1"/>
  <c r="AJ2" i="92" s="1"/>
  <c r="AK2" i="92" s="1"/>
  <c r="AL2" i="92" s="1"/>
  <c r="AM2" i="92" s="1"/>
  <c r="AN2" i="92" s="1"/>
  <c r="AO2" i="92" s="1"/>
  <c r="AP2" i="92" s="1"/>
  <c r="AQ2" i="92" s="1"/>
  <c r="AR2" i="92" s="1"/>
  <c r="AS2" i="92" s="1"/>
  <c r="AT2" i="92" s="1"/>
  <c r="AU2" i="92" s="1"/>
  <c r="AV2" i="92" s="1"/>
  <c r="AW2" i="92" s="1"/>
  <c r="AX2" i="92" s="1"/>
  <c r="AY2" i="92" s="1"/>
  <c r="AG1" i="92"/>
  <c r="AH1" i="92" s="1"/>
  <c r="AI1" i="92" s="1"/>
  <c r="AJ1" i="92" s="1"/>
  <c r="AK1" i="92" s="1"/>
  <c r="AL1" i="92" s="1"/>
  <c r="AM1" i="92" s="1"/>
  <c r="AN1" i="92" s="1"/>
  <c r="AO1" i="92" s="1"/>
  <c r="AP1" i="92" s="1"/>
  <c r="AQ1" i="92" s="1"/>
  <c r="AR1" i="92" s="1"/>
  <c r="AS1" i="92" s="1"/>
  <c r="AT1" i="92" s="1"/>
  <c r="AU1" i="92" s="1"/>
  <c r="AV1" i="92" s="1"/>
  <c r="AW1" i="92" s="1"/>
  <c r="AX1" i="92" s="1"/>
  <c r="AY1" i="92" s="1"/>
  <c r="AF1" i="92"/>
  <c r="AF11" i="91"/>
  <c r="AG11" i="91" s="1"/>
  <c r="AH11" i="91" s="1"/>
  <c r="AI11" i="91" s="1"/>
  <c r="AJ11" i="91" s="1"/>
  <c r="AK11" i="91" s="1"/>
  <c r="AL11" i="91" s="1"/>
  <c r="AM11" i="91" s="1"/>
  <c r="AN11" i="91" s="1"/>
  <c r="AO11" i="91" s="1"/>
  <c r="AP11" i="91" s="1"/>
  <c r="AQ11" i="91" s="1"/>
  <c r="AR11" i="91" s="1"/>
  <c r="AS11" i="91" s="1"/>
  <c r="AT11" i="91" s="1"/>
  <c r="AU11" i="91" s="1"/>
  <c r="AV11" i="91" s="1"/>
  <c r="AW11" i="91" s="1"/>
  <c r="AX11" i="91" s="1"/>
  <c r="AY11" i="91" s="1"/>
  <c r="AF10" i="91"/>
  <c r="AG10" i="91" s="1"/>
  <c r="AH10" i="91" s="1"/>
  <c r="AI10" i="91" s="1"/>
  <c r="AJ10" i="91" s="1"/>
  <c r="AK10" i="91" s="1"/>
  <c r="AL10" i="91" s="1"/>
  <c r="AM10" i="91" s="1"/>
  <c r="AN10" i="91" s="1"/>
  <c r="AO10" i="91" s="1"/>
  <c r="AP10" i="91" s="1"/>
  <c r="AQ10" i="91" s="1"/>
  <c r="AR10" i="91" s="1"/>
  <c r="AS10" i="91" s="1"/>
  <c r="AT10" i="91" s="1"/>
  <c r="AU10" i="91" s="1"/>
  <c r="AV10" i="91" s="1"/>
  <c r="AW10" i="91" s="1"/>
  <c r="AX10" i="91" s="1"/>
  <c r="AY10" i="91" s="1"/>
  <c r="AF9" i="91"/>
  <c r="AG9" i="91" s="1"/>
  <c r="AH9" i="91" s="1"/>
  <c r="AI9" i="91" s="1"/>
  <c r="AJ9" i="91" s="1"/>
  <c r="AK9" i="91" s="1"/>
  <c r="AL9" i="91" s="1"/>
  <c r="AM9" i="91" s="1"/>
  <c r="AN9" i="91" s="1"/>
  <c r="AO9" i="91" s="1"/>
  <c r="AP9" i="91" s="1"/>
  <c r="AQ9" i="91" s="1"/>
  <c r="AR9" i="91" s="1"/>
  <c r="AS9" i="91" s="1"/>
  <c r="AT9" i="91" s="1"/>
  <c r="AU9" i="91" s="1"/>
  <c r="AV9" i="91" s="1"/>
  <c r="AW9" i="91" s="1"/>
  <c r="AX9" i="91" s="1"/>
  <c r="AY9" i="91" s="1"/>
  <c r="AF8" i="91"/>
  <c r="AG8" i="91" s="1"/>
  <c r="AH8" i="91" s="1"/>
  <c r="AI8" i="91" s="1"/>
  <c r="AJ8" i="91" s="1"/>
  <c r="AK8" i="91" s="1"/>
  <c r="AL8" i="91" s="1"/>
  <c r="AM8" i="91" s="1"/>
  <c r="AN8" i="91" s="1"/>
  <c r="AO8" i="91" s="1"/>
  <c r="AP8" i="91" s="1"/>
  <c r="AQ8" i="91" s="1"/>
  <c r="AR8" i="91" s="1"/>
  <c r="AS8" i="91" s="1"/>
  <c r="AT8" i="91" s="1"/>
  <c r="AU8" i="91" s="1"/>
  <c r="AV8" i="91" s="1"/>
  <c r="AW8" i="91" s="1"/>
  <c r="AX8" i="91" s="1"/>
  <c r="AY8" i="91" s="1"/>
  <c r="AF7" i="91"/>
  <c r="AG7" i="91" s="1"/>
  <c r="AH7" i="91" s="1"/>
  <c r="AI7" i="91" s="1"/>
  <c r="AJ7" i="91" s="1"/>
  <c r="AK7" i="91" s="1"/>
  <c r="AL7" i="91" s="1"/>
  <c r="AM7" i="91" s="1"/>
  <c r="AN7" i="91" s="1"/>
  <c r="AO7" i="91" s="1"/>
  <c r="AP7" i="91" s="1"/>
  <c r="AQ7" i="91" s="1"/>
  <c r="AR7" i="91" s="1"/>
  <c r="AS7" i="91" s="1"/>
  <c r="AT7" i="91" s="1"/>
  <c r="AU7" i="91" s="1"/>
  <c r="AV7" i="91" s="1"/>
  <c r="AW7" i="91" s="1"/>
  <c r="AX7" i="91" s="1"/>
  <c r="AY7" i="91" s="1"/>
  <c r="AF6" i="91"/>
  <c r="AG6" i="91" s="1"/>
  <c r="AH6" i="91" s="1"/>
  <c r="AI6" i="91" s="1"/>
  <c r="AJ6" i="91" s="1"/>
  <c r="AK6" i="91" s="1"/>
  <c r="AL6" i="91" s="1"/>
  <c r="AM6" i="91" s="1"/>
  <c r="AN6" i="91" s="1"/>
  <c r="AO6" i="91" s="1"/>
  <c r="AP6" i="91" s="1"/>
  <c r="AQ6" i="91" s="1"/>
  <c r="AR6" i="91" s="1"/>
  <c r="AS6" i="91" s="1"/>
  <c r="AT6" i="91" s="1"/>
  <c r="AU6" i="91" s="1"/>
  <c r="AV6" i="91" s="1"/>
  <c r="AW6" i="91" s="1"/>
  <c r="AX6" i="91" s="1"/>
  <c r="AY6" i="91" s="1"/>
  <c r="AF5" i="91"/>
  <c r="AG5" i="91" s="1"/>
  <c r="AH5" i="91" s="1"/>
  <c r="AI5" i="91" s="1"/>
  <c r="AJ5" i="91" s="1"/>
  <c r="AK5" i="91" s="1"/>
  <c r="AL5" i="91" s="1"/>
  <c r="AM5" i="91" s="1"/>
  <c r="AN5" i="91" s="1"/>
  <c r="AO5" i="91" s="1"/>
  <c r="AP5" i="91" s="1"/>
  <c r="AQ5" i="91" s="1"/>
  <c r="AR5" i="91" s="1"/>
  <c r="AS5" i="91" s="1"/>
  <c r="AT5" i="91" s="1"/>
  <c r="AU5" i="91" s="1"/>
  <c r="AV5" i="91" s="1"/>
  <c r="AW5" i="91" s="1"/>
  <c r="AX5" i="91" s="1"/>
  <c r="AY5" i="91" s="1"/>
  <c r="AF4" i="91"/>
  <c r="AG4" i="91" s="1"/>
  <c r="AH4" i="91" s="1"/>
  <c r="AI4" i="91" s="1"/>
  <c r="AJ4" i="91" s="1"/>
  <c r="AK4" i="91" s="1"/>
  <c r="AL4" i="91" s="1"/>
  <c r="AM4" i="91" s="1"/>
  <c r="AN4" i="91" s="1"/>
  <c r="AO4" i="91" s="1"/>
  <c r="AP4" i="91" s="1"/>
  <c r="AQ4" i="91" s="1"/>
  <c r="AR4" i="91" s="1"/>
  <c r="AS4" i="91" s="1"/>
  <c r="AT4" i="91" s="1"/>
  <c r="AU4" i="91" s="1"/>
  <c r="AV4" i="91" s="1"/>
  <c r="AW4" i="91" s="1"/>
  <c r="AX4" i="91" s="1"/>
  <c r="AY4" i="91" s="1"/>
  <c r="AF3" i="91"/>
  <c r="AG3" i="91" s="1"/>
  <c r="AH3" i="91" s="1"/>
  <c r="AI3" i="91" s="1"/>
  <c r="AJ3" i="91" s="1"/>
  <c r="AK3" i="91" s="1"/>
  <c r="AL3" i="91" s="1"/>
  <c r="AM3" i="91" s="1"/>
  <c r="AN3" i="91" s="1"/>
  <c r="AO3" i="91" s="1"/>
  <c r="AP3" i="91" s="1"/>
  <c r="AQ3" i="91" s="1"/>
  <c r="AR3" i="91" s="1"/>
  <c r="AS3" i="91" s="1"/>
  <c r="AT3" i="91" s="1"/>
  <c r="AU3" i="91" s="1"/>
  <c r="AV3" i="91" s="1"/>
  <c r="AW3" i="91" s="1"/>
  <c r="AX3" i="91" s="1"/>
  <c r="AY3" i="91" s="1"/>
  <c r="AF2" i="91"/>
  <c r="AG2" i="91" s="1"/>
  <c r="AH2" i="91" s="1"/>
  <c r="AI2" i="91" s="1"/>
  <c r="AJ2" i="91" s="1"/>
  <c r="AK2" i="91" s="1"/>
  <c r="AL2" i="91" s="1"/>
  <c r="AM2" i="91" s="1"/>
  <c r="AN2" i="91" s="1"/>
  <c r="AO2" i="91" s="1"/>
  <c r="AP2" i="91" s="1"/>
  <c r="AQ2" i="91" s="1"/>
  <c r="AR2" i="91" s="1"/>
  <c r="AS2" i="91" s="1"/>
  <c r="AT2" i="91" s="1"/>
  <c r="AU2" i="91" s="1"/>
  <c r="AV2" i="91" s="1"/>
  <c r="AW2" i="91" s="1"/>
  <c r="AX2" i="91" s="1"/>
  <c r="AY2" i="91" s="1"/>
  <c r="AF1" i="91"/>
  <c r="AG1" i="91" s="1"/>
  <c r="AH1" i="91" s="1"/>
  <c r="AI1" i="91" s="1"/>
  <c r="AJ1" i="91" s="1"/>
  <c r="AK1" i="91" s="1"/>
  <c r="AL1" i="91" s="1"/>
  <c r="AM1" i="91" s="1"/>
  <c r="AN1" i="91" s="1"/>
  <c r="AO1" i="91" s="1"/>
  <c r="AP1" i="91" s="1"/>
  <c r="AQ1" i="91" s="1"/>
  <c r="AR1" i="91" s="1"/>
  <c r="AS1" i="91" s="1"/>
  <c r="AT1" i="91" s="1"/>
  <c r="AU1" i="91" s="1"/>
  <c r="AV1" i="91" s="1"/>
  <c r="AW1" i="91" s="1"/>
  <c r="AX1" i="91" s="1"/>
  <c r="AY1" i="91" s="1"/>
  <c r="AF11" i="90"/>
  <c r="AG11" i="90" s="1"/>
  <c r="AH11" i="90" s="1"/>
  <c r="AI11" i="90" s="1"/>
  <c r="AJ11" i="90" s="1"/>
  <c r="AK11" i="90" s="1"/>
  <c r="AL11" i="90" s="1"/>
  <c r="AM11" i="90" s="1"/>
  <c r="AN11" i="90" s="1"/>
  <c r="AO11" i="90" s="1"/>
  <c r="AP11" i="90" s="1"/>
  <c r="AQ11" i="90" s="1"/>
  <c r="AR11" i="90" s="1"/>
  <c r="AS11" i="90" s="1"/>
  <c r="AT11" i="90" s="1"/>
  <c r="AU11" i="90" s="1"/>
  <c r="AV11" i="90" s="1"/>
  <c r="AW11" i="90" s="1"/>
  <c r="AX11" i="90" s="1"/>
  <c r="AY11" i="90" s="1"/>
  <c r="AF10" i="90"/>
  <c r="AG10" i="90" s="1"/>
  <c r="AH10" i="90" s="1"/>
  <c r="AI10" i="90" s="1"/>
  <c r="AJ10" i="90" s="1"/>
  <c r="AK10" i="90" s="1"/>
  <c r="AL10" i="90" s="1"/>
  <c r="AM10" i="90" s="1"/>
  <c r="AN10" i="90" s="1"/>
  <c r="AO10" i="90" s="1"/>
  <c r="AP10" i="90" s="1"/>
  <c r="AQ10" i="90" s="1"/>
  <c r="AR10" i="90" s="1"/>
  <c r="AS10" i="90" s="1"/>
  <c r="AT10" i="90" s="1"/>
  <c r="AU10" i="90" s="1"/>
  <c r="AV10" i="90" s="1"/>
  <c r="AW10" i="90" s="1"/>
  <c r="AX10" i="90" s="1"/>
  <c r="AY10" i="90" s="1"/>
  <c r="AF9" i="90"/>
  <c r="AG9" i="90" s="1"/>
  <c r="AH9" i="90" s="1"/>
  <c r="AI9" i="90" s="1"/>
  <c r="AJ9" i="90" s="1"/>
  <c r="AK9" i="90" s="1"/>
  <c r="AL9" i="90" s="1"/>
  <c r="AM9" i="90" s="1"/>
  <c r="AN9" i="90" s="1"/>
  <c r="AO9" i="90" s="1"/>
  <c r="AP9" i="90" s="1"/>
  <c r="AQ9" i="90" s="1"/>
  <c r="AR9" i="90" s="1"/>
  <c r="AS9" i="90" s="1"/>
  <c r="AT9" i="90" s="1"/>
  <c r="AU9" i="90" s="1"/>
  <c r="AV9" i="90" s="1"/>
  <c r="AW9" i="90" s="1"/>
  <c r="AX9" i="90" s="1"/>
  <c r="AY9" i="90" s="1"/>
  <c r="AF8" i="90"/>
  <c r="AG8" i="90" s="1"/>
  <c r="AH8" i="90" s="1"/>
  <c r="AI8" i="90" s="1"/>
  <c r="AJ8" i="90" s="1"/>
  <c r="AK8" i="90" s="1"/>
  <c r="AL8" i="90" s="1"/>
  <c r="AM8" i="90" s="1"/>
  <c r="AN8" i="90" s="1"/>
  <c r="AO8" i="90" s="1"/>
  <c r="AP8" i="90" s="1"/>
  <c r="AQ8" i="90" s="1"/>
  <c r="AR8" i="90" s="1"/>
  <c r="AS8" i="90" s="1"/>
  <c r="AT8" i="90" s="1"/>
  <c r="AU8" i="90" s="1"/>
  <c r="AV8" i="90" s="1"/>
  <c r="AW8" i="90" s="1"/>
  <c r="AX8" i="90" s="1"/>
  <c r="AY8" i="90" s="1"/>
  <c r="AF7" i="90"/>
  <c r="AG7" i="90" s="1"/>
  <c r="AH7" i="90" s="1"/>
  <c r="AI7" i="90" s="1"/>
  <c r="AJ7" i="90" s="1"/>
  <c r="AK7" i="90" s="1"/>
  <c r="AL7" i="90" s="1"/>
  <c r="AM7" i="90" s="1"/>
  <c r="AN7" i="90" s="1"/>
  <c r="AO7" i="90" s="1"/>
  <c r="AP7" i="90" s="1"/>
  <c r="AQ7" i="90" s="1"/>
  <c r="AR7" i="90" s="1"/>
  <c r="AS7" i="90" s="1"/>
  <c r="AT7" i="90" s="1"/>
  <c r="AU7" i="90" s="1"/>
  <c r="AV7" i="90" s="1"/>
  <c r="AW7" i="90" s="1"/>
  <c r="AX7" i="90" s="1"/>
  <c r="AY7" i="90" s="1"/>
  <c r="AF6" i="90"/>
  <c r="AG6" i="90" s="1"/>
  <c r="AH6" i="90" s="1"/>
  <c r="AI6" i="90" s="1"/>
  <c r="AJ6" i="90" s="1"/>
  <c r="AK6" i="90" s="1"/>
  <c r="AL6" i="90" s="1"/>
  <c r="AM6" i="90" s="1"/>
  <c r="AN6" i="90" s="1"/>
  <c r="AO6" i="90" s="1"/>
  <c r="AP6" i="90" s="1"/>
  <c r="AQ6" i="90" s="1"/>
  <c r="AR6" i="90" s="1"/>
  <c r="AS6" i="90" s="1"/>
  <c r="AT6" i="90" s="1"/>
  <c r="AU6" i="90" s="1"/>
  <c r="AV6" i="90" s="1"/>
  <c r="AW6" i="90" s="1"/>
  <c r="AX6" i="90" s="1"/>
  <c r="AY6" i="90" s="1"/>
  <c r="AF5" i="90"/>
  <c r="AG5" i="90" s="1"/>
  <c r="AH5" i="90" s="1"/>
  <c r="AI5" i="90" s="1"/>
  <c r="AJ5" i="90" s="1"/>
  <c r="AK5" i="90" s="1"/>
  <c r="AL5" i="90" s="1"/>
  <c r="AM5" i="90" s="1"/>
  <c r="AN5" i="90" s="1"/>
  <c r="AO5" i="90" s="1"/>
  <c r="AP5" i="90" s="1"/>
  <c r="AQ5" i="90" s="1"/>
  <c r="AR5" i="90" s="1"/>
  <c r="AS5" i="90" s="1"/>
  <c r="AT5" i="90" s="1"/>
  <c r="AU5" i="90" s="1"/>
  <c r="AV5" i="90" s="1"/>
  <c r="AW5" i="90" s="1"/>
  <c r="AX5" i="90" s="1"/>
  <c r="AY5" i="90" s="1"/>
  <c r="AF4" i="90"/>
  <c r="AG4" i="90" s="1"/>
  <c r="AH4" i="90" s="1"/>
  <c r="AI4" i="90" s="1"/>
  <c r="AJ4" i="90" s="1"/>
  <c r="AK4" i="90" s="1"/>
  <c r="AL4" i="90" s="1"/>
  <c r="AM4" i="90" s="1"/>
  <c r="AN4" i="90" s="1"/>
  <c r="AO4" i="90" s="1"/>
  <c r="AP4" i="90" s="1"/>
  <c r="AQ4" i="90" s="1"/>
  <c r="AR4" i="90" s="1"/>
  <c r="AS4" i="90" s="1"/>
  <c r="AT4" i="90" s="1"/>
  <c r="AU4" i="90" s="1"/>
  <c r="AV4" i="90" s="1"/>
  <c r="AW4" i="90" s="1"/>
  <c r="AX4" i="90" s="1"/>
  <c r="AY4" i="90" s="1"/>
  <c r="AF3" i="90"/>
  <c r="AG3" i="90" s="1"/>
  <c r="AH3" i="90" s="1"/>
  <c r="AI3" i="90" s="1"/>
  <c r="AJ3" i="90" s="1"/>
  <c r="AK3" i="90" s="1"/>
  <c r="AL3" i="90" s="1"/>
  <c r="AM3" i="90" s="1"/>
  <c r="AN3" i="90" s="1"/>
  <c r="AO3" i="90" s="1"/>
  <c r="AP3" i="90" s="1"/>
  <c r="AQ3" i="90" s="1"/>
  <c r="AR3" i="90" s="1"/>
  <c r="AS3" i="90" s="1"/>
  <c r="AT3" i="90" s="1"/>
  <c r="AU3" i="90" s="1"/>
  <c r="AV3" i="90" s="1"/>
  <c r="AW3" i="90" s="1"/>
  <c r="AX3" i="90" s="1"/>
  <c r="AY3" i="90" s="1"/>
  <c r="AF2" i="90"/>
  <c r="AG2" i="90" s="1"/>
  <c r="AH2" i="90" s="1"/>
  <c r="AI2" i="90" s="1"/>
  <c r="AJ2" i="90" s="1"/>
  <c r="AK2" i="90" s="1"/>
  <c r="AL2" i="90" s="1"/>
  <c r="AM2" i="90" s="1"/>
  <c r="AN2" i="90" s="1"/>
  <c r="AO2" i="90" s="1"/>
  <c r="AP2" i="90" s="1"/>
  <c r="AQ2" i="90" s="1"/>
  <c r="AR2" i="90" s="1"/>
  <c r="AS2" i="90" s="1"/>
  <c r="AT2" i="90" s="1"/>
  <c r="AU2" i="90" s="1"/>
  <c r="AV2" i="90" s="1"/>
  <c r="AW2" i="90" s="1"/>
  <c r="AX2" i="90" s="1"/>
  <c r="AY2" i="90" s="1"/>
  <c r="AF1" i="90"/>
  <c r="AG1" i="90" s="1"/>
  <c r="AH1" i="90" s="1"/>
  <c r="AI1" i="90" s="1"/>
  <c r="AJ1" i="90" s="1"/>
  <c r="AK1" i="90" s="1"/>
  <c r="AL1" i="90" s="1"/>
  <c r="AM1" i="90" s="1"/>
  <c r="AN1" i="90" s="1"/>
  <c r="AO1" i="90" s="1"/>
  <c r="AP1" i="90" s="1"/>
  <c r="AQ1" i="90" s="1"/>
  <c r="AR1" i="90" s="1"/>
  <c r="AS1" i="90" s="1"/>
  <c r="AT1" i="90" s="1"/>
  <c r="AU1" i="90" s="1"/>
  <c r="AV1" i="90" s="1"/>
  <c r="AW1" i="90" s="1"/>
  <c r="AX1" i="90" s="1"/>
  <c r="AY1" i="90" s="1"/>
  <c r="AF11" i="89"/>
  <c r="AG11" i="89" s="1"/>
  <c r="AH11" i="89" s="1"/>
  <c r="AI11" i="89" s="1"/>
  <c r="AJ11" i="89" s="1"/>
  <c r="AK11" i="89" s="1"/>
  <c r="AL11" i="89" s="1"/>
  <c r="AM11" i="89" s="1"/>
  <c r="AN11" i="89" s="1"/>
  <c r="AO11" i="89" s="1"/>
  <c r="AP11" i="89" s="1"/>
  <c r="AQ11" i="89" s="1"/>
  <c r="AR11" i="89" s="1"/>
  <c r="AS11" i="89" s="1"/>
  <c r="AT11" i="89" s="1"/>
  <c r="AU11" i="89" s="1"/>
  <c r="AV11" i="89" s="1"/>
  <c r="AW11" i="89" s="1"/>
  <c r="AX11" i="89" s="1"/>
  <c r="AY11" i="89" s="1"/>
  <c r="AF10" i="89"/>
  <c r="AG10" i="89" s="1"/>
  <c r="AH10" i="89" s="1"/>
  <c r="AI10" i="89" s="1"/>
  <c r="AJ10" i="89" s="1"/>
  <c r="AK10" i="89" s="1"/>
  <c r="AL10" i="89" s="1"/>
  <c r="AM10" i="89" s="1"/>
  <c r="AN10" i="89" s="1"/>
  <c r="AO10" i="89" s="1"/>
  <c r="AP10" i="89" s="1"/>
  <c r="AQ10" i="89" s="1"/>
  <c r="AR10" i="89" s="1"/>
  <c r="AS10" i="89" s="1"/>
  <c r="AT10" i="89" s="1"/>
  <c r="AU10" i="89" s="1"/>
  <c r="AV10" i="89" s="1"/>
  <c r="AW10" i="89" s="1"/>
  <c r="AX10" i="89" s="1"/>
  <c r="AY10" i="89" s="1"/>
  <c r="AF9" i="89"/>
  <c r="AG9" i="89" s="1"/>
  <c r="AH9" i="89" s="1"/>
  <c r="AI9" i="89" s="1"/>
  <c r="AJ9" i="89" s="1"/>
  <c r="AK9" i="89" s="1"/>
  <c r="AL9" i="89" s="1"/>
  <c r="AM9" i="89" s="1"/>
  <c r="AN9" i="89" s="1"/>
  <c r="AO9" i="89" s="1"/>
  <c r="AP9" i="89" s="1"/>
  <c r="AQ9" i="89" s="1"/>
  <c r="AR9" i="89" s="1"/>
  <c r="AS9" i="89" s="1"/>
  <c r="AT9" i="89" s="1"/>
  <c r="AU9" i="89" s="1"/>
  <c r="AV9" i="89" s="1"/>
  <c r="AW9" i="89" s="1"/>
  <c r="AX9" i="89" s="1"/>
  <c r="AY9" i="89" s="1"/>
  <c r="AF8" i="89"/>
  <c r="AG8" i="89" s="1"/>
  <c r="AH8" i="89" s="1"/>
  <c r="AI8" i="89" s="1"/>
  <c r="AJ8" i="89" s="1"/>
  <c r="AK8" i="89" s="1"/>
  <c r="AL8" i="89" s="1"/>
  <c r="AM8" i="89" s="1"/>
  <c r="AN8" i="89" s="1"/>
  <c r="AO8" i="89" s="1"/>
  <c r="AP8" i="89" s="1"/>
  <c r="AQ8" i="89" s="1"/>
  <c r="AR8" i="89" s="1"/>
  <c r="AS8" i="89" s="1"/>
  <c r="AT8" i="89" s="1"/>
  <c r="AU8" i="89" s="1"/>
  <c r="AV8" i="89" s="1"/>
  <c r="AW8" i="89" s="1"/>
  <c r="AX8" i="89" s="1"/>
  <c r="AY8" i="89" s="1"/>
  <c r="AF7" i="89"/>
  <c r="AG7" i="89" s="1"/>
  <c r="AH7" i="89" s="1"/>
  <c r="AI7" i="89" s="1"/>
  <c r="AJ7" i="89" s="1"/>
  <c r="AK7" i="89" s="1"/>
  <c r="AL7" i="89" s="1"/>
  <c r="AM7" i="89" s="1"/>
  <c r="AN7" i="89" s="1"/>
  <c r="AO7" i="89" s="1"/>
  <c r="AP7" i="89" s="1"/>
  <c r="AQ7" i="89" s="1"/>
  <c r="AR7" i="89" s="1"/>
  <c r="AS7" i="89" s="1"/>
  <c r="AT7" i="89" s="1"/>
  <c r="AU7" i="89" s="1"/>
  <c r="AV7" i="89" s="1"/>
  <c r="AW7" i="89" s="1"/>
  <c r="AX7" i="89" s="1"/>
  <c r="AY7" i="89" s="1"/>
  <c r="AF6" i="89"/>
  <c r="AG6" i="89" s="1"/>
  <c r="AH6" i="89" s="1"/>
  <c r="AI6" i="89" s="1"/>
  <c r="AJ6" i="89" s="1"/>
  <c r="AK6" i="89" s="1"/>
  <c r="AL6" i="89" s="1"/>
  <c r="AM6" i="89" s="1"/>
  <c r="AN6" i="89" s="1"/>
  <c r="AO6" i="89" s="1"/>
  <c r="AP6" i="89" s="1"/>
  <c r="AQ6" i="89" s="1"/>
  <c r="AR6" i="89" s="1"/>
  <c r="AS6" i="89" s="1"/>
  <c r="AT6" i="89" s="1"/>
  <c r="AU6" i="89" s="1"/>
  <c r="AV6" i="89" s="1"/>
  <c r="AW6" i="89" s="1"/>
  <c r="AX6" i="89" s="1"/>
  <c r="AY6" i="89" s="1"/>
  <c r="AF5" i="89"/>
  <c r="AG5" i="89" s="1"/>
  <c r="AH5" i="89" s="1"/>
  <c r="AI5" i="89" s="1"/>
  <c r="AJ5" i="89" s="1"/>
  <c r="AK5" i="89" s="1"/>
  <c r="AL5" i="89" s="1"/>
  <c r="AM5" i="89" s="1"/>
  <c r="AN5" i="89" s="1"/>
  <c r="AO5" i="89" s="1"/>
  <c r="AP5" i="89" s="1"/>
  <c r="AQ5" i="89" s="1"/>
  <c r="AR5" i="89" s="1"/>
  <c r="AS5" i="89" s="1"/>
  <c r="AT5" i="89" s="1"/>
  <c r="AU5" i="89" s="1"/>
  <c r="AV5" i="89" s="1"/>
  <c r="AW5" i="89" s="1"/>
  <c r="AX5" i="89" s="1"/>
  <c r="AY5" i="89" s="1"/>
  <c r="AF4" i="89"/>
  <c r="AG4" i="89" s="1"/>
  <c r="AH4" i="89" s="1"/>
  <c r="AI4" i="89" s="1"/>
  <c r="AJ4" i="89" s="1"/>
  <c r="AK4" i="89" s="1"/>
  <c r="AL4" i="89" s="1"/>
  <c r="AM4" i="89" s="1"/>
  <c r="AN4" i="89" s="1"/>
  <c r="AO4" i="89" s="1"/>
  <c r="AP4" i="89" s="1"/>
  <c r="AQ4" i="89" s="1"/>
  <c r="AR4" i="89" s="1"/>
  <c r="AS4" i="89" s="1"/>
  <c r="AT4" i="89" s="1"/>
  <c r="AU4" i="89" s="1"/>
  <c r="AV4" i="89" s="1"/>
  <c r="AW4" i="89" s="1"/>
  <c r="AX4" i="89" s="1"/>
  <c r="AY4" i="89" s="1"/>
  <c r="AF3" i="89"/>
  <c r="AG3" i="89" s="1"/>
  <c r="AH3" i="89" s="1"/>
  <c r="AI3" i="89" s="1"/>
  <c r="AJ3" i="89" s="1"/>
  <c r="AK3" i="89" s="1"/>
  <c r="AL3" i="89" s="1"/>
  <c r="AM3" i="89" s="1"/>
  <c r="AN3" i="89" s="1"/>
  <c r="AO3" i="89" s="1"/>
  <c r="AP3" i="89" s="1"/>
  <c r="AQ3" i="89" s="1"/>
  <c r="AR3" i="89" s="1"/>
  <c r="AS3" i="89" s="1"/>
  <c r="AT3" i="89" s="1"/>
  <c r="AU3" i="89" s="1"/>
  <c r="AV3" i="89" s="1"/>
  <c r="AW3" i="89" s="1"/>
  <c r="AX3" i="89" s="1"/>
  <c r="AY3" i="89" s="1"/>
  <c r="AF2" i="89"/>
  <c r="AG2" i="89" s="1"/>
  <c r="AH2" i="89" s="1"/>
  <c r="AI2" i="89" s="1"/>
  <c r="AJ2" i="89" s="1"/>
  <c r="AK2" i="89" s="1"/>
  <c r="AL2" i="89" s="1"/>
  <c r="AM2" i="89" s="1"/>
  <c r="AN2" i="89" s="1"/>
  <c r="AO2" i="89" s="1"/>
  <c r="AP2" i="89" s="1"/>
  <c r="AQ2" i="89" s="1"/>
  <c r="AR2" i="89" s="1"/>
  <c r="AS2" i="89" s="1"/>
  <c r="AT2" i="89" s="1"/>
  <c r="AU2" i="89" s="1"/>
  <c r="AV2" i="89" s="1"/>
  <c r="AW2" i="89" s="1"/>
  <c r="AX2" i="89" s="1"/>
  <c r="AY2" i="89" s="1"/>
  <c r="AF1" i="89"/>
  <c r="AG1" i="89" s="1"/>
  <c r="AH1" i="89" s="1"/>
  <c r="AI1" i="89" s="1"/>
  <c r="AJ1" i="89" s="1"/>
  <c r="AK1" i="89" s="1"/>
  <c r="AL1" i="89" s="1"/>
  <c r="AM1" i="89" s="1"/>
  <c r="AN1" i="89" s="1"/>
  <c r="AO1" i="89" s="1"/>
  <c r="AP1" i="89" s="1"/>
  <c r="AQ1" i="89" s="1"/>
  <c r="AR1" i="89" s="1"/>
  <c r="AS1" i="89" s="1"/>
  <c r="AT1" i="89" s="1"/>
  <c r="AU1" i="89" s="1"/>
  <c r="AV1" i="89" s="1"/>
  <c r="AW1" i="89" s="1"/>
  <c r="AX1" i="89" s="1"/>
  <c r="AY1" i="89" s="1"/>
  <c r="AF11" i="88"/>
  <c r="AG11" i="88" s="1"/>
  <c r="AH11" i="88" s="1"/>
  <c r="AI11" i="88" s="1"/>
  <c r="AJ11" i="88" s="1"/>
  <c r="AK11" i="88" s="1"/>
  <c r="AL11" i="88" s="1"/>
  <c r="AM11" i="88" s="1"/>
  <c r="AN11" i="88" s="1"/>
  <c r="AO11" i="88" s="1"/>
  <c r="AP11" i="88" s="1"/>
  <c r="AQ11" i="88" s="1"/>
  <c r="AR11" i="88" s="1"/>
  <c r="AS11" i="88" s="1"/>
  <c r="AT11" i="88" s="1"/>
  <c r="AU11" i="88" s="1"/>
  <c r="AV11" i="88" s="1"/>
  <c r="AW11" i="88" s="1"/>
  <c r="AX11" i="88" s="1"/>
  <c r="AY11" i="88" s="1"/>
  <c r="AF10" i="88"/>
  <c r="AG10" i="88" s="1"/>
  <c r="AH10" i="88" s="1"/>
  <c r="AI10" i="88" s="1"/>
  <c r="AJ10" i="88" s="1"/>
  <c r="AK10" i="88" s="1"/>
  <c r="AL10" i="88" s="1"/>
  <c r="AM10" i="88" s="1"/>
  <c r="AN10" i="88" s="1"/>
  <c r="AO10" i="88" s="1"/>
  <c r="AP10" i="88" s="1"/>
  <c r="AQ10" i="88" s="1"/>
  <c r="AR10" i="88" s="1"/>
  <c r="AS10" i="88" s="1"/>
  <c r="AT10" i="88" s="1"/>
  <c r="AU10" i="88" s="1"/>
  <c r="AV10" i="88" s="1"/>
  <c r="AW10" i="88" s="1"/>
  <c r="AX10" i="88" s="1"/>
  <c r="AY10" i="88" s="1"/>
  <c r="AF9" i="88"/>
  <c r="AG9" i="88" s="1"/>
  <c r="AH9" i="88" s="1"/>
  <c r="AI9" i="88" s="1"/>
  <c r="AJ9" i="88" s="1"/>
  <c r="AK9" i="88" s="1"/>
  <c r="AL9" i="88" s="1"/>
  <c r="AM9" i="88" s="1"/>
  <c r="AN9" i="88" s="1"/>
  <c r="AO9" i="88" s="1"/>
  <c r="AP9" i="88" s="1"/>
  <c r="AQ9" i="88" s="1"/>
  <c r="AR9" i="88" s="1"/>
  <c r="AS9" i="88" s="1"/>
  <c r="AT9" i="88" s="1"/>
  <c r="AU9" i="88" s="1"/>
  <c r="AV9" i="88" s="1"/>
  <c r="AW9" i="88" s="1"/>
  <c r="AX9" i="88" s="1"/>
  <c r="AY9" i="88" s="1"/>
  <c r="AF8" i="88"/>
  <c r="AG8" i="88" s="1"/>
  <c r="AH8" i="88" s="1"/>
  <c r="AI8" i="88" s="1"/>
  <c r="AJ8" i="88" s="1"/>
  <c r="AK8" i="88" s="1"/>
  <c r="AL8" i="88" s="1"/>
  <c r="AM8" i="88" s="1"/>
  <c r="AN8" i="88" s="1"/>
  <c r="AO8" i="88" s="1"/>
  <c r="AP8" i="88" s="1"/>
  <c r="AQ8" i="88" s="1"/>
  <c r="AR8" i="88" s="1"/>
  <c r="AS8" i="88" s="1"/>
  <c r="AT8" i="88" s="1"/>
  <c r="AU8" i="88" s="1"/>
  <c r="AV8" i="88" s="1"/>
  <c r="AW8" i="88" s="1"/>
  <c r="AX8" i="88" s="1"/>
  <c r="AY8" i="88" s="1"/>
  <c r="AF7" i="88"/>
  <c r="AG7" i="88" s="1"/>
  <c r="AH7" i="88" s="1"/>
  <c r="AI7" i="88" s="1"/>
  <c r="AJ7" i="88" s="1"/>
  <c r="AK7" i="88" s="1"/>
  <c r="AL7" i="88" s="1"/>
  <c r="AM7" i="88" s="1"/>
  <c r="AN7" i="88" s="1"/>
  <c r="AO7" i="88" s="1"/>
  <c r="AP7" i="88" s="1"/>
  <c r="AQ7" i="88" s="1"/>
  <c r="AR7" i="88" s="1"/>
  <c r="AS7" i="88" s="1"/>
  <c r="AT7" i="88" s="1"/>
  <c r="AU7" i="88" s="1"/>
  <c r="AV7" i="88" s="1"/>
  <c r="AW7" i="88" s="1"/>
  <c r="AX7" i="88" s="1"/>
  <c r="AY7" i="88" s="1"/>
  <c r="AF6" i="88"/>
  <c r="AG6" i="88" s="1"/>
  <c r="AH6" i="88" s="1"/>
  <c r="AI6" i="88" s="1"/>
  <c r="AJ6" i="88" s="1"/>
  <c r="AK6" i="88" s="1"/>
  <c r="AL6" i="88" s="1"/>
  <c r="AM6" i="88" s="1"/>
  <c r="AN6" i="88" s="1"/>
  <c r="AO6" i="88" s="1"/>
  <c r="AP6" i="88" s="1"/>
  <c r="AQ6" i="88" s="1"/>
  <c r="AR6" i="88" s="1"/>
  <c r="AS6" i="88" s="1"/>
  <c r="AT6" i="88" s="1"/>
  <c r="AU6" i="88" s="1"/>
  <c r="AV6" i="88" s="1"/>
  <c r="AW6" i="88" s="1"/>
  <c r="AX6" i="88" s="1"/>
  <c r="AY6" i="88" s="1"/>
  <c r="AF5" i="88"/>
  <c r="AG5" i="88" s="1"/>
  <c r="AH5" i="88" s="1"/>
  <c r="AI5" i="88" s="1"/>
  <c r="AJ5" i="88" s="1"/>
  <c r="AK5" i="88" s="1"/>
  <c r="AL5" i="88" s="1"/>
  <c r="AM5" i="88" s="1"/>
  <c r="AN5" i="88" s="1"/>
  <c r="AO5" i="88" s="1"/>
  <c r="AP5" i="88" s="1"/>
  <c r="AQ5" i="88" s="1"/>
  <c r="AR5" i="88" s="1"/>
  <c r="AS5" i="88" s="1"/>
  <c r="AT5" i="88" s="1"/>
  <c r="AU5" i="88" s="1"/>
  <c r="AV5" i="88" s="1"/>
  <c r="AW5" i="88" s="1"/>
  <c r="AX5" i="88" s="1"/>
  <c r="AY5" i="88" s="1"/>
  <c r="AF4" i="88"/>
  <c r="AG4" i="88" s="1"/>
  <c r="AH4" i="88" s="1"/>
  <c r="AI4" i="88" s="1"/>
  <c r="AJ4" i="88" s="1"/>
  <c r="AK4" i="88" s="1"/>
  <c r="AL4" i="88" s="1"/>
  <c r="AM4" i="88" s="1"/>
  <c r="AN4" i="88" s="1"/>
  <c r="AO4" i="88" s="1"/>
  <c r="AP4" i="88" s="1"/>
  <c r="AQ4" i="88" s="1"/>
  <c r="AR4" i="88" s="1"/>
  <c r="AS4" i="88" s="1"/>
  <c r="AT4" i="88" s="1"/>
  <c r="AU4" i="88" s="1"/>
  <c r="AV4" i="88" s="1"/>
  <c r="AW4" i="88" s="1"/>
  <c r="AX4" i="88" s="1"/>
  <c r="AY4" i="88" s="1"/>
  <c r="AF3" i="88"/>
  <c r="AG3" i="88" s="1"/>
  <c r="AH3" i="88" s="1"/>
  <c r="AI3" i="88" s="1"/>
  <c r="AJ3" i="88" s="1"/>
  <c r="AK3" i="88" s="1"/>
  <c r="AL3" i="88" s="1"/>
  <c r="AM3" i="88" s="1"/>
  <c r="AN3" i="88" s="1"/>
  <c r="AO3" i="88" s="1"/>
  <c r="AP3" i="88" s="1"/>
  <c r="AQ3" i="88" s="1"/>
  <c r="AR3" i="88" s="1"/>
  <c r="AS3" i="88" s="1"/>
  <c r="AT3" i="88" s="1"/>
  <c r="AU3" i="88" s="1"/>
  <c r="AV3" i="88" s="1"/>
  <c r="AW3" i="88" s="1"/>
  <c r="AX3" i="88" s="1"/>
  <c r="AY3" i="88" s="1"/>
  <c r="AF2" i="88"/>
  <c r="AG2" i="88" s="1"/>
  <c r="AH2" i="88" s="1"/>
  <c r="AI2" i="88" s="1"/>
  <c r="AJ2" i="88" s="1"/>
  <c r="AK2" i="88" s="1"/>
  <c r="AL2" i="88" s="1"/>
  <c r="AM2" i="88" s="1"/>
  <c r="AN2" i="88" s="1"/>
  <c r="AO2" i="88" s="1"/>
  <c r="AP2" i="88" s="1"/>
  <c r="AQ2" i="88" s="1"/>
  <c r="AR2" i="88" s="1"/>
  <c r="AS2" i="88" s="1"/>
  <c r="AT2" i="88" s="1"/>
  <c r="AU2" i="88" s="1"/>
  <c r="AV2" i="88" s="1"/>
  <c r="AW2" i="88" s="1"/>
  <c r="AX2" i="88" s="1"/>
  <c r="AY2" i="88" s="1"/>
  <c r="AF1" i="88"/>
  <c r="AG1" i="88" s="1"/>
  <c r="AH1" i="88" s="1"/>
  <c r="AI1" i="88" s="1"/>
  <c r="AJ1" i="88" s="1"/>
  <c r="AK1" i="88" s="1"/>
  <c r="AL1" i="88" s="1"/>
  <c r="AM1" i="88" s="1"/>
  <c r="AN1" i="88" s="1"/>
  <c r="AO1" i="88" s="1"/>
  <c r="AP1" i="88" s="1"/>
  <c r="AQ1" i="88" s="1"/>
  <c r="AR1" i="88" s="1"/>
  <c r="AS1" i="88" s="1"/>
  <c r="AT1" i="88" s="1"/>
  <c r="AU1" i="88" s="1"/>
  <c r="AV1" i="88" s="1"/>
  <c r="AW1" i="88" s="1"/>
  <c r="AX1" i="88" s="1"/>
  <c r="AY1" i="88" s="1"/>
  <c r="AF11" i="87"/>
  <c r="AG11" i="87" s="1"/>
  <c r="AH11" i="87" s="1"/>
  <c r="AI11" i="87" s="1"/>
  <c r="AJ11" i="87" s="1"/>
  <c r="AK11" i="87" s="1"/>
  <c r="AL11" i="87" s="1"/>
  <c r="AM11" i="87" s="1"/>
  <c r="AN11" i="87" s="1"/>
  <c r="AO11" i="87" s="1"/>
  <c r="AP11" i="87" s="1"/>
  <c r="AQ11" i="87" s="1"/>
  <c r="AR11" i="87" s="1"/>
  <c r="AS11" i="87" s="1"/>
  <c r="AT11" i="87" s="1"/>
  <c r="AU11" i="87" s="1"/>
  <c r="AV11" i="87" s="1"/>
  <c r="AW11" i="87" s="1"/>
  <c r="AX11" i="87" s="1"/>
  <c r="AY11" i="87" s="1"/>
  <c r="AF10" i="87"/>
  <c r="AG10" i="87" s="1"/>
  <c r="AH10" i="87" s="1"/>
  <c r="AI10" i="87" s="1"/>
  <c r="AJ10" i="87" s="1"/>
  <c r="AK10" i="87" s="1"/>
  <c r="AL10" i="87" s="1"/>
  <c r="AM10" i="87" s="1"/>
  <c r="AN10" i="87" s="1"/>
  <c r="AO10" i="87" s="1"/>
  <c r="AP10" i="87" s="1"/>
  <c r="AQ10" i="87" s="1"/>
  <c r="AR10" i="87" s="1"/>
  <c r="AS10" i="87" s="1"/>
  <c r="AT10" i="87" s="1"/>
  <c r="AU10" i="87" s="1"/>
  <c r="AV10" i="87" s="1"/>
  <c r="AW10" i="87" s="1"/>
  <c r="AX10" i="87" s="1"/>
  <c r="AY10" i="87" s="1"/>
  <c r="AF9" i="87"/>
  <c r="AG9" i="87" s="1"/>
  <c r="AH9" i="87" s="1"/>
  <c r="AI9" i="87" s="1"/>
  <c r="AJ9" i="87" s="1"/>
  <c r="AK9" i="87" s="1"/>
  <c r="AL9" i="87" s="1"/>
  <c r="AM9" i="87" s="1"/>
  <c r="AN9" i="87" s="1"/>
  <c r="AO9" i="87" s="1"/>
  <c r="AP9" i="87" s="1"/>
  <c r="AQ9" i="87" s="1"/>
  <c r="AR9" i="87" s="1"/>
  <c r="AS9" i="87" s="1"/>
  <c r="AT9" i="87" s="1"/>
  <c r="AU9" i="87" s="1"/>
  <c r="AV9" i="87" s="1"/>
  <c r="AW9" i="87" s="1"/>
  <c r="AX9" i="87" s="1"/>
  <c r="AY9" i="87" s="1"/>
  <c r="AF8" i="87"/>
  <c r="AG8" i="87" s="1"/>
  <c r="AH8" i="87" s="1"/>
  <c r="AI8" i="87" s="1"/>
  <c r="AJ8" i="87" s="1"/>
  <c r="AK8" i="87" s="1"/>
  <c r="AL8" i="87" s="1"/>
  <c r="AM8" i="87" s="1"/>
  <c r="AN8" i="87" s="1"/>
  <c r="AO8" i="87" s="1"/>
  <c r="AP8" i="87" s="1"/>
  <c r="AQ8" i="87" s="1"/>
  <c r="AR8" i="87" s="1"/>
  <c r="AS8" i="87" s="1"/>
  <c r="AT8" i="87" s="1"/>
  <c r="AU8" i="87" s="1"/>
  <c r="AV8" i="87" s="1"/>
  <c r="AW8" i="87" s="1"/>
  <c r="AX8" i="87" s="1"/>
  <c r="AY8" i="87" s="1"/>
  <c r="AF7" i="87"/>
  <c r="AG7" i="87" s="1"/>
  <c r="AH7" i="87" s="1"/>
  <c r="AI7" i="87" s="1"/>
  <c r="AJ7" i="87" s="1"/>
  <c r="AK7" i="87" s="1"/>
  <c r="AL7" i="87" s="1"/>
  <c r="AM7" i="87" s="1"/>
  <c r="AN7" i="87" s="1"/>
  <c r="AO7" i="87" s="1"/>
  <c r="AP7" i="87" s="1"/>
  <c r="AQ7" i="87" s="1"/>
  <c r="AR7" i="87" s="1"/>
  <c r="AS7" i="87" s="1"/>
  <c r="AT7" i="87" s="1"/>
  <c r="AU7" i="87" s="1"/>
  <c r="AV7" i="87" s="1"/>
  <c r="AW7" i="87" s="1"/>
  <c r="AX7" i="87" s="1"/>
  <c r="AY7" i="87" s="1"/>
  <c r="AF6" i="87"/>
  <c r="AG6" i="87" s="1"/>
  <c r="AH6" i="87" s="1"/>
  <c r="AI6" i="87" s="1"/>
  <c r="AJ6" i="87" s="1"/>
  <c r="AK6" i="87" s="1"/>
  <c r="AL6" i="87" s="1"/>
  <c r="AM6" i="87" s="1"/>
  <c r="AN6" i="87" s="1"/>
  <c r="AO6" i="87" s="1"/>
  <c r="AP6" i="87" s="1"/>
  <c r="AQ6" i="87" s="1"/>
  <c r="AR6" i="87" s="1"/>
  <c r="AS6" i="87" s="1"/>
  <c r="AT6" i="87" s="1"/>
  <c r="AU6" i="87" s="1"/>
  <c r="AV6" i="87" s="1"/>
  <c r="AW6" i="87" s="1"/>
  <c r="AX6" i="87" s="1"/>
  <c r="AY6" i="87" s="1"/>
  <c r="AF5" i="87"/>
  <c r="AG5" i="87" s="1"/>
  <c r="AH5" i="87" s="1"/>
  <c r="AI5" i="87" s="1"/>
  <c r="AJ5" i="87" s="1"/>
  <c r="AK5" i="87" s="1"/>
  <c r="AL5" i="87" s="1"/>
  <c r="AM5" i="87" s="1"/>
  <c r="AN5" i="87" s="1"/>
  <c r="AO5" i="87" s="1"/>
  <c r="AP5" i="87" s="1"/>
  <c r="AQ5" i="87" s="1"/>
  <c r="AR5" i="87" s="1"/>
  <c r="AS5" i="87" s="1"/>
  <c r="AT5" i="87" s="1"/>
  <c r="AU5" i="87" s="1"/>
  <c r="AV5" i="87" s="1"/>
  <c r="AW5" i="87" s="1"/>
  <c r="AX5" i="87" s="1"/>
  <c r="AY5" i="87" s="1"/>
  <c r="AF4" i="87"/>
  <c r="AG4" i="87" s="1"/>
  <c r="AH4" i="87" s="1"/>
  <c r="AI4" i="87" s="1"/>
  <c r="AJ4" i="87" s="1"/>
  <c r="AK4" i="87" s="1"/>
  <c r="AL4" i="87" s="1"/>
  <c r="AM4" i="87" s="1"/>
  <c r="AN4" i="87" s="1"/>
  <c r="AO4" i="87" s="1"/>
  <c r="AP4" i="87" s="1"/>
  <c r="AQ4" i="87" s="1"/>
  <c r="AR4" i="87" s="1"/>
  <c r="AS4" i="87" s="1"/>
  <c r="AT4" i="87" s="1"/>
  <c r="AU4" i="87" s="1"/>
  <c r="AV4" i="87" s="1"/>
  <c r="AW4" i="87" s="1"/>
  <c r="AX4" i="87" s="1"/>
  <c r="AY4" i="87" s="1"/>
  <c r="AF3" i="87"/>
  <c r="AG3" i="87" s="1"/>
  <c r="AH3" i="87" s="1"/>
  <c r="AI3" i="87" s="1"/>
  <c r="AJ3" i="87" s="1"/>
  <c r="AK3" i="87" s="1"/>
  <c r="AL3" i="87" s="1"/>
  <c r="AM3" i="87" s="1"/>
  <c r="AN3" i="87" s="1"/>
  <c r="AO3" i="87" s="1"/>
  <c r="AP3" i="87" s="1"/>
  <c r="AQ3" i="87" s="1"/>
  <c r="AR3" i="87" s="1"/>
  <c r="AS3" i="87" s="1"/>
  <c r="AT3" i="87" s="1"/>
  <c r="AU3" i="87" s="1"/>
  <c r="AV3" i="87" s="1"/>
  <c r="AW3" i="87" s="1"/>
  <c r="AX3" i="87" s="1"/>
  <c r="AY3" i="87" s="1"/>
  <c r="AF2" i="87"/>
  <c r="AG2" i="87" s="1"/>
  <c r="AH2" i="87" s="1"/>
  <c r="AI2" i="87" s="1"/>
  <c r="AJ2" i="87" s="1"/>
  <c r="AK2" i="87" s="1"/>
  <c r="AL2" i="87" s="1"/>
  <c r="AM2" i="87" s="1"/>
  <c r="AN2" i="87" s="1"/>
  <c r="AO2" i="87" s="1"/>
  <c r="AP2" i="87" s="1"/>
  <c r="AQ2" i="87" s="1"/>
  <c r="AR2" i="87" s="1"/>
  <c r="AS2" i="87" s="1"/>
  <c r="AT2" i="87" s="1"/>
  <c r="AU2" i="87" s="1"/>
  <c r="AV2" i="87" s="1"/>
  <c r="AW2" i="87" s="1"/>
  <c r="AX2" i="87" s="1"/>
  <c r="AY2" i="87" s="1"/>
  <c r="AF1" i="87"/>
  <c r="AG1" i="87" s="1"/>
  <c r="AH1" i="87" s="1"/>
  <c r="AI1" i="87" s="1"/>
  <c r="AJ1" i="87" s="1"/>
  <c r="AK1" i="87" s="1"/>
  <c r="AL1" i="87" s="1"/>
  <c r="AM1" i="87" s="1"/>
  <c r="AN1" i="87" s="1"/>
  <c r="AO1" i="87" s="1"/>
  <c r="AP1" i="87" s="1"/>
  <c r="AQ1" i="87" s="1"/>
  <c r="AR1" i="87" s="1"/>
  <c r="AS1" i="87" s="1"/>
  <c r="AT1" i="87" s="1"/>
  <c r="AU1" i="87" s="1"/>
  <c r="AV1" i="87" s="1"/>
  <c r="AW1" i="87" s="1"/>
  <c r="AX1" i="87" s="1"/>
  <c r="AY1" i="87" s="1"/>
  <c r="AF11" i="86"/>
  <c r="AG11" i="86" s="1"/>
  <c r="AH11" i="86" s="1"/>
  <c r="AI11" i="86" s="1"/>
  <c r="AJ11" i="86" s="1"/>
  <c r="AK11" i="86" s="1"/>
  <c r="AL11" i="86" s="1"/>
  <c r="AM11" i="86" s="1"/>
  <c r="AN11" i="86" s="1"/>
  <c r="AO11" i="86" s="1"/>
  <c r="AP11" i="86" s="1"/>
  <c r="AQ11" i="86" s="1"/>
  <c r="AR11" i="86" s="1"/>
  <c r="AS11" i="86" s="1"/>
  <c r="AT11" i="86" s="1"/>
  <c r="AU11" i="86" s="1"/>
  <c r="AV11" i="86" s="1"/>
  <c r="AW11" i="86" s="1"/>
  <c r="AX11" i="86" s="1"/>
  <c r="AY11" i="86" s="1"/>
  <c r="AF10" i="86"/>
  <c r="AG10" i="86" s="1"/>
  <c r="AH10" i="86" s="1"/>
  <c r="AI10" i="86" s="1"/>
  <c r="AJ10" i="86" s="1"/>
  <c r="AK10" i="86" s="1"/>
  <c r="AL10" i="86" s="1"/>
  <c r="AM10" i="86" s="1"/>
  <c r="AN10" i="86" s="1"/>
  <c r="AO10" i="86" s="1"/>
  <c r="AP10" i="86" s="1"/>
  <c r="AQ10" i="86" s="1"/>
  <c r="AR10" i="86" s="1"/>
  <c r="AS10" i="86" s="1"/>
  <c r="AT10" i="86" s="1"/>
  <c r="AU10" i="86" s="1"/>
  <c r="AV10" i="86" s="1"/>
  <c r="AW10" i="86" s="1"/>
  <c r="AX10" i="86" s="1"/>
  <c r="AY10" i="86" s="1"/>
  <c r="AF9" i="86"/>
  <c r="AG9" i="86" s="1"/>
  <c r="AH9" i="86" s="1"/>
  <c r="AI9" i="86" s="1"/>
  <c r="AJ9" i="86" s="1"/>
  <c r="AK9" i="86" s="1"/>
  <c r="AL9" i="86" s="1"/>
  <c r="AM9" i="86" s="1"/>
  <c r="AN9" i="86" s="1"/>
  <c r="AO9" i="86" s="1"/>
  <c r="AP9" i="86" s="1"/>
  <c r="AQ9" i="86" s="1"/>
  <c r="AR9" i="86" s="1"/>
  <c r="AS9" i="86" s="1"/>
  <c r="AT9" i="86" s="1"/>
  <c r="AU9" i="86" s="1"/>
  <c r="AV9" i="86" s="1"/>
  <c r="AW9" i="86" s="1"/>
  <c r="AX9" i="86" s="1"/>
  <c r="AY9" i="86" s="1"/>
  <c r="AF8" i="86"/>
  <c r="AG8" i="86" s="1"/>
  <c r="AH8" i="86" s="1"/>
  <c r="AI8" i="86" s="1"/>
  <c r="AJ8" i="86" s="1"/>
  <c r="AK8" i="86" s="1"/>
  <c r="AL8" i="86" s="1"/>
  <c r="AM8" i="86" s="1"/>
  <c r="AN8" i="86" s="1"/>
  <c r="AO8" i="86" s="1"/>
  <c r="AP8" i="86" s="1"/>
  <c r="AQ8" i="86" s="1"/>
  <c r="AR8" i="86" s="1"/>
  <c r="AS8" i="86" s="1"/>
  <c r="AT8" i="86" s="1"/>
  <c r="AU8" i="86" s="1"/>
  <c r="AV8" i="86" s="1"/>
  <c r="AW8" i="86" s="1"/>
  <c r="AX8" i="86" s="1"/>
  <c r="AY8" i="86" s="1"/>
  <c r="AF7" i="86"/>
  <c r="AG7" i="86" s="1"/>
  <c r="AH7" i="86" s="1"/>
  <c r="AI7" i="86" s="1"/>
  <c r="AJ7" i="86" s="1"/>
  <c r="AK7" i="86" s="1"/>
  <c r="AL7" i="86" s="1"/>
  <c r="AM7" i="86" s="1"/>
  <c r="AN7" i="86" s="1"/>
  <c r="AO7" i="86" s="1"/>
  <c r="AP7" i="86" s="1"/>
  <c r="AQ7" i="86" s="1"/>
  <c r="AR7" i="86" s="1"/>
  <c r="AS7" i="86" s="1"/>
  <c r="AT7" i="86" s="1"/>
  <c r="AU7" i="86" s="1"/>
  <c r="AV7" i="86" s="1"/>
  <c r="AW7" i="86" s="1"/>
  <c r="AX7" i="86" s="1"/>
  <c r="AY7" i="86" s="1"/>
  <c r="AF6" i="86"/>
  <c r="AG6" i="86" s="1"/>
  <c r="AH6" i="86" s="1"/>
  <c r="AI6" i="86" s="1"/>
  <c r="AJ6" i="86" s="1"/>
  <c r="AK6" i="86" s="1"/>
  <c r="AL6" i="86" s="1"/>
  <c r="AM6" i="86" s="1"/>
  <c r="AN6" i="86" s="1"/>
  <c r="AO6" i="86" s="1"/>
  <c r="AP6" i="86" s="1"/>
  <c r="AQ6" i="86" s="1"/>
  <c r="AR6" i="86" s="1"/>
  <c r="AS6" i="86" s="1"/>
  <c r="AT6" i="86" s="1"/>
  <c r="AU6" i="86" s="1"/>
  <c r="AV6" i="86" s="1"/>
  <c r="AW6" i="86" s="1"/>
  <c r="AX6" i="86" s="1"/>
  <c r="AY6" i="86" s="1"/>
  <c r="AF5" i="86"/>
  <c r="AG5" i="86" s="1"/>
  <c r="AH5" i="86" s="1"/>
  <c r="AI5" i="86" s="1"/>
  <c r="AJ5" i="86" s="1"/>
  <c r="AK5" i="86" s="1"/>
  <c r="AL5" i="86" s="1"/>
  <c r="AM5" i="86" s="1"/>
  <c r="AN5" i="86" s="1"/>
  <c r="AO5" i="86" s="1"/>
  <c r="AP5" i="86" s="1"/>
  <c r="AQ5" i="86" s="1"/>
  <c r="AR5" i="86" s="1"/>
  <c r="AS5" i="86" s="1"/>
  <c r="AT5" i="86" s="1"/>
  <c r="AU5" i="86" s="1"/>
  <c r="AV5" i="86" s="1"/>
  <c r="AW5" i="86" s="1"/>
  <c r="AX5" i="86" s="1"/>
  <c r="AY5" i="86" s="1"/>
  <c r="AF4" i="86"/>
  <c r="AG4" i="86" s="1"/>
  <c r="AH4" i="86" s="1"/>
  <c r="AI4" i="86" s="1"/>
  <c r="AJ4" i="86" s="1"/>
  <c r="AK4" i="86" s="1"/>
  <c r="AL4" i="86" s="1"/>
  <c r="AM4" i="86" s="1"/>
  <c r="AN4" i="86" s="1"/>
  <c r="AO4" i="86" s="1"/>
  <c r="AP4" i="86" s="1"/>
  <c r="AQ4" i="86" s="1"/>
  <c r="AR4" i="86" s="1"/>
  <c r="AS4" i="86" s="1"/>
  <c r="AT4" i="86" s="1"/>
  <c r="AU4" i="86" s="1"/>
  <c r="AV4" i="86" s="1"/>
  <c r="AW4" i="86" s="1"/>
  <c r="AX4" i="86" s="1"/>
  <c r="AY4" i="86" s="1"/>
  <c r="AF3" i="86"/>
  <c r="AG3" i="86" s="1"/>
  <c r="AH3" i="86" s="1"/>
  <c r="AI3" i="86" s="1"/>
  <c r="AJ3" i="86" s="1"/>
  <c r="AK3" i="86" s="1"/>
  <c r="AL3" i="86" s="1"/>
  <c r="AM3" i="86" s="1"/>
  <c r="AN3" i="86" s="1"/>
  <c r="AO3" i="86" s="1"/>
  <c r="AP3" i="86" s="1"/>
  <c r="AQ3" i="86" s="1"/>
  <c r="AR3" i="86" s="1"/>
  <c r="AS3" i="86" s="1"/>
  <c r="AT3" i="86" s="1"/>
  <c r="AU3" i="86" s="1"/>
  <c r="AV3" i="86" s="1"/>
  <c r="AW3" i="86" s="1"/>
  <c r="AX3" i="86" s="1"/>
  <c r="AY3" i="86" s="1"/>
  <c r="AF2" i="86"/>
  <c r="AG2" i="86" s="1"/>
  <c r="AH2" i="86" s="1"/>
  <c r="AI2" i="86" s="1"/>
  <c r="AJ2" i="86" s="1"/>
  <c r="AK2" i="86" s="1"/>
  <c r="AL2" i="86" s="1"/>
  <c r="AM2" i="86" s="1"/>
  <c r="AN2" i="86" s="1"/>
  <c r="AO2" i="86" s="1"/>
  <c r="AP2" i="86" s="1"/>
  <c r="AQ2" i="86" s="1"/>
  <c r="AR2" i="86" s="1"/>
  <c r="AS2" i="86" s="1"/>
  <c r="AT2" i="86" s="1"/>
  <c r="AU2" i="86" s="1"/>
  <c r="AV2" i="86" s="1"/>
  <c r="AW2" i="86" s="1"/>
  <c r="AX2" i="86" s="1"/>
  <c r="AY2" i="86" s="1"/>
  <c r="AF1" i="86"/>
  <c r="AG1" i="86" s="1"/>
  <c r="AH1" i="86" s="1"/>
  <c r="AI1" i="86" s="1"/>
  <c r="AJ1" i="86" s="1"/>
  <c r="AK1" i="86" s="1"/>
  <c r="AL1" i="86" s="1"/>
  <c r="AM1" i="86" s="1"/>
  <c r="AN1" i="86" s="1"/>
  <c r="AO1" i="86" s="1"/>
  <c r="AP1" i="86" s="1"/>
  <c r="AQ1" i="86" s="1"/>
  <c r="AR1" i="86" s="1"/>
  <c r="AS1" i="86" s="1"/>
  <c r="AT1" i="86" s="1"/>
  <c r="AU1" i="86" s="1"/>
  <c r="AV1" i="86" s="1"/>
  <c r="AW1" i="86" s="1"/>
  <c r="AX1" i="86" s="1"/>
  <c r="AY1" i="86" s="1"/>
  <c r="AF11" i="85"/>
  <c r="AG11" i="85" s="1"/>
  <c r="AH11" i="85" s="1"/>
  <c r="AI11" i="85" s="1"/>
  <c r="AJ11" i="85" s="1"/>
  <c r="AK11" i="85" s="1"/>
  <c r="AL11" i="85" s="1"/>
  <c r="AM11" i="85" s="1"/>
  <c r="AN11" i="85" s="1"/>
  <c r="AO11" i="85" s="1"/>
  <c r="AP11" i="85" s="1"/>
  <c r="AQ11" i="85" s="1"/>
  <c r="AR11" i="85" s="1"/>
  <c r="AS11" i="85" s="1"/>
  <c r="AT11" i="85" s="1"/>
  <c r="AU11" i="85" s="1"/>
  <c r="AV11" i="85" s="1"/>
  <c r="AW11" i="85" s="1"/>
  <c r="AX11" i="85" s="1"/>
  <c r="AY11" i="85" s="1"/>
  <c r="AF10" i="85"/>
  <c r="AG10" i="85" s="1"/>
  <c r="AH10" i="85" s="1"/>
  <c r="AI10" i="85" s="1"/>
  <c r="AJ10" i="85" s="1"/>
  <c r="AK10" i="85" s="1"/>
  <c r="AL10" i="85" s="1"/>
  <c r="AM10" i="85" s="1"/>
  <c r="AN10" i="85" s="1"/>
  <c r="AO10" i="85" s="1"/>
  <c r="AP10" i="85" s="1"/>
  <c r="AQ10" i="85" s="1"/>
  <c r="AR10" i="85" s="1"/>
  <c r="AS10" i="85" s="1"/>
  <c r="AT10" i="85" s="1"/>
  <c r="AU10" i="85" s="1"/>
  <c r="AV10" i="85" s="1"/>
  <c r="AW10" i="85" s="1"/>
  <c r="AX10" i="85" s="1"/>
  <c r="AY10" i="85" s="1"/>
  <c r="AF9" i="85"/>
  <c r="AG9" i="85" s="1"/>
  <c r="AH9" i="85" s="1"/>
  <c r="AI9" i="85" s="1"/>
  <c r="AJ9" i="85" s="1"/>
  <c r="AK9" i="85" s="1"/>
  <c r="AL9" i="85" s="1"/>
  <c r="AM9" i="85" s="1"/>
  <c r="AN9" i="85" s="1"/>
  <c r="AO9" i="85" s="1"/>
  <c r="AP9" i="85" s="1"/>
  <c r="AQ9" i="85" s="1"/>
  <c r="AR9" i="85" s="1"/>
  <c r="AS9" i="85" s="1"/>
  <c r="AT9" i="85" s="1"/>
  <c r="AU9" i="85" s="1"/>
  <c r="AV9" i="85" s="1"/>
  <c r="AW9" i="85" s="1"/>
  <c r="AX9" i="85" s="1"/>
  <c r="AY9" i="85" s="1"/>
  <c r="AF8" i="85"/>
  <c r="AG8" i="85" s="1"/>
  <c r="AH8" i="85" s="1"/>
  <c r="AI8" i="85" s="1"/>
  <c r="AJ8" i="85" s="1"/>
  <c r="AK8" i="85" s="1"/>
  <c r="AL8" i="85" s="1"/>
  <c r="AM8" i="85" s="1"/>
  <c r="AN8" i="85" s="1"/>
  <c r="AO8" i="85" s="1"/>
  <c r="AP8" i="85" s="1"/>
  <c r="AQ8" i="85" s="1"/>
  <c r="AR8" i="85" s="1"/>
  <c r="AS8" i="85" s="1"/>
  <c r="AT8" i="85" s="1"/>
  <c r="AU8" i="85" s="1"/>
  <c r="AV8" i="85" s="1"/>
  <c r="AW8" i="85" s="1"/>
  <c r="AX8" i="85" s="1"/>
  <c r="AY8" i="85" s="1"/>
  <c r="AF7" i="85"/>
  <c r="AG7" i="85" s="1"/>
  <c r="AH7" i="85" s="1"/>
  <c r="AI7" i="85" s="1"/>
  <c r="AJ7" i="85" s="1"/>
  <c r="AK7" i="85" s="1"/>
  <c r="AL7" i="85" s="1"/>
  <c r="AM7" i="85" s="1"/>
  <c r="AN7" i="85" s="1"/>
  <c r="AO7" i="85" s="1"/>
  <c r="AP7" i="85" s="1"/>
  <c r="AQ7" i="85" s="1"/>
  <c r="AR7" i="85" s="1"/>
  <c r="AS7" i="85" s="1"/>
  <c r="AT7" i="85" s="1"/>
  <c r="AU7" i="85" s="1"/>
  <c r="AV7" i="85" s="1"/>
  <c r="AW7" i="85" s="1"/>
  <c r="AX7" i="85" s="1"/>
  <c r="AY7" i="85" s="1"/>
  <c r="AF6" i="85"/>
  <c r="AG6" i="85" s="1"/>
  <c r="AH6" i="85" s="1"/>
  <c r="AI6" i="85" s="1"/>
  <c r="AJ6" i="85" s="1"/>
  <c r="AK6" i="85" s="1"/>
  <c r="AL6" i="85" s="1"/>
  <c r="AM6" i="85" s="1"/>
  <c r="AN6" i="85" s="1"/>
  <c r="AO6" i="85" s="1"/>
  <c r="AP6" i="85" s="1"/>
  <c r="AQ6" i="85" s="1"/>
  <c r="AR6" i="85" s="1"/>
  <c r="AS6" i="85" s="1"/>
  <c r="AT6" i="85" s="1"/>
  <c r="AU6" i="85" s="1"/>
  <c r="AV6" i="85" s="1"/>
  <c r="AW6" i="85" s="1"/>
  <c r="AX6" i="85" s="1"/>
  <c r="AY6" i="85" s="1"/>
  <c r="AF5" i="85"/>
  <c r="AG5" i="85" s="1"/>
  <c r="AH5" i="85" s="1"/>
  <c r="AI5" i="85" s="1"/>
  <c r="AJ5" i="85" s="1"/>
  <c r="AK5" i="85" s="1"/>
  <c r="AL5" i="85" s="1"/>
  <c r="AM5" i="85" s="1"/>
  <c r="AN5" i="85" s="1"/>
  <c r="AO5" i="85" s="1"/>
  <c r="AP5" i="85" s="1"/>
  <c r="AQ5" i="85" s="1"/>
  <c r="AR5" i="85" s="1"/>
  <c r="AS5" i="85" s="1"/>
  <c r="AT5" i="85" s="1"/>
  <c r="AU5" i="85" s="1"/>
  <c r="AV5" i="85" s="1"/>
  <c r="AW5" i="85" s="1"/>
  <c r="AX5" i="85" s="1"/>
  <c r="AY5" i="85" s="1"/>
  <c r="AF4" i="85"/>
  <c r="AG4" i="85" s="1"/>
  <c r="AH4" i="85" s="1"/>
  <c r="AI4" i="85" s="1"/>
  <c r="AJ4" i="85" s="1"/>
  <c r="AK4" i="85" s="1"/>
  <c r="AL4" i="85" s="1"/>
  <c r="AM4" i="85" s="1"/>
  <c r="AN4" i="85" s="1"/>
  <c r="AO4" i="85" s="1"/>
  <c r="AP4" i="85" s="1"/>
  <c r="AQ4" i="85" s="1"/>
  <c r="AR4" i="85" s="1"/>
  <c r="AS4" i="85" s="1"/>
  <c r="AT4" i="85" s="1"/>
  <c r="AU4" i="85" s="1"/>
  <c r="AV4" i="85" s="1"/>
  <c r="AW4" i="85" s="1"/>
  <c r="AX4" i="85" s="1"/>
  <c r="AY4" i="85" s="1"/>
  <c r="AF3" i="85"/>
  <c r="AG3" i="85" s="1"/>
  <c r="AH3" i="85" s="1"/>
  <c r="AI3" i="85" s="1"/>
  <c r="AJ3" i="85" s="1"/>
  <c r="AK3" i="85" s="1"/>
  <c r="AL3" i="85" s="1"/>
  <c r="AM3" i="85" s="1"/>
  <c r="AN3" i="85" s="1"/>
  <c r="AO3" i="85" s="1"/>
  <c r="AP3" i="85" s="1"/>
  <c r="AQ3" i="85" s="1"/>
  <c r="AR3" i="85" s="1"/>
  <c r="AS3" i="85" s="1"/>
  <c r="AT3" i="85" s="1"/>
  <c r="AU3" i="85" s="1"/>
  <c r="AV3" i="85" s="1"/>
  <c r="AW3" i="85" s="1"/>
  <c r="AX3" i="85" s="1"/>
  <c r="AY3" i="85" s="1"/>
  <c r="AF2" i="85"/>
  <c r="AG2" i="85" s="1"/>
  <c r="AH2" i="85" s="1"/>
  <c r="AI2" i="85" s="1"/>
  <c r="AJ2" i="85" s="1"/>
  <c r="AK2" i="85" s="1"/>
  <c r="AL2" i="85" s="1"/>
  <c r="AM2" i="85" s="1"/>
  <c r="AN2" i="85" s="1"/>
  <c r="AO2" i="85" s="1"/>
  <c r="AP2" i="85" s="1"/>
  <c r="AQ2" i="85" s="1"/>
  <c r="AR2" i="85" s="1"/>
  <c r="AS2" i="85" s="1"/>
  <c r="AT2" i="85" s="1"/>
  <c r="AU2" i="85" s="1"/>
  <c r="AV2" i="85" s="1"/>
  <c r="AW2" i="85" s="1"/>
  <c r="AX2" i="85" s="1"/>
  <c r="AY2" i="85" s="1"/>
  <c r="AF1" i="85"/>
  <c r="AG1" i="85" s="1"/>
  <c r="AH1" i="85" s="1"/>
  <c r="AI1" i="85" s="1"/>
  <c r="AJ1" i="85" s="1"/>
  <c r="AK1" i="85" s="1"/>
  <c r="AL1" i="85" s="1"/>
  <c r="AM1" i="85" s="1"/>
  <c r="AN1" i="85" s="1"/>
  <c r="AO1" i="85" s="1"/>
  <c r="AP1" i="85" s="1"/>
  <c r="AQ1" i="85" s="1"/>
  <c r="AR1" i="85" s="1"/>
  <c r="AS1" i="85" s="1"/>
  <c r="AT1" i="85" s="1"/>
  <c r="AU1" i="85" s="1"/>
  <c r="AV1" i="85" s="1"/>
  <c r="AW1" i="85" s="1"/>
  <c r="AX1" i="85" s="1"/>
  <c r="AY1" i="85" s="1"/>
  <c r="AF11" i="84"/>
  <c r="AG11" i="84" s="1"/>
  <c r="AH11" i="84" s="1"/>
  <c r="AI11" i="84" s="1"/>
  <c r="AJ11" i="84" s="1"/>
  <c r="AK11" i="84" s="1"/>
  <c r="AL11" i="84" s="1"/>
  <c r="AM11" i="84" s="1"/>
  <c r="AN11" i="84" s="1"/>
  <c r="AO11" i="84" s="1"/>
  <c r="AP11" i="84" s="1"/>
  <c r="AQ11" i="84" s="1"/>
  <c r="AR11" i="84" s="1"/>
  <c r="AS11" i="84" s="1"/>
  <c r="AT11" i="84" s="1"/>
  <c r="AU11" i="84" s="1"/>
  <c r="AV11" i="84" s="1"/>
  <c r="AW11" i="84" s="1"/>
  <c r="AX11" i="84" s="1"/>
  <c r="AY11" i="84" s="1"/>
  <c r="AF10" i="84"/>
  <c r="AG10" i="84" s="1"/>
  <c r="AH10" i="84" s="1"/>
  <c r="AI10" i="84" s="1"/>
  <c r="AJ10" i="84" s="1"/>
  <c r="AK10" i="84" s="1"/>
  <c r="AL10" i="84" s="1"/>
  <c r="AM10" i="84" s="1"/>
  <c r="AN10" i="84" s="1"/>
  <c r="AO10" i="84" s="1"/>
  <c r="AP10" i="84" s="1"/>
  <c r="AQ10" i="84" s="1"/>
  <c r="AR10" i="84" s="1"/>
  <c r="AS10" i="84" s="1"/>
  <c r="AT10" i="84" s="1"/>
  <c r="AU10" i="84" s="1"/>
  <c r="AV10" i="84" s="1"/>
  <c r="AW10" i="84" s="1"/>
  <c r="AX10" i="84" s="1"/>
  <c r="AY10" i="84" s="1"/>
  <c r="AF9" i="84"/>
  <c r="AG9" i="84" s="1"/>
  <c r="AH9" i="84" s="1"/>
  <c r="AI9" i="84" s="1"/>
  <c r="AJ9" i="84" s="1"/>
  <c r="AK9" i="84" s="1"/>
  <c r="AL9" i="84" s="1"/>
  <c r="AM9" i="84" s="1"/>
  <c r="AN9" i="84" s="1"/>
  <c r="AO9" i="84" s="1"/>
  <c r="AP9" i="84" s="1"/>
  <c r="AQ9" i="84" s="1"/>
  <c r="AR9" i="84" s="1"/>
  <c r="AS9" i="84" s="1"/>
  <c r="AT9" i="84" s="1"/>
  <c r="AU9" i="84" s="1"/>
  <c r="AV9" i="84" s="1"/>
  <c r="AW9" i="84" s="1"/>
  <c r="AX9" i="84" s="1"/>
  <c r="AY9" i="84" s="1"/>
  <c r="AF8" i="84"/>
  <c r="AG8" i="84" s="1"/>
  <c r="AH8" i="84" s="1"/>
  <c r="AI8" i="84" s="1"/>
  <c r="AJ8" i="84" s="1"/>
  <c r="AK8" i="84" s="1"/>
  <c r="AL8" i="84" s="1"/>
  <c r="AM8" i="84" s="1"/>
  <c r="AN8" i="84" s="1"/>
  <c r="AO8" i="84" s="1"/>
  <c r="AP8" i="84" s="1"/>
  <c r="AQ8" i="84" s="1"/>
  <c r="AR8" i="84" s="1"/>
  <c r="AS8" i="84" s="1"/>
  <c r="AT8" i="84" s="1"/>
  <c r="AU8" i="84" s="1"/>
  <c r="AV8" i="84" s="1"/>
  <c r="AW8" i="84" s="1"/>
  <c r="AX8" i="84" s="1"/>
  <c r="AY8" i="84" s="1"/>
  <c r="AF7" i="84"/>
  <c r="AG7" i="84" s="1"/>
  <c r="AH7" i="84" s="1"/>
  <c r="AI7" i="84" s="1"/>
  <c r="AJ7" i="84" s="1"/>
  <c r="AK7" i="84" s="1"/>
  <c r="AL7" i="84" s="1"/>
  <c r="AM7" i="84" s="1"/>
  <c r="AN7" i="84" s="1"/>
  <c r="AO7" i="84" s="1"/>
  <c r="AP7" i="84" s="1"/>
  <c r="AQ7" i="84" s="1"/>
  <c r="AR7" i="84" s="1"/>
  <c r="AS7" i="84" s="1"/>
  <c r="AT7" i="84" s="1"/>
  <c r="AU7" i="84" s="1"/>
  <c r="AV7" i="84" s="1"/>
  <c r="AW7" i="84" s="1"/>
  <c r="AX7" i="84" s="1"/>
  <c r="AY7" i="84" s="1"/>
  <c r="AF6" i="84"/>
  <c r="AG6" i="84" s="1"/>
  <c r="AH6" i="84" s="1"/>
  <c r="AI6" i="84" s="1"/>
  <c r="AJ6" i="84" s="1"/>
  <c r="AK6" i="84" s="1"/>
  <c r="AL6" i="84" s="1"/>
  <c r="AM6" i="84" s="1"/>
  <c r="AN6" i="84" s="1"/>
  <c r="AO6" i="84" s="1"/>
  <c r="AP6" i="84" s="1"/>
  <c r="AQ6" i="84" s="1"/>
  <c r="AR6" i="84" s="1"/>
  <c r="AS6" i="84" s="1"/>
  <c r="AT6" i="84" s="1"/>
  <c r="AU6" i="84" s="1"/>
  <c r="AV6" i="84" s="1"/>
  <c r="AW6" i="84" s="1"/>
  <c r="AX6" i="84" s="1"/>
  <c r="AY6" i="84" s="1"/>
  <c r="AF5" i="84"/>
  <c r="AG5" i="84" s="1"/>
  <c r="AH5" i="84" s="1"/>
  <c r="AI5" i="84" s="1"/>
  <c r="AJ5" i="84" s="1"/>
  <c r="AK5" i="84" s="1"/>
  <c r="AL5" i="84" s="1"/>
  <c r="AM5" i="84" s="1"/>
  <c r="AN5" i="84" s="1"/>
  <c r="AO5" i="84" s="1"/>
  <c r="AP5" i="84" s="1"/>
  <c r="AQ5" i="84" s="1"/>
  <c r="AR5" i="84" s="1"/>
  <c r="AS5" i="84" s="1"/>
  <c r="AT5" i="84" s="1"/>
  <c r="AU5" i="84" s="1"/>
  <c r="AV5" i="84" s="1"/>
  <c r="AW5" i="84" s="1"/>
  <c r="AX5" i="84" s="1"/>
  <c r="AY5" i="84" s="1"/>
  <c r="AF4" i="84"/>
  <c r="AG4" i="84" s="1"/>
  <c r="AH4" i="84" s="1"/>
  <c r="AI4" i="84" s="1"/>
  <c r="AJ4" i="84" s="1"/>
  <c r="AK4" i="84" s="1"/>
  <c r="AL4" i="84" s="1"/>
  <c r="AM4" i="84" s="1"/>
  <c r="AN4" i="84" s="1"/>
  <c r="AO4" i="84" s="1"/>
  <c r="AP4" i="84" s="1"/>
  <c r="AQ4" i="84" s="1"/>
  <c r="AR4" i="84" s="1"/>
  <c r="AS4" i="84" s="1"/>
  <c r="AT4" i="84" s="1"/>
  <c r="AU4" i="84" s="1"/>
  <c r="AV4" i="84" s="1"/>
  <c r="AW4" i="84" s="1"/>
  <c r="AX4" i="84" s="1"/>
  <c r="AY4" i="84" s="1"/>
  <c r="AF3" i="84"/>
  <c r="AG3" i="84" s="1"/>
  <c r="AH3" i="84" s="1"/>
  <c r="AI3" i="84" s="1"/>
  <c r="AJ3" i="84" s="1"/>
  <c r="AK3" i="84" s="1"/>
  <c r="AL3" i="84" s="1"/>
  <c r="AM3" i="84" s="1"/>
  <c r="AN3" i="84" s="1"/>
  <c r="AO3" i="84" s="1"/>
  <c r="AP3" i="84" s="1"/>
  <c r="AQ3" i="84" s="1"/>
  <c r="AR3" i="84" s="1"/>
  <c r="AS3" i="84" s="1"/>
  <c r="AT3" i="84" s="1"/>
  <c r="AU3" i="84" s="1"/>
  <c r="AV3" i="84" s="1"/>
  <c r="AW3" i="84" s="1"/>
  <c r="AX3" i="84" s="1"/>
  <c r="AY3" i="84" s="1"/>
  <c r="AF2" i="84"/>
  <c r="AG2" i="84" s="1"/>
  <c r="AH2" i="84" s="1"/>
  <c r="AI2" i="84" s="1"/>
  <c r="AJ2" i="84" s="1"/>
  <c r="AK2" i="84" s="1"/>
  <c r="AL2" i="84" s="1"/>
  <c r="AM2" i="84" s="1"/>
  <c r="AN2" i="84" s="1"/>
  <c r="AO2" i="84" s="1"/>
  <c r="AP2" i="84" s="1"/>
  <c r="AQ2" i="84" s="1"/>
  <c r="AR2" i="84" s="1"/>
  <c r="AS2" i="84" s="1"/>
  <c r="AT2" i="84" s="1"/>
  <c r="AU2" i="84" s="1"/>
  <c r="AV2" i="84" s="1"/>
  <c r="AW2" i="84" s="1"/>
  <c r="AX2" i="84" s="1"/>
  <c r="AY2" i="84" s="1"/>
  <c r="AF1" i="84"/>
  <c r="AG1" i="84" s="1"/>
  <c r="AH1" i="84" s="1"/>
  <c r="AI1" i="84" s="1"/>
  <c r="AJ1" i="84" s="1"/>
  <c r="AK1" i="84" s="1"/>
  <c r="AL1" i="84" s="1"/>
  <c r="AM1" i="84" s="1"/>
  <c r="AN1" i="84" s="1"/>
  <c r="AO1" i="84" s="1"/>
  <c r="AP1" i="84" s="1"/>
  <c r="AQ1" i="84" s="1"/>
  <c r="AR1" i="84" s="1"/>
  <c r="AS1" i="84" s="1"/>
  <c r="AT1" i="84" s="1"/>
  <c r="AU1" i="84" s="1"/>
  <c r="AV1" i="84" s="1"/>
  <c r="AW1" i="84" s="1"/>
  <c r="AX1" i="84" s="1"/>
  <c r="AY1" i="84" s="1"/>
  <c r="AF11" i="83"/>
  <c r="AG11" i="83" s="1"/>
  <c r="AH11" i="83" s="1"/>
  <c r="AI11" i="83" s="1"/>
  <c r="AJ11" i="83" s="1"/>
  <c r="AK11" i="83" s="1"/>
  <c r="AL11" i="83" s="1"/>
  <c r="AM11" i="83" s="1"/>
  <c r="AN11" i="83" s="1"/>
  <c r="AO11" i="83" s="1"/>
  <c r="AP11" i="83" s="1"/>
  <c r="AQ11" i="83" s="1"/>
  <c r="AR11" i="83" s="1"/>
  <c r="AS11" i="83" s="1"/>
  <c r="AT11" i="83" s="1"/>
  <c r="AU11" i="83" s="1"/>
  <c r="AV11" i="83" s="1"/>
  <c r="AW11" i="83" s="1"/>
  <c r="AX11" i="83" s="1"/>
  <c r="AY11" i="83" s="1"/>
  <c r="AF10" i="83"/>
  <c r="AG10" i="83" s="1"/>
  <c r="AH10" i="83" s="1"/>
  <c r="AI10" i="83" s="1"/>
  <c r="AJ10" i="83" s="1"/>
  <c r="AK10" i="83" s="1"/>
  <c r="AL10" i="83" s="1"/>
  <c r="AM10" i="83" s="1"/>
  <c r="AN10" i="83" s="1"/>
  <c r="AO10" i="83" s="1"/>
  <c r="AP10" i="83" s="1"/>
  <c r="AQ10" i="83" s="1"/>
  <c r="AR10" i="83" s="1"/>
  <c r="AS10" i="83" s="1"/>
  <c r="AT10" i="83" s="1"/>
  <c r="AU10" i="83" s="1"/>
  <c r="AV10" i="83" s="1"/>
  <c r="AW10" i="83" s="1"/>
  <c r="AX10" i="83" s="1"/>
  <c r="AY10" i="83" s="1"/>
  <c r="AF9" i="83"/>
  <c r="AG9" i="83" s="1"/>
  <c r="AH9" i="83" s="1"/>
  <c r="AI9" i="83" s="1"/>
  <c r="AJ9" i="83" s="1"/>
  <c r="AK9" i="83" s="1"/>
  <c r="AL9" i="83" s="1"/>
  <c r="AM9" i="83" s="1"/>
  <c r="AN9" i="83" s="1"/>
  <c r="AO9" i="83" s="1"/>
  <c r="AP9" i="83" s="1"/>
  <c r="AQ9" i="83" s="1"/>
  <c r="AR9" i="83" s="1"/>
  <c r="AS9" i="83" s="1"/>
  <c r="AT9" i="83" s="1"/>
  <c r="AU9" i="83" s="1"/>
  <c r="AV9" i="83" s="1"/>
  <c r="AW9" i="83" s="1"/>
  <c r="AX9" i="83" s="1"/>
  <c r="AY9" i="83" s="1"/>
  <c r="AF8" i="83"/>
  <c r="AG8" i="83" s="1"/>
  <c r="AH8" i="83" s="1"/>
  <c r="AI8" i="83" s="1"/>
  <c r="AJ8" i="83" s="1"/>
  <c r="AK8" i="83" s="1"/>
  <c r="AL8" i="83" s="1"/>
  <c r="AM8" i="83" s="1"/>
  <c r="AN8" i="83" s="1"/>
  <c r="AO8" i="83" s="1"/>
  <c r="AP8" i="83" s="1"/>
  <c r="AQ8" i="83" s="1"/>
  <c r="AR8" i="83" s="1"/>
  <c r="AS8" i="83" s="1"/>
  <c r="AT8" i="83" s="1"/>
  <c r="AU8" i="83" s="1"/>
  <c r="AV8" i="83" s="1"/>
  <c r="AW8" i="83" s="1"/>
  <c r="AX8" i="83" s="1"/>
  <c r="AY8" i="83" s="1"/>
  <c r="AF7" i="83"/>
  <c r="AG7" i="83" s="1"/>
  <c r="AH7" i="83" s="1"/>
  <c r="AI7" i="83" s="1"/>
  <c r="AJ7" i="83" s="1"/>
  <c r="AK7" i="83" s="1"/>
  <c r="AL7" i="83" s="1"/>
  <c r="AM7" i="83" s="1"/>
  <c r="AN7" i="83" s="1"/>
  <c r="AO7" i="83" s="1"/>
  <c r="AP7" i="83" s="1"/>
  <c r="AQ7" i="83" s="1"/>
  <c r="AR7" i="83" s="1"/>
  <c r="AS7" i="83" s="1"/>
  <c r="AT7" i="83" s="1"/>
  <c r="AU7" i="83" s="1"/>
  <c r="AV7" i="83" s="1"/>
  <c r="AW7" i="83" s="1"/>
  <c r="AX7" i="83" s="1"/>
  <c r="AY7" i="83" s="1"/>
  <c r="AF6" i="83"/>
  <c r="AG6" i="83" s="1"/>
  <c r="AH6" i="83" s="1"/>
  <c r="AI6" i="83" s="1"/>
  <c r="AJ6" i="83" s="1"/>
  <c r="AK6" i="83" s="1"/>
  <c r="AL6" i="83" s="1"/>
  <c r="AM6" i="83" s="1"/>
  <c r="AN6" i="83" s="1"/>
  <c r="AO6" i="83" s="1"/>
  <c r="AP6" i="83" s="1"/>
  <c r="AQ6" i="83" s="1"/>
  <c r="AR6" i="83" s="1"/>
  <c r="AS6" i="83" s="1"/>
  <c r="AT6" i="83" s="1"/>
  <c r="AU6" i="83" s="1"/>
  <c r="AV6" i="83" s="1"/>
  <c r="AW6" i="83" s="1"/>
  <c r="AX6" i="83" s="1"/>
  <c r="AY6" i="83" s="1"/>
  <c r="AF5" i="83"/>
  <c r="AG5" i="83" s="1"/>
  <c r="AH5" i="83" s="1"/>
  <c r="AI5" i="83" s="1"/>
  <c r="AJ5" i="83" s="1"/>
  <c r="AK5" i="83" s="1"/>
  <c r="AL5" i="83" s="1"/>
  <c r="AM5" i="83" s="1"/>
  <c r="AN5" i="83" s="1"/>
  <c r="AO5" i="83" s="1"/>
  <c r="AP5" i="83" s="1"/>
  <c r="AQ5" i="83" s="1"/>
  <c r="AR5" i="83" s="1"/>
  <c r="AS5" i="83" s="1"/>
  <c r="AT5" i="83" s="1"/>
  <c r="AU5" i="83" s="1"/>
  <c r="AV5" i="83" s="1"/>
  <c r="AW5" i="83" s="1"/>
  <c r="AX5" i="83" s="1"/>
  <c r="AY5" i="83" s="1"/>
  <c r="AF4" i="83"/>
  <c r="AG4" i="83" s="1"/>
  <c r="AH4" i="83" s="1"/>
  <c r="AI4" i="83" s="1"/>
  <c r="AJ4" i="83" s="1"/>
  <c r="AK4" i="83" s="1"/>
  <c r="AL4" i="83" s="1"/>
  <c r="AM4" i="83" s="1"/>
  <c r="AN4" i="83" s="1"/>
  <c r="AO4" i="83" s="1"/>
  <c r="AP4" i="83" s="1"/>
  <c r="AQ4" i="83" s="1"/>
  <c r="AR4" i="83" s="1"/>
  <c r="AS4" i="83" s="1"/>
  <c r="AT4" i="83" s="1"/>
  <c r="AU4" i="83" s="1"/>
  <c r="AV4" i="83" s="1"/>
  <c r="AW4" i="83" s="1"/>
  <c r="AX4" i="83" s="1"/>
  <c r="AY4" i="83" s="1"/>
  <c r="AF3" i="83"/>
  <c r="AG3" i="83" s="1"/>
  <c r="AH3" i="83" s="1"/>
  <c r="AI3" i="83" s="1"/>
  <c r="AJ3" i="83" s="1"/>
  <c r="AK3" i="83" s="1"/>
  <c r="AL3" i="83" s="1"/>
  <c r="AM3" i="83" s="1"/>
  <c r="AN3" i="83" s="1"/>
  <c r="AO3" i="83" s="1"/>
  <c r="AP3" i="83" s="1"/>
  <c r="AQ3" i="83" s="1"/>
  <c r="AR3" i="83" s="1"/>
  <c r="AS3" i="83" s="1"/>
  <c r="AT3" i="83" s="1"/>
  <c r="AU3" i="83" s="1"/>
  <c r="AV3" i="83" s="1"/>
  <c r="AW3" i="83" s="1"/>
  <c r="AX3" i="83" s="1"/>
  <c r="AY3" i="83" s="1"/>
  <c r="AF2" i="83"/>
  <c r="AG2" i="83" s="1"/>
  <c r="AH2" i="83" s="1"/>
  <c r="AI2" i="83" s="1"/>
  <c r="AJ2" i="83" s="1"/>
  <c r="AK2" i="83" s="1"/>
  <c r="AL2" i="83" s="1"/>
  <c r="AM2" i="83" s="1"/>
  <c r="AN2" i="83" s="1"/>
  <c r="AO2" i="83" s="1"/>
  <c r="AP2" i="83" s="1"/>
  <c r="AQ2" i="83" s="1"/>
  <c r="AR2" i="83" s="1"/>
  <c r="AS2" i="83" s="1"/>
  <c r="AT2" i="83" s="1"/>
  <c r="AU2" i="83" s="1"/>
  <c r="AV2" i="83" s="1"/>
  <c r="AW2" i="83" s="1"/>
  <c r="AX2" i="83" s="1"/>
  <c r="AY2" i="83" s="1"/>
  <c r="AF1" i="83"/>
  <c r="AG1" i="83" s="1"/>
  <c r="AH1" i="83" s="1"/>
  <c r="AI1" i="83" s="1"/>
  <c r="AJ1" i="83" s="1"/>
  <c r="AK1" i="83" s="1"/>
  <c r="AL1" i="83" s="1"/>
  <c r="AM1" i="83" s="1"/>
  <c r="AN1" i="83" s="1"/>
  <c r="AO1" i="83" s="1"/>
  <c r="AP1" i="83" s="1"/>
  <c r="AQ1" i="83" s="1"/>
  <c r="AR1" i="83" s="1"/>
  <c r="AS1" i="83" s="1"/>
  <c r="AT1" i="83" s="1"/>
  <c r="AU1" i="83" s="1"/>
  <c r="AV1" i="83" s="1"/>
  <c r="AW1" i="83" s="1"/>
  <c r="AX1" i="83" s="1"/>
  <c r="AY1" i="83" s="1"/>
  <c r="AF11" i="82"/>
  <c r="AG11" i="82" s="1"/>
  <c r="AH11" i="82" s="1"/>
  <c r="AI11" i="82" s="1"/>
  <c r="AJ11" i="82" s="1"/>
  <c r="AK11" i="82" s="1"/>
  <c r="AL11" i="82" s="1"/>
  <c r="AM11" i="82" s="1"/>
  <c r="AN11" i="82" s="1"/>
  <c r="AO11" i="82" s="1"/>
  <c r="AP11" i="82" s="1"/>
  <c r="AQ11" i="82" s="1"/>
  <c r="AR11" i="82" s="1"/>
  <c r="AS11" i="82" s="1"/>
  <c r="AT11" i="82" s="1"/>
  <c r="AU11" i="82" s="1"/>
  <c r="AV11" i="82" s="1"/>
  <c r="AW11" i="82" s="1"/>
  <c r="AX11" i="82" s="1"/>
  <c r="AY11" i="82" s="1"/>
  <c r="AF10" i="82"/>
  <c r="AG10" i="82" s="1"/>
  <c r="AH10" i="82" s="1"/>
  <c r="AI10" i="82" s="1"/>
  <c r="AJ10" i="82" s="1"/>
  <c r="AK10" i="82" s="1"/>
  <c r="AL10" i="82" s="1"/>
  <c r="AM10" i="82" s="1"/>
  <c r="AN10" i="82" s="1"/>
  <c r="AO10" i="82" s="1"/>
  <c r="AP10" i="82" s="1"/>
  <c r="AQ10" i="82" s="1"/>
  <c r="AR10" i="82" s="1"/>
  <c r="AS10" i="82" s="1"/>
  <c r="AT10" i="82" s="1"/>
  <c r="AU10" i="82" s="1"/>
  <c r="AV10" i="82" s="1"/>
  <c r="AW10" i="82" s="1"/>
  <c r="AX10" i="82" s="1"/>
  <c r="AY10" i="82" s="1"/>
  <c r="AF9" i="82"/>
  <c r="AG9" i="82" s="1"/>
  <c r="AH9" i="82" s="1"/>
  <c r="AI9" i="82" s="1"/>
  <c r="AJ9" i="82" s="1"/>
  <c r="AK9" i="82" s="1"/>
  <c r="AL9" i="82" s="1"/>
  <c r="AM9" i="82" s="1"/>
  <c r="AN9" i="82" s="1"/>
  <c r="AO9" i="82" s="1"/>
  <c r="AP9" i="82" s="1"/>
  <c r="AQ9" i="82" s="1"/>
  <c r="AR9" i="82" s="1"/>
  <c r="AS9" i="82" s="1"/>
  <c r="AT9" i="82" s="1"/>
  <c r="AU9" i="82" s="1"/>
  <c r="AV9" i="82" s="1"/>
  <c r="AW9" i="82" s="1"/>
  <c r="AX9" i="82" s="1"/>
  <c r="AY9" i="82" s="1"/>
  <c r="AF8" i="82"/>
  <c r="AG8" i="82" s="1"/>
  <c r="AH8" i="82" s="1"/>
  <c r="AI8" i="82" s="1"/>
  <c r="AJ8" i="82" s="1"/>
  <c r="AK8" i="82" s="1"/>
  <c r="AL8" i="82" s="1"/>
  <c r="AM8" i="82" s="1"/>
  <c r="AN8" i="82" s="1"/>
  <c r="AO8" i="82" s="1"/>
  <c r="AP8" i="82" s="1"/>
  <c r="AQ8" i="82" s="1"/>
  <c r="AR8" i="82" s="1"/>
  <c r="AS8" i="82" s="1"/>
  <c r="AT8" i="82" s="1"/>
  <c r="AU8" i="82" s="1"/>
  <c r="AV8" i="82" s="1"/>
  <c r="AW8" i="82" s="1"/>
  <c r="AX8" i="82" s="1"/>
  <c r="AY8" i="82" s="1"/>
  <c r="AF7" i="82"/>
  <c r="AG7" i="82" s="1"/>
  <c r="AH7" i="82" s="1"/>
  <c r="AI7" i="82" s="1"/>
  <c r="AJ7" i="82" s="1"/>
  <c r="AK7" i="82" s="1"/>
  <c r="AL7" i="82" s="1"/>
  <c r="AM7" i="82" s="1"/>
  <c r="AN7" i="82" s="1"/>
  <c r="AO7" i="82" s="1"/>
  <c r="AP7" i="82" s="1"/>
  <c r="AQ7" i="82" s="1"/>
  <c r="AR7" i="82" s="1"/>
  <c r="AS7" i="82" s="1"/>
  <c r="AT7" i="82" s="1"/>
  <c r="AU7" i="82" s="1"/>
  <c r="AV7" i="82" s="1"/>
  <c r="AW7" i="82" s="1"/>
  <c r="AX7" i="82" s="1"/>
  <c r="AY7" i="82" s="1"/>
  <c r="AF6" i="82"/>
  <c r="AG6" i="82" s="1"/>
  <c r="AH6" i="82" s="1"/>
  <c r="AI6" i="82" s="1"/>
  <c r="AJ6" i="82" s="1"/>
  <c r="AK6" i="82" s="1"/>
  <c r="AL6" i="82" s="1"/>
  <c r="AM6" i="82" s="1"/>
  <c r="AN6" i="82" s="1"/>
  <c r="AO6" i="82" s="1"/>
  <c r="AP6" i="82" s="1"/>
  <c r="AQ6" i="82" s="1"/>
  <c r="AR6" i="82" s="1"/>
  <c r="AS6" i="82" s="1"/>
  <c r="AT6" i="82" s="1"/>
  <c r="AU6" i="82" s="1"/>
  <c r="AV6" i="82" s="1"/>
  <c r="AW6" i="82" s="1"/>
  <c r="AX6" i="82" s="1"/>
  <c r="AY6" i="82" s="1"/>
  <c r="AF5" i="82"/>
  <c r="AG5" i="82" s="1"/>
  <c r="AH5" i="82" s="1"/>
  <c r="AI5" i="82" s="1"/>
  <c r="AJ5" i="82" s="1"/>
  <c r="AK5" i="82" s="1"/>
  <c r="AL5" i="82" s="1"/>
  <c r="AM5" i="82" s="1"/>
  <c r="AN5" i="82" s="1"/>
  <c r="AO5" i="82" s="1"/>
  <c r="AP5" i="82" s="1"/>
  <c r="AQ5" i="82" s="1"/>
  <c r="AR5" i="82" s="1"/>
  <c r="AS5" i="82" s="1"/>
  <c r="AT5" i="82" s="1"/>
  <c r="AU5" i="82" s="1"/>
  <c r="AV5" i="82" s="1"/>
  <c r="AW5" i="82" s="1"/>
  <c r="AX5" i="82" s="1"/>
  <c r="AY5" i="82" s="1"/>
  <c r="AF4" i="82"/>
  <c r="AG4" i="82" s="1"/>
  <c r="AH4" i="82" s="1"/>
  <c r="AI4" i="82" s="1"/>
  <c r="AJ4" i="82" s="1"/>
  <c r="AK4" i="82" s="1"/>
  <c r="AL4" i="82" s="1"/>
  <c r="AM4" i="82" s="1"/>
  <c r="AN4" i="82" s="1"/>
  <c r="AO4" i="82" s="1"/>
  <c r="AP4" i="82" s="1"/>
  <c r="AQ4" i="82" s="1"/>
  <c r="AR4" i="82" s="1"/>
  <c r="AS4" i="82" s="1"/>
  <c r="AT4" i="82" s="1"/>
  <c r="AU4" i="82" s="1"/>
  <c r="AV4" i="82" s="1"/>
  <c r="AW4" i="82" s="1"/>
  <c r="AX4" i="82" s="1"/>
  <c r="AY4" i="82" s="1"/>
  <c r="AF3" i="82"/>
  <c r="AG3" i="82" s="1"/>
  <c r="AH3" i="82" s="1"/>
  <c r="AI3" i="82" s="1"/>
  <c r="AJ3" i="82" s="1"/>
  <c r="AK3" i="82" s="1"/>
  <c r="AL3" i="82" s="1"/>
  <c r="AM3" i="82" s="1"/>
  <c r="AN3" i="82" s="1"/>
  <c r="AO3" i="82" s="1"/>
  <c r="AP3" i="82" s="1"/>
  <c r="AQ3" i="82" s="1"/>
  <c r="AR3" i="82" s="1"/>
  <c r="AS3" i="82" s="1"/>
  <c r="AT3" i="82" s="1"/>
  <c r="AU3" i="82" s="1"/>
  <c r="AV3" i="82" s="1"/>
  <c r="AW3" i="82" s="1"/>
  <c r="AX3" i="82" s="1"/>
  <c r="AY3" i="82" s="1"/>
  <c r="AF2" i="82"/>
  <c r="AG2" i="82" s="1"/>
  <c r="AH2" i="82" s="1"/>
  <c r="AI2" i="82" s="1"/>
  <c r="AJ2" i="82" s="1"/>
  <c r="AK2" i="82" s="1"/>
  <c r="AL2" i="82" s="1"/>
  <c r="AM2" i="82" s="1"/>
  <c r="AN2" i="82" s="1"/>
  <c r="AO2" i="82" s="1"/>
  <c r="AP2" i="82" s="1"/>
  <c r="AQ2" i="82" s="1"/>
  <c r="AR2" i="82" s="1"/>
  <c r="AS2" i="82" s="1"/>
  <c r="AT2" i="82" s="1"/>
  <c r="AU2" i="82" s="1"/>
  <c r="AV2" i="82" s="1"/>
  <c r="AW2" i="82" s="1"/>
  <c r="AX2" i="82" s="1"/>
  <c r="AY2" i="82" s="1"/>
  <c r="AF1" i="82"/>
  <c r="AG1" i="82" s="1"/>
  <c r="AH1" i="82" s="1"/>
  <c r="AI1" i="82" s="1"/>
  <c r="AJ1" i="82" s="1"/>
  <c r="AK1" i="82" s="1"/>
  <c r="AL1" i="82" s="1"/>
  <c r="AM1" i="82" s="1"/>
  <c r="AN1" i="82" s="1"/>
  <c r="AO1" i="82" s="1"/>
  <c r="AP1" i="82" s="1"/>
  <c r="AQ1" i="82" s="1"/>
  <c r="AR1" i="82" s="1"/>
  <c r="AS1" i="82" s="1"/>
  <c r="AT1" i="82" s="1"/>
  <c r="AU1" i="82" s="1"/>
  <c r="AV1" i="82" s="1"/>
  <c r="AW1" i="82" s="1"/>
  <c r="AX1" i="82" s="1"/>
  <c r="AY1" i="82" s="1"/>
  <c r="AF11" i="81"/>
  <c r="AG11" i="81" s="1"/>
  <c r="AH11" i="81" s="1"/>
  <c r="AI11" i="81" s="1"/>
  <c r="AJ11" i="81" s="1"/>
  <c r="AK11" i="81" s="1"/>
  <c r="AL11" i="81" s="1"/>
  <c r="AM11" i="81" s="1"/>
  <c r="AN11" i="81" s="1"/>
  <c r="AO11" i="81" s="1"/>
  <c r="AP11" i="81" s="1"/>
  <c r="AQ11" i="81" s="1"/>
  <c r="AR11" i="81" s="1"/>
  <c r="AS11" i="81" s="1"/>
  <c r="AT11" i="81" s="1"/>
  <c r="AU11" i="81" s="1"/>
  <c r="AV11" i="81" s="1"/>
  <c r="AW11" i="81" s="1"/>
  <c r="AX11" i="81" s="1"/>
  <c r="AY11" i="81" s="1"/>
  <c r="AG10" i="81"/>
  <c r="AH10" i="81" s="1"/>
  <c r="AI10" i="81" s="1"/>
  <c r="AJ10" i="81" s="1"/>
  <c r="AK10" i="81" s="1"/>
  <c r="AL10" i="81" s="1"/>
  <c r="AM10" i="81" s="1"/>
  <c r="AN10" i="81" s="1"/>
  <c r="AO10" i="81" s="1"/>
  <c r="AP10" i="81" s="1"/>
  <c r="AQ10" i="81" s="1"/>
  <c r="AR10" i="81" s="1"/>
  <c r="AS10" i="81" s="1"/>
  <c r="AT10" i="81" s="1"/>
  <c r="AU10" i="81" s="1"/>
  <c r="AV10" i="81" s="1"/>
  <c r="AW10" i="81" s="1"/>
  <c r="AX10" i="81" s="1"/>
  <c r="AY10" i="81" s="1"/>
  <c r="AF10" i="81"/>
  <c r="AF9" i="81"/>
  <c r="AG9" i="81" s="1"/>
  <c r="AH9" i="81" s="1"/>
  <c r="AI9" i="81" s="1"/>
  <c r="AJ9" i="81" s="1"/>
  <c r="AK9" i="81" s="1"/>
  <c r="AL9" i="81" s="1"/>
  <c r="AM9" i="81" s="1"/>
  <c r="AN9" i="81" s="1"/>
  <c r="AO9" i="81" s="1"/>
  <c r="AP9" i="81" s="1"/>
  <c r="AQ9" i="81" s="1"/>
  <c r="AR9" i="81" s="1"/>
  <c r="AS9" i="81" s="1"/>
  <c r="AT9" i="81" s="1"/>
  <c r="AU9" i="81" s="1"/>
  <c r="AV9" i="81" s="1"/>
  <c r="AW9" i="81" s="1"/>
  <c r="AX9" i="81" s="1"/>
  <c r="AY9" i="81" s="1"/>
  <c r="AG8" i="81"/>
  <c r="AH8" i="81" s="1"/>
  <c r="AI8" i="81" s="1"/>
  <c r="AJ8" i="81" s="1"/>
  <c r="AK8" i="81" s="1"/>
  <c r="AL8" i="81" s="1"/>
  <c r="AM8" i="81" s="1"/>
  <c r="AN8" i="81" s="1"/>
  <c r="AO8" i="81" s="1"/>
  <c r="AP8" i="81" s="1"/>
  <c r="AQ8" i="81" s="1"/>
  <c r="AR8" i="81" s="1"/>
  <c r="AS8" i="81" s="1"/>
  <c r="AT8" i="81" s="1"/>
  <c r="AU8" i="81" s="1"/>
  <c r="AV8" i="81" s="1"/>
  <c r="AW8" i="81" s="1"/>
  <c r="AX8" i="81" s="1"/>
  <c r="AY8" i="81" s="1"/>
  <c r="AF8" i="81"/>
  <c r="AF7" i="81"/>
  <c r="AG7" i="81" s="1"/>
  <c r="AH7" i="81" s="1"/>
  <c r="AI7" i="81" s="1"/>
  <c r="AJ7" i="81" s="1"/>
  <c r="AK7" i="81" s="1"/>
  <c r="AL7" i="81" s="1"/>
  <c r="AM7" i="81" s="1"/>
  <c r="AN7" i="81" s="1"/>
  <c r="AO7" i="81" s="1"/>
  <c r="AP7" i="81" s="1"/>
  <c r="AQ7" i="81" s="1"/>
  <c r="AR7" i="81" s="1"/>
  <c r="AS7" i="81" s="1"/>
  <c r="AT7" i="81" s="1"/>
  <c r="AU7" i="81" s="1"/>
  <c r="AV7" i="81" s="1"/>
  <c r="AW7" i="81" s="1"/>
  <c r="AX7" i="81" s="1"/>
  <c r="AY7" i="81" s="1"/>
  <c r="AG6" i="81"/>
  <c r="AH6" i="81" s="1"/>
  <c r="AI6" i="81" s="1"/>
  <c r="AJ6" i="81" s="1"/>
  <c r="AK6" i="81" s="1"/>
  <c r="AL6" i="81" s="1"/>
  <c r="AM6" i="81" s="1"/>
  <c r="AN6" i="81" s="1"/>
  <c r="AO6" i="81" s="1"/>
  <c r="AP6" i="81" s="1"/>
  <c r="AQ6" i="81" s="1"/>
  <c r="AR6" i="81" s="1"/>
  <c r="AS6" i="81" s="1"/>
  <c r="AT6" i="81" s="1"/>
  <c r="AU6" i="81" s="1"/>
  <c r="AV6" i="81" s="1"/>
  <c r="AW6" i="81" s="1"/>
  <c r="AX6" i="81" s="1"/>
  <c r="AY6" i="81" s="1"/>
  <c r="AF6" i="81"/>
  <c r="AF5" i="81"/>
  <c r="AG5" i="81" s="1"/>
  <c r="AH5" i="81" s="1"/>
  <c r="AI5" i="81" s="1"/>
  <c r="AJ5" i="81" s="1"/>
  <c r="AK5" i="81" s="1"/>
  <c r="AL5" i="81" s="1"/>
  <c r="AM5" i="81" s="1"/>
  <c r="AN5" i="81" s="1"/>
  <c r="AO5" i="81" s="1"/>
  <c r="AP5" i="81" s="1"/>
  <c r="AQ5" i="81" s="1"/>
  <c r="AR5" i="81" s="1"/>
  <c r="AS5" i="81" s="1"/>
  <c r="AT5" i="81" s="1"/>
  <c r="AU5" i="81" s="1"/>
  <c r="AV5" i="81" s="1"/>
  <c r="AW5" i="81" s="1"/>
  <c r="AX5" i="81" s="1"/>
  <c r="AY5" i="81" s="1"/>
  <c r="AG4" i="81"/>
  <c r="AH4" i="81" s="1"/>
  <c r="AI4" i="81" s="1"/>
  <c r="AJ4" i="81" s="1"/>
  <c r="AK4" i="81" s="1"/>
  <c r="AL4" i="81" s="1"/>
  <c r="AM4" i="81" s="1"/>
  <c r="AN4" i="81" s="1"/>
  <c r="AO4" i="81" s="1"/>
  <c r="AP4" i="81" s="1"/>
  <c r="AQ4" i="81" s="1"/>
  <c r="AR4" i="81" s="1"/>
  <c r="AS4" i="81" s="1"/>
  <c r="AT4" i="81" s="1"/>
  <c r="AU4" i="81" s="1"/>
  <c r="AV4" i="81" s="1"/>
  <c r="AW4" i="81" s="1"/>
  <c r="AX4" i="81" s="1"/>
  <c r="AY4" i="81" s="1"/>
  <c r="AF4" i="81"/>
  <c r="AF3" i="81"/>
  <c r="AG3" i="81" s="1"/>
  <c r="AH3" i="81" s="1"/>
  <c r="AI3" i="81" s="1"/>
  <c r="AJ3" i="81" s="1"/>
  <c r="AK3" i="81" s="1"/>
  <c r="AL3" i="81" s="1"/>
  <c r="AM3" i="81" s="1"/>
  <c r="AN3" i="81" s="1"/>
  <c r="AO3" i="81" s="1"/>
  <c r="AP3" i="81" s="1"/>
  <c r="AQ3" i="81" s="1"/>
  <c r="AR3" i="81" s="1"/>
  <c r="AS3" i="81" s="1"/>
  <c r="AT3" i="81" s="1"/>
  <c r="AU3" i="81" s="1"/>
  <c r="AV3" i="81" s="1"/>
  <c r="AW3" i="81" s="1"/>
  <c r="AX3" i="81" s="1"/>
  <c r="AY3" i="81" s="1"/>
  <c r="AG2" i="81"/>
  <c r="AH2" i="81" s="1"/>
  <c r="AI2" i="81" s="1"/>
  <c r="AJ2" i="81" s="1"/>
  <c r="AK2" i="81" s="1"/>
  <c r="AL2" i="81" s="1"/>
  <c r="AM2" i="81" s="1"/>
  <c r="AN2" i="81" s="1"/>
  <c r="AO2" i="81" s="1"/>
  <c r="AP2" i="81" s="1"/>
  <c r="AQ2" i="81" s="1"/>
  <c r="AR2" i="81" s="1"/>
  <c r="AS2" i="81" s="1"/>
  <c r="AT2" i="81" s="1"/>
  <c r="AU2" i="81" s="1"/>
  <c r="AV2" i="81" s="1"/>
  <c r="AW2" i="81" s="1"/>
  <c r="AX2" i="81" s="1"/>
  <c r="AY2" i="81" s="1"/>
  <c r="AF2" i="81"/>
  <c r="AF1" i="81"/>
  <c r="AG1" i="81" s="1"/>
  <c r="AH1" i="81" s="1"/>
  <c r="AI1" i="81" s="1"/>
  <c r="AJ1" i="81" s="1"/>
  <c r="AK1" i="81" s="1"/>
  <c r="AL1" i="81" s="1"/>
  <c r="AM1" i="81" s="1"/>
  <c r="AN1" i="81" s="1"/>
  <c r="AO1" i="81" s="1"/>
  <c r="AP1" i="81" s="1"/>
  <c r="AQ1" i="81" s="1"/>
  <c r="AR1" i="81" s="1"/>
  <c r="AS1" i="81" s="1"/>
  <c r="AT1" i="81" s="1"/>
  <c r="AU1" i="81" s="1"/>
  <c r="AV1" i="81" s="1"/>
  <c r="AW1" i="81" s="1"/>
  <c r="AX1" i="81" s="1"/>
  <c r="AY1" i="81" s="1"/>
  <c r="AF11" i="80"/>
  <c r="AG11" i="80" s="1"/>
  <c r="AH11" i="80" s="1"/>
  <c r="AI11" i="80" s="1"/>
  <c r="AJ11" i="80" s="1"/>
  <c r="AK11" i="80" s="1"/>
  <c r="AL11" i="80" s="1"/>
  <c r="AM11" i="80" s="1"/>
  <c r="AN11" i="80" s="1"/>
  <c r="AO11" i="80" s="1"/>
  <c r="AP11" i="80" s="1"/>
  <c r="AQ11" i="80" s="1"/>
  <c r="AR11" i="80" s="1"/>
  <c r="AS11" i="80" s="1"/>
  <c r="AT11" i="80" s="1"/>
  <c r="AU11" i="80" s="1"/>
  <c r="AV11" i="80" s="1"/>
  <c r="AW11" i="80" s="1"/>
  <c r="AX11" i="80" s="1"/>
  <c r="AY11" i="80" s="1"/>
  <c r="AF10" i="80"/>
  <c r="AG10" i="80" s="1"/>
  <c r="AH10" i="80" s="1"/>
  <c r="AI10" i="80" s="1"/>
  <c r="AJ10" i="80" s="1"/>
  <c r="AK10" i="80" s="1"/>
  <c r="AL10" i="80" s="1"/>
  <c r="AM10" i="80" s="1"/>
  <c r="AN10" i="80" s="1"/>
  <c r="AO10" i="80" s="1"/>
  <c r="AP10" i="80" s="1"/>
  <c r="AQ10" i="80" s="1"/>
  <c r="AR10" i="80" s="1"/>
  <c r="AS10" i="80" s="1"/>
  <c r="AT10" i="80" s="1"/>
  <c r="AU10" i="80" s="1"/>
  <c r="AV10" i="80" s="1"/>
  <c r="AW10" i="80" s="1"/>
  <c r="AX10" i="80" s="1"/>
  <c r="AY10" i="80" s="1"/>
  <c r="AF9" i="80"/>
  <c r="AG9" i="80" s="1"/>
  <c r="AH9" i="80" s="1"/>
  <c r="AI9" i="80" s="1"/>
  <c r="AJ9" i="80" s="1"/>
  <c r="AK9" i="80" s="1"/>
  <c r="AL9" i="80" s="1"/>
  <c r="AM9" i="80" s="1"/>
  <c r="AN9" i="80" s="1"/>
  <c r="AO9" i="80" s="1"/>
  <c r="AP9" i="80" s="1"/>
  <c r="AQ9" i="80" s="1"/>
  <c r="AR9" i="80" s="1"/>
  <c r="AS9" i="80" s="1"/>
  <c r="AT9" i="80" s="1"/>
  <c r="AU9" i="80" s="1"/>
  <c r="AV9" i="80" s="1"/>
  <c r="AW9" i="80" s="1"/>
  <c r="AX9" i="80" s="1"/>
  <c r="AY9" i="80" s="1"/>
  <c r="AF8" i="80"/>
  <c r="AG8" i="80" s="1"/>
  <c r="AH8" i="80" s="1"/>
  <c r="AI8" i="80" s="1"/>
  <c r="AJ8" i="80" s="1"/>
  <c r="AK8" i="80" s="1"/>
  <c r="AL8" i="80" s="1"/>
  <c r="AM8" i="80" s="1"/>
  <c r="AN8" i="80" s="1"/>
  <c r="AO8" i="80" s="1"/>
  <c r="AP8" i="80" s="1"/>
  <c r="AQ8" i="80" s="1"/>
  <c r="AR8" i="80" s="1"/>
  <c r="AS8" i="80" s="1"/>
  <c r="AT8" i="80" s="1"/>
  <c r="AU8" i="80" s="1"/>
  <c r="AV8" i="80" s="1"/>
  <c r="AW8" i="80" s="1"/>
  <c r="AX8" i="80" s="1"/>
  <c r="AY8" i="80" s="1"/>
  <c r="AF7" i="80"/>
  <c r="AG7" i="80" s="1"/>
  <c r="AH7" i="80" s="1"/>
  <c r="AI7" i="80" s="1"/>
  <c r="AJ7" i="80" s="1"/>
  <c r="AK7" i="80" s="1"/>
  <c r="AL7" i="80" s="1"/>
  <c r="AM7" i="80" s="1"/>
  <c r="AN7" i="80" s="1"/>
  <c r="AO7" i="80" s="1"/>
  <c r="AP7" i="80" s="1"/>
  <c r="AQ7" i="80" s="1"/>
  <c r="AR7" i="80" s="1"/>
  <c r="AS7" i="80" s="1"/>
  <c r="AT7" i="80" s="1"/>
  <c r="AU7" i="80" s="1"/>
  <c r="AV7" i="80" s="1"/>
  <c r="AW7" i="80" s="1"/>
  <c r="AX7" i="80" s="1"/>
  <c r="AY7" i="80" s="1"/>
  <c r="AF6" i="80"/>
  <c r="AG6" i="80" s="1"/>
  <c r="AH6" i="80" s="1"/>
  <c r="AI6" i="80" s="1"/>
  <c r="AJ6" i="80" s="1"/>
  <c r="AK6" i="80" s="1"/>
  <c r="AL6" i="80" s="1"/>
  <c r="AM6" i="80" s="1"/>
  <c r="AN6" i="80" s="1"/>
  <c r="AO6" i="80" s="1"/>
  <c r="AP6" i="80" s="1"/>
  <c r="AQ6" i="80" s="1"/>
  <c r="AR6" i="80" s="1"/>
  <c r="AS6" i="80" s="1"/>
  <c r="AT6" i="80" s="1"/>
  <c r="AU6" i="80" s="1"/>
  <c r="AV6" i="80" s="1"/>
  <c r="AW6" i="80" s="1"/>
  <c r="AX6" i="80" s="1"/>
  <c r="AY6" i="80" s="1"/>
  <c r="AF5" i="80"/>
  <c r="AG5" i="80" s="1"/>
  <c r="AH5" i="80" s="1"/>
  <c r="AI5" i="80" s="1"/>
  <c r="AJ5" i="80" s="1"/>
  <c r="AK5" i="80" s="1"/>
  <c r="AL5" i="80" s="1"/>
  <c r="AM5" i="80" s="1"/>
  <c r="AN5" i="80" s="1"/>
  <c r="AO5" i="80" s="1"/>
  <c r="AP5" i="80" s="1"/>
  <c r="AQ5" i="80" s="1"/>
  <c r="AR5" i="80" s="1"/>
  <c r="AS5" i="80" s="1"/>
  <c r="AT5" i="80" s="1"/>
  <c r="AU5" i="80" s="1"/>
  <c r="AV5" i="80" s="1"/>
  <c r="AW5" i="80" s="1"/>
  <c r="AX5" i="80" s="1"/>
  <c r="AY5" i="80" s="1"/>
  <c r="AF4" i="80"/>
  <c r="AG4" i="80" s="1"/>
  <c r="AH4" i="80" s="1"/>
  <c r="AI4" i="80" s="1"/>
  <c r="AJ4" i="80" s="1"/>
  <c r="AK4" i="80" s="1"/>
  <c r="AL4" i="80" s="1"/>
  <c r="AM4" i="80" s="1"/>
  <c r="AN4" i="80" s="1"/>
  <c r="AO4" i="80" s="1"/>
  <c r="AP4" i="80" s="1"/>
  <c r="AQ4" i="80" s="1"/>
  <c r="AR4" i="80" s="1"/>
  <c r="AS4" i="80" s="1"/>
  <c r="AT4" i="80" s="1"/>
  <c r="AU4" i="80" s="1"/>
  <c r="AV4" i="80" s="1"/>
  <c r="AW4" i="80" s="1"/>
  <c r="AX4" i="80" s="1"/>
  <c r="AY4" i="80" s="1"/>
  <c r="AF3" i="80"/>
  <c r="AG3" i="80" s="1"/>
  <c r="AH3" i="80" s="1"/>
  <c r="AI3" i="80" s="1"/>
  <c r="AJ3" i="80" s="1"/>
  <c r="AK3" i="80" s="1"/>
  <c r="AL3" i="80" s="1"/>
  <c r="AM3" i="80" s="1"/>
  <c r="AN3" i="80" s="1"/>
  <c r="AO3" i="80" s="1"/>
  <c r="AP3" i="80" s="1"/>
  <c r="AQ3" i="80" s="1"/>
  <c r="AR3" i="80" s="1"/>
  <c r="AS3" i="80" s="1"/>
  <c r="AT3" i="80" s="1"/>
  <c r="AU3" i="80" s="1"/>
  <c r="AV3" i="80" s="1"/>
  <c r="AW3" i="80" s="1"/>
  <c r="AX3" i="80" s="1"/>
  <c r="AY3" i="80" s="1"/>
  <c r="AF2" i="80"/>
  <c r="AG2" i="80" s="1"/>
  <c r="AH2" i="80" s="1"/>
  <c r="AI2" i="80" s="1"/>
  <c r="AJ2" i="80" s="1"/>
  <c r="AK2" i="80" s="1"/>
  <c r="AL2" i="80" s="1"/>
  <c r="AM2" i="80" s="1"/>
  <c r="AN2" i="80" s="1"/>
  <c r="AO2" i="80" s="1"/>
  <c r="AP2" i="80" s="1"/>
  <c r="AQ2" i="80" s="1"/>
  <c r="AR2" i="80" s="1"/>
  <c r="AS2" i="80" s="1"/>
  <c r="AT2" i="80" s="1"/>
  <c r="AU2" i="80" s="1"/>
  <c r="AV2" i="80" s="1"/>
  <c r="AW2" i="80" s="1"/>
  <c r="AX2" i="80" s="1"/>
  <c r="AY2" i="80" s="1"/>
  <c r="AF1" i="80"/>
  <c r="AG1" i="80" s="1"/>
  <c r="AH1" i="80" s="1"/>
  <c r="AI1" i="80" s="1"/>
  <c r="AJ1" i="80" s="1"/>
  <c r="AK1" i="80" s="1"/>
  <c r="AL1" i="80" s="1"/>
  <c r="AM1" i="80" s="1"/>
  <c r="AN1" i="80" s="1"/>
  <c r="AO1" i="80" s="1"/>
  <c r="AP1" i="80" s="1"/>
  <c r="AQ1" i="80" s="1"/>
  <c r="AR1" i="80" s="1"/>
  <c r="AS1" i="80" s="1"/>
  <c r="AT1" i="80" s="1"/>
  <c r="AU1" i="80" s="1"/>
  <c r="AV1" i="80" s="1"/>
  <c r="AW1" i="80" s="1"/>
  <c r="AX1" i="80" s="1"/>
  <c r="AY1" i="80" s="1"/>
  <c r="AF11" i="79"/>
  <c r="AG11" i="79" s="1"/>
  <c r="AH11" i="79" s="1"/>
  <c r="AI11" i="79" s="1"/>
  <c r="AJ11" i="79" s="1"/>
  <c r="AK11" i="79" s="1"/>
  <c r="AL11" i="79" s="1"/>
  <c r="AM11" i="79" s="1"/>
  <c r="AN11" i="79" s="1"/>
  <c r="AO11" i="79" s="1"/>
  <c r="AP11" i="79" s="1"/>
  <c r="AQ11" i="79" s="1"/>
  <c r="AR11" i="79" s="1"/>
  <c r="AS11" i="79" s="1"/>
  <c r="AT11" i="79" s="1"/>
  <c r="AU11" i="79" s="1"/>
  <c r="AV11" i="79" s="1"/>
  <c r="AW11" i="79" s="1"/>
  <c r="AX11" i="79" s="1"/>
  <c r="AY11" i="79" s="1"/>
  <c r="AF10" i="79"/>
  <c r="AG10" i="79" s="1"/>
  <c r="AH10" i="79" s="1"/>
  <c r="AI10" i="79" s="1"/>
  <c r="AJ10" i="79" s="1"/>
  <c r="AK10" i="79" s="1"/>
  <c r="AL10" i="79" s="1"/>
  <c r="AM10" i="79" s="1"/>
  <c r="AN10" i="79" s="1"/>
  <c r="AO10" i="79" s="1"/>
  <c r="AP10" i="79" s="1"/>
  <c r="AQ10" i="79" s="1"/>
  <c r="AR10" i="79" s="1"/>
  <c r="AS10" i="79" s="1"/>
  <c r="AT10" i="79" s="1"/>
  <c r="AU10" i="79" s="1"/>
  <c r="AV10" i="79" s="1"/>
  <c r="AW10" i="79" s="1"/>
  <c r="AX10" i="79" s="1"/>
  <c r="AY10" i="79" s="1"/>
  <c r="AF9" i="79"/>
  <c r="AG9" i="79" s="1"/>
  <c r="AH9" i="79" s="1"/>
  <c r="AI9" i="79" s="1"/>
  <c r="AJ9" i="79" s="1"/>
  <c r="AK9" i="79" s="1"/>
  <c r="AL9" i="79" s="1"/>
  <c r="AM9" i="79" s="1"/>
  <c r="AN9" i="79" s="1"/>
  <c r="AO9" i="79" s="1"/>
  <c r="AP9" i="79" s="1"/>
  <c r="AQ9" i="79" s="1"/>
  <c r="AR9" i="79" s="1"/>
  <c r="AS9" i="79" s="1"/>
  <c r="AT9" i="79" s="1"/>
  <c r="AU9" i="79" s="1"/>
  <c r="AV9" i="79" s="1"/>
  <c r="AW9" i="79" s="1"/>
  <c r="AX9" i="79" s="1"/>
  <c r="AY9" i="79" s="1"/>
  <c r="AF8" i="79"/>
  <c r="AG8" i="79" s="1"/>
  <c r="AH8" i="79" s="1"/>
  <c r="AI8" i="79" s="1"/>
  <c r="AJ8" i="79" s="1"/>
  <c r="AK8" i="79" s="1"/>
  <c r="AL8" i="79" s="1"/>
  <c r="AM8" i="79" s="1"/>
  <c r="AN8" i="79" s="1"/>
  <c r="AO8" i="79" s="1"/>
  <c r="AP8" i="79" s="1"/>
  <c r="AQ8" i="79" s="1"/>
  <c r="AR8" i="79" s="1"/>
  <c r="AS8" i="79" s="1"/>
  <c r="AT8" i="79" s="1"/>
  <c r="AU8" i="79" s="1"/>
  <c r="AV8" i="79" s="1"/>
  <c r="AW8" i="79" s="1"/>
  <c r="AX8" i="79" s="1"/>
  <c r="AY8" i="79" s="1"/>
  <c r="AF7" i="79"/>
  <c r="AG7" i="79" s="1"/>
  <c r="AH7" i="79" s="1"/>
  <c r="AI7" i="79" s="1"/>
  <c r="AJ7" i="79" s="1"/>
  <c r="AK7" i="79" s="1"/>
  <c r="AL7" i="79" s="1"/>
  <c r="AM7" i="79" s="1"/>
  <c r="AN7" i="79" s="1"/>
  <c r="AO7" i="79" s="1"/>
  <c r="AP7" i="79" s="1"/>
  <c r="AQ7" i="79" s="1"/>
  <c r="AR7" i="79" s="1"/>
  <c r="AS7" i="79" s="1"/>
  <c r="AT7" i="79" s="1"/>
  <c r="AU7" i="79" s="1"/>
  <c r="AV7" i="79" s="1"/>
  <c r="AW7" i="79" s="1"/>
  <c r="AX7" i="79" s="1"/>
  <c r="AY7" i="79" s="1"/>
  <c r="AF6" i="79"/>
  <c r="AG6" i="79" s="1"/>
  <c r="AH6" i="79" s="1"/>
  <c r="AI6" i="79" s="1"/>
  <c r="AJ6" i="79" s="1"/>
  <c r="AK6" i="79" s="1"/>
  <c r="AL6" i="79" s="1"/>
  <c r="AM6" i="79" s="1"/>
  <c r="AN6" i="79" s="1"/>
  <c r="AO6" i="79" s="1"/>
  <c r="AP6" i="79" s="1"/>
  <c r="AQ6" i="79" s="1"/>
  <c r="AR6" i="79" s="1"/>
  <c r="AS6" i="79" s="1"/>
  <c r="AT6" i="79" s="1"/>
  <c r="AU6" i="79" s="1"/>
  <c r="AV6" i="79" s="1"/>
  <c r="AW6" i="79" s="1"/>
  <c r="AX6" i="79" s="1"/>
  <c r="AY6" i="79" s="1"/>
  <c r="AF5" i="79"/>
  <c r="AG5" i="79" s="1"/>
  <c r="AH5" i="79" s="1"/>
  <c r="AI5" i="79" s="1"/>
  <c r="AJ5" i="79" s="1"/>
  <c r="AK5" i="79" s="1"/>
  <c r="AL5" i="79" s="1"/>
  <c r="AM5" i="79" s="1"/>
  <c r="AN5" i="79" s="1"/>
  <c r="AO5" i="79" s="1"/>
  <c r="AP5" i="79" s="1"/>
  <c r="AQ5" i="79" s="1"/>
  <c r="AR5" i="79" s="1"/>
  <c r="AS5" i="79" s="1"/>
  <c r="AT5" i="79" s="1"/>
  <c r="AU5" i="79" s="1"/>
  <c r="AV5" i="79" s="1"/>
  <c r="AW5" i="79" s="1"/>
  <c r="AX5" i="79" s="1"/>
  <c r="AY5" i="79" s="1"/>
  <c r="AF4" i="79"/>
  <c r="AG4" i="79" s="1"/>
  <c r="AH4" i="79" s="1"/>
  <c r="AI4" i="79" s="1"/>
  <c r="AJ4" i="79" s="1"/>
  <c r="AK4" i="79" s="1"/>
  <c r="AL4" i="79" s="1"/>
  <c r="AM4" i="79" s="1"/>
  <c r="AN4" i="79" s="1"/>
  <c r="AO4" i="79" s="1"/>
  <c r="AP4" i="79" s="1"/>
  <c r="AQ4" i="79" s="1"/>
  <c r="AR4" i="79" s="1"/>
  <c r="AS4" i="79" s="1"/>
  <c r="AT4" i="79" s="1"/>
  <c r="AU4" i="79" s="1"/>
  <c r="AV4" i="79" s="1"/>
  <c r="AW4" i="79" s="1"/>
  <c r="AX4" i="79" s="1"/>
  <c r="AY4" i="79" s="1"/>
  <c r="AF3" i="79"/>
  <c r="AG3" i="79" s="1"/>
  <c r="AH3" i="79" s="1"/>
  <c r="AI3" i="79" s="1"/>
  <c r="AJ3" i="79" s="1"/>
  <c r="AK3" i="79" s="1"/>
  <c r="AL3" i="79" s="1"/>
  <c r="AM3" i="79" s="1"/>
  <c r="AN3" i="79" s="1"/>
  <c r="AO3" i="79" s="1"/>
  <c r="AP3" i="79" s="1"/>
  <c r="AQ3" i="79" s="1"/>
  <c r="AR3" i="79" s="1"/>
  <c r="AS3" i="79" s="1"/>
  <c r="AT3" i="79" s="1"/>
  <c r="AU3" i="79" s="1"/>
  <c r="AV3" i="79" s="1"/>
  <c r="AW3" i="79" s="1"/>
  <c r="AX3" i="79" s="1"/>
  <c r="AY3" i="79" s="1"/>
  <c r="AF2" i="79"/>
  <c r="AG2" i="79" s="1"/>
  <c r="AH2" i="79" s="1"/>
  <c r="AI2" i="79" s="1"/>
  <c r="AJ2" i="79" s="1"/>
  <c r="AK2" i="79" s="1"/>
  <c r="AL2" i="79" s="1"/>
  <c r="AM2" i="79" s="1"/>
  <c r="AN2" i="79" s="1"/>
  <c r="AO2" i="79" s="1"/>
  <c r="AP2" i="79" s="1"/>
  <c r="AQ2" i="79" s="1"/>
  <c r="AR2" i="79" s="1"/>
  <c r="AS2" i="79" s="1"/>
  <c r="AT2" i="79" s="1"/>
  <c r="AU2" i="79" s="1"/>
  <c r="AV2" i="79" s="1"/>
  <c r="AW2" i="79" s="1"/>
  <c r="AX2" i="79" s="1"/>
  <c r="AY2" i="79" s="1"/>
  <c r="AF1" i="79"/>
  <c r="AG1" i="79" s="1"/>
  <c r="AH1" i="79" s="1"/>
  <c r="AI1" i="79" s="1"/>
  <c r="AJ1" i="79" s="1"/>
  <c r="AK1" i="79" s="1"/>
  <c r="AL1" i="79" s="1"/>
  <c r="AM1" i="79" s="1"/>
  <c r="AN1" i="79" s="1"/>
  <c r="AO1" i="79" s="1"/>
  <c r="AP1" i="79" s="1"/>
  <c r="AQ1" i="79" s="1"/>
  <c r="AR1" i="79" s="1"/>
  <c r="AS1" i="79" s="1"/>
  <c r="AT1" i="79" s="1"/>
  <c r="AU1" i="79" s="1"/>
  <c r="AV1" i="79" s="1"/>
  <c r="AW1" i="79" s="1"/>
  <c r="AX1" i="79" s="1"/>
  <c r="AY1" i="79" s="1"/>
  <c r="AF11" i="78"/>
  <c r="AG11" i="78" s="1"/>
  <c r="AH11" i="78" s="1"/>
  <c r="AI11" i="78" s="1"/>
  <c r="AJ11" i="78" s="1"/>
  <c r="AK11" i="78" s="1"/>
  <c r="AL11" i="78" s="1"/>
  <c r="AM11" i="78" s="1"/>
  <c r="AN11" i="78" s="1"/>
  <c r="AO11" i="78" s="1"/>
  <c r="AP11" i="78" s="1"/>
  <c r="AQ11" i="78" s="1"/>
  <c r="AR11" i="78" s="1"/>
  <c r="AS11" i="78" s="1"/>
  <c r="AT11" i="78" s="1"/>
  <c r="AU11" i="78" s="1"/>
  <c r="AV11" i="78" s="1"/>
  <c r="AW11" i="78" s="1"/>
  <c r="AX11" i="78" s="1"/>
  <c r="AY11" i="78" s="1"/>
  <c r="AF10" i="78"/>
  <c r="AG10" i="78" s="1"/>
  <c r="AH10" i="78" s="1"/>
  <c r="AI10" i="78" s="1"/>
  <c r="AJ10" i="78" s="1"/>
  <c r="AK10" i="78" s="1"/>
  <c r="AL10" i="78" s="1"/>
  <c r="AM10" i="78" s="1"/>
  <c r="AN10" i="78" s="1"/>
  <c r="AO10" i="78" s="1"/>
  <c r="AP10" i="78" s="1"/>
  <c r="AQ10" i="78" s="1"/>
  <c r="AR10" i="78" s="1"/>
  <c r="AS10" i="78" s="1"/>
  <c r="AT10" i="78" s="1"/>
  <c r="AU10" i="78" s="1"/>
  <c r="AV10" i="78" s="1"/>
  <c r="AW10" i="78" s="1"/>
  <c r="AX10" i="78" s="1"/>
  <c r="AY10" i="78" s="1"/>
  <c r="AF9" i="78"/>
  <c r="AG9" i="78" s="1"/>
  <c r="AH9" i="78" s="1"/>
  <c r="AI9" i="78" s="1"/>
  <c r="AJ9" i="78" s="1"/>
  <c r="AK9" i="78" s="1"/>
  <c r="AL9" i="78" s="1"/>
  <c r="AM9" i="78" s="1"/>
  <c r="AN9" i="78" s="1"/>
  <c r="AO9" i="78" s="1"/>
  <c r="AP9" i="78" s="1"/>
  <c r="AQ9" i="78" s="1"/>
  <c r="AR9" i="78" s="1"/>
  <c r="AS9" i="78" s="1"/>
  <c r="AT9" i="78" s="1"/>
  <c r="AU9" i="78" s="1"/>
  <c r="AV9" i="78" s="1"/>
  <c r="AW9" i="78" s="1"/>
  <c r="AX9" i="78" s="1"/>
  <c r="AY9" i="78" s="1"/>
  <c r="AF8" i="78"/>
  <c r="AG8" i="78" s="1"/>
  <c r="AH8" i="78" s="1"/>
  <c r="AI8" i="78" s="1"/>
  <c r="AJ8" i="78" s="1"/>
  <c r="AK8" i="78" s="1"/>
  <c r="AL8" i="78" s="1"/>
  <c r="AM8" i="78" s="1"/>
  <c r="AN8" i="78" s="1"/>
  <c r="AO8" i="78" s="1"/>
  <c r="AP8" i="78" s="1"/>
  <c r="AQ8" i="78" s="1"/>
  <c r="AR8" i="78" s="1"/>
  <c r="AS8" i="78" s="1"/>
  <c r="AT8" i="78" s="1"/>
  <c r="AU8" i="78" s="1"/>
  <c r="AV8" i="78" s="1"/>
  <c r="AW8" i="78" s="1"/>
  <c r="AX8" i="78" s="1"/>
  <c r="AY8" i="78" s="1"/>
  <c r="AF7" i="78"/>
  <c r="AG7" i="78" s="1"/>
  <c r="AH7" i="78" s="1"/>
  <c r="AI7" i="78" s="1"/>
  <c r="AJ7" i="78" s="1"/>
  <c r="AK7" i="78" s="1"/>
  <c r="AL7" i="78" s="1"/>
  <c r="AM7" i="78" s="1"/>
  <c r="AN7" i="78" s="1"/>
  <c r="AO7" i="78" s="1"/>
  <c r="AP7" i="78" s="1"/>
  <c r="AQ7" i="78" s="1"/>
  <c r="AR7" i="78" s="1"/>
  <c r="AS7" i="78" s="1"/>
  <c r="AT7" i="78" s="1"/>
  <c r="AU7" i="78" s="1"/>
  <c r="AV7" i="78" s="1"/>
  <c r="AW7" i="78" s="1"/>
  <c r="AX7" i="78" s="1"/>
  <c r="AY7" i="78" s="1"/>
  <c r="AF6" i="78"/>
  <c r="AG6" i="78" s="1"/>
  <c r="AH6" i="78" s="1"/>
  <c r="AI6" i="78" s="1"/>
  <c r="AJ6" i="78" s="1"/>
  <c r="AK6" i="78" s="1"/>
  <c r="AL6" i="78" s="1"/>
  <c r="AM6" i="78" s="1"/>
  <c r="AN6" i="78" s="1"/>
  <c r="AO6" i="78" s="1"/>
  <c r="AP6" i="78" s="1"/>
  <c r="AQ6" i="78" s="1"/>
  <c r="AR6" i="78" s="1"/>
  <c r="AS6" i="78" s="1"/>
  <c r="AT6" i="78" s="1"/>
  <c r="AU6" i="78" s="1"/>
  <c r="AV6" i="78" s="1"/>
  <c r="AW6" i="78" s="1"/>
  <c r="AX6" i="78" s="1"/>
  <c r="AY6" i="78" s="1"/>
  <c r="AF5" i="78"/>
  <c r="AG5" i="78" s="1"/>
  <c r="AH5" i="78" s="1"/>
  <c r="AI5" i="78" s="1"/>
  <c r="AJ5" i="78" s="1"/>
  <c r="AK5" i="78" s="1"/>
  <c r="AL5" i="78" s="1"/>
  <c r="AM5" i="78" s="1"/>
  <c r="AN5" i="78" s="1"/>
  <c r="AO5" i="78" s="1"/>
  <c r="AP5" i="78" s="1"/>
  <c r="AQ5" i="78" s="1"/>
  <c r="AR5" i="78" s="1"/>
  <c r="AS5" i="78" s="1"/>
  <c r="AT5" i="78" s="1"/>
  <c r="AU5" i="78" s="1"/>
  <c r="AV5" i="78" s="1"/>
  <c r="AW5" i="78" s="1"/>
  <c r="AX5" i="78" s="1"/>
  <c r="AY5" i="78" s="1"/>
  <c r="AF4" i="78"/>
  <c r="AG4" i="78" s="1"/>
  <c r="AH4" i="78" s="1"/>
  <c r="AI4" i="78" s="1"/>
  <c r="AJ4" i="78" s="1"/>
  <c r="AK4" i="78" s="1"/>
  <c r="AL4" i="78" s="1"/>
  <c r="AM4" i="78" s="1"/>
  <c r="AN4" i="78" s="1"/>
  <c r="AO4" i="78" s="1"/>
  <c r="AP4" i="78" s="1"/>
  <c r="AQ4" i="78" s="1"/>
  <c r="AR4" i="78" s="1"/>
  <c r="AS4" i="78" s="1"/>
  <c r="AT4" i="78" s="1"/>
  <c r="AU4" i="78" s="1"/>
  <c r="AV4" i="78" s="1"/>
  <c r="AW4" i="78" s="1"/>
  <c r="AX4" i="78" s="1"/>
  <c r="AY4" i="78" s="1"/>
  <c r="AF3" i="78"/>
  <c r="AG3" i="78" s="1"/>
  <c r="AH3" i="78" s="1"/>
  <c r="AI3" i="78" s="1"/>
  <c r="AJ3" i="78" s="1"/>
  <c r="AK3" i="78" s="1"/>
  <c r="AL3" i="78" s="1"/>
  <c r="AM3" i="78" s="1"/>
  <c r="AN3" i="78" s="1"/>
  <c r="AO3" i="78" s="1"/>
  <c r="AP3" i="78" s="1"/>
  <c r="AQ3" i="78" s="1"/>
  <c r="AR3" i="78" s="1"/>
  <c r="AS3" i="78" s="1"/>
  <c r="AT3" i="78" s="1"/>
  <c r="AU3" i="78" s="1"/>
  <c r="AV3" i="78" s="1"/>
  <c r="AW3" i="78" s="1"/>
  <c r="AX3" i="78" s="1"/>
  <c r="AY3" i="78" s="1"/>
  <c r="AF2" i="78"/>
  <c r="AG2" i="78" s="1"/>
  <c r="AH2" i="78" s="1"/>
  <c r="AI2" i="78" s="1"/>
  <c r="AJ2" i="78" s="1"/>
  <c r="AK2" i="78" s="1"/>
  <c r="AL2" i="78" s="1"/>
  <c r="AM2" i="78" s="1"/>
  <c r="AN2" i="78" s="1"/>
  <c r="AO2" i="78" s="1"/>
  <c r="AP2" i="78" s="1"/>
  <c r="AQ2" i="78" s="1"/>
  <c r="AR2" i="78" s="1"/>
  <c r="AS2" i="78" s="1"/>
  <c r="AT2" i="78" s="1"/>
  <c r="AU2" i="78" s="1"/>
  <c r="AV2" i="78" s="1"/>
  <c r="AW2" i="78" s="1"/>
  <c r="AX2" i="78" s="1"/>
  <c r="AY2" i="78" s="1"/>
  <c r="AF1" i="78"/>
  <c r="AG1" i="78" s="1"/>
  <c r="AH1" i="78" s="1"/>
  <c r="AI1" i="78" s="1"/>
  <c r="AJ1" i="78" s="1"/>
  <c r="AK1" i="78" s="1"/>
  <c r="AL1" i="78" s="1"/>
  <c r="AM1" i="78" s="1"/>
  <c r="AN1" i="78" s="1"/>
  <c r="AO1" i="78" s="1"/>
  <c r="AP1" i="78" s="1"/>
  <c r="AQ1" i="78" s="1"/>
  <c r="AR1" i="78" s="1"/>
  <c r="AS1" i="78" s="1"/>
  <c r="AT1" i="78" s="1"/>
  <c r="AU1" i="78" s="1"/>
  <c r="AV1" i="78" s="1"/>
  <c r="AW1" i="78" s="1"/>
  <c r="AX1" i="78" s="1"/>
  <c r="AY1" i="78" s="1"/>
  <c r="AF11" i="77"/>
  <c r="AG11" i="77" s="1"/>
  <c r="AH11" i="77" s="1"/>
  <c r="AI11" i="77" s="1"/>
  <c r="AJ11" i="77" s="1"/>
  <c r="AK11" i="77" s="1"/>
  <c r="AL11" i="77" s="1"/>
  <c r="AM11" i="77" s="1"/>
  <c r="AN11" i="77" s="1"/>
  <c r="AO11" i="77" s="1"/>
  <c r="AP11" i="77" s="1"/>
  <c r="AQ11" i="77" s="1"/>
  <c r="AR11" i="77" s="1"/>
  <c r="AS11" i="77" s="1"/>
  <c r="AT11" i="77" s="1"/>
  <c r="AU11" i="77" s="1"/>
  <c r="AV11" i="77" s="1"/>
  <c r="AW11" i="77" s="1"/>
  <c r="AX11" i="77" s="1"/>
  <c r="AY11" i="77" s="1"/>
  <c r="AF10" i="77"/>
  <c r="AG10" i="77" s="1"/>
  <c r="AH10" i="77" s="1"/>
  <c r="AI10" i="77" s="1"/>
  <c r="AJ10" i="77" s="1"/>
  <c r="AK10" i="77" s="1"/>
  <c r="AL10" i="77" s="1"/>
  <c r="AM10" i="77" s="1"/>
  <c r="AN10" i="77" s="1"/>
  <c r="AO10" i="77" s="1"/>
  <c r="AP10" i="77" s="1"/>
  <c r="AQ10" i="77" s="1"/>
  <c r="AR10" i="77" s="1"/>
  <c r="AS10" i="77" s="1"/>
  <c r="AT10" i="77" s="1"/>
  <c r="AU10" i="77" s="1"/>
  <c r="AV10" i="77" s="1"/>
  <c r="AW10" i="77" s="1"/>
  <c r="AX10" i="77" s="1"/>
  <c r="AY10" i="77" s="1"/>
  <c r="AF9" i="77"/>
  <c r="AG9" i="77" s="1"/>
  <c r="AH9" i="77" s="1"/>
  <c r="AI9" i="77" s="1"/>
  <c r="AJ9" i="77" s="1"/>
  <c r="AK9" i="77" s="1"/>
  <c r="AL9" i="77" s="1"/>
  <c r="AM9" i="77" s="1"/>
  <c r="AN9" i="77" s="1"/>
  <c r="AO9" i="77" s="1"/>
  <c r="AP9" i="77" s="1"/>
  <c r="AQ9" i="77" s="1"/>
  <c r="AR9" i="77" s="1"/>
  <c r="AS9" i="77" s="1"/>
  <c r="AT9" i="77" s="1"/>
  <c r="AU9" i="77" s="1"/>
  <c r="AV9" i="77" s="1"/>
  <c r="AW9" i="77" s="1"/>
  <c r="AX9" i="77" s="1"/>
  <c r="AY9" i="77" s="1"/>
  <c r="AF8" i="77"/>
  <c r="AG8" i="77" s="1"/>
  <c r="AH8" i="77" s="1"/>
  <c r="AI8" i="77" s="1"/>
  <c r="AJ8" i="77" s="1"/>
  <c r="AK8" i="77" s="1"/>
  <c r="AL8" i="77" s="1"/>
  <c r="AM8" i="77" s="1"/>
  <c r="AN8" i="77" s="1"/>
  <c r="AO8" i="77" s="1"/>
  <c r="AP8" i="77" s="1"/>
  <c r="AQ8" i="77" s="1"/>
  <c r="AR8" i="77" s="1"/>
  <c r="AS8" i="77" s="1"/>
  <c r="AT8" i="77" s="1"/>
  <c r="AU8" i="77" s="1"/>
  <c r="AV8" i="77" s="1"/>
  <c r="AW8" i="77" s="1"/>
  <c r="AX8" i="77" s="1"/>
  <c r="AY8" i="77" s="1"/>
  <c r="AF7" i="77"/>
  <c r="AG7" i="77" s="1"/>
  <c r="AH7" i="77" s="1"/>
  <c r="AI7" i="77" s="1"/>
  <c r="AJ7" i="77" s="1"/>
  <c r="AK7" i="77" s="1"/>
  <c r="AL7" i="77" s="1"/>
  <c r="AM7" i="77" s="1"/>
  <c r="AN7" i="77" s="1"/>
  <c r="AO7" i="77" s="1"/>
  <c r="AP7" i="77" s="1"/>
  <c r="AQ7" i="77" s="1"/>
  <c r="AR7" i="77" s="1"/>
  <c r="AS7" i="77" s="1"/>
  <c r="AT7" i="77" s="1"/>
  <c r="AU7" i="77" s="1"/>
  <c r="AV7" i="77" s="1"/>
  <c r="AW7" i="77" s="1"/>
  <c r="AX7" i="77" s="1"/>
  <c r="AY7" i="77" s="1"/>
  <c r="AF6" i="77"/>
  <c r="AG6" i="77" s="1"/>
  <c r="AH6" i="77" s="1"/>
  <c r="AI6" i="77" s="1"/>
  <c r="AJ6" i="77" s="1"/>
  <c r="AK6" i="77" s="1"/>
  <c r="AL6" i="77" s="1"/>
  <c r="AM6" i="77" s="1"/>
  <c r="AN6" i="77" s="1"/>
  <c r="AO6" i="77" s="1"/>
  <c r="AP6" i="77" s="1"/>
  <c r="AQ6" i="77" s="1"/>
  <c r="AR6" i="77" s="1"/>
  <c r="AS6" i="77" s="1"/>
  <c r="AT6" i="77" s="1"/>
  <c r="AU6" i="77" s="1"/>
  <c r="AV6" i="77" s="1"/>
  <c r="AW6" i="77" s="1"/>
  <c r="AX6" i="77" s="1"/>
  <c r="AY6" i="77" s="1"/>
  <c r="AF5" i="77"/>
  <c r="AG5" i="77" s="1"/>
  <c r="AH5" i="77" s="1"/>
  <c r="AI5" i="77" s="1"/>
  <c r="AJ5" i="77" s="1"/>
  <c r="AK5" i="77" s="1"/>
  <c r="AL5" i="77" s="1"/>
  <c r="AM5" i="77" s="1"/>
  <c r="AN5" i="77" s="1"/>
  <c r="AO5" i="77" s="1"/>
  <c r="AP5" i="77" s="1"/>
  <c r="AQ5" i="77" s="1"/>
  <c r="AR5" i="77" s="1"/>
  <c r="AS5" i="77" s="1"/>
  <c r="AT5" i="77" s="1"/>
  <c r="AU5" i="77" s="1"/>
  <c r="AV5" i="77" s="1"/>
  <c r="AW5" i="77" s="1"/>
  <c r="AX5" i="77" s="1"/>
  <c r="AY5" i="77" s="1"/>
  <c r="AF4" i="77"/>
  <c r="AG4" i="77" s="1"/>
  <c r="AH4" i="77" s="1"/>
  <c r="AI4" i="77" s="1"/>
  <c r="AJ4" i="77" s="1"/>
  <c r="AK4" i="77" s="1"/>
  <c r="AL4" i="77" s="1"/>
  <c r="AM4" i="77" s="1"/>
  <c r="AN4" i="77" s="1"/>
  <c r="AO4" i="77" s="1"/>
  <c r="AP4" i="77" s="1"/>
  <c r="AQ4" i="77" s="1"/>
  <c r="AR4" i="77" s="1"/>
  <c r="AS4" i="77" s="1"/>
  <c r="AT4" i="77" s="1"/>
  <c r="AU4" i="77" s="1"/>
  <c r="AV4" i="77" s="1"/>
  <c r="AW4" i="77" s="1"/>
  <c r="AX4" i="77" s="1"/>
  <c r="AY4" i="77" s="1"/>
  <c r="AF3" i="77"/>
  <c r="AG3" i="77" s="1"/>
  <c r="AH3" i="77" s="1"/>
  <c r="AI3" i="77" s="1"/>
  <c r="AJ3" i="77" s="1"/>
  <c r="AK3" i="77" s="1"/>
  <c r="AL3" i="77" s="1"/>
  <c r="AM3" i="77" s="1"/>
  <c r="AN3" i="77" s="1"/>
  <c r="AO3" i="77" s="1"/>
  <c r="AP3" i="77" s="1"/>
  <c r="AQ3" i="77" s="1"/>
  <c r="AR3" i="77" s="1"/>
  <c r="AS3" i="77" s="1"/>
  <c r="AT3" i="77" s="1"/>
  <c r="AU3" i="77" s="1"/>
  <c r="AV3" i="77" s="1"/>
  <c r="AW3" i="77" s="1"/>
  <c r="AX3" i="77" s="1"/>
  <c r="AY3" i="77" s="1"/>
  <c r="AF2" i="77"/>
  <c r="AG2" i="77" s="1"/>
  <c r="AH2" i="77" s="1"/>
  <c r="AI2" i="77" s="1"/>
  <c r="AJ2" i="77" s="1"/>
  <c r="AK2" i="77" s="1"/>
  <c r="AL2" i="77" s="1"/>
  <c r="AM2" i="77" s="1"/>
  <c r="AN2" i="77" s="1"/>
  <c r="AO2" i="77" s="1"/>
  <c r="AP2" i="77" s="1"/>
  <c r="AQ2" i="77" s="1"/>
  <c r="AR2" i="77" s="1"/>
  <c r="AS2" i="77" s="1"/>
  <c r="AT2" i="77" s="1"/>
  <c r="AU2" i="77" s="1"/>
  <c r="AV2" i="77" s="1"/>
  <c r="AW2" i="77" s="1"/>
  <c r="AX2" i="77" s="1"/>
  <c r="AY2" i="77" s="1"/>
  <c r="AF1" i="77"/>
  <c r="AG1" i="77" s="1"/>
  <c r="AH1" i="77" s="1"/>
  <c r="AI1" i="77" s="1"/>
  <c r="AJ1" i="77" s="1"/>
  <c r="AK1" i="77" s="1"/>
  <c r="AL1" i="77" s="1"/>
  <c r="AM1" i="77" s="1"/>
  <c r="AN1" i="77" s="1"/>
  <c r="AO1" i="77" s="1"/>
  <c r="AP1" i="77" s="1"/>
  <c r="AQ1" i="77" s="1"/>
  <c r="AR1" i="77" s="1"/>
  <c r="AS1" i="77" s="1"/>
  <c r="AT1" i="77" s="1"/>
  <c r="AU1" i="77" s="1"/>
  <c r="AV1" i="77" s="1"/>
  <c r="AW1" i="77" s="1"/>
  <c r="AX1" i="77" s="1"/>
  <c r="AY1" i="77" s="1"/>
  <c r="AG11" i="70"/>
  <c r="AH11" i="70" s="1"/>
  <c r="AI11" i="70" s="1"/>
  <c r="AJ11" i="70" s="1"/>
  <c r="AK11" i="70" s="1"/>
  <c r="AL11" i="70" s="1"/>
  <c r="AM11" i="70" s="1"/>
  <c r="AN11" i="70" s="1"/>
  <c r="AO11" i="70" s="1"/>
  <c r="AP11" i="70" s="1"/>
  <c r="AQ11" i="70" s="1"/>
  <c r="AR11" i="70" s="1"/>
  <c r="AS11" i="70" s="1"/>
  <c r="AT11" i="70" s="1"/>
  <c r="AU11" i="70" s="1"/>
  <c r="AV11" i="70" s="1"/>
  <c r="AW11" i="70" s="1"/>
  <c r="AX11" i="70" s="1"/>
  <c r="AY11" i="70" s="1"/>
  <c r="AF11" i="70"/>
  <c r="AF10" i="70"/>
  <c r="AG10" i="70" s="1"/>
  <c r="AH10" i="70" s="1"/>
  <c r="AI10" i="70" s="1"/>
  <c r="AJ10" i="70" s="1"/>
  <c r="AK10" i="70" s="1"/>
  <c r="AL10" i="70" s="1"/>
  <c r="AM10" i="70" s="1"/>
  <c r="AN10" i="70" s="1"/>
  <c r="AO10" i="70" s="1"/>
  <c r="AP10" i="70" s="1"/>
  <c r="AQ10" i="70" s="1"/>
  <c r="AR10" i="70" s="1"/>
  <c r="AS10" i="70" s="1"/>
  <c r="AT10" i="70" s="1"/>
  <c r="AU10" i="70" s="1"/>
  <c r="AV10" i="70" s="1"/>
  <c r="AW10" i="70" s="1"/>
  <c r="AX10" i="70" s="1"/>
  <c r="AY10" i="70" s="1"/>
  <c r="AG9" i="70"/>
  <c r="AH9" i="70" s="1"/>
  <c r="AI9" i="70" s="1"/>
  <c r="AJ9" i="70" s="1"/>
  <c r="AK9" i="70" s="1"/>
  <c r="AL9" i="70" s="1"/>
  <c r="AM9" i="70" s="1"/>
  <c r="AN9" i="70" s="1"/>
  <c r="AO9" i="70" s="1"/>
  <c r="AP9" i="70" s="1"/>
  <c r="AQ9" i="70" s="1"/>
  <c r="AR9" i="70" s="1"/>
  <c r="AS9" i="70" s="1"/>
  <c r="AT9" i="70" s="1"/>
  <c r="AU9" i="70" s="1"/>
  <c r="AV9" i="70" s="1"/>
  <c r="AW9" i="70" s="1"/>
  <c r="AX9" i="70" s="1"/>
  <c r="AY9" i="70" s="1"/>
  <c r="AF9" i="70"/>
  <c r="AF8" i="70"/>
  <c r="AG8" i="70" s="1"/>
  <c r="AH8" i="70" s="1"/>
  <c r="AI8" i="70" s="1"/>
  <c r="AJ8" i="70" s="1"/>
  <c r="AK8" i="70" s="1"/>
  <c r="AL8" i="70" s="1"/>
  <c r="AM8" i="70" s="1"/>
  <c r="AN8" i="70" s="1"/>
  <c r="AO8" i="70" s="1"/>
  <c r="AP8" i="70" s="1"/>
  <c r="AQ8" i="70" s="1"/>
  <c r="AR8" i="70" s="1"/>
  <c r="AS8" i="70" s="1"/>
  <c r="AT8" i="70" s="1"/>
  <c r="AU8" i="70" s="1"/>
  <c r="AV8" i="70" s="1"/>
  <c r="AW8" i="70" s="1"/>
  <c r="AX8" i="70" s="1"/>
  <c r="AY8" i="70" s="1"/>
  <c r="AG7" i="70"/>
  <c r="AH7" i="70" s="1"/>
  <c r="AI7" i="70" s="1"/>
  <c r="AJ7" i="70" s="1"/>
  <c r="AK7" i="70" s="1"/>
  <c r="AL7" i="70" s="1"/>
  <c r="AM7" i="70" s="1"/>
  <c r="AN7" i="70" s="1"/>
  <c r="AO7" i="70" s="1"/>
  <c r="AP7" i="70" s="1"/>
  <c r="AQ7" i="70" s="1"/>
  <c r="AR7" i="70" s="1"/>
  <c r="AS7" i="70" s="1"/>
  <c r="AT7" i="70" s="1"/>
  <c r="AU7" i="70" s="1"/>
  <c r="AV7" i="70" s="1"/>
  <c r="AW7" i="70" s="1"/>
  <c r="AX7" i="70" s="1"/>
  <c r="AY7" i="70" s="1"/>
  <c r="AF7" i="70"/>
  <c r="AF6" i="70"/>
  <c r="AG6" i="70" s="1"/>
  <c r="AH6" i="70" s="1"/>
  <c r="AI6" i="70" s="1"/>
  <c r="AJ6" i="70" s="1"/>
  <c r="AK6" i="70" s="1"/>
  <c r="AL6" i="70" s="1"/>
  <c r="AM6" i="70" s="1"/>
  <c r="AN6" i="70" s="1"/>
  <c r="AO6" i="70" s="1"/>
  <c r="AP6" i="70" s="1"/>
  <c r="AQ6" i="70" s="1"/>
  <c r="AR6" i="70" s="1"/>
  <c r="AS6" i="70" s="1"/>
  <c r="AT6" i="70" s="1"/>
  <c r="AU6" i="70" s="1"/>
  <c r="AV6" i="70" s="1"/>
  <c r="AW6" i="70" s="1"/>
  <c r="AX6" i="70" s="1"/>
  <c r="AY6" i="70" s="1"/>
  <c r="AG5" i="70"/>
  <c r="AH5" i="70" s="1"/>
  <c r="AI5" i="70" s="1"/>
  <c r="AJ5" i="70" s="1"/>
  <c r="AK5" i="70" s="1"/>
  <c r="AL5" i="70" s="1"/>
  <c r="AM5" i="70" s="1"/>
  <c r="AN5" i="70" s="1"/>
  <c r="AO5" i="70" s="1"/>
  <c r="AP5" i="70" s="1"/>
  <c r="AQ5" i="70" s="1"/>
  <c r="AR5" i="70" s="1"/>
  <c r="AS5" i="70" s="1"/>
  <c r="AT5" i="70" s="1"/>
  <c r="AU5" i="70" s="1"/>
  <c r="AV5" i="70" s="1"/>
  <c r="AW5" i="70" s="1"/>
  <c r="AX5" i="70" s="1"/>
  <c r="AY5" i="70" s="1"/>
  <c r="AF5" i="70"/>
  <c r="AF4" i="70"/>
  <c r="AG4" i="70" s="1"/>
  <c r="AH4" i="70" s="1"/>
  <c r="AI4" i="70" s="1"/>
  <c r="AJ4" i="70" s="1"/>
  <c r="AK4" i="70" s="1"/>
  <c r="AL4" i="70" s="1"/>
  <c r="AM4" i="70" s="1"/>
  <c r="AN4" i="70" s="1"/>
  <c r="AO4" i="70" s="1"/>
  <c r="AP4" i="70" s="1"/>
  <c r="AQ4" i="70" s="1"/>
  <c r="AR4" i="70" s="1"/>
  <c r="AS4" i="70" s="1"/>
  <c r="AT4" i="70" s="1"/>
  <c r="AU4" i="70" s="1"/>
  <c r="AV4" i="70" s="1"/>
  <c r="AW4" i="70" s="1"/>
  <c r="AX4" i="70" s="1"/>
  <c r="AY4" i="70" s="1"/>
  <c r="AG3" i="70"/>
  <c r="AH3" i="70" s="1"/>
  <c r="AI3" i="70" s="1"/>
  <c r="AJ3" i="70" s="1"/>
  <c r="AK3" i="70" s="1"/>
  <c r="AL3" i="70" s="1"/>
  <c r="AM3" i="70" s="1"/>
  <c r="AN3" i="70" s="1"/>
  <c r="AO3" i="70" s="1"/>
  <c r="AP3" i="70" s="1"/>
  <c r="AQ3" i="70" s="1"/>
  <c r="AR3" i="70" s="1"/>
  <c r="AS3" i="70" s="1"/>
  <c r="AT3" i="70" s="1"/>
  <c r="AU3" i="70" s="1"/>
  <c r="AV3" i="70" s="1"/>
  <c r="AW3" i="70" s="1"/>
  <c r="AX3" i="70" s="1"/>
  <c r="AY3" i="70" s="1"/>
  <c r="AF3" i="70"/>
  <c r="AF2" i="70"/>
  <c r="AG2" i="70" s="1"/>
  <c r="AH2" i="70" s="1"/>
  <c r="AI2" i="70" s="1"/>
  <c r="AJ2" i="70" s="1"/>
  <c r="AK2" i="70" s="1"/>
  <c r="AL2" i="70" s="1"/>
  <c r="AM2" i="70" s="1"/>
  <c r="AN2" i="70" s="1"/>
  <c r="AO2" i="70" s="1"/>
  <c r="AP2" i="70" s="1"/>
  <c r="AQ2" i="70" s="1"/>
  <c r="AR2" i="70" s="1"/>
  <c r="AS2" i="70" s="1"/>
  <c r="AT2" i="70" s="1"/>
  <c r="AU2" i="70" s="1"/>
  <c r="AV2" i="70" s="1"/>
  <c r="AW2" i="70" s="1"/>
  <c r="AX2" i="70" s="1"/>
  <c r="AY2" i="70" s="1"/>
  <c r="AG1" i="70"/>
  <c r="AH1" i="70" s="1"/>
  <c r="AI1" i="70" s="1"/>
  <c r="AJ1" i="70" s="1"/>
  <c r="AK1" i="70" s="1"/>
  <c r="AL1" i="70" s="1"/>
  <c r="AM1" i="70" s="1"/>
  <c r="AN1" i="70" s="1"/>
  <c r="AO1" i="70" s="1"/>
  <c r="AP1" i="70" s="1"/>
  <c r="AQ1" i="70" s="1"/>
  <c r="AR1" i="70" s="1"/>
  <c r="AS1" i="70" s="1"/>
  <c r="AT1" i="70" s="1"/>
  <c r="AU1" i="70" s="1"/>
  <c r="AV1" i="70" s="1"/>
  <c r="AW1" i="70" s="1"/>
  <c r="AX1" i="70" s="1"/>
  <c r="AY1" i="70" s="1"/>
  <c r="AF1" i="70"/>
  <c r="AF11" i="69"/>
  <c r="AG11" i="69" s="1"/>
  <c r="AH11" i="69" s="1"/>
  <c r="AI11" i="69" s="1"/>
  <c r="AJ11" i="69" s="1"/>
  <c r="AK11" i="69" s="1"/>
  <c r="AL11" i="69" s="1"/>
  <c r="AM11" i="69" s="1"/>
  <c r="AN11" i="69" s="1"/>
  <c r="AO11" i="69" s="1"/>
  <c r="AP11" i="69" s="1"/>
  <c r="AQ11" i="69" s="1"/>
  <c r="AR11" i="69" s="1"/>
  <c r="AS11" i="69" s="1"/>
  <c r="AT11" i="69" s="1"/>
  <c r="AU11" i="69" s="1"/>
  <c r="AV11" i="69" s="1"/>
  <c r="AW11" i="69" s="1"/>
  <c r="AX11" i="69" s="1"/>
  <c r="AY11" i="69" s="1"/>
  <c r="AF10" i="69"/>
  <c r="AG10" i="69" s="1"/>
  <c r="AH10" i="69" s="1"/>
  <c r="AI10" i="69" s="1"/>
  <c r="AJ10" i="69" s="1"/>
  <c r="AK10" i="69" s="1"/>
  <c r="AL10" i="69" s="1"/>
  <c r="AM10" i="69" s="1"/>
  <c r="AN10" i="69" s="1"/>
  <c r="AO10" i="69" s="1"/>
  <c r="AP10" i="69" s="1"/>
  <c r="AQ10" i="69" s="1"/>
  <c r="AR10" i="69" s="1"/>
  <c r="AS10" i="69" s="1"/>
  <c r="AT10" i="69" s="1"/>
  <c r="AU10" i="69" s="1"/>
  <c r="AV10" i="69" s="1"/>
  <c r="AW10" i="69" s="1"/>
  <c r="AX10" i="69" s="1"/>
  <c r="AY10" i="69" s="1"/>
  <c r="AF9" i="69"/>
  <c r="AG9" i="69" s="1"/>
  <c r="AH9" i="69" s="1"/>
  <c r="AI9" i="69" s="1"/>
  <c r="AJ9" i="69" s="1"/>
  <c r="AK9" i="69" s="1"/>
  <c r="AL9" i="69" s="1"/>
  <c r="AM9" i="69" s="1"/>
  <c r="AN9" i="69" s="1"/>
  <c r="AO9" i="69" s="1"/>
  <c r="AP9" i="69" s="1"/>
  <c r="AQ9" i="69" s="1"/>
  <c r="AR9" i="69" s="1"/>
  <c r="AS9" i="69" s="1"/>
  <c r="AT9" i="69" s="1"/>
  <c r="AU9" i="69" s="1"/>
  <c r="AV9" i="69" s="1"/>
  <c r="AW9" i="69" s="1"/>
  <c r="AX9" i="69" s="1"/>
  <c r="AY9" i="69" s="1"/>
  <c r="AF8" i="69"/>
  <c r="AG8" i="69" s="1"/>
  <c r="AH8" i="69" s="1"/>
  <c r="AI8" i="69" s="1"/>
  <c r="AJ8" i="69" s="1"/>
  <c r="AK8" i="69" s="1"/>
  <c r="AL8" i="69" s="1"/>
  <c r="AM8" i="69" s="1"/>
  <c r="AN8" i="69" s="1"/>
  <c r="AO8" i="69" s="1"/>
  <c r="AP8" i="69" s="1"/>
  <c r="AQ8" i="69" s="1"/>
  <c r="AR8" i="69" s="1"/>
  <c r="AS8" i="69" s="1"/>
  <c r="AT8" i="69" s="1"/>
  <c r="AU8" i="69" s="1"/>
  <c r="AV8" i="69" s="1"/>
  <c r="AW8" i="69" s="1"/>
  <c r="AX8" i="69" s="1"/>
  <c r="AY8" i="69" s="1"/>
  <c r="AF7" i="69"/>
  <c r="AG7" i="69" s="1"/>
  <c r="AH7" i="69" s="1"/>
  <c r="AI7" i="69" s="1"/>
  <c r="AJ7" i="69" s="1"/>
  <c r="AK7" i="69" s="1"/>
  <c r="AL7" i="69" s="1"/>
  <c r="AM7" i="69" s="1"/>
  <c r="AN7" i="69" s="1"/>
  <c r="AO7" i="69" s="1"/>
  <c r="AP7" i="69" s="1"/>
  <c r="AQ7" i="69" s="1"/>
  <c r="AR7" i="69" s="1"/>
  <c r="AS7" i="69" s="1"/>
  <c r="AT7" i="69" s="1"/>
  <c r="AU7" i="69" s="1"/>
  <c r="AV7" i="69" s="1"/>
  <c r="AW7" i="69" s="1"/>
  <c r="AX7" i="69" s="1"/>
  <c r="AY7" i="69" s="1"/>
  <c r="AF6" i="69"/>
  <c r="AG6" i="69" s="1"/>
  <c r="AH6" i="69" s="1"/>
  <c r="AI6" i="69" s="1"/>
  <c r="AJ6" i="69" s="1"/>
  <c r="AK6" i="69" s="1"/>
  <c r="AL6" i="69" s="1"/>
  <c r="AM6" i="69" s="1"/>
  <c r="AN6" i="69" s="1"/>
  <c r="AO6" i="69" s="1"/>
  <c r="AP6" i="69" s="1"/>
  <c r="AQ6" i="69" s="1"/>
  <c r="AR6" i="69" s="1"/>
  <c r="AS6" i="69" s="1"/>
  <c r="AT6" i="69" s="1"/>
  <c r="AU6" i="69" s="1"/>
  <c r="AV6" i="69" s="1"/>
  <c r="AW6" i="69" s="1"/>
  <c r="AX6" i="69" s="1"/>
  <c r="AY6" i="69" s="1"/>
  <c r="AF5" i="69"/>
  <c r="AG5" i="69" s="1"/>
  <c r="AH5" i="69" s="1"/>
  <c r="AI5" i="69" s="1"/>
  <c r="AJ5" i="69" s="1"/>
  <c r="AK5" i="69" s="1"/>
  <c r="AL5" i="69" s="1"/>
  <c r="AM5" i="69" s="1"/>
  <c r="AN5" i="69" s="1"/>
  <c r="AO5" i="69" s="1"/>
  <c r="AP5" i="69" s="1"/>
  <c r="AQ5" i="69" s="1"/>
  <c r="AR5" i="69" s="1"/>
  <c r="AS5" i="69" s="1"/>
  <c r="AT5" i="69" s="1"/>
  <c r="AU5" i="69" s="1"/>
  <c r="AV5" i="69" s="1"/>
  <c r="AW5" i="69" s="1"/>
  <c r="AX5" i="69" s="1"/>
  <c r="AY5" i="69" s="1"/>
  <c r="AF4" i="69"/>
  <c r="AG4" i="69" s="1"/>
  <c r="AH4" i="69" s="1"/>
  <c r="AI4" i="69" s="1"/>
  <c r="AJ4" i="69" s="1"/>
  <c r="AK4" i="69" s="1"/>
  <c r="AL4" i="69" s="1"/>
  <c r="AM4" i="69" s="1"/>
  <c r="AN4" i="69" s="1"/>
  <c r="AO4" i="69" s="1"/>
  <c r="AP4" i="69" s="1"/>
  <c r="AQ4" i="69" s="1"/>
  <c r="AR4" i="69" s="1"/>
  <c r="AS4" i="69" s="1"/>
  <c r="AT4" i="69" s="1"/>
  <c r="AU4" i="69" s="1"/>
  <c r="AV4" i="69" s="1"/>
  <c r="AW4" i="69" s="1"/>
  <c r="AX4" i="69" s="1"/>
  <c r="AY4" i="69" s="1"/>
  <c r="AF3" i="69"/>
  <c r="AG3" i="69" s="1"/>
  <c r="AH3" i="69" s="1"/>
  <c r="AI3" i="69" s="1"/>
  <c r="AJ3" i="69" s="1"/>
  <c r="AK3" i="69" s="1"/>
  <c r="AL3" i="69" s="1"/>
  <c r="AM3" i="69" s="1"/>
  <c r="AN3" i="69" s="1"/>
  <c r="AO3" i="69" s="1"/>
  <c r="AP3" i="69" s="1"/>
  <c r="AQ3" i="69" s="1"/>
  <c r="AR3" i="69" s="1"/>
  <c r="AS3" i="69" s="1"/>
  <c r="AT3" i="69" s="1"/>
  <c r="AU3" i="69" s="1"/>
  <c r="AV3" i="69" s="1"/>
  <c r="AW3" i="69" s="1"/>
  <c r="AX3" i="69" s="1"/>
  <c r="AY3" i="69" s="1"/>
  <c r="AF2" i="69"/>
  <c r="AG2" i="69" s="1"/>
  <c r="AH2" i="69" s="1"/>
  <c r="AI2" i="69" s="1"/>
  <c r="AJ2" i="69" s="1"/>
  <c r="AK2" i="69" s="1"/>
  <c r="AL2" i="69" s="1"/>
  <c r="AM2" i="69" s="1"/>
  <c r="AN2" i="69" s="1"/>
  <c r="AO2" i="69" s="1"/>
  <c r="AP2" i="69" s="1"/>
  <c r="AQ2" i="69" s="1"/>
  <c r="AR2" i="69" s="1"/>
  <c r="AS2" i="69" s="1"/>
  <c r="AT2" i="69" s="1"/>
  <c r="AU2" i="69" s="1"/>
  <c r="AV2" i="69" s="1"/>
  <c r="AW2" i="69" s="1"/>
  <c r="AX2" i="69" s="1"/>
  <c r="AY2" i="69" s="1"/>
  <c r="AF1" i="69"/>
  <c r="AG1" i="69" s="1"/>
  <c r="AH1" i="69" s="1"/>
  <c r="AI1" i="69" s="1"/>
  <c r="AJ1" i="69" s="1"/>
  <c r="AK1" i="69" s="1"/>
  <c r="AL1" i="69" s="1"/>
  <c r="AM1" i="69" s="1"/>
  <c r="AN1" i="69" s="1"/>
  <c r="AO1" i="69" s="1"/>
  <c r="AP1" i="69" s="1"/>
  <c r="AQ1" i="69" s="1"/>
  <c r="AR1" i="69" s="1"/>
  <c r="AS1" i="69" s="1"/>
  <c r="AT1" i="69" s="1"/>
  <c r="AU1" i="69" s="1"/>
  <c r="AV1" i="69" s="1"/>
  <c r="AW1" i="69" s="1"/>
  <c r="AX1" i="69" s="1"/>
  <c r="AY1" i="69" s="1"/>
  <c r="AF11" i="76"/>
  <c r="AG11" i="76" s="1"/>
  <c r="AH11" i="76" s="1"/>
  <c r="AI11" i="76" s="1"/>
  <c r="AJ11" i="76" s="1"/>
  <c r="AK11" i="76" s="1"/>
  <c r="AL11" i="76" s="1"/>
  <c r="AM11" i="76" s="1"/>
  <c r="AN11" i="76" s="1"/>
  <c r="AO11" i="76" s="1"/>
  <c r="AP11" i="76" s="1"/>
  <c r="AQ11" i="76" s="1"/>
  <c r="AR11" i="76" s="1"/>
  <c r="AS11" i="76" s="1"/>
  <c r="AT11" i="76" s="1"/>
  <c r="AU11" i="76" s="1"/>
  <c r="AV11" i="76" s="1"/>
  <c r="AW11" i="76" s="1"/>
  <c r="AX11" i="76" s="1"/>
  <c r="AY11" i="76" s="1"/>
  <c r="AF10" i="76"/>
  <c r="AG10" i="76" s="1"/>
  <c r="AH10" i="76" s="1"/>
  <c r="AI10" i="76" s="1"/>
  <c r="AJ10" i="76" s="1"/>
  <c r="AK10" i="76" s="1"/>
  <c r="AL10" i="76" s="1"/>
  <c r="AM10" i="76" s="1"/>
  <c r="AN10" i="76" s="1"/>
  <c r="AO10" i="76" s="1"/>
  <c r="AP10" i="76" s="1"/>
  <c r="AQ10" i="76" s="1"/>
  <c r="AR10" i="76" s="1"/>
  <c r="AS10" i="76" s="1"/>
  <c r="AT10" i="76" s="1"/>
  <c r="AU10" i="76" s="1"/>
  <c r="AV10" i="76" s="1"/>
  <c r="AW10" i="76" s="1"/>
  <c r="AX10" i="76" s="1"/>
  <c r="AY10" i="76" s="1"/>
  <c r="AF9" i="76"/>
  <c r="AG9" i="76" s="1"/>
  <c r="AH9" i="76" s="1"/>
  <c r="AI9" i="76" s="1"/>
  <c r="AJ9" i="76" s="1"/>
  <c r="AK9" i="76" s="1"/>
  <c r="AL9" i="76" s="1"/>
  <c r="AM9" i="76" s="1"/>
  <c r="AN9" i="76" s="1"/>
  <c r="AO9" i="76" s="1"/>
  <c r="AP9" i="76" s="1"/>
  <c r="AQ9" i="76" s="1"/>
  <c r="AR9" i="76" s="1"/>
  <c r="AS9" i="76" s="1"/>
  <c r="AT9" i="76" s="1"/>
  <c r="AU9" i="76" s="1"/>
  <c r="AV9" i="76" s="1"/>
  <c r="AW9" i="76" s="1"/>
  <c r="AX9" i="76" s="1"/>
  <c r="AY9" i="76" s="1"/>
  <c r="AF8" i="76"/>
  <c r="AG8" i="76" s="1"/>
  <c r="AH8" i="76" s="1"/>
  <c r="AI8" i="76" s="1"/>
  <c r="AJ8" i="76" s="1"/>
  <c r="AK8" i="76" s="1"/>
  <c r="AL8" i="76" s="1"/>
  <c r="AM8" i="76" s="1"/>
  <c r="AN8" i="76" s="1"/>
  <c r="AO8" i="76" s="1"/>
  <c r="AP8" i="76" s="1"/>
  <c r="AQ8" i="76" s="1"/>
  <c r="AR8" i="76" s="1"/>
  <c r="AS8" i="76" s="1"/>
  <c r="AT8" i="76" s="1"/>
  <c r="AU8" i="76" s="1"/>
  <c r="AV8" i="76" s="1"/>
  <c r="AW8" i="76" s="1"/>
  <c r="AX8" i="76" s="1"/>
  <c r="AY8" i="76" s="1"/>
  <c r="AF7" i="76"/>
  <c r="AG7" i="76" s="1"/>
  <c r="AH7" i="76" s="1"/>
  <c r="AI7" i="76" s="1"/>
  <c r="AJ7" i="76" s="1"/>
  <c r="AK7" i="76" s="1"/>
  <c r="AL7" i="76" s="1"/>
  <c r="AM7" i="76" s="1"/>
  <c r="AN7" i="76" s="1"/>
  <c r="AO7" i="76" s="1"/>
  <c r="AP7" i="76" s="1"/>
  <c r="AQ7" i="76" s="1"/>
  <c r="AR7" i="76" s="1"/>
  <c r="AS7" i="76" s="1"/>
  <c r="AT7" i="76" s="1"/>
  <c r="AU7" i="76" s="1"/>
  <c r="AV7" i="76" s="1"/>
  <c r="AW7" i="76" s="1"/>
  <c r="AX7" i="76" s="1"/>
  <c r="AY7" i="76" s="1"/>
  <c r="AF6" i="76"/>
  <c r="AG6" i="76" s="1"/>
  <c r="AH6" i="76" s="1"/>
  <c r="AI6" i="76" s="1"/>
  <c r="AJ6" i="76" s="1"/>
  <c r="AK6" i="76" s="1"/>
  <c r="AL6" i="76" s="1"/>
  <c r="AM6" i="76" s="1"/>
  <c r="AN6" i="76" s="1"/>
  <c r="AO6" i="76" s="1"/>
  <c r="AP6" i="76" s="1"/>
  <c r="AQ6" i="76" s="1"/>
  <c r="AR6" i="76" s="1"/>
  <c r="AS6" i="76" s="1"/>
  <c r="AT6" i="76" s="1"/>
  <c r="AU6" i="76" s="1"/>
  <c r="AV6" i="76" s="1"/>
  <c r="AW6" i="76" s="1"/>
  <c r="AX6" i="76" s="1"/>
  <c r="AY6" i="76" s="1"/>
  <c r="AF5" i="76"/>
  <c r="AG5" i="76" s="1"/>
  <c r="AH5" i="76" s="1"/>
  <c r="AI5" i="76" s="1"/>
  <c r="AJ5" i="76" s="1"/>
  <c r="AK5" i="76" s="1"/>
  <c r="AL5" i="76" s="1"/>
  <c r="AM5" i="76" s="1"/>
  <c r="AN5" i="76" s="1"/>
  <c r="AO5" i="76" s="1"/>
  <c r="AP5" i="76" s="1"/>
  <c r="AQ5" i="76" s="1"/>
  <c r="AR5" i="76" s="1"/>
  <c r="AS5" i="76" s="1"/>
  <c r="AT5" i="76" s="1"/>
  <c r="AU5" i="76" s="1"/>
  <c r="AV5" i="76" s="1"/>
  <c r="AW5" i="76" s="1"/>
  <c r="AX5" i="76" s="1"/>
  <c r="AY5" i="76" s="1"/>
  <c r="AF4" i="76"/>
  <c r="AG4" i="76" s="1"/>
  <c r="AH4" i="76" s="1"/>
  <c r="AI4" i="76" s="1"/>
  <c r="AJ4" i="76" s="1"/>
  <c r="AK4" i="76" s="1"/>
  <c r="AL4" i="76" s="1"/>
  <c r="AM4" i="76" s="1"/>
  <c r="AN4" i="76" s="1"/>
  <c r="AO4" i="76" s="1"/>
  <c r="AP4" i="76" s="1"/>
  <c r="AQ4" i="76" s="1"/>
  <c r="AR4" i="76" s="1"/>
  <c r="AS4" i="76" s="1"/>
  <c r="AT4" i="76" s="1"/>
  <c r="AU4" i="76" s="1"/>
  <c r="AV4" i="76" s="1"/>
  <c r="AW4" i="76" s="1"/>
  <c r="AX4" i="76" s="1"/>
  <c r="AY4" i="76" s="1"/>
  <c r="AF3" i="76"/>
  <c r="AG3" i="76" s="1"/>
  <c r="AH3" i="76" s="1"/>
  <c r="AI3" i="76" s="1"/>
  <c r="AJ3" i="76" s="1"/>
  <c r="AK3" i="76" s="1"/>
  <c r="AL3" i="76" s="1"/>
  <c r="AM3" i="76" s="1"/>
  <c r="AN3" i="76" s="1"/>
  <c r="AO3" i="76" s="1"/>
  <c r="AP3" i="76" s="1"/>
  <c r="AQ3" i="76" s="1"/>
  <c r="AR3" i="76" s="1"/>
  <c r="AS3" i="76" s="1"/>
  <c r="AT3" i="76" s="1"/>
  <c r="AU3" i="76" s="1"/>
  <c r="AV3" i="76" s="1"/>
  <c r="AW3" i="76" s="1"/>
  <c r="AX3" i="76" s="1"/>
  <c r="AY3" i="76" s="1"/>
  <c r="AF2" i="76"/>
  <c r="AG2" i="76" s="1"/>
  <c r="AH2" i="76" s="1"/>
  <c r="AI2" i="76" s="1"/>
  <c r="AJ2" i="76" s="1"/>
  <c r="AK2" i="76" s="1"/>
  <c r="AL2" i="76" s="1"/>
  <c r="AM2" i="76" s="1"/>
  <c r="AN2" i="76" s="1"/>
  <c r="AO2" i="76" s="1"/>
  <c r="AP2" i="76" s="1"/>
  <c r="AQ2" i="76" s="1"/>
  <c r="AR2" i="76" s="1"/>
  <c r="AS2" i="76" s="1"/>
  <c r="AT2" i="76" s="1"/>
  <c r="AU2" i="76" s="1"/>
  <c r="AV2" i="76" s="1"/>
  <c r="AW2" i="76" s="1"/>
  <c r="AX2" i="76" s="1"/>
  <c r="AY2" i="76" s="1"/>
  <c r="AF1" i="76"/>
  <c r="AG1" i="76" s="1"/>
  <c r="AH1" i="76" s="1"/>
  <c r="AI1" i="76" s="1"/>
  <c r="AJ1" i="76" s="1"/>
  <c r="AK1" i="76" s="1"/>
  <c r="AL1" i="76" s="1"/>
  <c r="AM1" i="76" s="1"/>
  <c r="AN1" i="76" s="1"/>
  <c r="AO1" i="76" s="1"/>
  <c r="AP1" i="76" s="1"/>
  <c r="AQ1" i="76" s="1"/>
  <c r="AR1" i="76" s="1"/>
  <c r="AS1" i="76" s="1"/>
  <c r="AT1" i="76" s="1"/>
  <c r="AU1" i="76" s="1"/>
  <c r="AV1" i="76" s="1"/>
  <c r="AW1" i="76" s="1"/>
  <c r="AX1" i="76" s="1"/>
  <c r="AY1" i="76" s="1"/>
  <c r="AF11" i="68"/>
  <c r="AG11" i="68" s="1"/>
  <c r="AH11" i="68" s="1"/>
  <c r="AI11" i="68" s="1"/>
  <c r="AJ11" i="68" s="1"/>
  <c r="AK11" i="68" s="1"/>
  <c r="AL11" i="68" s="1"/>
  <c r="AM11" i="68" s="1"/>
  <c r="AN11" i="68" s="1"/>
  <c r="AO11" i="68" s="1"/>
  <c r="AP11" i="68" s="1"/>
  <c r="AQ11" i="68" s="1"/>
  <c r="AR11" i="68" s="1"/>
  <c r="AS11" i="68" s="1"/>
  <c r="AT11" i="68" s="1"/>
  <c r="AU11" i="68" s="1"/>
  <c r="AV11" i="68" s="1"/>
  <c r="AW11" i="68" s="1"/>
  <c r="AX11" i="68" s="1"/>
  <c r="AY11" i="68" s="1"/>
  <c r="AF10" i="68"/>
  <c r="AG10" i="68" s="1"/>
  <c r="AH10" i="68" s="1"/>
  <c r="AI10" i="68" s="1"/>
  <c r="AJ10" i="68" s="1"/>
  <c r="AK10" i="68" s="1"/>
  <c r="AL10" i="68" s="1"/>
  <c r="AM10" i="68" s="1"/>
  <c r="AN10" i="68" s="1"/>
  <c r="AO10" i="68" s="1"/>
  <c r="AP10" i="68" s="1"/>
  <c r="AQ10" i="68" s="1"/>
  <c r="AR10" i="68" s="1"/>
  <c r="AS10" i="68" s="1"/>
  <c r="AT10" i="68" s="1"/>
  <c r="AU10" i="68" s="1"/>
  <c r="AV10" i="68" s="1"/>
  <c r="AW10" i="68" s="1"/>
  <c r="AX10" i="68" s="1"/>
  <c r="AY10" i="68" s="1"/>
  <c r="AF9" i="68"/>
  <c r="AG9" i="68" s="1"/>
  <c r="AH9" i="68" s="1"/>
  <c r="AI9" i="68" s="1"/>
  <c r="AJ9" i="68" s="1"/>
  <c r="AK9" i="68" s="1"/>
  <c r="AL9" i="68" s="1"/>
  <c r="AM9" i="68" s="1"/>
  <c r="AN9" i="68" s="1"/>
  <c r="AO9" i="68" s="1"/>
  <c r="AP9" i="68" s="1"/>
  <c r="AQ9" i="68" s="1"/>
  <c r="AR9" i="68" s="1"/>
  <c r="AS9" i="68" s="1"/>
  <c r="AT9" i="68" s="1"/>
  <c r="AU9" i="68" s="1"/>
  <c r="AV9" i="68" s="1"/>
  <c r="AW9" i="68" s="1"/>
  <c r="AX9" i="68" s="1"/>
  <c r="AY9" i="68" s="1"/>
  <c r="AF8" i="68"/>
  <c r="AG8" i="68" s="1"/>
  <c r="AH8" i="68" s="1"/>
  <c r="AI8" i="68" s="1"/>
  <c r="AJ8" i="68" s="1"/>
  <c r="AK8" i="68" s="1"/>
  <c r="AL8" i="68" s="1"/>
  <c r="AM8" i="68" s="1"/>
  <c r="AN8" i="68" s="1"/>
  <c r="AO8" i="68" s="1"/>
  <c r="AP8" i="68" s="1"/>
  <c r="AQ8" i="68" s="1"/>
  <c r="AR8" i="68" s="1"/>
  <c r="AS8" i="68" s="1"/>
  <c r="AT8" i="68" s="1"/>
  <c r="AU8" i="68" s="1"/>
  <c r="AV8" i="68" s="1"/>
  <c r="AW8" i="68" s="1"/>
  <c r="AX8" i="68" s="1"/>
  <c r="AY8" i="68" s="1"/>
  <c r="AF7" i="68"/>
  <c r="AG7" i="68" s="1"/>
  <c r="AH7" i="68" s="1"/>
  <c r="AI7" i="68" s="1"/>
  <c r="AJ7" i="68" s="1"/>
  <c r="AK7" i="68" s="1"/>
  <c r="AL7" i="68" s="1"/>
  <c r="AM7" i="68" s="1"/>
  <c r="AN7" i="68" s="1"/>
  <c r="AO7" i="68" s="1"/>
  <c r="AP7" i="68" s="1"/>
  <c r="AQ7" i="68" s="1"/>
  <c r="AR7" i="68" s="1"/>
  <c r="AS7" i="68" s="1"/>
  <c r="AT7" i="68" s="1"/>
  <c r="AU7" i="68" s="1"/>
  <c r="AV7" i="68" s="1"/>
  <c r="AW7" i="68" s="1"/>
  <c r="AX7" i="68" s="1"/>
  <c r="AY7" i="68" s="1"/>
  <c r="AF6" i="68"/>
  <c r="AG6" i="68" s="1"/>
  <c r="AH6" i="68" s="1"/>
  <c r="AI6" i="68" s="1"/>
  <c r="AJ6" i="68" s="1"/>
  <c r="AK6" i="68" s="1"/>
  <c r="AL6" i="68" s="1"/>
  <c r="AM6" i="68" s="1"/>
  <c r="AN6" i="68" s="1"/>
  <c r="AO6" i="68" s="1"/>
  <c r="AP6" i="68" s="1"/>
  <c r="AQ6" i="68" s="1"/>
  <c r="AR6" i="68" s="1"/>
  <c r="AS6" i="68" s="1"/>
  <c r="AT6" i="68" s="1"/>
  <c r="AU6" i="68" s="1"/>
  <c r="AV6" i="68" s="1"/>
  <c r="AW6" i="68" s="1"/>
  <c r="AX6" i="68" s="1"/>
  <c r="AY6" i="68" s="1"/>
  <c r="AF5" i="68"/>
  <c r="AG5" i="68" s="1"/>
  <c r="AH5" i="68" s="1"/>
  <c r="AI5" i="68" s="1"/>
  <c r="AJ5" i="68" s="1"/>
  <c r="AK5" i="68" s="1"/>
  <c r="AL5" i="68" s="1"/>
  <c r="AM5" i="68" s="1"/>
  <c r="AN5" i="68" s="1"/>
  <c r="AO5" i="68" s="1"/>
  <c r="AP5" i="68" s="1"/>
  <c r="AQ5" i="68" s="1"/>
  <c r="AR5" i="68" s="1"/>
  <c r="AS5" i="68" s="1"/>
  <c r="AT5" i="68" s="1"/>
  <c r="AU5" i="68" s="1"/>
  <c r="AV5" i="68" s="1"/>
  <c r="AW5" i="68" s="1"/>
  <c r="AX5" i="68" s="1"/>
  <c r="AY5" i="68" s="1"/>
  <c r="AF4" i="68"/>
  <c r="AG4" i="68" s="1"/>
  <c r="AH4" i="68" s="1"/>
  <c r="AI4" i="68" s="1"/>
  <c r="AJ4" i="68" s="1"/>
  <c r="AK4" i="68" s="1"/>
  <c r="AL4" i="68" s="1"/>
  <c r="AM4" i="68" s="1"/>
  <c r="AN4" i="68" s="1"/>
  <c r="AO4" i="68" s="1"/>
  <c r="AP4" i="68" s="1"/>
  <c r="AQ4" i="68" s="1"/>
  <c r="AR4" i="68" s="1"/>
  <c r="AS4" i="68" s="1"/>
  <c r="AT4" i="68" s="1"/>
  <c r="AU4" i="68" s="1"/>
  <c r="AV4" i="68" s="1"/>
  <c r="AW4" i="68" s="1"/>
  <c r="AX4" i="68" s="1"/>
  <c r="AY4" i="68" s="1"/>
  <c r="AF3" i="68"/>
  <c r="AG3" i="68" s="1"/>
  <c r="AH3" i="68" s="1"/>
  <c r="AI3" i="68" s="1"/>
  <c r="AJ3" i="68" s="1"/>
  <c r="AK3" i="68" s="1"/>
  <c r="AL3" i="68" s="1"/>
  <c r="AM3" i="68" s="1"/>
  <c r="AN3" i="68" s="1"/>
  <c r="AO3" i="68" s="1"/>
  <c r="AP3" i="68" s="1"/>
  <c r="AQ3" i="68" s="1"/>
  <c r="AR3" i="68" s="1"/>
  <c r="AS3" i="68" s="1"/>
  <c r="AT3" i="68" s="1"/>
  <c r="AU3" i="68" s="1"/>
  <c r="AV3" i="68" s="1"/>
  <c r="AW3" i="68" s="1"/>
  <c r="AX3" i="68" s="1"/>
  <c r="AY3" i="68" s="1"/>
  <c r="AF2" i="68"/>
  <c r="AG2" i="68" s="1"/>
  <c r="AH2" i="68" s="1"/>
  <c r="AI2" i="68" s="1"/>
  <c r="AJ2" i="68" s="1"/>
  <c r="AK2" i="68" s="1"/>
  <c r="AL2" i="68" s="1"/>
  <c r="AM2" i="68" s="1"/>
  <c r="AN2" i="68" s="1"/>
  <c r="AO2" i="68" s="1"/>
  <c r="AP2" i="68" s="1"/>
  <c r="AQ2" i="68" s="1"/>
  <c r="AR2" i="68" s="1"/>
  <c r="AS2" i="68" s="1"/>
  <c r="AT2" i="68" s="1"/>
  <c r="AU2" i="68" s="1"/>
  <c r="AV2" i="68" s="1"/>
  <c r="AW2" i="68" s="1"/>
  <c r="AX2" i="68" s="1"/>
  <c r="AY2" i="68" s="1"/>
  <c r="AF1" i="68"/>
  <c r="AG1" i="68" s="1"/>
  <c r="AH1" i="68" s="1"/>
  <c r="AI1" i="68" s="1"/>
  <c r="AJ1" i="68" s="1"/>
  <c r="AK1" i="68" s="1"/>
  <c r="AL1" i="68" s="1"/>
  <c r="AM1" i="68" s="1"/>
  <c r="AN1" i="68" s="1"/>
  <c r="AO1" i="68" s="1"/>
  <c r="AP1" i="68" s="1"/>
  <c r="AQ1" i="68" s="1"/>
  <c r="AR1" i="68" s="1"/>
  <c r="AS1" i="68" s="1"/>
  <c r="AT1" i="68" s="1"/>
  <c r="AU1" i="68" s="1"/>
  <c r="AV1" i="68" s="1"/>
  <c r="AW1" i="68" s="1"/>
  <c r="AX1" i="68" s="1"/>
  <c r="AY1" i="68" s="1"/>
  <c r="AF11" i="67"/>
  <c r="AG11" i="67" s="1"/>
  <c r="AH11" i="67" s="1"/>
  <c r="AI11" i="67" s="1"/>
  <c r="AJ11" i="67" s="1"/>
  <c r="AK11" i="67" s="1"/>
  <c r="AL11" i="67" s="1"/>
  <c r="AM11" i="67" s="1"/>
  <c r="AN11" i="67" s="1"/>
  <c r="AO11" i="67" s="1"/>
  <c r="AP11" i="67" s="1"/>
  <c r="AQ11" i="67" s="1"/>
  <c r="AR11" i="67" s="1"/>
  <c r="AS11" i="67" s="1"/>
  <c r="AT11" i="67" s="1"/>
  <c r="AU11" i="67" s="1"/>
  <c r="AV11" i="67" s="1"/>
  <c r="AW11" i="67" s="1"/>
  <c r="AX11" i="67" s="1"/>
  <c r="AY11" i="67" s="1"/>
  <c r="AF10" i="67"/>
  <c r="AG10" i="67" s="1"/>
  <c r="AH10" i="67" s="1"/>
  <c r="AI10" i="67" s="1"/>
  <c r="AJ10" i="67" s="1"/>
  <c r="AK10" i="67" s="1"/>
  <c r="AL10" i="67" s="1"/>
  <c r="AM10" i="67" s="1"/>
  <c r="AN10" i="67" s="1"/>
  <c r="AO10" i="67" s="1"/>
  <c r="AP10" i="67" s="1"/>
  <c r="AQ10" i="67" s="1"/>
  <c r="AR10" i="67" s="1"/>
  <c r="AS10" i="67" s="1"/>
  <c r="AT10" i="67" s="1"/>
  <c r="AU10" i="67" s="1"/>
  <c r="AV10" i="67" s="1"/>
  <c r="AW10" i="67" s="1"/>
  <c r="AX10" i="67" s="1"/>
  <c r="AY10" i="67" s="1"/>
  <c r="AF9" i="67"/>
  <c r="AG9" i="67" s="1"/>
  <c r="AH9" i="67" s="1"/>
  <c r="AI9" i="67" s="1"/>
  <c r="AJ9" i="67" s="1"/>
  <c r="AK9" i="67" s="1"/>
  <c r="AL9" i="67" s="1"/>
  <c r="AM9" i="67" s="1"/>
  <c r="AN9" i="67" s="1"/>
  <c r="AO9" i="67" s="1"/>
  <c r="AP9" i="67" s="1"/>
  <c r="AQ9" i="67" s="1"/>
  <c r="AR9" i="67" s="1"/>
  <c r="AS9" i="67" s="1"/>
  <c r="AT9" i="67" s="1"/>
  <c r="AU9" i="67" s="1"/>
  <c r="AV9" i="67" s="1"/>
  <c r="AW9" i="67" s="1"/>
  <c r="AX9" i="67" s="1"/>
  <c r="AY9" i="67" s="1"/>
  <c r="AF8" i="67"/>
  <c r="AG8" i="67" s="1"/>
  <c r="AH8" i="67" s="1"/>
  <c r="AI8" i="67" s="1"/>
  <c r="AJ8" i="67" s="1"/>
  <c r="AK8" i="67" s="1"/>
  <c r="AL8" i="67" s="1"/>
  <c r="AM8" i="67" s="1"/>
  <c r="AN8" i="67" s="1"/>
  <c r="AO8" i="67" s="1"/>
  <c r="AP8" i="67" s="1"/>
  <c r="AQ8" i="67" s="1"/>
  <c r="AR8" i="67" s="1"/>
  <c r="AS8" i="67" s="1"/>
  <c r="AT8" i="67" s="1"/>
  <c r="AU8" i="67" s="1"/>
  <c r="AV8" i="67" s="1"/>
  <c r="AW8" i="67" s="1"/>
  <c r="AX8" i="67" s="1"/>
  <c r="AY8" i="67" s="1"/>
  <c r="AF7" i="67"/>
  <c r="AG7" i="67" s="1"/>
  <c r="AH7" i="67" s="1"/>
  <c r="AI7" i="67" s="1"/>
  <c r="AJ7" i="67" s="1"/>
  <c r="AK7" i="67" s="1"/>
  <c r="AL7" i="67" s="1"/>
  <c r="AM7" i="67" s="1"/>
  <c r="AN7" i="67" s="1"/>
  <c r="AO7" i="67" s="1"/>
  <c r="AP7" i="67" s="1"/>
  <c r="AQ7" i="67" s="1"/>
  <c r="AR7" i="67" s="1"/>
  <c r="AS7" i="67" s="1"/>
  <c r="AT7" i="67" s="1"/>
  <c r="AU7" i="67" s="1"/>
  <c r="AV7" i="67" s="1"/>
  <c r="AW7" i="67" s="1"/>
  <c r="AX7" i="67" s="1"/>
  <c r="AY7" i="67" s="1"/>
  <c r="AF6" i="67"/>
  <c r="AG6" i="67" s="1"/>
  <c r="AH6" i="67" s="1"/>
  <c r="AI6" i="67" s="1"/>
  <c r="AJ6" i="67" s="1"/>
  <c r="AK6" i="67" s="1"/>
  <c r="AL6" i="67" s="1"/>
  <c r="AM6" i="67" s="1"/>
  <c r="AN6" i="67" s="1"/>
  <c r="AO6" i="67" s="1"/>
  <c r="AP6" i="67" s="1"/>
  <c r="AQ6" i="67" s="1"/>
  <c r="AR6" i="67" s="1"/>
  <c r="AS6" i="67" s="1"/>
  <c r="AT6" i="67" s="1"/>
  <c r="AU6" i="67" s="1"/>
  <c r="AV6" i="67" s="1"/>
  <c r="AW6" i="67" s="1"/>
  <c r="AX6" i="67" s="1"/>
  <c r="AY6" i="67" s="1"/>
  <c r="AF5" i="67"/>
  <c r="AG5" i="67" s="1"/>
  <c r="AH5" i="67" s="1"/>
  <c r="AI5" i="67" s="1"/>
  <c r="AJ5" i="67" s="1"/>
  <c r="AK5" i="67" s="1"/>
  <c r="AL5" i="67" s="1"/>
  <c r="AM5" i="67" s="1"/>
  <c r="AN5" i="67" s="1"/>
  <c r="AO5" i="67" s="1"/>
  <c r="AP5" i="67" s="1"/>
  <c r="AQ5" i="67" s="1"/>
  <c r="AR5" i="67" s="1"/>
  <c r="AS5" i="67" s="1"/>
  <c r="AT5" i="67" s="1"/>
  <c r="AU5" i="67" s="1"/>
  <c r="AV5" i="67" s="1"/>
  <c r="AW5" i="67" s="1"/>
  <c r="AX5" i="67" s="1"/>
  <c r="AY5" i="67" s="1"/>
  <c r="AF4" i="67"/>
  <c r="AG4" i="67" s="1"/>
  <c r="AH4" i="67" s="1"/>
  <c r="AI4" i="67" s="1"/>
  <c r="AJ4" i="67" s="1"/>
  <c r="AK4" i="67" s="1"/>
  <c r="AL4" i="67" s="1"/>
  <c r="AM4" i="67" s="1"/>
  <c r="AN4" i="67" s="1"/>
  <c r="AO4" i="67" s="1"/>
  <c r="AP4" i="67" s="1"/>
  <c r="AQ4" i="67" s="1"/>
  <c r="AR4" i="67" s="1"/>
  <c r="AS4" i="67" s="1"/>
  <c r="AT4" i="67" s="1"/>
  <c r="AU4" i="67" s="1"/>
  <c r="AV4" i="67" s="1"/>
  <c r="AW4" i="67" s="1"/>
  <c r="AX4" i="67" s="1"/>
  <c r="AY4" i="67" s="1"/>
  <c r="AF3" i="67"/>
  <c r="AG3" i="67" s="1"/>
  <c r="AH3" i="67" s="1"/>
  <c r="AI3" i="67" s="1"/>
  <c r="AJ3" i="67" s="1"/>
  <c r="AK3" i="67" s="1"/>
  <c r="AL3" i="67" s="1"/>
  <c r="AM3" i="67" s="1"/>
  <c r="AN3" i="67" s="1"/>
  <c r="AO3" i="67" s="1"/>
  <c r="AP3" i="67" s="1"/>
  <c r="AQ3" i="67" s="1"/>
  <c r="AR3" i="67" s="1"/>
  <c r="AS3" i="67" s="1"/>
  <c r="AT3" i="67" s="1"/>
  <c r="AU3" i="67" s="1"/>
  <c r="AV3" i="67" s="1"/>
  <c r="AW3" i="67" s="1"/>
  <c r="AX3" i="67" s="1"/>
  <c r="AY3" i="67" s="1"/>
  <c r="AF2" i="67"/>
  <c r="AG2" i="67" s="1"/>
  <c r="AH2" i="67" s="1"/>
  <c r="AI2" i="67" s="1"/>
  <c r="AJ2" i="67" s="1"/>
  <c r="AK2" i="67" s="1"/>
  <c r="AL2" i="67" s="1"/>
  <c r="AM2" i="67" s="1"/>
  <c r="AN2" i="67" s="1"/>
  <c r="AO2" i="67" s="1"/>
  <c r="AP2" i="67" s="1"/>
  <c r="AQ2" i="67" s="1"/>
  <c r="AR2" i="67" s="1"/>
  <c r="AS2" i="67" s="1"/>
  <c r="AT2" i="67" s="1"/>
  <c r="AU2" i="67" s="1"/>
  <c r="AV2" i="67" s="1"/>
  <c r="AW2" i="67" s="1"/>
  <c r="AX2" i="67" s="1"/>
  <c r="AY2" i="67" s="1"/>
  <c r="AF1" i="67"/>
  <c r="AG1" i="67" s="1"/>
  <c r="AH1" i="67" s="1"/>
  <c r="AI1" i="67" s="1"/>
  <c r="AJ1" i="67" s="1"/>
  <c r="AK1" i="67" s="1"/>
  <c r="AL1" i="67" s="1"/>
  <c r="AM1" i="67" s="1"/>
  <c r="AN1" i="67" s="1"/>
  <c r="AO1" i="67" s="1"/>
  <c r="AP1" i="67" s="1"/>
  <c r="AQ1" i="67" s="1"/>
  <c r="AR1" i="67" s="1"/>
  <c r="AS1" i="67" s="1"/>
  <c r="AT1" i="67" s="1"/>
  <c r="AU1" i="67" s="1"/>
  <c r="AV1" i="67" s="1"/>
  <c r="AW1" i="67" s="1"/>
  <c r="AX1" i="67" s="1"/>
  <c r="AY1" i="67" s="1"/>
  <c r="AF11" i="64"/>
  <c r="AG11" i="64" s="1"/>
  <c r="AH11" i="64" s="1"/>
  <c r="AI11" i="64" s="1"/>
  <c r="AJ11" i="64" s="1"/>
  <c r="AK11" i="64" s="1"/>
  <c r="AL11" i="64" s="1"/>
  <c r="AM11" i="64" s="1"/>
  <c r="AN11" i="64" s="1"/>
  <c r="AO11" i="64" s="1"/>
  <c r="AP11" i="64" s="1"/>
  <c r="AQ11" i="64" s="1"/>
  <c r="AR11" i="64" s="1"/>
  <c r="AS11" i="64" s="1"/>
  <c r="AT11" i="64" s="1"/>
  <c r="AU11" i="64" s="1"/>
  <c r="AV11" i="64" s="1"/>
  <c r="AW11" i="64" s="1"/>
  <c r="AX11" i="64" s="1"/>
  <c r="AY11" i="64" s="1"/>
  <c r="AF10" i="64"/>
  <c r="AG10" i="64" s="1"/>
  <c r="AH10" i="64" s="1"/>
  <c r="AI10" i="64" s="1"/>
  <c r="AJ10" i="64" s="1"/>
  <c r="AK10" i="64" s="1"/>
  <c r="AL10" i="64" s="1"/>
  <c r="AM10" i="64" s="1"/>
  <c r="AN10" i="64" s="1"/>
  <c r="AO10" i="64" s="1"/>
  <c r="AP10" i="64" s="1"/>
  <c r="AQ10" i="64" s="1"/>
  <c r="AR10" i="64" s="1"/>
  <c r="AS10" i="64" s="1"/>
  <c r="AT10" i="64" s="1"/>
  <c r="AU10" i="64" s="1"/>
  <c r="AV10" i="64" s="1"/>
  <c r="AW10" i="64" s="1"/>
  <c r="AX10" i="64" s="1"/>
  <c r="AY10" i="64" s="1"/>
  <c r="AF9" i="64"/>
  <c r="AG9" i="64" s="1"/>
  <c r="AH9" i="64" s="1"/>
  <c r="AI9" i="64" s="1"/>
  <c r="AJ9" i="64" s="1"/>
  <c r="AK9" i="64" s="1"/>
  <c r="AL9" i="64" s="1"/>
  <c r="AM9" i="64" s="1"/>
  <c r="AN9" i="64" s="1"/>
  <c r="AO9" i="64" s="1"/>
  <c r="AP9" i="64" s="1"/>
  <c r="AQ9" i="64" s="1"/>
  <c r="AR9" i="64" s="1"/>
  <c r="AS9" i="64" s="1"/>
  <c r="AT9" i="64" s="1"/>
  <c r="AU9" i="64" s="1"/>
  <c r="AV9" i="64" s="1"/>
  <c r="AW9" i="64" s="1"/>
  <c r="AX9" i="64" s="1"/>
  <c r="AY9" i="64" s="1"/>
  <c r="AF8" i="64"/>
  <c r="AG8" i="64" s="1"/>
  <c r="AH8" i="64" s="1"/>
  <c r="AI8" i="64" s="1"/>
  <c r="AJ8" i="64" s="1"/>
  <c r="AK8" i="64" s="1"/>
  <c r="AL8" i="64" s="1"/>
  <c r="AM8" i="64" s="1"/>
  <c r="AN8" i="64" s="1"/>
  <c r="AO8" i="64" s="1"/>
  <c r="AP8" i="64" s="1"/>
  <c r="AQ8" i="64" s="1"/>
  <c r="AR8" i="64" s="1"/>
  <c r="AS8" i="64" s="1"/>
  <c r="AT8" i="64" s="1"/>
  <c r="AU8" i="64" s="1"/>
  <c r="AV8" i="64" s="1"/>
  <c r="AW8" i="64" s="1"/>
  <c r="AX8" i="64" s="1"/>
  <c r="AY8" i="64" s="1"/>
  <c r="AF7" i="64"/>
  <c r="AG7" i="64" s="1"/>
  <c r="AH7" i="64" s="1"/>
  <c r="AI7" i="64" s="1"/>
  <c r="AJ7" i="64" s="1"/>
  <c r="AK7" i="64" s="1"/>
  <c r="AL7" i="64" s="1"/>
  <c r="AM7" i="64" s="1"/>
  <c r="AN7" i="64" s="1"/>
  <c r="AO7" i="64" s="1"/>
  <c r="AP7" i="64" s="1"/>
  <c r="AQ7" i="64" s="1"/>
  <c r="AR7" i="64" s="1"/>
  <c r="AS7" i="64" s="1"/>
  <c r="AT7" i="64" s="1"/>
  <c r="AU7" i="64" s="1"/>
  <c r="AV7" i="64" s="1"/>
  <c r="AW7" i="64" s="1"/>
  <c r="AX7" i="64" s="1"/>
  <c r="AY7" i="64" s="1"/>
  <c r="AF6" i="64"/>
  <c r="AG6" i="64" s="1"/>
  <c r="AH6" i="64" s="1"/>
  <c r="AI6" i="64" s="1"/>
  <c r="AJ6" i="64" s="1"/>
  <c r="AK6" i="64" s="1"/>
  <c r="AL6" i="64" s="1"/>
  <c r="AM6" i="64" s="1"/>
  <c r="AN6" i="64" s="1"/>
  <c r="AO6" i="64" s="1"/>
  <c r="AP6" i="64" s="1"/>
  <c r="AQ6" i="64" s="1"/>
  <c r="AR6" i="64" s="1"/>
  <c r="AS6" i="64" s="1"/>
  <c r="AT6" i="64" s="1"/>
  <c r="AU6" i="64" s="1"/>
  <c r="AV6" i="64" s="1"/>
  <c r="AW6" i="64" s="1"/>
  <c r="AX6" i="64" s="1"/>
  <c r="AY6" i="64" s="1"/>
  <c r="AF5" i="64"/>
  <c r="AG5" i="64" s="1"/>
  <c r="AH5" i="64" s="1"/>
  <c r="AI5" i="64" s="1"/>
  <c r="AJ5" i="64" s="1"/>
  <c r="AK5" i="64" s="1"/>
  <c r="AL5" i="64" s="1"/>
  <c r="AM5" i="64" s="1"/>
  <c r="AN5" i="64" s="1"/>
  <c r="AO5" i="64" s="1"/>
  <c r="AP5" i="64" s="1"/>
  <c r="AQ5" i="64" s="1"/>
  <c r="AR5" i="64" s="1"/>
  <c r="AS5" i="64" s="1"/>
  <c r="AT5" i="64" s="1"/>
  <c r="AU5" i="64" s="1"/>
  <c r="AV5" i="64" s="1"/>
  <c r="AW5" i="64" s="1"/>
  <c r="AX5" i="64" s="1"/>
  <c r="AY5" i="64" s="1"/>
  <c r="AF4" i="64"/>
  <c r="AG4" i="64" s="1"/>
  <c r="AH4" i="64" s="1"/>
  <c r="AI4" i="64" s="1"/>
  <c r="AJ4" i="64" s="1"/>
  <c r="AK4" i="64" s="1"/>
  <c r="AL4" i="64" s="1"/>
  <c r="AM4" i="64" s="1"/>
  <c r="AN4" i="64" s="1"/>
  <c r="AO4" i="64" s="1"/>
  <c r="AP4" i="64" s="1"/>
  <c r="AQ4" i="64" s="1"/>
  <c r="AR4" i="64" s="1"/>
  <c r="AS4" i="64" s="1"/>
  <c r="AT4" i="64" s="1"/>
  <c r="AU4" i="64" s="1"/>
  <c r="AV4" i="64" s="1"/>
  <c r="AW4" i="64" s="1"/>
  <c r="AX4" i="64" s="1"/>
  <c r="AY4" i="64" s="1"/>
  <c r="AF3" i="64"/>
  <c r="AG3" i="64" s="1"/>
  <c r="AH3" i="64" s="1"/>
  <c r="AI3" i="64" s="1"/>
  <c r="AJ3" i="64" s="1"/>
  <c r="AK3" i="64" s="1"/>
  <c r="AL3" i="64" s="1"/>
  <c r="AM3" i="64" s="1"/>
  <c r="AN3" i="64" s="1"/>
  <c r="AO3" i="64" s="1"/>
  <c r="AP3" i="64" s="1"/>
  <c r="AQ3" i="64" s="1"/>
  <c r="AR3" i="64" s="1"/>
  <c r="AS3" i="64" s="1"/>
  <c r="AT3" i="64" s="1"/>
  <c r="AU3" i="64" s="1"/>
  <c r="AV3" i="64" s="1"/>
  <c r="AW3" i="64" s="1"/>
  <c r="AX3" i="64" s="1"/>
  <c r="AY3" i="64" s="1"/>
  <c r="AF2" i="64"/>
  <c r="AG2" i="64" s="1"/>
  <c r="AH2" i="64" s="1"/>
  <c r="AI2" i="64" s="1"/>
  <c r="AJ2" i="64" s="1"/>
  <c r="AK2" i="64" s="1"/>
  <c r="AL2" i="64" s="1"/>
  <c r="AM2" i="64" s="1"/>
  <c r="AN2" i="64" s="1"/>
  <c r="AO2" i="64" s="1"/>
  <c r="AP2" i="64" s="1"/>
  <c r="AQ2" i="64" s="1"/>
  <c r="AR2" i="64" s="1"/>
  <c r="AS2" i="64" s="1"/>
  <c r="AT2" i="64" s="1"/>
  <c r="AU2" i="64" s="1"/>
  <c r="AV2" i="64" s="1"/>
  <c r="AW2" i="64" s="1"/>
  <c r="AX2" i="64" s="1"/>
  <c r="AY2" i="64" s="1"/>
  <c r="AF1" i="64"/>
  <c r="AG1" i="64" s="1"/>
  <c r="AH1" i="64" s="1"/>
  <c r="AI1" i="64" s="1"/>
  <c r="AJ1" i="64" s="1"/>
  <c r="AK1" i="64" s="1"/>
  <c r="AL1" i="64" s="1"/>
  <c r="AM1" i="64" s="1"/>
  <c r="AN1" i="64" s="1"/>
  <c r="AO1" i="64" s="1"/>
  <c r="AP1" i="64" s="1"/>
  <c r="AQ1" i="64" s="1"/>
  <c r="AR1" i="64" s="1"/>
  <c r="AS1" i="64" s="1"/>
  <c r="AT1" i="64" s="1"/>
  <c r="AU1" i="64" s="1"/>
  <c r="AV1" i="64" s="1"/>
  <c r="AW1" i="64" s="1"/>
  <c r="AX1" i="64" s="1"/>
  <c r="AY1" i="64" s="1"/>
  <c r="AF11" i="63"/>
  <c r="AG11" i="63" s="1"/>
  <c r="AH11" i="63" s="1"/>
  <c r="AI11" i="63" s="1"/>
  <c r="AJ11" i="63" s="1"/>
  <c r="AK11" i="63" s="1"/>
  <c r="AL11" i="63" s="1"/>
  <c r="AM11" i="63" s="1"/>
  <c r="AN11" i="63" s="1"/>
  <c r="AO11" i="63" s="1"/>
  <c r="AP11" i="63" s="1"/>
  <c r="AQ11" i="63" s="1"/>
  <c r="AR11" i="63" s="1"/>
  <c r="AS11" i="63" s="1"/>
  <c r="AT11" i="63" s="1"/>
  <c r="AU11" i="63" s="1"/>
  <c r="AV11" i="63" s="1"/>
  <c r="AW11" i="63" s="1"/>
  <c r="AX11" i="63" s="1"/>
  <c r="AY11" i="63" s="1"/>
  <c r="AF10" i="63"/>
  <c r="AG10" i="63" s="1"/>
  <c r="AH10" i="63" s="1"/>
  <c r="AI10" i="63" s="1"/>
  <c r="AJ10" i="63" s="1"/>
  <c r="AK10" i="63" s="1"/>
  <c r="AL10" i="63" s="1"/>
  <c r="AM10" i="63" s="1"/>
  <c r="AN10" i="63" s="1"/>
  <c r="AO10" i="63" s="1"/>
  <c r="AP10" i="63" s="1"/>
  <c r="AQ10" i="63" s="1"/>
  <c r="AR10" i="63" s="1"/>
  <c r="AS10" i="63" s="1"/>
  <c r="AT10" i="63" s="1"/>
  <c r="AU10" i="63" s="1"/>
  <c r="AV10" i="63" s="1"/>
  <c r="AW10" i="63" s="1"/>
  <c r="AX10" i="63" s="1"/>
  <c r="AY10" i="63" s="1"/>
  <c r="AF9" i="63"/>
  <c r="AG9" i="63" s="1"/>
  <c r="AH9" i="63" s="1"/>
  <c r="AI9" i="63" s="1"/>
  <c r="AJ9" i="63" s="1"/>
  <c r="AK9" i="63" s="1"/>
  <c r="AL9" i="63" s="1"/>
  <c r="AM9" i="63" s="1"/>
  <c r="AN9" i="63" s="1"/>
  <c r="AO9" i="63" s="1"/>
  <c r="AP9" i="63" s="1"/>
  <c r="AQ9" i="63" s="1"/>
  <c r="AR9" i="63" s="1"/>
  <c r="AS9" i="63" s="1"/>
  <c r="AT9" i="63" s="1"/>
  <c r="AU9" i="63" s="1"/>
  <c r="AV9" i="63" s="1"/>
  <c r="AW9" i="63" s="1"/>
  <c r="AX9" i="63" s="1"/>
  <c r="AY9" i="63" s="1"/>
  <c r="AF8" i="63"/>
  <c r="AG8" i="63" s="1"/>
  <c r="AH8" i="63" s="1"/>
  <c r="AI8" i="63" s="1"/>
  <c r="AJ8" i="63" s="1"/>
  <c r="AK8" i="63" s="1"/>
  <c r="AL8" i="63" s="1"/>
  <c r="AM8" i="63" s="1"/>
  <c r="AN8" i="63" s="1"/>
  <c r="AO8" i="63" s="1"/>
  <c r="AP8" i="63" s="1"/>
  <c r="AQ8" i="63" s="1"/>
  <c r="AR8" i="63" s="1"/>
  <c r="AS8" i="63" s="1"/>
  <c r="AT8" i="63" s="1"/>
  <c r="AU8" i="63" s="1"/>
  <c r="AV8" i="63" s="1"/>
  <c r="AW8" i="63" s="1"/>
  <c r="AX8" i="63" s="1"/>
  <c r="AY8" i="63" s="1"/>
  <c r="AF7" i="63"/>
  <c r="AG7" i="63" s="1"/>
  <c r="AH7" i="63" s="1"/>
  <c r="AI7" i="63" s="1"/>
  <c r="AJ7" i="63" s="1"/>
  <c r="AK7" i="63" s="1"/>
  <c r="AL7" i="63" s="1"/>
  <c r="AM7" i="63" s="1"/>
  <c r="AN7" i="63" s="1"/>
  <c r="AO7" i="63" s="1"/>
  <c r="AP7" i="63" s="1"/>
  <c r="AQ7" i="63" s="1"/>
  <c r="AR7" i="63" s="1"/>
  <c r="AS7" i="63" s="1"/>
  <c r="AT7" i="63" s="1"/>
  <c r="AU7" i="63" s="1"/>
  <c r="AV7" i="63" s="1"/>
  <c r="AW7" i="63" s="1"/>
  <c r="AX7" i="63" s="1"/>
  <c r="AY7" i="63" s="1"/>
  <c r="AF6" i="63"/>
  <c r="AG6" i="63" s="1"/>
  <c r="AH6" i="63" s="1"/>
  <c r="AI6" i="63" s="1"/>
  <c r="AJ6" i="63" s="1"/>
  <c r="AK6" i="63" s="1"/>
  <c r="AL6" i="63" s="1"/>
  <c r="AM6" i="63" s="1"/>
  <c r="AN6" i="63" s="1"/>
  <c r="AO6" i="63" s="1"/>
  <c r="AP6" i="63" s="1"/>
  <c r="AQ6" i="63" s="1"/>
  <c r="AR6" i="63" s="1"/>
  <c r="AS6" i="63" s="1"/>
  <c r="AT6" i="63" s="1"/>
  <c r="AU6" i="63" s="1"/>
  <c r="AV6" i="63" s="1"/>
  <c r="AW6" i="63" s="1"/>
  <c r="AX6" i="63" s="1"/>
  <c r="AY6" i="63" s="1"/>
  <c r="AF5" i="63"/>
  <c r="AG5" i="63" s="1"/>
  <c r="AH5" i="63" s="1"/>
  <c r="AI5" i="63" s="1"/>
  <c r="AJ5" i="63" s="1"/>
  <c r="AK5" i="63" s="1"/>
  <c r="AL5" i="63" s="1"/>
  <c r="AM5" i="63" s="1"/>
  <c r="AN5" i="63" s="1"/>
  <c r="AO5" i="63" s="1"/>
  <c r="AP5" i="63" s="1"/>
  <c r="AQ5" i="63" s="1"/>
  <c r="AR5" i="63" s="1"/>
  <c r="AS5" i="63" s="1"/>
  <c r="AT5" i="63" s="1"/>
  <c r="AU5" i="63" s="1"/>
  <c r="AV5" i="63" s="1"/>
  <c r="AW5" i="63" s="1"/>
  <c r="AX5" i="63" s="1"/>
  <c r="AY5" i="63" s="1"/>
  <c r="AF4" i="63"/>
  <c r="AG4" i="63" s="1"/>
  <c r="AH4" i="63" s="1"/>
  <c r="AI4" i="63" s="1"/>
  <c r="AJ4" i="63" s="1"/>
  <c r="AK4" i="63" s="1"/>
  <c r="AL4" i="63" s="1"/>
  <c r="AM4" i="63" s="1"/>
  <c r="AN4" i="63" s="1"/>
  <c r="AO4" i="63" s="1"/>
  <c r="AP4" i="63" s="1"/>
  <c r="AQ4" i="63" s="1"/>
  <c r="AR4" i="63" s="1"/>
  <c r="AS4" i="63" s="1"/>
  <c r="AT4" i="63" s="1"/>
  <c r="AU4" i="63" s="1"/>
  <c r="AV4" i="63" s="1"/>
  <c r="AW4" i="63" s="1"/>
  <c r="AX4" i="63" s="1"/>
  <c r="AY4" i="63" s="1"/>
  <c r="AF3" i="63"/>
  <c r="AG3" i="63" s="1"/>
  <c r="AH3" i="63" s="1"/>
  <c r="AI3" i="63" s="1"/>
  <c r="AJ3" i="63" s="1"/>
  <c r="AK3" i="63" s="1"/>
  <c r="AL3" i="63" s="1"/>
  <c r="AM3" i="63" s="1"/>
  <c r="AN3" i="63" s="1"/>
  <c r="AO3" i="63" s="1"/>
  <c r="AP3" i="63" s="1"/>
  <c r="AQ3" i="63" s="1"/>
  <c r="AR3" i="63" s="1"/>
  <c r="AS3" i="63" s="1"/>
  <c r="AT3" i="63" s="1"/>
  <c r="AU3" i="63" s="1"/>
  <c r="AV3" i="63" s="1"/>
  <c r="AW3" i="63" s="1"/>
  <c r="AX3" i="63" s="1"/>
  <c r="AY3" i="63" s="1"/>
  <c r="AF2" i="63"/>
  <c r="AG2" i="63" s="1"/>
  <c r="AH2" i="63" s="1"/>
  <c r="AI2" i="63" s="1"/>
  <c r="AJ2" i="63" s="1"/>
  <c r="AK2" i="63" s="1"/>
  <c r="AL2" i="63" s="1"/>
  <c r="AM2" i="63" s="1"/>
  <c r="AN2" i="63" s="1"/>
  <c r="AO2" i="63" s="1"/>
  <c r="AP2" i="63" s="1"/>
  <c r="AQ2" i="63" s="1"/>
  <c r="AR2" i="63" s="1"/>
  <c r="AS2" i="63" s="1"/>
  <c r="AT2" i="63" s="1"/>
  <c r="AU2" i="63" s="1"/>
  <c r="AV2" i="63" s="1"/>
  <c r="AW2" i="63" s="1"/>
  <c r="AX2" i="63" s="1"/>
  <c r="AY2" i="63" s="1"/>
  <c r="AF1" i="63"/>
  <c r="AG1" i="63" s="1"/>
  <c r="AH1" i="63" s="1"/>
  <c r="AI1" i="63" s="1"/>
  <c r="AJ1" i="63" s="1"/>
  <c r="AK1" i="63" s="1"/>
  <c r="AL1" i="63" s="1"/>
  <c r="AM1" i="63" s="1"/>
  <c r="AN1" i="63" s="1"/>
  <c r="AO1" i="63" s="1"/>
  <c r="AP1" i="63" s="1"/>
  <c r="AQ1" i="63" s="1"/>
  <c r="AR1" i="63" s="1"/>
  <c r="AS1" i="63" s="1"/>
  <c r="AT1" i="63" s="1"/>
  <c r="AU1" i="63" s="1"/>
  <c r="AV1" i="63" s="1"/>
  <c r="AW1" i="63" s="1"/>
  <c r="AX1" i="63" s="1"/>
  <c r="AY1" i="63" s="1"/>
  <c r="AF11" i="75"/>
  <c r="AG11" i="75" s="1"/>
  <c r="AH11" i="75" s="1"/>
  <c r="AI11" i="75" s="1"/>
  <c r="AJ11" i="75" s="1"/>
  <c r="AK11" i="75" s="1"/>
  <c r="AL11" i="75" s="1"/>
  <c r="AM11" i="75" s="1"/>
  <c r="AN11" i="75" s="1"/>
  <c r="AO11" i="75" s="1"/>
  <c r="AP11" i="75" s="1"/>
  <c r="AQ11" i="75" s="1"/>
  <c r="AR11" i="75" s="1"/>
  <c r="AS11" i="75" s="1"/>
  <c r="AT11" i="75" s="1"/>
  <c r="AU11" i="75" s="1"/>
  <c r="AV11" i="75" s="1"/>
  <c r="AW11" i="75" s="1"/>
  <c r="AX11" i="75" s="1"/>
  <c r="AY11" i="75" s="1"/>
  <c r="AF10" i="75"/>
  <c r="AG10" i="75" s="1"/>
  <c r="AH10" i="75" s="1"/>
  <c r="AI10" i="75" s="1"/>
  <c r="AJ10" i="75" s="1"/>
  <c r="AK10" i="75" s="1"/>
  <c r="AL10" i="75" s="1"/>
  <c r="AM10" i="75" s="1"/>
  <c r="AN10" i="75" s="1"/>
  <c r="AO10" i="75" s="1"/>
  <c r="AP10" i="75" s="1"/>
  <c r="AQ10" i="75" s="1"/>
  <c r="AR10" i="75" s="1"/>
  <c r="AS10" i="75" s="1"/>
  <c r="AT10" i="75" s="1"/>
  <c r="AU10" i="75" s="1"/>
  <c r="AV10" i="75" s="1"/>
  <c r="AW10" i="75" s="1"/>
  <c r="AX10" i="75" s="1"/>
  <c r="AY10" i="75" s="1"/>
  <c r="AF9" i="75"/>
  <c r="AG9" i="75" s="1"/>
  <c r="AH9" i="75" s="1"/>
  <c r="AI9" i="75" s="1"/>
  <c r="AJ9" i="75" s="1"/>
  <c r="AK9" i="75" s="1"/>
  <c r="AL9" i="75" s="1"/>
  <c r="AM9" i="75" s="1"/>
  <c r="AN9" i="75" s="1"/>
  <c r="AO9" i="75" s="1"/>
  <c r="AP9" i="75" s="1"/>
  <c r="AQ9" i="75" s="1"/>
  <c r="AR9" i="75" s="1"/>
  <c r="AS9" i="75" s="1"/>
  <c r="AT9" i="75" s="1"/>
  <c r="AU9" i="75" s="1"/>
  <c r="AV9" i="75" s="1"/>
  <c r="AW9" i="75" s="1"/>
  <c r="AX9" i="75" s="1"/>
  <c r="AY9" i="75" s="1"/>
  <c r="AF8" i="75"/>
  <c r="AG8" i="75" s="1"/>
  <c r="AH8" i="75" s="1"/>
  <c r="AI8" i="75" s="1"/>
  <c r="AJ8" i="75" s="1"/>
  <c r="AK8" i="75" s="1"/>
  <c r="AL8" i="75" s="1"/>
  <c r="AM8" i="75" s="1"/>
  <c r="AN8" i="75" s="1"/>
  <c r="AO8" i="75" s="1"/>
  <c r="AP8" i="75" s="1"/>
  <c r="AQ8" i="75" s="1"/>
  <c r="AR8" i="75" s="1"/>
  <c r="AS8" i="75" s="1"/>
  <c r="AT8" i="75" s="1"/>
  <c r="AU8" i="75" s="1"/>
  <c r="AV8" i="75" s="1"/>
  <c r="AW8" i="75" s="1"/>
  <c r="AX8" i="75" s="1"/>
  <c r="AY8" i="75" s="1"/>
  <c r="AF7" i="75"/>
  <c r="AG7" i="75" s="1"/>
  <c r="AH7" i="75" s="1"/>
  <c r="AI7" i="75" s="1"/>
  <c r="AJ7" i="75" s="1"/>
  <c r="AK7" i="75" s="1"/>
  <c r="AL7" i="75" s="1"/>
  <c r="AM7" i="75" s="1"/>
  <c r="AN7" i="75" s="1"/>
  <c r="AO7" i="75" s="1"/>
  <c r="AP7" i="75" s="1"/>
  <c r="AQ7" i="75" s="1"/>
  <c r="AR7" i="75" s="1"/>
  <c r="AS7" i="75" s="1"/>
  <c r="AT7" i="75" s="1"/>
  <c r="AU7" i="75" s="1"/>
  <c r="AV7" i="75" s="1"/>
  <c r="AW7" i="75" s="1"/>
  <c r="AX7" i="75" s="1"/>
  <c r="AY7" i="75" s="1"/>
  <c r="AF6" i="75"/>
  <c r="AG6" i="75" s="1"/>
  <c r="AH6" i="75" s="1"/>
  <c r="AI6" i="75" s="1"/>
  <c r="AJ6" i="75" s="1"/>
  <c r="AK6" i="75" s="1"/>
  <c r="AL6" i="75" s="1"/>
  <c r="AM6" i="75" s="1"/>
  <c r="AN6" i="75" s="1"/>
  <c r="AO6" i="75" s="1"/>
  <c r="AP6" i="75" s="1"/>
  <c r="AQ6" i="75" s="1"/>
  <c r="AR6" i="75" s="1"/>
  <c r="AS6" i="75" s="1"/>
  <c r="AT6" i="75" s="1"/>
  <c r="AU6" i="75" s="1"/>
  <c r="AV6" i="75" s="1"/>
  <c r="AW6" i="75" s="1"/>
  <c r="AX6" i="75" s="1"/>
  <c r="AY6" i="75" s="1"/>
  <c r="AF5" i="75"/>
  <c r="AG5" i="75" s="1"/>
  <c r="AH5" i="75" s="1"/>
  <c r="AI5" i="75" s="1"/>
  <c r="AJ5" i="75" s="1"/>
  <c r="AK5" i="75" s="1"/>
  <c r="AL5" i="75" s="1"/>
  <c r="AM5" i="75" s="1"/>
  <c r="AN5" i="75" s="1"/>
  <c r="AO5" i="75" s="1"/>
  <c r="AP5" i="75" s="1"/>
  <c r="AQ5" i="75" s="1"/>
  <c r="AR5" i="75" s="1"/>
  <c r="AS5" i="75" s="1"/>
  <c r="AT5" i="75" s="1"/>
  <c r="AU5" i="75" s="1"/>
  <c r="AV5" i="75" s="1"/>
  <c r="AW5" i="75" s="1"/>
  <c r="AX5" i="75" s="1"/>
  <c r="AY5" i="75" s="1"/>
  <c r="AF4" i="75"/>
  <c r="AG4" i="75" s="1"/>
  <c r="AH4" i="75" s="1"/>
  <c r="AI4" i="75" s="1"/>
  <c r="AJ4" i="75" s="1"/>
  <c r="AK4" i="75" s="1"/>
  <c r="AL4" i="75" s="1"/>
  <c r="AM4" i="75" s="1"/>
  <c r="AN4" i="75" s="1"/>
  <c r="AO4" i="75" s="1"/>
  <c r="AP4" i="75" s="1"/>
  <c r="AQ4" i="75" s="1"/>
  <c r="AR4" i="75" s="1"/>
  <c r="AS4" i="75" s="1"/>
  <c r="AT4" i="75" s="1"/>
  <c r="AU4" i="75" s="1"/>
  <c r="AV4" i="75" s="1"/>
  <c r="AW4" i="75" s="1"/>
  <c r="AX4" i="75" s="1"/>
  <c r="AY4" i="75" s="1"/>
  <c r="AF3" i="75"/>
  <c r="AG3" i="75" s="1"/>
  <c r="AH3" i="75" s="1"/>
  <c r="AI3" i="75" s="1"/>
  <c r="AJ3" i="75" s="1"/>
  <c r="AK3" i="75" s="1"/>
  <c r="AL3" i="75" s="1"/>
  <c r="AM3" i="75" s="1"/>
  <c r="AN3" i="75" s="1"/>
  <c r="AO3" i="75" s="1"/>
  <c r="AP3" i="75" s="1"/>
  <c r="AQ3" i="75" s="1"/>
  <c r="AR3" i="75" s="1"/>
  <c r="AS3" i="75" s="1"/>
  <c r="AT3" i="75" s="1"/>
  <c r="AU3" i="75" s="1"/>
  <c r="AV3" i="75" s="1"/>
  <c r="AW3" i="75" s="1"/>
  <c r="AX3" i="75" s="1"/>
  <c r="AY3" i="75" s="1"/>
  <c r="AF2" i="75"/>
  <c r="AG2" i="75" s="1"/>
  <c r="AH2" i="75" s="1"/>
  <c r="AI2" i="75" s="1"/>
  <c r="AJ2" i="75" s="1"/>
  <c r="AK2" i="75" s="1"/>
  <c r="AL2" i="75" s="1"/>
  <c r="AM2" i="75" s="1"/>
  <c r="AN2" i="75" s="1"/>
  <c r="AO2" i="75" s="1"/>
  <c r="AP2" i="75" s="1"/>
  <c r="AQ2" i="75" s="1"/>
  <c r="AR2" i="75" s="1"/>
  <c r="AS2" i="75" s="1"/>
  <c r="AT2" i="75" s="1"/>
  <c r="AU2" i="75" s="1"/>
  <c r="AV2" i="75" s="1"/>
  <c r="AW2" i="75" s="1"/>
  <c r="AX2" i="75" s="1"/>
  <c r="AY2" i="75" s="1"/>
  <c r="AF1" i="75"/>
  <c r="AG1" i="75" s="1"/>
  <c r="AH1" i="75" s="1"/>
  <c r="AI1" i="75" s="1"/>
  <c r="AJ1" i="75" s="1"/>
  <c r="AK1" i="75" s="1"/>
  <c r="AL1" i="75" s="1"/>
  <c r="AM1" i="75" s="1"/>
  <c r="AN1" i="75" s="1"/>
  <c r="AO1" i="75" s="1"/>
  <c r="AP1" i="75" s="1"/>
  <c r="AQ1" i="75" s="1"/>
  <c r="AR1" i="75" s="1"/>
  <c r="AS1" i="75" s="1"/>
  <c r="AT1" i="75" s="1"/>
  <c r="AU1" i="75" s="1"/>
  <c r="AV1" i="75" s="1"/>
  <c r="AW1" i="75" s="1"/>
  <c r="AX1" i="75" s="1"/>
  <c r="AY1" i="75" s="1"/>
  <c r="AF11" i="65"/>
  <c r="AG11" i="65" s="1"/>
  <c r="AH11" i="65" s="1"/>
  <c r="AI11" i="65" s="1"/>
  <c r="AJ11" i="65" s="1"/>
  <c r="AK11" i="65" s="1"/>
  <c r="AL11" i="65" s="1"/>
  <c r="AM11" i="65" s="1"/>
  <c r="AN11" i="65" s="1"/>
  <c r="AO11" i="65" s="1"/>
  <c r="AP11" i="65" s="1"/>
  <c r="AQ11" i="65" s="1"/>
  <c r="AR11" i="65" s="1"/>
  <c r="AS11" i="65" s="1"/>
  <c r="AT11" i="65" s="1"/>
  <c r="AU11" i="65" s="1"/>
  <c r="AV11" i="65" s="1"/>
  <c r="AW11" i="65" s="1"/>
  <c r="AX11" i="65" s="1"/>
  <c r="AY11" i="65" s="1"/>
  <c r="AF10" i="65"/>
  <c r="AG10" i="65" s="1"/>
  <c r="AH10" i="65" s="1"/>
  <c r="AI10" i="65" s="1"/>
  <c r="AJ10" i="65" s="1"/>
  <c r="AK10" i="65" s="1"/>
  <c r="AL10" i="65" s="1"/>
  <c r="AM10" i="65" s="1"/>
  <c r="AN10" i="65" s="1"/>
  <c r="AO10" i="65" s="1"/>
  <c r="AP10" i="65" s="1"/>
  <c r="AQ10" i="65" s="1"/>
  <c r="AR10" i="65" s="1"/>
  <c r="AS10" i="65" s="1"/>
  <c r="AT10" i="65" s="1"/>
  <c r="AU10" i="65" s="1"/>
  <c r="AV10" i="65" s="1"/>
  <c r="AW10" i="65" s="1"/>
  <c r="AX10" i="65" s="1"/>
  <c r="AY10" i="65" s="1"/>
  <c r="AF9" i="65"/>
  <c r="AG9" i="65" s="1"/>
  <c r="AH9" i="65" s="1"/>
  <c r="AI9" i="65" s="1"/>
  <c r="AJ9" i="65" s="1"/>
  <c r="AK9" i="65" s="1"/>
  <c r="AL9" i="65" s="1"/>
  <c r="AM9" i="65" s="1"/>
  <c r="AN9" i="65" s="1"/>
  <c r="AO9" i="65" s="1"/>
  <c r="AP9" i="65" s="1"/>
  <c r="AQ9" i="65" s="1"/>
  <c r="AR9" i="65" s="1"/>
  <c r="AS9" i="65" s="1"/>
  <c r="AT9" i="65" s="1"/>
  <c r="AU9" i="65" s="1"/>
  <c r="AV9" i="65" s="1"/>
  <c r="AW9" i="65" s="1"/>
  <c r="AX9" i="65" s="1"/>
  <c r="AY9" i="65" s="1"/>
  <c r="AF8" i="65"/>
  <c r="AG8" i="65" s="1"/>
  <c r="AH8" i="65" s="1"/>
  <c r="AI8" i="65" s="1"/>
  <c r="AJ8" i="65" s="1"/>
  <c r="AK8" i="65" s="1"/>
  <c r="AL8" i="65" s="1"/>
  <c r="AM8" i="65" s="1"/>
  <c r="AN8" i="65" s="1"/>
  <c r="AO8" i="65" s="1"/>
  <c r="AP8" i="65" s="1"/>
  <c r="AQ8" i="65" s="1"/>
  <c r="AR8" i="65" s="1"/>
  <c r="AS8" i="65" s="1"/>
  <c r="AT8" i="65" s="1"/>
  <c r="AU8" i="65" s="1"/>
  <c r="AV8" i="65" s="1"/>
  <c r="AW8" i="65" s="1"/>
  <c r="AX8" i="65" s="1"/>
  <c r="AY8" i="65" s="1"/>
  <c r="AF7" i="65"/>
  <c r="AG7" i="65" s="1"/>
  <c r="AH7" i="65" s="1"/>
  <c r="AI7" i="65" s="1"/>
  <c r="AJ7" i="65" s="1"/>
  <c r="AK7" i="65" s="1"/>
  <c r="AL7" i="65" s="1"/>
  <c r="AM7" i="65" s="1"/>
  <c r="AN7" i="65" s="1"/>
  <c r="AO7" i="65" s="1"/>
  <c r="AP7" i="65" s="1"/>
  <c r="AQ7" i="65" s="1"/>
  <c r="AR7" i="65" s="1"/>
  <c r="AS7" i="65" s="1"/>
  <c r="AT7" i="65" s="1"/>
  <c r="AU7" i="65" s="1"/>
  <c r="AV7" i="65" s="1"/>
  <c r="AW7" i="65" s="1"/>
  <c r="AX7" i="65" s="1"/>
  <c r="AY7" i="65" s="1"/>
  <c r="AF6" i="65"/>
  <c r="AG6" i="65" s="1"/>
  <c r="AH6" i="65" s="1"/>
  <c r="AI6" i="65" s="1"/>
  <c r="AJ6" i="65" s="1"/>
  <c r="AK6" i="65" s="1"/>
  <c r="AL6" i="65" s="1"/>
  <c r="AM6" i="65" s="1"/>
  <c r="AN6" i="65" s="1"/>
  <c r="AO6" i="65" s="1"/>
  <c r="AP6" i="65" s="1"/>
  <c r="AQ6" i="65" s="1"/>
  <c r="AR6" i="65" s="1"/>
  <c r="AS6" i="65" s="1"/>
  <c r="AT6" i="65" s="1"/>
  <c r="AU6" i="65" s="1"/>
  <c r="AV6" i="65" s="1"/>
  <c r="AW6" i="65" s="1"/>
  <c r="AX6" i="65" s="1"/>
  <c r="AY6" i="65" s="1"/>
  <c r="AF5" i="65"/>
  <c r="AG5" i="65" s="1"/>
  <c r="AH5" i="65" s="1"/>
  <c r="AI5" i="65" s="1"/>
  <c r="AJ5" i="65" s="1"/>
  <c r="AK5" i="65" s="1"/>
  <c r="AL5" i="65" s="1"/>
  <c r="AM5" i="65" s="1"/>
  <c r="AN5" i="65" s="1"/>
  <c r="AO5" i="65" s="1"/>
  <c r="AP5" i="65" s="1"/>
  <c r="AQ5" i="65" s="1"/>
  <c r="AR5" i="65" s="1"/>
  <c r="AS5" i="65" s="1"/>
  <c r="AT5" i="65" s="1"/>
  <c r="AU5" i="65" s="1"/>
  <c r="AV5" i="65" s="1"/>
  <c r="AW5" i="65" s="1"/>
  <c r="AX5" i="65" s="1"/>
  <c r="AY5" i="65" s="1"/>
  <c r="AF4" i="65"/>
  <c r="AG4" i="65" s="1"/>
  <c r="AH4" i="65" s="1"/>
  <c r="AI4" i="65" s="1"/>
  <c r="AJ4" i="65" s="1"/>
  <c r="AK4" i="65" s="1"/>
  <c r="AL4" i="65" s="1"/>
  <c r="AM4" i="65" s="1"/>
  <c r="AN4" i="65" s="1"/>
  <c r="AO4" i="65" s="1"/>
  <c r="AP4" i="65" s="1"/>
  <c r="AQ4" i="65" s="1"/>
  <c r="AR4" i="65" s="1"/>
  <c r="AS4" i="65" s="1"/>
  <c r="AT4" i="65" s="1"/>
  <c r="AU4" i="65" s="1"/>
  <c r="AV4" i="65" s="1"/>
  <c r="AW4" i="65" s="1"/>
  <c r="AX4" i="65" s="1"/>
  <c r="AY4" i="65" s="1"/>
  <c r="AF3" i="65"/>
  <c r="AG3" i="65" s="1"/>
  <c r="AH3" i="65" s="1"/>
  <c r="AI3" i="65" s="1"/>
  <c r="AJ3" i="65" s="1"/>
  <c r="AK3" i="65" s="1"/>
  <c r="AL3" i="65" s="1"/>
  <c r="AM3" i="65" s="1"/>
  <c r="AN3" i="65" s="1"/>
  <c r="AO3" i="65" s="1"/>
  <c r="AP3" i="65" s="1"/>
  <c r="AQ3" i="65" s="1"/>
  <c r="AR3" i="65" s="1"/>
  <c r="AS3" i="65" s="1"/>
  <c r="AT3" i="65" s="1"/>
  <c r="AU3" i="65" s="1"/>
  <c r="AV3" i="65" s="1"/>
  <c r="AW3" i="65" s="1"/>
  <c r="AX3" i="65" s="1"/>
  <c r="AY3" i="65" s="1"/>
  <c r="AF2" i="65"/>
  <c r="AG2" i="65" s="1"/>
  <c r="AH2" i="65" s="1"/>
  <c r="AI2" i="65" s="1"/>
  <c r="AJ2" i="65" s="1"/>
  <c r="AK2" i="65" s="1"/>
  <c r="AL2" i="65" s="1"/>
  <c r="AM2" i="65" s="1"/>
  <c r="AN2" i="65" s="1"/>
  <c r="AO2" i="65" s="1"/>
  <c r="AP2" i="65" s="1"/>
  <c r="AQ2" i="65" s="1"/>
  <c r="AR2" i="65" s="1"/>
  <c r="AS2" i="65" s="1"/>
  <c r="AT2" i="65" s="1"/>
  <c r="AU2" i="65" s="1"/>
  <c r="AV2" i="65" s="1"/>
  <c r="AW2" i="65" s="1"/>
  <c r="AX2" i="65" s="1"/>
  <c r="AY2" i="65" s="1"/>
  <c r="AF1" i="65"/>
  <c r="AG1" i="65" s="1"/>
  <c r="AH1" i="65" s="1"/>
  <c r="AI1" i="65" s="1"/>
  <c r="AJ1" i="65" s="1"/>
  <c r="AK1" i="65" s="1"/>
  <c r="AL1" i="65" s="1"/>
  <c r="AM1" i="65" s="1"/>
  <c r="AN1" i="65" s="1"/>
  <c r="AO1" i="65" s="1"/>
  <c r="AP1" i="65" s="1"/>
  <c r="AQ1" i="65" s="1"/>
  <c r="AR1" i="65" s="1"/>
  <c r="AS1" i="65" s="1"/>
  <c r="AT1" i="65" s="1"/>
  <c r="AU1" i="65" s="1"/>
  <c r="AV1" i="65" s="1"/>
  <c r="AW1" i="65" s="1"/>
  <c r="AX1" i="65" s="1"/>
  <c r="AY1" i="65" s="1"/>
  <c r="AG11" i="62"/>
  <c r="AH11" i="62" s="1"/>
  <c r="AI11" i="62" s="1"/>
  <c r="AJ11" i="62" s="1"/>
  <c r="AK11" i="62" s="1"/>
  <c r="AL11" i="62" s="1"/>
  <c r="AM11" i="62" s="1"/>
  <c r="AN11" i="62" s="1"/>
  <c r="AO11" i="62" s="1"/>
  <c r="AP11" i="62" s="1"/>
  <c r="AQ11" i="62" s="1"/>
  <c r="AR11" i="62" s="1"/>
  <c r="AS11" i="62" s="1"/>
  <c r="AT11" i="62" s="1"/>
  <c r="AU11" i="62" s="1"/>
  <c r="AV11" i="62" s="1"/>
  <c r="AW11" i="62" s="1"/>
  <c r="AX11" i="62" s="1"/>
  <c r="AY11" i="62" s="1"/>
  <c r="AF11" i="62"/>
  <c r="AF10" i="62"/>
  <c r="AG10" i="62" s="1"/>
  <c r="AH10" i="62" s="1"/>
  <c r="AI10" i="62" s="1"/>
  <c r="AJ10" i="62" s="1"/>
  <c r="AK10" i="62" s="1"/>
  <c r="AL10" i="62" s="1"/>
  <c r="AM10" i="62" s="1"/>
  <c r="AN10" i="62" s="1"/>
  <c r="AO10" i="62" s="1"/>
  <c r="AP10" i="62" s="1"/>
  <c r="AQ10" i="62" s="1"/>
  <c r="AR10" i="62" s="1"/>
  <c r="AS10" i="62" s="1"/>
  <c r="AT10" i="62" s="1"/>
  <c r="AU10" i="62" s="1"/>
  <c r="AV10" i="62" s="1"/>
  <c r="AW10" i="62" s="1"/>
  <c r="AX10" i="62" s="1"/>
  <c r="AY10" i="62" s="1"/>
  <c r="AG9" i="62"/>
  <c r="AH9" i="62" s="1"/>
  <c r="AI9" i="62" s="1"/>
  <c r="AJ9" i="62" s="1"/>
  <c r="AK9" i="62" s="1"/>
  <c r="AL9" i="62" s="1"/>
  <c r="AM9" i="62" s="1"/>
  <c r="AN9" i="62" s="1"/>
  <c r="AO9" i="62" s="1"/>
  <c r="AP9" i="62" s="1"/>
  <c r="AQ9" i="62" s="1"/>
  <c r="AR9" i="62" s="1"/>
  <c r="AS9" i="62" s="1"/>
  <c r="AT9" i="62" s="1"/>
  <c r="AU9" i="62" s="1"/>
  <c r="AV9" i="62" s="1"/>
  <c r="AW9" i="62" s="1"/>
  <c r="AX9" i="62" s="1"/>
  <c r="AY9" i="62" s="1"/>
  <c r="AF9" i="62"/>
  <c r="AF8" i="62"/>
  <c r="AG8" i="62" s="1"/>
  <c r="AH8" i="62" s="1"/>
  <c r="AI8" i="62" s="1"/>
  <c r="AJ8" i="62" s="1"/>
  <c r="AK8" i="62" s="1"/>
  <c r="AL8" i="62" s="1"/>
  <c r="AM8" i="62" s="1"/>
  <c r="AN8" i="62" s="1"/>
  <c r="AO8" i="62" s="1"/>
  <c r="AP8" i="62" s="1"/>
  <c r="AQ8" i="62" s="1"/>
  <c r="AR8" i="62" s="1"/>
  <c r="AS8" i="62" s="1"/>
  <c r="AT8" i="62" s="1"/>
  <c r="AU8" i="62" s="1"/>
  <c r="AV8" i="62" s="1"/>
  <c r="AW8" i="62" s="1"/>
  <c r="AX8" i="62" s="1"/>
  <c r="AY8" i="62" s="1"/>
  <c r="AG7" i="62"/>
  <c r="AH7" i="62" s="1"/>
  <c r="AI7" i="62" s="1"/>
  <c r="AJ7" i="62" s="1"/>
  <c r="AK7" i="62" s="1"/>
  <c r="AL7" i="62" s="1"/>
  <c r="AM7" i="62" s="1"/>
  <c r="AN7" i="62" s="1"/>
  <c r="AO7" i="62" s="1"/>
  <c r="AP7" i="62" s="1"/>
  <c r="AQ7" i="62" s="1"/>
  <c r="AR7" i="62" s="1"/>
  <c r="AS7" i="62" s="1"/>
  <c r="AT7" i="62" s="1"/>
  <c r="AU7" i="62" s="1"/>
  <c r="AV7" i="62" s="1"/>
  <c r="AW7" i="62" s="1"/>
  <c r="AX7" i="62" s="1"/>
  <c r="AY7" i="62" s="1"/>
  <c r="AF7" i="62"/>
  <c r="AF6" i="62"/>
  <c r="AG6" i="62" s="1"/>
  <c r="AH6" i="62" s="1"/>
  <c r="AI6" i="62" s="1"/>
  <c r="AJ6" i="62" s="1"/>
  <c r="AK6" i="62" s="1"/>
  <c r="AL6" i="62" s="1"/>
  <c r="AM6" i="62" s="1"/>
  <c r="AN6" i="62" s="1"/>
  <c r="AO6" i="62" s="1"/>
  <c r="AP6" i="62" s="1"/>
  <c r="AQ6" i="62" s="1"/>
  <c r="AR6" i="62" s="1"/>
  <c r="AS6" i="62" s="1"/>
  <c r="AT6" i="62" s="1"/>
  <c r="AU6" i="62" s="1"/>
  <c r="AV6" i="62" s="1"/>
  <c r="AW6" i="62" s="1"/>
  <c r="AX6" i="62" s="1"/>
  <c r="AY6" i="62" s="1"/>
  <c r="AG5" i="62"/>
  <c r="AH5" i="62" s="1"/>
  <c r="AI5" i="62" s="1"/>
  <c r="AJ5" i="62" s="1"/>
  <c r="AK5" i="62" s="1"/>
  <c r="AL5" i="62" s="1"/>
  <c r="AM5" i="62" s="1"/>
  <c r="AN5" i="62" s="1"/>
  <c r="AO5" i="62" s="1"/>
  <c r="AP5" i="62" s="1"/>
  <c r="AQ5" i="62" s="1"/>
  <c r="AR5" i="62" s="1"/>
  <c r="AS5" i="62" s="1"/>
  <c r="AT5" i="62" s="1"/>
  <c r="AU5" i="62" s="1"/>
  <c r="AV5" i="62" s="1"/>
  <c r="AW5" i="62" s="1"/>
  <c r="AX5" i="62" s="1"/>
  <c r="AY5" i="62" s="1"/>
  <c r="AF5" i="62"/>
  <c r="AF4" i="62"/>
  <c r="AG4" i="62" s="1"/>
  <c r="AH4" i="62" s="1"/>
  <c r="AI4" i="62" s="1"/>
  <c r="AJ4" i="62" s="1"/>
  <c r="AK4" i="62" s="1"/>
  <c r="AL4" i="62" s="1"/>
  <c r="AM4" i="62" s="1"/>
  <c r="AN4" i="62" s="1"/>
  <c r="AO4" i="62" s="1"/>
  <c r="AP4" i="62" s="1"/>
  <c r="AQ4" i="62" s="1"/>
  <c r="AR4" i="62" s="1"/>
  <c r="AS4" i="62" s="1"/>
  <c r="AT4" i="62" s="1"/>
  <c r="AU4" i="62" s="1"/>
  <c r="AV4" i="62" s="1"/>
  <c r="AW4" i="62" s="1"/>
  <c r="AX4" i="62" s="1"/>
  <c r="AY4" i="62" s="1"/>
  <c r="AG3" i="62"/>
  <c r="AH3" i="62" s="1"/>
  <c r="AI3" i="62" s="1"/>
  <c r="AJ3" i="62" s="1"/>
  <c r="AK3" i="62" s="1"/>
  <c r="AL3" i="62" s="1"/>
  <c r="AM3" i="62" s="1"/>
  <c r="AN3" i="62" s="1"/>
  <c r="AO3" i="62" s="1"/>
  <c r="AP3" i="62" s="1"/>
  <c r="AQ3" i="62" s="1"/>
  <c r="AR3" i="62" s="1"/>
  <c r="AS3" i="62" s="1"/>
  <c r="AT3" i="62" s="1"/>
  <c r="AU3" i="62" s="1"/>
  <c r="AV3" i="62" s="1"/>
  <c r="AW3" i="62" s="1"/>
  <c r="AX3" i="62" s="1"/>
  <c r="AY3" i="62" s="1"/>
  <c r="AF3" i="62"/>
  <c r="AF2" i="62"/>
  <c r="AG2" i="62" s="1"/>
  <c r="AH2" i="62" s="1"/>
  <c r="AI2" i="62" s="1"/>
  <c r="AJ2" i="62" s="1"/>
  <c r="AK2" i="62" s="1"/>
  <c r="AL2" i="62" s="1"/>
  <c r="AM2" i="62" s="1"/>
  <c r="AN2" i="62" s="1"/>
  <c r="AO2" i="62" s="1"/>
  <c r="AP2" i="62" s="1"/>
  <c r="AQ2" i="62" s="1"/>
  <c r="AR2" i="62" s="1"/>
  <c r="AS2" i="62" s="1"/>
  <c r="AT2" i="62" s="1"/>
  <c r="AU2" i="62" s="1"/>
  <c r="AV2" i="62" s="1"/>
  <c r="AW2" i="62" s="1"/>
  <c r="AX2" i="62" s="1"/>
  <c r="AY2" i="62" s="1"/>
  <c r="AG1" i="62"/>
  <c r="AH1" i="62" s="1"/>
  <c r="AI1" i="62" s="1"/>
  <c r="AJ1" i="62" s="1"/>
  <c r="AK1" i="62" s="1"/>
  <c r="AL1" i="62" s="1"/>
  <c r="AM1" i="62" s="1"/>
  <c r="AN1" i="62" s="1"/>
  <c r="AO1" i="62" s="1"/>
  <c r="AP1" i="62" s="1"/>
  <c r="AQ1" i="62" s="1"/>
  <c r="AR1" i="62" s="1"/>
  <c r="AS1" i="62" s="1"/>
  <c r="AT1" i="62" s="1"/>
  <c r="AU1" i="62" s="1"/>
  <c r="AV1" i="62" s="1"/>
  <c r="AW1" i="62" s="1"/>
  <c r="AX1" i="62" s="1"/>
  <c r="AY1" i="62" s="1"/>
  <c r="AF1" i="62"/>
  <c r="AF11" i="57"/>
  <c r="AG11" i="57" s="1"/>
  <c r="AH11" i="57" s="1"/>
  <c r="AI11" i="57" s="1"/>
  <c r="AJ11" i="57" s="1"/>
  <c r="AK11" i="57" s="1"/>
  <c r="AL11" i="57" s="1"/>
  <c r="AM11" i="57" s="1"/>
  <c r="AN11" i="57" s="1"/>
  <c r="AO11" i="57" s="1"/>
  <c r="AP11" i="57" s="1"/>
  <c r="AQ11" i="57" s="1"/>
  <c r="AR11" i="57" s="1"/>
  <c r="AS11" i="57" s="1"/>
  <c r="AT11" i="57" s="1"/>
  <c r="AU11" i="57" s="1"/>
  <c r="AV11" i="57" s="1"/>
  <c r="AW11" i="57" s="1"/>
  <c r="AX11" i="57" s="1"/>
  <c r="AY11" i="57" s="1"/>
  <c r="AF10" i="57"/>
  <c r="AG10" i="57" s="1"/>
  <c r="AH10" i="57" s="1"/>
  <c r="AI10" i="57" s="1"/>
  <c r="AJ10" i="57" s="1"/>
  <c r="AK10" i="57" s="1"/>
  <c r="AL10" i="57" s="1"/>
  <c r="AM10" i="57" s="1"/>
  <c r="AN10" i="57" s="1"/>
  <c r="AO10" i="57" s="1"/>
  <c r="AP10" i="57" s="1"/>
  <c r="AQ10" i="57" s="1"/>
  <c r="AR10" i="57" s="1"/>
  <c r="AS10" i="57" s="1"/>
  <c r="AT10" i="57" s="1"/>
  <c r="AU10" i="57" s="1"/>
  <c r="AV10" i="57" s="1"/>
  <c r="AW10" i="57" s="1"/>
  <c r="AX10" i="57" s="1"/>
  <c r="AY10" i="57" s="1"/>
  <c r="AF9" i="57"/>
  <c r="AG9" i="57" s="1"/>
  <c r="AH9" i="57" s="1"/>
  <c r="AI9" i="57" s="1"/>
  <c r="AJ9" i="57" s="1"/>
  <c r="AK9" i="57" s="1"/>
  <c r="AL9" i="57" s="1"/>
  <c r="AM9" i="57" s="1"/>
  <c r="AN9" i="57" s="1"/>
  <c r="AO9" i="57" s="1"/>
  <c r="AP9" i="57" s="1"/>
  <c r="AQ9" i="57" s="1"/>
  <c r="AR9" i="57" s="1"/>
  <c r="AS9" i="57" s="1"/>
  <c r="AT9" i="57" s="1"/>
  <c r="AU9" i="57" s="1"/>
  <c r="AV9" i="57" s="1"/>
  <c r="AW9" i="57" s="1"/>
  <c r="AX9" i="57" s="1"/>
  <c r="AY9" i="57" s="1"/>
  <c r="AF8" i="57"/>
  <c r="AG8" i="57" s="1"/>
  <c r="AH8" i="57" s="1"/>
  <c r="AI8" i="57" s="1"/>
  <c r="AJ8" i="57" s="1"/>
  <c r="AK8" i="57" s="1"/>
  <c r="AL8" i="57" s="1"/>
  <c r="AM8" i="57" s="1"/>
  <c r="AN8" i="57" s="1"/>
  <c r="AO8" i="57" s="1"/>
  <c r="AP8" i="57" s="1"/>
  <c r="AQ8" i="57" s="1"/>
  <c r="AR8" i="57" s="1"/>
  <c r="AS8" i="57" s="1"/>
  <c r="AT8" i="57" s="1"/>
  <c r="AU8" i="57" s="1"/>
  <c r="AV8" i="57" s="1"/>
  <c r="AW8" i="57" s="1"/>
  <c r="AX8" i="57" s="1"/>
  <c r="AY8" i="57" s="1"/>
  <c r="AF7" i="57"/>
  <c r="AG7" i="57" s="1"/>
  <c r="AH7" i="57" s="1"/>
  <c r="AI7" i="57" s="1"/>
  <c r="AJ7" i="57" s="1"/>
  <c r="AK7" i="57" s="1"/>
  <c r="AL7" i="57" s="1"/>
  <c r="AM7" i="57" s="1"/>
  <c r="AN7" i="57" s="1"/>
  <c r="AO7" i="57" s="1"/>
  <c r="AP7" i="57" s="1"/>
  <c r="AQ7" i="57" s="1"/>
  <c r="AR7" i="57" s="1"/>
  <c r="AS7" i="57" s="1"/>
  <c r="AT7" i="57" s="1"/>
  <c r="AU7" i="57" s="1"/>
  <c r="AV7" i="57" s="1"/>
  <c r="AW7" i="57" s="1"/>
  <c r="AX7" i="57" s="1"/>
  <c r="AY7" i="57" s="1"/>
  <c r="AF6" i="57"/>
  <c r="AG6" i="57" s="1"/>
  <c r="AH6" i="57" s="1"/>
  <c r="AI6" i="57" s="1"/>
  <c r="AJ6" i="57" s="1"/>
  <c r="AK6" i="57" s="1"/>
  <c r="AL6" i="57" s="1"/>
  <c r="AM6" i="57" s="1"/>
  <c r="AN6" i="57" s="1"/>
  <c r="AO6" i="57" s="1"/>
  <c r="AP6" i="57" s="1"/>
  <c r="AQ6" i="57" s="1"/>
  <c r="AR6" i="57" s="1"/>
  <c r="AS6" i="57" s="1"/>
  <c r="AT6" i="57" s="1"/>
  <c r="AU6" i="57" s="1"/>
  <c r="AV6" i="57" s="1"/>
  <c r="AW6" i="57" s="1"/>
  <c r="AX6" i="57" s="1"/>
  <c r="AY6" i="57" s="1"/>
  <c r="AF5" i="57"/>
  <c r="AG5" i="57" s="1"/>
  <c r="AH5" i="57" s="1"/>
  <c r="AI5" i="57" s="1"/>
  <c r="AJ5" i="57" s="1"/>
  <c r="AK5" i="57" s="1"/>
  <c r="AL5" i="57" s="1"/>
  <c r="AM5" i="57" s="1"/>
  <c r="AN5" i="57" s="1"/>
  <c r="AO5" i="57" s="1"/>
  <c r="AP5" i="57" s="1"/>
  <c r="AQ5" i="57" s="1"/>
  <c r="AR5" i="57" s="1"/>
  <c r="AS5" i="57" s="1"/>
  <c r="AT5" i="57" s="1"/>
  <c r="AU5" i="57" s="1"/>
  <c r="AV5" i="57" s="1"/>
  <c r="AW5" i="57" s="1"/>
  <c r="AX5" i="57" s="1"/>
  <c r="AY5" i="57" s="1"/>
  <c r="AF4" i="57"/>
  <c r="AG4" i="57" s="1"/>
  <c r="AH4" i="57" s="1"/>
  <c r="AI4" i="57" s="1"/>
  <c r="AJ4" i="57" s="1"/>
  <c r="AK4" i="57" s="1"/>
  <c r="AL4" i="57" s="1"/>
  <c r="AM4" i="57" s="1"/>
  <c r="AN4" i="57" s="1"/>
  <c r="AO4" i="57" s="1"/>
  <c r="AP4" i="57" s="1"/>
  <c r="AQ4" i="57" s="1"/>
  <c r="AR4" i="57" s="1"/>
  <c r="AS4" i="57" s="1"/>
  <c r="AT4" i="57" s="1"/>
  <c r="AU4" i="57" s="1"/>
  <c r="AV4" i="57" s="1"/>
  <c r="AW4" i="57" s="1"/>
  <c r="AX4" i="57" s="1"/>
  <c r="AY4" i="57" s="1"/>
  <c r="AF3" i="57"/>
  <c r="AG3" i="57" s="1"/>
  <c r="AH3" i="57" s="1"/>
  <c r="AI3" i="57" s="1"/>
  <c r="AJ3" i="57" s="1"/>
  <c r="AK3" i="57" s="1"/>
  <c r="AL3" i="57" s="1"/>
  <c r="AM3" i="57" s="1"/>
  <c r="AN3" i="57" s="1"/>
  <c r="AO3" i="57" s="1"/>
  <c r="AP3" i="57" s="1"/>
  <c r="AQ3" i="57" s="1"/>
  <c r="AR3" i="57" s="1"/>
  <c r="AS3" i="57" s="1"/>
  <c r="AT3" i="57" s="1"/>
  <c r="AU3" i="57" s="1"/>
  <c r="AV3" i="57" s="1"/>
  <c r="AW3" i="57" s="1"/>
  <c r="AX3" i="57" s="1"/>
  <c r="AY3" i="57" s="1"/>
  <c r="AF2" i="57"/>
  <c r="AG2" i="57" s="1"/>
  <c r="AH2" i="57" s="1"/>
  <c r="AI2" i="57" s="1"/>
  <c r="AJ2" i="57" s="1"/>
  <c r="AK2" i="57" s="1"/>
  <c r="AL2" i="57" s="1"/>
  <c r="AM2" i="57" s="1"/>
  <c r="AN2" i="57" s="1"/>
  <c r="AO2" i="57" s="1"/>
  <c r="AP2" i="57" s="1"/>
  <c r="AQ2" i="57" s="1"/>
  <c r="AR2" i="57" s="1"/>
  <c r="AS2" i="57" s="1"/>
  <c r="AT2" i="57" s="1"/>
  <c r="AU2" i="57" s="1"/>
  <c r="AV2" i="57" s="1"/>
  <c r="AW2" i="57" s="1"/>
  <c r="AX2" i="57" s="1"/>
  <c r="AY2" i="57" s="1"/>
  <c r="AF1" i="57"/>
  <c r="AG1" i="57" s="1"/>
  <c r="AH1" i="57" s="1"/>
  <c r="AI1" i="57" s="1"/>
  <c r="AJ1" i="57" s="1"/>
  <c r="AK1" i="57" s="1"/>
  <c r="AL1" i="57" s="1"/>
  <c r="AM1" i="57" s="1"/>
  <c r="AN1" i="57" s="1"/>
  <c r="AO1" i="57" s="1"/>
  <c r="AP1" i="57" s="1"/>
  <c r="AQ1" i="57" s="1"/>
  <c r="AR1" i="57" s="1"/>
  <c r="AS1" i="57" s="1"/>
  <c r="AT1" i="57" s="1"/>
  <c r="AU1" i="57" s="1"/>
  <c r="AV1" i="57" s="1"/>
  <c r="AW1" i="57" s="1"/>
  <c r="AX1" i="57" s="1"/>
  <c r="AY1" i="57" s="1"/>
  <c r="AF11" i="56"/>
  <c r="AG11" i="56" s="1"/>
  <c r="AH11" i="56" s="1"/>
  <c r="AI11" i="56" s="1"/>
  <c r="AJ11" i="56" s="1"/>
  <c r="AK11" i="56" s="1"/>
  <c r="AL11" i="56" s="1"/>
  <c r="AM11" i="56" s="1"/>
  <c r="AN11" i="56" s="1"/>
  <c r="AO11" i="56" s="1"/>
  <c r="AP11" i="56" s="1"/>
  <c r="AQ11" i="56" s="1"/>
  <c r="AR11" i="56" s="1"/>
  <c r="AS11" i="56" s="1"/>
  <c r="AT11" i="56" s="1"/>
  <c r="AU11" i="56" s="1"/>
  <c r="AV11" i="56" s="1"/>
  <c r="AW11" i="56" s="1"/>
  <c r="AX11" i="56" s="1"/>
  <c r="AY11" i="56" s="1"/>
  <c r="AF10" i="56"/>
  <c r="AG10" i="56" s="1"/>
  <c r="AH10" i="56" s="1"/>
  <c r="AI10" i="56" s="1"/>
  <c r="AJ10" i="56" s="1"/>
  <c r="AK10" i="56" s="1"/>
  <c r="AL10" i="56" s="1"/>
  <c r="AM10" i="56" s="1"/>
  <c r="AN10" i="56" s="1"/>
  <c r="AO10" i="56" s="1"/>
  <c r="AP10" i="56" s="1"/>
  <c r="AQ10" i="56" s="1"/>
  <c r="AR10" i="56" s="1"/>
  <c r="AS10" i="56" s="1"/>
  <c r="AT10" i="56" s="1"/>
  <c r="AU10" i="56" s="1"/>
  <c r="AV10" i="56" s="1"/>
  <c r="AW10" i="56" s="1"/>
  <c r="AX10" i="56" s="1"/>
  <c r="AY10" i="56" s="1"/>
  <c r="AF9" i="56"/>
  <c r="AG9" i="56" s="1"/>
  <c r="AH9" i="56" s="1"/>
  <c r="AI9" i="56" s="1"/>
  <c r="AJ9" i="56" s="1"/>
  <c r="AK9" i="56" s="1"/>
  <c r="AL9" i="56" s="1"/>
  <c r="AM9" i="56" s="1"/>
  <c r="AN9" i="56" s="1"/>
  <c r="AO9" i="56" s="1"/>
  <c r="AP9" i="56" s="1"/>
  <c r="AQ9" i="56" s="1"/>
  <c r="AR9" i="56" s="1"/>
  <c r="AS9" i="56" s="1"/>
  <c r="AT9" i="56" s="1"/>
  <c r="AU9" i="56" s="1"/>
  <c r="AV9" i="56" s="1"/>
  <c r="AW9" i="56" s="1"/>
  <c r="AX9" i="56" s="1"/>
  <c r="AY9" i="56" s="1"/>
  <c r="AF8" i="56"/>
  <c r="AG8" i="56" s="1"/>
  <c r="AH8" i="56" s="1"/>
  <c r="AI8" i="56" s="1"/>
  <c r="AJ8" i="56" s="1"/>
  <c r="AK8" i="56" s="1"/>
  <c r="AL8" i="56" s="1"/>
  <c r="AM8" i="56" s="1"/>
  <c r="AN8" i="56" s="1"/>
  <c r="AO8" i="56" s="1"/>
  <c r="AP8" i="56" s="1"/>
  <c r="AQ8" i="56" s="1"/>
  <c r="AR8" i="56" s="1"/>
  <c r="AS8" i="56" s="1"/>
  <c r="AT8" i="56" s="1"/>
  <c r="AU8" i="56" s="1"/>
  <c r="AV8" i="56" s="1"/>
  <c r="AW8" i="56" s="1"/>
  <c r="AX8" i="56" s="1"/>
  <c r="AY8" i="56" s="1"/>
  <c r="AF7" i="56"/>
  <c r="AG7" i="56" s="1"/>
  <c r="AH7" i="56" s="1"/>
  <c r="AI7" i="56" s="1"/>
  <c r="AJ7" i="56" s="1"/>
  <c r="AK7" i="56" s="1"/>
  <c r="AL7" i="56" s="1"/>
  <c r="AM7" i="56" s="1"/>
  <c r="AN7" i="56" s="1"/>
  <c r="AO7" i="56" s="1"/>
  <c r="AP7" i="56" s="1"/>
  <c r="AQ7" i="56" s="1"/>
  <c r="AR7" i="56" s="1"/>
  <c r="AS7" i="56" s="1"/>
  <c r="AT7" i="56" s="1"/>
  <c r="AU7" i="56" s="1"/>
  <c r="AV7" i="56" s="1"/>
  <c r="AW7" i="56" s="1"/>
  <c r="AX7" i="56" s="1"/>
  <c r="AY7" i="56" s="1"/>
  <c r="AF6" i="56"/>
  <c r="AG6" i="56" s="1"/>
  <c r="AH6" i="56" s="1"/>
  <c r="AI6" i="56" s="1"/>
  <c r="AJ6" i="56" s="1"/>
  <c r="AK6" i="56" s="1"/>
  <c r="AL6" i="56" s="1"/>
  <c r="AM6" i="56" s="1"/>
  <c r="AN6" i="56" s="1"/>
  <c r="AO6" i="56" s="1"/>
  <c r="AP6" i="56" s="1"/>
  <c r="AQ6" i="56" s="1"/>
  <c r="AR6" i="56" s="1"/>
  <c r="AS6" i="56" s="1"/>
  <c r="AT6" i="56" s="1"/>
  <c r="AU6" i="56" s="1"/>
  <c r="AV6" i="56" s="1"/>
  <c r="AW6" i="56" s="1"/>
  <c r="AX6" i="56" s="1"/>
  <c r="AY6" i="56" s="1"/>
  <c r="AF5" i="56"/>
  <c r="AG5" i="56" s="1"/>
  <c r="AH5" i="56" s="1"/>
  <c r="AI5" i="56" s="1"/>
  <c r="AJ5" i="56" s="1"/>
  <c r="AK5" i="56" s="1"/>
  <c r="AL5" i="56" s="1"/>
  <c r="AM5" i="56" s="1"/>
  <c r="AN5" i="56" s="1"/>
  <c r="AO5" i="56" s="1"/>
  <c r="AP5" i="56" s="1"/>
  <c r="AQ5" i="56" s="1"/>
  <c r="AR5" i="56" s="1"/>
  <c r="AS5" i="56" s="1"/>
  <c r="AT5" i="56" s="1"/>
  <c r="AU5" i="56" s="1"/>
  <c r="AV5" i="56" s="1"/>
  <c r="AW5" i="56" s="1"/>
  <c r="AX5" i="56" s="1"/>
  <c r="AY5" i="56" s="1"/>
  <c r="AF4" i="56"/>
  <c r="AG4" i="56" s="1"/>
  <c r="AH4" i="56" s="1"/>
  <c r="AI4" i="56" s="1"/>
  <c r="AJ4" i="56" s="1"/>
  <c r="AK4" i="56" s="1"/>
  <c r="AL4" i="56" s="1"/>
  <c r="AM4" i="56" s="1"/>
  <c r="AN4" i="56" s="1"/>
  <c r="AO4" i="56" s="1"/>
  <c r="AP4" i="56" s="1"/>
  <c r="AQ4" i="56" s="1"/>
  <c r="AR4" i="56" s="1"/>
  <c r="AS4" i="56" s="1"/>
  <c r="AT4" i="56" s="1"/>
  <c r="AU4" i="56" s="1"/>
  <c r="AV4" i="56" s="1"/>
  <c r="AW4" i="56" s="1"/>
  <c r="AX4" i="56" s="1"/>
  <c r="AY4" i="56" s="1"/>
  <c r="AF3" i="56"/>
  <c r="AG3" i="56" s="1"/>
  <c r="AH3" i="56" s="1"/>
  <c r="AI3" i="56" s="1"/>
  <c r="AJ3" i="56" s="1"/>
  <c r="AK3" i="56" s="1"/>
  <c r="AL3" i="56" s="1"/>
  <c r="AM3" i="56" s="1"/>
  <c r="AN3" i="56" s="1"/>
  <c r="AO3" i="56" s="1"/>
  <c r="AP3" i="56" s="1"/>
  <c r="AQ3" i="56" s="1"/>
  <c r="AR3" i="56" s="1"/>
  <c r="AS3" i="56" s="1"/>
  <c r="AT3" i="56" s="1"/>
  <c r="AU3" i="56" s="1"/>
  <c r="AV3" i="56" s="1"/>
  <c r="AW3" i="56" s="1"/>
  <c r="AX3" i="56" s="1"/>
  <c r="AY3" i="56" s="1"/>
  <c r="AF2" i="56"/>
  <c r="AG2" i="56" s="1"/>
  <c r="AH2" i="56" s="1"/>
  <c r="AI2" i="56" s="1"/>
  <c r="AJ2" i="56" s="1"/>
  <c r="AK2" i="56" s="1"/>
  <c r="AL2" i="56" s="1"/>
  <c r="AM2" i="56" s="1"/>
  <c r="AN2" i="56" s="1"/>
  <c r="AO2" i="56" s="1"/>
  <c r="AP2" i="56" s="1"/>
  <c r="AQ2" i="56" s="1"/>
  <c r="AR2" i="56" s="1"/>
  <c r="AS2" i="56" s="1"/>
  <c r="AT2" i="56" s="1"/>
  <c r="AU2" i="56" s="1"/>
  <c r="AV2" i="56" s="1"/>
  <c r="AW2" i="56" s="1"/>
  <c r="AX2" i="56" s="1"/>
  <c r="AY2" i="56" s="1"/>
  <c r="AF1" i="56"/>
  <c r="AG1" i="56" s="1"/>
  <c r="AH1" i="56" s="1"/>
  <c r="AI1" i="56" s="1"/>
  <c r="AJ1" i="56" s="1"/>
  <c r="AK1" i="56" s="1"/>
  <c r="AL1" i="56" s="1"/>
  <c r="AM1" i="56" s="1"/>
  <c r="AN1" i="56" s="1"/>
  <c r="AO1" i="56" s="1"/>
  <c r="AP1" i="56" s="1"/>
  <c r="AQ1" i="56" s="1"/>
  <c r="AR1" i="56" s="1"/>
  <c r="AS1" i="56" s="1"/>
  <c r="AT1" i="56" s="1"/>
  <c r="AU1" i="56" s="1"/>
  <c r="AV1" i="56" s="1"/>
  <c r="AW1" i="56" s="1"/>
  <c r="AX1" i="56" s="1"/>
  <c r="AY1" i="56" s="1"/>
  <c r="AF11" i="30"/>
  <c r="AG11" i="30" s="1"/>
  <c r="AH11" i="30" s="1"/>
  <c r="AI11" i="30" s="1"/>
  <c r="AJ11" i="30" s="1"/>
  <c r="AK11" i="30" s="1"/>
  <c r="AL11" i="30" s="1"/>
  <c r="AM11" i="30" s="1"/>
  <c r="AN11" i="30" s="1"/>
  <c r="AO11" i="30" s="1"/>
  <c r="AP11" i="30" s="1"/>
  <c r="AQ11" i="30" s="1"/>
  <c r="AR11" i="30" s="1"/>
  <c r="AS11" i="30" s="1"/>
  <c r="AT11" i="30" s="1"/>
  <c r="AU11" i="30" s="1"/>
  <c r="AV11" i="30" s="1"/>
  <c r="AW11" i="30" s="1"/>
  <c r="AX11" i="30" s="1"/>
  <c r="AY11" i="30" s="1"/>
  <c r="AF10" i="30"/>
  <c r="AG10" i="30" s="1"/>
  <c r="AH10" i="30" s="1"/>
  <c r="AI10" i="30" s="1"/>
  <c r="AJ10" i="30" s="1"/>
  <c r="AK10" i="30" s="1"/>
  <c r="AL10" i="30" s="1"/>
  <c r="AM10" i="30" s="1"/>
  <c r="AN10" i="30" s="1"/>
  <c r="AO10" i="30" s="1"/>
  <c r="AP10" i="30" s="1"/>
  <c r="AQ10" i="30" s="1"/>
  <c r="AR10" i="30" s="1"/>
  <c r="AS10" i="30" s="1"/>
  <c r="AT10" i="30" s="1"/>
  <c r="AU10" i="30" s="1"/>
  <c r="AV10" i="30" s="1"/>
  <c r="AW10" i="30" s="1"/>
  <c r="AX10" i="30" s="1"/>
  <c r="AY10" i="30" s="1"/>
  <c r="AF9" i="30"/>
  <c r="AG9" i="30" s="1"/>
  <c r="AH9" i="30" s="1"/>
  <c r="AI9" i="30" s="1"/>
  <c r="AJ9" i="30" s="1"/>
  <c r="AK9" i="30" s="1"/>
  <c r="AL9" i="30" s="1"/>
  <c r="AM9" i="30" s="1"/>
  <c r="AN9" i="30" s="1"/>
  <c r="AO9" i="30" s="1"/>
  <c r="AP9" i="30" s="1"/>
  <c r="AQ9" i="30" s="1"/>
  <c r="AR9" i="30" s="1"/>
  <c r="AS9" i="30" s="1"/>
  <c r="AT9" i="30" s="1"/>
  <c r="AU9" i="30" s="1"/>
  <c r="AV9" i="30" s="1"/>
  <c r="AW9" i="30" s="1"/>
  <c r="AX9" i="30" s="1"/>
  <c r="AY9" i="30" s="1"/>
  <c r="AF8" i="30"/>
  <c r="AG8" i="30" s="1"/>
  <c r="AH8" i="30" s="1"/>
  <c r="AI8" i="30" s="1"/>
  <c r="AJ8" i="30" s="1"/>
  <c r="AK8" i="30" s="1"/>
  <c r="AL8" i="30" s="1"/>
  <c r="AM8" i="30" s="1"/>
  <c r="AN8" i="30" s="1"/>
  <c r="AO8" i="30" s="1"/>
  <c r="AP8" i="30" s="1"/>
  <c r="AQ8" i="30" s="1"/>
  <c r="AR8" i="30" s="1"/>
  <c r="AS8" i="30" s="1"/>
  <c r="AT8" i="30" s="1"/>
  <c r="AU8" i="30" s="1"/>
  <c r="AV8" i="30" s="1"/>
  <c r="AW8" i="30" s="1"/>
  <c r="AX8" i="30" s="1"/>
  <c r="AY8" i="30" s="1"/>
  <c r="AF7" i="30"/>
  <c r="AG7" i="30" s="1"/>
  <c r="AH7" i="30" s="1"/>
  <c r="AI7" i="30" s="1"/>
  <c r="AJ7" i="30" s="1"/>
  <c r="AK7" i="30" s="1"/>
  <c r="AL7" i="30" s="1"/>
  <c r="AM7" i="30" s="1"/>
  <c r="AN7" i="30" s="1"/>
  <c r="AO7" i="30" s="1"/>
  <c r="AP7" i="30" s="1"/>
  <c r="AQ7" i="30" s="1"/>
  <c r="AR7" i="30" s="1"/>
  <c r="AS7" i="30" s="1"/>
  <c r="AT7" i="30" s="1"/>
  <c r="AU7" i="30" s="1"/>
  <c r="AV7" i="30" s="1"/>
  <c r="AW7" i="30" s="1"/>
  <c r="AX7" i="30" s="1"/>
  <c r="AY7" i="30" s="1"/>
  <c r="AF6" i="30"/>
  <c r="AG6" i="30" s="1"/>
  <c r="AH6" i="30" s="1"/>
  <c r="AI6" i="30" s="1"/>
  <c r="AJ6" i="30" s="1"/>
  <c r="AK6" i="30" s="1"/>
  <c r="AL6" i="30" s="1"/>
  <c r="AM6" i="30" s="1"/>
  <c r="AN6" i="30" s="1"/>
  <c r="AO6" i="30" s="1"/>
  <c r="AP6" i="30" s="1"/>
  <c r="AQ6" i="30" s="1"/>
  <c r="AR6" i="30" s="1"/>
  <c r="AS6" i="30" s="1"/>
  <c r="AT6" i="30" s="1"/>
  <c r="AU6" i="30" s="1"/>
  <c r="AV6" i="30" s="1"/>
  <c r="AW6" i="30" s="1"/>
  <c r="AX6" i="30" s="1"/>
  <c r="AY6" i="30" s="1"/>
  <c r="AF5" i="30"/>
  <c r="AG5" i="30" s="1"/>
  <c r="AH5" i="30" s="1"/>
  <c r="AI5" i="30" s="1"/>
  <c r="AJ5" i="30" s="1"/>
  <c r="AK5" i="30" s="1"/>
  <c r="AL5" i="30" s="1"/>
  <c r="AM5" i="30" s="1"/>
  <c r="AN5" i="30" s="1"/>
  <c r="AO5" i="30" s="1"/>
  <c r="AP5" i="30" s="1"/>
  <c r="AQ5" i="30" s="1"/>
  <c r="AR5" i="30" s="1"/>
  <c r="AS5" i="30" s="1"/>
  <c r="AT5" i="30" s="1"/>
  <c r="AU5" i="30" s="1"/>
  <c r="AV5" i="30" s="1"/>
  <c r="AW5" i="30" s="1"/>
  <c r="AX5" i="30" s="1"/>
  <c r="AY5" i="30" s="1"/>
  <c r="AF4" i="30"/>
  <c r="AG4" i="30" s="1"/>
  <c r="AH4" i="30" s="1"/>
  <c r="AI4" i="30" s="1"/>
  <c r="AJ4" i="30" s="1"/>
  <c r="AK4" i="30" s="1"/>
  <c r="AL4" i="30" s="1"/>
  <c r="AM4" i="30" s="1"/>
  <c r="AN4" i="30" s="1"/>
  <c r="AO4" i="30" s="1"/>
  <c r="AP4" i="30" s="1"/>
  <c r="AQ4" i="30" s="1"/>
  <c r="AR4" i="30" s="1"/>
  <c r="AS4" i="30" s="1"/>
  <c r="AT4" i="30" s="1"/>
  <c r="AU4" i="30" s="1"/>
  <c r="AV4" i="30" s="1"/>
  <c r="AW4" i="30" s="1"/>
  <c r="AX4" i="30" s="1"/>
  <c r="AY4" i="30" s="1"/>
  <c r="AF3" i="30"/>
  <c r="AG3" i="30" s="1"/>
  <c r="AH3" i="30" s="1"/>
  <c r="AI3" i="30" s="1"/>
  <c r="AJ3" i="30" s="1"/>
  <c r="AK3" i="30" s="1"/>
  <c r="AL3" i="30" s="1"/>
  <c r="AM3" i="30" s="1"/>
  <c r="AN3" i="30" s="1"/>
  <c r="AO3" i="30" s="1"/>
  <c r="AP3" i="30" s="1"/>
  <c r="AQ3" i="30" s="1"/>
  <c r="AR3" i="30" s="1"/>
  <c r="AS3" i="30" s="1"/>
  <c r="AT3" i="30" s="1"/>
  <c r="AU3" i="30" s="1"/>
  <c r="AV3" i="30" s="1"/>
  <c r="AW3" i="30" s="1"/>
  <c r="AX3" i="30" s="1"/>
  <c r="AY3" i="30" s="1"/>
  <c r="AF2" i="30"/>
  <c r="AG2" i="30" s="1"/>
  <c r="AH2" i="30" s="1"/>
  <c r="AI2" i="30" s="1"/>
  <c r="AJ2" i="30" s="1"/>
  <c r="AK2" i="30" s="1"/>
  <c r="AL2" i="30" s="1"/>
  <c r="AM2" i="30" s="1"/>
  <c r="AN2" i="30" s="1"/>
  <c r="AO2" i="30" s="1"/>
  <c r="AP2" i="30" s="1"/>
  <c r="AQ2" i="30" s="1"/>
  <c r="AR2" i="30" s="1"/>
  <c r="AS2" i="30" s="1"/>
  <c r="AT2" i="30" s="1"/>
  <c r="AU2" i="30" s="1"/>
  <c r="AV2" i="30" s="1"/>
  <c r="AW2" i="30" s="1"/>
  <c r="AX2" i="30" s="1"/>
  <c r="AY2" i="30" s="1"/>
  <c r="AF1" i="30"/>
  <c r="AG1" i="30" s="1"/>
  <c r="AH1" i="30" s="1"/>
  <c r="AI1" i="30" s="1"/>
  <c r="AJ1" i="30" s="1"/>
  <c r="AK1" i="30" s="1"/>
  <c r="AL1" i="30" s="1"/>
  <c r="AM1" i="30" s="1"/>
  <c r="AN1" i="30" s="1"/>
  <c r="AO1" i="30" s="1"/>
  <c r="AP1" i="30" s="1"/>
  <c r="AQ1" i="30" s="1"/>
  <c r="AR1" i="30" s="1"/>
  <c r="AS1" i="30" s="1"/>
  <c r="AT1" i="30" s="1"/>
  <c r="AU1" i="30" s="1"/>
  <c r="AV1" i="30" s="1"/>
  <c r="AW1" i="30" s="1"/>
  <c r="AX1" i="30" s="1"/>
  <c r="AY1" i="30" s="1"/>
  <c r="AG11" i="29"/>
  <c r="AH11" i="29" s="1"/>
  <c r="AI11" i="29" s="1"/>
  <c r="AJ11" i="29" s="1"/>
  <c r="AK11" i="29" s="1"/>
  <c r="AL11" i="29" s="1"/>
  <c r="AM11" i="29" s="1"/>
  <c r="AN11" i="29" s="1"/>
  <c r="AO11" i="29" s="1"/>
  <c r="AP11" i="29" s="1"/>
  <c r="AQ11" i="29" s="1"/>
  <c r="AR11" i="29" s="1"/>
  <c r="AS11" i="29" s="1"/>
  <c r="AT11" i="29" s="1"/>
  <c r="AU11" i="29" s="1"/>
  <c r="AV11" i="29" s="1"/>
  <c r="AW11" i="29" s="1"/>
  <c r="AX11" i="29" s="1"/>
  <c r="AY11" i="29" s="1"/>
  <c r="AF11" i="29"/>
  <c r="AG10" i="29"/>
  <c r="AH10" i="29" s="1"/>
  <c r="AI10" i="29" s="1"/>
  <c r="AJ10" i="29" s="1"/>
  <c r="AK10" i="29" s="1"/>
  <c r="AL10" i="29" s="1"/>
  <c r="AM10" i="29" s="1"/>
  <c r="AN10" i="29" s="1"/>
  <c r="AO10" i="29" s="1"/>
  <c r="AP10" i="29" s="1"/>
  <c r="AQ10" i="29" s="1"/>
  <c r="AR10" i="29" s="1"/>
  <c r="AS10" i="29" s="1"/>
  <c r="AT10" i="29" s="1"/>
  <c r="AU10" i="29" s="1"/>
  <c r="AV10" i="29" s="1"/>
  <c r="AW10" i="29" s="1"/>
  <c r="AX10" i="29" s="1"/>
  <c r="AY10" i="29" s="1"/>
  <c r="AF10" i="29"/>
  <c r="AG9" i="29"/>
  <c r="AH9" i="29" s="1"/>
  <c r="AI9" i="29" s="1"/>
  <c r="AJ9" i="29" s="1"/>
  <c r="AK9" i="29" s="1"/>
  <c r="AL9" i="29" s="1"/>
  <c r="AM9" i="29" s="1"/>
  <c r="AN9" i="29" s="1"/>
  <c r="AO9" i="29" s="1"/>
  <c r="AP9" i="29" s="1"/>
  <c r="AQ9" i="29" s="1"/>
  <c r="AR9" i="29" s="1"/>
  <c r="AS9" i="29" s="1"/>
  <c r="AT9" i="29" s="1"/>
  <c r="AU9" i="29" s="1"/>
  <c r="AV9" i="29" s="1"/>
  <c r="AW9" i="29" s="1"/>
  <c r="AX9" i="29" s="1"/>
  <c r="AY9" i="29" s="1"/>
  <c r="AF9" i="29"/>
  <c r="AG8" i="29"/>
  <c r="AH8" i="29" s="1"/>
  <c r="AI8" i="29" s="1"/>
  <c r="AJ8" i="29" s="1"/>
  <c r="AK8" i="29" s="1"/>
  <c r="AL8" i="29" s="1"/>
  <c r="AM8" i="29" s="1"/>
  <c r="AN8" i="29" s="1"/>
  <c r="AO8" i="29" s="1"/>
  <c r="AP8" i="29" s="1"/>
  <c r="AQ8" i="29" s="1"/>
  <c r="AR8" i="29" s="1"/>
  <c r="AS8" i="29" s="1"/>
  <c r="AT8" i="29" s="1"/>
  <c r="AU8" i="29" s="1"/>
  <c r="AV8" i="29" s="1"/>
  <c r="AW8" i="29" s="1"/>
  <c r="AX8" i="29" s="1"/>
  <c r="AY8" i="29" s="1"/>
  <c r="AF8" i="29"/>
  <c r="AG7" i="29"/>
  <c r="AH7" i="29" s="1"/>
  <c r="AI7" i="29" s="1"/>
  <c r="AJ7" i="29" s="1"/>
  <c r="AK7" i="29" s="1"/>
  <c r="AL7" i="29" s="1"/>
  <c r="AM7" i="29" s="1"/>
  <c r="AN7" i="29" s="1"/>
  <c r="AO7" i="29" s="1"/>
  <c r="AP7" i="29" s="1"/>
  <c r="AQ7" i="29" s="1"/>
  <c r="AR7" i="29" s="1"/>
  <c r="AS7" i="29" s="1"/>
  <c r="AT7" i="29" s="1"/>
  <c r="AU7" i="29" s="1"/>
  <c r="AV7" i="29" s="1"/>
  <c r="AW7" i="29" s="1"/>
  <c r="AX7" i="29" s="1"/>
  <c r="AY7" i="29" s="1"/>
  <c r="AF7" i="29"/>
  <c r="AG6" i="29"/>
  <c r="AH6" i="29" s="1"/>
  <c r="AI6" i="29" s="1"/>
  <c r="AJ6" i="29" s="1"/>
  <c r="AK6" i="29" s="1"/>
  <c r="AL6" i="29" s="1"/>
  <c r="AM6" i="29" s="1"/>
  <c r="AN6" i="29" s="1"/>
  <c r="AO6" i="29" s="1"/>
  <c r="AP6" i="29" s="1"/>
  <c r="AQ6" i="29" s="1"/>
  <c r="AR6" i="29" s="1"/>
  <c r="AS6" i="29" s="1"/>
  <c r="AT6" i="29" s="1"/>
  <c r="AU6" i="29" s="1"/>
  <c r="AV6" i="29" s="1"/>
  <c r="AW6" i="29" s="1"/>
  <c r="AX6" i="29" s="1"/>
  <c r="AY6" i="29" s="1"/>
  <c r="AF6" i="29"/>
  <c r="AG5" i="29"/>
  <c r="AH5" i="29" s="1"/>
  <c r="AI5" i="29" s="1"/>
  <c r="AJ5" i="29" s="1"/>
  <c r="AK5" i="29" s="1"/>
  <c r="AL5" i="29" s="1"/>
  <c r="AM5" i="29" s="1"/>
  <c r="AN5" i="29" s="1"/>
  <c r="AO5" i="29" s="1"/>
  <c r="AP5" i="29" s="1"/>
  <c r="AQ5" i="29" s="1"/>
  <c r="AR5" i="29" s="1"/>
  <c r="AS5" i="29" s="1"/>
  <c r="AT5" i="29" s="1"/>
  <c r="AU5" i="29" s="1"/>
  <c r="AV5" i="29" s="1"/>
  <c r="AW5" i="29" s="1"/>
  <c r="AX5" i="29" s="1"/>
  <c r="AY5" i="29" s="1"/>
  <c r="AF5" i="29"/>
  <c r="AG4" i="29"/>
  <c r="AH4" i="29" s="1"/>
  <c r="AI4" i="29" s="1"/>
  <c r="AJ4" i="29" s="1"/>
  <c r="AK4" i="29" s="1"/>
  <c r="AL4" i="29" s="1"/>
  <c r="AM4" i="29" s="1"/>
  <c r="AN4" i="29" s="1"/>
  <c r="AO4" i="29" s="1"/>
  <c r="AP4" i="29" s="1"/>
  <c r="AQ4" i="29" s="1"/>
  <c r="AR4" i="29" s="1"/>
  <c r="AS4" i="29" s="1"/>
  <c r="AT4" i="29" s="1"/>
  <c r="AU4" i="29" s="1"/>
  <c r="AV4" i="29" s="1"/>
  <c r="AW4" i="29" s="1"/>
  <c r="AX4" i="29" s="1"/>
  <c r="AY4" i="29" s="1"/>
  <c r="AF4" i="29"/>
  <c r="AG3" i="29"/>
  <c r="AH3" i="29" s="1"/>
  <c r="AI3" i="29" s="1"/>
  <c r="AJ3" i="29" s="1"/>
  <c r="AK3" i="29" s="1"/>
  <c r="AL3" i="29" s="1"/>
  <c r="AM3" i="29" s="1"/>
  <c r="AN3" i="29" s="1"/>
  <c r="AO3" i="29" s="1"/>
  <c r="AP3" i="29" s="1"/>
  <c r="AQ3" i="29" s="1"/>
  <c r="AR3" i="29" s="1"/>
  <c r="AS3" i="29" s="1"/>
  <c r="AT3" i="29" s="1"/>
  <c r="AU3" i="29" s="1"/>
  <c r="AV3" i="29" s="1"/>
  <c r="AW3" i="29" s="1"/>
  <c r="AX3" i="29" s="1"/>
  <c r="AY3" i="29" s="1"/>
  <c r="AF3" i="29"/>
  <c r="AG2" i="29"/>
  <c r="AH2" i="29" s="1"/>
  <c r="AI2" i="29" s="1"/>
  <c r="AJ2" i="29" s="1"/>
  <c r="AK2" i="29" s="1"/>
  <c r="AL2" i="29" s="1"/>
  <c r="AM2" i="29" s="1"/>
  <c r="AN2" i="29" s="1"/>
  <c r="AO2" i="29" s="1"/>
  <c r="AP2" i="29" s="1"/>
  <c r="AQ2" i="29" s="1"/>
  <c r="AR2" i="29" s="1"/>
  <c r="AS2" i="29" s="1"/>
  <c r="AT2" i="29" s="1"/>
  <c r="AU2" i="29" s="1"/>
  <c r="AV2" i="29" s="1"/>
  <c r="AW2" i="29" s="1"/>
  <c r="AX2" i="29" s="1"/>
  <c r="AY2" i="29" s="1"/>
  <c r="AF2" i="29"/>
  <c r="AG1" i="29"/>
  <c r="AH1" i="29" s="1"/>
  <c r="AI1" i="29" s="1"/>
  <c r="AJ1" i="29" s="1"/>
  <c r="AK1" i="29" s="1"/>
  <c r="AL1" i="29" s="1"/>
  <c r="AM1" i="29" s="1"/>
  <c r="AN1" i="29" s="1"/>
  <c r="AO1" i="29" s="1"/>
  <c r="AP1" i="29" s="1"/>
  <c r="AQ1" i="29" s="1"/>
  <c r="AR1" i="29" s="1"/>
  <c r="AS1" i="29" s="1"/>
  <c r="AT1" i="29" s="1"/>
  <c r="AU1" i="29" s="1"/>
  <c r="AV1" i="29" s="1"/>
  <c r="AW1" i="29" s="1"/>
  <c r="AX1" i="29" s="1"/>
  <c r="AY1" i="29" s="1"/>
  <c r="AF1" i="29"/>
  <c r="AF11" i="28"/>
  <c r="AG11" i="28" s="1"/>
  <c r="AH11" i="28" s="1"/>
  <c r="AI11" i="28" s="1"/>
  <c r="AJ11" i="28" s="1"/>
  <c r="AK11" i="28" s="1"/>
  <c r="AL11" i="28" s="1"/>
  <c r="AM11" i="28" s="1"/>
  <c r="AN11" i="28" s="1"/>
  <c r="AO11" i="28" s="1"/>
  <c r="AP11" i="28" s="1"/>
  <c r="AQ11" i="28" s="1"/>
  <c r="AR11" i="28" s="1"/>
  <c r="AS11" i="28" s="1"/>
  <c r="AT11" i="28" s="1"/>
  <c r="AU11" i="28" s="1"/>
  <c r="AV11" i="28" s="1"/>
  <c r="AW11" i="28" s="1"/>
  <c r="AX11" i="28" s="1"/>
  <c r="AY11" i="28" s="1"/>
  <c r="AF10" i="28"/>
  <c r="AG10" i="28" s="1"/>
  <c r="AH10" i="28" s="1"/>
  <c r="AI10" i="28" s="1"/>
  <c r="AJ10" i="28" s="1"/>
  <c r="AK10" i="28" s="1"/>
  <c r="AL10" i="28" s="1"/>
  <c r="AM10" i="28" s="1"/>
  <c r="AN10" i="28" s="1"/>
  <c r="AO10" i="28" s="1"/>
  <c r="AP10" i="28" s="1"/>
  <c r="AQ10" i="28" s="1"/>
  <c r="AR10" i="28" s="1"/>
  <c r="AS10" i="28" s="1"/>
  <c r="AT10" i="28" s="1"/>
  <c r="AU10" i="28" s="1"/>
  <c r="AV10" i="28" s="1"/>
  <c r="AW10" i="28" s="1"/>
  <c r="AX10" i="28" s="1"/>
  <c r="AY10" i="28" s="1"/>
  <c r="AF9" i="28"/>
  <c r="AG9" i="28" s="1"/>
  <c r="AH9" i="28" s="1"/>
  <c r="AI9" i="28" s="1"/>
  <c r="AJ9" i="28" s="1"/>
  <c r="AK9" i="28" s="1"/>
  <c r="AL9" i="28" s="1"/>
  <c r="AM9" i="28" s="1"/>
  <c r="AN9" i="28" s="1"/>
  <c r="AO9" i="28" s="1"/>
  <c r="AP9" i="28" s="1"/>
  <c r="AQ9" i="28" s="1"/>
  <c r="AR9" i="28" s="1"/>
  <c r="AS9" i="28" s="1"/>
  <c r="AT9" i="28" s="1"/>
  <c r="AU9" i="28" s="1"/>
  <c r="AV9" i="28" s="1"/>
  <c r="AW9" i="28" s="1"/>
  <c r="AX9" i="28" s="1"/>
  <c r="AY9" i="28" s="1"/>
  <c r="AF8" i="28"/>
  <c r="AG8" i="28" s="1"/>
  <c r="AH8" i="28" s="1"/>
  <c r="AI8" i="28" s="1"/>
  <c r="AJ8" i="28" s="1"/>
  <c r="AK8" i="28" s="1"/>
  <c r="AL8" i="28" s="1"/>
  <c r="AM8" i="28" s="1"/>
  <c r="AN8" i="28" s="1"/>
  <c r="AO8" i="28" s="1"/>
  <c r="AP8" i="28" s="1"/>
  <c r="AQ8" i="28" s="1"/>
  <c r="AR8" i="28" s="1"/>
  <c r="AS8" i="28" s="1"/>
  <c r="AT8" i="28" s="1"/>
  <c r="AU8" i="28" s="1"/>
  <c r="AV8" i="28" s="1"/>
  <c r="AW8" i="28" s="1"/>
  <c r="AX8" i="28" s="1"/>
  <c r="AY8" i="28" s="1"/>
  <c r="AF7" i="28"/>
  <c r="AG7" i="28" s="1"/>
  <c r="AH7" i="28" s="1"/>
  <c r="AI7" i="28" s="1"/>
  <c r="AJ7" i="28" s="1"/>
  <c r="AK7" i="28" s="1"/>
  <c r="AL7" i="28" s="1"/>
  <c r="AM7" i="28" s="1"/>
  <c r="AN7" i="28" s="1"/>
  <c r="AO7" i="28" s="1"/>
  <c r="AP7" i="28" s="1"/>
  <c r="AQ7" i="28" s="1"/>
  <c r="AR7" i="28" s="1"/>
  <c r="AS7" i="28" s="1"/>
  <c r="AT7" i="28" s="1"/>
  <c r="AU7" i="28" s="1"/>
  <c r="AV7" i="28" s="1"/>
  <c r="AW7" i="28" s="1"/>
  <c r="AX7" i="28" s="1"/>
  <c r="AY7" i="28" s="1"/>
  <c r="AF6" i="28"/>
  <c r="AG6" i="28" s="1"/>
  <c r="AH6" i="28" s="1"/>
  <c r="AI6" i="28" s="1"/>
  <c r="AJ6" i="28" s="1"/>
  <c r="AK6" i="28" s="1"/>
  <c r="AL6" i="28" s="1"/>
  <c r="AM6" i="28" s="1"/>
  <c r="AN6" i="28" s="1"/>
  <c r="AO6" i="28" s="1"/>
  <c r="AP6" i="28" s="1"/>
  <c r="AQ6" i="28" s="1"/>
  <c r="AR6" i="28" s="1"/>
  <c r="AS6" i="28" s="1"/>
  <c r="AT6" i="28" s="1"/>
  <c r="AU6" i="28" s="1"/>
  <c r="AV6" i="28" s="1"/>
  <c r="AW6" i="28" s="1"/>
  <c r="AX6" i="28" s="1"/>
  <c r="AY6" i="28" s="1"/>
  <c r="AF5" i="28"/>
  <c r="AG5" i="28" s="1"/>
  <c r="AH5" i="28" s="1"/>
  <c r="AI5" i="28" s="1"/>
  <c r="AJ5" i="28" s="1"/>
  <c r="AK5" i="28" s="1"/>
  <c r="AL5" i="28" s="1"/>
  <c r="AM5" i="28" s="1"/>
  <c r="AN5" i="28" s="1"/>
  <c r="AO5" i="28" s="1"/>
  <c r="AP5" i="28" s="1"/>
  <c r="AQ5" i="28" s="1"/>
  <c r="AR5" i="28" s="1"/>
  <c r="AS5" i="28" s="1"/>
  <c r="AT5" i="28" s="1"/>
  <c r="AU5" i="28" s="1"/>
  <c r="AV5" i="28" s="1"/>
  <c r="AW5" i="28" s="1"/>
  <c r="AX5" i="28" s="1"/>
  <c r="AY5" i="28" s="1"/>
  <c r="AF4" i="28"/>
  <c r="AG4" i="28" s="1"/>
  <c r="AH4" i="28" s="1"/>
  <c r="AI4" i="28" s="1"/>
  <c r="AJ4" i="28" s="1"/>
  <c r="AK4" i="28" s="1"/>
  <c r="AL4" i="28" s="1"/>
  <c r="AM4" i="28" s="1"/>
  <c r="AN4" i="28" s="1"/>
  <c r="AO4" i="28" s="1"/>
  <c r="AP4" i="28" s="1"/>
  <c r="AQ4" i="28" s="1"/>
  <c r="AR4" i="28" s="1"/>
  <c r="AS4" i="28" s="1"/>
  <c r="AT4" i="28" s="1"/>
  <c r="AU4" i="28" s="1"/>
  <c r="AV4" i="28" s="1"/>
  <c r="AW4" i="28" s="1"/>
  <c r="AX4" i="28" s="1"/>
  <c r="AY4" i="28" s="1"/>
  <c r="AF3" i="28"/>
  <c r="AG3" i="28" s="1"/>
  <c r="AH3" i="28" s="1"/>
  <c r="AI3" i="28" s="1"/>
  <c r="AJ3" i="28" s="1"/>
  <c r="AK3" i="28" s="1"/>
  <c r="AL3" i="28" s="1"/>
  <c r="AM3" i="28" s="1"/>
  <c r="AN3" i="28" s="1"/>
  <c r="AO3" i="28" s="1"/>
  <c r="AP3" i="28" s="1"/>
  <c r="AQ3" i="28" s="1"/>
  <c r="AR3" i="28" s="1"/>
  <c r="AS3" i="28" s="1"/>
  <c r="AT3" i="28" s="1"/>
  <c r="AU3" i="28" s="1"/>
  <c r="AV3" i="28" s="1"/>
  <c r="AW3" i="28" s="1"/>
  <c r="AX3" i="28" s="1"/>
  <c r="AY3" i="28" s="1"/>
  <c r="AF2" i="28"/>
  <c r="AG2" i="28" s="1"/>
  <c r="AH2" i="28" s="1"/>
  <c r="AI2" i="28" s="1"/>
  <c r="AJ2" i="28" s="1"/>
  <c r="AK2" i="28" s="1"/>
  <c r="AL2" i="28" s="1"/>
  <c r="AM2" i="28" s="1"/>
  <c r="AN2" i="28" s="1"/>
  <c r="AO2" i="28" s="1"/>
  <c r="AP2" i="28" s="1"/>
  <c r="AQ2" i="28" s="1"/>
  <c r="AR2" i="28" s="1"/>
  <c r="AS2" i="28" s="1"/>
  <c r="AT2" i="28" s="1"/>
  <c r="AU2" i="28" s="1"/>
  <c r="AV2" i="28" s="1"/>
  <c r="AW2" i="28" s="1"/>
  <c r="AX2" i="28" s="1"/>
  <c r="AY2" i="28" s="1"/>
  <c r="AF1" i="28"/>
  <c r="AG1" i="28" s="1"/>
  <c r="AH1" i="28" s="1"/>
  <c r="AI1" i="28" s="1"/>
  <c r="AJ1" i="28" s="1"/>
  <c r="AK1" i="28" s="1"/>
  <c r="AL1" i="28" s="1"/>
  <c r="AM1" i="28" s="1"/>
  <c r="AN1" i="28" s="1"/>
  <c r="AO1" i="28" s="1"/>
  <c r="AP1" i="28" s="1"/>
  <c r="AQ1" i="28" s="1"/>
  <c r="AR1" i="28" s="1"/>
  <c r="AS1" i="28" s="1"/>
  <c r="AT1" i="28" s="1"/>
  <c r="AU1" i="28" s="1"/>
  <c r="AV1" i="28" s="1"/>
  <c r="AW1" i="28" s="1"/>
  <c r="AX1" i="28" s="1"/>
  <c r="AY1" i="28" s="1"/>
  <c r="AF11" i="27"/>
  <c r="AG11" i="27" s="1"/>
  <c r="AH11" i="27" s="1"/>
  <c r="AI11" i="27" s="1"/>
  <c r="AJ11" i="27" s="1"/>
  <c r="AK11" i="27" s="1"/>
  <c r="AL11" i="27" s="1"/>
  <c r="AM11" i="27" s="1"/>
  <c r="AN11" i="27" s="1"/>
  <c r="AO11" i="27" s="1"/>
  <c r="AP11" i="27" s="1"/>
  <c r="AQ11" i="27" s="1"/>
  <c r="AR11" i="27" s="1"/>
  <c r="AS11" i="27" s="1"/>
  <c r="AT11" i="27" s="1"/>
  <c r="AU11" i="27" s="1"/>
  <c r="AV11" i="27" s="1"/>
  <c r="AW11" i="27" s="1"/>
  <c r="AX11" i="27" s="1"/>
  <c r="AY11" i="27" s="1"/>
  <c r="AF10" i="27"/>
  <c r="AG10" i="27" s="1"/>
  <c r="AH10" i="27" s="1"/>
  <c r="AI10" i="27" s="1"/>
  <c r="AJ10" i="27" s="1"/>
  <c r="AK10" i="27" s="1"/>
  <c r="AL10" i="27" s="1"/>
  <c r="AM10" i="27" s="1"/>
  <c r="AN10" i="27" s="1"/>
  <c r="AO10" i="27" s="1"/>
  <c r="AP10" i="27" s="1"/>
  <c r="AQ10" i="27" s="1"/>
  <c r="AR10" i="27" s="1"/>
  <c r="AS10" i="27" s="1"/>
  <c r="AT10" i="27" s="1"/>
  <c r="AU10" i="27" s="1"/>
  <c r="AV10" i="27" s="1"/>
  <c r="AW10" i="27" s="1"/>
  <c r="AX10" i="27" s="1"/>
  <c r="AY10" i="27" s="1"/>
  <c r="AF9" i="27"/>
  <c r="AG9" i="27" s="1"/>
  <c r="AH9" i="27" s="1"/>
  <c r="AI9" i="27" s="1"/>
  <c r="AJ9" i="27" s="1"/>
  <c r="AK9" i="27" s="1"/>
  <c r="AL9" i="27" s="1"/>
  <c r="AM9" i="27" s="1"/>
  <c r="AN9" i="27" s="1"/>
  <c r="AO9" i="27" s="1"/>
  <c r="AP9" i="27" s="1"/>
  <c r="AQ9" i="27" s="1"/>
  <c r="AR9" i="27" s="1"/>
  <c r="AS9" i="27" s="1"/>
  <c r="AT9" i="27" s="1"/>
  <c r="AU9" i="27" s="1"/>
  <c r="AV9" i="27" s="1"/>
  <c r="AW9" i="27" s="1"/>
  <c r="AX9" i="27" s="1"/>
  <c r="AY9" i="27" s="1"/>
  <c r="AF8" i="27"/>
  <c r="AG8" i="27" s="1"/>
  <c r="AH8" i="27" s="1"/>
  <c r="AI8" i="27" s="1"/>
  <c r="AJ8" i="27" s="1"/>
  <c r="AK8" i="27" s="1"/>
  <c r="AL8" i="27" s="1"/>
  <c r="AM8" i="27" s="1"/>
  <c r="AN8" i="27" s="1"/>
  <c r="AO8" i="27" s="1"/>
  <c r="AP8" i="27" s="1"/>
  <c r="AQ8" i="27" s="1"/>
  <c r="AR8" i="27" s="1"/>
  <c r="AS8" i="27" s="1"/>
  <c r="AT8" i="27" s="1"/>
  <c r="AU8" i="27" s="1"/>
  <c r="AV8" i="27" s="1"/>
  <c r="AW8" i="27" s="1"/>
  <c r="AX8" i="27" s="1"/>
  <c r="AY8" i="27" s="1"/>
  <c r="AF7" i="27"/>
  <c r="AG7" i="27" s="1"/>
  <c r="AH7" i="27" s="1"/>
  <c r="AI7" i="27" s="1"/>
  <c r="AJ7" i="27" s="1"/>
  <c r="AK7" i="27" s="1"/>
  <c r="AL7" i="27" s="1"/>
  <c r="AM7" i="27" s="1"/>
  <c r="AN7" i="27" s="1"/>
  <c r="AO7" i="27" s="1"/>
  <c r="AP7" i="27" s="1"/>
  <c r="AQ7" i="27" s="1"/>
  <c r="AR7" i="27" s="1"/>
  <c r="AS7" i="27" s="1"/>
  <c r="AT7" i="27" s="1"/>
  <c r="AU7" i="27" s="1"/>
  <c r="AV7" i="27" s="1"/>
  <c r="AW7" i="27" s="1"/>
  <c r="AX7" i="27" s="1"/>
  <c r="AY7" i="27" s="1"/>
  <c r="AF6" i="27"/>
  <c r="AG6" i="27" s="1"/>
  <c r="AH6" i="27" s="1"/>
  <c r="AI6" i="27" s="1"/>
  <c r="AJ6" i="27" s="1"/>
  <c r="AK6" i="27" s="1"/>
  <c r="AL6" i="27" s="1"/>
  <c r="AM6" i="27" s="1"/>
  <c r="AN6" i="27" s="1"/>
  <c r="AO6" i="27" s="1"/>
  <c r="AP6" i="27" s="1"/>
  <c r="AQ6" i="27" s="1"/>
  <c r="AR6" i="27" s="1"/>
  <c r="AS6" i="27" s="1"/>
  <c r="AT6" i="27" s="1"/>
  <c r="AU6" i="27" s="1"/>
  <c r="AV6" i="27" s="1"/>
  <c r="AW6" i="27" s="1"/>
  <c r="AX6" i="27" s="1"/>
  <c r="AY6" i="27" s="1"/>
  <c r="AF5" i="27"/>
  <c r="AG5" i="27" s="1"/>
  <c r="AH5" i="27" s="1"/>
  <c r="AI5" i="27" s="1"/>
  <c r="AJ5" i="27" s="1"/>
  <c r="AK5" i="27" s="1"/>
  <c r="AL5" i="27" s="1"/>
  <c r="AM5" i="27" s="1"/>
  <c r="AN5" i="27" s="1"/>
  <c r="AO5" i="27" s="1"/>
  <c r="AP5" i="27" s="1"/>
  <c r="AQ5" i="27" s="1"/>
  <c r="AR5" i="27" s="1"/>
  <c r="AS5" i="27" s="1"/>
  <c r="AT5" i="27" s="1"/>
  <c r="AU5" i="27" s="1"/>
  <c r="AV5" i="27" s="1"/>
  <c r="AW5" i="27" s="1"/>
  <c r="AX5" i="27" s="1"/>
  <c r="AY5" i="27" s="1"/>
  <c r="AF4" i="27"/>
  <c r="AG4" i="27" s="1"/>
  <c r="AH4" i="27" s="1"/>
  <c r="AI4" i="27" s="1"/>
  <c r="AJ4" i="27" s="1"/>
  <c r="AK4" i="27" s="1"/>
  <c r="AL4" i="27" s="1"/>
  <c r="AM4" i="27" s="1"/>
  <c r="AN4" i="27" s="1"/>
  <c r="AO4" i="27" s="1"/>
  <c r="AP4" i="27" s="1"/>
  <c r="AQ4" i="27" s="1"/>
  <c r="AR4" i="27" s="1"/>
  <c r="AS4" i="27" s="1"/>
  <c r="AT4" i="27" s="1"/>
  <c r="AU4" i="27" s="1"/>
  <c r="AV4" i="27" s="1"/>
  <c r="AW4" i="27" s="1"/>
  <c r="AX4" i="27" s="1"/>
  <c r="AY4" i="27" s="1"/>
  <c r="AF3" i="27"/>
  <c r="AG3" i="27" s="1"/>
  <c r="AH3" i="27" s="1"/>
  <c r="AI3" i="27" s="1"/>
  <c r="AJ3" i="27" s="1"/>
  <c r="AK3" i="27" s="1"/>
  <c r="AL3" i="27" s="1"/>
  <c r="AM3" i="27" s="1"/>
  <c r="AN3" i="27" s="1"/>
  <c r="AO3" i="27" s="1"/>
  <c r="AP3" i="27" s="1"/>
  <c r="AQ3" i="27" s="1"/>
  <c r="AR3" i="27" s="1"/>
  <c r="AS3" i="27" s="1"/>
  <c r="AT3" i="27" s="1"/>
  <c r="AU3" i="27" s="1"/>
  <c r="AV3" i="27" s="1"/>
  <c r="AW3" i="27" s="1"/>
  <c r="AX3" i="27" s="1"/>
  <c r="AY3" i="27" s="1"/>
  <c r="AF2" i="27"/>
  <c r="AG2" i="27" s="1"/>
  <c r="AH2" i="27" s="1"/>
  <c r="AI2" i="27" s="1"/>
  <c r="AJ2" i="27" s="1"/>
  <c r="AK2" i="27" s="1"/>
  <c r="AL2" i="27" s="1"/>
  <c r="AM2" i="27" s="1"/>
  <c r="AN2" i="27" s="1"/>
  <c r="AO2" i="27" s="1"/>
  <c r="AP2" i="27" s="1"/>
  <c r="AQ2" i="27" s="1"/>
  <c r="AR2" i="27" s="1"/>
  <c r="AS2" i="27" s="1"/>
  <c r="AT2" i="27" s="1"/>
  <c r="AU2" i="27" s="1"/>
  <c r="AV2" i="27" s="1"/>
  <c r="AW2" i="27" s="1"/>
  <c r="AX2" i="27" s="1"/>
  <c r="AY2" i="27" s="1"/>
  <c r="AF1" i="27"/>
  <c r="AG1" i="27" s="1"/>
  <c r="AH1" i="27" s="1"/>
  <c r="AI1" i="27" s="1"/>
  <c r="AJ1" i="27" s="1"/>
  <c r="AK1" i="27" s="1"/>
  <c r="AL1" i="27" s="1"/>
  <c r="AM1" i="27" s="1"/>
  <c r="AN1" i="27" s="1"/>
  <c r="AO1" i="27" s="1"/>
  <c r="AP1" i="27" s="1"/>
  <c r="AQ1" i="27" s="1"/>
  <c r="AR1" i="27" s="1"/>
  <c r="AS1" i="27" s="1"/>
  <c r="AT1" i="27" s="1"/>
  <c r="AU1" i="27" s="1"/>
  <c r="AV1" i="27" s="1"/>
  <c r="AW1" i="27" s="1"/>
  <c r="AX1" i="27" s="1"/>
  <c r="AY1" i="27" s="1"/>
  <c r="AF11" i="26"/>
  <c r="AG11" i="26" s="1"/>
  <c r="AH11" i="26" s="1"/>
  <c r="AI11" i="26" s="1"/>
  <c r="AJ11" i="26" s="1"/>
  <c r="AK11" i="26" s="1"/>
  <c r="AL11" i="26" s="1"/>
  <c r="AM11" i="26" s="1"/>
  <c r="AN11" i="26" s="1"/>
  <c r="AO11" i="26" s="1"/>
  <c r="AP11" i="26" s="1"/>
  <c r="AQ11" i="26" s="1"/>
  <c r="AR11" i="26" s="1"/>
  <c r="AS11" i="26" s="1"/>
  <c r="AT11" i="26" s="1"/>
  <c r="AU11" i="26" s="1"/>
  <c r="AV11" i="26" s="1"/>
  <c r="AW11" i="26" s="1"/>
  <c r="AX11" i="26" s="1"/>
  <c r="AY11" i="26" s="1"/>
  <c r="AF10" i="26"/>
  <c r="AG10" i="26" s="1"/>
  <c r="AH10" i="26" s="1"/>
  <c r="AI10" i="26" s="1"/>
  <c r="AJ10" i="26" s="1"/>
  <c r="AK10" i="26" s="1"/>
  <c r="AL10" i="26" s="1"/>
  <c r="AM10" i="26" s="1"/>
  <c r="AN10" i="26" s="1"/>
  <c r="AO10" i="26" s="1"/>
  <c r="AP10" i="26" s="1"/>
  <c r="AQ10" i="26" s="1"/>
  <c r="AR10" i="26" s="1"/>
  <c r="AS10" i="26" s="1"/>
  <c r="AT10" i="26" s="1"/>
  <c r="AU10" i="26" s="1"/>
  <c r="AV10" i="26" s="1"/>
  <c r="AW10" i="26" s="1"/>
  <c r="AX10" i="26" s="1"/>
  <c r="AY10" i="26" s="1"/>
  <c r="AF9" i="26"/>
  <c r="AG9" i="26" s="1"/>
  <c r="AH9" i="26" s="1"/>
  <c r="AI9" i="26" s="1"/>
  <c r="AJ9" i="26" s="1"/>
  <c r="AK9" i="26" s="1"/>
  <c r="AL9" i="26" s="1"/>
  <c r="AM9" i="26" s="1"/>
  <c r="AN9" i="26" s="1"/>
  <c r="AO9" i="26" s="1"/>
  <c r="AP9" i="26" s="1"/>
  <c r="AQ9" i="26" s="1"/>
  <c r="AR9" i="26" s="1"/>
  <c r="AS9" i="26" s="1"/>
  <c r="AT9" i="26" s="1"/>
  <c r="AU9" i="26" s="1"/>
  <c r="AV9" i="26" s="1"/>
  <c r="AW9" i="26" s="1"/>
  <c r="AX9" i="26" s="1"/>
  <c r="AY9" i="26" s="1"/>
  <c r="AF8" i="26"/>
  <c r="AG8" i="26" s="1"/>
  <c r="AH8" i="26" s="1"/>
  <c r="AI8" i="26" s="1"/>
  <c r="AJ8" i="26" s="1"/>
  <c r="AK8" i="26" s="1"/>
  <c r="AL8" i="26" s="1"/>
  <c r="AM8" i="26" s="1"/>
  <c r="AN8" i="26" s="1"/>
  <c r="AO8" i="26" s="1"/>
  <c r="AP8" i="26" s="1"/>
  <c r="AQ8" i="26" s="1"/>
  <c r="AR8" i="26" s="1"/>
  <c r="AS8" i="26" s="1"/>
  <c r="AT8" i="26" s="1"/>
  <c r="AU8" i="26" s="1"/>
  <c r="AV8" i="26" s="1"/>
  <c r="AW8" i="26" s="1"/>
  <c r="AX8" i="26" s="1"/>
  <c r="AY8" i="26" s="1"/>
  <c r="AF7" i="26"/>
  <c r="AG7" i="26" s="1"/>
  <c r="AH7" i="26" s="1"/>
  <c r="AI7" i="26" s="1"/>
  <c r="AJ7" i="26" s="1"/>
  <c r="AK7" i="26" s="1"/>
  <c r="AL7" i="26" s="1"/>
  <c r="AM7" i="26" s="1"/>
  <c r="AN7" i="26" s="1"/>
  <c r="AO7" i="26" s="1"/>
  <c r="AP7" i="26" s="1"/>
  <c r="AQ7" i="26" s="1"/>
  <c r="AR7" i="26" s="1"/>
  <c r="AS7" i="26" s="1"/>
  <c r="AT7" i="26" s="1"/>
  <c r="AU7" i="26" s="1"/>
  <c r="AV7" i="26" s="1"/>
  <c r="AW7" i="26" s="1"/>
  <c r="AX7" i="26" s="1"/>
  <c r="AY7" i="26" s="1"/>
  <c r="AF6" i="26"/>
  <c r="AG6" i="26" s="1"/>
  <c r="AH6" i="26" s="1"/>
  <c r="AI6" i="26" s="1"/>
  <c r="AJ6" i="26" s="1"/>
  <c r="AK6" i="26" s="1"/>
  <c r="AL6" i="26" s="1"/>
  <c r="AM6" i="26" s="1"/>
  <c r="AN6" i="26" s="1"/>
  <c r="AO6" i="26" s="1"/>
  <c r="AP6" i="26" s="1"/>
  <c r="AQ6" i="26" s="1"/>
  <c r="AR6" i="26" s="1"/>
  <c r="AS6" i="26" s="1"/>
  <c r="AT6" i="26" s="1"/>
  <c r="AU6" i="26" s="1"/>
  <c r="AV6" i="26" s="1"/>
  <c r="AW6" i="26" s="1"/>
  <c r="AX6" i="26" s="1"/>
  <c r="AY6" i="26" s="1"/>
  <c r="AF5" i="26"/>
  <c r="AG5" i="26" s="1"/>
  <c r="AH5" i="26" s="1"/>
  <c r="AI5" i="26" s="1"/>
  <c r="AJ5" i="26" s="1"/>
  <c r="AK5" i="26" s="1"/>
  <c r="AL5" i="26" s="1"/>
  <c r="AM5" i="26" s="1"/>
  <c r="AN5" i="26" s="1"/>
  <c r="AO5" i="26" s="1"/>
  <c r="AP5" i="26" s="1"/>
  <c r="AQ5" i="26" s="1"/>
  <c r="AR5" i="26" s="1"/>
  <c r="AS5" i="26" s="1"/>
  <c r="AT5" i="26" s="1"/>
  <c r="AU5" i="26" s="1"/>
  <c r="AV5" i="26" s="1"/>
  <c r="AW5" i="26" s="1"/>
  <c r="AX5" i="26" s="1"/>
  <c r="AY5" i="26" s="1"/>
  <c r="AF4" i="26"/>
  <c r="AG4" i="26" s="1"/>
  <c r="AH4" i="26" s="1"/>
  <c r="AI4" i="26" s="1"/>
  <c r="AJ4" i="26" s="1"/>
  <c r="AK4" i="26" s="1"/>
  <c r="AL4" i="26" s="1"/>
  <c r="AM4" i="26" s="1"/>
  <c r="AN4" i="26" s="1"/>
  <c r="AO4" i="26" s="1"/>
  <c r="AP4" i="26" s="1"/>
  <c r="AQ4" i="26" s="1"/>
  <c r="AR4" i="26" s="1"/>
  <c r="AS4" i="26" s="1"/>
  <c r="AT4" i="26" s="1"/>
  <c r="AU4" i="26" s="1"/>
  <c r="AV4" i="26" s="1"/>
  <c r="AW4" i="26" s="1"/>
  <c r="AX4" i="26" s="1"/>
  <c r="AY4" i="26" s="1"/>
  <c r="AF3" i="26"/>
  <c r="AG3" i="26" s="1"/>
  <c r="AH3" i="26" s="1"/>
  <c r="AI3" i="26" s="1"/>
  <c r="AJ3" i="26" s="1"/>
  <c r="AK3" i="26" s="1"/>
  <c r="AL3" i="26" s="1"/>
  <c r="AM3" i="26" s="1"/>
  <c r="AN3" i="26" s="1"/>
  <c r="AO3" i="26" s="1"/>
  <c r="AP3" i="26" s="1"/>
  <c r="AQ3" i="26" s="1"/>
  <c r="AR3" i="26" s="1"/>
  <c r="AS3" i="26" s="1"/>
  <c r="AT3" i="26" s="1"/>
  <c r="AU3" i="26" s="1"/>
  <c r="AV3" i="26" s="1"/>
  <c r="AW3" i="26" s="1"/>
  <c r="AX3" i="26" s="1"/>
  <c r="AY3" i="26" s="1"/>
  <c r="AF2" i="26"/>
  <c r="AG2" i="26" s="1"/>
  <c r="AH2" i="26" s="1"/>
  <c r="AI2" i="26" s="1"/>
  <c r="AJ2" i="26" s="1"/>
  <c r="AK2" i="26" s="1"/>
  <c r="AL2" i="26" s="1"/>
  <c r="AM2" i="26" s="1"/>
  <c r="AN2" i="26" s="1"/>
  <c r="AO2" i="26" s="1"/>
  <c r="AP2" i="26" s="1"/>
  <c r="AQ2" i="26" s="1"/>
  <c r="AR2" i="26" s="1"/>
  <c r="AS2" i="26" s="1"/>
  <c r="AT2" i="26" s="1"/>
  <c r="AU2" i="26" s="1"/>
  <c r="AV2" i="26" s="1"/>
  <c r="AW2" i="26" s="1"/>
  <c r="AX2" i="26" s="1"/>
  <c r="AY2" i="26" s="1"/>
  <c r="AF1" i="26"/>
  <c r="AG1" i="26" s="1"/>
  <c r="AH1" i="26" s="1"/>
  <c r="AI1" i="26" s="1"/>
  <c r="AJ1" i="26" s="1"/>
  <c r="AK1" i="26" s="1"/>
  <c r="AL1" i="26" s="1"/>
  <c r="AM1" i="26" s="1"/>
  <c r="AN1" i="26" s="1"/>
  <c r="AO1" i="26" s="1"/>
  <c r="AP1" i="26" s="1"/>
  <c r="AQ1" i="26" s="1"/>
  <c r="AR1" i="26" s="1"/>
  <c r="AS1" i="26" s="1"/>
  <c r="AT1" i="26" s="1"/>
  <c r="AU1" i="26" s="1"/>
  <c r="AV1" i="26" s="1"/>
  <c r="AW1" i="26" s="1"/>
  <c r="AX1" i="26" s="1"/>
  <c r="AY1" i="26" s="1"/>
  <c r="AF11" i="55"/>
  <c r="AG11" i="55" s="1"/>
  <c r="AH11" i="55" s="1"/>
  <c r="AI11" i="55" s="1"/>
  <c r="AJ11" i="55" s="1"/>
  <c r="AK11" i="55" s="1"/>
  <c r="AL11" i="55" s="1"/>
  <c r="AM11" i="55" s="1"/>
  <c r="AN11" i="55" s="1"/>
  <c r="AO11" i="55" s="1"/>
  <c r="AP11" i="55" s="1"/>
  <c r="AQ11" i="55" s="1"/>
  <c r="AR11" i="55" s="1"/>
  <c r="AS11" i="55" s="1"/>
  <c r="AT11" i="55" s="1"/>
  <c r="AU11" i="55" s="1"/>
  <c r="AV11" i="55" s="1"/>
  <c r="AW11" i="55" s="1"/>
  <c r="AX11" i="55" s="1"/>
  <c r="AY11" i="55" s="1"/>
  <c r="AF10" i="55"/>
  <c r="AG10" i="55" s="1"/>
  <c r="AH10" i="55" s="1"/>
  <c r="AI10" i="55" s="1"/>
  <c r="AJ10" i="55" s="1"/>
  <c r="AK10" i="55" s="1"/>
  <c r="AL10" i="55" s="1"/>
  <c r="AM10" i="55" s="1"/>
  <c r="AN10" i="55" s="1"/>
  <c r="AO10" i="55" s="1"/>
  <c r="AP10" i="55" s="1"/>
  <c r="AQ10" i="55" s="1"/>
  <c r="AR10" i="55" s="1"/>
  <c r="AS10" i="55" s="1"/>
  <c r="AT10" i="55" s="1"/>
  <c r="AU10" i="55" s="1"/>
  <c r="AV10" i="55" s="1"/>
  <c r="AW10" i="55" s="1"/>
  <c r="AX10" i="55" s="1"/>
  <c r="AY10" i="55" s="1"/>
  <c r="AF9" i="55"/>
  <c r="AG9" i="55" s="1"/>
  <c r="AH9" i="55" s="1"/>
  <c r="AI9" i="55" s="1"/>
  <c r="AJ9" i="55" s="1"/>
  <c r="AK9" i="55" s="1"/>
  <c r="AL9" i="55" s="1"/>
  <c r="AM9" i="55" s="1"/>
  <c r="AN9" i="55" s="1"/>
  <c r="AO9" i="55" s="1"/>
  <c r="AP9" i="55" s="1"/>
  <c r="AQ9" i="55" s="1"/>
  <c r="AR9" i="55" s="1"/>
  <c r="AS9" i="55" s="1"/>
  <c r="AT9" i="55" s="1"/>
  <c r="AU9" i="55" s="1"/>
  <c r="AV9" i="55" s="1"/>
  <c r="AW9" i="55" s="1"/>
  <c r="AX9" i="55" s="1"/>
  <c r="AY9" i="55" s="1"/>
  <c r="AF8" i="55"/>
  <c r="AG8" i="55" s="1"/>
  <c r="AH8" i="55" s="1"/>
  <c r="AI8" i="55" s="1"/>
  <c r="AJ8" i="55" s="1"/>
  <c r="AK8" i="55" s="1"/>
  <c r="AL8" i="55" s="1"/>
  <c r="AM8" i="55" s="1"/>
  <c r="AN8" i="55" s="1"/>
  <c r="AO8" i="55" s="1"/>
  <c r="AP8" i="55" s="1"/>
  <c r="AQ8" i="55" s="1"/>
  <c r="AR8" i="55" s="1"/>
  <c r="AS8" i="55" s="1"/>
  <c r="AT8" i="55" s="1"/>
  <c r="AU8" i="55" s="1"/>
  <c r="AV8" i="55" s="1"/>
  <c r="AW8" i="55" s="1"/>
  <c r="AX8" i="55" s="1"/>
  <c r="AY8" i="55" s="1"/>
  <c r="AF7" i="55"/>
  <c r="AG7" i="55" s="1"/>
  <c r="AH7" i="55" s="1"/>
  <c r="AI7" i="55" s="1"/>
  <c r="AJ7" i="55" s="1"/>
  <c r="AK7" i="55" s="1"/>
  <c r="AL7" i="55" s="1"/>
  <c r="AM7" i="55" s="1"/>
  <c r="AN7" i="55" s="1"/>
  <c r="AO7" i="55" s="1"/>
  <c r="AP7" i="55" s="1"/>
  <c r="AQ7" i="55" s="1"/>
  <c r="AR7" i="55" s="1"/>
  <c r="AS7" i="55" s="1"/>
  <c r="AT7" i="55" s="1"/>
  <c r="AU7" i="55" s="1"/>
  <c r="AV7" i="55" s="1"/>
  <c r="AW7" i="55" s="1"/>
  <c r="AX7" i="55" s="1"/>
  <c r="AY7" i="55" s="1"/>
  <c r="AF6" i="55"/>
  <c r="AG6" i="55" s="1"/>
  <c r="AH6" i="55" s="1"/>
  <c r="AI6" i="55" s="1"/>
  <c r="AJ6" i="55" s="1"/>
  <c r="AK6" i="55" s="1"/>
  <c r="AL6" i="55" s="1"/>
  <c r="AM6" i="55" s="1"/>
  <c r="AN6" i="55" s="1"/>
  <c r="AO6" i="55" s="1"/>
  <c r="AP6" i="55" s="1"/>
  <c r="AQ6" i="55" s="1"/>
  <c r="AR6" i="55" s="1"/>
  <c r="AS6" i="55" s="1"/>
  <c r="AT6" i="55" s="1"/>
  <c r="AU6" i="55" s="1"/>
  <c r="AV6" i="55" s="1"/>
  <c r="AW6" i="55" s="1"/>
  <c r="AX6" i="55" s="1"/>
  <c r="AY6" i="55" s="1"/>
  <c r="AF5" i="55"/>
  <c r="AG5" i="55" s="1"/>
  <c r="AH5" i="55" s="1"/>
  <c r="AI5" i="55" s="1"/>
  <c r="AJ5" i="55" s="1"/>
  <c r="AK5" i="55" s="1"/>
  <c r="AL5" i="55" s="1"/>
  <c r="AM5" i="55" s="1"/>
  <c r="AN5" i="55" s="1"/>
  <c r="AO5" i="55" s="1"/>
  <c r="AP5" i="55" s="1"/>
  <c r="AQ5" i="55" s="1"/>
  <c r="AR5" i="55" s="1"/>
  <c r="AS5" i="55" s="1"/>
  <c r="AT5" i="55" s="1"/>
  <c r="AU5" i="55" s="1"/>
  <c r="AV5" i="55" s="1"/>
  <c r="AW5" i="55" s="1"/>
  <c r="AX5" i="55" s="1"/>
  <c r="AY5" i="55" s="1"/>
  <c r="AF4" i="55"/>
  <c r="AG4" i="55" s="1"/>
  <c r="AH4" i="55" s="1"/>
  <c r="AI4" i="55" s="1"/>
  <c r="AJ4" i="55" s="1"/>
  <c r="AK4" i="55" s="1"/>
  <c r="AL4" i="55" s="1"/>
  <c r="AM4" i="55" s="1"/>
  <c r="AN4" i="55" s="1"/>
  <c r="AO4" i="55" s="1"/>
  <c r="AP4" i="55" s="1"/>
  <c r="AQ4" i="55" s="1"/>
  <c r="AR4" i="55" s="1"/>
  <c r="AS4" i="55" s="1"/>
  <c r="AT4" i="55" s="1"/>
  <c r="AU4" i="55" s="1"/>
  <c r="AV4" i="55" s="1"/>
  <c r="AW4" i="55" s="1"/>
  <c r="AX4" i="55" s="1"/>
  <c r="AY4" i="55" s="1"/>
  <c r="AF3" i="55"/>
  <c r="AG3" i="55" s="1"/>
  <c r="AH3" i="55" s="1"/>
  <c r="AI3" i="55" s="1"/>
  <c r="AJ3" i="55" s="1"/>
  <c r="AK3" i="55" s="1"/>
  <c r="AL3" i="55" s="1"/>
  <c r="AM3" i="55" s="1"/>
  <c r="AN3" i="55" s="1"/>
  <c r="AO3" i="55" s="1"/>
  <c r="AP3" i="55" s="1"/>
  <c r="AQ3" i="55" s="1"/>
  <c r="AR3" i="55" s="1"/>
  <c r="AS3" i="55" s="1"/>
  <c r="AT3" i="55" s="1"/>
  <c r="AU3" i="55" s="1"/>
  <c r="AV3" i="55" s="1"/>
  <c r="AW3" i="55" s="1"/>
  <c r="AX3" i="55" s="1"/>
  <c r="AY3" i="55" s="1"/>
  <c r="AF2" i="55"/>
  <c r="AG2" i="55" s="1"/>
  <c r="AH2" i="55" s="1"/>
  <c r="AI2" i="55" s="1"/>
  <c r="AJ2" i="55" s="1"/>
  <c r="AK2" i="55" s="1"/>
  <c r="AL2" i="55" s="1"/>
  <c r="AM2" i="55" s="1"/>
  <c r="AN2" i="55" s="1"/>
  <c r="AO2" i="55" s="1"/>
  <c r="AP2" i="55" s="1"/>
  <c r="AQ2" i="55" s="1"/>
  <c r="AR2" i="55" s="1"/>
  <c r="AS2" i="55" s="1"/>
  <c r="AT2" i="55" s="1"/>
  <c r="AU2" i="55" s="1"/>
  <c r="AV2" i="55" s="1"/>
  <c r="AW2" i="55" s="1"/>
  <c r="AX2" i="55" s="1"/>
  <c r="AY2" i="55" s="1"/>
  <c r="AF1" i="55"/>
  <c r="AG1" i="55" s="1"/>
  <c r="AH1" i="55" s="1"/>
  <c r="AI1" i="55" s="1"/>
  <c r="AJ1" i="55" s="1"/>
  <c r="AK1" i="55" s="1"/>
  <c r="AL1" i="55" s="1"/>
  <c r="AM1" i="55" s="1"/>
  <c r="AN1" i="55" s="1"/>
  <c r="AO1" i="55" s="1"/>
  <c r="AP1" i="55" s="1"/>
  <c r="AQ1" i="55" s="1"/>
  <c r="AR1" i="55" s="1"/>
  <c r="AS1" i="55" s="1"/>
  <c r="AT1" i="55" s="1"/>
  <c r="AU1" i="55" s="1"/>
  <c r="AV1" i="55" s="1"/>
  <c r="AW1" i="55" s="1"/>
  <c r="AX1" i="55" s="1"/>
  <c r="AY1" i="55" s="1"/>
  <c r="AF11" i="54"/>
  <c r="AG11" i="54" s="1"/>
  <c r="AH11" i="54" s="1"/>
  <c r="AI11" i="54" s="1"/>
  <c r="AJ11" i="54" s="1"/>
  <c r="AK11" i="54" s="1"/>
  <c r="AL11" i="54" s="1"/>
  <c r="AM11" i="54" s="1"/>
  <c r="AN11" i="54" s="1"/>
  <c r="AO11" i="54" s="1"/>
  <c r="AP11" i="54" s="1"/>
  <c r="AQ11" i="54" s="1"/>
  <c r="AR11" i="54" s="1"/>
  <c r="AS11" i="54" s="1"/>
  <c r="AT11" i="54" s="1"/>
  <c r="AU11" i="54" s="1"/>
  <c r="AV11" i="54" s="1"/>
  <c r="AW11" i="54" s="1"/>
  <c r="AX11" i="54" s="1"/>
  <c r="AY11" i="54" s="1"/>
  <c r="AF10" i="54"/>
  <c r="AG10" i="54" s="1"/>
  <c r="AH10" i="54" s="1"/>
  <c r="AI10" i="54" s="1"/>
  <c r="AJ10" i="54" s="1"/>
  <c r="AK10" i="54" s="1"/>
  <c r="AL10" i="54" s="1"/>
  <c r="AM10" i="54" s="1"/>
  <c r="AN10" i="54" s="1"/>
  <c r="AO10" i="54" s="1"/>
  <c r="AP10" i="54" s="1"/>
  <c r="AQ10" i="54" s="1"/>
  <c r="AR10" i="54" s="1"/>
  <c r="AS10" i="54" s="1"/>
  <c r="AT10" i="54" s="1"/>
  <c r="AU10" i="54" s="1"/>
  <c r="AV10" i="54" s="1"/>
  <c r="AW10" i="54" s="1"/>
  <c r="AX10" i="54" s="1"/>
  <c r="AY10" i="54" s="1"/>
  <c r="AF9" i="54"/>
  <c r="AG9" i="54" s="1"/>
  <c r="AH9" i="54" s="1"/>
  <c r="AI9" i="54" s="1"/>
  <c r="AJ9" i="54" s="1"/>
  <c r="AK9" i="54" s="1"/>
  <c r="AL9" i="54" s="1"/>
  <c r="AM9" i="54" s="1"/>
  <c r="AN9" i="54" s="1"/>
  <c r="AO9" i="54" s="1"/>
  <c r="AP9" i="54" s="1"/>
  <c r="AQ9" i="54" s="1"/>
  <c r="AR9" i="54" s="1"/>
  <c r="AS9" i="54" s="1"/>
  <c r="AT9" i="54" s="1"/>
  <c r="AU9" i="54" s="1"/>
  <c r="AV9" i="54" s="1"/>
  <c r="AW9" i="54" s="1"/>
  <c r="AX9" i="54" s="1"/>
  <c r="AY9" i="54" s="1"/>
  <c r="AF8" i="54"/>
  <c r="AG8" i="54" s="1"/>
  <c r="AH8" i="54" s="1"/>
  <c r="AI8" i="54" s="1"/>
  <c r="AJ8" i="54" s="1"/>
  <c r="AK8" i="54" s="1"/>
  <c r="AL8" i="54" s="1"/>
  <c r="AM8" i="54" s="1"/>
  <c r="AN8" i="54" s="1"/>
  <c r="AO8" i="54" s="1"/>
  <c r="AP8" i="54" s="1"/>
  <c r="AQ8" i="54" s="1"/>
  <c r="AR8" i="54" s="1"/>
  <c r="AS8" i="54" s="1"/>
  <c r="AT8" i="54" s="1"/>
  <c r="AU8" i="54" s="1"/>
  <c r="AV8" i="54" s="1"/>
  <c r="AW8" i="54" s="1"/>
  <c r="AX8" i="54" s="1"/>
  <c r="AY8" i="54" s="1"/>
  <c r="AF7" i="54"/>
  <c r="AG7" i="54" s="1"/>
  <c r="AH7" i="54" s="1"/>
  <c r="AI7" i="54" s="1"/>
  <c r="AJ7" i="54" s="1"/>
  <c r="AK7" i="54" s="1"/>
  <c r="AL7" i="54" s="1"/>
  <c r="AM7" i="54" s="1"/>
  <c r="AN7" i="54" s="1"/>
  <c r="AO7" i="54" s="1"/>
  <c r="AP7" i="54" s="1"/>
  <c r="AQ7" i="54" s="1"/>
  <c r="AR7" i="54" s="1"/>
  <c r="AS7" i="54" s="1"/>
  <c r="AT7" i="54" s="1"/>
  <c r="AU7" i="54" s="1"/>
  <c r="AV7" i="54" s="1"/>
  <c r="AW7" i="54" s="1"/>
  <c r="AX7" i="54" s="1"/>
  <c r="AY7" i="54" s="1"/>
  <c r="AF6" i="54"/>
  <c r="AG6" i="54" s="1"/>
  <c r="AH6" i="54" s="1"/>
  <c r="AI6" i="54" s="1"/>
  <c r="AJ6" i="54" s="1"/>
  <c r="AK6" i="54" s="1"/>
  <c r="AL6" i="54" s="1"/>
  <c r="AM6" i="54" s="1"/>
  <c r="AN6" i="54" s="1"/>
  <c r="AO6" i="54" s="1"/>
  <c r="AP6" i="54" s="1"/>
  <c r="AQ6" i="54" s="1"/>
  <c r="AR6" i="54" s="1"/>
  <c r="AS6" i="54" s="1"/>
  <c r="AT6" i="54" s="1"/>
  <c r="AU6" i="54" s="1"/>
  <c r="AV6" i="54" s="1"/>
  <c r="AW6" i="54" s="1"/>
  <c r="AX6" i="54" s="1"/>
  <c r="AY6" i="54" s="1"/>
  <c r="AF5" i="54"/>
  <c r="AG5" i="54" s="1"/>
  <c r="AH5" i="54" s="1"/>
  <c r="AI5" i="54" s="1"/>
  <c r="AJ5" i="54" s="1"/>
  <c r="AK5" i="54" s="1"/>
  <c r="AL5" i="54" s="1"/>
  <c r="AM5" i="54" s="1"/>
  <c r="AN5" i="54" s="1"/>
  <c r="AO5" i="54" s="1"/>
  <c r="AP5" i="54" s="1"/>
  <c r="AQ5" i="54" s="1"/>
  <c r="AR5" i="54" s="1"/>
  <c r="AS5" i="54" s="1"/>
  <c r="AT5" i="54" s="1"/>
  <c r="AU5" i="54" s="1"/>
  <c r="AV5" i="54" s="1"/>
  <c r="AW5" i="54" s="1"/>
  <c r="AX5" i="54" s="1"/>
  <c r="AY5" i="54" s="1"/>
  <c r="AF4" i="54"/>
  <c r="AG4" i="54" s="1"/>
  <c r="AH4" i="54" s="1"/>
  <c r="AI4" i="54" s="1"/>
  <c r="AJ4" i="54" s="1"/>
  <c r="AK4" i="54" s="1"/>
  <c r="AL4" i="54" s="1"/>
  <c r="AM4" i="54" s="1"/>
  <c r="AN4" i="54" s="1"/>
  <c r="AO4" i="54" s="1"/>
  <c r="AP4" i="54" s="1"/>
  <c r="AQ4" i="54" s="1"/>
  <c r="AR4" i="54" s="1"/>
  <c r="AS4" i="54" s="1"/>
  <c r="AT4" i="54" s="1"/>
  <c r="AU4" i="54" s="1"/>
  <c r="AV4" i="54" s="1"/>
  <c r="AW4" i="54" s="1"/>
  <c r="AX4" i="54" s="1"/>
  <c r="AY4" i="54" s="1"/>
  <c r="AF3" i="54"/>
  <c r="AG3" i="54" s="1"/>
  <c r="AH3" i="54" s="1"/>
  <c r="AI3" i="54" s="1"/>
  <c r="AJ3" i="54" s="1"/>
  <c r="AK3" i="54" s="1"/>
  <c r="AL3" i="54" s="1"/>
  <c r="AM3" i="54" s="1"/>
  <c r="AN3" i="54" s="1"/>
  <c r="AO3" i="54" s="1"/>
  <c r="AP3" i="54" s="1"/>
  <c r="AQ3" i="54" s="1"/>
  <c r="AR3" i="54" s="1"/>
  <c r="AS3" i="54" s="1"/>
  <c r="AT3" i="54" s="1"/>
  <c r="AU3" i="54" s="1"/>
  <c r="AV3" i="54" s="1"/>
  <c r="AW3" i="54" s="1"/>
  <c r="AX3" i="54" s="1"/>
  <c r="AY3" i="54" s="1"/>
  <c r="AF2" i="54"/>
  <c r="AG2" i="54" s="1"/>
  <c r="AH2" i="54" s="1"/>
  <c r="AI2" i="54" s="1"/>
  <c r="AJ2" i="54" s="1"/>
  <c r="AK2" i="54" s="1"/>
  <c r="AL2" i="54" s="1"/>
  <c r="AM2" i="54" s="1"/>
  <c r="AN2" i="54" s="1"/>
  <c r="AO2" i="54" s="1"/>
  <c r="AP2" i="54" s="1"/>
  <c r="AQ2" i="54" s="1"/>
  <c r="AR2" i="54" s="1"/>
  <c r="AS2" i="54" s="1"/>
  <c r="AT2" i="54" s="1"/>
  <c r="AU2" i="54" s="1"/>
  <c r="AV2" i="54" s="1"/>
  <c r="AW2" i="54" s="1"/>
  <c r="AX2" i="54" s="1"/>
  <c r="AY2" i="54" s="1"/>
  <c r="AF1" i="54"/>
  <c r="AG1" i="54" s="1"/>
  <c r="AH1" i="54" s="1"/>
  <c r="AI1" i="54" s="1"/>
  <c r="AJ1" i="54" s="1"/>
  <c r="AK1" i="54" s="1"/>
  <c r="AL1" i="54" s="1"/>
  <c r="AM1" i="54" s="1"/>
  <c r="AN1" i="54" s="1"/>
  <c r="AO1" i="54" s="1"/>
  <c r="AP1" i="54" s="1"/>
  <c r="AQ1" i="54" s="1"/>
  <c r="AR1" i="54" s="1"/>
  <c r="AS1" i="54" s="1"/>
  <c r="AT1" i="54" s="1"/>
  <c r="AU1" i="54" s="1"/>
  <c r="AV1" i="54" s="1"/>
  <c r="AW1" i="54" s="1"/>
  <c r="AX1" i="54" s="1"/>
  <c r="AY1" i="54" s="1"/>
  <c r="AF11" i="23"/>
  <c r="AG11" i="23" s="1"/>
  <c r="AH11" i="23" s="1"/>
  <c r="AI11" i="23" s="1"/>
  <c r="AJ11" i="23" s="1"/>
  <c r="AK11" i="23" s="1"/>
  <c r="AL11" i="23" s="1"/>
  <c r="AM11" i="23" s="1"/>
  <c r="AN11" i="23" s="1"/>
  <c r="AO11" i="23" s="1"/>
  <c r="AP11" i="23" s="1"/>
  <c r="AQ11" i="23" s="1"/>
  <c r="AR11" i="23" s="1"/>
  <c r="AS11" i="23" s="1"/>
  <c r="AT11" i="23" s="1"/>
  <c r="AU11" i="23" s="1"/>
  <c r="AV11" i="23" s="1"/>
  <c r="AW11" i="23" s="1"/>
  <c r="AX11" i="23" s="1"/>
  <c r="AY11" i="23" s="1"/>
  <c r="AF10" i="23"/>
  <c r="AG10" i="23" s="1"/>
  <c r="AH10" i="23" s="1"/>
  <c r="AI10" i="23" s="1"/>
  <c r="AJ10" i="23" s="1"/>
  <c r="AK10" i="23" s="1"/>
  <c r="AL10" i="23" s="1"/>
  <c r="AM10" i="23" s="1"/>
  <c r="AN10" i="23" s="1"/>
  <c r="AO10" i="23" s="1"/>
  <c r="AP10" i="23" s="1"/>
  <c r="AQ10" i="23" s="1"/>
  <c r="AR10" i="23" s="1"/>
  <c r="AS10" i="23" s="1"/>
  <c r="AT10" i="23" s="1"/>
  <c r="AU10" i="23" s="1"/>
  <c r="AV10" i="23" s="1"/>
  <c r="AW10" i="23" s="1"/>
  <c r="AX10" i="23" s="1"/>
  <c r="AY10" i="23" s="1"/>
  <c r="AF9" i="23"/>
  <c r="AG9" i="23" s="1"/>
  <c r="AH9" i="23" s="1"/>
  <c r="AI9" i="23" s="1"/>
  <c r="AJ9" i="23" s="1"/>
  <c r="AK9" i="23" s="1"/>
  <c r="AL9" i="23" s="1"/>
  <c r="AM9" i="23" s="1"/>
  <c r="AN9" i="23" s="1"/>
  <c r="AO9" i="23" s="1"/>
  <c r="AP9" i="23" s="1"/>
  <c r="AQ9" i="23" s="1"/>
  <c r="AR9" i="23" s="1"/>
  <c r="AS9" i="23" s="1"/>
  <c r="AT9" i="23" s="1"/>
  <c r="AU9" i="23" s="1"/>
  <c r="AV9" i="23" s="1"/>
  <c r="AW9" i="23" s="1"/>
  <c r="AX9" i="23" s="1"/>
  <c r="AY9" i="23" s="1"/>
  <c r="AF8" i="23"/>
  <c r="AG8" i="23" s="1"/>
  <c r="AH8" i="23" s="1"/>
  <c r="AI8" i="23" s="1"/>
  <c r="AJ8" i="23" s="1"/>
  <c r="AK8" i="23" s="1"/>
  <c r="AL8" i="23" s="1"/>
  <c r="AM8" i="23" s="1"/>
  <c r="AN8" i="23" s="1"/>
  <c r="AO8" i="23" s="1"/>
  <c r="AP8" i="23" s="1"/>
  <c r="AQ8" i="23" s="1"/>
  <c r="AR8" i="23" s="1"/>
  <c r="AS8" i="23" s="1"/>
  <c r="AT8" i="23" s="1"/>
  <c r="AU8" i="23" s="1"/>
  <c r="AV8" i="23" s="1"/>
  <c r="AW8" i="23" s="1"/>
  <c r="AX8" i="23" s="1"/>
  <c r="AY8" i="23" s="1"/>
  <c r="AF7" i="23"/>
  <c r="AG7" i="23" s="1"/>
  <c r="AH7" i="23" s="1"/>
  <c r="AI7" i="23" s="1"/>
  <c r="AJ7" i="23" s="1"/>
  <c r="AK7" i="23" s="1"/>
  <c r="AL7" i="23" s="1"/>
  <c r="AM7" i="23" s="1"/>
  <c r="AN7" i="23" s="1"/>
  <c r="AO7" i="23" s="1"/>
  <c r="AP7" i="23" s="1"/>
  <c r="AQ7" i="23" s="1"/>
  <c r="AR7" i="23" s="1"/>
  <c r="AS7" i="23" s="1"/>
  <c r="AT7" i="23" s="1"/>
  <c r="AU7" i="23" s="1"/>
  <c r="AV7" i="23" s="1"/>
  <c r="AW7" i="23" s="1"/>
  <c r="AX7" i="23" s="1"/>
  <c r="AY7" i="23" s="1"/>
  <c r="AF6" i="23"/>
  <c r="AG6" i="23" s="1"/>
  <c r="AH6" i="23" s="1"/>
  <c r="AI6" i="23" s="1"/>
  <c r="AJ6" i="23" s="1"/>
  <c r="AK6" i="23" s="1"/>
  <c r="AL6" i="23" s="1"/>
  <c r="AM6" i="23" s="1"/>
  <c r="AN6" i="23" s="1"/>
  <c r="AO6" i="23" s="1"/>
  <c r="AP6" i="23" s="1"/>
  <c r="AQ6" i="23" s="1"/>
  <c r="AR6" i="23" s="1"/>
  <c r="AS6" i="23" s="1"/>
  <c r="AT6" i="23" s="1"/>
  <c r="AU6" i="23" s="1"/>
  <c r="AV6" i="23" s="1"/>
  <c r="AW6" i="23" s="1"/>
  <c r="AX6" i="23" s="1"/>
  <c r="AY6" i="23" s="1"/>
  <c r="AF5" i="23"/>
  <c r="AG5" i="23" s="1"/>
  <c r="AH5" i="23" s="1"/>
  <c r="AI5" i="23" s="1"/>
  <c r="AJ5" i="23" s="1"/>
  <c r="AK5" i="23" s="1"/>
  <c r="AL5" i="23" s="1"/>
  <c r="AM5" i="23" s="1"/>
  <c r="AN5" i="23" s="1"/>
  <c r="AO5" i="23" s="1"/>
  <c r="AP5" i="23" s="1"/>
  <c r="AQ5" i="23" s="1"/>
  <c r="AR5" i="23" s="1"/>
  <c r="AS5" i="23" s="1"/>
  <c r="AT5" i="23" s="1"/>
  <c r="AU5" i="23" s="1"/>
  <c r="AV5" i="23" s="1"/>
  <c r="AW5" i="23" s="1"/>
  <c r="AX5" i="23" s="1"/>
  <c r="AY5" i="23" s="1"/>
  <c r="AF4" i="23"/>
  <c r="AG4" i="23" s="1"/>
  <c r="AH4" i="23" s="1"/>
  <c r="AI4" i="23" s="1"/>
  <c r="AJ4" i="23" s="1"/>
  <c r="AK4" i="23" s="1"/>
  <c r="AL4" i="23" s="1"/>
  <c r="AM4" i="23" s="1"/>
  <c r="AN4" i="23" s="1"/>
  <c r="AO4" i="23" s="1"/>
  <c r="AP4" i="23" s="1"/>
  <c r="AQ4" i="23" s="1"/>
  <c r="AR4" i="23" s="1"/>
  <c r="AS4" i="23" s="1"/>
  <c r="AT4" i="23" s="1"/>
  <c r="AU4" i="23" s="1"/>
  <c r="AV4" i="23" s="1"/>
  <c r="AW4" i="23" s="1"/>
  <c r="AX4" i="23" s="1"/>
  <c r="AY4" i="23" s="1"/>
  <c r="AF3" i="23"/>
  <c r="AG3" i="23" s="1"/>
  <c r="AH3" i="23" s="1"/>
  <c r="AI3" i="23" s="1"/>
  <c r="AJ3" i="23" s="1"/>
  <c r="AK3" i="23" s="1"/>
  <c r="AL3" i="23" s="1"/>
  <c r="AM3" i="23" s="1"/>
  <c r="AN3" i="23" s="1"/>
  <c r="AO3" i="23" s="1"/>
  <c r="AP3" i="23" s="1"/>
  <c r="AQ3" i="23" s="1"/>
  <c r="AR3" i="23" s="1"/>
  <c r="AS3" i="23" s="1"/>
  <c r="AT3" i="23" s="1"/>
  <c r="AU3" i="23" s="1"/>
  <c r="AV3" i="23" s="1"/>
  <c r="AW3" i="23" s="1"/>
  <c r="AX3" i="23" s="1"/>
  <c r="AY3" i="23" s="1"/>
  <c r="AF2" i="23"/>
  <c r="AG2" i="23" s="1"/>
  <c r="AH2" i="23" s="1"/>
  <c r="AI2" i="23" s="1"/>
  <c r="AJ2" i="23" s="1"/>
  <c r="AK2" i="23" s="1"/>
  <c r="AL2" i="23" s="1"/>
  <c r="AM2" i="23" s="1"/>
  <c r="AN2" i="23" s="1"/>
  <c r="AO2" i="23" s="1"/>
  <c r="AP2" i="23" s="1"/>
  <c r="AQ2" i="23" s="1"/>
  <c r="AR2" i="23" s="1"/>
  <c r="AS2" i="23" s="1"/>
  <c r="AT2" i="23" s="1"/>
  <c r="AU2" i="23" s="1"/>
  <c r="AV2" i="23" s="1"/>
  <c r="AW2" i="23" s="1"/>
  <c r="AX2" i="23" s="1"/>
  <c r="AY2" i="23" s="1"/>
  <c r="AF1" i="23"/>
  <c r="AG1" i="23" s="1"/>
  <c r="AH1" i="23" s="1"/>
  <c r="AI1" i="23" s="1"/>
  <c r="AJ1" i="23" s="1"/>
  <c r="AK1" i="23" s="1"/>
  <c r="AL1" i="23" s="1"/>
  <c r="AM1" i="23" s="1"/>
  <c r="AN1" i="23" s="1"/>
  <c r="AO1" i="23" s="1"/>
  <c r="AP1" i="23" s="1"/>
  <c r="AQ1" i="23" s="1"/>
  <c r="AR1" i="23" s="1"/>
  <c r="AS1" i="23" s="1"/>
  <c r="AT1" i="23" s="1"/>
  <c r="AU1" i="23" s="1"/>
  <c r="AV1" i="23" s="1"/>
  <c r="AW1" i="23" s="1"/>
  <c r="AX1" i="23" s="1"/>
  <c r="AY1" i="23" s="1"/>
  <c r="AF11" i="22"/>
  <c r="AG11" i="22" s="1"/>
  <c r="AH11" i="22" s="1"/>
  <c r="AI11" i="22" s="1"/>
  <c r="AJ11" i="22" s="1"/>
  <c r="AK11" i="22" s="1"/>
  <c r="AL11" i="22" s="1"/>
  <c r="AM11" i="22" s="1"/>
  <c r="AN11" i="22" s="1"/>
  <c r="AO11" i="22" s="1"/>
  <c r="AP11" i="22" s="1"/>
  <c r="AQ11" i="22" s="1"/>
  <c r="AR11" i="22" s="1"/>
  <c r="AS11" i="22" s="1"/>
  <c r="AT11" i="22" s="1"/>
  <c r="AU11" i="22" s="1"/>
  <c r="AV11" i="22" s="1"/>
  <c r="AW11" i="22" s="1"/>
  <c r="AX11" i="22" s="1"/>
  <c r="AY11" i="22" s="1"/>
  <c r="AF10" i="22"/>
  <c r="AG10" i="22" s="1"/>
  <c r="AH10" i="22" s="1"/>
  <c r="AI10" i="22" s="1"/>
  <c r="AJ10" i="22" s="1"/>
  <c r="AK10" i="22" s="1"/>
  <c r="AL10" i="22" s="1"/>
  <c r="AM10" i="22" s="1"/>
  <c r="AN10" i="22" s="1"/>
  <c r="AO10" i="22" s="1"/>
  <c r="AP10" i="22" s="1"/>
  <c r="AQ10" i="22" s="1"/>
  <c r="AR10" i="22" s="1"/>
  <c r="AS10" i="22" s="1"/>
  <c r="AT10" i="22" s="1"/>
  <c r="AU10" i="22" s="1"/>
  <c r="AV10" i="22" s="1"/>
  <c r="AW10" i="22" s="1"/>
  <c r="AX10" i="22" s="1"/>
  <c r="AY10" i="22" s="1"/>
  <c r="AF9" i="22"/>
  <c r="AG9" i="22" s="1"/>
  <c r="AH9" i="22" s="1"/>
  <c r="AI9" i="22" s="1"/>
  <c r="AJ9" i="22" s="1"/>
  <c r="AK9" i="22" s="1"/>
  <c r="AL9" i="22" s="1"/>
  <c r="AM9" i="22" s="1"/>
  <c r="AN9" i="22" s="1"/>
  <c r="AO9" i="22" s="1"/>
  <c r="AP9" i="22" s="1"/>
  <c r="AQ9" i="22" s="1"/>
  <c r="AR9" i="22" s="1"/>
  <c r="AS9" i="22" s="1"/>
  <c r="AT9" i="22" s="1"/>
  <c r="AU9" i="22" s="1"/>
  <c r="AV9" i="22" s="1"/>
  <c r="AW9" i="22" s="1"/>
  <c r="AX9" i="22" s="1"/>
  <c r="AY9" i="22" s="1"/>
  <c r="AF8" i="22"/>
  <c r="AG8" i="22" s="1"/>
  <c r="AH8" i="22" s="1"/>
  <c r="AI8" i="22" s="1"/>
  <c r="AJ8" i="22" s="1"/>
  <c r="AK8" i="22" s="1"/>
  <c r="AL8" i="22" s="1"/>
  <c r="AM8" i="22" s="1"/>
  <c r="AN8" i="22" s="1"/>
  <c r="AO8" i="22" s="1"/>
  <c r="AP8" i="22" s="1"/>
  <c r="AQ8" i="22" s="1"/>
  <c r="AR8" i="22" s="1"/>
  <c r="AS8" i="22" s="1"/>
  <c r="AT8" i="22" s="1"/>
  <c r="AU8" i="22" s="1"/>
  <c r="AV8" i="22" s="1"/>
  <c r="AW8" i="22" s="1"/>
  <c r="AX8" i="22" s="1"/>
  <c r="AY8" i="22" s="1"/>
  <c r="AF7" i="22"/>
  <c r="AG7" i="22" s="1"/>
  <c r="AH7" i="22" s="1"/>
  <c r="AI7" i="22" s="1"/>
  <c r="AJ7" i="22" s="1"/>
  <c r="AK7" i="22" s="1"/>
  <c r="AL7" i="22" s="1"/>
  <c r="AM7" i="22" s="1"/>
  <c r="AN7" i="22" s="1"/>
  <c r="AO7" i="22" s="1"/>
  <c r="AP7" i="22" s="1"/>
  <c r="AQ7" i="22" s="1"/>
  <c r="AR7" i="22" s="1"/>
  <c r="AS7" i="22" s="1"/>
  <c r="AT7" i="22" s="1"/>
  <c r="AU7" i="22" s="1"/>
  <c r="AV7" i="22" s="1"/>
  <c r="AW7" i="22" s="1"/>
  <c r="AX7" i="22" s="1"/>
  <c r="AY7" i="22" s="1"/>
  <c r="AF6" i="22"/>
  <c r="AG6" i="22" s="1"/>
  <c r="AH6" i="22" s="1"/>
  <c r="AI6" i="22" s="1"/>
  <c r="AJ6" i="22" s="1"/>
  <c r="AK6" i="22" s="1"/>
  <c r="AL6" i="22" s="1"/>
  <c r="AM6" i="22" s="1"/>
  <c r="AN6" i="22" s="1"/>
  <c r="AO6" i="22" s="1"/>
  <c r="AP6" i="22" s="1"/>
  <c r="AQ6" i="22" s="1"/>
  <c r="AR6" i="22" s="1"/>
  <c r="AS6" i="22" s="1"/>
  <c r="AT6" i="22" s="1"/>
  <c r="AU6" i="22" s="1"/>
  <c r="AV6" i="22" s="1"/>
  <c r="AW6" i="22" s="1"/>
  <c r="AX6" i="22" s="1"/>
  <c r="AY6" i="22" s="1"/>
  <c r="AF5" i="22"/>
  <c r="AG5" i="22" s="1"/>
  <c r="AH5" i="22" s="1"/>
  <c r="AI5" i="22" s="1"/>
  <c r="AJ5" i="22" s="1"/>
  <c r="AK5" i="22" s="1"/>
  <c r="AL5" i="22" s="1"/>
  <c r="AM5" i="22" s="1"/>
  <c r="AN5" i="22" s="1"/>
  <c r="AO5" i="22" s="1"/>
  <c r="AP5" i="22" s="1"/>
  <c r="AQ5" i="22" s="1"/>
  <c r="AR5" i="22" s="1"/>
  <c r="AS5" i="22" s="1"/>
  <c r="AT5" i="22" s="1"/>
  <c r="AU5" i="22" s="1"/>
  <c r="AV5" i="22" s="1"/>
  <c r="AW5" i="22" s="1"/>
  <c r="AX5" i="22" s="1"/>
  <c r="AY5" i="22" s="1"/>
  <c r="AF4" i="22"/>
  <c r="AG4" i="22" s="1"/>
  <c r="AH4" i="22" s="1"/>
  <c r="AI4" i="22" s="1"/>
  <c r="AJ4" i="22" s="1"/>
  <c r="AK4" i="22" s="1"/>
  <c r="AL4" i="22" s="1"/>
  <c r="AM4" i="22" s="1"/>
  <c r="AN4" i="22" s="1"/>
  <c r="AO4" i="22" s="1"/>
  <c r="AP4" i="22" s="1"/>
  <c r="AQ4" i="22" s="1"/>
  <c r="AR4" i="22" s="1"/>
  <c r="AS4" i="22" s="1"/>
  <c r="AT4" i="22" s="1"/>
  <c r="AU4" i="22" s="1"/>
  <c r="AV4" i="22" s="1"/>
  <c r="AW4" i="22" s="1"/>
  <c r="AX4" i="22" s="1"/>
  <c r="AY4" i="22" s="1"/>
  <c r="AF3" i="22"/>
  <c r="AG3" i="22" s="1"/>
  <c r="AH3" i="22" s="1"/>
  <c r="AI3" i="22" s="1"/>
  <c r="AJ3" i="22" s="1"/>
  <c r="AK3" i="22" s="1"/>
  <c r="AL3" i="22" s="1"/>
  <c r="AM3" i="22" s="1"/>
  <c r="AN3" i="22" s="1"/>
  <c r="AO3" i="22" s="1"/>
  <c r="AP3" i="22" s="1"/>
  <c r="AQ3" i="22" s="1"/>
  <c r="AR3" i="22" s="1"/>
  <c r="AS3" i="22" s="1"/>
  <c r="AT3" i="22" s="1"/>
  <c r="AU3" i="22" s="1"/>
  <c r="AV3" i="22" s="1"/>
  <c r="AW3" i="22" s="1"/>
  <c r="AX3" i="22" s="1"/>
  <c r="AY3" i="22" s="1"/>
  <c r="AF2" i="22"/>
  <c r="AG2" i="22" s="1"/>
  <c r="AH2" i="22" s="1"/>
  <c r="AI2" i="22" s="1"/>
  <c r="AJ2" i="22" s="1"/>
  <c r="AK2" i="22" s="1"/>
  <c r="AL2" i="22" s="1"/>
  <c r="AM2" i="22" s="1"/>
  <c r="AN2" i="22" s="1"/>
  <c r="AO2" i="22" s="1"/>
  <c r="AP2" i="22" s="1"/>
  <c r="AQ2" i="22" s="1"/>
  <c r="AR2" i="22" s="1"/>
  <c r="AS2" i="22" s="1"/>
  <c r="AT2" i="22" s="1"/>
  <c r="AU2" i="22" s="1"/>
  <c r="AV2" i="22" s="1"/>
  <c r="AW2" i="22" s="1"/>
  <c r="AX2" i="22" s="1"/>
  <c r="AY2" i="22" s="1"/>
  <c r="AF1" i="22"/>
  <c r="AG1" i="22" s="1"/>
  <c r="AH1" i="22" s="1"/>
  <c r="AI1" i="22" s="1"/>
  <c r="AJ1" i="22" s="1"/>
  <c r="AK1" i="22" s="1"/>
  <c r="AL1" i="22" s="1"/>
  <c r="AM1" i="22" s="1"/>
  <c r="AN1" i="22" s="1"/>
  <c r="AO1" i="22" s="1"/>
  <c r="AP1" i="22" s="1"/>
  <c r="AQ1" i="22" s="1"/>
  <c r="AR1" i="22" s="1"/>
  <c r="AS1" i="22" s="1"/>
  <c r="AT1" i="22" s="1"/>
  <c r="AU1" i="22" s="1"/>
  <c r="AV1" i="22" s="1"/>
  <c r="AW1" i="22" s="1"/>
  <c r="AX1" i="22" s="1"/>
  <c r="AY1" i="22" s="1"/>
  <c r="AF11" i="21"/>
  <c r="AG11" i="21" s="1"/>
  <c r="AH11" i="21" s="1"/>
  <c r="AI11" i="21" s="1"/>
  <c r="AJ11" i="21" s="1"/>
  <c r="AK11" i="21" s="1"/>
  <c r="AL11" i="21" s="1"/>
  <c r="AM11" i="21" s="1"/>
  <c r="AN11" i="21" s="1"/>
  <c r="AO11" i="21" s="1"/>
  <c r="AP11" i="21" s="1"/>
  <c r="AQ11" i="21" s="1"/>
  <c r="AR11" i="21" s="1"/>
  <c r="AS11" i="21" s="1"/>
  <c r="AT11" i="21" s="1"/>
  <c r="AU11" i="21" s="1"/>
  <c r="AV11" i="21" s="1"/>
  <c r="AW11" i="21" s="1"/>
  <c r="AX11" i="21" s="1"/>
  <c r="AY11" i="21" s="1"/>
  <c r="AF10" i="21"/>
  <c r="AG10" i="21" s="1"/>
  <c r="AH10" i="21" s="1"/>
  <c r="AI10" i="21" s="1"/>
  <c r="AJ10" i="21" s="1"/>
  <c r="AK10" i="21" s="1"/>
  <c r="AL10" i="21" s="1"/>
  <c r="AM10" i="21" s="1"/>
  <c r="AN10" i="21" s="1"/>
  <c r="AO10" i="21" s="1"/>
  <c r="AP10" i="21" s="1"/>
  <c r="AQ10" i="21" s="1"/>
  <c r="AR10" i="21" s="1"/>
  <c r="AS10" i="21" s="1"/>
  <c r="AT10" i="21" s="1"/>
  <c r="AU10" i="21" s="1"/>
  <c r="AV10" i="21" s="1"/>
  <c r="AW10" i="21" s="1"/>
  <c r="AX10" i="21" s="1"/>
  <c r="AY10" i="21" s="1"/>
  <c r="AF9" i="21"/>
  <c r="AG9" i="21" s="1"/>
  <c r="AH9" i="21" s="1"/>
  <c r="AI9" i="21" s="1"/>
  <c r="AJ9" i="21" s="1"/>
  <c r="AK9" i="21" s="1"/>
  <c r="AL9" i="21" s="1"/>
  <c r="AM9" i="21" s="1"/>
  <c r="AN9" i="21" s="1"/>
  <c r="AO9" i="21" s="1"/>
  <c r="AP9" i="21" s="1"/>
  <c r="AQ9" i="21" s="1"/>
  <c r="AR9" i="21" s="1"/>
  <c r="AS9" i="21" s="1"/>
  <c r="AT9" i="21" s="1"/>
  <c r="AU9" i="21" s="1"/>
  <c r="AV9" i="21" s="1"/>
  <c r="AW9" i="21" s="1"/>
  <c r="AX9" i="21" s="1"/>
  <c r="AY9" i="21" s="1"/>
  <c r="AF8" i="21"/>
  <c r="AG8" i="21" s="1"/>
  <c r="AH8" i="21" s="1"/>
  <c r="AI8" i="21" s="1"/>
  <c r="AJ8" i="21" s="1"/>
  <c r="AK8" i="21" s="1"/>
  <c r="AL8" i="21" s="1"/>
  <c r="AM8" i="21" s="1"/>
  <c r="AN8" i="21" s="1"/>
  <c r="AO8" i="21" s="1"/>
  <c r="AP8" i="21" s="1"/>
  <c r="AQ8" i="21" s="1"/>
  <c r="AR8" i="21" s="1"/>
  <c r="AS8" i="21" s="1"/>
  <c r="AT8" i="21" s="1"/>
  <c r="AU8" i="21" s="1"/>
  <c r="AV8" i="21" s="1"/>
  <c r="AW8" i="21" s="1"/>
  <c r="AX8" i="21" s="1"/>
  <c r="AY8" i="21" s="1"/>
  <c r="AF7" i="21"/>
  <c r="AG7" i="21" s="1"/>
  <c r="AH7" i="21" s="1"/>
  <c r="AI7" i="21" s="1"/>
  <c r="AJ7" i="21" s="1"/>
  <c r="AK7" i="21" s="1"/>
  <c r="AL7" i="21" s="1"/>
  <c r="AM7" i="21" s="1"/>
  <c r="AN7" i="21" s="1"/>
  <c r="AO7" i="21" s="1"/>
  <c r="AP7" i="21" s="1"/>
  <c r="AQ7" i="21" s="1"/>
  <c r="AR7" i="21" s="1"/>
  <c r="AS7" i="21" s="1"/>
  <c r="AT7" i="21" s="1"/>
  <c r="AU7" i="21" s="1"/>
  <c r="AV7" i="21" s="1"/>
  <c r="AW7" i="21" s="1"/>
  <c r="AX7" i="21" s="1"/>
  <c r="AY7" i="21" s="1"/>
  <c r="AF6" i="21"/>
  <c r="AG6" i="21" s="1"/>
  <c r="AH6" i="21" s="1"/>
  <c r="AI6" i="21" s="1"/>
  <c r="AJ6" i="21" s="1"/>
  <c r="AK6" i="21" s="1"/>
  <c r="AL6" i="21" s="1"/>
  <c r="AM6" i="21" s="1"/>
  <c r="AN6" i="21" s="1"/>
  <c r="AO6" i="21" s="1"/>
  <c r="AP6" i="21" s="1"/>
  <c r="AQ6" i="21" s="1"/>
  <c r="AR6" i="21" s="1"/>
  <c r="AS6" i="21" s="1"/>
  <c r="AT6" i="21" s="1"/>
  <c r="AU6" i="21" s="1"/>
  <c r="AV6" i="21" s="1"/>
  <c r="AW6" i="21" s="1"/>
  <c r="AX6" i="21" s="1"/>
  <c r="AY6" i="21" s="1"/>
  <c r="AF5" i="21"/>
  <c r="AG5" i="21" s="1"/>
  <c r="AH5" i="21" s="1"/>
  <c r="AI5" i="21" s="1"/>
  <c r="AJ5" i="21" s="1"/>
  <c r="AK5" i="21" s="1"/>
  <c r="AL5" i="21" s="1"/>
  <c r="AM5" i="21" s="1"/>
  <c r="AN5" i="21" s="1"/>
  <c r="AO5" i="21" s="1"/>
  <c r="AP5" i="21" s="1"/>
  <c r="AQ5" i="21" s="1"/>
  <c r="AR5" i="21" s="1"/>
  <c r="AS5" i="21" s="1"/>
  <c r="AT5" i="21" s="1"/>
  <c r="AU5" i="21" s="1"/>
  <c r="AV5" i="21" s="1"/>
  <c r="AW5" i="21" s="1"/>
  <c r="AX5" i="21" s="1"/>
  <c r="AY5" i="21" s="1"/>
  <c r="AF4" i="21"/>
  <c r="AG4" i="21" s="1"/>
  <c r="AH4" i="21" s="1"/>
  <c r="AI4" i="21" s="1"/>
  <c r="AJ4" i="21" s="1"/>
  <c r="AK4" i="21" s="1"/>
  <c r="AL4" i="21" s="1"/>
  <c r="AM4" i="21" s="1"/>
  <c r="AN4" i="21" s="1"/>
  <c r="AO4" i="21" s="1"/>
  <c r="AP4" i="21" s="1"/>
  <c r="AQ4" i="21" s="1"/>
  <c r="AR4" i="21" s="1"/>
  <c r="AS4" i="21" s="1"/>
  <c r="AT4" i="21" s="1"/>
  <c r="AU4" i="21" s="1"/>
  <c r="AV4" i="21" s="1"/>
  <c r="AW4" i="21" s="1"/>
  <c r="AX4" i="21" s="1"/>
  <c r="AY4" i="21" s="1"/>
  <c r="AF3" i="21"/>
  <c r="AG3" i="21" s="1"/>
  <c r="AH3" i="21" s="1"/>
  <c r="AI3" i="21" s="1"/>
  <c r="AJ3" i="21" s="1"/>
  <c r="AK3" i="21" s="1"/>
  <c r="AL3" i="21" s="1"/>
  <c r="AM3" i="21" s="1"/>
  <c r="AN3" i="21" s="1"/>
  <c r="AO3" i="21" s="1"/>
  <c r="AP3" i="21" s="1"/>
  <c r="AQ3" i="21" s="1"/>
  <c r="AR3" i="21" s="1"/>
  <c r="AS3" i="21" s="1"/>
  <c r="AT3" i="21" s="1"/>
  <c r="AU3" i="21" s="1"/>
  <c r="AV3" i="21" s="1"/>
  <c r="AW3" i="21" s="1"/>
  <c r="AX3" i="21" s="1"/>
  <c r="AY3" i="21" s="1"/>
  <c r="AF2" i="21"/>
  <c r="AG2" i="21" s="1"/>
  <c r="AH2" i="21" s="1"/>
  <c r="AI2" i="21" s="1"/>
  <c r="AJ2" i="21" s="1"/>
  <c r="AK2" i="21" s="1"/>
  <c r="AL2" i="21" s="1"/>
  <c r="AM2" i="21" s="1"/>
  <c r="AN2" i="21" s="1"/>
  <c r="AO2" i="21" s="1"/>
  <c r="AP2" i="21" s="1"/>
  <c r="AQ2" i="21" s="1"/>
  <c r="AR2" i="21" s="1"/>
  <c r="AS2" i="21" s="1"/>
  <c r="AT2" i="21" s="1"/>
  <c r="AU2" i="21" s="1"/>
  <c r="AV2" i="21" s="1"/>
  <c r="AW2" i="21" s="1"/>
  <c r="AX2" i="21" s="1"/>
  <c r="AY2" i="21" s="1"/>
  <c r="AF1" i="21"/>
  <c r="AG1" i="21" s="1"/>
  <c r="AH1" i="21" s="1"/>
  <c r="AI1" i="21" s="1"/>
  <c r="AJ1" i="21" s="1"/>
  <c r="AK1" i="21" s="1"/>
  <c r="AL1" i="21" s="1"/>
  <c r="AM1" i="21" s="1"/>
  <c r="AN1" i="21" s="1"/>
  <c r="AO1" i="21" s="1"/>
  <c r="AP1" i="21" s="1"/>
  <c r="AQ1" i="21" s="1"/>
  <c r="AR1" i="21" s="1"/>
  <c r="AS1" i="21" s="1"/>
  <c r="AT1" i="21" s="1"/>
  <c r="AU1" i="21" s="1"/>
  <c r="AV1" i="21" s="1"/>
  <c r="AW1" i="21" s="1"/>
  <c r="AX1" i="21" s="1"/>
  <c r="AY1" i="21" s="1"/>
  <c r="AF11" i="20"/>
  <c r="AG11" i="20" s="1"/>
  <c r="AH11" i="20" s="1"/>
  <c r="AI11" i="20" s="1"/>
  <c r="AJ11" i="20" s="1"/>
  <c r="AK11" i="20" s="1"/>
  <c r="AL11" i="20" s="1"/>
  <c r="AM11" i="20" s="1"/>
  <c r="AN11" i="20" s="1"/>
  <c r="AO11" i="20" s="1"/>
  <c r="AP11" i="20" s="1"/>
  <c r="AQ11" i="20" s="1"/>
  <c r="AR11" i="20" s="1"/>
  <c r="AS11" i="20" s="1"/>
  <c r="AT11" i="20" s="1"/>
  <c r="AU11" i="20" s="1"/>
  <c r="AV11" i="20" s="1"/>
  <c r="AW11" i="20" s="1"/>
  <c r="AX11" i="20" s="1"/>
  <c r="AY11" i="20" s="1"/>
  <c r="AF10" i="20"/>
  <c r="AG10" i="20" s="1"/>
  <c r="AH10" i="20" s="1"/>
  <c r="AI10" i="20" s="1"/>
  <c r="AJ10" i="20" s="1"/>
  <c r="AK10" i="20" s="1"/>
  <c r="AL10" i="20" s="1"/>
  <c r="AM10" i="20" s="1"/>
  <c r="AN10" i="20" s="1"/>
  <c r="AO10" i="20" s="1"/>
  <c r="AP10" i="20" s="1"/>
  <c r="AQ10" i="20" s="1"/>
  <c r="AR10" i="20" s="1"/>
  <c r="AS10" i="20" s="1"/>
  <c r="AT10" i="20" s="1"/>
  <c r="AU10" i="20" s="1"/>
  <c r="AV10" i="20" s="1"/>
  <c r="AW10" i="20" s="1"/>
  <c r="AX10" i="20" s="1"/>
  <c r="AY10" i="20" s="1"/>
  <c r="AF9" i="20"/>
  <c r="AG9" i="20" s="1"/>
  <c r="AH9" i="20" s="1"/>
  <c r="AI9" i="20" s="1"/>
  <c r="AJ9" i="20" s="1"/>
  <c r="AK9" i="20" s="1"/>
  <c r="AL9" i="20" s="1"/>
  <c r="AM9" i="20" s="1"/>
  <c r="AN9" i="20" s="1"/>
  <c r="AO9" i="20" s="1"/>
  <c r="AP9" i="20" s="1"/>
  <c r="AQ9" i="20" s="1"/>
  <c r="AR9" i="20" s="1"/>
  <c r="AS9" i="20" s="1"/>
  <c r="AT9" i="20" s="1"/>
  <c r="AU9" i="20" s="1"/>
  <c r="AV9" i="20" s="1"/>
  <c r="AW9" i="20" s="1"/>
  <c r="AX9" i="20" s="1"/>
  <c r="AY9" i="20" s="1"/>
  <c r="AF8" i="20"/>
  <c r="AG8" i="20" s="1"/>
  <c r="AH8" i="20" s="1"/>
  <c r="AI8" i="20" s="1"/>
  <c r="AJ8" i="20" s="1"/>
  <c r="AK8" i="20" s="1"/>
  <c r="AL8" i="20" s="1"/>
  <c r="AM8" i="20" s="1"/>
  <c r="AN8" i="20" s="1"/>
  <c r="AO8" i="20" s="1"/>
  <c r="AP8" i="20" s="1"/>
  <c r="AQ8" i="20" s="1"/>
  <c r="AR8" i="20" s="1"/>
  <c r="AS8" i="20" s="1"/>
  <c r="AT8" i="20" s="1"/>
  <c r="AU8" i="20" s="1"/>
  <c r="AV8" i="20" s="1"/>
  <c r="AW8" i="20" s="1"/>
  <c r="AX8" i="20" s="1"/>
  <c r="AY8" i="20" s="1"/>
  <c r="AF7" i="20"/>
  <c r="AG7" i="20" s="1"/>
  <c r="AH7" i="20" s="1"/>
  <c r="AI7" i="20" s="1"/>
  <c r="AJ7" i="20" s="1"/>
  <c r="AK7" i="20" s="1"/>
  <c r="AL7" i="20" s="1"/>
  <c r="AM7" i="20" s="1"/>
  <c r="AN7" i="20" s="1"/>
  <c r="AO7" i="20" s="1"/>
  <c r="AP7" i="20" s="1"/>
  <c r="AQ7" i="20" s="1"/>
  <c r="AR7" i="20" s="1"/>
  <c r="AS7" i="20" s="1"/>
  <c r="AT7" i="20" s="1"/>
  <c r="AU7" i="20" s="1"/>
  <c r="AV7" i="20" s="1"/>
  <c r="AW7" i="20" s="1"/>
  <c r="AX7" i="20" s="1"/>
  <c r="AY7" i="20" s="1"/>
  <c r="AF6" i="20"/>
  <c r="AG6" i="20" s="1"/>
  <c r="AH6" i="20" s="1"/>
  <c r="AI6" i="20" s="1"/>
  <c r="AJ6" i="20" s="1"/>
  <c r="AK6" i="20" s="1"/>
  <c r="AL6" i="20" s="1"/>
  <c r="AM6" i="20" s="1"/>
  <c r="AN6" i="20" s="1"/>
  <c r="AO6" i="20" s="1"/>
  <c r="AP6" i="20" s="1"/>
  <c r="AQ6" i="20" s="1"/>
  <c r="AR6" i="20" s="1"/>
  <c r="AS6" i="20" s="1"/>
  <c r="AT6" i="20" s="1"/>
  <c r="AU6" i="20" s="1"/>
  <c r="AV6" i="20" s="1"/>
  <c r="AW6" i="20" s="1"/>
  <c r="AX6" i="20" s="1"/>
  <c r="AY6" i="20" s="1"/>
  <c r="AF5" i="20"/>
  <c r="AG5" i="20" s="1"/>
  <c r="AH5" i="20" s="1"/>
  <c r="AI5" i="20" s="1"/>
  <c r="AJ5" i="20" s="1"/>
  <c r="AK5" i="20" s="1"/>
  <c r="AL5" i="20" s="1"/>
  <c r="AM5" i="20" s="1"/>
  <c r="AN5" i="20" s="1"/>
  <c r="AO5" i="20" s="1"/>
  <c r="AP5" i="20" s="1"/>
  <c r="AQ5" i="20" s="1"/>
  <c r="AR5" i="20" s="1"/>
  <c r="AS5" i="20" s="1"/>
  <c r="AT5" i="20" s="1"/>
  <c r="AU5" i="20" s="1"/>
  <c r="AV5" i="20" s="1"/>
  <c r="AW5" i="20" s="1"/>
  <c r="AX5" i="20" s="1"/>
  <c r="AY5" i="20" s="1"/>
  <c r="AF4" i="20"/>
  <c r="AG4" i="20" s="1"/>
  <c r="AH4" i="20" s="1"/>
  <c r="AI4" i="20" s="1"/>
  <c r="AJ4" i="20" s="1"/>
  <c r="AK4" i="20" s="1"/>
  <c r="AL4" i="20" s="1"/>
  <c r="AM4" i="20" s="1"/>
  <c r="AN4" i="20" s="1"/>
  <c r="AO4" i="20" s="1"/>
  <c r="AP4" i="20" s="1"/>
  <c r="AQ4" i="20" s="1"/>
  <c r="AR4" i="20" s="1"/>
  <c r="AS4" i="20" s="1"/>
  <c r="AT4" i="20" s="1"/>
  <c r="AU4" i="20" s="1"/>
  <c r="AV4" i="20" s="1"/>
  <c r="AW4" i="20" s="1"/>
  <c r="AX4" i="20" s="1"/>
  <c r="AY4" i="20" s="1"/>
  <c r="AF3" i="20"/>
  <c r="AG3" i="20" s="1"/>
  <c r="AH3" i="20" s="1"/>
  <c r="AI3" i="20" s="1"/>
  <c r="AJ3" i="20" s="1"/>
  <c r="AK3" i="20" s="1"/>
  <c r="AL3" i="20" s="1"/>
  <c r="AM3" i="20" s="1"/>
  <c r="AN3" i="20" s="1"/>
  <c r="AO3" i="20" s="1"/>
  <c r="AP3" i="20" s="1"/>
  <c r="AQ3" i="20" s="1"/>
  <c r="AR3" i="20" s="1"/>
  <c r="AS3" i="20" s="1"/>
  <c r="AT3" i="20" s="1"/>
  <c r="AU3" i="20" s="1"/>
  <c r="AV3" i="20" s="1"/>
  <c r="AW3" i="20" s="1"/>
  <c r="AX3" i="20" s="1"/>
  <c r="AY3" i="20" s="1"/>
  <c r="AF2" i="20"/>
  <c r="AG2" i="20" s="1"/>
  <c r="AH2" i="20" s="1"/>
  <c r="AI2" i="20" s="1"/>
  <c r="AJ2" i="20" s="1"/>
  <c r="AK2" i="20" s="1"/>
  <c r="AL2" i="20" s="1"/>
  <c r="AM2" i="20" s="1"/>
  <c r="AN2" i="20" s="1"/>
  <c r="AO2" i="20" s="1"/>
  <c r="AP2" i="20" s="1"/>
  <c r="AQ2" i="20" s="1"/>
  <c r="AR2" i="20" s="1"/>
  <c r="AS2" i="20" s="1"/>
  <c r="AT2" i="20" s="1"/>
  <c r="AU2" i="20" s="1"/>
  <c r="AV2" i="20" s="1"/>
  <c r="AW2" i="20" s="1"/>
  <c r="AX2" i="20" s="1"/>
  <c r="AY2" i="20" s="1"/>
  <c r="AF1" i="20"/>
  <c r="AG1" i="20" s="1"/>
  <c r="AH1" i="20" s="1"/>
  <c r="AI1" i="20" s="1"/>
  <c r="AJ1" i="20" s="1"/>
  <c r="AK1" i="20" s="1"/>
  <c r="AL1" i="20" s="1"/>
  <c r="AM1" i="20" s="1"/>
  <c r="AN1" i="20" s="1"/>
  <c r="AO1" i="20" s="1"/>
  <c r="AP1" i="20" s="1"/>
  <c r="AQ1" i="20" s="1"/>
  <c r="AR1" i="20" s="1"/>
  <c r="AS1" i="20" s="1"/>
  <c r="AT1" i="20" s="1"/>
  <c r="AU1" i="20" s="1"/>
  <c r="AV1" i="20" s="1"/>
  <c r="AW1" i="20" s="1"/>
  <c r="AX1" i="20" s="1"/>
  <c r="AY1" i="20" s="1"/>
  <c r="AF11" i="19"/>
  <c r="AG11" i="19" s="1"/>
  <c r="AH11" i="19" s="1"/>
  <c r="AI11" i="19" s="1"/>
  <c r="AJ11" i="19" s="1"/>
  <c r="AK11" i="19" s="1"/>
  <c r="AL11" i="19" s="1"/>
  <c r="AM11" i="19" s="1"/>
  <c r="AN11" i="19" s="1"/>
  <c r="AO11" i="19" s="1"/>
  <c r="AP11" i="19" s="1"/>
  <c r="AQ11" i="19" s="1"/>
  <c r="AR11" i="19" s="1"/>
  <c r="AS11" i="19" s="1"/>
  <c r="AT11" i="19" s="1"/>
  <c r="AU11" i="19" s="1"/>
  <c r="AV11" i="19" s="1"/>
  <c r="AW11" i="19" s="1"/>
  <c r="AX11" i="19" s="1"/>
  <c r="AY11" i="19" s="1"/>
  <c r="AF10" i="19"/>
  <c r="AG10" i="19" s="1"/>
  <c r="AH10" i="19" s="1"/>
  <c r="AI10" i="19" s="1"/>
  <c r="AJ10" i="19" s="1"/>
  <c r="AK10" i="19" s="1"/>
  <c r="AL10" i="19" s="1"/>
  <c r="AM10" i="19" s="1"/>
  <c r="AN10" i="19" s="1"/>
  <c r="AO10" i="19" s="1"/>
  <c r="AP10" i="19" s="1"/>
  <c r="AQ10" i="19" s="1"/>
  <c r="AR10" i="19" s="1"/>
  <c r="AS10" i="19" s="1"/>
  <c r="AT10" i="19" s="1"/>
  <c r="AU10" i="19" s="1"/>
  <c r="AV10" i="19" s="1"/>
  <c r="AW10" i="19" s="1"/>
  <c r="AX10" i="19" s="1"/>
  <c r="AY10" i="19" s="1"/>
  <c r="AF9" i="19"/>
  <c r="AG9" i="19" s="1"/>
  <c r="AH9" i="19" s="1"/>
  <c r="AI9" i="19" s="1"/>
  <c r="AJ9" i="19" s="1"/>
  <c r="AK9" i="19" s="1"/>
  <c r="AL9" i="19" s="1"/>
  <c r="AM9" i="19" s="1"/>
  <c r="AN9" i="19" s="1"/>
  <c r="AO9" i="19" s="1"/>
  <c r="AP9" i="19" s="1"/>
  <c r="AQ9" i="19" s="1"/>
  <c r="AR9" i="19" s="1"/>
  <c r="AS9" i="19" s="1"/>
  <c r="AT9" i="19" s="1"/>
  <c r="AU9" i="19" s="1"/>
  <c r="AV9" i="19" s="1"/>
  <c r="AW9" i="19" s="1"/>
  <c r="AX9" i="19" s="1"/>
  <c r="AY9" i="19" s="1"/>
  <c r="AF8" i="19"/>
  <c r="AG8" i="19" s="1"/>
  <c r="AH8" i="19" s="1"/>
  <c r="AI8" i="19" s="1"/>
  <c r="AJ8" i="19" s="1"/>
  <c r="AK8" i="19" s="1"/>
  <c r="AL8" i="19" s="1"/>
  <c r="AM8" i="19" s="1"/>
  <c r="AN8" i="19" s="1"/>
  <c r="AO8" i="19" s="1"/>
  <c r="AP8" i="19" s="1"/>
  <c r="AQ8" i="19" s="1"/>
  <c r="AR8" i="19" s="1"/>
  <c r="AS8" i="19" s="1"/>
  <c r="AT8" i="19" s="1"/>
  <c r="AU8" i="19" s="1"/>
  <c r="AV8" i="19" s="1"/>
  <c r="AW8" i="19" s="1"/>
  <c r="AX8" i="19" s="1"/>
  <c r="AY8" i="19" s="1"/>
  <c r="AF7" i="19"/>
  <c r="AG7" i="19" s="1"/>
  <c r="AH7" i="19" s="1"/>
  <c r="AI7" i="19" s="1"/>
  <c r="AJ7" i="19" s="1"/>
  <c r="AK7" i="19" s="1"/>
  <c r="AL7" i="19" s="1"/>
  <c r="AM7" i="19" s="1"/>
  <c r="AN7" i="19" s="1"/>
  <c r="AO7" i="19" s="1"/>
  <c r="AP7" i="19" s="1"/>
  <c r="AQ7" i="19" s="1"/>
  <c r="AR7" i="19" s="1"/>
  <c r="AS7" i="19" s="1"/>
  <c r="AT7" i="19" s="1"/>
  <c r="AU7" i="19" s="1"/>
  <c r="AV7" i="19" s="1"/>
  <c r="AW7" i="19" s="1"/>
  <c r="AX7" i="19" s="1"/>
  <c r="AY7" i="19" s="1"/>
  <c r="AF6" i="19"/>
  <c r="AG6" i="19" s="1"/>
  <c r="AH6" i="19" s="1"/>
  <c r="AI6" i="19" s="1"/>
  <c r="AJ6" i="19" s="1"/>
  <c r="AK6" i="19" s="1"/>
  <c r="AL6" i="19" s="1"/>
  <c r="AM6" i="19" s="1"/>
  <c r="AN6" i="19" s="1"/>
  <c r="AO6" i="19" s="1"/>
  <c r="AP6" i="19" s="1"/>
  <c r="AQ6" i="19" s="1"/>
  <c r="AR6" i="19" s="1"/>
  <c r="AS6" i="19" s="1"/>
  <c r="AT6" i="19" s="1"/>
  <c r="AU6" i="19" s="1"/>
  <c r="AV6" i="19" s="1"/>
  <c r="AW6" i="19" s="1"/>
  <c r="AX6" i="19" s="1"/>
  <c r="AY6" i="19" s="1"/>
  <c r="AF5" i="19"/>
  <c r="AG5" i="19" s="1"/>
  <c r="AH5" i="19" s="1"/>
  <c r="AI5" i="19" s="1"/>
  <c r="AJ5" i="19" s="1"/>
  <c r="AK5" i="19" s="1"/>
  <c r="AL5" i="19" s="1"/>
  <c r="AM5" i="19" s="1"/>
  <c r="AN5" i="19" s="1"/>
  <c r="AO5" i="19" s="1"/>
  <c r="AP5" i="19" s="1"/>
  <c r="AQ5" i="19" s="1"/>
  <c r="AR5" i="19" s="1"/>
  <c r="AS5" i="19" s="1"/>
  <c r="AT5" i="19" s="1"/>
  <c r="AU5" i="19" s="1"/>
  <c r="AV5" i="19" s="1"/>
  <c r="AW5" i="19" s="1"/>
  <c r="AX5" i="19" s="1"/>
  <c r="AY5" i="19" s="1"/>
  <c r="AF4" i="19"/>
  <c r="AG4" i="19" s="1"/>
  <c r="AH4" i="19" s="1"/>
  <c r="AI4" i="19" s="1"/>
  <c r="AJ4" i="19" s="1"/>
  <c r="AK4" i="19" s="1"/>
  <c r="AL4" i="19" s="1"/>
  <c r="AM4" i="19" s="1"/>
  <c r="AN4" i="19" s="1"/>
  <c r="AO4" i="19" s="1"/>
  <c r="AP4" i="19" s="1"/>
  <c r="AQ4" i="19" s="1"/>
  <c r="AR4" i="19" s="1"/>
  <c r="AS4" i="19" s="1"/>
  <c r="AT4" i="19" s="1"/>
  <c r="AU4" i="19" s="1"/>
  <c r="AV4" i="19" s="1"/>
  <c r="AW4" i="19" s="1"/>
  <c r="AX4" i="19" s="1"/>
  <c r="AY4" i="19" s="1"/>
  <c r="AF3" i="19"/>
  <c r="AG3" i="19" s="1"/>
  <c r="AH3" i="19" s="1"/>
  <c r="AI3" i="19" s="1"/>
  <c r="AJ3" i="19" s="1"/>
  <c r="AK3" i="19" s="1"/>
  <c r="AL3" i="19" s="1"/>
  <c r="AM3" i="19" s="1"/>
  <c r="AN3" i="19" s="1"/>
  <c r="AO3" i="19" s="1"/>
  <c r="AP3" i="19" s="1"/>
  <c r="AQ3" i="19" s="1"/>
  <c r="AR3" i="19" s="1"/>
  <c r="AS3" i="19" s="1"/>
  <c r="AT3" i="19" s="1"/>
  <c r="AU3" i="19" s="1"/>
  <c r="AV3" i="19" s="1"/>
  <c r="AW3" i="19" s="1"/>
  <c r="AX3" i="19" s="1"/>
  <c r="AY3" i="19" s="1"/>
  <c r="AF2" i="19"/>
  <c r="AG2" i="19" s="1"/>
  <c r="AH2" i="19" s="1"/>
  <c r="AI2" i="19" s="1"/>
  <c r="AJ2" i="19" s="1"/>
  <c r="AK2" i="19" s="1"/>
  <c r="AL2" i="19" s="1"/>
  <c r="AM2" i="19" s="1"/>
  <c r="AN2" i="19" s="1"/>
  <c r="AO2" i="19" s="1"/>
  <c r="AP2" i="19" s="1"/>
  <c r="AQ2" i="19" s="1"/>
  <c r="AR2" i="19" s="1"/>
  <c r="AS2" i="19" s="1"/>
  <c r="AT2" i="19" s="1"/>
  <c r="AU2" i="19" s="1"/>
  <c r="AV2" i="19" s="1"/>
  <c r="AW2" i="19" s="1"/>
  <c r="AX2" i="19" s="1"/>
  <c r="AY2" i="19" s="1"/>
  <c r="AF1" i="19"/>
  <c r="AG1" i="19" s="1"/>
  <c r="AH1" i="19" s="1"/>
  <c r="AI1" i="19" s="1"/>
  <c r="AJ1" i="19" s="1"/>
  <c r="AK1" i="19" s="1"/>
  <c r="AL1" i="19" s="1"/>
  <c r="AM1" i="19" s="1"/>
  <c r="AN1" i="19" s="1"/>
  <c r="AO1" i="19" s="1"/>
  <c r="AP1" i="19" s="1"/>
  <c r="AQ1" i="19" s="1"/>
  <c r="AR1" i="19" s="1"/>
  <c r="AS1" i="19" s="1"/>
  <c r="AT1" i="19" s="1"/>
  <c r="AU1" i="19" s="1"/>
  <c r="AV1" i="19" s="1"/>
  <c r="AW1" i="19" s="1"/>
  <c r="AX1" i="19" s="1"/>
  <c r="AY1" i="19" s="1"/>
  <c r="AF11" i="53"/>
  <c r="AG11" i="53" s="1"/>
  <c r="AH11" i="53" s="1"/>
  <c r="AI11" i="53" s="1"/>
  <c r="AJ11" i="53" s="1"/>
  <c r="AK11" i="53" s="1"/>
  <c r="AL11" i="53" s="1"/>
  <c r="AM11" i="53" s="1"/>
  <c r="AN11" i="53" s="1"/>
  <c r="AO11" i="53" s="1"/>
  <c r="AP11" i="53" s="1"/>
  <c r="AQ11" i="53" s="1"/>
  <c r="AR11" i="53" s="1"/>
  <c r="AS11" i="53" s="1"/>
  <c r="AT11" i="53" s="1"/>
  <c r="AU11" i="53" s="1"/>
  <c r="AV11" i="53" s="1"/>
  <c r="AW11" i="53" s="1"/>
  <c r="AX11" i="53" s="1"/>
  <c r="AY11" i="53" s="1"/>
  <c r="AF10" i="53"/>
  <c r="AG10" i="53" s="1"/>
  <c r="AH10" i="53" s="1"/>
  <c r="AI10" i="53" s="1"/>
  <c r="AJ10" i="53" s="1"/>
  <c r="AK10" i="53" s="1"/>
  <c r="AL10" i="53" s="1"/>
  <c r="AM10" i="53" s="1"/>
  <c r="AN10" i="53" s="1"/>
  <c r="AO10" i="53" s="1"/>
  <c r="AP10" i="53" s="1"/>
  <c r="AQ10" i="53" s="1"/>
  <c r="AR10" i="53" s="1"/>
  <c r="AS10" i="53" s="1"/>
  <c r="AT10" i="53" s="1"/>
  <c r="AU10" i="53" s="1"/>
  <c r="AV10" i="53" s="1"/>
  <c r="AW10" i="53" s="1"/>
  <c r="AX10" i="53" s="1"/>
  <c r="AY10" i="53" s="1"/>
  <c r="AF9" i="53"/>
  <c r="AG9" i="53" s="1"/>
  <c r="AH9" i="53" s="1"/>
  <c r="AI9" i="53" s="1"/>
  <c r="AJ9" i="53" s="1"/>
  <c r="AK9" i="53" s="1"/>
  <c r="AL9" i="53" s="1"/>
  <c r="AM9" i="53" s="1"/>
  <c r="AN9" i="53" s="1"/>
  <c r="AO9" i="53" s="1"/>
  <c r="AP9" i="53" s="1"/>
  <c r="AQ9" i="53" s="1"/>
  <c r="AR9" i="53" s="1"/>
  <c r="AS9" i="53" s="1"/>
  <c r="AT9" i="53" s="1"/>
  <c r="AU9" i="53" s="1"/>
  <c r="AV9" i="53" s="1"/>
  <c r="AW9" i="53" s="1"/>
  <c r="AX9" i="53" s="1"/>
  <c r="AY9" i="53" s="1"/>
  <c r="AF8" i="53"/>
  <c r="AG8" i="53" s="1"/>
  <c r="AH8" i="53" s="1"/>
  <c r="AI8" i="53" s="1"/>
  <c r="AJ8" i="53" s="1"/>
  <c r="AK8" i="53" s="1"/>
  <c r="AL8" i="53" s="1"/>
  <c r="AM8" i="53" s="1"/>
  <c r="AN8" i="53" s="1"/>
  <c r="AO8" i="53" s="1"/>
  <c r="AP8" i="53" s="1"/>
  <c r="AQ8" i="53" s="1"/>
  <c r="AR8" i="53" s="1"/>
  <c r="AS8" i="53" s="1"/>
  <c r="AT8" i="53" s="1"/>
  <c r="AU8" i="53" s="1"/>
  <c r="AV8" i="53" s="1"/>
  <c r="AW8" i="53" s="1"/>
  <c r="AX8" i="53" s="1"/>
  <c r="AY8" i="53" s="1"/>
  <c r="AF7" i="53"/>
  <c r="AG7" i="53" s="1"/>
  <c r="AH7" i="53" s="1"/>
  <c r="AI7" i="53" s="1"/>
  <c r="AJ7" i="53" s="1"/>
  <c r="AK7" i="53" s="1"/>
  <c r="AL7" i="53" s="1"/>
  <c r="AM7" i="53" s="1"/>
  <c r="AN7" i="53" s="1"/>
  <c r="AO7" i="53" s="1"/>
  <c r="AP7" i="53" s="1"/>
  <c r="AQ7" i="53" s="1"/>
  <c r="AR7" i="53" s="1"/>
  <c r="AS7" i="53" s="1"/>
  <c r="AT7" i="53" s="1"/>
  <c r="AU7" i="53" s="1"/>
  <c r="AV7" i="53" s="1"/>
  <c r="AW7" i="53" s="1"/>
  <c r="AX7" i="53" s="1"/>
  <c r="AY7" i="53" s="1"/>
  <c r="AF6" i="53"/>
  <c r="AG6" i="53" s="1"/>
  <c r="AH6" i="53" s="1"/>
  <c r="AI6" i="53" s="1"/>
  <c r="AJ6" i="53" s="1"/>
  <c r="AK6" i="53" s="1"/>
  <c r="AL6" i="53" s="1"/>
  <c r="AM6" i="53" s="1"/>
  <c r="AN6" i="53" s="1"/>
  <c r="AO6" i="53" s="1"/>
  <c r="AP6" i="53" s="1"/>
  <c r="AQ6" i="53" s="1"/>
  <c r="AR6" i="53" s="1"/>
  <c r="AS6" i="53" s="1"/>
  <c r="AT6" i="53" s="1"/>
  <c r="AU6" i="53" s="1"/>
  <c r="AV6" i="53" s="1"/>
  <c r="AW6" i="53" s="1"/>
  <c r="AX6" i="53" s="1"/>
  <c r="AY6" i="53" s="1"/>
  <c r="AF5" i="53"/>
  <c r="AG5" i="53" s="1"/>
  <c r="AH5" i="53" s="1"/>
  <c r="AI5" i="53" s="1"/>
  <c r="AJ5" i="53" s="1"/>
  <c r="AK5" i="53" s="1"/>
  <c r="AL5" i="53" s="1"/>
  <c r="AM5" i="53" s="1"/>
  <c r="AN5" i="53" s="1"/>
  <c r="AO5" i="53" s="1"/>
  <c r="AP5" i="53" s="1"/>
  <c r="AQ5" i="53" s="1"/>
  <c r="AR5" i="53" s="1"/>
  <c r="AS5" i="53" s="1"/>
  <c r="AT5" i="53" s="1"/>
  <c r="AU5" i="53" s="1"/>
  <c r="AV5" i="53" s="1"/>
  <c r="AW5" i="53" s="1"/>
  <c r="AX5" i="53" s="1"/>
  <c r="AY5" i="53" s="1"/>
  <c r="AF4" i="53"/>
  <c r="AG4" i="53" s="1"/>
  <c r="AH4" i="53" s="1"/>
  <c r="AI4" i="53" s="1"/>
  <c r="AJ4" i="53" s="1"/>
  <c r="AK4" i="53" s="1"/>
  <c r="AL4" i="53" s="1"/>
  <c r="AM4" i="53" s="1"/>
  <c r="AN4" i="53" s="1"/>
  <c r="AO4" i="53" s="1"/>
  <c r="AP4" i="53" s="1"/>
  <c r="AQ4" i="53" s="1"/>
  <c r="AR4" i="53" s="1"/>
  <c r="AS4" i="53" s="1"/>
  <c r="AT4" i="53" s="1"/>
  <c r="AU4" i="53" s="1"/>
  <c r="AV4" i="53" s="1"/>
  <c r="AW4" i="53" s="1"/>
  <c r="AX4" i="53" s="1"/>
  <c r="AY4" i="53" s="1"/>
  <c r="AF3" i="53"/>
  <c r="AG3" i="53" s="1"/>
  <c r="AH3" i="53" s="1"/>
  <c r="AI3" i="53" s="1"/>
  <c r="AJ3" i="53" s="1"/>
  <c r="AK3" i="53" s="1"/>
  <c r="AL3" i="53" s="1"/>
  <c r="AM3" i="53" s="1"/>
  <c r="AN3" i="53" s="1"/>
  <c r="AO3" i="53" s="1"/>
  <c r="AP3" i="53" s="1"/>
  <c r="AQ3" i="53" s="1"/>
  <c r="AR3" i="53" s="1"/>
  <c r="AS3" i="53" s="1"/>
  <c r="AT3" i="53" s="1"/>
  <c r="AU3" i="53" s="1"/>
  <c r="AV3" i="53" s="1"/>
  <c r="AW3" i="53" s="1"/>
  <c r="AX3" i="53" s="1"/>
  <c r="AY3" i="53" s="1"/>
  <c r="AF2" i="53"/>
  <c r="AG2" i="53" s="1"/>
  <c r="AH2" i="53" s="1"/>
  <c r="AI2" i="53" s="1"/>
  <c r="AJ2" i="53" s="1"/>
  <c r="AK2" i="53" s="1"/>
  <c r="AL2" i="53" s="1"/>
  <c r="AM2" i="53" s="1"/>
  <c r="AN2" i="53" s="1"/>
  <c r="AO2" i="53" s="1"/>
  <c r="AP2" i="53" s="1"/>
  <c r="AQ2" i="53" s="1"/>
  <c r="AR2" i="53" s="1"/>
  <c r="AS2" i="53" s="1"/>
  <c r="AT2" i="53" s="1"/>
  <c r="AU2" i="53" s="1"/>
  <c r="AV2" i="53" s="1"/>
  <c r="AW2" i="53" s="1"/>
  <c r="AX2" i="53" s="1"/>
  <c r="AY2" i="53" s="1"/>
  <c r="AF1" i="53"/>
  <c r="AG1" i="53" s="1"/>
  <c r="AH1" i="53" s="1"/>
  <c r="AI1" i="53" s="1"/>
  <c r="AJ1" i="53" s="1"/>
  <c r="AK1" i="53" s="1"/>
  <c r="AL1" i="53" s="1"/>
  <c r="AM1" i="53" s="1"/>
  <c r="AN1" i="53" s="1"/>
  <c r="AO1" i="53" s="1"/>
  <c r="AP1" i="53" s="1"/>
  <c r="AQ1" i="53" s="1"/>
  <c r="AR1" i="53" s="1"/>
  <c r="AS1" i="53" s="1"/>
  <c r="AT1" i="53" s="1"/>
  <c r="AU1" i="53" s="1"/>
  <c r="AV1" i="53" s="1"/>
  <c r="AW1" i="53" s="1"/>
  <c r="AX1" i="53" s="1"/>
  <c r="AY1" i="53" s="1"/>
  <c r="AF11" i="52"/>
  <c r="AG11" i="52" s="1"/>
  <c r="AH11" i="52" s="1"/>
  <c r="AI11" i="52" s="1"/>
  <c r="AJ11" i="52" s="1"/>
  <c r="AK11" i="52" s="1"/>
  <c r="AL11" i="52" s="1"/>
  <c r="AM11" i="52" s="1"/>
  <c r="AN11" i="52" s="1"/>
  <c r="AO11" i="52" s="1"/>
  <c r="AP11" i="52" s="1"/>
  <c r="AQ11" i="52" s="1"/>
  <c r="AR11" i="52" s="1"/>
  <c r="AS11" i="52" s="1"/>
  <c r="AT11" i="52" s="1"/>
  <c r="AU11" i="52" s="1"/>
  <c r="AV11" i="52" s="1"/>
  <c r="AW11" i="52" s="1"/>
  <c r="AX11" i="52" s="1"/>
  <c r="AY11" i="52" s="1"/>
  <c r="AF10" i="52"/>
  <c r="AG10" i="52" s="1"/>
  <c r="AH10" i="52" s="1"/>
  <c r="AI10" i="52" s="1"/>
  <c r="AJ10" i="52" s="1"/>
  <c r="AK10" i="52" s="1"/>
  <c r="AL10" i="52" s="1"/>
  <c r="AM10" i="52" s="1"/>
  <c r="AN10" i="52" s="1"/>
  <c r="AO10" i="52" s="1"/>
  <c r="AP10" i="52" s="1"/>
  <c r="AQ10" i="52" s="1"/>
  <c r="AR10" i="52" s="1"/>
  <c r="AS10" i="52" s="1"/>
  <c r="AT10" i="52" s="1"/>
  <c r="AU10" i="52" s="1"/>
  <c r="AV10" i="52" s="1"/>
  <c r="AW10" i="52" s="1"/>
  <c r="AX10" i="52" s="1"/>
  <c r="AY10" i="52" s="1"/>
  <c r="AF9" i="52"/>
  <c r="AG9" i="52" s="1"/>
  <c r="AH9" i="52" s="1"/>
  <c r="AI9" i="52" s="1"/>
  <c r="AJ9" i="52" s="1"/>
  <c r="AK9" i="52" s="1"/>
  <c r="AL9" i="52" s="1"/>
  <c r="AM9" i="52" s="1"/>
  <c r="AN9" i="52" s="1"/>
  <c r="AO9" i="52" s="1"/>
  <c r="AP9" i="52" s="1"/>
  <c r="AQ9" i="52" s="1"/>
  <c r="AR9" i="52" s="1"/>
  <c r="AS9" i="52" s="1"/>
  <c r="AT9" i="52" s="1"/>
  <c r="AU9" i="52" s="1"/>
  <c r="AV9" i="52" s="1"/>
  <c r="AW9" i="52" s="1"/>
  <c r="AX9" i="52" s="1"/>
  <c r="AY9" i="52" s="1"/>
  <c r="AF8" i="52"/>
  <c r="AG8" i="52" s="1"/>
  <c r="AH8" i="52" s="1"/>
  <c r="AI8" i="52" s="1"/>
  <c r="AJ8" i="52" s="1"/>
  <c r="AK8" i="52" s="1"/>
  <c r="AL8" i="52" s="1"/>
  <c r="AM8" i="52" s="1"/>
  <c r="AN8" i="52" s="1"/>
  <c r="AO8" i="52" s="1"/>
  <c r="AP8" i="52" s="1"/>
  <c r="AQ8" i="52" s="1"/>
  <c r="AR8" i="52" s="1"/>
  <c r="AS8" i="52" s="1"/>
  <c r="AT8" i="52" s="1"/>
  <c r="AU8" i="52" s="1"/>
  <c r="AV8" i="52" s="1"/>
  <c r="AW8" i="52" s="1"/>
  <c r="AX8" i="52" s="1"/>
  <c r="AY8" i="52" s="1"/>
  <c r="AF7" i="52"/>
  <c r="AG7" i="52" s="1"/>
  <c r="AH7" i="52" s="1"/>
  <c r="AI7" i="52" s="1"/>
  <c r="AJ7" i="52" s="1"/>
  <c r="AK7" i="52" s="1"/>
  <c r="AL7" i="52" s="1"/>
  <c r="AM7" i="52" s="1"/>
  <c r="AN7" i="52" s="1"/>
  <c r="AO7" i="52" s="1"/>
  <c r="AP7" i="52" s="1"/>
  <c r="AQ7" i="52" s="1"/>
  <c r="AR7" i="52" s="1"/>
  <c r="AS7" i="52" s="1"/>
  <c r="AT7" i="52" s="1"/>
  <c r="AU7" i="52" s="1"/>
  <c r="AV7" i="52" s="1"/>
  <c r="AW7" i="52" s="1"/>
  <c r="AX7" i="52" s="1"/>
  <c r="AY7" i="52" s="1"/>
  <c r="AF6" i="52"/>
  <c r="AG6" i="52" s="1"/>
  <c r="AH6" i="52" s="1"/>
  <c r="AI6" i="52" s="1"/>
  <c r="AJ6" i="52" s="1"/>
  <c r="AK6" i="52" s="1"/>
  <c r="AL6" i="52" s="1"/>
  <c r="AM6" i="52" s="1"/>
  <c r="AN6" i="52" s="1"/>
  <c r="AO6" i="52" s="1"/>
  <c r="AP6" i="52" s="1"/>
  <c r="AQ6" i="52" s="1"/>
  <c r="AR6" i="52" s="1"/>
  <c r="AS6" i="52" s="1"/>
  <c r="AT6" i="52" s="1"/>
  <c r="AU6" i="52" s="1"/>
  <c r="AV6" i="52" s="1"/>
  <c r="AW6" i="52" s="1"/>
  <c r="AX6" i="52" s="1"/>
  <c r="AY6" i="52" s="1"/>
  <c r="AF5" i="52"/>
  <c r="AG5" i="52" s="1"/>
  <c r="AH5" i="52" s="1"/>
  <c r="AI5" i="52" s="1"/>
  <c r="AJ5" i="52" s="1"/>
  <c r="AK5" i="52" s="1"/>
  <c r="AL5" i="52" s="1"/>
  <c r="AM5" i="52" s="1"/>
  <c r="AN5" i="52" s="1"/>
  <c r="AO5" i="52" s="1"/>
  <c r="AP5" i="52" s="1"/>
  <c r="AQ5" i="52" s="1"/>
  <c r="AR5" i="52" s="1"/>
  <c r="AS5" i="52" s="1"/>
  <c r="AT5" i="52" s="1"/>
  <c r="AU5" i="52" s="1"/>
  <c r="AV5" i="52" s="1"/>
  <c r="AW5" i="52" s="1"/>
  <c r="AX5" i="52" s="1"/>
  <c r="AY5" i="52" s="1"/>
  <c r="AF4" i="52"/>
  <c r="AG4" i="52" s="1"/>
  <c r="AH4" i="52" s="1"/>
  <c r="AI4" i="52" s="1"/>
  <c r="AJ4" i="52" s="1"/>
  <c r="AK4" i="52" s="1"/>
  <c r="AL4" i="52" s="1"/>
  <c r="AM4" i="52" s="1"/>
  <c r="AN4" i="52" s="1"/>
  <c r="AO4" i="52" s="1"/>
  <c r="AP4" i="52" s="1"/>
  <c r="AQ4" i="52" s="1"/>
  <c r="AR4" i="52" s="1"/>
  <c r="AS4" i="52" s="1"/>
  <c r="AT4" i="52" s="1"/>
  <c r="AU4" i="52" s="1"/>
  <c r="AV4" i="52" s="1"/>
  <c r="AW4" i="52" s="1"/>
  <c r="AX4" i="52" s="1"/>
  <c r="AY4" i="52" s="1"/>
  <c r="AF3" i="52"/>
  <c r="AG3" i="52" s="1"/>
  <c r="AH3" i="52" s="1"/>
  <c r="AI3" i="52" s="1"/>
  <c r="AJ3" i="52" s="1"/>
  <c r="AK3" i="52" s="1"/>
  <c r="AL3" i="52" s="1"/>
  <c r="AM3" i="52" s="1"/>
  <c r="AN3" i="52" s="1"/>
  <c r="AO3" i="52" s="1"/>
  <c r="AP3" i="52" s="1"/>
  <c r="AQ3" i="52" s="1"/>
  <c r="AR3" i="52" s="1"/>
  <c r="AS3" i="52" s="1"/>
  <c r="AT3" i="52" s="1"/>
  <c r="AU3" i="52" s="1"/>
  <c r="AV3" i="52" s="1"/>
  <c r="AW3" i="52" s="1"/>
  <c r="AX3" i="52" s="1"/>
  <c r="AY3" i="52" s="1"/>
  <c r="AF2" i="52"/>
  <c r="AG2" i="52" s="1"/>
  <c r="AH2" i="52" s="1"/>
  <c r="AI2" i="52" s="1"/>
  <c r="AJ2" i="52" s="1"/>
  <c r="AK2" i="52" s="1"/>
  <c r="AL2" i="52" s="1"/>
  <c r="AM2" i="52" s="1"/>
  <c r="AN2" i="52" s="1"/>
  <c r="AO2" i="52" s="1"/>
  <c r="AP2" i="52" s="1"/>
  <c r="AQ2" i="52" s="1"/>
  <c r="AR2" i="52" s="1"/>
  <c r="AS2" i="52" s="1"/>
  <c r="AT2" i="52" s="1"/>
  <c r="AU2" i="52" s="1"/>
  <c r="AV2" i="52" s="1"/>
  <c r="AW2" i="52" s="1"/>
  <c r="AX2" i="52" s="1"/>
  <c r="AY2" i="52" s="1"/>
  <c r="AF1" i="52"/>
  <c r="AG1" i="52" s="1"/>
  <c r="AH1" i="52" s="1"/>
  <c r="AI1" i="52" s="1"/>
  <c r="AJ1" i="52" s="1"/>
  <c r="AK1" i="52" s="1"/>
  <c r="AL1" i="52" s="1"/>
  <c r="AM1" i="52" s="1"/>
  <c r="AN1" i="52" s="1"/>
  <c r="AO1" i="52" s="1"/>
  <c r="AP1" i="52" s="1"/>
  <c r="AQ1" i="52" s="1"/>
  <c r="AR1" i="52" s="1"/>
  <c r="AS1" i="52" s="1"/>
  <c r="AT1" i="52" s="1"/>
  <c r="AU1" i="52" s="1"/>
  <c r="AV1" i="52" s="1"/>
  <c r="AW1" i="52" s="1"/>
  <c r="AX1" i="52" s="1"/>
  <c r="AY1" i="52" s="1"/>
  <c r="AF11" i="16"/>
  <c r="AG11" i="16" s="1"/>
  <c r="AH11" i="16" s="1"/>
  <c r="AI11" i="16" s="1"/>
  <c r="AJ11" i="16" s="1"/>
  <c r="AK11" i="16" s="1"/>
  <c r="AL11" i="16" s="1"/>
  <c r="AM11" i="16" s="1"/>
  <c r="AN11" i="16" s="1"/>
  <c r="AO11" i="16" s="1"/>
  <c r="AP11" i="16" s="1"/>
  <c r="AQ11" i="16" s="1"/>
  <c r="AR11" i="16" s="1"/>
  <c r="AS11" i="16" s="1"/>
  <c r="AT11" i="16" s="1"/>
  <c r="AU11" i="16" s="1"/>
  <c r="AV11" i="16" s="1"/>
  <c r="AW11" i="16" s="1"/>
  <c r="AX11" i="16" s="1"/>
  <c r="AY11" i="16" s="1"/>
  <c r="AF10" i="16"/>
  <c r="AG10" i="16" s="1"/>
  <c r="AH10" i="16" s="1"/>
  <c r="AI10" i="16" s="1"/>
  <c r="AJ10" i="16" s="1"/>
  <c r="AK10" i="16" s="1"/>
  <c r="AL10" i="16" s="1"/>
  <c r="AM10" i="16" s="1"/>
  <c r="AN10" i="16" s="1"/>
  <c r="AO10" i="16" s="1"/>
  <c r="AP10" i="16" s="1"/>
  <c r="AQ10" i="16" s="1"/>
  <c r="AR10" i="16" s="1"/>
  <c r="AS10" i="16" s="1"/>
  <c r="AT10" i="16" s="1"/>
  <c r="AU10" i="16" s="1"/>
  <c r="AV10" i="16" s="1"/>
  <c r="AW10" i="16" s="1"/>
  <c r="AX10" i="16" s="1"/>
  <c r="AY10" i="16" s="1"/>
  <c r="AF9" i="16"/>
  <c r="AG9" i="16" s="1"/>
  <c r="AH9" i="16" s="1"/>
  <c r="AI9" i="16" s="1"/>
  <c r="AJ9" i="16" s="1"/>
  <c r="AK9" i="16" s="1"/>
  <c r="AL9" i="16" s="1"/>
  <c r="AM9" i="16" s="1"/>
  <c r="AN9" i="16" s="1"/>
  <c r="AO9" i="16" s="1"/>
  <c r="AP9" i="16" s="1"/>
  <c r="AQ9" i="16" s="1"/>
  <c r="AR9" i="16" s="1"/>
  <c r="AS9" i="16" s="1"/>
  <c r="AT9" i="16" s="1"/>
  <c r="AU9" i="16" s="1"/>
  <c r="AV9" i="16" s="1"/>
  <c r="AW9" i="16" s="1"/>
  <c r="AX9" i="16" s="1"/>
  <c r="AY9" i="16" s="1"/>
  <c r="AF8" i="16"/>
  <c r="AG8" i="16" s="1"/>
  <c r="AH8" i="16" s="1"/>
  <c r="AI8" i="16" s="1"/>
  <c r="AJ8" i="16" s="1"/>
  <c r="AK8" i="16" s="1"/>
  <c r="AL8" i="16" s="1"/>
  <c r="AM8" i="16" s="1"/>
  <c r="AN8" i="16" s="1"/>
  <c r="AO8" i="16" s="1"/>
  <c r="AP8" i="16" s="1"/>
  <c r="AQ8" i="16" s="1"/>
  <c r="AR8" i="16" s="1"/>
  <c r="AS8" i="16" s="1"/>
  <c r="AT8" i="16" s="1"/>
  <c r="AU8" i="16" s="1"/>
  <c r="AV8" i="16" s="1"/>
  <c r="AW8" i="16" s="1"/>
  <c r="AX8" i="16" s="1"/>
  <c r="AY8" i="16" s="1"/>
  <c r="AF7" i="16"/>
  <c r="AG7" i="16" s="1"/>
  <c r="AH7" i="16" s="1"/>
  <c r="AI7" i="16" s="1"/>
  <c r="AJ7" i="16" s="1"/>
  <c r="AK7" i="16" s="1"/>
  <c r="AL7" i="16" s="1"/>
  <c r="AM7" i="16" s="1"/>
  <c r="AN7" i="16" s="1"/>
  <c r="AO7" i="16" s="1"/>
  <c r="AP7" i="16" s="1"/>
  <c r="AQ7" i="16" s="1"/>
  <c r="AR7" i="16" s="1"/>
  <c r="AS7" i="16" s="1"/>
  <c r="AT7" i="16" s="1"/>
  <c r="AU7" i="16" s="1"/>
  <c r="AV7" i="16" s="1"/>
  <c r="AW7" i="16" s="1"/>
  <c r="AX7" i="16" s="1"/>
  <c r="AY7" i="16" s="1"/>
  <c r="AF6" i="16"/>
  <c r="AG6" i="16" s="1"/>
  <c r="AH6" i="16" s="1"/>
  <c r="AI6" i="16" s="1"/>
  <c r="AJ6" i="16" s="1"/>
  <c r="AK6" i="16" s="1"/>
  <c r="AL6" i="16" s="1"/>
  <c r="AM6" i="16" s="1"/>
  <c r="AN6" i="16" s="1"/>
  <c r="AO6" i="16" s="1"/>
  <c r="AP6" i="16" s="1"/>
  <c r="AQ6" i="16" s="1"/>
  <c r="AR6" i="16" s="1"/>
  <c r="AS6" i="16" s="1"/>
  <c r="AT6" i="16" s="1"/>
  <c r="AU6" i="16" s="1"/>
  <c r="AV6" i="16" s="1"/>
  <c r="AW6" i="16" s="1"/>
  <c r="AX6" i="16" s="1"/>
  <c r="AY6" i="16" s="1"/>
  <c r="AF5" i="16"/>
  <c r="AG5" i="16" s="1"/>
  <c r="AH5" i="16" s="1"/>
  <c r="AI5" i="16" s="1"/>
  <c r="AJ5" i="16" s="1"/>
  <c r="AK5" i="16" s="1"/>
  <c r="AL5" i="16" s="1"/>
  <c r="AM5" i="16" s="1"/>
  <c r="AN5" i="16" s="1"/>
  <c r="AO5" i="16" s="1"/>
  <c r="AP5" i="16" s="1"/>
  <c r="AQ5" i="16" s="1"/>
  <c r="AR5" i="16" s="1"/>
  <c r="AS5" i="16" s="1"/>
  <c r="AT5" i="16" s="1"/>
  <c r="AU5" i="16" s="1"/>
  <c r="AV5" i="16" s="1"/>
  <c r="AW5" i="16" s="1"/>
  <c r="AX5" i="16" s="1"/>
  <c r="AY5" i="16" s="1"/>
  <c r="AF4" i="16"/>
  <c r="AG4" i="16" s="1"/>
  <c r="AH4" i="16" s="1"/>
  <c r="AI4" i="16" s="1"/>
  <c r="AJ4" i="16" s="1"/>
  <c r="AK4" i="16" s="1"/>
  <c r="AL4" i="16" s="1"/>
  <c r="AM4" i="16" s="1"/>
  <c r="AN4" i="16" s="1"/>
  <c r="AO4" i="16" s="1"/>
  <c r="AP4" i="16" s="1"/>
  <c r="AQ4" i="16" s="1"/>
  <c r="AR4" i="16" s="1"/>
  <c r="AS4" i="16" s="1"/>
  <c r="AT4" i="16" s="1"/>
  <c r="AU4" i="16" s="1"/>
  <c r="AV4" i="16" s="1"/>
  <c r="AW4" i="16" s="1"/>
  <c r="AX4" i="16" s="1"/>
  <c r="AY4" i="16" s="1"/>
  <c r="AF3" i="16"/>
  <c r="AG3" i="16" s="1"/>
  <c r="AH3" i="16" s="1"/>
  <c r="AI3" i="16" s="1"/>
  <c r="AJ3" i="16" s="1"/>
  <c r="AK3" i="16" s="1"/>
  <c r="AL3" i="16" s="1"/>
  <c r="AM3" i="16" s="1"/>
  <c r="AN3" i="16" s="1"/>
  <c r="AO3" i="16" s="1"/>
  <c r="AP3" i="16" s="1"/>
  <c r="AQ3" i="16" s="1"/>
  <c r="AR3" i="16" s="1"/>
  <c r="AS3" i="16" s="1"/>
  <c r="AT3" i="16" s="1"/>
  <c r="AU3" i="16" s="1"/>
  <c r="AV3" i="16" s="1"/>
  <c r="AW3" i="16" s="1"/>
  <c r="AX3" i="16" s="1"/>
  <c r="AY3" i="16" s="1"/>
  <c r="AF2" i="16"/>
  <c r="AG2" i="16" s="1"/>
  <c r="AH2" i="16" s="1"/>
  <c r="AI2" i="16" s="1"/>
  <c r="AJ2" i="16" s="1"/>
  <c r="AK2" i="16" s="1"/>
  <c r="AL2" i="16" s="1"/>
  <c r="AM2" i="16" s="1"/>
  <c r="AN2" i="16" s="1"/>
  <c r="AO2" i="16" s="1"/>
  <c r="AP2" i="16" s="1"/>
  <c r="AQ2" i="16" s="1"/>
  <c r="AR2" i="16" s="1"/>
  <c r="AS2" i="16" s="1"/>
  <c r="AT2" i="16" s="1"/>
  <c r="AU2" i="16" s="1"/>
  <c r="AV2" i="16" s="1"/>
  <c r="AW2" i="16" s="1"/>
  <c r="AX2" i="16" s="1"/>
  <c r="AY2" i="16" s="1"/>
  <c r="AF1" i="16"/>
  <c r="AG1" i="16" s="1"/>
  <c r="AH1" i="16" s="1"/>
  <c r="AI1" i="16" s="1"/>
  <c r="AJ1" i="16" s="1"/>
  <c r="AK1" i="16" s="1"/>
  <c r="AL1" i="16" s="1"/>
  <c r="AM1" i="16" s="1"/>
  <c r="AN1" i="16" s="1"/>
  <c r="AO1" i="16" s="1"/>
  <c r="AP1" i="16" s="1"/>
  <c r="AQ1" i="16" s="1"/>
  <c r="AR1" i="16" s="1"/>
  <c r="AS1" i="16" s="1"/>
  <c r="AT1" i="16" s="1"/>
  <c r="AU1" i="16" s="1"/>
  <c r="AV1" i="16" s="1"/>
  <c r="AW1" i="16" s="1"/>
  <c r="AX1" i="16" s="1"/>
  <c r="AY1" i="16" s="1"/>
  <c r="AF11" i="15"/>
  <c r="AG11" i="15" s="1"/>
  <c r="AH11" i="15" s="1"/>
  <c r="AI11" i="15" s="1"/>
  <c r="AJ11" i="15" s="1"/>
  <c r="AK11" i="15" s="1"/>
  <c r="AL11" i="15" s="1"/>
  <c r="AM11" i="15" s="1"/>
  <c r="AN11" i="15" s="1"/>
  <c r="AO11" i="15" s="1"/>
  <c r="AP11" i="15" s="1"/>
  <c r="AQ11" i="15" s="1"/>
  <c r="AR11" i="15" s="1"/>
  <c r="AS11" i="15" s="1"/>
  <c r="AT11" i="15" s="1"/>
  <c r="AU11" i="15" s="1"/>
  <c r="AV11" i="15" s="1"/>
  <c r="AW11" i="15" s="1"/>
  <c r="AX11" i="15" s="1"/>
  <c r="AY11" i="15" s="1"/>
  <c r="AF10" i="15"/>
  <c r="AG10" i="15" s="1"/>
  <c r="AH10" i="15" s="1"/>
  <c r="AI10" i="15" s="1"/>
  <c r="AJ10" i="15" s="1"/>
  <c r="AK10" i="15" s="1"/>
  <c r="AL10" i="15" s="1"/>
  <c r="AM10" i="15" s="1"/>
  <c r="AN10" i="15" s="1"/>
  <c r="AO10" i="15" s="1"/>
  <c r="AP10" i="15" s="1"/>
  <c r="AQ10" i="15" s="1"/>
  <c r="AR10" i="15" s="1"/>
  <c r="AS10" i="15" s="1"/>
  <c r="AT10" i="15" s="1"/>
  <c r="AU10" i="15" s="1"/>
  <c r="AV10" i="15" s="1"/>
  <c r="AW10" i="15" s="1"/>
  <c r="AX10" i="15" s="1"/>
  <c r="AY10" i="15" s="1"/>
  <c r="AF9" i="15"/>
  <c r="AG9" i="15" s="1"/>
  <c r="AH9" i="15" s="1"/>
  <c r="AI9" i="15" s="1"/>
  <c r="AJ9" i="15" s="1"/>
  <c r="AK9" i="15" s="1"/>
  <c r="AL9" i="15" s="1"/>
  <c r="AM9" i="15" s="1"/>
  <c r="AN9" i="15" s="1"/>
  <c r="AO9" i="15" s="1"/>
  <c r="AP9" i="15" s="1"/>
  <c r="AQ9" i="15" s="1"/>
  <c r="AR9" i="15" s="1"/>
  <c r="AS9" i="15" s="1"/>
  <c r="AT9" i="15" s="1"/>
  <c r="AU9" i="15" s="1"/>
  <c r="AV9" i="15" s="1"/>
  <c r="AW9" i="15" s="1"/>
  <c r="AX9" i="15" s="1"/>
  <c r="AY9" i="15" s="1"/>
  <c r="AF8" i="15"/>
  <c r="AG8" i="15" s="1"/>
  <c r="AH8" i="15" s="1"/>
  <c r="AI8" i="15" s="1"/>
  <c r="AJ8" i="15" s="1"/>
  <c r="AK8" i="15" s="1"/>
  <c r="AL8" i="15" s="1"/>
  <c r="AM8" i="15" s="1"/>
  <c r="AN8" i="15" s="1"/>
  <c r="AO8" i="15" s="1"/>
  <c r="AP8" i="15" s="1"/>
  <c r="AQ8" i="15" s="1"/>
  <c r="AR8" i="15" s="1"/>
  <c r="AS8" i="15" s="1"/>
  <c r="AT8" i="15" s="1"/>
  <c r="AU8" i="15" s="1"/>
  <c r="AV8" i="15" s="1"/>
  <c r="AW8" i="15" s="1"/>
  <c r="AX8" i="15" s="1"/>
  <c r="AY8" i="15" s="1"/>
  <c r="AF7" i="15"/>
  <c r="AG7" i="15" s="1"/>
  <c r="AH7" i="15" s="1"/>
  <c r="AI7" i="15" s="1"/>
  <c r="AJ7" i="15" s="1"/>
  <c r="AK7" i="15" s="1"/>
  <c r="AL7" i="15" s="1"/>
  <c r="AM7" i="15" s="1"/>
  <c r="AN7" i="15" s="1"/>
  <c r="AO7" i="15" s="1"/>
  <c r="AP7" i="15" s="1"/>
  <c r="AQ7" i="15" s="1"/>
  <c r="AR7" i="15" s="1"/>
  <c r="AS7" i="15" s="1"/>
  <c r="AT7" i="15" s="1"/>
  <c r="AU7" i="15" s="1"/>
  <c r="AV7" i="15" s="1"/>
  <c r="AW7" i="15" s="1"/>
  <c r="AX7" i="15" s="1"/>
  <c r="AY7" i="15" s="1"/>
  <c r="AF6" i="15"/>
  <c r="AG6" i="15" s="1"/>
  <c r="AH6" i="15" s="1"/>
  <c r="AI6" i="15" s="1"/>
  <c r="AJ6" i="15" s="1"/>
  <c r="AK6" i="15" s="1"/>
  <c r="AL6" i="15" s="1"/>
  <c r="AM6" i="15" s="1"/>
  <c r="AN6" i="15" s="1"/>
  <c r="AO6" i="15" s="1"/>
  <c r="AP6" i="15" s="1"/>
  <c r="AQ6" i="15" s="1"/>
  <c r="AR6" i="15" s="1"/>
  <c r="AS6" i="15" s="1"/>
  <c r="AT6" i="15" s="1"/>
  <c r="AU6" i="15" s="1"/>
  <c r="AV6" i="15" s="1"/>
  <c r="AW6" i="15" s="1"/>
  <c r="AX6" i="15" s="1"/>
  <c r="AY6" i="15" s="1"/>
  <c r="AF5" i="15"/>
  <c r="AG5" i="15" s="1"/>
  <c r="AH5" i="15" s="1"/>
  <c r="AI5" i="15" s="1"/>
  <c r="AJ5" i="15" s="1"/>
  <c r="AK5" i="15" s="1"/>
  <c r="AL5" i="15" s="1"/>
  <c r="AM5" i="15" s="1"/>
  <c r="AN5" i="15" s="1"/>
  <c r="AO5" i="15" s="1"/>
  <c r="AP5" i="15" s="1"/>
  <c r="AQ5" i="15" s="1"/>
  <c r="AR5" i="15" s="1"/>
  <c r="AS5" i="15" s="1"/>
  <c r="AT5" i="15" s="1"/>
  <c r="AU5" i="15" s="1"/>
  <c r="AV5" i="15" s="1"/>
  <c r="AW5" i="15" s="1"/>
  <c r="AX5" i="15" s="1"/>
  <c r="AY5" i="15" s="1"/>
  <c r="AF4" i="15"/>
  <c r="AG4" i="15" s="1"/>
  <c r="AH4" i="15" s="1"/>
  <c r="AI4" i="15" s="1"/>
  <c r="AJ4" i="15" s="1"/>
  <c r="AK4" i="15" s="1"/>
  <c r="AL4" i="15" s="1"/>
  <c r="AM4" i="15" s="1"/>
  <c r="AN4" i="15" s="1"/>
  <c r="AO4" i="15" s="1"/>
  <c r="AP4" i="15" s="1"/>
  <c r="AQ4" i="15" s="1"/>
  <c r="AR4" i="15" s="1"/>
  <c r="AS4" i="15" s="1"/>
  <c r="AT4" i="15" s="1"/>
  <c r="AU4" i="15" s="1"/>
  <c r="AV4" i="15" s="1"/>
  <c r="AW4" i="15" s="1"/>
  <c r="AX4" i="15" s="1"/>
  <c r="AY4" i="15" s="1"/>
  <c r="AF3" i="15"/>
  <c r="AG3" i="15" s="1"/>
  <c r="AH3" i="15" s="1"/>
  <c r="AI3" i="15" s="1"/>
  <c r="AJ3" i="15" s="1"/>
  <c r="AK3" i="15" s="1"/>
  <c r="AL3" i="15" s="1"/>
  <c r="AM3" i="15" s="1"/>
  <c r="AN3" i="15" s="1"/>
  <c r="AO3" i="15" s="1"/>
  <c r="AP3" i="15" s="1"/>
  <c r="AQ3" i="15" s="1"/>
  <c r="AR3" i="15" s="1"/>
  <c r="AS3" i="15" s="1"/>
  <c r="AT3" i="15" s="1"/>
  <c r="AU3" i="15" s="1"/>
  <c r="AV3" i="15" s="1"/>
  <c r="AW3" i="15" s="1"/>
  <c r="AX3" i="15" s="1"/>
  <c r="AY3" i="15" s="1"/>
  <c r="AF2" i="15"/>
  <c r="AG2" i="15" s="1"/>
  <c r="AH2" i="15" s="1"/>
  <c r="AI2" i="15" s="1"/>
  <c r="AJ2" i="15" s="1"/>
  <c r="AK2" i="15" s="1"/>
  <c r="AL2" i="15" s="1"/>
  <c r="AM2" i="15" s="1"/>
  <c r="AN2" i="15" s="1"/>
  <c r="AO2" i="15" s="1"/>
  <c r="AP2" i="15" s="1"/>
  <c r="AQ2" i="15" s="1"/>
  <c r="AR2" i="15" s="1"/>
  <c r="AS2" i="15" s="1"/>
  <c r="AT2" i="15" s="1"/>
  <c r="AU2" i="15" s="1"/>
  <c r="AV2" i="15" s="1"/>
  <c r="AW2" i="15" s="1"/>
  <c r="AX2" i="15" s="1"/>
  <c r="AY2" i="15" s="1"/>
  <c r="AF1" i="15"/>
  <c r="AG1" i="15" s="1"/>
  <c r="AH1" i="15" s="1"/>
  <c r="AI1" i="15" s="1"/>
  <c r="AJ1" i="15" s="1"/>
  <c r="AK1" i="15" s="1"/>
  <c r="AL1" i="15" s="1"/>
  <c r="AM1" i="15" s="1"/>
  <c r="AN1" i="15" s="1"/>
  <c r="AO1" i="15" s="1"/>
  <c r="AP1" i="15" s="1"/>
  <c r="AQ1" i="15" s="1"/>
  <c r="AR1" i="15" s="1"/>
  <c r="AS1" i="15" s="1"/>
  <c r="AT1" i="15" s="1"/>
  <c r="AU1" i="15" s="1"/>
  <c r="AV1" i="15" s="1"/>
  <c r="AW1" i="15" s="1"/>
  <c r="AX1" i="15" s="1"/>
  <c r="AY1" i="15" s="1"/>
  <c r="AF11" i="14"/>
  <c r="AG11" i="14" s="1"/>
  <c r="AH11" i="14" s="1"/>
  <c r="AI11" i="14" s="1"/>
  <c r="AJ11" i="14" s="1"/>
  <c r="AK11" i="14" s="1"/>
  <c r="AL11" i="14" s="1"/>
  <c r="AM11" i="14" s="1"/>
  <c r="AN11" i="14" s="1"/>
  <c r="AO11" i="14" s="1"/>
  <c r="AP11" i="14" s="1"/>
  <c r="AQ11" i="14" s="1"/>
  <c r="AR11" i="14" s="1"/>
  <c r="AS11" i="14" s="1"/>
  <c r="AT11" i="14" s="1"/>
  <c r="AU11" i="14" s="1"/>
  <c r="AV11" i="14" s="1"/>
  <c r="AW11" i="14" s="1"/>
  <c r="AX11" i="14" s="1"/>
  <c r="AY11" i="14" s="1"/>
  <c r="AF10" i="14"/>
  <c r="AG10" i="14" s="1"/>
  <c r="AH10" i="14" s="1"/>
  <c r="AI10" i="14" s="1"/>
  <c r="AJ10" i="14" s="1"/>
  <c r="AK10" i="14" s="1"/>
  <c r="AL10" i="14" s="1"/>
  <c r="AM10" i="14" s="1"/>
  <c r="AN10" i="14" s="1"/>
  <c r="AO10" i="14" s="1"/>
  <c r="AP10" i="14" s="1"/>
  <c r="AQ10" i="14" s="1"/>
  <c r="AR10" i="14" s="1"/>
  <c r="AS10" i="14" s="1"/>
  <c r="AT10" i="14" s="1"/>
  <c r="AU10" i="14" s="1"/>
  <c r="AV10" i="14" s="1"/>
  <c r="AW10" i="14" s="1"/>
  <c r="AX10" i="14" s="1"/>
  <c r="AY10" i="14" s="1"/>
  <c r="AF9" i="14"/>
  <c r="AG9" i="14" s="1"/>
  <c r="AH9" i="14" s="1"/>
  <c r="AI9" i="14" s="1"/>
  <c r="AJ9" i="14" s="1"/>
  <c r="AK9" i="14" s="1"/>
  <c r="AL9" i="14" s="1"/>
  <c r="AM9" i="14" s="1"/>
  <c r="AN9" i="14" s="1"/>
  <c r="AO9" i="14" s="1"/>
  <c r="AP9" i="14" s="1"/>
  <c r="AQ9" i="14" s="1"/>
  <c r="AR9" i="14" s="1"/>
  <c r="AS9" i="14" s="1"/>
  <c r="AT9" i="14" s="1"/>
  <c r="AU9" i="14" s="1"/>
  <c r="AV9" i="14" s="1"/>
  <c r="AW9" i="14" s="1"/>
  <c r="AX9" i="14" s="1"/>
  <c r="AY9" i="14" s="1"/>
  <c r="AF8" i="14"/>
  <c r="AG8" i="14" s="1"/>
  <c r="AH8" i="14" s="1"/>
  <c r="AI8" i="14" s="1"/>
  <c r="AJ8" i="14" s="1"/>
  <c r="AK8" i="14" s="1"/>
  <c r="AL8" i="14" s="1"/>
  <c r="AM8" i="14" s="1"/>
  <c r="AN8" i="14" s="1"/>
  <c r="AO8" i="14" s="1"/>
  <c r="AP8" i="14" s="1"/>
  <c r="AQ8" i="14" s="1"/>
  <c r="AR8" i="14" s="1"/>
  <c r="AS8" i="14" s="1"/>
  <c r="AT8" i="14" s="1"/>
  <c r="AU8" i="14" s="1"/>
  <c r="AV8" i="14" s="1"/>
  <c r="AW8" i="14" s="1"/>
  <c r="AX8" i="14" s="1"/>
  <c r="AY8" i="14" s="1"/>
  <c r="AF7" i="14"/>
  <c r="AG7" i="14" s="1"/>
  <c r="AH7" i="14" s="1"/>
  <c r="AI7" i="14" s="1"/>
  <c r="AJ7" i="14" s="1"/>
  <c r="AK7" i="14" s="1"/>
  <c r="AL7" i="14" s="1"/>
  <c r="AM7" i="14" s="1"/>
  <c r="AN7" i="14" s="1"/>
  <c r="AO7" i="14" s="1"/>
  <c r="AP7" i="14" s="1"/>
  <c r="AQ7" i="14" s="1"/>
  <c r="AR7" i="14" s="1"/>
  <c r="AS7" i="14" s="1"/>
  <c r="AT7" i="14" s="1"/>
  <c r="AU7" i="14" s="1"/>
  <c r="AV7" i="14" s="1"/>
  <c r="AW7" i="14" s="1"/>
  <c r="AX7" i="14" s="1"/>
  <c r="AY7" i="14" s="1"/>
  <c r="AF6" i="14"/>
  <c r="AG6" i="14" s="1"/>
  <c r="AH6" i="14" s="1"/>
  <c r="AI6" i="14" s="1"/>
  <c r="AJ6" i="14" s="1"/>
  <c r="AK6" i="14" s="1"/>
  <c r="AL6" i="14" s="1"/>
  <c r="AM6" i="14" s="1"/>
  <c r="AN6" i="14" s="1"/>
  <c r="AO6" i="14" s="1"/>
  <c r="AP6" i="14" s="1"/>
  <c r="AQ6" i="14" s="1"/>
  <c r="AR6" i="14" s="1"/>
  <c r="AS6" i="14" s="1"/>
  <c r="AT6" i="14" s="1"/>
  <c r="AU6" i="14" s="1"/>
  <c r="AV6" i="14" s="1"/>
  <c r="AW6" i="14" s="1"/>
  <c r="AX6" i="14" s="1"/>
  <c r="AY6" i="14" s="1"/>
  <c r="AF5" i="14"/>
  <c r="AG5" i="14" s="1"/>
  <c r="AH5" i="14" s="1"/>
  <c r="AI5" i="14" s="1"/>
  <c r="AJ5" i="14" s="1"/>
  <c r="AK5" i="14" s="1"/>
  <c r="AL5" i="14" s="1"/>
  <c r="AM5" i="14" s="1"/>
  <c r="AN5" i="14" s="1"/>
  <c r="AO5" i="14" s="1"/>
  <c r="AP5" i="14" s="1"/>
  <c r="AQ5" i="14" s="1"/>
  <c r="AR5" i="14" s="1"/>
  <c r="AS5" i="14" s="1"/>
  <c r="AT5" i="14" s="1"/>
  <c r="AU5" i="14" s="1"/>
  <c r="AV5" i="14" s="1"/>
  <c r="AW5" i="14" s="1"/>
  <c r="AX5" i="14" s="1"/>
  <c r="AY5" i="14" s="1"/>
  <c r="AF4" i="14"/>
  <c r="AG4" i="14" s="1"/>
  <c r="AH4" i="14" s="1"/>
  <c r="AI4" i="14" s="1"/>
  <c r="AJ4" i="14" s="1"/>
  <c r="AK4" i="14" s="1"/>
  <c r="AL4" i="14" s="1"/>
  <c r="AM4" i="14" s="1"/>
  <c r="AN4" i="14" s="1"/>
  <c r="AO4" i="14" s="1"/>
  <c r="AP4" i="14" s="1"/>
  <c r="AQ4" i="14" s="1"/>
  <c r="AR4" i="14" s="1"/>
  <c r="AS4" i="14" s="1"/>
  <c r="AT4" i="14" s="1"/>
  <c r="AU4" i="14" s="1"/>
  <c r="AV4" i="14" s="1"/>
  <c r="AW4" i="14" s="1"/>
  <c r="AX4" i="14" s="1"/>
  <c r="AY4" i="14" s="1"/>
  <c r="AF3" i="14"/>
  <c r="AG3" i="14" s="1"/>
  <c r="AH3" i="14" s="1"/>
  <c r="AI3" i="14" s="1"/>
  <c r="AJ3" i="14" s="1"/>
  <c r="AK3" i="14" s="1"/>
  <c r="AL3" i="14" s="1"/>
  <c r="AM3" i="14" s="1"/>
  <c r="AN3" i="14" s="1"/>
  <c r="AO3" i="14" s="1"/>
  <c r="AP3" i="14" s="1"/>
  <c r="AQ3" i="14" s="1"/>
  <c r="AR3" i="14" s="1"/>
  <c r="AS3" i="14" s="1"/>
  <c r="AT3" i="14" s="1"/>
  <c r="AU3" i="14" s="1"/>
  <c r="AV3" i="14" s="1"/>
  <c r="AW3" i="14" s="1"/>
  <c r="AX3" i="14" s="1"/>
  <c r="AY3" i="14" s="1"/>
  <c r="AF2" i="14"/>
  <c r="AG2" i="14" s="1"/>
  <c r="AH2" i="14" s="1"/>
  <c r="AI2" i="14" s="1"/>
  <c r="AJ2" i="14" s="1"/>
  <c r="AK2" i="14" s="1"/>
  <c r="AL2" i="14" s="1"/>
  <c r="AM2" i="14" s="1"/>
  <c r="AN2" i="14" s="1"/>
  <c r="AO2" i="14" s="1"/>
  <c r="AP2" i="14" s="1"/>
  <c r="AQ2" i="14" s="1"/>
  <c r="AR2" i="14" s="1"/>
  <c r="AS2" i="14" s="1"/>
  <c r="AT2" i="14" s="1"/>
  <c r="AU2" i="14" s="1"/>
  <c r="AV2" i="14" s="1"/>
  <c r="AW2" i="14" s="1"/>
  <c r="AX2" i="14" s="1"/>
  <c r="AY2" i="14" s="1"/>
  <c r="AF1" i="14"/>
  <c r="AG1" i="14" s="1"/>
  <c r="AH1" i="14" s="1"/>
  <c r="AI1" i="14" s="1"/>
  <c r="AJ1" i="14" s="1"/>
  <c r="AK1" i="14" s="1"/>
  <c r="AL1" i="14" s="1"/>
  <c r="AM1" i="14" s="1"/>
  <c r="AN1" i="14" s="1"/>
  <c r="AO1" i="14" s="1"/>
  <c r="AP1" i="14" s="1"/>
  <c r="AQ1" i="14" s="1"/>
  <c r="AR1" i="14" s="1"/>
  <c r="AS1" i="14" s="1"/>
  <c r="AT1" i="14" s="1"/>
  <c r="AU1" i="14" s="1"/>
  <c r="AV1" i="14" s="1"/>
  <c r="AW1" i="14" s="1"/>
  <c r="AX1" i="14" s="1"/>
  <c r="AY1" i="14" s="1"/>
  <c r="AF11" i="13"/>
  <c r="AG11" i="13" s="1"/>
  <c r="AH11" i="13" s="1"/>
  <c r="AI11" i="13" s="1"/>
  <c r="AJ11" i="13" s="1"/>
  <c r="AK11" i="13" s="1"/>
  <c r="AL11" i="13" s="1"/>
  <c r="AM11" i="13" s="1"/>
  <c r="AN11" i="13" s="1"/>
  <c r="AO11" i="13" s="1"/>
  <c r="AP11" i="13" s="1"/>
  <c r="AQ11" i="13" s="1"/>
  <c r="AR11" i="13" s="1"/>
  <c r="AS11" i="13" s="1"/>
  <c r="AT11" i="13" s="1"/>
  <c r="AU11" i="13" s="1"/>
  <c r="AV11" i="13" s="1"/>
  <c r="AW11" i="13" s="1"/>
  <c r="AX11" i="13" s="1"/>
  <c r="AY11" i="13" s="1"/>
  <c r="AF10" i="13"/>
  <c r="AG10" i="13" s="1"/>
  <c r="AH10" i="13" s="1"/>
  <c r="AI10" i="13" s="1"/>
  <c r="AJ10" i="13" s="1"/>
  <c r="AK10" i="13" s="1"/>
  <c r="AL10" i="13" s="1"/>
  <c r="AM10" i="13" s="1"/>
  <c r="AN10" i="13" s="1"/>
  <c r="AO10" i="13" s="1"/>
  <c r="AP10" i="13" s="1"/>
  <c r="AQ10" i="13" s="1"/>
  <c r="AR10" i="13" s="1"/>
  <c r="AS10" i="13" s="1"/>
  <c r="AT10" i="13" s="1"/>
  <c r="AU10" i="13" s="1"/>
  <c r="AV10" i="13" s="1"/>
  <c r="AW10" i="13" s="1"/>
  <c r="AX10" i="13" s="1"/>
  <c r="AY10" i="13" s="1"/>
  <c r="AF9" i="13"/>
  <c r="AG9" i="13" s="1"/>
  <c r="AH9" i="13" s="1"/>
  <c r="AI9" i="13" s="1"/>
  <c r="AJ9" i="13" s="1"/>
  <c r="AK9" i="13" s="1"/>
  <c r="AL9" i="13" s="1"/>
  <c r="AM9" i="13" s="1"/>
  <c r="AN9" i="13" s="1"/>
  <c r="AO9" i="13" s="1"/>
  <c r="AP9" i="13" s="1"/>
  <c r="AQ9" i="13" s="1"/>
  <c r="AR9" i="13" s="1"/>
  <c r="AS9" i="13" s="1"/>
  <c r="AT9" i="13" s="1"/>
  <c r="AU9" i="13" s="1"/>
  <c r="AV9" i="13" s="1"/>
  <c r="AW9" i="13" s="1"/>
  <c r="AX9" i="13" s="1"/>
  <c r="AY9" i="13" s="1"/>
  <c r="AF8" i="13"/>
  <c r="AG8" i="13" s="1"/>
  <c r="AH8" i="13" s="1"/>
  <c r="AI8" i="13" s="1"/>
  <c r="AJ8" i="13" s="1"/>
  <c r="AK8" i="13" s="1"/>
  <c r="AL8" i="13" s="1"/>
  <c r="AM8" i="13" s="1"/>
  <c r="AN8" i="13" s="1"/>
  <c r="AO8" i="13" s="1"/>
  <c r="AP8" i="13" s="1"/>
  <c r="AQ8" i="13" s="1"/>
  <c r="AR8" i="13" s="1"/>
  <c r="AS8" i="13" s="1"/>
  <c r="AT8" i="13" s="1"/>
  <c r="AU8" i="13" s="1"/>
  <c r="AV8" i="13" s="1"/>
  <c r="AW8" i="13" s="1"/>
  <c r="AX8" i="13" s="1"/>
  <c r="AY8" i="13" s="1"/>
  <c r="AF7" i="13"/>
  <c r="AG7" i="13" s="1"/>
  <c r="AH7" i="13" s="1"/>
  <c r="AI7" i="13" s="1"/>
  <c r="AJ7" i="13" s="1"/>
  <c r="AK7" i="13" s="1"/>
  <c r="AL7" i="13" s="1"/>
  <c r="AM7" i="13" s="1"/>
  <c r="AN7" i="13" s="1"/>
  <c r="AO7" i="13" s="1"/>
  <c r="AP7" i="13" s="1"/>
  <c r="AQ7" i="13" s="1"/>
  <c r="AR7" i="13" s="1"/>
  <c r="AS7" i="13" s="1"/>
  <c r="AT7" i="13" s="1"/>
  <c r="AU7" i="13" s="1"/>
  <c r="AV7" i="13" s="1"/>
  <c r="AW7" i="13" s="1"/>
  <c r="AX7" i="13" s="1"/>
  <c r="AY7" i="13" s="1"/>
  <c r="AF6" i="13"/>
  <c r="AG6" i="13" s="1"/>
  <c r="AH6" i="13" s="1"/>
  <c r="AI6" i="13" s="1"/>
  <c r="AJ6" i="13" s="1"/>
  <c r="AK6" i="13" s="1"/>
  <c r="AL6" i="13" s="1"/>
  <c r="AM6" i="13" s="1"/>
  <c r="AN6" i="13" s="1"/>
  <c r="AO6" i="13" s="1"/>
  <c r="AP6" i="13" s="1"/>
  <c r="AQ6" i="13" s="1"/>
  <c r="AR6" i="13" s="1"/>
  <c r="AS6" i="13" s="1"/>
  <c r="AT6" i="13" s="1"/>
  <c r="AU6" i="13" s="1"/>
  <c r="AV6" i="13" s="1"/>
  <c r="AW6" i="13" s="1"/>
  <c r="AX6" i="13" s="1"/>
  <c r="AY6" i="13" s="1"/>
  <c r="AF5" i="13"/>
  <c r="AG5" i="13" s="1"/>
  <c r="AH5" i="13" s="1"/>
  <c r="AI5" i="13" s="1"/>
  <c r="AJ5" i="13" s="1"/>
  <c r="AK5" i="13" s="1"/>
  <c r="AL5" i="13" s="1"/>
  <c r="AM5" i="13" s="1"/>
  <c r="AN5" i="13" s="1"/>
  <c r="AO5" i="13" s="1"/>
  <c r="AP5" i="13" s="1"/>
  <c r="AQ5" i="13" s="1"/>
  <c r="AR5" i="13" s="1"/>
  <c r="AS5" i="13" s="1"/>
  <c r="AT5" i="13" s="1"/>
  <c r="AU5" i="13" s="1"/>
  <c r="AV5" i="13" s="1"/>
  <c r="AW5" i="13" s="1"/>
  <c r="AX5" i="13" s="1"/>
  <c r="AY5" i="13" s="1"/>
  <c r="AF4" i="13"/>
  <c r="AG4" i="13" s="1"/>
  <c r="AH4" i="13" s="1"/>
  <c r="AI4" i="13" s="1"/>
  <c r="AJ4" i="13" s="1"/>
  <c r="AK4" i="13" s="1"/>
  <c r="AL4" i="13" s="1"/>
  <c r="AM4" i="13" s="1"/>
  <c r="AN4" i="13" s="1"/>
  <c r="AO4" i="13" s="1"/>
  <c r="AP4" i="13" s="1"/>
  <c r="AQ4" i="13" s="1"/>
  <c r="AR4" i="13" s="1"/>
  <c r="AS4" i="13" s="1"/>
  <c r="AT4" i="13" s="1"/>
  <c r="AU4" i="13" s="1"/>
  <c r="AV4" i="13" s="1"/>
  <c r="AW4" i="13" s="1"/>
  <c r="AX4" i="13" s="1"/>
  <c r="AY4" i="13" s="1"/>
  <c r="AF3" i="13"/>
  <c r="AG3" i="13" s="1"/>
  <c r="AH3" i="13" s="1"/>
  <c r="AI3" i="13" s="1"/>
  <c r="AJ3" i="13" s="1"/>
  <c r="AK3" i="13" s="1"/>
  <c r="AL3" i="13" s="1"/>
  <c r="AM3" i="13" s="1"/>
  <c r="AN3" i="13" s="1"/>
  <c r="AO3" i="13" s="1"/>
  <c r="AP3" i="13" s="1"/>
  <c r="AQ3" i="13" s="1"/>
  <c r="AR3" i="13" s="1"/>
  <c r="AS3" i="13" s="1"/>
  <c r="AT3" i="13" s="1"/>
  <c r="AU3" i="13" s="1"/>
  <c r="AV3" i="13" s="1"/>
  <c r="AW3" i="13" s="1"/>
  <c r="AX3" i="13" s="1"/>
  <c r="AY3" i="13" s="1"/>
  <c r="AF2" i="13"/>
  <c r="AG2" i="13" s="1"/>
  <c r="AH2" i="13" s="1"/>
  <c r="AI2" i="13" s="1"/>
  <c r="AJ2" i="13" s="1"/>
  <c r="AK2" i="13" s="1"/>
  <c r="AL2" i="13" s="1"/>
  <c r="AM2" i="13" s="1"/>
  <c r="AN2" i="13" s="1"/>
  <c r="AO2" i="13" s="1"/>
  <c r="AP2" i="13" s="1"/>
  <c r="AQ2" i="13" s="1"/>
  <c r="AR2" i="13" s="1"/>
  <c r="AS2" i="13" s="1"/>
  <c r="AT2" i="13" s="1"/>
  <c r="AU2" i="13" s="1"/>
  <c r="AV2" i="13" s="1"/>
  <c r="AW2" i="13" s="1"/>
  <c r="AX2" i="13" s="1"/>
  <c r="AY2" i="13" s="1"/>
  <c r="AF1" i="13"/>
  <c r="AG1" i="13" s="1"/>
  <c r="AH1" i="13" s="1"/>
  <c r="AI1" i="13" s="1"/>
  <c r="AJ1" i="13" s="1"/>
  <c r="AK1" i="13" s="1"/>
  <c r="AL1" i="13" s="1"/>
  <c r="AM1" i="13" s="1"/>
  <c r="AN1" i="13" s="1"/>
  <c r="AO1" i="13" s="1"/>
  <c r="AP1" i="13" s="1"/>
  <c r="AQ1" i="13" s="1"/>
  <c r="AR1" i="13" s="1"/>
  <c r="AS1" i="13" s="1"/>
  <c r="AT1" i="13" s="1"/>
  <c r="AU1" i="13" s="1"/>
  <c r="AV1" i="13" s="1"/>
  <c r="AW1" i="13" s="1"/>
  <c r="AX1" i="13" s="1"/>
  <c r="AY1" i="13" s="1"/>
  <c r="AF11" i="12"/>
  <c r="AG11" i="12" s="1"/>
  <c r="AH11" i="12" s="1"/>
  <c r="AI11" i="12" s="1"/>
  <c r="AJ11" i="12" s="1"/>
  <c r="AK11" i="12" s="1"/>
  <c r="AL11" i="12" s="1"/>
  <c r="AM11" i="12" s="1"/>
  <c r="AN11" i="12" s="1"/>
  <c r="AO11" i="12" s="1"/>
  <c r="AP11" i="12" s="1"/>
  <c r="AQ11" i="12" s="1"/>
  <c r="AR11" i="12" s="1"/>
  <c r="AS11" i="12" s="1"/>
  <c r="AT11" i="12" s="1"/>
  <c r="AU11" i="12" s="1"/>
  <c r="AV11" i="12" s="1"/>
  <c r="AW11" i="12" s="1"/>
  <c r="AX11" i="12" s="1"/>
  <c r="AY11" i="12" s="1"/>
  <c r="AF10" i="12"/>
  <c r="AG10" i="12" s="1"/>
  <c r="AH10" i="12" s="1"/>
  <c r="AI10" i="12" s="1"/>
  <c r="AJ10" i="12" s="1"/>
  <c r="AK10" i="12" s="1"/>
  <c r="AL10" i="12" s="1"/>
  <c r="AM10" i="12" s="1"/>
  <c r="AN10" i="12" s="1"/>
  <c r="AO10" i="12" s="1"/>
  <c r="AP10" i="12" s="1"/>
  <c r="AQ10" i="12" s="1"/>
  <c r="AR10" i="12" s="1"/>
  <c r="AS10" i="12" s="1"/>
  <c r="AT10" i="12" s="1"/>
  <c r="AU10" i="12" s="1"/>
  <c r="AV10" i="12" s="1"/>
  <c r="AW10" i="12" s="1"/>
  <c r="AX10" i="12" s="1"/>
  <c r="AY10" i="12" s="1"/>
  <c r="AF9" i="12"/>
  <c r="AG9" i="12" s="1"/>
  <c r="AH9" i="12" s="1"/>
  <c r="AI9" i="12" s="1"/>
  <c r="AJ9" i="12" s="1"/>
  <c r="AK9" i="12" s="1"/>
  <c r="AL9" i="12" s="1"/>
  <c r="AM9" i="12" s="1"/>
  <c r="AN9" i="12" s="1"/>
  <c r="AO9" i="12" s="1"/>
  <c r="AP9" i="12" s="1"/>
  <c r="AQ9" i="12" s="1"/>
  <c r="AR9" i="12" s="1"/>
  <c r="AS9" i="12" s="1"/>
  <c r="AT9" i="12" s="1"/>
  <c r="AU9" i="12" s="1"/>
  <c r="AV9" i="12" s="1"/>
  <c r="AW9" i="12" s="1"/>
  <c r="AX9" i="12" s="1"/>
  <c r="AY9" i="12" s="1"/>
  <c r="AF8" i="12"/>
  <c r="AG8" i="12" s="1"/>
  <c r="AH8" i="12" s="1"/>
  <c r="AI8" i="12" s="1"/>
  <c r="AJ8" i="12" s="1"/>
  <c r="AK8" i="12" s="1"/>
  <c r="AL8" i="12" s="1"/>
  <c r="AM8" i="12" s="1"/>
  <c r="AN8" i="12" s="1"/>
  <c r="AO8" i="12" s="1"/>
  <c r="AP8" i="12" s="1"/>
  <c r="AQ8" i="12" s="1"/>
  <c r="AR8" i="12" s="1"/>
  <c r="AS8" i="12" s="1"/>
  <c r="AT8" i="12" s="1"/>
  <c r="AU8" i="12" s="1"/>
  <c r="AV8" i="12" s="1"/>
  <c r="AW8" i="12" s="1"/>
  <c r="AX8" i="12" s="1"/>
  <c r="AY8" i="12" s="1"/>
  <c r="AF7" i="12"/>
  <c r="AG7" i="12" s="1"/>
  <c r="AH7" i="12" s="1"/>
  <c r="AI7" i="12" s="1"/>
  <c r="AJ7" i="12" s="1"/>
  <c r="AK7" i="12" s="1"/>
  <c r="AL7" i="12" s="1"/>
  <c r="AM7" i="12" s="1"/>
  <c r="AN7" i="12" s="1"/>
  <c r="AO7" i="12" s="1"/>
  <c r="AP7" i="12" s="1"/>
  <c r="AQ7" i="12" s="1"/>
  <c r="AR7" i="12" s="1"/>
  <c r="AS7" i="12" s="1"/>
  <c r="AT7" i="12" s="1"/>
  <c r="AU7" i="12" s="1"/>
  <c r="AV7" i="12" s="1"/>
  <c r="AW7" i="12" s="1"/>
  <c r="AX7" i="12" s="1"/>
  <c r="AY7" i="12" s="1"/>
  <c r="AF6" i="12"/>
  <c r="AG6" i="12" s="1"/>
  <c r="AH6" i="12" s="1"/>
  <c r="AI6" i="12" s="1"/>
  <c r="AJ6" i="12" s="1"/>
  <c r="AK6" i="12" s="1"/>
  <c r="AL6" i="12" s="1"/>
  <c r="AM6" i="12" s="1"/>
  <c r="AN6" i="12" s="1"/>
  <c r="AO6" i="12" s="1"/>
  <c r="AP6" i="12" s="1"/>
  <c r="AQ6" i="12" s="1"/>
  <c r="AR6" i="12" s="1"/>
  <c r="AS6" i="12" s="1"/>
  <c r="AT6" i="12" s="1"/>
  <c r="AU6" i="12" s="1"/>
  <c r="AV6" i="12" s="1"/>
  <c r="AW6" i="12" s="1"/>
  <c r="AX6" i="12" s="1"/>
  <c r="AY6" i="12" s="1"/>
  <c r="AF5" i="12"/>
  <c r="AG5" i="12" s="1"/>
  <c r="AH5" i="12" s="1"/>
  <c r="AI5" i="12" s="1"/>
  <c r="AJ5" i="12" s="1"/>
  <c r="AK5" i="12" s="1"/>
  <c r="AL5" i="12" s="1"/>
  <c r="AM5" i="12" s="1"/>
  <c r="AN5" i="12" s="1"/>
  <c r="AO5" i="12" s="1"/>
  <c r="AP5" i="12" s="1"/>
  <c r="AQ5" i="12" s="1"/>
  <c r="AR5" i="12" s="1"/>
  <c r="AS5" i="12" s="1"/>
  <c r="AT5" i="12" s="1"/>
  <c r="AU5" i="12" s="1"/>
  <c r="AV5" i="12" s="1"/>
  <c r="AW5" i="12" s="1"/>
  <c r="AX5" i="12" s="1"/>
  <c r="AY5" i="12" s="1"/>
  <c r="AF4" i="12"/>
  <c r="AG4" i="12" s="1"/>
  <c r="AH4" i="12" s="1"/>
  <c r="AI4" i="12" s="1"/>
  <c r="AJ4" i="12" s="1"/>
  <c r="AK4" i="12" s="1"/>
  <c r="AL4" i="12" s="1"/>
  <c r="AM4" i="12" s="1"/>
  <c r="AN4" i="12" s="1"/>
  <c r="AO4" i="12" s="1"/>
  <c r="AP4" i="12" s="1"/>
  <c r="AQ4" i="12" s="1"/>
  <c r="AR4" i="12" s="1"/>
  <c r="AS4" i="12" s="1"/>
  <c r="AT4" i="12" s="1"/>
  <c r="AU4" i="12" s="1"/>
  <c r="AV4" i="12" s="1"/>
  <c r="AW4" i="12" s="1"/>
  <c r="AX4" i="12" s="1"/>
  <c r="AY4" i="12" s="1"/>
  <c r="AF3" i="12"/>
  <c r="AG3" i="12" s="1"/>
  <c r="AH3" i="12" s="1"/>
  <c r="AI3" i="12" s="1"/>
  <c r="AJ3" i="12" s="1"/>
  <c r="AK3" i="12" s="1"/>
  <c r="AL3" i="12" s="1"/>
  <c r="AM3" i="12" s="1"/>
  <c r="AN3" i="12" s="1"/>
  <c r="AO3" i="12" s="1"/>
  <c r="AP3" i="12" s="1"/>
  <c r="AQ3" i="12" s="1"/>
  <c r="AR3" i="12" s="1"/>
  <c r="AS3" i="12" s="1"/>
  <c r="AT3" i="12" s="1"/>
  <c r="AU3" i="12" s="1"/>
  <c r="AV3" i="12" s="1"/>
  <c r="AW3" i="12" s="1"/>
  <c r="AX3" i="12" s="1"/>
  <c r="AY3" i="12" s="1"/>
  <c r="AF2" i="12"/>
  <c r="AG2" i="12" s="1"/>
  <c r="AH2" i="12" s="1"/>
  <c r="AI2" i="12" s="1"/>
  <c r="AJ2" i="12" s="1"/>
  <c r="AK2" i="12" s="1"/>
  <c r="AL2" i="12" s="1"/>
  <c r="AM2" i="12" s="1"/>
  <c r="AN2" i="12" s="1"/>
  <c r="AO2" i="12" s="1"/>
  <c r="AP2" i="12" s="1"/>
  <c r="AQ2" i="12" s="1"/>
  <c r="AR2" i="12" s="1"/>
  <c r="AS2" i="12" s="1"/>
  <c r="AT2" i="12" s="1"/>
  <c r="AU2" i="12" s="1"/>
  <c r="AV2" i="12" s="1"/>
  <c r="AW2" i="12" s="1"/>
  <c r="AX2" i="12" s="1"/>
  <c r="AY2" i="12" s="1"/>
  <c r="AF1" i="12"/>
  <c r="AG1" i="12" s="1"/>
  <c r="AH1" i="12" s="1"/>
  <c r="AI1" i="12" s="1"/>
  <c r="AJ1" i="12" s="1"/>
  <c r="AK1" i="12" s="1"/>
  <c r="AL1" i="12" s="1"/>
  <c r="AM1" i="12" s="1"/>
  <c r="AN1" i="12" s="1"/>
  <c r="AO1" i="12" s="1"/>
  <c r="AP1" i="12" s="1"/>
  <c r="AQ1" i="12" s="1"/>
  <c r="AR1" i="12" s="1"/>
  <c r="AS1" i="12" s="1"/>
  <c r="AT1" i="12" s="1"/>
  <c r="AU1" i="12" s="1"/>
  <c r="AV1" i="12" s="1"/>
  <c r="AW1" i="12" s="1"/>
  <c r="AX1" i="12" s="1"/>
  <c r="AY1" i="12" s="1"/>
  <c r="AF11" i="51"/>
  <c r="AG11" i="51" s="1"/>
  <c r="AH11" i="51" s="1"/>
  <c r="AI11" i="51" s="1"/>
  <c r="AJ11" i="51" s="1"/>
  <c r="AK11" i="51" s="1"/>
  <c r="AL11" i="51" s="1"/>
  <c r="AM11" i="51" s="1"/>
  <c r="AN11" i="51" s="1"/>
  <c r="AO11" i="51" s="1"/>
  <c r="AP11" i="51" s="1"/>
  <c r="AQ11" i="51" s="1"/>
  <c r="AR11" i="51" s="1"/>
  <c r="AS11" i="51" s="1"/>
  <c r="AT11" i="51" s="1"/>
  <c r="AU11" i="51" s="1"/>
  <c r="AV11" i="51" s="1"/>
  <c r="AW11" i="51" s="1"/>
  <c r="AX11" i="51" s="1"/>
  <c r="AY11" i="51" s="1"/>
  <c r="AF10" i="51"/>
  <c r="AG10" i="51" s="1"/>
  <c r="AH10" i="51" s="1"/>
  <c r="AI10" i="51" s="1"/>
  <c r="AJ10" i="51" s="1"/>
  <c r="AK10" i="51" s="1"/>
  <c r="AL10" i="51" s="1"/>
  <c r="AM10" i="51" s="1"/>
  <c r="AN10" i="51" s="1"/>
  <c r="AO10" i="51" s="1"/>
  <c r="AP10" i="51" s="1"/>
  <c r="AQ10" i="51" s="1"/>
  <c r="AR10" i="51" s="1"/>
  <c r="AS10" i="51" s="1"/>
  <c r="AT10" i="51" s="1"/>
  <c r="AU10" i="51" s="1"/>
  <c r="AV10" i="51" s="1"/>
  <c r="AW10" i="51" s="1"/>
  <c r="AX10" i="51" s="1"/>
  <c r="AY10" i="51" s="1"/>
  <c r="AF9" i="51"/>
  <c r="AG9" i="51" s="1"/>
  <c r="AH9" i="51" s="1"/>
  <c r="AI9" i="51" s="1"/>
  <c r="AJ9" i="51" s="1"/>
  <c r="AK9" i="51" s="1"/>
  <c r="AL9" i="51" s="1"/>
  <c r="AM9" i="51" s="1"/>
  <c r="AN9" i="51" s="1"/>
  <c r="AO9" i="51" s="1"/>
  <c r="AP9" i="51" s="1"/>
  <c r="AQ9" i="51" s="1"/>
  <c r="AR9" i="51" s="1"/>
  <c r="AS9" i="51" s="1"/>
  <c r="AT9" i="51" s="1"/>
  <c r="AU9" i="51" s="1"/>
  <c r="AV9" i="51" s="1"/>
  <c r="AW9" i="51" s="1"/>
  <c r="AX9" i="51" s="1"/>
  <c r="AY9" i="51" s="1"/>
  <c r="AF8" i="51"/>
  <c r="AG8" i="51" s="1"/>
  <c r="AH8" i="51" s="1"/>
  <c r="AI8" i="51" s="1"/>
  <c r="AJ8" i="51" s="1"/>
  <c r="AK8" i="51" s="1"/>
  <c r="AL8" i="51" s="1"/>
  <c r="AM8" i="51" s="1"/>
  <c r="AN8" i="51" s="1"/>
  <c r="AO8" i="51" s="1"/>
  <c r="AP8" i="51" s="1"/>
  <c r="AQ8" i="51" s="1"/>
  <c r="AR8" i="51" s="1"/>
  <c r="AS8" i="51" s="1"/>
  <c r="AT8" i="51" s="1"/>
  <c r="AU8" i="51" s="1"/>
  <c r="AV8" i="51" s="1"/>
  <c r="AW8" i="51" s="1"/>
  <c r="AX8" i="51" s="1"/>
  <c r="AY8" i="51" s="1"/>
  <c r="AF7" i="51"/>
  <c r="AG7" i="51" s="1"/>
  <c r="AH7" i="51" s="1"/>
  <c r="AI7" i="51" s="1"/>
  <c r="AJ7" i="51" s="1"/>
  <c r="AK7" i="51" s="1"/>
  <c r="AL7" i="51" s="1"/>
  <c r="AM7" i="51" s="1"/>
  <c r="AN7" i="51" s="1"/>
  <c r="AO7" i="51" s="1"/>
  <c r="AP7" i="51" s="1"/>
  <c r="AQ7" i="51" s="1"/>
  <c r="AR7" i="51" s="1"/>
  <c r="AS7" i="51" s="1"/>
  <c r="AT7" i="51" s="1"/>
  <c r="AU7" i="51" s="1"/>
  <c r="AV7" i="51" s="1"/>
  <c r="AW7" i="51" s="1"/>
  <c r="AX7" i="51" s="1"/>
  <c r="AY7" i="51" s="1"/>
  <c r="AF6" i="51"/>
  <c r="AG6" i="51" s="1"/>
  <c r="AH6" i="51" s="1"/>
  <c r="AI6" i="51" s="1"/>
  <c r="AJ6" i="51" s="1"/>
  <c r="AK6" i="51" s="1"/>
  <c r="AL6" i="51" s="1"/>
  <c r="AM6" i="51" s="1"/>
  <c r="AN6" i="51" s="1"/>
  <c r="AO6" i="51" s="1"/>
  <c r="AP6" i="51" s="1"/>
  <c r="AQ6" i="51" s="1"/>
  <c r="AR6" i="51" s="1"/>
  <c r="AS6" i="51" s="1"/>
  <c r="AT6" i="51" s="1"/>
  <c r="AU6" i="51" s="1"/>
  <c r="AV6" i="51" s="1"/>
  <c r="AW6" i="51" s="1"/>
  <c r="AX6" i="51" s="1"/>
  <c r="AY6" i="51" s="1"/>
  <c r="AF5" i="51"/>
  <c r="AG5" i="51" s="1"/>
  <c r="AH5" i="51" s="1"/>
  <c r="AI5" i="51" s="1"/>
  <c r="AJ5" i="51" s="1"/>
  <c r="AK5" i="51" s="1"/>
  <c r="AL5" i="51" s="1"/>
  <c r="AM5" i="51" s="1"/>
  <c r="AN5" i="51" s="1"/>
  <c r="AO5" i="51" s="1"/>
  <c r="AP5" i="51" s="1"/>
  <c r="AQ5" i="51" s="1"/>
  <c r="AR5" i="51" s="1"/>
  <c r="AS5" i="51" s="1"/>
  <c r="AT5" i="51" s="1"/>
  <c r="AU5" i="51" s="1"/>
  <c r="AV5" i="51" s="1"/>
  <c r="AW5" i="51" s="1"/>
  <c r="AX5" i="51" s="1"/>
  <c r="AY5" i="51" s="1"/>
  <c r="AF4" i="51"/>
  <c r="AG4" i="51" s="1"/>
  <c r="AH4" i="51" s="1"/>
  <c r="AI4" i="51" s="1"/>
  <c r="AJ4" i="51" s="1"/>
  <c r="AK4" i="51" s="1"/>
  <c r="AL4" i="51" s="1"/>
  <c r="AM4" i="51" s="1"/>
  <c r="AN4" i="51" s="1"/>
  <c r="AO4" i="51" s="1"/>
  <c r="AP4" i="51" s="1"/>
  <c r="AQ4" i="51" s="1"/>
  <c r="AR4" i="51" s="1"/>
  <c r="AS4" i="51" s="1"/>
  <c r="AT4" i="51" s="1"/>
  <c r="AU4" i="51" s="1"/>
  <c r="AV4" i="51" s="1"/>
  <c r="AW4" i="51" s="1"/>
  <c r="AX4" i="51" s="1"/>
  <c r="AY4" i="51" s="1"/>
  <c r="AF3" i="51"/>
  <c r="AG3" i="51" s="1"/>
  <c r="AH3" i="51" s="1"/>
  <c r="AI3" i="51" s="1"/>
  <c r="AJ3" i="51" s="1"/>
  <c r="AK3" i="51" s="1"/>
  <c r="AL3" i="51" s="1"/>
  <c r="AM3" i="51" s="1"/>
  <c r="AN3" i="51" s="1"/>
  <c r="AO3" i="51" s="1"/>
  <c r="AP3" i="51" s="1"/>
  <c r="AQ3" i="51" s="1"/>
  <c r="AR3" i="51" s="1"/>
  <c r="AS3" i="51" s="1"/>
  <c r="AT3" i="51" s="1"/>
  <c r="AU3" i="51" s="1"/>
  <c r="AV3" i="51" s="1"/>
  <c r="AW3" i="51" s="1"/>
  <c r="AX3" i="51" s="1"/>
  <c r="AY3" i="51" s="1"/>
  <c r="AF2" i="51"/>
  <c r="AG2" i="51" s="1"/>
  <c r="AH2" i="51" s="1"/>
  <c r="AI2" i="51" s="1"/>
  <c r="AJ2" i="51" s="1"/>
  <c r="AK2" i="51" s="1"/>
  <c r="AL2" i="51" s="1"/>
  <c r="AM2" i="51" s="1"/>
  <c r="AN2" i="51" s="1"/>
  <c r="AO2" i="51" s="1"/>
  <c r="AP2" i="51" s="1"/>
  <c r="AQ2" i="51" s="1"/>
  <c r="AR2" i="51" s="1"/>
  <c r="AS2" i="51" s="1"/>
  <c r="AT2" i="51" s="1"/>
  <c r="AU2" i="51" s="1"/>
  <c r="AV2" i="51" s="1"/>
  <c r="AW2" i="51" s="1"/>
  <c r="AX2" i="51" s="1"/>
  <c r="AY2" i="51" s="1"/>
  <c r="AF1" i="51"/>
  <c r="AG1" i="51" s="1"/>
  <c r="AH1" i="51" s="1"/>
  <c r="AI1" i="51" s="1"/>
  <c r="AJ1" i="51" s="1"/>
  <c r="AK1" i="51" s="1"/>
  <c r="AL1" i="51" s="1"/>
  <c r="AM1" i="51" s="1"/>
  <c r="AN1" i="51" s="1"/>
  <c r="AO1" i="51" s="1"/>
  <c r="AP1" i="51" s="1"/>
  <c r="AQ1" i="51" s="1"/>
  <c r="AR1" i="51" s="1"/>
  <c r="AS1" i="51" s="1"/>
  <c r="AT1" i="51" s="1"/>
  <c r="AU1" i="51" s="1"/>
  <c r="AV1" i="51" s="1"/>
  <c r="AW1" i="51" s="1"/>
  <c r="AX1" i="51" s="1"/>
  <c r="AY1" i="51" s="1"/>
  <c r="AF11" i="50"/>
  <c r="AG11" i="50" s="1"/>
  <c r="AH11" i="50" s="1"/>
  <c r="AI11" i="50" s="1"/>
  <c r="AJ11" i="50" s="1"/>
  <c r="AK11" i="50" s="1"/>
  <c r="AL11" i="50" s="1"/>
  <c r="AM11" i="50" s="1"/>
  <c r="AN11" i="50" s="1"/>
  <c r="AO11" i="50" s="1"/>
  <c r="AP11" i="50" s="1"/>
  <c r="AQ11" i="50" s="1"/>
  <c r="AR11" i="50" s="1"/>
  <c r="AS11" i="50" s="1"/>
  <c r="AT11" i="50" s="1"/>
  <c r="AU11" i="50" s="1"/>
  <c r="AV11" i="50" s="1"/>
  <c r="AW11" i="50" s="1"/>
  <c r="AX11" i="50" s="1"/>
  <c r="AY11" i="50" s="1"/>
  <c r="AF10" i="50"/>
  <c r="AG10" i="50" s="1"/>
  <c r="AH10" i="50" s="1"/>
  <c r="AI10" i="50" s="1"/>
  <c r="AJ10" i="50" s="1"/>
  <c r="AK10" i="50" s="1"/>
  <c r="AL10" i="50" s="1"/>
  <c r="AM10" i="50" s="1"/>
  <c r="AN10" i="50" s="1"/>
  <c r="AO10" i="50" s="1"/>
  <c r="AP10" i="50" s="1"/>
  <c r="AQ10" i="50" s="1"/>
  <c r="AR10" i="50" s="1"/>
  <c r="AS10" i="50" s="1"/>
  <c r="AT10" i="50" s="1"/>
  <c r="AU10" i="50" s="1"/>
  <c r="AV10" i="50" s="1"/>
  <c r="AW10" i="50" s="1"/>
  <c r="AX10" i="50" s="1"/>
  <c r="AY10" i="50" s="1"/>
  <c r="AF9" i="50"/>
  <c r="AG9" i="50" s="1"/>
  <c r="AH9" i="50" s="1"/>
  <c r="AI9" i="50" s="1"/>
  <c r="AJ9" i="50" s="1"/>
  <c r="AK9" i="50" s="1"/>
  <c r="AL9" i="50" s="1"/>
  <c r="AM9" i="50" s="1"/>
  <c r="AN9" i="50" s="1"/>
  <c r="AO9" i="50" s="1"/>
  <c r="AP9" i="50" s="1"/>
  <c r="AQ9" i="50" s="1"/>
  <c r="AR9" i="50" s="1"/>
  <c r="AS9" i="50" s="1"/>
  <c r="AT9" i="50" s="1"/>
  <c r="AU9" i="50" s="1"/>
  <c r="AV9" i="50" s="1"/>
  <c r="AW9" i="50" s="1"/>
  <c r="AX9" i="50" s="1"/>
  <c r="AY9" i="50" s="1"/>
  <c r="AF8" i="50"/>
  <c r="AG8" i="50" s="1"/>
  <c r="AH8" i="50" s="1"/>
  <c r="AI8" i="50" s="1"/>
  <c r="AJ8" i="50" s="1"/>
  <c r="AK8" i="50" s="1"/>
  <c r="AL8" i="50" s="1"/>
  <c r="AM8" i="50" s="1"/>
  <c r="AN8" i="50" s="1"/>
  <c r="AO8" i="50" s="1"/>
  <c r="AP8" i="50" s="1"/>
  <c r="AQ8" i="50" s="1"/>
  <c r="AR8" i="50" s="1"/>
  <c r="AS8" i="50" s="1"/>
  <c r="AT8" i="50" s="1"/>
  <c r="AU8" i="50" s="1"/>
  <c r="AV8" i="50" s="1"/>
  <c r="AW8" i="50" s="1"/>
  <c r="AX8" i="50" s="1"/>
  <c r="AY8" i="50" s="1"/>
  <c r="AF7" i="50"/>
  <c r="AG7" i="50" s="1"/>
  <c r="AH7" i="50" s="1"/>
  <c r="AI7" i="50" s="1"/>
  <c r="AJ7" i="50" s="1"/>
  <c r="AK7" i="50" s="1"/>
  <c r="AL7" i="50" s="1"/>
  <c r="AM7" i="50" s="1"/>
  <c r="AN7" i="50" s="1"/>
  <c r="AO7" i="50" s="1"/>
  <c r="AP7" i="50" s="1"/>
  <c r="AQ7" i="50" s="1"/>
  <c r="AR7" i="50" s="1"/>
  <c r="AS7" i="50" s="1"/>
  <c r="AT7" i="50" s="1"/>
  <c r="AU7" i="50" s="1"/>
  <c r="AV7" i="50" s="1"/>
  <c r="AW7" i="50" s="1"/>
  <c r="AX7" i="50" s="1"/>
  <c r="AY7" i="50" s="1"/>
  <c r="AF6" i="50"/>
  <c r="AG6" i="50" s="1"/>
  <c r="AH6" i="50" s="1"/>
  <c r="AI6" i="50" s="1"/>
  <c r="AJ6" i="50" s="1"/>
  <c r="AK6" i="50" s="1"/>
  <c r="AL6" i="50" s="1"/>
  <c r="AM6" i="50" s="1"/>
  <c r="AN6" i="50" s="1"/>
  <c r="AO6" i="50" s="1"/>
  <c r="AP6" i="50" s="1"/>
  <c r="AQ6" i="50" s="1"/>
  <c r="AR6" i="50" s="1"/>
  <c r="AS6" i="50" s="1"/>
  <c r="AT6" i="50" s="1"/>
  <c r="AU6" i="50" s="1"/>
  <c r="AV6" i="50" s="1"/>
  <c r="AW6" i="50" s="1"/>
  <c r="AX6" i="50" s="1"/>
  <c r="AY6" i="50" s="1"/>
  <c r="AF5" i="50"/>
  <c r="AG5" i="50" s="1"/>
  <c r="AH5" i="50" s="1"/>
  <c r="AI5" i="50" s="1"/>
  <c r="AJ5" i="50" s="1"/>
  <c r="AK5" i="50" s="1"/>
  <c r="AL5" i="50" s="1"/>
  <c r="AM5" i="50" s="1"/>
  <c r="AN5" i="50" s="1"/>
  <c r="AO5" i="50" s="1"/>
  <c r="AP5" i="50" s="1"/>
  <c r="AQ5" i="50" s="1"/>
  <c r="AR5" i="50" s="1"/>
  <c r="AS5" i="50" s="1"/>
  <c r="AT5" i="50" s="1"/>
  <c r="AU5" i="50" s="1"/>
  <c r="AV5" i="50" s="1"/>
  <c r="AW5" i="50" s="1"/>
  <c r="AX5" i="50" s="1"/>
  <c r="AY5" i="50" s="1"/>
  <c r="AF4" i="50"/>
  <c r="AG4" i="50" s="1"/>
  <c r="AH4" i="50" s="1"/>
  <c r="AI4" i="50" s="1"/>
  <c r="AJ4" i="50" s="1"/>
  <c r="AK4" i="50" s="1"/>
  <c r="AL4" i="50" s="1"/>
  <c r="AM4" i="50" s="1"/>
  <c r="AN4" i="50" s="1"/>
  <c r="AO4" i="50" s="1"/>
  <c r="AP4" i="50" s="1"/>
  <c r="AQ4" i="50" s="1"/>
  <c r="AR4" i="50" s="1"/>
  <c r="AS4" i="50" s="1"/>
  <c r="AT4" i="50" s="1"/>
  <c r="AU4" i="50" s="1"/>
  <c r="AV4" i="50" s="1"/>
  <c r="AW4" i="50" s="1"/>
  <c r="AX4" i="50" s="1"/>
  <c r="AY4" i="50" s="1"/>
  <c r="AF3" i="50"/>
  <c r="AG3" i="50" s="1"/>
  <c r="AH3" i="50" s="1"/>
  <c r="AI3" i="50" s="1"/>
  <c r="AJ3" i="50" s="1"/>
  <c r="AK3" i="50" s="1"/>
  <c r="AL3" i="50" s="1"/>
  <c r="AM3" i="50" s="1"/>
  <c r="AN3" i="50" s="1"/>
  <c r="AO3" i="50" s="1"/>
  <c r="AP3" i="50" s="1"/>
  <c r="AQ3" i="50" s="1"/>
  <c r="AR3" i="50" s="1"/>
  <c r="AS3" i="50" s="1"/>
  <c r="AT3" i="50" s="1"/>
  <c r="AU3" i="50" s="1"/>
  <c r="AV3" i="50" s="1"/>
  <c r="AW3" i="50" s="1"/>
  <c r="AX3" i="50" s="1"/>
  <c r="AY3" i="50" s="1"/>
  <c r="AF2" i="50"/>
  <c r="AG2" i="50" s="1"/>
  <c r="AH2" i="50" s="1"/>
  <c r="AI2" i="50" s="1"/>
  <c r="AJ2" i="50" s="1"/>
  <c r="AK2" i="50" s="1"/>
  <c r="AL2" i="50" s="1"/>
  <c r="AM2" i="50" s="1"/>
  <c r="AN2" i="50" s="1"/>
  <c r="AO2" i="50" s="1"/>
  <c r="AP2" i="50" s="1"/>
  <c r="AQ2" i="50" s="1"/>
  <c r="AR2" i="50" s="1"/>
  <c r="AS2" i="50" s="1"/>
  <c r="AT2" i="50" s="1"/>
  <c r="AU2" i="50" s="1"/>
  <c r="AV2" i="50" s="1"/>
  <c r="AW2" i="50" s="1"/>
  <c r="AX2" i="50" s="1"/>
  <c r="AY2" i="50" s="1"/>
  <c r="AF1" i="50"/>
  <c r="AG1" i="50" s="1"/>
  <c r="AH1" i="50" s="1"/>
  <c r="AI1" i="50" s="1"/>
  <c r="AJ1" i="50" s="1"/>
  <c r="AK1" i="50" s="1"/>
  <c r="AL1" i="50" s="1"/>
  <c r="AM1" i="50" s="1"/>
  <c r="AN1" i="50" s="1"/>
  <c r="AO1" i="50" s="1"/>
  <c r="AP1" i="50" s="1"/>
  <c r="AQ1" i="50" s="1"/>
  <c r="AR1" i="50" s="1"/>
  <c r="AS1" i="50" s="1"/>
  <c r="AT1" i="50" s="1"/>
  <c r="AU1" i="50" s="1"/>
  <c r="AV1" i="50" s="1"/>
  <c r="AW1" i="50" s="1"/>
  <c r="AX1" i="50" s="1"/>
  <c r="AY1" i="50" s="1"/>
  <c r="AF11" i="7"/>
  <c r="AG11" i="7" s="1"/>
  <c r="AH11" i="7" s="1"/>
  <c r="AI11" i="7" s="1"/>
  <c r="AJ11" i="7" s="1"/>
  <c r="AK11" i="7" s="1"/>
  <c r="AL11" i="7" s="1"/>
  <c r="AM11" i="7" s="1"/>
  <c r="AN11" i="7" s="1"/>
  <c r="AO11" i="7" s="1"/>
  <c r="AP11" i="7" s="1"/>
  <c r="AQ11" i="7" s="1"/>
  <c r="AR11" i="7" s="1"/>
  <c r="AS11" i="7" s="1"/>
  <c r="AT11" i="7" s="1"/>
  <c r="AU11" i="7" s="1"/>
  <c r="AV11" i="7" s="1"/>
  <c r="AW11" i="7" s="1"/>
  <c r="AX11" i="7" s="1"/>
  <c r="AY11" i="7" s="1"/>
  <c r="AF10" i="7"/>
  <c r="AG10" i="7" s="1"/>
  <c r="AH10" i="7" s="1"/>
  <c r="AI10" i="7" s="1"/>
  <c r="AJ10" i="7" s="1"/>
  <c r="AK10" i="7" s="1"/>
  <c r="AL10" i="7" s="1"/>
  <c r="AM10" i="7" s="1"/>
  <c r="AN10" i="7" s="1"/>
  <c r="AO10" i="7" s="1"/>
  <c r="AP10" i="7" s="1"/>
  <c r="AQ10" i="7" s="1"/>
  <c r="AR10" i="7" s="1"/>
  <c r="AS10" i="7" s="1"/>
  <c r="AT10" i="7" s="1"/>
  <c r="AU10" i="7" s="1"/>
  <c r="AV10" i="7" s="1"/>
  <c r="AW10" i="7" s="1"/>
  <c r="AX10" i="7" s="1"/>
  <c r="AY10" i="7" s="1"/>
  <c r="AF9" i="7"/>
  <c r="AG9" i="7" s="1"/>
  <c r="AH9" i="7" s="1"/>
  <c r="AI9" i="7" s="1"/>
  <c r="AJ9" i="7" s="1"/>
  <c r="AK9" i="7" s="1"/>
  <c r="AL9" i="7" s="1"/>
  <c r="AM9" i="7" s="1"/>
  <c r="AN9" i="7" s="1"/>
  <c r="AO9" i="7" s="1"/>
  <c r="AP9" i="7" s="1"/>
  <c r="AQ9" i="7" s="1"/>
  <c r="AR9" i="7" s="1"/>
  <c r="AS9" i="7" s="1"/>
  <c r="AT9" i="7" s="1"/>
  <c r="AU9" i="7" s="1"/>
  <c r="AV9" i="7" s="1"/>
  <c r="AW9" i="7" s="1"/>
  <c r="AX9" i="7" s="1"/>
  <c r="AY9" i="7" s="1"/>
  <c r="AF8" i="7"/>
  <c r="AG8" i="7" s="1"/>
  <c r="AH8" i="7" s="1"/>
  <c r="AI8" i="7" s="1"/>
  <c r="AJ8" i="7" s="1"/>
  <c r="AK8" i="7" s="1"/>
  <c r="AL8" i="7" s="1"/>
  <c r="AM8" i="7" s="1"/>
  <c r="AN8" i="7" s="1"/>
  <c r="AO8" i="7" s="1"/>
  <c r="AP8" i="7" s="1"/>
  <c r="AQ8" i="7" s="1"/>
  <c r="AR8" i="7" s="1"/>
  <c r="AS8" i="7" s="1"/>
  <c r="AT8" i="7" s="1"/>
  <c r="AU8" i="7" s="1"/>
  <c r="AV8" i="7" s="1"/>
  <c r="AW8" i="7" s="1"/>
  <c r="AX8" i="7" s="1"/>
  <c r="AY8" i="7" s="1"/>
  <c r="AF7" i="7"/>
  <c r="AG7" i="7" s="1"/>
  <c r="AH7" i="7" s="1"/>
  <c r="AI7" i="7" s="1"/>
  <c r="AJ7" i="7" s="1"/>
  <c r="AK7" i="7" s="1"/>
  <c r="AL7" i="7" s="1"/>
  <c r="AM7" i="7" s="1"/>
  <c r="AN7" i="7" s="1"/>
  <c r="AO7" i="7" s="1"/>
  <c r="AP7" i="7" s="1"/>
  <c r="AQ7" i="7" s="1"/>
  <c r="AR7" i="7" s="1"/>
  <c r="AS7" i="7" s="1"/>
  <c r="AT7" i="7" s="1"/>
  <c r="AU7" i="7" s="1"/>
  <c r="AV7" i="7" s="1"/>
  <c r="AW7" i="7" s="1"/>
  <c r="AX7" i="7" s="1"/>
  <c r="AY7" i="7" s="1"/>
  <c r="AF6" i="7"/>
  <c r="AG6" i="7" s="1"/>
  <c r="AH6" i="7" s="1"/>
  <c r="AI6" i="7" s="1"/>
  <c r="AJ6" i="7" s="1"/>
  <c r="AK6" i="7" s="1"/>
  <c r="AL6" i="7" s="1"/>
  <c r="AM6" i="7" s="1"/>
  <c r="AN6" i="7" s="1"/>
  <c r="AO6" i="7" s="1"/>
  <c r="AP6" i="7" s="1"/>
  <c r="AQ6" i="7" s="1"/>
  <c r="AR6" i="7" s="1"/>
  <c r="AS6" i="7" s="1"/>
  <c r="AT6" i="7" s="1"/>
  <c r="AU6" i="7" s="1"/>
  <c r="AV6" i="7" s="1"/>
  <c r="AW6" i="7" s="1"/>
  <c r="AX6" i="7" s="1"/>
  <c r="AY6" i="7" s="1"/>
  <c r="AF5" i="7"/>
  <c r="AG5" i="7" s="1"/>
  <c r="AH5" i="7" s="1"/>
  <c r="AI5" i="7" s="1"/>
  <c r="AJ5" i="7" s="1"/>
  <c r="AK5" i="7" s="1"/>
  <c r="AL5" i="7" s="1"/>
  <c r="AM5" i="7" s="1"/>
  <c r="AN5" i="7" s="1"/>
  <c r="AO5" i="7" s="1"/>
  <c r="AP5" i="7" s="1"/>
  <c r="AQ5" i="7" s="1"/>
  <c r="AR5" i="7" s="1"/>
  <c r="AS5" i="7" s="1"/>
  <c r="AT5" i="7" s="1"/>
  <c r="AU5" i="7" s="1"/>
  <c r="AV5" i="7" s="1"/>
  <c r="AW5" i="7" s="1"/>
  <c r="AX5" i="7" s="1"/>
  <c r="AY5" i="7" s="1"/>
  <c r="AF4" i="7"/>
  <c r="AG4" i="7" s="1"/>
  <c r="AH4" i="7" s="1"/>
  <c r="AI4" i="7" s="1"/>
  <c r="AJ4" i="7" s="1"/>
  <c r="AK4" i="7" s="1"/>
  <c r="AL4" i="7" s="1"/>
  <c r="AM4" i="7" s="1"/>
  <c r="AN4" i="7" s="1"/>
  <c r="AO4" i="7" s="1"/>
  <c r="AP4" i="7" s="1"/>
  <c r="AQ4" i="7" s="1"/>
  <c r="AR4" i="7" s="1"/>
  <c r="AS4" i="7" s="1"/>
  <c r="AT4" i="7" s="1"/>
  <c r="AU4" i="7" s="1"/>
  <c r="AV4" i="7" s="1"/>
  <c r="AW4" i="7" s="1"/>
  <c r="AX4" i="7" s="1"/>
  <c r="AY4" i="7" s="1"/>
  <c r="AF3" i="7"/>
  <c r="AG3" i="7" s="1"/>
  <c r="AH3" i="7" s="1"/>
  <c r="AI3" i="7" s="1"/>
  <c r="AJ3" i="7" s="1"/>
  <c r="AK3" i="7" s="1"/>
  <c r="AL3" i="7" s="1"/>
  <c r="AM3" i="7" s="1"/>
  <c r="AN3" i="7" s="1"/>
  <c r="AO3" i="7" s="1"/>
  <c r="AP3" i="7" s="1"/>
  <c r="AQ3" i="7" s="1"/>
  <c r="AR3" i="7" s="1"/>
  <c r="AS3" i="7" s="1"/>
  <c r="AT3" i="7" s="1"/>
  <c r="AU3" i="7" s="1"/>
  <c r="AV3" i="7" s="1"/>
  <c r="AW3" i="7" s="1"/>
  <c r="AX3" i="7" s="1"/>
  <c r="AY3" i="7" s="1"/>
  <c r="AF2" i="7"/>
  <c r="AG2" i="7" s="1"/>
  <c r="AH2" i="7" s="1"/>
  <c r="AI2" i="7" s="1"/>
  <c r="AJ2" i="7" s="1"/>
  <c r="AK2" i="7" s="1"/>
  <c r="AL2" i="7" s="1"/>
  <c r="AM2" i="7" s="1"/>
  <c r="AN2" i="7" s="1"/>
  <c r="AO2" i="7" s="1"/>
  <c r="AP2" i="7" s="1"/>
  <c r="AQ2" i="7" s="1"/>
  <c r="AR2" i="7" s="1"/>
  <c r="AS2" i="7" s="1"/>
  <c r="AT2" i="7" s="1"/>
  <c r="AU2" i="7" s="1"/>
  <c r="AV2" i="7" s="1"/>
  <c r="AW2" i="7" s="1"/>
  <c r="AX2" i="7" s="1"/>
  <c r="AY2" i="7" s="1"/>
  <c r="AF1" i="7"/>
  <c r="AG1" i="7" s="1"/>
  <c r="AH1" i="7" s="1"/>
  <c r="AI1" i="7" s="1"/>
  <c r="AJ1" i="7" s="1"/>
  <c r="AK1" i="7" s="1"/>
  <c r="AL1" i="7" s="1"/>
  <c r="AM1" i="7" s="1"/>
  <c r="AN1" i="7" s="1"/>
  <c r="AO1" i="7" s="1"/>
  <c r="AP1" i="7" s="1"/>
  <c r="AQ1" i="7" s="1"/>
  <c r="AR1" i="7" s="1"/>
  <c r="AS1" i="7" s="1"/>
  <c r="AT1" i="7" s="1"/>
  <c r="AU1" i="7" s="1"/>
  <c r="AV1" i="7" s="1"/>
  <c r="AW1" i="7" s="1"/>
  <c r="AX1" i="7" s="1"/>
  <c r="AY1" i="7" s="1"/>
  <c r="AF11" i="6"/>
  <c r="AG11" i="6" s="1"/>
  <c r="AH11" i="6" s="1"/>
  <c r="AI11" i="6" s="1"/>
  <c r="AJ11" i="6" s="1"/>
  <c r="AK11" i="6" s="1"/>
  <c r="AL11" i="6" s="1"/>
  <c r="AM11" i="6" s="1"/>
  <c r="AN11" i="6" s="1"/>
  <c r="AO11" i="6" s="1"/>
  <c r="AP11" i="6" s="1"/>
  <c r="AQ11" i="6" s="1"/>
  <c r="AR11" i="6" s="1"/>
  <c r="AS11" i="6" s="1"/>
  <c r="AT11" i="6" s="1"/>
  <c r="AU11" i="6" s="1"/>
  <c r="AV11" i="6" s="1"/>
  <c r="AW11" i="6" s="1"/>
  <c r="AX11" i="6" s="1"/>
  <c r="AY11" i="6" s="1"/>
  <c r="AF10" i="6"/>
  <c r="AG10" i="6" s="1"/>
  <c r="AH10" i="6" s="1"/>
  <c r="AI10" i="6" s="1"/>
  <c r="AJ10" i="6" s="1"/>
  <c r="AK10" i="6" s="1"/>
  <c r="AL10" i="6" s="1"/>
  <c r="AM10" i="6" s="1"/>
  <c r="AN10" i="6" s="1"/>
  <c r="AO10" i="6" s="1"/>
  <c r="AP10" i="6" s="1"/>
  <c r="AQ10" i="6" s="1"/>
  <c r="AR10" i="6" s="1"/>
  <c r="AS10" i="6" s="1"/>
  <c r="AT10" i="6" s="1"/>
  <c r="AU10" i="6" s="1"/>
  <c r="AV10" i="6" s="1"/>
  <c r="AW10" i="6" s="1"/>
  <c r="AX10" i="6" s="1"/>
  <c r="AY10" i="6" s="1"/>
  <c r="AF9" i="6"/>
  <c r="AG9" i="6" s="1"/>
  <c r="AH9" i="6" s="1"/>
  <c r="AI9" i="6" s="1"/>
  <c r="AJ9" i="6" s="1"/>
  <c r="AK9" i="6" s="1"/>
  <c r="AL9" i="6" s="1"/>
  <c r="AM9" i="6" s="1"/>
  <c r="AN9" i="6" s="1"/>
  <c r="AO9" i="6" s="1"/>
  <c r="AP9" i="6" s="1"/>
  <c r="AQ9" i="6" s="1"/>
  <c r="AR9" i="6" s="1"/>
  <c r="AS9" i="6" s="1"/>
  <c r="AT9" i="6" s="1"/>
  <c r="AU9" i="6" s="1"/>
  <c r="AV9" i="6" s="1"/>
  <c r="AW9" i="6" s="1"/>
  <c r="AX9" i="6" s="1"/>
  <c r="AY9" i="6" s="1"/>
  <c r="AF8" i="6"/>
  <c r="AG8" i="6" s="1"/>
  <c r="AH8" i="6" s="1"/>
  <c r="AI8" i="6" s="1"/>
  <c r="AJ8" i="6" s="1"/>
  <c r="AK8" i="6" s="1"/>
  <c r="AL8" i="6" s="1"/>
  <c r="AM8" i="6" s="1"/>
  <c r="AN8" i="6" s="1"/>
  <c r="AO8" i="6" s="1"/>
  <c r="AP8" i="6" s="1"/>
  <c r="AQ8" i="6" s="1"/>
  <c r="AR8" i="6" s="1"/>
  <c r="AS8" i="6" s="1"/>
  <c r="AT8" i="6" s="1"/>
  <c r="AU8" i="6" s="1"/>
  <c r="AV8" i="6" s="1"/>
  <c r="AW8" i="6" s="1"/>
  <c r="AX8" i="6" s="1"/>
  <c r="AY8" i="6" s="1"/>
  <c r="AF7" i="6"/>
  <c r="AG7" i="6" s="1"/>
  <c r="AH7" i="6" s="1"/>
  <c r="AI7" i="6" s="1"/>
  <c r="AJ7" i="6" s="1"/>
  <c r="AK7" i="6" s="1"/>
  <c r="AL7" i="6" s="1"/>
  <c r="AM7" i="6" s="1"/>
  <c r="AN7" i="6" s="1"/>
  <c r="AO7" i="6" s="1"/>
  <c r="AP7" i="6" s="1"/>
  <c r="AQ7" i="6" s="1"/>
  <c r="AR7" i="6" s="1"/>
  <c r="AS7" i="6" s="1"/>
  <c r="AT7" i="6" s="1"/>
  <c r="AU7" i="6" s="1"/>
  <c r="AV7" i="6" s="1"/>
  <c r="AW7" i="6" s="1"/>
  <c r="AX7" i="6" s="1"/>
  <c r="AY7" i="6" s="1"/>
  <c r="AF6" i="6"/>
  <c r="AG6" i="6" s="1"/>
  <c r="AH6" i="6" s="1"/>
  <c r="AI6" i="6" s="1"/>
  <c r="AJ6" i="6" s="1"/>
  <c r="AK6" i="6" s="1"/>
  <c r="AL6" i="6" s="1"/>
  <c r="AM6" i="6" s="1"/>
  <c r="AN6" i="6" s="1"/>
  <c r="AO6" i="6" s="1"/>
  <c r="AP6" i="6" s="1"/>
  <c r="AQ6" i="6" s="1"/>
  <c r="AR6" i="6" s="1"/>
  <c r="AS6" i="6" s="1"/>
  <c r="AT6" i="6" s="1"/>
  <c r="AU6" i="6" s="1"/>
  <c r="AV6" i="6" s="1"/>
  <c r="AW6" i="6" s="1"/>
  <c r="AX6" i="6" s="1"/>
  <c r="AY6" i="6" s="1"/>
  <c r="AF5" i="6"/>
  <c r="AG5" i="6" s="1"/>
  <c r="AH5" i="6" s="1"/>
  <c r="AI5" i="6" s="1"/>
  <c r="AJ5" i="6" s="1"/>
  <c r="AK5" i="6" s="1"/>
  <c r="AL5" i="6" s="1"/>
  <c r="AM5" i="6" s="1"/>
  <c r="AN5" i="6" s="1"/>
  <c r="AO5" i="6" s="1"/>
  <c r="AP5" i="6" s="1"/>
  <c r="AQ5" i="6" s="1"/>
  <c r="AR5" i="6" s="1"/>
  <c r="AS5" i="6" s="1"/>
  <c r="AT5" i="6" s="1"/>
  <c r="AU5" i="6" s="1"/>
  <c r="AV5" i="6" s="1"/>
  <c r="AW5" i="6" s="1"/>
  <c r="AX5" i="6" s="1"/>
  <c r="AY5" i="6" s="1"/>
  <c r="AF4" i="6"/>
  <c r="AG4" i="6" s="1"/>
  <c r="AH4" i="6" s="1"/>
  <c r="AI4" i="6" s="1"/>
  <c r="AJ4" i="6" s="1"/>
  <c r="AK4" i="6" s="1"/>
  <c r="AL4" i="6" s="1"/>
  <c r="AM4" i="6" s="1"/>
  <c r="AN4" i="6" s="1"/>
  <c r="AO4" i="6" s="1"/>
  <c r="AP4" i="6" s="1"/>
  <c r="AQ4" i="6" s="1"/>
  <c r="AR4" i="6" s="1"/>
  <c r="AS4" i="6" s="1"/>
  <c r="AT4" i="6" s="1"/>
  <c r="AU4" i="6" s="1"/>
  <c r="AV4" i="6" s="1"/>
  <c r="AW4" i="6" s="1"/>
  <c r="AX4" i="6" s="1"/>
  <c r="AY4" i="6" s="1"/>
  <c r="AF3" i="6"/>
  <c r="AG3" i="6" s="1"/>
  <c r="AH3" i="6" s="1"/>
  <c r="AI3" i="6" s="1"/>
  <c r="AJ3" i="6" s="1"/>
  <c r="AK3" i="6" s="1"/>
  <c r="AL3" i="6" s="1"/>
  <c r="AM3" i="6" s="1"/>
  <c r="AN3" i="6" s="1"/>
  <c r="AO3" i="6" s="1"/>
  <c r="AP3" i="6" s="1"/>
  <c r="AQ3" i="6" s="1"/>
  <c r="AR3" i="6" s="1"/>
  <c r="AS3" i="6" s="1"/>
  <c r="AT3" i="6" s="1"/>
  <c r="AU3" i="6" s="1"/>
  <c r="AV3" i="6" s="1"/>
  <c r="AW3" i="6" s="1"/>
  <c r="AX3" i="6" s="1"/>
  <c r="AY3" i="6" s="1"/>
  <c r="AF2" i="6"/>
  <c r="AG2" i="6" s="1"/>
  <c r="AH2" i="6" s="1"/>
  <c r="AI2" i="6" s="1"/>
  <c r="AJ2" i="6" s="1"/>
  <c r="AK2" i="6" s="1"/>
  <c r="AL2" i="6" s="1"/>
  <c r="AM2" i="6" s="1"/>
  <c r="AN2" i="6" s="1"/>
  <c r="AO2" i="6" s="1"/>
  <c r="AP2" i="6" s="1"/>
  <c r="AQ2" i="6" s="1"/>
  <c r="AR2" i="6" s="1"/>
  <c r="AS2" i="6" s="1"/>
  <c r="AT2" i="6" s="1"/>
  <c r="AU2" i="6" s="1"/>
  <c r="AV2" i="6" s="1"/>
  <c r="AW2" i="6" s="1"/>
  <c r="AX2" i="6" s="1"/>
  <c r="AY2" i="6" s="1"/>
  <c r="AF1" i="6"/>
  <c r="AG1" i="6" s="1"/>
  <c r="AH1" i="6" s="1"/>
  <c r="AI1" i="6" s="1"/>
  <c r="AJ1" i="6" s="1"/>
  <c r="AK1" i="6" s="1"/>
  <c r="AL1" i="6" s="1"/>
  <c r="AM1" i="6" s="1"/>
  <c r="AN1" i="6" s="1"/>
  <c r="AO1" i="6" s="1"/>
  <c r="AP1" i="6" s="1"/>
  <c r="AQ1" i="6" s="1"/>
  <c r="AR1" i="6" s="1"/>
  <c r="AS1" i="6" s="1"/>
  <c r="AT1" i="6" s="1"/>
  <c r="AU1" i="6" s="1"/>
  <c r="AV1" i="6" s="1"/>
  <c r="AW1" i="6" s="1"/>
  <c r="AX1" i="6" s="1"/>
  <c r="AY1" i="6" s="1"/>
  <c r="AF11" i="5"/>
  <c r="AG11" i="5" s="1"/>
  <c r="AH11" i="5" s="1"/>
  <c r="AI11" i="5" s="1"/>
  <c r="AJ11" i="5" s="1"/>
  <c r="AK11" i="5" s="1"/>
  <c r="AL11" i="5" s="1"/>
  <c r="AM11" i="5" s="1"/>
  <c r="AN11" i="5" s="1"/>
  <c r="AO11" i="5" s="1"/>
  <c r="AP11" i="5" s="1"/>
  <c r="AQ11" i="5" s="1"/>
  <c r="AR11" i="5" s="1"/>
  <c r="AS11" i="5" s="1"/>
  <c r="AT11" i="5" s="1"/>
  <c r="AU11" i="5" s="1"/>
  <c r="AV11" i="5" s="1"/>
  <c r="AW11" i="5" s="1"/>
  <c r="AX11" i="5" s="1"/>
  <c r="AY11" i="5" s="1"/>
  <c r="AF10" i="5"/>
  <c r="AG10" i="5" s="1"/>
  <c r="AH10" i="5" s="1"/>
  <c r="AI10" i="5" s="1"/>
  <c r="AJ10" i="5" s="1"/>
  <c r="AK10" i="5" s="1"/>
  <c r="AL10" i="5" s="1"/>
  <c r="AM10" i="5" s="1"/>
  <c r="AN10" i="5" s="1"/>
  <c r="AO10" i="5" s="1"/>
  <c r="AP10" i="5" s="1"/>
  <c r="AQ10" i="5" s="1"/>
  <c r="AR10" i="5" s="1"/>
  <c r="AS10" i="5" s="1"/>
  <c r="AT10" i="5" s="1"/>
  <c r="AU10" i="5" s="1"/>
  <c r="AV10" i="5" s="1"/>
  <c r="AW10" i="5" s="1"/>
  <c r="AX10" i="5" s="1"/>
  <c r="AY10" i="5" s="1"/>
  <c r="AF9" i="5"/>
  <c r="AG9" i="5" s="1"/>
  <c r="AH9" i="5" s="1"/>
  <c r="AI9" i="5" s="1"/>
  <c r="AJ9" i="5" s="1"/>
  <c r="AK9" i="5" s="1"/>
  <c r="AL9" i="5" s="1"/>
  <c r="AM9" i="5" s="1"/>
  <c r="AN9" i="5" s="1"/>
  <c r="AO9" i="5" s="1"/>
  <c r="AP9" i="5" s="1"/>
  <c r="AQ9" i="5" s="1"/>
  <c r="AR9" i="5" s="1"/>
  <c r="AS9" i="5" s="1"/>
  <c r="AT9" i="5" s="1"/>
  <c r="AU9" i="5" s="1"/>
  <c r="AV9" i="5" s="1"/>
  <c r="AW9" i="5" s="1"/>
  <c r="AX9" i="5" s="1"/>
  <c r="AY9" i="5" s="1"/>
  <c r="AF8" i="5"/>
  <c r="AG8" i="5" s="1"/>
  <c r="AH8" i="5" s="1"/>
  <c r="AI8" i="5" s="1"/>
  <c r="AJ8" i="5" s="1"/>
  <c r="AK8" i="5" s="1"/>
  <c r="AL8" i="5" s="1"/>
  <c r="AM8" i="5" s="1"/>
  <c r="AN8" i="5" s="1"/>
  <c r="AO8" i="5" s="1"/>
  <c r="AP8" i="5" s="1"/>
  <c r="AQ8" i="5" s="1"/>
  <c r="AR8" i="5" s="1"/>
  <c r="AS8" i="5" s="1"/>
  <c r="AT8" i="5" s="1"/>
  <c r="AU8" i="5" s="1"/>
  <c r="AV8" i="5" s="1"/>
  <c r="AW8" i="5" s="1"/>
  <c r="AX8" i="5" s="1"/>
  <c r="AY8" i="5" s="1"/>
  <c r="AF7" i="5"/>
  <c r="AG7" i="5" s="1"/>
  <c r="AH7" i="5" s="1"/>
  <c r="AI7" i="5" s="1"/>
  <c r="AJ7" i="5" s="1"/>
  <c r="AK7" i="5" s="1"/>
  <c r="AL7" i="5" s="1"/>
  <c r="AM7" i="5" s="1"/>
  <c r="AN7" i="5" s="1"/>
  <c r="AO7" i="5" s="1"/>
  <c r="AP7" i="5" s="1"/>
  <c r="AQ7" i="5" s="1"/>
  <c r="AR7" i="5" s="1"/>
  <c r="AS7" i="5" s="1"/>
  <c r="AT7" i="5" s="1"/>
  <c r="AU7" i="5" s="1"/>
  <c r="AV7" i="5" s="1"/>
  <c r="AW7" i="5" s="1"/>
  <c r="AX7" i="5" s="1"/>
  <c r="AY7" i="5" s="1"/>
  <c r="AF6" i="5"/>
  <c r="AG6" i="5" s="1"/>
  <c r="AH6" i="5" s="1"/>
  <c r="AI6" i="5" s="1"/>
  <c r="AJ6" i="5" s="1"/>
  <c r="AK6" i="5" s="1"/>
  <c r="AL6" i="5" s="1"/>
  <c r="AM6" i="5" s="1"/>
  <c r="AN6" i="5" s="1"/>
  <c r="AO6" i="5" s="1"/>
  <c r="AP6" i="5" s="1"/>
  <c r="AQ6" i="5" s="1"/>
  <c r="AR6" i="5" s="1"/>
  <c r="AS6" i="5" s="1"/>
  <c r="AT6" i="5" s="1"/>
  <c r="AU6" i="5" s="1"/>
  <c r="AV6" i="5" s="1"/>
  <c r="AW6" i="5" s="1"/>
  <c r="AX6" i="5" s="1"/>
  <c r="AY6" i="5" s="1"/>
  <c r="AF5" i="5"/>
  <c r="AG5" i="5" s="1"/>
  <c r="AH5" i="5" s="1"/>
  <c r="AI5" i="5" s="1"/>
  <c r="AJ5" i="5" s="1"/>
  <c r="AK5" i="5" s="1"/>
  <c r="AL5" i="5" s="1"/>
  <c r="AM5" i="5" s="1"/>
  <c r="AN5" i="5" s="1"/>
  <c r="AO5" i="5" s="1"/>
  <c r="AP5" i="5" s="1"/>
  <c r="AQ5" i="5" s="1"/>
  <c r="AR5" i="5" s="1"/>
  <c r="AS5" i="5" s="1"/>
  <c r="AT5" i="5" s="1"/>
  <c r="AU5" i="5" s="1"/>
  <c r="AV5" i="5" s="1"/>
  <c r="AW5" i="5" s="1"/>
  <c r="AX5" i="5" s="1"/>
  <c r="AY5" i="5" s="1"/>
  <c r="AF4" i="5"/>
  <c r="AG4" i="5" s="1"/>
  <c r="AH4" i="5" s="1"/>
  <c r="AI4" i="5" s="1"/>
  <c r="AJ4" i="5" s="1"/>
  <c r="AK4" i="5" s="1"/>
  <c r="AL4" i="5" s="1"/>
  <c r="AM4" i="5" s="1"/>
  <c r="AN4" i="5" s="1"/>
  <c r="AO4" i="5" s="1"/>
  <c r="AP4" i="5" s="1"/>
  <c r="AQ4" i="5" s="1"/>
  <c r="AR4" i="5" s="1"/>
  <c r="AS4" i="5" s="1"/>
  <c r="AT4" i="5" s="1"/>
  <c r="AU4" i="5" s="1"/>
  <c r="AV4" i="5" s="1"/>
  <c r="AW4" i="5" s="1"/>
  <c r="AX4" i="5" s="1"/>
  <c r="AY4" i="5" s="1"/>
  <c r="AF3" i="5"/>
  <c r="AG3" i="5" s="1"/>
  <c r="AH3" i="5" s="1"/>
  <c r="AI3" i="5" s="1"/>
  <c r="AJ3" i="5" s="1"/>
  <c r="AK3" i="5" s="1"/>
  <c r="AL3" i="5" s="1"/>
  <c r="AM3" i="5" s="1"/>
  <c r="AN3" i="5" s="1"/>
  <c r="AO3" i="5" s="1"/>
  <c r="AP3" i="5" s="1"/>
  <c r="AQ3" i="5" s="1"/>
  <c r="AR3" i="5" s="1"/>
  <c r="AS3" i="5" s="1"/>
  <c r="AT3" i="5" s="1"/>
  <c r="AU3" i="5" s="1"/>
  <c r="AV3" i="5" s="1"/>
  <c r="AW3" i="5" s="1"/>
  <c r="AX3" i="5" s="1"/>
  <c r="AY3" i="5" s="1"/>
  <c r="AF2" i="5"/>
  <c r="AG2" i="5" s="1"/>
  <c r="AH2" i="5" s="1"/>
  <c r="AI2" i="5" s="1"/>
  <c r="AJ2" i="5" s="1"/>
  <c r="AK2" i="5" s="1"/>
  <c r="AL2" i="5" s="1"/>
  <c r="AM2" i="5" s="1"/>
  <c r="AN2" i="5" s="1"/>
  <c r="AO2" i="5" s="1"/>
  <c r="AP2" i="5" s="1"/>
  <c r="AQ2" i="5" s="1"/>
  <c r="AR2" i="5" s="1"/>
  <c r="AS2" i="5" s="1"/>
  <c r="AT2" i="5" s="1"/>
  <c r="AU2" i="5" s="1"/>
  <c r="AV2" i="5" s="1"/>
  <c r="AW2" i="5" s="1"/>
  <c r="AX2" i="5" s="1"/>
  <c r="AY2" i="5" s="1"/>
  <c r="AF1" i="5"/>
  <c r="AG1" i="5" s="1"/>
  <c r="AH1" i="5" s="1"/>
  <c r="AI1" i="5" s="1"/>
  <c r="AJ1" i="5" s="1"/>
  <c r="AK1" i="5" s="1"/>
  <c r="AL1" i="5" s="1"/>
  <c r="AM1" i="5" s="1"/>
  <c r="AN1" i="5" s="1"/>
  <c r="AO1" i="5" s="1"/>
  <c r="AP1" i="5" s="1"/>
  <c r="AQ1" i="5" s="1"/>
  <c r="AR1" i="5" s="1"/>
  <c r="AS1" i="5" s="1"/>
  <c r="AT1" i="5" s="1"/>
  <c r="AU1" i="5" s="1"/>
  <c r="AV1" i="5" s="1"/>
  <c r="AW1" i="5" s="1"/>
  <c r="AX1" i="5" s="1"/>
  <c r="AY1" i="5" s="1"/>
  <c r="AF11" i="3"/>
  <c r="AG11" i="3" s="1"/>
  <c r="AH11" i="3" s="1"/>
  <c r="AI11" i="3" s="1"/>
  <c r="AJ11" i="3" s="1"/>
  <c r="AK11" i="3" s="1"/>
  <c r="AL11" i="3" s="1"/>
  <c r="AM11" i="3" s="1"/>
  <c r="AN11" i="3" s="1"/>
  <c r="AO11" i="3" s="1"/>
  <c r="AP11" i="3" s="1"/>
  <c r="AQ11" i="3" s="1"/>
  <c r="AR11" i="3" s="1"/>
  <c r="AS11" i="3" s="1"/>
  <c r="AT11" i="3" s="1"/>
  <c r="AU11" i="3" s="1"/>
  <c r="AV11" i="3" s="1"/>
  <c r="AW11" i="3" s="1"/>
  <c r="AX11" i="3" s="1"/>
  <c r="AY11" i="3" s="1"/>
  <c r="AF10" i="3"/>
  <c r="AG10" i="3" s="1"/>
  <c r="AH10" i="3" s="1"/>
  <c r="AI10" i="3" s="1"/>
  <c r="AJ10" i="3" s="1"/>
  <c r="AK10" i="3" s="1"/>
  <c r="AL10" i="3" s="1"/>
  <c r="AM10" i="3" s="1"/>
  <c r="AN10" i="3" s="1"/>
  <c r="AO10" i="3" s="1"/>
  <c r="AP10" i="3" s="1"/>
  <c r="AQ10" i="3" s="1"/>
  <c r="AR10" i="3" s="1"/>
  <c r="AS10" i="3" s="1"/>
  <c r="AT10" i="3" s="1"/>
  <c r="AU10" i="3" s="1"/>
  <c r="AV10" i="3" s="1"/>
  <c r="AW10" i="3" s="1"/>
  <c r="AX10" i="3" s="1"/>
  <c r="AY10" i="3" s="1"/>
  <c r="AF9" i="3"/>
  <c r="AG9" i="3" s="1"/>
  <c r="AH9" i="3" s="1"/>
  <c r="AI9" i="3" s="1"/>
  <c r="AJ9" i="3" s="1"/>
  <c r="AK9" i="3" s="1"/>
  <c r="AL9" i="3" s="1"/>
  <c r="AM9" i="3" s="1"/>
  <c r="AN9" i="3" s="1"/>
  <c r="AO9" i="3" s="1"/>
  <c r="AP9" i="3" s="1"/>
  <c r="AQ9" i="3" s="1"/>
  <c r="AR9" i="3" s="1"/>
  <c r="AS9" i="3" s="1"/>
  <c r="AT9" i="3" s="1"/>
  <c r="AU9" i="3" s="1"/>
  <c r="AV9" i="3" s="1"/>
  <c r="AW9" i="3" s="1"/>
  <c r="AX9" i="3" s="1"/>
  <c r="AY9" i="3" s="1"/>
  <c r="AF8" i="3"/>
  <c r="AG8" i="3" s="1"/>
  <c r="AH8" i="3" s="1"/>
  <c r="AI8" i="3" s="1"/>
  <c r="AJ8" i="3" s="1"/>
  <c r="AK8" i="3" s="1"/>
  <c r="AL8" i="3" s="1"/>
  <c r="AM8" i="3" s="1"/>
  <c r="AN8" i="3" s="1"/>
  <c r="AO8" i="3" s="1"/>
  <c r="AP8" i="3" s="1"/>
  <c r="AQ8" i="3" s="1"/>
  <c r="AR8" i="3" s="1"/>
  <c r="AS8" i="3" s="1"/>
  <c r="AT8" i="3" s="1"/>
  <c r="AU8" i="3" s="1"/>
  <c r="AV8" i="3" s="1"/>
  <c r="AW8" i="3" s="1"/>
  <c r="AX8" i="3" s="1"/>
  <c r="AY8" i="3" s="1"/>
  <c r="AF7" i="3"/>
  <c r="AG7" i="3" s="1"/>
  <c r="AH7" i="3" s="1"/>
  <c r="AI7" i="3" s="1"/>
  <c r="AJ7" i="3" s="1"/>
  <c r="AK7" i="3" s="1"/>
  <c r="AL7" i="3" s="1"/>
  <c r="AM7" i="3" s="1"/>
  <c r="AN7" i="3" s="1"/>
  <c r="AO7" i="3" s="1"/>
  <c r="AP7" i="3" s="1"/>
  <c r="AQ7" i="3" s="1"/>
  <c r="AR7" i="3" s="1"/>
  <c r="AS7" i="3" s="1"/>
  <c r="AT7" i="3" s="1"/>
  <c r="AU7" i="3" s="1"/>
  <c r="AV7" i="3" s="1"/>
  <c r="AW7" i="3" s="1"/>
  <c r="AX7" i="3" s="1"/>
  <c r="AY7" i="3" s="1"/>
  <c r="AF6" i="3"/>
  <c r="AG6" i="3" s="1"/>
  <c r="AH6" i="3" s="1"/>
  <c r="AI6" i="3" s="1"/>
  <c r="AJ6" i="3" s="1"/>
  <c r="AK6" i="3" s="1"/>
  <c r="AL6" i="3" s="1"/>
  <c r="AM6" i="3" s="1"/>
  <c r="AN6" i="3" s="1"/>
  <c r="AO6" i="3" s="1"/>
  <c r="AP6" i="3" s="1"/>
  <c r="AQ6" i="3" s="1"/>
  <c r="AR6" i="3" s="1"/>
  <c r="AS6" i="3" s="1"/>
  <c r="AT6" i="3" s="1"/>
  <c r="AU6" i="3" s="1"/>
  <c r="AV6" i="3" s="1"/>
  <c r="AW6" i="3" s="1"/>
  <c r="AX6" i="3" s="1"/>
  <c r="AY6" i="3" s="1"/>
  <c r="AF5" i="3"/>
  <c r="AG5" i="3" s="1"/>
  <c r="AH5" i="3" s="1"/>
  <c r="AI5" i="3" s="1"/>
  <c r="AJ5" i="3" s="1"/>
  <c r="AK5" i="3" s="1"/>
  <c r="AL5" i="3" s="1"/>
  <c r="AM5" i="3" s="1"/>
  <c r="AN5" i="3" s="1"/>
  <c r="AO5" i="3" s="1"/>
  <c r="AP5" i="3" s="1"/>
  <c r="AQ5" i="3" s="1"/>
  <c r="AR5" i="3" s="1"/>
  <c r="AS5" i="3" s="1"/>
  <c r="AT5" i="3" s="1"/>
  <c r="AU5" i="3" s="1"/>
  <c r="AV5" i="3" s="1"/>
  <c r="AW5" i="3" s="1"/>
  <c r="AX5" i="3" s="1"/>
  <c r="AY5" i="3" s="1"/>
  <c r="AF4" i="3"/>
  <c r="AG4" i="3" s="1"/>
  <c r="AH4" i="3" s="1"/>
  <c r="AI4" i="3" s="1"/>
  <c r="AJ4" i="3" s="1"/>
  <c r="AK4" i="3" s="1"/>
  <c r="AL4" i="3" s="1"/>
  <c r="AM4" i="3" s="1"/>
  <c r="AN4" i="3" s="1"/>
  <c r="AO4" i="3" s="1"/>
  <c r="AP4" i="3" s="1"/>
  <c r="AQ4" i="3" s="1"/>
  <c r="AR4" i="3" s="1"/>
  <c r="AS4" i="3" s="1"/>
  <c r="AT4" i="3" s="1"/>
  <c r="AU4" i="3" s="1"/>
  <c r="AV4" i="3" s="1"/>
  <c r="AW4" i="3" s="1"/>
  <c r="AX4" i="3" s="1"/>
  <c r="AY4" i="3" s="1"/>
  <c r="AF3" i="3"/>
  <c r="AG3" i="3" s="1"/>
  <c r="AH3" i="3" s="1"/>
  <c r="AI3" i="3" s="1"/>
  <c r="AJ3" i="3" s="1"/>
  <c r="AK3" i="3" s="1"/>
  <c r="AL3" i="3" s="1"/>
  <c r="AM3" i="3" s="1"/>
  <c r="AN3" i="3" s="1"/>
  <c r="AO3" i="3" s="1"/>
  <c r="AP3" i="3" s="1"/>
  <c r="AQ3" i="3" s="1"/>
  <c r="AR3" i="3" s="1"/>
  <c r="AS3" i="3" s="1"/>
  <c r="AT3" i="3" s="1"/>
  <c r="AU3" i="3" s="1"/>
  <c r="AV3" i="3" s="1"/>
  <c r="AW3" i="3" s="1"/>
  <c r="AX3" i="3" s="1"/>
  <c r="AY3" i="3" s="1"/>
  <c r="AF2" i="3"/>
  <c r="AG2" i="3" s="1"/>
  <c r="AH2" i="3" s="1"/>
  <c r="AI2" i="3" s="1"/>
  <c r="AJ2" i="3" s="1"/>
  <c r="AK2" i="3" s="1"/>
  <c r="AL2" i="3" s="1"/>
  <c r="AM2" i="3" s="1"/>
  <c r="AN2" i="3" s="1"/>
  <c r="AO2" i="3" s="1"/>
  <c r="AP2" i="3" s="1"/>
  <c r="AQ2" i="3" s="1"/>
  <c r="AR2" i="3" s="1"/>
  <c r="AS2" i="3" s="1"/>
  <c r="AT2" i="3" s="1"/>
  <c r="AU2" i="3" s="1"/>
  <c r="AV2" i="3" s="1"/>
  <c r="AW2" i="3" s="1"/>
  <c r="AX2" i="3" s="1"/>
  <c r="AY2" i="3" s="1"/>
  <c r="AF1" i="3"/>
  <c r="AG1" i="3" s="1"/>
  <c r="AH1" i="3" s="1"/>
  <c r="AI1" i="3" s="1"/>
  <c r="AJ1" i="3" s="1"/>
  <c r="AK1" i="3" s="1"/>
  <c r="AL1" i="3" s="1"/>
  <c r="AM1" i="3" s="1"/>
  <c r="AN1" i="3" s="1"/>
  <c r="AO1" i="3" s="1"/>
  <c r="AP1" i="3" s="1"/>
  <c r="AQ1" i="3" s="1"/>
  <c r="AR1" i="3" s="1"/>
  <c r="AS1" i="3" s="1"/>
  <c r="AT1" i="3" s="1"/>
  <c r="AU1" i="3" s="1"/>
  <c r="AV1" i="3" s="1"/>
  <c r="AW1" i="3" s="1"/>
  <c r="AX1" i="3" s="1"/>
  <c r="AY1" i="3" s="1"/>
  <c r="AF1" i="2"/>
  <c r="AG1" i="2" s="1"/>
  <c r="AH1" i="2" s="1"/>
  <c r="AI1" i="2" s="1"/>
  <c r="AJ1" i="2" s="1"/>
  <c r="AK1" i="2" s="1"/>
  <c r="AL1" i="2" s="1"/>
  <c r="AM1" i="2" s="1"/>
  <c r="AN1" i="2" s="1"/>
  <c r="AO1" i="2" s="1"/>
  <c r="AP1" i="2" s="1"/>
  <c r="AQ1" i="2" s="1"/>
  <c r="AR1" i="2" s="1"/>
  <c r="AS1" i="2" s="1"/>
  <c r="AT1" i="2" s="1"/>
  <c r="AU1" i="2" s="1"/>
  <c r="AV1" i="2" s="1"/>
  <c r="AW1" i="2" s="1"/>
  <c r="AX1" i="2" s="1"/>
  <c r="AY1" i="2" s="1"/>
  <c r="AF11" i="49"/>
  <c r="AG11" i="49" s="1"/>
  <c r="AH11" i="49" s="1"/>
  <c r="AI11" i="49" s="1"/>
  <c r="AJ11" i="49" s="1"/>
  <c r="AK11" i="49" s="1"/>
  <c r="AL11" i="49" s="1"/>
  <c r="AM11" i="49" s="1"/>
  <c r="AN11" i="49" s="1"/>
  <c r="AO11" i="49" s="1"/>
  <c r="AP11" i="49" s="1"/>
  <c r="AQ11" i="49" s="1"/>
  <c r="AR11" i="49" s="1"/>
  <c r="AS11" i="49" s="1"/>
  <c r="AT11" i="49" s="1"/>
  <c r="AU11" i="49" s="1"/>
  <c r="AV11" i="49" s="1"/>
  <c r="AW11" i="49" s="1"/>
  <c r="AX11" i="49" s="1"/>
  <c r="AY11" i="49" s="1"/>
  <c r="AF10" i="49"/>
  <c r="AG10" i="49" s="1"/>
  <c r="AH10" i="49" s="1"/>
  <c r="AI10" i="49" s="1"/>
  <c r="AJ10" i="49" s="1"/>
  <c r="AK10" i="49" s="1"/>
  <c r="AL10" i="49" s="1"/>
  <c r="AM10" i="49" s="1"/>
  <c r="AN10" i="49" s="1"/>
  <c r="AO10" i="49" s="1"/>
  <c r="AP10" i="49" s="1"/>
  <c r="AQ10" i="49" s="1"/>
  <c r="AR10" i="49" s="1"/>
  <c r="AS10" i="49" s="1"/>
  <c r="AT10" i="49" s="1"/>
  <c r="AU10" i="49" s="1"/>
  <c r="AV10" i="49" s="1"/>
  <c r="AW10" i="49" s="1"/>
  <c r="AX10" i="49" s="1"/>
  <c r="AY10" i="49" s="1"/>
  <c r="AF9" i="49"/>
  <c r="AG9" i="49" s="1"/>
  <c r="AH9" i="49" s="1"/>
  <c r="AI9" i="49" s="1"/>
  <c r="AJ9" i="49" s="1"/>
  <c r="AK9" i="49" s="1"/>
  <c r="AL9" i="49" s="1"/>
  <c r="AM9" i="49" s="1"/>
  <c r="AN9" i="49" s="1"/>
  <c r="AO9" i="49" s="1"/>
  <c r="AP9" i="49" s="1"/>
  <c r="AQ9" i="49" s="1"/>
  <c r="AR9" i="49" s="1"/>
  <c r="AS9" i="49" s="1"/>
  <c r="AT9" i="49" s="1"/>
  <c r="AU9" i="49" s="1"/>
  <c r="AV9" i="49" s="1"/>
  <c r="AW9" i="49" s="1"/>
  <c r="AX9" i="49" s="1"/>
  <c r="AY9" i="49" s="1"/>
  <c r="AF8" i="49"/>
  <c r="AG8" i="49" s="1"/>
  <c r="AH8" i="49" s="1"/>
  <c r="AI8" i="49" s="1"/>
  <c r="AJ8" i="49" s="1"/>
  <c r="AK8" i="49" s="1"/>
  <c r="AL8" i="49" s="1"/>
  <c r="AM8" i="49" s="1"/>
  <c r="AN8" i="49" s="1"/>
  <c r="AO8" i="49" s="1"/>
  <c r="AP8" i="49" s="1"/>
  <c r="AQ8" i="49" s="1"/>
  <c r="AR8" i="49" s="1"/>
  <c r="AS8" i="49" s="1"/>
  <c r="AT8" i="49" s="1"/>
  <c r="AU8" i="49" s="1"/>
  <c r="AV8" i="49" s="1"/>
  <c r="AW8" i="49" s="1"/>
  <c r="AX8" i="49" s="1"/>
  <c r="AY8" i="49" s="1"/>
  <c r="AF7" i="49"/>
  <c r="AG7" i="49" s="1"/>
  <c r="AH7" i="49" s="1"/>
  <c r="AI7" i="49" s="1"/>
  <c r="AJ7" i="49" s="1"/>
  <c r="AK7" i="49" s="1"/>
  <c r="AL7" i="49" s="1"/>
  <c r="AM7" i="49" s="1"/>
  <c r="AN7" i="49" s="1"/>
  <c r="AO7" i="49" s="1"/>
  <c r="AP7" i="49" s="1"/>
  <c r="AQ7" i="49" s="1"/>
  <c r="AR7" i="49" s="1"/>
  <c r="AS7" i="49" s="1"/>
  <c r="AT7" i="49" s="1"/>
  <c r="AU7" i="49" s="1"/>
  <c r="AV7" i="49" s="1"/>
  <c r="AW7" i="49" s="1"/>
  <c r="AX7" i="49" s="1"/>
  <c r="AY7" i="49" s="1"/>
  <c r="AF6" i="49"/>
  <c r="AG6" i="49" s="1"/>
  <c r="AH6" i="49" s="1"/>
  <c r="AI6" i="49" s="1"/>
  <c r="AJ6" i="49" s="1"/>
  <c r="AK6" i="49" s="1"/>
  <c r="AL6" i="49" s="1"/>
  <c r="AM6" i="49" s="1"/>
  <c r="AN6" i="49" s="1"/>
  <c r="AO6" i="49" s="1"/>
  <c r="AP6" i="49" s="1"/>
  <c r="AQ6" i="49" s="1"/>
  <c r="AR6" i="49" s="1"/>
  <c r="AS6" i="49" s="1"/>
  <c r="AT6" i="49" s="1"/>
  <c r="AU6" i="49" s="1"/>
  <c r="AV6" i="49" s="1"/>
  <c r="AW6" i="49" s="1"/>
  <c r="AX6" i="49" s="1"/>
  <c r="AY6" i="49" s="1"/>
  <c r="AJ5" i="49"/>
  <c r="AK5" i="49" s="1"/>
  <c r="AL5" i="49" s="1"/>
  <c r="AM5" i="49" s="1"/>
  <c r="AN5" i="49" s="1"/>
  <c r="AO5" i="49" s="1"/>
  <c r="AP5" i="49" s="1"/>
  <c r="AQ5" i="49" s="1"/>
  <c r="AR5" i="49" s="1"/>
  <c r="AS5" i="49" s="1"/>
  <c r="AT5" i="49" s="1"/>
  <c r="AU5" i="49" s="1"/>
  <c r="AV5" i="49" s="1"/>
  <c r="AW5" i="49" s="1"/>
  <c r="AX5" i="49" s="1"/>
  <c r="AY5" i="49" s="1"/>
  <c r="AI5" i="49"/>
  <c r="AF5" i="49"/>
  <c r="AG5" i="49" s="1"/>
  <c r="AH5" i="49" s="1"/>
  <c r="AF4" i="49"/>
  <c r="AG4" i="49" s="1"/>
  <c r="AH4" i="49" s="1"/>
  <c r="AI4" i="49" s="1"/>
  <c r="AJ4" i="49" s="1"/>
  <c r="AK4" i="49" s="1"/>
  <c r="AL4" i="49" s="1"/>
  <c r="AM4" i="49" s="1"/>
  <c r="AN4" i="49" s="1"/>
  <c r="AO4" i="49" s="1"/>
  <c r="AP4" i="49" s="1"/>
  <c r="AQ4" i="49" s="1"/>
  <c r="AR4" i="49" s="1"/>
  <c r="AS4" i="49" s="1"/>
  <c r="AT4" i="49" s="1"/>
  <c r="AU4" i="49" s="1"/>
  <c r="AV4" i="49" s="1"/>
  <c r="AW4" i="49" s="1"/>
  <c r="AX4" i="49" s="1"/>
  <c r="AY4" i="49" s="1"/>
  <c r="AI3" i="49"/>
  <c r="AJ3" i="49" s="1"/>
  <c r="AK3" i="49" s="1"/>
  <c r="AL3" i="49" s="1"/>
  <c r="AM3" i="49" s="1"/>
  <c r="AN3" i="49" s="1"/>
  <c r="AO3" i="49" s="1"/>
  <c r="AP3" i="49" s="1"/>
  <c r="AQ3" i="49" s="1"/>
  <c r="AR3" i="49" s="1"/>
  <c r="AS3" i="49" s="1"/>
  <c r="AT3" i="49" s="1"/>
  <c r="AU3" i="49" s="1"/>
  <c r="AV3" i="49" s="1"/>
  <c r="AW3" i="49" s="1"/>
  <c r="AX3" i="49" s="1"/>
  <c r="AY3" i="49" s="1"/>
  <c r="AF3" i="49"/>
  <c r="AG3" i="49" s="1"/>
  <c r="AH3" i="49" s="1"/>
  <c r="AI2" i="49"/>
  <c r="AJ2" i="49" s="1"/>
  <c r="AK2" i="49" s="1"/>
  <c r="AL2" i="49" s="1"/>
  <c r="AM2" i="49" s="1"/>
  <c r="AN2" i="49" s="1"/>
  <c r="AO2" i="49" s="1"/>
  <c r="AP2" i="49" s="1"/>
  <c r="AQ2" i="49" s="1"/>
  <c r="AR2" i="49" s="1"/>
  <c r="AS2" i="49" s="1"/>
  <c r="AT2" i="49" s="1"/>
  <c r="AU2" i="49" s="1"/>
  <c r="AV2" i="49" s="1"/>
  <c r="AW2" i="49" s="1"/>
  <c r="AX2" i="49" s="1"/>
  <c r="AY2" i="49" s="1"/>
  <c r="AG2" i="49"/>
  <c r="AH2" i="49" s="1"/>
  <c r="AF2" i="49"/>
  <c r="AF11" i="2"/>
  <c r="AG11" i="2" s="1"/>
  <c r="AH11" i="2" s="1"/>
  <c r="AI11" i="2" s="1"/>
  <c r="AJ11" i="2" s="1"/>
  <c r="AK11" i="2" s="1"/>
  <c r="AL11" i="2" s="1"/>
  <c r="AM11" i="2" s="1"/>
  <c r="AN11" i="2" s="1"/>
  <c r="AO11" i="2" s="1"/>
  <c r="AP11" i="2" s="1"/>
  <c r="AQ11" i="2" s="1"/>
  <c r="AR11" i="2" s="1"/>
  <c r="AS11" i="2" s="1"/>
  <c r="AT11" i="2" s="1"/>
  <c r="AU11" i="2" s="1"/>
  <c r="AV11" i="2" s="1"/>
  <c r="AW11" i="2" s="1"/>
  <c r="AX11" i="2" s="1"/>
  <c r="AY11" i="2" s="1"/>
  <c r="AI10" i="2"/>
  <c r="AJ10" i="2" s="1"/>
  <c r="AK10" i="2" s="1"/>
  <c r="AL10" i="2" s="1"/>
  <c r="AM10" i="2" s="1"/>
  <c r="AN10" i="2" s="1"/>
  <c r="AO10" i="2" s="1"/>
  <c r="AP10" i="2" s="1"/>
  <c r="AQ10" i="2" s="1"/>
  <c r="AR10" i="2" s="1"/>
  <c r="AS10" i="2" s="1"/>
  <c r="AT10" i="2" s="1"/>
  <c r="AU10" i="2" s="1"/>
  <c r="AV10" i="2" s="1"/>
  <c r="AW10" i="2" s="1"/>
  <c r="AX10" i="2" s="1"/>
  <c r="AY10" i="2" s="1"/>
  <c r="AG10" i="2"/>
  <c r="AH10" i="2" s="1"/>
  <c r="AF10" i="2"/>
  <c r="AF9" i="2"/>
  <c r="AG9" i="2" s="1"/>
  <c r="AH9" i="2" s="1"/>
  <c r="AI9" i="2" s="1"/>
  <c r="AJ9" i="2" s="1"/>
  <c r="AK9" i="2" s="1"/>
  <c r="AL9" i="2" s="1"/>
  <c r="AM9" i="2" s="1"/>
  <c r="AN9" i="2" s="1"/>
  <c r="AO9" i="2" s="1"/>
  <c r="AP9" i="2" s="1"/>
  <c r="AQ9" i="2" s="1"/>
  <c r="AR9" i="2" s="1"/>
  <c r="AS9" i="2" s="1"/>
  <c r="AT9" i="2" s="1"/>
  <c r="AU9" i="2" s="1"/>
  <c r="AV9" i="2" s="1"/>
  <c r="AW9" i="2" s="1"/>
  <c r="AX9" i="2" s="1"/>
  <c r="AY9" i="2" s="1"/>
  <c r="AF8" i="2"/>
  <c r="AG8" i="2" s="1"/>
  <c r="AH8" i="2" s="1"/>
  <c r="AI8" i="2" s="1"/>
  <c r="AJ8" i="2" s="1"/>
  <c r="AK8" i="2" s="1"/>
  <c r="AL8" i="2" s="1"/>
  <c r="AM8" i="2" s="1"/>
  <c r="AN8" i="2" s="1"/>
  <c r="AO8" i="2" s="1"/>
  <c r="AP8" i="2" s="1"/>
  <c r="AQ8" i="2" s="1"/>
  <c r="AR8" i="2" s="1"/>
  <c r="AS8" i="2" s="1"/>
  <c r="AT8" i="2" s="1"/>
  <c r="AU8" i="2" s="1"/>
  <c r="AV8" i="2" s="1"/>
  <c r="AW8" i="2" s="1"/>
  <c r="AX8" i="2" s="1"/>
  <c r="AY8" i="2" s="1"/>
  <c r="AI7" i="2"/>
  <c r="AJ7" i="2" s="1"/>
  <c r="AK7" i="2" s="1"/>
  <c r="AL7" i="2" s="1"/>
  <c r="AM7" i="2" s="1"/>
  <c r="AN7" i="2" s="1"/>
  <c r="AO7" i="2" s="1"/>
  <c r="AP7" i="2" s="1"/>
  <c r="AQ7" i="2" s="1"/>
  <c r="AR7" i="2" s="1"/>
  <c r="AS7" i="2" s="1"/>
  <c r="AT7" i="2" s="1"/>
  <c r="AU7" i="2" s="1"/>
  <c r="AV7" i="2" s="1"/>
  <c r="AW7" i="2" s="1"/>
  <c r="AX7" i="2" s="1"/>
  <c r="AY7" i="2" s="1"/>
  <c r="AF7" i="2"/>
  <c r="AG7" i="2" s="1"/>
  <c r="AH7" i="2" s="1"/>
  <c r="AG6" i="2"/>
  <c r="AH6" i="2" s="1"/>
  <c r="AI6" i="2" s="1"/>
  <c r="AJ6" i="2" s="1"/>
  <c r="AK6" i="2" s="1"/>
  <c r="AL6" i="2" s="1"/>
  <c r="AM6" i="2" s="1"/>
  <c r="AN6" i="2" s="1"/>
  <c r="AO6" i="2" s="1"/>
  <c r="AP6" i="2" s="1"/>
  <c r="AQ6" i="2" s="1"/>
  <c r="AR6" i="2" s="1"/>
  <c r="AS6" i="2" s="1"/>
  <c r="AT6" i="2" s="1"/>
  <c r="AU6" i="2" s="1"/>
  <c r="AV6" i="2" s="1"/>
  <c r="AW6" i="2" s="1"/>
  <c r="AX6" i="2" s="1"/>
  <c r="AY6" i="2" s="1"/>
  <c r="AF6" i="2"/>
  <c r="AF5" i="2"/>
  <c r="AG5" i="2" s="1"/>
  <c r="AH5" i="2" s="1"/>
  <c r="AI5" i="2" s="1"/>
  <c r="AJ5" i="2" s="1"/>
  <c r="AK5" i="2" s="1"/>
  <c r="AL5" i="2" s="1"/>
  <c r="AM5" i="2" s="1"/>
  <c r="AN5" i="2" s="1"/>
  <c r="AO5" i="2" s="1"/>
  <c r="AP5" i="2" s="1"/>
  <c r="AQ5" i="2" s="1"/>
  <c r="AR5" i="2" s="1"/>
  <c r="AS5" i="2" s="1"/>
  <c r="AT5" i="2" s="1"/>
  <c r="AU5" i="2" s="1"/>
  <c r="AV5" i="2" s="1"/>
  <c r="AW5" i="2" s="1"/>
  <c r="AX5" i="2" s="1"/>
  <c r="AY5" i="2" s="1"/>
  <c r="AF4" i="2"/>
  <c r="AG4" i="2" s="1"/>
  <c r="AH4" i="2" s="1"/>
  <c r="AI4" i="2" s="1"/>
  <c r="AJ4" i="2" s="1"/>
  <c r="AK4" i="2" s="1"/>
  <c r="AL4" i="2" s="1"/>
  <c r="AM4" i="2" s="1"/>
  <c r="AN4" i="2" s="1"/>
  <c r="AO4" i="2" s="1"/>
  <c r="AP4" i="2" s="1"/>
  <c r="AQ4" i="2" s="1"/>
  <c r="AR4" i="2" s="1"/>
  <c r="AS4" i="2" s="1"/>
  <c r="AT4" i="2" s="1"/>
  <c r="AU4" i="2" s="1"/>
  <c r="AV4" i="2" s="1"/>
  <c r="AW4" i="2" s="1"/>
  <c r="AX4" i="2" s="1"/>
  <c r="AY4" i="2" s="1"/>
  <c r="AI3" i="2"/>
  <c r="AJ3" i="2" s="1"/>
  <c r="AK3" i="2" s="1"/>
  <c r="AL3" i="2" s="1"/>
  <c r="AM3" i="2" s="1"/>
  <c r="AN3" i="2" s="1"/>
  <c r="AO3" i="2" s="1"/>
  <c r="AP3" i="2" s="1"/>
  <c r="AQ3" i="2" s="1"/>
  <c r="AR3" i="2" s="1"/>
  <c r="AS3" i="2" s="1"/>
  <c r="AT3" i="2" s="1"/>
  <c r="AU3" i="2" s="1"/>
  <c r="AV3" i="2" s="1"/>
  <c r="AW3" i="2" s="1"/>
  <c r="AX3" i="2" s="1"/>
  <c r="AY3" i="2" s="1"/>
  <c r="AF3" i="2"/>
  <c r="AG3" i="2" s="1"/>
  <c r="AH3" i="2" s="1"/>
  <c r="AF2" i="2"/>
  <c r="AG2" i="2" s="1"/>
  <c r="AH2" i="2" s="1"/>
  <c r="AI2" i="2" s="1"/>
  <c r="AJ2" i="2" s="1"/>
  <c r="AK2" i="2" s="1"/>
  <c r="AL2" i="2" s="1"/>
  <c r="AM2" i="2" s="1"/>
  <c r="AN2" i="2" s="1"/>
  <c r="AO2" i="2" s="1"/>
  <c r="AP2" i="2" s="1"/>
  <c r="AQ2" i="2" s="1"/>
  <c r="AR2" i="2" s="1"/>
  <c r="AS2" i="2" s="1"/>
  <c r="AT2" i="2" s="1"/>
  <c r="AU2" i="2" s="1"/>
  <c r="AV2" i="2" s="1"/>
  <c r="AW2" i="2" s="1"/>
  <c r="AX2" i="2" s="1"/>
  <c r="AY2" i="2" s="1"/>
  <c r="AF1" i="49"/>
  <c r="AG1" i="49" l="1"/>
  <c r="AH1" i="43"/>
  <c r="AH1" i="42"/>
  <c r="AH1" i="41"/>
  <c r="AI1" i="43" l="1"/>
  <c r="AH1" i="49"/>
  <c r="AI1" i="42"/>
  <c r="AI1" i="41"/>
  <c r="AI1" i="49" l="1"/>
  <c r="AJ1" i="43"/>
  <c r="AJ1" i="42"/>
  <c r="AJ1" i="41"/>
  <c r="AJ1" i="49" l="1"/>
  <c r="AK1" i="43"/>
  <c r="AK1" i="42"/>
  <c r="AK1" i="41"/>
  <c r="AK1" i="49" l="1"/>
  <c r="AL1" i="43"/>
  <c r="AL1" i="42"/>
  <c r="AL1" i="41"/>
  <c r="AL1" i="49" l="1"/>
  <c r="AM1" i="43"/>
  <c r="AM1" i="42"/>
  <c r="AM1" i="41"/>
  <c r="AM1" i="49" l="1"/>
  <c r="AN1" i="43"/>
  <c r="AN1" i="42"/>
  <c r="AN1" i="41"/>
  <c r="AN1" i="49" l="1"/>
  <c r="AO1" i="43"/>
  <c r="AO1" i="42"/>
  <c r="AO1" i="41"/>
  <c r="AP1" i="43" l="1"/>
  <c r="AO1" i="49"/>
  <c r="AP1" i="42"/>
  <c r="AP1" i="41"/>
  <c r="J3" i="102"/>
  <c r="J7" i="102"/>
  <c r="J8" i="102" s="1"/>
  <c r="J6" i="102"/>
  <c r="J5" i="102"/>
  <c r="S6" i="14"/>
  <c r="F9" i="103"/>
  <c r="C9" i="103"/>
  <c r="B6" i="28"/>
  <c r="V6" i="28" s="1"/>
  <c r="B6" i="21"/>
  <c r="L6" i="21" s="1"/>
  <c r="D6" i="16"/>
  <c r="I6" i="16"/>
  <c r="L6" i="16"/>
  <c r="M6" i="16"/>
  <c r="P6" i="16"/>
  <c r="Q6" i="16"/>
  <c r="T6" i="16"/>
  <c r="V6" i="16"/>
  <c r="W6" i="16"/>
  <c r="X6" i="16"/>
  <c r="Z6" i="16"/>
  <c r="B6" i="16"/>
  <c r="N6" i="16" s="1"/>
  <c r="C6" i="14"/>
  <c r="D6" i="14"/>
  <c r="E6" i="14"/>
  <c r="F6" i="14"/>
  <c r="G6" i="14"/>
  <c r="H6" i="14"/>
  <c r="I6" i="14"/>
  <c r="J6" i="14"/>
  <c r="K6" i="14"/>
  <c r="L6" i="14"/>
  <c r="M6" i="14"/>
  <c r="N6" i="14"/>
  <c r="O6" i="14"/>
  <c r="P6" i="14"/>
  <c r="Q6" i="14"/>
  <c r="R6" i="14"/>
  <c r="T6" i="14"/>
  <c r="U6" i="14"/>
  <c r="V6" i="14"/>
  <c r="W6" i="14"/>
  <c r="X6" i="14"/>
  <c r="Y6" i="14"/>
  <c r="Z6" i="14"/>
  <c r="AA6" i="14"/>
  <c r="AB6" i="14"/>
  <c r="AC6" i="14"/>
  <c r="AD6" i="14"/>
  <c r="AE6" i="14"/>
  <c r="B6" i="14"/>
  <c r="F3" i="4"/>
  <c r="B6" i="5"/>
  <c r="K6" i="5" s="1"/>
  <c r="AQ1" i="43" l="1"/>
  <c r="AP1" i="49"/>
  <c r="AQ1" i="42"/>
  <c r="AQ1" i="41"/>
  <c r="W6" i="5"/>
  <c r="U6" i="5"/>
  <c r="T6" i="5"/>
  <c r="Q6" i="5"/>
  <c r="K6" i="16"/>
  <c r="N6" i="5"/>
  <c r="J6" i="16"/>
  <c r="V6" i="5"/>
  <c r="J6" i="5"/>
  <c r="I6" i="5"/>
  <c r="H6" i="5"/>
  <c r="H6" i="21"/>
  <c r="E6" i="5"/>
  <c r="AC6" i="16"/>
  <c r="AB6" i="16"/>
  <c r="B6" i="7"/>
  <c r="E6" i="7" s="1"/>
  <c r="AA6" i="16"/>
  <c r="X6" i="5"/>
  <c r="Z6" i="5"/>
  <c r="Y6" i="5"/>
  <c r="G6" i="5"/>
  <c r="F6" i="5"/>
  <c r="Y6" i="16"/>
  <c r="AE6" i="21"/>
  <c r="E6" i="21"/>
  <c r="AC6" i="21"/>
  <c r="AA6" i="21"/>
  <c r="Z6" i="21"/>
  <c r="U6" i="28"/>
  <c r="Y6" i="21"/>
  <c r="T6" i="28"/>
  <c r="X6" i="21"/>
  <c r="S6" i="28"/>
  <c r="G6" i="21"/>
  <c r="F6" i="21"/>
  <c r="AD6" i="21"/>
  <c r="D6" i="21"/>
  <c r="AB6" i="21"/>
  <c r="AB6" i="28"/>
  <c r="W6" i="21"/>
  <c r="R6" i="28"/>
  <c r="V6" i="21"/>
  <c r="Q6" i="28"/>
  <c r="U6" i="21"/>
  <c r="P6" i="28"/>
  <c r="T6" i="21"/>
  <c r="O6" i="28"/>
  <c r="R6" i="21"/>
  <c r="N6" i="28"/>
  <c r="D6" i="5"/>
  <c r="O6" i="21"/>
  <c r="M6" i="28"/>
  <c r="AD6" i="5"/>
  <c r="H6" i="16"/>
  <c r="N6" i="21"/>
  <c r="H6" i="28"/>
  <c r="AC6" i="5"/>
  <c r="C6" i="16"/>
  <c r="G6" i="16"/>
  <c r="K6" i="21"/>
  <c r="AB6" i="5"/>
  <c r="AE6" i="16"/>
  <c r="F6" i="16"/>
  <c r="J6" i="21"/>
  <c r="AA6" i="5"/>
  <c r="AD6" i="16"/>
  <c r="E6" i="16"/>
  <c r="I6" i="21"/>
  <c r="C6" i="28"/>
  <c r="L6" i="28"/>
  <c r="AE6" i="28"/>
  <c r="K6" i="28"/>
  <c r="S6" i="5"/>
  <c r="AD6" i="28"/>
  <c r="J6" i="28"/>
  <c r="R6" i="5"/>
  <c r="U6" i="16"/>
  <c r="S6" i="21"/>
  <c r="AC6" i="28"/>
  <c r="I6" i="28"/>
  <c r="P6" i="5"/>
  <c r="S6" i="16"/>
  <c r="Q6" i="21"/>
  <c r="AA6" i="28"/>
  <c r="G6" i="28"/>
  <c r="O6" i="5"/>
  <c r="R6" i="16"/>
  <c r="P6" i="21"/>
  <c r="Z6" i="28"/>
  <c r="F6" i="28"/>
  <c r="Y6" i="28"/>
  <c r="X6" i="28"/>
  <c r="C6" i="5"/>
  <c r="W6" i="28"/>
  <c r="E6" i="28"/>
  <c r="M6" i="5"/>
  <c r="D6" i="28"/>
  <c r="L6" i="5"/>
  <c r="O6" i="16"/>
  <c r="M6" i="21"/>
  <c r="AE6" i="5"/>
  <c r="B4" i="16"/>
  <c r="C6" i="21"/>
  <c r="B9" i="95"/>
  <c r="B5" i="95"/>
  <c r="J4" i="101"/>
  <c r="J3" i="101"/>
  <c r="I4" i="101"/>
  <c r="I3" i="101"/>
  <c r="AQ1" i="49" l="1"/>
  <c r="AR1" i="43"/>
  <c r="AR1" i="42"/>
  <c r="AR1" i="41"/>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V4" i="16"/>
  <c r="W4" i="16"/>
  <c r="D4" i="16"/>
  <c r="E4" i="16"/>
  <c r="Y4" i="16"/>
  <c r="H4" i="16"/>
  <c r="AB4" i="16"/>
  <c r="X4" i="16"/>
  <c r="R4" i="16"/>
  <c r="F4" i="16"/>
  <c r="Z4" i="16"/>
  <c r="G4" i="16"/>
  <c r="AA4" i="16"/>
  <c r="P4" i="16"/>
  <c r="S4" i="16"/>
  <c r="U4" i="16"/>
  <c r="C4" i="16"/>
  <c r="I4" i="16"/>
  <c r="AC4" i="16"/>
  <c r="J4" i="16"/>
  <c r="AD4" i="16"/>
  <c r="K4" i="16"/>
  <c r="AE4" i="16"/>
  <c r="L4" i="16"/>
  <c r="M4" i="16"/>
  <c r="N4" i="16"/>
  <c r="O4" i="16"/>
  <c r="Q4" i="16"/>
  <c r="T4" i="16"/>
  <c r="L4" i="7"/>
  <c r="M4" i="7"/>
  <c r="V4" i="7"/>
  <c r="D4" i="7"/>
  <c r="AE4" i="7"/>
  <c r="D5" i="95"/>
  <c r="E5" i="95"/>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5" i="95"/>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AR1" i="49" l="1"/>
  <c r="AS1" i="43"/>
  <c r="AS1" i="42"/>
  <c r="AS1" i="41"/>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N4" i="28"/>
  <c r="J4" i="28"/>
  <c r="I4" i="28"/>
  <c r="H4" i="28"/>
  <c r="G4" i="28"/>
  <c r="F4" i="28"/>
  <c r="E4" i="28"/>
  <c r="D4" i="28"/>
  <c r="W4" i="28"/>
  <c r="V4" i="28"/>
  <c r="U4" i="28"/>
  <c r="S4" i="28"/>
  <c r="R4" i="28"/>
  <c r="Q4" i="28"/>
  <c r="P4" i="28"/>
  <c r="M4" i="28"/>
  <c r="L4" i="28"/>
  <c r="K4" i="28"/>
  <c r="C4" i="28"/>
  <c r="B4" i="28"/>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D4" i="21"/>
  <c r="AE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G4" i="5"/>
  <c r="H4" i="5"/>
  <c r="P4" i="5"/>
  <c r="X4" i="5"/>
  <c r="AE4" i="5"/>
  <c r="B4" i="5"/>
  <c r="C4" i="5"/>
  <c r="D4" i="5"/>
  <c r="E4" i="5"/>
  <c r="F4" i="5"/>
  <c r="I4" i="5"/>
  <c r="J4" i="5"/>
  <c r="K4" i="5"/>
  <c r="L4" i="5"/>
  <c r="M4" i="5"/>
  <c r="N4" i="5"/>
  <c r="O4" i="5"/>
  <c r="Q4" i="5"/>
  <c r="R4" i="5"/>
  <c r="S4" i="5"/>
  <c r="T4" i="5"/>
  <c r="U4" i="5"/>
  <c r="V4" i="5"/>
  <c r="W4" i="5"/>
  <c r="Y4" i="5"/>
  <c r="Z4" i="5"/>
  <c r="AA4" i="5"/>
  <c r="AB4" i="5"/>
  <c r="AC4" i="5"/>
  <c r="AD4" i="5"/>
  <c r="AS1" i="49" l="1"/>
  <c r="AT1" i="43"/>
  <c r="AT1" i="42"/>
  <c r="AT1" i="41"/>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AT1" i="49" l="1"/>
  <c r="AU1" i="43"/>
  <c r="AU1" i="42"/>
  <c r="AU1" i="41"/>
  <c r="O15" i="10"/>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AU1" i="49" l="1"/>
  <c r="AV1" i="43"/>
  <c r="AV1" i="42"/>
  <c r="AV1" i="41"/>
  <c r="G30" i="10"/>
  <c r="C3" i="49"/>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AW1" i="43" l="1"/>
  <c r="AV1" i="49"/>
  <c r="AW1" i="42"/>
  <c r="AW1" i="41"/>
  <c r="R4" i="49"/>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AX1" i="43" l="1"/>
  <c r="AW1" i="49"/>
  <c r="AX1" i="42"/>
  <c r="AX1" i="41"/>
  <c r="B2" i="49"/>
  <c r="B6" i="49"/>
  <c r="B4" i="49"/>
  <c r="X30" i="10"/>
  <c r="X5" i="22" s="1"/>
  <c r="T30" i="10"/>
  <c r="T7" i="6" s="1"/>
  <c r="L30" i="10"/>
  <c r="L5" i="15" s="1"/>
  <c r="D30" i="10"/>
  <c r="D5" i="23" s="1"/>
  <c r="AB30" i="10"/>
  <c r="AB7" i="22" s="1"/>
  <c r="P30" i="10"/>
  <c r="P7" i="30" s="1"/>
  <c r="H30" i="10"/>
  <c r="H7" i="42" s="1"/>
  <c r="H7" i="48" s="1"/>
  <c r="AE30" i="10"/>
  <c r="AE5" i="15" s="1"/>
  <c r="AA30" i="10"/>
  <c r="AA7" i="22" s="1"/>
  <c r="W30" i="10"/>
  <c r="W7" i="22" s="1"/>
  <c r="S30" i="10"/>
  <c r="S7" i="6" s="1"/>
  <c r="O30" i="10"/>
  <c r="O7" i="42" s="1"/>
  <c r="O7" i="48" s="1"/>
  <c r="K30" i="10"/>
  <c r="K5" i="42" s="1"/>
  <c r="K5" i="48" s="1"/>
  <c r="G5" i="15"/>
  <c r="C30" i="10"/>
  <c r="AC30" i="10"/>
  <c r="AC5" i="6" s="1"/>
  <c r="Y30" i="10"/>
  <c r="Y7" i="29" s="1"/>
  <c r="U30" i="10"/>
  <c r="U7" i="6" s="1"/>
  <c r="Q30" i="10"/>
  <c r="Q5" i="30" s="1"/>
  <c r="M30" i="10"/>
  <c r="M5" i="6" s="1"/>
  <c r="I30" i="10"/>
  <c r="I5" i="42" s="1"/>
  <c r="I5" i="48" s="1"/>
  <c r="E30" i="10"/>
  <c r="E7" i="22" s="1"/>
  <c r="AD30" i="10"/>
  <c r="AD7" i="15" s="1"/>
  <c r="Z30" i="10"/>
  <c r="Z5" i="23" s="1"/>
  <c r="V30" i="10"/>
  <c r="V7" i="6" s="1"/>
  <c r="R30" i="10"/>
  <c r="R7" i="42" s="1"/>
  <c r="R7" i="48" s="1"/>
  <c r="N30" i="10"/>
  <c r="N7" i="15" s="1"/>
  <c r="J30" i="10"/>
  <c r="J7" i="15" s="1"/>
  <c r="F30" i="10"/>
  <c r="F5" i="6" s="1"/>
  <c r="B30" i="10"/>
  <c r="B7" i="22" s="1"/>
  <c r="AY1" i="43" l="1"/>
  <c r="AY1" i="49" s="1"/>
  <c r="AX1" i="49"/>
  <c r="AY1" i="42"/>
  <c r="AY1" i="41"/>
  <c r="AE7" i="23"/>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B5" i="6"/>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<sst xmlns="http://schemas.openxmlformats.org/spreadsheetml/2006/main" count="2532" uniqueCount="1058">
  <si>
    <t>BPoEFUbVT BAU Perc of Each Fuel Used by Veh Technology</t>
  </si>
  <si>
    <t>Sources:</t>
  </si>
  <si>
    <t>most vehicles and fuels</t>
  </si>
  <si>
    <t>EIA</t>
  </si>
  <si>
    <t>2021, 2022</t>
  </si>
  <si>
    <t>Annual Energy Outlook 2021, 2022</t>
  </si>
  <si>
    <t>https://www.eia.gov/outlooks/aeo/index.php</t>
  </si>
  <si>
    <t>Table 36</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</si>
  <si>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</si>
  <si>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</si>
  <si>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</si>
  <si>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</si>
  <si>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</si>
  <si>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</si>
  <si>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</si>
  <si>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</si>
  <si>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Percent ethanol</t>
  </si>
  <si>
    <t>Monthly Energy Review, May 2020</t>
  </si>
  <si>
    <t>https://www.eia.gov/energyexplained//biofuels/charts/fuel-ethanol-motor-gasoline.csv</t>
  </si>
  <si>
    <t>About</t>
  </si>
  <si>
    <t>We include sheets for all possible vehicle type / cargo type / vehicle technology</t>
  </si>
  <si>
    <t>combinations that the model supports, even though some combinations are not used</t>
  </si>
  <si>
    <t>in the U.S. dataset.  (For example, there are no freight motorbikes in the U.S. model.)</t>
  </si>
  <si>
    <t>This is to support adaptation to other countries that may wish to use that vehicle</t>
  </si>
  <si>
    <t>combination.  (For example, some countries may wish to represent three-wheeled,</t>
  </si>
  <si>
    <t>motorized carts used for urban hauling and commerce as freight motorbikes.</t>
  </si>
  <si>
    <t>Another example: battery electric freight HDVs barely exist today, but the model</t>
  </si>
  <si>
    <t>includes a sheet for them, so it can support them in the future without changing</t>
  </si>
  <si>
    <t>the model structure.)</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</si>
  <si>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</si>
  <si>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</si>
  <si>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</si>
  <si>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</si>
  <si>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</si>
  <si>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</si>
  <si>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</si>
  <si>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</si>
  <si>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We are only concerned with commercial aircraft, not general aviation, so we</t>
  </si>
  <si>
    <t>disregard the small amount of aviation gasoline used.</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</si>
  <si>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</si>
  <si>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</si>
  <si>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</si>
  <si>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</si>
  <si>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U.S. fuel ethanol consumption and percent of total U.S. motor gasoline consumption, 1981-2019</t>
  </si>
  <si>
    <t>fuel ethanol consumption - billion gallons</t>
  </si>
  <si>
    <t>fuel ethanol % of motor gasoline consumption</t>
  </si>
  <si>
    <t>Note: Motor gasoline is finished motor gasoline.</t>
  </si>
  <si>
    <t>Source: U.S. Energy Information Administration, &lt;em&gt;Monthly Energy Review&lt;/em&gt; and &lt;em&gt;Petroleum Supply Monthly&lt;/em&gt;, May 2020</t>
  </si>
  <si>
    <t>consumption</t>
  </si>
  <si>
    <t>% of gasoline consumption</t>
  </si>
  <si>
    <t>ref2019.d111618a</t>
  </si>
  <si>
    <t>Report</t>
  </si>
  <si>
    <t>Annual Energy Outlook 2019</t>
  </si>
  <si>
    <t>Scenario</t>
  </si>
  <si>
    <t>ref2019</t>
  </si>
  <si>
    <t>Reference case</t>
  </si>
  <si>
    <t>Datekey</t>
  </si>
  <si>
    <t>d111618a</t>
  </si>
  <si>
    <t>Release Date</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</si>
  <si>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</si>
  <si>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</si>
  <si>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</si>
  <si>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</si>
  <si>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</si>
  <si>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</si>
  <si>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</si>
  <si>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</si>
  <si>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</si>
  <si>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</si>
  <si>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</si>
  <si>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</si>
  <si>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</si>
  <si>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</si>
  <si>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</si>
  <si>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</si>
  <si>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</si>
  <si>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</si>
  <si>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</si>
  <si>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</si>
  <si>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</si>
  <si>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</si>
  <si>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</si>
  <si>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</si>
  <si>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</si>
  <si>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</si>
  <si>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</si>
  <si>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</si>
  <si>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</si>
  <si>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</si>
  <si>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</si>
  <si>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</si>
  <si>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</si>
  <si>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</si>
  <si>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</si>
  <si>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</si>
  <si>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</si>
  <si>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</si>
  <si>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</si>
  <si>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</si>
  <si>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</si>
  <si>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</si>
  <si>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</si>
  <si>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</si>
  <si>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</si>
  <si>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</si>
  <si>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</si>
  <si>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</si>
  <si>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</si>
  <si>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</si>
  <si>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</si>
  <si>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</si>
  <si>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</si>
  <si>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</si>
  <si>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</si>
  <si>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</si>
  <si>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</si>
  <si>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</si>
  <si>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</si>
  <si>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</si>
  <si>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</si>
  <si>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</si>
  <si>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</si>
  <si>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</si>
  <si>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</si>
  <si>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</si>
  <si>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</si>
  <si>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</si>
  <si>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</si>
  <si>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</si>
  <si>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</si>
  <si>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</si>
  <si>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</si>
  <si>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</si>
  <si>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</si>
  <si>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</si>
  <si>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</si>
  <si>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</si>
  <si>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</si>
  <si>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</si>
  <si>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</si>
  <si>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</si>
  <si>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</si>
  <si>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</si>
  <si>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</si>
  <si>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</si>
  <si>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</si>
  <si>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</si>
  <si>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</si>
  <si>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</si>
  <si>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</si>
  <si>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</si>
  <si>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</si>
  <si>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</si>
  <si>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</si>
  <si>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</si>
  <si>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</si>
  <si>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</si>
  <si>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</si>
  <si>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</si>
  <si>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</si>
  <si>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</si>
  <si>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</si>
  <si>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</si>
  <si>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</si>
  <si>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</si>
  <si>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</si>
  <si>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</si>
  <si>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</si>
  <si>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</si>
  <si>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</si>
  <si>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</si>
  <si>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</si>
  <si>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 -</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</si>
  <si>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</si>
  <si>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</si>
  <si>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</si>
  <si>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</si>
  <si>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</si>
  <si>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</si>
  <si>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</si>
  <si>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</si>
  <si>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</si>
  <si>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</si>
  <si>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</si>
  <si>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</si>
  <si>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https://www.eia.gov/environment/emissions/co2_vol_mass.php</t>
  </si>
  <si>
    <t>Carbon Dioxide Emissions Coefficients by Fuel</t>
  </si>
  <si>
    <t>Percentage of BTUs per barrel from ethanol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</si>
  <si>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</si>
  <si>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</si>
  <si>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</si>
  <si>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</si>
  <si>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</si>
  <si>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BTU per barrel, finished gasoline</t>
  </si>
  <si>
    <t>For homes and businesses</t>
  </si>
  <si>
    <t>BTU per barrel, motor gasoline before blending</t>
  </si>
  <si>
    <t>Propane</t>
  </si>
  <si>
    <t>12.68 gallon</t>
  </si>
  <si>
    <t>5.75 gallon</t>
  </si>
  <si>
    <t>BTUs per barrel from motor gasoline</t>
  </si>
  <si>
    <t>Diesel and Home Heating Fuel (Distillate Fuel Oil)</t>
  </si>
  <si>
    <t>22.45 gallon</t>
  </si>
  <si>
    <t>10.19 gallon</t>
  </si>
  <si>
    <t>Percentage of BTUs per barrel from motor gasoline</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</si>
  <si>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</si>
  <si>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</si>
  <si>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</si>
  <si>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</si>
  <si>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</si>
  <si>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</si>
  <si>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</si>
  <si>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</si>
  <si>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</si>
  <si>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</si>
  <si>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</si>
  <si>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</si>
  <si>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Motor Gasoline</t>
  </si>
  <si>
    <t>19.37 gallon</t>
  </si>
  <si>
    <t>8.78 gallon</t>
  </si>
  <si>
    <t>Residual Heating Fuel (Businesses only)</t>
  </si>
  <si>
    <t>24.78 gallon</t>
  </si>
  <si>
    <t>11.24 gallon</t>
  </si>
  <si>
    <t>Other transportation fuels</t>
  </si>
  <si>
    <t>Jet Fuel</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</si>
  <si>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</si>
  <si>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</si>
  <si>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</si>
  <si>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</si>
  <si>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</si>
  <si>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</si>
  <si>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</si>
  <si>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</si>
  <si>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</si>
  <si>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</si>
  <si>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</si>
  <si>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</si>
  <si>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</si>
  <si>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Lubricants</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</si>
  <si>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</si>
  <si>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</si>
  <si>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</si>
  <si>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</si>
  <si>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</si>
  <si>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</si>
  <si>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</si>
  <si>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</si>
  <si>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</si>
  <si>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</si>
  <si>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</si>
  <si>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</si>
  <si>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</si>
  <si>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</si>
  <si>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</si>
  <si>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</si>
  <si>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</si>
  <si>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</si>
  <si>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</si>
  <si>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</si>
  <si>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</si>
  <si>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</si>
  <si>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</si>
  <si>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</si>
  <si>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</si>
  <si>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</si>
  <si>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</si>
  <si>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</si>
  <si>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</si>
  <si>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</si>
  <si>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</si>
  <si>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</si>
  <si>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</si>
  <si>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</si>
  <si>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</si>
  <si>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</si>
  <si>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</si>
  <si>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</si>
  <si>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</si>
  <si>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</si>
  <si>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</si>
  <si>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</si>
  <si>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</si>
  <si>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ref2023.d020623a</t>
  </si>
  <si>
    <t>Annual Energy Outlook 2023</t>
  </si>
  <si>
    <t>ref2023</t>
  </si>
  <si>
    <t>Reference</t>
  </si>
  <si>
    <t>d020623a</t>
  </si>
  <si>
    <t xml:space="preserve"> March 2023</t>
  </si>
  <si>
    <t>REM000</t>
  </si>
  <si>
    <t>17. Renewable Energy Consumption by Sector and Source</t>
  </si>
  <si>
    <t>Average</t>
  </si>
  <si>
    <t>(quadrillion Btu, unless otherwise noted)</t>
  </si>
  <si>
    <t>Annual</t>
  </si>
  <si>
    <t>Change</t>
  </si>
  <si>
    <t xml:space="preserve"> Sector and Source</t>
  </si>
  <si>
    <t>2022–2050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</si>
  <si>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</si>
  <si>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</si>
  <si>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</si>
  <si>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</si>
  <si>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</si>
  <si>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</si>
  <si>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</si>
  <si>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</si>
  <si>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</si>
  <si>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</si>
  <si>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</si>
  <si>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</si>
  <si>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</si>
  <si>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</si>
  <si>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</si>
  <si>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</si>
  <si>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</si>
  <si>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</si>
  <si>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</si>
  <si>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</si>
  <si>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</si>
  <si>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</si>
  <si>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</si>
  <si>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</si>
  <si>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</si>
  <si>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</si>
  <si>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</si>
  <si>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</si>
  <si>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</si>
  <si>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</si>
  <si>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</si>
  <si>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</si>
  <si>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</si>
  <si>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</si>
  <si>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</si>
  <si>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</si>
  <si>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</si>
  <si>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</si>
  <si>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</si>
  <si>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</si>
  <si>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</si>
  <si>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</si>
  <si>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</si>
  <si>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</si>
  <si>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</si>
  <si>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 xml:space="preserve">    Solar Photovoltaic 8/</t>
  </si>
  <si>
    <t>REM000:ha_Wind</t>
  </si>
  <si>
    <t xml:space="preserve">    Wind</t>
  </si>
  <si>
    <t>REM000:ia_TotalMarketed</t>
  </si>
  <si>
    <t xml:space="preserve">  Total Marketed Renewable Energy</t>
  </si>
  <si>
    <t>Sources of Ethanol</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</si>
  <si>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</si>
  <si>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</si>
  <si>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</si>
  <si>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</si>
  <si>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</si>
  <si>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</si>
  <si>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</si>
  <si>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</si>
  <si>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Nonmarketed Renewable Energy 9/</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</si>
  <si>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</si>
  <si>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</si>
  <si>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</si>
  <si>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</si>
  <si>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</si>
  <si>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</si>
  <si>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</si>
  <si>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</si>
  <si>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</si>
  <si>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</si>
  <si>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</si>
  <si>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</si>
  <si>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</si>
  <si>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</si>
  <si>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</si>
  <si>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</si>
  <si>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on the electric power grid.  Excludes electricity imports, which are in Table 2.  Actual heat rates used to determine fuel consumption</t>
  </si>
  <si>
    <t>for all renewable fuels except hydroelectric, geothermal, solar, and wind.  Consumption at hydroelectric, geothermal, solar, and</t>
  </si>
  <si>
    <t>wind facilities is determined by using the average electric power sector net heat rate for fossil fuels.</t>
  </si>
  <si>
    <t>2/ Includes combined-heat-and-power plants that have a non-regulatory status and small on-site generating systems.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</si>
  <si>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</si>
  <si>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</si>
  <si>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</si>
  <si>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</si>
  <si>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6/ Includes consumption of energy by electricity-only and combined-heat-and-power plants that have a regulatory status.</t>
  </si>
  <si>
    <t>7/ Includes biogenic municipal waste, landfill gas, and municipal sewage sludge.  Incremental growth is assumed to be for</t>
  </si>
  <si>
    <t>landfill gas facilities.</t>
  </si>
  <si>
    <t>8/ Does not include off-grid photovoltaics.</t>
  </si>
  <si>
    <t>9/ Includes selected renewable energy consumption data for which the energy is not bought or sold, either</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</si>
  <si>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</si>
  <si>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</si>
  <si>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</si>
  <si>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</si>
  <si>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</si>
  <si>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Data source: 2022:  U.S. Energy Information Administration (EIA), Short-Term Energy Outlook, November 2022 and EIA,</t>
  </si>
  <si>
    <t>AEO2023 National Energy Modeling System run ref2023.d020623a. Projections:  EIA, AEO2023 National Energy Modeling System run ref2023.d020623a.</t>
  </si>
  <si>
    <t>Table 17.  Renewable Energy Consumption by Sector and Source</t>
  </si>
  <si>
    <t>https://www.eia.gov/outlooks/aeo/data/browser/#/?id=24-AEO2022&amp;sourcekey=0</t>
  </si>
  <si>
    <t>Mon Apr 17 2023 13:54:10 GMT-0400 (Eastern Daylight Time)</t>
  </si>
  <si>
    <t>Source: U.S. Energy Information Administration</t>
  </si>
  <si>
    <t>full name</t>
  </si>
  <si>
    <t>api key</t>
  </si>
  <si>
    <t>units</t>
  </si>
  <si>
    <t>Growth (2021-2050)</t>
  </si>
  <si>
    <t>Marketed Renewable Energy</t>
  </si>
  <si>
    <t>Residential (wood)</t>
  </si>
  <si>
    <t>Renewable Energy: Marketed Use: Residential: Wood: Reference case</t>
  </si>
  <si>
    <t>AEO.2022.REF2022.CNSM_NA_RESD_NA_BMS_NA_NA_QBTU.A</t>
  </si>
  <si>
    <t>quads</t>
  </si>
  <si>
    <t>Commercial (biomass)</t>
  </si>
  <si>
    <t>Renewable Energy: Marketed Use: Commercial: Biomass: Reference case</t>
  </si>
  <si>
    <t>AEO.2022.REF2022.CNSM_NA_COMM_NA_BMS_NA_NA_QBTU.A</t>
  </si>
  <si>
    <t>Industrial</t>
  </si>
  <si>
    <t>Renewable Energy: Marketed Use: Industrial: Reference case</t>
  </si>
  <si>
    <t>AEO.2022.REF2022.CNSM_NA_IDAL_NA_MRE_NA_NA_QBTU.A</t>
  </si>
  <si>
    <t>Conventional Hydroelectric Power</t>
  </si>
  <si>
    <t>Renewable Energy: Marketed Use: Industrial: Hydropower: Reference case</t>
  </si>
  <si>
    <t>AEO.2022.REF2022.CNSM_NA_IDAL_NA_HYD_CNV_NA_QBTU.A</t>
  </si>
  <si>
    <t>Municipal Waste</t>
  </si>
  <si>
    <t>Renewable Energy: Marketed Use: Industrial: Municipal Waste: Reference case</t>
  </si>
  <si>
    <t>AEO.2022.REF2022.CNSM_NA_IDAL_NA_MUNWST_NA_NA_QBTU.A</t>
  </si>
  <si>
    <t>Biomass</t>
  </si>
  <si>
    <t>Renewable Energy: Marketed Use: Industrial: Biomass: Reference case</t>
  </si>
  <si>
    <t>AEO.2022.REF2022.CNSM_NA_IDAL_NA_BMS_NA_NA_QBTU.A</t>
  </si>
  <si>
    <t>Biofuels Heat and Coproducts</t>
  </si>
  <si>
    <t>Renewable Energy: Marketed Use: Industrial: Biofuels Heat and Coproducts: Reference case</t>
  </si>
  <si>
    <t>AEO.2022.REF2022.CNSM_NA_IDAL_NA_BFH_NA_NA_QBTU.A</t>
  </si>
  <si>
    <t>Transportation</t>
  </si>
  <si>
    <t>Renewable Energy: Marketed Use: Transportation: Reference case</t>
  </si>
  <si>
    <t>AEO.2022.REF2022.CNSM_NA_TRN_NA_NA_NA_NA_QBTU.A</t>
  </si>
  <si>
    <t>Ethanol used in E85</t>
  </si>
  <si>
    <t>Renewable Energy: Marketed Use: Transportation: Ethanol used in E85: Reference case</t>
  </si>
  <si>
    <t>AEO.2022.REF2022.CNSM_NA_TRN_NA_ETE_NA_NA_QBTU.A</t>
  </si>
  <si>
    <t>Ethanol used in Gasoline Blending</t>
  </si>
  <si>
    <t>Renewable Energy: Marketed Use: Transportation: Ethanol used in Gasoline Blending: Reference case</t>
  </si>
  <si>
    <t>AEO.2022.REF2022.CNSM_NA_TRN_NA_EBL_NA_NA_QBTU.A</t>
  </si>
  <si>
    <t>Biodiesel used in Distillate Blending</t>
  </si>
  <si>
    <t>Renewable Energy: Marketed Use: Transportation: Biodiesel used in Distillate Blending: Reference case</t>
  </si>
  <si>
    <t>AEO.2022.REF2022.CNSM_NA_TRN_NA_BUD_NA_NA_QBTU.A</t>
  </si>
  <si>
    <t>Biobutanol</t>
  </si>
  <si>
    <t>Renewable Energy: Marketed Use: Transportation: Biobutanol: Reference case</t>
  </si>
  <si>
    <t>AEO.2022.REF2022.CNSM_NA_TRN_NA_BIOB_NA_NA_NA.A</t>
  </si>
  <si>
    <t>Liquids from Biomass</t>
  </si>
  <si>
    <t>Renewable Energy: Marketed Use: Transportation: Liquids from Biomass: Reference case</t>
  </si>
  <si>
    <t>AEO.2022.REF2022.CNSM_NA_TRN_NA_LFB_NA_NA_QBTU.A</t>
  </si>
  <si>
    <t>Renewable Diesel and Gasoline</t>
  </si>
  <si>
    <t>Renewable Energy: Marketed Use: Transportation: Green Liquids: Reference case</t>
  </si>
  <si>
    <t>AEO.2022.REF2022.CNSM_NA_TRN_NA_GLQ_NA_NA_QBTU.A</t>
  </si>
  <si>
    <t>Electric Power</t>
  </si>
  <si>
    <t>Renewable Energy: Marketed Use: Electric Power: Reference case</t>
  </si>
  <si>
    <t>AEO.2022.REF2022.CNSM_NA_ELEP_NA_NA_NA_NA_QBTU.A</t>
  </si>
  <si>
    <t>Renewable Energy: Marketed Use: Electric Power: Hydropower: Reference case</t>
  </si>
  <si>
    <t>AEO.2022.REF2022.CNSM_NA_ELEP_NA_HYD_CNV_NA_QBTU.A</t>
  </si>
  <si>
    <t>Geothermal</t>
  </si>
  <si>
    <t>Renewable Energy: Marketed Use: Electric Power: Geothermal: Reference case</t>
  </si>
  <si>
    <t>AEO.2022.REF2022.CNSM_NA_ELEP_NA_GEOTHM_NA_NA_QBTU.A</t>
  </si>
  <si>
    <t>Biogenic Municipal Waste</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</si>
  <si>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</si>
  <si>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</si>
  <si>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</si>
  <si>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</si>
  <si>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Dedicated Plants</t>
  </si>
  <si>
    <t>Renewable Energy: Marketed Use: Electric Power: Biomass: Dedicated Plants: Reference case</t>
  </si>
  <si>
    <t>AEO.2022.REF2022.CNSM_NA_ELEP_NA_DPE_NA_NA_QBTU.A</t>
  </si>
  <si>
    <t>Cofiring</t>
  </si>
  <si>
    <t>Renewable Energy: Marketed Use: Electric Power: Biomass: Cofiring: Reference case</t>
  </si>
  <si>
    <t>AEO.2022.REF2022.CNSM_NA_ELEP_NA_CFR_NA_NA_QBTU.A</t>
  </si>
  <si>
    <t>Solar Thermal</t>
  </si>
  <si>
    <t>Renewable Energy: Marketed Use: Electric Power: Solar Thermal: Reference case</t>
  </si>
  <si>
    <t>AEO.2022.REF2022.CNSM_NA_ELEP_NA_SLR_THERM_NA_QBTU.A</t>
  </si>
  <si>
    <t>Solar Photovoltaic</t>
  </si>
  <si>
    <t>Renewable Energy: Marketed Use: Electric Power: Solar Photovoltaic: Reference case</t>
  </si>
  <si>
    <t>AEO.2022.REF2022.CNSM_NA_ELEP_NA_SLR_PHTVL_NA_QBTU.A</t>
  </si>
  <si>
    <t>Wind</t>
  </si>
  <si>
    <t>Renewable Energy: Marketed Use: Electric Power: Wind: Reference case</t>
  </si>
  <si>
    <t>AEO.2022.REF2022.CNSM_NA_ELEP_NA_WND_NA_NA_QBTU.A</t>
  </si>
  <si>
    <t>Total Marketed Renewable Energy</t>
  </si>
  <si>
    <t>Renewable Energy: Total Marketed Renewable Energy Use: Reference case</t>
  </si>
  <si>
    <t>AEO.2022.REF2022.CNSM_NA_NA_NA_NA_NA_NA_QBTU.A</t>
  </si>
  <si>
    <t>From Corn and Other Starch</t>
  </si>
  <si>
    <t>Renewable Energy: Sources of Ethanol: From Corn: Reference case</t>
  </si>
  <si>
    <t>AEO.2022.REF2022.SUP_PRD_FCO_NA_ETH_NA_NA_QBTU.A</t>
  </si>
  <si>
    <t>From Cellulose</t>
  </si>
  <si>
    <t>Renewable Energy: Sources of Ethanol: From Cellulose: Reference case</t>
  </si>
  <si>
    <t>AEO.2022.REF2022.SUP_PRD_FCE_NA_ETH_NA_NA_QBTU.A</t>
  </si>
  <si>
    <t>Net Imports</t>
  </si>
  <si>
    <t>Renewable Energy: Sources of Ethanol: Net Imports: Reference case</t>
  </si>
  <si>
    <t>AEO.2022.REF2022.SUP_NETIMP_NA_NA_ETH_NA_NA_QBTU.A</t>
  </si>
  <si>
    <t>Total U.S. Supply of Ethanol</t>
  </si>
  <si>
    <t>Renewable Energy: Total U.S. Supply of Ethanol: Reference case</t>
  </si>
  <si>
    <t>AEO.2022.REF2022.SUP_NA_NA_NA_ETH_NA_NA_QBTU.A</t>
  </si>
  <si>
    <t>Nonmarketed Renewable Energy</t>
  </si>
  <si>
    <t>Selected Consumption</t>
  </si>
  <si>
    <t>Residential</t>
  </si>
  <si>
    <t>Renewable Energy: Nonmarketed Selected Use: Residential: Reference case</t>
  </si>
  <si>
    <t>AEO.2022.REF2022.CNSM_NA_RESD_NA_NA_NA_NA_QBTU.A</t>
  </si>
  <si>
    <t>Solar Hot Water Heating</t>
  </si>
  <si>
    <t>Renewable Energy: Nonmarketed Selected Use: Residential: Solar Hot Water Heating: Reference case</t>
  </si>
  <si>
    <t>AEO.2022.REF2022.CNSM_NA_RESD_NA_SHW_NA_NA_QBTU.A</t>
  </si>
  <si>
    <t>Geothermal Heat Pumps</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</si>
  <si>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</si>
  <si>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</si>
  <si>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</si>
  <si>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</si>
  <si>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</si>
  <si>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</si>
  <si>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Commercial</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</si>
  <si>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</si>
  <si>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</si>
  <si>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</si>
  <si>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</si>
  <si>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</si>
  <si>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</si>
  <si>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</si>
  <si>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</si>
  <si>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Table 36.  Transportation Sector Energy Use by Fuel Type Within a Mode</t>
  </si>
  <si>
    <t>https://www.eia.gov/outlooks/aeo/data/browser/#/?id=46-AEO2023&amp;sourcekey=0</t>
  </si>
  <si>
    <t>Mon Apr 17 2023 13:56:35 GMT-0400 (Eastern Daylight Time)</t>
  </si>
  <si>
    <t>Growth (2022-2050)</t>
  </si>
  <si>
    <t>Light-Duty Vehicle</t>
  </si>
  <si>
    <t>Transportation Energy Use: Light-Duty Vehicle: Total: Reference case</t>
  </si>
  <si>
    <t>AEO.2023.REF2023.CNSM_NA_TRN_LDTY_NA_NA_NA_TRLBTU.A</t>
  </si>
  <si>
    <t>trillion Btu</t>
  </si>
  <si>
    <t>Motor Gasoline excluding E85</t>
  </si>
  <si>
    <t>Transportation Energy Use: Light-Duty Vehicle: Motor Gasoline: Reference case</t>
  </si>
  <si>
    <t>AEO.2023.REF2023.CNSM_NA_TRN_LDTY_MGS_NA_NA_TRLBTU.A</t>
  </si>
  <si>
    <t>E85</t>
  </si>
  <si>
    <t>Transportation Energy Use: Light-Duty Vehicle: Ethanol: Reference case</t>
  </si>
  <si>
    <t>AEO.2023.REF2023.CNSM_NA_TRN_LDTY_ETH_NA_NA_TRLBTU.A</t>
  </si>
  <si>
    <t>Distillate Fuel Oil (diesel)</t>
  </si>
  <si>
    <t>Transportation Energy Use: Light-Duty Vehicle: Distillate Fuel Oil: Reference case</t>
  </si>
  <si>
    <t>AEO.2023.REF2023.CNSM_NA_TRN_LDTY_DFO_NA_NA_TRLBTU.A</t>
  </si>
  <si>
    <t>Compressed/Liquefied Natural Gas</t>
  </si>
  <si>
    <t>Transportation Energy Use: Light-Duty Vehicle: Natural Gas: Reference case</t>
  </si>
  <si>
    <t>AEO.2023.REF2023.CNSM_NA_TRN_LDTY_NG_NA_NA_TRLBTU.A</t>
  </si>
  <si>
    <t>Transportation Energy Use: Light-Duty Vehicle: Propane: Reference case</t>
  </si>
  <si>
    <t>AEO.2023.REF2023.CNSM_NA_TRN_LDTY_PROP_NA_NA_TRLBTU.A</t>
  </si>
  <si>
    <t>Electricity</t>
  </si>
  <si>
    <t>Transportation Energy Use: Light-Duty Vehicle: Electricity: Reference case</t>
  </si>
  <si>
    <t>AEO.2023.REF2023.CNSM_NA_TRN_LDTY_ELC_NA_NA_TRLBTU.A</t>
  </si>
  <si>
    <t>Hydrogen</t>
  </si>
  <si>
    <t>Transportation Energy Use: Light-Duty Vehicle: Hydrogen: Reference case</t>
  </si>
  <si>
    <t>AEO.2023.REF2023.CNSM_NA_TRN_LDTY_HDG_NA_NA_TRLBTU.A</t>
  </si>
  <si>
    <t>Commercial Light Trucks</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</si>
  <si>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</si>
  <si>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</si>
  <si>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</si>
  <si>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</si>
  <si>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</si>
  <si>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</si>
  <si>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</si>
  <si>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</si>
  <si>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</si>
  <si>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</si>
  <si>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</si>
  <si>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</si>
  <si>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</si>
  <si>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</si>
  <si>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</si>
  <si>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</si>
  <si>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Freight Trucks</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</si>
  <si>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</si>
  <si>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</si>
  <si>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</si>
  <si>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</si>
  <si>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</si>
  <si>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</si>
  <si>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</si>
  <si>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</si>
  <si>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</si>
  <si>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</si>
  <si>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</si>
  <si>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</si>
  <si>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</si>
  <si>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</si>
  <si>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</si>
  <si>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</si>
  <si>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Freight Rail</t>
  </si>
  <si>
    <t>Transportation Energy Use: Freight Rail: Total: Reference case</t>
  </si>
  <si>
    <t>AEO.2023.REF2023.CNSM_NA_TRN_FRAIL_NA_NA_NA_TRLBTU.A</t>
  </si>
  <si>
    <t>Transportation Energy Use: Freight Rail: Distillate Fuel Oil: Reference case</t>
  </si>
  <si>
    <t>AEO.2023.REF2023.CNSM_NA_TRN_FRAIL_DFO_NA_NA_TRLBTU.A</t>
  </si>
  <si>
    <t>Residual Fuel Oil</t>
  </si>
  <si>
    <t>Transportation Energy Use: Freight Rail: Residual Fuel Oil: Reference case</t>
  </si>
  <si>
    <t>AEO.2023.REF2023.CNSM_NA_TRN_FRAIL_RFO_NA_NA_TRLBTU.A</t>
  </si>
  <si>
    <t>Compressed Natural Gas</t>
  </si>
  <si>
    <t>Transportation Energy Use: Freight Rail: CNG: Reference case</t>
  </si>
  <si>
    <t>AEO.2023.REF2023.CNSM_NA_TRN_FRAIL_CNG_NA_NA_TRLBTU.A</t>
  </si>
  <si>
    <t>Liquefied Natural Gas</t>
  </si>
  <si>
    <t>Transportation Energy Use: Freight Rail: LNG: Reference case</t>
  </si>
  <si>
    <t>AEO.2023.REF2023.CNSM_NA_TRN_FRAIL_LNG_NA_NA_TRLBTU.A</t>
  </si>
  <si>
    <t>Domestic Shipping</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</si>
  <si>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</si>
  <si>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</si>
  <si>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</si>
  <si>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</si>
  <si>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Residual Oil</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</si>
  <si>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</si>
  <si>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</si>
  <si>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</si>
  <si>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</si>
  <si>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</si>
  <si>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</si>
  <si>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International Shipping</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</si>
  <si>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</si>
  <si>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</si>
  <si>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</si>
  <si>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</si>
  <si>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</si>
  <si>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</si>
  <si>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</si>
  <si>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</si>
  <si>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</si>
  <si>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</si>
  <si>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Air Transportation</t>
  </si>
  <si>
    <t>Transportation Energy Use: Air: Total: Reference case</t>
  </si>
  <si>
    <t>AEO.2023.REF2023.CNSM_NA_TRN_AIR_NA_NA_NA_TRLBTU.A</t>
  </si>
  <si>
    <t>Transportation Energy Use: Air: Jet Fuel: Reference case</t>
  </si>
  <si>
    <t>AEO.2023.REF2023.CNSM_NA_TRN_AIR_JFL_NA_NA_TRLBTU.A</t>
  </si>
  <si>
    <t>Aviation Gasoline</t>
  </si>
  <si>
    <t>Transportation Energy Use: Air: Aviation Gasoline: Reference case</t>
  </si>
  <si>
    <t>AEO.2023.REF2023.CNSM_NA_TRN_AIR_AVGA_NA_NA_TRLBTU.A</t>
  </si>
  <si>
    <t>Military Use</t>
  </si>
  <si>
    <t>Transportation Energy Use: Military: Total: Reference case</t>
  </si>
  <si>
    <t>AEO.2023.REF2023.CNSM_NA_TRN_MILT_NA_NA_NA_TRLBTU.A</t>
  </si>
  <si>
    <t>Jet Fuel and Aviation Gasoline</t>
  </si>
  <si>
    <t>Transportation Energy Use: Military: Jet Fuel: Reference case</t>
  </si>
  <si>
    <t>AEO.2023.REF2023.CNSM_NA_TRN_MILT_JFL_NA_NA_TRLBTU.A</t>
  </si>
  <si>
    <t>Transportation Energy Use: Military: Residual Fuel Oil: Reference case</t>
  </si>
  <si>
    <t>AEO.2023.REF2023.CNSM_NA_TRN_MILT_RFO_NA_NA_TRLBTU.A</t>
  </si>
  <si>
    <t>Distillates and Diesel</t>
  </si>
  <si>
    <t>Transportation Energy Use: Military: Distillate Fuel Oil: Reference case</t>
  </si>
  <si>
    <t>AEO.2023.REF2023.CNSM_NA_TRN_MILT_DFO_NA_NA_TRLBTU.A</t>
  </si>
  <si>
    <t>Bus Transportation</t>
  </si>
  <si>
    <t>Transportation Energy Use: Bus: Reference case</t>
  </si>
  <si>
    <t>AEO.2023.REF2023.CNSM_NA_TRN_BUS_NA_NA_NA_TRLBTU.A</t>
  </si>
  <si>
    <t>Transit Bus</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</si>
  <si>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</si>
  <si>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</si>
  <si>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</si>
  <si>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</si>
  <si>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</si>
  <si>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</si>
  <si>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</si>
  <si>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</si>
  <si>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</si>
  <si>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</si>
  <si>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</si>
  <si>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</si>
  <si>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</si>
  <si>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</si>
  <si>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</si>
  <si>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</si>
  <si>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Intercity Bus</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</si>
  <si>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</si>
  <si>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</si>
  <si>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</si>
  <si>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</si>
  <si>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</si>
  <si>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</si>
  <si>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</si>
  <si>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</si>
  <si>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</si>
  <si>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</si>
  <si>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</si>
  <si>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</si>
  <si>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</si>
  <si>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</si>
  <si>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</si>
  <si>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</si>
  <si>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School Bus</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</si>
  <si>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</si>
  <si>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</si>
  <si>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</si>
  <si>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</si>
  <si>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</si>
  <si>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</si>
  <si>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</si>
  <si>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</si>
  <si>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</si>
  <si>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</si>
  <si>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</si>
  <si>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</si>
  <si>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</si>
  <si>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</si>
  <si>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</si>
  <si>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</si>
  <si>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Rail Transportation</t>
  </si>
  <si>
    <t>Transportation Energy Use: Rail: Reference case</t>
  </si>
  <si>
    <t>AEO.2023.REF2023.CNSM_NA_TRN_RAIL_NA_NA_NA_TRLBTU.A</t>
  </si>
  <si>
    <t>Intercity Rail</t>
  </si>
  <si>
    <t>Transportation Energy Use: Rail: Intercity Rail: Reference case</t>
  </si>
  <si>
    <t>AEO.2023.REF2023.CNSM_NA_TRN_IRAIL_NA_NA_NA_TRLBTU.A</t>
  </si>
  <si>
    <t>Transportation Energy Use: Rail: Intercity Rail: Electricity: Reference case</t>
  </si>
  <si>
    <t>AEO.2023.REF2023.CNSM_NA_TRN_IRAIL_ELC_NA_NA_TRLBTU.A</t>
  </si>
  <si>
    <t>Diesel</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</si>
  <si>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</si>
  <si>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</si>
  <si>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</si>
  <si>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</si>
  <si>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</si>
  <si>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</si>
  <si>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Transit Rail</t>
  </si>
  <si>
    <t>Transportation Energy Use: Rail: Transit Rail: Reference case</t>
  </si>
  <si>
    <t>AEO.2023.REF2023.CNSM_NA_TRN_TRAIL_NA_NA_NA_TRLBTU.A</t>
  </si>
  <si>
    <t>Transportation Energy Use: Rail: Transit Rail: Electricity: Reference case</t>
  </si>
  <si>
    <t>AEO.2023.REF2023.CNSM_NA_TRN_TRAIL_ELC_NA_NA_TRLBTU.A</t>
  </si>
  <si>
    <t>Commuter Rail</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</si>
  <si>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</si>
  <si>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</si>
  <si>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</si>
  <si>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</si>
  <si>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</si>
  <si>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</si>
  <si>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</si>
  <si>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</si>
  <si>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</si>
  <si>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</si>
  <si>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Recreational Boats</t>
  </si>
  <si>
    <t>Transportation Energy Use: Recreation Boats: Reference case</t>
  </si>
  <si>
    <t>AEO.2023.REF2023.CNSM_NA_TRN_RCB_NA_NA_NA_TRLBTU.A</t>
  </si>
  <si>
    <t>Gasoline</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</si>
  <si>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</si>
  <si>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</si>
  <si>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</si>
  <si>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</si>
  <si>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</si>
  <si>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</si>
  <si>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Pipeline Fuel Natural Gas</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</si>
  <si>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</si>
  <si>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</si>
  <si>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</si>
  <si>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</si>
  <si>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</si>
  <si>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Total Consumption</t>
  </si>
  <si>
    <t>Transportation Energy Use: Total Use: Reference case</t>
  </si>
  <si>
    <t>AEO.2023.REF2023.CNSM_NA_TRN_NA_NA_NA_NA_TRLBTU.A</t>
  </si>
  <si>
    <t>ref2022.d011222a</t>
  </si>
  <si>
    <t>TEF000</t>
  </si>
  <si>
    <t>36. Transportation Sector Energy Use by Fuel Type Within Mode</t>
  </si>
  <si>
    <t>(trillion Btu)</t>
  </si>
  <si>
    <t xml:space="preserve"> Mode and Type</t>
  </si>
  <si>
    <t>2021–2050</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</si>
  <si>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</si>
  <si>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</si>
  <si>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</si>
  <si>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</si>
  <si>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</si>
  <si>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</si>
  <si>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</si>
  <si>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</si>
  <si>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</si>
  <si>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</si>
  <si>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</si>
  <si>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</si>
  <si>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</si>
  <si>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</si>
  <si>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</si>
  <si>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</si>
  <si>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</si>
  <si>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</si>
  <si>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</si>
  <si>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</si>
  <si>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</si>
  <si>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</si>
  <si>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</si>
  <si>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</si>
  <si>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</si>
  <si>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</si>
  <si>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</si>
  <si>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</si>
  <si>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</si>
  <si>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</si>
  <si>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</si>
  <si>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</si>
  <si>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</si>
  <si>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</si>
  <si>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</si>
  <si>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</si>
  <si>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</si>
  <si>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</si>
  <si>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</si>
  <si>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</si>
  <si>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</si>
  <si>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</si>
  <si>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</si>
  <si>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</si>
  <si>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</si>
  <si>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</si>
  <si>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</si>
  <si>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</si>
  <si>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</si>
  <si>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</si>
  <si>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</si>
  <si>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</si>
  <si>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</si>
  <si>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</si>
  <si>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</si>
  <si>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</si>
  <si>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</si>
  <si>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</si>
  <si>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</si>
  <si>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</si>
  <si>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</si>
  <si>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</si>
  <si>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</si>
  <si>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</si>
  <si>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</si>
  <si>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</si>
  <si>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</si>
  <si>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</si>
  <si>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</si>
  <si>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</si>
  <si>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</si>
  <si>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</si>
  <si>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</si>
  <si>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</si>
  <si>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</si>
  <si>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</si>
  <si>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</si>
  <si>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</si>
  <si>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</si>
  <si>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</si>
  <si>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</si>
  <si>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</si>
  <si>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</si>
  <si>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</si>
  <si>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</si>
  <si>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</si>
  <si>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</si>
  <si>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</si>
  <si>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</si>
  <si>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</si>
  <si>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</si>
  <si>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</si>
  <si>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</si>
  <si>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</si>
  <si>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</si>
  <si>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</si>
  <si>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</si>
  <si>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</si>
  <si>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</si>
  <si>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</si>
  <si>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</si>
  <si>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</si>
  <si>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</si>
  <si>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</si>
  <si>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</si>
  <si>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</si>
  <si>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</si>
  <si>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</si>
  <si>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</si>
  <si>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</si>
  <si>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</si>
  <si>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</si>
  <si>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</si>
  <si>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</si>
  <si>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</si>
  <si>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</si>
  <si>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</si>
  <si>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</si>
  <si>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</si>
  <si>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</si>
  <si>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</si>
  <si>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</si>
  <si>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</si>
  <si>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</si>
  <si>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</si>
  <si>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</si>
  <si>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</si>
  <si>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</si>
  <si>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</si>
  <si>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</si>
  <si>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</si>
  <si>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</si>
  <si>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</si>
  <si>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</si>
  <si>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</si>
  <si>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</si>
  <si>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</si>
  <si>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</si>
  <si>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</si>
  <si>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</si>
  <si>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</si>
  <si>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</si>
  <si>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</si>
  <si>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</si>
  <si>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</si>
  <si>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</si>
  <si>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</si>
  <si>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</si>
  <si>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</si>
  <si>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</si>
  <si>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</si>
  <si>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</si>
  <si>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</si>
  <si>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</si>
  <si>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</si>
  <si>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</si>
  <si>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</si>
  <si>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</si>
  <si>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</si>
  <si>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</si>
  <si>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</si>
  <si>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</si>
  <si>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</si>
  <si>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</si>
  <si>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</si>
  <si>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</si>
  <si>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</si>
  <si>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</si>
  <si>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</si>
  <si>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</si>
  <si>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</si>
  <si>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</si>
  <si>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</si>
  <si>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</si>
  <si>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</si>
  <si>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</si>
  <si>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</si>
  <si>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</si>
  <si>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</si>
  <si>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</si>
  <si>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</si>
  <si>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</si>
  <si>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</si>
  <si>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</si>
  <si>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</si>
  <si>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</si>
  <si>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</si>
  <si>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</si>
  <si>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</si>
  <si>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</si>
  <si>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</si>
  <si>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</si>
  <si>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</si>
  <si>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</si>
  <si>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</si>
  <si>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</si>
  <si>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</si>
  <si>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</si>
  <si>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</si>
  <si>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</si>
  <si>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</si>
  <si>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</si>
  <si>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</si>
  <si>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</si>
  <si>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</si>
  <si>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</si>
  <si>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</si>
  <si>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</si>
  <si>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</si>
  <si>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</si>
  <si>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</si>
  <si>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</si>
  <si>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</si>
  <si>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</si>
  <si>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</si>
  <si>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</si>
  <si>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</si>
  <si>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</si>
  <si>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</si>
  <si>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</si>
  <si>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</si>
  <si>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</si>
  <si>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</si>
  <si>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This fraction is the amount of biodiesel used in the entire Transportation sector</t>
  </si>
  <si>
    <t>divided by the amount of petroleum diesel used for user-specified diesel-using</t>
  </si>
  <si>
    <t>vehicle types, plus the amount of biodiesel.  It is used for the approriate vehicle</t>
  </si>
  <si>
    <t>types on subsequent tabs.</t>
  </si>
  <si>
    <t>Quantity</t>
  </si>
  <si>
    <t>Scope</t>
  </si>
  <si>
    <t>Unit</t>
  </si>
  <si>
    <t>Biodiesel use</t>
  </si>
  <si>
    <t>entire transportation sector</t>
  </si>
  <si>
    <t>trillion BTU</t>
  </si>
  <si>
    <t>Petroleum diesel use</t>
  </si>
  <si>
    <t>passenger LDVs</t>
  </si>
  <si>
    <t>freight LDVs</t>
  </si>
  <si>
    <t>passenger HDVs</t>
  </si>
  <si>
    <t>freight HDVs</t>
  </si>
  <si>
    <t>passenger rail</t>
  </si>
  <si>
    <t>freight rail</t>
  </si>
  <si>
    <t>passenger ships</t>
  </si>
  <si>
    <t>freight ships</t>
  </si>
  <si>
    <t>Is Biodiesel Used For:</t>
  </si>
  <si>
    <t>Biodiesel Fraction for diesel-using vehicle types selected above:</t>
  </si>
  <si>
    <t>biodiesel fraction</t>
  </si>
  <si>
    <t>Plug-in hybrids can accept either electricity or combustible fuels.</t>
  </si>
  <si>
    <t>This sheet specifies the percentage of driving for which electricity is used.</t>
  </si>
  <si>
    <t>Electricity fraction</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</si>
  <si>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</si>
  <si>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</si>
  <si>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</si>
  <si>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</si>
  <si>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Table 3-13:  CO2 Emissions from Fossil Fuel Combustion in Transportation End-Use Sector (MMT CO2 Eq.)</t>
  </si>
  <si>
    <t>MMT</t>
  </si>
  <si>
    <t>BTU</t>
  </si>
  <si>
    <t>Fuel/Vehicle Type</t>
  </si>
  <si>
    <t>Diesel, shipping</t>
  </si>
  <si>
    <t>Gasolinea</t>
  </si>
  <si>
    <t>Residual fuel oil, shipping</t>
  </si>
  <si>
    <t>Passenger Cars</t>
  </si>
  <si>
    <t>Light-Duty Trucks</t>
  </si>
  <si>
    <t>Medium- and Heavy-Duty Trucksb</t>
  </si>
  <si>
    <t>Buses</t>
  </si>
  <si>
    <t>Motorcycles</t>
  </si>
  <si>
    <t>Pollutant Emissions Intensity (g pollutant/BTU)</t>
  </si>
  <si>
    <t>electricity</t>
  </si>
  <si>
    <t>natural gas</t>
  </si>
  <si>
    <t>petroleum gasoline</t>
  </si>
  <si>
    <t>petroleum diesel</t>
  </si>
  <si>
    <t>biofuel gasoline</t>
  </si>
  <si>
    <t>biofuel diesel</t>
  </si>
  <si>
    <t>jet fuel</t>
  </si>
  <si>
    <t>heavy or residual fuel oil</t>
  </si>
  <si>
    <t>LPG propane or butane</t>
  </si>
  <si>
    <t>hydrogen</t>
  </si>
  <si>
    <t>Recreational Boatsc</t>
  </si>
  <si>
    <t>CO2</t>
  </si>
  <si>
    <t>Distillate Fuel Oil (Diesel)a</t>
  </si>
  <si>
    <t>VOC</t>
  </si>
  <si>
    <t>CO</t>
  </si>
  <si>
    <t>NOx</t>
  </si>
  <si>
    <t>PM10</t>
  </si>
  <si>
    <t>PM25</t>
  </si>
  <si>
    <t>Rail</t>
  </si>
  <si>
    <t>SOx</t>
  </si>
  <si>
    <t>BC</t>
  </si>
  <si>
    <t>Ships and Non-Recreational Boatsd</t>
  </si>
  <si>
    <t>OC</t>
  </si>
  <si>
    <t>International Bunker Fuelse</t>
  </si>
  <si>
    <t>CH4</t>
  </si>
  <si>
    <t>N2O</t>
  </si>
  <si>
    <t>Commercial Aircraftf</t>
  </si>
  <si>
    <t>F gases</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</si>
  <si>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</si>
  <si>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</si>
  <si>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</si>
  <si>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</si>
  <si>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</si>
  <si>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</si>
  <si>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</si>
  <si>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</si>
  <si>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</si>
  <si>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</si>
  <si>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</si>
  <si>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</si>
  <si>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</si>
  <si>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</si>
  <si>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</si>
  <si>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</si>
  <si>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</si>
  <si>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</si>
  <si>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</si>
  <si>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</si>
  <si>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</si>
  <si>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</si>
  <si>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</si>
  <si>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</si>
  <si>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</si>
  <si>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</si>
  <si>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Percentage Fuel Use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</si>
</sst>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
    <numFmt numFmtId="166" formatCode="#,##0.000"/>
  </numFmts>
  <fonts count="18">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10"/>
      <name val="Calibri"/>
      <family val="2"/>
    </font>
    <font>
      <b/>
      <sz val="12"/>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1">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3"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4" fillId="4" borderId="0" xfId="0" applyFont="1" applyFill="1" applyAlignment="1">
      <alignment horizontal="left" wrapText="1" indent="1"/>
    </xf>
    <xf numFmtId="0" fontId="14" fillId="4" borderId="0" xfId="0" applyFont="1" applyFill="1" applyAlignment="1">
      <alignment horizontal="right" wrapText="1" indent="1"/>
    </xf>
    <xf numFmtId="0" fontId="14" fillId="4" borderId="5" xfId="0" applyFont="1" applyFill="1" applyBorder="1" applyAlignment="1">
      <alignment horizontal="left" wrapText="1" indent="1"/>
    </xf>
    <xf numFmtId="0" fontId="14" fillId="4" borderId="5" xfId="0" applyFont="1" applyFill="1" applyBorder="1" applyAlignment="1">
      <alignment horizontal="right" wrapText="1" indent="1"/>
    </xf>
    <xf numFmtId="0" fontId="16" fillId="4" borderId="6" xfId="0" applyFont="1" applyFill="1" applyBorder="1" applyAlignment="1">
      <alignment horizontal="left" vertical="top" wrapText="1" indent="1"/>
    </xf>
    <xf numFmtId="0" fontId="16" fillId="4" borderId="6" xfId="0" applyFont="1" applyFill="1" applyBorder="1" applyAlignment="1">
      <alignment horizontal="right" vertical="top" wrapText="1" indent="1"/>
    </xf>
    <xf numFmtId="0" fontId="16" fillId="4" borderId="0" xfId="0" applyFont="1" applyFill="1" applyAlignment="1">
      <alignment horizontal="left" vertical="top" wrapText="1" indent="1"/>
    </xf>
    <xf numFmtId="0" fontId="16"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14" fillId="4" borderId="8" xfId="0" applyFont="1" applyFill="1" applyBorder="1" applyAlignment="1">
      <alignment horizontal="left" vertical="top" wrapText="1" indent="1"/>
    </xf>
    <xf numFmtId="0" fontId="0" fillId="4" borderId="0" xfId="0" applyFill="1" applyAlignment="1">
      <alignment horizontal="left" vertical="center"/>
    </xf>
    <xf numFmtId="0" fontId="14" fillId="4" borderId="7" xfId="0" applyFont="1" applyFill="1" applyBorder="1" applyAlignment="1">
      <alignment horizontal="left" vertical="top" wrapText="1" indent="1"/>
    </xf>
    <xf numFmtId="0" fontId="2" fillId="0" borderId="1" xfId="38" applyAlignment="1">
      <alignment wrapText="1"/>
    </xf>
    <xf numFmtId="0" fontId="0" fillId="0" borderId="0" xfId="0" applyAlignment="1"/>
    <xf numFmtId="0" fontId="12" fillId="0" borderId="0" xfId="1" applyFont="1"/>
    <xf numFmtId="0" fontId="11" fillId="0" borderId="1" xfId="13" applyFont="1" applyAlignment="1">
      <alignment wrapText="1"/>
    </xf>
    <xf numFmtId="0" fontId="2" fillId="0" borderId="1" xfId="1" applyBorder="1" applyAlignment="1"/>
    <xf numFmtId="0" fontId="2" fillId="0" borderId="0" xfId="1" applyAlignment="1"/>
    <xf numFmtId="0" fontId="11" fillId="0" borderId="1" xfId="2" applyFont="1" applyAlignment="1">
      <alignment wrapText="1"/>
    </xf>
    <xf numFmtId="0" fontId="0" fillId="0" borderId="1" xfId="0" applyBorder="1" applyAlignment="1"/>
    <xf numFmtId="0" fontId="11" fillId="0" borderId="0" xfId="0" applyFont="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calcChain" Target="calcChain.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theme" Target="theme/theme1.xml"/><Relationship Id="rId10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externalLink" Target="externalLinks/externalLink1.xml"/><Relationship Id="rId104"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styles" Target="styles.xml"/><Relationship Id="rId105"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externalLink" Target="externalLinks/externalLink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file:///C:\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file:///C:\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AEO Table 73"/>
      <sheetName val="GREET1 Fuel_Specs"/>
      <sheetName val="BCF-BpLFOU"/>
      <sheetName val="BCF-BpSFOU"/>
      <sheetName val="BCF-VFEUCF"/>
      <sheetName val="BCF-BpEIEOU"/>
      <sheetName val="BCF-BpMMTH"/>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8"/>
  <sheetViews>
    <sheetView workbookViewId="0">
      <selection activeCell="B28" sqref="B28"/>
    </sheetView>
  </sheetViews>
  <sheetFormatPr defaultColWidth="8.85546875" defaultRowHeight="15"/>
  <cols>
    <col min="2" max="2" width="69.28515625" customWidth="1"/>
  </cols>
  <sheetData>
    <row r="1" spans="1:2">
      <c r="A1" s="1" t="s">
        <v>0</v>
      </c>
    </row>
    <row r="3" spans="1:2">
      <c r="A3" s="1" t="s">
        <v>1</v>
      </c>
      <c r="B3" s="6" t="s">
        <v>2</v>
      </c>
    </row>
    <row r="4" spans="1:2">
      <c r="B4" t="s">
        <v>3</v>
      </c>
    </row>
    <row r="5" spans="1:2">
      <c r="B5" s="8" t="s">
        <v>4</v>
      </c>
    </row>
    <row r="6" spans="1:2">
      <c r="B6" t="s">
        <v>5</v>
      </c>
    </row>
    <row r="7" spans="1:2">
      <c r="B7" s="11" t="s">
        <v>6</v>
      </c>
    </row>
    <row r="8" spans="1:2">
      <c r="B8" t="s">
        <v>7</v>
      </c>
    </row>
    <row r="10" spans="1:2">
      <c r="B10" s="6" t="s">
        <v>8</v>
      </c>
    </row>
    <row r="11" spans="1:2">
      <c r="B11" t="s">
        <v>3</v>
      </c>
    </row>
    <row r="12" spans="1:2">
      <c r="B12" s="8" t="s">
        <v>4</v>
      </c>
    </row>
    <row r="13" spans="1:2">
      <c r="B13" t="s">
        <v>5</v>
      </c>
    </row>
    <row r="14" spans="1:2">
      <c r="B14" s="11" t="s">
        <v>6</v>
      </c>
    </row>
    <row r="15" spans="1:2">
      <c r="B15" t="s">
        <v>9</v>
      </c>
    </row>
    <row r="17" spans="1:2">
      <c r="B17" s="6" t="s">
        <v>10</v>
      </c>
    </row>
    <row r="18" spans="1:2">
      <c r="B18" t="s">
        <v>11</v>
      </c>
    </row>
    <row r="19" spans="1:2">
      <c r="B19" t="s">
        <v>12</v>
      </c>
    </row>
    <row r="20" spans="1:2">
      <c r="B20" t="s">
        <v>13</v>
      </c>
    </row>
    <row r="21" spans="1:2">
      <c r="B21" t="s">
        <v>14</v>
      </c>
    </row>
    <row r="22" spans="1:2">
      <c r="B22" t="s">
        <v>15</v>
      </c>
    </row>
    <row r="24" spans="1:2">
      <c r="B24" s="6" t="s">
        <v>16</v>
      </c>
    </row>
    <row r="25" spans="1:2">
      <c r="B25" t="s">
        <v>3</v>
      </c>
    </row>
    <row r="26" spans="1:2">
      <c r="B26" s="8">
        <v>2020</v>
      </c>
    </row>
    <row r="27" spans="1:2">
      <c r="B27" t="s">
        <v>17</v>
      </c>
    </row>
    <row r="28" spans="1:2">
      <c r="B28" s="11" t="s">
        <v>18</v>
      </c>
    </row>
    <row r="31" spans="1:2">
      <c r="A31" s="1" t="s">
        <v>19</v>
      </c>
    </row>
    <row r="32" spans="1:2">
      <c r="A32" t="s">
        <v>20</v>
      </c>
    </row>
    <row r="33" spans="1:1">
      <c r="A33" t="s">
        <v>21</v>
      </c>
    </row>
    <row r="34" spans="1:1">
      <c r="A34" t="s">
        <v>22</v>
      </c>
    </row>
    <row r="35" spans="1:1">
      <c r="A35" t="s">
        <v>23</v>
      </c>
    </row>
    <row r="36" spans="1:1">
      <c r="A36" t="s">
        <v>24</v>
      </c>
    </row>
    <row r="37" spans="1:1">
      <c r="A37" t="s">
        <v>25</v>
      </c>
    </row>
    <row r="38" spans="1:1">
      <c r="A38" t="s">
        <v>26</v>
      </c>
    </row>
    <row r="39" spans="1:1">
      <c r="A39" t="s">
        <v>27</v>
      </c>
    </row>
    <row r="40" spans="1:1">
      <c r="A40" t="s">
        <v>28</v>
      </c>
    </row>
    <row r="42" spans="1:1">
      <c r="A42" t="s">
        <v>29</v>
      </c>
    </row>
    <row r="43" spans="1:1">
      <c r="A43" t="s">
        <v>30</v>
      </c>
    </row>
    <row r="44" spans="1:1">
      <c r="A44" t="s">
        <v>31</v>
      </c>
    </row>
    <row r="45" spans="1:1">
      <c r="A45" t="s">
        <v>32</v>
      </c>
    </row>
    <row r="47" spans="1:1">
      <c r="A47" t="s">
        <v>33</v>
      </c>
    </row>
    <row r="48" spans="1:1">
      <c r="A48" t="s">
        <v>34</v>
      </c>
    </row>
    <row r="49" spans="1:1">
      <c r="A49" t="s">
        <v>35</v>
      </c>
    </row>
    <row r="50" spans="1:1">
      <c r="A50" t="s">
        <v>36</v>
      </c>
    </row>
    <row r="52" spans="1:1">
      <c r="A52" t="s">
        <v>37</v>
      </c>
    </row>
    <row r="53" spans="1:1">
      <c r="A53" t="s">
        <v>38</v>
      </c>
    </row>
    <row r="55" spans="1:1">
      <c r="A55" t="s">
        <v>39</v>
      </c>
    </row>
    <row r="56" spans="1:1">
      <c r="A56" t="s">
        <v>40</v>
      </c>
    </row>
    <row r="57" spans="1:1">
      <c r="A57" t="s">
        <v>41</v>
      </c>
    </row>
    <row r="58" spans="1:1">
      <c r="A58" t="s">
        <v>42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workbookViewId="0">
      <selection activeCell="C27" sqref="C27"/>
    </sheetView>
  </sheetViews>
  <sheetFormatPr defaultColWidth="8.85546875" defaultRowHeight="15"/>
  <sheetData>
    <row r="1" spans="1:3">
      <c r="A1" t="s">
        <v>43</v>
      </c>
    </row>
    <row r="2" spans="1:3">
      <c r="A2" t="s">
        <v>44</v>
      </c>
    </row>
    <row r="3" spans="1:3">
      <c r="A3" t="s">
        <v>45</v>
      </c>
    </row>
    <row r="4" spans="1:3">
      <c r="A4" t="s">
        <v>46</v>
      </c>
    </row>
    <row r="5" spans="1:3">
      <c r="A5" t="s">
        <v>47</v>
      </c>
    </row>
    <row r="7" spans="1:3">
      <c r="B7" t="s">
        <v>48</v>
      </c>
      <c r="C7" t="s">
        <v>49</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pane="bottomRight" activeCell="F10" sqref="F10"/>
      <selection pane="bottomLeft" activeCell="C32" sqref="C32"/>
      <selection pane="topRight" activeCell="C32" sqref="C32"/>
    </sheetView>
  </sheetViews>
  <sheetFormatPr defaultColWidth="9.140625" defaultRowHeight="15" customHeight="1"/>
  <cols>
    <col min="1" max="1" width="20.85546875" style="63" hidden="1" customWidth="1"/>
    <col min="2" max="2" width="45.7109375" style="63" customWidth="1"/>
    <col min="3" max="16384" width="9.140625" style="63"/>
  </cols>
  <sheetData>
    <row r="1" spans="1:37" ht="15" customHeight="1" thickBot="1">
      <c r="B1" s="64" t="s">
        <v>50</v>
      </c>
      <c r="C1" s="65">
        <v>2017</v>
      </c>
      <c r="D1" s="65">
        <v>2018</v>
      </c>
      <c r="E1" s="65">
        <v>2019</v>
      </c>
      <c r="F1" s="65">
        <v>2020</v>
      </c>
      <c r="G1" s="65">
        <v>2021</v>
      </c>
      <c r="H1" s="65">
        <v>2022</v>
      </c>
      <c r="I1" s="65">
        <v>2023</v>
      </c>
      <c r="J1" s="65">
        <v>2024</v>
      </c>
      <c r="K1" s="65">
        <v>2025</v>
      </c>
      <c r="L1" s="65">
        <v>2026</v>
      </c>
      <c r="M1" s="65">
        <v>2027</v>
      </c>
      <c r="N1" s="65">
        <v>2028</v>
      </c>
      <c r="O1" s="65">
        <v>2029</v>
      </c>
      <c r="P1" s="65">
        <v>2030</v>
      </c>
      <c r="Q1" s="65">
        <v>2031</v>
      </c>
      <c r="R1" s="65">
        <v>2032</v>
      </c>
      <c r="S1" s="65">
        <v>2033</v>
      </c>
      <c r="T1" s="65">
        <v>2034</v>
      </c>
      <c r="U1" s="65">
        <v>2035</v>
      </c>
      <c r="V1" s="65">
        <v>2036</v>
      </c>
      <c r="W1" s="65">
        <v>2037</v>
      </c>
      <c r="X1" s="65">
        <v>2038</v>
      </c>
      <c r="Y1" s="65">
        <v>2039</v>
      </c>
      <c r="Z1" s="65">
        <v>2040</v>
      </c>
      <c r="AA1" s="65">
        <v>2041</v>
      </c>
      <c r="AB1" s="65">
        <v>2042</v>
      </c>
      <c r="AC1" s="65">
        <v>2043</v>
      </c>
      <c r="AD1" s="65">
        <v>2044</v>
      </c>
      <c r="AE1" s="65">
        <v>2045</v>
      </c>
      <c r="AF1" s="65">
        <v>2046</v>
      </c>
      <c r="AG1" s="65">
        <v>2047</v>
      </c>
      <c r="AH1" s="65">
        <v>2048</v>
      </c>
      <c r="AI1" s="65">
        <v>2049</v>
      </c>
      <c r="AJ1" s="65">
        <v>2050</v>
      </c>
    </row>
    <row r="2" spans="1:37" ht="15" customHeight="1" thickTop="1"/>
    <row r="3" spans="1:37" ht="15" customHeight="1">
      <c r="C3" s="66" t="s">
        <v>51</v>
      </c>
      <c r="D3" s="66" t="s">
        <v>52</v>
      </c>
      <c r="E3" s="66"/>
      <c r="F3" s="66"/>
      <c r="G3" s="66"/>
    </row>
    <row r="4" spans="1:37" ht="15" customHeight="1">
      <c r="C4" s="66" t="s">
        <v>53</v>
      </c>
      <c r="D4" s="66" t="s">
        <v>54</v>
      </c>
      <c r="E4" s="66"/>
      <c r="F4" s="66"/>
      <c r="G4" s="66" t="s">
        <v>55</v>
      </c>
    </row>
    <row r="5" spans="1:37" ht="15" customHeight="1">
      <c r="C5" s="66" t="s">
        <v>56</v>
      </c>
      <c r="D5" s="66" t="s">
        <v>57</v>
      </c>
      <c r="E5" s="66"/>
      <c r="F5" s="66"/>
      <c r="G5" s="66"/>
    </row>
    <row r="6" spans="1:37" ht="15" customHeight="1">
      <c r="C6" s="66" t="s">
        <v>58</v>
      </c>
      <c r="D6" s="66"/>
      <c r="E6" s="66" t="s">
        <v>59</v>
      </c>
      <c r="F6" s="66"/>
      <c r="G6" s="66"/>
    </row>
    <row r="9" spans="1:37" ht="15" customHeight="1">
      <c r="C9" s="63">
        <f>C32/C35</f>
        <v>0.9682826275113553</v>
      </c>
      <c r="F9" s="63">
        <f>(C33-((1-0.102)*C35))/0.102</f>
        <v>3.5983878431372611</v>
      </c>
    </row>
    <row r="10" spans="1:37" ht="15" customHeight="1">
      <c r="A10" s="67" t="s">
        <v>60</v>
      </c>
      <c r="B10" s="68" t="s">
        <v>61</v>
      </c>
    </row>
    <row r="11" spans="1:37" ht="15" customHeight="1">
      <c r="B11" s="64" t="s">
        <v>62</v>
      </c>
    </row>
    <row r="12" spans="1:37" ht="15" customHeight="1">
      <c r="B12" s="64" t="s">
        <v>63</v>
      </c>
      <c r="C12" s="69" t="s">
        <v>63</v>
      </c>
      <c r="D12" s="69" t="s">
        <v>63</v>
      </c>
      <c r="E12" s="69" t="s">
        <v>63</v>
      </c>
      <c r="F12" s="69" t="s">
        <v>63</v>
      </c>
      <c r="G12" s="69" t="s">
        <v>63</v>
      </c>
      <c r="H12" s="69" t="s">
        <v>63</v>
      </c>
      <c r="I12" s="69" t="s">
        <v>63</v>
      </c>
      <c r="J12" s="69" t="s">
        <v>63</v>
      </c>
      <c r="K12" s="69" t="s">
        <v>63</v>
      </c>
      <c r="L12" s="69" t="s">
        <v>63</v>
      </c>
      <c r="M12" s="69" t="s">
        <v>63</v>
      </c>
      <c r="N12" s="69" t="s">
        <v>63</v>
      </c>
      <c r="O12" s="69" t="s">
        <v>63</v>
      </c>
      <c r="P12" s="69" t="s">
        <v>63</v>
      </c>
      <c r="Q12" s="69" t="s">
        <v>63</v>
      </c>
      <c r="R12" s="69" t="s">
        <v>63</v>
      </c>
      <c r="S12" s="69" t="s">
        <v>63</v>
      </c>
      <c r="T12" s="69" t="s">
        <v>63</v>
      </c>
      <c r="U12" s="69" t="s">
        <v>63</v>
      </c>
      <c r="V12" s="69" t="s">
        <v>63</v>
      </c>
      <c r="W12" s="69" t="s">
        <v>63</v>
      </c>
      <c r="X12" s="69" t="s">
        <v>63</v>
      </c>
      <c r="Y12" s="69" t="s">
        <v>63</v>
      </c>
      <c r="Z12" s="69" t="s">
        <v>63</v>
      </c>
      <c r="AA12" s="69" t="s">
        <v>63</v>
      </c>
      <c r="AB12" s="69" t="s">
        <v>63</v>
      </c>
      <c r="AC12" s="69" t="s">
        <v>63</v>
      </c>
      <c r="AD12" s="69" t="s">
        <v>63</v>
      </c>
      <c r="AE12" s="69" t="s">
        <v>63</v>
      </c>
      <c r="AF12" s="69" t="s">
        <v>63</v>
      </c>
      <c r="AG12" s="69" t="s">
        <v>63</v>
      </c>
      <c r="AH12" s="69" t="s">
        <v>63</v>
      </c>
      <c r="AI12" s="69" t="s">
        <v>63</v>
      </c>
      <c r="AJ12" s="69" t="s">
        <v>63</v>
      </c>
      <c r="AK12" s="69" t="s">
        <v>64</v>
      </c>
    </row>
    <row r="13" spans="1:37" ht="15" customHeight="1" thickBot="1">
      <c r="B13" s="65" t="s">
        <v>63</v>
      </c>
      <c r="C13" s="65">
        <v>2017</v>
      </c>
      <c r="D13" s="65">
        <v>2018</v>
      </c>
      <c r="E13" s="65">
        <v>2019</v>
      </c>
      <c r="F13" s="65">
        <v>2020</v>
      </c>
      <c r="G13" s="65">
        <v>2021</v>
      </c>
      <c r="H13" s="65">
        <v>2022</v>
      </c>
      <c r="I13" s="65">
        <v>2023</v>
      </c>
      <c r="J13" s="65">
        <v>2024</v>
      </c>
      <c r="K13" s="65">
        <v>2025</v>
      </c>
      <c r="L13" s="65">
        <v>2026</v>
      </c>
      <c r="M13" s="65">
        <v>2027</v>
      </c>
      <c r="N13" s="65">
        <v>2028</v>
      </c>
      <c r="O13" s="65">
        <v>2029</v>
      </c>
      <c r="P13" s="65">
        <v>2030</v>
      </c>
      <c r="Q13" s="65">
        <v>2031</v>
      </c>
      <c r="R13" s="65">
        <v>2032</v>
      </c>
      <c r="S13" s="65">
        <v>2033</v>
      </c>
      <c r="T13" s="65">
        <v>2034</v>
      </c>
      <c r="U13" s="65">
        <v>2035</v>
      </c>
      <c r="V13" s="65">
        <v>2036</v>
      </c>
      <c r="W13" s="65">
        <v>2037</v>
      </c>
      <c r="X13" s="65">
        <v>2038</v>
      </c>
      <c r="Y13" s="65">
        <v>2039</v>
      </c>
      <c r="Z13" s="65">
        <v>2040</v>
      </c>
      <c r="AA13" s="65">
        <v>2041</v>
      </c>
      <c r="AB13" s="65">
        <v>2042</v>
      </c>
      <c r="AC13" s="65">
        <v>2043</v>
      </c>
      <c r="AD13" s="65">
        <v>2044</v>
      </c>
      <c r="AE13" s="65">
        <v>2045</v>
      </c>
      <c r="AF13" s="65">
        <v>2046</v>
      </c>
      <c r="AG13" s="65">
        <v>2047</v>
      </c>
      <c r="AH13" s="65">
        <v>2048</v>
      </c>
      <c r="AI13" s="65">
        <v>2049</v>
      </c>
      <c r="AJ13" s="65">
        <v>2050</v>
      </c>
      <c r="AK13" s="65">
        <v>2050</v>
      </c>
    </row>
    <row r="14" spans="1:37" ht="15" customHeight="1" thickTop="1">
      <c r="B14" s="70" t="s">
        <v>65</v>
      </c>
    </row>
    <row r="15" spans="1:37" ht="15" customHeight="1">
      <c r="B15" s="70" t="s">
        <v>66</v>
      </c>
    </row>
    <row r="16" spans="1:37" ht="15" customHeight="1">
      <c r="A16" s="67" t="s">
        <v>67</v>
      </c>
      <c r="B16" s="71" t="s">
        <v>68</v>
      </c>
      <c r="C16" s="72">
        <v>6.6360000000000001</v>
      </c>
      <c r="D16" s="72">
        <v>6.6360000000000001</v>
      </c>
      <c r="E16" s="72">
        <v>6.6360000000000001</v>
      </c>
      <c r="F16" s="72">
        <v>6.6360000000000001</v>
      </c>
      <c r="G16" s="72">
        <v>6.6360000000000001</v>
      </c>
      <c r="H16" s="72">
        <v>6.6360000000000001</v>
      </c>
      <c r="I16" s="72">
        <v>6.6360000000000001</v>
      </c>
      <c r="J16" s="72">
        <v>6.6360000000000001</v>
      </c>
      <c r="K16" s="72">
        <v>6.6360000000000001</v>
      </c>
      <c r="L16" s="72">
        <v>6.6360000000000001</v>
      </c>
      <c r="M16" s="72">
        <v>6.6360000000000001</v>
      </c>
      <c r="N16" s="72">
        <v>6.6360000000000001</v>
      </c>
      <c r="O16" s="72">
        <v>6.6360000000000001</v>
      </c>
      <c r="P16" s="72">
        <v>6.6360000000000001</v>
      </c>
      <c r="Q16" s="72">
        <v>6.6360000000000001</v>
      </c>
      <c r="R16" s="72">
        <v>6.6360000000000001</v>
      </c>
      <c r="S16" s="72">
        <v>6.6360000000000001</v>
      </c>
      <c r="T16" s="72">
        <v>6.6360000000000001</v>
      </c>
      <c r="U16" s="72">
        <v>6.6360000000000001</v>
      </c>
      <c r="V16" s="72">
        <v>6.6360000000000001</v>
      </c>
      <c r="W16" s="72">
        <v>6.6360000000000001</v>
      </c>
      <c r="X16" s="72">
        <v>6.6360000000000001</v>
      </c>
      <c r="Y16" s="72">
        <v>6.6360000000000001</v>
      </c>
      <c r="Z16" s="72">
        <v>6.6360000000000001</v>
      </c>
      <c r="AA16" s="72">
        <v>6.6360000000000001</v>
      </c>
      <c r="AB16" s="72">
        <v>6.6360000000000001</v>
      </c>
      <c r="AC16" s="72">
        <v>6.6360000000000001</v>
      </c>
      <c r="AD16" s="72">
        <v>6.6360000000000001</v>
      </c>
      <c r="AE16" s="72">
        <v>6.6360000000000001</v>
      </c>
      <c r="AF16" s="72">
        <v>6.6360000000000001</v>
      </c>
      <c r="AG16" s="72">
        <v>6.6360000000000001</v>
      </c>
      <c r="AH16" s="72">
        <v>6.6360000000000001</v>
      </c>
      <c r="AI16" s="72">
        <v>6.6360000000000001</v>
      </c>
      <c r="AJ16" s="72">
        <v>6.6360000000000001</v>
      </c>
      <c r="AK16" s="73">
        <v>0</v>
      </c>
    </row>
    <row r="17" spans="1:37" ht="15" customHeight="1">
      <c r="A17" s="67" t="s">
        <v>69</v>
      </c>
      <c r="B17" s="71" t="s">
        <v>70</v>
      </c>
      <c r="C17" s="72">
        <v>5.048</v>
      </c>
      <c r="D17" s="72">
        <v>5.048</v>
      </c>
      <c r="E17" s="72">
        <v>5.048</v>
      </c>
      <c r="F17" s="72">
        <v>5.048</v>
      </c>
      <c r="G17" s="72">
        <v>5.048</v>
      </c>
      <c r="H17" s="72">
        <v>5.048</v>
      </c>
      <c r="I17" s="72">
        <v>5.048</v>
      </c>
      <c r="J17" s="72">
        <v>5.048</v>
      </c>
      <c r="K17" s="72">
        <v>5.048</v>
      </c>
      <c r="L17" s="72">
        <v>5.048</v>
      </c>
      <c r="M17" s="72">
        <v>5.048</v>
      </c>
      <c r="N17" s="72">
        <v>5.048</v>
      </c>
      <c r="O17" s="72">
        <v>5.048</v>
      </c>
      <c r="P17" s="72">
        <v>5.048</v>
      </c>
      <c r="Q17" s="72">
        <v>5.048</v>
      </c>
      <c r="R17" s="72">
        <v>5.048</v>
      </c>
      <c r="S17" s="72">
        <v>5.048</v>
      </c>
      <c r="T17" s="72">
        <v>5.048</v>
      </c>
      <c r="U17" s="72">
        <v>5.048</v>
      </c>
      <c r="V17" s="72">
        <v>5.048</v>
      </c>
      <c r="W17" s="72">
        <v>5.048</v>
      </c>
      <c r="X17" s="72">
        <v>5.048</v>
      </c>
      <c r="Y17" s="72">
        <v>5.048</v>
      </c>
      <c r="Z17" s="72">
        <v>5.048</v>
      </c>
      <c r="AA17" s="72">
        <v>5.048</v>
      </c>
      <c r="AB17" s="72">
        <v>5.048</v>
      </c>
      <c r="AC17" s="72">
        <v>5.048</v>
      </c>
      <c r="AD17" s="72">
        <v>5.048</v>
      </c>
      <c r="AE17" s="72">
        <v>5.048</v>
      </c>
      <c r="AF17" s="72">
        <v>5.048</v>
      </c>
      <c r="AG17" s="72">
        <v>5.048</v>
      </c>
      <c r="AH17" s="72">
        <v>5.048</v>
      </c>
      <c r="AI17" s="72">
        <v>5.048</v>
      </c>
      <c r="AJ17" s="72">
        <v>5.048</v>
      </c>
      <c r="AK17" s="73">
        <v>0</v>
      </c>
    </row>
    <row r="18" spans="1:37" ht="15" customHeight="1">
      <c r="A18" s="67" t="s">
        <v>71</v>
      </c>
      <c r="B18" s="71" t="s">
        <v>72</v>
      </c>
      <c r="C18" s="72">
        <v>5.359</v>
      </c>
      <c r="D18" s="72">
        <v>5.359</v>
      </c>
      <c r="E18" s="72">
        <v>5.359</v>
      </c>
      <c r="F18" s="72">
        <v>5.359</v>
      </c>
      <c r="G18" s="72">
        <v>5.359</v>
      </c>
      <c r="H18" s="72">
        <v>5.359</v>
      </c>
      <c r="I18" s="72">
        <v>5.359</v>
      </c>
      <c r="J18" s="72">
        <v>5.359</v>
      </c>
      <c r="K18" s="72">
        <v>5.359</v>
      </c>
      <c r="L18" s="72">
        <v>5.359</v>
      </c>
      <c r="M18" s="72">
        <v>5.359</v>
      </c>
      <c r="N18" s="72">
        <v>5.359</v>
      </c>
      <c r="O18" s="72">
        <v>5.359</v>
      </c>
      <c r="P18" s="72">
        <v>5.359</v>
      </c>
      <c r="Q18" s="72">
        <v>5.359</v>
      </c>
      <c r="R18" s="72">
        <v>5.359</v>
      </c>
      <c r="S18" s="72">
        <v>5.359</v>
      </c>
      <c r="T18" s="72">
        <v>5.359</v>
      </c>
      <c r="U18" s="72">
        <v>5.359</v>
      </c>
      <c r="V18" s="72">
        <v>5.359</v>
      </c>
      <c r="W18" s="72">
        <v>5.359</v>
      </c>
      <c r="X18" s="72">
        <v>5.359</v>
      </c>
      <c r="Y18" s="72">
        <v>5.359</v>
      </c>
      <c r="Z18" s="72">
        <v>5.359</v>
      </c>
      <c r="AA18" s="72">
        <v>5.359</v>
      </c>
      <c r="AB18" s="72">
        <v>5.359</v>
      </c>
      <c r="AC18" s="72">
        <v>5.359</v>
      </c>
      <c r="AD18" s="72">
        <v>5.359</v>
      </c>
      <c r="AE18" s="72">
        <v>5.359</v>
      </c>
      <c r="AF18" s="72">
        <v>5.359</v>
      </c>
      <c r="AG18" s="72">
        <v>5.359</v>
      </c>
      <c r="AH18" s="72">
        <v>5.359</v>
      </c>
      <c r="AI18" s="72">
        <v>5.359</v>
      </c>
      <c r="AJ18" s="72">
        <v>5.359</v>
      </c>
      <c r="AK18" s="73">
        <v>0</v>
      </c>
    </row>
    <row r="19" spans="1:37" ht="15" customHeight="1">
      <c r="A19" s="67" t="s">
        <v>73</v>
      </c>
      <c r="B19" s="71" t="s">
        <v>74</v>
      </c>
      <c r="C19" s="72">
        <v>5.8250000000000002</v>
      </c>
      <c r="D19" s="72">
        <v>5.8250000000000002</v>
      </c>
      <c r="E19" s="72">
        <v>5.8250000000000002</v>
      </c>
      <c r="F19" s="72">
        <v>5.8250000000000002</v>
      </c>
      <c r="G19" s="72">
        <v>5.8250000000000002</v>
      </c>
      <c r="H19" s="72">
        <v>5.8250000000000002</v>
      </c>
      <c r="I19" s="72">
        <v>5.8250000000000002</v>
      </c>
      <c r="J19" s="72">
        <v>5.8250000000000002</v>
      </c>
      <c r="K19" s="72">
        <v>5.8250000000000002</v>
      </c>
      <c r="L19" s="72">
        <v>5.8250000000000002</v>
      </c>
      <c r="M19" s="72">
        <v>5.8250000000000002</v>
      </c>
      <c r="N19" s="72">
        <v>5.8250000000000002</v>
      </c>
      <c r="O19" s="72">
        <v>5.8250000000000002</v>
      </c>
      <c r="P19" s="72">
        <v>5.8250000000000002</v>
      </c>
      <c r="Q19" s="72">
        <v>5.8250000000000002</v>
      </c>
      <c r="R19" s="72">
        <v>5.8250000000000002</v>
      </c>
      <c r="S19" s="72">
        <v>5.8250000000000002</v>
      </c>
      <c r="T19" s="72">
        <v>5.8250000000000002</v>
      </c>
      <c r="U19" s="72">
        <v>5.8250000000000002</v>
      </c>
      <c r="V19" s="72">
        <v>5.8250000000000002</v>
      </c>
      <c r="W19" s="72">
        <v>5.8250000000000002</v>
      </c>
      <c r="X19" s="72">
        <v>5.8250000000000002</v>
      </c>
      <c r="Y19" s="72">
        <v>5.8250000000000002</v>
      </c>
      <c r="Z19" s="72">
        <v>5.8250000000000002</v>
      </c>
      <c r="AA19" s="72">
        <v>5.8250000000000002</v>
      </c>
      <c r="AB19" s="72">
        <v>5.8250000000000002</v>
      </c>
      <c r="AC19" s="72">
        <v>5.8250000000000002</v>
      </c>
      <c r="AD19" s="72">
        <v>5.8250000000000002</v>
      </c>
      <c r="AE19" s="72">
        <v>5.8250000000000002</v>
      </c>
      <c r="AF19" s="72">
        <v>5.8250000000000002</v>
      </c>
      <c r="AG19" s="72">
        <v>5.8250000000000002</v>
      </c>
      <c r="AH19" s="72">
        <v>5.8250000000000002</v>
      </c>
      <c r="AI19" s="72">
        <v>5.8250000000000002</v>
      </c>
      <c r="AJ19" s="72">
        <v>5.8250000000000002</v>
      </c>
      <c r="AK19" s="73">
        <v>0</v>
      </c>
    </row>
    <row r="20" spans="1:37" ht="15" customHeight="1">
      <c r="A20" s="67" t="s">
        <v>75</v>
      </c>
      <c r="B20" s="71" t="s">
        <v>76</v>
      </c>
      <c r="C20" s="72">
        <v>5.7746510000000004</v>
      </c>
      <c r="D20" s="72">
        <v>5.7738240000000003</v>
      </c>
      <c r="E20" s="72">
        <v>5.7736289999999997</v>
      </c>
      <c r="F20" s="72">
        <v>5.7729280000000003</v>
      </c>
      <c r="G20" s="72">
        <v>5.7731190000000003</v>
      </c>
      <c r="H20" s="72">
        <v>5.7737270000000001</v>
      </c>
      <c r="I20" s="72">
        <v>5.7724289999999998</v>
      </c>
      <c r="J20" s="72">
        <v>5.773784</v>
      </c>
      <c r="K20" s="72">
        <v>5.7726059999999997</v>
      </c>
      <c r="L20" s="72">
        <v>5.7733230000000004</v>
      </c>
      <c r="M20" s="72">
        <v>5.7745470000000001</v>
      </c>
      <c r="N20" s="72">
        <v>5.7747440000000001</v>
      </c>
      <c r="O20" s="72">
        <v>5.7735219999999998</v>
      </c>
      <c r="P20" s="72">
        <v>5.7736159999999996</v>
      </c>
      <c r="Q20" s="72">
        <v>5.7735810000000001</v>
      </c>
      <c r="R20" s="72">
        <v>5.7734930000000002</v>
      </c>
      <c r="S20" s="72">
        <v>5.7744850000000003</v>
      </c>
      <c r="T20" s="72">
        <v>5.7733730000000003</v>
      </c>
      <c r="U20" s="72">
        <v>5.7733169999999996</v>
      </c>
      <c r="V20" s="72">
        <v>5.7729939999999997</v>
      </c>
      <c r="W20" s="72">
        <v>5.7732359999999998</v>
      </c>
      <c r="X20" s="72">
        <v>5.7731630000000003</v>
      </c>
      <c r="Y20" s="72">
        <v>5.7730449999999998</v>
      </c>
      <c r="Z20" s="72">
        <v>5.773002</v>
      </c>
      <c r="AA20" s="72">
        <v>5.7729929999999996</v>
      </c>
      <c r="AB20" s="72">
        <v>5.7727380000000004</v>
      </c>
      <c r="AC20" s="72">
        <v>5.772945</v>
      </c>
      <c r="AD20" s="72">
        <v>5.7726160000000002</v>
      </c>
      <c r="AE20" s="72">
        <v>5.7726569999999997</v>
      </c>
      <c r="AF20" s="72">
        <v>5.7725039999999996</v>
      </c>
      <c r="AG20" s="72">
        <v>5.7722730000000002</v>
      </c>
      <c r="AH20" s="72">
        <v>5.7721470000000004</v>
      </c>
      <c r="AI20" s="72">
        <v>5.7719480000000001</v>
      </c>
      <c r="AJ20" s="72">
        <v>5.7717749999999999</v>
      </c>
      <c r="AK20" s="73">
        <v>-1.1E-5</v>
      </c>
    </row>
    <row r="21" spans="1:37" ht="15" customHeight="1">
      <c r="A21" s="67" t="s">
        <v>77</v>
      </c>
      <c r="B21" s="71" t="s">
        <v>78</v>
      </c>
      <c r="C21" s="72">
        <v>5.7746510000000004</v>
      </c>
      <c r="D21" s="72">
        <v>5.7738240000000003</v>
      </c>
      <c r="E21" s="72">
        <v>5.7736289999999997</v>
      </c>
      <c r="F21" s="72">
        <v>5.7729280000000003</v>
      </c>
      <c r="G21" s="72">
        <v>5.7731190000000003</v>
      </c>
      <c r="H21" s="72">
        <v>5.7737270000000001</v>
      </c>
      <c r="I21" s="72">
        <v>5.7724289999999998</v>
      </c>
      <c r="J21" s="72">
        <v>5.773784</v>
      </c>
      <c r="K21" s="72">
        <v>5.7726059999999997</v>
      </c>
      <c r="L21" s="72">
        <v>5.7733230000000004</v>
      </c>
      <c r="M21" s="72">
        <v>5.7745470000000001</v>
      </c>
      <c r="N21" s="72">
        <v>5.7747440000000001</v>
      </c>
      <c r="O21" s="72">
        <v>5.7735219999999998</v>
      </c>
      <c r="P21" s="72">
        <v>5.7736159999999996</v>
      </c>
      <c r="Q21" s="72">
        <v>5.7735810000000001</v>
      </c>
      <c r="R21" s="72">
        <v>5.7734930000000002</v>
      </c>
      <c r="S21" s="72">
        <v>5.7744850000000003</v>
      </c>
      <c r="T21" s="72">
        <v>5.7733730000000003</v>
      </c>
      <c r="U21" s="72">
        <v>5.7733169999999996</v>
      </c>
      <c r="V21" s="72">
        <v>5.7729939999999997</v>
      </c>
      <c r="W21" s="72">
        <v>5.7732359999999998</v>
      </c>
      <c r="X21" s="72">
        <v>5.7731630000000003</v>
      </c>
      <c r="Y21" s="72">
        <v>5.7730449999999998</v>
      </c>
      <c r="Z21" s="72">
        <v>5.773002</v>
      </c>
      <c r="AA21" s="72">
        <v>5.7729929999999996</v>
      </c>
      <c r="AB21" s="72">
        <v>5.7727380000000004</v>
      </c>
      <c r="AC21" s="72">
        <v>5.772945</v>
      </c>
      <c r="AD21" s="72">
        <v>5.7726160000000002</v>
      </c>
      <c r="AE21" s="72">
        <v>5.7726569999999997</v>
      </c>
      <c r="AF21" s="72">
        <v>5.7725039999999996</v>
      </c>
      <c r="AG21" s="72">
        <v>5.7722730000000002</v>
      </c>
      <c r="AH21" s="72">
        <v>5.7721470000000004</v>
      </c>
      <c r="AI21" s="72">
        <v>5.7719480000000001</v>
      </c>
      <c r="AJ21" s="72">
        <v>5.7717749999999999</v>
      </c>
      <c r="AK21" s="73">
        <v>-1.1E-5</v>
      </c>
    </row>
    <row r="22" spans="1:37" ht="15" customHeight="1">
      <c r="A22" s="67" t="s">
        <v>79</v>
      </c>
      <c r="B22" s="71" t="s">
        <v>80</v>
      </c>
      <c r="C22" s="72">
        <v>5.7746510000000004</v>
      </c>
      <c r="D22" s="72">
        <v>5.7738240000000003</v>
      </c>
      <c r="E22" s="72">
        <v>5.7736289999999997</v>
      </c>
      <c r="F22" s="72">
        <v>5.7729280000000003</v>
      </c>
      <c r="G22" s="72">
        <v>5.7731190000000003</v>
      </c>
      <c r="H22" s="72">
        <v>5.7737270000000001</v>
      </c>
      <c r="I22" s="72">
        <v>5.7724289999999998</v>
      </c>
      <c r="J22" s="72">
        <v>5.773784</v>
      </c>
      <c r="K22" s="72">
        <v>5.7726059999999997</v>
      </c>
      <c r="L22" s="72">
        <v>5.7733230000000004</v>
      </c>
      <c r="M22" s="72">
        <v>5.7745470000000001</v>
      </c>
      <c r="N22" s="72">
        <v>5.7747440000000001</v>
      </c>
      <c r="O22" s="72">
        <v>5.7735219999999998</v>
      </c>
      <c r="P22" s="72">
        <v>5.7736159999999996</v>
      </c>
      <c r="Q22" s="72">
        <v>5.7735810000000001</v>
      </c>
      <c r="R22" s="72">
        <v>5.7734930000000002</v>
      </c>
      <c r="S22" s="72">
        <v>5.7744850000000003</v>
      </c>
      <c r="T22" s="72">
        <v>5.7733730000000003</v>
      </c>
      <c r="U22" s="72">
        <v>5.7733169999999996</v>
      </c>
      <c r="V22" s="72">
        <v>5.7729939999999997</v>
      </c>
      <c r="W22" s="72">
        <v>5.7732359999999998</v>
      </c>
      <c r="X22" s="72">
        <v>5.7731630000000003</v>
      </c>
      <c r="Y22" s="72">
        <v>5.7730449999999998</v>
      </c>
      <c r="Z22" s="72">
        <v>5.773002</v>
      </c>
      <c r="AA22" s="72">
        <v>5.7729929999999996</v>
      </c>
      <c r="AB22" s="72">
        <v>5.7727380000000004</v>
      </c>
      <c r="AC22" s="72">
        <v>5.772945</v>
      </c>
      <c r="AD22" s="72">
        <v>5.7726160000000002</v>
      </c>
      <c r="AE22" s="72">
        <v>5.7726569999999997</v>
      </c>
      <c r="AF22" s="72">
        <v>5.7725039999999996</v>
      </c>
      <c r="AG22" s="72">
        <v>5.7722730000000002</v>
      </c>
      <c r="AH22" s="72">
        <v>5.7721470000000004</v>
      </c>
      <c r="AI22" s="72">
        <v>5.7719480000000001</v>
      </c>
      <c r="AJ22" s="72">
        <v>5.7717749999999999</v>
      </c>
      <c r="AK22" s="73">
        <v>-1.1E-5</v>
      </c>
    </row>
    <row r="23" spans="1:37" ht="15" customHeight="1">
      <c r="A23" s="67" t="s">
        <v>81</v>
      </c>
      <c r="B23" s="71" t="s">
        <v>82</v>
      </c>
      <c r="C23" s="72">
        <v>5.7746510000000004</v>
      </c>
      <c r="D23" s="72">
        <v>5.7738240000000003</v>
      </c>
      <c r="E23" s="72">
        <v>5.7736289999999997</v>
      </c>
      <c r="F23" s="72">
        <v>5.7729280000000003</v>
      </c>
      <c r="G23" s="72">
        <v>5.7731190000000003</v>
      </c>
      <c r="H23" s="72">
        <v>5.7737270000000001</v>
      </c>
      <c r="I23" s="72">
        <v>5.7724289999999998</v>
      </c>
      <c r="J23" s="72">
        <v>5.773784</v>
      </c>
      <c r="K23" s="72">
        <v>5.7726059999999997</v>
      </c>
      <c r="L23" s="72">
        <v>5.7733230000000004</v>
      </c>
      <c r="M23" s="72">
        <v>5.7745470000000001</v>
      </c>
      <c r="N23" s="72">
        <v>5.7747440000000001</v>
      </c>
      <c r="O23" s="72">
        <v>5.7735219999999998</v>
      </c>
      <c r="P23" s="72">
        <v>5.7736159999999996</v>
      </c>
      <c r="Q23" s="72">
        <v>5.7735810000000001</v>
      </c>
      <c r="R23" s="72">
        <v>5.7734930000000002</v>
      </c>
      <c r="S23" s="72">
        <v>5.7744850000000003</v>
      </c>
      <c r="T23" s="72">
        <v>5.7733730000000003</v>
      </c>
      <c r="U23" s="72">
        <v>5.7733169999999996</v>
      </c>
      <c r="V23" s="72">
        <v>5.7729939999999997</v>
      </c>
      <c r="W23" s="72">
        <v>5.7732359999999998</v>
      </c>
      <c r="X23" s="72">
        <v>5.7731630000000003</v>
      </c>
      <c r="Y23" s="72">
        <v>5.7730449999999998</v>
      </c>
      <c r="Z23" s="72">
        <v>5.773002</v>
      </c>
      <c r="AA23" s="72">
        <v>5.7729929999999996</v>
      </c>
      <c r="AB23" s="72">
        <v>5.7727380000000004</v>
      </c>
      <c r="AC23" s="72">
        <v>5.772945</v>
      </c>
      <c r="AD23" s="72">
        <v>5.7726160000000002</v>
      </c>
      <c r="AE23" s="72">
        <v>5.7726569999999997</v>
      </c>
      <c r="AF23" s="72">
        <v>5.7725039999999996</v>
      </c>
      <c r="AG23" s="72">
        <v>5.7722730000000002</v>
      </c>
      <c r="AH23" s="72">
        <v>5.7721470000000004</v>
      </c>
      <c r="AI23" s="72">
        <v>5.7719480000000001</v>
      </c>
      <c r="AJ23" s="72">
        <v>5.7717749999999999</v>
      </c>
      <c r="AK23" s="73">
        <v>-1.1E-5</v>
      </c>
    </row>
    <row r="24" spans="1:37" ht="15" customHeight="1">
      <c r="A24" s="67" t="s">
        <v>83</v>
      </c>
      <c r="B24" s="71" t="s">
        <v>84</v>
      </c>
      <c r="C24" s="72">
        <v>5.7746510000000004</v>
      </c>
      <c r="D24" s="72">
        <v>5.7738240000000003</v>
      </c>
      <c r="E24" s="72">
        <v>5.7736289999999997</v>
      </c>
      <c r="F24" s="72">
        <v>5.7729280000000003</v>
      </c>
      <c r="G24" s="72">
        <v>5.7731190000000003</v>
      </c>
      <c r="H24" s="72">
        <v>5.7737270000000001</v>
      </c>
      <c r="I24" s="72">
        <v>5.7724289999999998</v>
      </c>
      <c r="J24" s="72">
        <v>5.773784</v>
      </c>
      <c r="K24" s="72">
        <v>5.7726059999999997</v>
      </c>
      <c r="L24" s="72">
        <v>5.7733230000000004</v>
      </c>
      <c r="M24" s="72">
        <v>5.7745470000000001</v>
      </c>
      <c r="N24" s="72">
        <v>5.7747440000000001</v>
      </c>
      <c r="O24" s="72">
        <v>5.7735219999999998</v>
      </c>
      <c r="P24" s="72">
        <v>5.7736159999999996</v>
      </c>
      <c r="Q24" s="72">
        <v>5.7735810000000001</v>
      </c>
      <c r="R24" s="72">
        <v>5.7734930000000002</v>
      </c>
      <c r="S24" s="72">
        <v>5.7744850000000003</v>
      </c>
      <c r="T24" s="72">
        <v>5.7733730000000003</v>
      </c>
      <c r="U24" s="72">
        <v>5.7733169999999996</v>
      </c>
      <c r="V24" s="72">
        <v>5.7729939999999997</v>
      </c>
      <c r="W24" s="72">
        <v>5.7732359999999998</v>
      </c>
      <c r="X24" s="72">
        <v>5.7731630000000003</v>
      </c>
      <c r="Y24" s="72">
        <v>5.7730449999999998</v>
      </c>
      <c r="Z24" s="72">
        <v>5.773002</v>
      </c>
      <c r="AA24" s="72">
        <v>5.7729929999999996</v>
      </c>
      <c r="AB24" s="72">
        <v>5.7727380000000004</v>
      </c>
      <c r="AC24" s="72">
        <v>5.772945</v>
      </c>
      <c r="AD24" s="72">
        <v>5.7726160000000002</v>
      </c>
      <c r="AE24" s="72">
        <v>5.7726569999999997</v>
      </c>
      <c r="AF24" s="72">
        <v>5.7725039999999996</v>
      </c>
      <c r="AG24" s="72">
        <v>5.7722730000000002</v>
      </c>
      <c r="AH24" s="72">
        <v>5.7721470000000004</v>
      </c>
      <c r="AI24" s="72">
        <v>5.7719480000000001</v>
      </c>
      <c r="AJ24" s="72">
        <v>5.7717749999999999</v>
      </c>
      <c r="AK24" s="73">
        <v>-1.1E-5</v>
      </c>
    </row>
    <row r="25" spans="1:37" ht="15" customHeight="1">
      <c r="A25" s="67" t="s">
        <v>85</v>
      </c>
      <c r="B25" s="71" t="s">
        <v>86</v>
      </c>
      <c r="C25" s="72">
        <v>5.7746510000000004</v>
      </c>
      <c r="D25" s="72">
        <v>5.7738240000000003</v>
      </c>
      <c r="E25" s="72">
        <v>5.7736280000000004</v>
      </c>
      <c r="F25" s="72">
        <v>5.7729270000000001</v>
      </c>
      <c r="G25" s="72">
        <v>5.7731190000000003</v>
      </c>
      <c r="H25" s="72">
        <v>5.7737270000000001</v>
      </c>
      <c r="I25" s="72">
        <v>5.7724289999999998</v>
      </c>
      <c r="J25" s="72">
        <v>5.773784</v>
      </c>
      <c r="K25" s="72">
        <v>5.7726059999999997</v>
      </c>
      <c r="L25" s="72">
        <v>5.7733220000000003</v>
      </c>
      <c r="M25" s="72">
        <v>5.7745480000000002</v>
      </c>
      <c r="N25" s="72">
        <v>5.7747440000000001</v>
      </c>
      <c r="O25" s="72">
        <v>5.7735219999999998</v>
      </c>
      <c r="P25" s="72">
        <v>5.7736159999999996</v>
      </c>
      <c r="Q25" s="72">
        <v>5.7735799999999999</v>
      </c>
      <c r="R25" s="72">
        <v>5.7734930000000002</v>
      </c>
      <c r="S25" s="72">
        <v>5.7744850000000003</v>
      </c>
      <c r="T25" s="72">
        <v>5.7733730000000003</v>
      </c>
      <c r="U25" s="72">
        <v>5.7733169999999996</v>
      </c>
      <c r="V25" s="72">
        <v>5.7729939999999997</v>
      </c>
      <c r="W25" s="72">
        <v>5.7732359999999998</v>
      </c>
      <c r="X25" s="72">
        <v>5.7731620000000001</v>
      </c>
      <c r="Y25" s="72">
        <v>5.7730439999999996</v>
      </c>
      <c r="Z25" s="72">
        <v>5.773002</v>
      </c>
      <c r="AA25" s="72">
        <v>5.7729929999999996</v>
      </c>
      <c r="AB25" s="72">
        <v>5.7727380000000004</v>
      </c>
      <c r="AC25" s="72">
        <v>5.772945</v>
      </c>
      <c r="AD25" s="72">
        <v>5.7726170000000003</v>
      </c>
      <c r="AE25" s="72">
        <v>5.7726559999999996</v>
      </c>
      <c r="AF25" s="72">
        <v>5.7725039999999996</v>
      </c>
      <c r="AG25" s="72">
        <v>5.7722740000000003</v>
      </c>
      <c r="AH25" s="72">
        <v>5.7721470000000004</v>
      </c>
      <c r="AI25" s="72">
        <v>5.7719480000000001</v>
      </c>
      <c r="AJ25" s="72">
        <v>5.7717749999999999</v>
      </c>
      <c r="AK25" s="73">
        <v>-1.1E-5</v>
      </c>
    </row>
    <row r="26" spans="1:37" ht="15" customHeight="1">
      <c r="A26" s="67" t="s">
        <v>87</v>
      </c>
      <c r="B26" s="71" t="s">
        <v>88</v>
      </c>
      <c r="C26" s="72">
        <v>5.8170000000000002</v>
      </c>
      <c r="D26" s="72">
        <v>5.8170000000000002</v>
      </c>
      <c r="E26" s="72">
        <v>5.8170000000000002</v>
      </c>
      <c r="F26" s="72">
        <v>5.8170000000000002</v>
      </c>
      <c r="G26" s="72">
        <v>5.8170000000000002</v>
      </c>
      <c r="H26" s="72">
        <v>5.8170000000000002</v>
      </c>
      <c r="I26" s="72">
        <v>5.8170000000000002</v>
      </c>
      <c r="J26" s="72">
        <v>5.8170000000000002</v>
      </c>
      <c r="K26" s="72">
        <v>5.8170000000000002</v>
      </c>
      <c r="L26" s="72">
        <v>5.8170000000000002</v>
      </c>
      <c r="M26" s="72">
        <v>5.8170000000000002</v>
      </c>
      <c r="N26" s="72">
        <v>5.8170000000000002</v>
      </c>
      <c r="O26" s="72">
        <v>5.8170000000000002</v>
      </c>
      <c r="P26" s="72">
        <v>5.8170000000000002</v>
      </c>
      <c r="Q26" s="72">
        <v>5.8170000000000002</v>
      </c>
      <c r="R26" s="72">
        <v>5.8170000000000002</v>
      </c>
      <c r="S26" s="72">
        <v>5.8170000000000002</v>
      </c>
      <c r="T26" s="72">
        <v>5.8170000000000002</v>
      </c>
      <c r="U26" s="72">
        <v>5.8170000000000002</v>
      </c>
      <c r="V26" s="72">
        <v>5.8170000000000002</v>
      </c>
      <c r="W26" s="72">
        <v>5.8170000000000002</v>
      </c>
      <c r="X26" s="72">
        <v>5.8170000000000002</v>
      </c>
      <c r="Y26" s="72">
        <v>5.8170000000000002</v>
      </c>
      <c r="Z26" s="72">
        <v>5.8170000000000002</v>
      </c>
      <c r="AA26" s="72">
        <v>5.8170000000000002</v>
      </c>
      <c r="AB26" s="72">
        <v>5.8170000000000002</v>
      </c>
      <c r="AC26" s="72">
        <v>5.8170000000000002</v>
      </c>
      <c r="AD26" s="72">
        <v>5.8170000000000002</v>
      </c>
      <c r="AE26" s="72">
        <v>5.8170000000000002</v>
      </c>
      <c r="AF26" s="72">
        <v>5.8170000000000002</v>
      </c>
      <c r="AG26" s="72">
        <v>5.8170000000000002</v>
      </c>
      <c r="AH26" s="72">
        <v>5.8170000000000002</v>
      </c>
      <c r="AI26" s="72">
        <v>5.8170000000000002</v>
      </c>
      <c r="AJ26" s="72">
        <v>5.8170000000000002</v>
      </c>
      <c r="AK26" s="73">
        <v>0</v>
      </c>
    </row>
    <row r="27" spans="1:37" ht="15" customHeight="1">
      <c r="A27" s="67" t="s">
        <v>89</v>
      </c>
      <c r="B27" s="71" t="s">
        <v>90</v>
      </c>
      <c r="C27" s="72">
        <v>5.77</v>
      </c>
      <c r="D27" s="72">
        <v>5.77</v>
      </c>
      <c r="E27" s="72">
        <v>5.77</v>
      </c>
      <c r="F27" s="72">
        <v>5.77</v>
      </c>
      <c r="G27" s="72">
        <v>5.77</v>
      </c>
      <c r="H27" s="72">
        <v>5.77</v>
      </c>
      <c r="I27" s="72">
        <v>5.77</v>
      </c>
      <c r="J27" s="72">
        <v>5.77</v>
      </c>
      <c r="K27" s="72">
        <v>5.77</v>
      </c>
      <c r="L27" s="72">
        <v>5.77</v>
      </c>
      <c r="M27" s="72">
        <v>5.77</v>
      </c>
      <c r="N27" s="72">
        <v>5.77</v>
      </c>
      <c r="O27" s="72">
        <v>5.77</v>
      </c>
      <c r="P27" s="72">
        <v>5.77</v>
      </c>
      <c r="Q27" s="72">
        <v>5.77</v>
      </c>
      <c r="R27" s="72">
        <v>5.77</v>
      </c>
      <c r="S27" s="72">
        <v>5.77</v>
      </c>
      <c r="T27" s="72">
        <v>5.77</v>
      </c>
      <c r="U27" s="72">
        <v>5.77</v>
      </c>
      <c r="V27" s="72">
        <v>5.77</v>
      </c>
      <c r="W27" s="72">
        <v>5.77</v>
      </c>
      <c r="X27" s="72">
        <v>5.77</v>
      </c>
      <c r="Y27" s="72">
        <v>5.77</v>
      </c>
      <c r="Z27" s="72">
        <v>5.77</v>
      </c>
      <c r="AA27" s="72">
        <v>5.77</v>
      </c>
      <c r="AB27" s="72">
        <v>5.77</v>
      </c>
      <c r="AC27" s="72">
        <v>5.77</v>
      </c>
      <c r="AD27" s="72">
        <v>5.77</v>
      </c>
      <c r="AE27" s="72">
        <v>5.77</v>
      </c>
      <c r="AF27" s="72">
        <v>5.77</v>
      </c>
      <c r="AG27" s="72">
        <v>5.77</v>
      </c>
      <c r="AH27" s="72">
        <v>5.77</v>
      </c>
      <c r="AI27" s="72">
        <v>5.77</v>
      </c>
      <c r="AJ27" s="72">
        <v>5.77</v>
      </c>
      <c r="AK27" s="73">
        <v>0</v>
      </c>
    </row>
    <row r="28" spans="1:37" ht="15" customHeight="1">
      <c r="A28" s="67" t="s">
        <v>91</v>
      </c>
      <c r="B28" s="71" t="s">
        <v>92</v>
      </c>
      <c r="C28" s="72">
        <v>3.556</v>
      </c>
      <c r="D28" s="72">
        <v>3.556</v>
      </c>
      <c r="E28" s="72">
        <v>3.556</v>
      </c>
      <c r="F28" s="72">
        <v>3.556</v>
      </c>
      <c r="G28" s="72">
        <v>3.556</v>
      </c>
      <c r="H28" s="72">
        <v>3.556</v>
      </c>
      <c r="I28" s="72">
        <v>3.556</v>
      </c>
      <c r="J28" s="72">
        <v>3.556</v>
      </c>
      <c r="K28" s="72">
        <v>3.556</v>
      </c>
      <c r="L28" s="72">
        <v>3.556</v>
      </c>
      <c r="M28" s="72">
        <v>3.556</v>
      </c>
      <c r="N28" s="72">
        <v>3.556</v>
      </c>
      <c r="O28" s="72">
        <v>3.556</v>
      </c>
      <c r="P28" s="72">
        <v>3.556</v>
      </c>
      <c r="Q28" s="72">
        <v>3.556</v>
      </c>
      <c r="R28" s="72">
        <v>3.556</v>
      </c>
      <c r="S28" s="72">
        <v>3.556</v>
      </c>
      <c r="T28" s="72">
        <v>3.556</v>
      </c>
      <c r="U28" s="72">
        <v>3.556</v>
      </c>
      <c r="V28" s="72">
        <v>3.556</v>
      </c>
      <c r="W28" s="72">
        <v>3.556</v>
      </c>
      <c r="X28" s="72">
        <v>3.556</v>
      </c>
      <c r="Y28" s="72">
        <v>3.556</v>
      </c>
      <c r="Z28" s="72">
        <v>3.556</v>
      </c>
      <c r="AA28" s="72">
        <v>3.556</v>
      </c>
      <c r="AB28" s="72">
        <v>3.556</v>
      </c>
      <c r="AC28" s="72">
        <v>3.556</v>
      </c>
      <c r="AD28" s="72">
        <v>3.556</v>
      </c>
      <c r="AE28" s="72">
        <v>3.556</v>
      </c>
      <c r="AF28" s="72">
        <v>3.556</v>
      </c>
      <c r="AG28" s="72">
        <v>3.556</v>
      </c>
      <c r="AH28" s="72">
        <v>3.556</v>
      </c>
      <c r="AI28" s="72">
        <v>3.556</v>
      </c>
      <c r="AJ28" s="72">
        <v>3.556</v>
      </c>
      <c r="AK28" s="73">
        <v>0</v>
      </c>
    </row>
    <row r="29" spans="1:37" ht="15" customHeight="1">
      <c r="A29" s="67" t="s">
        <v>93</v>
      </c>
      <c r="B29" s="71" t="s">
        <v>94</v>
      </c>
      <c r="C29" s="72">
        <v>3.99722</v>
      </c>
      <c r="D29" s="72">
        <v>3.989233</v>
      </c>
      <c r="E29" s="72">
        <v>3.989233</v>
      </c>
      <c r="F29" s="72">
        <v>3.989233</v>
      </c>
      <c r="G29" s="72">
        <v>3.989233</v>
      </c>
      <c r="H29" s="72">
        <v>3.989233</v>
      </c>
      <c r="I29" s="72">
        <v>3.989233</v>
      </c>
      <c r="J29" s="72">
        <v>3.989233</v>
      </c>
      <c r="K29" s="72">
        <v>3.989233</v>
      </c>
      <c r="L29" s="72">
        <v>3.989233</v>
      </c>
      <c r="M29" s="72">
        <v>3.989233</v>
      </c>
      <c r="N29" s="72">
        <v>3.989233</v>
      </c>
      <c r="O29" s="72">
        <v>3.989233</v>
      </c>
      <c r="P29" s="72">
        <v>3.989233</v>
      </c>
      <c r="Q29" s="72">
        <v>3.989233</v>
      </c>
      <c r="R29" s="72">
        <v>3.989233</v>
      </c>
      <c r="S29" s="72">
        <v>3.989233</v>
      </c>
      <c r="T29" s="72">
        <v>3.989233</v>
      </c>
      <c r="U29" s="72">
        <v>3.989233</v>
      </c>
      <c r="V29" s="72">
        <v>3.989233</v>
      </c>
      <c r="W29" s="72">
        <v>3.989233</v>
      </c>
      <c r="X29" s="72">
        <v>3.989233</v>
      </c>
      <c r="Y29" s="72">
        <v>3.989233</v>
      </c>
      <c r="Z29" s="72">
        <v>3.989233</v>
      </c>
      <c r="AA29" s="72">
        <v>3.989233</v>
      </c>
      <c r="AB29" s="72">
        <v>3.989233</v>
      </c>
      <c r="AC29" s="72">
        <v>3.989233</v>
      </c>
      <c r="AD29" s="72">
        <v>3.989233</v>
      </c>
      <c r="AE29" s="72">
        <v>3.989233</v>
      </c>
      <c r="AF29" s="72">
        <v>3.989233</v>
      </c>
      <c r="AG29" s="72">
        <v>3.989233</v>
      </c>
      <c r="AH29" s="72">
        <v>3.989233</v>
      </c>
      <c r="AI29" s="72">
        <v>3.989233</v>
      </c>
      <c r="AJ29" s="72">
        <v>3.989233</v>
      </c>
      <c r="AK29" s="73">
        <v>0</v>
      </c>
    </row>
    <row r="30" spans="1:37" ht="15" customHeight="1">
      <c r="A30" s="67" t="s">
        <v>95</v>
      </c>
      <c r="B30" s="71" t="s">
        <v>96</v>
      </c>
      <c r="C30" s="72">
        <v>5.67</v>
      </c>
      <c r="D30" s="72">
        <v>5.67</v>
      </c>
      <c r="E30" s="72">
        <v>5.67</v>
      </c>
      <c r="F30" s="72">
        <v>5.67</v>
      </c>
      <c r="G30" s="72">
        <v>5.67</v>
      </c>
      <c r="H30" s="72">
        <v>5.67</v>
      </c>
      <c r="I30" s="72">
        <v>5.67</v>
      </c>
      <c r="J30" s="72">
        <v>5.67</v>
      </c>
      <c r="K30" s="72">
        <v>5.67</v>
      </c>
      <c r="L30" s="72">
        <v>5.67</v>
      </c>
      <c r="M30" s="72">
        <v>5.67</v>
      </c>
      <c r="N30" s="72">
        <v>5.67</v>
      </c>
      <c r="O30" s="72">
        <v>5.67</v>
      </c>
      <c r="P30" s="72">
        <v>5.67</v>
      </c>
      <c r="Q30" s="72">
        <v>5.67</v>
      </c>
      <c r="R30" s="72">
        <v>5.67</v>
      </c>
      <c r="S30" s="72">
        <v>5.67</v>
      </c>
      <c r="T30" s="72">
        <v>5.67</v>
      </c>
      <c r="U30" s="72">
        <v>5.67</v>
      </c>
      <c r="V30" s="72">
        <v>5.67</v>
      </c>
      <c r="W30" s="72">
        <v>5.67</v>
      </c>
      <c r="X30" s="72">
        <v>5.67</v>
      </c>
      <c r="Y30" s="72">
        <v>5.67</v>
      </c>
      <c r="Z30" s="72">
        <v>5.67</v>
      </c>
      <c r="AA30" s="72">
        <v>5.67</v>
      </c>
      <c r="AB30" s="72">
        <v>5.67</v>
      </c>
      <c r="AC30" s="72">
        <v>5.67</v>
      </c>
      <c r="AD30" s="72">
        <v>5.67</v>
      </c>
      <c r="AE30" s="72">
        <v>5.67</v>
      </c>
      <c r="AF30" s="72">
        <v>5.67</v>
      </c>
      <c r="AG30" s="72">
        <v>5.67</v>
      </c>
      <c r="AH30" s="72">
        <v>5.67</v>
      </c>
      <c r="AI30" s="72">
        <v>5.67</v>
      </c>
      <c r="AJ30" s="72">
        <v>5.67</v>
      </c>
      <c r="AK30" s="73">
        <v>0</v>
      </c>
    </row>
    <row r="31" spans="1:37" ht="15" customHeight="1">
      <c r="A31" s="67" t="s">
        <v>97</v>
      </c>
      <c r="B31" s="71" t="s">
        <v>98</v>
      </c>
      <c r="C31" s="72">
        <v>6.0650000000000004</v>
      </c>
      <c r="D31" s="72">
        <v>6.0650000000000004</v>
      </c>
      <c r="E31" s="72">
        <v>6.0650000000000004</v>
      </c>
      <c r="F31" s="72">
        <v>6.0650000000000004</v>
      </c>
      <c r="G31" s="72">
        <v>6.0650000000000004</v>
      </c>
      <c r="H31" s="72">
        <v>6.0650000000000004</v>
      </c>
      <c r="I31" s="72">
        <v>6.0650000000000004</v>
      </c>
      <c r="J31" s="72">
        <v>6.0650000000000004</v>
      </c>
      <c r="K31" s="72">
        <v>6.0650000000000004</v>
      </c>
      <c r="L31" s="72">
        <v>6.0650000000000004</v>
      </c>
      <c r="M31" s="72">
        <v>6.0650000000000004</v>
      </c>
      <c r="N31" s="72">
        <v>6.0650000000000004</v>
      </c>
      <c r="O31" s="72">
        <v>6.0650000000000004</v>
      </c>
      <c r="P31" s="72">
        <v>6.0650000000000004</v>
      </c>
      <c r="Q31" s="72">
        <v>6.0650000000000004</v>
      </c>
      <c r="R31" s="72">
        <v>6.0650000000000004</v>
      </c>
      <c r="S31" s="72">
        <v>6.0650000000000004</v>
      </c>
      <c r="T31" s="72">
        <v>6.0650000000000004</v>
      </c>
      <c r="U31" s="72">
        <v>6.0650000000000004</v>
      </c>
      <c r="V31" s="72">
        <v>6.0650000000000004</v>
      </c>
      <c r="W31" s="72">
        <v>6.0650000000000004</v>
      </c>
      <c r="X31" s="72">
        <v>6.0650000000000004</v>
      </c>
      <c r="Y31" s="72">
        <v>6.0650000000000004</v>
      </c>
      <c r="Z31" s="72">
        <v>6.0650000000000004</v>
      </c>
      <c r="AA31" s="72">
        <v>6.0650000000000004</v>
      </c>
      <c r="AB31" s="72">
        <v>6.0650000000000004</v>
      </c>
      <c r="AC31" s="72">
        <v>6.0650000000000004</v>
      </c>
      <c r="AD31" s="72">
        <v>6.0650000000000004</v>
      </c>
      <c r="AE31" s="72">
        <v>6.0650000000000004</v>
      </c>
      <c r="AF31" s="72">
        <v>6.0650000000000004</v>
      </c>
      <c r="AG31" s="72">
        <v>6.0650000000000004</v>
      </c>
      <c r="AH31" s="72">
        <v>6.0650000000000004</v>
      </c>
      <c r="AI31" s="72">
        <v>6.0650000000000004</v>
      </c>
      <c r="AJ31" s="72">
        <v>6.0650000000000004</v>
      </c>
      <c r="AK31" s="73">
        <v>0</v>
      </c>
    </row>
    <row r="32" spans="1:37" ht="15" customHeight="1">
      <c r="A32" s="67" t="s">
        <v>99</v>
      </c>
      <c r="B32" s="71" t="s">
        <v>100</v>
      </c>
      <c r="C32" s="72">
        <v>5.0566430000000002</v>
      </c>
      <c r="D32" s="72">
        <v>5.0552599999999996</v>
      </c>
      <c r="E32" s="72">
        <v>5.0559250000000002</v>
      </c>
      <c r="F32" s="72">
        <v>5.0562699999999996</v>
      </c>
      <c r="G32" s="72">
        <v>5.0553610000000004</v>
      </c>
      <c r="H32" s="72">
        <v>5.0533359999999998</v>
      </c>
      <c r="I32" s="72">
        <v>5.0508160000000002</v>
      </c>
      <c r="J32" s="72">
        <v>5.0500020000000001</v>
      </c>
      <c r="K32" s="72">
        <v>5.0494789999999998</v>
      </c>
      <c r="L32" s="72">
        <v>5.049067</v>
      </c>
      <c r="M32" s="72">
        <v>5.0486199999999997</v>
      </c>
      <c r="N32" s="72">
        <v>5.0481860000000003</v>
      </c>
      <c r="O32" s="72">
        <v>5.047752</v>
      </c>
      <c r="P32" s="72">
        <v>5.0478269999999998</v>
      </c>
      <c r="Q32" s="72">
        <v>5.0471120000000003</v>
      </c>
      <c r="R32" s="72">
        <v>5.0467120000000003</v>
      </c>
      <c r="S32" s="72">
        <v>5.0464640000000003</v>
      </c>
      <c r="T32" s="72">
        <v>5.0458769999999999</v>
      </c>
      <c r="U32" s="72">
        <v>5.0451860000000002</v>
      </c>
      <c r="V32" s="72">
        <v>5.0444300000000002</v>
      </c>
      <c r="W32" s="72">
        <v>5.0435809999999996</v>
      </c>
      <c r="X32" s="72">
        <v>5.0427549999999997</v>
      </c>
      <c r="Y32" s="72">
        <v>5.0416879999999997</v>
      </c>
      <c r="Z32" s="72">
        <v>5.0404980000000004</v>
      </c>
      <c r="AA32" s="72">
        <v>5.0391599999999999</v>
      </c>
      <c r="AB32" s="72">
        <v>5.0378670000000003</v>
      </c>
      <c r="AC32" s="72">
        <v>5.0362239999999998</v>
      </c>
      <c r="AD32" s="72">
        <v>5.0346019999999996</v>
      </c>
      <c r="AE32" s="72">
        <v>5.0328730000000004</v>
      </c>
      <c r="AF32" s="72">
        <v>5.030945</v>
      </c>
      <c r="AG32" s="72">
        <v>5.0285479999999998</v>
      </c>
      <c r="AH32" s="72">
        <v>5.0259179999999999</v>
      </c>
      <c r="AI32" s="72">
        <v>5.0230379999999997</v>
      </c>
      <c r="AJ32" s="72">
        <v>5.0230360000000003</v>
      </c>
      <c r="AK32" s="73">
        <v>-2.0000000000000001E-4</v>
      </c>
    </row>
    <row r="33" spans="1:37" ht="15" customHeight="1">
      <c r="A33" s="67" t="s">
        <v>101</v>
      </c>
      <c r="B33" s="71" t="s">
        <v>102</v>
      </c>
      <c r="C33" s="72">
        <v>5.0566430000000002</v>
      </c>
      <c r="D33" s="72">
        <v>5.0551199999999996</v>
      </c>
      <c r="E33" s="72">
        <v>5.0557509999999999</v>
      </c>
      <c r="F33" s="72">
        <v>5.0561759999999998</v>
      </c>
      <c r="G33" s="72">
        <v>5.0552270000000004</v>
      </c>
      <c r="H33" s="72">
        <v>5.0532529999999998</v>
      </c>
      <c r="I33" s="72">
        <v>5.0502339999999997</v>
      </c>
      <c r="J33" s="72">
        <v>5.0493699999999997</v>
      </c>
      <c r="K33" s="72">
        <v>5.0488210000000002</v>
      </c>
      <c r="L33" s="72">
        <v>5.0483820000000001</v>
      </c>
      <c r="M33" s="72">
        <v>5.0479039999999999</v>
      </c>
      <c r="N33" s="72">
        <v>5.0474410000000001</v>
      </c>
      <c r="O33" s="72">
        <v>5.046983</v>
      </c>
      <c r="P33" s="72">
        <v>5.0470750000000004</v>
      </c>
      <c r="Q33" s="72">
        <v>5.0462990000000003</v>
      </c>
      <c r="R33" s="72">
        <v>5.0458439999999998</v>
      </c>
      <c r="S33" s="72">
        <v>5.0455509999999997</v>
      </c>
      <c r="T33" s="72">
        <v>5.044918</v>
      </c>
      <c r="U33" s="72">
        <v>5.0441839999999996</v>
      </c>
      <c r="V33" s="72">
        <v>5.0433690000000002</v>
      </c>
      <c r="W33" s="72">
        <v>5.0424530000000001</v>
      </c>
      <c r="X33" s="72">
        <v>5.041563</v>
      </c>
      <c r="Y33" s="72">
        <v>5.0404109999999998</v>
      </c>
      <c r="Z33" s="72">
        <v>5.0391269999999997</v>
      </c>
      <c r="AA33" s="72">
        <v>5.0376839999999996</v>
      </c>
      <c r="AB33" s="72">
        <v>5.0362900000000002</v>
      </c>
      <c r="AC33" s="72">
        <v>5.0345170000000001</v>
      </c>
      <c r="AD33" s="72">
        <v>5.0328030000000004</v>
      </c>
      <c r="AE33" s="72">
        <v>5.0309910000000002</v>
      </c>
      <c r="AF33" s="72">
        <v>5.0289089999999996</v>
      </c>
      <c r="AG33" s="72">
        <v>5.0263140000000002</v>
      </c>
      <c r="AH33" s="72">
        <v>5.0234719999999999</v>
      </c>
      <c r="AI33" s="72">
        <v>5.020365</v>
      </c>
      <c r="AJ33" s="72">
        <v>5.0203639999999998</v>
      </c>
      <c r="AK33" s="73">
        <v>-2.1599999999999999E-4</v>
      </c>
    </row>
    <row r="34" spans="1:37" ht="15" customHeight="1">
      <c r="A34" s="67" t="s">
        <v>103</v>
      </c>
      <c r="B34" s="71" t="s">
        <v>104</v>
      </c>
      <c r="C34" s="72">
        <v>5.0566430000000002</v>
      </c>
      <c r="D34" s="72">
        <v>5.0550290000000002</v>
      </c>
      <c r="E34" s="72">
        <v>5.0560859999999996</v>
      </c>
      <c r="F34" s="72">
        <v>5.0563630000000002</v>
      </c>
      <c r="G34" s="72">
        <v>5.0551620000000002</v>
      </c>
      <c r="H34" s="72">
        <v>5.0521120000000002</v>
      </c>
      <c r="I34" s="72">
        <v>5.0499099999999997</v>
      </c>
      <c r="J34" s="72">
        <v>5.0489660000000001</v>
      </c>
      <c r="K34" s="72">
        <v>5.0484030000000004</v>
      </c>
      <c r="L34" s="72">
        <v>5.0479479999999999</v>
      </c>
      <c r="M34" s="72">
        <v>5.0474509999999997</v>
      </c>
      <c r="N34" s="72">
        <v>5.04697</v>
      </c>
      <c r="O34" s="72">
        <v>5.0464979999999997</v>
      </c>
      <c r="P34" s="72">
        <v>5.046602</v>
      </c>
      <c r="Q34" s="72">
        <v>5.0458410000000002</v>
      </c>
      <c r="R34" s="72">
        <v>5.0454929999999996</v>
      </c>
      <c r="S34" s="72">
        <v>5.0453320000000001</v>
      </c>
      <c r="T34" s="72">
        <v>5.0447139999999999</v>
      </c>
      <c r="U34" s="72">
        <v>5.0439569999999998</v>
      </c>
      <c r="V34" s="72">
        <v>5.0431090000000003</v>
      </c>
      <c r="W34" s="72">
        <v>5.0421550000000002</v>
      </c>
      <c r="X34" s="72">
        <v>5.041226</v>
      </c>
      <c r="Y34" s="72">
        <v>5.0400229999999997</v>
      </c>
      <c r="Z34" s="72">
        <v>5.0386810000000004</v>
      </c>
      <c r="AA34" s="72">
        <v>5.0371740000000003</v>
      </c>
      <c r="AB34" s="72">
        <v>5.035717</v>
      </c>
      <c r="AC34" s="72">
        <v>5.0338620000000001</v>
      </c>
      <c r="AD34" s="72">
        <v>5.0319269999999996</v>
      </c>
      <c r="AE34" s="72">
        <v>5.029827</v>
      </c>
      <c r="AF34" s="72">
        <v>5.0276490000000003</v>
      </c>
      <c r="AG34" s="72">
        <v>5.0249329999999999</v>
      </c>
      <c r="AH34" s="72">
        <v>5.0219589999999998</v>
      </c>
      <c r="AI34" s="72">
        <v>5.018713</v>
      </c>
      <c r="AJ34" s="72">
        <v>5.018713</v>
      </c>
      <c r="AK34" s="73">
        <v>-2.2499999999999999E-4</v>
      </c>
    </row>
    <row r="35" spans="1:37" ht="15" customHeight="1">
      <c r="A35" s="67" t="s">
        <v>105</v>
      </c>
      <c r="B35" s="71" t="s">
        <v>106</v>
      </c>
      <c r="C35" s="72">
        <v>5.2222799999999996</v>
      </c>
      <c r="D35" s="72">
        <v>5.2222799999999996</v>
      </c>
      <c r="E35" s="72">
        <v>5.2222799999999996</v>
      </c>
      <c r="F35" s="72">
        <v>5.2222799999999996</v>
      </c>
      <c r="G35" s="72">
        <v>5.2222799999999996</v>
      </c>
      <c r="H35" s="72">
        <v>5.2222799999999996</v>
      </c>
      <c r="I35" s="72">
        <v>5.2222799999999996</v>
      </c>
      <c r="J35" s="72">
        <v>5.2222799999999996</v>
      </c>
      <c r="K35" s="72">
        <v>5.2222799999999996</v>
      </c>
      <c r="L35" s="72">
        <v>5.2222799999999996</v>
      </c>
      <c r="M35" s="72">
        <v>5.2222799999999996</v>
      </c>
      <c r="N35" s="72">
        <v>5.2222799999999996</v>
      </c>
      <c r="O35" s="72">
        <v>5.2222799999999996</v>
      </c>
      <c r="P35" s="72">
        <v>5.2222799999999996</v>
      </c>
      <c r="Q35" s="72">
        <v>5.2222799999999996</v>
      </c>
      <c r="R35" s="72">
        <v>5.2222799999999996</v>
      </c>
      <c r="S35" s="72">
        <v>5.2222799999999996</v>
      </c>
      <c r="T35" s="72">
        <v>5.2222799999999996</v>
      </c>
      <c r="U35" s="72">
        <v>5.2222799999999996</v>
      </c>
      <c r="V35" s="72">
        <v>5.2222799999999996</v>
      </c>
      <c r="W35" s="72">
        <v>5.2222799999999996</v>
      </c>
      <c r="X35" s="72">
        <v>5.2222799999999996</v>
      </c>
      <c r="Y35" s="72">
        <v>5.2222799999999996</v>
      </c>
      <c r="Z35" s="72">
        <v>5.2222799999999996</v>
      </c>
      <c r="AA35" s="72">
        <v>5.2222799999999996</v>
      </c>
      <c r="AB35" s="72">
        <v>5.2222799999999996</v>
      </c>
      <c r="AC35" s="72">
        <v>5.2222799999999996</v>
      </c>
      <c r="AD35" s="72">
        <v>5.2222799999999996</v>
      </c>
      <c r="AE35" s="72">
        <v>5.2222799999999996</v>
      </c>
      <c r="AF35" s="72">
        <v>5.2222799999999996</v>
      </c>
      <c r="AG35" s="72">
        <v>5.2222799999999996</v>
      </c>
      <c r="AH35" s="72">
        <v>5.2222799999999996</v>
      </c>
      <c r="AI35" s="72">
        <v>5.2222799999999996</v>
      </c>
      <c r="AJ35" s="72">
        <v>5.2222799999999996</v>
      </c>
      <c r="AK35" s="73">
        <v>0</v>
      </c>
    </row>
    <row r="36" spans="1:37" ht="15" customHeight="1">
      <c r="A36" s="67" t="s">
        <v>107</v>
      </c>
      <c r="B36" s="71" t="s">
        <v>108</v>
      </c>
      <c r="C36" s="72">
        <v>5.2222799999999996</v>
      </c>
      <c r="D36" s="72">
        <v>5.2222799999999996</v>
      </c>
      <c r="E36" s="72">
        <v>5.2222799999999996</v>
      </c>
      <c r="F36" s="72">
        <v>5.2222799999999996</v>
      </c>
      <c r="G36" s="72">
        <v>5.2222799999999996</v>
      </c>
      <c r="H36" s="72">
        <v>5.2222799999999996</v>
      </c>
      <c r="I36" s="72">
        <v>5.2222799999999996</v>
      </c>
      <c r="J36" s="72">
        <v>5.2222799999999996</v>
      </c>
      <c r="K36" s="72">
        <v>5.2222799999999996</v>
      </c>
      <c r="L36" s="72">
        <v>5.2222799999999996</v>
      </c>
      <c r="M36" s="72">
        <v>5.2222799999999996</v>
      </c>
      <c r="N36" s="72">
        <v>5.2222799999999996</v>
      </c>
      <c r="O36" s="72">
        <v>5.2222799999999996</v>
      </c>
      <c r="P36" s="72">
        <v>5.2222799999999996</v>
      </c>
      <c r="Q36" s="72">
        <v>5.2222799999999996</v>
      </c>
      <c r="R36" s="72">
        <v>5.2222799999999996</v>
      </c>
      <c r="S36" s="72">
        <v>5.2222799999999996</v>
      </c>
      <c r="T36" s="72">
        <v>5.2222799999999996</v>
      </c>
      <c r="U36" s="72">
        <v>5.2222799999999996</v>
      </c>
      <c r="V36" s="72">
        <v>5.2222799999999996</v>
      </c>
      <c r="W36" s="72">
        <v>5.2222799999999996</v>
      </c>
      <c r="X36" s="72">
        <v>5.2222799999999996</v>
      </c>
      <c r="Y36" s="72">
        <v>5.2222799999999996</v>
      </c>
      <c r="Z36" s="72">
        <v>5.2222799999999996</v>
      </c>
      <c r="AA36" s="72">
        <v>5.2222799999999996</v>
      </c>
      <c r="AB36" s="72">
        <v>5.2222799999999996</v>
      </c>
      <c r="AC36" s="72">
        <v>5.2222799999999996</v>
      </c>
      <c r="AD36" s="72">
        <v>5.2222799999999996</v>
      </c>
      <c r="AE36" s="72">
        <v>5.2222799999999996</v>
      </c>
      <c r="AF36" s="72">
        <v>5.2222799999999996</v>
      </c>
      <c r="AG36" s="72">
        <v>5.2222799999999996</v>
      </c>
      <c r="AH36" s="72">
        <v>5.2222799999999996</v>
      </c>
      <c r="AI36" s="72">
        <v>5.2222799999999996</v>
      </c>
      <c r="AJ36" s="72">
        <v>5.2222799999999996</v>
      </c>
      <c r="AK36" s="73">
        <v>0</v>
      </c>
    </row>
    <row r="37" spans="1:37" ht="15" customHeight="1">
      <c r="A37" s="67" t="s">
        <v>109</v>
      </c>
      <c r="B37" s="71" t="s">
        <v>110</v>
      </c>
      <c r="C37" s="72">
        <v>4.62</v>
      </c>
      <c r="D37" s="72">
        <v>4.62</v>
      </c>
      <c r="E37" s="72">
        <v>4.62</v>
      </c>
      <c r="F37" s="72">
        <v>4.62</v>
      </c>
      <c r="G37" s="72">
        <v>4.62</v>
      </c>
      <c r="H37" s="72">
        <v>4.62</v>
      </c>
      <c r="I37" s="72">
        <v>4.62</v>
      </c>
      <c r="J37" s="72">
        <v>4.62</v>
      </c>
      <c r="K37" s="72">
        <v>4.62</v>
      </c>
      <c r="L37" s="72">
        <v>4.62</v>
      </c>
      <c r="M37" s="72">
        <v>4.62</v>
      </c>
      <c r="N37" s="72">
        <v>4.62</v>
      </c>
      <c r="O37" s="72">
        <v>4.62</v>
      </c>
      <c r="P37" s="72">
        <v>4.62</v>
      </c>
      <c r="Q37" s="72">
        <v>4.62</v>
      </c>
      <c r="R37" s="72">
        <v>4.62</v>
      </c>
      <c r="S37" s="72">
        <v>4.62</v>
      </c>
      <c r="T37" s="72">
        <v>4.62</v>
      </c>
      <c r="U37" s="72">
        <v>4.62</v>
      </c>
      <c r="V37" s="72">
        <v>4.62</v>
      </c>
      <c r="W37" s="72">
        <v>4.62</v>
      </c>
      <c r="X37" s="72">
        <v>4.62</v>
      </c>
      <c r="Y37" s="72">
        <v>4.62</v>
      </c>
      <c r="Z37" s="72">
        <v>4.62</v>
      </c>
      <c r="AA37" s="72">
        <v>4.62</v>
      </c>
      <c r="AB37" s="72">
        <v>4.62</v>
      </c>
      <c r="AC37" s="72">
        <v>4.62</v>
      </c>
      <c r="AD37" s="72">
        <v>4.62</v>
      </c>
      <c r="AE37" s="72">
        <v>4.62</v>
      </c>
      <c r="AF37" s="72">
        <v>4.62</v>
      </c>
      <c r="AG37" s="72">
        <v>4.62</v>
      </c>
      <c r="AH37" s="72">
        <v>4.62</v>
      </c>
      <c r="AI37" s="72">
        <v>4.62</v>
      </c>
      <c r="AJ37" s="72">
        <v>4.62</v>
      </c>
      <c r="AK37" s="73">
        <v>0</v>
      </c>
    </row>
    <row r="38" spans="1:37" ht="15" customHeight="1">
      <c r="A38" s="67" t="s">
        <v>111</v>
      </c>
      <c r="B38" s="71" t="s">
        <v>112</v>
      </c>
      <c r="C38" s="72">
        <v>5.8</v>
      </c>
      <c r="D38" s="72">
        <v>5.8</v>
      </c>
      <c r="E38" s="72">
        <v>5.8</v>
      </c>
      <c r="F38" s="72">
        <v>5.8</v>
      </c>
      <c r="G38" s="72">
        <v>5.8</v>
      </c>
      <c r="H38" s="72">
        <v>5.8</v>
      </c>
      <c r="I38" s="72">
        <v>5.8</v>
      </c>
      <c r="J38" s="72">
        <v>5.8</v>
      </c>
      <c r="K38" s="72">
        <v>5.8</v>
      </c>
      <c r="L38" s="72">
        <v>5.8</v>
      </c>
      <c r="M38" s="72">
        <v>5.8</v>
      </c>
      <c r="N38" s="72">
        <v>5.8</v>
      </c>
      <c r="O38" s="72">
        <v>5.8</v>
      </c>
      <c r="P38" s="72">
        <v>5.8</v>
      </c>
      <c r="Q38" s="72">
        <v>5.8</v>
      </c>
      <c r="R38" s="72">
        <v>5.8</v>
      </c>
      <c r="S38" s="72">
        <v>5.8</v>
      </c>
      <c r="T38" s="72">
        <v>5.8</v>
      </c>
      <c r="U38" s="72">
        <v>5.8</v>
      </c>
      <c r="V38" s="72">
        <v>5.8</v>
      </c>
      <c r="W38" s="72">
        <v>5.8</v>
      </c>
      <c r="X38" s="72">
        <v>5.8</v>
      </c>
      <c r="Y38" s="72">
        <v>5.8</v>
      </c>
      <c r="Z38" s="72">
        <v>5.8</v>
      </c>
      <c r="AA38" s="72">
        <v>5.8</v>
      </c>
      <c r="AB38" s="72">
        <v>5.8</v>
      </c>
      <c r="AC38" s="72">
        <v>5.8</v>
      </c>
      <c r="AD38" s="72">
        <v>5.8</v>
      </c>
      <c r="AE38" s="72">
        <v>5.8</v>
      </c>
      <c r="AF38" s="72">
        <v>5.8</v>
      </c>
      <c r="AG38" s="72">
        <v>5.8</v>
      </c>
      <c r="AH38" s="72">
        <v>5.8</v>
      </c>
      <c r="AI38" s="72">
        <v>5.8</v>
      </c>
      <c r="AJ38" s="72">
        <v>5.8</v>
      </c>
      <c r="AK38" s="73">
        <v>0</v>
      </c>
    </row>
    <row r="39" spans="1:37" ht="15" customHeight="1">
      <c r="A39" s="67" t="s">
        <v>113</v>
      </c>
      <c r="B39" s="71" t="s">
        <v>114</v>
      </c>
      <c r="C39" s="72">
        <v>5.4510759999999996</v>
      </c>
      <c r="D39" s="72">
        <v>5.4510759999999996</v>
      </c>
      <c r="E39" s="72">
        <v>5.4510759999999996</v>
      </c>
      <c r="F39" s="72">
        <v>5.4510759999999996</v>
      </c>
      <c r="G39" s="72">
        <v>5.4510759999999996</v>
      </c>
      <c r="H39" s="72">
        <v>5.4510759999999996</v>
      </c>
      <c r="I39" s="72">
        <v>5.4510759999999996</v>
      </c>
      <c r="J39" s="72">
        <v>5.4510759999999996</v>
      </c>
      <c r="K39" s="72">
        <v>5.4510759999999996</v>
      </c>
      <c r="L39" s="72">
        <v>5.4510759999999996</v>
      </c>
      <c r="M39" s="72">
        <v>5.4510759999999996</v>
      </c>
      <c r="N39" s="72">
        <v>5.4510759999999996</v>
      </c>
      <c r="O39" s="72">
        <v>5.4510759999999996</v>
      </c>
      <c r="P39" s="72">
        <v>5.4510759999999996</v>
      </c>
      <c r="Q39" s="72">
        <v>5.4510759999999996</v>
      </c>
      <c r="R39" s="72">
        <v>5.4510759999999996</v>
      </c>
      <c r="S39" s="72">
        <v>5.4510759999999996</v>
      </c>
      <c r="T39" s="72">
        <v>5.4510759999999996</v>
      </c>
      <c r="U39" s="72">
        <v>5.4510759999999996</v>
      </c>
      <c r="V39" s="72">
        <v>5.4510759999999996</v>
      </c>
      <c r="W39" s="72">
        <v>5.4510759999999996</v>
      </c>
      <c r="X39" s="72">
        <v>5.4510759999999996</v>
      </c>
      <c r="Y39" s="72">
        <v>5.4510759999999996</v>
      </c>
      <c r="Z39" s="72">
        <v>5.4510759999999996</v>
      </c>
      <c r="AA39" s="72">
        <v>5.4510759999999996</v>
      </c>
      <c r="AB39" s="72">
        <v>5.4510759999999996</v>
      </c>
      <c r="AC39" s="72">
        <v>5.4510759999999996</v>
      </c>
      <c r="AD39" s="72">
        <v>5.4510759999999996</v>
      </c>
      <c r="AE39" s="72">
        <v>5.4510759999999996</v>
      </c>
      <c r="AF39" s="72">
        <v>5.4510759999999996</v>
      </c>
      <c r="AG39" s="72">
        <v>5.4510759999999996</v>
      </c>
      <c r="AH39" s="72">
        <v>5.4510759999999996</v>
      </c>
      <c r="AI39" s="72">
        <v>5.4510759999999996</v>
      </c>
      <c r="AJ39" s="72">
        <v>5.4510759999999996</v>
      </c>
      <c r="AK39" s="73">
        <v>0</v>
      </c>
    </row>
    <row r="40" spans="1:37" ht="15" customHeight="1">
      <c r="A40" s="67" t="s">
        <v>115</v>
      </c>
      <c r="B40" s="71" t="s">
        <v>116</v>
      </c>
      <c r="C40" s="72">
        <v>6.2869999999999999</v>
      </c>
      <c r="D40" s="72">
        <v>6.2869999999999999</v>
      </c>
      <c r="E40" s="72">
        <v>6.2869999999999999</v>
      </c>
      <c r="F40" s="72">
        <v>6.2869999999999999</v>
      </c>
      <c r="G40" s="72">
        <v>6.2869999999999999</v>
      </c>
      <c r="H40" s="72">
        <v>6.2869999999999999</v>
      </c>
      <c r="I40" s="72">
        <v>6.2869999999999999</v>
      </c>
      <c r="J40" s="72">
        <v>6.2869999999999999</v>
      </c>
      <c r="K40" s="72">
        <v>6.2869999999999999</v>
      </c>
      <c r="L40" s="72">
        <v>6.2869999999999999</v>
      </c>
      <c r="M40" s="72">
        <v>6.2869999999999999</v>
      </c>
      <c r="N40" s="72">
        <v>6.2869999999999999</v>
      </c>
      <c r="O40" s="72">
        <v>6.2869999999999999</v>
      </c>
      <c r="P40" s="72">
        <v>6.2869999999999999</v>
      </c>
      <c r="Q40" s="72">
        <v>6.2869999999999999</v>
      </c>
      <c r="R40" s="72">
        <v>6.2869999999999999</v>
      </c>
      <c r="S40" s="72">
        <v>6.2869999999999999</v>
      </c>
      <c r="T40" s="72">
        <v>6.2869999999999999</v>
      </c>
      <c r="U40" s="72">
        <v>6.2869999999999999</v>
      </c>
      <c r="V40" s="72">
        <v>6.2869999999999999</v>
      </c>
      <c r="W40" s="72">
        <v>6.2869999999999999</v>
      </c>
      <c r="X40" s="72">
        <v>6.2869999999999999</v>
      </c>
      <c r="Y40" s="72">
        <v>6.2869999999999999</v>
      </c>
      <c r="Z40" s="72">
        <v>6.2869999999999999</v>
      </c>
      <c r="AA40" s="72">
        <v>6.2869999999999999</v>
      </c>
      <c r="AB40" s="72">
        <v>6.2869999999999999</v>
      </c>
      <c r="AC40" s="72">
        <v>6.2869999999999999</v>
      </c>
      <c r="AD40" s="72">
        <v>6.2869999999999999</v>
      </c>
      <c r="AE40" s="72">
        <v>6.2869999999999999</v>
      </c>
      <c r="AF40" s="72">
        <v>6.2869999999999999</v>
      </c>
      <c r="AG40" s="72">
        <v>6.2869999999999999</v>
      </c>
      <c r="AH40" s="72">
        <v>6.2869999999999999</v>
      </c>
      <c r="AI40" s="72">
        <v>6.2869999999999999</v>
      </c>
      <c r="AJ40" s="72">
        <v>6.2869999999999999</v>
      </c>
      <c r="AK40" s="73">
        <v>0</v>
      </c>
    </row>
    <row r="41" spans="1:37" ht="15" customHeight="1">
      <c r="A41" s="67" t="s">
        <v>117</v>
      </c>
      <c r="B41" s="71" t="s">
        <v>118</v>
      </c>
      <c r="C41" s="72">
        <v>6.2869999999999999</v>
      </c>
      <c r="D41" s="72">
        <v>6.2869999999999999</v>
      </c>
      <c r="E41" s="72">
        <v>6.2869999999999999</v>
      </c>
      <c r="F41" s="72">
        <v>6.2869999999999999</v>
      </c>
      <c r="G41" s="72">
        <v>6.2869999999999999</v>
      </c>
      <c r="H41" s="72">
        <v>6.2869999999999999</v>
      </c>
      <c r="I41" s="72">
        <v>6.2869999999999999</v>
      </c>
      <c r="J41" s="72">
        <v>6.2869999999999999</v>
      </c>
      <c r="K41" s="72">
        <v>6.2869999999999999</v>
      </c>
      <c r="L41" s="72">
        <v>6.2869999999999999</v>
      </c>
      <c r="M41" s="72">
        <v>6.2869999999999999</v>
      </c>
      <c r="N41" s="72">
        <v>6.2869999999999999</v>
      </c>
      <c r="O41" s="72">
        <v>6.2869999999999999</v>
      </c>
      <c r="P41" s="72">
        <v>6.2869999999999999</v>
      </c>
      <c r="Q41" s="72">
        <v>6.2869999999999999</v>
      </c>
      <c r="R41" s="72">
        <v>6.2869999999999999</v>
      </c>
      <c r="S41" s="72">
        <v>6.2869999999999999</v>
      </c>
      <c r="T41" s="72">
        <v>6.2869999999999999</v>
      </c>
      <c r="U41" s="72">
        <v>6.2869999999999999</v>
      </c>
      <c r="V41" s="72">
        <v>6.2869999999999999</v>
      </c>
      <c r="W41" s="72">
        <v>6.2869999999999999</v>
      </c>
      <c r="X41" s="72">
        <v>6.2869999999999999</v>
      </c>
      <c r="Y41" s="72">
        <v>6.2869999999999999</v>
      </c>
      <c r="Z41" s="72">
        <v>6.2869999999999999</v>
      </c>
      <c r="AA41" s="72">
        <v>6.2869999999999999</v>
      </c>
      <c r="AB41" s="72">
        <v>6.2869999999999999</v>
      </c>
      <c r="AC41" s="72">
        <v>6.2869999999999999</v>
      </c>
      <c r="AD41" s="72">
        <v>6.2869999999999999</v>
      </c>
      <c r="AE41" s="72">
        <v>6.2869999999999999</v>
      </c>
      <c r="AF41" s="72">
        <v>6.2869999999999999</v>
      </c>
      <c r="AG41" s="72">
        <v>6.2869999999999999</v>
      </c>
      <c r="AH41" s="72">
        <v>6.2869999999999999</v>
      </c>
      <c r="AI41" s="72">
        <v>6.2869999999999999</v>
      </c>
      <c r="AJ41" s="72">
        <v>6.2869999999999999</v>
      </c>
      <c r="AK41" s="73">
        <v>0</v>
      </c>
    </row>
    <row r="42" spans="1:37" ht="15" customHeight="1">
      <c r="A42" s="67" t="s">
        <v>119</v>
      </c>
      <c r="B42" s="71" t="s">
        <v>120</v>
      </c>
      <c r="C42" s="72">
        <v>6.2869999999999999</v>
      </c>
      <c r="D42" s="72">
        <v>6.2869999999999999</v>
      </c>
      <c r="E42" s="72">
        <v>6.2869999999999999</v>
      </c>
      <c r="F42" s="72">
        <v>6.2869999999999999</v>
      </c>
      <c r="G42" s="72">
        <v>6.2869999999999999</v>
      </c>
      <c r="H42" s="72">
        <v>6.2869999999999999</v>
      </c>
      <c r="I42" s="72">
        <v>6.2869999999999999</v>
      </c>
      <c r="J42" s="72">
        <v>6.2869999999999999</v>
      </c>
      <c r="K42" s="72">
        <v>6.2869999999999999</v>
      </c>
      <c r="L42" s="72">
        <v>6.2869999999999999</v>
      </c>
      <c r="M42" s="72">
        <v>6.2869999999999999</v>
      </c>
      <c r="N42" s="72">
        <v>6.2869999999999999</v>
      </c>
      <c r="O42" s="72">
        <v>6.2869999999999999</v>
      </c>
      <c r="P42" s="72">
        <v>6.2869999999999999</v>
      </c>
      <c r="Q42" s="72">
        <v>6.2869999999999999</v>
      </c>
      <c r="R42" s="72">
        <v>6.2869999999999999</v>
      </c>
      <c r="S42" s="72">
        <v>6.2869999999999999</v>
      </c>
      <c r="T42" s="72">
        <v>6.2869999999999999</v>
      </c>
      <c r="U42" s="72">
        <v>6.2869999999999999</v>
      </c>
      <c r="V42" s="72">
        <v>6.2869999999999999</v>
      </c>
      <c r="W42" s="72">
        <v>6.2869999999999999</v>
      </c>
      <c r="X42" s="72">
        <v>6.2869999999999999</v>
      </c>
      <c r="Y42" s="72">
        <v>6.2869999999999999</v>
      </c>
      <c r="Z42" s="72">
        <v>6.2869999999999999</v>
      </c>
      <c r="AA42" s="72">
        <v>6.2869999999999999</v>
      </c>
      <c r="AB42" s="72">
        <v>6.2869999999999999</v>
      </c>
      <c r="AC42" s="72">
        <v>6.2869999999999999</v>
      </c>
      <c r="AD42" s="72">
        <v>6.2869999999999999</v>
      </c>
      <c r="AE42" s="72">
        <v>6.2869999999999999</v>
      </c>
      <c r="AF42" s="72">
        <v>6.2869999999999999</v>
      </c>
      <c r="AG42" s="72">
        <v>6.2869999999999999</v>
      </c>
      <c r="AH42" s="72">
        <v>6.2869999999999999</v>
      </c>
      <c r="AI42" s="72">
        <v>6.2869999999999999</v>
      </c>
      <c r="AJ42" s="72">
        <v>6.2869999999999999</v>
      </c>
      <c r="AK42" s="73">
        <v>0</v>
      </c>
    </row>
    <row r="43" spans="1:37" ht="15" customHeight="1">
      <c r="A43" s="67" t="s">
        <v>121</v>
      </c>
      <c r="B43" s="71" t="s">
        <v>122</v>
      </c>
      <c r="C43" s="72">
        <v>6.1473459999999998</v>
      </c>
      <c r="D43" s="72">
        <v>6.1452260000000001</v>
      </c>
      <c r="E43" s="72">
        <v>6.1456169999999997</v>
      </c>
      <c r="F43" s="72">
        <v>6.192609</v>
      </c>
      <c r="G43" s="72">
        <v>6.1871369999999999</v>
      </c>
      <c r="H43" s="72">
        <v>6.1839120000000003</v>
      </c>
      <c r="I43" s="72">
        <v>6.177295</v>
      </c>
      <c r="J43" s="72">
        <v>6.1706190000000003</v>
      </c>
      <c r="K43" s="72">
        <v>6.1645000000000003</v>
      </c>
      <c r="L43" s="72">
        <v>6.1563090000000003</v>
      </c>
      <c r="M43" s="72">
        <v>6.1576269999999997</v>
      </c>
      <c r="N43" s="72">
        <v>6.157673</v>
      </c>
      <c r="O43" s="72">
        <v>6.1597790000000003</v>
      </c>
      <c r="P43" s="72">
        <v>6.159592</v>
      </c>
      <c r="Q43" s="72">
        <v>6.1617009999999999</v>
      </c>
      <c r="R43" s="72">
        <v>6.162801</v>
      </c>
      <c r="S43" s="72">
        <v>6.1631689999999999</v>
      </c>
      <c r="T43" s="72">
        <v>6.1640280000000001</v>
      </c>
      <c r="U43" s="72">
        <v>6.1661429999999999</v>
      </c>
      <c r="V43" s="72">
        <v>6.1675360000000001</v>
      </c>
      <c r="W43" s="72">
        <v>6.1674319999999998</v>
      </c>
      <c r="X43" s="72">
        <v>6.1685819999999998</v>
      </c>
      <c r="Y43" s="72">
        <v>6.1709719999999999</v>
      </c>
      <c r="Z43" s="72">
        <v>6.171176</v>
      </c>
      <c r="AA43" s="72">
        <v>6.1722760000000001</v>
      </c>
      <c r="AB43" s="72">
        <v>6.1744009999999996</v>
      </c>
      <c r="AC43" s="72">
        <v>6.175586</v>
      </c>
      <c r="AD43" s="72">
        <v>6.1767789999999998</v>
      </c>
      <c r="AE43" s="72">
        <v>6.1779799999999998</v>
      </c>
      <c r="AF43" s="72">
        <v>6.179189</v>
      </c>
      <c r="AG43" s="72">
        <v>6.1804069999999998</v>
      </c>
      <c r="AH43" s="72">
        <v>6.1816329999999997</v>
      </c>
      <c r="AI43" s="72">
        <v>6.182868</v>
      </c>
      <c r="AJ43" s="72">
        <v>6.1841100000000004</v>
      </c>
      <c r="AK43" s="73">
        <v>1.9699999999999999E-4</v>
      </c>
    </row>
    <row r="44" spans="1:37" ht="15" customHeight="1">
      <c r="A44" s="67" t="s">
        <v>123</v>
      </c>
      <c r="B44" s="71" t="s">
        <v>124</v>
      </c>
      <c r="C44" s="72">
        <v>5.1759979999999999</v>
      </c>
      <c r="D44" s="72">
        <v>5.1493409999999997</v>
      </c>
      <c r="E44" s="72">
        <v>5.1485440000000002</v>
      </c>
      <c r="F44" s="72">
        <v>5.1351180000000003</v>
      </c>
      <c r="G44" s="72">
        <v>5.1214979999999999</v>
      </c>
      <c r="H44" s="72">
        <v>5.1131700000000002</v>
      </c>
      <c r="I44" s="72">
        <v>5.1068749999999996</v>
      </c>
      <c r="J44" s="72">
        <v>5.1001250000000002</v>
      </c>
      <c r="K44" s="72">
        <v>5.0954069999999998</v>
      </c>
      <c r="L44" s="72">
        <v>5.0923059999999998</v>
      </c>
      <c r="M44" s="72">
        <v>5.0851800000000003</v>
      </c>
      <c r="N44" s="72">
        <v>5.0822000000000003</v>
      </c>
      <c r="O44" s="72">
        <v>5.0765289999999998</v>
      </c>
      <c r="P44" s="72">
        <v>5.0746789999999997</v>
      </c>
      <c r="Q44" s="72">
        <v>5.072298</v>
      </c>
      <c r="R44" s="72">
        <v>5.0691280000000001</v>
      </c>
      <c r="S44" s="72">
        <v>5.0666989999999998</v>
      </c>
      <c r="T44" s="72">
        <v>5.0689719999999996</v>
      </c>
      <c r="U44" s="72">
        <v>5.067164</v>
      </c>
      <c r="V44" s="72">
        <v>5.064692</v>
      </c>
      <c r="W44" s="72">
        <v>5.0671790000000003</v>
      </c>
      <c r="X44" s="72">
        <v>5.0644499999999999</v>
      </c>
      <c r="Y44" s="72">
        <v>5.0636330000000003</v>
      </c>
      <c r="Z44" s="72">
        <v>5.0643700000000003</v>
      </c>
      <c r="AA44" s="72">
        <v>5.0640780000000003</v>
      </c>
      <c r="AB44" s="72">
        <v>5.0626110000000004</v>
      </c>
      <c r="AC44" s="72">
        <v>5.0658269999999996</v>
      </c>
      <c r="AD44" s="72">
        <v>5.0664360000000004</v>
      </c>
      <c r="AE44" s="72">
        <v>5.0678429999999999</v>
      </c>
      <c r="AF44" s="72">
        <v>5.0690910000000002</v>
      </c>
      <c r="AG44" s="72">
        <v>5.0703579999999997</v>
      </c>
      <c r="AH44" s="72">
        <v>5.0693210000000004</v>
      </c>
      <c r="AI44" s="72">
        <v>5.0696510000000004</v>
      </c>
      <c r="AJ44" s="72">
        <v>5.0702829999999999</v>
      </c>
      <c r="AK44" s="73">
        <v>-4.8299999999999998E-4</v>
      </c>
    </row>
    <row r="45" spans="1:37" ht="15" customHeight="1">
      <c r="A45" s="67" t="s">
        <v>125</v>
      </c>
      <c r="B45" s="71" t="s">
        <v>126</v>
      </c>
      <c r="C45" s="72">
        <v>5.5967529999999996</v>
      </c>
      <c r="D45" s="72">
        <v>5.6771430000000001</v>
      </c>
      <c r="E45" s="72">
        <v>5.6840089999999996</v>
      </c>
      <c r="F45" s="72">
        <v>5.7170959999999997</v>
      </c>
      <c r="G45" s="72">
        <v>5.6661299999999999</v>
      </c>
      <c r="H45" s="72">
        <v>5.6535770000000003</v>
      </c>
      <c r="I45" s="72">
        <v>5.6441179999999997</v>
      </c>
      <c r="J45" s="72">
        <v>5.6398200000000003</v>
      </c>
      <c r="K45" s="72">
        <v>5.6309760000000004</v>
      </c>
      <c r="L45" s="72">
        <v>5.6472470000000001</v>
      </c>
      <c r="M45" s="72">
        <v>5.6488060000000004</v>
      </c>
      <c r="N45" s="72">
        <v>5.6772070000000001</v>
      </c>
      <c r="O45" s="72">
        <v>5.6554729999999998</v>
      </c>
      <c r="P45" s="72">
        <v>5.6398169999999999</v>
      </c>
      <c r="Q45" s="72">
        <v>5.655303</v>
      </c>
      <c r="R45" s="72">
        <v>5.6159470000000002</v>
      </c>
      <c r="S45" s="72">
        <v>5.5804359999999997</v>
      </c>
      <c r="T45" s="72">
        <v>5.601731</v>
      </c>
      <c r="U45" s="72">
        <v>5.5999040000000004</v>
      </c>
      <c r="V45" s="72">
        <v>5.5448909999999998</v>
      </c>
      <c r="W45" s="72">
        <v>5.5638050000000003</v>
      </c>
      <c r="X45" s="72">
        <v>5.5047459999999999</v>
      </c>
      <c r="Y45" s="72">
        <v>5.4706440000000001</v>
      </c>
      <c r="Z45" s="72">
        <v>5.4392110000000002</v>
      </c>
      <c r="AA45" s="72">
        <v>5.4146479999999997</v>
      </c>
      <c r="AB45" s="72">
        <v>5.3607440000000004</v>
      </c>
      <c r="AC45" s="72">
        <v>5.3546440000000004</v>
      </c>
      <c r="AD45" s="72">
        <v>5.3370649999999999</v>
      </c>
      <c r="AE45" s="72">
        <v>5.3099679999999996</v>
      </c>
      <c r="AF45" s="72">
        <v>5.2794489999999996</v>
      </c>
      <c r="AG45" s="72">
        <v>5.249695</v>
      </c>
      <c r="AH45" s="72">
        <v>5.2043689999999998</v>
      </c>
      <c r="AI45" s="72">
        <v>5.1639299999999997</v>
      </c>
      <c r="AJ45" s="72">
        <v>5.1378079999999997</v>
      </c>
      <c r="AK45" s="73">
        <v>-3.1150000000000001E-3</v>
      </c>
    </row>
    <row r="46" spans="1:37" ht="15" customHeight="1">
      <c r="A46" s="67" t="s">
        <v>127</v>
      </c>
      <c r="B46" s="71" t="s">
        <v>128</v>
      </c>
      <c r="C46" s="72">
        <v>5.1509999999999998</v>
      </c>
      <c r="D46" s="72">
        <v>5.2744179999999998</v>
      </c>
      <c r="E46" s="72">
        <v>5.2506209999999998</v>
      </c>
      <c r="F46" s="72">
        <v>5.2757480000000001</v>
      </c>
      <c r="G46" s="72">
        <v>5.2430519999999996</v>
      </c>
      <c r="H46" s="72">
        <v>5.2341490000000004</v>
      </c>
      <c r="I46" s="72">
        <v>5.2313539999999996</v>
      </c>
      <c r="J46" s="72">
        <v>5.2458450000000001</v>
      </c>
      <c r="K46" s="72">
        <v>5.2317590000000003</v>
      </c>
      <c r="L46" s="72">
        <v>5.1954609999999999</v>
      </c>
      <c r="M46" s="72">
        <v>5.1871260000000001</v>
      </c>
      <c r="N46" s="72">
        <v>5.1891119999999997</v>
      </c>
      <c r="O46" s="72">
        <v>5.1797279999999999</v>
      </c>
      <c r="P46" s="72">
        <v>5.1827779999999999</v>
      </c>
      <c r="Q46" s="72">
        <v>5.1716069999999998</v>
      </c>
      <c r="R46" s="72">
        <v>5.1720730000000001</v>
      </c>
      <c r="S46" s="72">
        <v>5.1663009999999998</v>
      </c>
      <c r="T46" s="72">
        <v>5.1594030000000002</v>
      </c>
      <c r="U46" s="72">
        <v>5.1539609999999998</v>
      </c>
      <c r="V46" s="72">
        <v>5.1569050000000001</v>
      </c>
      <c r="W46" s="72">
        <v>5.1471669999999996</v>
      </c>
      <c r="X46" s="72">
        <v>5.1453899999999999</v>
      </c>
      <c r="Y46" s="72">
        <v>5.1359450000000004</v>
      </c>
      <c r="Z46" s="72">
        <v>5.1392990000000003</v>
      </c>
      <c r="AA46" s="72">
        <v>5.1376179999999998</v>
      </c>
      <c r="AB46" s="72">
        <v>5.1223150000000004</v>
      </c>
      <c r="AC46" s="72">
        <v>5.131875</v>
      </c>
      <c r="AD46" s="72">
        <v>5.1306099999999999</v>
      </c>
      <c r="AE46" s="72">
        <v>5.1394690000000001</v>
      </c>
      <c r="AF46" s="72">
        <v>5.1280320000000001</v>
      </c>
      <c r="AG46" s="72">
        <v>5.124009</v>
      </c>
      <c r="AH46" s="72">
        <v>5.1212489999999997</v>
      </c>
      <c r="AI46" s="72">
        <v>5.1119820000000002</v>
      </c>
      <c r="AJ46" s="72">
        <v>5.1060999999999996</v>
      </c>
      <c r="AK46" s="73">
        <v>-1.013E-3</v>
      </c>
    </row>
    <row r="47" spans="1:37" ht="15" customHeight="1">
      <c r="B47" s="74" t="s">
        <v>129</v>
      </c>
    </row>
    <row r="48" spans="1:37" ht="15" customHeight="1">
      <c r="A48" s="67" t="s">
        <v>130</v>
      </c>
      <c r="B48" s="71" t="s">
        <v>131</v>
      </c>
      <c r="C48" s="72">
        <v>5.7229999999999999</v>
      </c>
      <c r="D48" s="72">
        <v>5.7199359999999997</v>
      </c>
      <c r="E48" s="72">
        <v>5.7093740000000004</v>
      </c>
      <c r="F48" s="72">
        <v>5.7020210000000002</v>
      </c>
      <c r="G48" s="72">
        <v>5.6990360000000004</v>
      </c>
      <c r="H48" s="72">
        <v>5.7029030000000001</v>
      </c>
      <c r="I48" s="72">
        <v>5.7014690000000003</v>
      </c>
      <c r="J48" s="72">
        <v>5.697845</v>
      </c>
      <c r="K48" s="72">
        <v>5.6965690000000002</v>
      </c>
      <c r="L48" s="72">
        <v>5.6955710000000002</v>
      </c>
      <c r="M48" s="72">
        <v>5.6916909999999996</v>
      </c>
      <c r="N48" s="72">
        <v>5.6895829999999998</v>
      </c>
      <c r="O48" s="72">
        <v>5.6873170000000002</v>
      </c>
      <c r="P48" s="72">
        <v>5.6864030000000003</v>
      </c>
      <c r="Q48" s="72">
        <v>5.6859310000000001</v>
      </c>
      <c r="R48" s="72">
        <v>5.6860549999999996</v>
      </c>
      <c r="S48" s="72">
        <v>5.6862589999999997</v>
      </c>
      <c r="T48" s="72">
        <v>5.6853819999999997</v>
      </c>
      <c r="U48" s="72">
        <v>5.6852140000000002</v>
      </c>
      <c r="V48" s="72">
        <v>5.6858959999999996</v>
      </c>
      <c r="W48" s="72">
        <v>5.6868850000000002</v>
      </c>
      <c r="X48" s="72">
        <v>5.6879220000000004</v>
      </c>
      <c r="Y48" s="72">
        <v>5.6901700000000002</v>
      </c>
      <c r="Z48" s="72">
        <v>5.6909640000000001</v>
      </c>
      <c r="AA48" s="72">
        <v>5.6894390000000001</v>
      </c>
      <c r="AB48" s="72">
        <v>5.6887540000000003</v>
      </c>
      <c r="AC48" s="72">
        <v>5.6864689999999998</v>
      </c>
      <c r="AD48" s="72">
        <v>5.6844440000000001</v>
      </c>
      <c r="AE48" s="72">
        <v>5.683516</v>
      </c>
      <c r="AF48" s="72">
        <v>5.6828880000000002</v>
      </c>
      <c r="AG48" s="72">
        <v>5.6813929999999999</v>
      </c>
      <c r="AH48" s="72">
        <v>5.6792740000000004</v>
      </c>
      <c r="AI48" s="72">
        <v>5.678185</v>
      </c>
      <c r="AJ48" s="72">
        <v>5.676202</v>
      </c>
      <c r="AK48" s="73">
        <v>-2.4000000000000001E-4</v>
      </c>
    </row>
    <row r="49" spans="1:37" ht="15" customHeight="1">
      <c r="A49" s="67" t="s">
        <v>132</v>
      </c>
      <c r="B49" s="71" t="s">
        <v>133</v>
      </c>
      <c r="C49" s="72">
        <v>6.05</v>
      </c>
      <c r="D49" s="72">
        <v>6.1347209999999999</v>
      </c>
      <c r="E49" s="72">
        <v>6.1184380000000003</v>
      </c>
      <c r="F49" s="72">
        <v>6.1172810000000002</v>
      </c>
      <c r="G49" s="72">
        <v>6.117947</v>
      </c>
      <c r="H49" s="72">
        <v>6.1025400000000003</v>
      </c>
      <c r="I49" s="72">
        <v>6.1033739999999996</v>
      </c>
      <c r="J49" s="72">
        <v>6.1071629999999999</v>
      </c>
      <c r="K49" s="72">
        <v>6.1065849999999999</v>
      </c>
      <c r="L49" s="72">
        <v>6.1245560000000001</v>
      </c>
      <c r="M49" s="72">
        <v>6.090179</v>
      </c>
      <c r="N49" s="72">
        <v>6.1186819999999997</v>
      </c>
      <c r="O49" s="72">
        <v>6.0805309999999997</v>
      </c>
      <c r="P49" s="72">
        <v>6.1038079999999999</v>
      </c>
      <c r="Q49" s="72">
        <v>6.1135659999999996</v>
      </c>
      <c r="R49" s="72">
        <v>6.1076240000000004</v>
      </c>
      <c r="S49" s="72">
        <v>6.0846780000000003</v>
      </c>
      <c r="T49" s="72">
        <v>6.1340570000000003</v>
      </c>
      <c r="U49" s="72">
        <v>6.1319419999999996</v>
      </c>
      <c r="V49" s="72">
        <v>6.0897600000000001</v>
      </c>
      <c r="W49" s="72">
        <v>6.1385750000000003</v>
      </c>
      <c r="X49" s="72">
        <v>6.1383919999999996</v>
      </c>
      <c r="Y49" s="72">
        <v>6.1363960000000004</v>
      </c>
      <c r="Z49" s="72">
        <v>6.1379999999999999</v>
      </c>
      <c r="AA49" s="72">
        <v>6.1413979999999997</v>
      </c>
      <c r="AB49" s="72">
        <v>6.1053959999999998</v>
      </c>
      <c r="AC49" s="72">
        <v>6.1190619999999996</v>
      </c>
      <c r="AD49" s="72">
        <v>6.1323290000000004</v>
      </c>
      <c r="AE49" s="72">
        <v>6.1402510000000001</v>
      </c>
      <c r="AF49" s="72">
        <v>6.1441309999999998</v>
      </c>
      <c r="AG49" s="72">
        <v>6.1417869999999999</v>
      </c>
      <c r="AH49" s="72">
        <v>6.1391349999999996</v>
      </c>
      <c r="AI49" s="72">
        <v>6.1375440000000001</v>
      </c>
      <c r="AJ49" s="72">
        <v>6.1341609999999998</v>
      </c>
      <c r="AK49" s="73">
        <v>-3.0000000000000001E-6</v>
      </c>
    </row>
    <row r="50" spans="1:37" ht="15" customHeight="1">
      <c r="A50" s="67" t="s">
        <v>134</v>
      </c>
      <c r="B50" s="71" t="s">
        <v>135</v>
      </c>
      <c r="C50" s="72">
        <v>5.7380000000000004</v>
      </c>
      <c r="D50" s="72">
        <v>5.5547700000000004</v>
      </c>
      <c r="E50" s="72">
        <v>5.5572369999999998</v>
      </c>
      <c r="F50" s="72">
        <v>5.5581670000000001</v>
      </c>
      <c r="G50" s="72">
        <v>5.5659510000000001</v>
      </c>
      <c r="H50" s="72">
        <v>5.562354</v>
      </c>
      <c r="I50" s="72">
        <v>5.5637150000000002</v>
      </c>
      <c r="J50" s="72">
        <v>5.562271</v>
      </c>
      <c r="K50" s="72">
        <v>5.5667879999999998</v>
      </c>
      <c r="L50" s="72">
        <v>5.565995</v>
      </c>
      <c r="M50" s="72">
        <v>5.5575130000000001</v>
      </c>
      <c r="N50" s="72">
        <v>5.5605130000000003</v>
      </c>
      <c r="O50" s="72">
        <v>5.5607730000000002</v>
      </c>
      <c r="P50" s="72">
        <v>5.5617470000000004</v>
      </c>
      <c r="Q50" s="72">
        <v>5.5626410000000002</v>
      </c>
      <c r="R50" s="72">
        <v>5.562265</v>
      </c>
      <c r="S50" s="72">
        <v>5.569706</v>
      </c>
      <c r="T50" s="72">
        <v>5.5947889999999996</v>
      </c>
      <c r="U50" s="72">
        <v>5.5964090000000004</v>
      </c>
      <c r="V50" s="72">
        <v>5.6038379999999997</v>
      </c>
      <c r="W50" s="72">
        <v>5.6030389999999999</v>
      </c>
      <c r="X50" s="72">
        <v>5.6124460000000003</v>
      </c>
      <c r="Y50" s="72">
        <v>5.6163569999999998</v>
      </c>
      <c r="Z50" s="72">
        <v>5.6223010000000002</v>
      </c>
      <c r="AA50" s="72">
        <v>5.6172779999999998</v>
      </c>
      <c r="AB50" s="72">
        <v>5.6117030000000003</v>
      </c>
      <c r="AC50" s="72">
        <v>5.5987220000000004</v>
      </c>
      <c r="AD50" s="72">
        <v>5.5860859999999999</v>
      </c>
      <c r="AE50" s="72">
        <v>5.5761089999999998</v>
      </c>
      <c r="AF50" s="72">
        <v>5.5612719999999998</v>
      </c>
      <c r="AG50" s="72">
        <v>5.5591340000000002</v>
      </c>
      <c r="AH50" s="72">
        <v>5.5583109999999998</v>
      </c>
      <c r="AI50" s="72">
        <v>5.5584769999999999</v>
      </c>
      <c r="AJ50" s="72">
        <v>5.5588160000000002</v>
      </c>
      <c r="AK50" s="73">
        <v>2.3E-5</v>
      </c>
    </row>
    <row r="51" spans="1:37" ht="15" customHeight="1">
      <c r="A51" s="67" t="s">
        <v>136</v>
      </c>
      <c r="B51" s="71" t="s">
        <v>137</v>
      </c>
      <c r="C51" s="72">
        <v>3.6994319999999998</v>
      </c>
      <c r="D51" s="72">
        <v>3.6803349999999999</v>
      </c>
      <c r="E51" s="72">
        <v>3.6751779999999998</v>
      </c>
      <c r="F51" s="72">
        <v>3.6722600000000001</v>
      </c>
      <c r="G51" s="72">
        <v>3.661632</v>
      </c>
      <c r="H51" s="72">
        <v>3.661705</v>
      </c>
      <c r="I51" s="72">
        <v>3.6604510000000001</v>
      </c>
      <c r="J51" s="72">
        <v>3.65821</v>
      </c>
      <c r="K51" s="72">
        <v>3.6569090000000002</v>
      </c>
      <c r="L51" s="72">
        <v>3.6559050000000002</v>
      </c>
      <c r="M51" s="72">
        <v>3.655815</v>
      </c>
      <c r="N51" s="72">
        <v>3.6549260000000001</v>
      </c>
      <c r="O51" s="72">
        <v>3.6537899999999999</v>
      </c>
      <c r="P51" s="72">
        <v>3.6542750000000002</v>
      </c>
      <c r="Q51" s="72">
        <v>3.6541939999999999</v>
      </c>
      <c r="R51" s="72">
        <v>3.6551800000000001</v>
      </c>
      <c r="S51" s="72">
        <v>3.6552220000000002</v>
      </c>
      <c r="T51" s="72">
        <v>3.6557840000000001</v>
      </c>
      <c r="U51" s="72">
        <v>3.6554319999999998</v>
      </c>
      <c r="V51" s="72">
        <v>3.6563289999999999</v>
      </c>
      <c r="W51" s="72">
        <v>3.656425</v>
      </c>
      <c r="X51" s="72">
        <v>3.6584599999999998</v>
      </c>
      <c r="Y51" s="72">
        <v>3.659478</v>
      </c>
      <c r="Z51" s="72">
        <v>3.6604260000000002</v>
      </c>
      <c r="AA51" s="72">
        <v>3.6596030000000002</v>
      </c>
      <c r="AB51" s="72">
        <v>3.6590319999999998</v>
      </c>
      <c r="AC51" s="72">
        <v>3.657537</v>
      </c>
      <c r="AD51" s="72">
        <v>3.655983</v>
      </c>
      <c r="AE51" s="72">
        <v>3.6549179999999999</v>
      </c>
      <c r="AF51" s="72">
        <v>3.6535739999999999</v>
      </c>
      <c r="AG51" s="72">
        <v>3.651659</v>
      </c>
      <c r="AH51" s="72">
        <v>3.6501269999999999</v>
      </c>
      <c r="AI51" s="72">
        <v>3.6490499999999999</v>
      </c>
      <c r="AJ51" s="72">
        <v>3.6478000000000002</v>
      </c>
      <c r="AK51" s="73">
        <v>-2.7700000000000001E-4</v>
      </c>
    </row>
    <row r="53" spans="1:37" ht="15" customHeight="1">
      <c r="B53" s="70" t="s">
        <v>138</v>
      </c>
    </row>
    <row r="54" spans="1:37" ht="15" customHeight="1">
      <c r="A54" s="67" t="s">
        <v>139</v>
      </c>
      <c r="B54" s="71" t="s">
        <v>140</v>
      </c>
      <c r="C54" s="72">
        <v>1.0369999999999999</v>
      </c>
      <c r="D54" s="72">
        <v>1.0369999999999999</v>
      </c>
      <c r="E54" s="72">
        <v>1.0369999999999999</v>
      </c>
      <c r="F54" s="72">
        <v>1.0369999999999999</v>
      </c>
      <c r="G54" s="72">
        <v>1.0369999999999999</v>
      </c>
      <c r="H54" s="72">
        <v>1.0369999999999999</v>
      </c>
      <c r="I54" s="72">
        <v>1.0369999999999999</v>
      </c>
      <c r="J54" s="72">
        <v>1.0369999999999999</v>
      </c>
      <c r="K54" s="72">
        <v>1.0369999999999999</v>
      </c>
      <c r="L54" s="72">
        <v>1.0369999999999999</v>
      </c>
      <c r="M54" s="72">
        <v>1.0369999999999999</v>
      </c>
      <c r="N54" s="72">
        <v>1.0369999999999999</v>
      </c>
      <c r="O54" s="72">
        <v>1.0369999999999999</v>
      </c>
      <c r="P54" s="72">
        <v>1.0369999999999999</v>
      </c>
      <c r="Q54" s="72">
        <v>1.0369999999999999</v>
      </c>
      <c r="R54" s="72">
        <v>1.0369999999999999</v>
      </c>
      <c r="S54" s="72">
        <v>1.0369999999999999</v>
      </c>
      <c r="T54" s="72">
        <v>1.0369999999999999</v>
      </c>
      <c r="U54" s="72">
        <v>1.0369999999999999</v>
      </c>
      <c r="V54" s="72">
        <v>1.0369999999999999</v>
      </c>
      <c r="W54" s="72">
        <v>1.0369999999999999</v>
      </c>
      <c r="X54" s="72">
        <v>1.0369999999999999</v>
      </c>
      <c r="Y54" s="72">
        <v>1.0369999999999999</v>
      </c>
      <c r="Z54" s="72">
        <v>1.0369999999999999</v>
      </c>
      <c r="AA54" s="72">
        <v>1.0369999999999999</v>
      </c>
      <c r="AB54" s="72">
        <v>1.0369999999999999</v>
      </c>
      <c r="AC54" s="72">
        <v>1.0369999999999999</v>
      </c>
      <c r="AD54" s="72">
        <v>1.0369999999999999</v>
      </c>
      <c r="AE54" s="72">
        <v>1.0369999999999999</v>
      </c>
      <c r="AF54" s="72">
        <v>1.0369999999999999</v>
      </c>
      <c r="AG54" s="72">
        <v>1.0369999999999999</v>
      </c>
      <c r="AH54" s="72">
        <v>1.0369999999999999</v>
      </c>
      <c r="AI54" s="72">
        <v>1.0369999999999999</v>
      </c>
      <c r="AJ54" s="72">
        <v>1.0369999999999999</v>
      </c>
      <c r="AK54" s="73">
        <v>0</v>
      </c>
    </row>
    <row r="55" spans="1:37" ht="15" customHeight="1">
      <c r="A55" s="67" t="s">
        <v>141</v>
      </c>
      <c r="B55" s="71" t="s">
        <v>142</v>
      </c>
      <c r="C55" s="72">
        <v>1.0329999999999999</v>
      </c>
      <c r="D55" s="72">
        <v>1.0329999999999999</v>
      </c>
      <c r="E55" s="72">
        <v>1.0329999999999999</v>
      </c>
      <c r="F55" s="72">
        <v>1.0329999999999999</v>
      </c>
      <c r="G55" s="72">
        <v>1.0329999999999999</v>
      </c>
      <c r="H55" s="72">
        <v>1.0329999999999999</v>
      </c>
      <c r="I55" s="72">
        <v>1.0329999999999999</v>
      </c>
      <c r="J55" s="72">
        <v>1.0329999999999999</v>
      </c>
      <c r="K55" s="72">
        <v>1.0329999999999999</v>
      </c>
      <c r="L55" s="72">
        <v>1.0329999999999999</v>
      </c>
      <c r="M55" s="72">
        <v>1.0329999999999999</v>
      </c>
      <c r="N55" s="72">
        <v>1.0329999999999999</v>
      </c>
      <c r="O55" s="72">
        <v>1.0329999999999999</v>
      </c>
      <c r="P55" s="72">
        <v>1.0329999999999999</v>
      </c>
      <c r="Q55" s="72">
        <v>1.0329999999999999</v>
      </c>
      <c r="R55" s="72">
        <v>1.0329999999999999</v>
      </c>
      <c r="S55" s="72">
        <v>1.0329999999999999</v>
      </c>
      <c r="T55" s="72">
        <v>1.0329999999999999</v>
      </c>
      <c r="U55" s="72">
        <v>1.0329999999999999</v>
      </c>
      <c r="V55" s="72">
        <v>1.0329999999999999</v>
      </c>
      <c r="W55" s="72">
        <v>1.0329999999999999</v>
      </c>
      <c r="X55" s="72">
        <v>1.0329999999999999</v>
      </c>
      <c r="Y55" s="72">
        <v>1.0329999999999999</v>
      </c>
      <c r="Z55" s="72">
        <v>1.0329999999999999</v>
      </c>
      <c r="AA55" s="72">
        <v>1.0329999999999999</v>
      </c>
      <c r="AB55" s="72">
        <v>1.0329999999999999</v>
      </c>
      <c r="AC55" s="72">
        <v>1.0329999999999999</v>
      </c>
      <c r="AD55" s="72">
        <v>1.0329999999999999</v>
      </c>
      <c r="AE55" s="72">
        <v>1.0329999999999999</v>
      </c>
      <c r="AF55" s="72">
        <v>1.0329999999999999</v>
      </c>
      <c r="AG55" s="72">
        <v>1.0329999999999999</v>
      </c>
      <c r="AH55" s="72">
        <v>1.0329999999999999</v>
      </c>
      <c r="AI55" s="72">
        <v>1.0329999999999999</v>
      </c>
      <c r="AJ55" s="72">
        <v>1.0329999999999999</v>
      </c>
      <c r="AK55" s="73">
        <v>0</v>
      </c>
    </row>
    <row r="56" spans="1:37" ht="15" customHeight="1">
      <c r="A56" s="67" t="s">
        <v>143</v>
      </c>
      <c r="B56" s="71" t="s">
        <v>144</v>
      </c>
      <c r="C56" s="72">
        <v>1.0389999999999999</v>
      </c>
      <c r="D56" s="72">
        <v>1.0389999999999999</v>
      </c>
      <c r="E56" s="72">
        <v>1.0389999999999999</v>
      </c>
      <c r="F56" s="72">
        <v>1.0389999999999999</v>
      </c>
      <c r="G56" s="72">
        <v>1.0389999999999999</v>
      </c>
      <c r="H56" s="72">
        <v>1.0389999999999999</v>
      </c>
      <c r="I56" s="72">
        <v>1.0389999999999999</v>
      </c>
      <c r="J56" s="72">
        <v>1.0389999999999999</v>
      </c>
      <c r="K56" s="72">
        <v>1.0389999999999999</v>
      </c>
      <c r="L56" s="72">
        <v>1.0389999999999999</v>
      </c>
      <c r="M56" s="72">
        <v>1.0389999999999999</v>
      </c>
      <c r="N56" s="72">
        <v>1.0389999999999999</v>
      </c>
      <c r="O56" s="72">
        <v>1.0389999999999999</v>
      </c>
      <c r="P56" s="72">
        <v>1.0389999999999999</v>
      </c>
      <c r="Q56" s="72">
        <v>1.0389999999999999</v>
      </c>
      <c r="R56" s="72">
        <v>1.0389999999999999</v>
      </c>
      <c r="S56" s="72">
        <v>1.0389999999999999</v>
      </c>
      <c r="T56" s="72">
        <v>1.0389999999999999</v>
      </c>
      <c r="U56" s="72">
        <v>1.0389999999999999</v>
      </c>
      <c r="V56" s="72">
        <v>1.0389999999999999</v>
      </c>
      <c r="W56" s="72">
        <v>1.0389999999999999</v>
      </c>
      <c r="X56" s="72">
        <v>1.0389999999999999</v>
      </c>
      <c r="Y56" s="72">
        <v>1.0389999999999999</v>
      </c>
      <c r="Z56" s="72">
        <v>1.0389999999999999</v>
      </c>
      <c r="AA56" s="72">
        <v>1.0389999999999999</v>
      </c>
      <c r="AB56" s="72">
        <v>1.0389999999999999</v>
      </c>
      <c r="AC56" s="72">
        <v>1.0389999999999999</v>
      </c>
      <c r="AD56" s="72">
        <v>1.0389999999999999</v>
      </c>
      <c r="AE56" s="72">
        <v>1.0389999999999999</v>
      </c>
      <c r="AF56" s="72">
        <v>1.0389999999999999</v>
      </c>
      <c r="AG56" s="72">
        <v>1.0389999999999999</v>
      </c>
      <c r="AH56" s="72">
        <v>1.0389999999999999</v>
      </c>
      <c r="AI56" s="72">
        <v>1.0389999999999999</v>
      </c>
      <c r="AJ56" s="72">
        <v>1.0389999999999999</v>
      </c>
      <c r="AK56" s="73">
        <v>0</v>
      </c>
    </row>
    <row r="57" spans="1:37" ht="15" customHeight="1">
      <c r="A57" s="67" t="s">
        <v>145</v>
      </c>
      <c r="B57" s="71" t="s">
        <v>146</v>
      </c>
      <c r="C57" s="72">
        <v>1.0369999999999999</v>
      </c>
      <c r="D57" s="72">
        <v>1.0369999999999999</v>
      </c>
      <c r="E57" s="72">
        <v>1.0369999999999999</v>
      </c>
      <c r="F57" s="72">
        <v>1.0369999999999999</v>
      </c>
      <c r="G57" s="72">
        <v>1.0369999999999999</v>
      </c>
      <c r="H57" s="72">
        <v>1.0369999999999999</v>
      </c>
      <c r="I57" s="72">
        <v>1.0369999999999999</v>
      </c>
      <c r="J57" s="72">
        <v>1.0369999999999999</v>
      </c>
      <c r="K57" s="72">
        <v>1.0369999999999999</v>
      </c>
      <c r="L57" s="72">
        <v>1.0369999999999999</v>
      </c>
      <c r="M57" s="72">
        <v>1.0369999999999999</v>
      </c>
      <c r="N57" s="72">
        <v>1.0369999999999999</v>
      </c>
      <c r="O57" s="72">
        <v>1.0369999999999999</v>
      </c>
      <c r="P57" s="72">
        <v>1.0369999999999999</v>
      </c>
      <c r="Q57" s="72">
        <v>1.0369999999999999</v>
      </c>
      <c r="R57" s="72">
        <v>1.0369999999999999</v>
      </c>
      <c r="S57" s="72">
        <v>1.0369999999999999</v>
      </c>
      <c r="T57" s="72">
        <v>1.0369999999999999</v>
      </c>
      <c r="U57" s="72">
        <v>1.0369999999999999</v>
      </c>
      <c r="V57" s="72">
        <v>1.0369999999999999</v>
      </c>
      <c r="W57" s="72">
        <v>1.0369999999999999</v>
      </c>
      <c r="X57" s="72">
        <v>1.0369999999999999</v>
      </c>
      <c r="Y57" s="72">
        <v>1.0369999999999999</v>
      </c>
      <c r="Z57" s="72">
        <v>1.0369999999999999</v>
      </c>
      <c r="AA57" s="72">
        <v>1.0369999999999999</v>
      </c>
      <c r="AB57" s="72">
        <v>1.0369999999999999</v>
      </c>
      <c r="AC57" s="72">
        <v>1.0369999999999999</v>
      </c>
      <c r="AD57" s="72">
        <v>1.0369999999999999</v>
      </c>
      <c r="AE57" s="72">
        <v>1.0369999999999999</v>
      </c>
      <c r="AF57" s="72">
        <v>1.0369999999999999</v>
      </c>
      <c r="AG57" s="72">
        <v>1.0369999999999999</v>
      </c>
      <c r="AH57" s="72">
        <v>1.0369999999999999</v>
      </c>
      <c r="AI57" s="72">
        <v>1.0369999999999999</v>
      </c>
      <c r="AJ57" s="72">
        <v>1.0369999999999999</v>
      </c>
      <c r="AK57" s="73">
        <v>0</v>
      </c>
    </row>
    <row r="58" spans="1:37" ht="15" customHeight="1">
      <c r="A58" s="67" t="s">
        <v>147</v>
      </c>
      <c r="B58" s="71" t="s">
        <v>148</v>
      </c>
      <c r="C58" s="72">
        <v>1.0249999999999999</v>
      </c>
      <c r="D58" s="72">
        <v>1.0249999999999999</v>
      </c>
      <c r="E58" s="72">
        <v>1.0249999999999999</v>
      </c>
      <c r="F58" s="72">
        <v>1.0249999999999999</v>
      </c>
      <c r="G58" s="72">
        <v>1.0249999999999999</v>
      </c>
      <c r="H58" s="72">
        <v>1.0249999999999999</v>
      </c>
      <c r="I58" s="72">
        <v>1.0249999999999999</v>
      </c>
      <c r="J58" s="72">
        <v>1.0249999999999999</v>
      </c>
      <c r="K58" s="72">
        <v>1.0249999999999999</v>
      </c>
      <c r="L58" s="72">
        <v>1.0249999999999999</v>
      </c>
      <c r="M58" s="72">
        <v>1.0249999999999999</v>
      </c>
      <c r="N58" s="72">
        <v>1.0249999999999999</v>
      </c>
      <c r="O58" s="72">
        <v>1.0249999999999999</v>
      </c>
      <c r="P58" s="72">
        <v>1.0249999999999999</v>
      </c>
      <c r="Q58" s="72">
        <v>1.0249999999999999</v>
      </c>
      <c r="R58" s="72">
        <v>1.0249999999999999</v>
      </c>
      <c r="S58" s="72">
        <v>1.0249999999999999</v>
      </c>
      <c r="T58" s="72">
        <v>1.0249999999999999</v>
      </c>
      <c r="U58" s="72">
        <v>1.0249999999999999</v>
      </c>
      <c r="V58" s="72">
        <v>1.0249999999999999</v>
      </c>
      <c r="W58" s="72">
        <v>1.0249999999999999</v>
      </c>
      <c r="X58" s="72">
        <v>1.0249999999999999</v>
      </c>
      <c r="Y58" s="72">
        <v>1.0249999999999999</v>
      </c>
      <c r="Z58" s="72">
        <v>1.0249999999999999</v>
      </c>
      <c r="AA58" s="72">
        <v>1.0249999999999999</v>
      </c>
      <c r="AB58" s="72">
        <v>1.0249999999999999</v>
      </c>
      <c r="AC58" s="72">
        <v>1.0249999999999999</v>
      </c>
      <c r="AD58" s="72">
        <v>1.0249999999999999</v>
      </c>
      <c r="AE58" s="72">
        <v>1.0249999999999999</v>
      </c>
      <c r="AF58" s="72">
        <v>1.0249999999999999</v>
      </c>
      <c r="AG58" s="72">
        <v>1.0249999999999999</v>
      </c>
      <c r="AH58" s="72">
        <v>1.0249999999999999</v>
      </c>
      <c r="AI58" s="72">
        <v>1.0249999999999999</v>
      </c>
      <c r="AJ58" s="72">
        <v>1.0249999999999999</v>
      </c>
      <c r="AK58" s="73">
        <v>0</v>
      </c>
    </row>
    <row r="59" spans="1:37" ht="15" customHeight="1">
      <c r="A59" s="67" t="s">
        <v>149</v>
      </c>
      <c r="B59" s="71" t="s">
        <v>150</v>
      </c>
      <c r="C59" s="72">
        <v>1.0089999999999999</v>
      </c>
      <c r="D59" s="72">
        <v>1.0089999999999999</v>
      </c>
      <c r="E59" s="72">
        <v>1.0089999999999999</v>
      </c>
      <c r="F59" s="72">
        <v>1.0089999999999999</v>
      </c>
      <c r="G59" s="72">
        <v>1.0089999999999999</v>
      </c>
      <c r="H59" s="72">
        <v>1.0089999999999999</v>
      </c>
      <c r="I59" s="72">
        <v>1.0089999999999999</v>
      </c>
      <c r="J59" s="72">
        <v>1.0089999999999999</v>
      </c>
      <c r="K59" s="72">
        <v>1.0089999999999999</v>
      </c>
      <c r="L59" s="72">
        <v>1.0089999999999999</v>
      </c>
      <c r="M59" s="72">
        <v>1.0089999999999999</v>
      </c>
      <c r="N59" s="72">
        <v>1.0089999999999999</v>
      </c>
      <c r="O59" s="72">
        <v>1.0089999999999999</v>
      </c>
      <c r="P59" s="72">
        <v>1.0089999999999999</v>
      </c>
      <c r="Q59" s="72">
        <v>1.0089999999999999</v>
      </c>
      <c r="R59" s="72">
        <v>1.0089999999999999</v>
      </c>
      <c r="S59" s="72">
        <v>1.0089999999999999</v>
      </c>
      <c r="T59" s="72">
        <v>1.0089999999999999</v>
      </c>
      <c r="U59" s="72">
        <v>1.0089999999999999</v>
      </c>
      <c r="V59" s="72">
        <v>1.0089999999999999</v>
      </c>
      <c r="W59" s="72">
        <v>1.0089999999999999</v>
      </c>
      <c r="X59" s="72">
        <v>1.0089999999999999</v>
      </c>
      <c r="Y59" s="72">
        <v>1.0089999999999999</v>
      </c>
      <c r="Z59" s="72">
        <v>1.0089999999999999</v>
      </c>
      <c r="AA59" s="72">
        <v>1.0089999999999999</v>
      </c>
      <c r="AB59" s="72">
        <v>1.0089999999999999</v>
      </c>
      <c r="AC59" s="72">
        <v>1.0089999999999999</v>
      </c>
      <c r="AD59" s="72">
        <v>1.0089999999999999</v>
      </c>
      <c r="AE59" s="72">
        <v>1.0089999999999999</v>
      </c>
      <c r="AF59" s="72">
        <v>1.0089999999999999</v>
      </c>
      <c r="AG59" s="72">
        <v>1.0089999999999999</v>
      </c>
      <c r="AH59" s="72">
        <v>1.0089999999999999</v>
      </c>
      <c r="AI59" s="72">
        <v>1.0089999999999999</v>
      </c>
      <c r="AJ59" s="72">
        <v>1.0089999999999999</v>
      </c>
      <c r="AK59" s="73">
        <v>0</v>
      </c>
    </row>
    <row r="60" spans="1:37" ht="15" customHeight="1">
      <c r="A60" s="67" t="s">
        <v>151</v>
      </c>
      <c r="B60" s="71" t="s">
        <v>152</v>
      </c>
      <c r="C60" s="72">
        <v>0.96</v>
      </c>
      <c r="D60" s="72">
        <v>0.96</v>
      </c>
      <c r="E60" s="72">
        <v>0.96</v>
      </c>
      <c r="F60" s="72">
        <v>0.96</v>
      </c>
      <c r="G60" s="72">
        <v>0.96</v>
      </c>
      <c r="H60" s="72">
        <v>0.96</v>
      </c>
      <c r="I60" s="72">
        <v>0.96</v>
      </c>
      <c r="J60" s="72">
        <v>0.96</v>
      </c>
      <c r="K60" s="72">
        <v>0.96</v>
      </c>
      <c r="L60" s="72">
        <v>0.96</v>
      </c>
      <c r="M60" s="72">
        <v>0.96</v>
      </c>
      <c r="N60" s="72">
        <v>0.96</v>
      </c>
      <c r="O60" s="72">
        <v>0.96</v>
      </c>
      <c r="P60" s="72">
        <v>0.96</v>
      </c>
      <c r="Q60" s="72">
        <v>0.96</v>
      </c>
      <c r="R60" s="72">
        <v>0.96</v>
      </c>
      <c r="S60" s="72">
        <v>0.96</v>
      </c>
      <c r="T60" s="72">
        <v>0.96</v>
      </c>
      <c r="U60" s="72">
        <v>0.96</v>
      </c>
      <c r="V60" s="72">
        <v>0.96</v>
      </c>
      <c r="W60" s="72">
        <v>0.96</v>
      </c>
      <c r="X60" s="72">
        <v>0.96</v>
      </c>
      <c r="Y60" s="72">
        <v>0.96</v>
      </c>
      <c r="Z60" s="72">
        <v>0.96</v>
      </c>
      <c r="AA60" s="72">
        <v>0.96</v>
      </c>
      <c r="AB60" s="72">
        <v>0.96</v>
      </c>
      <c r="AC60" s="72">
        <v>0.96</v>
      </c>
      <c r="AD60" s="72">
        <v>0.96</v>
      </c>
      <c r="AE60" s="72">
        <v>0.96</v>
      </c>
      <c r="AF60" s="72">
        <v>0.96</v>
      </c>
      <c r="AG60" s="72">
        <v>0.96</v>
      </c>
      <c r="AH60" s="72">
        <v>0.96</v>
      </c>
      <c r="AI60" s="72">
        <v>0.96</v>
      </c>
      <c r="AJ60" s="72">
        <v>0.96</v>
      </c>
      <c r="AK60" s="73">
        <v>0</v>
      </c>
    </row>
    <row r="62" spans="1:37" ht="15" customHeight="1">
      <c r="B62" s="70" t="s">
        <v>153</v>
      </c>
    </row>
    <row r="63" spans="1:37" ht="15" customHeight="1">
      <c r="A63" s="67" t="s">
        <v>154</v>
      </c>
      <c r="B63" s="71" t="s">
        <v>146</v>
      </c>
      <c r="C63" s="75">
        <v>20.537140000000001</v>
      </c>
      <c r="D63" s="75">
        <v>20.439444999999999</v>
      </c>
      <c r="E63" s="75">
        <v>20.349045</v>
      </c>
      <c r="F63" s="75">
        <v>20.466270000000002</v>
      </c>
      <c r="G63" s="75">
        <v>20.363602</v>
      </c>
      <c r="H63" s="75">
        <v>20.554328999999999</v>
      </c>
      <c r="I63" s="75">
        <v>20.653105</v>
      </c>
      <c r="J63" s="75">
        <v>20.626196</v>
      </c>
      <c r="K63" s="75">
        <v>20.621486999999998</v>
      </c>
      <c r="L63" s="75">
        <v>20.64123</v>
      </c>
      <c r="M63" s="75">
        <v>20.627844</v>
      </c>
      <c r="N63" s="75">
        <v>20.536940000000001</v>
      </c>
      <c r="O63" s="75">
        <v>20.501505000000002</v>
      </c>
      <c r="P63" s="75">
        <v>20.413281999999999</v>
      </c>
      <c r="Q63" s="75">
        <v>20.399070999999999</v>
      </c>
      <c r="R63" s="75">
        <v>20.458255999999999</v>
      </c>
      <c r="S63" s="75">
        <v>20.429285</v>
      </c>
      <c r="T63" s="75">
        <v>20.364529000000001</v>
      </c>
      <c r="U63" s="75">
        <v>20.373262</v>
      </c>
      <c r="V63" s="75">
        <v>20.367173999999999</v>
      </c>
      <c r="W63" s="75">
        <v>20.397617</v>
      </c>
      <c r="X63" s="75">
        <v>20.405455</v>
      </c>
      <c r="Y63" s="75">
        <v>20.39472</v>
      </c>
      <c r="Z63" s="75">
        <v>20.372592999999998</v>
      </c>
      <c r="AA63" s="75">
        <v>20.382771999999999</v>
      </c>
      <c r="AB63" s="75">
        <v>20.366734000000001</v>
      </c>
      <c r="AC63" s="75">
        <v>20.354519</v>
      </c>
      <c r="AD63" s="75">
        <v>20.355229999999999</v>
      </c>
      <c r="AE63" s="75">
        <v>20.386980000000001</v>
      </c>
      <c r="AF63" s="75">
        <v>20.356945</v>
      </c>
      <c r="AG63" s="75">
        <v>20.336355000000001</v>
      </c>
      <c r="AH63" s="75">
        <v>20.357395</v>
      </c>
      <c r="AI63" s="75">
        <v>20.34404</v>
      </c>
      <c r="AJ63" s="75">
        <v>20.347266999999999</v>
      </c>
      <c r="AK63" s="73">
        <v>-1.4100000000000001E-4</v>
      </c>
    </row>
    <row r="64" spans="1:37" ht="15" customHeight="1">
      <c r="A64" s="67" t="s">
        <v>155</v>
      </c>
      <c r="B64" s="71" t="s">
        <v>156</v>
      </c>
      <c r="C64" s="75">
        <v>25.416302000000002</v>
      </c>
      <c r="D64" s="75">
        <v>25.057079000000002</v>
      </c>
      <c r="E64" s="75">
        <v>25.074783</v>
      </c>
      <c r="F64" s="75">
        <v>25.042176999999999</v>
      </c>
      <c r="G64" s="75">
        <v>24.938278</v>
      </c>
      <c r="H64" s="75">
        <v>24.964016000000001</v>
      </c>
      <c r="I64" s="75">
        <v>24.911818</v>
      </c>
      <c r="J64" s="75">
        <v>24.91433</v>
      </c>
      <c r="K64" s="75">
        <v>24.898243000000001</v>
      </c>
      <c r="L64" s="75">
        <v>24.920572</v>
      </c>
      <c r="M64" s="75">
        <v>24.903048999999999</v>
      </c>
      <c r="N64" s="75">
        <v>24.81945</v>
      </c>
      <c r="O64" s="75">
        <v>24.850802999999999</v>
      </c>
      <c r="P64" s="75">
        <v>24.769541</v>
      </c>
      <c r="Q64" s="75">
        <v>24.735579000000001</v>
      </c>
      <c r="R64" s="75">
        <v>24.729203999999999</v>
      </c>
      <c r="S64" s="75">
        <v>24.688946000000001</v>
      </c>
      <c r="T64" s="75">
        <v>24.612100999999999</v>
      </c>
      <c r="U64" s="75">
        <v>24.600828</v>
      </c>
      <c r="V64" s="75">
        <v>24.592124999999999</v>
      </c>
      <c r="W64" s="75">
        <v>24.569109000000001</v>
      </c>
      <c r="X64" s="75">
        <v>24.53866</v>
      </c>
      <c r="Y64" s="75">
        <v>24.501373000000001</v>
      </c>
      <c r="Z64" s="75">
        <v>24.474423999999999</v>
      </c>
      <c r="AA64" s="75">
        <v>24.491461000000001</v>
      </c>
      <c r="AB64" s="75">
        <v>24.462054999999999</v>
      </c>
      <c r="AC64" s="75">
        <v>24.426752</v>
      </c>
      <c r="AD64" s="75">
        <v>24.399635</v>
      </c>
      <c r="AE64" s="75">
        <v>24.407730000000001</v>
      </c>
      <c r="AF64" s="75">
        <v>24.328617000000001</v>
      </c>
      <c r="AG64" s="75">
        <v>24.285736</v>
      </c>
      <c r="AH64" s="75">
        <v>24.280874000000001</v>
      </c>
      <c r="AI64" s="75">
        <v>24.244130999999999</v>
      </c>
      <c r="AJ64" s="75">
        <v>24.256340000000002</v>
      </c>
      <c r="AK64" s="73">
        <v>-1.0139999999999999E-3</v>
      </c>
    </row>
    <row r="65" spans="1:37" ht="15" customHeight="1">
      <c r="A65" s="67" t="s">
        <v>157</v>
      </c>
      <c r="B65" s="71" t="s">
        <v>158</v>
      </c>
      <c r="C65" s="75">
        <v>17.234355999999998</v>
      </c>
      <c r="D65" s="75">
        <v>17.205303000000001</v>
      </c>
      <c r="E65" s="75">
        <v>17.117476</v>
      </c>
      <c r="F65" s="75">
        <v>17.06934</v>
      </c>
      <c r="G65" s="75">
        <v>16.988295000000001</v>
      </c>
      <c r="H65" s="75">
        <v>17.022928</v>
      </c>
      <c r="I65" s="75">
        <v>17.071612999999999</v>
      </c>
      <c r="J65" s="75">
        <v>17.059359000000001</v>
      </c>
      <c r="K65" s="75">
        <v>17.037023999999999</v>
      </c>
      <c r="L65" s="75">
        <v>17.056746</v>
      </c>
      <c r="M65" s="75">
        <v>17.031739999999999</v>
      </c>
      <c r="N65" s="75">
        <v>16.978151</v>
      </c>
      <c r="O65" s="75">
        <v>16.968306999999999</v>
      </c>
      <c r="P65" s="75">
        <v>16.998640000000002</v>
      </c>
      <c r="Q65" s="75">
        <v>16.972049999999999</v>
      </c>
      <c r="R65" s="75">
        <v>17.002645000000001</v>
      </c>
      <c r="S65" s="75">
        <v>17.003274999999999</v>
      </c>
      <c r="T65" s="75">
        <v>17.003226999999999</v>
      </c>
      <c r="U65" s="75">
        <v>17.012267999999999</v>
      </c>
      <c r="V65" s="75">
        <v>17.012785000000001</v>
      </c>
      <c r="W65" s="75">
        <v>17.036083000000001</v>
      </c>
      <c r="X65" s="75">
        <v>17.044588000000001</v>
      </c>
      <c r="Y65" s="75">
        <v>17.050751000000002</v>
      </c>
      <c r="Z65" s="75">
        <v>17.064136999999999</v>
      </c>
      <c r="AA65" s="75">
        <v>17.081581</v>
      </c>
      <c r="AB65" s="75">
        <v>17.08465</v>
      </c>
      <c r="AC65" s="75">
        <v>17.087126000000001</v>
      </c>
      <c r="AD65" s="75">
        <v>17.088546999999998</v>
      </c>
      <c r="AE65" s="75">
        <v>17.086746000000002</v>
      </c>
      <c r="AF65" s="75">
        <v>17.085443000000001</v>
      </c>
      <c r="AG65" s="75">
        <v>17.080282</v>
      </c>
      <c r="AH65" s="75">
        <v>17.077895999999999</v>
      </c>
      <c r="AI65" s="75">
        <v>17.084911000000002</v>
      </c>
      <c r="AJ65" s="75">
        <v>17.086425999999999</v>
      </c>
      <c r="AK65" s="73">
        <v>-2.1699999999999999E-4</v>
      </c>
    </row>
    <row r="66" spans="1:37" ht="15" customHeight="1">
      <c r="A66" s="67" t="s">
        <v>159</v>
      </c>
      <c r="B66" s="71" t="s">
        <v>140</v>
      </c>
      <c r="C66" s="75">
        <v>19.437477000000001</v>
      </c>
      <c r="D66" s="75">
        <v>19.706896</v>
      </c>
      <c r="E66" s="75">
        <v>19.588093000000001</v>
      </c>
      <c r="F66" s="75">
        <v>19.676338000000001</v>
      </c>
      <c r="G66" s="75">
        <v>19.593861</v>
      </c>
      <c r="H66" s="75">
        <v>19.763271</v>
      </c>
      <c r="I66" s="75">
        <v>19.874037000000001</v>
      </c>
      <c r="J66" s="75">
        <v>19.832982999999999</v>
      </c>
      <c r="K66" s="75">
        <v>19.854051999999999</v>
      </c>
      <c r="L66" s="75">
        <v>19.849159</v>
      </c>
      <c r="M66" s="75">
        <v>19.841605999999999</v>
      </c>
      <c r="N66" s="75">
        <v>19.838450999999999</v>
      </c>
      <c r="O66" s="75">
        <v>19.782232</v>
      </c>
      <c r="P66" s="75">
        <v>19.750865999999998</v>
      </c>
      <c r="Q66" s="75">
        <v>19.757529999999999</v>
      </c>
      <c r="R66" s="75">
        <v>19.792145000000001</v>
      </c>
      <c r="S66" s="75">
        <v>19.787579999999998</v>
      </c>
      <c r="T66" s="75">
        <v>19.792100999999999</v>
      </c>
      <c r="U66" s="75">
        <v>19.801369000000001</v>
      </c>
      <c r="V66" s="75">
        <v>19.790552000000002</v>
      </c>
      <c r="W66" s="75">
        <v>19.813770000000002</v>
      </c>
      <c r="X66" s="75">
        <v>19.823812</v>
      </c>
      <c r="Y66" s="75">
        <v>19.819962</v>
      </c>
      <c r="Z66" s="75">
        <v>19.817592999999999</v>
      </c>
      <c r="AA66" s="75">
        <v>19.814734000000001</v>
      </c>
      <c r="AB66" s="75">
        <v>19.808729</v>
      </c>
      <c r="AC66" s="75">
        <v>19.816939999999999</v>
      </c>
      <c r="AD66" s="75">
        <v>19.822158999999999</v>
      </c>
      <c r="AE66" s="75">
        <v>19.832388000000002</v>
      </c>
      <c r="AF66" s="75">
        <v>19.856539000000001</v>
      </c>
      <c r="AG66" s="75">
        <v>19.880623</v>
      </c>
      <c r="AH66" s="75">
        <v>19.899242000000001</v>
      </c>
      <c r="AI66" s="75">
        <v>19.884989000000001</v>
      </c>
      <c r="AJ66" s="75">
        <v>19.887484000000001</v>
      </c>
      <c r="AK66" s="73">
        <v>2.8499999999999999E-4</v>
      </c>
    </row>
    <row r="67" spans="1:37" ht="15" customHeight="1">
      <c r="A67" s="67" t="s">
        <v>160</v>
      </c>
      <c r="B67" s="71" t="s">
        <v>161</v>
      </c>
      <c r="C67" s="75">
        <v>20.319486999999999</v>
      </c>
      <c r="D67" s="75">
        <v>19.866795</v>
      </c>
      <c r="E67" s="75">
        <v>19.877953000000002</v>
      </c>
      <c r="F67" s="75">
        <v>19.862864999999999</v>
      </c>
      <c r="G67" s="75">
        <v>19.866108000000001</v>
      </c>
      <c r="H67" s="75">
        <v>19.864163999999999</v>
      </c>
      <c r="I67" s="75">
        <v>19.86232</v>
      </c>
      <c r="J67" s="75">
        <v>19.858194000000001</v>
      </c>
      <c r="K67" s="75">
        <v>19.854407999999999</v>
      </c>
      <c r="L67" s="75">
        <v>19.851212</v>
      </c>
      <c r="M67" s="75">
        <v>19.848103999999999</v>
      </c>
      <c r="N67" s="75">
        <v>19.846712</v>
      </c>
      <c r="O67" s="75">
        <v>19.844584000000001</v>
      </c>
      <c r="P67" s="75">
        <v>19.843212000000001</v>
      </c>
      <c r="Q67" s="75">
        <v>19.839586000000001</v>
      </c>
      <c r="R67" s="75">
        <v>19.837956999999999</v>
      </c>
      <c r="S67" s="75">
        <v>19.837420999999999</v>
      </c>
      <c r="T67" s="75">
        <v>19.835992999999998</v>
      </c>
      <c r="U67" s="75">
        <v>19.833931</v>
      </c>
      <c r="V67" s="75">
        <v>19.832113</v>
      </c>
      <c r="W67" s="75">
        <v>19.829879999999999</v>
      </c>
      <c r="X67" s="75">
        <v>19.827466999999999</v>
      </c>
      <c r="Y67" s="75">
        <v>19.826221</v>
      </c>
      <c r="Z67" s="75">
        <v>19.825344000000001</v>
      </c>
      <c r="AA67" s="75">
        <v>19.824635000000001</v>
      </c>
      <c r="AB67" s="75">
        <v>19.824231999999999</v>
      </c>
      <c r="AC67" s="75">
        <v>19.824038999999999</v>
      </c>
      <c r="AD67" s="75">
        <v>19.823008999999999</v>
      </c>
      <c r="AE67" s="75">
        <v>19.821570999999999</v>
      </c>
      <c r="AF67" s="75">
        <v>19.888694999999998</v>
      </c>
      <c r="AG67" s="75">
        <v>19.887025999999999</v>
      </c>
      <c r="AH67" s="75">
        <v>19.885117999999999</v>
      </c>
      <c r="AI67" s="75">
        <v>19.883326</v>
      </c>
      <c r="AJ67" s="75">
        <v>19.881367000000001</v>
      </c>
      <c r="AK67" s="73">
        <v>2.3E-5</v>
      </c>
    </row>
    <row r="68" spans="1:37" ht="15" customHeight="1">
      <c r="A68" s="67" t="s">
        <v>162</v>
      </c>
      <c r="B68" s="71" t="s">
        <v>163</v>
      </c>
      <c r="C68" s="75">
        <v>20.775822000000002</v>
      </c>
      <c r="D68" s="75">
        <v>20.838132999999999</v>
      </c>
      <c r="E68" s="75">
        <v>20.733785999999998</v>
      </c>
      <c r="F68" s="75">
        <v>20.902740000000001</v>
      </c>
      <c r="G68" s="75">
        <v>20.866161000000002</v>
      </c>
      <c r="H68" s="75">
        <v>20.867376</v>
      </c>
      <c r="I68" s="75">
        <v>20.866620999999999</v>
      </c>
      <c r="J68" s="75">
        <v>20.916288000000002</v>
      </c>
      <c r="K68" s="75">
        <v>20.915384</v>
      </c>
      <c r="L68" s="75">
        <v>20.913564999999998</v>
      </c>
      <c r="M68" s="75">
        <v>20.910665999999999</v>
      </c>
      <c r="N68" s="75">
        <v>20.907888</v>
      </c>
      <c r="O68" s="75">
        <v>20.903262999999999</v>
      </c>
      <c r="P68" s="75">
        <v>20.898401</v>
      </c>
      <c r="Q68" s="75">
        <v>20.889793000000001</v>
      </c>
      <c r="R68" s="75">
        <v>20.836566999999999</v>
      </c>
      <c r="S68" s="75">
        <v>20.829412000000001</v>
      </c>
      <c r="T68" s="75">
        <v>20.823454000000002</v>
      </c>
      <c r="U68" s="75">
        <v>20.814209000000002</v>
      </c>
      <c r="V68" s="75">
        <v>20.812381999999999</v>
      </c>
      <c r="W68" s="75">
        <v>20.811678000000001</v>
      </c>
      <c r="X68" s="75">
        <v>20.809002</v>
      </c>
      <c r="Y68" s="75">
        <v>20.807103999999999</v>
      </c>
      <c r="Z68" s="75">
        <v>20.806034</v>
      </c>
      <c r="AA68" s="75">
        <v>20.806111999999999</v>
      </c>
      <c r="AB68" s="75">
        <v>20.804993</v>
      </c>
      <c r="AC68" s="75">
        <v>20.804296000000001</v>
      </c>
      <c r="AD68" s="75">
        <v>20.804532999999999</v>
      </c>
      <c r="AE68" s="75">
        <v>20.804535000000001</v>
      </c>
      <c r="AF68" s="75">
        <v>20.801072999999999</v>
      </c>
      <c r="AG68" s="75">
        <v>20.800825</v>
      </c>
      <c r="AH68" s="75">
        <v>20.800813999999999</v>
      </c>
      <c r="AI68" s="75">
        <v>20.801849000000001</v>
      </c>
      <c r="AJ68" s="75">
        <v>20.801618999999999</v>
      </c>
      <c r="AK68" s="73">
        <v>-5.5000000000000002E-5</v>
      </c>
    </row>
    <row r="69" spans="1:37" ht="15" customHeight="1">
      <c r="A69" s="67" t="s">
        <v>164</v>
      </c>
      <c r="B69" s="71" t="s">
        <v>165</v>
      </c>
      <c r="C69" s="75">
        <v>28.674879000000001</v>
      </c>
      <c r="D69" s="75">
        <v>28.554435999999999</v>
      </c>
      <c r="E69" s="75">
        <v>28.562546000000001</v>
      </c>
      <c r="F69" s="75">
        <v>28.504807</v>
      </c>
      <c r="G69" s="75">
        <v>28.443207000000001</v>
      </c>
      <c r="H69" s="75">
        <v>28.442011000000001</v>
      </c>
      <c r="I69" s="75">
        <v>28.435804000000001</v>
      </c>
      <c r="J69" s="75">
        <v>28.436997999999999</v>
      </c>
      <c r="K69" s="75">
        <v>28.439364999999999</v>
      </c>
      <c r="L69" s="75">
        <v>28.441151000000001</v>
      </c>
      <c r="M69" s="75">
        <v>28.441541999999998</v>
      </c>
      <c r="N69" s="75">
        <v>28.444378</v>
      </c>
      <c r="O69" s="75">
        <v>28.445307</v>
      </c>
      <c r="P69" s="75">
        <v>28.448008000000002</v>
      </c>
      <c r="Q69" s="75">
        <v>28.451091999999999</v>
      </c>
      <c r="R69" s="75">
        <v>28.453724000000001</v>
      </c>
      <c r="S69" s="75">
        <v>28.456078999999999</v>
      </c>
      <c r="T69" s="75">
        <v>28.459067999999998</v>
      </c>
      <c r="U69" s="75">
        <v>28.461366999999999</v>
      </c>
      <c r="V69" s="75">
        <v>28.462769000000002</v>
      </c>
      <c r="W69" s="75">
        <v>28.465333999999999</v>
      </c>
      <c r="X69" s="75">
        <v>28.467545999999999</v>
      </c>
      <c r="Y69" s="75">
        <v>28.468142</v>
      </c>
      <c r="Z69" s="75">
        <v>28.467697000000001</v>
      </c>
      <c r="AA69" s="75">
        <v>28.468544000000001</v>
      </c>
      <c r="AB69" s="75">
        <v>28.468433000000001</v>
      </c>
      <c r="AC69" s="75">
        <v>28.468116999999999</v>
      </c>
      <c r="AD69" s="75">
        <v>28.467950999999999</v>
      </c>
      <c r="AE69" s="75">
        <v>28.468955999999999</v>
      </c>
      <c r="AF69" s="75">
        <v>28.468081999999999</v>
      </c>
      <c r="AG69" s="75">
        <v>28.468615</v>
      </c>
      <c r="AH69" s="75">
        <v>28.468512</v>
      </c>
      <c r="AI69" s="75">
        <v>28.468487</v>
      </c>
      <c r="AJ69" s="75">
        <v>28.468031</v>
      </c>
      <c r="AK69" s="73">
        <v>-9.5000000000000005E-5</v>
      </c>
    </row>
    <row r="70" spans="1:37" ht="15" customHeight="1">
      <c r="A70" s="67" t="s">
        <v>166</v>
      </c>
      <c r="B70" s="71" t="s">
        <v>167</v>
      </c>
      <c r="C70" s="75">
        <v>18.994087</v>
      </c>
      <c r="D70" s="75">
        <v>19.243162000000002</v>
      </c>
      <c r="E70" s="75">
        <v>19.070353000000001</v>
      </c>
      <c r="F70" s="75">
        <v>19.169922</v>
      </c>
      <c r="G70" s="75">
        <v>19.089600000000001</v>
      </c>
      <c r="H70" s="75">
        <v>19.276790999999999</v>
      </c>
      <c r="I70" s="75">
        <v>19.411289</v>
      </c>
      <c r="J70" s="75">
        <v>19.366067999999999</v>
      </c>
      <c r="K70" s="75">
        <v>19.385352999999999</v>
      </c>
      <c r="L70" s="75">
        <v>19.372706999999998</v>
      </c>
      <c r="M70" s="75">
        <v>19.360990999999999</v>
      </c>
      <c r="N70" s="75">
        <v>19.352909</v>
      </c>
      <c r="O70" s="75">
        <v>19.300653000000001</v>
      </c>
      <c r="P70" s="75">
        <v>19.265913000000001</v>
      </c>
      <c r="Q70" s="75">
        <v>19.264596999999998</v>
      </c>
      <c r="R70" s="75">
        <v>19.290289000000001</v>
      </c>
      <c r="S70" s="75">
        <v>19.284327000000001</v>
      </c>
      <c r="T70" s="75">
        <v>19.280676</v>
      </c>
      <c r="U70" s="75">
        <v>19.290565000000001</v>
      </c>
      <c r="V70" s="75">
        <v>19.277930999999999</v>
      </c>
      <c r="W70" s="75">
        <v>19.296233999999998</v>
      </c>
      <c r="X70" s="75">
        <v>19.305914000000001</v>
      </c>
      <c r="Y70" s="75">
        <v>19.302322</v>
      </c>
      <c r="Z70" s="75">
        <v>19.303664999999999</v>
      </c>
      <c r="AA70" s="75">
        <v>19.298279000000001</v>
      </c>
      <c r="AB70" s="75">
        <v>19.294079</v>
      </c>
      <c r="AC70" s="75">
        <v>19.303532000000001</v>
      </c>
      <c r="AD70" s="75">
        <v>19.313279999999999</v>
      </c>
      <c r="AE70" s="75">
        <v>19.326996000000001</v>
      </c>
      <c r="AF70" s="75">
        <v>19.356915000000001</v>
      </c>
      <c r="AG70" s="75">
        <v>19.385812999999999</v>
      </c>
      <c r="AH70" s="75">
        <v>19.410371999999999</v>
      </c>
      <c r="AI70" s="75">
        <v>19.396623999999999</v>
      </c>
      <c r="AJ70" s="75">
        <v>19.402521</v>
      </c>
      <c r="AK70" s="73">
        <v>2.5799999999999998E-4</v>
      </c>
    </row>
    <row r="71" spans="1:37" ht="15" customHeight="1">
      <c r="A71" s="67" t="s">
        <v>168</v>
      </c>
      <c r="B71" s="71" t="s">
        <v>148</v>
      </c>
      <c r="C71" s="75">
        <v>22.116496999999999</v>
      </c>
      <c r="D71" s="75">
        <v>23.789541</v>
      </c>
      <c r="E71" s="75">
        <v>23.796752999999999</v>
      </c>
      <c r="F71" s="75">
        <v>23.826194999999998</v>
      </c>
      <c r="G71" s="75">
        <v>23.907088999999999</v>
      </c>
      <c r="H71" s="75">
        <v>23.930762999999999</v>
      </c>
      <c r="I71" s="75">
        <v>23.957257999999999</v>
      </c>
      <c r="J71" s="75">
        <v>23.986702000000001</v>
      </c>
      <c r="K71" s="75">
        <v>24.019024000000002</v>
      </c>
      <c r="L71" s="75">
        <v>24.054967999999999</v>
      </c>
      <c r="M71" s="75">
        <v>24.094473000000001</v>
      </c>
      <c r="N71" s="75">
        <v>24.137136000000002</v>
      </c>
      <c r="O71" s="75">
        <v>24.18609</v>
      </c>
      <c r="P71" s="75">
        <v>24.239874</v>
      </c>
      <c r="Q71" s="75">
        <v>24.258429</v>
      </c>
      <c r="R71" s="75">
        <v>24.257082</v>
      </c>
      <c r="S71" s="75">
        <v>24.255732999999999</v>
      </c>
      <c r="T71" s="75">
        <v>24.254387000000001</v>
      </c>
      <c r="U71" s="75">
        <v>24.253038</v>
      </c>
      <c r="V71" s="75">
        <v>24.25169</v>
      </c>
      <c r="W71" s="75">
        <v>24.250340999999999</v>
      </c>
      <c r="X71" s="75">
        <v>24.248991</v>
      </c>
      <c r="Y71" s="75">
        <v>24.247643</v>
      </c>
      <c r="Z71" s="75">
        <v>24.246292</v>
      </c>
      <c r="AA71" s="75">
        <v>24.244942000000002</v>
      </c>
      <c r="AB71" s="75">
        <v>24.243590999999999</v>
      </c>
      <c r="AC71" s="75">
        <v>24.242241</v>
      </c>
      <c r="AD71" s="75">
        <v>24.240888999999999</v>
      </c>
      <c r="AE71" s="75">
        <v>24.239538</v>
      </c>
      <c r="AF71" s="75">
        <v>24.238185999999999</v>
      </c>
      <c r="AG71" s="75">
        <v>24.236834000000002</v>
      </c>
      <c r="AH71" s="75">
        <v>24.235481</v>
      </c>
      <c r="AI71" s="75">
        <v>24.234128999999999</v>
      </c>
      <c r="AJ71" s="75">
        <v>24.232776999999999</v>
      </c>
      <c r="AK71" s="73">
        <v>5.7700000000000004E-4</v>
      </c>
    </row>
    <row r="72" spans="1:37" ht="15" customHeight="1">
      <c r="A72" s="67" t="s">
        <v>169</v>
      </c>
      <c r="B72" s="71" t="s">
        <v>150</v>
      </c>
      <c r="C72" s="75">
        <v>26.218889000000001</v>
      </c>
      <c r="D72" s="75">
        <v>25.447502</v>
      </c>
      <c r="E72" s="75">
        <v>25.630147999999998</v>
      </c>
      <c r="F72" s="75">
        <v>25.765919</v>
      </c>
      <c r="G72" s="75">
        <v>26.388355000000001</v>
      </c>
      <c r="H72" s="75">
        <v>26.396355</v>
      </c>
      <c r="I72" s="75">
        <v>26.389751</v>
      </c>
      <c r="J72" s="75">
        <v>26.391817</v>
      </c>
      <c r="K72" s="75">
        <v>26.385069000000001</v>
      </c>
      <c r="L72" s="75">
        <v>26.391817</v>
      </c>
      <c r="M72" s="75">
        <v>26.385069000000001</v>
      </c>
      <c r="N72" s="75">
        <v>26.175567999999998</v>
      </c>
      <c r="O72" s="75">
        <v>26.169689000000002</v>
      </c>
      <c r="P72" s="75">
        <v>25.926773000000001</v>
      </c>
      <c r="Q72" s="75">
        <v>25.745951000000002</v>
      </c>
      <c r="R72" s="75">
        <v>25.671246</v>
      </c>
      <c r="S72" s="75">
        <v>25.497976000000001</v>
      </c>
      <c r="T72" s="75">
        <v>25.343997999999999</v>
      </c>
      <c r="U72" s="75">
        <v>25.256226000000002</v>
      </c>
      <c r="V72" s="75">
        <v>25.173838</v>
      </c>
      <c r="W72" s="75">
        <v>25.175093</v>
      </c>
      <c r="X72" s="75">
        <v>25.077670999999999</v>
      </c>
      <c r="Y72" s="75">
        <v>24.968132000000001</v>
      </c>
      <c r="Z72" s="75">
        <v>24.865974000000001</v>
      </c>
      <c r="AA72" s="75">
        <v>24.881556</v>
      </c>
      <c r="AB72" s="75">
        <v>24.859068000000001</v>
      </c>
      <c r="AC72" s="75">
        <v>24.773596000000001</v>
      </c>
      <c r="AD72" s="75">
        <v>24.759015999999999</v>
      </c>
      <c r="AE72" s="75">
        <v>24.856954999999999</v>
      </c>
      <c r="AF72" s="75">
        <v>24.625306999999999</v>
      </c>
      <c r="AG72" s="75">
        <v>24.423266999999999</v>
      </c>
      <c r="AH72" s="75">
        <v>24.423266999999999</v>
      </c>
      <c r="AI72" s="75">
        <v>24.423266999999999</v>
      </c>
      <c r="AJ72" s="75">
        <v>24.423266999999999</v>
      </c>
      <c r="AK72" s="73">
        <v>-1.2830000000000001E-3</v>
      </c>
    </row>
    <row r="73" spans="1:37" ht="15" customHeight="1">
      <c r="A73" s="67" t="s">
        <v>170</v>
      </c>
      <c r="B73" s="71" t="s">
        <v>171</v>
      </c>
      <c r="C73" s="75">
        <v>0</v>
      </c>
      <c r="D73" s="75">
        <v>0</v>
      </c>
      <c r="E73" s="75">
        <v>0</v>
      </c>
      <c r="F73" s="75">
        <v>0</v>
      </c>
      <c r="G73" s="75">
        <v>0</v>
      </c>
      <c r="H73" s="75">
        <v>0</v>
      </c>
      <c r="I73" s="75">
        <v>0</v>
      </c>
      <c r="J73" s="75">
        <v>0</v>
      </c>
      <c r="K73" s="75">
        <v>0</v>
      </c>
      <c r="L73" s="75">
        <v>0</v>
      </c>
      <c r="M73" s="75">
        <v>0</v>
      </c>
      <c r="N73" s="75">
        <v>0</v>
      </c>
      <c r="O73" s="75">
        <v>0</v>
      </c>
      <c r="P73" s="75">
        <v>0</v>
      </c>
      <c r="Q73" s="75">
        <v>0</v>
      </c>
      <c r="R73" s="75">
        <v>0</v>
      </c>
      <c r="S73" s="75">
        <v>0</v>
      </c>
      <c r="T73" s="75">
        <v>0</v>
      </c>
      <c r="U73" s="75">
        <v>0</v>
      </c>
      <c r="V73" s="75">
        <v>0</v>
      </c>
      <c r="W73" s="75">
        <v>0</v>
      </c>
      <c r="X73" s="75">
        <v>0</v>
      </c>
      <c r="Y73" s="75">
        <v>0</v>
      </c>
      <c r="Z73" s="75">
        <v>0</v>
      </c>
      <c r="AA73" s="75">
        <v>0</v>
      </c>
      <c r="AB73" s="75">
        <v>0</v>
      </c>
      <c r="AC73" s="75">
        <v>0</v>
      </c>
      <c r="AD73" s="75">
        <v>0</v>
      </c>
      <c r="AE73" s="75">
        <v>0</v>
      </c>
      <c r="AF73" s="75">
        <v>0</v>
      </c>
      <c r="AG73" s="75">
        <v>0</v>
      </c>
      <c r="AH73" s="75">
        <v>0</v>
      </c>
      <c r="AI73" s="75">
        <v>0</v>
      </c>
      <c r="AJ73" s="75">
        <v>0</v>
      </c>
      <c r="AK73" s="73" t="s">
        <v>172</v>
      </c>
    </row>
    <row r="74" spans="1:37" ht="15" customHeight="1">
      <c r="A74" s="67" t="s">
        <v>173</v>
      </c>
      <c r="B74" s="71" t="s">
        <v>174</v>
      </c>
      <c r="C74" s="75">
        <v>12.941471999999999</v>
      </c>
      <c r="D74" s="75">
        <v>11.314271</v>
      </c>
      <c r="E74" s="75">
        <v>11.31427</v>
      </c>
      <c r="F74" s="75">
        <v>11.31427</v>
      </c>
      <c r="G74" s="75">
        <v>11.31427</v>
      </c>
      <c r="H74" s="75">
        <v>11.31427</v>
      </c>
      <c r="I74" s="75">
        <v>11.31427</v>
      </c>
      <c r="J74" s="75">
        <v>11.31427</v>
      </c>
      <c r="K74" s="75">
        <v>11.314271</v>
      </c>
      <c r="L74" s="75">
        <v>11.314271</v>
      </c>
      <c r="M74" s="75">
        <v>11.31427</v>
      </c>
      <c r="N74" s="75">
        <v>11.31427</v>
      </c>
      <c r="O74" s="75">
        <v>11.31427</v>
      </c>
      <c r="P74" s="75">
        <v>11.314271</v>
      </c>
      <c r="Q74" s="75">
        <v>11.314271</v>
      </c>
      <c r="R74" s="75">
        <v>11.31427</v>
      </c>
      <c r="S74" s="75">
        <v>11.31427</v>
      </c>
      <c r="T74" s="75">
        <v>11.31427</v>
      </c>
      <c r="U74" s="75">
        <v>11.314271</v>
      </c>
      <c r="V74" s="75">
        <v>11.31427</v>
      </c>
      <c r="W74" s="75">
        <v>11.31427</v>
      </c>
      <c r="X74" s="75">
        <v>11.314271</v>
      </c>
      <c r="Y74" s="75">
        <v>11.314271</v>
      </c>
      <c r="Z74" s="75">
        <v>11.31427</v>
      </c>
      <c r="AA74" s="75">
        <v>11.314271</v>
      </c>
      <c r="AB74" s="75">
        <v>11.314271</v>
      </c>
      <c r="AC74" s="75">
        <v>11.31427</v>
      </c>
      <c r="AD74" s="75">
        <v>11.314271</v>
      </c>
      <c r="AE74" s="75">
        <v>11.31427</v>
      </c>
      <c r="AF74" s="75">
        <v>11.31427</v>
      </c>
      <c r="AG74" s="75">
        <v>11.31427</v>
      </c>
      <c r="AH74" s="75">
        <v>11.314271</v>
      </c>
      <c r="AI74" s="75">
        <v>11.314271</v>
      </c>
      <c r="AJ74" s="75">
        <v>11.314271</v>
      </c>
      <c r="AK74" s="73">
        <v>0</v>
      </c>
    </row>
    <row r="76" spans="1:37" ht="15" customHeight="1">
      <c r="A76" s="67" t="s">
        <v>175</v>
      </c>
      <c r="B76" s="70" t="s">
        <v>176</v>
      </c>
      <c r="C76" s="76">
        <v>3412</v>
      </c>
      <c r="D76" s="76">
        <v>3412</v>
      </c>
      <c r="E76" s="76">
        <v>3412</v>
      </c>
      <c r="F76" s="76">
        <v>3412</v>
      </c>
      <c r="G76" s="76">
        <v>3412</v>
      </c>
      <c r="H76" s="76">
        <v>3412</v>
      </c>
      <c r="I76" s="76">
        <v>3412</v>
      </c>
      <c r="J76" s="76">
        <v>3412</v>
      </c>
      <c r="K76" s="76">
        <v>3412</v>
      </c>
      <c r="L76" s="76">
        <v>3412</v>
      </c>
      <c r="M76" s="76">
        <v>3412</v>
      </c>
      <c r="N76" s="76">
        <v>3412</v>
      </c>
      <c r="O76" s="76">
        <v>3412</v>
      </c>
      <c r="P76" s="76">
        <v>3412</v>
      </c>
      <c r="Q76" s="76">
        <v>3412</v>
      </c>
      <c r="R76" s="76">
        <v>3412</v>
      </c>
      <c r="S76" s="76">
        <v>3412</v>
      </c>
      <c r="T76" s="76">
        <v>3412</v>
      </c>
      <c r="U76" s="76">
        <v>3412</v>
      </c>
      <c r="V76" s="76">
        <v>3412</v>
      </c>
      <c r="W76" s="76">
        <v>3412</v>
      </c>
      <c r="X76" s="76">
        <v>3412</v>
      </c>
      <c r="Y76" s="76">
        <v>3412</v>
      </c>
      <c r="Z76" s="76">
        <v>3412</v>
      </c>
      <c r="AA76" s="76">
        <v>3412</v>
      </c>
      <c r="AB76" s="76">
        <v>3412</v>
      </c>
      <c r="AC76" s="76">
        <v>3412</v>
      </c>
      <c r="AD76" s="76">
        <v>3412</v>
      </c>
      <c r="AE76" s="76">
        <v>3412</v>
      </c>
      <c r="AF76" s="76">
        <v>3412</v>
      </c>
      <c r="AG76" s="76">
        <v>3412</v>
      </c>
      <c r="AH76" s="76">
        <v>3412</v>
      </c>
      <c r="AI76" s="76">
        <v>3412</v>
      </c>
      <c r="AJ76" s="76">
        <v>3412</v>
      </c>
      <c r="AK76" s="77">
        <v>0</v>
      </c>
    </row>
    <row r="77" spans="1:37" ht="15" customHeight="1" thickBot="1"/>
    <row r="78" spans="1:37" ht="15" customHeight="1">
      <c r="B78" s="82" t="s">
        <v>177</v>
      </c>
      <c r="C78" s="82"/>
      <c r="D78" s="82"/>
      <c r="E78" s="82"/>
      <c r="F78" s="82"/>
      <c r="G78" s="82"/>
      <c r="H78" s="82"/>
      <c r="I78" s="82"/>
      <c r="J78" s="82"/>
      <c r="K78" s="82"/>
      <c r="L78" s="82"/>
      <c r="M78" s="82"/>
      <c r="N78" s="82"/>
      <c r="O78" s="82"/>
      <c r="P78" s="82"/>
      <c r="Q78" s="82"/>
      <c r="R78" s="82"/>
      <c r="S78" s="82"/>
      <c r="T78" s="82"/>
      <c r="U78" s="82"/>
      <c r="V78" s="82"/>
      <c r="W78" s="82"/>
      <c r="X78" s="82"/>
      <c r="Y78" s="82"/>
      <c r="Z78" s="82"/>
      <c r="AA78" s="82"/>
      <c r="AB78" s="82"/>
      <c r="AC78" s="82"/>
      <c r="AD78" s="82"/>
      <c r="AE78" s="82"/>
      <c r="AF78" s="82"/>
      <c r="AG78" s="82"/>
      <c r="AH78" s="82"/>
      <c r="AI78" s="82"/>
      <c r="AJ78" s="82"/>
      <c r="AK78" s="82"/>
    </row>
    <row r="79" spans="1:37" ht="15" customHeight="1">
      <c r="B79" s="78" t="s">
        <v>178</v>
      </c>
    </row>
    <row r="80" spans="1:37" ht="15" customHeight="1">
      <c r="B80" s="78" t="s">
        <v>179</v>
      </c>
    </row>
    <row r="81" spans="2:2" ht="15" customHeight="1">
      <c r="B81" s="78" t="s">
        <v>180</v>
      </c>
    </row>
    <row r="82" spans="2:2" ht="15" customHeight="1">
      <c r="B82" s="78" t="s">
        <v>181</v>
      </c>
    </row>
    <row r="83" spans="2:2" ht="15" customHeight="1">
      <c r="B83" s="78" t="s">
        <v>182</v>
      </c>
    </row>
    <row r="84" spans="2:2" ht="15" customHeight="1">
      <c r="B84" s="78" t="s">
        <v>183</v>
      </c>
    </row>
    <row r="85" spans="2:2" ht="15" customHeight="1">
      <c r="B85" s="78" t="s">
        <v>184</v>
      </c>
    </row>
  </sheetData>
  <mergeCells count="1">
    <mergeCell ref="B78:AK78"/>
  </mergeCells>
  <pageMargins left="0.75" right="0.75" top="1" bottom="1" header="0.5" footer="0.5"/>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4" sqref="J4"/>
    </sheetView>
  </sheetViews>
  <sheetFormatPr defaultColWidth="8.85546875" defaultRowHeight="15"/>
  <cols>
    <col min="9" max="9" width="28.7109375" customWidth="1"/>
  </cols>
  <sheetData>
    <row r="1" spans="1:10">
      <c r="A1" t="s">
        <v>185</v>
      </c>
    </row>
    <row r="3" spans="1:10" ht="32.1">
      <c r="A3" s="80" t="s">
        <v>186</v>
      </c>
      <c r="B3" s="83"/>
      <c r="C3" s="83"/>
      <c r="D3" s="83"/>
      <c r="E3" s="83"/>
      <c r="I3" s="62" t="s">
        <v>187</v>
      </c>
      <c r="J3">
        <f>1-J8</f>
        <v>7.2894654417960836E-2</v>
      </c>
    </row>
    <row r="4" spans="1:10" ht="27">
      <c r="A4" s="54"/>
      <c r="B4" s="55" t="s">
        <v>188</v>
      </c>
      <c r="C4" s="55" t="s">
        <v>189</v>
      </c>
      <c r="D4" s="55" t="s">
        <v>188</v>
      </c>
      <c r="E4" s="55" t="s">
        <v>189</v>
      </c>
      <c r="I4" s="62"/>
    </row>
    <row r="5" spans="1:10" ht="54" thickBot="1">
      <c r="A5" s="56" t="s">
        <v>190</v>
      </c>
      <c r="B5" s="57" t="s">
        <v>191</v>
      </c>
      <c r="C5" s="57" t="s">
        <v>191</v>
      </c>
      <c r="D5" s="57" t="s">
        <v>192</v>
      </c>
      <c r="E5" s="57" t="s">
        <v>192</v>
      </c>
      <c r="I5" s="62" t="s">
        <v>193</v>
      </c>
      <c r="J5">
        <f>'AEO Table 73'!C32</f>
        <v>5.0566430000000002</v>
      </c>
    </row>
    <row r="6" spans="1:10" ht="33.950000000000003" thickTop="1" thickBot="1">
      <c r="A6" s="81" t="s">
        <v>194</v>
      </c>
      <c r="B6" s="81"/>
      <c r="C6" s="81"/>
      <c r="D6" s="81"/>
      <c r="E6" s="81"/>
      <c r="I6" s="62" t="s">
        <v>195</v>
      </c>
      <c r="J6">
        <f>'AEO Table 73'!C35</f>
        <v>5.2222799999999996</v>
      </c>
    </row>
    <row r="7" spans="1:10" ht="27" thickBot="1">
      <c r="A7" s="58" t="s">
        <v>196</v>
      </c>
      <c r="B7" s="59" t="s">
        <v>197</v>
      </c>
      <c r="C7" s="59" t="s">
        <v>198</v>
      </c>
      <c r="D7" s="59">
        <v>138.63</v>
      </c>
      <c r="E7" s="59">
        <v>62.88</v>
      </c>
      <c r="I7" s="62" t="s">
        <v>199</v>
      </c>
      <c r="J7">
        <f>J6*(1-'EIA-fuel-ethanol-motor-gasoline'!C47/100)</f>
        <v>4.6880407559999995</v>
      </c>
    </row>
    <row r="8" spans="1:10" ht="78.95" thickBot="1">
      <c r="A8" s="58" t="s">
        <v>200</v>
      </c>
      <c r="B8" s="59" t="s">
        <v>201</v>
      </c>
      <c r="C8" s="59" t="s">
        <v>202</v>
      </c>
      <c r="D8" s="59">
        <v>163.44999999999999</v>
      </c>
      <c r="E8" s="59">
        <v>74.14</v>
      </c>
      <c r="I8" s="62" t="s">
        <v>203</v>
      </c>
      <c r="J8">
        <f>J7/J5</f>
        <v>0.92710534558203916</v>
      </c>
    </row>
    <row r="9" spans="1:10" ht="27" thickBot="1">
      <c r="A9" s="58" t="s">
        <v>204</v>
      </c>
      <c r="B9" s="59" t="s">
        <v>205</v>
      </c>
      <c r="C9" s="59" t="s">
        <v>206</v>
      </c>
      <c r="D9" s="59">
        <v>161.35</v>
      </c>
      <c r="E9" s="59">
        <v>73.19</v>
      </c>
      <c r="I9" s="62"/>
    </row>
    <row r="10" spans="1:10" ht="27" thickBot="1">
      <c r="A10" s="58" t="s">
        <v>207</v>
      </c>
      <c r="B10" s="59" t="s">
        <v>208</v>
      </c>
      <c r="C10" s="59" t="s">
        <v>209</v>
      </c>
      <c r="D10" s="59">
        <v>211.47</v>
      </c>
      <c r="E10" s="59">
        <v>95.92</v>
      </c>
    </row>
    <row r="11" spans="1:10" ht="39.950000000000003" thickBot="1">
      <c r="A11" s="58" t="s">
        <v>210</v>
      </c>
      <c r="B11" s="59" t="s">
        <v>211</v>
      </c>
      <c r="C11" s="59" t="s">
        <v>212</v>
      </c>
      <c r="D11" s="59">
        <v>116.65</v>
      </c>
      <c r="E11" s="59">
        <v>52.91</v>
      </c>
    </row>
    <row r="12" spans="1:10" ht="41.1" thickBot="1">
      <c r="A12" s="58" t="s">
        <v>213</v>
      </c>
      <c r="B12" s="59" t="s">
        <v>214</v>
      </c>
      <c r="C12" s="59" t="s">
        <v>215</v>
      </c>
      <c r="D12" s="59">
        <v>148.57</v>
      </c>
      <c r="E12" s="59">
        <v>67.39</v>
      </c>
    </row>
    <row r="13" spans="1:10" ht="27" thickBot="1">
      <c r="A13" s="58" t="s">
        <v>216</v>
      </c>
      <c r="B13" s="59" t="s">
        <v>217</v>
      </c>
      <c r="C13" s="59" t="s">
        <v>218</v>
      </c>
      <c r="D13" s="59">
        <v>155.77000000000001</v>
      </c>
      <c r="E13" s="59">
        <v>70.66</v>
      </c>
    </row>
    <row r="14" spans="1:10" ht="66" thickBot="1">
      <c r="A14" s="58" t="s">
        <v>219</v>
      </c>
      <c r="B14" s="59" t="s">
        <v>220</v>
      </c>
      <c r="C14" s="59" t="s">
        <v>221</v>
      </c>
      <c r="D14" s="59">
        <v>165.55</v>
      </c>
      <c r="E14" s="59">
        <v>75.09</v>
      </c>
    </row>
    <row r="15" spans="1:10" ht="15.95" thickBot="1">
      <c r="A15" s="79" t="s">
        <v>222</v>
      </c>
      <c r="B15" s="79"/>
      <c r="C15" s="79"/>
      <c r="D15" s="79"/>
      <c r="E15" s="79"/>
    </row>
    <row r="16" spans="1:10" ht="27" thickBot="1">
      <c r="A16" s="58" t="s">
        <v>223</v>
      </c>
      <c r="B16" s="59" t="s">
        <v>224</v>
      </c>
      <c r="C16" s="59" t="s">
        <v>225</v>
      </c>
      <c r="D16" s="59">
        <v>159.25</v>
      </c>
      <c r="E16" s="59">
        <v>72.23</v>
      </c>
    </row>
    <row r="17" spans="1:5" ht="27" thickBot="1">
      <c r="A17" s="58" t="s">
        <v>226</v>
      </c>
      <c r="B17" s="59" t="s">
        <v>227</v>
      </c>
      <c r="C17" s="59" t="s">
        <v>228</v>
      </c>
      <c r="D17" s="59">
        <v>152.46</v>
      </c>
      <c r="E17" s="59">
        <v>69.150000000000006</v>
      </c>
    </row>
    <row r="18" spans="1:5" ht="15.95" thickBot="1">
      <c r="A18" s="79" t="s">
        <v>229</v>
      </c>
      <c r="B18" s="79"/>
      <c r="C18" s="79"/>
      <c r="D18" s="79"/>
      <c r="E18" s="79"/>
    </row>
    <row r="19" spans="1:5" ht="27" thickBot="1">
      <c r="A19" s="58" t="s">
        <v>230</v>
      </c>
      <c r="B19" s="59" t="s">
        <v>231</v>
      </c>
      <c r="C19" s="59" t="s">
        <v>232</v>
      </c>
      <c r="D19" s="59">
        <v>225.13</v>
      </c>
      <c r="E19" s="59">
        <v>102.12</v>
      </c>
    </row>
    <row r="20" spans="1:5" ht="15.95" thickBot="1">
      <c r="A20" s="79" t="s">
        <v>233</v>
      </c>
      <c r="B20" s="79"/>
      <c r="C20" s="79"/>
      <c r="D20" s="79"/>
      <c r="E20" s="79"/>
    </row>
    <row r="21" spans="1:5" ht="39.950000000000003" thickBot="1">
      <c r="A21" s="58" t="s">
        <v>234</v>
      </c>
      <c r="B21" s="59" t="s">
        <v>235</v>
      </c>
      <c r="C21" s="59" t="s">
        <v>236</v>
      </c>
      <c r="D21" s="59">
        <v>166.12</v>
      </c>
      <c r="E21" s="59">
        <v>75.349999999999994</v>
      </c>
    </row>
    <row r="22" spans="1:5" ht="27" thickBot="1">
      <c r="A22" s="58" t="s">
        <v>237</v>
      </c>
      <c r="B22" s="59" t="s">
        <v>238</v>
      </c>
      <c r="C22" s="59" t="s">
        <v>239</v>
      </c>
      <c r="D22" s="59">
        <v>163.29</v>
      </c>
      <c r="E22" s="59">
        <v>74.069999999999993</v>
      </c>
    </row>
    <row r="23" spans="1:5" ht="78.95" thickBot="1">
      <c r="A23" s="58" t="s">
        <v>240</v>
      </c>
      <c r="B23" s="59" t="s">
        <v>241</v>
      </c>
      <c r="C23" s="59" t="s">
        <v>242</v>
      </c>
      <c r="D23" s="59">
        <v>149.94999999999999</v>
      </c>
      <c r="E23" s="59">
        <v>68.02</v>
      </c>
    </row>
    <row r="24" spans="1:5" ht="78.95" thickBot="1">
      <c r="A24" s="58" t="s">
        <v>243</v>
      </c>
      <c r="B24" s="59" t="s">
        <v>244</v>
      </c>
      <c r="C24" s="59" t="s">
        <v>245</v>
      </c>
      <c r="D24" s="59">
        <v>163.05000000000001</v>
      </c>
      <c r="E24" s="59">
        <v>73.959999999999994</v>
      </c>
    </row>
    <row r="25" spans="1:5" ht="39.950000000000003" thickBot="1">
      <c r="A25" s="58" t="s">
        <v>246</v>
      </c>
      <c r="B25" s="59" t="s">
        <v>247</v>
      </c>
      <c r="C25" s="59" t="s">
        <v>248</v>
      </c>
      <c r="D25" s="59">
        <v>159.57</v>
      </c>
      <c r="E25" s="59">
        <v>72.38</v>
      </c>
    </row>
    <row r="26" spans="1:5" ht="27" thickBot="1">
      <c r="A26" s="58" t="s">
        <v>249</v>
      </c>
      <c r="B26" s="59" t="s">
        <v>250</v>
      </c>
      <c r="C26" s="59" t="s">
        <v>251</v>
      </c>
      <c r="D26" s="59">
        <v>160.06</v>
      </c>
      <c r="E26" s="59">
        <v>72.599999999999994</v>
      </c>
    </row>
    <row r="27" spans="1:5" ht="15.95" thickBot="1">
      <c r="A27" s="79" t="s">
        <v>252</v>
      </c>
      <c r="B27" s="79"/>
      <c r="C27" s="79"/>
      <c r="D27" s="79"/>
      <c r="E27" s="79"/>
    </row>
    <row r="28" spans="1:5" ht="27" thickBot="1">
      <c r="A28" s="58" t="s">
        <v>253</v>
      </c>
      <c r="B28" s="59" t="s">
        <v>254</v>
      </c>
      <c r="C28" s="59" t="s">
        <v>255</v>
      </c>
      <c r="D28" s="59">
        <v>228.6</v>
      </c>
      <c r="E28" s="59">
        <v>103.69</v>
      </c>
    </row>
    <row r="29" spans="1:5" ht="27" thickBot="1">
      <c r="A29" s="58" t="s">
        <v>256</v>
      </c>
      <c r="B29" s="59" t="s">
        <v>257</v>
      </c>
      <c r="C29" s="59" t="s">
        <v>258</v>
      </c>
      <c r="D29" s="59">
        <v>205.57</v>
      </c>
      <c r="E29" s="59">
        <v>93.24</v>
      </c>
    </row>
    <row r="30" spans="1:5" ht="27" thickBot="1">
      <c r="A30" s="58" t="s">
        <v>259</v>
      </c>
      <c r="B30" s="59" t="s">
        <v>260</v>
      </c>
      <c r="C30" s="59" t="s">
        <v>261</v>
      </c>
      <c r="D30" s="59">
        <v>214.13</v>
      </c>
      <c r="E30" s="59">
        <v>97.13</v>
      </c>
    </row>
    <row r="31" spans="1:5" ht="27" thickBot="1">
      <c r="A31" s="58" t="s">
        <v>262</v>
      </c>
      <c r="B31" s="59" t="s">
        <v>263</v>
      </c>
      <c r="C31" s="59" t="s">
        <v>264</v>
      </c>
      <c r="D31" s="59">
        <v>216.64</v>
      </c>
      <c r="E31" s="59">
        <v>98.27</v>
      </c>
    </row>
    <row r="32" spans="1:5" ht="27" thickBot="1">
      <c r="A32" s="58" t="s">
        <v>265</v>
      </c>
      <c r="B32" s="59" t="s">
        <v>266</v>
      </c>
      <c r="C32" s="59" t="s">
        <v>267</v>
      </c>
      <c r="D32" s="59">
        <v>250.59</v>
      </c>
      <c r="E32" s="59">
        <v>113.67</v>
      </c>
    </row>
    <row r="33" spans="1:5" ht="15.95" thickBot="1">
      <c r="A33" s="79" t="s">
        <v>268</v>
      </c>
      <c r="B33" s="79"/>
      <c r="C33" s="79"/>
      <c r="D33" s="79"/>
      <c r="E33" s="79"/>
    </row>
    <row r="34" spans="1:5" ht="27" thickBot="1">
      <c r="A34" s="58" t="s">
        <v>269</v>
      </c>
      <c r="B34" s="59" t="s">
        <v>270</v>
      </c>
      <c r="C34" s="59" t="s">
        <v>270</v>
      </c>
      <c r="D34" s="59">
        <v>26.03</v>
      </c>
      <c r="E34" s="59">
        <v>11.81</v>
      </c>
    </row>
    <row r="35" spans="1:5" ht="39.950000000000003" thickBot="1">
      <c r="A35" s="58" t="s">
        <v>271</v>
      </c>
      <c r="B35" s="59" t="s">
        <v>270</v>
      </c>
      <c r="C35" s="59" t="s">
        <v>270</v>
      </c>
      <c r="D35" s="59">
        <v>0</v>
      </c>
      <c r="E35" s="59">
        <v>0</v>
      </c>
    </row>
    <row r="36" spans="1:5" ht="41.1" thickBot="1">
      <c r="A36" s="58" t="s">
        <v>272</v>
      </c>
      <c r="B36" s="59" t="s">
        <v>273</v>
      </c>
      <c r="C36" s="59" t="s">
        <v>274</v>
      </c>
      <c r="D36" s="59">
        <v>109.98</v>
      </c>
      <c r="E36" s="59">
        <v>49.89</v>
      </c>
    </row>
    <row r="37" spans="1:5" ht="41.1" thickBot="1">
      <c r="A37" s="58" t="s">
        <v>275</v>
      </c>
      <c r="B37" s="59" t="s">
        <v>276</v>
      </c>
      <c r="C37" s="59" t="s">
        <v>277</v>
      </c>
      <c r="D37" s="59">
        <v>189.53</v>
      </c>
      <c r="E37" s="59">
        <v>85.97</v>
      </c>
    </row>
    <row r="38" spans="1:5" ht="26.1">
      <c r="A38" s="60" t="s">
        <v>278</v>
      </c>
      <c r="B38" s="61" t="s">
        <v>279</v>
      </c>
      <c r="C38" s="61" t="s">
        <v>280</v>
      </c>
      <c r="D38" s="61">
        <v>163.13999999999999</v>
      </c>
      <c r="E38" s="61">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ColWidth="8.85546875" defaultRowHeight="15"/>
  <cols>
    <col min="1" max="1" width="21.42578125" hidden="1" customWidth="1"/>
    <col min="2" max="2" width="46.7109375" customWidth="1"/>
  </cols>
  <sheetData>
    <row r="1" spans="1:33" ht="15" customHeight="1" thickBot="1">
      <c r="A1" s="30"/>
      <c r="B1" s="31" t="s">
        <v>281</v>
      </c>
      <c r="C1" s="32">
        <v>2022</v>
      </c>
      <c r="D1" s="32">
        <v>2023</v>
      </c>
      <c r="E1" s="32">
        <v>2024</v>
      </c>
      <c r="F1" s="32">
        <v>2025</v>
      </c>
      <c r="G1" s="32">
        <v>2026</v>
      </c>
      <c r="H1" s="32">
        <v>2027</v>
      </c>
      <c r="I1" s="32">
        <v>2028</v>
      </c>
      <c r="J1" s="32">
        <v>2029</v>
      </c>
      <c r="K1" s="32">
        <v>2030</v>
      </c>
      <c r="L1" s="32">
        <v>2031</v>
      </c>
      <c r="M1" s="32">
        <v>2032</v>
      </c>
      <c r="N1" s="32">
        <v>2033</v>
      </c>
      <c r="O1" s="32">
        <v>2034</v>
      </c>
      <c r="P1" s="32">
        <v>2035</v>
      </c>
      <c r="Q1" s="32">
        <v>2036</v>
      </c>
      <c r="R1" s="32">
        <v>2037</v>
      </c>
      <c r="S1" s="32">
        <v>2038</v>
      </c>
      <c r="T1" s="32">
        <v>2039</v>
      </c>
      <c r="U1" s="32">
        <v>2040</v>
      </c>
      <c r="V1" s="32">
        <v>2041</v>
      </c>
      <c r="W1" s="32">
        <v>2042</v>
      </c>
      <c r="X1" s="32">
        <v>2043</v>
      </c>
      <c r="Y1" s="32">
        <v>2044</v>
      </c>
      <c r="Z1" s="32">
        <v>2045</v>
      </c>
      <c r="AA1" s="32">
        <v>2046</v>
      </c>
      <c r="AB1" s="32">
        <v>2047</v>
      </c>
      <c r="AC1" s="32">
        <v>2048</v>
      </c>
      <c r="AD1" s="32">
        <v>2049</v>
      </c>
      <c r="AE1" s="32">
        <v>2050</v>
      </c>
      <c r="AF1" s="30"/>
      <c r="AG1" s="30"/>
    </row>
    <row r="2" spans="1:33" ht="15" customHeight="1" thickTop="1">
      <c r="A2" s="30"/>
      <c r="B2" s="30"/>
      <c r="C2" s="30"/>
      <c r="D2" s="30"/>
      <c r="E2" s="30"/>
      <c r="F2" s="30"/>
      <c r="G2" s="30"/>
      <c r="H2" s="30"/>
      <c r="I2" s="30"/>
      <c r="J2" s="30"/>
      <c r="K2" s="30"/>
      <c r="L2" s="30"/>
      <c r="M2" s="30"/>
      <c r="N2" s="30"/>
      <c r="O2" s="30"/>
      <c r="P2" s="30"/>
      <c r="Q2" s="30"/>
      <c r="R2" s="30"/>
      <c r="S2" s="30"/>
      <c r="T2" s="30"/>
      <c r="U2" s="30"/>
      <c r="V2" s="30"/>
      <c r="W2" s="30"/>
      <c r="X2" s="30"/>
      <c r="Y2" s="30"/>
      <c r="Z2" s="30"/>
      <c r="AA2" s="30"/>
      <c r="AB2" s="30"/>
      <c r="AC2" s="30"/>
      <c r="AD2" s="30"/>
      <c r="AE2" s="30"/>
      <c r="AF2" s="30"/>
      <c r="AG2" s="30"/>
    </row>
    <row r="3" spans="1:33" ht="15" customHeight="1">
      <c r="A3" s="30"/>
      <c r="B3" s="30"/>
      <c r="C3" s="84" t="s">
        <v>51</v>
      </c>
      <c r="D3" s="84" t="s">
        <v>282</v>
      </c>
      <c r="E3" s="35"/>
      <c r="F3" s="35"/>
      <c r="G3" s="35"/>
      <c r="H3" s="30"/>
      <c r="I3" s="30"/>
      <c r="J3" s="30"/>
      <c r="K3" s="30"/>
      <c r="L3" s="30"/>
      <c r="M3" s="30"/>
      <c r="N3" s="30"/>
      <c r="O3" s="30"/>
      <c r="P3" s="30"/>
      <c r="Q3" s="30"/>
      <c r="R3" s="30"/>
      <c r="S3" s="30"/>
      <c r="T3" s="30"/>
      <c r="U3" s="30"/>
      <c r="V3" s="30"/>
      <c r="W3" s="30"/>
      <c r="X3" s="30"/>
      <c r="Y3" s="30"/>
      <c r="Z3" s="30"/>
      <c r="AA3" s="30"/>
      <c r="AB3" s="30"/>
      <c r="AC3" s="30"/>
      <c r="AD3" s="30"/>
      <c r="AE3" s="30"/>
      <c r="AF3" s="30"/>
      <c r="AG3" s="30"/>
    </row>
    <row r="4" spans="1:33" ht="15" customHeight="1">
      <c r="A4" s="30"/>
      <c r="B4" s="30"/>
      <c r="C4" s="84" t="s">
        <v>53</v>
      </c>
      <c r="D4" s="84" t="s">
        <v>283</v>
      </c>
      <c r="E4" s="35"/>
      <c r="F4" s="35"/>
      <c r="G4" s="84" t="s">
        <v>284</v>
      </c>
      <c r="H4" s="30"/>
      <c r="I4" s="30"/>
      <c r="J4" s="30"/>
      <c r="K4" s="30"/>
      <c r="L4" s="30"/>
      <c r="M4" s="30"/>
      <c r="N4" s="30"/>
      <c r="O4" s="30"/>
      <c r="P4" s="30"/>
      <c r="Q4" s="30"/>
      <c r="R4" s="30"/>
      <c r="S4" s="30"/>
      <c r="T4" s="30"/>
      <c r="U4" s="30"/>
      <c r="V4" s="30"/>
      <c r="W4" s="30"/>
      <c r="X4" s="30"/>
      <c r="Y4" s="30"/>
      <c r="Z4" s="30"/>
      <c r="AA4" s="30"/>
      <c r="AB4" s="30"/>
      <c r="AC4" s="30"/>
      <c r="AD4" s="30"/>
      <c r="AE4" s="30"/>
      <c r="AF4" s="30"/>
      <c r="AG4" s="30"/>
    </row>
    <row r="5" spans="1:33" ht="15" customHeight="1">
      <c r="A5" s="30"/>
      <c r="B5" s="30"/>
      <c r="C5" s="84" t="s">
        <v>56</v>
      </c>
      <c r="D5" s="84" t="s">
        <v>285</v>
      </c>
      <c r="E5" s="35"/>
      <c r="F5" s="35"/>
      <c r="G5" s="35"/>
      <c r="H5" s="30"/>
      <c r="I5" s="30"/>
      <c r="J5" s="30"/>
      <c r="K5" s="30"/>
      <c r="L5" s="30"/>
      <c r="M5" s="30"/>
      <c r="N5" s="30"/>
      <c r="O5" s="30"/>
      <c r="P5" s="30"/>
      <c r="Q5" s="30"/>
      <c r="R5" s="30"/>
      <c r="S5" s="30"/>
      <c r="T5" s="30"/>
      <c r="U5" s="30"/>
      <c r="V5" s="30"/>
      <c r="W5" s="30"/>
      <c r="X5" s="30"/>
      <c r="Y5" s="30"/>
      <c r="Z5" s="30"/>
      <c r="AA5" s="30"/>
      <c r="AB5" s="30"/>
      <c r="AC5" s="30"/>
      <c r="AD5" s="30"/>
      <c r="AE5" s="30"/>
      <c r="AF5" s="30"/>
      <c r="AG5" s="30"/>
    </row>
    <row r="6" spans="1:33" ht="15" customHeight="1">
      <c r="A6" s="30"/>
      <c r="B6" s="30"/>
      <c r="C6" s="84" t="s">
        <v>58</v>
      </c>
      <c r="D6" s="35"/>
      <c r="E6" s="84" t="s">
        <v>286</v>
      </c>
      <c r="F6" s="35"/>
      <c r="G6" s="35"/>
      <c r="H6" s="30"/>
      <c r="I6" s="30"/>
      <c r="J6" s="30"/>
      <c r="K6" s="30"/>
      <c r="L6" s="30"/>
      <c r="M6" s="30"/>
      <c r="N6" s="30"/>
      <c r="O6" s="30"/>
      <c r="P6" s="30"/>
      <c r="Q6" s="30"/>
      <c r="R6" s="30"/>
      <c r="S6" s="30"/>
      <c r="T6" s="30"/>
      <c r="U6" s="30"/>
      <c r="V6" s="30"/>
      <c r="W6" s="30"/>
      <c r="X6" s="30"/>
      <c r="Y6" s="30"/>
      <c r="Z6" s="30"/>
      <c r="AA6" s="30"/>
      <c r="AB6" s="30"/>
      <c r="AC6" s="30"/>
      <c r="AD6" s="30"/>
      <c r="AE6" s="30"/>
      <c r="AF6" s="30"/>
      <c r="AG6" s="30"/>
    </row>
    <row r="7" spans="1:33">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row>
    <row r="8" spans="1:33">
      <c r="A8" s="30"/>
      <c r="B8" s="30"/>
      <c r="C8" s="30"/>
      <c r="D8" s="30"/>
      <c r="E8" s="30"/>
      <c r="F8" s="30"/>
      <c r="G8" s="30"/>
      <c r="H8" s="30"/>
      <c r="I8" s="30"/>
      <c r="J8" s="30"/>
      <c r="K8" s="30"/>
      <c r="L8" s="30"/>
      <c r="M8" s="30"/>
      <c r="N8" s="30"/>
      <c r="O8" s="30"/>
      <c r="P8" s="30"/>
      <c r="Q8" s="30"/>
      <c r="R8" s="30"/>
      <c r="S8" s="30"/>
      <c r="T8" s="30"/>
      <c r="U8" s="30"/>
      <c r="V8" s="30"/>
      <c r="W8" s="30"/>
      <c r="X8" s="30"/>
      <c r="Y8" s="30"/>
      <c r="Z8" s="30"/>
      <c r="AA8" s="30"/>
      <c r="AB8" s="30"/>
      <c r="AC8" s="30"/>
      <c r="AD8" s="30"/>
      <c r="AE8" s="30"/>
      <c r="AF8" s="30"/>
      <c r="AG8" s="30"/>
    </row>
    <row r="9" spans="1:33">
      <c r="A9" s="30"/>
      <c r="B9" s="34"/>
      <c r="C9" s="34"/>
      <c r="D9" s="34"/>
      <c r="E9" s="34"/>
      <c r="F9" s="34"/>
      <c r="G9" s="34"/>
      <c r="H9" s="34"/>
      <c r="I9" s="34"/>
      <c r="J9" s="34"/>
      <c r="K9" s="34"/>
      <c r="L9" s="34"/>
      <c r="M9" s="34"/>
      <c r="N9" s="34"/>
      <c r="O9" s="34"/>
      <c r="P9" s="34"/>
      <c r="Q9" s="34"/>
      <c r="R9" s="34"/>
      <c r="S9" s="34"/>
      <c r="T9" s="34"/>
      <c r="U9" s="34"/>
      <c r="V9" s="34"/>
      <c r="W9" s="34"/>
      <c r="X9" s="34"/>
      <c r="Y9" s="34"/>
      <c r="Z9" s="34"/>
      <c r="AA9" s="34"/>
      <c r="AB9" s="34"/>
      <c r="AC9" s="34"/>
      <c r="AD9" s="34"/>
      <c r="AE9" s="34"/>
      <c r="AF9" s="34"/>
      <c r="AG9" s="34"/>
    </row>
    <row r="10" spans="1:33" ht="15" customHeight="1">
      <c r="A10" s="33" t="s">
        <v>287</v>
      </c>
      <c r="B10" s="36" t="s">
        <v>288</v>
      </c>
      <c r="C10" s="34"/>
      <c r="D10" s="34"/>
      <c r="E10" s="34"/>
      <c r="F10" s="34"/>
      <c r="G10" s="34"/>
      <c r="H10" s="34"/>
      <c r="I10" s="34"/>
      <c r="J10" s="34"/>
      <c r="K10" s="34"/>
      <c r="L10" s="34"/>
      <c r="M10" s="34"/>
      <c r="N10" s="34"/>
      <c r="O10" s="34"/>
      <c r="P10" s="34"/>
      <c r="Q10" s="34"/>
      <c r="R10" s="34"/>
      <c r="S10" s="34"/>
      <c r="T10" s="34"/>
      <c r="U10" s="34"/>
      <c r="V10" s="34"/>
      <c r="W10" s="34"/>
      <c r="X10" s="34"/>
      <c r="Y10" s="34"/>
      <c r="Z10" s="34"/>
      <c r="AA10" s="34"/>
      <c r="AB10" s="34"/>
      <c r="AC10" s="34"/>
      <c r="AD10" s="34"/>
      <c r="AE10" s="34"/>
      <c r="AF10" s="37" t="s">
        <v>289</v>
      </c>
      <c r="AG10" s="34"/>
    </row>
    <row r="11" spans="1:33" ht="15" customHeight="1">
      <c r="A11" s="30"/>
      <c r="B11" s="38" t="s">
        <v>290</v>
      </c>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7" t="s">
        <v>291</v>
      </c>
      <c r="AG11" s="34"/>
    </row>
    <row r="12" spans="1:33" ht="15" customHeight="1">
      <c r="A12" s="30"/>
      <c r="B12" s="38"/>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7" t="s">
        <v>292</v>
      </c>
      <c r="AG12" s="34"/>
    </row>
    <row r="13" spans="1:33" ht="15" customHeight="1" thickBot="1">
      <c r="A13" s="30"/>
      <c r="B13" s="40" t="s">
        <v>293</v>
      </c>
      <c r="C13" s="40">
        <v>2022</v>
      </c>
      <c r="D13" s="40">
        <v>2023</v>
      </c>
      <c r="E13" s="40">
        <v>2024</v>
      </c>
      <c r="F13" s="40">
        <v>2025</v>
      </c>
      <c r="G13" s="40">
        <v>2026</v>
      </c>
      <c r="H13" s="40">
        <v>2027</v>
      </c>
      <c r="I13" s="40">
        <v>2028</v>
      </c>
      <c r="J13" s="40">
        <v>2029</v>
      </c>
      <c r="K13" s="40">
        <v>2030</v>
      </c>
      <c r="L13" s="40">
        <v>2031</v>
      </c>
      <c r="M13" s="40">
        <v>2032</v>
      </c>
      <c r="N13" s="40">
        <v>2033</v>
      </c>
      <c r="O13" s="40">
        <v>2034</v>
      </c>
      <c r="P13" s="40">
        <v>2035</v>
      </c>
      <c r="Q13" s="40">
        <v>2036</v>
      </c>
      <c r="R13" s="40">
        <v>2037</v>
      </c>
      <c r="S13" s="40">
        <v>2038</v>
      </c>
      <c r="T13" s="40">
        <v>2039</v>
      </c>
      <c r="U13" s="40">
        <v>2040</v>
      </c>
      <c r="V13" s="40">
        <v>2041</v>
      </c>
      <c r="W13" s="40">
        <v>2042</v>
      </c>
      <c r="X13" s="40">
        <v>2043</v>
      </c>
      <c r="Y13" s="40">
        <v>2044</v>
      </c>
      <c r="Z13" s="40">
        <v>2045</v>
      </c>
      <c r="AA13" s="40">
        <v>2046</v>
      </c>
      <c r="AB13" s="40">
        <v>2047</v>
      </c>
      <c r="AC13" s="40">
        <v>2048</v>
      </c>
      <c r="AD13" s="40">
        <v>2049</v>
      </c>
      <c r="AE13" s="40">
        <v>2050</v>
      </c>
      <c r="AF13" s="41" t="s">
        <v>294</v>
      </c>
      <c r="AG13" s="34"/>
    </row>
    <row r="14" spans="1:33" ht="15" customHeight="1" thickTop="1">
      <c r="A14" s="30"/>
      <c r="B14" s="34"/>
      <c r="C14" s="34"/>
      <c r="D14" s="34"/>
      <c r="E14" s="34"/>
      <c r="F14" s="34"/>
      <c r="G14" s="34"/>
      <c r="H14" s="34"/>
      <c r="I14" s="34"/>
      <c r="J14" s="34"/>
      <c r="K14" s="34"/>
      <c r="L14" s="34"/>
      <c r="M14" s="34"/>
      <c r="N14" s="34"/>
      <c r="O14" s="34"/>
      <c r="P14" s="34"/>
      <c r="Q14" s="34"/>
      <c r="R14" s="34"/>
      <c r="S14" s="34"/>
      <c r="T14" s="34"/>
      <c r="U14" s="34"/>
      <c r="V14" s="34"/>
      <c r="W14" s="34"/>
      <c r="X14" s="34"/>
      <c r="Y14" s="34"/>
      <c r="Z14" s="34"/>
      <c r="AA14" s="34"/>
      <c r="AB14" s="34"/>
      <c r="AC14" s="34"/>
      <c r="AD14" s="34"/>
      <c r="AE14" s="34"/>
      <c r="AF14" s="34"/>
      <c r="AG14" s="34"/>
    </row>
    <row r="15" spans="1:33" ht="15" customHeight="1">
      <c r="A15" s="30"/>
      <c r="B15" s="42" t="s">
        <v>295</v>
      </c>
      <c r="C15" s="34"/>
      <c r="D15" s="34"/>
      <c r="E15" s="34"/>
      <c r="F15" s="34"/>
      <c r="G15" s="34"/>
      <c r="H15" s="34"/>
      <c r="I15" s="34"/>
      <c r="J15" s="34"/>
      <c r="K15" s="34"/>
      <c r="L15" s="34"/>
      <c r="M15" s="34"/>
      <c r="N15" s="34"/>
      <c r="O15" s="34"/>
      <c r="P15" s="34"/>
      <c r="Q15" s="34"/>
      <c r="R15" s="34"/>
      <c r="S15" s="34"/>
      <c r="T15" s="34"/>
      <c r="U15" s="34"/>
      <c r="V15" s="34"/>
      <c r="W15" s="34"/>
      <c r="X15" s="34"/>
      <c r="Y15" s="34"/>
      <c r="Z15" s="34"/>
      <c r="AA15" s="34"/>
      <c r="AB15" s="34"/>
      <c r="AC15" s="34"/>
      <c r="AD15" s="34"/>
      <c r="AE15" s="34"/>
      <c r="AF15" s="34"/>
      <c r="AG15" s="34"/>
    </row>
    <row r="16" spans="1:33" ht="15" customHeight="1">
      <c r="A16" s="30"/>
      <c r="B16" s="34"/>
      <c r="C16" s="34"/>
      <c r="D16" s="34"/>
      <c r="E16" s="34"/>
      <c r="F16" s="34"/>
      <c r="G16" s="34"/>
      <c r="H16" s="34"/>
      <c r="I16" s="34"/>
      <c r="J16" s="34"/>
      <c r="K16" s="34"/>
      <c r="L16" s="34"/>
      <c r="M16" s="34"/>
      <c r="N16" s="34"/>
      <c r="O16" s="34"/>
      <c r="P16" s="34"/>
      <c r="Q16" s="34"/>
      <c r="R16" s="34"/>
      <c r="S16" s="34"/>
      <c r="T16" s="34"/>
      <c r="U16" s="34"/>
      <c r="V16" s="34"/>
      <c r="W16" s="34"/>
      <c r="X16" s="34"/>
      <c r="Y16" s="34"/>
      <c r="Z16" s="34"/>
      <c r="AA16" s="34"/>
      <c r="AB16" s="34"/>
      <c r="AC16" s="34"/>
      <c r="AD16" s="34"/>
      <c r="AE16" s="34"/>
      <c r="AF16" s="34"/>
      <c r="AG16" s="34"/>
    </row>
    <row r="17" spans="1:33" ht="15" customHeight="1">
      <c r="A17" s="33" t="s">
        <v>296</v>
      </c>
      <c r="B17" s="42" t="s">
        <v>297</v>
      </c>
      <c r="C17" s="46">
        <v>0.53893199999999997</v>
      </c>
      <c r="D17" s="46">
        <v>0.57440999999999998</v>
      </c>
      <c r="E17" s="46">
        <v>0.51306799999999997</v>
      </c>
      <c r="F17" s="46">
        <v>0.48986400000000002</v>
      </c>
      <c r="G17" s="46">
        <v>0.47216399999999997</v>
      </c>
      <c r="H17" s="46">
        <v>0.45763999999999999</v>
      </c>
      <c r="I17" s="46">
        <v>0.44519999999999998</v>
      </c>
      <c r="J17" s="46">
        <v>0.435137</v>
      </c>
      <c r="K17" s="46">
        <v>0.42601699999999998</v>
      </c>
      <c r="L17" s="46">
        <v>0.41791</v>
      </c>
      <c r="M17" s="46">
        <v>0.409804</v>
      </c>
      <c r="N17" s="46">
        <v>0.40263100000000002</v>
      </c>
      <c r="O17" s="46">
        <v>0.39503899999999997</v>
      </c>
      <c r="P17" s="46">
        <v>0.38751400000000003</v>
      </c>
      <c r="Q17" s="46">
        <v>0.37993500000000002</v>
      </c>
      <c r="R17" s="46">
        <v>0.37285699999999999</v>
      </c>
      <c r="S17" s="46">
        <v>0.36608299999999999</v>
      </c>
      <c r="T17" s="46">
        <v>0.35957499999999998</v>
      </c>
      <c r="U17" s="46">
        <v>0.35324100000000003</v>
      </c>
      <c r="V17" s="46">
        <v>0.34762199999999999</v>
      </c>
      <c r="W17" s="46">
        <v>0.34207100000000001</v>
      </c>
      <c r="X17" s="46">
        <v>0.33705400000000002</v>
      </c>
      <c r="Y17" s="46">
        <v>0.332011</v>
      </c>
      <c r="Z17" s="46">
        <v>0.327538</v>
      </c>
      <c r="AA17" s="46">
        <v>0.32387199999999999</v>
      </c>
      <c r="AB17" s="46">
        <v>0.32008300000000001</v>
      </c>
      <c r="AC17" s="46">
        <v>0.31608900000000001</v>
      </c>
      <c r="AD17" s="46">
        <v>0.31211100000000003</v>
      </c>
      <c r="AE17" s="46">
        <v>0.30802400000000002</v>
      </c>
      <c r="AF17" s="47">
        <v>-1.9781E-2</v>
      </c>
      <c r="AG17" s="34"/>
    </row>
    <row r="18" spans="1:33" ht="15" customHeight="1">
      <c r="A18" s="30"/>
      <c r="B18" s="34"/>
      <c r="C18" s="34"/>
      <c r="D18" s="34"/>
      <c r="E18" s="34"/>
      <c r="F18" s="34"/>
      <c r="G18" s="34"/>
      <c r="H18" s="34"/>
      <c r="I18" s="34"/>
      <c r="J18" s="34"/>
      <c r="K18" s="34"/>
      <c r="L18" s="34"/>
      <c r="M18" s="34"/>
      <c r="N18" s="34"/>
      <c r="O18" s="34"/>
      <c r="P18" s="34"/>
      <c r="Q18" s="34"/>
      <c r="R18" s="34"/>
      <c r="S18" s="34"/>
      <c r="T18" s="34"/>
      <c r="U18" s="34"/>
      <c r="V18" s="34"/>
      <c r="W18" s="34"/>
      <c r="X18" s="34"/>
      <c r="Y18" s="34"/>
      <c r="Z18" s="34"/>
      <c r="AA18" s="34"/>
      <c r="AB18" s="34"/>
      <c r="AC18" s="34"/>
      <c r="AD18" s="34"/>
      <c r="AE18" s="34"/>
      <c r="AF18" s="34"/>
      <c r="AG18" s="34"/>
    </row>
    <row r="19" spans="1:33" ht="15" customHeight="1">
      <c r="A19" s="33" t="s">
        <v>298</v>
      </c>
      <c r="B19" s="42" t="s">
        <v>299</v>
      </c>
      <c r="C19" s="46">
        <v>0.120805</v>
      </c>
      <c r="D19" s="46">
        <v>0.120805</v>
      </c>
      <c r="E19" s="46">
        <v>0.120805</v>
      </c>
      <c r="F19" s="46">
        <v>0.120805</v>
      </c>
      <c r="G19" s="46">
        <v>0.120805</v>
      </c>
      <c r="H19" s="46">
        <v>0.120805</v>
      </c>
      <c r="I19" s="46">
        <v>0.120805</v>
      </c>
      <c r="J19" s="46">
        <v>0.120805</v>
      </c>
      <c r="K19" s="46">
        <v>0.120805</v>
      </c>
      <c r="L19" s="46">
        <v>0.120805</v>
      </c>
      <c r="M19" s="46">
        <v>0.120805</v>
      </c>
      <c r="N19" s="46">
        <v>0.120805</v>
      </c>
      <c r="O19" s="46">
        <v>0.120805</v>
      </c>
      <c r="P19" s="46">
        <v>0.120805</v>
      </c>
      <c r="Q19" s="46">
        <v>0.120805</v>
      </c>
      <c r="R19" s="46">
        <v>0.120805</v>
      </c>
      <c r="S19" s="46">
        <v>0.120805</v>
      </c>
      <c r="T19" s="46">
        <v>0.120805</v>
      </c>
      <c r="U19" s="46">
        <v>0.120805</v>
      </c>
      <c r="V19" s="46">
        <v>0.120805</v>
      </c>
      <c r="W19" s="46">
        <v>0.120805</v>
      </c>
      <c r="X19" s="46">
        <v>0.120805</v>
      </c>
      <c r="Y19" s="46">
        <v>0.120805</v>
      </c>
      <c r="Z19" s="46">
        <v>0.120805</v>
      </c>
      <c r="AA19" s="46">
        <v>0.120805</v>
      </c>
      <c r="AB19" s="46">
        <v>0.120805</v>
      </c>
      <c r="AC19" s="46">
        <v>0.120805</v>
      </c>
      <c r="AD19" s="46">
        <v>0.120805</v>
      </c>
      <c r="AE19" s="46">
        <v>0.120805</v>
      </c>
      <c r="AF19" s="47">
        <v>0</v>
      </c>
      <c r="AG19" s="34"/>
    </row>
    <row r="20" spans="1:33" ht="15" customHeight="1">
      <c r="A20" s="30"/>
      <c r="B20" s="34"/>
      <c r="C20" s="34"/>
      <c r="D20" s="34"/>
      <c r="E20" s="34"/>
      <c r="F20" s="34"/>
      <c r="G20" s="34"/>
      <c r="H20" s="34"/>
      <c r="I20" s="34"/>
      <c r="J20" s="34"/>
      <c r="K20" s="34"/>
      <c r="L20" s="34"/>
      <c r="M20" s="34"/>
      <c r="N20" s="34"/>
      <c r="O20" s="34"/>
      <c r="P20" s="34"/>
      <c r="Q20" s="34"/>
      <c r="R20" s="34"/>
      <c r="S20" s="34"/>
      <c r="T20" s="34"/>
      <c r="U20" s="34"/>
      <c r="V20" s="34"/>
      <c r="W20" s="34"/>
      <c r="X20" s="34"/>
      <c r="Y20" s="34"/>
      <c r="Z20" s="34"/>
      <c r="AA20" s="34"/>
      <c r="AB20" s="34"/>
      <c r="AC20" s="34"/>
      <c r="AD20" s="34"/>
      <c r="AE20" s="34"/>
      <c r="AF20" s="34"/>
      <c r="AG20" s="34"/>
    </row>
    <row r="21" spans="1:33" ht="15" customHeight="1">
      <c r="A21" s="33" t="s">
        <v>300</v>
      </c>
      <c r="B21" s="42" t="s">
        <v>301</v>
      </c>
      <c r="C21" s="46">
        <v>2.4188489999999998</v>
      </c>
      <c r="D21" s="46">
        <v>2.5582929999999999</v>
      </c>
      <c r="E21" s="46">
        <v>2.454399</v>
      </c>
      <c r="F21" s="46">
        <v>2.4587829999999999</v>
      </c>
      <c r="G21" s="46">
        <v>2.4619360000000001</v>
      </c>
      <c r="H21" s="46">
        <v>2.4690829999999999</v>
      </c>
      <c r="I21" s="46">
        <v>2.4846270000000001</v>
      </c>
      <c r="J21" s="46">
        <v>2.4918010000000002</v>
      </c>
      <c r="K21" s="46">
        <v>2.4948260000000002</v>
      </c>
      <c r="L21" s="46">
        <v>2.5005679999999999</v>
      </c>
      <c r="M21" s="46">
        <v>2.5099770000000001</v>
      </c>
      <c r="N21" s="46">
        <v>2.5213960000000002</v>
      </c>
      <c r="O21" s="46">
        <v>2.5349650000000001</v>
      </c>
      <c r="P21" s="46">
        <v>2.553261</v>
      </c>
      <c r="Q21" s="46">
        <v>2.557693</v>
      </c>
      <c r="R21" s="46">
        <v>2.5674959999999998</v>
      </c>
      <c r="S21" s="46">
        <v>2.576616</v>
      </c>
      <c r="T21" s="46">
        <v>2.5888149999999999</v>
      </c>
      <c r="U21" s="46">
        <v>2.604867</v>
      </c>
      <c r="V21" s="46">
        <v>2.6301209999999999</v>
      </c>
      <c r="W21" s="46">
        <v>2.6482429999999999</v>
      </c>
      <c r="X21" s="46">
        <v>2.6648510000000001</v>
      </c>
      <c r="Y21" s="46">
        <v>2.6717409999999999</v>
      </c>
      <c r="Z21" s="46">
        <v>2.681419</v>
      </c>
      <c r="AA21" s="46">
        <v>2.6979250000000001</v>
      </c>
      <c r="AB21" s="46">
        <v>2.720405</v>
      </c>
      <c r="AC21" s="46">
        <v>2.747052</v>
      </c>
      <c r="AD21" s="46">
        <v>2.763744</v>
      </c>
      <c r="AE21" s="46">
        <v>2.7854899999999998</v>
      </c>
      <c r="AF21" s="47">
        <v>5.0530000000000002E-3</v>
      </c>
      <c r="AG21" s="34"/>
    </row>
    <row r="22" spans="1:33" ht="15" customHeight="1">
      <c r="A22" s="33" t="s">
        <v>302</v>
      </c>
      <c r="B22" s="43" t="s">
        <v>303</v>
      </c>
      <c r="C22" s="44">
        <v>1.0773E-2</v>
      </c>
      <c r="D22" s="44">
        <v>1.0913000000000001E-2</v>
      </c>
      <c r="E22" s="44">
        <v>1.0874999999999999E-2</v>
      </c>
      <c r="F22" s="44">
        <v>1.0836999999999999E-2</v>
      </c>
      <c r="G22" s="44">
        <v>1.0801E-2</v>
      </c>
      <c r="H22" s="44">
        <v>1.0767000000000001E-2</v>
      </c>
      <c r="I22" s="44">
        <v>1.0736000000000001E-2</v>
      </c>
      <c r="J22" s="44">
        <v>1.0707E-2</v>
      </c>
      <c r="K22" s="44">
        <v>1.0682000000000001E-2</v>
      </c>
      <c r="L22" s="44">
        <v>1.0661E-2</v>
      </c>
      <c r="M22" s="44">
        <v>1.0644000000000001E-2</v>
      </c>
      <c r="N22" s="44">
        <v>1.0632000000000001E-2</v>
      </c>
      <c r="O22" s="44">
        <v>1.0624E-2</v>
      </c>
      <c r="P22" s="44">
        <v>1.0621999999999999E-2</v>
      </c>
      <c r="Q22" s="44">
        <v>1.0621999999999999E-2</v>
      </c>
      <c r="R22" s="44">
        <v>1.0621999999999999E-2</v>
      </c>
      <c r="S22" s="44">
        <v>1.0621999999999999E-2</v>
      </c>
      <c r="T22" s="44">
        <v>1.0621999999999999E-2</v>
      </c>
      <c r="U22" s="44">
        <v>1.0621999999999999E-2</v>
      </c>
      <c r="V22" s="44">
        <v>1.0621999999999999E-2</v>
      </c>
      <c r="W22" s="44">
        <v>1.0621999999999999E-2</v>
      </c>
      <c r="X22" s="44">
        <v>1.0621999999999999E-2</v>
      </c>
      <c r="Y22" s="44">
        <v>1.0621999999999999E-2</v>
      </c>
      <c r="Z22" s="44">
        <v>1.0621999999999999E-2</v>
      </c>
      <c r="AA22" s="44">
        <v>1.0621999999999999E-2</v>
      </c>
      <c r="AB22" s="44">
        <v>1.0621999999999999E-2</v>
      </c>
      <c r="AC22" s="44">
        <v>1.0621999999999999E-2</v>
      </c>
      <c r="AD22" s="44">
        <v>1.0621999999999999E-2</v>
      </c>
      <c r="AE22" s="44">
        <v>1.0621999999999999E-2</v>
      </c>
      <c r="AF22" s="45">
        <v>-5.04E-4</v>
      </c>
      <c r="AG22" s="34"/>
    </row>
    <row r="23" spans="1:33" ht="15" customHeight="1">
      <c r="A23" s="33" t="s">
        <v>304</v>
      </c>
      <c r="B23" s="43" t="s">
        <v>305</v>
      </c>
      <c r="C23" s="44">
        <v>0.161768</v>
      </c>
      <c r="D23" s="44">
        <v>0.15997600000000001</v>
      </c>
      <c r="E23" s="44">
        <v>0.16036500000000001</v>
      </c>
      <c r="F23" s="44">
        <v>0.16234000000000001</v>
      </c>
      <c r="G23" s="44">
        <v>0.164713</v>
      </c>
      <c r="H23" s="44">
        <v>0.16667599999999999</v>
      </c>
      <c r="I23" s="44">
        <v>0.16775599999999999</v>
      </c>
      <c r="J23" s="44">
        <v>0.167014</v>
      </c>
      <c r="K23" s="44">
        <v>0.16627400000000001</v>
      </c>
      <c r="L23" s="44">
        <v>0.165657</v>
      </c>
      <c r="M23" s="44">
        <v>0.16491500000000001</v>
      </c>
      <c r="N23" s="44">
        <v>0.16405700000000001</v>
      </c>
      <c r="O23" s="44">
        <v>0.16317799999999999</v>
      </c>
      <c r="P23" s="44">
        <v>0.16239500000000001</v>
      </c>
      <c r="Q23" s="44">
        <v>0.161408</v>
      </c>
      <c r="R23" s="44">
        <v>0.16053000000000001</v>
      </c>
      <c r="S23" s="44">
        <v>0.15972800000000001</v>
      </c>
      <c r="T23" s="44">
        <v>0.15995599999999999</v>
      </c>
      <c r="U23" s="44">
        <v>0.160357</v>
      </c>
      <c r="V23" s="44">
        <v>0.160718</v>
      </c>
      <c r="W23" s="44">
        <v>0.160969</v>
      </c>
      <c r="X23" s="44">
        <v>0.16102900000000001</v>
      </c>
      <c r="Y23" s="44">
        <v>0.16096299999999999</v>
      </c>
      <c r="Z23" s="44">
        <v>0.16125500000000001</v>
      </c>
      <c r="AA23" s="44">
        <v>0.161468</v>
      </c>
      <c r="AB23" s="44">
        <v>0.16167300000000001</v>
      </c>
      <c r="AC23" s="44">
        <v>0.16187099999999999</v>
      </c>
      <c r="AD23" s="44">
        <v>0.162026</v>
      </c>
      <c r="AE23" s="44">
        <v>0.162219</v>
      </c>
      <c r="AF23" s="45">
        <v>9.8999999999999994E-5</v>
      </c>
      <c r="AG23" s="34"/>
    </row>
    <row r="24" spans="1:33" ht="15" customHeight="1">
      <c r="A24" s="33" t="s">
        <v>306</v>
      </c>
      <c r="B24" s="43" t="s">
        <v>307</v>
      </c>
      <c r="C24" s="44">
        <v>1.3282320000000001</v>
      </c>
      <c r="D24" s="44">
        <v>1.4028259999999999</v>
      </c>
      <c r="E24" s="44">
        <v>1.37287</v>
      </c>
      <c r="F24" s="44">
        <v>1.379027</v>
      </c>
      <c r="G24" s="44">
        <v>1.3815900000000001</v>
      </c>
      <c r="H24" s="44">
        <v>1.3878950000000001</v>
      </c>
      <c r="I24" s="44">
        <v>1.3993370000000001</v>
      </c>
      <c r="J24" s="44">
        <v>1.41076</v>
      </c>
      <c r="K24" s="44">
        <v>1.4189320000000001</v>
      </c>
      <c r="L24" s="44">
        <v>1.429157</v>
      </c>
      <c r="M24" s="44">
        <v>1.443031</v>
      </c>
      <c r="N24" s="44">
        <v>1.4565079999999999</v>
      </c>
      <c r="O24" s="44">
        <v>1.4709570000000001</v>
      </c>
      <c r="P24" s="44">
        <v>1.482958</v>
      </c>
      <c r="Q24" s="44">
        <v>1.48898</v>
      </c>
      <c r="R24" s="44">
        <v>1.4987729999999999</v>
      </c>
      <c r="S24" s="44">
        <v>1.5069980000000001</v>
      </c>
      <c r="T24" s="44">
        <v>1.516537</v>
      </c>
      <c r="U24" s="44">
        <v>1.528081</v>
      </c>
      <c r="V24" s="44">
        <v>1.540243</v>
      </c>
      <c r="W24" s="44">
        <v>1.5521320000000001</v>
      </c>
      <c r="X24" s="44">
        <v>1.5620019999999999</v>
      </c>
      <c r="Y24" s="44">
        <v>1.568192</v>
      </c>
      <c r="Z24" s="44">
        <v>1.5709299999999999</v>
      </c>
      <c r="AA24" s="44">
        <v>1.577018</v>
      </c>
      <c r="AB24" s="44">
        <v>1.5876319999999999</v>
      </c>
      <c r="AC24" s="44">
        <v>1.5930029999999999</v>
      </c>
      <c r="AD24" s="44">
        <v>1.600503</v>
      </c>
      <c r="AE24" s="44">
        <v>1.6157809999999999</v>
      </c>
      <c r="AF24" s="45">
        <v>7.0229999999999997E-3</v>
      </c>
      <c r="AG24" s="34"/>
    </row>
    <row r="25" spans="1:33" ht="15" customHeight="1">
      <c r="A25" s="33" t="s">
        <v>308</v>
      </c>
      <c r="B25" s="43" t="s">
        <v>309</v>
      </c>
      <c r="C25" s="44">
        <v>0.918076</v>
      </c>
      <c r="D25" s="44">
        <v>0.98457799999999995</v>
      </c>
      <c r="E25" s="44">
        <v>0.91028900000000001</v>
      </c>
      <c r="F25" s="44">
        <v>0.90657900000000002</v>
      </c>
      <c r="G25" s="44">
        <v>0.90483100000000005</v>
      </c>
      <c r="H25" s="44">
        <v>0.90374500000000002</v>
      </c>
      <c r="I25" s="44">
        <v>0.90679799999999999</v>
      </c>
      <c r="J25" s="44">
        <v>0.90332000000000001</v>
      </c>
      <c r="K25" s="44">
        <v>0.89893800000000001</v>
      </c>
      <c r="L25" s="44">
        <v>0.89509300000000003</v>
      </c>
      <c r="M25" s="44">
        <v>0.89138700000000004</v>
      </c>
      <c r="N25" s="44">
        <v>0.89019999999999999</v>
      </c>
      <c r="O25" s="44">
        <v>0.89020600000000005</v>
      </c>
      <c r="P25" s="44">
        <v>0.89728600000000003</v>
      </c>
      <c r="Q25" s="44">
        <v>0.89668300000000001</v>
      </c>
      <c r="R25" s="44">
        <v>0.89757100000000001</v>
      </c>
      <c r="S25" s="44">
        <v>0.89926799999999996</v>
      </c>
      <c r="T25" s="44">
        <v>0.90170099999999997</v>
      </c>
      <c r="U25" s="44">
        <v>0.90580700000000003</v>
      </c>
      <c r="V25" s="44">
        <v>0.91853799999999997</v>
      </c>
      <c r="W25" s="44">
        <v>0.92452100000000004</v>
      </c>
      <c r="X25" s="44">
        <v>0.93119799999999997</v>
      </c>
      <c r="Y25" s="44">
        <v>0.93196400000000001</v>
      </c>
      <c r="Z25" s="44">
        <v>0.93861300000000003</v>
      </c>
      <c r="AA25" s="44">
        <v>0.94881700000000002</v>
      </c>
      <c r="AB25" s="44">
        <v>0.96047800000000005</v>
      </c>
      <c r="AC25" s="44">
        <v>0.98155700000000001</v>
      </c>
      <c r="AD25" s="44">
        <v>0.99059399999999997</v>
      </c>
      <c r="AE25" s="44">
        <v>0.99686799999999998</v>
      </c>
      <c r="AF25" s="45">
        <v>2.9450000000000001E-3</v>
      </c>
      <c r="AG25" s="34"/>
    </row>
    <row r="26" spans="1:33" ht="15" customHeight="1">
      <c r="A26" s="30"/>
      <c r="B26" s="34"/>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34"/>
    </row>
    <row r="27" spans="1:33" ht="15" customHeight="1">
      <c r="A27" s="33" t="s">
        <v>310</v>
      </c>
      <c r="B27" s="42" t="s">
        <v>311</v>
      </c>
      <c r="C27" s="46">
        <v>1.6439569999999999</v>
      </c>
      <c r="D27" s="46">
        <v>1.68746</v>
      </c>
      <c r="E27" s="46">
        <v>1.7501439999999999</v>
      </c>
      <c r="F27" s="46">
        <v>1.713519</v>
      </c>
      <c r="G27" s="46">
        <v>1.7038390000000001</v>
      </c>
      <c r="H27" s="46">
        <v>1.7015279999999999</v>
      </c>
      <c r="I27" s="46">
        <v>1.5876999999999999</v>
      </c>
      <c r="J27" s="46">
        <v>1.5869660000000001</v>
      </c>
      <c r="K27" s="46">
        <v>1.586138</v>
      </c>
      <c r="L27" s="46">
        <v>1.585172</v>
      </c>
      <c r="M27" s="46">
        <v>1.583934</v>
      </c>
      <c r="N27" s="46">
        <v>1.582892</v>
      </c>
      <c r="O27" s="46">
        <v>1.5815950000000001</v>
      </c>
      <c r="P27" s="46">
        <v>1.5800190000000001</v>
      </c>
      <c r="Q27" s="46">
        <v>1.5786439999999999</v>
      </c>
      <c r="R27" s="46">
        <v>1.5772600000000001</v>
      </c>
      <c r="S27" s="46">
        <v>1.5758639999999999</v>
      </c>
      <c r="T27" s="46">
        <v>1.574471</v>
      </c>
      <c r="U27" s="46">
        <v>1.5730500000000001</v>
      </c>
      <c r="V27" s="46">
        <v>1.5713459999999999</v>
      </c>
      <c r="W27" s="46">
        <v>1.569874</v>
      </c>
      <c r="X27" s="46">
        <v>1.568397</v>
      </c>
      <c r="Y27" s="46">
        <v>1.567132</v>
      </c>
      <c r="Z27" s="46">
        <v>1.5656760000000001</v>
      </c>
      <c r="AA27" s="46">
        <v>1.579699</v>
      </c>
      <c r="AB27" s="46">
        <v>1.603261</v>
      </c>
      <c r="AC27" s="46">
        <v>1.648387</v>
      </c>
      <c r="AD27" s="46">
        <v>1.6785369999999999</v>
      </c>
      <c r="AE27" s="46">
        <v>1.6990639999999999</v>
      </c>
      <c r="AF27" s="47">
        <v>1.178E-3</v>
      </c>
      <c r="AG27" s="34"/>
    </row>
    <row r="28" spans="1:33" ht="15" customHeight="1">
      <c r="A28" s="33" t="s">
        <v>312</v>
      </c>
      <c r="B28" s="43" t="s">
        <v>313</v>
      </c>
      <c r="C28" s="44">
        <v>2.2315999999999999E-2</v>
      </c>
      <c r="D28" s="44">
        <v>2.2565000000000002E-2</v>
      </c>
      <c r="E28" s="44">
        <v>2.1181999999999999E-2</v>
      </c>
      <c r="F28" s="44">
        <v>2.1097999999999999E-2</v>
      </c>
      <c r="G28" s="44">
        <v>2.0573000000000001E-2</v>
      </c>
      <c r="H28" s="44">
        <v>2.0001999999999999E-2</v>
      </c>
      <c r="I28" s="44">
        <v>1.9309E-2</v>
      </c>
      <c r="J28" s="44">
        <v>1.8533000000000001E-2</v>
      </c>
      <c r="K28" s="44">
        <v>1.7717E-2</v>
      </c>
      <c r="L28" s="44">
        <v>1.6916E-2</v>
      </c>
      <c r="M28" s="44">
        <v>1.6133000000000002E-2</v>
      </c>
      <c r="N28" s="44">
        <v>1.5434E-2</v>
      </c>
      <c r="O28" s="44">
        <v>1.4803E-2</v>
      </c>
      <c r="P28" s="44">
        <v>1.4241E-2</v>
      </c>
      <c r="Q28" s="44">
        <v>1.3707E-2</v>
      </c>
      <c r="R28" s="44">
        <v>1.3317000000000001E-2</v>
      </c>
      <c r="S28" s="44">
        <v>1.3025999999999999E-2</v>
      </c>
      <c r="T28" s="44">
        <v>1.2829E-2</v>
      </c>
      <c r="U28" s="44">
        <v>1.2723999999999999E-2</v>
      </c>
      <c r="V28" s="44">
        <v>1.2669E-2</v>
      </c>
      <c r="W28" s="44">
        <v>1.2661E-2</v>
      </c>
      <c r="X28" s="44">
        <v>1.2716E-2</v>
      </c>
      <c r="Y28" s="44">
        <v>1.278E-2</v>
      </c>
      <c r="Z28" s="44">
        <v>1.2874999999999999E-2</v>
      </c>
      <c r="AA28" s="44">
        <v>1.2959999999999999E-2</v>
      </c>
      <c r="AB28" s="44">
        <v>1.3117E-2</v>
      </c>
      <c r="AC28" s="44">
        <v>1.3259E-2</v>
      </c>
      <c r="AD28" s="44">
        <v>1.3443E-2</v>
      </c>
      <c r="AE28" s="44">
        <v>1.3617000000000001E-2</v>
      </c>
      <c r="AF28" s="45">
        <v>-1.7486999999999999E-2</v>
      </c>
      <c r="AG28" s="34"/>
    </row>
    <row r="29" spans="1:33" ht="15" customHeight="1">
      <c r="A29" s="33" t="s">
        <v>314</v>
      </c>
      <c r="B29" s="43" t="s">
        <v>315</v>
      </c>
      <c r="C29" s="44">
        <v>1.1250899999999999</v>
      </c>
      <c r="D29" s="44">
        <v>1.1227320000000001</v>
      </c>
      <c r="E29" s="44">
        <v>1.151931</v>
      </c>
      <c r="F29" s="44">
        <v>1.142379</v>
      </c>
      <c r="G29" s="44">
        <v>1.1358649999999999</v>
      </c>
      <c r="H29" s="44">
        <v>1.130649</v>
      </c>
      <c r="I29" s="44">
        <v>1.123475</v>
      </c>
      <c r="J29" s="44">
        <v>1.1144639999999999</v>
      </c>
      <c r="K29" s="44">
        <v>1.1039049999999999</v>
      </c>
      <c r="L29" s="44">
        <v>1.0942369999999999</v>
      </c>
      <c r="M29" s="44">
        <v>1.0849629999999999</v>
      </c>
      <c r="N29" s="44">
        <v>1.0787599999999999</v>
      </c>
      <c r="O29" s="44">
        <v>1.074166</v>
      </c>
      <c r="P29" s="44">
        <v>1.069304</v>
      </c>
      <c r="Q29" s="44">
        <v>1.0632410000000001</v>
      </c>
      <c r="R29" s="44">
        <v>1.058996</v>
      </c>
      <c r="S29" s="44">
        <v>1.055871</v>
      </c>
      <c r="T29" s="44">
        <v>1.053339</v>
      </c>
      <c r="U29" s="44">
        <v>1.052924</v>
      </c>
      <c r="V29" s="44">
        <v>1.0528120000000001</v>
      </c>
      <c r="W29" s="44">
        <v>1.0543610000000001</v>
      </c>
      <c r="X29" s="44">
        <v>1.0568690000000001</v>
      </c>
      <c r="Y29" s="44">
        <v>1.061329</v>
      </c>
      <c r="Z29" s="44">
        <v>1.0672790000000001</v>
      </c>
      <c r="AA29" s="44">
        <v>1.0752429999999999</v>
      </c>
      <c r="AB29" s="44">
        <v>1.0849629999999999</v>
      </c>
      <c r="AC29" s="44">
        <v>1.0952660000000001</v>
      </c>
      <c r="AD29" s="44">
        <v>1.1068389999999999</v>
      </c>
      <c r="AE29" s="44">
        <v>1.1205430000000001</v>
      </c>
      <c r="AF29" s="45">
        <v>-1.45E-4</v>
      </c>
      <c r="AG29" s="34"/>
    </row>
    <row r="30" spans="1:33" ht="15" customHeight="1">
      <c r="A30" s="33" t="s">
        <v>316</v>
      </c>
      <c r="B30" s="43" t="s">
        <v>317</v>
      </c>
      <c r="C30" s="44">
        <v>0.20156299999999999</v>
      </c>
      <c r="D30" s="44">
        <v>0.18984000000000001</v>
      </c>
      <c r="E30" s="44">
        <v>0.21911900000000001</v>
      </c>
      <c r="F30" s="44">
        <v>0.20335</v>
      </c>
      <c r="G30" s="44">
        <v>0.20000399999999999</v>
      </c>
      <c r="H30" s="44">
        <v>0.20306099999999999</v>
      </c>
      <c r="I30" s="44">
        <v>0.154942</v>
      </c>
      <c r="J30" s="44">
        <v>0.16417999999999999</v>
      </c>
      <c r="K30" s="44">
        <v>0.17285600000000001</v>
      </c>
      <c r="L30" s="44">
        <v>0.177873</v>
      </c>
      <c r="M30" s="44">
        <v>0.17663200000000001</v>
      </c>
      <c r="N30" s="44">
        <v>0.17979600000000001</v>
      </c>
      <c r="O30" s="44">
        <v>0.17705699999999999</v>
      </c>
      <c r="P30" s="44">
        <v>0.173708</v>
      </c>
      <c r="Q30" s="44">
        <v>0.17022999999999999</v>
      </c>
      <c r="R30" s="44">
        <v>0.16662299999999999</v>
      </c>
      <c r="S30" s="44">
        <v>0.162883</v>
      </c>
      <c r="T30" s="44">
        <v>0.15951899999999999</v>
      </c>
      <c r="U30" s="44">
        <v>0.15550600000000001</v>
      </c>
      <c r="V30" s="44">
        <v>0.15135299999999999</v>
      </c>
      <c r="W30" s="44">
        <v>0.14705599999999999</v>
      </c>
      <c r="X30" s="44">
        <v>0.14261399999999999</v>
      </c>
      <c r="Y30" s="44">
        <v>0.138021</v>
      </c>
      <c r="Z30" s="44">
        <v>0.13327700000000001</v>
      </c>
      <c r="AA30" s="44">
        <v>0.12837699999999999</v>
      </c>
      <c r="AB30" s="44">
        <v>0.123319</v>
      </c>
      <c r="AC30" s="44">
        <v>0.118099</v>
      </c>
      <c r="AD30" s="44">
        <v>0.112828</v>
      </c>
      <c r="AE30" s="44">
        <v>0.107556</v>
      </c>
      <c r="AF30" s="45">
        <v>-2.2182E-2</v>
      </c>
      <c r="AG30" s="34"/>
    </row>
    <row r="31" spans="1:33">
      <c r="A31" s="33" t="s">
        <v>318</v>
      </c>
      <c r="B31" s="43" t="s">
        <v>319</v>
      </c>
      <c r="C31" s="44">
        <v>0</v>
      </c>
      <c r="D31" s="44">
        <v>0</v>
      </c>
      <c r="E31" s="44">
        <v>0</v>
      </c>
      <c r="F31" s="44">
        <v>0</v>
      </c>
      <c r="G31" s="44">
        <v>0</v>
      </c>
      <c r="H31" s="44">
        <v>0</v>
      </c>
      <c r="I31" s="44">
        <v>0</v>
      </c>
      <c r="J31" s="44">
        <v>0</v>
      </c>
      <c r="K31" s="44">
        <v>0</v>
      </c>
      <c r="L31" s="44">
        <v>0</v>
      </c>
      <c r="M31" s="44">
        <v>0</v>
      </c>
      <c r="N31" s="44">
        <v>0</v>
      </c>
      <c r="O31" s="44">
        <v>0</v>
      </c>
      <c r="P31" s="44">
        <v>0</v>
      </c>
      <c r="Q31" s="44">
        <v>0</v>
      </c>
      <c r="R31" s="44">
        <v>0</v>
      </c>
      <c r="S31" s="44">
        <v>0</v>
      </c>
      <c r="T31" s="44">
        <v>0</v>
      </c>
      <c r="U31" s="44">
        <v>0</v>
      </c>
      <c r="V31" s="44">
        <v>0</v>
      </c>
      <c r="W31" s="44">
        <v>0</v>
      </c>
      <c r="X31" s="44">
        <v>0</v>
      </c>
      <c r="Y31" s="44">
        <v>0</v>
      </c>
      <c r="Z31" s="44">
        <v>0</v>
      </c>
      <c r="AA31" s="44">
        <v>0</v>
      </c>
      <c r="AB31" s="44">
        <v>0</v>
      </c>
      <c r="AC31" s="44">
        <v>0</v>
      </c>
      <c r="AD31" s="44">
        <v>0</v>
      </c>
      <c r="AE31" s="44">
        <v>0</v>
      </c>
      <c r="AF31" s="45" t="s">
        <v>320</v>
      </c>
      <c r="AG31" s="34"/>
    </row>
    <row r="32" spans="1:33">
      <c r="A32" s="33" t="s">
        <v>321</v>
      </c>
      <c r="B32" s="43" t="s">
        <v>322</v>
      </c>
      <c r="C32" s="44">
        <v>1.026E-3</v>
      </c>
      <c r="D32" s="44">
        <v>1.1540000000000001E-3</v>
      </c>
      <c r="E32" s="44">
        <v>1.1590000000000001E-3</v>
      </c>
      <c r="F32" s="44">
        <v>1.1590000000000001E-3</v>
      </c>
      <c r="G32" s="44">
        <v>1.2229999999999999E-3</v>
      </c>
      <c r="H32" s="44">
        <v>1.1590000000000001E-3</v>
      </c>
      <c r="I32" s="44">
        <v>1.2229999999999999E-3</v>
      </c>
      <c r="J32" s="44">
        <v>2.2499999999999998E-3</v>
      </c>
      <c r="K32" s="44">
        <v>1.67E-3</v>
      </c>
      <c r="L32" s="44">
        <v>1.853E-3</v>
      </c>
      <c r="M32" s="44">
        <v>1.884E-3</v>
      </c>
      <c r="N32" s="44">
        <v>2.2499999999999998E-3</v>
      </c>
      <c r="O32" s="44">
        <v>2.2499999999999998E-3</v>
      </c>
      <c r="P32" s="44">
        <v>2.2499999999999998E-3</v>
      </c>
      <c r="Q32" s="44">
        <v>2.2499999999999998E-3</v>
      </c>
      <c r="R32" s="44">
        <v>2.2499999999999998E-3</v>
      </c>
      <c r="S32" s="44">
        <v>2.2499999999999998E-3</v>
      </c>
      <c r="T32" s="44">
        <v>2.2499999999999998E-3</v>
      </c>
      <c r="U32" s="44">
        <v>2.2499999999999998E-3</v>
      </c>
      <c r="V32" s="44">
        <v>2.6819999999999999E-3</v>
      </c>
      <c r="W32" s="44">
        <v>2.2499999999999998E-3</v>
      </c>
      <c r="X32" s="44">
        <v>2.2499999999999998E-3</v>
      </c>
      <c r="Y32" s="44">
        <v>1.9919999999999998E-3</v>
      </c>
      <c r="Z32" s="44">
        <v>1.2229999999999999E-3</v>
      </c>
      <c r="AA32" s="44">
        <v>2.1849999999999999E-3</v>
      </c>
      <c r="AB32" s="44">
        <v>2.1849999999999999E-3</v>
      </c>
      <c r="AC32" s="44">
        <v>2.1849999999999999E-3</v>
      </c>
      <c r="AD32" s="44">
        <v>2.225E-3</v>
      </c>
      <c r="AE32" s="44">
        <v>1.882E-3</v>
      </c>
      <c r="AF32" s="45">
        <v>2.1892000000000002E-2</v>
      </c>
      <c r="AG32" s="34"/>
    </row>
    <row r="33" spans="1:33">
      <c r="A33" s="33" t="s">
        <v>323</v>
      </c>
      <c r="B33" s="43" t="s">
        <v>324</v>
      </c>
      <c r="C33" s="44">
        <v>0.293962</v>
      </c>
      <c r="D33" s="44">
        <v>0.35116999999999998</v>
      </c>
      <c r="E33" s="44">
        <v>0.35675299999999999</v>
      </c>
      <c r="F33" s="44">
        <v>0.34553299999999998</v>
      </c>
      <c r="G33" s="44">
        <v>0.34617300000000001</v>
      </c>
      <c r="H33" s="44">
        <v>0.34665600000000002</v>
      </c>
      <c r="I33" s="44">
        <v>0.28875099999999998</v>
      </c>
      <c r="J33" s="44">
        <v>0.28753899999999999</v>
      </c>
      <c r="K33" s="44">
        <v>0.28999000000000003</v>
      </c>
      <c r="L33" s="44">
        <v>0.29429300000000003</v>
      </c>
      <c r="M33" s="44">
        <v>0.30432100000000001</v>
      </c>
      <c r="N33" s="44">
        <v>0.30665300000000001</v>
      </c>
      <c r="O33" s="44">
        <v>0.31331799999999999</v>
      </c>
      <c r="P33" s="44">
        <v>0.32051800000000003</v>
      </c>
      <c r="Q33" s="44">
        <v>0.32921600000000001</v>
      </c>
      <c r="R33" s="44">
        <v>0.33607500000000001</v>
      </c>
      <c r="S33" s="44">
        <v>0.34183400000000003</v>
      </c>
      <c r="T33" s="44">
        <v>0.34653499999999998</v>
      </c>
      <c r="U33" s="44">
        <v>0.34964499999999998</v>
      </c>
      <c r="V33" s="44">
        <v>0.351831</v>
      </c>
      <c r="W33" s="44">
        <v>0.35354600000000003</v>
      </c>
      <c r="X33" s="44">
        <v>0.35394799999999998</v>
      </c>
      <c r="Y33" s="44">
        <v>0.35300900000000002</v>
      </c>
      <c r="Z33" s="44">
        <v>0.351022</v>
      </c>
      <c r="AA33" s="44">
        <v>0.360933</v>
      </c>
      <c r="AB33" s="44">
        <v>0.37967699999999999</v>
      </c>
      <c r="AC33" s="44">
        <v>0.41957800000000001</v>
      </c>
      <c r="AD33" s="44">
        <v>0.44320199999999998</v>
      </c>
      <c r="AE33" s="44">
        <v>0.45546599999999998</v>
      </c>
      <c r="AF33" s="45">
        <v>1.5761000000000001E-2</v>
      </c>
      <c r="AG33" s="34"/>
    </row>
    <row r="34" spans="1:33">
      <c r="A34" s="30"/>
      <c r="B34" s="34"/>
      <c r="C34" s="34"/>
      <c r="D34" s="34"/>
      <c r="E34" s="34"/>
      <c r="F34" s="34"/>
      <c r="G34" s="34"/>
      <c r="H34" s="34"/>
      <c r="I34" s="34"/>
      <c r="J34" s="34"/>
      <c r="K34" s="34"/>
      <c r="L34" s="34"/>
      <c r="M34" s="34"/>
      <c r="N34" s="34"/>
      <c r="O34" s="34"/>
      <c r="P34" s="34"/>
      <c r="Q34" s="34"/>
      <c r="R34" s="34"/>
      <c r="S34" s="34"/>
      <c r="T34" s="34"/>
      <c r="U34" s="34"/>
      <c r="V34" s="34"/>
      <c r="W34" s="34"/>
      <c r="X34" s="34"/>
      <c r="Y34" s="34"/>
      <c r="Z34" s="34"/>
      <c r="AA34" s="34"/>
      <c r="AB34" s="34"/>
      <c r="AC34" s="34"/>
      <c r="AD34" s="34"/>
      <c r="AE34" s="34"/>
      <c r="AF34" s="34"/>
      <c r="AG34" s="34"/>
    </row>
    <row r="35" spans="1:33">
      <c r="A35" s="33" t="s">
        <v>325</v>
      </c>
      <c r="B35" s="42" t="s">
        <v>326</v>
      </c>
      <c r="C35" s="46">
        <v>8.0840899999999998</v>
      </c>
      <c r="D35" s="46">
        <v>8.6055949999999992</v>
      </c>
      <c r="E35" s="46">
        <v>9.2536000000000005</v>
      </c>
      <c r="F35" s="46">
        <v>10.769812</v>
      </c>
      <c r="G35" s="46">
        <v>12.489632</v>
      </c>
      <c r="H35" s="46">
        <v>14.207677</v>
      </c>
      <c r="I35" s="46">
        <v>15.657</v>
      </c>
      <c r="J35" s="46">
        <v>16.679596</v>
      </c>
      <c r="K35" s="46">
        <v>17.569942000000001</v>
      </c>
      <c r="L35" s="46">
        <v>18.211523</v>
      </c>
      <c r="M35" s="46">
        <v>18.849072</v>
      </c>
      <c r="N35" s="46">
        <v>19.601134999999999</v>
      </c>
      <c r="O35" s="46">
        <v>20.207751999999999</v>
      </c>
      <c r="P35" s="46">
        <v>20.684017000000001</v>
      </c>
      <c r="Q35" s="46">
        <v>21.174015000000001</v>
      </c>
      <c r="R35" s="46">
        <v>21.527521</v>
      </c>
      <c r="S35" s="46">
        <v>21.819600999999999</v>
      </c>
      <c r="T35" s="46">
        <v>21.990220999999998</v>
      </c>
      <c r="U35" s="46">
        <v>22.281153</v>
      </c>
      <c r="V35" s="46">
        <v>22.423573999999999</v>
      </c>
      <c r="W35" s="46">
        <v>22.664766</v>
      </c>
      <c r="X35" s="46">
        <v>22.940054</v>
      </c>
      <c r="Y35" s="46">
        <v>23.344435000000001</v>
      </c>
      <c r="Z35" s="46">
        <v>23.717884000000002</v>
      </c>
      <c r="AA35" s="46">
        <v>24.147013000000001</v>
      </c>
      <c r="AB35" s="46">
        <v>24.507113</v>
      </c>
      <c r="AC35" s="46">
        <v>24.872579999999999</v>
      </c>
      <c r="AD35" s="46">
        <v>25.165534999999998</v>
      </c>
      <c r="AE35" s="46">
        <v>25.597913999999999</v>
      </c>
      <c r="AF35" s="47">
        <v>4.2023999999999999E-2</v>
      </c>
      <c r="AG35" s="34"/>
    </row>
    <row r="36" spans="1:33">
      <c r="A36" s="33" t="s">
        <v>327</v>
      </c>
      <c r="B36" s="43" t="s">
        <v>303</v>
      </c>
      <c r="C36" s="44">
        <v>2.4426809999999999</v>
      </c>
      <c r="D36" s="44">
        <v>2.4475500000000001</v>
      </c>
      <c r="E36" s="44">
        <v>2.491689</v>
      </c>
      <c r="F36" s="44">
        <v>2.5778460000000001</v>
      </c>
      <c r="G36" s="44">
        <v>2.5689220000000001</v>
      </c>
      <c r="H36" s="44">
        <v>2.5460590000000001</v>
      </c>
      <c r="I36" s="44">
        <v>2.5046460000000002</v>
      </c>
      <c r="J36" s="44">
        <v>2.4754890000000001</v>
      </c>
      <c r="K36" s="44">
        <v>2.4467430000000001</v>
      </c>
      <c r="L36" s="44">
        <v>2.425799</v>
      </c>
      <c r="M36" s="44">
        <v>2.409033</v>
      </c>
      <c r="N36" s="44">
        <v>2.4117489999999999</v>
      </c>
      <c r="O36" s="44">
        <v>2.4157820000000001</v>
      </c>
      <c r="P36" s="44">
        <v>2.4193760000000002</v>
      </c>
      <c r="Q36" s="44">
        <v>2.424693</v>
      </c>
      <c r="R36" s="44">
        <v>2.41289</v>
      </c>
      <c r="S36" s="44">
        <v>2.3995289999999998</v>
      </c>
      <c r="T36" s="44">
        <v>2.3755860000000002</v>
      </c>
      <c r="U36" s="44">
        <v>2.3708</v>
      </c>
      <c r="V36" s="44">
        <v>2.3555199999999998</v>
      </c>
      <c r="W36" s="44">
        <v>2.3587880000000001</v>
      </c>
      <c r="X36" s="44">
        <v>2.3520150000000002</v>
      </c>
      <c r="Y36" s="44">
        <v>2.3469769999999999</v>
      </c>
      <c r="Z36" s="44">
        <v>2.343842</v>
      </c>
      <c r="AA36" s="44">
        <v>2.3326199999999999</v>
      </c>
      <c r="AB36" s="44">
        <v>2.325793</v>
      </c>
      <c r="AC36" s="44">
        <v>2.3234539999999999</v>
      </c>
      <c r="AD36" s="44">
        <v>2.3103210000000001</v>
      </c>
      <c r="AE36" s="44">
        <v>2.298403</v>
      </c>
      <c r="AF36" s="45">
        <v>-2.1719999999999999E-3</v>
      </c>
      <c r="AG36" s="34"/>
    </row>
    <row r="37" spans="1:33">
      <c r="A37" s="33" t="s">
        <v>328</v>
      </c>
      <c r="B37" s="43" t="s">
        <v>329</v>
      </c>
      <c r="C37" s="44">
        <v>0.138575</v>
      </c>
      <c r="D37" s="44">
        <v>0.13413900000000001</v>
      </c>
      <c r="E37" s="44">
        <v>0.13885600000000001</v>
      </c>
      <c r="F37" s="44">
        <v>0.14611099999999999</v>
      </c>
      <c r="G37" s="44">
        <v>0.15206600000000001</v>
      </c>
      <c r="H37" s="44">
        <v>0.156023</v>
      </c>
      <c r="I37" s="44">
        <v>0.159828</v>
      </c>
      <c r="J37" s="44">
        <v>0.16723299999999999</v>
      </c>
      <c r="K37" s="44">
        <v>0.174095</v>
      </c>
      <c r="L37" s="44">
        <v>0.17849300000000001</v>
      </c>
      <c r="M37" s="44">
        <v>0.184554</v>
      </c>
      <c r="N37" s="44">
        <v>0.187499</v>
      </c>
      <c r="O37" s="44">
        <v>0.19506599999999999</v>
      </c>
      <c r="P37" s="44">
        <v>0.201046</v>
      </c>
      <c r="Q37" s="44">
        <v>0.21044099999999999</v>
      </c>
      <c r="R37" s="44">
        <v>0.21734200000000001</v>
      </c>
      <c r="S37" s="44">
        <v>0.223436</v>
      </c>
      <c r="T37" s="44">
        <v>0.22589999999999999</v>
      </c>
      <c r="U37" s="44">
        <v>0.22914699999999999</v>
      </c>
      <c r="V37" s="44">
        <v>0.23424600000000001</v>
      </c>
      <c r="W37" s="44">
        <v>0.240622</v>
      </c>
      <c r="X37" s="44">
        <v>0.24477199999999999</v>
      </c>
      <c r="Y37" s="44">
        <v>0.249637</v>
      </c>
      <c r="Z37" s="44">
        <v>0.25794</v>
      </c>
      <c r="AA37" s="44">
        <v>0.26946700000000001</v>
      </c>
      <c r="AB37" s="44">
        <v>0.28115000000000001</v>
      </c>
      <c r="AC37" s="44">
        <v>0.28858800000000001</v>
      </c>
      <c r="AD37" s="44">
        <v>0.29608600000000002</v>
      </c>
      <c r="AE37" s="44">
        <v>0.302234</v>
      </c>
      <c r="AF37" s="45">
        <v>2.8240999999999999E-2</v>
      </c>
      <c r="AG37" s="34"/>
    </row>
    <row r="38" spans="1:33">
      <c r="A38" s="33" t="s">
        <v>330</v>
      </c>
      <c r="B38" s="43" t="s">
        <v>331</v>
      </c>
      <c r="C38" s="44">
        <v>0.22191</v>
      </c>
      <c r="D38" s="44">
        <v>0.22822400000000001</v>
      </c>
      <c r="E38" s="44">
        <v>0.23389199999999999</v>
      </c>
      <c r="F38" s="44">
        <v>0.23910899999999999</v>
      </c>
      <c r="G38" s="44">
        <v>0.244032</v>
      </c>
      <c r="H38" s="44">
        <v>0.25166899999999998</v>
      </c>
      <c r="I38" s="44">
        <v>0.25515500000000002</v>
      </c>
      <c r="J38" s="44">
        <v>0.26226699999999997</v>
      </c>
      <c r="K38" s="44">
        <v>0.27031699999999997</v>
      </c>
      <c r="L38" s="44">
        <v>0.27827200000000002</v>
      </c>
      <c r="M38" s="44">
        <v>0.28557900000000003</v>
      </c>
      <c r="N38" s="44">
        <v>0.29682999999999998</v>
      </c>
      <c r="O38" s="44">
        <v>0.30375600000000003</v>
      </c>
      <c r="P38" s="44">
        <v>0.31219200000000003</v>
      </c>
      <c r="Q38" s="44">
        <v>0.32144499999999998</v>
      </c>
      <c r="R38" s="44">
        <v>0.330951</v>
      </c>
      <c r="S38" s="44">
        <v>0.34223100000000001</v>
      </c>
      <c r="T38" s="44">
        <v>0.35276000000000002</v>
      </c>
      <c r="U38" s="44">
        <v>0.36073</v>
      </c>
      <c r="V38" s="44">
        <v>0.36913899999999999</v>
      </c>
      <c r="W38" s="44">
        <v>0.37791400000000003</v>
      </c>
      <c r="X38" s="44">
        <v>0.38653799999999999</v>
      </c>
      <c r="Y38" s="44">
        <v>0.39555499999999999</v>
      </c>
      <c r="Z38" s="44">
        <v>0.40465499999999999</v>
      </c>
      <c r="AA38" s="44">
        <v>0.41011900000000001</v>
      </c>
      <c r="AB38" s="44">
        <v>0.41692600000000002</v>
      </c>
      <c r="AC38" s="44">
        <v>0.42285099999999998</v>
      </c>
      <c r="AD38" s="44">
        <v>0.42875000000000002</v>
      </c>
      <c r="AE38" s="44">
        <v>0.43554999999999999</v>
      </c>
      <c r="AF38" s="45">
        <v>2.4375999999999998E-2</v>
      </c>
      <c r="AG38" s="34"/>
    </row>
    <row r="39" spans="1:33">
      <c r="A39" s="33" t="s">
        <v>332</v>
      </c>
      <c r="B39" s="43" t="s">
        <v>307</v>
      </c>
      <c r="C39" s="44">
        <v>0.18033099999999999</v>
      </c>
      <c r="D39" s="44">
        <v>0.19247300000000001</v>
      </c>
      <c r="E39" s="44">
        <v>0.180116</v>
      </c>
      <c r="F39" s="44">
        <v>0.181063</v>
      </c>
      <c r="G39" s="44">
        <v>0.17774899999999999</v>
      </c>
      <c r="H39" s="44">
        <v>0.17513100000000001</v>
      </c>
      <c r="I39" s="44">
        <v>0.16562299999999999</v>
      </c>
      <c r="J39" s="44">
        <v>0.16134599999999999</v>
      </c>
      <c r="K39" s="44">
        <v>0.161241</v>
      </c>
      <c r="L39" s="44">
        <v>0.162494</v>
      </c>
      <c r="M39" s="44">
        <v>0.162658</v>
      </c>
      <c r="N39" s="44">
        <v>0.16386800000000001</v>
      </c>
      <c r="O39" s="44">
        <v>0.163854</v>
      </c>
      <c r="P39" s="44">
        <v>0.16414899999999999</v>
      </c>
      <c r="Q39" s="44">
        <v>0.16386200000000001</v>
      </c>
      <c r="R39" s="44">
        <v>0.16453699999999999</v>
      </c>
      <c r="S39" s="44">
        <v>0.16523299999999999</v>
      </c>
      <c r="T39" s="44">
        <v>0.16527900000000001</v>
      </c>
      <c r="U39" s="44">
        <v>0.16547999999999999</v>
      </c>
      <c r="V39" s="44">
        <v>0.165659</v>
      </c>
      <c r="W39" s="44">
        <v>0.16476299999999999</v>
      </c>
      <c r="X39" s="44">
        <v>0.16476499999999999</v>
      </c>
      <c r="Y39" s="44">
        <v>0.164578</v>
      </c>
      <c r="Z39" s="44">
        <v>0.16470000000000001</v>
      </c>
      <c r="AA39" s="44">
        <v>0.170629</v>
      </c>
      <c r="AB39" s="44">
        <v>0.17097200000000001</v>
      </c>
      <c r="AC39" s="44">
        <v>0.17146400000000001</v>
      </c>
      <c r="AD39" s="44">
        <v>0.176981</v>
      </c>
      <c r="AE39" s="44">
        <v>0.17775199999999999</v>
      </c>
      <c r="AF39" s="45">
        <v>-5.1400000000000003E-4</v>
      </c>
      <c r="AG39" s="34"/>
    </row>
    <row r="40" spans="1:33">
      <c r="A40" s="33" t="s">
        <v>333</v>
      </c>
      <c r="B40" s="43" t="s">
        <v>334</v>
      </c>
      <c r="C40" s="44">
        <v>0.146924</v>
      </c>
      <c r="D40" s="44">
        <v>0.157217</v>
      </c>
      <c r="E40" s="44">
        <v>0.148088</v>
      </c>
      <c r="F40" s="44">
        <v>0.14910599999999999</v>
      </c>
      <c r="G40" s="44">
        <v>0.14580699999999999</v>
      </c>
      <c r="H40" s="44">
        <v>0.14333799999999999</v>
      </c>
      <c r="I40" s="44">
        <v>0.13547999999999999</v>
      </c>
      <c r="J40" s="44">
        <v>0.131939</v>
      </c>
      <c r="K40" s="44">
        <v>0.13194900000000001</v>
      </c>
      <c r="L40" s="44">
        <v>0.133298</v>
      </c>
      <c r="M40" s="44">
        <v>0.133607</v>
      </c>
      <c r="N40" s="44">
        <v>0.13406899999999999</v>
      </c>
      <c r="O40" s="44">
        <v>0.13417799999999999</v>
      </c>
      <c r="P40" s="44">
        <v>0.13406799999999999</v>
      </c>
      <c r="Q40" s="44">
        <v>0.13386600000000001</v>
      </c>
      <c r="R40" s="44">
        <v>0.13447400000000001</v>
      </c>
      <c r="S40" s="44">
        <v>0.13528299999999999</v>
      </c>
      <c r="T40" s="44">
        <v>0.135296</v>
      </c>
      <c r="U40" s="44">
        <v>0.13552</v>
      </c>
      <c r="V40" s="44">
        <v>0.13550300000000001</v>
      </c>
      <c r="W40" s="44">
        <v>0.134629</v>
      </c>
      <c r="X40" s="44">
        <v>0.1346</v>
      </c>
      <c r="Y40" s="44">
        <v>0.134432</v>
      </c>
      <c r="Z40" s="44">
        <v>0.13452700000000001</v>
      </c>
      <c r="AA40" s="44">
        <v>0.140319</v>
      </c>
      <c r="AB40" s="44">
        <v>0.14061399999999999</v>
      </c>
      <c r="AC40" s="44">
        <v>0.14099</v>
      </c>
      <c r="AD40" s="44">
        <v>0.146394</v>
      </c>
      <c r="AE40" s="44">
        <v>0.14705699999999999</v>
      </c>
      <c r="AF40" s="45">
        <v>3.1999999999999999E-5</v>
      </c>
      <c r="AG40" s="34"/>
    </row>
    <row r="41" spans="1:33">
      <c r="A41" s="33" t="s">
        <v>335</v>
      </c>
      <c r="B41" s="43" t="s">
        <v>336</v>
      </c>
      <c r="C41" s="44">
        <v>3.3406999999999999E-2</v>
      </c>
      <c r="D41" s="44">
        <v>3.5255000000000002E-2</v>
      </c>
      <c r="E41" s="44">
        <v>3.2028000000000001E-2</v>
      </c>
      <c r="F41" s="44">
        <v>3.1956999999999999E-2</v>
      </c>
      <c r="G41" s="44">
        <v>3.1941999999999998E-2</v>
      </c>
      <c r="H41" s="44">
        <v>3.1793000000000002E-2</v>
      </c>
      <c r="I41" s="44">
        <v>3.0144000000000001E-2</v>
      </c>
      <c r="J41" s="44">
        <v>2.9406999999999999E-2</v>
      </c>
      <c r="K41" s="44">
        <v>2.9291999999999999E-2</v>
      </c>
      <c r="L41" s="44">
        <v>2.9196E-2</v>
      </c>
      <c r="M41" s="44">
        <v>2.9051E-2</v>
      </c>
      <c r="N41" s="44">
        <v>2.9798999999999999E-2</v>
      </c>
      <c r="O41" s="44">
        <v>2.9675E-2</v>
      </c>
      <c r="P41" s="44">
        <v>3.0081E-2</v>
      </c>
      <c r="Q41" s="44">
        <v>2.9995000000000001E-2</v>
      </c>
      <c r="R41" s="44">
        <v>3.0062999999999999E-2</v>
      </c>
      <c r="S41" s="44">
        <v>2.9950999999999998E-2</v>
      </c>
      <c r="T41" s="44">
        <v>2.9982999999999999E-2</v>
      </c>
      <c r="U41" s="44">
        <v>2.9960000000000001E-2</v>
      </c>
      <c r="V41" s="44">
        <v>3.0157E-2</v>
      </c>
      <c r="W41" s="44">
        <v>3.0133E-2</v>
      </c>
      <c r="X41" s="44">
        <v>3.0165000000000001E-2</v>
      </c>
      <c r="Y41" s="44">
        <v>3.0145999999999999E-2</v>
      </c>
      <c r="Z41" s="44">
        <v>3.0172999999999998E-2</v>
      </c>
      <c r="AA41" s="44">
        <v>3.031E-2</v>
      </c>
      <c r="AB41" s="44">
        <v>3.0358E-2</v>
      </c>
      <c r="AC41" s="44">
        <v>3.0474000000000001E-2</v>
      </c>
      <c r="AD41" s="44">
        <v>3.0587E-2</v>
      </c>
      <c r="AE41" s="44">
        <v>3.0695E-2</v>
      </c>
      <c r="AF41" s="45">
        <v>-3.019E-3</v>
      </c>
      <c r="AG41" s="34"/>
    </row>
    <row r="42" spans="1:33">
      <c r="A42" s="33" t="s">
        <v>337</v>
      </c>
      <c r="B42" s="43" t="s">
        <v>338</v>
      </c>
      <c r="C42" s="44">
        <v>2.6096999999999999E-2</v>
      </c>
      <c r="D42" s="44">
        <v>2.6141999999999999E-2</v>
      </c>
      <c r="E42" s="44">
        <v>2.5590000000000002E-2</v>
      </c>
      <c r="F42" s="44">
        <v>2.5611999999999999E-2</v>
      </c>
      <c r="G42" s="44">
        <v>2.5363E-2</v>
      </c>
      <c r="H42" s="44">
        <v>2.5058E-2</v>
      </c>
      <c r="I42" s="44">
        <v>2.4745E-2</v>
      </c>
      <c r="J42" s="44">
        <v>2.4274E-2</v>
      </c>
      <c r="K42" s="44">
        <v>2.4035999999999998E-2</v>
      </c>
      <c r="L42" s="44">
        <v>2.384E-2</v>
      </c>
      <c r="M42" s="44">
        <v>2.2006999999999999E-2</v>
      </c>
      <c r="N42" s="44">
        <v>2.1625999999999999E-2</v>
      </c>
      <c r="O42" s="44">
        <v>2.0728E-2</v>
      </c>
      <c r="P42" s="44">
        <v>2.0643999999999999E-2</v>
      </c>
      <c r="Q42" s="44">
        <v>1.9789000000000001E-2</v>
      </c>
      <c r="R42" s="44">
        <v>1.9886000000000001E-2</v>
      </c>
      <c r="S42" s="44">
        <v>2.0183E-2</v>
      </c>
      <c r="T42" s="44">
        <v>2.0372999999999999E-2</v>
      </c>
      <c r="U42" s="44">
        <v>1.9944E-2</v>
      </c>
      <c r="V42" s="44">
        <v>1.9694E-2</v>
      </c>
      <c r="W42" s="44">
        <v>1.9015000000000001E-2</v>
      </c>
      <c r="X42" s="44">
        <v>1.8082000000000001E-2</v>
      </c>
      <c r="Y42" s="44">
        <v>1.7749000000000001E-2</v>
      </c>
      <c r="Z42" s="44">
        <v>1.7330000000000002E-2</v>
      </c>
      <c r="AA42" s="44">
        <v>1.7052000000000001E-2</v>
      </c>
      <c r="AB42" s="44">
        <v>1.6774000000000001E-2</v>
      </c>
      <c r="AC42" s="44">
        <v>1.6618999999999998E-2</v>
      </c>
      <c r="AD42" s="44">
        <v>1.6455000000000001E-2</v>
      </c>
      <c r="AE42" s="44">
        <v>1.6648E-2</v>
      </c>
      <c r="AF42" s="45">
        <v>-1.5925999999999999E-2</v>
      </c>
      <c r="AG42" s="34"/>
    </row>
    <row r="43" spans="1:33">
      <c r="A43" s="33" t="s">
        <v>339</v>
      </c>
      <c r="B43" s="43" t="s">
        <v>340</v>
      </c>
      <c r="C43" s="44">
        <v>1.1771119999999999</v>
      </c>
      <c r="D43" s="44">
        <v>1.5201910000000001</v>
      </c>
      <c r="E43" s="44">
        <v>2.1368870000000002</v>
      </c>
      <c r="F43" s="44">
        <v>3.17957</v>
      </c>
      <c r="G43" s="44">
        <v>4.3258409999999996</v>
      </c>
      <c r="H43" s="44">
        <v>5.3526850000000001</v>
      </c>
      <c r="I43" s="44">
        <v>5.9587370000000002</v>
      </c>
      <c r="J43" s="44">
        <v>6.2759790000000004</v>
      </c>
      <c r="K43" s="44">
        <v>6.4780049999999996</v>
      </c>
      <c r="L43" s="44">
        <v>6.8251410000000003</v>
      </c>
      <c r="M43" s="44">
        <v>7.3162960000000004</v>
      </c>
      <c r="N43" s="44">
        <v>7.6675360000000001</v>
      </c>
      <c r="O43" s="44">
        <v>7.9986519999999999</v>
      </c>
      <c r="P43" s="44">
        <v>8.1919170000000001</v>
      </c>
      <c r="Q43" s="44">
        <v>8.5402360000000002</v>
      </c>
      <c r="R43" s="44">
        <v>8.8807010000000002</v>
      </c>
      <c r="S43" s="44">
        <v>9.2025190000000006</v>
      </c>
      <c r="T43" s="44">
        <v>9.3771719999999998</v>
      </c>
      <c r="U43" s="44">
        <v>9.6797719999999998</v>
      </c>
      <c r="V43" s="44">
        <v>9.8126370000000005</v>
      </c>
      <c r="W43" s="44">
        <v>10.017440000000001</v>
      </c>
      <c r="X43" s="44">
        <v>10.248034000000001</v>
      </c>
      <c r="Y43" s="44">
        <v>10.580895</v>
      </c>
      <c r="Z43" s="44">
        <v>10.882163</v>
      </c>
      <c r="AA43" s="44">
        <v>11.308514000000001</v>
      </c>
      <c r="AB43" s="44">
        <v>11.581096000000001</v>
      </c>
      <c r="AC43" s="44">
        <v>11.847967000000001</v>
      </c>
      <c r="AD43" s="44">
        <v>12.144064999999999</v>
      </c>
      <c r="AE43" s="44">
        <v>12.509926</v>
      </c>
      <c r="AF43" s="45">
        <v>8.8074E-2</v>
      </c>
      <c r="AG43" s="34"/>
    </row>
    <row r="44" spans="1:33">
      <c r="A44" s="33" t="s">
        <v>341</v>
      </c>
      <c r="B44" s="43" t="s">
        <v>342</v>
      </c>
      <c r="C44" s="44">
        <v>3.8973849999999999</v>
      </c>
      <c r="D44" s="44">
        <v>4.0568759999999999</v>
      </c>
      <c r="E44" s="44">
        <v>4.0465689999999999</v>
      </c>
      <c r="F44" s="44">
        <v>4.4204990000000004</v>
      </c>
      <c r="G44" s="44">
        <v>4.9956579999999997</v>
      </c>
      <c r="H44" s="44">
        <v>5.7010519999999998</v>
      </c>
      <c r="I44" s="44">
        <v>6.588266</v>
      </c>
      <c r="J44" s="44">
        <v>7.313008</v>
      </c>
      <c r="K44" s="44">
        <v>8.0155049999999992</v>
      </c>
      <c r="L44" s="44">
        <v>8.317482</v>
      </c>
      <c r="M44" s="44">
        <v>8.4689440000000005</v>
      </c>
      <c r="N44" s="44">
        <v>8.8520240000000001</v>
      </c>
      <c r="O44" s="44">
        <v>9.1099150000000009</v>
      </c>
      <c r="P44" s="44">
        <v>9.3746930000000006</v>
      </c>
      <c r="Q44" s="44">
        <v>9.4935489999999998</v>
      </c>
      <c r="R44" s="44">
        <v>9.5012129999999999</v>
      </c>
      <c r="S44" s="44">
        <v>9.4664699999999993</v>
      </c>
      <c r="T44" s="44">
        <v>9.4731489999999994</v>
      </c>
      <c r="U44" s="44">
        <v>9.4552800000000001</v>
      </c>
      <c r="V44" s="44">
        <v>9.4666809999999995</v>
      </c>
      <c r="W44" s="44">
        <v>9.4862249999999992</v>
      </c>
      <c r="X44" s="44">
        <v>9.5258459999999996</v>
      </c>
      <c r="Y44" s="44">
        <v>9.5890430000000002</v>
      </c>
      <c r="Z44" s="44">
        <v>9.6472519999999999</v>
      </c>
      <c r="AA44" s="44">
        <v>9.6386099999999999</v>
      </c>
      <c r="AB44" s="44">
        <v>9.7144030000000008</v>
      </c>
      <c r="AC44" s="44">
        <v>9.8016349999999992</v>
      </c>
      <c r="AD44" s="44">
        <v>9.792878</v>
      </c>
      <c r="AE44" s="44">
        <v>9.8574029999999997</v>
      </c>
      <c r="AF44" s="45">
        <v>3.3695000000000003E-2</v>
      </c>
      <c r="AG44" s="34"/>
    </row>
    <row r="45" spans="1:33">
      <c r="A45" s="30"/>
      <c r="B45" s="34"/>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34"/>
    </row>
    <row r="46" spans="1:33">
      <c r="A46" s="33" t="s">
        <v>343</v>
      </c>
      <c r="B46" s="42" t="s">
        <v>344</v>
      </c>
      <c r="C46" s="46">
        <v>12.806632</v>
      </c>
      <c r="D46" s="46">
        <v>13.546563000000001</v>
      </c>
      <c r="E46" s="46">
        <v>14.092015</v>
      </c>
      <c r="F46" s="46">
        <v>15.552782000000001</v>
      </c>
      <c r="G46" s="46">
        <v>17.248374999999999</v>
      </c>
      <c r="H46" s="46">
        <v>18.956731999999999</v>
      </c>
      <c r="I46" s="46">
        <v>20.29533</v>
      </c>
      <c r="J46" s="46">
        <v>21.314304</v>
      </c>
      <c r="K46" s="46">
        <v>22.197727</v>
      </c>
      <c r="L46" s="46">
        <v>22.835978000000001</v>
      </c>
      <c r="M46" s="46">
        <v>23.473590999999999</v>
      </c>
      <c r="N46" s="46">
        <v>24.228859</v>
      </c>
      <c r="O46" s="46">
        <v>24.840157000000001</v>
      </c>
      <c r="P46" s="46">
        <v>25.325614999999999</v>
      </c>
      <c r="Q46" s="46">
        <v>25.811091999999999</v>
      </c>
      <c r="R46" s="46">
        <v>26.165939000000002</v>
      </c>
      <c r="S46" s="46">
        <v>26.458969</v>
      </c>
      <c r="T46" s="46">
        <v>26.633887999999999</v>
      </c>
      <c r="U46" s="46">
        <v>26.933115000000001</v>
      </c>
      <c r="V46" s="46">
        <v>27.093468000000001</v>
      </c>
      <c r="W46" s="46">
        <v>27.345759999999999</v>
      </c>
      <c r="X46" s="46">
        <v>27.631160999999999</v>
      </c>
      <c r="Y46" s="46">
        <v>28.036123</v>
      </c>
      <c r="Z46" s="46">
        <v>28.413322000000001</v>
      </c>
      <c r="AA46" s="46">
        <v>28.869313999999999</v>
      </c>
      <c r="AB46" s="46">
        <v>29.271667000000001</v>
      </c>
      <c r="AC46" s="46">
        <v>29.704913999999999</v>
      </c>
      <c r="AD46" s="46">
        <v>30.040731000000001</v>
      </c>
      <c r="AE46" s="46">
        <v>30.511296999999999</v>
      </c>
      <c r="AF46" s="47">
        <v>3.1489999999999997E-2</v>
      </c>
      <c r="AG46" s="34"/>
    </row>
    <row r="47" spans="1:33">
      <c r="A47" s="30"/>
      <c r="B47" s="34"/>
      <c r="C47" s="34"/>
      <c r="D47" s="34"/>
      <c r="E47" s="34"/>
      <c r="F47" s="34"/>
      <c r="G47" s="34"/>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row>
    <row r="48" spans="1:33">
      <c r="A48" s="30"/>
      <c r="B48" s="42" t="s">
        <v>345</v>
      </c>
      <c r="C48" s="34"/>
      <c r="D48" s="34"/>
      <c r="E48" s="34"/>
      <c r="F48" s="34"/>
      <c r="G48" s="34"/>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row>
    <row r="49" spans="1:33">
      <c r="A49" s="33" t="s">
        <v>346</v>
      </c>
      <c r="B49" s="43" t="s">
        <v>347</v>
      </c>
      <c r="C49" s="44">
        <v>1.2631540000000001</v>
      </c>
      <c r="D49" s="44">
        <v>1.2392799999999999</v>
      </c>
      <c r="E49" s="44">
        <v>1.3242309999999999</v>
      </c>
      <c r="F49" s="44">
        <v>1.3184070000000001</v>
      </c>
      <c r="G49" s="44">
        <v>1.315272</v>
      </c>
      <c r="H49" s="44">
        <v>1.3134950000000001</v>
      </c>
      <c r="I49" s="44">
        <v>1.317761</v>
      </c>
      <c r="J49" s="44">
        <v>1.3133840000000001</v>
      </c>
      <c r="K49" s="44">
        <v>1.305957</v>
      </c>
      <c r="L49" s="44">
        <v>1.3003089999999999</v>
      </c>
      <c r="M49" s="44">
        <v>1.2950349999999999</v>
      </c>
      <c r="N49" s="44">
        <v>1.293353</v>
      </c>
      <c r="O49" s="44">
        <v>1.293118</v>
      </c>
      <c r="P49" s="44">
        <v>1.302341</v>
      </c>
      <c r="Q49" s="44">
        <v>1.3012250000000001</v>
      </c>
      <c r="R49" s="44">
        <v>1.302217</v>
      </c>
      <c r="S49" s="44">
        <v>1.3045629999999999</v>
      </c>
      <c r="T49" s="44">
        <v>1.307725</v>
      </c>
      <c r="U49" s="44">
        <v>1.313264</v>
      </c>
      <c r="V49" s="44">
        <v>1.330781</v>
      </c>
      <c r="W49" s="44">
        <v>1.33853</v>
      </c>
      <c r="X49" s="44">
        <v>1.347896</v>
      </c>
      <c r="Y49" s="44">
        <v>1.3498380000000001</v>
      </c>
      <c r="Z49" s="44">
        <v>1.3595170000000001</v>
      </c>
      <c r="AA49" s="44">
        <v>1.375432</v>
      </c>
      <c r="AB49" s="44">
        <v>1.3925050000000001</v>
      </c>
      <c r="AC49" s="44">
        <v>1.4234519999999999</v>
      </c>
      <c r="AD49" s="44">
        <v>1.43737</v>
      </c>
      <c r="AE49" s="44">
        <v>1.4473229999999999</v>
      </c>
      <c r="AF49" s="45">
        <v>4.8729999999999997E-3</v>
      </c>
      <c r="AG49" s="34"/>
    </row>
    <row r="50" spans="1:33" ht="15" customHeight="1">
      <c r="A50" s="33" t="s">
        <v>348</v>
      </c>
      <c r="B50" s="43" t="s">
        <v>349</v>
      </c>
      <c r="C50" s="44">
        <v>1.4549999999999999E-3</v>
      </c>
      <c r="D50" s="44">
        <v>1.397E-3</v>
      </c>
      <c r="E50" s="44">
        <v>1.4679999999999999E-3</v>
      </c>
      <c r="F50" s="44">
        <v>1.4679999999999999E-3</v>
      </c>
      <c r="G50" s="44">
        <v>1.4679999999999999E-3</v>
      </c>
      <c r="H50" s="44">
        <v>1.4679999999999999E-3</v>
      </c>
      <c r="I50" s="44">
        <v>1.4679999999999999E-3</v>
      </c>
      <c r="J50" s="44">
        <v>4.6299999999999998E-4</v>
      </c>
      <c r="K50" s="44">
        <v>1.031E-3</v>
      </c>
      <c r="L50" s="44">
        <v>8.5099999999999998E-4</v>
      </c>
      <c r="M50" s="44">
        <v>8.1999999999999998E-4</v>
      </c>
      <c r="N50" s="44">
        <v>4.6299999999999998E-4</v>
      </c>
      <c r="O50" s="44">
        <v>4.6299999999999998E-4</v>
      </c>
      <c r="P50" s="44">
        <v>4.6299999999999998E-4</v>
      </c>
      <c r="Q50" s="44">
        <v>4.6299999999999998E-4</v>
      </c>
      <c r="R50" s="44">
        <v>4.6299999999999998E-4</v>
      </c>
      <c r="S50" s="44">
        <v>4.6299999999999998E-4</v>
      </c>
      <c r="T50" s="44">
        <v>4.6299999999999998E-4</v>
      </c>
      <c r="U50" s="44">
        <v>4.6299999999999998E-4</v>
      </c>
      <c r="V50" s="44">
        <v>3.8999999999999999E-5</v>
      </c>
      <c r="W50" s="44">
        <v>4.6299999999999998E-4</v>
      </c>
      <c r="X50" s="44">
        <v>4.6299999999999998E-4</v>
      </c>
      <c r="Y50" s="44">
        <v>7.1500000000000003E-4</v>
      </c>
      <c r="Z50" s="44">
        <v>1.4679999999999999E-3</v>
      </c>
      <c r="AA50" s="44">
        <v>4.6299999999999998E-4</v>
      </c>
      <c r="AB50" s="44">
        <v>4.6299999999999998E-4</v>
      </c>
      <c r="AC50" s="44">
        <v>4.6299999999999998E-4</v>
      </c>
      <c r="AD50" s="44">
        <v>4.2400000000000001E-4</v>
      </c>
      <c r="AE50" s="44">
        <v>8.2299999999999995E-4</v>
      </c>
      <c r="AF50" s="45">
        <v>-2.0153999999999998E-2</v>
      </c>
      <c r="AG50" s="34"/>
    </row>
    <row r="51" spans="1:33" ht="15" customHeight="1">
      <c r="A51" s="33" t="s">
        <v>350</v>
      </c>
      <c r="B51" s="43" t="s">
        <v>351</v>
      </c>
      <c r="C51" s="44">
        <v>-0.117203</v>
      </c>
      <c r="D51" s="44">
        <v>-9.5380000000000006E-2</v>
      </c>
      <c r="E51" s="44">
        <v>-0.152586</v>
      </c>
      <c r="F51" s="44">
        <v>-0.15639900000000001</v>
      </c>
      <c r="G51" s="44">
        <v>-0.160302</v>
      </c>
      <c r="H51" s="44">
        <v>-0.16431100000000001</v>
      </c>
      <c r="I51" s="44">
        <v>-0.17644499999999999</v>
      </c>
      <c r="J51" s="44">
        <v>-0.18085000000000001</v>
      </c>
      <c r="K51" s="44">
        <v>-0.185365</v>
      </c>
      <c r="L51" s="44">
        <v>-0.19000700000000001</v>
      </c>
      <c r="M51" s="44">
        <v>-0.19475899999999999</v>
      </c>
      <c r="N51" s="44">
        <v>-0.19962199999999999</v>
      </c>
      <c r="O51" s="44">
        <v>-0.20461099999999999</v>
      </c>
      <c r="P51" s="44">
        <v>-0.21925900000000001</v>
      </c>
      <c r="Q51" s="44">
        <v>-0.22473899999999999</v>
      </c>
      <c r="R51" s="44">
        <v>-0.23036699999999999</v>
      </c>
      <c r="S51" s="44">
        <v>-0.236128</v>
      </c>
      <c r="T51" s="44">
        <v>-0.24202000000000001</v>
      </c>
      <c r="U51" s="44">
        <v>-0.24807799999999999</v>
      </c>
      <c r="V51" s="44">
        <v>-0.26534000000000002</v>
      </c>
      <c r="W51" s="44">
        <v>-0.27197100000000002</v>
      </c>
      <c r="X51" s="44">
        <v>-0.27877400000000002</v>
      </c>
      <c r="Y51" s="44">
        <v>-0.27644299999999999</v>
      </c>
      <c r="Z51" s="44">
        <v>-0.280831</v>
      </c>
      <c r="AA51" s="44">
        <v>-0.28769099999999997</v>
      </c>
      <c r="AB51" s="44">
        <v>-0.29488700000000001</v>
      </c>
      <c r="AC51" s="44">
        <v>-0.31539</v>
      </c>
      <c r="AD51" s="44">
        <v>-0.31751099999999999</v>
      </c>
      <c r="AE51" s="44">
        <v>-0.31398500000000001</v>
      </c>
      <c r="AF51" s="45">
        <v>3.5820999999999999E-2</v>
      </c>
      <c r="AG51" s="34"/>
    </row>
    <row r="52" spans="1:33" ht="15" customHeight="1">
      <c r="A52" s="33" t="s">
        <v>352</v>
      </c>
      <c r="B52" s="42" t="s">
        <v>353</v>
      </c>
      <c r="C52" s="46">
        <v>1.1474059999999999</v>
      </c>
      <c r="D52" s="46">
        <v>1.145297</v>
      </c>
      <c r="E52" s="46">
        <v>1.1731119999999999</v>
      </c>
      <c r="F52" s="46">
        <v>1.163476</v>
      </c>
      <c r="G52" s="46">
        <v>1.1564380000000001</v>
      </c>
      <c r="H52" s="46">
        <v>1.150652</v>
      </c>
      <c r="I52" s="46">
        <v>1.142784</v>
      </c>
      <c r="J52" s="46">
        <v>1.132997</v>
      </c>
      <c r="K52" s="46">
        <v>1.1216219999999999</v>
      </c>
      <c r="L52" s="46">
        <v>1.1111530000000001</v>
      </c>
      <c r="M52" s="46">
        <v>1.1010960000000001</v>
      </c>
      <c r="N52" s="46">
        <v>1.0941940000000001</v>
      </c>
      <c r="O52" s="46">
        <v>1.0889690000000001</v>
      </c>
      <c r="P52" s="46">
        <v>1.083545</v>
      </c>
      <c r="Q52" s="46">
        <v>1.076948</v>
      </c>
      <c r="R52" s="46">
        <v>1.0723130000000001</v>
      </c>
      <c r="S52" s="46">
        <v>1.068897</v>
      </c>
      <c r="T52" s="46">
        <v>1.066168</v>
      </c>
      <c r="U52" s="46">
        <v>1.0656490000000001</v>
      </c>
      <c r="V52" s="46">
        <v>1.0654809999999999</v>
      </c>
      <c r="W52" s="46">
        <v>1.0670219999999999</v>
      </c>
      <c r="X52" s="46">
        <v>1.069585</v>
      </c>
      <c r="Y52" s="46">
        <v>1.074109</v>
      </c>
      <c r="Z52" s="46">
        <v>1.0801540000000001</v>
      </c>
      <c r="AA52" s="46">
        <v>1.088203</v>
      </c>
      <c r="AB52" s="46">
        <v>1.0980799999999999</v>
      </c>
      <c r="AC52" s="46">
        <v>1.108525</v>
      </c>
      <c r="AD52" s="46">
        <v>1.120282</v>
      </c>
      <c r="AE52" s="46">
        <v>1.134161</v>
      </c>
      <c r="AF52" s="47">
        <v>-4.15E-4</v>
      </c>
      <c r="AG52" s="34"/>
    </row>
    <row r="53" spans="1:33" ht="15" customHeight="1">
      <c r="A53" s="30"/>
      <c r="B53" s="34"/>
      <c r="C53" s="34"/>
      <c r="D53" s="34"/>
      <c r="E53" s="34"/>
      <c r="F53" s="34"/>
      <c r="G53" s="34"/>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row>
    <row r="54" spans="1:33" ht="15" customHeight="1">
      <c r="A54" s="30"/>
      <c r="B54" s="34"/>
      <c r="C54" s="34"/>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row>
    <row r="55" spans="1:33" ht="15" customHeight="1">
      <c r="A55" s="30"/>
      <c r="B55" s="42" t="s">
        <v>354</v>
      </c>
      <c r="C55" s="34"/>
      <c r="D55" s="34"/>
      <c r="E55" s="34"/>
      <c r="F55" s="34"/>
      <c r="G55" s="34"/>
      <c r="H55" s="34"/>
      <c r="I55" s="34"/>
      <c r="J55" s="34"/>
      <c r="K55" s="34"/>
      <c r="L55" s="34"/>
      <c r="M55" s="34"/>
      <c r="N55" s="34"/>
      <c r="O55" s="34"/>
      <c r="P55" s="34"/>
      <c r="Q55" s="34"/>
      <c r="R55" s="34"/>
      <c r="S55" s="34"/>
      <c r="T55" s="34"/>
      <c r="U55" s="34"/>
      <c r="V55" s="34"/>
      <c r="W55" s="34"/>
      <c r="X55" s="34"/>
      <c r="Y55" s="34"/>
      <c r="Z55" s="34"/>
      <c r="AA55" s="34"/>
      <c r="AB55" s="34"/>
      <c r="AC55" s="34"/>
      <c r="AD55" s="34"/>
      <c r="AE55" s="34"/>
      <c r="AF55" s="34"/>
      <c r="AG55" s="34"/>
    </row>
    <row r="56" spans="1:33" ht="15" customHeight="1">
      <c r="A56" s="30"/>
      <c r="B56" s="42" t="s">
        <v>355</v>
      </c>
      <c r="C56" s="34"/>
      <c r="D56" s="34"/>
      <c r="E56" s="34"/>
      <c r="F56" s="34"/>
      <c r="G56" s="34"/>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row>
    <row r="57" spans="1:33" ht="15" customHeight="1">
      <c r="A57" s="30"/>
      <c r="B57" s="34"/>
      <c r="C57" s="34"/>
      <c r="D57" s="34"/>
      <c r="E57" s="34"/>
      <c r="F57" s="34"/>
      <c r="G57" s="34"/>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row>
    <row r="58" spans="1:33" ht="15" customHeight="1">
      <c r="A58" s="33" t="s">
        <v>356</v>
      </c>
      <c r="B58" s="42" t="s">
        <v>357</v>
      </c>
      <c r="C58" s="46">
        <v>0.39321899999999999</v>
      </c>
      <c r="D58" s="46">
        <v>0.43436599999999997</v>
      </c>
      <c r="E58" s="46">
        <v>0.48979299999999998</v>
      </c>
      <c r="F58" s="46">
        <v>0.53656400000000004</v>
      </c>
      <c r="G58" s="46">
        <v>0.58183300000000004</v>
      </c>
      <c r="H58" s="46">
        <v>0.62953099999999995</v>
      </c>
      <c r="I58" s="46">
        <v>0.67619799999999997</v>
      </c>
      <c r="J58" s="46">
        <v>0.72582400000000002</v>
      </c>
      <c r="K58" s="46">
        <v>0.77975099999999997</v>
      </c>
      <c r="L58" s="46">
        <v>0.83652899999999997</v>
      </c>
      <c r="M58" s="46">
        <v>0.89567300000000005</v>
      </c>
      <c r="N58" s="46">
        <v>0.95067500000000005</v>
      </c>
      <c r="O58" s="46">
        <v>1.0090749999999999</v>
      </c>
      <c r="P58" s="46">
        <v>1.056513</v>
      </c>
      <c r="Q58" s="46">
        <v>1.1031200000000001</v>
      </c>
      <c r="R58" s="46">
        <v>1.148593</v>
      </c>
      <c r="S58" s="46">
        <v>1.1967890000000001</v>
      </c>
      <c r="T58" s="46">
        <v>1.2516590000000001</v>
      </c>
      <c r="U58" s="46">
        <v>1.307328</v>
      </c>
      <c r="V58" s="46">
        <v>1.3734329999999999</v>
      </c>
      <c r="W58" s="46">
        <v>1.438137</v>
      </c>
      <c r="X58" s="46">
        <v>1.508013</v>
      </c>
      <c r="Y58" s="46">
        <v>1.5831900000000001</v>
      </c>
      <c r="Z58" s="46">
        <v>1.662218</v>
      </c>
      <c r="AA58" s="46">
        <v>1.7387349999999999</v>
      </c>
      <c r="AB58" s="46">
        <v>1.8198840000000001</v>
      </c>
      <c r="AC58" s="46">
        <v>1.9015150000000001</v>
      </c>
      <c r="AD58" s="46">
        <v>1.990029</v>
      </c>
      <c r="AE58" s="46">
        <v>2.072695</v>
      </c>
      <c r="AF58" s="47">
        <v>6.1163000000000002E-2</v>
      </c>
      <c r="AG58" s="34"/>
    </row>
    <row r="59" spans="1:33" ht="15" customHeight="1">
      <c r="A59" s="33" t="s">
        <v>358</v>
      </c>
      <c r="B59" s="43" t="s">
        <v>359</v>
      </c>
      <c r="C59" s="44">
        <v>5.7070999999999997E-2</v>
      </c>
      <c r="D59" s="44">
        <v>6.5246999999999999E-2</v>
      </c>
      <c r="E59" s="44">
        <v>7.4490000000000001E-2</v>
      </c>
      <c r="F59" s="44">
        <v>8.2332000000000002E-2</v>
      </c>
      <c r="G59" s="44">
        <v>8.9647000000000004E-2</v>
      </c>
      <c r="H59" s="44">
        <v>9.6698999999999993E-2</v>
      </c>
      <c r="I59" s="44">
        <v>0.103424</v>
      </c>
      <c r="J59" s="44">
        <v>0.110056</v>
      </c>
      <c r="K59" s="44">
        <v>0.11708300000000001</v>
      </c>
      <c r="L59" s="44">
        <v>0.1244</v>
      </c>
      <c r="M59" s="44">
        <v>0.13175400000000001</v>
      </c>
      <c r="N59" s="44">
        <v>0.136737</v>
      </c>
      <c r="O59" s="44">
        <v>0.13999400000000001</v>
      </c>
      <c r="P59" s="44">
        <v>0.13961699999999999</v>
      </c>
      <c r="Q59" s="44">
        <v>0.13946500000000001</v>
      </c>
      <c r="R59" s="44">
        <v>0.13922100000000001</v>
      </c>
      <c r="S59" s="44">
        <v>0.13922000000000001</v>
      </c>
      <c r="T59" s="44">
        <v>0.139213</v>
      </c>
      <c r="U59" s="44">
        <v>0.139127</v>
      </c>
      <c r="V59" s="44">
        <v>0.139539</v>
      </c>
      <c r="W59" s="44">
        <v>0.13955999999999999</v>
      </c>
      <c r="X59" s="44">
        <v>0.13979800000000001</v>
      </c>
      <c r="Y59" s="44">
        <v>0.139983</v>
      </c>
      <c r="Z59" s="44">
        <v>0.14035800000000001</v>
      </c>
      <c r="AA59" s="44">
        <v>0.140489</v>
      </c>
      <c r="AB59" s="44">
        <v>0.140678</v>
      </c>
      <c r="AC59" s="44">
        <v>0.140518</v>
      </c>
      <c r="AD59" s="44">
        <v>0.14077500000000001</v>
      </c>
      <c r="AE59" s="44">
        <v>0.140678</v>
      </c>
      <c r="AF59" s="45">
        <v>3.2745000000000003E-2</v>
      </c>
      <c r="AG59" s="34"/>
    </row>
    <row r="60" spans="1:33" ht="15" customHeight="1">
      <c r="A60" s="33" t="s">
        <v>360</v>
      </c>
      <c r="B60" s="43" t="s">
        <v>361</v>
      </c>
      <c r="C60" s="44">
        <v>1.4845000000000001E-2</v>
      </c>
      <c r="D60" s="44">
        <v>1.5337E-2</v>
      </c>
      <c r="E60" s="44">
        <v>1.7392999999999999E-2</v>
      </c>
      <c r="F60" s="44">
        <v>1.9101E-2</v>
      </c>
      <c r="G60" s="44">
        <v>2.0705000000000001E-2</v>
      </c>
      <c r="H60" s="44">
        <v>2.2252999999999998E-2</v>
      </c>
      <c r="I60" s="44">
        <v>2.3747000000000001E-2</v>
      </c>
      <c r="J60" s="44">
        <v>2.5304E-2</v>
      </c>
      <c r="K60" s="44">
        <v>2.6698E-2</v>
      </c>
      <c r="L60" s="44">
        <v>2.8160000000000001E-2</v>
      </c>
      <c r="M60" s="44">
        <v>2.9547E-2</v>
      </c>
      <c r="N60" s="44">
        <v>3.0886E-2</v>
      </c>
      <c r="O60" s="44">
        <v>3.2044999999999997E-2</v>
      </c>
      <c r="P60" s="44">
        <v>3.2747999999999999E-2</v>
      </c>
      <c r="Q60" s="44">
        <v>3.3270000000000001E-2</v>
      </c>
      <c r="R60" s="44">
        <v>3.3674000000000003E-2</v>
      </c>
      <c r="S60" s="44">
        <v>3.3866E-2</v>
      </c>
      <c r="T60" s="44">
        <v>3.424E-2</v>
      </c>
      <c r="U60" s="44">
        <v>3.4597999999999997E-2</v>
      </c>
      <c r="V60" s="44">
        <v>3.5140999999999999E-2</v>
      </c>
      <c r="W60" s="44">
        <v>3.5660999999999998E-2</v>
      </c>
      <c r="X60" s="44">
        <v>3.6152999999999998E-2</v>
      </c>
      <c r="Y60" s="44">
        <v>3.6614000000000001E-2</v>
      </c>
      <c r="Z60" s="44">
        <v>3.7157999999999997E-2</v>
      </c>
      <c r="AA60" s="44">
        <v>3.7769999999999998E-2</v>
      </c>
      <c r="AB60" s="44">
        <v>3.8505999999999999E-2</v>
      </c>
      <c r="AC60" s="44">
        <v>3.9142999999999997E-2</v>
      </c>
      <c r="AD60" s="44">
        <v>3.9898999999999997E-2</v>
      </c>
      <c r="AE60" s="44">
        <v>4.0578000000000003E-2</v>
      </c>
      <c r="AF60" s="45">
        <v>3.6565E-2</v>
      </c>
      <c r="AG60" s="34"/>
    </row>
    <row r="61" spans="1:33" ht="15" customHeight="1">
      <c r="A61" s="33" t="s">
        <v>362</v>
      </c>
      <c r="B61" s="43" t="s">
        <v>340</v>
      </c>
      <c r="C61" s="44">
        <v>0.32074200000000003</v>
      </c>
      <c r="D61" s="44">
        <v>0.35317799999999999</v>
      </c>
      <c r="E61" s="44">
        <v>0.39725199999999999</v>
      </c>
      <c r="F61" s="44">
        <v>0.43442599999999998</v>
      </c>
      <c r="G61" s="44">
        <v>0.47073300000000001</v>
      </c>
      <c r="H61" s="44">
        <v>0.50977799999999995</v>
      </c>
      <c r="I61" s="44">
        <v>0.54817300000000002</v>
      </c>
      <c r="J61" s="44">
        <v>0.58955800000000003</v>
      </c>
      <c r="K61" s="44">
        <v>0.63500900000000005</v>
      </c>
      <c r="L61" s="44">
        <v>0.682952</v>
      </c>
      <c r="M61" s="44">
        <v>0.73329999999999995</v>
      </c>
      <c r="N61" s="44">
        <v>0.78193000000000001</v>
      </c>
      <c r="O61" s="44">
        <v>0.83591400000000005</v>
      </c>
      <c r="P61" s="44">
        <v>0.88302199999999997</v>
      </c>
      <c r="Q61" s="44">
        <v>0.92925899999999995</v>
      </c>
      <c r="R61" s="44">
        <v>0.97457099999999997</v>
      </c>
      <c r="S61" s="44">
        <v>1.022575</v>
      </c>
      <c r="T61" s="44">
        <v>1.0770759999999999</v>
      </c>
      <c r="U61" s="44">
        <v>1.132468</v>
      </c>
      <c r="V61" s="44">
        <v>1.1976089999999999</v>
      </c>
      <c r="W61" s="44">
        <v>1.2617700000000001</v>
      </c>
      <c r="X61" s="44">
        <v>1.3309089999999999</v>
      </c>
      <c r="Y61" s="44">
        <v>1.4054310000000001</v>
      </c>
      <c r="Z61" s="44">
        <v>1.4835309999999999</v>
      </c>
      <c r="AA61" s="44">
        <v>1.559299</v>
      </c>
      <c r="AB61" s="44">
        <v>1.639516</v>
      </c>
      <c r="AC61" s="44">
        <v>1.7206680000000001</v>
      </c>
      <c r="AD61" s="44">
        <v>1.8081609999999999</v>
      </c>
      <c r="AE61" s="44">
        <v>1.890247</v>
      </c>
      <c r="AF61" s="45">
        <v>6.5401000000000001E-2</v>
      </c>
      <c r="AG61" s="34"/>
    </row>
    <row r="62" spans="1:33" ht="15" customHeight="1">
      <c r="A62" s="33" t="s">
        <v>363</v>
      </c>
      <c r="B62" s="43" t="s">
        <v>342</v>
      </c>
      <c r="C62" s="44">
        <v>5.6099999999999998E-4</v>
      </c>
      <c r="D62" s="44">
        <v>6.0300000000000002E-4</v>
      </c>
      <c r="E62" s="44">
        <v>6.5899999999999997E-4</v>
      </c>
      <c r="F62" s="44">
        <v>7.0500000000000001E-4</v>
      </c>
      <c r="G62" s="44">
        <v>7.4799999999999997E-4</v>
      </c>
      <c r="H62" s="44">
        <v>8.0099999999999995E-4</v>
      </c>
      <c r="I62" s="44">
        <v>8.5400000000000005E-4</v>
      </c>
      <c r="J62" s="44">
        <v>9.0700000000000004E-4</v>
      </c>
      <c r="K62" s="44">
        <v>9.6000000000000002E-4</v>
      </c>
      <c r="L62" s="44">
        <v>1.0169999999999999E-3</v>
      </c>
      <c r="M62" s="44">
        <v>1.072E-3</v>
      </c>
      <c r="N62" s="44">
        <v>1.122E-3</v>
      </c>
      <c r="O62" s="44">
        <v>1.122E-3</v>
      </c>
      <c r="P62" s="44">
        <v>1.127E-3</v>
      </c>
      <c r="Q62" s="44">
        <v>1.126E-3</v>
      </c>
      <c r="R62" s="44">
        <v>1.1280000000000001E-3</v>
      </c>
      <c r="S62" s="44">
        <v>1.1280000000000001E-3</v>
      </c>
      <c r="T62" s="44">
        <v>1.1299999999999999E-3</v>
      </c>
      <c r="U62" s="44">
        <v>1.1349999999999999E-3</v>
      </c>
      <c r="V62" s="44">
        <v>1.1440000000000001E-3</v>
      </c>
      <c r="W62" s="44">
        <v>1.1460000000000001E-3</v>
      </c>
      <c r="X62" s="44">
        <v>1.1540000000000001E-3</v>
      </c>
      <c r="Y62" s="44">
        <v>1.1620000000000001E-3</v>
      </c>
      <c r="Z62" s="44">
        <v>1.17E-3</v>
      </c>
      <c r="AA62" s="44">
        <v>1.1770000000000001E-3</v>
      </c>
      <c r="AB62" s="44">
        <v>1.183E-3</v>
      </c>
      <c r="AC62" s="44">
        <v>1.1869999999999999E-3</v>
      </c>
      <c r="AD62" s="44">
        <v>1.194E-3</v>
      </c>
      <c r="AE62" s="44">
        <v>1.1919999999999999E-3</v>
      </c>
      <c r="AF62" s="45">
        <v>2.7265000000000001E-2</v>
      </c>
      <c r="AG62" s="34"/>
    </row>
    <row r="63" spans="1:33" ht="15" customHeight="1">
      <c r="A63" s="30"/>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row>
    <row r="64" spans="1:33" ht="15" customHeight="1">
      <c r="A64" s="33" t="s">
        <v>364</v>
      </c>
      <c r="B64" s="42" t="s">
        <v>365</v>
      </c>
      <c r="C64" s="46">
        <v>0.34251599999999999</v>
      </c>
      <c r="D64" s="46">
        <v>0.388984</v>
      </c>
      <c r="E64" s="46">
        <v>0.43183100000000002</v>
      </c>
      <c r="F64" s="46">
        <v>0.46165899999999999</v>
      </c>
      <c r="G64" s="46">
        <v>0.47733100000000001</v>
      </c>
      <c r="H64" s="46">
        <v>0.49774299999999999</v>
      </c>
      <c r="I64" s="46">
        <v>0.51458599999999999</v>
      </c>
      <c r="J64" s="46">
        <v>0.54301699999999997</v>
      </c>
      <c r="K64" s="46">
        <v>0.56312700000000004</v>
      </c>
      <c r="L64" s="46">
        <v>0.584484</v>
      </c>
      <c r="M64" s="46">
        <v>0.60242899999999999</v>
      </c>
      <c r="N64" s="46">
        <v>0.628135</v>
      </c>
      <c r="O64" s="46">
        <v>0.65619300000000003</v>
      </c>
      <c r="P64" s="46">
        <v>0.67456300000000002</v>
      </c>
      <c r="Q64" s="46">
        <v>0.70348900000000003</v>
      </c>
      <c r="R64" s="46">
        <v>0.71980699999999997</v>
      </c>
      <c r="S64" s="46">
        <v>0.74051999999999996</v>
      </c>
      <c r="T64" s="46">
        <v>0.76336199999999999</v>
      </c>
      <c r="U64" s="46">
        <v>0.78221499999999999</v>
      </c>
      <c r="V64" s="46">
        <v>0.80208500000000005</v>
      </c>
      <c r="W64" s="46">
        <v>0.81651499999999999</v>
      </c>
      <c r="X64" s="46">
        <v>0.829349</v>
      </c>
      <c r="Y64" s="46">
        <v>0.84207200000000004</v>
      </c>
      <c r="Z64" s="46">
        <v>0.85361600000000004</v>
      </c>
      <c r="AA64" s="46">
        <v>0.87365199999999998</v>
      </c>
      <c r="AB64" s="46">
        <v>0.88150099999999998</v>
      </c>
      <c r="AC64" s="46">
        <v>0.89169900000000002</v>
      </c>
      <c r="AD64" s="46">
        <v>0.89882799999999996</v>
      </c>
      <c r="AE64" s="46">
        <v>0.89905100000000004</v>
      </c>
      <c r="AF64" s="47">
        <v>3.5066E-2</v>
      </c>
      <c r="AG64" s="34"/>
    </row>
    <row r="65" spans="1:34" ht="15" customHeight="1">
      <c r="A65" s="33" t="s">
        <v>366</v>
      </c>
      <c r="B65" s="43" t="s">
        <v>338</v>
      </c>
      <c r="C65" s="44">
        <v>7.3909000000000002E-2</v>
      </c>
      <c r="D65" s="44">
        <v>7.4150999999999995E-2</v>
      </c>
      <c r="E65" s="44">
        <v>7.5856999999999994E-2</v>
      </c>
      <c r="F65" s="44">
        <v>7.6402999999999999E-2</v>
      </c>
      <c r="G65" s="44">
        <v>7.6691999999999996E-2</v>
      </c>
      <c r="H65" s="44">
        <v>7.6408000000000004E-2</v>
      </c>
      <c r="I65" s="44">
        <v>7.5979000000000005E-2</v>
      </c>
      <c r="J65" s="44">
        <v>7.5915999999999997E-2</v>
      </c>
      <c r="K65" s="44">
        <v>7.5720999999999997E-2</v>
      </c>
      <c r="L65" s="44">
        <v>7.5837000000000002E-2</v>
      </c>
      <c r="M65" s="44">
        <v>7.5840000000000005E-2</v>
      </c>
      <c r="N65" s="44">
        <v>7.5718999999999995E-2</v>
      </c>
      <c r="O65" s="44">
        <v>7.5756000000000004E-2</v>
      </c>
      <c r="P65" s="44">
        <v>7.5952000000000006E-2</v>
      </c>
      <c r="Q65" s="44">
        <v>7.5837000000000002E-2</v>
      </c>
      <c r="R65" s="44">
        <v>7.5588000000000002E-2</v>
      </c>
      <c r="S65" s="44">
        <v>7.4880000000000002E-2</v>
      </c>
      <c r="T65" s="44">
        <v>7.4638999999999997E-2</v>
      </c>
      <c r="U65" s="44">
        <v>7.4340000000000003E-2</v>
      </c>
      <c r="V65" s="44">
        <v>7.4428999999999995E-2</v>
      </c>
      <c r="W65" s="44">
        <v>7.4297000000000002E-2</v>
      </c>
      <c r="X65" s="44">
        <v>7.4152999999999997E-2</v>
      </c>
      <c r="Y65" s="44">
        <v>7.4107000000000006E-2</v>
      </c>
      <c r="Z65" s="44">
        <v>7.4011999999999994E-2</v>
      </c>
      <c r="AA65" s="44">
        <v>7.3801000000000005E-2</v>
      </c>
      <c r="AB65" s="44">
        <v>7.3764999999999997E-2</v>
      </c>
      <c r="AC65" s="44">
        <v>7.3537000000000005E-2</v>
      </c>
      <c r="AD65" s="44">
        <v>7.3493000000000003E-2</v>
      </c>
      <c r="AE65" s="44">
        <v>7.3126999999999998E-2</v>
      </c>
      <c r="AF65" s="45">
        <v>-3.8000000000000002E-4</v>
      </c>
      <c r="AG65" s="34"/>
      <c r="AH65" s="30"/>
    </row>
    <row r="66" spans="1:34">
      <c r="A66" s="33" t="s">
        <v>367</v>
      </c>
      <c r="B66" s="43" t="s">
        <v>340</v>
      </c>
      <c r="C66" s="44">
        <v>0.26181500000000002</v>
      </c>
      <c r="D66" s="44">
        <v>0.30804399999999998</v>
      </c>
      <c r="E66" s="44">
        <v>0.34912500000000002</v>
      </c>
      <c r="F66" s="44">
        <v>0.37846299999999999</v>
      </c>
      <c r="G66" s="44">
        <v>0.39390900000000001</v>
      </c>
      <c r="H66" s="44">
        <v>0.41461999999999999</v>
      </c>
      <c r="I66" s="44">
        <v>0.43187599999999998</v>
      </c>
      <c r="J66" s="44">
        <v>0.46030500000000002</v>
      </c>
      <c r="K66" s="44">
        <v>0.480624</v>
      </c>
      <c r="L66" s="44">
        <v>0.50182800000000005</v>
      </c>
      <c r="M66" s="44">
        <v>0.51975400000000005</v>
      </c>
      <c r="N66" s="44">
        <v>0.54557999999999995</v>
      </c>
      <c r="O66" s="44">
        <v>0.57357999999999998</v>
      </c>
      <c r="P66" s="44">
        <v>0.59170900000000004</v>
      </c>
      <c r="Q66" s="44">
        <v>0.62073800000000001</v>
      </c>
      <c r="R66" s="44">
        <v>0.63733600000000001</v>
      </c>
      <c r="S66" s="44">
        <v>0.65883999999999998</v>
      </c>
      <c r="T66" s="44">
        <v>0.68191400000000002</v>
      </c>
      <c r="U66" s="44">
        <v>0.70109399999999999</v>
      </c>
      <c r="V66" s="44">
        <v>0.72085200000000005</v>
      </c>
      <c r="W66" s="44">
        <v>0.73541500000000004</v>
      </c>
      <c r="X66" s="44">
        <v>0.74840499999999999</v>
      </c>
      <c r="Y66" s="44">
        <v>0.76118200000000003</v>
      </c>
      <c r="Z66" s="44">
        <v>0.77283400000000002</v>
      </c>
      <c r="AA66" s="44">
        <v>0.79308599999999996</v>
      </c>
      <c r="AB66" s="44">
        <v>0.80096900000000004</v>
      </c>
      <c r="AC66" s="44">
        <v>0.81140100000000004</v>
      </c>
      <c r="AD66" s="44">
        <v>0.818581</v>
      </c>
      <c r="AE66" s="44">
        <v>0.81918100000000005</v>
      </c>
      <c r="AF66" s="45">
        <v>4.1578999999999998E-2</v>
      </c>
      <c r="AG66" s="34"/>
      <c r="AH66" s="30"/>
    </row>
    <row r="67" spans="1:34" ht="15" customHeight="1">
      <c r="A67" s="33" t="s">
        <v>368</v>
      </c>
      <c r="B67" s="43" t="s">
        <v>342</v>
      </c>
      <c r="C67" s="44">
        <v>6.7920000000000003E-3</v>
      </c>
      <c r="D67" s="44">
        <v>6.7889999999999999E-3</v>
      </c>
      <c r="E67" s="44">
        <v>6.8490000000000001E-3</v>
      </c>
      <c r="F67" s="44">
        <v>6.7939999999999997E-3</v>
      </c>
      <c r="G67" s="44">
        <v>6.7299999999999999E-3</v>
      </c>
      <c r="H67" s="44">
        <v>6.7140000000000003E-3</v>
      </c>
      <c r="I67" s="44">
        <v>6.7320000000000001E-3</v>
      </c>
      <c r="J67" s="44">
        <v>6.796E-3</v>
      </c>
      <c r="K67" s="44">
        <v>6.7819999999999998E-3</v>
      </c>
      <c r="L67" s="44">
        <v>6.8199999999999997E-3</v>
      </c>
      <c r="M67" s="44">
        <v>6.8349999999999999E-3</v>
      </c>
      <c r="N67" s="44">
        <v>6.8360000000000001E-3</v>
      </c>
      <c r="O67" s="44">
        <v>6.8570000000000002E-3</v>
      </c>
      <c r="P67" s="44">
        <v>6.9030000000000003E-3</v>
      </c>
      <c r="Q67" s="44">
        <v>6.914E-3</v>
      </c>
      <c r="R67" s="44">
        <v>6.8830000000000002E-3</v>
      </c>
      <c r="S67" s="44">
        <v>6.7999999999999996E-3</v>
      </c>
      <c r="T67" s="44">
        <v>6.8079999999999998E-3</v>
      </c>
      <c r="U67" s="44">
        <v>6.7809999999999997E-3</v>
      </c>
      <c r="V67" s="44">
        <v>6.8040000000000002E-3</v>
      </c>
      <c r="W67" s="44">
        <v>6.803E-3</v>
      </c>
      <c r="X67" s="44">
        <v>6.7920000000000003E-3</v>
      </c>
      <c r="Y67" s="44">
        <v>6.783E-3</v>
      </c>
      <c r="Z67" s="44">
        <v>6.7689999999999998E-3</v>
      </c>
      <c r="AA67" s="44">
        <v>6.7650000000000002E-3</v>
      </c>
      <c r="AB67" s="44">
        <v>6.7669999999999996E-3</v>
      </c>
      <c r="AC67" s="44">
        <v>6.7600000000000004E-3</v>
      </c>
      <c r="AD67" s="44">
        <v>6.7539999999999996E-3</v>
      </c>
      <c r="AE67" s="44">
        <v>6.7429999999999999E-3</v>
      </c>
      <c r="AF67" s="45">
        <v>-2.5700000000000001E-4</v>
      </c>
      <c r="AG67" s="34"/>
      <c r="AH67" s="30"/>
    </row>
    <row r="68" spans="1:34" ht="15" customHeight="1" thickBot="1">
      <c r="A68" s="30"/>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0"/>
    </row>
    <row r="69" spans="1:34" ht="15" customHeight="1">
      <c r="A69" s="30"/>
      <c r="B69" s="85" t="s">
        <v>369</v>
      </c>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29"/>
    </row>
    <row r="70" spans="1:34" ht="15" customHeight="1">
      <c r="A70" s="30"/>
      <c r="B70" s="34" t="s">
        <v>370</v>
      </c>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0"/>
    </row>
    <row r="71" spans="1:34" ht="15" customHeight="1">
      <c r="A71" s="30"/>
      <c r="B71" s="34" t="s">
        <v>371</v>
      </c>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0"/>
    </row>
    <row r="72" spans="1:34" ht="15" customHeight="1">
      <c r="A72" s="30"/>
      <c r="B72" s="34" t="s">
        <v>372</v>
      </c>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0"/>
    </row>
    <row r="73" spans="1:34">
      <c r="A73" s="30"/>
      <c r="B73" s="34" t="s">
        <v>373</v>
      </c>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34"/>
      <c r="AC73" s="34"/>
      <c r="AD73" s="34"/>
      <c r="AE73" s="34"/>
      <c r="AF73" s="34"/>
      <c r="AG73" s="34"/>
      <c r="AH73" s="30"/>
    </row>
    <row r="74" spans="1:34" ht="15" customHeight="1">
      <c r="A74" s="30"/>
      <c r="B74" s="34" t="s">
        <v>374</v>
      </c>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0"/>
    </row>
    <row r="75" spans="1:34" ht="15" customHeight="1">
      <c r="A75" s="30"/>
      <c r="B75" s="34" t="s">
        <v>375</v>
      </c>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0"/>
    </row>
    <row r="76" spans="1:34" ht="15" customHeight="1">
      <c r="A76" s="30"/>
      <c r="B76" s="34" t="s">
        <v>376</v>
      </c>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0"/>
    </row>
    <row r="77" spans="1:34" ht="15" customHeight="1">
      <c r="A77" s="30"/>
      <c r="B77" s="34" t="s">
        <v>377</v>
      </c>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0"/>
    </row>
    <row r="78" spans="1:34" ht="15" customHeight="1">
      <c r="A78" s="30"/>
      <c r="B78" s="34" t="s">
        <v>378</v>
      </c>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0"/>
    </row>
    <row r="79" spans="1:34">
      <c r="A79" s="30"/>
      <c r="B79" s="34" t="s">
        <v>379</v>
      </c>
      <c r="C79" s="34"/>
      <c r="D79" s="34"/>
      <c r="E79" s="34"/>
      <c r="F79" s="34"/>
      <c r="G79" s="34"/>
      <c r="H79" s="34"/>
      <c r="I79" s="34"/>
      <c r="J79" s="34"/>
      <c r="K79" s="34"/>
      <c r="L79" s="34"/>
      <c r="M79" s="34"/>
      <c r="N79" s="34"/>
      <c r="O79" s="34"/>
      <c r="P79" s="34"/>
      <c r="Q79" s="34"/>
      <c r="R79" s="34"/>
      <c r="S79" s="34"/>
      <c r="T79" s="34"/>
      <c r="U79" s="34"/>
      <c r="V79" s="34"/>
      <c r="W79" s="34"/>
      <c r="X79" s="34"/>
      <c r="Y79" s="34"/>
      <c r="Z79" s="34"/>
      <c r="AA79" s="34"/>
      <c r="AB79" s="34"/>
      <c r="AC79" s="34"/>
      <c r="AD79" s="34"/>
      <c r="AE79" s="34"/>
      <c r="AF79" s="34"/>
      <c r="AG79" s="34"/>
      <c r="AH79" s="30"/>
    </row>
    <row r="80" spans="1:34" ht="15" customHeight="1">
      <c r="A80" s="30"/>
      <c r="B80" s="34" t="s">
        <v>380</v>
      </c>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0"/>
    </row>
    <row r="81" spans="2:33">
      <c r="B81" s="34" t="s">
        <v>381</v>
      </c>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34"/>
    </row>
    <row r="82" spans="2:33" ht="15" customHeight="1">
      <c r="B82" s="34" t="s">
        <v>382</v>
      </c>
      <c r="C82" s="34"/>
      <c r="D82" s="34"/>
      <c r="E82" s="34"/>
      <c r="F82" s="34"/>
      <c r="G82" s="34"/>
      <c r="H82" s="34"/>
      <c r="I82" s="34"/>
      <c r="J82" s="34"/>
      <c r="K82" s="34"/>
      <c r="L82" s="34"/>
      <c r="M82" s="34"/>
      <c r="N82" s="34"/>
      <c r="O82" s="34"/>
      <c r="P82" s="34"/>
      <c r="Q82" s="34"/>
      <c r="R82" s="34"/>
      <c r="S82" s="34"/>
      <c r="T82" s="34"/>
      <c r="U82" s="34"/>
      <c r="V82" s="34"/>
      <c r="W82" s="34"/>
      <c r="X82" s="34"/>
      <c r="Y82" s="34"/>
      <c r="Z82" s="34"/>
      <c r="AA82" s="34"/>
      <c r="AB82" s="34"/>
      <c r="AC82" s="34"/>
      <c r="AD82" s="34"/>
      <c r="AE82" s="34"/>
      <c r="AF82" s="34"/>
      <c r="AG82" s="34"/>
    </row>
    <row r="83" spans="2:33" ht="15" customHeight="1">
      <c r="B83" s="34" t="s">
        <v>383</v>
      </c>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row>
    <row r="84" spans="2:33" ht="15" customHeight="1">
      <c r="B84" s="34" t="s">
        <v>384</v>
      </c>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row>
    <row r="85" spans="2:33" ht="15" customHeight="1">
      <c r="B85" s="34" t="s">
        <v>385</v>
      </c>
      <c r="C85" s="34"/>
      <c r="D85" s="34"/>
      <c r="E85" s="34"/>
      <c r="F85" s="34"/>
      <c r="G85" s="34"/>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row>
    <row r="86" spans="2:33" ht="15" customHeight="1">
      <c r="B86" s="34" t="s">
        <v>386</v>
      </c>
      <c r="C86" s="34"/>
      <c r="D86" s="34"/>
      <c r="E86" s="34"/>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row>
    <row r="87" spans="2:33" ht="15" customHeight="1">
      <c r="B87" s="34" t="s">
        <v>387</v>
      </c>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row>
    <row r="88" spans="2:33" ht="15" customHeight="1">
      <c r="B88" s="34" t="s">
        <v>388</v>
      </c>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row>
    <row r="89" spans="2:33" ht="15" customHeight="1">
      <c r="B89" s="34" t="s">
        <v>389</v>
      </c>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row>
    <row r="90" spans="2:33" ht="15" customHeight="1">
      <c r="B90" s="34" t="s">
        <v>390</v>
      </c>
      <c r="C90" s="34"/>
      <c r="D90" s="34"/>
      <c r="E90" s="34"/>
      <c r="F90" s="34"/>
      <c r="G90" s="34"/>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row>
    <row r="91" spans="2:33" ht="15" customHeight="1">
      <c r="B91" s="34"/>
      <c r="C91" s="34"/>
      <c r="D91" s="34"/>
      <c r="E91" s="34"/>
      <c r="F91" s="34"/>
      <c r="G91" s="34"/>
      <c r="H91" s="34"/>
      <c r="I91" s="34"/>
      <c r="J91" s="34"/>
      <c r="K91" s="34"/>
      <c r="L91" s="34"/>
      <c r="M91" s="34"/>
      <c r="N91" s="34"/>
      <c r="O91" s="34"/>
      <c r="P91" s="34"/>
      <c r="Q91" s="34"/>
      <c r="R91" s="34"/>
      <c r="S91" s="34"/>
      <c r="T91" s="34"/>
      <c r="U91" s="34"/>
      <c r="V91" s="34"/>
      <c r="W91" s="34"/>
      <c r="X91" s="34"/>
      <c r="Y91" s="34"/>
      <c r="Z91" s="34"/>
      <c r="AA91" s="34"/>
      <c r="AB91" s="34"/>
      <c r="AC91" s="34"/>
      <c r="AD91" s="34"/>
      <c r="AE91" s="34"/>
      <c r="AF91" s="34"/>
      <c r="AG91" s="34"/>
    </row>
    <row r="92" spans="2:33">
      <c r="B92" s="34"/>
      <c r="C92" s="34"/>
      <c r="D92" s="34"/>
      <c r="E92" s="34"/>
      <c r="F92" s="34"/>
      <c r="G92" s="34"/>
      <c r="H92" s="34"/>
      <c r="I92" s="34"/>
      <c r="J92" s="34"/>
      <c r="K92" s="34"/>
      <c r="L92" s="34"/>
      <c r="M92" s="34"/>
      <c r="N92" s="34"/>
      <c r="O92" s="34"/>
      <c r="P92" s="34"/>
      <c r="Q92" s="34"/>
      <c r="R92" s="34"/>
      <c r="S92" s="34"/>
      <c r="T92" s="34"/>
      <c r="U92" s="34"/>
      <c r="V92" s="34"/>
      <c r="W92" s="34"/>
      <c r="X92" s="34"/>
      <c r="Y92" s="34"/>
      <c r="Z92" s="34"/>
      <c r="AA92" s="34"/>
      <c r="AB92" s="34"/>
      <c r="AC92" s="34"/>
      <c r="AD92" s="34"/>
      <c r="AE92" s="34"/>
      <c r="AF92" s="34"/>
      <c r="AG92" s="34"/>
    </row>
    <row r="93" spans="2:33" ht="15" customHeight="1">
      <c r="B93" s="34"/>
      <c r="C93" s="34"/>
      <c r="D93" s="34"/>
      <c r="E93" s="34"/>
      <c r="F93" s="34"/>
      <c r="G93" s="34"/>
      <c r="H93" s="34"/>
      <c r="I93" s="34"/>
      <c r="J93" s="34"/>
      <c r="K93" s="34"/>
      <c r="L93" s="34"/>
      <c r="M93" s="34"/>
      <c r="N93" s="34"/>
      <c r="O93" s="34"/>
      <c r="P93" s="34"/>
      <c r="Q93" s="34"/>
      <c r="R93" s="34"/>
      <c r="S93" s="34"/>
      <c r="T93" s="34"/>
      <c r="U93" s="34"/>
      <c r="V93" s="34"/>
      <c r="W93" s="34"/>
      <c r="X93" s="34"/>
      <c r="Y93" s="34"/>
      <c r="Z93" s="34"/>
      <c r="AA93" s="34"/>
      <c r="AB93" s="34"/>
      <c r="AC93" s="34"/>
      <c r="AD93" s="34"/>
      <c r="AE93" s="34"/>
      <c r="AF93" s="34"/>
      <c r="AG93" s="34"/>
    </row>
    <row r="94" spans="2:33" ht="15" customHeight="1">
      <c r="B94" s="34"/>
      <c r="C94" s="34"/>
      <c r="D94" s="34"/>
      <c r="E94" s="34"/>
      <c r="F94" s="34"/>
      <c r="G94" s="34"/>
      <c r="H94" s="34"/>
      <c r="I94" s="34"/>
      <c r="J94" s="34"/>
      <c r="K94" s="34"/>
      <c r="L94" s="34"/>
      <c r="M94" s="34"/>
      <c r="N94" s="34"/>
      <c r="O94" s="34"/>
      <c r="P94" s="34"/>
      <c r="Q94" s="34"/>
      <c r="R94" s="34"/>
      <c r="S94" s="34"/>
      <c r="T94" s="34"/>
      <c r="U94" s="34"/>
      <c r="V94" s="34"/>
      <c r="W94" s="34"/>
      <c r="X94" s="34"/>
      <c r="Y94" s="34"/>
      <c r="Z94" s="34"/>
      <c r="AA94" s="34"/>
      <c r="AB94" s="34"/>
      <c r="AC94" s="34"/>
      <c r="AD94" s="34"/>
      <c r="AE94" s="34"/>
      <c r="AF94" s="34"/>
      <c r="AG94" s="34"/>
    </row>
    <row r="95" spans="2:33" ht="15" customHeight="1">
      <c r="B95" s="34"/>
      <c r="C95" s="34"/>
      <c r="D95" s="34"/>
      <c r="E95" s="34"/>
      <c r="F95" s="34"/>
      <c r="G95" s="34"/>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row>
    <row r="96" spans="2:33" ht="15" customHeight="1">
      <c r="B96" s="34"/>
      <c r="C96" s="34"/>
      <c r="D96" s="34"/>
      <c r="E96" s="34"/>
      <c r="F96" s="34"/>
      <c r="G96" s="34"/>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row>
    <row r="97" spans="2:33" ht="15" customHeight="1">
      <c r="B97" s="34"/>
      <c r="C97" s="34"/>
      <c r="D97" s="34"/>
      <c r="E97" s="34"/>
      <c r="F97" s="34"/>
      <c r="G97" s="34"/>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row>
    <row r="98" spans="2:33" ht="15" customHeight="1">
      <c r="B98" s="34"/>
      <c r="C98" s="34"/>
      <c r="D98" s="34"/>
      <c r="E98" s="34"/>
      <c r="F98" s="34"/>
      <c r="G98" s="34"/>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row>
    <row r="99" spans="2:33" ht="15" customHeight="1">
      <c r="B99" s="34"/>
      <c r="C99" s="34"/>
      <c r="D99" s="34"/>
      <c r="E99" s="34"/>
      <c r="F99" s="34"/>
      <c r="G99" s="34"/>
      <c r="H99" s="34"/>
      <c r="I99" s="34"/>
      <c r="J99" s="34"/>
      <c r="K99" s="34"/>
      <c r="L99" s="34"/>
      <c r="M99" s="34"/>
      <c r="N99" s="34"/>
      <c r="O99" s="34"/>
      <c r="P99" s="34"/>
      <c r="Q99" s="34"/>
      <c r="R99" s="34"/>
      <c r="S99" s="34"/>
      <c r="T99" s="34"/>
      <c r="U99" s="34"/>
      <c r="V99" s="34"/>
      <c r="W99" s="34"/>
      <c r="X99" s="34"/>
      <c r="Y99" s="34"/>
      <c r="Z99" s="34"/>
      <c r="AA99" s="34"/>
      <c r="AB99" s="34"/>
      <c r="AC99" s="34"/>
      <c r="AD99" s="34"/>
      <c r="AE99" s="34"/>
      <c r="AF99" s="34"/>
      <c r="AG99" s="34"/>
    </row>
    <row r="100" spans="2:33" ht="15" customHeight="1">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c r="AE100" s="34"/>
      <c r="AF100" s="34"/>
      <c r="AG100" s="34"/>
    </row>
    <row r="101" spans="2:33">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c r="AE101" s="34"/>
      <c r="AF101" s="34"/>
      <c r="AG101" s="34"/>
    </row>
    <row r="102" spans="2:33">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c r="AE102" s="34"/>
      <c r="AF102" s="34"/>
      <c r="AG102" s="34"/>
    </row>
    <row r="103" spans="2:33" ht="15" customHeight="1">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c r="AE103" s="34"/>
      <c r="AF103" s="34"/>
      <c r="AG103" s="34"/>
    </row>
    <row r="104" spans="2:33" ht="15" customHeight="1">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row>
    <row r="105" spans="2:33" ht="15" customHeight="1">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row>
    <row r="106" spans="2:33" ht="15" customHeight="1">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c r="AE106" s="34"/>
      <c r="AF106" s="34"/>
      <c r="AG106" s="34"/>
    </row>
    <row r="107" spans="2:33" ht="15" customHeight="1">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row>
    <row r="108" spans="2:33" ht="15" customHeight="1">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c r="AE108" s="34"/>
      <c r="AF108" s="34"/>
      <c r="AG108" s="34"/>
    </row>
    <row r="109" spans="2:33" ht="15" customHeight="1">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c r="AE109" s="34"/>
      <c r="AF109" s="34"/>
      <c r="AG109" s="34"/>
    </row>
    <row r="110" spans="2:33" ht="15" customHeight="1"/>
    <row r="111" spans="2:33" ht="15" customHeight="1">
      <c r="B111" s="30"/>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c r="AA111" s="30"/>
      <c r="AB111" s="30"/>
      <c r="AC111" s="30"/>
      <c r="AD111" s="30"/>
      <c r="AE111" s="30"/>
      <c r="AF111" s="30"/>
      <c r="AG111" s="30"/>
    </row>
    <row r="112" spans="2:33" ht="15" customHeight="1">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30"/>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c r="AD307" s="30"/>
      <c r="AE307" s="30"/>
      <c r="AF307" s="30"/>
    </row>
    <row r="308" spans="2:32" ht="15" customHeight="1">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c r="AD499" s="30"/>
      <c r="AE499" s="30"/>
      <c r="AF499" s="30"/>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c r="AD509" s="30"/>
      <c r="AE509" s="30"/>
      <c r="AF509" s="30"/>
    </row>
    <row r="510" spans="2:32" ht="15" customHeight="1">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c r="AD510" s="30"/>
      <c r="AE510" s="30"/>
      <c r="AF510" s="30"/>
    </row>
    <row r="511" spans="2:32" ht="15" customHeight="1">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c r="AD711" s="30"/>
      <c r="AE711" s="30"/>
      <c r="AF711" s="30"/>
    </row>
    <row r="712" spans="2:32" ht="15" customHeight="1">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c r="AD886" s="30"/>
      <c r="AE886" s="30"/>
      <c r="AF886" s="30"/>
    </row>
    <row r="887" spans="2:32" ht="15" customHeight="1">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c r="AD1096" s="30"/>
      <c r="AE1096" s="30"/>
      <c r="AF1096" s="30"/>
    </row>
    <row r="1097" spans="2:32" ht="15" customHeight="1"/>
    <row r="1098" spans="2:32" ht="15" customHeight="1"/>
    <row r="1099" spans="2:32" ht="15" customHeight="1"/>
    <row r="1100" spans="2:32" ht="15" customHeight="1">
      <c r="B1100" s="30"/>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c r="AA1100" s="30"/>
      <c r="AB1100" s="30"/>
      <c r="AC1100" s="30"/>
      <c r="AD1100" s="30"/>
      <c r="AE1100" s="30"/>
      <c r="AF1100" s="30"/>
    </row>
    <row r="1101" spans="2:32" ht="15" customHeight="1">
      <c r="B1101" s="87"/>
      <c r="C1101" s="87"/>
      <c r="D1101" s="87"/>
      <c r="E1101" s="87"/>
      <c r="F1101" s="87"/>
      <c r="G1101" s="87"/>
      <c r="H1101" s="87"/>
      <c r="I1101" s="87"/>
      <c r="J1101" s="87"/>
      <c r="K1101" s="87"/>
      <c r="L1101" s="87"/>
      <c r="M1101" s="87"/>
      <c r="N1101" s="87"/>
      <c r="O1101" s="87"/>
      <c r="P1101" s="87"/>
      <c r="Q1101" s="87"/>
      <c r="R1101" s="87"/>
      <c r="S1101" s="87"/>
      <c r="T1101" s="87"/>
      <c r="U1101" s="87"/>
      <c r="V1101" s="87"/>
      <c r="W1101" s="87"/>
      <c r="X1101" s="87"/>
      <c r="Y1101" s="87"/>
      <c r="Z1101" s="87"/>
      <c r="AA1101" s="87"/>
      <c r="AB1101" s="87"/>
      <c r="AC1101" s="87"/>
      <c r="AD1101" s="87"/>
      <c r="AE1101" s="87"/>
      <c r="AF1101" s="87"/>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0"/>
      <c r="C1228" s="30"/>
      <c r="D1228" s="30"/>
      <c r="E1228" s="30"/>
      <c r="F1228" s="30"/>
      <c r="G1228" s="30"/>
      <c r="H1228" s="30"/>
      <c r="I1228" s="30"/>
      <c r="J1228" s="30"/>
      <c r="K1228" s="30"/>
      <c r="L1228" s="30"/>
      <c r="M1228" s="30"/>
      <c r="N1228" s="30"/>
      <c r="O1228" s="30"/>
      <c r="P1228" s="30"/>
      <c r="Q1228" s="30"/>
      <c r="R1228" s="30"/>
      <c r="S1228" s="30"/>
      <c r="T1228" s="30"/>
      <c r="U1228" s="30"/>
      <c r="V1228" s="30"/>
      <c r="W1228" s="30"/>
      <c r="X1228" s="30"/>
      <c r="Y1228" s="30"/>
      <c r="Z1228" s="30"/>
      <c r="AA1228" s="30"/>
      <c r="AB1228" s="30"/>
      <c r="AC1228" s="30"/>
      <c r="AD1228" s="30"/>
      <c r="AE1228" s="30"/>
      <c r="AF1228" s="30"/>
    </row>
    <row r="1229" spans="2:32" ht="15" customHeight="1">
      <c r="B1229" s="87"/>
      <c r="C1229" s="87"/>
      <c r="D1229" s="87"/>
      <c r="E1229" s="87"/>
      <c r="F1229" s="87"/>
      <c r="G1229" s="87"/>
      <c r="H1229" s="87"/>
      <c r="I1229" s="87"/>
      <c r="J1229" s="87"/>
      <c r="K1229" s="87"/>
      <c r="L1229" s="87"/>
      <c r="M1229" s="87"/>
      <c r="N1229" s="87"/>
      <c r="O1229" s="87"/>
      <c r="P1229" s="87"/>
      <c r="Q1229" s="87"/>
      <c r="R1229" s="87"/>
      <c r="S1229" s="87"/>
      <c r="T1229" s="87"/>
      <c r="U1229" s="87"/>
      <c r="V1229" s="87"/>
      <c r="W1229" s="87"/>
      <c r="X1229" s="87"/>
      <c r="Y1229" s="87"/>
      <c r="Z1229" s="87"/>
      <c r="AA1229" s="87"/>
      <c r="AB1229" s="87"/>
      <c r="AC1229" s="87"/>
      <c r="AD1229" s="87"/>
      <c r="AE1229" s="87"/>
      <c r="AF1229" s="87"/>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0"/>
      <c r="C1384" s="30"/>
      <c r="D1384" s="30"/>
      <c r="E1384" s="30"/>
      <c r="F1384" s="30"/>
      <c r="G1384" s="30"/>
      <c r="H1384" s="30"/>
      <c r="I1384" s="30"/>
      <c r="J1384" s="30"/>
      <c r="K1384" s="30"/>
      <c r="L1384" s="30"/>
      <c r="M1384" s="30"/>
      <c r="N1384" s="30"/>
      <c r="O1384" s="30"/>
      <c r="P1384" s="30"/>
      <c r="Q1384" s="30"/>
      <c r="R1384" s="30"/>
      <c r="S1384" s="30"/>
      <c r="T1384" s="30"/>
      <c r="U1384" s="30"/>
      <c r="V1384" s="30"/>
      <c r="W1384" s="30"/>
      <c r="X1384" s="30"/>
      <c r="Y1384" s="30"/>
      <c r="Z1384" s="30"/>
      <c r="AA1384" s="30"/>
      <c r="AB1384" s="30"/>
      <c r="AC1384" s="30"/>
      <c r="AD1384" s="30"/>
      <c r="AE1384" s="30"/>
      <c r="AF1384" s="30"/>
    </row>
    <row r="1385" spans="2:32" ht="15" customHeight="1"/>
    <row r="1386" spans="2:32" ht="15" customHeight="1"/>
    <row r="1387" spans="2:32" ht="15" customHeight="1"/>
    <row r="1388" spans="2:32" ht="15" customHeight="1"/>
    <row r="1389" spans="2:32" ht="15" customHeight="1">
      <c r="B1389" s="30"/>
      <c r="C1389" s="30"/>
      <c r="D1389" s="30"/>
      <c r="E1389" s="30"/>
      <c r="F1389" s="30"/>
      <c r="G1389" s="30"/>
      <c r="H1389" s="30"/>
      <c r="I1389" s="30"/>
      <c r="J1389" s="30"/>
      <c r="K1389" s="30"/>
      <c r="L1389" s="30"/>
      <c r="M1389" s="30"/>
      <c r="N1389" s="30"/>
      <c r="O1389" s="30"/>
      <c r="P1389" s="30"/>
      <c r="Q1389" s="30"/>
      <c r="R1389" s="30"/>
      <c r="S1389" s="30"/>
      <c r="T1389" s="30"/>
      <c r="U1389" s="30"/>
      <c r="V1389" s="30"/>
      <c r="W1389" s="30"/>
      <c r="X1389" s="30"/>
      <c r="Y1389" s="30"/>
      <c r="Z1389" s="30"/>
      <c r="AA1389" s="30"/>
      <c r="AB1389" s="30"/>
      <c r="AC1389" s="30"/>
      <c r="AD1389" s="30"/>
      <c r="AE1389" s="30"/>
      <c r="AF1389" s="30"/>
    </row>
    <row r="1390" spans="2:32" ht="15" customHeight="1">
      <c r="B1390" s="87"/>
      <c r="C1390" s="87"/>
      <c r="D1390" s="87"/>
      <c r="E1390" s="87"/>
      <c r="F1390" s="87"/>
      <c r="G1390" s="87"/>
      <c r="H1390" s="87"/>
      <c r="I1390" s="87"/>
      <c r="J1390" s="87"/>
      <c r="K1390" s="87"/>
      <c r="L1390" s="87"/>
      <c r="M1390" s="87"/>
      <c r="N1390" s="87"/>
      <c r="O1390" s="87"/>
      <c r="P1390" s="87"/>
      <c r="Q1390" s="87"/>
      <c r="R1390" s="87"/>
      <c r="S1390" s="87"/>
      <c r="T1390" s="87"/>
      <c r="U1390" s="87"/>
      <c r="V1390" s="87"/>
      <c r="W1390" s="87"/>
      <c r="X1390" s="87"/>
      <c r="Y1390" s="87"/>
      <c r="Z1390" s="87"/>
      <c r="AA1390" s="87"/>
      <c r="AB1390" s="87"/>
      <c r="AC1390" s="87"/>
      <c r="AD1390" s="87"/>
      <c r="AE1390" s="87"/>
      <c r="AF1390" s="87"/>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0"/>
      <c r="C1490" s="30"/>
      <c r="D1490" s="30"/>
      <c r="E1490" s="30"/>
      <c r="F1490" s="30"/>
      <c r="G1490" s="30"/>
      <c r="H1490" s="30"/>
      <c r="I1490" s="30"/>
      <c r="J1490" s="30"/>
      <c r="K1490" s="30"/>
      <c r="L1490" s="30"/>
      <c r="M1490" s="30"/>
      <c r="N1490" s="30"/>
      <c r="O1490" s="30"/>
      <c r="P1490" s="30"/>
      <c r="Q1490" s="30"/>
      <c r="R1490" s="30"/>
      <c r="S1490" s="30"/>
      <c r="T1490" s="30"/>
      <c r="U1490" s="30"/>
      <c r="V1490" s="30"/>
      <c r="W1490" s="30"/>
      <c r="X1490" s="30"/>
      <c r="Y1490" s="30"/>
      <c r="Z1490" s="30"/>
      <c r="AA1490" s="30"/>
      <c r="AB1490" s="30"/>
      <c r="AC1490" s="30"/>
      <c r="AD1490" s="30"/>
      <c r="AE1490" s="30"/>
      <c r="AF1490" s="30"/>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0"/>
      <c r="C1499" s="30"/>
      <c r="D1499" s="30"/>
      <c r="E1499" s="30"/>
      <c r="F1499" s="30"/>
      <c r="G1499" s="30"/>
      <c r="H1499" s="30"/>
      <c r="I1499" s="30"/>
      <c r="J1499" s="30"/>
      <c r="K1499" s="30"/>
      <c r="L1499" s="30"/>
      <c r="M1499" s="30"/>
      <c r="N1499" s="30"/>
      <c r="O1499" s="30"/>
      <c r="P1499" s="30"/>
      <c r="Q1499" s="30"/>
      <c r="R1499" s="30"/>
      <c r="S1499" s="30"/>
      <c r="T1499" s="30"/>
      <c r="U1499" s="30"/>
      <c r="V1499" s="30"/>
      <c r="W1499" s="30"/>
      <c r="X1499" s="30"/>
      <c r="Y1499" s="30"/>
      <c r="Z1499" s="30"/>
      <c r="AA1499" s="30"/>
      <c r="AB1499" s="30"/>
      <c r="AC1499" s="30"/>
      <c r="AD1499" s="30"/>
      <c r="AE1499" s="30"/>
      <c r="AF1499" s="30"/>
    </row>
    <row r="1500" spans="2:32" ht="15" customHeight="1"/>
    <row r="1501" spans="2:32" ht="15" customHeight="1">
      <c r="B1501" s="30"/>
      <c r="C1501" s="30"/>
      <c r="D1501" s="30"/>
      <c r="E1501" s="30"/>
      <c r="F1501" s="30"/>
      <c r="G1501" s="30"/>
      <c r="H1501" s="30"/>
      <c r="I1501" s="30"/>
      <c r="J1501" s="30"/>
      <c r="K1501" s="30"/>
      <c r="L1501" s="30"/>
      <c r="M1501" s="30"/>
      <c r="N1501" s="30"/>
      <c r="O1501" s="30"/>
      <c r="P1501" s="30"/>
      <c r="Q1501" s="30"/>
      <c r="R1501" s="30"/>
      <c r="S1501" s="30"/>
      <c r="T1501" s="30"/>
      <c r="U1501" s="30"/>
      <c r="V1501" s="30"/>
      <c r="W1501" s="30"/>
      <c r="X1501" s="30"/>
      <c r="Y1501" s="30"/>
      <c r="Z1501" s="30"/>
      <c r="AA1501" s="30"/>
      <c r="AB1501" s="30"/>
      <c r="AC1501" s="30"/>
      <c r="AD1501" s="30"/>
      <c r="AE1501" s="30"/>
      <c r="AF1501" s="30"/>
    </row>
    <row r="1502" spans="2:32" ht="15" customHeight="1">
      <c r="B1502" s="87"/>
      <c r="C1502" s="87"/>
      <c r="D1502" s="87"/>
      <c r="E1502" s="87"/>
      <c r="F1502" s="87"/>
      <c r="G1502" s="87"/>
      <c r="H1502" s="87"/>
      <c r="I1502" s="87"/>
      <c r="J1502" s="87"/>
      <c r="K1502" s="87"/>
      <c r="L1502" s="87"/>
      <c r="M1502" s="87"/>
      <c r="N1502" s="87"/>
      <c r="O1502" s="87"/>
      <c r="P1502" s="87"/>
      <c r="Q1502" s="87"/>
      <c r="R1502" s="87"/>
      <c r="S1502" s="87"/>
      <c r="T1502" s="87"/>
      <c r="U1502" s="87"/>
      <c r="V1502" s="87"/>
      <c r="W1502" s="87"/>
      <c r="X1502" s="87"/>
      <c r="Y1502" s="87"/>
      <c r="Z1502" s="87"/>
      <c r="AA1502" s="87"/>
      <c r="AB1502" s="87"/>
      <c r="AC1502" s="87"/>
      <c r="AD1502" s="87"/>
      <c r="AE1502" s="87"/>
      <c r="AF1502" s="87"/>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0"/>
      <c r="C1603" s="30"/>
      <c r="D1603" s="30"/>
      <c r="E1603" s="30"/>
      <c r="F1603" s="30"/>
      <c r="G1603" s="30"/>
      <c r="H1603" s="30"/>
      <c r="I1603" s="30"/>
      <c r="J1603" s="30"/>
      <c r="K1603" s="30"/>
      <c r="L1603" s="30"/>
      <c r="M1603" s="30"/>
      <c r="N1603" s="30"/>
      <c r="O1603" s="30"/>
      <c r="P1603" s="30"/>
      <c r="Q1603" s="30"/>
      <c r="R1603" s="30"/>
      <c r="S1603" s="30"/>
      <c r="T1603" s="30"/>
      <c r="U1603" s="30"/>
      <c r="V1603" s="30"/>
      <c r="W1603" s="30"/>
      <c r="X1603" s="30"/>
      <c r="Y1603" s="30"/>
      <c r="Z1603" s="30"/>
      <c r="AA1603" s="30"/>
      <c r="AB1603" s="30"/>
      <c r="AC1603" s="30"/>
      <c r="AD1603" s="30"/>
      <c r="AE1603" s="30"/>
      <c r="AF1603" s="30"/>
    </row>
    <row r="1604" spans="2:32" ht="15" customHeight="1">
      <c r="B1604" s="87"/>
      <c r="C1604" s="87"/>
      <c r="D1604" s="87"/>
      <c r="E1604" s="87"/>
      <c r="F1604" s="87"/>
      <c r="G1604" s="87"/>
      <c r="H1604" s="87"/>
      <c r="I1604" s="87"/>
      <c r="J1604" s="87"/>
      <c r="K1604" s="87"/>
      <c r="L1604" s="87"/>
      <c r="M1604" s="87"/>
      <c r="N1604" s="87"/>
      <c r="O1604" s="87"/>
      <c r="P1604" s="87"/>
      <c r="Q1604" s="87"/>
      <c r="R1604" s="87"/>
      <c r="S1604" s="87"/>
      <c r="T1604" s="87"/>
      <c r="U1604" s="87"/>
      <c r="V1604" s="87"/>
      <c r="W1604" s="87"/>
      <c r="X1604" s="87"/>
      <c r="Y1604" s="87"/>
      <c r="Z1604" s="87"/>
      <c r="AA1604" s="87"/>
      <c r="AB1604" s="87"/>
      <c r="AC1604" s="87"/>
      <c r="AD1604" s="87"/>
      <c r="AE1604" s="87"/>
      <c r="AF1604" s="87"/>
    </row>
    <row r="1605" spans="2:32" ht="15" customHeight="1"/>
    <row r="1606" spans="2:32" ht="15" customHeight="1"/>
    <row r="1607" spans="2:32" ht="15" customHeight="1"/>
    <row r="1608" spans="2:32" ht="15" customHeight="1"/>
    <row r="1609" spans="2:32" ht="15" customHeight="1"/>
    <row r="1610" spans="2:32" ht="15" customHeight="1"/>
    <row r="1612" spans="2:32">
      <c r="B1612" s="30"/>
      <c r="C1612" s="30"/>
      <c r="D1612" s="30"/>
      <c r="E1612" s="30"/>
      <c r="F1612" s="30"/>
      <c r="G1612" s="30"/>
      <c r="H1612" s="30"/>
      <c r="I1612" s="30"/>
      <c r="J1612" s="30"/>
      <c r="K1612" s="30"/>
      <c r="L1612" s="30"/>
      <c r="M1612" s="30"/>
      <c r="N1612" s="30"/>
      <c r="O1612" s="30"/>
      <c r="P1612" s="30"/>
      <c r="Q1612" s="30"/>
      <c r="R1612" s="30"/>
      <c r="S1612" s="30"/>
      <c r="T1612" s="30"/>
      <c r="U1612" s="30"/>
      <c r="V1612" s="30"/>
      <c r="W1612" s="30"/>
      <c r="X1612" s="30"/>
      <c r="Y1612" s="30"/>
      <c r="Z1612" s="30"/>
      <c r="AA1612" s="30"/>
      <c r="AB1612" s="30"/>
      <c r="AC1612" s="30"/>
      <c r="AD1612" s="30"/>
      <c r="AE1612" s="30"/>
      <c r="AF1612" s="30"/>
    </row>
    <row r="1613" spans="2:32">
      <c r="B1613" s="30"/>
      <c r="C1613" s="30"/>
      <c r="D1613" s="30"/>
      <c r="E1613" s="30"/>
      <c r="F1613" s="30"/>
      <c r="G1613" s="30"/>
      <c r="H1613" s="30"/>
      <c r="I1613" s="30"/>
      <c r="J1613" s="30"/>
      <c r="K1613" s="30"/>
      <c r="L1613" s="30"/>
      <c r="M1613" s="30"/>
      <c r="N1613" s="30"/>
      <c r="O1613" s="30"/>
      <c r="P1613" s="30"/>
      <c r="Q1613" s="30"/>
      <c r="R1613" s="30"/>
      <c r="S1613" s="30"/>
      <c r="T1613" s="30"/>
      <c r="U1613" s="30"/>
      <c r="V1613" s="30"/>
      <c r="W1613" s="30"/>
      <c r="X1613" s="30"/>
      <c r="Y1613" s="30"/>
      <c r="Z1613" s="30"/>
      <c r="AA1613" s="30"/>
      <c r="AB1613" s="30"/>
      <c r="AC1613" s="30"/>
      <c r="AD1613" s="30"/>
      <c r="AE1613" s="30"/>
      <c r="AF1613" s="30"/>
    </row>
    <row r="1614" spans="2:32">
      <c r="B1614" s="30"/>
      <c r="C1614" s="30"/>
      <c r="D1614" s="30"/>
      <c r="E1614" s="30"/>
      <c r="F1614" s="30"/>
      <c r="G1614" s="30"/>
      <c r="H1614" s="30"/>
      <c r="I1614" s="30"/>
      <c r="J1614" s="30"/>
      <c r="K1614" s="30"/>
      <c r="L1614" s="30"/>
      <c r="M1614" s="30"/>
      <c r="N1614" s="30"/>
      <c r="O1614" s="30"/>
      <c r="P1614" s="30"/>
      <c r="Q1614" s="30"/>
      <c r="R1614" s="30"/>
      <c r="S1614" s="30"/>
      <c r="T1614" s="30"/>
      <c r="U1614" s="30"/>
      <c r="V1614" s="30"/>
      <c r="W1614" s="30"/>
      <c r="X1614" s="30"/>
      <c r="Y1614" s="30"/>
      <c r="Z1614" s="30"/>
      <c r="AA1614" s="30"/>
      <c r="AB1614" s="30"/>
      <c r="AC1614" s="30"/>
      <c r="AD1614" s="30"/>
      <c r="AE1614" s="30"/>
      <c r="AF1614" s="30"/>
    </row>
    <row r="1615" spans="2:32">
      <c r="B1615" s="30"/>
      <c r="C1615" s="30"/>
      <c r="D1615" s="30"/>
      <c r="E1615" s="30"/>
      <c r="F1615" s="30"/>
      <c r="G1615" s="30"/>
      <c r="H1615" s="30"/>
      <c r="I1615" s="30"/>
      <c r="J1615" s="30"/>
      <c r="K1615" s="30"/>
      <c r="L1615" s="30"/>
      <c r="M1615" s="30"/>
      <c r="N1615" s="30"/>
      <c r="O1615" s="30"/>
      <c r="P1615" s="30"/>
      <c r="Q1615" s="30"/>
      <c r="R1615" s="30"/>
      <c r="S1615" s="30"/>
      <c r="T1615" s="30"/>
      <c r="U1615" s="30"/>
      <c r="V1615" s="30"/>
      <c r="W1615" s="30"/>
      <c r="X1615" s="30"/>
      <c r="Y1615" s="30"/>
      <c r="Z1615" s="30"/>
      <c r="AA1615" s="30"/>
      <c r="AB1615" s="30"/>
      <c r="AC1615" s="30"/>
      <c r="AD1615" s="30"/>
      <c r="AE1615" s="30"/>
      <c r="AF1615" s="30"/>
    </row>
    <row r="1616" spans="2:32">
      <c r="B1616" s="30"/>
      <c r="C1616" s="30"/>
      <c r="D1616" s="30"/>
      <c r="E1616" s="30"/>
      <c r="F1616" s="30"/>
      <c r="G1616" s="30"/>
      <c r="H1616" s="30"/>
      <c r="I1616" s="30"/>
      <c r="J1616" s="30"/>
      <c r="K1616" s="30"/>
      <c r="L1616" s="30"/>
      <c r="M1616" s="30"/>
      <c r="N1616" s="30"/>
      <c r="O1616" s="30"/>
      <c r="P1616" s="30"/>
      <c r="Q1616" s="30"/>
      <c r="R1616" s="30"/>
      <c r="S1616" s="30"/>
      <c r="T1616" s="30"/>
      <c r="U1616" s="30"/>
      <c r="V1616" s="30"/>
      <c r="W1616" s="30"/>
      <c r="X1616" s="30"/>
      <c r="Y1616" s="30"/>
      <c r="Z1616" s="30"/>
      <c r="AA1616" s="30"/>
      <c r="AB1616" s="30"/>
      <c r="AC1616" s="30"/>
      <c r="AD1616" s="30"/>
      <c r="AE1616" s="30"/>
      <c r="AF1616" s="30"/>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0"/>
      <c r="C1697" s="30"/>
      <c r="D1697" s="30"/>
      <c r="E1697" s="30"/>
      <c r="F1697" s="30"/>
      <c r="G1697" s="30"/>
      <c r="H1697" s="30"/>
      <c r="I1697" s="30"/>
      <c r="J1697" s="30"/>
      <c r="K1697" s="30"/>
      <c r="L1697" s="30"/>
      <c r="M1697" s="30"/>
      <c r="N1697" s="30"/>
      <c r="O1697" s="30"/>
      <c r="P1697" s="30"/>
      <c r="Q1697" s="30"/>
      <c r="R1697" s="30"/>
      <c r="S1697" s="30"/>
      <c r="T1697" s="30"/>
      <c r="U1697" s="30"/>
      <c r="V1697" s="30"/>
      <c r="W1697" s="30"/>
      <c r="X1697" s="30"/>
      <c r="Y1697" s="30"/>
      <c r="Z1697" s="30"/>
      <c r="AA1697" s="30"/>
      <c r="AB1697" s="30"/>
      <c r="AC1697" s="30"/>
      <c r="AD1697" s="30"/>
      <c r="AE1697" s="30"/>
      <c r="AF1697" s="30"/>
    </row>
    <row r="1698" spans="2:32" ht="15" customHeight="1">
      <c r="B1698" s="30"/>
      <c r="C1698" s="30"/>
      <c r="D1698" s="30"/>
      <c r="E1698" s="30"/>
      <c r="F1698" s="30"/>
      <c r="G1698" s="30"/>
      <c r="H1698" s="30"/>
      <c r="I1698" s="30"/>
      <c r="J1698" s="30"/>
      <c r="K1698" s="30"/>
      <c r="L1698" s="30"/>
      <c r="M1698" s="30"/>
      <c r="N1698" s="30"/>
      <c r="O1698" s="30"/>
      <c r="P1698" s="30"/>
      <c r="Q1698" s="30"/>
      <c r="R1698" s="30"/>
      <c r="S1698" s="30"/>
      <c r="T1698" s="30"/>
      <c r="U1698" s="30"/>
      <c r="V1698" s="30"/>
      <c r="W1698" s="30"/>
      <c r="X1698" s="30"/>
      <c r="Y1698" s="30"/>
      <c r="Z1698" s="30"/>
      <c r="AA1698" s="30"/>
      <c r="AB1698" s="30"/>
      <c r="AC1698" s="30"/>
      <c r="AD1698" s="30"/>
      <c r="AE1698" s="30"/>
      <c r="AF1698" s="30"/>
    </row>
    <row r="1699" spans="2:32" ht="15" customHeight="1">
      <c r="B1699" s="87"/>
      <c r="C1699" s="87"/>
      <c r="D1699" s="87"/>
      <c r="E1699" s="87"/>
      <c r="F1699" s="87"/>
      <c r="G1699" s="87"/>
      <c r="H1699" s="87"/>
      <c r="I1699" s="87"/>
      <c r="J1699" s="87"/>
      <c r="K1699" s="87"/>
      <c r="L1699" s="87"/>
      <c r="M1699" s="87"/>
      <c r="N1699" s="87"/>
      <c r="O1699" s="87"/>
      <c r="P1699" s="87"/>
      <c r="Q1699" s="87"/>
      <c r="R1699" s="87"/>
      <c r="S1699" s="87"/>
      <c r="T1699" s="87"/>
      <c r="U1699" s="87"/>
      <c r="V1699" s="87"/>
      <c r="W1699" s="87"/>
      <c r="X1699" s="87"/>
      <c r="Y1699" s="87"/>
      <c r="Z1699" s="87"/>
      <c r="AA1699" s="87"/>
      <c r="AB1699" s="87"/>
      <c r="AC1699" s="87"/>
      <c r="AD1699" s="87"/>
      <c r="AE1699" s="87"/>
      <c r="AF1699" s="87"/>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0"/>
      <c r="C1944" s="30"/>
      <c r="D1944" s="30"/>
      <c r="E1944" s="30"/>
      <c r="F1944" s="30"/>
      <c r="G1944" s="30"/>
      <c r="H1944" s="30"/>
      <c r="I1944" s="30"/>
      <c r="J1944" s="30"/>
      <c r="K1944" s="30"/>
      <c r="L1944" s="30"/>
      <c r="M1944" s="30"/>
      <c r="N1944" s="30"/>
      <c r="O1944" s="30"/>
      <c r="P1944" s="30"/>
      <c r="Q1944" s="30"/>
      <c r="R1944" s="30"/>
      <c r="S1944" s="30"/>
      <c r="T1944" s="30"/>
      <c r="U1944" s="30"/>
      <c r="V1944" s="30"/>
      <c r="W1944" s="30"/>
      <c r="X1944" s="30"/>
      <c r="Y1944" s="30"/>
      <c r="Z1944" s="30"/>
      <c r="AA1944" s="30"/>
      <c r="AB1944" s="30"/>
      <c r="AC1944" s="30"/>
      <c r="AD1944" s="30"/>
      <c r="AE1944" s="30"/>
      <c r="AF1944" s="30"/>
    </row>
    <row r="1945" spans="2:32" ht="15" customHeight="1">
      <c r="B1945" s="87"/>
      <c r="C1945" s="87"/>
      <c r="D1945" s="87"/>
      <c r="E1945" s="87"/>
      <c r="F1945" s="87"/>
      <c r="G1945" s="87"/>
      <c r="H1945" s="87"/>
      <c r="I1945" s="87"/>
      <c r="J1945" s="87"/>
      <c r="K1945" s="87"/>
      <c r="L1945" s="87"/>
      <c r="M1945" s="87"/>
      <c r="N1945" s="87"/>
      <c r="O1945" s="87"/>
      <c r="P1945" s="87"/>
      <c r="Q1945" s="87"/>
      <c r="R1945" s="87"/>
      <c r="S1945" s="87"/>
      <c r="T1945" s="87"/>
      <c r="U1945" s="87"/>
      <c r="V1945" s="87"/>
      <c r="W1945" s="87"/>
      <c r="X1945" s="87"/>
      <c r="Y1945" s="87"/>
      <c r="Z1945" s="87"/>
      <c r="AA1945" s="87"/>
      <c r="AB1945" s="87"/>
      <c r="AC1945" s="87"/>
      <c r="AD1945" s="87"/>
      <c r="AE1945" s="87"/>
      <c r="AF1945" s="87"/>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0"/>
      <c r="C2021" s="30"/>
      <c r="D2021" s="30"/>
      <c r="E2021" s="30"/>
      <c r="F2021" s="30"/>
      <c r="G2021" s="30"/>
      <c r="H2021" s="30"/>
      <c r="I2021" s="30"/>
      <c r="J2021" s="30"/>
      <c r="K2021" s="30"/>
      <c r="L2021" s="30"/>
      <c r="M2021" s="30"/>
      <c r="N2021" s="30"/>
      <c r="O2021" s="30"/>
      <c r="P2021" s="30"/>
      <c r="Q2021" s="30"/>
      <c r="R2021" s="30"/>
      <c r="S2021" s="30"/>
      <c r="T2021" s="30"/>
      <c r="U2021" s="30"/>
      <c r="V2021" s="30"/>
      <c r="W2021" s="30"/>
      <c r="X2021" s="30"/>
      <c r="Y2021" s="30"/>
      <c r="Z2021" s="30"/>
      <c r="AA2021" s="30"/>
      <c r="AB2021" s="30"/>
      <c r="AC2021" s="30"/>
      <c r="AD2021" s="30"/>
      <c r="AE2021" s="30"/>
      <c r="AF2021" s="30"/>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0"/>
      <c r="C2030" s="30"/>
      <c r="D2030" s="30"/>
      <c r="E2030" s="30"/>
      <c r="F2030" s="30"/>
      <c r="G2030" s="30"/>
      <c r="H2030" s="30"/>
      <c r="I2030" s="30"/>
      <c r="J2030" s="30"/>
      <c r="K2030" s="30"/>
      <c r="L2030" s="30"/>
      <c r="M2030" s="30"/>
      <c r="N2030" s="30"/>
      <c r="O2030" s="30"/>
      <c r="P2030" s="30"/>
      <c r="Q2030" s="30"/>
      <c r="R2030" s="30"/>
      <c r="S2030" s="30"/>
      <c r="T2030" s="30"/>
      <c r="U2030" s="30"/>
      <c r="V2030" s="30"/>
      <c r="W2030" s="30"/>
      <c r="X2030" s="30"/>
      <c r="Y2030" s="30"/>
      <c r="Z2030" s="30"/>
      <c r="AA2030" s="30"/>
      <c r="AB2030" s="30"/>
      <c r="AC2030" s="30"/>
      <c r="AD2030" s="30"/>
      <c r="AE2030" s="30"/>
      <c r="AF2030" s="30"/>
    </row>
    <row r="2031" spans="2:32" ht="15" customHeight="1">
      <c r="B2031" s="87"/>
      <c r="C2031" s="87"/>
      <c r="D2031" s="87"/>
      <c r="E2031" s="87"/>
      <c r="F2031" s="87"/>
      <c r="G2031" s="87"/>
      <c r="H2031" s="87"/>
      <c r="I2031" s="87"/>
      <c r="J2031" s="87"/>
      <c r="K2031" s="87"/>
      <c r="L2031" s="87"/>
      <c r="M2031" s="87"/>
      <c r="N2031" s="87"/>
      <c r="O2031" s="87"/>
      <c r="P2031" s="87"/>
      <c r="Q2031" s="87"/>
      <c r="R2031" s="87"/>
      <c r="S2031" s="87"/>
      <c r="T2031" s="87"/>
      <c r="U2031" s="87"/>
      <c r="V2031" s="87"/>
      <c r="W2031" s="87"/>
      <c r="X2031" s="87"/>
      <c r="Y2031" s="87"/>
      <c r="Z2031" s="87"/>
      <c r="AA2031" s="87"/>
      <c r="AB2031" s="87"/>
      <c r="AC2031" s="87"/>
      <c r="AD2031" s="87"/>
      <c r="AE2031" s="87"/>
      <c r="AF2031" s="87"/>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0"/>
      <c r="C2147" s="30"/>
      <c r="D2147" s="30"/>
      <c r="E2147" s="30"/>
      <c r="F2147" s="30"/>
      <c r="G2147" s="30"/>
      <c r="H2147" s="30"/>
      <c r="I2147" s="30"/>
      <c r="J2147" s="30"/>
      <c r="K2147" s="30"/>
      <c r="L2147" s="30"/>
      <c r="M2147" s="30"/>
      <c r="N2147" s="30"/>
      <c r="O2147" s="30"/>
      <c r="P2147" s="30"/>
      <c r="Q2147" s="30"/>
      <c r="R2147" s="30"/>
      <c r="S2147" s="30"/>
      <c r="T2147" s="30"/>
      <c r="U2147" s="30"/>
      <c r="V2147" s="30"/>
      <c r="W2147" s="30"/>
      <c r="X2147" s="30"/>
      <c r="Y2147" s="30"/>
      <c r="Z2147" s="30"/>
      <c r="AA2147" s="30"/>
      <c r="AB2147" s="30"/>
      <c r="AC2147" s="30"/>
      <c r="AD2147" s="30"/>
      <c r="AE2147" s="30"/>
      <c r="AF2147" s="30"/>
    </row>
    <row r="2148" spans="2:32" ht="15" customHeight="1"/>
    <row r="2149" spans="2:32">
      <c r="B2149" s="30"/>
      <c r="C2149" s="30"/>
      <c r="D2149" s="30"/>
      <c r="E2149" s="30"/>
      <c r="F2149" s="30"/>
      <c r="G2149" s="30"/>
      <c r="H2149" s="30"/>
      <c r="I2149" s="30"/>
      <c r="J2149" s="30"/>
      <c r="K2149" s="30"/>
      <c r="L2149" s="30"/>
      <c r="M2149" s="30"/>
      <c r="N2149" s="30"/>
      <c r="O2149" s="30"/>
      <c r="P2149" s="30"/>
      <c r="Q2149" s="30"/>
      <c r="R2149" s="30"/>
      <c r="S2149" s="30"/>
      <c r="T2149" s="30"/>
      <c r="U2149" s="30"/>
      <c r="V2149" s="30"/>
      <c r="W2149" s="30"/>
      <c r="X2149" s="30"/>
      <c r="Y2149" s="30"/>
      <c r="Z2149" s="30"/>
      <c r="AA2149" s="30"/>
      <c r="AB2149" s="30"/>
      <c r="AC2149" s="30"/>
      <c r="AD2149" s="30"/>
      <c r="AE2149" s="30"/>
      <c r="AF2149" s="30"/>
    </row>
    <row r="2150" spans="2:32">
      <c r="B2150" s="30"/>
      <c r="C2150" s="30"/>
      <c r="D2150" s="30"/>
      <c r="E2150" s="30"/>
      <c r="F2150" s="30"/>
      <c r="G2150" s="30"/>
      <c r="H2150" s="30"/>
      <c r="I2150" s="30"/>
      <c r="J2150" s="30"/>
      <c r="K2150" s="30"/>
      <c r="L2150" s="30"/>
      <c r="M2150" s="30"/>
      <c r="N2150" s="30"/>
      <c r="O2150" s="30"/>
      <c r="P2150" s="30"/>
      <c r="Q2150" s="30"/>
      <c r="R2150" s="30"/>
      <c r="S2150" s="30"/>
      <c r="T2150" s="30"/>
      <c r="U2150" s="30"/>
      <c r="V2150" s="30"/>
      <c r="W2150" s="30"/>
      <c r="X2150" s="30"/>
      <c r="Y2150" s="30"/>
      <c r="Z2150" s="30"/>
      <c r="AA2150" s="30"/>
      <c r="AB2150" s="30"/>
      <c r="AC2150" s="30"/>
      <c r="AD2150" s="30"/>
      <c r="AE2150" s="30"/>
      <c r="AF2150" s="30"/>
    </row>
    <row r="2151" spans="2:32" ht="15" customHeight="1"/>
    <row r="2152" spans="2:32" ht="15" customHeight="1">
      <c r="B2152" s="30"/>
      <c r="C2152" s="30"/>
      <c r="D2152" s="30"/>
      <c r="E2152" s="30"/>
      <c r="F2152" s="30"/>
      <c r="G2152" s="30"/>
      <c r="H2152" s="30"/>
      <c r="I2152" s="30"/>
      <c r="J2152" s="30"/>
      <c r="K2152" s="30"/>
      <c r="L2152" s="30"/>
      <c r="M2152" s="30"/>
      <c r="N2152" s="30"/>
      <c r="O2152" s="30"/>
      <c r="P2152" s="30"/>
      <c r="Q2152" s="30"/>
      <c r="R2152" s="30"/>
      <c r="S2152" s="30"/>
      <c r="T2152" s="30"/>
      <c r="U2152" s="30"/>
      <c r="V2152" s="30"/>
      <c r="W2152" s="30"/>
      <c r="X2152" s="30"/>
      <c r="Y2152" s="30"/>
      <c r="Z2152" s="30"/>
      <c r="AA2152" s="30"/>
      <c r="AB2152" s="30"/>
      <c r="AC2152" s="30"/>
      <c r="AD2152" s="30"/>
      <c r="AE2152" s="30"/>
      <c r="AF2152" s="30"/>
    </row>
    <row r="2153" spans="2:32" ht="15" customHeight="1">
      <c r="B2153" s="87"/>
      <c r="C2153" s="87"/>
      <c r="D2153" s="87"/>
      <c r="E2153" s="87"/>
      <c r="F2153" s="87"/>
      <c r="G2153" s="87"/>
      <c r="H2153" s="87"/>
      <c r="I2153" s="87"/>
      <c r="J2153" s="87"/>
      <c r="K2153" s="87"/>
      <c r="L2153" s="87"/>
      <c r="M2153" s="87"/>
      <c r="N2153" s="87"/>
      <c r="O2153" s="87"/>
      <c r="P2153" s="87"/>
      <c r="Q2153" s="87"/>
      <c r="R2153" s="87"/>
      <c r="S2153" s="87"/>
      <c r="T2153" s="87"/>
      <c r="U2153" s="87"/>
      <c r="V2153" s="87"/>
      <c r="W2153" s="87"/>
      <c r="X2153" s="87"/>
      <c r="Y2153" s="87"/>
      <c r="Z2153" s="87"/>
      <c r="AA2153" s="87"/>
      <c r="AB2153" s="87"/>
      <c r="AC2153" s="87"/>
      <c r="AD2153" s="87"/>
      <c r="AE2153" s="87"/>
      <c r="AF2153" s="87"/>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0"/>
      <c r="C2316" s="30"/>
      <c r="D2316" s="30"/>
      <c r="E2316" s="30"/>
      <c r="F2316" s="30"/>
      <c r="G2316" s="30"/>
      <c r="H2316" s="30"/>
      <c r="I2316" s="30"/>
      <c r="J2316" s="30"/>
      <c r="K2316" s="30"/>
      <c r="L2316" s="30"/>
      <c r="M2316" s="30"/>
      <c r="N2316" s="30"/>
      <c r="O2316" s="30"/>
      <c r="P2316" s="30"/>
      <c r="Q2316" s="30"/>
      <c r="R2316" s="30"/>
      <c r="S2316" s="30"/>
      <c r="T2316" s="30"/>
      <c r="U2316" s="30"/>
      <c r="V2316" s="30"/>
      <c r="W2316" s="30"/>
      <c r="X2316" s="30"/>
      <c r="Y2316" s="30"/>
      <c r="Z2316" s="30"/>
      <c r="AA2316" s="30"/>
      <c r="AB2316" s="30"/>
      <c r="AC2316" s="30"/>
      <c r="AD2316" s="30"/>
      <c r="AE2316" s="30"/>
      <c r="AF2316" s="30"/>
    </row>
    <row r="2317" spans="2:32" ht="15" customHeight="1">
      <c r="B2317" s="87"/>
      <c r="C2317" s="87"/>
      <c r="D2317" s="87"/>
      <c r="E2317" s="87"/>
      <c r="F2317" s="87"/>
      <c r="G2317" s="87"/>
      <c r="H2317" s="87"/>
      <c r="I2317" s="87"/>
      <c r="J2317" s="87"/>
      <c r="K2317" s="87"/>
      <c r="L2317" s="87"/>
      <c r="M2317" s="87"/>
      <c r="N2317" s="87"/>
      <c r="O2317" s="87"/>
      <c r="P2317" s="87"/>
      <c r="Q2317" s="87"/>
      <c r="R2317" s="87"/>
      <c r="S2317" s="87"/>
      <c r="T2317" s="87"/>
      <c r="U2317" s="87"/>
      <c r="V2317" s="87"/>
      <c r="W2317" s="87"/>
      <c r="X2317" s="87"/>
      <c r="Y2317" s="87"/>
      <c r="Z2317" s="87"/>
      <c r="AA2317" s="87"/>
      <c r="AB2317" s="87"/>
      <c r="AC2317" s="87"/>
      <c r="AD2317" s="87"/>
      <c r="AE2317" s="87"/>
      <c r="AF2317" s="87"/>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0"/>
      <c r="C2418" s="30"/>
      <c r="D2418" s="30"/>
      <c r="E2418" s="30"/>
      <c r="F2418" s="30"/>
      <c r="G2418" s="30"/>
      <c r="H2418" s="30"/>
      <c r="I2418" s="30"/>
      <c r="J2418" s="30"/>
      <c r="K2418" s="30"/>
      <c r="L2418" s="30"/>
      <c r="M2418" s="30"/>
      <c r="N2418" s="30"/>
      <c r="O2418" s="30"/>
      <c r="P2418" s="30"/>
      <c r="Q2418" s="30"/>
      <c r="R2418" s="30"/>
      <c r="S2418" s="30"/>
      <c r="T2418" s="30"/>
      <c r="U2418" s="30"/>
      <c r="V2418" s="30"/>
      <c r="W2418" s="30"/>
      <c r="X2418" s="30"/>
      <c r="Y2418" s="30"/>
      <c r="Z2418" s="30"/>
      <c r="AA2418" s="30"/>
      <c r="AB2418" s="30"/>
      <c r="AC2418" s="30"/>
      <c r="AD2418" s="30"/>
      <c r="AE2418" s="30"/>
      <c r="AF2418" s="30"/>
    </row>
    <row r="2419" spans="2:32" ht="15" customHeight="1">
      <c r="B2419" s="87"/>
      <c r="C2419" s="87"/>
      <c r="D2419" s="87"/>
      <c r="E2419" s="87"/>
      <c r="F2419" s="87"/>
      <c r="G2419" s="87"/>
      <c r="H2419" s="87"/>
      <c r="I2419" s="87"/>
      <c r="J2419" s="87"/>
      <c r="K2419" s="87"/>
      <c r="L2419" s="87"/>
      <c r="M2419" s="87"/>
      <c r="N2419" s="87"/>
      <c r="O2419" s="87"/>
      <c r="P2419" s="87"/>
      <c r="Q2419" s="87"/>
      <c r="R2419" s="87"/>
      <c r="S2419" s="87"/>
      <c r="T2419" s="87"/>
      <c r="U2419" s="87"/>
      <c r="V2419" s="87"/>
      <c r="W2419" s="87"/>
      <c r="X2419" s="87"/>
      <c r="Y2419" s="87"/>
      <c r="Z2419" s="87"/>
      <c r="AA2419" s="87"/>
      <c r="AB2419" s="87"/>
      <c r="AC2419" s="87"/>
      <c r="AD2419" s="87"/>
      <c r="AE2419" s="87"/>
      <c r="AF2419" s="87"/>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0"/>
      <c r="C2497" s="30"/>
      <c r="D2497" s="30"/>
      <c r="E2497" s="30"/>
      <c r="F2497" s="30"/>
      <c r="G2497" s="30"/>
      <c r="H2497" s="30"/>
      <c r="I2497" s="30"/>
      <c r="J2497" s="30"/>
      <c r="K2497" s="30"/>
      <c r="L2497" s="30"/>
      <c r="M2497" s="30"/>
      <c r="N2497" s="30"/>
      <c r="O2497" s="30"/>
      <c r="P2497" s="30"/>
      <c r="Q2497" s="30"/>
      <c r="R2497" s="30"/>
      <c r="S2497" s="30"/>
      <c r="T2497" s="30"/>
      <c r="U2497" s="30"/>
      <c r="V2497" s="30"/>
      <c r="W2497" s="30"/>
      <c r="X2497" s="30"/>
      <c r="Y2497" s="30"/>
      <c r="Z2497" s="30"/>
      <c r="AA2497" s="30"/>
      <c r="AB2497" s="30"/>
      <c r="AC2497" s="30"/>
      <c r="AD2497" s="30"/>
      <c r="AE2497" s="30"/>
      <c r="AF2497" s="30"/>
    </row>
    <row r="2498" spans="2:32" ht="15" customHeight="1"/>
    <row r="2499" spans="2:32" ht="15" customHeight="1"/>
    <row r="2500" spans="2:32" ht="15" customHeight="1"/>
    <row r="2501" spans="2:32" ht="15" customHeight="1"/>
    <row r="2502" spans="2:32" ht="15" customHeight="1"/>
    <row r="2503" spans="2:32">
      <c r="B2503" s="30"/>
      <c r="C2503" s="30"/>
      <c r="D2503" s="30"/>
      <c r="E2503" s="30"/>
      <c r="F2503" s="30"/>
      <c r="G2503" s="30"/>
      <c r="H2503" s="30"/>
      <c r="I2503" s="30"/>
      <c r="J2503" s="30"/>
      <c r="K2503" s="30"/>
      <c r="L2503" s="30"/>
      <c r="M2503" s="30"/>
      <c r="N2503" s="30"/>
      <c r="O2503" s="30"/>
      <c r="P2503" s="30"/>
      <c r="Q2503" s="30"/>
      <c r="R2503" s="30"/>
      <c r="S2503" s="30"/>
      <c r="T2503" s="30"/>
      <c r="U2503" s="30"/>
      <c r="V2503" s="30"/>
      <c r="W2503" s="30"/>
      <c r="X2503" s="30"/>
      <c r="Y2503" s="30"/>
      <c r="Z2503" s="30"/>
      <c r="AA2503" s="30"/>
      <c r="AB2503" s="30"/>
      <c r="AC2503" s="30"/>
      <c r="AD2503" s="30"/>
      <c r="AE2503" s="30"/>
      <c r="AF2503" s="30"/>
    </row>
    <row r="2504" spans="2:32" ht="15" customHeight="1"/>
    <row r="2505" spans="2:32" ht="15" customHeight="1"/>
    <row r="2506" spans="2:32" ht="15" customHeight="1"/>
    <row r="2507" spans="2:32" ht="15" customHeight="1"/>
    <row r="2508" spans="2:32" ht="15" customHeight="1">
      <c r="B2508" s="30"/>
      <c r="C2508" s="30"/>
      <c r="D2508" s="30"/>
      <c r="E2508" s="30"/>
      <c r="F2508" s="30"/>
      <c r="G2508" s="30"/>
      <c r="H2508" s="30"/>
      <c r="I2508" s="30"/>
      <c r="J2508" s="30"/>
      <c r="K2508" s="30"/>
      <c r="L2508" s="30"/>
      <c r="M2508" s="30"/>
      <c r="N2508" s="30"/>
      <c r="O2508" s="30"/>
      <c r="P2508" s="30"/>
      <c r="Q2508" s="30"/>
      <c r="R2508" s="30"/>
      <c r="S2508" s="30"/>
      <c r="T2508" s="30"/>
      <c r="U2508" s="30"/>
      <c r="V2508" s="30"/>
      <c r="W2508" s="30"/>
      <c r="X2508" s="30"/>
      <c r="Y2508" s="30"/>
      <c r="Z2508" s="30"/>
      <c r="AA2508" s="30"/>
      <c r="AB2508" s="30"/>
      <c r="AC2508" s="30"/>
      <c r="AD2508" s="30"/>
      <c r="AE2508" s="30"/>
      <c r="AF2508" s="30"/>
    </row>
    <row r="2509" spans="2:32" ht="15" customHeight="1">
      <c r="B2509" s="87"/>
      <c r="C2509" s="87"/>
      <c r="D2509" s="87"/>
      <c r="E2509" s="87"/>
      <c r="F2509" s="87"/>
      <c r="G2509" s="87"/>
      <c r="H2509" s="87"/>
      <c r="I2509" s="87"/>
      <c r="J2509" s="87"/>
      <c r="K2509" s="87"/>
      <c r="L2509" s="87"/>
      <c r="M2509" s="87"/>
      <c r="N2509" s="87"/>
      <c r="O2509" s="87"/>
      <c r="P2509" s="87"/>
      <c r="Q2509" s="87"/>
      <c r="R2509" s="87"/>
      <c r="S2509" s="87"/>
      <c r="T2509" s="87"/>
      <c r="U2509" s="87"/>
      <c r="V2509" s="87"/>
      <c r="W2509" s="87"/>
      <c r="X2509" s="87"/>
      <c r="Y2509" s="87"/>
      <c r="Z2509" s="87"/>
      <c r="AA2509" s="87"/>
      <c r="AB2509" s="87"/>
      <c r="AC2509" s="87"/>
      <c r="AD2509" s="87"/>
      <c r="AE2509" s="87"/>
      <c r="AF2509" s="87"/>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0"/>
      <c r="C2594" s="30"/>
      <c r="D2594" s="30"/>
      <c r="E2594" s="30"/>
      <c r="F2594" s="30"/>
      <c r="G2594" s="30"/>
      <c r="H2594" s="30"/>
      <c r="I2594" s="30"/>
      <c r="J2594" s="30"/>
      <c r="K2594" s="30"/>
      <c r="L2594" s="30"/>
      <c r="M2594" s="30"/>
      <c r="N2594" s="30"/>
      <c r="O2594" s="30"/>
      <c r="P2594" s="30"/>
      <c r="Q2594" s="30"/>
      <c r="R2594" s="30"/>
      <c r="S2594" s="30"/>
      <c r="T2594" s="30"/>
      <c r="U2594" s="30"/>
      <c r="V2594" s="30"/>
      <c r="W2594" s="30"/>
      <c r="X2594" s="30"/>
      <c r="Y2594" s="30"/>
      <c r="Z2594" s="30"/>
      <c r="AA2594" s="30"/>
      <c r="AB2594" s="30"/>
      <c r="AC2594" s="30"/>
      <c r="AD2594" s="30"/>
      <c r="AE2594" s="30"/>
      <c r="AF2594" s="30"/>
    </row>
    <row r="2595" spans="2:32" ht="15" customHeight="1"/>
    <row r="2596" spans="2:32" ht="15" customHeight="1"/>
    <row r="2597" spans="2:32" ht="15" customHeight="1">
      <c r="B2597" s="30"/>
      <c r="C2597" s="30"/>
      <c r="D2597" s="30"/>
      <c r="E2597" s="30"/>
      <c r="F2597" s="30"/>
      <c r="G2597" s="30"/>
      <c r="H2597" s="30"/>
      <c r="I2597" s="30"/>
      <c r="J2597" s="30"/>
      <c r="K2597" s="30"/>
      <c r="L2597" s="30"/>
      <c r="M2597" s="30"/>
      <c r="N2597" s="30"/>
      <c r="O2597" s="30"/>
      <c r="P2597" s="30"/>
      <c r="Q2597" s="30"/>
      <c r="R2597" s="30"/>
      <c r="S2597" s="30"/>
      <c r="T2597" s="30"/>
      <c r="U2597" s="30"/>
      <c r="V2597" s="30"/>
      <c r="W2597" s="30"/>
      <c r="X2597" s="30"/>
      <c r="Y2597" s="30"/>
      <c r="Z2597" s="30"/>
      <c r="AA2597" s="30"/>
      <c r="AB2597" s="30"/>
      <c r="AC2597" s="30"/>
      <c r="AD2597" s="30"/>
      <c r="AE2597" s="30"/>
      <c r="AF2597" s="30"/>
    </row>
    <row r="2598" spans="2:32" ht="15" customHeight="1">
      <c r="B2598" s="87"/>
      <c r="C2598" s="87"/>
      <c r="D2598" s="87"/>
      <c r="E2598" s="87"/>
      <c r="F2598" s="87"/>
      <c r="G2598" s="87"/>
      <c r="H2598" s="87"/>
      <c r="I2598" s="87"/>
      <c r="J2598" s="87"/>
      <c r="K2598" s="87"/>
      <c r="L2598" s="87"/>
      <c r="M2598" s="87"/>
      <c r="N2598" s="87"/>
      <c r="O2598" s="87"/>
      <c r="P2598" s="87"/>
      <c r="Q2598" s="87"/>
      <c r="R2598" s="87"/>
      <c r="S2598" s="87"/>
      <c r="T2598" s="87"/>
      <c r="U2598" s="87"/>
      <c r="V2598" s="87"/>
      <c r="W2598" s="87"/>
      <c r="X2598" s="87"/>
      <c r="Y2598" s="87"/>
      <c r="Z2598" s="87"/>
      <c r="AA2598" s="87"/>
      <c r="AB2598" s="87"/>
      <c r="AC2598" s="87"/>
      <c r="AD2598" s="87"/>
      <c r="AE2598" s="87"/>
      <c r="AF2598" s="87"/>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0"/>
      <c r="C2705" s="30"/>
      <c r="D2705" s="30"/>
      <c r="E2705" s="30"/>
      <c r="F2705" s="30"/>
      <c r="G2705" s="30"/>
      <c r="H2705" s="30"/>
      <c r="I2705" s="30"/>
      <c r="J2705" s="30"/>
      <c r="K2705" s="30"/>
      <c r="L2705" s="30"/>
      <c r="M2705" s="30"/>
      <c r="N2705" s="30"/>
      <c r="O2705" s="30"/>
      <c r="P2705" s="30"/>
      <c r="Q2705" s="30"/>
      <c r="R2705" s="30"/>
      <c r="S2705" s="30"/>
      <c r="T2705" s="30"/>
      <c r="U2705" s="30"/>
      <c r="V2705" s="30"/>
      <c r="W2705" s="30"/>
      <c r="X2705" s="30"/>
      <c r="Y2705" s="30"/>
      <c r="Z2705" s="30"/>
      <c r="AA2705" s="30"/>
      <c r="AB2705" s="30"/>
      <c r="AC2705" s="30"/>
      <c r="AD2705" s="30"/>
      <c r="AE2705" s="30"/>
      <c r="AF2705" s="30"/>
    </row>
    <row r="2706" spans="2:32">
      <c r="B2706" s="30"/>
      <c r="C2706" s="30"/>
      <c r="D2706" s="30"/>
      <c r="E2706" s="30"/>
      <c r="F2706" s="30"/>
      <c r="G2706" s="30"/>
      <c r="H2706" s="30"/>
      <c r="I2706" s="30"/>
      <c r="J2706" s="30"/>
      <c r="K2706" s="30"/>
      <c r="L2706" s="30"/>
      <c r="M2706" s="30"/>
      <c r="N2706" s="30"/>
      <c r="O2706" s="30"/>
      <c r="P2706" s="30"/>
      <c r="Q2706" s="30"/>
      <c r="R2706" s="30"/>
      <c r="S2706" s="30"/>
      <c r="T2706" s="30"/>
      <c r="U2706" s="30"/>
      <c r="V2706" s="30"/>
      <c r="W2706" s="30"/>
      <c r="X2706" s="30"/>
      <c r="Y2706" s="30"/>
      <c r="Z2706" s="30"/>
      <c r="AA2706" s="30"/>
      <c r="AB2706" s="30"/>
      <c r="AC2706" s="30"/>
      <c r="AD2706" s="30"/>
      <c r="AE2706" s="30"/>
      <c r="AF2706" s="30"/>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0"/>
      <c r="C2718" s="30"/>
      <c r="D2718" s="30"/>
      <c r="E2718" s="30"/>
      <c r="F2718" s="30"/>
      <c r="G2718" s="30"/>
      <c r="H2718" s="30"/>
      <c r="I2718" s="30"/>
      <c r="J2718" s="30"/>
      <c r="K2718" s="30"/>
      <c r="L2718" s="30"/>
      <c r="M2718" s="30"/>
      <c r="N2718" s="30"/>
      <c r="O2718" s="30"/>
      <c r="P2718" s="30"/>
      <c r="Q2718" s="30"/>
      <c r="R2718" s="30"/>
      <c r="S2718" s="30"/>
      <c r="T2718" s="30"/>
      <c r="U2718" s="30"/>
      <c r="V2718" s="30"/>
      <c r="W2718" s="30"/>
      <c r="X2718" s="30"/>
      <c r="Y2718" s="30"/>
      <c r="Z2718" s="30"/>
      <c r="AA2718" s="30"/>
      <c r="AB2718" s="30"/>
      <c r="AC2718" s="30"/>
      <c r="AD2718" s="30"/>
      <c r="AE2718" s="30"/>
      <c r="AF2718" s="30"/>
    </row>
    <row r="2719" spans="2:32" ht="15" customHeight="1">
      <c r="B2719" s="87"/>
      <c r="C2719" s="87"/>
      <c r="D2719" s="87"/>
      <c r="E2719" s="87"/>
      <c r="F2719" s="87"/>
      <c r="G2719" s="87"/>
      <c r="H2719" s="87"/>
      <c r="I2719" s="87"/>
      <c r="J2719" s="87"/>
      <c r="K2719" s="87"/>
      <c r="L2719" s="87"/>
      <c r="M2719" s="87"/>
      <c r="N2719" s="87"/>
      <c r="O2719" s="87"/>
      <c r="P2719" s="87"/>
      <c r="Q2719" s="87"/>
      <c r="R2719" s="87"/>
      <c r="S2719" s="87"/>
      <c r="T2719" s="87"/>
      <c r="U2719" s="87"/>
      <c r="V2719" s="87"/>
      <c r="W2719" s="87"/>
      <c r="X2719" s="87"/>
      <c r="Y2719" s="87"/>
      <c r="Z2719" s="87"/>
      <c r="AA2719" s="87"/>
      <c r="AB2719" s="87"/>
      <c r="AC2719" s="87"/>
      <c r="AD2719" s="87"/>
      <c r="AE2719" s="87"/>
      <c r="AF2719" s="87"/>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0"/>
      <c r="C2836" s="30"/>
      <c r="D2836" s="30"/>
      <c r="E2836" s="30"/>
      <c r="F2836" s="30"/>
      <c r="G2836" s="30"/>
      <c r="H2836" s="30"/>
      <c r="I2836" s="30"/>
      <c r="J2836" s="30"/>
      <c r="K2836" s="30"/>
      <c r="L2836" s="30"/>
      <c r="M2836" s="30"/>
      <c r="N2836" s="30"/>
      <c r="O2836" s="30"/>
      <c r="P2836" s="30"/>
      <c r="Q2836" s="30"/>
      <c r="R2836" s="30"/>
      <c r="S2836" s="30"/>
      <c r="T2836" s="30"/>
      <c r="U2836" s="30"/>
      <c r="V2836" s="30"/>
      <c r="W2836" s="30"/>
      <c r="X2836" s="30"/>
      <c r="Y2836" s="30"/>
      <c r="Z2836" s="30"/>
      <c r="AA2836" s="30"/>
      <c r="AB2836" s="30"/>
      <c r="AC2836" s="30"/>
      <c r="AD2836" s="30"/>
      <c r="AE2836" s="30"/>
      <c r="AF2836" s="30"/>
    </row>
    <row r="2837" spans="2:32" ht="15" customHeight="1">
      <c r="B2837" s="87"/>
      <c r="C2837" s="87"/>
      <c r="D2837" s="87"/>
      <c r="E2837" s="87"/>
      <c r="F2837" s="87"/>
      <c r="G2837" s="87"/>
      <c r="H2837" s="87"/>
      <c r="I2837" s="87"/>
      <c r="J2837" s="87"/>
      <c r="K2837" s="87"/>
      <c r="L2837" s="87"/>
      <c r="M2837" s="87"/>
      <c r="N2837" s="87"/>
      <c r="O2837" s="87"/>
      <c r="P2837" s="87"/>
      <c r="Q2837" s="87"/>
      <c r="R2837" s="87"/>
      <c r="S2837" s="87"/>
      <c r="T2837" s="87"/>
      <c r="U2837" s="87"/>
      <c r="V2837" s="87"/>
      <c r="W2837" s="87"/>
      <c r="X2837" s="87"/>
      <c r="Y2837" s="87"/>
      <c r="Z2837" s="87"/>
      <c r="AA2837" s="87"/>
      <c r="AB2837" s="87"/>
      <c r="AC2837" s="87"/>
      <c r="AD2837" s="87"/>
      <c r="AE2837" s="87"/>
      <c r="AF2837" s="87"/>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bottomRight"/>
      <selection pane="bottomLeft" activeCell="A2" sqref="A2"/>
      <selection pane="topRight" activeCell="C1" sqref="C1"/>
    </sheetView>
  </sheetViews>
  <sheetFormatPr defaultColWidth="8.85546875" defaultRowHeight="15" customHeight="1"/>
  <sheetData>
    <row r="1" spans="1:36">
      <c r="A1" t="s">
        <v>391</v>
      </c>
    </row>
    <row r="2" spans="1:36">
      <c r="A2" t="s">
        <v>392</v>
      </c>
    </row>
    <row r="3" spans="1:36">
      <c r="A3" t="s">
        <v>393</v>
      </c>
    </row>
    <row r="4" spans="1:36">
      <c r="A4" t="s">
        <v>394</v>
      </c>
    </row>
    <row r="5" spans="1:36">
      <c r="B5" t="s">
        <v>395</v>
      </c>
      <c r="C5" t="s">
        <v>396</v>
      </c>
      <c r="D5" t="s">
        <v>397</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398</v>
      </c>
    </row>
    <row r="6" spans="1:36">
      <c r="A6" t="s">
        <v>399</v>
      </c>
    </row>
    <row r="7" spans="1:36">
      <c r="A7" t="s">
        <v>400</v>
      </c>
      <c r="B7" t="s">
        <v>401</v>
      </c>
      <c r="C7" t="s">
        <v>402</v>
      </c>
      <c r="D7" t="s">
        <v>403</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404</v>
      </c>
      <c r="B8" t="s">
        <v>405</v>
      </c>
      <c r="C8" t="s">
        <v>406</v>
      </c>
      <c r="D8" t="s">
        <v>403</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407</v>
      </c>
      <c r="B9" t="s">
        <v>408</v>
      </c>
      <c r="C9" t="s">
        <v>409</v>
      </c>
      <c r="D9" t="s">
        <v>403</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410</v>
      </c>
      <c r="B10" t="s">
        <v>411</v>
      </c>
      <c r="C10" t="s">
        <v>412</v>
      </c>
      <c r="D10" t="s">
        <v>403</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413</v>
      </c>
      <c r="B11" t="s">
        <v>414</v>
      </c>
      <c r="C11" t="s">
        <v>415</v>
      </c>
      <c r="D11" t="s">
        <v>403</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416</v>
      </c>
      <c r="B12" t="s">
        <v>417</v>
      </c>
      <c r="C12" t="s">
        <v>418</v>
      </c>
      <c r="D12" t="s">
        <v>403</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419</v>
      </c>
      <c r="B13" t="s">
        <v>420</v>
      </c>
      <c r="C13" t="s">
        <v>421</v>
      </c>
      <c r="D13" t="s">
        <v>403</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422</v>
      </c>
      <c r="B14" t="s">
        <v>423</v>
      </c>
      <c r="C14" t="s">
        <v>424</v>
      </c>
      <c r="D14" t="s">
        <v>403</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425</v>
      </c>
      <c r="B15" t="s">
        <v>426</v>
      </c>
      <c r="C15" t="s">
        <v>427</v>
      </c>
      <c r="D15" t="s">
        <v>403</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428</v>
      </c>
      <c r="B16" t="s">
        <v>429</v>
      </c>
      <c r="C16" t="s">
        <v>430</v>
      </c>
      <c r="D16" t="s">
        <v>403</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431</v>
      </c>
      <c r="B17" t="s">
        <v>432</v>
      </c>
      <c r="C17" t="s">
        <v>433</v>
      </c>
      <c r="D17" t="s">
        <v>403</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434</v>
      </c>
      <c r="B18" t="s">
        <v>435</v>
      </c>
      <c r="C18" t="s">
        <v>436</v>
      </c>
      <c r="D18" t="s">
        <v>403</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172</v>
      </c>
    </row>
    <row r="19" spans="1:36">
      <c r="A19" t="s">
        <v>437</v>
      </c>
      <c r="B19" t="s">
        <v>438</v>
      </c>
      <c r="C19" t="s">
        <v>439</v>
      </c>
      <c r="D19" t="s">
        <v>403</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440</v>
      </c>
      <c r="B20" t="s">
        <v>441</v>
      </c>
      <c r="C20" t="s">
        <v>442</v>
      </c>
      <c r="D20" t="s">
        <v>403</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443</v>
      </c>
      <c r="B21" t="s">
        <v>444</v>
      </c>
      <c r="C21" t="s">
        <v>445</v>
      </c>
      <c r="D21" t="s">
        <v>403</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410</v>
      </c>
      <c r="B22" t="s">
        <v>446</v>
      </c>
      <c r="C22" t="s">
        <v>447</v>
      </c>
      <c r="D22" t="s">
        <v>403</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448</v>
      </c>
      <c r="B23" t="s">
        <v>449</v>
      </c>
      <c r="C23" t="s">
        <v>450</v>
      </c>
      <c r="D23" t="s">
        <v>403</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451</v>
      </c>
      <c r="B24" t="s">
        <v>452</v>
      </c>
      <c r="C24" t="s">
        <v>453</v>
      </c>
      <c r="D24" t="s">
        <v>403</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416</v>
      </c>
      <c r="B25" t="s">
        <v>454</v>
      </c>
      <c r="C25" t="s">
        <v>455</v>
      </c>
      <c r="D25" t="s">
        <v>403</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456</v>
      </c>
      <c r="B26" t="s">
        <v>457</v>
      </c>
      <c r="C26" t="s">
        <v>458</v>
      </c>
      <c r="D26" t="s">
        <v>403</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459</v>
      </c>
      <c r="B27" t="s">
        <v>460</v>
      </c>
      <c r="C27" t="s">
        <v>461</v>
      </c>
      <c r="D27" t="s">
        <v>403</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462</v>
      </c>
      <c r="B28" t="s">
        <v>463</v>
      </c>
      <c r="C28" t="s">
        <v>464</v>
      </c>
      <c r="D28" t="s">
        <v>403</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465</v>
      </c>
      <c r="B29" t="s">
        <v>466</v>
      </c>
      <c r="C29" t="s">
        <v>467</v>
      </c>
      <c r="D29" t="s">
        <v>403</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468</v>
      </c>
      <c r="B30" t="s">
        <v>469</v>
      </c>
      <c r="C30" t="s">
        <v>470</v>
      </c>
      <c r="D30" t="s">
        <v>403</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471</v>
      </c>
      <c r="B31" t="s">
        <v>472</v>
      </c>
      <c r="C31" t="s">
        <v>473</v>
      </c>
      <c r="D31" t="s">
        <v>403</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345</v>
      </c>
    </row>
    <row r="33" spans="1:36">
      <c r="A33" t="s">
        <v>474</v>
      </c>
      <c r="B33" t="s">
        <v>475</v>
      </c>
      <c r="C33" t="s">
        <v>476</v>
      </c>
      <c r="D33" t="s">
        <v>403</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477</v>
      </c>
      <c r="B34" t="s">
        <v>478</v>
      </c>
      <c r="C34" t="s">
        <v>479</v>
      </c>
      <c r="D34" t="s">
        <v>403</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480</v>
      </c>
      <c r="B35" t="s">
        <v>481</v>
      </c>
      <c r="C35" t="s">
        <v>482</v>
      </c>
      <c r="D35" t="s">
        <v>403</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483</v>
      </c>
      <c r="B36" t="s">
        <v>484</v>
      </c>
      <c r="C36" t="s">
        <v>485</v>
      </c>
      <c r="D36" t="s">
        <v>403</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486</v>
      </c>
    </row>
    <row r="38" spans="1:36">
      <c r="A38" t="s">
        <v>487</v>
      </c>
    </row>
    <row r="39" spans="1:36">
      <c r="A39" t="s">
        <v>488</v>
      </c>
      <c r="B39" t="s">
        <v>489</v>
      </c>
      <c r="C39" t="s">
        <v>490</v>
      </c>
      <c r="D39" t="s">
        <v>403</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491</v>
      </c>
      <c r="B40" t="s">
        <v>492</v>
      </c>
      <c r="C40" t="s">
        <v>493</v>
      </c>
      <c r="D40" t="s">
        <v>403</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494</v>
      </c>
      <c r="B41" t="s">
        <v>495</v>
      </c>
      <c r="C41" t="s">
        <v>496</v>
      </c>
      <c r="D41" t="s">
        <v>403</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465</v>
      </c>
      <c r="B42" t="s">
        <v>497</v>
      </c>
      <c r="C42" t="s">
        <v>498</v>
      </c>
      <c r="D42" t="s">
        <v>403</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468</v>
      </c>
      <c r="B43" t="s">
        <v>499</v>
      </c>
      <c r="C43" t="s">
        <v>500</v>
      </c>
      <c r="D43" t="s">
        <v>403</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501</v>
      </c>
      <c r="B44" t="s">
        <v>502</v>
      </c>
      <c r="C44" t="s">
        <v>503</v>
      </c>
      <c r="D44" t="s">
        <v>403</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462</v>
      </c>
      <c r="B45" t="s">
        <v>504</v>
      </c>
      <c r="C45" t="s">
        <v>505</v>
      </c>
      <c r="D45" t="s">
        <v>403</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465</v>
      </c>
      <c r="B46" t="s">
        <v>506</v>
      </c>
      <c r="C46" t="s">
        <v>507</v>
      </c>
      <c r="D46" t="s">
        <v>403</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468</v>
      </c>
      <c r="B47" t="s">
        <v>508</v>
      </c>
      <c r="C47" t="s">
        <v>509</v>
      </c>
      <c r="D47" t="s">
        <v>403</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ColWidth="8.85546875" defaultRowHeight="15"/>
  <sheetData>
    <row r="1" spans="1:35">
      <c r="A1" t="s">
        <v>510</v>
      </c>
    </row>
    <row r="2" spans="1:35">
      <c r="A2" t="s">
        <v>511</v>
      </c>
    </row>
    <row r="3" spans="1:35">
      <c r="A3" t="s">
        <v>512</v>
      </c>
    </row>
    <row r="4" spans="1:35">
      <c r="A4" t="s">
        <v>394</v>
      </c>
    </row>
    <row r="5" spans="1:35">
      <c r="B5" t="s">
        <v>395</v>
      </c>
      <c r="C5" t="s">
        <v>396</v>
      </c>
      <c r="D5" t="s">
        <v>397</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513</v>
      </c>
    </row>
    <row r="6" spans="1:35">
      <c r="A6" t="s">
        <v>514</v>
      </c>
      <c r="B6" t="s">
        <v>515</v>
      </c>
      <c r="C6" t="s">
        <v>516</v>
      </c>
      <c r="D6" t="s">
        <v>517</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518</v>
      </c>
      <c r="B7" t="s">
        <v>519</v>
      </c>
      <c r="C7" t="s">
        <v>520</v>
      </c>
      <c r="D7" t="s">
        <v>517</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521</v>
      </c>
      <c r="B8" t="s">
        <v>522</v>
      </c>
      <c r="C8" t="s">
        <v>523</v>
      </c>
      <c r="D8" t="s">
        <v>517</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524</v>
      </c>
      <c r="B9" t="s">
        <v>525</v>
      </c>
      <c r="C9" t="s">
        <v>526</v>
      </c>
      <c r="D9" t="s">
        <v>517</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527</v>
      </c>
      <c r="B10" t="s">
        <v>528</v>
      </c>
      <c r="C10" t="s">
        <v>529</v>
      </c>
      <c r="D10" t="s">
        <v>517</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196</v>
      </c>
      <c r="B11" t="s">
        <v>530</v>
      </c>
      <c r="C11" t="s">
        <v>531</v>
      </c>
      <c r="D11" t="s">
        <v>517</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532</v>
      </c>
      <c r="B12" t="s">
        <v>533</v>
      </c>
      <c r="C12" t="s">
        <v>534</v>
      </c>
      <c r="D12" t="s">
        <v>517</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535</v>
      </c>
      <c r="B13" t="s">
        <v>536</v>
      </c>
      <c r="C13" t="s">
        <v>537</v>
      </c>
      <c r="D13" t="s">
        <v>517</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538</v>
      </c>
      <c r="B14" t="s">
        <v>539</v>
      </c>
      <c r="C14" t="s">
        <v>540</v>
      </c>
      <c r="D14" t="s">
        <v>517</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518</v>
      </c>
      <c r="B15" t="s">
        <v>541</v>
      </c>
      <c r="C15" t="s">
        <v>542</v>
      </c>
      <c r="D15" t="s">
        <v>517</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521</v>
      </c>
      <c r="B16" t="s">
        <v>543</v>
      </c>
      <c r="C16" t="s">
        <v>544</v>
      </c>
      <c r="D16" t="s">
        <v>517</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524</v>
      </c>
      <c r="B17" t="s">
        <v>545</v>
      </c>
      <c r="C17" t="s">
        <v>546</v>
      </c>
      <c r="D17" t="s">
        <v>517</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196</v>
      </c>
      <c r="B18" t="s">
        <v>547</v>
      </c>
      <c r="C18" t="s">
        <v>548</v>
      </c>
      <c r="D18" t="s">
        <v>517</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527</v>
      </c>
      <c r="B19" t="s">
        <v>549</v>
      </c>
      <c r="C19" t="s">
        <v>550</v>
      </c>
      <c r="D19" t="s">
        <v>517</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532</v>
      </c>
      <c r="B20" t="s">
        <v>551</v>
      </c>
      <c r="C20" t="s">
        <v>552</v>
      </c>
      <c r="D20" t="s">
        <v>517</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172</v>
      </c>
    </row>
    <row r="21" spans="1:35">
      <c r="A21" t="s">
        <v>535</v>
      </c>
      <c r="B21" t="s">
        <v>553</v>
      </c>
      <c r="C21" t="s">
        <v>554</v>
      </c>
      <c r="D21" t="s">
        <v>517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172</v>
      </c>
    </row>
    <row r="22" spans="1:35">
      <c r="A22" t="s">
        <v>555</v>
      </c>
      <c r="B22" t="s">
        <v>556</v>
      </c>
      <c r="C22" t="s">
        <v>557</v>
      </c>
      <c r="D22" t="s">
        <v>517</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216</v>
      </c>
      <c r="B23" t="s">
        <v>558</v>
      </c>
      <c r="C23" t="s">
        <v>559</v>
      </c>
      <c r="D23" t="s">
        <v>517</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524</v>
      </c>
      <c r="B24" t="s">
        <v>560</v>
      </c>
      <c r="C24" t="s">
        <v>561</v>
      </c>
      <c r="D24" t="s">
        <v>517</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527</v>
      </c>
      <c r="B25" t="s">
        <v>562</v>
      </c>
      <c r="C25" t="s">
        <v>563</v>
      </c>
      <c r="D25" t="s">
        <v>517</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196</v>
      </c>
      <c r="B26" t="s">
        <v>564</v>
      </c>
      <c r="C26" t="s">
        <v>565</v>
      </c>
      <c r="D26" t="s">
        <v>517</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521</v>
      </c>
      <c r="B27" t="s">
        <v>566</v>
      </c>
      <c r="C27" t="s">
        <v>567</v>
      </c>
      <c r="D27" t="s">
        <v>517</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532</v>
      </c>
      <c r="B28" t="s">
        <v>568</v>
      </c>
      <c r="C28" t="s">
        <v>569</v>
      </c>
      <c r="D28" t="s">
        <v>517</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535</v>
      </c>
      <c r="B29" t="s">
        <v>570</v>
      </c>
      <c r="C29" t="s">
        <v>571</v>
      </c>
      <c r="D29" t="s">
        <v>517</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172</v>
      </c>
    </row>
    <row r="30" spans="1:35">
      <c r="A30" t="s">
        <v>572</v>
      </c>
      <c r="B30" t="s">
        <v>573</v>
      </c>
      <c r="C30" t="s">
        <v>574</v>
      </c>
      <c r="D30" t="s">
        <v>517</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524</v>
      </c>
      <c r="B31" t="s">
        <v>575</v>
      </c>
      <c r="C31" t="s">
        <v>576</v>
      </c>
      <c r="D31" t="s">
        <v>517</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577</v>
      </c>
      <c r="B32" t="s">
        <v>578</v>
      </c>
      <c r="C32" t="s">
        <v>579</v>
      </c>
      <c r="D32" t="s">
        <v>517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172</v>
      </c>
    </row>
    <row r="33" spans="1:35">
      <c r="A33" t="s">
        <v>580</v>
      </c>
      <c r="B33" t="s">
        <v>581</v>
      </c>
      <c r="C33" t="s">
        <v>582</v>
      </c>
      <c r="D33" t="s">
        <v>517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172</v>
      </c>
    </row>
    <row r="34" spans="1:35">
      <c r="A34" t="s">
        <v>583</v>
      </c>
      <c r="B34" t="s">
        <v>584</v>
      </c>
      <c r="C34" t="s">
        <v>585</v>
      </c>
      <c r="D34" t="s">
        <v>517</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586</v>
      </c>
      <c r="B35" t="s">
        <v>587</v>
      </c>
      <c r="C35" t="s">
        <v>588</v>
      </c>
      <c r="D35" t="s">
        <v>517</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524</v>
      </c>
      <c r="B36" t="s">
        <v>589</v>
      </c>
      <c r="C36" t="s">
        <v>590</v>
      </c>
      <c r="D36" t="s">
        <v>517</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591</v>
      </c>
      <c r="B37" t="s">
        <v>592</v>
      </c>
      <c r="C37" t="s">
        <v>593</v>
      </c>
      <c r="D37" t="s">
        <v>517</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580</v>
      </c>
      <c r="B38" t="s">
        <v>594</v>
      </c>
      <c r="C38" t="s">
        <v>595</v>
      </c>
      <c r="D38" t="s">
        <v>517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172</v>
      </c>
    </row>
    <row r="39" spans="1:35">
      <c r="A39" t="s">
        <v>583</v>
      </c>
      <c r="B39" t="s">
        <v>596</v>
      </c>
      <c r="C39" t="s">
        <v>597</v>
      </c>
      <c r="D39" t="s">
        <v>517</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598</v>
      </c>
      <c r="B40" t="s">
        <v>599</v>
      </c>
      <c r="C40" t="s">
        <v>600</v>
      </c>
      <c r="D40" t="s">
        <v>517</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524</v>
      </c>
      <c r="B41" t="s">
        <v>601</v>
      </c>
      <c r="C41" t="s">
        <v>602</v>
      </c>
      <c r="D41" t="s">
        <v>517</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591</v>
      </c>
      <c r="B42" t="s">
        <v>603</v>
      </c>
      <c r="C42" t="s">
        <v>604</v>
      </c>
      <c r="D42" t="s">
        <v>517</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580</v>
      </c>
      <c r="B43" t="s">
        <v>605</v>
      </c>
      <c r="C43" t="s">
        <v>606</v>
      </c>
      <c r="D43" t="s">
        <v>517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172</v>
      </c>
    </row>
    <row r="44" spans="1:35">
      <c r="A44" t="s">
        <v>583</v>
      </c>
      <c r="B44" t="s">
        <v>607</v>
      </c>
      <c r="C44" t="s">
        <v>608</v>
      </c>
      <c r="D44" t="s">
        <v>517</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609</v>
      </c>
      <c r="B45" t="s">
        <v>610</v>
      </c>
      <c r="C45" t="s">
        <v>611</v>
      </c>
      <c r="D45" t="s">
        <v>517</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223</v>
      </c>
      <c r="B46" t="s">
        <v>612</v>
      </c>
      <c r="C46" t="s">
        <v>613</v>
      </c>
      <c r="D46" t="s">
        <v>517</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614</v>
      </c>
      <c r="B47" t="s">
        <v>615</v>
      </c>
      <c r="C47" t="s">
        <v>616</v>
      </c>
      <c r="D47" t="s">
        <v>517</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617</v>
      </c>
      <c r="B48" t="s">
        <v>618</v>
      </c>
      <c r="C48" t="s">
        <v>619</v>
      </c>
      <c r="D48" t="s">
        <v>517</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620</v>
      </c>
      <c r="B49" t="s">
        <v>621</v>
      </c>
      <c r="C49" t="s">
        <v>622</v>
      </c>
      <c r="D49" t="s">
        <v>517</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577</v>
      </c>
      <c r="B50" t="s">
        <v>623</v>
      </c>
      <c r="C50" t="s">
        <v>624</v>
      </c>
      <c r="D50" t="s">
        <v>517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172</v>
      </c>
    </row>
    <row r="51" spans="1:35">
      <c r="A51" t="s">
        <v>625</v>
      </c>
      <c r="B51" t="s">
        <v>626</v>
      </c>
      <c r="C51" t="s">
        <v>627</v>
      </c>
      <c r="D51" t="s">
        <v>517</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628</v>
      </c>
      <c r="B52" t="s">
        <v>629</v>
      </c>
      <c r="C52" t="s">
        <v>630</v>
      </c>
      <c r="D52" t="s">
        <v>517</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631</v>
      </c>
      <c r="B53" t="s">
        <v>632</v>
      </c>
      <c r="C53" t="s">
        <v>633</v>
      </c>
      <c r="D53" t="s">
        <v>517</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216</v>
      </c>
      <c r="B54" t="s">
        <v>634</v>
      </c>
      <c r="C54" t="s">
        <v>635</v>
      </c>
      <c r="D54" t="s">
        <v>517</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521</v>
      </c>
      <c r="B55" t="s">
        <v>636</v>
      </c>
      <c r="C55" t="s">
        <v>637</v>
      </c>
      <c r="D55" t="s">
        <v>517</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524</v>
      </c>
      <c r="B56" t="s">
        <v>638</v>
      </c>
      <c r="C56" t="s">
        <v>639</v>
      </c>
      <c r="D56" t="s">
        <v>517</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527</v>
      </c>
      <c r="B57" t="s">
        <v>640</v>
      </c>
      <c r="C57" t="s">
        <v>641</v>
      </c>
      <c r="D57" t="s">
        <v>517</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196</v>
      </c>
      <c r="B58" t="s">
        <v>642</v>
      </c>
      <c r="C58" t="s">
        <v>643</v>
      </c>
      <c r="D58" t="s">
        <v>517</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532</v>
      </c>
      <c r="B59" t="s">
        <v>644</v>
      </c>
      <c r="C59" t="s">
        <v>645</v>
      </c>
      <c r="D59" t="s">
        <v>517</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535</v>
      </c>
      <c r="B60" t="s">
        <v>646</v>
      </c>
      <c r="C60" t="s">
        <v>647</v>
      </c>
      <c r="D60" t="s">
        <v>517</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648</v>
      </c>
      <c r="B61" t="s">
        <v>649</v>
      </c>
      <c r="C61" t="s">
        <v>650</v>
      </c>
      <c r="D61" t="s">
        <v>517</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216</v>
      </c>
      <c r="B62" t="s">
        <v>651</v>
      </c>
      <c r="C62" t="s">
        <v>652</v>
      </c>
      <c r="D62" t="s">
        <v>517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172</v>
      </c>
    </row>
    <row r="63" spans="1:35">
      <c r="A63" t="s">
        <v>521</v>
      </c>
      <c r="B63" t="s">
        <v>653</v>
      </c>
      <c r="C63" t="s">
        <v>654</v>
      </c>
      <c r="D63" t="s">
        <v>517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172</v>
      </c>
    </row>
    <row r="64" spans="1:35">
      <c r="A64" t="s">
        <v>524</v>
      </c>
      <c r="B64" t="s">
        <v>655</v>
      </c>
      <c r="C64" t="s">
        <v>656</v>
      </c>
      <c r="D64" t="s">
        <v>517</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527</v>
      </c>
      <c r="B65" t="s">
        <v>657</v>
      </c>
      <c r="C65" t="s">
        <v>658</v>
      </c>
      <c r="D65" t="s">
        <v>517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172</v>
      </c>
    </row>
    <row r="66" spans="1:35">
      <c r="A66" t="s">
        <v>196</v>
      </c>
      <c r="B66" t="s">
        <v>659</v>
      </c>
      <c r="C66" t="s">
        <v>660</v>
      </c>
      <c r="D66" t="s">
        <v>517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172</v>
      </c>
    </row>
    <row r="67" spans="1:35">
      <c r="A67" t="s">
        <v>532</v>
      </c>
      <c r="B67" t="s">
        <v>661</v>
      </c>
      <c r="C67" t="s">
        <v>662</v>
      </c>
      <c r="D67" t="s">
        <v>517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172</v>
      </c>
    </row>
    <row r="68" spans="1:35">
      <c r="A68" t="s">
        <v>535</v>
      </c>
      <c r="B68" t="s">
        <v>663</v>
      </c>
      <c r="C68" t="s">
        <v>664</v>
      </c>
      <c r="D68" t="s">
        <v>517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172</v>
      </c>
    </row>
    <row r="69" spans="1:35">
      <c r="A69" t="s">
        <v>665</v>
      </c>
      <c r="B69" t="s">
        <v>666</v>
      </c>
      <c r="C69" t="s">
        <v>667</v>
      </c>
      <c r="D69" t="s">
        <v>517</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216</v>
      </c>
      <c r="B70" t="s">
        <v>668</v>
      </c>
      <c r="C70" t="s">
        <v>669</v>
      </c>
      <c r="D70" t="s">
        <v>517</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521</v>
      </c>
      <c r="B71" t="s">
        <v>670</v>
      </c>
      <c r="C71" t="s">
        <v>671</v>
      </c>
      <c r="D71" t="s">
        <v>517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172</v>
      </c>
    </row>
    <row r="72" spans="1:35">
      <c r="A72" t="s">
        <v>524</v>
      </c>
      <c r="B72" t="s">
        <v>672</v>
      </c>
      <c r="C72" t="s">
        <v>673</v>
      </c>
      <c r="D72" t="s">
        <v>517</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527</v>
      </c>
      <c r="B73" t="s">
        <v>674</v>
      </c>
      <c r="C73" t="s">
        <v>675</v>
      </c>
      <c r="D73" t="s">
        <v>517</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196</v>
      </c>
      <c r="B74" t="s">
        <v>676</v>
      </c>
      <c r="C74" t="s">
        <v>677</v>
      </c>
      <c r="D74" t="s">
        <v>517</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532</v>
      </c>
      <c r="B75" t="s">
        <v>678</v>
      </c>
      <c r="C75" t="s">
        <v>679</v>
      </c>
      <c r="D75" t="s">
        <v>517</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535</v>
      </c>
      <c r="B76" t="s">
        <v>680</v>
      </c>
      <c r="C76" t="s">
        <v>681</v>
      </c>
      <c r="D76" t="s">
        <v>517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172</v>
      </c>
    </row>
    <row r="77" spans="1:35">
      <c r="A77" t="s">
        <v>682</v>
      </c>
      <c r="B77" t="s">
        <v>683</v>
      </c>
      <c r="C77" t="s">
        <v>684</v>
      </c>
      <c r="D77" t="s">
        <v>517</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685</v>
      </c>
      <c r="B78" t="s">
        <v>686</v>
      </c>
      <c r="C78" t="s">
        <v>687</v>
      </c>
      <c r="D78" t="s">
        <v>517</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532</v>
      </c>
      <c r="B79" t="s">
        <v>688</v>
      </c>
      <c r="C79" t="s">
        <v>689</v>
      </c>
      <c r="D79" t="s">
        <v>517</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690</v>
      </c>
      <c r="B80" t="s">
        <v>691</v>
      </c>
      <c r="C80" t="s">
        <v>692</v>
      </c>
      <c r="D80" t="s">
        <v>517</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580</v>
      </c>
      <c r="B81" t="s">
        <v>693</v>
      </c>
      <c r="C81" t="s">
        <v>694</v>
      </c>
      <c r="D81" t="s">
        <v>517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172</v>
      </c>
    </row>
    <row r="82" spans="1:35">
      <c r="A82" t="s">
        <v>583</v>
      </c>
      <c r="B82" t="s">
        <v>695</v>
      </c>
      <c r="C82" t="s">
        <v>696</v>
      </c>
      <c r="D82" t="s">
        <v>517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172</v>
      </c>
    </row>
    <row r="83" spans="1:35">
      <c r="A83" t="s">
        <v>697</v>
      </c>
      <c r="B83" t="s">
        <v>698</v>
      </c>
      <c r="C83" t="s">
        <v>699</v>
      </c>
      <c r="D83" t="s">
        <v>517</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532</v>
      </c>
      <c r="B84" t="s">
        <v>700</v>
      </c>
      <c r="C84" t="s">
        <v>701</v>
      </c>
      <c r="D84" t="s">
        <v>517</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702</v>
      </c>
      <c r="B85" t="s">
        <v>703</v>
      </c>
      <c r="C85" t="s">
        <v>704</v>
      </c>
      <c r="D85" t="s">
        <v>517</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532</v>
      </c>
      <c r="B86" t="s">
        <v>705</v>
      </c>
      <c r="C86" t="s">
        <v>706</v>
      </c>
      <c r="D86" t="s">
        <v>517</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690</v>
      </c>
      <c r="B87" t="s">
        <v>707</v>
      </c>
      <c r="C87" t="s">
        <v>708</v>
      </c>
      <c r="D87" t="s">
        <v>517</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580</v>
      </c>
      <c r="B88" t="s">
        <v>709</v>
      </c>
      <c r="C88" t="s">
        <v>710</v>
      </c>
      <c r="D88" t="s">
        <v>517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172</v>
      </c>
    </row>
    <row r="89" spans="1:35">
      <c r="A89" t="s">
        <v>583</v>
      </c>
      <c r="B89" t="s">
        <v>711</v>
      </c>
      <c r="C89" t="s">
        <v>712</v>
      </c>
      <c r="D89" t="s">
        <v>517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172</v>
      </c>
    </row>
    <row r="90" spans="1:35">
      <c r="A90" t="s">
        <v>713</v>
      </c>
      <c r="B90" t="s">
        <v>714</v>
      </c>
      <c r="C90" t="s">
        <v>715</v>
      </c>
      <c r="D90" t="s">
        <v>517</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716</v>
      </c>
      <c r="B91" t="s">
        <v>717</v>
      </c>
      <c r="C91" t="s">
        <v>718</v>
      </c>
      <c r="D91" t="s">
        <v>517</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524</v>
      </c>
      <c r="B92" t="s">
        <v>719</v>
      </c>
      <c r="C92" t="s">
        <v>720</v>
      </c>
      <c r="D92" t="s">
        <v>517</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237</v>
      </c>
      <c r="B93" t="s">
        <v>721</v>
      </c>
      <c r="C93" t="s">
        <v>722</v>
      </c>
      <c r="D93" t="s">
        <v>517</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723</v>
      </c>
      <c r="B94" t="s">
        <v>724</v>
      </c>
      <c r="C94" t="s">
        <v>725</v>
      </c>
      <c r="D94" t="s">
        <v>517</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726</v>
      </c>
      <c r="B95" t="s">
        <v>727</v>
      </c>
      <c r="C95" t="s">
        <v>728</v>
      </c>
      <c r="D95" t="s">
        <v>517</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729</v>
      </c>
      <c r="B96" t="s">
        <v>730</v>
      </c>
      <c r="C96" t="s">
        <v>731</v>
      </c>
      <c r="D96" t="s">
        <v>517</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ColWidth="8.85546875" defaultRowHeight="15"/>
  <cols>
    <col min="1" max="1" width="21.42578125" hidden="1" customWidth="1"/>
    <col min="2" max="2" width="46.7109375" customWidth="1"/>
    <col min="32" max="32" width="8.7109375" style="48"/>
  </cols>
  <sheetData>
    <row r="1" spans="1:32" ht="15" customHeight="1">
      <c r="B1" s="15" t="s">
        <v>732</v>
      </c>
    </row>
    <row r="2" spans="1:32" ht="15" customHeight="1"/>
    <row r="3" spans="1:32" ht="15" customHeight="1">
      <c r="C3" s="22" t="s">
        <v>51</v>
      </c>
      <c r="D3" s="22"/>
      <c r="E3" s="17"/>
      <c r="F3" s="17"/>
      <c r="G3" s="17"/>
    </row>
    <row r="4" spans="1:32" ht="15" customHeight="1">
      <c r="C4" s="22" t="s">
        <v>53</v>
      </c>
      <c r="D4" s="22"/>
      <c r="E4" s="17"/>
      <c r="F4" s="17"/>
      <c r="G4" s="22" t="s">
        <v>284</v>
      </c>
    </row>
    <row r="5" spans="1:32" ht="15" customHeight="1">
      <c r="C5" s="22" t="s">
        <v>56</v>
      </c>
      <c r="D5" s="22"/>
      <c r="E5" s="17"/>
      <c r="F5" s="17"/>
      <c r="G5" s="17"/>
    </row>
    <row r="6" spans="1:32" ht="15" customHeight="1">
      <c r="C6" s="22" t="s">
        <v>58</v>
      </c>
      <c r="D6" s="17"/>
      <c r="E6" s="22"/>
      <c r="F6" s="17"/>
      <c r="G6" s="17"/>
    </row>
    <row r="7" spans="1:32" ht="12" customHeight="1"/>
    <row r="8" spans="1:32" ht="12" customHeight="1"/>
    <row r="9" spans="1:32" ht="12" customHeight="1"/>
    <row r="10" spans="1:32" ht="15" customHeight="1">
      <c r="A10" s="18" t="s">
        <v>733</v>
      </c>
      <c r="B10" s="19" t="s">
        <v>734</v>
      </c>
      <c r="AF10" s="49" t="s">
        <v>289</v>
      </c>
    </row>
    <row r="11" spans="1:32" ht="15" customHeight="1">
      <c r="B11" s="15" t="s">
        <v>735</v>
      </c>
      <c r="AF11" s="49" t="s">
        <v>291</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49" t="s">
        <v>292</v>
      </c>
    </row>
    <row r="13" spans="1:32" ht="15" customHeight="1" thickBot="1">
      <c r="B13" s="16" t="s">
        <v>736</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0" t="s">
        <v>737</v>
      </c>
    </row>
    <row r="14" spans="1:32" ht="15" customHeight="1" thickTop="1"/>
    <row r="15" spans="1:32" ht="15" customHeight="1">
      <c r="A15" s="18" t="s">
        <v>738</v>
      </c>
      <c r="B15" s="20" t="s">
        <v>514</v>
      </c>
      <c r="C15" s="23">
        <f>'AEO 2023 Table 36 Raw'!F6</f>
        <v>14541.972656</v>
      </c>
      <c r="D15" s="23">
        <f>'AEO 2023 Table 36 Raw'!G6</f>
        <v>14586.113281</v>
      </c>
      <c r="E15" s="23">
        <f>'AEO 2023 Table 36 Raw'!H6</f>
        <v>14429.691406</v>
      </c>
      <c r="F15" s="23">
        <f>'AEO 2023 Table 36 Raw'!I6</f>
        <v>14201.924805000001</v>
      </c>
      <c r="G15" s="23">
        <f>'AEO 2023 Table 36 Raw'!J6</f>
        <v>14016.908203000001</v>
      </c>
      <c r="H15" s="23">
        <f>'AEO 2023 Table 36 Raw'!K6</f>
        <v>13860.761719</v>
      </c>
      <c r="I15" s="23">
        <f>'AEO 2023 Table 36 Raw'!L6</f>
        <v>13679.085938</v>
      </c>
      <c r="J15" s="23">
        <f>'AEO 2023 Table 36 Raw'!M6</f>
        <v>13473.831055000001</v>
      </c>
      <c r="K15" s="23">
        <f>'AEO 2023 Table 36 Raw'!N6</f>
        <v>13253.083008</v>
      </c>
      <c r="L15" s="23">
        <f>'AEO 2023 Table 36 Raw'!O6</f>
        <v>13044.084961</v>
      </c>
      <c r="M15" s="23">
        <f>'AEO 2023 Table 36 Raw'!P6</f>
        <v>12836.977539</v>
      </c>
      <c r="N15" s="23">
        <f>'AEO 2023 Table 36 Raw'!Q6</f>
        <v>12674.038086</v>
      </c>
      <c r="O15" s="23">
        <f>'AEO 2023 Table 36 Raw'!R6</f>
        <v>12534.655273</v>
      </c>
      <c r="P15" s="23">
        <f>'AEO 2023 Table 36 Raw'!S6</f>
        <v>12394.663086</v>
      </c>
      <c r="Q15" s="23">
        <f>'AEO 2023 Table 36 Raw'!T6</f>
        <v>12251.546875</v>
      </c>
      <c r="R15" s="23">
        <f>'AEO 2023 Table 36 Raw'!U6</f>
        <v>12130.821289</v>
      </c>
      <c r="S15" s="23">
        <f>'AEO 2023 Table 36 Raw'!V6</f>
        <v>12028.415039</v>
      </c>
      <c r="T15" s="23">
        <f>'AEO 2023 Table 36 Raw'!W6</f>
        <v>11933.921875</v>
      </c>
      <c r="U15" s="23">
        <f>'AEO 2023 Table 36 Raw'!X6</f>
        <v>11864.000977</v>
      </c>
      <c r="V15" s="23">
        <f>'AEO 2023 Table 36 Raw'!Y6</f>
        <v>11805.395508</v>
      </c>
      <c r="W15" s="23">
        <f>'AEO 2023 Table 36 Raw'!Z6</f>
        <v>11762.741211</v>
      </c>
      <c r="X15" s="23">
        <f>'AEO 2023 Table 36 Raw'!AA6</f>
        <v>11733.643555000001</v>
      </c>
      <c r="Y15" s="23">
        <f>'AEO 2023 Table 36 Raw'!AB6</f>
        <v>11725.385742</v>
      </c>
      <c r="Z15" s="23">
        <f>'AEO 2023 Table 36 Raw'!AC6</f>
        <v>11735.774414</v>
      </c>
      <c r="AA15" s="23">
        <f>'AEO 2023 Table 36 Raw'!AD6</f>
        <v>11770.762694999999</v>
      </c>
      <c r="AB15" s="23">
        <f>'AEO 2023 Table 36 Raw'!AE6</f>
        <v>11824.348633</v>
      </c>
      <c r="AC15" s="23">
        <f>'AEO 2023 Table 36 Raw'!AF6</f>
        <v>11889.714844</v>
      </c>
      <c r="AD15" s="23">
        <f>'AEO 2023 Table 36 Raw'!AG6</f>
        <v>11962.909180000001</v>
      </c>
      <c r="AE15" s="23">
        <f>'AEO 2023 Table 36 Raw'!AH6</f>
        <v>12054.454102</v>
      </c>
      <c r="AF15" s="28">
        <f>'AEO 2023 Table 36 Raw'!AI6</f>
        <v>-7.0000000000000001E-3</v>
      </c>
    </row>
    <row r="16" spans="1:32" ht="15" customHeight="1">
      <c r="A16" s="18" t="s">
        <v>739</v>
      </c>
      <c r="B16" s="21" t="s">
        <v>740</v>
      </c>
      <c r="C16" s="23">
        <f>'AEO 2023 Table 36 Raw'!F7</f>
        <v>14415.272461</v>
      </c>
      <c r="D16" s="23">
        <f>'AEO 2023 Table 36 Raw'!G7</f>
        <v>14443.935546999999</v>
      </c>
      <c r="E16" s="23">
        <f>'AEO 2023 Table 36 Raw'!H7</f>
        <v>14272.423828000001</v>
      </c>
      <c r="F16" s="23">
        <f>'AEO 2023 Table 36 Raw'!I7</f>
        <v>14024.321289</v>
      </c>
      <c r="G16" s="23">
        <f>'AEO 2023 Table 36 Raw'!J7</f>
        <v>13815.495117</v>
      </c>
      <c r="H16" s="23">
        <f>'AEO 2023 Table 36 Raw'!K7</f>
        <v>13632.25</v>
      </c>
      <c r="I16" s="23">
        <f>'AEO 2023 Table 36 Raw'!L7</f>
        <v>13419.692383</v>
      </c>
      <c r="J16" s="23">
        <f>'AEO 2023 Table 36 Raw'!M7</f>
        <v>13179.959961</v>
      </c>
      <c r="K16" s="23">
        <f>'AEO 2023 Table 36 Raw'!N7</f>
        <v>12922.150390999999</v>
      </c>
      <c r="L16" s="23">
        <f>'AEO 2023 Table 36 Raw'!O7</f>
        <v>12678.574219</v>
      </c>
      <c r="M16" s="23">
        <f>'AEO 2023 Table 36 Raw'!P7</f>
        <v>12437.037109000001</v>
      </c>
      <c r="N16" s="23">
        <f>'AEO 2023 Table 36 Raw'!Q7</f>
        <v>12238.958984000001</v>
      </c>
      <c r="O16" s="23">
        <f>'AEO 2023 Table 36 Raw'!R7</f>
        <v>12063.409180000001</v>
      </c>
      <c r="P16" s="23">
        <f>'AEO 2023 Table 36 Raw'!S7</f>
        <v>11887.983398</v>
      </c>
      <c r="Q16" s="23">
        <f>'AEO 2023 Table 36 Raw'!T7</f>
        <v>11710.702148</v>
      </c>
      <c r="R16" s="23">
        <f>'AEO 2023 Table 36 Raw'!U7</f>
        <v>11556.080078000001</v>
      </c>
      <c r="S16" s="23">
        <f>'AEO 2023 Table 36 Raw'!V7</f>
        <v>11421.212890999999</v>
      </c>
      <c r="T16" s="23">
        <f>'AEO 2023 Table 36 Raw'!W7</f>
        <v>11295.928711</v>
      </c>
      <c r="U16" s="23">
        <f>'AEO 2023 Table 36 Raw'!X7</f>
        <v>11196.765625</v>
      </c>
      <c r="V16" s="23">
        <f>'AEO 2023 Table 36 Raw'!Y7</f>
        <v>11110.766602</v>
      </c>
      <c r="W16" s="23">
        <f>'AEO 2023 Table 36 Raw'!Z7</f>
        <v>11042.224609000001</v>
      </c>
      <c r="X16" s="23">
        <f>'AEO 2023 Table 36 Raw'!AA7</f>
        <v>10988.434569999999</v>
      </c>
      <c r="Y16" s="23">
        <f>'AEO 2023 Table 36 Raw'!AB7</f>
        <v>10958.347656</v>
      </c>
      <c r="Z16" s="23">
        <f>'AEO 2023 Table 36 Raw'!AC7</f>
        <v>10949.109375</v>
      </c>
      <c r="AA16" s="23">
        <f>'AEO 2023 Table 36 Raw'!AD7</f>
        <v>10963.973633</v>
      </c>
      <c r="AB16" s="23">
        <f>'AEO 2023 Table 36 Raw'!AE7</f>
        <v>10998.306640999999</v>
      </c>
      <c r="AC16" s="23">
        <f>'AEO 2023 Table 36 Raw'!AF7</f>
        <v>11045.133789</v>
      </c>
      <c r="AD16" s="23">
        <f>'AEO 2023 Table 36 Raw'!AG7</f>
        <v>11100.259765999999</v>
      </c>
      <c r="AE16" s="23">
        <f>'AEO 2023 Table 36 Raw'!AH7</f>
        <v>11174.059569999999</v>
      </c>
      <c r="AF16" s="28">
        <f>'AEO 2023 Table 36 Raw'!AI7</f>
        <v>-8.9999999999999993E-3</v>
      </c>
    </row>
    <row r="17" spans="1:32" ht="15" customHeight="1">
      <c r="A17" s="18" t="s">
        <v>741</v>
      </c>
      <c r="B17" s="21" t="s">
        <v>742</v>
      </c>
      <c r="C17" s="23">
        <f>'AEO 2023 Table 36 Raw'!F8</f>
        <v>31.110834000000001</v>
      </c>
      <c r="D17" s="23">
        <f>'AEO 2023 Table 36 Raw'!G8</f>
        <v>31.640059999999998</v>
      </c>
      <c r="E17" s="23">
        <f>'AEO 2023 Table 36 Raw'!H8</f>
        <v>29.552766999999999</v>
      </c>
      <c r="F17" s="23">
        <f>'AEO 2023 Table 36 Raw'!I8</f>
        <v>29.441513</v>
      </c>
      <c r="G17" s="23">
        <f>'AEO 2023 Table 36 Raw'!J8</f>
        <v>28.728484999999999</v>
      </c>
      <c r="H17" s="23">
        <f>'AEO 2023 Table 36 Raw'!K8</f>
        <v>27.952176999999999</v>
      </c>
      <c r="I17" s="23">
        <f>'AEO 2023 Table 36 Raw'!L8</f>
        <v>27.018059000000001</v>
      </c>
      <c r="J17" s="23">
        <f>'AEO 2023 Table 36 Raw'!M8</f>
        <v>25.972712999999999</v>
      </c>
      <c r="K17" s="23">
        <f>'AEO 2023 Table 36 Raw'!N8</f>
        <v>24.873795000000001</v>
      </c>
      <c r="L17" s="23">
        <f>'AEO 2023 Table 36 Raw'!O8</f>
        <v>23.800640000000001</v>
      </c>
      <c r="M17" s="23">
        <f>'AEO 2023 Table 36 Raw'!P8</f>
        <v>22.75461</v>
      </c>
      <c r="N17" s="23">
        <f>'AEO 2023 Table 36 Raw'!Q8</f>
        <v>21.823027</v>
      </c>
      <c r="O17" s="23">
        <f>'AEO 2023 Table 36 Raw'!R8</f>
        <v>20.987984000000001</v>
      </c>
      <c r="P17" s="23">
        <f>'AEO 2023 Table 36 Raw'!S8</f>
        <v>20.244168999999999</v>
      </c>
      <c r="Q17" s="23">
        <f>'AEO 2023 Table 36 Raw'!T8</f>
        <v>19.537762000000001</v>
      </c>
      <c r="R17" s="23">
        <f>'AEO 2023 Table 36 Raw'!U8</f>
        <v>19.024712000000001</v>
      </c>
      <c r="S17" s="23">
        <f>'AEO 2023 Table 36 Raw'!V8</f>
        <v>18.648620999999999</v>
      </c>
      <c r="T17" s="23">
        <f>'AEO 2023 Table 36 Raw'!W8</f>
        <v>18.398510000000002</v>
      </c>
      <c r="U17" s="23">
        <f>'AEO 2023 Table 36 Raw'!X8</f>
        <v>18.275644</v>
      </c>
      <c r="V17" s="23">
        <f>'AEO 2023 Table 36 Raw'!Y8</f>
        <v>18.222812999999999</v>
      </c>
      <c r="W17" s="23">
        <f>'AEO 2023 Table 36 Raw'!Z8</f>
        <v>18.236134</v>
      </c>
      <c r="X17" s="23">
        <f>'AEO 2023 Table 36 Raw'!AA8</f>
        <v>18.340064999999999</v>
      </c>
      <c r="Y17" s="23">
        <f>'AEO 2023 Table 36 Raw'!AB8</f>
        <v>18.452594999999999</v>
      </c>
      <c r="Z17" s="23">
        <f>'AEO 2023 Table 36 Raw'!AC8</f>
        <v>18.609615000000002</v>
      </c>
      <c r="AA17" s="23">
        <f>'AEO 2023 Table 36 Raw'!AD8</f>
        <v>18.756809000000001</v>
      </c>
      <c r="AB17" s="23">
        <f>'AEO 2023 Table 36 Raw'!AE8</f>
        <v>19.004078</v>
      </c>
      <c r="AC17" s="23">
        <f>'AEO 2023 Table 36 Raw'!AF8</f>
        <v>19.229309000000001</v>
      </c>
      <c r="AD17" s="23">
        <f>'AEO 2023 Table 36 Raw'!AG8</f>
        <v>19.515996999999999</v>
      </c>
      <c r="AE17" s="23">
        <f>'AEO 2023 Table 36 Raw'!AH8</f>
        <v>19.788425</v>
      </c>
      <c r="AF17" s="28">
        <f>'AEO 2023 Table 36 Raw'!AI8</f>
        <v>-1.6E-2</v>
      </c>
    </row>
    <row r="18" spans="1:32" ht="15" customHeight="1">
      <c r="A18" s="18" t="s">
        <v>743</v>
      </c>
      <c r="B18" s="21" t="s">
        <v>744</v>
      </c>
      <c r="C18" s="23">
        <f>'AEO 2023 Table 36 Raw'!F9</f>
        <v>61.460402999999999</v>
      </c>
      <c r="D18" s="23">
        <f>'AEO 2023 Table 36 Raw'!G9</f>
        <v>64.699020000000004</v>
      </c>
      <c r="E18" s="23">
        <f>'AEO 2023 Table 36 Raw'!H9</f>
        <v>67.503647000000001</v>
      </c>
      <c r="F18" s="23">
        <f>'AEO 2023 Table 36 Raw'!I9</f>
        <v>70.684073999999995</v>
      </c>
      <c r="G18" s="23">
        <f>'AEO 2023 Table 36 Raw'!J9</f>
        <v>74.503555000000006</v>
      </c>
      <c r="H18" s="23">
        <f>'AEO 2023 Table 36 Raw'!K9</f>
        <v>77.632530000000003</v>
      </c>
      <c r="I18" s="23">
        <f>'AEO 2023 Table 36 Raw'!L9</f>
        <v>81.324982000000006</v>
      </c>
      <c r="J18" s="23">
        <f>'AEO 2023 Table 36 Raw'!M9</f>
        <v>84.520767000000006</v>
      </c>
      <c r="K18" s="23">
        <f>'AEO 2023 Table 36 Raw'!N9</f>
        <v>86.959732000000002</v>
      </c>
      <c r="L18" s="23">
        <f>'AEO 2023 Table 36 Raw'!O9</f>
        <v>89.758049</v>
      </c>
      <c r="M18" s="23">
        <f>'AEO 2023 Table 36 Raw'!P9</f>
        <v>91.490157999999994</v>
      </c>
      <c r="N18" s="23">
        <f>'AEO 2023 Table 36 Raw'!Q9</f>
        <v>93.247542999999993</v>
      </c>
      <c r="O18" s="23">
        <f>'AEO 2023 Table 36 Raw'!R9</f>
        <v>95.158996999999999</v>
      </c>
      <c r="P18" s="23">
        <f>'AEO 2023 Table 36 Raw'!S9</f>
        <v>96.641707999999994</v>
      </c>
      <c r="Q18" s="23">
        <f>'AEO 2023 Table 36 Raw'!T9</f>
        <v>98.053237999999993</v>
      </c>
      <c r="R18" s="23">
        <f>'AEO 2023 Table 36 Raw'!U9</f>
        <v>99.864699999999999</v>
      </c>
      <c r="S18" s="23">
        <f>'AEO 2023 Table 36 Raw'!V9</f>
        <v>101.36190000000001</v>
      </c>
      <c r="T18" s="23">
        <f>'AEO 2023 Table 36 Raw'!W9</f>
        <v>102.785622</v>
      </c>
      <c r="U18" s="23">
        <f>'AEO 2023 Table 36 Raw'!X9</f>
        <v>104.47521999999999</v>
      </c>
      <c r="V18" s="23">
        <f>'AEO 2023 Table 36 Raw'!Y9</f>
        <v>105.749611</v>
      </c>
      <c r="W18" s="23">
        <f>'AEO 2023 Table 36 Raw'!Z9</f>
        <v>107.324608</v>
      </c>
      <c r="X18" s="23">
        <f>'AEO 2023 Table 36 Raw'!AA9</f>
        <v>109.779274</v>
      </c>
      <c r="Y18" s="23">
        <f>'AEO 2023 Table 36 Raw'!AB9</f>
        <v>110.920013</v>
      </c>
      <c r="Z18" s="23">
        <f>'AEO 2023 Table 36 Raw'!AC9</f>
        <v>111.97983600000001</v>
      </c>
      <c r="AA18" s="23">
        <f>'AEO 2023 Table 36 Raw'!AD9</f>
        <v>113.441277</v>
      </c>
      <c r="AB18" s="23">
        <f>'AEO 2023 Table 36 Raw'!AE9</f>
        <v>115.037064</v>
      </c>
      <c r="AC18" s="23">
        <f>'AEO 2023 Table 36 Raw'!AF9</f>
        <v>116.75106</v>
      </c>
      <c r="AD18" s="23">
        <f>'AEO 2023 Table 36 Raw'!AG9</f>
        <v>118.593468</v>
      </c>
      <c r="AE18" s="23">
        <f>'AEO 2023 Table 36 Raw'!AH9</f>
        <v>120.69574</v>
      </c>
      <c r="AF18" s="28">
        <f>'AEO 2023 Table 36 Raw'!AI9</f>
        <v>2.4E-2</v>
      </c>
    </row>
    <row r="19" spans="1:32" ht="15" customHeight="1">
      <c r="A19" s="18" t="s">
        <v>745</v>
      </c>
      <c r="B19" s="21" t="s">
        <v>152</v>
      </c>
      <c r="C19" s="23">
        <f>'AEO 2023 Table 36 Raw'!F10</f>
        <v>0.71288799999999997</v>
      </c>
      <c r="D19" s="23">
        <f>'AEO 2023 Table 36 Raw'!G10</f>
        <v>0.67766800000000005</v>
      </c>
      <c r="E19" s="23">
        <f>'AEO 2023 Table 36 Raw'!H10</f>
        <v>0.53775200000000001</v>
      </c>
      <c r="F19" s="23">
        <f>'AEO 2023 Table 36 Raw'!I10</f>
        <v>0.51500500000000005</v>
      </c>
      <c r="G19" s="23">
        <f>'AEO 2023 Table 36 Raw'!J10</f>
        <v>0.507019</v>
      </c>
      <c r="H19" s="23">
        <f>'AEO 2023 Table 36 Raw'!K10</f>
        <v>0.49244300000000002</v>
      </c>
      <c r="I19" s="23">
        <f>'AEO 2023 Table 36 Raw'!L10</f>
        <v>0.48183900000000002</v>
      </c>
      <c r="J19" s="23">
        <f>'AEO 2023 Table 36 Raw'!M10</f>
        <v>0.470472</v>
      </c>
      <c r="K19" s="23">
        <f>'AEO 2023 Table 36 Raw'!N10</f>
        <v>0.44594200000000001</v>
      </c>
      <c r="L19" s="23">
        <f>'AEO 2023 Table 36 Raw'!O10</f>
        <v>0.44344499999999998</v>
      </c>
      <c r="M19" s="23">
        <f>'AEO 2023 Table 36 Raw'!P10</f>
        <v>0.43788300000000002</v>
      </c>
      <c r="N19" s="23">
        <f>'AEO 2023 Table 36 Raw'!Q10</f>
        <v>0.43343399999999999</v>
      </c>
      <c r="O19" s="23">
        <f>'AEO 2023 Table 36 Raw'!R10</f>
        <v>0.43173299999999998</v>
      </c>
      <c r="P19" s="23">
        <f>'AEO 2023 Table 36 Raw'!S10</f>
        <v>0.43049900000000002</v>
      </c>
      <c r="Q19" s="23">
        <f>'AEO 2023 Table 36 Raw'!T10</f>
        <v>0.42709599999999998</v>
      </c>
      <c r="R19" s="23">
        <f>'AEO 2023 Table 36 Raw'!U10</f>
        <v>0.42463099999999998</v>
      </c>
      <c r="S19" s="23">
        <f>'AEO 2023 Table 36 Raw'!V10</f>
        <v>0.42622700000000002</v>
      </c>
      <c r="T19" s="23">
        <f>'AEO 2023 Table 36 Raw'!W10</f>
        <v>0.37802400000000003</v>
      </c>
      <c r="U19" s="23">
        <f>'AEO 2023 Table 36 Raw'!X10</f>
        <v>0.33532600000000001</v>
      </c>
      <c r="V19" s="23">
        <f>'AEO 2023 Table 36 Raw'!Y10</f>
        <v>0.34005299999999999</v>
      </c>
      <c r="W19" s="23">
        <f>'AEO 2023 Table 36 Raw'!Z10</f>
        <v>0.343781</v>
      </c>
      <c r="X19" s="23">
        <f>'AEO 2023 Table 36 Raw'!AA10</f>
        <v>0.34665600000000002</v>
      </c>
      <c r="Y19" s="23">
        <f>'AEO 2023 Table 36 Raw'!AB10</f>
        <v>0.34931299999999998</v>
      </c>
      <c r="Z19" s="23">
        <f>'AEO 2023 Table 36 Raw'!AC10</f>
        <v>0.35186400000000001</v>
      </c>
      <c r="AA19" s="23">
        <f>'AEO 2023 Table 36 Raw'!AD10</f>
        <v>0.35644799999999999</v>
      </c>
      <c r="AB19" s="23">
        <f>'AEO 2023 Table 36 Raw'!AE10</f>
        <v>0.36170999999999998</v>
      </c>
      <c r="AC19" s="23">
        <f>'AEO 2023 Table 36 Raw'!AF10</f>
        <v>0.367786</v>
      </c>
      <c r="AD19" s="23">
        <f>'AEO 2023 Table 36 Raw'!AG10</f>
        <v>0.37404300000000001</v>
      </c>
      <c r="AE19" s="23">
        <f>'AEO 2023 Table 36 Raw'!AH10</f>
        <v>0.38108199999999998</v>
      </c>
      <c r="AF19" s="28">
        <f>'AEO 2023 Table 36 Raw'!AI10</f>
        <v>-2.1999999999999999E-2</v>
      </c>
    </row>
    <row r="20" spans="1:32" ht="15" customHeight="1">
      <c r="A20" s="18" t="s">
        <v>746</v>
      </c>
      <c r="B20" s="21" t="s">
        <v>747</v>
      </c>
      <c r="C20" s="23">
        <f>'AEO 2023 Table 36 Raw'!F11</f>
        <v>0.79738799999999999</v>
      </c>
      <c r="D20" s="23">
        <f>'AEO 2023 Table 36 Raw'!G11</f>
        <v>0.735487</v>
      </c>
      <c r="E20" s="23">
        <f>'AEO 2023 Table 36 Raw'!H11</f>
        <v>0.54745600000000005</v>
      </c>
      <c r="F20" s="23">
        <f>'AEO 2023 Table 36 Raw'!I11</f>
        <v>0.54066800000000004</v>
      </c>
      <c r="G20" s="23">
        <f>'AEO 2023 Table 36 Raw'!J11</f>
        <v>0.54419300000000004</v>
      </c>
      <c r="H20" s="23">
        <f>'AEO 2023 Table 36 Raw'!K11</f>
        <v>0.56128199999999995</v>
      </c>
      <c r="I20" s="23">
        <f>'AEO 2023 Table 36 Raw'!L11</f>
        <v>0.31209199999999998</v>
      </c>
      <c r="J20" s="23">
        <f>'AEO 2023 Table 36 Raw'!M11</f>
        <v>0.33013999999999999</v>
      </c>
      <c r="K20" s="23">
        <f>'AEO 2023 Table 36 Raw'!N11</f>
        <v>0.384077</v>
      </c>
      <c r="L20" s="23">
        <f>'AEO 2023 Table 36 Raw'!O11</f>
        <v>0.43762600000000001</v>
      </c>
      <c r="M20" s="23">
        <f>'AEO 2023 Table 36 Raw'!P11</f>
        <v>0.48971900000000002</v>
      </c>
      <c r="N20" s="23">
        <f>'AEO 2023 Table 36 Raw'!Q11</f>
        <v>0.54025400000000001</v>
      </c>
      <c r="O20" s="23">
        <f>'AEO 2023 Table 36 Raw'!R11</f>
        <v>0.59017699999999995</v>
      </c>
      <c r="P20" s="23">
        <f>'AEO 2023 Table 36 Raw'!S11</f>
        <v>0.63807599999999998</v>
      </c>
      <c r="Q20" s="23">
        <f>'AEO 2023 Table 36 Raw'!T11</f>
        <v>0.68416399999999999</v>
      </c>
      <c r="R20" s="23">
        <f>'AEO 2023 Table 36 Raw'!U11</f>
        <v>0.72875999999999996</v>
      </c>
      <c r="S20" s="23">
        <f>'AEO 2023 Table 36 Raw'!V11</f>
        <v>0.77158599999999999</v>
      </c>
      <c r="T20" s="23">
        <f>'AEO 2023 Table 36 Raw'!W11</f>
        <v>0.81298700000000002</v>
      </c>
      <c r="U20" s="23">
        <f>'AEO 2023 Table 36 Raw'!X11</f>
        <v>0.85285</v>
      </c>
      <c r="V20" s="23">
        <f>'AEO 2023 Table 36 Raw'!Y11</f>
        <v>0.89180899999999996</v>
      </c>
      <c r="W20" s="23">
        <f>'AEO 2023 Table 36 Raw'!Z11</f>
        <v>0.93071300000000001</v>
      </c>
      <c r="X20" s="23">
        <f>'AEO 2023 Table 36 Raw'!AA11</f>
        <v>0.96862199999999998</v>
      </c>
      <c r="Y20" s="23">
        <f>'AEO 2023 Table 36 Raw'!AB11</f>
        <v>1.007558</v>
      </c>
      <c r="Z20" s="23">
        <f>'AEO 2023 Table 36 Raw'!AC11</f>
        <v>1.0480309999999999</v>
      </c>
      <c r="AA20" s="23">
        <f>'AEO 2023 Table 36 Raw'!AD11</f>
        <v>1.0965309999999999</v>
      </c>
      <c r="AB20" s="23">
        <f>'AEO 2023 Table 36 Raw'!AE11</f>
        <v>1.1502429999999999</v>
      </c>
      <c r="AC20" s="23">
        <f>'AEO 2023 Table 36 Raw'!AF11</f>
        <v>1.2091620000000001</v>
      </c>
      <c r="AD20" s="23">
        <f>'AEO 2023 Table 36 Raw'!AG11</f>
        <v>1.2718959999999999</v>
      </c>
      <c r="AE20" s="23">
        <f>'AEO 2023 Table 36 Raw'!AH11</f>
        <v>1.341161</v>
      </c>
      <c r="AF20" s="28">
        <f>'AEO 2023 Table 36 Raw'!AI11</f>
        <v>1.9E-2</v>
      </c>
    </row>
    <row r="21" spans="1:32" ht="15" customHeight="1">
      <c r="A21" s="18" t="s">
        <v>748</v>
      </c>
      <c r="B21" s="21" t="s">
        <v>749</v>
      </c>
      <c r="C21" s="23">
        <f>'AEO 2023 Table 36 Raw'!F12</f>
        <v>32.193668000000002</v>
      </c>
      <c r="D21" s="23">
        <f>'AEO 2023 Table 36 Raw'!G12</f>
        <v>43.907116000000002</v>
      </c>
      <c r="E21" s="23">
        <f>'AEO 2023 Table 36 Raw'!H12</f>
        <v>58.529483999999997</v>
      </c>
      <c r="F21" s="23">
        <f>'AEO 2023 Table 36 Raw'!I12</f>
        <v>75.757942</v>
      </c>
      <c r="G21" s="23">
        <f>'AEO 2023 Table 36 Raw'!J12</f>
        <v>96.391159000000002</v>
      </c>
      <c r="H21" s="23">
        <f>'AEO 2023 Table 36 Raw'!K12</f>
        <v>121.066132</v>
      </c>
      <c r="I21" s="23">
        <f>'AEO 2023 Table 36 Raw'!L12</f>
        <v>149.37681599999999</v>
      </c>
      <c r="J21" s="23">
        <f>'AEO 2023 Table 36 Raw'!M12</f>
        <v>181.62849399999999</v>
      </c>
      <c r="K21" s="23">
        <f>'AEO 2023 Table 36 Raw'!N12</f>
        <v>217.248322</v>
      </c>
      <c r="L21" s="23">
        <f>'AEO 2023 Table 36 Raw'!O12</f>
        <v>249.97737100000001</v>
      </c>
      <c r="M21" s="23">
        <f>'AEO 2023 Table 36 Raw'!P12</f>
        <v>283.60272200000003</v>
      </c>
      <c r="N21" s="23">
        <f>'AEO 2023 Table 36 Raw'!Q12</f>
        <v>317.79742399999998</v>
      </c>
      <c r="O21" s="23">
        <f>'AEO 2023 Table 36 Raw'!R12</f>
        <v>352.768036</v>
      </c>
      <c r="P21" s="23">
        <f>'AEO 2023 Table 36 Raw'!S12</f>
        <v>387.34478799999999</v>
      </c>
      <c r="Q21" s="23">
        <f>'AEO 2023 Table 36 Raw'!T12</f>
        <v>420.69439699999998</v>
      </c>
      <c r="R21" s="23">
        <f>'AEO 2023 Table 36 Raw'!U12</f>
        <v>453.186218</v>
      </c>
      <c r="S21" s="23">
        <f>'AEO 2023 Table 36 Raw'!V12</f>
        <v>484.42330900000002</v>
      </c>
      <c r="T21" s="23">
        <f>'AEO 2023 Table 36 Raw'!W12</f>
        <v>513.99560499999995</v>
      </c>
      <c r="U21" s="23">
        <f>'AEO 2023 Table 36 Raw'!X12</f>
        <v>541.63085899999999</v>
      </c>
      <c r="V21" s="23">
        <f>'AEO 2023 Table 36 Raw'!Y12</f>
        <v>567.72460899999999</v>
      </c>
      <c r="W21" s="23">
        <f>'AEO 2023 Table 36 Raw'!Z12</f>
        <v>591.95019500000001</v>
      </c>
      <c r="X21" s="23">
        <f>'AEO 2023 Table 36 Raw'!AA12</f>
        <v>614.02081299999998</v>
      </c>
      <c r="Y21" s="23">
        <f>'AEO 2023 Table 36 Raw'!AB12</f>
        <v>634.53887899999995</v>
      </c>
      <c r="Z21" s="23">
        <f>'AEO 2023 Table 36 Raw'!AC12</f>
        <v>652.89733899999999</v>
      </c>
      <c r="AA21" s="23">
        <f>'AEO 2023 Table 36 Raw'!AD12</f>
        <v>671.348206</v>
      </c>
      <c r="AB21" s="23">
        <f>'AEO 2023 Table 36 Raw'!AE12</f>
        <v>688.68969700000002</v>
      </c>
      <c r="AC21" s="23">
        <f>'AEO 2023 Table 36 Raw'!AF12</f>
        <v>705.21575900000005</v>
      </c>
      <c r="AD21" s="23">
        <f>'AEO 2023 Table 36 Raw'!AG12</f>
        <v>721.08111599999995</v>
      </c>
      <c r="AE21" s="23">
        <f>'AEO 2023 Table 36 Raw'!AH12</f>
        <v>736.37286400000005</v>
      </c>
      <c r="AF21" s="28">
        <f>'AEO 2023 Table 36 Raw'!AI12</f>
        <v>0.11799999999999999</v>
      </c>
    </row>
    <row r="22" spans="1:32" ht="15" customHeight="1">
      <c r="A22" s="18" t="s">
        <v>750</v>
      </c>
      <c r="B22" s="21" t="s">
        <v>751</v>
      </c>
      <c r="C22" s="23">
        <f>'AEO 2023 Table 36 Raw'!F13</f>
        <v>0.42613899999999999</v>
      </c>
      <c r="D22" s="23">
        <f>'AEO 2023 Table 36 Raw'!G13</f>
        <v>0.51818299999999995</v>
      </c>
      <c r="E22" s="23">
        <f>'AEO 2023 Table 36 Raw'!H13</f>
        <v>0.59576700000000005</v>
      </c>
      <c r="F22" s="23">
        <f>'AEO 2023 Table 36 Raw'!I13</f>
        <v>0.66511799999999999</v>
      </c>
      <c r="G22" s="23">
        <f>'AEO 2023 Table 36 Raw'!J13</f>
        <v>0.73787199999999997</v>
      </c>
      <c r="H22" s="23">
        <f>'AEO 2023 Table 36 Raw'!K13</f>
        <v>0.80678000000000005</v>
      </c>
      <c r="I22" s="23">
        <f>'AEO 2023 Table 36 Raw'!L13</f>
        <v>0.87969799999999998</v>
      </c>
      <c r="J22" s="23">
        <f>'AEO 2023 Table 36 Raw'!M13</f>
        <v>0.94835800000000003</v>
      </c>
      <c r="K22" s="23">
        <f>'AEO 2023 Table 36 Raw'!N13</f>
        <v>1.0205519999999999</v>
      </c>
      <c r="L22" s="23">
        <f>'AEO 2023 Table 36 Raw'!O13</f>
        <v>1.0934459999999999</v>
      </c>
      <c r="M22" s="23">
        <f>'AEO 2023 Table 36 Raw'!P13</f>
        <v>1.1656569999999999</v>
      </c>
      <c r="N22" s="23">
        <f>'AEO 2023 Table 36 Raw'!Q13</f>
        <v>1.2371049999999999</v>
      </c>
      <c r="O22" s="23">
        <f>'AEO 2023 Table 36 Raw'!R13</f>
        <v>1.3096950000000001</v>
      </c>
      <c r="P22" s="23">
        <f>'AEO 2023 Table 36 Raw'!S13</f>
        <v>1.3809180000000001</v>
      </c>
      <c r="Q22" s="23">
        <f>'AEO 2023 Table 36 Raw'!T13</f>
        <v>1.4474880000000001</v>
      </c>
      <c r="R22" s="23">
        <f>'AEO 2023 Table 36 Raw'!U13</f>
        <v>1.512508</v>
      </c>
      <c r="S22" s="23">
        <f>'AEO 2023 Table 36 Raw'!V13</f>
        <v>1.570883</v>
      </c>
      <c r="T22" s="23">
        <f>'AEO 2023 Table 36 Raw'!W13</f>
        <v>1.623062</v>
      </c>
      <c r="U22" s="23">
        <f>'AEO 2023 Table 36 Raw'!X13</f>
        <v>1.665691</v>
      </c>
      <c r="V22" s="23">
        <f>'AEO 2023 Table 36 Raw'!Y13</f>
        <v>1.699897</v>
      </c>
      <c r="W22" s="23">
        <f>'AEO 2023 Table 36 Raw'!Z13</f>
        <v>1.7316929999999999</v>
      </c>
      <c r="X22" s="23">
        <f>'AEO 2023 Table 36 Raw'!AA13</f>
        <v>1.7536229999999999</v>
      </c>
      <c r="Y22" s="23">
        <f>'AEO 2023 Table 36 Raw'!AB13</f>
        <v>1.769871</v>
      </c>
      <c r="Z22" s="23">
        <f>'AEO 2023 Table 36 Raw'!AC13</f>
        <v>1.7791170000000001</v>
      </c>
      <c r="AA22" s="23">
        <f>'AEO 2023 Table 36 Raw'!AD13</f>
        <v>1.7894969999999999</v>
      </c>
      <c r="AB22" s="23">
        <f>'AEO 2023 Table 36 Raw'!AE13</f>
        <v>1.800149</v>
      </c>
      <c r="AC22" s="23">
        <f>'AEO 2023 Table 36 Raw'!AF13</f>
        <v>1.8077129999999999</v>
      </c>
      <c r="AD22" s="23">
        <f>'AEO 2023 Table 36 Raw'!AG13</f>
        <v>1.8132870000000001</v>
      </c>
      <c r="AE22" s="23">
        <f>'AEO 2023 Table 36 Raw'!AH13</f>
        <v>1.8167770000000001</v>
      </c>
      <c r="AF22" s="28">
        <f>'AEO 2023 Table 36 Raw'!AI13</f>
        <v>5.2999999999999999E-2</v>
      </c>
    </row>
    <row r="23" spans="1:32" ht="12" customHeight="1">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8"/>
    </row>
    <row r="24" spans="1:32" ht="15" customHeight="1">
      <c r="A24" s="18" t="s">
        <v>752</v>
      </c>
      <c r="B24" s="20" t="s">
        <v>753</v>
      </c>
      <c r="C24" s="23">
        <f>'AEO 2023 Table 36 Raw'!F14</f>
        <v>951.50280799999996</v>
      </c>
      <c r="D24" s="23">
        <f>'AEO 2023 Table 36 Raw'!G14</f>
        <v>942.55828899999995</v>
      </c>
      <c r="E24" s="23">
        <f>'AEO 2023 Table 36 Raw'!H14</f>
        <v>925.34039299999995</v>
      </c>
      <c r="F24" s="23">
        <f>'AEO 2023 Table 36 Raw'!I14</f>
        <v>912.45153800000003</v>
      </c>
      <c r="G24" s="23">
        <f>'AEO 2023 Table 36 Raw'!J14</f>
        <v>903.11096199999997</v>
      </c>
      <c r="H24" s="23">
        <f>'AEO 2023 Table 36 Raw'!K14</f>
        <v>894.80664100000001</v>
      </c>
      <c r="I24" s="23">
        <f>'AEO 2023 Table 36 Raw'!L14</f>
        <v>888.38452099999995</v>
      </c>
      <c r="J24" s="23">
        <f>'AEO 2023 Table 36 Raw'!M14</f>
        <v>882.99560499999995</v>
      </c>
      <c r="K24" s="23">
        <f>'AEO 2023 Table 36 Raw'!N14</f>
        <v>877.03247099999999</v>
      </c>
      <c r="L24" s="23">
        <f>'AEO 2023 Table 36 Raw'!O14</f>
        <v>872.79089399999998</v>
      </c>
      <c r="M24" s="23">
        <f>'AEO 2023 Table 36 Raw'!P14</f>
        <v>871.79064900000003</v>
      </c>
      <c r="N24" s="23">
        <f>'AEO 2023 Table 36 Raw'!Q14</f>
        <v>871.86755400000004</v>
      </c>
      <c r="O24" s="23">
        <f>'AEO 2023 Table 36 Raw'!R14</f>
        <v>873.03363000000002</v>
      </c>
      <c r="P24" s="23">
        <f>'AEO 2023 Table 36 Raw'!S14</f>
        <v>875.073486</v>
      </c>
      <c r="Q24" s="23">
        <f>'AEO 2023 Table 36 Raw'!T14</f>
        <v>877.49945100000002</v>
      </c>
      <c r="R24" s="23">
        <f>'AEO 2023 Table 36 Raw'!U14</f>
        <v>881.02331500000003</v>
      </c>
      <c r="S24" s="23">
        <f>'AEO 2023 Table 36 Raw'!V14</f>
        <v>885.54095500000005</v>
      </c>
      <c r="T24" s="23">
        <f>'AEO 2023 Table 36 Raw'!W14</f>
        <v>889.79608199999996</v>
      </c>
      <c r="U24" s="23">
        <f>'AEO 2023 Table 36 Raw'!X14</f>
        <v>896.14636199999995</v>
      </c>
      <c r="V24" s="23">
        <f>'AEO 2023 Table 36 Raw'!Y14</f>
        <v>903.92437700000005</v>
      </c>
      <c r="W24" s="23">
        <f>'AEO 2023 Table 36 Raw'!Z14</f>
        <v>911.92645300000004</v>
      </c>
      <c r="X24" s="23">
        <f>'AEO 2023 Table 36 Raw'!AA14</f>
        <v>919.04620399999999</v>
      </c>
      <c r="Y24" s="23">
        <f>'AEO 2023 Table 36 Raw'!AB14</f>
        <v>925.47399900000005</v>
      </c>
      <c r="Z24" s="23">
        <f>'AEO 2023 Table 36 Raw'!AC14</f>
        <v>932.77233899999999</v>
      </c>
      <c r="AA24" s="23">
        <f>'AEO 2023 Table 36 Raw'!AD14</f>
        <v>941.28070100000002</v>
      </c>
      <c r="AB24" s="23">
        <f>'AEO 2023 Table 36 Raw'!AE14</f>
        <v>951.49883999999997</v>
      </c>
      <c r="AC24" s="23">
        <f>'AEO 2023 Table 36 Raw'!AF14</f>
        <v>960.51415999999995</v>
      </c>
      <c r="AD24" s="23">
        <f>'AEO 2023 Table 36 Raw'!AG14</f>
        <v>969.57879600000001</v>
      </c>
      <c r="AE24" s="23">
        <f>'AEO 2023 Table 36 Raw'!AH14</f>
        <v>981.59570299999996</v>
      </c>
      <c r="AF24" s="28">
        <f>'AEO 2023 Table 36 Raw'!AI14</f>
        <v>1E-3</v>
      </c>
    </row>
    <row r="25" spans="1:32" ht="15" customHeight="1">
      <c r="A25" s="18" t="s">
        <v>754</v>
      </c>
      <c r="B25" s="21" t="s">
        <v>740</v>
      </c>
      <c r="C25" s="23">
        <f>'AEO 2023 Table 36 Raw'!F15</f>
        <v>657.76745600000004</v>
      </c>
      <c r="D25" s="23">
        <f>'AEO 2023 Table 36 Raw'!G15</f>
        <v>651.25982699999997</v>
      </c>
      <c r="E25" s="23">
        <f>'AEO 2023 Table 36 Raw'!H15</f>
        <v>640.80761700000005</v>
      </c>
      <c r="F25" s="23">
        <f>'AEO 2023 Table 36 Raw'!I15</f>
        <v>634.44543499999997</v>
      </c>
      <c r="G25" s="23">
        <f>'AEO 2023 Table 36 Raw'!J15</f>
        <v>630.82428000000004</v>
      </c>
      <c r="H25" s="23">
        <f>'AEO 2023 Table 36 Raw'!K15</f>
        <v>624.78125</v>
      </c>
      <c r="I25" s="23">
        <f>'AEO 2023 Table 36 Raw'!L15</f>
        <v>620.947632</v>
      </c>
      <c r="J25" s="23">
        <f>'AEO 2023 Table 36 Raw'!M15</f>
        <v>618.08074999999997</v>
      </c>
      <c r="K25" s="23">
        <f>'AEO 2023 Table 36 Raw'!N15</f>
        <v>615.03594999999996</v>
      </c>
      <c r="L25" s="23">
        <f>'AEO 2023 Table 36 Raw'!O15</f>
        <v>613.48315400000001</v>
      </c>
      <c r="M25" s="23">
        <f>'AEO 2023 Table 36 Raw'!P15</f>
        <v>614.07128899999998</v>
      </c>
      <c r="N25" s="23">
        <f>'AEO 2023 Table 36 Raw'!Q15</f>
        <v>615.42193599999996</v>
      </c>
      <c r="O25" s="23">
        <f>'AEO 2023 Table 36 Raw'!R15</f>
        <v>617.641479</v>
      </c>
      <c r="P25" s="23">
        <f>'AEO 2023 Table 36 Raw'!S15</f>
        <v>620.38317900000004</v>
      </c>
      <c r="Q25" s="23">
        <f>'AEO 2023 Table 36 Raw'!T15</f>
        <v>623.32220500000005</v>
      </c>
      <c r="R25" s="23">
        <f>'AEO 2023 Table 36 Raw'!U15</f>
        <v>627.02630599999998</v>
      </c>
      <c r="S25" s="23">
        <f>'AEO 2023 Table 36 Raw'!V15</f>
        <v>631.23345900000004</v>
      </c>
      <c r="T25" s="23">
        <f>'AEO 2023 Table 36 Raw'!W15</f>
        <v>635.20404099999996</v>
      </c>
      <c r="U25" s="23">
        <f>'AEO 2023 Table 36 Raw'!X15</f>
        <v>640.80859399999997</v>
      </c>
      <c r="V25" s="23">
        <f>'AEO 2023 Table 36 Raw'!Y15</f>
        <v>646.77948000000004</v>
      </c>
      <c r="W25" s="23">
        <f>'AEO 2023 Table 36 Raw'!Z15</f>
        <v>653.38256799999999</v>
      </c>
      <c r="X25" s="23">
        <f>'AEO 2023 Table 36 Raw'!AA15</f>
        <v>659.03369099999998</v>
      </c>
      <c r="Y25" s="23">
        <f>'AEO 2023 Table 36 Raw'!AB15</f>
        <v>663.90283199999999</v>
      </c>
      <c r="Z25" s="23">
        <f>'AEO 2023 Table 36 Raw'!AC15</f>
        <v>669.03552200000001</v>
      </c>
      <c r="AA25" s="23">
        <f>'AEO 2023 Table 36 Raw'!AD15</f>
        <v>675.10998500000005</v>
      </c>
      <c r="AB25" s="23">
        <f>'AEO 2023 Table 36 Raw'!AE15</f>
        <v>682.46606399999996</v>
      </c>
      <c r="AC25" s="23">
        <f>'AEO 2023 Table 36 Raw'!AF15</f>
        <v>688.97082499999999</v>
      </c>
      <c r="AD25" s="23">
        <f>'AEO 2023 Table 36 Raw'!AG15</f>
        <v>695.63995399999999</v>
      </c>
      <c r="AE25" s="23">
        <f>'AEO 2023 Table 36 Raw'!AH15</f>
        <v>704.23315400000001</v>
      </c>
      <c r="AF25" s="28">
        <f>'AEO 2023 Table 36 Raw'!AI15</f>
        <v>2E-3</v>
      </c>
    </row>
    <row r="26" spans="1:32" ht="15" customHeight="1">
      <c r="A26" s="18" t="s">
        <v>755</v>
      </c>
      <c r="B26" s="21" t="s">
        <v>742</v>
      </c>
      <c r="C26" s="23">
        <f>'AEO 2023 Table 36 Raw'!F16</f>
        <v>3.5136699999999998</v>
      </c>
      <c r="D26" s="23">
        <f>'AEO 2023 Table 36 Raw'!G16</f>
        <v>3.389497</v>
      </c>
      <c r="E26" s="23">
        <f>'AEO 2023 Table 36 Raw'!H16</f>
        <v>2.991625</v>
      </c>
      <c r="F26" s="23">
        <f>'AEO 2023 Table 36 Raw'!I16</f>
        <v>2.9037060000000001</v>
      </c>
      <c r="G26" s="23">
        <f>'AEO 2023 Table 36 Raw'!J16</f>
        <v>2.7676799999999999</v>
      </c>
      <c r="H26" s="23">
        <f>'AEO 2023 Table 36 Raw'!K16</f>
        <v>2.7080980000000001</v>
      </c>
      <c r="I26" s="23">
        <f>'AEO 2023 Table 36 Raw'!L16</f>
        <v>2.6648450000000001</v>
      </c>
      <c r="J26" s="23">
        <f>'AEO 2023 Table 36 Raw'!M16</f>
        <v>2.6710020000000001</v>
      </c>
      <c r="K26" s="23">
        <f>'AEO 2023 Table 36 Raw'!N16</f>
        <v>2.68058</v>
      </c>
      <c r="L26" s="23">
        <f>'AEO 2023 Table 36 Raw'!O16</f>
        <v>2.705457</v>
      </c>
      <c r="M26" s="23">
        <f>'AEO 2023 Table 36 Raw'!P16</f>
        <v>2.745193</v>
      </c>
      <c r="N26" s="23">
        <f>'AEO 2023 Table 36 Raw'!Q16</f>
        <v>2.803118</v>
      </c>
      <c r="O26" s="23">
        <f>'AEO 2023 Table 36 Raw'!R16</f>
        <v>2.8754189999999999</v>
      </c>
      <c r="P26" s="23">
        <f>'AEO 2023 Table 36 Raw'!S16</f>
        <v>2.972388</v>
      </c>
      <c r="Q26" s="23">
        <f>'AEO 2023 Table 36 Raw'!T16</f>
        <v>3.075218</v>
      </c>
      <c r="R26" s="23">
        <f>'AEO 2023 Table 36 Raw'!U16</f>
        <v>3.2065070000000002</v>
      </c>
      <c r="S26" s="23">
        <f>'AEO 2023 Table 36 Raw'!V16</f>
        <v>3.3501609999999999</v>
      </c>
      <c r="T26" s="23">
        <f>'AEO 2023 Table 36 Raw'!W16</f>
        <v>3.5010400000000002</v>
      </c>
      <c r="U26" s="23">
        <f>'AEO 2023 Table 36 Raw'!X16</f>
        <v>3.6667809999999998</v>
      </c>
      <c r="V26" s="23">
        <f>'AEO 2023 Table 36 Raw'!Y16</f>
        <v>3.843432</v>
      </c>
      <c r="W26" s="23">
        <f>'AEO 2023 Table 36 Raw'!Z16</f>
        <v>4.0169430000000004</v>
      </c>
      <c r="X26" s="23">
        <f>'AEO 2023 Table 36 Raw'!AA16</f>
        <v>4.194909</v>
      </c>
      <c r="Y26" s="23">
        <f>'AEO 2023 Table 36 Raw'!AB16</f>
        <v>4.3540520000000003</v>
      </c>
      <c r="Z26" s="23">
        <f>'AEO 2023 Table 36 Raw'!AC16</f>
        <v>4.5155190000000003</v>
      </c>
      <c r="AA26" s="23">
        <f>'AEO 2023 Table 36 Raw'!AD16</f>
        <v>4.6677289999999996</v>
      </c>
      <c r="AB26" s="23">
        <f>'AEO 2023 Table 36 Raw'!AE16</f>
        <v>4.8359430000000003</v>
      </c>
      <c r="AC26" s="23">
        <f>'AEO 2023 Table 36 Raw'!AF16</f>
        <v>4.9793599999999998</v>
      </c>
      <c r="AD26" s="23">
        <f>'AEO 2023 Table 36 Raw'!AG16</f>
        <v>5.1316860000000002</v>
      </c>
      <c r="AE26" s="23">
        <f>'AEO 2023 Table 36 Raw'!AH16</f>
        <v>5.2824540000000004</v>
      </c>
      <c r="AF26" s="28">
        <f>'AEO 2023 Table 36 Raw'!AI16</f>
        <v>1.4999999999999999E-2</v>
      </c>
    </row>
    <row r="27" spans="1:32" ht="15" customHeight="1">
      <c r="A27" s="18" t="s">
        <v>756</v>
      </c>
      <c r="B27" s="21" t="s">
        <v>744</v>
      </c>
      <c r="C27" s="23">
        <f>'AEO 2023 Table 36 Raw'!F17</f>
        <v>289.12039199999998</v>
      </c>
      <c r="D27" s="23">
        <f>'AEO 2023 Table 36 Raw'!G17</f>
        <v>286.82144199999999</v>
      </c>
      <c r="E27" s="23">
        <f>'AEO 2023 Table 36 Raw'!H17</f>
        <v>280.46920799999998</v>
      </c>
      <c r="F27" s="23">
        <f>'AEO 2023 Table 36 Raw'!I17</f>
        <v>274.07836900000001</v>
      </c>
      <c r="G27" s="23">
        <f>'AEO 2023 Table 36 Raw'!J17</f>
        <v>268.54092400000002</v>
      </c>
      <c r="H27" s="23">
        <f>'AEO 2023 Table 36 Raw'!K17</f>
        <v>266.37576300000001</v>
      </c>
      <c r="I27" s="23">
        <f>'AEO 2023 Table 36 Raw'!L17</f>
        <v>263.84298699999999</v>
      </c>
      <c r="J27" s="23">
        <f>'AEO 2023 Table 36 Raw'!M17</f>
        <v>261.31542999999999</v>
      </c>
      <c r="K27" s="23">
        <f>'AEO 2023 Table 36 Raw'!N17</f>
        <v>258.401184</v>
      </c>
      <c r="L27" s="23">
        <f>'AEO 2023 Table 36 Raw'!O17</f>
        <v>255.69387800000001</v>
      </c>
      <c r="M27" s="23">
        <f>'AEO 2023 Table 36 Raw'!P17</f>
        <v>254.05813599999999</v>
      </c>
      <c r="N27" s="23">
        <f>'AEO 2023 Table 36 Raw'!Q17</f>
        <v>252.705139</v>
      </c>
      <c r="O27" s="23">
        <f>'AEO 2023 Table 36 Raw'!R17</f>
        <v>251.542633</v>
      </c>
      <c r="P27" s="23">
        <f>'AEO 2023 Table 36 Raw'!S17</f>
        <v>250.69047499999999</v>
      </c>
      <c r="Q27" s="23">
        <f>'AEO 2023 Table 36 Raw'!T17</f>
        <v>250.00555399999999</v>
      </c>
      <c r="R27" s="23">
        <f>'AEO 2023 Table 36 Raw'!U17</f>
        <v>249.60524000000001</v>
      </c>
      <c r="S27" s="23">
        <f>'AEO 2023 Table 36 Raw'!V17</f>
        <v>249.66021699999999</v>
      </c>
      <c r="T27" s="23">
        <f>'AEO 2023 Table 36 Raw'!W17</f>
        <v>249.65734900000001</v>
      </c>
      <c r="U27" s="23">
        <f>'AEO 2023 Table 36 Raw'!X17</f>
        <v>250.07077000000001</v>
      </c>
      <c r="V27" s="23">
        <f>'AEO 2023 Table 36 Raw'!Y17</f>
        <v>251.505585</v>
      </c>
      <c r="W27" s="23">
        <f>'AEO 2023 Table 36 Raw'!Z17</f>
        <v>252.50730899999999</v>
      </c>
      <c r="X27" s="23">
        <f>'AEO 2023 Table 36 Raw'!AA17</f>
        <v>253.54638700000001</v>
      </c>
      <c r="Y27" s="23">
        <f>'AEO 2023 Table 36 Raw'!AB17</f>
        <v>254.66670199999999</v>
      </c>
      <c r="Z27" s="23">
        <f>'AEO 2023 Table 36 Raw'!AC17</f>
        <v>256.36206099999998</v>
      </c>
      <c r="AA27" s="23">
        <f>'AEO 2023 Table 36 Raw'!AD17</f>
        <v>258.30450400000001</v>
      </c>
      <c r="AB27" s="23">
        <f>'AEO 2023 Table 36 Raw'!AE17</f>
        <v>260.63464399999998</v>
      </c>
      <c r="AC27" s="23">
        <f>'AEO 2023 Table 36 Raw'!AF17</f>
        <v>262.62152099999997</v>
      </c>
      <c r="AD27" s="23">
        <f>'AEO 2023 Table 36 Raw'!AG17</f>
        <v>264.464203</v>
      </c>
      <c r="AE27" s="23">
        <f>'AEO 2023 Table 36 Raw'!AH17</f>
        <v>267.307861</v>
      </c>
      <c r="AF27" s="28">
        <f>'AEO 2023 Table 36 Raw'!AI17</f>
        <v>-3.0000000000000001E-3</v>
      </c>
    </row>
    <row r="28" spans="1:32" ht="15" customHeight="1">
      <c r="A28" s="18" t="s">
        <v>757</v>
      </c>
      <c r="B28" s="21" t="s">
        <v>747</v>
      </c>
      <c r="C28" s="23">
        <f>'AEO 2023 Table 36 Raw'!F18</f>
        <v>1.1919999999999999E-3</v>
      </c>
      <c r="D28" s="23">
        <f>'AEO 2023 Table 36 Raw'!G18</f>
        <v>5.9367000000000003E-2</v>
      </c>
      <c r="E28" s="23">
        <f>'AEO 2023 Table 36 Raw'!H18</f>
        <v>0.11705</v>
      </c>
      <c r="F28" s="23">
        <f>'AEO 2023 Table 36 Raw'!I18</f>
        <v>0.17241300000000001</v>
      </c>
      <c r="G28" s="23">
        <f>'AEO 2023 Table 36 Raw'!J18</f>
        <v>0.22949800000000001</v>
      </c>
      <c r="H28" s="23">
        <f>'AEO 2023 Table 36 Raw'!K18</f>
        <v>0.28361900000000001</v>
      </c>
      <c r="I28" s="23">
        <f>'AEO 2023 Table 36 Raw'!L18</f>
        <v>0.33646300000000001</v>
      </c>
      <c r="J28" s="23">
        <f>'AEO 2023 Table 36 Raw'!M18</f>
        <v>0.39336500000000002</v>
      </c>
      <c r="K28" s="23">
        <f>'AEO 2023 Table 36 Raw'!N18</f>
        <v>0.43659700000000001</v>
      </c>
      <c r="L28" s="23">
        <f>'AEO 2023 Table 36 Raw'!O18</f>
        <v>0.48442800000000003</v>
      </c>
      <c r="M28" s="23">
        <f>'AEO 2023 Table 36 Raw'!P18</f>
        <v>0.53945200000000004</v>
      </c>
      <c r="N28" s="23">
        <f>'AEO 2023 Table 36 Raw'!Q18</f>
        <v>0.60183900000000001</v>
      </c>
      <c r="O28" s="23">
        <f>'AEO 2023 Table 36 Raw'!R18</f>
        <v>0.67321399999999998</v>
      </c>
      <c r="P28" s="23">
        <f>'AEO 2023 Table 36 Raw'!S18</f>
        <v>0.75634199999999996</v>
      </c>
      <c r="Q28" s="23">
        <f>'AEO 2023 Table 36 Raw'!T18</f>
        <v>0.853271</v>
      </c>
      <c r="R28" s="23">
        <f>'AEO 2023 Table 36 Raw'!U18</f>
        <v>0.96770199999999995</v>
      </c>
      <c r="S28" s="23">
        <f>'AEO 2023 Table 36 Raw'!V18</f>
        <v>1.1022019999999999</v>
      </c>
      <c r="T28" s="23">
        <f>'AEO 2023 Table 36 Raw'!W18</f>
        <v>1.257558</v>
      </c>
      <c r="U28" s="23">
        <f>'AEO 2023 Table 36 Raw'!X18</f>
        <v>1.4395659999999999</v>
      </c>
      <c r="V28" s="23">
        <f>'AEO 2023 Table 36 Raw'!Y18</f>
        <v>1.649748</v>
      </c>
      <c r="W28" s="23">
        <f>'AEO 2023 Table 36 Raw'!Z18</f>
        <v>1.8861079999999999</v>
      </c>
      <c r="X28" s="23">
        <f>'AEO 2023 Table 36 Raw'!AA18</f>
        <v>2.1497600000000001</v>
      </c>
      <c r="Y28" s="23">
        <f>'AEO 2023 Table 36 Raw'!AB18</f>
        <v>2.4400059999999999</v>
      </c>
      <c r="Z28" s="23">
        <f>'AEO 2023 Table 36 Raw'!AC18</f>
        <v>2.7592599999999998</v>
      </c>
      <c r="AA28" s="23">
        <f>'AEO 2023 Table 36 Raw'!AD18</f>
        <v>3.1105109999999998</v>
      </c>
      <c r="AB28" s="23">
        <f>'AEO 2023 Table 36 Raw'!AE18</f>
        <v>3.4898639999999999</v>
      </c>
      <c r="AC28" s="23">
        <f>'AEO 2023 Table 36 Raw'!AF18</f>
        <v>3.885303</v>
      </c>
      <c r="AD28" s="23">
        <f>'AEO 2023 Table 36 Raw'!AG18</f>
        <v>4.2978630000000004</v>
      </c>
      <c r="AE28" s="23">
        <f>'AEO 2023 Table 36 Raw'!AH18</f>
        <v>4.7380370000000003</v>
      </c>
      <c r="AF28" s="28">
        <f>'AEO 2023 Table 36 Raw'!AI18</f>
        <v>0.34399999999999997</v>
      </c>
    </row>
    <row r="29" spans="1:32" ht="15" customHeight="1">
      <c r="A29" s="18" t="s">
        <v>758</v>
      </c>
      <c r="B29" s="21" t="s">
        <v>152</v>
      </c>
      <c r="C29" s="23">
        <f>'AEO 2023 Table 36 Raw'!F19</f>
        <v>1.100109</v>
      </c>
      <c r="D29" s="23">
        <f>'AEO 2023 Table 36 Raw'!G19</f>
        <v>1.0280959999999999</v>
      </c>
      <c r="E29" s="23">
        <f>'AEO 2023 Table 36 Raw'!H19</f>
        <v>0.95485699999999996</v>
      </c>
      <c r="F29" s="23">
        <f>'AEO 2023 Table 36 Raw'!I19</f>
        <v>0.85162800000000005</v>
      </c>
      <c r="G29" s="23">
        <f>'AEO 2023 Table 36 Raw'!J19</f>
        <v>0.74851699999999999</v>
      </c>
      <c r="H29" s="23">
        <f>'AEO 2023 Table 36 Raw'!K19</f>
        <v>0.657968</v>
      </c>
      <c r="I29" s="23">
        <f>'AEO 2023 Table 36 Raw'!L19</f>
        <v>0.59255500000000005</v>
      </c>
      <c r="J29" s="23">
        <f>'AEO 2023 Table 36 Raw'!M19</f>
        <v>0.53501100000000001</v>
      </c>
      <c r="K29" s="23">
        <f>'AEO 2023 Table 36 Raw'!N19</f>
        <v>0.478159</v>
      </c>
      <c r="L29" s="23">
        <f>'AEO 2023 Table 36 Raw'!O19</f>
        <v>0.42399300000000001</v>
      </c>
      <c r="M29" s="23">
        <f>'AEO 2023 Table 36 Raw'!P19</f>
        <v>0.376664</v>
      </c>
      <c r="N29" s="23">
        <f>'AEO 2023 Table 36 Raw'!Q19</f>
        <v>0.33548499999999998</v>
      </c>
      <c r="O29" s="23">
        <f>'AEO 2023 Table 36 Raw'!R19</f>
        <v>0.30089100000000002</v>
      </c>
      <c r="P29" s="23">
        <f>'AEO 2023 Table 36 Raw'!S19</f>
        <v>0.27107300000000001</v>
      </c>
      <c r="Q29" s="23">
        <f>'AEO 2023 Table 36 Raw'!T19</f>
        <v>0.243198</v>
      </c>
      <c r="R29" s="23">
        <f>'AEO 2023 Table 36 Raw'!U19</f>
        <v>0.217586</v>
      </c>
      <c r="S29" s="23">
        <f>'AEO 2023 Table 36 Raw'!V19</f>
        <v>0.19492699999999999</v>
      </c>
      <c r="T29" s="23">
        <f>'AEO 2023 Table 36 Raw'!W19</f>
        <v>0.17607900000000001</v>
      </c>
      <c r="U29" s="23">
        <f>'AEO 2023 Table 36 Raw'!X19</f>
        <v>0.160581</v>
      </c>
      <c r="V29" s="23">
        <f>'AEO 2023 Table 36 Raw'!Y19</f>
        <v>0.14618200000000001</v>
      </c>
      <c r="W29" s="23">
        <f>'AEO 2023 Table 36 Raw'!Z19</f>
        <v>0.133464</v>
      </c>
      <c r="X29" s="23">
        <f>'AEO 2023 Table 36 Raw'!AA19</f>
        <v>0.121475</v>
      </c>
      <c r="Y29" s="23">
        <f>'AEO 2023 Table 36 Raw'!AB19</f>
        <v>0.110383</v>
      </c>
      <c r="Z29" s="23">
        <f>'AEO 2023 Table 36 Raw'!AC19</f>
        <v>9.9973999999999993E-2</v>
      </c>
      <c r="AA29" s="23">
        <f>'AEO 2023 Table 36 Raw'!AD19</f>
        <v>8.7946999999999997E-2</v>
      </c>
      <c r="AB29" s="23">
        <f>'AEO 2023 Table 36 Raw'!AE19</f>
        <v>7.2319999999999995E-2</v>
      </c>
      <c r="AC29" s="23">
        <f>'AEO 2023 Table 36 Raw'!AF19</f>
        <v>5.7146000000000002E-2</v>
      </c>
      <c r="AD29" s="23">
        <f>'AEO 2023 Table 36 Raw'!AG19</f>
        <v>4.5075999999999998E-2</v>
      </c>
      <c r="AE29" s="23">
        <f>'AEO 2023 Table 36 Raw'!AH19</f>
        <v>3.4169999999999999E-2</v>
      </c>
      <c r="AF29" s="28">
        <f>'AEO 2023 Table 36 Raw'!AI19</f>
        <v>-0.11700000000000001</v>
      </c>
    </row>
    <row r="30" spans="1:32" ht="15" customHeight="1">
      <c r="A30" s="18" t="s">
        <v>759</v>
      </c>
      <c r="B30" s="21" t="s">
        <v>749</v>
      </c>
      <c r="C30" s="23">
        <f>'AEO 2023 Table 36 Raw'!F20</f>
        <v>0</v>
      </c>
      <c r="D30" s="23">
        <f>'AEO 2023 Table 36 Raw'!G20</f>
        <v>0</v>
      </c>
      <c r="E30" s="23">
        <f>'AEO 2023 Table 36 Raw'!H20</f>
        <v>0</v>
      </c>
      <c r="F30" s="23">
        <f>'AEO 2023 Table 36 Raw'!I20</f>
        <v>0</v>
      </c>
      <c r="G30" s="23">
        <f>'AEO 2023 Table 36 Raw'!J20</f>
        <v>0</v>
      </c>
      <c r="H30" s="23">
        <f>'AEO 2023 Table 36 Raw'!K20</f>
        <v>0</v>
      </c>
      <c r="I30" s="23">
        <f>'AEO 2023 Table 36 Raw'!L20</f>
        <v>0</v>
      </c>
      <c r="J30" s="23">
        <f>'AEO 2023 Table 36 Raw'!M20</f>
        <v>0</v>
      </c>
      <c r="K30" s="23">
        <f>'AEO 2023 Table 36 Raw'!N20</f>
        <v>0</v>
      </c>
      <c r="L30" s="23">
        <f>'AEO 2023 Table 36 Raw'!O20</f>
        <v>0</v>
      </c>
      <c r="M30" s="23">
        <f>'AEO 2023 Table 36 Raw'!P20</f>
        <v>0</v>
      </c>
      <c r="N30" s="23">
        <f>'AEO 2023 Table 36 Raw'!Q20</f>
        <v>0</v>
      </c>
      <c r="O30" s="23">
        <f>'AEO 2023 Table 36 Raw'!R20</f>
        <v>0</v>
      </c>
      <c r="P30" s="23">
        <f>'AEO 2023 Table 36 Raw'!S20</f>
        <v>0</v>
      </c>
      <c r="Q30" s="23">
        <f>'AEO 2023 Table 36 Raw'!T20</f>
        <v>0</v>
      </c>
      <c r="R30" s="23">
        <f>'AEO 2023 Table 36 Raw'!U20</f>
        <v>0</v>
      </c>
      <c r="S30" s="23">
        <f>'AEO 2023 Table 36 Raw'!V20</f>
        <v>0</v>
      </c>
      <c r="T30" s="23">
        <f>'AEO 2023 Table 36 Raw'!W20</f>
        <v>0</v>
      </c>
      <c r="U30" s="23">
        <f>'AEO 2023 Table 36 Raw'!X20</f>
        <v>0</v>
      </c>
      <c r="V30" s="23">
        <f>'AEO 2023 Table 36 Raw'!Y20</f>
        <v>0</v>
      </c>
      <c r="W30" s="23">
        <f>'AEO 2023 Table 36 Raw'!Z20</f>
        <v>0</v>
      </c>
      <c r="X30" s="23">
        <f>'AEO 2023 Table 36 Raw'!AA20</f>
        <v>0</v>
      </c>
      <c r="Y30" s="23">
        <f>'AEO 2023 Table 36 Raw'!AB20</f>
        <v>0</v>
      </c>
      <c r="Z30" s="23">
        <f>'AEO 2023 Table 36 Raw'!AC20</f>
        <v>0</v>
      </c>
      <c r="AA30" s="23">
        <f>'AEO 2023 Table 36 Raw'!AD20</f>
        <v>0</v>
      </c>
      <c r="AB30" s="23">
        <f>'AEO 2023 Table 36 Raw'!AE20</f>
        <v>0</v>
      </c>
      <c r="AC30" s="23">
        <f>'AEO 2023 Table 36 Raw'!AF20</f>
        <v>0</v>
      </c>
      <c r="AD30" s="23">
        <f>'AEO 2023 Table 36 Raw'!AG20</f>
        <v>0</v>
      </c>
      <c r="AE30" s="23">
        <f>'AEO 2023 Table 36 Raw'!AH20</f>
        <v>0</v>
      </c>
      <c r="AF30" s="28" t="str">
        <f>'AEO 2023 Table 36 Raw'!AI20</f>
        <v>- -</v>
      </c>
    </row>
    <row r="31" spans="1:32" ht="15" customHeight="1">
      <c r="A31" s="18" t="s">
        <v>760</v>
      </c>
      <c r="B31" s="21" t="s">
        <v>751</v>
      </c>
      <c r="C31" s="23">
        <f>'AEO 2023 Table 36 Raw'!F21</f>
        <v>0</v>
      </c>
      <c r="D31" s="23">
        <f>'AEO 2023 Table 36 Raw'!G21</f>
        <v>0</v>
      </c>
      <c r="E31" s="23">
        <f>'AEO 2023 Table 36 Raw'!H21</f>
        <v>0</v>
      </c>
      <c r="F31" s="23">
        <f>'AEO 2023 Table 36 Raw'!I21</f>
        <v>0</v>
      </c>
      <c r="G31" s="23">
        <f>'AEO 2023 Table 36 Raw'!J21</f>
        <v>0</v>
      </c>
      <c r="H31" s="23">
        <f>'AEO 2023 Table 36 Raw'!K21</f>
        <v>0</v>
      </c>
      <c r="I31" s="23">
        <f>'AEO 2023 Table 36 Raw'!L21</f>
        <v>0</v>
      </c>
      <c r="J31" s="23">
        <f>'AEO 2023 Table 36 Raw'!M21</f>
        <v>0</v>
      </c>
      <c r="K31" s="23">
        <f>'AEO 2023 Table 36 Raw'!N21</f>
        <v>0</v>
      </c>
      <c r="L31" s="23">
        <f>'AEO 2023 Table 36 Raw'!O21</f>
        <v>0</v>
      </c>
      <c r="M31" s="23">
        <f>'AEO 2023 Table 36 Raw'!P21</f>
        <v>0</v>
      </c>
      <c r="N31" s="23">
        <f>'AEO 2023 Table 36 Raw'!Q21</f>
        <v>0</v>
      </c>
      <c r="O31" s="23">
        <f>'AEO 2023 Table 36 Raw'!R21</f>
        <v>0</v>
      </c>
      <c r="P31" s="23">
        <f>'AEO 2023 Table 36 Raw'!S21</f>
        <v>0</v>
      </c>
      <c r="Q31" s="23">
        <f>'AEO 2023 Table 36 Raw'!T21</f>
        <v>0</v>
      </c>
      <c r="R31" s="23">
        <f>'AEO 2023 Table 36 Raw'!U21</f>
        <v>0</v>
      </c>
      <c r="S31" s="23">
        <f>'AEO 2023 Table 36 Raw'!V21</f>
        <v>0</v>
      </c>
      <c r="T31" s="23">
        <f>'AEO 2023 Table 36 Raw'!W21</f>
        <v>0</v>
      </c>
      <c r="U31" s="23">
        <f>'AEO 2023 Table 36 Raw'!X21</f>
        <v>0</v>
      </c>
      <c r="V31" s="23">
        <f>'AEO 2023 Table 36 Raw'!Y21</f>
        <v>0</v>
      </c>
      <c r="W31" s="23">
        <f>'AEO 2023 Table 36 Raw'!Z21</f>
        <v>0</v>
      </c>
      <c r="X31" s="23">
        <f>'AEO 2023 Table 36 Raw'!AA21</f>
        <v>0</v>
      </c>
      <c r="Y31" s="23">
        <f>'AEO 2023 Table 36 Raw'!AB21</f>
        <v>0</v>
      </c>
      <c r="Z31" s="23">
        <f>'AEO 2023 Table 36 Raw'!AC21</f>
        <v>0</v>
      </c>
      <c r="AA31" s="23">
        <f>'AEO 2023 Table 36 Raw'!AD21</f>
        <v>0</v>
      </c>
      <c r="AB31" s="23">
        <f>'AEO 2023 Table 36 Raw'!AE21</f>
        <v>0</v>
      </c>
      <c r="AC31" s="23">
        <f>'AEO 2023 Table 36 Raw'!AF21</f>
        <v>0</v>
      </c>
      <c r="AD31" s="23">
        <f>'AEO 2023 Table 36 Raw'!AG21</f>
        <v>0</v>
      </c>
      <c r="AE31" s="23">
        <f>'AEO 2023 Table 36 Raw'!AH21</f>
        <v>0</v>
      </c>
      <c r="AF31" s="28" t="str">
        <f>'AEO 2023 Table 36 Raw'!AI21</f>
        <v>- -</v>
      </c>
    </row>
    <row r="32" spans="1:32" ht="12" customHeight="1">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8"/>
    </row>
    <row r="33" spans="1:32" ht="15" customHeight="1">
      <c r="A33" s="18" t="s">
        <v>761</v>
      </c>
      <c r="B33" s="20" t="s">
        <v>762</v>
      </c>
      <c r="C33" s="23">
        <f>'AEO 2023 Table 36 Raw'!F22</f>
        <v>5922.7910160000001</v>
      </c>
      <c r="D33" s="23">
        <f>'AEO 2023 Table 36 Raw'!G22</f>
        <v>5816.7055659999996</v>
      </c>
      <c r="E33" s="23">
        <f>'AEO 2023 Table 36 Raw'!H22</f>
        <v>5728.0952150000003</v>
      </c>
      <c r="F33" s="23">
        <f>'AEO 2023 Table 36 Raw'!I22</f>
        <v>5673.0986329999996</v>
      </c>
      <c r="G33" s="23">
        <f>'AEO 2023 Table 36 Raw'!J22</f>
        <v>5638.8964839999999</v>
      </c>
      <c r="H33" s="23">
        <f>'AEO 2023 Table 36 Raw'!K22</f>
        <v>5591.7084960000002</v>
      </c>
      <c r="I33" s="23">
        <f>'AEO 2023 Table 36 Raw'!L22</f>
        <v>5543.7119140000004</v>
      </c>
      <c r="J33" s="23">
        <f>'AEO 2023 Table 36 Raw'!M22</f>
        <v>5483.6694340000004</v>
      </c>
      <c r="K33" s="23">
        <f>'AEO 2023 Table 36 Raw'!N22</f>
        <v>5422.388672</v>
      </c>
      <c r="L33" s="23">
        <f>'AEO 2023 Table 36 Raw'!O22</f>
        <v>5371.3027339999999</v>
      </c>
      <c r="M33" s="23">
        <f>'AEO 2023 Table 36 Raw'!P22</f>
        <v>5340.158203</v>
      </c>
      <c r="N33" s="23">
        <f>'AEO 2023 Table 36 Raw'!Q22</f>
        <v>5306.5048829999996</v>
      </c>
      <c r="O33" s="23">
        <f>'AEO 2023 Table 36 Raw'!R22</f>
        <v>5278.7797849999997</v>
      </c>
      <c r="P33" s="23">
        <f>'AEO 2023 Table 36 Raw'!S22</f>
        <v>5261.2470700000003</v>
      </c>
      <c r="Q33" s="23">
        <f>'AEO 2023 Table 36 Raw'!T22</f>
        <v>5242.9990230000003</v>
      </c>
      <c r="R33" s="23">
        <f>'AEO 2023 Table 36 Raw'!U22</f>
        <v>5237.6972660000001</v>
      </c>
      <c r="S33" s="23">
        <f>'AEO 2023 Table 36 Raw'!V22</f>
        <v>5236.3618159999996</v>
      </c>
      <c r="T33" s="23">
        <f>'AEO 2023 Table 36 Raw'!W22</f>
        <v>5238.3041990000002</v>
      </c>
      <c r="U33" s="23">
        <f>'AEO 2023 Table 36 Raw'!X22</f>
        <v>5247.9145509999998</v>
      </c>
      <c r="V33" s="23">
        <f>'AEO 2023 Table 36 Raw'!Y22</f>
        <v>5263.2084960000002</v>
      </c>
      <c r="W33" s="23">
        <f>'AEO 2023 Table 36 Raw'!Z22</f>
        <v>5281.4541019999997</v>
      </c>
      <c r="X33" s="23">
        <f>'AEO 2023 Table 36 Raw'!AA22</f>
        <v>5299.6816410000001</v>
      </c>
      <c r="Y33" s="23">
        <f>'AEO 2023 Table 36 Raw'!AB22</f>
        <v>5316.7680659999996</v>
      </c>
      <c r="Z33" s="23">
        <f>'AEO 2023 Table 36 Raw'!AC22</f>
        <v>5331.7001950000003</v>
      </c>
      <c r="AA33" s="23">
        <f>'AEO 2023 Table 36 Raw'!AD22</f>
        <v>5353.1992190000001</v>
      </c>
      <c r="AB33" s="23">
        <f>'AEO 2023 Table 36 Raw'!AE22</f>
        <v>5376.3164059999999</v>
      </c>
      <c r="AC33" s="23">
        <f>'AEO 2023 Table 36 Raw'!AF22</f>
        <v>5393.3178710000002</v>
      </c>
      <c r="AD33" s="23">
        <f>'AEO 2023 Table 36 Raw'!AG22</f>
        <v>5413.4169920000004</v>
      </c>
      <c r="AE33" s="23">
        <f>'AEO 2023 Table 36 Raw'!AH22</f>
        <v>5450.0122069999998</v>
      </c>
      <c r="AF33" s="28">
        <f>'AEO 2023 Table 36 Raw'!AI22</f>
        <v>-3.0000000000000001E-3</v>
      </c>
    </row>
    <row r="34" spans="1:32" ht="15" customHeight="1">
      <c r="A34" s="18" t="s">
        <v>763</v>
      </c>
      <c r="B34" s="21" t="s">
        <v>764</v>
      </c>
      <c r="C34" s="23">
        <f>'AEO 2023 Table 36 Raw'!F23</f>
        <v>616.20519999999999</v>
      </c>
      <c r="D34" s="23">
        <f>'AEO 2023 Table 36 Raw'!G23</f>
        <v>611.60089100000005</v>
      </c>
      <c r="E34" s="23">
        <f>'AEO 2023 Table 36 Raw'!H23</f>
        <v>610.37268100000006</v>
      </c>
      <c r="F34" s="23">
        <f>'AEO 2023 Table 36 Raw'!I23</f>
        <v>612.19366500000001</v>
      </c>
      <c r="G34" s="23">
        <f>'AEO 2023 Table 36 Raw'!J23</f>
        <v>616.92590299999995</v>
      </c>
      <c r="H34" s="23">
        <f>'AEO 2023 Table 36 Raw'!K23</f>
        <v>620.02862500000003</v>
      </c>
      <c r="I34" s="23">
        <f>'AEO 2023 Table 36 Raw'!L23</f>
        <v>623.435608</v>
      </c>
      <c r="J34" s="23">
        <f>'AEO 2023 Table 36 Raw'!M23</f>
        <v>626.11090100000001</v>
      </c>
      <c r="K34" s="23">
        <f>'AEO 2023 Table 36 Raw'!N23</f>
        <v>629.31872599999997</v>
      </c>
      <c r="L34" s="23">
        <f>'AEO 2023 Table 36 Raw'!O23</f>
        <v>633.79577600000005</v>
      </c>
      <c r="M34" s="23">
        <f>'AEO 2023 Table 36 Raw'!P23</f>
        <v>641.25616500000001</v>
      </c>
      <c r="N34" s="23">
        <f>'AEO 2023 Table 36 Raw'!Q23</f>
        <v>647.76110800000004</v>
      </c>
      <c r="O34" s="23">
        <f>'AEO 2023 Table 36 Raw'!R23</f>
        <v>654.28460700000005</v>
      </c>
      <c r="P34" s="23">
        <f>'AEO 2023 Table 36 Raw'!S23</f>
        <v>661.13012700000002</v>
      </c>
      <c r="Q34" s="23">
        <f>'AEO 2023 Table 36 Raw'!T23</f>
        <v>667.05139199999996</v>
      </c>
      <c r="R34" s="23">
        <f>'AEO 2023 Table 36 Raw'!U23</f>
        <v>674.55737299999998</v>
      </c>
      <c r="S34" s="23">
        <f>'AEO 2023 Table 36 Raw'!V23</f>
        <v>681.19171100000005</v>
      </c>
      <c r="T34" s="23">
        <f>'AEO 2023 Table 36 Raw'!W23</f>
        <v>688.82940699999995</v>
      </c>
      <c r="U34" s="23">
        <f>'AEO 2023 Table 36 Raw'!X23</f>
        <v>697.06719999999996</v>
      </c>
      <c r="V34" s="23">
        <f>'AEO 2023 Table 36 Raw'!Y23</f>
        <v>706.54357900000002</v>
      </c>
      <c r="W34" s="23">
        <f>'AEO 2023 Table 36 Raw'!Z23</f>
        <v>715.970642</v>
      </c>
      <c r="X34" s="23">
        <f>'AEO 2023 Table 36 Raw'!AA23</f>
        <v>725.08044400000006</v>
      </c>
      <c r="Y34" s="23">
        <f>'AEO 2023 Table 36 Raw'!AB23</f>
        <v>734.180969</v>
      </c>
      <c r="Z34" s="23">
        <f>'AEO 2023 Table 36 Raw'!AC23</f>
        <v>743.18780500000003</v>
      </c>
      <c r="AA34" s="23">
        <f>'AEO 2023 Table 36 Raw'!AD23</f>
        <v>753.50970500000005</v>
      </c>
      <c r="AB34" s="23">
        <f>'AEO 2023 Table 36 Raw'!AE23</f>
        <v>764.21655299999998</v>
      </c>
      <c r="AC34" s="23">
        <f>'AEO 2023 Table 36 Raw'!AF23</f>
        <v>774.01879899999994</v>
      </c>
      <c r="AD34" s="23">
        <f>'AEO 2023 Table 36 Raw'!AG23</f>
        <v>784.56542999999999</v>
      </c>
      <c r="AE34" s="23">
        <f>'AEO 2023 Table 36 Raw'!AH23</f>
        <v>797.65808100000004</v>
      </c>
      <c r="AF34" s="28">
        <f>'AEO 2023 Table 36 Raw'!AI23</f>
        <v>8.9999999999999993E-3</v>
      </c>
    </row>
    <row r="35" spans="1:32" ht="15" customHeight="1">
      <c r="A35" s="18" t="s">
        <v>765</v>
      </c>
      <c r="B35" s="21" t="s">
        <v>744</v>
      </c>
      <c r="C35" s="23">
        <f>'AEO 2023 Table 36 Raw'!F24</f>
        <v>5252.3305659999996</v>
      </c>
      <c r="D35" s="23">
        <f>'AEO 2023 Table 36 Raw'!G24</f>
        <v>5150.2441410000001</v>
      </c>
      <c r="E35" s="23">
        <f>'AEO 2023 Table 36 Raw'!H24</f>
        <v>5062.3154299999997</v>
      </c>
      <c r="F35" s="23">
        <f>'AEO 2023 Table 36 Raw'!I24</f>
        <v>5004.9750979999999</v>
      </c>
      <c r="G35" s="23">
        <f>'AEO 2023 Table 36 Raw'!J24</f>
        <v>4965.6987300000001</v>
      </c>
      <c r="H35" s="23">
        <f>'AEO 2023 Table 36 Raw'!K24</f>
        <v>4915.5693359999996</v>
      </c>
      <c r="I35" s="23">
        <f>'AEO 2023 Table 36 Raw'!L24</f>
        <v>4864.6591799999997</v>
      </c>
      <c r="J35" s="23">
        <f>'AEO 2023 Table 36 Raw'!M24</f>
        <v>4802.8212890000004</v>
      </c>
      <c r="K35" s="23">
        <f>'AEO 2023 Table 36 Raw'!N24</f>
        <v>4739.4140619999998</v>
      </c>
      <c r="L35" s="23">
        <f>'AEO 2023 Table 36 Raw'!O24</f>
        <v>4684.7788090000004</v>
      </c>
      <c r="M35" s="23">
        <f>'AEO 2023 Table 36 Raw'!P24</f>
        <v>4646.6831050000001</v>
      </c>
      <c r="N35" s="23">
        <f>'AEO 2023 Table 36 Raw'!Q24</f>
        <v>4606.6586909999996</v>
      </c>
      <c r="O35" s="23">
        <f>'AEO 2023 Table 36 Raw'!R24</f>
        <v>4572.0830079999996</v>
      </c>
      <c r="P35" s="23">
        <f>'AEO 2023 Table 36 Raw'!S24</f>
        <v>4546.9648440000001</v>
      </c>
      <c r="Q35" s="23">
        <f>'AEO 2023 Table 36 Raw'!T24</f>
        <v>4521.8164059999999</v>
      </c>
      <c r="R35" s="23">
        <f>'AEO 2023 Table 36 Raw'!U24</f>
        <v>4507.6464839999999</v>
      </c>
      <c r="S35" s="23">
        <f>'AEO 2023 Table 36 Raw'!V24</f>
        <v>4498.0512699999999</v>
      </c>
      <c r="T35" s="23">
        <f>'AEO 2023 Table 36 Raw'!W24</f>
        <v>4490.4604490000002</v>
      </c>
      <c r="U35" s="23">
        <f>'AEO 2023 Table 36 Raw'!X24</f>
        <v>4489.5615230000003</v>
      </c>
      <c r="V35" s="23">
        <f>'AEO 2023 Table 36 Raw'!Y24</f>
        <v>4492.7368159999996</v>
      </c>
      <c r="W35" s="23">
        <f>'AEO 2023 Table 36 Raw'!Z24</f>
        <v>4498.6596680000002</v>
      </c>
      <c r="X35" s="23">
        <f>'AEO 2023 Table 36 Raw'!AA24</f>
        <v>4504.6669920000004</v>
      </c>
      <c r="Y35" s="23">
        <f>'AEO 2023 Table 36 Raw'!AB24</f>
        <v>4509.3803710000002</v>
      </c>
      <c r="Z35" s="23">
        <f>'AEO 2023 Table 36 Raw'!AC24</f>
        <v>4511.908203</v>
      </c>
      <c r="AA35" s="23">
        <f>'AEO 2023 Table 36 Raw'!AD24</f>
        <v>4519.439453</v>
      </c>
      <c r="AB35" s="23">
        <f>'AEO 2023 Table 36 Raw'!AE24</f>
        <v>4527.9907229999999</v>
      </c>
      <c r="AC35" s="23">
        <f>'AEO 2023 Table 36 Raw'!AF24</f>
        <v>4531.3125</v>
      </c>
      <c r="AD35" s="23">
        <f>'AEO 2023 Table 36 Raw'!AG24</f>
        <v>4536.8085940000001</v>
      </c>
      <c r="AE35" s="23">
        <f>'AEO 2023 Table 36 Raw'!AH24</f>
        <v>4555.8002930000002</v>
      </c>
      <c r="AF35" s="28">
        <f>'AEO 2023 Table 36 Raw'!AI24</f>
        <v>-5.0000000000000001E-3</v>
      </c>
    </row>
    <row r="36" spans="1:32" ht="15" customHeight="1">
      <c r="A36" s="18" t="s">
        <v>766</v>
      </c>
      <c r="B36" s="21" t="s">
        <v>152</v>
      </c>
      <c r="C36" s="23">
        <f>'AEO 2023 Table 36 Raw'!F25</f>
        <v>51.344929</v>
      </c>
      <c r="D36" s="23">
        <f>'AEO 2023 Table 36 Raw'!G25</f>
        <v>51.773192999999999</v>
      </c>
      <c r="E36" s="23">
        <f>'AEO 2023 Table 36 Raw'!H25</f>
        <v>51.965775000000001</v>
      </c>
      <c r="F36" s="23">
        <f>'AEO 2023 Table 36 Raw'!I25</f>
        <v>52.061793999999999</v>
      </c>
      <c r="G36" s="23">
        <f>'AEO 2023 Table 36 Raw'!J25</f>
        <v>52.003608999999997</v>
      </c>
      <c r="H36" s="23">
        <f>'AEO 2023 Table 36 Raw'!K25</f>
        <v>51.453991000000002</v>
      </c>
      <c r="I36" s="23">
        <f>'AEO 2023 Table 36 Raw'!L25</f>
        <v>50.587242000000003</v>
      </c>
      <c r="J36" s="23">
        <f>'AEO 2023 Table 36 Raw'!M25</f>
        <v>49.357909999999997</v>
      </c>
      <c r="K36" s="23">
        <f>'AEO 2023 Table 36 Raw'!N25</f>
        <v>47.935226</v>
      </c>
      <c r="L36" s="23">
        <f>'AEO 2023 Table 36 Raw'!O25</f>
        <v>46.656028999999997</v>
      </c>
      <c r="M36" s="23">
        <f>'AEO 2023 Table 36 Raw'!P25</f>
        <v>45.774757000000001</v>
      </c>
      <c r="N36" s="23">
        <f>'AEO 2023 Table 36 Raw'!Q25</f>
        <v>45.265822999999997</v>
      </c>
      <c r="O36" s="23">
        <f>'AEO 2023 Table 36 Raw'!R25</f>
        <v>45.213749</v>
      </c>
      <c r="P36" s="23">
        <f>'AEO 2023 Table 36 Raw'!S25</f>
        <v>45.570152</v>
      </c>
      <c r="Q36" s="23">
        <f>'AEO 2023 Table 36 Raw'!T25</f>
        <v>46.181812000000001</v>
      </c>
      <c r="R36" s="23">
        <f>'AEO 2023 Table 36 Raw'!U25</f>
        <v>47.148071000000002</v>
      </c>
      <c r="S36" s="23">
        <f>'AEO 2023 Table 36 Raw'!V25</f>
        <v>48.373516000000002</v>
      </c>
      <c r="T36" s="23">
        <f>'AEO 2023 Table 36 Raw'!W25</f>
        <v>49.850357000000002</v>
      </c>
      <c r="U36" s="23">
        <f>'AEO 2023 Table 36 Raw'!X25</f>
        <v>51.657871</v>
      </c>
      <c r="V36" s="23">
        <f>'AEO 2023 Table 36 Raw'!Y25</f>
        <v>53.784999999999997</v>
      </c>
      <c r="W36" s="23">
        <f>'AEO 2023 Table 36 Raw'!Z25</f>
        <v>56.128627999999999</v>
      </c>
      <c r="X36" s="23">
        <f>'AEO 2023 Table 36 Raw'!AA25</f>
        <v>58.653038000000002</v>
      </c>
      <c r="Y36" s="23">
        <f>'AEO 2023 Table 36 Raw'!AB25</f>
        <v>61.322830000000003</v>
      </c>
      <c r="Z36" s="23">
        <f>'AEO 2023 Table 36 Raw'!AC25</f>
        <v>64.089225999999996</v>
      </c>
      <c r="AA36" s="23">
        <f>'AEO 2023 Table 36 Raw'!AD25</f>
        <v>67.060805999999999</v>
      </c>
      <c r="AB36" s="23">
        <f>'AEO 2023 Table 36 Raw'!AE25</f>
        <v>70.195708999999994</v>
      </c>
      <c r="AC36" s="23">
        <f>'AEO 2023 Table 36 Raw'!AF25</f>
        <v>73.347763</v>
      </c>
      <c r="AD36" s="23">
        <f>'AEO 2023 Table 36 Raw'!AG25</f>
        <v>76.647514000000001</v>
      </c>
      <c r="AE36" s="23">
        <f>'AEO 2023 Table 36 Raw'!AH25</f>
        <v>80.336478999999997</v>
      </c>
      <c r="AF36" s="28">
        <f>'AEO 2023 Table 36 Raw'!AI25</f>
        <v>1.6E-2</v>
      </c>
    </row>
    <row r="37" spans="1:32" ht="15" customHeight="1">
      <c r="A37" s="18" t="s">
        <v>767</v>
      </c>
      <c r="B37" s="21" t="s">
        <v>747</v>
      </c>
      <c r="C37" s="23">
        <f>'AEO 2023 Table 36 Raw'!F26</f>
        <v>1.2452650000000001</v>
      </c>
      <c r="D37" s="23">
        <f>'AEO 2023 Table 36 Raw'!G26</f>
        <v>1.3861779999999999</v>
      </c>
      <c r="E37" s="23">
        <f>'AEO 2023 Table 36 Raw'!H26</f>
        <v>1.5248809999999999</v>
      </c>
      <c r="F37" s="23">
        <f>'AEO 2023 Table 36 Raw'!I26</f>
        <v>1.6560079999999999</v>
      </c>
      <c r="G37" s="23">
        <f>'AEO 2023 Table 36 Raw'!J26</f>
        <v>1.7862659999999999</v>
      </c>
      <c r="H37" s="23">
        <f>'AEO 2023 Table 36 Raw'!K26</f>
        <v>1.903707</v>
      </c>
      <c r="I37" s="23">
        <f>'AEO 2023 Table 36 Raw'!L26</f>
        <v>2.0105780000000002</v>
      </c>
      <c r="J37" s="23">
        <f>'AEO 2023 Table 36 Raw'!M26</f>
        <v>2.0996890000000001</v>
      </c>
      <c r="K37" s="23">
        <f>'AEO 2023 Table 36 Raw'!N26</f>
        <v>2.1804990000000002</v>
      </c>
      <c r="L37" s="23">
        <f>'AEO 2023 Table 36 Raw'!O26</f>
        <v>2.2604649999999999</v>
      </c>
      <c r="M37" s="23">
        <f>'AEO 2023 Table 36 Raw'!P26</f>
        <v>2.3478089999999998</v>
      </c>
      <c r="N37" s="23">
        <f>'AEO 2023 Table 36 Raw'!Q26</f>
        <v>2.4404729999999999</v>
      </c>
      <c r="O37" s="23">
        <f>'AEO 2023 Table 36 Raw'!R26</f>
        <v>2.5412210000000002</v>
      </c>
      <c r="P37" s="23">
        <f>'AEO 2023 Table 36 Raw'!S26</f>
        <v>2.6449829999999999</v>
      </c>
      <c r="Q37" s="23">
        <f>'AEO 2023 Table 36 Raw'!T26</f>
        <v>2.752405</v>
      </c>
      <c r="R37" s="23">
        <f>'AEO 2023 Table 36 Raw'!U26</f>
        <v>2.87385</v>
      </c>
      <c r="S37" s="23">
        <f>'AEO 2023 Table 36 Raw'!V26</f>
        <v>3.004591</v>
      </c>
      <c r="T37" s="23">
        <f>'AEO 2023 Table 36 Raw'!W26</f>
        <v>3.1495850000000001</v>
      </c>
      <c r="U37" s="23">
        <f>'AEO 2023 Table 36 Raw'!X26</f>
        <v>3.3139080000000001</v>
      </c>
      <c r="V37" s="23">
        <f>'AEO 2023 Table 36 Raw'!Y26</f>
        <v>3.5006020000000002</v>
      </c>
      <c r="W37" s="23">
        <f>'AEO 2023 Table 36 Raw'!Z26</f>
        <v>3.7020719999999998</v>
      </c>
      <c r="X37" s="23">
        <f>'AEO 2023 Table 36 Raw'!AA26</f>
        <v>3.9170069999999999</v>
      </c>
      <c r="Y37" s="23">
        <f>'AEO 2023 Table 36 Raw'!AB26</f>
        <v>4.1414160000000004</v>
      </c>
      <c r="Z37" s="23">
        <f>'AEO 2023 Table 36 Raw'!AC26</f>
        <v>4.3768849999999997</v>
      </c>
      <c r="AA37" s="23">
        <f>'AEO 2023 Table 36 Raw'!AD26</f>
        <v>4.632447</v>
      </c>
      <c r="AB37" s="23">
        <f>'AEO 2023 Table 36 Raw'!AE26</f>
        <v>4.9017460000000002</v>
      </c>
      <c r="AC37" s="23">
        <f>'AEO 2023 Table 36 Raw'!AF26</f>
        <v>5.1746309999999998</v>
      </c>
      <c r="AD37" s="23">
        <f>'AEO 2023 Table 36 Raw'!AG26</f>
        <v>5.4474770000000001</v>
      </c>
      <c r="AE37" s="23">
        <f>'AEO 2023 Table 36 Raw'!AH26</f>
        <v>5.7450359999999998</v>
      </c>
      <c r="AF37" s="28">
        <f>'AEO 2023 Table 36 Raw'!AI26</f>
        <v>5.6000000000000001E-2</v>
      </c>
    </row>
    <row r="38" spans="1:32" ht="15" customHeight="1">
      <c r="A38" s="18" t="s">
        <v>768</v>
      </c>
      <c r="B38" s="21" t="s">
        <v>94</v>
      </c>
      <c r="C38" s="23">
        <f>'AEO 2023 Table 36 Raw'!F27</f>
        <v>1.575329</v>
      </c>
      <c r="D38" s="23">
        <f>'AEO 2023 Table 36 Raw'!G27</f>
        <v>1.59209</v>
      </c>
      <c r="E38" s="23">
        <f>'AEO 2023 Table 36 Raw'!H27</f>
        <v>1.542675</v>
      </c>
      <c r="F38" s="23">
        <f>'AEO 2023 Table 36 Raw'!I27</f>
        <v>1.6006830000000001</v>
      </c>
      <c r="G38" s="23">
        <f>'AEO 2023 Table 36 Raw'!J27</f>
        <v>1.6393420000000001</v>
      </c>
      <c r="H38" s="23">
        <f>'AEO 2023 Table 36 Raw'!K27</f>
        <v>1.678971</v>
      </c>
      <c r="I38" s="23">
        <f>'AEO 2023 Table 36 Raw'!L27</f>
        <v>1.7193179999999999</v>
      </c>
      <c r="J38" s="23">
        <f>'AEO 2023 Table 36 Raw'!M27</f>
        <v>1.762707</v>
      </c>
      <c r="K38" s="23">
        <f>'AEO 2023 Table 36 Raw'!N27</f>
        <v>1.813895</v>
      </c>
      <c r="L38" s="23">
        <f>'AEO 2023 Table 36 Raw'!O27</f>
        <v>1.879181</v>
      </c>
      <c r="M38" s="23">
        <f>'AEO 2023 Table 36 Raw'!P27</f>
        <v>1.9543600000000001</v>
      </c>
      <c r="N38" s="23">
        <f>'AEO 2023 Table 36 Raw'!Q27</f>
        <v>2.0339360000000002</v>
      </c>
      <c r="O38" s="23">
        <f>'AEO 2023 Table 36 Raw'!R27</f>
        <v>2.113308</v>
      </c>
      <c r="P38" s="23">
        <f>'AEO 2023 Table 36 Raw'!S27</f>
        <v>2.196958</v>
      </c>
      <c r="Q38" s="23">
        <f>'AEO 2023 Table 36 Raw'!T27</f>
        <v>2.2686670000000002</v>
      </c>
      <c r="R38" s="23">
        <f>'AEO 2023 Table 36 Raw'!U27</f>
        <v>2.3534449999999998</v>
      </c>
      <c r="S38" s="23">
        <f>'AEO 2023 Table 36 Raw'!V27</f>
        <v>2.433783</v>
      </c>
      <c r="T38" s="23">
        <f>'AEO 2023 Table 36 Raw'!W27</f>
        <v>2.5157970000000001</v>
      </c>
      <c r="U38" s="23">
        <f>'AEO 2023 Table 36 Raw'!X27</f>
        <v>2.6119849999999998</v>
      </c>
      <c r="V38" s="23">
        <f>'AEO 2023 Table 36 Raw'!Y27</f>
        <v>2.7199399999999998</v>
      </c>
      <c r="W38" s="23">
        <f>'AEO 2023 Table 36 Raw'!Z27</f>
        <v>2.8330769999999998</v>
      </c>
      <c r="X38" s="23">
        <f>'AEO 2023 Table 36 Raw'!AA27</f>
        <v>2.961128</v>
      </c>
      <c r="Y38" s="23">
        <f>'AEO 2023 Table 36 Raw'!AB27</f>
        <v>3.087059</v>
      </c>
      <c r="Z38" s="23">
        <f>'AEO 2023 Table 36 Raw'!AC27</f>
        <v>3.2187969999999999</v>
      </c>
      <c r="AA38" s="23">
        <f>'AEO 2023 Table 36 Raw'!AD27</f>
        <v>3.346063</v>
      </c>
      <c r="AB38" s="23">
        <f>'AEO 2023 Table 36 Raw'!AE27</f>
        <v>3.488648</v>
      </c>
      <c r="AC38" s="23">
        <f>'AEO 2023 Table 36 Raw'!AF27</f>
        <v>3.6174729999999999</v>
      </c>
      <c r="AD38" s="23">
        <f>'AEO 2023 Table 36 Raw'!AG27</f>
        <v>3.75576</v>
      </c>
      <c r="AE38" s="23">
        <f>'AEO 2023 Table 36 Raw'!AH27</f>
        <v>3.8951479999999998</v>
      </c>
      <c r="AF38" s="28">
        <f>'AEO 2023 Table 36 Raw'!AI27</f>
        <v>3.3000000000000002E-2</v>
      </c>
    </row>
    <row r="39" spans="1:32" ht="15" customHeight="1">
      <c r="A39" s="18" t="s">
        <v>769</v>
      </c>
      <c r="B39" s="21" t="s">
        <v>749</v>
      </c>
      <c r="C39" s="23">
        <f>'AEO 2023 Table 36 Raw'!F28</f>
        <v>9.0132000000000004E-2</v>
      </c>
      <c r="D39" s="23">
        <f>'AEO 2023 Table 36 Raw'!G28</f>
        <v>0.10914600000000001</v>
      </c>
      <c r="E39" s="23">
        <f>'AEO 2023 Table 36 Raw'!H28</f>
        <v>0.14400499999999999</v>
      </c>
      <c r="F39" s="23">
        <f>'AEO 2023 Table 36 Raw'!I28</f>
        <v>0.16340499999999999</v>
      </c>
      <c r="G39" s="23">
        <f>'AEO 2023 Table 36 Raw'!J28</f>
        <v>0.180895</v>
      </c>
      <c r="H39" s="23">
        <f>'AEO 2023 Table 36 Raw'!K28</f>
        <v>0.19575699999999999</v>
      </c>
      <c r="I39" s="23">
        <f>'AEO 2023 Table 36 Raw'!L28</f>
        <v>0.20827399999999999</v>
      </c>
      <c r="J39" s="23">
        <f>'AEO 2023 Table 36 Raw'!M28</f>
        <v>0.21801599999999999</v>
      </c>
      <c r="K39" s="23">
        <f>'AEO 2023 Table 36 Raw'!N28</f>
        <v>0.225574</v>
      </c>
      <c r="L39" s="23">
        <f>'AEO 2023 Table 36 Raw'!O28</f>
        <v>0.231714</v>
      </c>
      <c r="M39" s="23">
        <f>'AEO 2023 Table 36 Raw'!P28</f>
        <v>0.23694499999999999</v>
      </c>
      <c r="N39" s="23">
        <f>'AEO 2023 Table 36 Raw'!Q28</f>
        <v>0.240285</v>
      </c>
      <c r="O39" s="23">
        <f>'AEO 2023 Table 36 Raw'!R28</f>
        <v>0.24247299999999999</v>
      </c>
      <c r="P39" s="23">
        <f>'AEO 2023 Table 36 Raw'!S28</f>
        <v>0.244232</v>
      </c>
      <c r="Q39" s="23">
        <f>'AEO 2023 Table 36 Raw'!T28</f>
        <v>0.245169</v>
      </c>
      <c r="R39" s="23">
        <f>'AEO 2023 Table 36 Raw'!U28</f>
        <v>0.24673500000000001</v>
      </c>
      <c r="S39" s="23">
        <f>'AEO 2023 Table 36 Raw'!V28</f>
        <v>0.24945500000000001</v>
      </c>
      <c r="T39" s="23">
        <f>'AEO 2023 Table 36 Raw'!W28</f>
        <v>0.25267000000000001</v>
      </c>
      <c r="U39" s="23">
        <f>'AEO 2023 Table 36 Raw'!X28</f>
        <v>0.25714399999999998</v>
      </c>
      <c r="V39" s="23">
        <f>'AEO 2023 Table 36 Raw'!Y28</f>
        <v>0.26399899999999998</v>
      </c>
      <c r="W39" s="23">
        <f>'AEO 2023 Table 36 Raw'!Z28</f>
        <v>0.27311400000000002</v>
      </c>
      <c r="X39" s="23">
        <f>'AEO 2023 Table 36 Raw'!AA28</f>
        <v>0.28285100000000002</v>
      </c>
      <c r="Y39" s="23">
        <f>'AEO 2023 Table 36 Raw'!AB28</f>
        <v>0.293846</v>
      </c>
      <c r="Z39" s="23">
        <f>'AEO 2023 Table 36 Raw'!AC28</f>
        <v>0.30659700000000001</v>
      </c>
      <c r="AA39" s="23">
        <f>'AEO 2023 Table 36 Raw'!AD28</f>
        <v>0.32178200000000001</v>
      </c>
      <c r="AB39" s="23">
        <f>'AEO 2023 Table 36 Raw'!AE28</f>
        <v>0.33802500000000002</v>
      </c>
      <c r="AC39" s="23">
        <f>'AEO 2023 Table 36 Raw'!AF28</f>
        <v>0.35486499999999999</v>
      </c>
      <c r="AD39" s="23">
        <f>'AEO 2023 Table 36 Raw'!AG28</f>
        <v>0.37290400000000001</v>
      </c>
      <c r="AE39" s="23">
        <f>'AEO 2023 Table 36 Raw'!AH28</f>
        <v>0.39289000000000002</v>
      </c>
      <c r="AF39" s="28">
        <f>'AEO 2023 Table 36 Raw'!AI28</f>
        <v>5.3999999999999999E-2</v>
      </c>
    </row>
    <row r="40" spans="1:32" ht="15" customHeight="1">
      <c r="A40" s="18" t="s">
        <v>770</v>
      </c>
      <c r="B40" s="21" t="s">
        <v>751</v>
      </c>
      <c r="C40" s="23">
        <f>'AEO 2023 Table 36 Raw'!F29</f>
        <v>0</v>
      </c>
      <c r="D40" s="23">
        <f>'AEO 2023 Table 36 Raw'!G29</f>
        <v>0</v>
      </c>
      <c r="E40" s="23">
        <f>'AEO 2023 Table 36 Raw'!H29</f>
        <v>0.22972699999999999</v>
      </c>
      <c r="F40" s="23">
        <f>'AEO 2023 Table 36 Raw'!I29</f>
        <v>0.44725199999999998</v>
      </c>
      <c r="G40" s="23">
        <f>'AEO 2023 Table 36 Raw'!J29</f>
        <v>0.66231200000000001</v>
      </c>
      <c r="H40" s="23">
        <f>'AEO 2023 Table 36 Raw'!K29</f>
        <v>0.87751500000000004</v>
      </c>
      <c r="I40" s="23">
        <f>'AEO 2023 Table 36 Raw'!L29</f>
        <v>1.0912500000000001</v>
      </c>
      <c r="J40" s="23">
        <f>'AEO 2023 Table 36 Raw'!M29</f>
        <v>1.2990360000000001</v>
      </c>
      <c r="K40" s="23">
        <f>'AEO 2023 Table 36 Raw'!N29</f>
        <v>1.5006790000000001</v>
      </c>
      <c r="L40" s="23">
        <f>'AEO 2023 Table 36 Raw'!O29</f>
        <v>1.7007650000000001</v>
      </c>
      <c r="M40" s="23">
        <f>'AEO 2023 Table 36 Raw'!P29</f>
        <v>1.904776</v>
      </c>
      <c r="N40" s="23">
        <f>'AEO 2023 Table 36 Raw'!Q29</f>
        <v>2.1047159999999998</v>
      </c>
      <c r="O40" s="23">
        <f>'AEO 2023 Table 36 Raw'!R29</f>
        <v>2.3014619999999999</v>
      </c>
      <c r="P40" s="23">
        <f>'AEO 2023 Table 36 Raw'!S29</f>
        <v>2.4959410000000002</v>
      </c>
      <c r="Q40" s="23">
        <f>'AEO 2023 Table 36 Raw'!T29</f>
        <v>2.6833969999999998</v>
      </c>
      <c r="R40" s="23">
        <f>'AEO 2023 Table 36 Raw'!U29</f>
        <v>2.8711519999999999</v>
      </c>
      <c r="S40" s="23">
        <f>'AEO 2023 Table 36 Raw'!V29</f>
        <v>3.0575350000000001</v>
      </c>
      <c r="T40" s="23">
        <f>'AEO 2023 Table 36 Raw'!W29</f>
        <v>3.245911</v>
      </c>
      <c r="U40" s="23">
        <f>'AEO 2023 Table 36 Raw'!X29</f>
        <v>3.4448439999999998</v>
      </c>
      <c r="V40" s="23">
        <f>'AEO 2023 Table 36 Raw'!Y29</f>
        <v>3.6585719999999999</v>
      </c>
      <c r="W40" s="23">
        <f>'AEO 2023 Table 36 Raw'!Z29</f>
        <v>3.886771</v>
      </c>
      <c r="X40" s="23">
        <f>'AEO 2023 Table 36 Raw'!AA29</f>
        <v>4.1203969999999996</v>
      </c>
      <c r="Y40" s="23">
        <f>'AEO 2023 Table 36 Raw'!AB29</f>
        <v>4.3612700000000002</v>
      </c>
      <c r="Z40" s="23">
        <f>'AEO 2023 Table 36 Raw'!AC29</f>
        <v>4.6121660000000002</v>
      </c>
      <c r="AA40" s="23">
        <f>'AEO 2023 Table 36 Raw'!AD29</f>
        <v>4.8889959999999997</v>
      </c>
      <c r="AB40" s="23">
        <f>'AEO 2023 Table 36 Raw'!AE29</f>
        <v>5.184831</v>
      </c>
      <c r="AC40" s="23">
        <f>'AEO 2023 Table 36 Raw'!AF29</f>
        <v>5.4921150000000001</v>
      </c>
      <c r="AD40" s="23">
        <f>'AEO 2023 Table 36 Raw'!AG29</f>
        <v>5.8197830000000002</v>
      </c>
      <c r="AE40" s="23">
        <f>'AEO 2023 Table 36 Raw'!AH29</f>
        <v>6.1840799999999998</v>
      </c>
      <c r="AF40" s="28" t="str">
        <f>'AEO 2023 Table 36 Raw'!AI29</f>
        <v>- -</v>
      </c>
    </row>
    <row r="41" spans="1:32" ht="12" customHeight="1">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8"/>
    </row>
    <row r="42" spans="1:32" ht="12" customHeight="1">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8"/>
    </row>
    <row r="43" spans="1:32" ht="15" customHeight="1">
      <c r="A43" s="18" t="s">
        <v>771</v>
      </c>
      <c r="B43" s="20" t="s">
        <v>772</v>
      </c>
      <c r="C43" s="23">
        <f>'AEO 2023 Table 36 Raw'!F30</f>
        <v>481.38171399999999</v>
      </c>
      <c r="D43" s="23">
        <f>'AEO 2023 Table 36 Raw'!G30</f>
        <v>474.82238799999999</v>
      </c>
      <c r="E43" s="23">
        <f>'AEO 2023 Table 36 Raw'!H30</f>
        <v>494.12914999999998</v>
      </c>
      <c r="F43" s="23">
        <f>'AEO 2023 Table 36 Raw'!I30</f>
        <v>482.20422400000001</v>
      </c>
      <c r="G43" s="23">
        <f>'AEO 2023 Table 36 Raw'!J30</f>
        <v>461.88034099999999</v>
      </c>
      <c r="H43" s="23">
        <f>'AEO 2023 Table 36 Raw'!K30</f>
        <v>446.09524499999998</v>
      </c>
      <c r="I43" s="23">
        <f>'AEO 2023 Table 36 Raw'!L30</f>
        <v>439.745361</v>
      </c>
      <c r="J43" s="23">
        <f>'AEO 2023 Table 36 Raw'!M30</f>
        <v>444.52569599999998</v>
      </c>
      <c r="K43" s="23">
        <f>'AEO 2023 Table 36 Raw'!N30</f>
        <v>441.89193699999998</v>
      </c>
      <c r="L43" s="23">
        <f>'AEO 2023 Table 36 Raw'!O30</f>
        <v>443.42330900000002</v>
      </c>
      <c r="M43" s="23">
        <f>'AEO 2023 Table 36 Raw'!P30</f>
        <v>447.43722500000001</v>
      </c>
      <c r="N43" s="23">
        <f>'AEO 2023 Table 36 Raw'!Q30</f>
        <v>450.64798000000002</v>
      </c>
      <c r="O43" s="23">
        <f>'AEO 2023 Table 36 Raw'!R30</f>
        <v>452.66558800000001</v>
      </c>
      <c r="P43" s="23">
        <f>'AEO 2023 Table 36 Raw'!S30</f>
        <v>455.51504499999999</v>
      </c>
      <c r="Q43" s="23">
        <f>'AEO 2023 Table 36 Raw'!T30</f>
        <v>455.89370700000001</v>
      </c>
      <c r="R43" s="23">
        <f>'AEO 2023 Table 36 Raw'!U30</f>
        <v>456.86227400000001</v>
      </c>
      <c r="S43" s="23">
        <f>'AEO 2023 Table 36 Raw'!V30</f>
        <v>458.27462800000001</v>
      </c>
      <c r="T43" s="23">
        <f>'AEO 2023 Table 36 Raw'!W30</f>
        <v>457.60876500000001</v>
      </c>
      <c r="U43" s="23">
        <f>'AEO 2023 Table 36 Raw'!X30</f>
        <v>458.12835699999999</v>
      </c>
      <c r="V43" s="23">
        <f>'AEO 2023 Table 36 Raw'!Y30</f>
        <v>461.673248</v>
      </c>
      <c r="W43" s="23">
        <f>'AEO 2023 Table 36 Raw'!Z30</f>
        <v>464.588348</v>
      </c>
      <c r="X43" s="23">
        <f>'AEO 2023 Table 36 Raw'!AA30</f>
        <v>464.93649299999998</v>
      </c>
      <c r="Y43" s="23">
        <f>'AEO 2023 Table 36 Raw'!AB30</f>
        <v>464.922821</v>
      </c>
      <c r="Z43" s="23">
        <f>'AEO 2023 Table 36 Raw'!AC30</f>
        <v>464.770691</v>
      </c>
      <c r="AA43" s="23">
        <f>'AEO 2023 Table 36 Raw'!AD30</f>
        <v>465.76678500000003</v>
      </c>
      <c r="AB43" s="23">
        <f>'AEO 2023 Table 36 Raw'!AE30</f>
        <v>468.15533399999998</v>
      </c>
      <c r="AC43" s="23">
        <f>'AEO 2023 Table 36 Raw'!AF30</f>
        <v>471.33984400000003</v>
      </c>
      <c r="AD43" s="23">
        <f>'AEO 2023 Table 36 Raw'!AG30</f>
        <v>472.59906000000001</v>
      </c>
      <c r="AE43" s="23">
        <f>'AEO 2023 Table 36 Raw'!AH30</f>
        <v>475.72866800000003</v>
      </c>
      <c r="AF43" s="28">
        <f>'AEO 2023 Table 36 Raw'!AI30</f>
        <v>0</v>
      </c>
    </row>
    <row r="44" spans="1:32" ht="15" customHeight="1">
      <c r="A44" s="18" t="s">
        <v>773</v>
      </c>
      <c r="B44" s="21" t="s">
        <v>744</v>
      </c>
      <c r="C44" s="23">
        <f>'AEO 2023 Table 36 Raw'!F31</f>
        <v>480.86654700000003</v>
      </c>
      <c r="D44" s="23">
        <f>'AEO 2023 Table 36 Raw'!G31</f>
        <v>473.79251099999999</v>
      </c>
      <c r="E44" s="23">
        <f>'AEO 2023 Table 36 Raw'!H31</f>
        <v>492.51501500000001</v>
      </c>
      <c r="F44" s="23">
        <f>'AEO 2023 Table 36 Raw'!I31</f>
        <v>480.10034200000001</v>
      </c>
      <c r="G44" s="23">
        <f>'AEO 2023 Table 36 Raw'!J31</f>
        <v>459.17535400000003</v>
      </c>
      <c r="H44" s="23">
        <f>'AEO 2023 Table 36 Raw'!K31</f>
        <v>442.59573399999999</v>
      </c>
      <c r="I44" s="23">
        <f>'AEO 2023 Table 36 Raw'!L31</f>
        <v>435.204926</v>
      </c>
      <c r="J44" s="23">
        <f>'AEO 2023 Table 36 Raw'!M31</f>
        <v>438.61608899999999</v>
      </c>
      <c r="K44" s="23">
        <f>'AEO 2023 Table 36 Raw'!N31</f>
        <v>434.49127199999998</v>
      </c>
      <c r="L44" s="23">
        <f>'AEO 2023 Table 36 Raw'!O31</f>
        <v>434.25302099999999</v>
      </c>
      <c r="M44" s="23">
        <f>'AEO 2023 Table 36 Raw'!P31</f>
        <v>435.99301100000002</v>
      </c>
      <c r="N44" s="23">
        <f>'AEO 2023 Table 36 Raw'!Q31</f>
        <v>436.48690800000003</v>
      </c>
      <c r="O44" s="23">
        <f>'AEO 2023 Table 36 Raw'!R31</f>
        <v>435.37204000000003</v>
      </c>
      <c r="P44" s="23">
        <f>'AEO 2023 Table 36 Raw'!S31</f>
        <v>434.60772700000001</v>
      </c>
      <c r="Q44" s="23">
        <f>'AEO 2023 Table 36 Raw'!T31</f>
        <v>431.05429099999998</v>
      </c>
      <c r="R44" s="23">
        <f>'AEO 2023 Table 36 Raw'!U31</f>
        <v>427.65039100000001</v>
      </c>
      <c r="S44" s="23">
        <f>'AEO 2023 Table 36 Raw'!V31</f>
        <v>424.25372299999998</v>
      </c>
      <c r="T44" s="23">
        <f>'AEO 2023 Table 36 Raw'!W31</f>
        <v>418.55365</v>
      </c>
      <c r="U44" s="23">
        <f>'AEO 2023 Table 36 Raw'!X31</f>
        <v>413.58151199999998</v>
      </c>
      <c r="V44" s="23">
        <f>'AEO 2023 Table 36 Raw'!Y31</f>
        <v>410.946777</v>
      </c>
      <c r="W44" s="23">
        <f>'AEO 2023 Table 36 Raw'!Z31</f>
        <v>407.33846999999997</v>
      </c>
      <c r="X44" s="23">
        <f>'AEO 2023 Table 36 Raw'!AA31</f>
        <v>401.121399</v>
      </c>
      <c r="Y44" s="23">
        <f>'AEO 2023 Table 36 Raw'!AB31</f>
        <v>394.29074100000003</v>
      </c>
      <c r="Z44" s="23">
        <f>'AEO 2023 Table 36 Raw'!AC31</f>
        <v>387.06680299999999</v>
      </c>
      <c r="AA44" s="23">
        <f>'AEO 2023 Table 36 Raw'!AD31</f>
        <v>380.52633700000001</v>
      </c>
      <c r="AB44" s="23">
        <f>'AEO 2023 Table 36 Raw'!AE31</f>
        <v>373.70101899999997</v>
      </c>
      <c r="AC44" s="23">
        <f>'AEO 2023 Table 36 Raw'!AF31</f>
        <v>367.609375</v>
      </c>
      <c r="AD44" s="23">
        <f>'AEO 2023 Table 36 Raw'!AG31</f>
        <v>360.13336199999998</v>
      </c>
      <c r="AE44" s="23">
        <f>'AEO 2023 Table 36 Raw'!AH31</f>
        <v>354.19946299999998</v>
      </c>
      <c r="AF44" s="28">
        <f>'AEO 2023 Table 36 Raw'!AI31</f>
        <v>-1.0999999999999999E-2</v>
      </c>
    </row>
    <row r="45" spans="1:32" ht="15" customHeight="1">
      <c r="A45" s="18" t="s">
        <v>774</v>
      </c>
      <c r="B45" s="21" t="s">
        <v>775</v>
      </c>
      <c r="C45" s="23">
        <f>'AEO 2023 Table 36 Raw'!F32</f>
        <v>0</v>
      </c>
      <c r="D45" s="23">
        <f>'AEO 2023 Table 36 Raw'!G32</f>
        <v>0</v>
      </c>
      <c r="E45" s="23">
        <f>'AEO 2023 Table 36 Raw'!H32</f>
        <v>0</v>
      </c>
      <c r="F45" s="23">
        <f>'AEO 2023 Table 36 Raw'!I32</f>
        <v>0</v>
      </c>
      <c r="G45" s="23">
        <f>'AEO 2023 Table 36 Raw'!J32</f>
        <v>0</v>
      </c>
      <c r="H45" s="23">
        <f>'AEO 2023 Table 36 Raw'!K32</f>
        <v>0</v>
      </c>
      <c r="I45" s="23">
        <f>'AEO 2023 Table 36 Raw'!L32</f>
        <v>0</v>
      </c>
      <c r="J45" s="23">
        <f>'AEO 2023 Table 36 Raw'!M32</f>
        <v>0</v>
      </c>
      <c r="K45" s="23">
        <f>'AEO 2023 Table 36 Raw'!N32</f>
        <v>0</v>
      </c>
      <c r="L45" s="23">
        <f>'AEO 2023 Table 36 Raw'!O32</f>
        <v>0</v>
      </c>
      <c r="M45" s="23">
        <f>'AEO 2023 Table 36 Raw'!P32</f>
        <v>0</v>
      </c>
      <c r="N45" s="23">
        <f>'AEO 2023 Table 36 Raw'!Q32</f>
        <v>0</v>
      </c>
      <c r="O45" s="23">
        <f>'AEO 2023 Table 36 Raw'!R32</f>
        <v>0</v>
      </c>
      <c r="P45" s="23">
        <f>'AEO 2023 Table 36 Raw'!S32</f>
        <v>0</v>
      </c>
      <c r="Q45" s="23">
        <f>'AEO 2023 Table 36 Raw'!T32</f>
        <v>0</v>
      </c>
      <c r="R45" s="23">
        <f>'AEO 2023 Table 36 Raw'!U32</f>
        <v>0</v>
      </c>
      <c r="S45" s="23">
        <f>'AEO 2023 Table 36 Raw'!V32</f>
        <v>0</v>
      </c>
      <c r="T45" s="23">
        <f>'AEO 2023 Table 36 Raw'!W32</f>
        <v>0</v>
      </c>
      <c r="U45" s="23">
        <f>'AEO 2023 Table 36 Raw'!X32</f>
        <v>0</v>
      </c>
      <c r="V45" s="23">
        <f>'AEO 2023 Table 36 Raw'!Y32</f>
        <v>0</v>
      </c>
      <c r="W45" s="23">
        <f>'AEO 2023 Table 36 Raw'!Z32</f>
        <v>0</v>
      </c>
      <c r="X45" s="23">
        <f>'AEO 2023 Table 36 Raw'!AA32</f>
        <v>0</v>
      </c>
      <c r="Y45" s="23">
        <f>'AEO 2023 Table 36 Raw'!AB32</f>
        <v>0</v>
      </c>
      <c r="Z45" s="23">
        <f>'AEO 2023 Table 36 Raw'!AC32</f>
        <v>0</v>
      </c>
      <c r="AA45" s="23">
        <f>'AEO 2023 Table 36 Raw'!AD32</f>
        <v>0</v>
      </c>
      <c r="AB45" s="23">
        <f>'AEO 2023 Table 36 Raw'!AE32</f>
        <v>0</v>
      </c>
      <c r="AC45" s="23">
        <f>'AEO 2023 Table 36 Raw'!AF32</f>
        <v>0</v>
      </c>
      <c r="AD45" s="23">
        <f>'AEO 2023 Table 36 Raw'!AG32</f>
        <v>0</v>
      </c>
      <c r="AE45" s="23">
        <f>'AEO 2023 Table 36 Raw'!AH32</f>
        <v>0</v>
      </c>
      <c r="AF45" s="28" t="str">
        <f>'AEO 2023 Table 36 Raw'!AI32</f>
        <v>- -</v>
      </c>
    </row>
    <row r="46" spans="1:32" ht="15" customHeight="1">
      <c r="A46" s="18" t="s">
        <v>776</v>
      </c>
      <c r="B46" s="21" t="s">
        <v>777</v>
      </c>
      <c r="C46" s="23">
        <f>'AEO 2023 Table 36 Raw'!F33</f>
        <v>0</v>
      </c>
      <c r="D46" s="23">
        <f>'AEO 2023 Table 36 Raw'!G33</f>
        <v>0</v>
      </c>
      <c r="E46" s="23">
        <f>'AEO 2023 Table 36 Raw'!H33</f>
        <v>0</v>
      </c>
      <c r="F46" s="23">
        <f>'AEO 2023 Table 36 Raw'!I33</f>
        <v>0</v>
      </c>
      <c r="G46" s="23">
        <f>'AEO 2023 Table 36 Raw'!J33</f>
        <v>0</v>
      </c>
      <c r="H46" s="23">
        <f>'AEO 2023 Table 36 Raw'!K33</f>
        <v>0</v>
      </c>
      <c r="I46" s="23">
        <f>'AEO 2023 Table 36 Raw'!L33</f>
        <v>0</v>
      </c>
      <c r="J46" s="23">
        <f>'AEO 2023 Table 36 Raw'!M33</f>
        <v>0</v>
      </c>
      <c r="K46" s="23">
        <f>'AEO 2023 Table 36 Raw'!N33</f>
        <v>0</v>
      </c>
      <c r="L46" s="23">
        <f>'AEO 2023 Table 36 Raw'!O33</f>
        <v>0</v>
      </c>
      <c r="M46" s="23">
        <f>'AEO 2023 Table 36 Raw'!P33</f>
        <v>0</v>
      </c>
      <c r="N46" s="23">
        <f>'AEO 2023 Table 36 Raw'!Q33</f>
        <v>0</v>
      </c>
      <c r="O46" s="23">
        <f>'AEO 2023 Table 36 Raw'!R33</f>
        <v>0</v>
      </c>
      <c r="P46" s="23">
        <f>'AEO 2023 Table 36 Raw'!S33</f>
        <v>0</v>
      </c>
      <c r="Q46" s="23">
        <f>'AEO 2023 Table 36 Raw'!T33</f>
        <v>0</v>
      </c>
      <c r="R46" s="23">
        <f>'AEO 2023 Table 36 Raw'!U33</f>
        <v>0</v>
      </c>
      <c r="S46" s="23">
        <f>'AEO 2023 Table 36 Raw'!V33</f>
        <v>0</v>
      </c>
      <c r="T46" s="23">
        <f>'AEO 2023 Table 36 Raw'!W33</f>
        <v>0</v>
      </c>
      <c r="U46" s="23">
        <f>'AEO 2023 Table 36 Raw'!X33</f>
        <v>0</v>
      </c>
      <c r="V46" s="23">
        <f>'AEO 2023 Table 36 Raw'!Y33</f>
        <v>0</v>
      </c>
      <c r="W46" s="23">
        <f>'AEO 2023 Table 36 Raw'!Z33</f>
        <v>0</v>
      </c>
      <c r="X46" s="23">
        <f>'AEO 2023 Table 36 Raw'!AA33</f>
        <v>0</v>
      </c>
      <c r="Y46" s="23">
        <f>'AEO 2023 Table 36 Raw'!AB33</f>
        <v>0</v>
      </c>
      <c r="Z46" s="23">
        <f>'AEO 2023 Table 36 Raw'!AC33</f>
        <v>0</v>
      </c>
      <c r="AA46" s="23">
        <f>'AEO 2023 Table 36 Raw'!AD33</f>
        <v>0</v>
      </c>
      <c r="AB46" s="23">
        <f>'AEO 2023 Table 36 Raw'!AE33</f>
        <v>0</v>
      </c>
      <c r="AC46" s="23">
        <f>'AEO 2023 Table 36 Raw'!AF33</f>
        <v>0</v>
      </c>
      <c r="AD46" s="23">
        <f>'AEO 2023 Table 36 Raw'!AG33</f>
        <v>0</v>
      </c>
      <c r="AE46" s="23">
        <f>'AEO 2023 Table 36 Raw'!AH33</f>
        <v>0</v>
      </c>
      <c r="AF46" s="28" t="str">
        <f>'AEO 2023 Table 36 Raw'!AI33</f>
        <v>- -</v>
      </c>
    </row>
    <row r="47" spans="1:32" ht="15" customHeight="1">
      <c r="A47" s="18" t="s">
        <v>778</v>
      </c>
      <c r="B47" s="21" t="s">
        <v>779</v>
      </c>
      <c r="C47" s="23">
        <f>'AEO 2023 Table 36 Raw'!F34</f>
        <v>0.51516300000000004</v>
      </c>
      <c r="D47" s="23">
        <f>'AEO 2023 Table 36 Raw'!G34</f>
        <v>1.02989</v>
      </c>
      <c r="E47" s="23">
        <f>'AEO 2023 Table 36 Raw'!H34</f>
        <v>1.6141289999999999</v>
      </c>
      <c r="F47" s="23">
        <f>'AEO 2023 Table 36 Raw'!I34</f>
        <v>2.1038670000000002</v>
      </c>
      <c r="G47" s="23">
        <f>'AEO 2023 Table 36 Raw'!J34</f>
        <v>2.7049910000000001</v>
      </c>
      <c r="H47" s="23">
        <f>'AEO 2023 Table 36 Raw'!K34</f>
        <v>3.499511</v>
      </c>
      <c r="I47" s="23">
        <f>'AEO 2023 Table 36 Raw'!L34</f>
        <v>4.5404369999999998</v>
      </c>
      <c r="J47" s="23">
        <f>'AEO 2023 Table 36 Raw'!M34</f>
        <v>5.9096029999999997</v>
      </c>
      <c r="K47" s="23">
        <f>'AEO 2023 Table 36 Raw'!N34</f>
        <v>7.4006509999999999</v>
      </c>
      <c r="L47" s="23">
        <f>'AEO 2023 Table 36 Raw'!O34</f>
        <v>9.1702840000000005</v>
      </c>
      <c r="M47" s="23">
        <f>'AEO 2023 Table 36 Raw'!P34</f>
        <v>11.444215</v>
      </c>
      <c r="N47" s="23">
        <f>'AEO 2023 Table 36 Raw'!Q34</f>
        <v>14.161068</v>
      </c>
      <c r="O47" s="23">
        <f>'AEO 2023 Table 36 Raw'!R34</f>
        <v>17.293554</v>
      </c>
      <c r="P47" s="23">
        <f>'AEO 2023 Table 36 Raw'!S34</f>
        <v>20.907318</v>
      </c>
      <c r="Q47" s="23">
        <f>'AEO 2023 Table 36 Raw'!T34</f>
        <v>24.839417000000001</v>
      </c>
      <c r="R47" s="23">
        <f>'AEO 2023 Table 36 Raw'!U34</f>
        <v>29.211893</v>
      </c>
      <c r="S47" s="23">
        <f>'AEO 2023 Table 36 Raw'!V34</f>
        <v>34.020896999999998</v>
      </c>
      <c r="T47" s="23">
        <f>'AEO 2023 Table 36 Raw'!W34</f>
        <v>39.055110999999997</v>
      </c>
      <c r="U47" s="23">
        <f>'AEO 2023 Table 36 Raw'!X34</f>
        <v>44.546832999999999</v>
      </c>
      <c r="V47" s="23">
        <f>'AEO 2023 Table 36 Raw'!Y34</f>
        <v>50.726470999999997</v>
      </c>
      <c r="W47" s="23">
        <f>'AEO 2023 Table 36 Raw'!Z34</f>
        <v>57.249889000000003</v>
      </c>
      <c r="X47" s="23">
        <f>'AEO 2023 Table 36 Raw'!AA34</f>
        <v>63.815086000000001</v>
      </c>
      <c r="Y47" s="23">
        <f>'AEO 2023 Table 36 Raw'!AB34</f>
        <v>70.632087999999996</v>
      </c>
      <c r="Z47" s="23">
        <f>'AEO 2023 Table 36 Raw'!AC34</f>
        <v>77.703888000000006</v>
      </c>
      <c r="AA47" s="23">
        <f>'AEO 2023 Table 36 Raw'!AD34</f>
        <v>85.240448000000001</v>
      </c>
      <c r="AB47" s="23">
        <f>'AEO 2023 Table 36 Raw'!AE34</f>
        <v>94.454329999999999</v>
      </c>
      <c r="AC47" s="23">
        <f>'AEO 2023 Table 36 Raw'!AF34</f>
        <v>103.730484</v>
      </c>
      <c r="AD47" s="23">
        <f>'AEO 2023 Table 36 Raw'!AG34</f>
        <v>112.465706</v>
      </c>
      <c r="AE47" s="23">
        <f>'AEO 2023 Table 36 Raw'!AH34</f>
        <v>121.52919799999999</v>
      </c>
      <c r="AF47" s="28">
        <f>'AEO 2023 Table 36 Raw'!AI34</f>
        <v>0.215</v>
      </c>
    </row>
    <row r="48" spans="1:32" ht="12" customHeight="1">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8"/>
    </row>
    <row r="49" spans="1:32" ht="15" customHeight="1">
      <c r="A49" s="18" t="s">
        <v>780</v>
      </c>
      <c r="B49" s="20" t="s">
        <v>586</v>
      </c>
      <c r="C49" s="23">
        <f>'AEO 2023 Table 36 Raw'!F35</f>
        <v>98.239020999999994</v>
      </c>
      <c r="D49" s="23">
        <f>'AEO 2023 Table 36 Raw'!G35</f>
        <v>98.920753000000005</v>
      </c>
      <c r="E49" s="23">
        <f>'AEO 2023 Table 36 Raw'!H35</f>
        <v>98.114661999999996</v>
      </c>
      <c r="F49" s="23">
        <f>'AEO 2023 Table 36 Raw'!I35</f>
        <v>97.346069</v>
      </c>
      <c r="G49" s="23">
        <f>'AEO 2023 Table 36 Raw'!J35</f>
        <v>96.685867000000002</v>
      </c>
      <c r="H49" s="23">
        <f>'AEO 2023 Table 36 Raw'!K35</f>
        <v>95.823470999999998</v>
      </c>
      <c r="I49" s="23">
        <f>'AEO 2023 Table 36 Raw'!L35</f>
        <v>94.964698999999996</v>
      </c>
      <c r="J49" s="23">
        <f>'AEO 2023 Table 36 Raw'!M35</f>
        <v>93.890502999999995</v>
      </c>
      <c r="K49" s="23">
        <f>'AEO 2023 Table 36 Raw'!N35</f>
        <v>92.919189000000003</v>
      </c>
      <c r="L49" s="23">
        <f>'AEO 2023 Table 36 Raw'!O35</f>
        <v>92.029815999999997</v>
      </c>
      <c r="M49" s="23">
        <f>'AEO 2023 Table 36 Raw'!P35</f>
        <v>91.401107999999994</v>
      </c>
      <c r="N49" s="23">
        <f>'AEO 2023 Table 36 Raw'!Q35</f>
        <v>90.674225000000007</v>
      </c>
      <c r="O49" s="23">
        <f>'AEO 2023 Table 36 Raw'!R35</f>
        <v>89.934028999999995</v>
      </c>
      <c r="P49" s="23">
        <f>'AEO 2023 Table 36 Raw'!S35</f>
        <v>89.168869000000001</v>
      </c>
      <c r="Q49" s="23">
        <f>'AEO 2023 Table 36 Raw'!T35</f>
        <v>88.333008000000007</v>
      </c>
      <c r="R49" s="23">
        <f>'AEO 2023 Table 36 Raw'!U35</f>
        <v>87.614966999999993</v>
      </c>
      <c r="S49" s="23">
        <f>'AEO 2023 Table 36 Raw'!V35</f>
        <v>86.833350999999993</v>
      </c>
      <c r="T49" s="23">
        <f>'AEO 2023 Table 36 Raw'!W35</f>
        <v>86.156693000000004</v>
      </c>
      <c r="U49" s="23">
        <f>'AEO 2023 Table 36 Raw'!X35</f>
        <v>85.473595000000003</v>
      </c>
      <c r="V49" s="23">
        <f>'AEO 2023 Table 36 Raw'!Y35</f>
        <v>84.846123000000006</v>
      </c>
      <c r="W49" s="23">
        <f>'AEO 2023 Table 36 Raw'!Z35</f>
        <v>84.273765999999995</v>
      </c>
      <c r="X49" s="23">
        <f>'AEO 2023 Table 36 Raw'!AA35</f>
        <v>83.705399</v>
      </c>
      <c r="Y49" s="23">
        <f>'AEO 2023 Table 36 Raw'!AB35</f>
        <v>83.103454999999997</v>
      </c>
      <c r="Z49" s="23">
        <f>'AEO 2023 Table 36 Raw'!AC35</f>
        <v>82.418205</v>
      </c>
      <c r="AA49" s="23">
        <f>'AEO 2023 Table 36 Raw'!AD35</f>
        <v>81.856209000000007</v>
      </c>
      <c r="AB49" s="23">
        <f>'AEO 2023 Table 36 Raw'!AE35</f>
        <v>81.249022999999994</v>
      </c>
      <c r="AC49" s="23">
        <f>'AEO 2023 Table 36 Raw'!AF35</f>
        <v>80.573120000000003</v>
      </c>
      <c r="AD49" s="23">
        <f>'AEO 2023 Table 36 Raw'!AG35</f>
        <v>79.990395000000007</v>
      </c>
      <c r="AE49" s="23">
        <f>'AEO 2023 Table 36 Raw'!AH35</f>
        <v>79.592849999999999</v>
      </c>
      <c r="AF49" s="28">
        <f>'AEO 2023 Table 36 Raw'!AI35</f>
        <v>-7.0000000000000001E-3</v>
      </c>
    </row>
    <row r="50" spans="1:32" ht="15" customHeight="1">
      <c r="A50" s="18" t="s">
        <v>781</v>
      </c>
      <c r="B50" s="21" t="s">
        <v>744</v>
      </c>
      <c r="C50" s="23">
        <f>'AEO 2023 Table 36 Raw'!F36</f>
        <v>95.724982999999995</v>
      </c>
      <c r="D50" s="23">
        <f>'AEO 2023 Table 36 Raw'!G36</f>
        <v>96.410872999999995</v>
      </c>
      <c r="E50" s="23">
        <f>'AEO 2023 Table 36 Raw'!H36</f>
        <v>95.648369000000002</v>
      </c>
      <c r="F50" s="23">
        <f>'AEO 2023 Table 36 Raw'!I36</f>
        <v>94.922400999999994</v>
      </c>
      <c r="G50" s="23">
        <f>'AEO 2023 Table 36 Raw'!J36</f>
        <v>94.299674999999993</v>
      </c>
      <c r="H50" s="23">
        <f>'AEO 2023 Table 36 Raw'!K36</f>
        <v>93.480141000000003</v>
      </c>
      <c r="I50" s="23">
        <f>'AEO 2023 Table 36 Raw'!L36</f>
        <v>92.663535999999993</v>
      </c>
      <c r="J50" s="23">
        <f>'AEO 2023 Table 36 Raw'!M36</f>
        <v>91.636002000000005</v>
      </c>
      <c r="K50" s="23">
        <f>'AEO 2023 Table 36 Raw'!N36</f>
        <v>90.709732000000002</v>
      </c>
      <c r="L50" s="23">
        <f>'AEO 2023 Table 36 Raw'!O36</f>
        <v>89.864052000000001</v>
      </c>
      <c r="M50" s="23">
        <f>'AEO 2023 Table 36 Raw'!P36</f>
        <v>89.271820000000005</v>
      </c>
      <c r="N50" s="23">
        <f>'AEO 2023 Table 36 Raw'!Q36</f>
        <v>88.583907999999994</v>
      </c>
      <c r="O50" s="23">
        <f>'AEO 2023 Table 36 Raw'!R36</f>
        <v>87.881882000000004</v>
      </c>
      <c r="P50" s="23">
        <f>'AEO 2023 Table 36 Raw'!S36</f>
        <v>87.154610000000005</v>
      </c>
      <c r="Q50" s="23">
        <f>'AEO 2023 Table 36 Raw'!T36</f>
        <v>86.355025999999995</v>
      </c>
      <c r="R50" s="23">
        <f>'AEO 2023 Table 36 Raw'!U36</f>
        <v>85.672011999999995</v>
      </c>
      <c r="S50" s="23">
        <f>'AEO 2023 Table 36 Raw'!V36</f>
        <v>84.929305999999997</v>
      </c>
      <c r="T50" s="23">
        <f>'AEO 2023 Table 36 Raw'!W36</f>
        <v>84.290549999999996</v>
      </c>
      <c r="U50" s="23">
        <f>'AEO 2023 Table 36 Raw'!X36</f>
        <v>83.598647999999997</v>
      </c>
      <c r="V50" s="23">
        <f>'AEO 2023 Table 36 Raw'!Y36</f>
        <v>82.885955999999993</v>
      </c>
      <c r="W50" s="23">
        <f>'AEO 2023 Table 36 Raw'!Z36</f>
        <v>82.221778999999998</v>
      </c>
      <c r="X50" s="23">
        <f>'AEO 2023 Table 36 Raw'!AA36</f>
        <v>81.555756000000002</v>
      </c>
      <c r="Y50" s="23">
        <f>'AEO 2023 Table 36 Raw'!AB36</f>
        <v>80.850998000000004</v>
      </c>
      <c r="Z50" s="23">
        <f>'AEO 2023 Table 36 Raw'!AC36</f>
        <v>80.058989999999994</v>
      </c>
      <c r="AA50" s="23">
        <f>'AEO 2023 Table 36 Raw'!AD36</f>
        <v>79.380050999999995</v>
      </c>
      <c r="AB50" s="23">
        <f>'AEO 2023 Table 36 Raw'!AE36</f>
        <v>78.650115999999997</v>
      </c>
      <c r="AC50" s="23">
        <f>'AEO 2023 Table 36 Raw'!AF36</f>
        <v>77.846335999999994</v>
      </c>
      <c r="AD50" s="23">
        <f>'AEO 2023 Table 36 Raw'!AG36</f>
        <v>77.124741</v>
      </c>
      <c r="AE50" s="23">
        <f>'AEO 2023 Table 36 Raw'!AH36</f>
        <v>76.572761999999997</v>
      </c>
      <c r="AF50" s="28">
        <f>'AEO 2023 Table 36 Raw'!AI36</f>
        <v>-8.0000000000000002E-3</v>
      </c>
    </row>
    <row r="51" spans="1:32" ht="15" customHeight="1">
      <c r="A51" s="18" t="s">
        <v>782</v>
      </c>
      <c r="B51" s="21" t="s">
        <v>783</v>
      </c>
      <c r="C51" s="23">
        <f>'AEO 2023 Table 36 Raw'!F37</f>
        <v>1.875904</v>
      </c>
      <c r="D51" s="23">
        <f>'AEO 2023 Table 36 Raw'!G37</f>
        <v>1.8078829999999999</v>
      </c>
      <c r="E51" s="23">
        <f>'AEO 2023 Table 36 Raw'!H37</f>
        <v>1.7136819999999999</v>
      </c>
      <c r="F51" s="23">
        <f>'AEO 2023 Table 36 Raw'!I37</f>
        <v>1.621937</v>
      </c>
      <c r="G51" s="23">
        <f>'AEO 2023 Table 36 Raw'!J37</f>
        <v>1.5413140000000001</v>
      </c>
      <c r="H51" s="23">
        <f>'AEO 2023 Table 36 Raw'!K37</f>
        <v>1.455168</v>
      </c>
      <c r="I51" s="23">
        <f>'AEO 2023 Table 36 Raw'!L37</f>
        <v>1.371278</v>
      </c>
      <c r="J51" s="23">
        <f>'AEO 2023 Table 36 Raw'!M37</f>
        <v>1.2863249999999999</v>
      </c>
      <c r="K51" s="23">
        <f>'AEO 2023 Table 36 Raw'!N37</f>
        <v>1.1999850000000001</v>
      </c>
      <c r="L51" s="23">
        <f>'AEO 2023 Table 36 Raw'!O37</f>
        <v>1.1125510000000001</v>
      </c>
      <c r="M51" s="23">
        <f>'AEO 2023 Table 36 Raw'!P37</f>
        <v>1.0315639999999999</v>
      </c>
      <c r="N51" s="23">
        <f>'AEO 2023 Table 36 Raw'!Q37</f>
        <v>0.94839600000000002</v>
      </c>
      <c r="O51" s="23">
        <f>'AEO 2023 Table 36 Raw'!R37</f>
        <v>0.86860599999999999</v>
      </c>
      <c r="P51" s="23">
        <f>'AEO 2023 Table 36 Raw'!S37</f>
        <v>0.79182399999999997</v>
      </c>
      <c r="Q51" s="23">
        <f>'AEO 2023 Table 36 Raw'!T37</f>
        <v>0.72530600000000001</v>
      </c>
      <c r="R51" s="23">
        <f>'AEO 2023 Table 36 Raw'!U37</f>
        <v>0.65481</v>
      </c>
      <c r="S51" s="23">
        <f>'AEO 2023 Table 36 Raw'!V37</f>
        <v>0.57531900000000002</v>
      </c>
      <c r="T51" s="23">
        <f>'AEO 2023 Table 36 Raw'!W37</f>
        <v>0.49192999999999998</v>
      </c>
      <c r="U51" s="23">
        <f>'AEO 2023 Table 36 Raw'!X37</f>
        <v>0.417902</v>
      </c>
      <c r="V51" s="23">
        <f>'AEO 2023 Table 36 Raw'!Y37</f>
        <v>0.41475499999999998</v>
      </c>
      <c r="W51" s="23">
        <f>'AEO 2023 Table 36 Raw'!Z37</f>
        <v>0.41187499999999999</v>
      </c>
      <c r="X51" s="23">
        <f>'AEO 2023 Table 36 Raw'!AA37</f>
        <v>0.40901599999999999</v>
      </c>
      <c r="Y51" s="23">
        <f>'AEO 2023 Table 36 Raw'!AB37</f>
        <v>0.40599000000000002</v>
      </c>
      <c r="Z51" s="23">
        <f>'AEO 2023 Table 36 Raw'!AC37</f>
        <v>0.40254800000000002</v>
      </c>
      <c r="AA51" s="23">
        <f>'AEO 2023 Table 36 Raw'!AD37</f>
        <v>0.39974100000000001</v>
      </c>
      <c r="AB51" s="23">
        <f>'AEO 2023 Table 36 Raw'!AE37</f>
        <v>0.396733</v>
      </c>
      <c r="AC51" s="23">
        <f>'AEO 2023 Table 36 Raw'!AF37</f>
        <v>0.39335599999999998</v>
      </c>
      <c r="AD51" s="23">
        <f>'AEO 2023 Table 36 Raw'!AG37</f>
        <v>0.39045299999999999</v>
      </c>
      <c r="AE51" s="23">
        <f>'AEO 2023 Table 36 Raw'!AH37</f>
        <v>0.38850499999999999</v>
      </c>
      <c r="AF51" s="28">
        <f>'AEO 2023 Table 36 Raw'!AI37</f>
        <v>-5.5E-2</v>
      </c>
    </row>
    <row r="52" spans="1:32" ht="15" customHeight="1">
      <c r="A52" s="18" t="s">
        <v>784</v>
      </c>
      <c r="B52" s="21" t="s">
        <v>777</v>
      </c>
      <c r="C52" s="23">
        <f>'AEO 2023 Table 36 Raw'!F38</f>
        <v>0</v>
      </c>
      <c r="D52" s="23">
        <f>'AEO 2023 Table 36 Raw'!G38</f>
        <v>0</v>
      </c>
      <c r="E52" s="23">
        <f>'AEO 2023 Table 36 Raw'!H38</f>
        <v>0</v>
      </c>
      <c r="F52" s="23">
        <f>'AEO 2023 Table 36 Raw'!I38</f>
        <v>0</v>
      </c>
      <c r="G52" s="23">
        <f>'AEO 2023 Table 36 Raw'!J38</f>
        <v>0</v>
      </c>
      <c r="H52" s="23">
        <f>'AEO 2023 Table 36 Raw'!K38</f>
        <v>0</v>
      </c>
      <c r="I52" s="23">
        <f>'AEO 2023 Table 36 Raw'!L38</f>
        <v>0</v>
      </c>
      <c r="J52" s="23">
        <f>'AEO 2023 Table 36 Raw'!M38</f>
        <v>0</v>
      </c>
      <c r="K52" s="23">
        <f>'AEO 2023 Table 36 Raw'!N38</f>
        <v>0</v>
      </c>
      <c r="L52" s="23">
        <f>'AEO 2023 Table 36 Raw'!O38</f>
        <v>0</v>
      </c>
      <c r="M52" s="23">
        <f>'AEO 2023 Table 36 Raw'!P38</f>
        <v>0</v>
      </c>
      <c r="N52" s="23">
        <f>'AEO 2023 Table 36 Raw'!Q38</f>
        <v>0</v>
      </c>
      <c r="O52" s="23">
        <f>'AEO 2023 Table 36 Raw'!R38</f>
        <v>0</v>
      </c>
      <c r="P52" s="23">
        <f>'AEO 2023 Table 36 Raw'!S38</f>
        <v>0</v>
      </c>
      <c r="Q52" s="23">
        <f>'AEO 2023 Table 36 Raw'!T38</f>
        <v>0</v>
      </c>
      <c r="R52" s="23">
        <f>'AEO 2023 Table 36 Raw'!U38</f>
        <v>0</v>
      </c>
      <c r="S52" s="23">
        <f>'AEO 2023 Table 36 Raw'!V38</f>
        <v>0</v>
      </c>
      <c r="T52" s="23">
        <f>'AEO 2023 Table 36 Raw'!W38</f>
        <v>0</v>
      </c>
      <c r="U52" s="23">
        <f>'AEO 2023 Table 36 Raw'!X38</f>
        <v>0</v>
      </c>
      <c r="V52" s="23">
        <f>'AEO 2023 Table 36 Raw'!Y38</f>
        <v>0</v>
      </c>
      <c r="W52" s="23">
        <f>'AEO 2023 Table 36 Raw'!Z38</f>
        <v>0</v>
      </c>
      <c r="X52" s="23">
        <f>'AEO 2023 Table 36 Raw'!AA38</f>
        <v>0</v>
      </c>
      <c r="Y52" s="23">
        <f>'AEO 2023 Table 36 Raw'!AB38</f>
        <v>0</v>
      </c>
      <c r="Z52" s="23">
        <f>'AEO 2023 Table 36 Raw'!AC38</f>
        <v>0</v>
      </c>
      <c r="AA52" s="23">
        <f>'AEO 2023 Table 36 Raw'!AD38</f>
        <v>0</v>
      </c>
      <c r="AB52" s="23">
        <f>'AEO 2023 Table 36 Raw'!AE38</f>
        <v>0</v>
      </c>
      <c r="AC52" s="23">
        <f>'AEO 2023 Table 36 Raw'!AF38</f>
        <v>0</v>
      </c>
      <c r="AD52" s="23">
        <f>'AEO 2023 Table 36 Raw'!AG38</f>
        <v>0</v>
      </c>
      <c r="AE52" s="23">
        <f>'AEO 2023 Table 36 Raw'!AH38</f>
        <v>0</v>
      </c>
      <c r="AF52" s="28" t="str">
        <f>'AEO 2023 Table 36 Raw'!AI38</f>
        <v>- -</v>
      </c>
    </row>
    <row r="53" spans="1:32" ht="15" customHeight="1">
      <c r="A53" s="18" t="s">
        <v>785</v>
      </c>
      <c r="B53" s="21" t="s">
        <v>779</v>
      </c>
      <c r="C53" s="23">
        <f>'AEO 2023 Table 36 Raw'!F39</f>
        <v>0.638131</v>
      </c>
      <c r="D53" s="23">
        <f>'AEO 2023 Table 36 Raw'!G39</f>
        <v>0.70199999999999996</v>
      </c>
      <c r="E53" s="23">
        <f>'AEO 2023 Table 36 Raw'!H39</f>
        <v>0.75260700000000003</v>
      </c>
      <c r="F53" s="23">
        <f>'AEO 2023 Table 36 Raw'!I39</f>
        <v>0.80172500000000002</v>
      </c>
      <c r="G53" s="23">
        <f>'AEO 2023 Table 36 Raw'!J39</f>
        <v>0.84487999999999996</v>
      </c>
      <c r="H53" s="23">
        <f>'AEO 2023 Table 36 Raw'!K39</f>
        <v>0.88815699999999997</v>
      </c>
      <c r="I53" s="23">
        <f>'AEO 2023 Table 36 Raw'!L39</f>
        <v>0.92988400000000004</v>
      </c>
      <c r="J53" s="23">
        <f>'AEO 2023 Table 36 Raw'!M39</f>
        <v>0.96818099999999996</v>
      </c>
      <c r="K53" s="23">
        <f>'AEO 2023 Table 36 Raw'!N39</f>
        <v>1.009477</v>
      </c>
      <c r="L53" s="23">
        <f>'AEO 2023 Table 36 Raw'!O39</f>
        <v>1.053212</v>
      </c>
      <c r="M53" s="23">
        <f>'AEO 2023 Table 36 Raw'!P39</f>
        <v>1.0977250000000001</v>
      </c>
      <c r="N53" s="23">
        <f>'AEO 2023 Table 36 Raw'!Q39</f>
        <v>1.1419189999999999</v>
      </c>
      <c r="O53" s="23">
        <f>'AEO 2023 Table 36 Raw'!R39</f>
        <v>1.183538</v>
      </c>
      <c r="P53" s="23">
        <f>'AEO 2023 Table 36 Raw'!S39</f>
        <v>1.2224330000000001</v>
      </c>
      <c r="Q53" s="23">
        <f>'AEO 2023 Table 36 Raw'!T39</f>
        <v>1.252678</v>
      </c>
      <c r="R53" s="23">
        <f>'AEO 2023 Table 36 Raw'!U39</f>
        <v>1.2881480000000001</v>
      </c>
      <c r="S53" s="23">
        <f>'AEO 2023 Table 36 Raw'!V39</f>
        <v>1.3287279999999999</v>
      </c>
      <c r="T53" s="23">
        <f>'AEO 2023 Table 36 Raw'!W39</f>
        <v>1.374214</v>
      </c>
      <c r="U53" s="23">
        <f>'AEO 2023 Table 36 Raw'!X39</f>
        <v>1.4570460000000001</v>
      </c>
      <c r="V53" s="23">
        <f>'AEO 2023 Table 36 Raw'!Y39</f>
        <v>1.54541</v>
      </c>
      <c r="W53" s="23">
        <f>'AEO 2023 Table 36 Raw'!Z39</f>
        <v>1.640115</v>
      </c>
      <c r="X53" s="23">
        <f>'AEO 2023 Table 36 Raw'!AA39</f>
        <v>1.7406269999999999</v>
      </c>
      <c r="Y53" s="23">
        <f>'AEO 2023 Table 36 Raw'!AB39</f>
        <v>1.8464670000000001</v>
      </c>
      <c r="Z53" s="23">
        <f>'AEO 2023 Table 36 Raw'!AC39</f>
        <v>1.956663</v>
      </c>
      <c r="AA53" s="23">
        <f>'AEO 2023 Table 36 Raw'!AD39</f>
        <v>2.0764179999999999</v>
      </c>
      <c r="AB53" s="23">
        <f>'AEO 2023 Table 36 Raw'!AE39</f>
        <v>2.2021730000000002</v>
      </c>
      <c r="AC53" s="23">
        <f>'AEO 2023 Table 36 Raw'!AF39</f>
        <v>2.3334239999999999</v>
      </c>
      <c r="AD53" s="23">
        <f>'AEO 2023 Table 36 Raw'!AG39</f>
        <v>2.4752070000000002</v>
      </c>
      <c r="AE53" s="23">
        <f>'AEO 2023 Table 36 Raw'!AH39</f>
        <v>2.6315870000000001</v>
      </c>
      <c r="AF53" s="28">
        <f>'AEO 2023 Table 36 Raw'!AI39</f>
        <v>5.1999999999999998E-2</v>
      </c>
    </row>
    <row r="54" spans="1:32" ht="12" customHeight="1">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8"/>
    </row>
    <row r="55" spans="1:32" ht="15" customHeight="1">
      <c r="A55" s="18" t="s">
        <v>786</v>
      </c>
      <c r="B55" s="20" t="s">
        <v>598</v>
      </c>
      <c r="C55" s="23">
        <f>'AEO 2023 Table 36 Raw'!F40</f>
        <v>935.02770999999996</v>
      </c>
      <c r="D55" s="23">
        <f>'AEO 2023 Table 36 Raw'!G40</f>
        <v>881.83038299999998</v>
      </c>
      <c r="E55" s="23">
        <f>'AEO 2023 Table 36 Raw'!H40</f>
        <v>877.72729500000003</v>
      </c>
      <c r="F55" s="23">
        <f>'AEO 2023 Table 36 Raw'!I40</f>
        <v>878.60412599999995</v>
      </c>
      <c r="G55" s="23">
        <f>'AEO 2023 Table 36 Raw'!J40</f>
        <v>871.25030500000003</v>
      </c>
      <c r="H55" s="23">
        <f>'AEO 2023 Table 36 Raw'!K40</f>
        <v>868.44872999999995</v>
      </c>
      <c r="I55" s="23">
        <f>'AEO 2023 Table 36 Raw'!L40</f>
        <v>862.68933100000004</v>
      </c>
      <c r="J55" s="23">
        <f>'AEO 2023 Table 36 Raw'!M40</f>
        <v>859.14196800000002</v>
      </c>
      <c r="K55" s="23">
        <f>'AEO 2023 Table 36 Raw'!N40</f>
        <v>856.63439900000003</v>
      </c>
      <c r="L55" s="23">
        <f>'AEO 2023 Table 36 Raw'!O40</f>
        <v>857.13647500000002</v>
      </c>
      <c r="M55" s="23">
        <f>'AEO 2023 Table 36 Raw'!P40</f>
        <v>857.43701199999998</v>
      </c>
      <c r="N55" s="23">
        <f>'AEO 2023 Table 36 Raw'!Q40</f>
        <v>858.00024399999995</v>
      </c>
      <c r="O55" s="23">
        <f>'AEO 2023 Table 36 Raw'!R40</f>
        <v>857.76019299999996</v>
      </c>
      <c r="P55" s="23">
        <f>'AEO 2023 Table 36 Raw'!S40</f>
        <v>858.217896</v>
      </c>
      <c r="Q55" s="23">
        <f>'AEO 2023 Table 36 Raw'!T40</f>
        <v>857.54724099999999</v>
      </c>
      <c r="R55" s="23">
        <f>'AEO 2023 Table 36 Raw'!U40</f>
        <v>857.61346400000002</v>
      </c>
      <c r="S55" s="23">
        <f>'AEO 2023 Table 36 Raw'!V40</f>
        <v>857.63464399999998</v>
      </c>
      <c r="T55" s="23">
        <f>'AEO 2023 Table 36 Raw'!W40</f>
        <v>857.34979199999998</v>
      </c>
      <c r="U55" s="23">
        <f>'AEO 2023 Table 36 Raw'!X40</f>
        <v>857.24542199999996</v>
      </c>
      <c r="V55" s="23">
        <f>'AEO 2023 Table 36 Raw'!Y40</f>
        <v>857.30096400000002</v>
      </c>
      <c r="W55" s="23">
        <f>'AEO 2023 Table 36 Raw'!Z40</f>
        <v>857.82971199999997</v>
      </c>
      <c r="X55" s="23">
        <f>'AEO 2023 Table 36 Raw'!AA40</f>
        <v>857.81982400000004</v>
      </c>
      <c r="Y55" s="23">
        <f>'AEO 2023 Table 36 Raw'!AB40</f>
        <v>858.04791299999999</v>
      </c>
      <c r="Z55" s="23">
        <f>'AEO 2023 Table 36 Raw'!AC40</f>
        <v>858.06762700000002</v>
      </c>
      <c r="AA55" s="23">
        <f>'AEO 2023 Table 36 Raw'!AD40</f>
        <v>860.63342299999999</v>
      </c>
      <c r="AB55" s="23">
        <f>'AEO 2023 Table 36 Raw'!AE40</f>
        <v>860.92425500000002</v>
      </c>
      <c r="AC55" s="23">
        <f>'AEO 2023 Table 36 Raw'!AF40</f>
        <v>859.83441200000004</v>
      </c>
      <c r="AD55" s="23">
        <f>'AEO 2023 Table 36 Raw'!AG40</f>
        <v>859.12170400000002</v>
      </c>
      <c r="AE55" s="23">
        <f>'AEO 2023 Table 36 Raw'!AH40</f>
        <v>858.094604</v>
      </c>
      <c r="AF55" s="28">
        <f>'AEO 2023 Table 36 Raw'!AI40</f>
        <v>-3.0000000000000001E-3</v>
      </c>
    </row>
    <row r="56" spans="1:32" ht="15" customHeight="1">
      <c r="A56" s="18" t="s">
        <v>787</v>
      </c>
      <c r="B56" s="21" t="s">
        <v>744</v>
      </c>
      <c r="C56" s="23">
        <f>'AEO 2023 Table 36 Raw'!F41</f>
        <v>222.93867499999999</v>
      </c>
      <c r="D56" s="23">
        <f>'AEO 2023 Table 36 Raw'!G41</f>
        <v>318.21374500000002</v>
      </c>
      <c r="E56" s="23">
        <f>'AEO 2023 Table 36 Raw'!H41</f>
        <v>318.50683600000002</v>
      </c>
      <c r="F56" s="23">
        <f>'AEO 2023 Table 36 Raw'!I41</f>
        <v>321.42748999999998</v>
      </c>
      <c r="G56" s="23">
        <f>'AEO 2023 Table 36 Raw'!J41</f>
        <v>326.40893599999998</v>
      </c>
      <c r="H56" s="23">
        <f>'AEO 2023 Table 36 Raw'!K41</f>
        <v>331.75039700000002</v>
      </c>
      <c r="I56" s="23">
        <f>'AEO 2023 Table 36 Raw'!L41</f>
        <v>339.13262900000001</v>
      </c>
      <c r="J56" s="23">
        <f>'AEO 2023 Table 36 Raw'!M41</f>
        <v>343.65380900000002</v>
      </c>
      <c r="K56" s="23">
        <f>'AEO 2023 Table 36 Raw'!N41</f>
        <v>348.44000199999999</v>
      </c>
      <c r="L56" s="23">
        <f>'AEO 2023 Table 36 Raw'!O41</f>
        <v>348.61184700000001</v>
      </c>
      <c r="M56" s="23">
        <f>'AEO 2023 Table 36 Raw'!P41</f>
        <v>349.93618800000002</v>
      </c>
      <c r="N56" s="23">
        <f>'AEO 2023 Table 36 Raw'!Q41</f>
        <v>351.71850599999999</v>
      </c>
      <c r="O56" s="23">
        <f>'AEO 2023 Table 36 Raw'!R41</f>
        <v>354.40063500000002</v>
      </c>
      <c r="P56" s="23">
        <f>'AEO 2023 Table 36 Raw'!S41</f>
        <v>355.17700200000002</v>
      </c>
      <c r="Q56" s="23">
        <f>'AEO 2023 Table 36 Raw'!T41</f>
        <v>356.67022700000001</v>
      </c>
      <c r="R56" s="23">
        <f>'AEO 2023 Table 36 Raw'!U41</f>
        <v>356.87670900000001</v>
      </c>
      <c r="S56" s="23">
        <f>'AEO 2023 Table 36 Raw'!V41</f>
        <v>358.82894900000002</v>
      </c>
      <c r="T56" s="23">
        <f>'AEO 2023 Table 36 Raw'!W41</f>
        <v>358.93920900000001</v>
      </c>
      <c r="U56" s="23">
        <f>'AEO 2023 Table 36 Raw'!X41</f>
        <v>360.572205</v>
      </c>
      <c r="V56" s="23">
        <f>'AEO 2023 Table 36 Raw'!Y41</f>
        <v>361.26196299999998</v>
      </c>
      <c r="W56" s="23">
        <f>'AEO 2023 Table 36 Raw'!Z41</f>
        <v>361.28478999999999</v>
      </c>
      <c r="X56" s="23">
        <f>'AEO 2023 Table 36 Raw'!AA41</f>
        <v>360.64623999999998</v>
      </c>
      <c r="Y56" s="23">
        <f>'AEO 2023 Table 36 Raw'!AB41</f>
        <v>360.38775600000002</v>
      </c>
      <c r="Z56" s="23">
        <f>'AEO 2023 Table 36 Raw'!AC41</f>
        <v>360.05560300000002</v>
      </c>
      <c r="AA56" s="23">
        <f>'AEO 2023 Table 36 Raw'!AD41</f>
        <v>358.46176100000002</v>
      </c>
      <c r="AB56" s="23">
        <f>'AEO 2023 Table 36 Raw'!AE41</f>
        <v>357.26376299999998</v>
      </c>
      <c r="AC56" s="23">
        <f>'AEO 2023 Table 36 Raw'!AF41</f>
        <v>357.07412699999998</v>
      </c>
      <c r="AD56" s="23">
        <f>'AEO 2023 Table 36 Raw'!AG41</f>
        <v>355.22808800000001</v>
      </c>
      <c r="AE56" s="23">
        <f>'AEO 2023 Table 36 Raw'!AH41</f>
        <v>354.51147500000002</v>
      </c>
      <c r="AF56" s="28">
        <f>'AEO 2023 Table 36 Raw'!AI41</f>
        <v>1.7000000000000001E-2</v>
      </c>
    </row>
    <row r="57" spans="1:32" ht="15" customHeight="1">
      <c r="A57" s="18" t="s">
        <v>788</v>
      </c>
      <c r="B57" s="21" t="s">
        <v>783</v>
      </c>
      <c r="C57" s="23">
        <f>'AEO 2023 Table 36 Raw'!F42</f>
        <v>685.66516100000001</v>
      </c>
      <c r="D57" s="23">
        <f>'AEO 2023 Table 36 Raw'!G42</f>
        <v>532.149719</v>
      </c>
      <c r="E57" s="23">
        <f>'AEO 2023 Table 36 Raw'!H42</f>
        <v>519.35320999999999</v>
      </c>
      <c r="F57" s="23">
        <f>'AEO 2023 Table 36 Raw'!I42</f>
        <v>520.34844999999996</v>
      </c>
      <c r="G57" s="23">
        <f>'AEO 2023 Table 36 Raw'!J42</f>
        <v>497.46441700000003</v>
      </c>
      <c r="H57" s="23">
        <f>'AEO 2023 Table 36 Raw'!K42</f>
        <v>487.75363199999998</v>
      </c>
      <c r="I57" s="23">
        <f>'AEO 2023 Table 36 Raw'!L42</f>
        <v>469.75631700000002</v>
      </c>
      <c r="J57" s="23">
        <f>'AEO 2023 Table 36 Raw'!M42</f>
        <v>458.26986699999998</v>
      </c>
      <c r="K57" s="23">
        <f>'AEO 2023 Table 36 Raw'!N42</f>
        <v>449.82733200000001</v>
      </c>
      <c r="L57" s="23">
        <f>'AEO 2023 Table 36 Raw'!O42</f>
        <v>449.95632899999998</v>
      </c>
      <c r="M57" s="23">
        <f>'AEO 2023 Table 36 Raw'!P42</f>
        <v>449.27517699999999</v>
      </c>
      <c r="N57" s="23">
        <f>'AEO 2023 Table 36 Raw'!Q42</f>
        <v>449.44375600000001</v>
      </c>
      <c r="O57" s="23">
        <f>'AEO 2023 Table 36 Raw'!R42</f>
        <v>447.34497099999999</v>
      </c>
      <c r="P57" s="23">
        <f>'AEO 2023 Table 36 Raw'!S42</f>
        <v>447.23684700000001</v>
      </c>
      <c r="Q57" s="23">
        <f>'AEO 2023 Table 36 Raw'!T42</f>
        <v>444.02316300000001</v>
      </c>
      <c r="R57" s="23">
        <f>'AEO 2023 Table 36 Raw'!U42</f>
        <v>442.96899400000001</v>
      </c>
      <c r="S57" s="23">
        <f>'AEO 2023 Table 36 Raw'!V42</f>
        <v>441.815674</v>
      </c>
      <c r="T57" s="23">
        <f>'AEO 2023 Table 36 Raw'!W42</f>
        <v>439.63165300000003</v>
      </c>
      <c r="U57" s="23">
        <f>'AEO 2023 Table 36 Raw'!X42</f>
        <v>437.97662400000002</v>
      </c>
      <c r="V57" s="23">
        <f>'AEO 2023 Table 36 Raw'!Y42</f>
        <v>436.76757800000001</v>
      </c>
      <c r="W57" s="23">
        <f>'AEO 2023 Table 36 Raw'!Z42</f>
        <v>436.80938700000002</v>
      </c>
      <c r="X57" s="23">
        <f>'AEO 2023 Table 36 Raw'!AA42</f>
        <v>435.24386600000003</v>
      </c>
      <c r="Y57" s="23">
        <f>'AEO 2023 Table 36 Raw'!AB42</f>
        <v>434.29315200000002</v>
      </c>
      <c r="Z57" s="23">
        <f>'AEO 2023 Table 36 Raw'!AC42</f>
        <v>432.733093</v>
      </c>
      <c r="AA57" s="23">
        <f>'AEO 2023 Table 36 Raw'!AD42</f>
        <v>438.45755000000003</v>
      </c>
      <c r="AB57" s="23">
        <f>'AEO 2023 Table 36 Raw'!AE42</f>
        <v>437.70047</v>
      </c>
      <c r="AC57" s="23">
        <f>'AEO 2023 Table 36 Raw'!AF42</f>
        <v>432.92089800000002</v>
      </c>
      <c r="AD57" s="23">
        <f>'AEO 2023 Table 36 Raw'!AG42</f>
        <v>429.24749800000001</v>
      </c>
      <c r="AE57" s="23">
        <f>'AEO 2023 Table 36 Raw'!AH42</f>
        <v>424.56079099999999</v>
      </c>
      <c r="AF57" s="28">
        <f>'AEO 2023 Table 36 Raw'!AI42</f>
        <v>-1.7000000000000001E-2</v>
      </c>
    </row>
    <row r="58" spans="1:32" ht="15" customHeight="1">
      <c r="A58" s="18" t="s">
        <v>789</v>
      </c>
      <c r="B58" s="21" t="s">
        <v>777</v>
      </c>
      <c r="C58" s="23">
        <f>'AEO 2023 Table 36 Raw'!F43</f>
        <v>0</v>
      </c>
      <c r="D58" s="23">
        <f>'AEO 2023 Table 36 Raw'!G43</f>
        <v>0</v>
      </c>
      <c r="E58" s="23">
        <f>'AEO 2023 Table 36 Raw'!H43</f>
        <v>0</v>
      </c>
      <c r="F58" s="23">
        <f>'AEO 2023 Table 36 Raw'!I43</f>
        <v>0</v>
      </c>
      <c r="G58" s="23">
        <f>'AEO 2023 Table 36 Raw'!J43</f>
        <v>0</v>
      </c>
      <c r="H58" s="23">
        <f>'AEO 2023 Table 36 Raw'!K43</f>
        <v>0</v>
      </c>
      <c r="I58" s="23">
        <f>'AEO 2023 Table 36 Raw'!L43</f>
        <v>0</v>
      </c>
      <c r="J58" s="23">
        <f>'AEO 2023 Table 36 Raw'!M43</f>
        <v>0</v>
      </c>
      <c r="K58" s="23">
        <f>'AEO 2023 Table 36 Raw'!N43</f>
        <v>0</v>
      </c>
      <c r="L58" s="23">
        <f>'AEO 2023 Table 36 Raw'!O43</f>
        <v>0</v>
      </c>
      <c r="M58" s="23">
        <f>'AEO 2023 Table 36 Raw'!P43</f>
        <v>0</v>
      </c>
      <c r="N58" s="23">
        <f>'AEO 2023 Table 36 Raw'!Q43</f>
        <v>0</v>
      </c>
      <c r="O58" s="23">
        <f>'AEO 2023 Table 36 Raw'!R43</f>
        <v>0</v>
      </c>
      <c r="P58" s="23">
        <f>'AEO 2023 Table 36 Raw'!S43</f>
        <v>0</v>
      </c>
      <c r="Q58" s="23">
        <f>'AEO 2023 Table 36 Raw'!T43</f>
        <v>0</v>
      </c>
      <c r="R58" s="23">
        <f>'AEO 2023 Table 36 Raw'!U43</f>
        <v>0</v>
      </c>
      <c r="S58" s="23">
        <f>'AEO 2023 Table 36 Raw'!V43</f>
        <v>0</v>
      </c>
      <c r="T58" s="23">
        <f>'AEO 2023 Table 36 Raw'!W43</f>
        <v>0</v>
      </c>
      <c r="U58" s="23">
        <f>'AEO 2023 Table 36 Raw'!X43</f>
        <v>0</v>
      </c>
      <c r="V58" s="23">
        <f>'AEO 2023 Table 36 Raw'!Y43</f>
        <v>0</v>
      </c>
      <c r="W58" s="23">
        <f>'AEO 2023 Table 36 Raw'!Z43</f>
        <v>0</v>
      </c>
      <c r="X58" s="23">
        <f>'AEO 2023 Table 36 Raw'!AA43</f>
        <v>0</v>
      </c>
      <c r="Y58" s="23">
        <f>'AEO 2023 Table 36 Raw'!AB43</f>
        <v>0</v>
      </c>
      <c r="Z58" s="23">
        <f>'AEO 2023 Table 36 Raw'!AC43</f>
        <v>0</v>
      </c>
      <c r="AA58" s="23">
        <f>'AEO 2023 Table 36 Raw'!AD43</f>
        <v>0</v>
      </c>
      <c r="AB58" s="23">
        <f>'AEO 2023 Table 36 Raw'!AE43</f>
        <v>0</v>
      </c>
      <c r="AC58" s="23">
        <f>'AEO 2023 Table 36 Raw'!AF43</f>
        <v>0</v>
      </c>
      <c r="AD58" s="23">
        <f>'AEO 2023 Table 36 Raw'!AG43</f>
        <v>0</v>
      </c>
      <c r="AE58" s="23">
        <f>'AEO 2023 Table 36 Raw'!AH43</f>
        <v>0</v>
      </c>
      <c r="AF58" s="28" t="str">
        <f>'AEO 2023 Table 36 Raw'!AI43</f>
        <v>- -</v>
      </c>
    </row>
    <row r="59" spans="1:32" ht="15" customHeight="1">
      <c r="A59" s="18" t="s">
        <v>790</v>
      </c>
      <c r="B59" s="21" t="s">
        <v>779</v>
      </c>
      <c r="C59" s="23">
        <f>'AEO 2023 Table 36 Raw'!F44</f>
        <v>26.423862</v>
      </c>
      <c r="D59" s="23">
        <f>'AEO 2023 Table 36 Raw'!G44</f>
        <v>31.466925</v>
      </c>
      <c r="E59" s="23">
        <f>'AEO 2023 Table 36 Raw'!H44</f>
        <v>39.867241</v>
      </c>
      <c r="F59" s="23">
        <f>'AEO 2023 Table 36 Raw'!I44</f>
        <v>36.828189999999999</v>
      </c>
      <c r="G59" s="23">
        <f>'AEO 2023 Table 36 Raw'!J44</f>
        <v>47.376953</v>
      </c>
      <c r="H59" s="23">
        <f>'AEO 2023 Table 36 Raw'!K44</f>
        <v>48.944679000000001</v>
      </c>
      <c r="I59" s="23">
        <f>'AEO 2023 Table 36 Raw'!L44</f>
        <v>53.800423000000002</v>
      </c>
      <c r="J59" s="23">
        <f>'AEO 2023 Table 36 Raw'!M44</f>
        <v>57.218277</v>
      </c>
      <c r="K59" s="23">
        <f>'AEO 2023 Table 36 Raw'!N44</f>
        <v>58.367088000000003</v>
      </c>
      <c r="L59" s="23">
        <f>'AEO 2023 Table 36 Raw'!O44</f>
        <v>58.568268000000003</v>
      </c>
      <c r="M59" s="23">
        <f>'AEO 2023 Table 36 Raw'!P44</f>
        <v>58.225639000000001</v>
      </c>
      <c r="N59" s="23">
        <f>'AEO 2023 Table 36 Raw'!Q44</f>
        <v>56.838042999999999</v>
      </c>
      <c r="O59" s="23">
        <f>'AEO 2023 Table 36 Raw'!R44</f>
        <v>56.014595</v>
      </c>
      <c r="P59" s="23">
        <f>'AEO 2023 Table 36 Raw'!S44</f>
        <v>55.804080999999996</v>
      </c>
      <c r="Q59" s="23">
        <f>'AEO 2023 Table 36 Raw'!T44</f>
        <v>56.853912000000001</v>
      </c>
      <c r="R59" s="23">
        <f>'AEO 2023 Table 36 Raw'!U44</f>
        <v>57.767783999999999</v>
      </c>
      <c r="S59" s="23">
        <f>'AEO 2023 Table 36 Raw'!V44</f>
        <v>56.989986000000002</v>
      </c>
      <c r="T59" s="23">
        <f>'AEO 2023 Table 36 Raw'!W44</f>
        <v>58.778945999999998</v>
      </c>
      <c r="U59" s="23">
        <f>'AEO 2023 Table 36 Raw'!X44</f>
        <v>58.696617000000003</v>
      </c>
      <c r="V59" s="23">
        <f>'AEO 2023 Table 36 Raw'!Y44</f>
        <v>59.2714</v>
      </c>
      <c r="W59" s="23">
        <f>'AEO 2023 Table 36 Raw'!Z44</f>
        <v>59.735518999999996</v>
      </c>
      <c r="X59" s="23">
        <f>'AEO 2023 Table 36 Raw'!AA44</f>
        <v>61.929656999999999</v>
      </c>
      <c r="Y59" s="23">
        <f>'AEO 2023 Table 36 Raw'!AB44</f>
        <v>63.367027</v>
      </c>
      <c r="Z59" s="23">
        <f>'AEO 2023 Table 36 Raw'!AC44</f>
        <v>65.278946000000005</v>
      </c>
      <c r="AA59" s="23">
        <f>'AEO 2023 Table 36 Raw'!AD44</f>
        <v>63.714081</v>
      </c>
      <c r="AB59" s="23">
        <f>'AEO 2023 Table 36 Raw'!AE44</f>
        <v>65.960021999999995</v>
      </c>
      <c r="AC59" s="23">
        <f>'AEO 2023 Table 36 Raw'!AF44</f>
        <v>69.839432000000002</v>
      </c>
      <c r="AD59" s="23">
        <f>'AEO 2023 Table 36 Raw'!AG44</f>
        <v>74.646148999999994</v>
      </c>
      <c r="AE59" s="23">
        <f>'AEO 2023 Table 36 Raw'!AH44</f>
        <v>79.022368999999998</v>
      </c>
      <c r="AF59" s="28">
        <f>'AEO 2023 Table 36 Raw'!AI44</f>
        <v>0.04</v>
      </c>
    </row>
    <row r="60" spans="1:32" ht="12" customHeight="1">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8"/>
    </row>
    <row r="61" spans="1:32" ht="15" customHeight="1">
      <c r="A61" s="18" t="s">
        <v>791</v>
      </c>
      <c r="B61" s="20" t="s">
        <v>609</v>
      </c>
      <c r="C61" s="23">
        <f>'AEO 2023 Table 36 Raw'!F45</f>
        <v>2802.8073730000001</v>
      </c>
      <c r="D61" s="23">
        <f>'AEO 2023 Table 36 Raw'!G45</f>
        <v>3008.1679690000001</v>
      </c>
      <c r="E61" s="23">
        <f>'AEO 2023 Table 36 Raw'!H45</f>
        <v>3051.2026369999999</v>
      </c>
      <c r="F61" s="23">
        <f>'AEO 2023 Table 36 Raw'!I45</f>
        <v>3057.110596</v>
      </c>
      <c r="G61" s="23">
        <f>'AEO 2023 Table 36 Raw'!J45</f>
        <v>3095.898193</v>
      </c>
      <c r="H61" s="23">
        <f>'AEO 2023 Table 36 Raw'!K45</f>
        <v>3134.226807</v>
      </c>
      <c r="I61" s="23">
        <f>'AEO 2023 Table 36 Raw'!L45</f>
        <v>3164.5515140000002</v>
      </c>
      <c r="J61" s="23">
        <f>'AEO 2023 Table 36 Raw'!M45</f>
        <v>3187.108154</v>
      </c>
      <c r="K61" s="23">
        <f>'AEO 2023 Table 36 Raw'!N45</f>
        <v>3202.938232</v>
      </c>
      <c r="L61" s="23">
        <f>'AEO 2023 Table 36 Raw'!O45</f>
        <v>3218.7827149999998</v>
      </c>
      <c r="M61" s="23">
        <f>'AEO 2023 Table 36 Raw'!P45</f>
        <v>3243.936279</v>
      </c>
      <c r="N61" s="23">
        <f>'AEO 2023 Table 36 Raw'!Q45</f>
        <v>3270.4479980000001</v>
      </c>
      <c r="O61" s="23">
        <f>'AEO 2023 Table 36 Raw'!R45</f>
        <v>3294.4030760000001</v>
      </c>
      <c r="P61" s="23">
        <f>'AEO 2023 Table 36 Raw'!S45</f>
        <v>3322.9240719999998</v>
      </c>
      <c r="Q61" s="23">
        <f>'AEO 2023 Table 36 Raw'!T45</f>
        <v>3359.8247070000002</v>
      </c>
      <c r="R61" s="23">
        <f>'AEO 2023 Table 36 Raw'!U45</f>
        <v>3403.8945309999999</v>
      </c>
      <c r="S61" s="23">
        <f>'AEO 2023 Table 36 Raw'!V45</f>
        <v>3450.171875</v>
      </c>
      <c r="T61" s="23">
        <f>'AEO 2023 Table 36 Raw'!W45</f>
        <v>3498.4882809999999</v>
      </c>
      <c r="U61" s="23">
        <f>'AEO 2023 Table 36 Raw'!X45</f>
        <v>3554.6437989999999</v>
      </c>
      <c r="V61" s="23">
        <f>'AEO 2023 Table 36 Raw'!Y45</f>
        <v>3608.4033199999999</v>
      </c>
      <c r="W61" s="23">
        <f>'AEO 2023 Table 36 Raw'!Z45</f>
        <v>3663.0974120000001</v>
      </c>
      <c r="X61" s="23">
        <f>'AEO 2023 Table 36 Raw'!AA45</f>
        <v>3718.6245119999999</v>
      </c>
      <c r="Y61" s="23">
        <f>'AEO 2023 Table 36 Raw'!AB45</f>
        <v>3774.0097660000001</v>
      </c>
      <c r="Z61" s="23">
        <f>'AEO 2023 Table 36 Raw'!AC45</f>
        <v>3827.9187010000001</v>
      </c>
      <c r="AA61" s="23">
        <f>'AEO 2023 Table 36 Raw'!AD45</f>
        <v>3880.4333499999998</v>
      </c>
      <c r="AB61" s="23">
        <f>'AEO 2023 Table 36 Raw'!AE45</f>
        <v>3936.7380370000001</v>
      </c>
      <c r="AC61" s="23">
        <f>'AEO 2023 Table 36 Raw'!AF45</f>
        <v>3993.6040039999998</v>
      </c>
      <c r="AD61" s="23">
        <f>'AEO 2023 Table 36 Raw'!AG45</f>
        <v>4049.650635</v>
      </c>
      <c r="AE61" s="23">
        <f>'AEO 2023 Table 36 Raw'!AH45</f>
        <v>4112.1577150000003</v>
      </c>
      <c r="AF61" s="28">
        <f>'AEO 2023 Table 36 Raw'!AI45</f>
        <v>1.4E-2</v>
      </c>
    </row>
    <row r="62" spans="1:32" ht="15" customHeight="1">
      <c r="A62" s="18" t="s">
        <v>792</v>
      </c>
      <c r="B62" s="21" t="s">
        <v>793</v>
      </c>
      <c r="C62" s="23">
        <f>'AEO 2023 Table 36 Raw'!F46</f>
        <v>2780.3857419999999</v>
      </c>
      <c r="D62" s="23">
        <f>'AEO 2023 Table 36 Raw'!G46</f>
        <v>2985.7573240000002</v>
      </c>
      <c r="E62" s="23">
        <f>'AEO 2023 Table 36 Raw'!H46</f>
        <v>3028.8010250000002</v>
      </c>
      <c r="F62" s="23">
        <f>'AEO 2023 Table 36 Raw'!I46</f>
        <v>3034.7165530000002</v>
      </c>
      <c r="G62" s="23">
        <f>'AEO 2023 Table 36 Raw'!J46</f>
        <v>3073.5104980000001</v>
      </c>
      <c r="H62" s="23">
        <f>'AEO 2023 Table 36 Raw'!K46</f>
        <v>3111.8442380000001</v>
      </c>
      <c r="I62" s="23">
        <f>'AEO 2023 Table 36 Raw'!L46</f>
        <v>3142.173096</v>
      </c>
      <c r="J62" s="23">
        <f>'AEO 2023 Table 36 Raw'!M46</f>
        <v>3164.733154</v>
      </c>
      <c r="K62" s="23">
        <f>'AEO 2023 Table 36 Raw'!N46</f>
        <v>3180.5661620000001</v>
      </c>
      <c r="L62" s="23">
        <f>'AEO 2023 Table 36 Raw'!O46</f>
        <v>3196.413086</v>
      </c>
      <c r="M62" s="23">
        <f>'AEO 2023 Table 36 Raw'!P46</f>
        <v>3221.5686040000001</v>
      </c>
      <c r="N62" s="23">
        <f>'AEO 2023 Table 36 Raw'!Q46</f>
        <v>3248.0820309999999</v>
      </c>
      <c r="O62" s="23">
        <f>'AEO 2023 Table 36 Raw'!R46</f>
        <v>3272.0385740000002</v>
      </c>
      <c r="P62" s="23">
        <f>'AEO 2023 Table 36 Raw'!S46</f>
        <v>3300.560547</v>
      </c>
      <c r="Q62" s="23">
        <f>'AEO 2023 Table 36 Raw'!T46</f>
        <v>3337.4621579999998</v>
      </c>
      <c r="R62" s="23">
        <f>'AEO 2023 Table 36 Raw'!U46</f>
        <v>3381.5327149999998</v>
      </c>
      <c r="S62" s="23">
        <f>'AEO 2023 Table 36 Raw'!V46</f>
        <v>3427.8107909999999</v>
      </c>
      <c r="T62" s="23">
        <f>'AEO 2023 Table 36 Raw'!W46</f>
        <v>3476.1276859999998</v>
      </c>
      <c r="U62" s="23">
        <f>'AEO 2023 Table 36 Raw'!X46</f>
        <v>3532.2836910000001</v>
      </c>
      <c r="V62" s="23">
        <f>'AEO 2023 Table 36 Raw'!Y46</f>
        <v>3586.0437010000001</v>
      </c>
      <c r="W62" s="23">
        <f>'AEO 2023 Table 36 Raw'!Z46</f>
        <v>3640.7380370000001</v>
      </c>
      <c r="X62" s="23">
        <f>'AEO 2023 Table 36 Raw'!AA46</f>
        <v>3696.2653810000002</v>
      </c>
      <c r="Y62" s="23">
        <f>'AEO 2023 Table 36 Raw'!AB46</f>
        <v>3751.6508789999998</v>
      </c>
      <c r="Z62" s="23">
        <f>'AEO 2023 Table 36 Raw'!AC46</f>
        <v>3805.5598140000002</v>
      </c>
      <c r="AA62" s="23">
        <f>'AEO 2023 Table 36 Raw'!AD46</f>
        <v>3858.0747070000002</v>
      </c>
      <c r="AB62" s="23">
        <f>'AEO 2023 Table 36 Raw'!AE46</f>
        <v>3914.3793949999999</v>
      </c>
      <c r="AC62" s="23">
        <f>'AEO 2023 Table 36 Raw'!AF46</f>
        <v>3971.2456050000001</v>
      </c>
      <c r="AD62" s="23">
        <f>'AEO 2023 Table 36 Raw'!AG46</f>
        <v>4027.2922359999998</v>
      </c>
      <c r="AE62" s="23">
        <f>'AEO 2023 Table 36 Raw'!AH46</f>
        <v>4089.7993160000001</v>
      </c>
      <c r="AF62" s="28">
        <f>'AEO 2023 Table 36 Raw'!AI46</f>
        <v>1.4E-2</v>
      </c>
    </row>
    <row r="63" spans="1:32" ht="15" customHeight="1">
      <c r="A63" s="18" t="s">
        <v>794</v>
      </c>
      <c r="B63" s="21" t="s">
        <v>70</v>
      </c>
      <c r="C63" s="23">
        <f>'AEO 2023 Table 36 Raw'!F47</f>
        <v>22.421617999999999</v>
      </c>
      <c r="D63" s="23">
        <f>'AEO 2023 Table 36 Raw'!G47</f>
        <v>22.410634999999999</v>
      </c>
      <c r="E63" s="23">
        <f>'AEO 2023 Table 36 Raw'!H47</f>
        <v>22.401547999999998</v>
      </c>
      <c r="F63" s="23">
        <f>'AEO 2023 Table 36 Raw'!I47</f>
        <v>22.394031999999999</v>
      </c>
      <c r="G63" s="23">
        <f>'AEO 2023 Table 36 Raw'!J47</f>
        <v>22.387812</v>
      </c>
      <c r="H63" s="23">
        <f>'AEO 2023 Table 36 Raw'!K47</f>
        <v>22.382666</v>
      </c>
      <c r="I63" s="23">
        <f>'AEO 2023 Table 36 Raw'!L47</f>
        <v>22.378406999999999</v>
      </c>
      <c r="J63" s="23">
        <f>'AEO 2023 Table 36 Raw'!M47</f>
        <v>22.374884000000002</v>
      </c>
      <c r="K63" s="23">
        <f>'AEO 2023 Table 36 Raw'!N47</f>
        <v>22.371969</v>
      </c>
      <c r="L63" s="23">
        <f>'AEO 2023 Table 36 Raw'!O47</f>
        <v>22.369558000000001</v>
      </c>
      <c r="M63" s="23">
        <f>'AEO 2023 Table 36 Raw'!P47</f>
        <v>22.367563000000001</v>
      </c>
      <c r="N63" s="23">
        <f>'AEO 2023 Table 36 Raw'!Q47</f>
        <v>22.365911000000001</v>
      </c>
      <c r="O63" s="23">
        <f>'AEO 2023 Table 36 Raw'!R47</f>
        <v>22.364546000000001</v>
      </c>
      <c r="P63" s="23">
        <f>'AEO 2023 Table 36 Raw'!S47</f>
        <v>22.363416999999998</v>
      </c>
      <c r="Q63" s="23">
        <f>'AEO 2023 Table 36 Raw'!T47</f>
        <v>22.362480000000001</v>
      </c>
      <c r="R63" s="23">
        <f>'AEO 2023 Table 36 Raw'!U47</f>
        <v>22.361708</v>
      </c>
      <c r="S63" s="23">
        <f>'AEO 2023 Table 36 Raw'!V47</f>
        <v>22.361066999999998</v>
      </c>
      <c r="T63" s="23">
        <f>'AEO 2023 Table 36 Raw'!W47</f>
        <v>22.360537999999998</v>
      </c>
      <c r="U63" s="23">
        <f>'AEO 2023 Table 36 Raw'!X47</f>
        <v>22.360099999999999</v>
      </c>
      <c r="V63" s="23">
        <f>'AEO 2023 Table 36 Raw'!Y47</f>
        <v>22.359736999999999</v>
      </c>
      <c r="W63" s="23">
        <f>'AEO 2023 Table 36 Raw'!Z47</f>
        <v>22.359438000000001</v>
      </c>
      <c r="X63" s="23">
        <f>'AEO 2023 Table 36 Raw'!AA47</f>
        <v>22.359190000000002</v>
      </c>
      <c r="Y63" s="23">
        <f>'AEO 2023 Table 36 Raw'!AB47</f>
        <v>22.358984</v>
      </c>
      <c r="Z63" s="23">
        <f>'AEO 2023 Table 36 Raw'!AC47</f>
        <v>22.358813999999999</v>
      </c>
      <c r="AA63" s="23">
        <f>'AEO 2023 Table 36 Raw'!AD47</f>
        <v>22.358673</v>
      </c>
      <c r="AB63" s="23">
        <f>'AEO 2023 Table 36 Raw'!AE47</f>
        <v>22.358557000000001</v>
      </c>
      <c r="AC63" s="23">
        <f>'AEO 2023 Table 36 Raw'!AF47</f>
        <v>22.358460999999998</v>
      </c>
      <c r="AD63" s="23">
        <f>'AEO 2023 Table 36 Raw'!AG47</f>
        <v>22.358381000000001</v>
      </c>
      <c r="AE63" s="23">
        <f>'AEO 2023 Table 36 Raw'!AH47</f>
        <v>22.358315000000001</v>
      </c>
      <c r="AF63" s="28">
        <f>'AEO 2023 Table 36 Raw'!AI47</f>
        <v>0</v>
      </c>
    </row>
    <row r="64" spans="1:32" ht="12" customHeight="1">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8"/>
    </row>
    <row r="65" spans="1:32" ht="15" customHeight="1">
      <c r="A65" s="18" t="s">
        <v>795</v>
      </c>
      <c r="B65" s="20" t="s">
        <v>617</v>
      </c>
      <c r="C65" s="23">
        <f>'AEO 2023 Table 36 Raw'!F48</f>
        <v>430.83187900000001</v>
      </c>
      <c r="D65" s="23">
        <f>'AEO 2023 Table 36 Raw'!G48</f>
        <v>433.13122600000003</v>
      </c>
      <c r="E65" s="23">
        <f>'AEO 2023 Table 36 Raw'!H48</f>
        <v>433.96752900000001</v>
      </c>
      <c r="F65" s="23">
        <f>'AEO 2023 Table 36 Raw'!I48</f>
        <v>434.62820399999998</v>
      </c>
      <c r="G65" s="23">
        <f>'AEO 2023 Table 36 Raw'!J48</f>
        <v>435.16168199999998</v>
      </c>
      <c r="H65" s="23">
        <f>'AEO 2023 Table 36 Raw'!K48</f>
        <v>435.947113</v>
      </c>
      <c r="I65" s="23">
        <f>'AEO 2023 Table 36 Raw'!L48</f>
        <v>436.50567599999999</v>
      </c>
      <c r="J65" s="23">
        <f>'AEO 2023 Table 36 Raw'!M48</f>
        <v>436.95120200000002</v>
      </c>
      <c r="K65" s="23">
        <f>'AEO 2023 Table 36 Raw'!N48</f>
        <v>437.33203099999997</v>
      </c>
      <c r="L65" s="23">
        <f>'AEO 2023 Table 36 Raw'!O48</f>
        <v>437.57638500000002</v>
      </c>
      <c r="M65" s="23">
        <f>'AEO 2023 Table 36 Raw'!P48</f>
        <v>437.74392699999999</v>
      </c>
      <c r="N65" s="23">
        <f>'AEO 2023 Table 36 Raw'!Q48</f>
        <v>437.826752</v>
      </c>
      <c r="O65" s="23">
        <f>'AEO 2023 Table 36 Raw'!R48</f>
        <v>437.85824600000001</v>
      </c>
      <c r="P65" s="23">
        <f>'AEO 2023 Table 36 Raw'!S48</f>
        <v>437.879456</v>
      </c>
      <c r="Q65" s="23">
        <f>'AEO 2023 Table 36 Raw'!T48</f>
        <v>438.00381499999997</v>
      </c>
      <c r="R65" s="23">
        <f>'AEO 2023 Table 36 Raw'!U48</f>
        <v>438.20288099999999</v>
      </c>
      <c r="S65" s="23">
        <f>'AEO 2023 Table 36 Raw'!V48</f>
        <v>438.41198700000001</v>
      </c>
      <c r="T65" s="23">
        <f>'AEO 2023 Table 36 Raw'!W48</f>
        <v>438.63055400000002</v>
      </c>
      <c r="U65" s="23">
        <f>'AEO 2023 Table 36 Raw'!X48</f>
        <v>438.85791</v>
      </c>
      <c r="V65" s="23">
        <f>'AEO 2023 Table 36 Raw'!Y48</f>
        <v>439.09307899999999</v>
      </c>
      <c r="W65" s="23">
        <f>'AEO 2023 Table 36 Raw'!Z48</f>
        <v>439.33535799999999</v>
      </c>
      <c r="X65" s="23">
        <f>'AEO 2023 Table 36 Raw'!AA48</f>
        <v>439.584137</v>
      </c>
      <c r="Y65" s="23">
        <f>'AEO 2023 Table 36 Raw'!AB48</f>
        <v>439.83880599999998</v>
      </c>
      <c r="Z65" s="23">
        <f>'AEO 2023 Table 36 Raw'!AC48</f>
        <v>440.09887700000002</v>
      </c>
      <c r="AA65" s="23">
        <f>'AEO 2023 Table 36 Raw'!AD48</f>
        <v>440.36389200000002</v>
      </c>
      <c r="AB65" s="23">
        <f>'AEO 2023 Table 36 Raw'!AE48</f>
        <v>440.63324</v>
      </c>
      <c r="AC65" s="23">
        <f>'AEO 2023 Table 36 Raw'!AF48</f>
        <v>440.906677</v>
      </c>
      <c r="AD65" s="23">
        <f>'AEO 2023 Table 36 Raw'!AG48</f>
        <v>441.18383799999998</v>
      </c>
      <c r="AE65" s="23">
        <f>'AEO 2023 Table 36 Raw'!AH48</f>
        <v>441.46450800000002</v>
      </c>
      <c r="AF65" s="28">
        <f>'AEO 2023 Table 36 Raw'!AI48</f>
        <v>1E-3</v>
      </c>
    </row>
    <row r="66" spans="1:32" ht="15" customHeight="1">
      <c r="A66" s="18" t="s">
        <v>796</v>
      </c>
      <c r="B66" s="21" t="s">
        <v>797</v>
      </c>
      <c r="C66" s="23">
        <f>'AEO 2023 Table 36 Raw'!F49</f>
        <v>334.448914</v>
      </c>
      <c r="D66" s="23">
        <f>'AEO 2023 Table 36 Raw'!G49</f>
        <v>336.233856</v>
      </c>
      <c r="E66" s="23">
        <f>'AEO 2023 Table 36 Raw'!H49</f>
        <v>336.88305700000001</v>
      </c>
      <c r="F66" s="23">
        <f>'AEO 2023 Table 36 Raw'!I49</f>
        <v>337.39593500000001</v>
      </c>
      <c r="G66" s="23">
        <f>'AEO 2023 Table 36 Raw'!J49</f>
        <v>337.81005900000002</v>
      </c>
      <c r="H66" s="23">
        <f>'AEO 2023 Table 36 Raw'!K49</f>
        <v>338.41980000000001</v>
      </c>
      <c r="I66" s="23">
        <f>'AEO 2023 Table 36 Raw'!L49</f>
        <v>338.85339399999998</v>
      </c>
      <c r="J66" s="23">
        <f>'AEO 2023 Table 36 Raw'!M49</f>
        <v>339.19924900000001</v>
      </c>
      <c r="K66" s="23">
        <f>'AEO 2023 Table 36 Raw'!N49</f>
        <v>339.49490400000002</v>
      </c>
      <c r="L66" s="23">
        <f>'AEO 2023 Table 36 Raw'!O49</f>
        <v>339.68457000000001</v>
      </c>
      <c r="M66" s="23">
        <f>'AEO 2023 Table 36 Raw'!P49</f>
        <v>339.81463600000001</v>
      </c>
      <c r="N66" s="23">
        <f>'AEO 2023 Table 36 Raw'!Q49</f>
        <v>339.87893700000001</v>
      </c>
      <c r="O66" s="23">
        <f>'AEO 2023 Table 36 Raw'!R49</f>
        <v>339.90338100000002</v>
      </c>
      <c r="P66" s="23">
        <f>'AEO 2023 Table 36 Raw'!S49</f>
        <v>339.91986100000003</v>
      </c>
      <c r="Q66" s="23">
        <f>'AEO 2023 Table 36 Raw'!T49</f>
        <v>340.01638800000001</v>
      </c>
      <c r="R66" s="23">
        <f>'AEO 2023 Table 36 Raw'!U49</f>
        <v>340.170929</v>
      </c>
      <c r="S66" s="23">
        <f>'AEO 2023 Table 36 Raw'!V49</f>
        <v>340.33325200000002</v>
      </c>
      <c r="T66" s="23">
        <f>'AEO 2023 Table 36 Raw'!W49</f>
        <v>340.50292999999999</v>
      </c>
      <c r="U66" s="23">
        <f>'AEO 2023 Table 36 Raw'!X49</f>
        <v>340.67941300000001</v>
      </c>
      <c r="V66" s="23">
        <f>'AEO 2023 Table 36 Raw'!Y49</f>
        <v>340.86196899999999</v>
      </c>
      <c r="W66" s="23">
        <f>'AEO 2023 Table 36 Raw'!Z49</f>
        <v>341.050049</v>
      </c>
      <c r="X66" s="23">
        <f>'AEO 2023 Table 36 Raw'!AA49</f>
        <v>341.24316399999998</v>
      </c>
      <c r="Y66" s="23">
        <f>'AEO 2023 Table 36 Raw'!AB49</f>
        <v>341.44085699999999</v>
      </c>
      <c r="Z66" s="23">
        <f>'AEO 2023 Table 36 Raw'!AC49</f>
        <v>341.64276100000001</v>
      </c>
      <c r="AA66" s="23">
        <f>'AEO 2023 Table 36 Raw'!AD49</f>
        <v>341.84848</v>
      </c>
      <c r="AB66" s="23">
        <f>'AEO 2023 Table 36 Raw'!AE49</f>
        <v>342.05758700000001</v>
      </c>
      <c r="AC66" s="23">
        <f>'AEO 2023 Table 36 Raw'!AF49</f>
        <v>342.269836</v>
      </c>
      <c r="AD66" s="23">
        <f>'AEO 2023 Table 36 Raw'!AG49</f>
        <v>342.48501599999997</v>
      </c>
      <c r="AE66" s="23">
        <f>'AEO 2023 Table 36 Raw'!AH49</f>
        <v>342.70288099999999</v>
      </c>
      <c r="AF66" s="28">
        <f>'AEO 2023 Table 36 Raw'!AI49</f>
        <v>1E-3</v>
      </c>
    </row>
    <row r="67" spans="1:32" ht="15" customHeight="1">
      <c r="A67" s="18" t="s">
        <v>798</v>
      </c>
      <c r="B67" s="21" t="s">
        <v>775</v>
      </c>
      <c r="C67" s="23">
        <f>'AEO 2023 Table 36 Raw'!F50</f>
        <v>0</v>
      </c>
      <c r="D67" s="23">
        <f>'AEO 2023 Table 36 Raw'!G50</f>
        <v>0</v>
      </c>
      <c r="E67" s="23">
        <f>'AEO 2023 Table 36 Raw'!H50</f>
        <v>0</v>
      </c>
      <c r="F67" s="23">
        <f>'AEO 2023 Table 36 Raw'!I50</f>
        <v>0</v>
      </c>
      <c r="G67" s="23">
        <f>'AEO 2023 Table 36 Raw'!J50</f>
        <v>0</v>
      </c>
      <c r="H67" s="23">
        <f>'AEO 2023 Table 36 Raw'!K50</f>
        <v>0</v>
      </c>
      <c r="I67" s="23">
        <f>'AEO 2023 Table 36 Raw'!L50</f>
        <v>0</v>
      </c>
      <c r="J67" s="23">
        <f>'AEO 2023 Table 36 Raw'!M50</f>
        <v>0</v>
      </c>
      <c r="K67" s="23">
        <f>'AEO 2023 Table 36 Raw'!N50</f>
        <v>0</v>
      </c>
      <c r="L67" s="23">
        <f>'AEO 2023 Table 36 Raw'!O50</f>
        <v>0</v>
      </c>
      <c r="M67" s="23">
        <f>'AEO 2023 Table 36 Raw'!P50</f>
        <v>0</v>
      </c>
      <c r="N67" s="23">
        <f>'AEO 2023 Table 36 Raw'!Q50</f>
        <v>0</v>
      </c>
      <c r="O67" s="23">
        <f>'AEO 2023 Table 36 Raw'!R50</f>
        <v>0</v>
      </c>
      <c r="P67" s="23">
        <f>'AEO 2023 Table 36 Raw'!S50</f>
        <v>0</v>
      </c>
      <c r="Q67" s="23">
        <f>'AEO 2023 Table 36 Raw'!T50</f>
        <v>0</v>
      </c>
      <c r="R67" s="23">
        <f>'AEO 2023 Table 36 Raw'!U50</f>
        <v>0</v>
      </c>
      <c r="S67" s="23">
        <f>'AEO 2023 Table 36 Raw'!V50</f>
        <v>0</v>
      </c>
      <c r="T67" s="23">
        <f>'AEO 2023 Table 36 Raw'!W50</f>
        <v>0</v>
      </c>
      <c r="U67" s="23">
        <f>'AEO 2023 Table 36 Raw'!X50</f>
        <v>0</v>
      </c>
      <c r="V67" s="23">
        <f>'AEO 2023 Table 36 Raw'!Y50</f>
        <v>0</v>
      </c>
      <c r="W67" s="23">
        <f>'AEO 2023 Table 36 Raw'!Z50</f>
        <v>0</v>
      </c>
      <c r="X67" s="23">
        <f>'AEO 2023 Table 36 Raw'!AA50</f>
        <v>0</v>
      </c>
      <c r="Y67" s="23">
        <f>'AEO 2023 Table 36 Raw'!AB50</f>
        <v>0</v>
      </c>
      <c r="Z67" s="23">
        <f>'AEO 2023 Table 36 Raw'!AC50</f>
        <v>0</v>
      </c>
      <c r="AA67" s="23">
        <f>'AEO 2023 Table 36 Raw'!AD50</f>
        <v>0</v>
      </c>
      <c r="AB67" s="23">
        <f>'AEO 2023 Table 36 Raw'!AE50</f>
        <v>0</v>
      </c>
      <c r="AC67" s="23">
        <f>'AEO 2023 Table 36 Raw'!AF50</f>
        <v>0</v>
      </c>
      <c r="AD67" s="23">
        <f>'AEO 2023 Table 36 Raw'!AG50</f>
        <v>0</v>
      </c>
      <c r="AE67" s="23">
        <f>'AEO 2023 Table 36 Raw'!AH50</f>
        <v>0</v>
      </c>
      <c r="AF67" s="28" t="str">
        <f>'AEO 2023 Table 36 Raw'!AI50</f>
        <v>- -</v>
      </c>
    </row>
    <row r="68" spans="1:32" ht="15" customHeight="1">
      <c r="A68" s="18" t="s">
        <v>799</v>
      </c>
      <c r="B68" s="21" t="s">
        <v>800</v>
      </c>
      <c r="C68" s="23">
        <f>'AEO 2023 Table 36 Raw'!F51</f>
        <v>96.382973000000007</v>
      </c>
      <c r="D68" s="23">
        <f>'AEO 2023 Table 36 Raw'!G51</f>
        <v>96.897368999999998</v>
      </c>
      <c r="E68" s="23">
        <f>'AEO 2023 Table 36 Raw'!H51</f>
        <v>97.084457</v>
      </c>
      <c r="F68" s="23">
        <f>'AEO 2023 Table 36 Raw'!I51</f>
        <v>97.232269000000002</v>
      </c>
      <c r="G68" s="23">
        <f>'AEO 2023 Table 36 Raw'!J51</f>
        <v>97.351607999999999</v>
      </c>
      <c r="H68" s="23">
        <f>'AEO 2023 Table 36 Raw'!K51</f>
        <v>97.527321000000001</v>
      </c>
      <c r="I68" s="23">
        <f>'AEO 2023 Table 36 Raw'!L51</f>
        <v>97.652275000000003</v>
      </c>
      <c r="J68" s="23">
        <f>'AEO 2023 Table 36 Raw'!M51</f>
        <v>97.751960999999994</v>
      </c>
      <c r="K68" s="23">
        <f>'AEO 2023 Table 36 Raw'!N51</f>
        <v>97.837142999999998</v>
      </c>
      <c r="L68" s="23">
        <f>'AEO 2023 Table 36 Raw'!O51</f>
        <v>97.891814999999994</v>
      </c>
      <c r="M68" s="23">
        <f>'AEO 2023 Table 36 Raw'!P51</f>
        <v>97.929291000000006</v>
      </c>
      <c r="N68" s="23">
        <f>'AEO 2023 Table 36 Raw'!Q51</f>
        <v>97.947815000000006</v>
      </c>
      <c r="O68" s="23">
        <f>'AEO 2023 Table 36 Raw'!R51</f>
        <v>97.954857000000004</v>
      </c>
      <c r="P68" s="23">
        <f>'AEO 2023 Table 36 Raw'!S51</f>
        <v>97.959594999999993</v>
      </c>
      <c r="Q68" s="23">
        <f>'AEO 2023 Table 36 Raw'!T51</f>
        <v>97.987419000000003</v>
      </c>
      <c r="R68" s="23">
        <f>'AEO 2023 Table 36 Raw'!U51</f>
        <v>98.031966999999995</v>
      </c>
      <c r="S68" s="23">
        <f>'AEO 2023 Table 36 Raw'!V51</f>
        <v>98.078743000000003</v>
      </c>
      <c r="T68" s="23">
        <f>'AEO 2023 Table 36 Raw'!W51</f>
        <v>98.12764</v>
      </c>
      <c r="U68" s="23">
        <f>'AEO 2023 Table 36 Raw'!X51</f>
        <v>98.178512999999995</v>
      </c>
      <c r="V68" s="23">
        <f>'AEO 2023 Table 36 Raw'!Y51</f>
        <v>98.231116999999998</v>
      </c>
      <c r="W68" s="23">
        <f>'AEO 2023 Table 36 Raw'!Z51</f>
        <v>98.285308999999998</v>
      </c>
      <c r="X68" s="23">
        <f>'AEO 2023 Table 36 Raw'!AA51</f>
        <v>98.340964999999997</v>
      </c>
      <c r="Y68" s="23">
        <f>'AEO 2023 Table 36 Raw'!AB51</f>
        <v>98.397942</v>
      </c>
      <c r="Z68" s="23">
        <f>'AEO 2023 Table 36 Raw'!AC51</f>
        <v>98.456130999999999</v>
      </c>
      <c r="AA68" s="23">
        <f>'AEO 2023 Table 36 Raw'!AD51</f>
        <v>98.515411</v>
      </c>
      <c r="AB68" s="23">
        <f>'AEO 2023 Table 36 Raw'!AE51</f>
        <v>98.575667999999993</v>
      </c>
      <c r="AC68" s="23">
        <f>'AEO 2023 Table 36 Raw'!AF51</f>
        <v>98.636825999999999</v>
      </c>
      <c r="AD68" s="23">
        <f>'AEO 2023 Table 36 Raw'!AG51</f>
        <v>98.698836999999997</v>
      </c>
      <c r="AE68" s="23">
        <f>'AEO 2023 Table 36 Raw'!AH51</f>
        <v>98.761627000000004</v>
      </c>
      <c r="AF68" s="28">
        <f>'AEO 2023 Table 36 Raw'!AI51</f>
        <v>1E-3</v>
      </c>
    </row>
    <row r="69" spans="1:32" ht="12" customHeight="1">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8"/>
    </row>
    <row r="70" spans="1:32" ht="15" customHeight="1">
      <c r="A70" s="18" t="s">
        <v>801</v>
      </c>
      <c r="B70" s="20" t="s">
        <v>628</v>
      </c>
      <c r="C70" s="23">
        <f>'AEO 2023 Table 36 Raw'!F52</f>
        <v>210.97721899999999</v>
      </c>
      <c r="D70" s="23">
        <f>'AEO 2023 Table 36 Raw'!G52</f>
        <v>220.80746500000001</v>
      </c>
      <c r="E70" s="23">
        <f>'AEO 2023 Table 36 Raw'!H52</f>
        <v>225.15119899999999</v>
      </c>
      <c r="F70" s="23">
        <f>'AEO 2023 Table 36 Raw'!I52</f>
        <v>225.93090799999999</v>
      </c>
      <c r="G70" s="23">
        <f>'AEO 2023 Table 36 Raw'!J52</f>
        <v>226.441757</v>
      </c>
      <c r="H70" s="23">
        <f>'AEO 2023 Table 36 Raw'!K52</f>
        <v>226.74642900000001</v>
      </c>
      <c r="I70" s="23">
        <f>'AEO 2023 Table 36 Raw'!L52</f>
        <v>226.787048</v>
      </c>
      <c r="J70" s="23">
        <f>'AEO 2023 Table 36 Raw'!M52</f>
        <v>226.390717</v>
      </c>
      <c r="K70" s="23">
        <f>'AEO 2023 Table 36 Raw'!N52</f>
        <v>225.62441999999999</v>
      </c>
      <c r="L70" s="23">
        <f>'AEO 2023 Table 36 Raw'!O52</f>
        <v>224.46057099999999</v>
      </c>
      <c r="M70" s="23">
        <f>'AEO 2023 Table 36 Raw'!P52</f>
        <v>223.250336</v>
      </c>
      <c r="N70" s="23">
        <f>'AEO 2023 Table 36 Raw'!Q52</f>
        <v>223.04595900000001</v>
      </c>
      <c r="O70" s="23">
        <f>'AEO 2023 Table 36 Raw'!R52</f>
        <v>222.35723899999999</v>
      </c>
      <c r="P70" s="23">
        <f>'AEO 2023 Table 36 Raw'!S52</f>
        <v>221.455566</v>
      </c>
      <c r="Q70" s="23">
        <f>'AEO 2023 Table 36 Raw'!T52</f>
        <v>220.40602100000001</v>
      </c>
      <c r="R70" s="23">
        <f>'AEO 2023 Table 36 Raw'!U52</f>
        <v>218.77555799999999</v>
      </c>
      <c r="S70" s="23">
        <f>'AEO 2023 Table 36 Raw'!V52</f>
        <v>217.16113300000001</v>
      </c>
      <c r="T70" s="23">
        <f>'AEO 2023 Table 36 Raw'!W52</f>
        <v>215.39122</v>
      </c>
      <c r="U70" s="23">
        <f>'AEO 2023 Table 36 Raw'!X52</f>
        <v>213.471802</v>
      </c>
      <c r="V70" s="23">
        <f>'AEO 2023 Table 36 Raw'!Y52</f>
        <v>211.40820299999999</v>
      </c>
      <c r="W70" s="23">
        <f>'AEO 2023 Table 36 Raw'!Z52</f>
        <v>209.23976099999999</v>
      </c>
      <c r="X70" s="23">
        <f>'AEO 2023 Table 36 Raw'!AA52</f>
        <v>206.76431299999999</v>
      </c>
      <c r="Y70" s="23">
        <f>'AEO 2023 Table 36 Raw'!AB52</f>
        <v>204.38597100000001</v>
      </c>
      <c r="Z70" s="23">
        <f>'AEO 2023 Table 36 Raw'!AC52</f>
        <v>201.858643</v>
      </c>
      <c r="AA70" s="23">
        <f>'AEO 2023 Table 36 Raw'!AD52</f>
        <v>199.42544599999999</v>
      </c>
      <c r="AB70" s="23">
        <f>'AEO 2023 Table 36 Raw'!AE52</f>
        <v>196.48846399999999</v>
      </c>
      <c r="AC70" s="23">
        <f>'AEO 2023 Table 36 Raw'!AF52</f>
        <v>193.40808100000001</v>
      </c>
      <c r="AD70" s="23">
        <f>'AEO 2023 Table 36 Raw'!AG52</f>
        <v>189.779068</v>
      </c>
      <c r="AE70" s="23">
        <f>'AEO 2023 Table 36 Raw'!AH52</f>
        <v>186.44667100000001</v>
      </c>
      <c r="AF70" s="28">
        <f>'AEO 2023 Table 36 Raw'!AI52</f>
        <v>-4.0000000000000001E-3</v>
      </c>
    </row>
    <row r="71" spans="1:32" ht="15" customHeight="1">
      <c r="A71" s="18" t="s">
        <v>802</v>
      </c>
      <c r="B71" s="21" t="s">
        <v>803</v>
      </c>
      <c r="C71" s="23">
        <f>'AEO 2023 Table 36 Raw'!F53</f>
        <v>92.212233999999995</v>
      </c>
      <c r="D71" s="23">
        <f>'AEO 2023 Table 36 Raw'!G53</f>
        <v>95.837829999999997</v>
      </c>
      <c r="E71" s="23">
        <f>'AEO 2023 Table 36 Raw'!H53</f>
        <v>98.320953000000003</v>
      </c>
      <c r="F71" s="23">
        <f>'AEO 2023 Table 36 Raw'!I53</f>
        <v>98.870079000000004</v>
      </c>
      <c r="G71" s="23">
        <f>'AEO 2023 Table 36 Raw'!J53</f>
        <v>99.844643000000005</v>
      </c>
      <c r="H71" s="23">
        <f>'AEO 2023 Table 36 Raw'!K53</f>
        <v>100.614418</v>
      </c>
      <c r="I71" s="23">
        <f>'AEO 2023 Table 36 Raw'!L53</f>
        <v>101.247078</v>
      </c>
      <c r="J71" s="23">
        <f>'AEO 2023 Table 36 Raw'!M53</f>
        <v>101.616623</v>
      </c>
      <c r="K71" s="23">
        <f>'AEO 2023 Table 36 Raw'!N53</f>
        <v>101.724174</v>
      </c>
      <c r="L71" s="23">
        <f>'AEO 2023 Table 36 Raw'!O53</f>
        <v>101.53801</v>
      </c>
      <c r="M71" s="23">
        <f>'AEO 2023 Table 36 Raw'!P53</f>
        <v>101.311256</v>
      </c>
      <c r="N71" s="23">
        <f>'AEO 2023 Table 36 Raw'!Q53</f>
        <v>100.97640199999999</v>
      </c>
      <c r="O71" s="23">
        <f>'AEO 2023 Table 36 Raw'!R53</f>
        <v>100.756874</v>
      </c>
      <c r="P71" s="23">
        <f>'AEO 2023 Table 36 Raw'!S53</f>
        <v>100.295074</v>
      </c>
      <c r="Q71" s="23">
        <f>'AEO 2023 Table 36 Raw'!T53</f>
        <v>99.678466999999998</v>
      </c>
      <c r="R71" s="23">
        <f>'AEO 2023 Table 36 Raw'!U53</f>
        <v>98.421806000000004</v>
      </c>
      <c r="S71" s="23">
        <f>'AEO 2023 Table 36 Raw'!V53</f>
        <v>97.683716000000004</v>
      </c>
      <c r="T71" s="23">
        <f>'AEO 2023 Table 36 Raw'!W53</f>
        <v>96.918678</v>
      </c>
      <c r="U71" s="23">
        <f>'AEO 2023 Table 36 Raw'!X53</f>
        <v>96.071006999999994</v>
      </c>
      <c r="V71" s="23">
        <f>'AEO 2023 Table 36 Raw'!Y53</f>
        <v>95.130722000000006</v>
      </c>
      <c r="W71" s="23">
        <f>'AEO 2023 Table 36 Raw'!Z53</f>
        <v>94.233086</v>
      </c>
      <c r="X71" s="23">
        <f>'AEO 2023 Table 36 Raw'!AA53</f>
        <v>93.123824999999997</v>
      </c>
      <c r="Y71" s="23">
        <f>'AEO 2023 Table 36 Raw'!AB53</f>
        <v>92.204300000000003</v>
      </c>
      <c r="Z71" s="23">
        <f>'AEO 2023 Table 36 Raw'!AC53</f>
        <v>91.250327999999996</v>
      </c>
      <c r="AA71" s="23">
        <f>'AEO 2023 Table 36 Raw'!AD53</f>
        <v>90.658730000000006</v>
      </c>
      <c r="AB71" s="23">
        <f>'AEO 2023 Table 36 Raw'!AE53</f>
        <v>89.694473000000002</v>
      </c>
      <c r="AC71" s="23">
        <f>'AEO 2023 Table 36 Raw'!AF53</f>
        <v>88.826485000000005</v>
      </c>
      <c r="AD71" s="23">
        <f>'AEO 2023 Table 36 Raw'!AG53</f>
        <v>87.819648999999998</v>
      </c>
      <c r="AE71" s="23">
        <f>'AEO 2023 Table 36 Raw'!AH53</f>
        <v>86.904647999999995</v>
      </c>
      <c r="AF71" s="28">
        <f>'AEO 2023 Table 36 Raw'!AI53</f>
        <v>-2E-3</v>
      </c>
    </row>
    <row r="72" spans="1:32" ht="15" customHeight="1">
      <c r="A72" s="18" t="s">
        <v>804</v>
      </c>
      <c r="B72" s="21" t="s">
        <v>805</v>
      </c>
      <c r="C72" s="23">
        <f>'AEO 2023 Table 36 Raw'!F54</f>
        <v>12.007432</v>
      </c>
      <c r="D72" s="23">
        <f>'AEO 2023 Table 36 Raw'!G54</f>
        <v>12.465114</v>
      </c>
      <c r="E72" s="23">
        <f>'AEO 2023 Table 36 Raw'!H54</f>
        <v>12.775763</v>
      </c>
      <c r="F72" s="23">
        <f>'AEO 2023 Table 36 Raw'!I54</f>
        <v>12.835153999999999</v>
      </c>
      <c r="G72" s="23">
        <f>'AEO 2023 Table 36 Raw'!J54</f>
        <v>12.958027</v>
      </c>
      <c r="H72" s="23">
        <f>'AEO 2023 Table 36 Raw'!K54</f>
        <v>13.056922</v>
      </c>
      <c r="I72" s="23">
        <f>'AEO 2023 Table 36 Raw'!L54</f>
        <v>13.141268999999999</v>
      </c>
      <c r="J72" s="23">
        <f>'AEO 2023 Table 36 Raw'!M54</f>
        <v>13.190033</v>
      </c>
      <c r="K72" s="23">
        <f>'AEO 2023 Table 36 Raw'!N54</f>
        <v>13.202685000000001</v>
      </c>
      <c r="L72" s="23">
        <f>'AEO 2023 Table 36 Raw'!O54</f>
        <v>13.177554000000001</v>
      </c>
      <c r="M72" s="23">
        <f>'AEO 2023 Table 36 Raw'!P54</f>
        <v>13.150479000000001</v>
      </c>
      <c r="N72" s="23">
        <f>'AEO 2023 Table 36 Raw'!Q54</f>
        <v>13.109432999999999</v>
      </c>
      <c r="O72" s="23">
        <f>'AEO 2023 Table 36 Raw'!R54</f>
        <v>13.083599</v>
      </c>
      <c r="P72" s="23">
        <f>'AEO 2023 Table 36 Raw'!S54</f>
        <v>13.026247</v>
      </c>
      <c r="Q72" s="23">
        <f>'AEO 2023 Table 36 Raw'!T54</f>
        <v>12.949903000000001</v>
      </c>
      <c r="R72" s="23">
        <f>'AEO 2023 Table 36 Raw'!U54</f>
        <v>12.790073</v>
      </c>
      <c r="S72" s="23">
        <f>'AEO 2023 Table 36 Raw'!V54</f>
        <v>12.696982999999999</v>
      </c>
      <c r="T72" s="23">
        <f>'AEO 2023 Table 36 Raw'!W54</f>
        <v>12.600635</v>
      </c>
      <c r="U72" s="23">
        <f>'AEO 2023 Table 36 Raw'!X54</f>
        <v>12.493633000000001</v>
      </c>
      <c r="V72" s="23">
        <f>'AEO 2023 Table 36 Raw'!Y54</f>
        <v>12.374180000000001</v>
      </c>
      <c r="W72" s="23">
        <f>'AEO 2023 Table 36 Raw'!Z54</f>
        <v>12.260481</v>
      </c>
      <c r="X72" s="23">
        <f>'AEO 2023 Table 36 Raw'!AA54</f>
        <v>12.119045</v>
      </c>
      <c r="Y72" s="23">
        <f>'AEO 2023 Table 36 Raw'!AB54</f>
        <v>12.002355</v>
      </c>
      <c r="Z72" s="23">
        <f>'AEO 2023 Table 36 Raw'!AC54</f>
        <v>11.880788000000001</v>
      </c>
      <c r="AA72" s="23">
        <f>'AEO 2023 Table 36 Raw'!AD54</f>
        <v>11.808579999999999</v>
      </c>
      <c r="AB72" s="23">
        <f>'AEO 2023 Table 36 Raw'!AE54</f>
        <v>11.685587</v>
      </c>
      <c r="AC72" s="23">
        <f>'AEO 2023 Table 36 Raw'!AF54</f>
        <v>11.575792</v>
      </c>
      <c r="AD72" s="23">
        <f>'AEO 2023 Table 36 Raw'!AG54</f>
        <v>11.447132</v>
      </c>
      <c r="AE72" s="23">
        <f>'AEO 2023 Table 36 Raw'!AH54</f>
        <v>11.331303999999999</v>
      </c>
      <c r="AF72" s="28">
        <f>'AEO 2023 Table 36 Raw'!AI54</f>
        <v>-2E-3</v>
      </c>
    </row>
    <row r="73" spans="1:32" ht="15" customHeight="1">
      <c r="A73" s="18" t="s">
        <v>806</v>
      </c>
      <c r="B73" s="21" t="s">
        <v>807</v>
      </c>
      <c r="C73" s="23">
        <f>'AEO 2023 Table 36 Raw'!F55</f>
        <v>7.4320000000000002E-3</v>
      </c>
      <c r="D73" s="23">
        <f>'AEO 2023 Table 36 Raw'!G55</f>
        <v>7.7629999999999999E-3</v>
      </c>
      <c r="E73" s="23">
        <f>'AEO 2023 Table 36 Raw'!H55</f>
        <v>7.9489999999999995E-3</v>
      </c>
      <c r="F73" s="23">
        <f>'AEO 2023 Table 36 Raw'!I55</f>
        <v>8.0289999999999997E-3</v>
      </c>
      <c r="G73" s="23">
        <f>'AEO 2023 Table 36 Raw'!J55</f>
        <v>8.1410000000000007E-3</v>
      </c>
      <c r="H73" s="23">
        <f>'AEO 2023 Table 36 Raw'!K55</f>
        <v>8.2100000000000003E-3</v>
      </c>
      <c r="I73" s="23">
        <f>'AEO 2023 Table 36 Raw'!L55</f>
        <v>8.2570000000000005E-3</v>
      </c>
      <c r="J73" s="23">
        <f>'AEO 2023 Table 36 Raw'!M55</f>
        <v>8.2789999999999999E-3</v>
      </c>
      <c r="K73" s="23">
        <f>'AEO 2023 Table 36 Raw'!N55</f>
        <v>8.2830000000000004E-3</v>
      </c>
      <c r="L73" s="23">
        <f>'AEO 2023 Table 36 Raw'!O55</f>
        <v>8.2609999999999992E-3</v>
      </c>
      <c r="M73" s="23">
        <f>'AEO 2023 Table 36 Raw'!P55</f>
        <v>8.2290000000000002E-3</v>
      </c>
      <c r="N73" s="23">
        <f>'AEO 2023 Table 36 Raw'!Q55</f>
        <v>8.1890000000000001E-3</v>
      </c>
      <c r="O73" s="23">
        <f>'AEO 2023 Table 36 Raw'!R55</f>
        <v>8.1569999999999993E-3</v>
      </c>
      <c r="P73" s="23">
        <f>'AEO 2023 Table 36 Raw'!S55</f>
        <v>8.1069999999999996E-3</v>
      </c>
      <c r="Q73" s="23">
        <f>'AEO 2023 Table 36 Raw'!T55</f>
        <v>8.0420000000000005E-3</v>
      </c>
      <c r="R73" s="23">
        <f>'AEO 2023 Table 36 Raw'!U55</f>
        <v>7.9609999999999993E-3</v>
      </c>
      <c r="S73" s="23">
        <f>'AEO 2023 Table 36 Raw'!V55</f>
        <v>7.8829999999999994E-3</v>
      </c>
      <c r="T73" s="23">
        <f>'AEO 2023 Table 36 Raw'!W55</f>
        <v>7.803E-3</v>
      </c>
      <c r="U73" s="23">
        <f>'AEO 2023 Table 36 Raw'!X55</f>
        <v>7.7130000000000002E-3</v>
      </c>
      <c r="V73" s="23">
        <f>'AEO 2023 Table 36 Raw'!Y55</f>
        <v>7.6150000000000002E-3</v>
      </c>
      <c r="W73" s="23">
        <f>'AEO 2023 Table 36 Raw'!Z55</f>
        <v>7.5209999999999999E-3</v>
      </c>
      <c r="X73" s="23">
        <f>'AEO 2023 Table 36 Raw'!AA55</f>
        <v>7.3980000000000001E-3</v>
      </c>
      <c r="Y73" s="23">
        <f>'AEO 2023 Table 36 Raw'!AB55</f>
        <v>7.3070000000000001E-3</v>
      </c>
      <c r="Z73" s="23">
        <f>'AEO 2023 Table 36 Raw'!AC55</f>
        <v>7.2150000000000001E-3</v>
      </c>
      <c r="AA73" s="23">
        <f>'AEO 2023 Table 36 Raw'!AD55</f>
        <v>7.143E-3</v>
      </c>
      <c r="AB73" s="23">
        <f>'AEO 2023 Table 36 Raw'!AE55</f>
        <v>7.0499999999999998E-3</v>
      </c>
      <c r="AC73" s="23">
        <f>'AEO 2023 Table 36 Raw'!AF55</f>
        <v>6.9610000000000002E-3</v>
      </c>
      <c r="AD73" s="23">
        <f>'AEO 2023 Table 36 Raw'!AG55</f>
        <v>6.8640000000000003E-3</v>
      </c>
      <c r="AE73" s="23">
        <f>'AEO 2023 Table 36 Raw'!AH55</f>
        <v>6.7689999999999998E-3</v>
      </c>
      <c r="AF73" s="28">
        <f>'AEO 2023 Table 36 Raw'!AI55</f>
        <v>-3.0000000000000001E-3</v>
      </c>
    </row>
    <row r="74" spans="1:32" ht="15" customHeight="1">
      <c r="A74" s="18" t="s">
        <v>808</v>
      </c>
      <c r="B74" s="21" t="s">
        <v>809</v>
      </c>
      <c r="C74" s="23">
        <f>'AEO 2023 Table 36 Raw'!F56</f>
        <v>52.012611</v>
      </c>
      <c r="D74" s="23">
        <f>'AEO 2023 Table 36 Raw'!G56</f>
        <v>54.015754999999999</v>
      </c>
      <c r="E74" s="23">
        <f>'AEO 2023 Table 36 Raw'!H56</f>
        <v>55.245651000000002</v>
      </c>
      <c r="F74" s="23">
        <f>'AEO 2023 Table 36 Raw'!I56</f>
        <v>55.522506999999997</v>
      </c>
      <c r="G74" s="23">
        <f>'AEO 2023 Table 36 Raw'!J56</f>
        <v>56.047764000000001</v>
      </c>
      <c r="H74" s="23">
        <f>'AEO 2023 Table 36 Raw'!K56</f>
        <v>56.442497000000003</v>
      </c>
      <c r="I74" s="23">
        <f>'AEO 2023 Table 36 Raw'!L56</f>
        <v>56.754584999999999</v>
      </c>
      <c r="J74" s="23">
        <f>'AEO 2023 Table 36 Raw'!M56</f>
        <v>56.903236</v>
      </c>
      <c r="K74" s="23">
        <f>'AEO 2023 Table 36 Raw'!N56</f>
        <v>56.888607</v>
      </c>
      <c r="L74" s="23">
        <f>'AEO 2023 Table 36 Raw'!O56</f>
        <v>56.712851999999998</v>
      </c>
      <c r="M74" s="23">
        <f>'AEO 2023 Table 36 Raw'!P56</f>
        <v>56.517417999999999</v>
      </c>
      <c r="N74" s="23">
        <f>'AEO 2023 Table 36 Raw'!Q56</f>
        <v>56.260185</v>
      </c>
      <c r="O74" s="23">
        <f>'AEO 2023 Table 36 Raw'!R56</f>
        <v>56.054282999999998</v>
      </c>
      <c r="P74" s="23">
        <f>'AEO 2023 Table 36 Raw'!S56</f>
        <v>55.704571000000001</v>
      </c>
      <c r="Q74" s="23">
        <f>'AEO 2023 Table 36 Raw'!T56</f>
        <v>55.261519999999997</v>
      </c>
      <c r="R74" s="23">
        <f>'AEO 2023 Table 36 Raw'!U56</f>
        <v>54.562843000000001</v>
      </c>
      <c r="S74" s="23">
        <f>'AEO 2023 Table 36 Raw'!V56</f>
        <v>54.018444000000002</v>
      </c>
      <c r="T74" s="23">
        <f>'AEO 2023 Table 36 Raw'!W56</f>
        <v>53.439864999999998</v>
      </c>
      <c r="U74" s="23">
        <f>'AEO 2023 Table 36 Raw'!X56</f>
        <v>52.799095000000001</v>
      </c>
      <c r="V74" s="23">
        <f>'AEO 2023 Table 36 Raw'!Y56</f>
        <v>52.084651999999998</v>
      </c>
      <c r="W74" s="23">
        <f>'AEO 2023 Table 36 Raw'!Z56</f>
        <v>51.363410999999999</v>
      </c>
      <c r="X74" s="23">
        <f>'AEO 2023 Table 36 Raw'!AA56</f>
        <v>50.487484000000002</v>
      </c>
      <c r="Y74" s="23">
        <f>'AEO 2023 Table 36 Raw'!AB56</f>
        <v>49.676124999999999</v>
      </c>
      <c r="Z74" s="23">
        <f>'AEO 2023 Table 36 Raw'!AC56</f>
        <v>48.788139000000001</v>
      </c>
      <c r="AA74" s="23">
        <f>'AEO 2023 Table 36 Raw'!AD56</f>
        <v>48.012000999999998</v>
      </c>
      <c r="AB74" s="23">
        <f>'AEO 2023 Table 36 Raw'!AE56</f>
        <v>46.925766000000003</v>
      </c>
      <c r="AC74" s="23">
        <f>'AEO 2023 Table 36 Raw'!AF56</f>
        <v>45.703896</v>
      </c>
      <c r="AD74" s="23">
        <f>'AEO 2023 Table 36 Raw'!AG56</f>
        <v>44.05574</v>
      </c>
      <c r="AE74" s="23">
        <f>'AEO 2023 Table 36 Raw'!AH56</f>
        <v>42.693801999999998</v>
      </c>
      <c r="AF74" s="28">
        <f>'AEO 2023 Table 36 Raw'!AI56</f>
        <v>-7.0000000000000001E-3</v>
      </c>
    </row>
    <row r="75" spans="1:32" ht="15" customHeight="1">
      <c r="A75" s="18" t="s">
        <v>810</v>
      </c>
      <c r="B75" s="21" t="s">
        <v>811</v>
      </c>
      <c r="C75" s="23">
        <f>'AEO 2023 Table 36 Raw'!F57</f>
        <v>26.102913000000001</v>
      </c>
      <c r="D75" s="23">
        <f>'AEO 2023 Table 36 Raw'!G57</f>
        <v>27.152719000000001</v>
      </c>
      <c r="E75" s="23">
        <f>'AEO 2023 Table 36 Raw'!H57</f>
        <v>27.997173</v>
      </c>
      <c r="F75" s="23">
        <f>'AEO 2023 Table 36 Raw'!I57</f>
        <v>28.156234999999999</v>
      </c>
      <c r="G75" s="23">
        <f>'AEO 2023 Table 36 Raw'!J57</f>
        <v>28.412040999999999</v>
      </c>
      <c r="H75" s="23">
        <f>'AEO 2023 Table 36 Raw'!K57</f>
        <v>28.617826000000001</v>
      </c>
      <c r="I75" s="23">
        <f>'AEO 2023 Table 36 Raw'!L57</f>
        <v>28.781718999999999</v>
      </c>
      <c r="J75" s="23">
        <f>'AEO 2023 Table 36 Raw'!M57</f>
        <v>28.881858999999999</v>
      </c>
      <c r="K75" s="23">
        <f>'AEO 2023 Table 36 Raw'!N57</f>
        <v>28.919270999999998</v>
      </c>
      <c r="L75" s="23">
        <f>'AEO 2023 Table 36 Raw'!O57</f>
        <v>28.863105999999998</v>
      </c>
      <c r="M75" s="23">
        <f>'AEO 2023 Table 36 Raw'!P57</f>
        <v>28.782406000000002</v>
      </c>
      <c r="N75" s="23">
        <f>'AEO 2023 Table 36 Raw'!Q57</f>
        <v>28.664639000000001</v>
      </c>
      <c r="O75" s="23">
        <f>'AEO 2023 Table 36 Raw'!R57</f>
        <v>28.58287</v>
      </c>
      <c r="P75" s="23">
        <f>'AEO 2023 Table 36 Raw'!S57</f>
        <v>28.431080000000001</v>
      </c>
      <c r="Q75" s="23">
        <f>'AEO 2023 Table 36 Raw'!T57</f>
        <v>28.230478000000002</v>
      </c>
      <c r="R75" s="23">
        <f>'AEO 2023 Table 36 Raw'!U57</f>
        <v>27.752499</v>
      </c>
      <c r="S75" s="23">
        <f>'AEO 2023 Table 36 Raw'!V57</f>
        <v>27.526546</v>
      </c>
      <c r="T75" s="23">
        <f>'AEO 2023 Table 36 Raw'!W57</f>
        <v>27.295058999999998</v>
      </c>
      <c r="U75" s="23">
        <f>'AEO 2023 Table 36 Raw'!X57</f>
        <v>27.037399000000001</v>
      </c>
      <c r="V75" s="23">
        <f>'AEO 2023 Table 36 Raw'!Y57</f>
        <v>26.753869999999999</v>
      </c>
      <c r="W75" s="23">
        <f>'AEO 2023 Table 36 Raw'!Z57</f>
        <v>26.484290999999999</v>
      </c>
      <c r="X75" s="23">
        <f>'AEO 2023 Table 36 Raw'!AA57</f>
        <v>26.160323999999999</v>
      </c>
      <c r="Y75" s="23">
        <f>'AEO 2023 Table 36 Raw'!AB57</f>
        <v>25.885159999999999</v>
      </c>
      <c r="Z75" s="23">
        <f>'AEO 2023 Table 36 Raw'!AC57</f>
        <v>25.601519</v>
      </c>
      <c r="AA75" s="23">
        <f>'AEO 2023 Table 36 Raw'!AD57</f>
        <v>25.421154000000001</v>
      </c>
      <c r="AB75" s="23">
        <f>'AEO 2023 Table 36 Raw'!AE57</f>
        <v>25.134627999999999</v>
      </c>
      <c r="AC75" s="23">
        <f>'AEO 2023 Table 36 Raw'!AF57</f>
        <v>24.876854000000002</v>
      </c>
      <c r="AD75" s="23">
        <f>'AEO 2023 Table 36 Raw'!AG57</f>
        <v>24.580860000000001</v>
      </c>
      <c r="AE75" s="23">
        <f>'AEO 2023 Table 36 Raw'!AH57</f>
        <v>24.309217</v>
      </c>
      <c r="AF75" s="28">
        <f>'AEO 2023 Table 36 Raw'!AI57</f>
        <v>-3.0000000000000001E-3</v>
      </c>
    </row>
    <row r="76" spans="1:32" ht="15" customHeight="1">
      <c r="A76" s="18" t="s">
        <v>812</v>
      </c>
      <c r="B76" s="21" t="s">
        <v>813</v>
      </c>
      <c r="C76" s="23">
        <f>'AEO 2023 Table 36 Raw'!F58</f>
        <v>1.4757659999999999</v>
      </c>
      <c r="D76" s="23">
        <f>'AEO 2023 Table 36 Raw'!G58</f>
        <v>1.5326839999999999</v>
      </c>
      <c r="E76" s="23">
        <f>'AEO 2023 Table 36 Raw'!H58</f>
        <v>1.572022</v>
      </c>
      <c r="F76" s="23">
        <f>'AEO 2023 Table 36 Raw'!I58</f>
        <v>1.5786210000000001</v>
      </c>
      <c r="G76" s="23">
        <f>'AEO 2023 Table 36 Raw'!J58</f>
        <v>1.5959749999999999</v>
      </c>
      <c r="H76" s="23">
        <f>'AEO 2023 Table 36 Raw'!K58</f>
        <v>1.6095010000000001</v>
      </c>
      <c r="I76" s="23">
        <f>'AEO 2023 Table 36 Raw'!L58</f>
        <v>1.6204449999999999</v>
      </c>
      <c r="J76" s="23">
        <f>'AEO 2023 Table 36 Raw'!M58</f>
        <v>1.6276649999999999</v>
      </c>
      <c r="K76" s="23">
        <f>'AEO 2023 Table 36 Raw'!N58</f>
        <v>1.6309739999999999</v>
      </c>
      <c r="L76" s="23">
        <f>'AEO 2023 Table 36 Raw'!O58</f>
        <v>1.629221</v>
      </c>
      <c r="M76" s="23">
        <f>'AEO 2023 Table 36 Raw'!P58</f>
        <v>1.6268180000000001</v>
      </c>
      <c r="N76" s="23">
        <f>'AEO 2023 Table 36 Raw'!Q58</f>
        <v>1.622336</v>
      </c>
      <c r="O76" s="23">
        <f>'AEO 2023 Table 36 Raw'!R58</f>
        <v>1.6196390000000001</v>
      </c>
      <c r="P76" s="23">
        <f>'AEO 2023 Table 36 Raw'!S58</f>
        <v>1.613038</v>
      </c>
      <c r="Q76" s="23">
        <f>'AEO 2023 Table 36 Raw'!T58</f>
        <v>1.6045199999999999</v>
      </c>
      <c r="R76" s="23">
        <f>'AEO 2023 Table 36 Raw'!U58</f>
        <v>1.5851</v>
      </c>
      <c r="S76" s="23">
        <f>'AEO 2023 Table 36 Raw'!V58</f>
        <v>1.57385</v>
      </c>
      <c r="T76" s="23">
        <f>'AEO 2023 Table 36 Raw'!W58</f>
        <v>1.56229</v>
      </c>
      <c r="U76" s="23">
        <f>'AEO 2023 Table 36 Raw'!X58</f>
        <v>1.549139</v>
      </c>
      <c r="V76" s="23">
        <f>'AEO 2023 Table 36 Raw'!Y58</f>
        <v>1.5342830000000001</v>
      </c>
      <c r="W76" s="23">
        <f>'AEO 2023 Table 36 Raw'!Z58</f>
        <v>1.520311</v>
      </c>
      <c r="X76" s="23">
        <f>'AEO 2023 Table 36 Raw'!AA58</f>
        <v>1.501987</v>
      </c>
      <c r="Y76" s="23">
        <f>'AEO 2023 Table 36 Raw'!AB58</f>
        <v>1.4879849999999999</v>
      </c>
      <c r="Z76" s="23">
        <f>'AEO 2023 Table 36 Raw'!AC58</f>
        <v>1.4732160000000001</v>
      </c>
      <c r="AA76" s="23">
        <f>'AEO 2023 Table 36 Raw'!AD58</f>
        <v>1.4655290000000001</v>
      </c>
      <c r="AB76" s="23">
        <f>'AEO 2023 Table 36 Raw'!AE58</f>
        <v>1.450458</v>
      </c>
      <c r="AC76" s="23">
        <f>'AEO 2023 Table 36 Raw'!AF58</f>
        <v>1.437376</v>
      </c>
      <c r="AD76" s="23">
        <f>'AEO 2023 Table 36 Raw'!AG58</f>
        <v>1.4216249999999999</v>
      </c>
      <c r="AE76" s="23">
        <f>'AEO 2023 Table 36 Raw'!AH58</f>
        <v>1.4077189999999999</v>
      </c>
      <c r="AF76" s="28">
        <f>'AEO 2023 Table 36 Raw'!AI58</f>
        <v>-2E-3</v>
      </c>
    </row>
    <row r="77" spans="1:32" ht="15" customHeight="1">
      <c r="A77" s="18" t="s">
        <v>814</v>
      </c>
      <c r="B77" s="21" t="s">
        <v>815</v>
      </c>
      <c r="C77" s="23">
        <f>'AEO 2023 Table 36 Raw'!F59</f>
        <v>0.58296300000000001</v>
      </c>
      <c r="D77" s="23">
        <f>'AEO 2023 Table 36 Raw'!G59</f>
        <v>0.63977200000000001</v>
      </c>
      <c r="E77" s="23">
        <f>'AEO 2023 Table 36 Raw'!H59</f>
        <v>0.69745900000000005</v>
      </c>
      <c r="F77" s="23">
        <f>'AEO 2023 Table 36 Raw'!I59</f>
        <v>0.74443499999999996</v>
      </c>
      <c r="G77" s="23">
        <f>'AEO 2023 Table 36 Raw'!J59</f>
        <v>0.79736899999999999</v>
      </c>
      <c r="H77" s="23">
        <f>'AEO 2023 Table 36 Raw'!K59</f>
        <v>0.85397599999999996</v>
      </c>
      <c r="I77" s="23">
        <f>'AEO 2023 Table 36 Raw'!L59</f>
        <v>0.91521699999999995</v>
      </c>
      <c r="J77" s="23">
        <f>'AEO 2023 Table 36 Raw'!M59</f>
        <v>0.97990200000000005</v>
      </c>
      <c r="K77" s="23">
        <f>'AEO 2023 Table 36 Raw'!N59</f>
        <v>1.0486899999999999</v>
      </c>
      <c r="L77" s="23">
        <f>'AEO 2023 Table 36 Raw'!O59</f>
        <v>1.1214440000000001</v>
      </c>
      <c r="M77" s="23">
        <f>'AEO 2023 Table 36 Raw'!P59</f>
        <v>1.2004459999999999</v>
      </c>
      <c r="N77" s="23">
        <f>'AEO 2023 Table 36 Raw'!Q59</f>
        <v>1.2863150000000001</v>
      </c>
      <c r="O77" s="23">
        <f>'AEO 2023 Table 36 Raw'!R59</f>
        <v>1.3831500000000001</v>
      </c>
      <c r="P77" s="23">
        <f>'AEO 2023 Table 36 Raw'!S59</f>
        <v>1.48702</v>
      </c>
      <c r="Q77" s="23">
        <f>'AEO 2023 Table 36 Raw'!T59</f>
        <v>1.599227</v>
      </c>
      <c r="R77" s="23">
        <f>'AEO 2023 Table 36 Raw'!U59</f>
        <v>1.699166</v>
      </c>
      <c r="S77" s="23">
        <f>'AEO 2023 Table 36 Raw'!V59</f>
        <v>1.8360780000000001</v>
      </c>
      <c r="T77" s="23">
        <f>'AEO 2023 Table 36 Raw'!W59</f>
        <v>1.989325</v>
      </c>
      <c r="U77" s="23">
        <f>'AEO 2023 Table 36 Raw'!X59</f>
        <v>2.1605850000000002</v>
      </c>
      <c r="V77" s="23">
        <f>'AEO 2023 Table 36 Raw'!Y59</f>
        <v>2.3529599999999999</v>
      </c>
      <c r="W77" s="23">
        <f>'AEO 2023 Table 36 Raw'!Z59</f>
        <v>2.5741770000000002</v>
      </c>
      <c r="X77" s="23">
        <f>'AEO 2023 Table 36 Raw'!AA59</f>
        <v>2.8250199999999999</v>
      </c>
      <c r="Y77" s="23">
        <f>'AEO 2023 Table 36 Raw'!AB59</f>
        <v>3.1230699999999998</v>
      </c>
      <c r="Z77" s="23">
        <f>'AEO 2023 Table 36 Raw'!AC59</f>
        <v>3.4774289999999999</v>
      </c>
      <c r="AA77" s="23">
        <f>'AEO 2023 Table 36 Raw'!AD59</f>
        <v>3.922498</v>
      </c>
      <c r="AB77" s="23">
        <f>'AEO 2023 Table 36 Raw'!AE59</f>
        <v>4.4694479999999999</v>
      </c>
      <c r="AC77" s="23">
        <f>'AEO 2023 Table 36 Raw'!AF59</f>
        <v>5.2043210000000002</v>
      </c>
      <c r="AD77" s="23">
        <f>'AEO 2023 Table 36 Raw'!AG59</f>
        <v>6.2864370000000003</v>
      </c>
      <c r="AE77" s="23">
        <f>'AEO 2023 Table 36 Raw'!AH59</f>
        <v>7.1351089999999999</v>
      </c>
      <c r="AF77" s="28">
        <f>'AEO 2023 Table 36 Raw'!AI59</f>
        <v>9.4E-2</v>
      </c>
    </row>
    <row r="78" spans="1:32" ht="15" customHeight="1">
      <c r="A78" s="18" t="s">
        <v>816</v>
      </c>
      <c r="B78" s="21" t="s">
        <v>817</v>
      </c>
      <c r="C78" s="23">
        <f>'AEO 2023 Table 36 Raw'!F60</f>
        <v>2.3116999999999999E-2</v>
      </c>
      <c r="D78" s="23">
        <f>'AEO 2023 Table 36 Raw'!G60</f>
        <v>2.4035000000000001E-2</v>
      </c>
      <c r="E78" s="23">
        <f>'AEO 2023 Table 36 Raw'!H60</f>
        <v>2.4938999999999999E-2</v>
      </c>
      <c r="F78" s="23">
        <f>'AEO 2023 Table 36 Raw'!I60</f>
        <v>2.5099E-2</v>
      </c>
      <c r="G78" s="23">
        <f>'AEO 2023 Table 36 Raw'!J60</f>
        <v>2.5319000000000001E-2</v>
      </c>
      <c r="H78" s="23">
        <f>'AEO 2023 Table 36 Raw'!K60</f>
        <v>2.5482000000000001E-2</v>
      </c>
      <c r="I78" s="23">
        <f>'AEO 2023 Table 36 Raw'!L60</f>
        <v>2.5596000000000001E-2</v>
      </c>
      <c r="J78" s="23">
        <f>'AEO 2023 Table 36 Raw'!M60</f>
        <v>2.5651E-2</v>
      </c>
      <c r="K78" s="23">
        <f>'AEO 2023 Table 36 Raw'!N60</f>
        <v>2.5658E-2</v>
      </c>
      <c r="L78" s="23">
        <f>'AEO 2023 Table 36 Raw'!O60</f>
        <v>2.5572999999999999E-2</v>
      </c>
      <c r="M78" s="23">
        <f>'AEO 2023 Table 36 Raw'!P60</f>
        <v>2.5453E-2</v>
      </c>
      <c r="N78" s="23">
        <f>'AEO 2023 Table 36 Raw'!Q60</f>
        <v>2.5301000000000001E-2</v>
      </c>
      <c r="O78" s="23">
        <f>'AEO 2023 Table 36 Raw'!R60</f>
        <v>2.5183000000000001E-2</v>
      </c>
      <c r="P78" s="23">
        <f>'AEO 2023 Table 36 Raw'!S60</f>
        <v>2.5003000000000001E-2</v>
      </c>
      <c r="Q78" s="23">
        <f>'AEO 2023 Table 36 Raw'!T60</f>
        <v>2.4774000000000001E-2</v>
      </c>
      <c r="R78" s="23">
        <f>'AEO 2023 Table 36 Raw'!U60</f>
        <v>2.4169E-2</v>
      </c>
      <c r="S78" s="23">
        <f>'AEO 2023 Table 36 Raw'!V60</f>
        <v>2.3938999999999998E-2</v>
      </c>
      <c r="T78" s="23">
        <f>'AEO 2023 Table 36 Raw'!W60</f>
        <v>2.3702000000000001E-2</v>
      </c>
      <c r="U78" s="23">
        <f>'AEO 2023 Table 36 Raw'!X60</f>
        <v>2.3444E-2</v>
      </c>
      <c r="V78" s="23">
        <f>'AEO 2023 Table 36 Raw'!Y60</f>
        <v>2.3163E-2</v>
      </c>
      <c r="W78" s="23">
        <f>'AEO 2023 Table 36 Raw'!Z60</f>
        <v>2.2893E-2</v>
      </c>
      <c r="X78" s="23">
        <f>'AEO 2023 Table 36 Raw'!AA60</f>
        <v>2.2575000000000001E-2</v>
      </c>
      <c r="Y78" s="23">
        <f>'AEO 2023 Table 36 Raw'!AB60</f>
        <v>2.2303E-2</v>
      </c>
      <c r="Z78" s="23">
        <f>'AEO 2023 Table 36 Raw'!AC60</f>
        <v>2.2027000000000001E-2</v>
      </c>
      <c r="AA78" s="23">
        <f>'AEO 2023 Table 36 Raw'!AD60</f>
        <v>2.1822999999999999E-2</v>
      </c>
      <c r="AB78" s="23">
        <f>'AEO 2023 Table 36 Raw'!AE60</f>
        <v>2.1545000000000002E-2</v>
      </c>
      <c r="AC78" s="23">
        <f>'AEO 2023 Table 36 Raw'!AF60</f>
        <v>2.1284000000000001E-2</v>
      </c>
      <c r="AD78" s="23">
        <f>'AEO 2023 Table 36 Raw'!AG60</f>
        <v>2.0996999999999998E-2</v>
      </c>
      <c r="AE78" s="23">
        <f>'AEO 2023 Table 36 Raw'!AH60</f>
        <v>2.0722999999999998E-2</v>
      </c>
      <c r="AF78" s="28">
        <f>'AEO 2023 Table 36 Raw'!AI60</f>
        <v>-4.0000000000000001E-3</v>
      </c>
    </row>
    <row r="79" spans="1:32" ht="15" customHeight="1">
      <c r="A79" s="18" t="s">
        <v>818</v>
      </c>
      <c r="B79" s="21" t="s">
        <v>819</v>
      </c>
      <c r="C79" s="23">
        <f>'AEO 2023 Table 36 Raw'!F61</f>
        <v>26.118862</v>
      </c>
      <c r="D79" s="23">
        <f>'AEO 2023 Table 36 Raw'!G61</f>
        <v>28.024412000000002</v>
      </c>
      <c r="E79" s="23">
        <f>'AEO 2023 Table 36 Raw'!H61</f>
        <v>29.477226000000002</v>
      </c>
      <c r="F79" s="23">
        <f>'AEO 2023 Table 36 Raw'!I61</f>
        <v>30.571621</v>
      </c>
      <c r="G79" s="23">
        <f>'AEO 2023 Table 36 Raw'!J61</f>
        <v>31.3964</v>
      </c>
      <c r="H79" s="23">
        <f>'AEO 2023 Table 36 Raw'!K61</f>
        <v>32.010112999999997</v>
      </c>
      <c r="I79" s="23">
        <f>'AEO 2023 Table 36 Raw'!L61</f>
        <v>32.464531000000001</v>
      </c>
      <c r="J79" s="23">
        <f>'AEO 2023 Table 36 Raw'!M61</f>
        <v>32.799759000000002</v>
      </c>
      <c r="K79" s="23">
        <f>'AEO 2023 Table 36 Raw'!N61</f>
        <v>33.046233999999998</v>
      </c>
      <c r="L79" s="23">
        <f>'AEO 2023 Table 36 Raw'!O61</f>
        <v>33.226050999999998</v>
      </c>
      <c r="M79" s="23">
        <f>'AEO 2023 Table 36 Raw'!P61</f>
        <v>33.352477999999998</v>
      </c>
      <c r="N79" s="23">
        <f>'AEO 2023 Table 36 Raw'!Q61</f>
        <v>33.43018</v>
      </c>
      <c r="O79" s="23">
        <f>'AEO 2023 Table 36 Raw'!R61</f>
        <v>33.466476</v>
      </c>
      <c r="P79" s="23">
        <f>'AEO 2023 Table 36 Raw'!S61</f>
        <v>33.469250000000002</v>
      </c>
      <c r="Q79" s="23">
        <f>'AEO 2023 Table 36 Raw'!T61</f>
        <v>33.445160000000001</v>
      </c>
      <c r="R79" s="23">
        <f>'AEO 2023 Table 36 Raw'!U61</f>
        <v>33.397396000000001</v>
      </c>
      <c r="S79" s="23">
        <f>'AEO 2023 Table 36 Raw'!V61</f>
        <v>33.349758000000001</v>
      </c>
      <c r="T79" s="23">
        <f>'AEO 2023 Table 36 Raw'!W61</f>
        <v>33.294384000000001</v>
      </c>
      <c r="U79" s="23">
        <f>'AEO 2023 Table 36 Raw'!X61</f>
        <v>33.234276000000001</v>
      </c>
      <c r="V79" s="23">
        <f>'AEO 2023 Table 36 Raw'!Y61</f>
        <v>33.167285999999997</v>
      </c>
      <c r="W79" s="23">
        <f>'AEO 2023 Table 36 Raw'!Z61</f>
        <v>33.096901000000003</v>
      </c>
      <c r="X79" s="23">
        <f>'AEO 2023 Table 36 Raw'!AA61</f>
        <v>33.025081999999998</v>
      </c>
      <c r="Y79" s="23">
        <f>'AEO 2023 Table 36 Raw'!AB61</f>
        <v>32.951076999999998</v>
      </c>
      <c r="Z79" s="23">
        <f>'AEO 2023 Table 36 Raw'!AC61</f>
        <v>32.875145000000003</v>
      </c>
      <c r="AA79" s="23">
        <f>'AEO 2023 Table 36 Raw'!AD61</f>
        <v>32.799278000000001</v>
      </c>
      <c r="AB79" s="23">
        <f>'AEO 2023 Table 36 Raw'!AE61</f>
        <v>32.723492</v>
      </c>
      <c r="AC79" s="23">
        <f>'AEO 2023 Table 36 Raw'!AF61</f>
        <v>32.646706000000002</v>
      </c>
      <c r="AD79" s="23">
        <f>'AEO 2023 Table 36 Raw'!AG61</f>
        <v>32.569450000000003</v>
      </c>
      <c r="AE79" s="23">
        <f>'AEO 2023 Table 36 Raw'!AH61</f>
        <v>32.494362000000002</v>
      </c>
      <c r="AF79" s="28">
        <f>'AEO 2023 Table 36 Raw'!AI61</f>
        <v>8.0000000000000002E-3</v>
      </c>
    </row>
    <row r="80" spans="1:32" ht="15" customHeight="1">
      <c r="A80" s="18" t="s">
        <v>820</v>
      </c>
      <c r="B80" s="21" t="s">
        <v>805</v>
      </c>
      <c r="C80" s="23">
        <f>'AEO 2023 Table 36 Raw'!F62</f>
        <v>0</v>
      </c>
      <c r="D80" s="23">
        <f>'AEO 2023 Table 36 Raw'!G62</f>
        <v>0</v>
      </c>
      <c r="E80" s="23">
        <f>'AEO 2023 Table 36 Raw'!H62</f>
        <v>0</v>
      </c>
      <c r="F80" s="23">
        <f>'AEO 2023 Table 36 Raw'!I62</f>
        <v>0</v>
      </c>
      <c r="G80" s="23">
        <f>'AEO 2023 Table 36 Raw'!J62</f>
        <v>0</v>
      </c>
      <c r="H80" s="23">
        <f>'AEO 2023 Table 36 Raw'!K62</f>
        <v>0</v>
      </c>
      <c r="I80" s="23">
        <f>'AEO 2023 Table 36 Raw'!L62</f>
        <v>0</v>
      </c>
      <c r="J80" s="23">
        <f>'AEO 2023 Table 36 Raw'!M62</f>
        <v>0</v>
      </c>
      <c r="K80" s="23">
        <f>'AEO 2023 Table 36 Raw'!N62</f>
        <v>0</v>
      </c>
      <c r="L80" s="23">
        <f>'AEO 2023 Table 36 Raw'!O62</f>
        <v>0</v>
      </c>
      <c r="M80" s="23">
        <f>'AEO 2023 Table 36 Raw'!P62</f>
        <v>0</v>
      </c>
      <c r="N80" s="23">
        <f>'AEO 2023 Table 36 Raw'!Q62</f>
        <v>0</v>
      </c>
      <c r="O80" s="23">
        <f>'AEO 2023 Table 36 Raw'!R62</f>
        <v>0</v>
      </c>
      <c r="P80" s="23">
        <f>'AEO 2023 Table 36 Raw'!S62</f>
        <v>0</v>
      </c>
      <c r="Q80" s="23">
        <f>'AEO 2023 Table 36 Raw'!T62</f>
        <v>0</v>
      </c>
      <c r="R80" s="23">
        <f>'AEO 2023 Table 36 Raw'!U62</f>
        <v>0</v>
      </c>
      <c r="S80" s="23">
        <f>'AEO 2023 Table 36 Raw'!V62</f>
        <v>0</v>
      </c>
      <c r="T80" s="23">
        <f>'AEO 2023 Table 36 Raw'!W62</f>
        <v>0</v>
      </c>
      <c r="U80" s="23">
        <f>'AEO 2023 Table 36 Raw'!X62</f>
        <v>0</v>
      </c>
      <c r="V80" s="23">
        <f>'AEO 2023 Table 36 Raw'!Y62</f>
        <v>0</v>
      </c>
      <c r="W80" s="23">
        <f>'AEO 2023 Table 36 Raw'!Z62</f>
        <v>0</v>
      </c>
      <c r="X80" s="23">
        <f>'AEO 2023 Table 36 Raw'!AA62</f>
        <v>0</v>
      </c>
      <c r="Y80" s="23">
        <f>'AEO 2023 Table 36 Raw'!AB62</f>
        <v>0</v>
      </c>
      <c r="Z80" s="23">
        <f>'AEO 2023 Table 36 Raw'!AC62</f>
        <v>0</v>
      </c>
      <c r="AA80" s="23">
        <f>'AEO 2023 Table 36 Raw'!AD62</f>
        <v>0</v>
      </c>
      <c r="AB80" s="23">
        <f>'AEO 2023 Table 36 Raw'!AE62</f>
        <v>0</v>
      </c>
      <c r="AC80" s="23">
        <f>'AEO 2023 Table 36 Raw'!AF62</f>
        <v>0</v>
      </c>
      <c r="AD80" s="23">
        <f>'AEO 2023 Table 36 Raw'!AG62</f>
        <v>0</v>
      </c>
      <c r="AE80" s="23">
        <f>'AEO 2023 Table 36 Raw'!AH62</f>
        <v>0</v>
      </c>
      <c r="AF80" s="28" t="str">
        <f>'AEO 2023 Table 36 Raw'!AI62</f>
        <v>- -</v>
      </c>
    </row>
    <row r="81" spans="1:32" ht="15" customHeight="1">
      <c r="A81" s="18" t="s">
        <v>821</v>
      </c>
      <c r="B81" s="21" t="s">
        <v>807</v>
      </c>
      <c r="C81" s="23">
        <f>'AEO 2023 Table 36 Raw'!F63</f>
        <v>0</v>
      </c>
      <c r="D81" s="23">
        <f>'AEO 2023 Table 36 Raw'!G63</f>
        <v>0</v>
      </c>
      <c r="E81" s="23">
        <f>'AEO 2023 Table 36 Raw'!H63</f>
        <v>0</v>
      </c>
      <c r="F81" s="23">
        <f>'AEO 2023 Table 36 Raw'!I63</f>
        <v>0</v>
      </c>
      <c r="G81" s="23">
        <f>'AEO 2023 Table 36 Raw'!J63</f>
        <v>0</v>
      </c>
      <c r="H81" s="23">
        <f>'AEO 2023 Table 36 Raw'!K63</f>
        <v>0</v>
      </c>
      <c r="I81" s="23">
        <f>'AEO 2023 Table 36 Raw'!L63</f>
        <v>0</v>
      </c>
      <c r="J81" s="23">
        <f>'AEO 2023 Table 36 Raw'!M63</f>
        <v>0</v>
      </c>
      <c r="K81" s="23">
        <f>'AEO 2023 Table 36 Raw'!N63</f>
        <v>0</v>
      </c>
      <c r="L81" s="23">
        <f>'AEO 2023 Table 36 Raw'!O63</f>
        <v>0</v>
      </c>
      <c r="M81" s="23">
        <f>'AEO 2023 Table 36 Raw'!P63</f>
        <v>0</v>
      </c>
      <c r="N81" s="23">
        <f>'AEO 2023 Table 36 Raw'!Q63</f>
        <v>0</v>
      </c>
      <c r="O81" s="23">
        <f>'AEO 2023 Table 36 Raw'!R63</f>
        <v>0</v>
      </c>
      <c r="P81" s="23">
        <f>'AEO 2023 Table 36 Raw'!S63</f>
        <v>0</v>
      </c>
      <c r="Q81" s="23">
        <f>'AEO 2023 Table 36 Raw'!T63</f>
        <v>0</v>
      </c>
      <c r="R81" s="23">
        <f>'AEO 2023 Table 36 Raw'!U63</f>
        <v>0</v>
      </c>
      <c r="S81" s="23">
        <f>'AEO 2023 Table 36 Raw'!V63</f>
        <v>0</v>
      </c>
      <c r="T81" s="23">
        <f>'AEO 2023 Table 36 Raw'!W63</f>
        <v>0</v>
      </c>
      <c r="U81" s="23">
        <f>'AEO 2023 Table 36 Raw'!X63</f>
        <v>0</v>
      </c>
      <c r="V81" s="23">
        <f>'AEO 2023 Table 36 Raw'!Y63</f>
        <v>0</v>
      </c>
      <c r="W81" s="23">
        <f>'AEO 2023 Table 36 Raw'!Z63</f>
        <v>0</v>
      </c>
      <c r="X81" s="23">
        <f>'AEO 2023 Table 36 Raw'!AA63</f>
        <v>0</v>
      </c>
      <c r="Y81" s="23">
        <f>'AEO 2023 Table 36 Raw'!AB63</f>
        <v>0</v>
      </c>
      <c r="Z81" s="23">
        <f>'AEO 2023 Table 36 Raw'!AC63</f>
        <v>0</v>
      </c>
      <c r="AA81" s="23">
        <f>'AEO 2023 Table 36 Raw'!AD63</f>
        <v>0</v>
      </c>
      <c r="AB81" s="23">
        <f>'AEO 2023 Table 36 Raw'!AE63</f>
        <v>0</v>
      </c>
      <c r="AC81" s="23">
        <f>'AEO 2023 Table 36 Raw'!AF63</f>
        <v>0</v>
      </c>
      <c r="AD81" s="23">
        <f>'AEO 2023 Table 36 Raw'!AG63</f>
        <v>0</v>
      </c>
      <c r="AE81" s="23">
        <f>'AEO 2023 Table 36 Raw'!AH63</f>
        <v>0</v>
      </c>
      <c r="AF81" s="28" t="str">
        <f>'AEO 2023 Table 36 Raw'!AI63</f>
        <v>- -</v>
      </c>
    </row>
    <row r="82" spans="1:32" ht="15" customHeight="1">
      <c r="A82" s="18" t="s">
        <v>822</v>
      </c>
      <c r="B82" s="21" t="s">
        <v>809</v>
      </c>
      <c r="C82" s="23">
        <f>'AEO 2023 Table 36 Raw'!F64</f>
        <v>26.118862</v>
      </c>
      <c r="D82" s="23">
        <f>'AEO 2023 Table 36 Raw'!G64</f>
        <v>28.024412000000002</v>
      </c>
      <c r="E82" s="23">
        <f>'AEO 2023 Table 36 Raw'!H64</f>
        <v>29.477226000000002</v>
      </c>
      <c r="F82" s="23">
        <f>'AEO 2023 Table 36 Raw'!I64</f>
        <v>30.571621</v>
      </c>
      <c r="G82" s="23">
        <f>'AEO 2023 Table 36 Raw'!J64</f>
        <v>31.3964</v>
      </c>
      <c r="H82" s="23">
        <f>'AEO 2023 Table 36 Raw'!K64</f>
        <v>32.010112999999997</v>
      </c>
      <c r="I82" s="23">
        <f>'AEO 2023 Table 36 Raw'!L64</f>
        <v>32.464531000000001</v>
      </c>
      <c r="J82" s="23">
        <f>'AEO 2023 Table 36 Raw'!M64</f>
        <v>32.799759000000002</v>
      </c>
      <c r="K82" s="23">
        <f>'AEO 2023 Table 36 Raw'!N64</f>
        <v>33.046233999999998</v>
      </c>
      <c r="L82" s="23">
        <f>'AEO 2023 Table 36 Raw'!O64</f>
        <v>33.226050999999998</v>
      </c>
      <c r="M82" s="23">
        <f>'AEO 2023 Table 36 Raw'!P64</f>
        <v>33.352477999999998</v>
      </c>
      <c r="N82" s="23">
        <f>'AEO 2023 Table 36 Raw'!Q64</f>
        <v>33.43018</v>
      </c>
      <c r="O82" s="23">
        <f>'AEO 2023 Table 36 Raw'!R64</f>
        <v>33.466476</v>
      </c>
      <c r="P82" s="23">
        <f>'AEO 2023 Table 36 Raw'!S64</f>
        <v>33.469250000000002</v>
      </c>
      <c r="Q82" s="23">
        <f>'AEO 2023 Table 36 Raw'!T64</f>
        <v>33.445160000000001</v>
      </c>
      <c r="R82" s="23">
        <f>'AEO 2023 Table 36 Raw'!U64</f>
        <v>33.397396000000001</v>
      </c>
      <c r="S82" s="23">
        <f>'AEO 2023 Table 36 Raw'!V64</f>
        <v>33.349758000000001</v>
      </c>
      <c r="T82" s="23">
        <f>'AEO 2023 Table 36 Raw'!W64</f>
        <v>33.294384000000001</v>
      </c>
      <c r="U82" s="23">
        <f>'AEO 2023 Table 36 Raw'!X64</f>
        <v>33.234276000000001</v>
      </c>
      <c r="V82" s="23">
        <f>'AEO 2023 Table 36 Raw'!Y64</f>
        <v>33.167285999999997</v>
      </c>
      <c r="W82" s="23">
        <f>'AEO 2023 Table 36 Raw'!Z64</f>
        <v>33.096901000000003</v>
      </c>
      <c r="X82" s="23">
        <f>'AEO 2023 Table 36 Raw'!AA64</f>
        <v>33.025081999999998</v>
      </c>
      <c r="Y82" s="23">
        <f>'AEO 2023 Table 36 Raw'!AB64</f>
        <v>32.951076999999998</v>
      </c>
      <c r="Z82" s="23">
        <f>'AEO 2023 Table 36 Raw'!AC64</f>
        <v>32.875145000000003</v>
      </c>
      <c r="AA82" s="23">
        <f>'AEO 2023 Table 36 Raw'!AD64</f>
        <v>32.799278000000001</v>
      </c>
      <c r="AB82" s="23">
        <f>'AEO 2023 Table 36 Raw'!AE64</f>
        <v>32.723492</v>
      </c>
      <c r="AC82" s="23">
        <f>'AEO 2023 Table 36 Raw'!AF64</f>
        <v>32.646706000000002</v>
      </c>
      <c r="AD82" s="23">
        <f>'AEO 2023 Table 36 Raw'!AG64</f>
        <v>32.569450000000003</v>
      </c>
      <c r="AE82" s="23">
        <f>'AEO 2023 Table 36 Raw'!AH64</f>
        <v>32.494362000000002</v>
      </c>
      <c r="AF82" s="28">
        <f>'AEO 2023 Table 36 Raw'!AI64</f>
        <v>8.0000000000000002E-3</v>
      </c>
    </row>
    <row r="83" spans="1:32" ht="15" customHeight="1">
      <c r="A83" s="18" t="s">
        <v>823</v>
      </c>
      <c r="B83" s="21" t="s">
        <v>811</v>
      </c>
      <c r="C83" s="23">
        <f>'AEO 2023 Table 36 Raw'!F65</f>
        <v>0</v>
      </c>
      <c r="D83" s="23">
        <f>'AEO 2023 Table 36 Raw'!G65</f>
        <v>0</v>
      </c>
      <c r="E83" s="23">
        <f>'AEO 2023 Table 36 Raw'!H65</f>
        <v>0</v>
      </c>
      <c r="F83" s="23">
        <f>'AEO 2023 Table 36 Raw'!I65</f>
        <v>0</v>
      </c>
      <c r="G83" s="23">
        <f>'AEO 2023 Table 36 Raw'!J65</f>
        <v>0</v>
      </c>
      <c r="H83" s="23">
        <f>'AEO 2023 Table 36 Raw'!K65</f>
        <v>0</v>
      </c>
      <c r="I83" s="23">
        <f>'AEO 2023 Table 36 Raw'!L65</f>
        <v>0</v>
      </c>
      <c r="J83" s="23">
        <f>'AEO 2023 Table 36 Raw'!M65</f>
        <v>0</v>
      </c>
      <c r="K83" s="23">
        <f>'AEO 2023 Table 36 Raw'!N65</f>
        <v>0</v>
      </c>
      <c r="L83" s="23">
        <f>'AEO 2023 Table 36 Raw'!O65</f>
        <v>0</v>
      </c>
      <c r="M83" s="23">
        <f>'AEO 2023 Table 36 Raw'!P65</f>
        <v>0</v>
      </c>
      <c r="N83" s="23">
        <f>'AEO 2023 Table 36 Raw'!Q65</f>
        <v>0</v>
      </c>
      <c r="O83" s="23">
        <f>'AEO 2023 Table 36 Raw'!R65</f>
        <v>0</v>
      </c>
      <c r="P83" s="23">
        <f>'AEO 2023 Table 36 Raw'!S65</f>
        <v>0</v>
      </c>
      <c r="Q83" s="23">
        <f>'AEO 2023 Table 36 Raw'!T65</f>
        <v>0</v>
      </c>
      <c r="R83" s="23">
        <f>'AEO 2023 Table 36 Raw'!U65</f>
        <v>0</v>
      </c>
      <c r="S83" s="23">
        <f>'AEO 2023 Table 36 Raw'!V65</f>
        <v>0</v>
      </c>
      <c r="T83" s="23">
        <f>'AEO 2023 Table 36 Raw'!W65</f>
        <v>0</v>
      </c>
      <c r="U83" s="23">
        <f>'AEO 2023 Table 36 Raw'!X65</f>
        <v>0</v>
      </c>
      <c r="V83" s="23">
        <f>'AEO 2023 Table 36 Raw'!Y65</f>
        <v>0</v>
      </c>
      <c r="W83" s="23">
        <f>'AEO 2023 Table 36 Raw'!Z65</f>
        <v>0</v>
      </c>
      <c r="X83" s="23">
        <f>'AEO 2023 Table 36 Raw'!AA65</f>
        <v>0</v>
      </c>
      <c r="Y83" s="23">
        <f>'AEO 2023 Table 36 Raw'!AB65</f>
        <v>0</v>
      </c>
      <c r="Z83" s="23">
        <f>'AEO 2023 Table 36 Raw'!AC65</f>
        <v>0</v>
      </c>
      <c r="AA83" s="23">
        <f>'AEO 2023 Table 36 Raw'!AD65</f>
        <v>0</v>
      </c>
      <c r="AB83" s="23">
        <f>'AEO 2023 Table 36 Raw'!AE65</f>
        <v>0</v>
      </c>
      <c r="AC83" s="23">
        <f>'AEO 2023 Table 36 Raw'!AF65</f>
        <v>0</v>
      </c>
      <c r="AD83" s="23">
        <f>'AEO 2023 Table 36 Raw'!AG65</f>
        <v>0</v>
      </c>
      <c r="AE83" s="23">
        <f>'AEO 2023 Table 36 Raw'!AH65</f>
        <v>0</v>
      </c>
      <c r="AF83" s="28" t="str">
        <f>'AEO 2023 Table 36 Raw'!AI65</f>
        <v>- -</v>
      </c>
    </row>
    <row r="84" spans="1:32" ht="15" customHeight="1">
      <c r="A84" s="18" t="s">
        <v>824</v>
      </c>
      <c r="B84" s="21" t="s">
        <v>813</v>
      </c>
      <c r="C84" s="23">
        <f>'AEO 2023 Table 36 Raw'!F66</f>
        <v>0</v>
      </c>
      <c r="D84" s="23">
        <f>'AEO 2023 Table 36 Raw'!G66</f>
        <v>0</v>
      </c>
      <c r="E84" s="23">
        <f>'AEO 2023 Table 36 Raw'!H66</f>
        <v>0</v>
      </c>
      <c r="F84" s="23">
        <f>'AEO 2023 Table 36 Raw'!I66</f>
        <v>0</v>
      </c>
      <c r="G84" s="23">
        <f>'AEO 2023 Table 36 Raw'!J66</f>
        <v>0</v>
      </c>
      <c r="H84" s="23">
        <f>'AEO 2023 Table 36 Raw'!K66</f>
        <v>0</v>
      </c>
      <c r="I84" s="23">
        <f>'AEO 2023 Table 36 Raw'!L66</f>
        <v>0</v>
      </c>
      <c r="J84" s="23">
        <f>'AEO 2023 Table 36 Raw'!M66</f>
        <v>0</v>
      </c>
      <c r="K84" s="23">
        <f>'AEO 2023 Table 36 Raw'!N66</f>
        <v>0</v>
      </c>
      <c r="L84" s="23">
        <f>'AEO 2023 Table 36 Raw'!O66</f>
        <v>0</v>
      </c>
      <c r="M84" s="23">
        <f>'AEO 2023 Table 36 Raw'!P66</f>
        <v>0</v>
      </c>
      <c r="N84" s="23">
        <f>'AEO 2023 Table 36 Raw'!Q66</f>
        <v>0</v>
      </c>
      <c r="O84" s="23">
        <f>'AEO 2023 Table 36 Raw'!R66</f>
        <v>0</v>
      </c>
      <c r="P84" s="23">
        <f>'AEO 2023 Table 36 Raw'!S66</f>
        <v>0</v>
      </c>
      <c r="Q84" s="23">
        <f>'AEO 2023 Table 36 Raw'!T66</f>
        <v>0</v>
      </c>
      <c r="R84" s="23">
        <f>'AEO 2023 Table 36 Raw'!U66</f>
        <v>0</v>
      </c>
      <c r="S84" s="23">
        <f>'AEO 2023 Table 36 Raw'!V66</f>
        <v>0</v>
      </c>
      <c r="T84" s="23">
        <f>'AEO 2023 Table 36 Raw'!W66</f>
        <v>0</v>
      </c>
      <c r="U84" s="23">
        <f>'AEO 2023 Table 36 Raw'!X66</f>
        <v>0</v>
      </c>
      <c r="V84" s="23">
        <f>'AEO 2023 Table 36 Raw'!Y66</f>
        <v>0</v>
      </c>
      <c r="W84" s="23">
        <f>'AEO 2023 Table 36 Raw'!Z66</f>
        <v>0</v>
      </c>
      <c r="X84" s="23">
        <f>'AEO 2023 Table 36 Raw'!AA66</f>
        <v>0</v>
      </c>
      <c r="Y84" s="23">
        <f>'AEO 2023 Table 36 Raw'!AB66</f>
        <v>0</v>
      </c>
      <c r="Z84" s="23">
        <f>'AEO 2023 Table 36 Raw'!AC66</f>
        <v>0</v>
      </c>
      <c r="AA84" s="23">
        <f>'AEO 2023 Table 36 Raw'!AD66</f>
        <v>0</v>
      </c>
      <c r="AB84" s="23">
        <f>'AEO 2023 Table 36 Raw'!AE66</f>
        <v>0</v>
      </c>
      <c r="AC84" s="23">
        <f>'AEO 2023 Table 36 Raw'!AF66</f>
        <v>0</v>
      </c>
      <c r="AD84" s="23">
        <f>'AEO 2023 Table 36 Raw'!AG66</f>
        <v>0</v>
      </c>
      <c r="AE84" s="23">
        <f>'AEO 2023 Table 36 Raw'!AH66</f>
        <v>0</v>
      </c>
      <c r="AF84" s="28" t="str">
        <f>'AEO 2023 Table 36 Raw'!AI66</f>
        <v>- -</v>
      </c>
    </row>
    <row r="85" spans="1:32" ht="15" customHeight="1">
      <c r="A85" s="18" t="s">
        <v>825</v>
      </c>
      <c r="B85" s="21" t="s">
        <v>815</v>
      </c>
      <c r="C85" s="23">
        <f>'AEO 2023 Table 36 Raw'!F67</f>
        <v>0</v>
      </c>
      <c r="D85" s="23">
        <f>'AEO 2023 Table 36 Raw'!G67</f>
        <v>0</v>
      </c>
      <c r="E85" s="23">
        <f>'AEO 2023 Table 36 Raw'!H67</f>
        <v>0</v>
      </c>
      <c r="F85" s="23">
        <f>'AEO 2023 Table 36 Raw'!I67</f>
        <v>0</v>
      </c>
      <c r="G85" s="23">
        <f>'AEO 2023 Table 36 Raw'!J67</f>
        <v>0</v>
      </c>
      <c r="H85" s="23">
        <f>'AEO 2023 Table 36 Raw'!K67</f>
        <v>0</v>
      </c>
      <c r="I85" s="23">
        <f>'AEO 2023 Table 36 Raw'!L67</f>
        <v>0</v>
      </c>
      <c r="J85" s="23">
        <f>'AEO 2023 Table 36 Raw'!M67</f>
        <v>0</v>
      </c>
      <c r="K85" s="23">
        <f>'AEO 2023 Table 36 Raw'!N67</f>
        <v>0</v>
      </c>
      <c r="L85" s="23">
        <f>'AEO 2023 Table 36 Raw'!O67</f>
        <v>0</v>
      </c>
      <c r="M85" s="23">
        <f>'AEO 2023 Table 36 Raw'!P67</f>
        <v>0</v>
      </c>
      <c r="N85" s="23">
        <f>'AEO 2023 Table 36 Raw'!Q67</f>
        <v>0</v>
      </c>
      <c r="O85" s="23">
        <f>'AEO 2023 Table 36 Raw'!R67</f>
        <v>0</v>
      </c>
      <c r="P85" s="23">
        <f>'AEO 2023 Table 36 Raw'!S67</f>
        <v>0</v>
      </c>
      <c r="Q85" s="23">
        <f>'AEO 2023 Table 36 Raw'!T67</f>
        <v>0</v>
      </c>
      <c r="R85" s="23">
        <f>'AEO 2023 Table 36 Raw'!U67</f>
        <v>0</v>
      </c>
      <c r="S85" s="23">
        <f>'AEO 2023 Table 36 Raw'!V67</f>
        <v>0</v>
      </c>
      <c r="T85" s="23">
        <f>'AEO 2023 Table 36 Raw'!W67</f>
        <v>0</v>
      </c>
      <c r="U85" s="23">
        <f>'AEO 2023 Table 36 Raw'!X67</f>
        <v>0</v>
      </c>
      <c r="V85" s="23">
        <f>'AEO 2023 Table 36 Raw'!Y67</f>
        <v>0</v>
      </c>
      <c r="W85" s="23">
        <f>'AEO 2023 Table 36 Raw'!Z67</f>
        <v>0</v>
      </c>
      <c r="X85" s="23">
        <f>'AEO 2023 Table 36 Raw'!AA67</f>
        <v>0</v>
      </c>
      <c r="Y85" s="23">
        <f>'AEO 2023 Table 36 Raw'!AB67</f>
        <v>0</v>
      </c>
      <c r="Z85" s="23">
        <f>'AEO 2023 Table 36 Raw'!AC67</f>
        <v>0</v>
      </c>
      <c r="AA85" s="23">
        <f>'AEO 2023 Table 36 Raw'!AD67</f>
        <v>0</v>
      </c>
      <c r="AB85" s="23">
        <f>'AEO 2023 Table 36 Raw'!AE67</f>
        <v>0</v>
      </c>
      <c r="AC85" s="23">
        <f>'AEO 2023 Table 36 Raw'!AF67</f>
        <v>0</v>
      </c>
      <c r="AD85" s="23">
        <f>'AEO 2023 Table 36 Raw'!AG67</f>
        <v>0</v>
      </c>
      <c r="AE85" s="23">
        <f>'AEO 2023 Table 36 Raw'!AH67</f>
        <v>0</v>
      </c>
      <c r="AF85" s="28" t="str">
        <f>'AEO 2023 Table 36 Raw'!AI67</f>
        <v>- -</v>
      </c>
    </row>
    <row r="86" spans="1:32" ht="15" customHeight="1">
      <c r="A86" s="18" t="s">
        <v>826</v>
      </c>
      <c r="B86" s="21" t="s">
        <v>817</v>
      </c>
      <c r="C86" s="23">
        <f>'AEO 2023 Table 36 Raw'!F68</f>
        <v>0</v>
      </c>
      <c r="D86" s="23">
        <f>'AEO 2023 Table 36 Raw'!G68</f>
        <v>0</v>
      </c>
      <c r="E86" s="23">
        <f>'AEO 2023 Table 36 Raw'!H68</f>
        <v>0</v>
      </c>
      <c r="F86" s="23">
        <f>'AEO 2023 Table 36 Raw'!I68</f>
        <v>0</v>
      </c>
      <c r="G86" s="23">
        <f>'AEO 2023 Table 36 Raw'!J68</f>
        <v>0</v>
      </c>
      <c r="H86" s="23">
        <f>'AEO 2023 Table 36 Raw'!K68</f>
        <v>0</v>
      </c>
      <c r="I86" s="23">
        <f>'AEO 2023 Table 36 Raw'!L68</f>
        <v>0</v>
      </c>
      <c r="J86" s="23">
        <f>'AEO 2023 Table 36 Raw'!M68</f>
        <v>0</v>
      </c>
      <c r="K86" s="23">
        <f>'AEO 2023 Table 36 Raw'!N68</f>
        <v>0</v>
      </c>
      <c r="L86" s="23">
        <f>'AEO 2023 Table 36 Raw'!O68</f>
        <v>0</v>
      </c>
      <c r="M86" s="23">
        <f>'AEO 2023 Table 36 Raw'!P68</f>
        <v>0</v>
      </c>
      <c r="N86" s="23">
        <f>'AEO 2023 Table 36 Raw'!Q68</f>
        <v>0</v>
      </c>
      <c r="O86" s="23">
        <f>'AEO 2023 Table 36 Raw'!R68</f>
        <v>0</v>
      </c>
      <c r="P86" s="23">
        <f>'AEO 2023 Table 36 Raw'!S68</f>
        <v>0</v>
      </c>
      <c r="Q86" s="23">
        <f>'AEO 2023 Table 36 Raw'!T68</f>
        <v>0</v>
      </c>
      <c r="R86" s="23">
        <f>'AEO 2023 Table 36 Raw'!U68</f>
        <v>0</v>
      </c>
      <c r="S86" s="23">
        <f>'AEO 2023 Table 36 Raw'!V68</f>
        <v>0</v>
      </c>
      <c r="T86" s="23">
        <f>'AEO 2023 Table 36 Raw'!W68</f>
        <v>0</v>
      </c>
      <c r="U86" s="23">
        <f>'AEO 2023 Table 36 Raw'!X68</f>
        <v>0</v>
      </c>
      <c r="V86" s="23">
        <f>'AEO 2023 Table 36 Raw'!Y68</f>
        <v>0</v>
      </c>
      <c r="W86" s="23">
        <f>'AEO 2023 Table 36 Raw'!Z68</f>
        <v>0</v>
      </c>
      <c r="X86" s="23">
        <f>'AEO 2023 Table 36 Raw'!AA68</f>
        <v>0</v>
      </c>
      <c r="Y86" s="23">
        <f>'AEO 2023 Table 36 Raw'!AB68</f>
        <v>0</v>
      </c>
      <c r="Z86" s="23">
        <f>'AEO 2023 Table 36 Raw'!AC68</f>
        <v>0</v>
      </c>
      <c r="AA86" s="23">
        <f>'AEO 2023 Table 36 Raw'!AD68</f>
        <v>0</v>
      </c>
      <c r="AB86" s="23">
        <f>'AEO 2023 Table 36 Raw'!AE68</f>
        <v>0</v>
      </c>
      <c r="AC86" s="23">
        <f>'AEO 2023 Table 36 Raw'!AF68</f>
        <v>0</v>
      </c>
      <c r="AD86" s="23">
        <f>'AEO 2023 Table 36 Raw'!AG68</f>
        <v>0</v>
      </c>
      <c r="AE86" s="23">
        <f>'AEO 2023 Table 36 Raw'!AH68</f>
        <v>0</v>
      </c>
      <c r="AF86" s="28" t="str">
        <f>'AEO 2023 Table 36 Raw'!AI68</f>
        <v>- -</v>
      </c>
    </row>
    <row r="87" spans="1:32" ht="15" customHeight="1">
      <c r="A87" s="18" t="s">
        <v>827</v>
      </c>
      <c r="B87" s="21" t="s">
        <v>828</v>
      </c>
      <c r="C87" s="23">
        <f>'AEO 2023 Table 36 Raw'!F69</f>
        <v>93.831894000000005</v>
      </c>
      <c r="D87" s="23">
        <f>'AEO 2023 Table 36 Raw'!G69</f>
        <v>98.450194999999994</v>
      </c>
      <c r="E87" s="23">
        <f>'AEO 2023 Table 36 Raw'!H69</f>
        <v>99.158546000000001</v>
      </c>
      <c r="F87" s="23">
        <f>'AEO 2023 Table 36 Raw'!I69</f>
        <v>98.571014000000005</v>
      </c>
      <c r="G87" s="23">
        <f>'AEO 2023 Table 36 Raw'!J69</f>
        <v>97.556511</v>
      </c>
      <c r="H87" s="23">
        <f>'AEO 2023 Table 36 Raw'!K69</f>
        <v>96.613395999999995</v>
      </c>
      <c r="I87" s="23">
        <f>'AEO 2023 Table 36 Raw'!L69</f>
        <v>95.691032000000007</v>
      </c>
      <c r="J87" s="23">
        <f>'AEO 2023 Table 36 Raw'!M69</f>
        <v>94.739861000000005</v>
      </c>
      <c r="K87" s="23">
        <f>'AEO 2023 Table 36 Raw'!N69</f>
        <v>93.777550000000005</v>
      </c>
      <c r="L87" s="23">
        <f>'AEO 2023 Table 36 Raw'!O69</f>
        <v>92.791618</v>
      </c>
      <c r="M87" s="23">
        <f>'AEO 2023 Table 36 Raw'!P69</f>
        <v>91.866196000000002</v>
      </c>
      <c r="N87" s="23">
        <f>'AEO 2023 Table 36 Raw'!Q69</f>
        <v>91.598052999999993</v>
      </c>
      <c r="O87" s="23">
        <f>'AEO 2023 Table 36 Raw'!R69</f>
        <v>91.112289000000004</v>
      </c>
      <c r="P87" s="23">
        <f>'AEO 2023 Table 36 Raw'!S69</f>
        <v>90.708870000000005</v>
      </c>
      <c r="Q87" s="23">
        <f>'AEO 2023 Table 36 Raw'!T69</f>
        <v>90.372649999999993</v>
      </c>
      <c r="R87" s="23">
        <f>'AEO 2023 Table 36 Raw'!U69</f>
        <v>90.121039999999994</v>
      </c>
      <c r="S87" s="23">
        <f>'AEO 2023 Table 36 Raw'!V69</f>
        <v>89.542336000000006</v>
      </c>
      <c r="T87" s="23">
        <f>'AEO 2023 Table 36 Raw'!W69</f>
        <v>88.885452000000001</v>
      </c>
      <c r="U87" s="23">
        <f>'AEO 2023 Table 36 Raw'!X69</f>
        <v>88.194603000000001</v>
      </c>
      <c r="V87" s="23">
        <f>'AEO 2023 Table 36 Raw'!Y69</f>
        <v>87.485648999999995</v>
      </c>
      <c r="W87" s="23">
        <f>'AEO 2023 Table 36 Raw'!Z69</f>
        <v>86.702445999999995</v>
      </c>
      <c r="X87" s="23">
        <f>'AEO 2023 Table 36 Raw'!AA69</f>
        <v>85.868294000000006</v>
      </c>
      <c r="Y87" s="23">
        <f>'AEO 2023 Table 36 Raw'!AB69</f>
        <v>84.998230000000007</v>
      </c>
      <c r="Z87" s="23">
        <f>'AEO 2023 Table 36 Raw'!AC69</f>
        <v>84.089134000000001</v>
      </c>
      <c r="AA87" s="23">
        <f>'AEO 2023 Table 36 Raw'!AD69</f>
        <v>83.076744000000005</v>
      </c>
      <c r="AB87" s="23">
        <f>'AEO 2023 Table 36 Raw'!AE69</f>
        <v>82.045021000000006</v>
      </c>
      <c r="AC87" s="23">
        <f>'AEO 2023 Table 36 Raw'!AF69</f>
        <v>80.986785999999995</v>
      </c>
      <c r="AD87" s="23">
        <f>'AEO 2023 Table 36 Raw'!AG69</f>
        <v>79.893326000000002</v>
      </c>
      <c r="AE87" s="23">
        <f>'AEO 2023 Table 36 Raw'!AH69</f>
        <v>78.783607000000003</v>
      </c>
      <c r="AF87" s="28">
        <f>'AEO 2023 Table 36 Raw'!AI69</f>
        <v>-6.0000000000000001E-3</v>
      </c>
    </row>
    <row r="88" spans="1:32" ht="15" customHeight="1">
      <c r="A88" s="18" t="s">
        <v>829</v>
      </c>
      <c r="B88" s="21" t="s">
        <v>805</v>
      </c>
      <c r="C88" s="23">
        <f>'AEO 2023 Table 36 Raw'!F70</f>
        <v>9.4941010000000006</v>
      </c>
      <c r="D88" s="23">
        <f>'AEO 2023 Table 36 Raw'!G70</f>
        <v>9.9847319999999993</v>
      </c>
      <c r="E88" s="23">
        <f>'AEO 2023 Table 36 Raw'!H70</f>
        <v>10.080206</v>
      </c>
      <c r="F88" s="23">
        <f>'AEO 2023 Table 36 Raw'!I70</f>
        <v>10.044081</v>
      </c>
      <c r="G88" s="23">
        <f>'AEO 2023 Table 36 Raw'!J70</f>
        <v>9.9641859999999998</v>
      </c>
      <c r="H88" s="23">
        <f>'AEO 2023 Table 36 Raw'!K70</f>
        <v>9.8772070000000003</v>
      </c>
      <c r="I88" s="23">
        <f>'AEO 2023 Table 36 Raw'!L70</f>
        <v>9.7906929999999992</v>
      </c>
      <c r="J88" s="23">
        <f>'AEO 2023 Table 36 Raw'!M70</f>
        <v>9.7035470000000004</v>
      </c>
      <c r="K88" s="23">
        <f>'AEO 2023 Table 36 Raw'!N70</f>
        <v>9.6156869999999994</v>
      </c>
      <c r="L88" s="23">
        <f>'AEO 2023 Table 36 Raw'!O70</f>
        <v>9.5264279999999992</v>
      </c>
      <c r="M88" s="23">
        <f>'AEO 2023 Table 36 Raw'!P70</f>
        <v>9.4439309999999992</v>
      </c>
      <c r="N88" s="23">
        <f>'AEO 2023 Table 36 Raw'!Q70</f>
        <v>9.3760180000000002</v>
      </c>
      <c r="O88" s="23">
        <f>'AEO 2023 Table 36 Raw'!R70</f>
        <v>9.3193699999999993</v>
      </c>
      <c r="P88" s="23">
        <f>'AEO 2023 Table 36 Raw'!S70</f>
        <v>9.2722660000000001</v>
      </c>
      <c r="Q88" s="23">
        <f>'AEO 2023 Table 36 Raw'!T70</f>
        <v>9.2344460000000002</v>
      </c>
      <c r="R88" s="23">
        <f>'AEO 2023 Table 36 Raw'!U70</f>
        <v>9.2065929999999998</v>
      </c>
      <c r="S88" s="23">
        <f>'AEO 2023 Table 36 Raw'!V70</f>
        <v>9.1597399999999993</v>
      </c>
      <c r="T88" s="23">
        <f>'AEO 2023 Table 36 Raw'!W70</f>
        <v>9.1076730000000001</v>
      </c>
      <c r="U88" s="23">
        <f>'AEO 2023 Table 36 Raw'!X70</f>
        <v>9.0532129999999995</v>
      </c>
      <c r="V88" s="23">
        <f>'AEO 2023 Table 36 Raw'!Y70</f>
        <v>8.9974880000000006</v>
      </c>
      <c r="W88" s="23">
        <f>'AEO 2023 Table 36 Raw'!Z70</f>
        <v>8.9384180000000004</v>
      </c>
      <c r="X88" s="23">
        <f>'AEO 2023 Table 36 Raw'!AA70</f>
        <v>8.8755819999999996</v>
      </c>
      <c r="Y88" s="23">
        <f>'AEO 2023 Table 36 Raw'!AB70</f>
        <v>8.8098559999999999</v>
      </c>
      <c r="Z88" s="23">
        <f>'AEO 2023 Table 36 Raw'!AC70</f>
        <v>8.7419480000000007</v>
      </c>
      <c r="AA88" s="23">
        <f>'AEO 2023 Table 36 Raw'!AD70</f>
        <v>8.6711120000000008</v>
      </c>
      <c r="AB88" s="23">
        <f>'AEO 2023 Table 36 Raw'!AE70</f>
        <v>8.599361</v>
      </c>
      <c r="AC88" s="23">
        <f>'AEO 2023 Table 36 Raw'!AF70</f>
        <v>8.5273749999999993</v>
      </c>
      <c r="AD88" s="23">
        <f>'AEO 2023 Table 36 Raw'!AG70</f>
        <v>8.4545519999999996</v>
      </c>
      <c r="AE88" s="23">
        <f>'AEO 2023 Table 36 Raw'!AH70</f>
        <v>8.3815580000000001</v>
      </c>
      <c r="AF88" s="28">
        <f>'AEO 2023 Table 36 Raw'!AI70</f>
        <v>-4.0000000000000001E-3</v>
      </c>
    </row>
    <row r="89" spans="1:32" ht="15" customHeight="1">
      <c r="A89" s="18" t="s">
        <v>830</v>
      </c>
      <c r="B89" s="21" t="s">
        <v>807</v>
      </c>
      <c r="C89" s="23">
        <f>'AEO 2023 Table 36 Raw'!F71</f>
        <v>0</v>
      </c>
      <c r="D89" s="23">
        <f>'AEO 2023 Table 36 Raw'!G71</f>
        <v>0</v>
      </c>
      <c r="E89" s="23">
        <f>'AEO 2023 Table 36 Raw'!H71</f>
        <v>0</v>
      </c>
      <c r="F89" s="23">
        <f>'AEO 2023 Table 36 Raw'!I71</f>
        <v>0</v>
      </c>
      <c r="G89" s="23">
        <f>'AEO 2023 Table 36 Raw'!J71</f>
        <v>0</v>
      </c>
      <c r="H89" s="23">
        <f>'AEO 2023 Table 36 Raw'!K71</f>
        <v>0</v>
      </c>
      <c r="I89" s="23">
        <f>'AEO 2023 Table 36 Raw'!L71</f>
        <v>0</v>
      </c>
      <c r="J89" s="23">
        <f>'AEO 2023 Table 36 Raw'!M71</f>
        <v>0</v>
      </c>
      <c r="K89" s="23">
        <f>'AEO 2023 Table 36 Raw'!N71</f>
        <v>0</v>
      </c>
      <c r="L89" s="23">
        <f>'AEO 2023 Table 36 Raw'!O71</f>
        <v>0</v>
      </c>
      <c r="M89" s="23">
        <f>'AEO 2023 Table 36 Raw'!P71</f>
        <v>0</v>
      </c>
      <c r="N89" s="23">
        <f>'AEO 2023 Table 36 Raw'!Q71</f>
        <v>0</v>
      </c>
      <c r="O89" s="23">
        <f>'AEO 2023 Table 36 Raw'!R71</f>
        <v>0</v>
      </c>
      <c r="P89" s="23">
        <f>'AEO 2023 Table 36 Raw'!S71</f>
        <v>0</v>
      </c>
      <c r="Q89" s="23">
        <f>'AEO 2023 Table 36 Raw'!T71</f>
        <v>0</v>
      </c>
      <c r="R89" s="23">
        <f>'AEO 2023 Table 36 Raw'!U71</f>
        <v>0</v>
      </c>
      <c r="S89" s="23">
        <f>'AEO 2023 Table 36 Raw'!V71</f>
        <v>0</v>
      </c>
      <c r="T89" s="23">
        <f>'AEO 2023 Table 36 Raw'!W71</f>
        <v>0</v>
      </c>
      <c r="U89" s="23">
        <f>'AEO 2023 Table 36 Raw'!X71</f>
        <v>0</v>
      </c>
      <c r="V89" s="23">
        <f>'AEO 2023 Table 36 Raw'!Y71</f>
        <v>0</v>
      </c>
      <c r="W89" s="23">
        <f>'AEO 2023 Table 36 Raw'!Z71</f>
        <v>0</v>
      </c>
      <c r="X89" s="23">
        <f>'AEO 2023 Table 36 Raw'!AA71</f>
        <v>0</v>
      </c>
      <c r="Y89" s="23">
        <f>'AEO 2023 Table 36 Raw'!AB71</f>
        <v>0</v>
      </c>
      <c r="Z89" s="23">
        <f>'AEO 2023 Table 36 Raw'!AC71</f>
        <v>0</v>
      </c>
      <c r="AA89" s="23">
        <f>'AEO 2023 Table 36 Raw'!AD71</f>
        <v>0</v>
      </c>
      <c r="AB89" s="23">
        <f>'AEO 2023 Table 36 Raw'!AE71</f>
        <v>0</v>
      </c>
      <c r="AC89" s="23">
        <f>'AEO 2023 Table 36 Raw'!AF71</f>
        <v>0</v>
      </c>
      <c r="AD89" s="23">
        <f>'AEO 2023 Table 36 Raw'!AG71</f>
        <v>0</v>
      </c>
      <c r="AE89" s="23">
        <f>'AEO 2023 Table 36 Raw'!AH71</f>
        <v>0</v>
      </c>
      <c r="AF89" s="28" t="str">
        <f>'AEO 2023 Table 36 Raw'!AI71</f>
        <v>- -</v>
      </c>
    </row>
    <row r="90" spans="1:32" ht="15" customHeight="1">
      <c r="A90" s="18" t="s">
        <v>831</v>
      </c>
      <c r="B90" s="21" t="s">
        <v>809</v>
      </c>
      <c r="C90" s="23">
        <f>'AEO 2023 Table 36 Raw'!F72</f>
        <v>75.219893999999996</v>
      </c>
      <c r="D90" s="23">
        <f>'AEO 2023 Table 36 Raw'!G72</f>
        <v>78.605819999999994</v>
      </c>
      <c r="E90" s="23">
        <f>'AEO 2023 Table 36 Raw'!H72</f>
        <v>78.857498000000007</v>
      </c>
      <c r="F90" s="23">
        <f>'AEO 2023 Table 36 Raw'!I72</f>
        <v>78.076453999999998</v>
      </c>
      <c r="G90" s="23">
        <f>'AEO 2023 Table 36 Raw'!J72</f>
        <v>76.964111000000003</v>
      </c>
      <c r="H90" s="23">
        <f>'AEO 2023 Table 36 Raw'!K72</f>
        <v>76.079750000000004</v>
      </c>
      <c r="I90" s="23">
        <f>'AEO 2023 Table 36 Raw'!L72</f>
        <v>75.233322000000001</v>
      </c>
      <c r="J90" s="23">
        <f>'AEO 2023 Table 36 Raw'!M72</f>
        <v>74.338866999999993</v>
      </c>
      <c r="K90" s="23">
        <f>'AEO 2023 Table 36 Raw'!N72</f>
        <v>73.430572999999995</v>
      </c>
      <c r="L90" s="23">
        <f>'AEO 2023 Table 36 Raw'!O72</f>
        <v>72.491912999999997</v>
      </c>
      <c r="M90" s="23">
        <f>'AEO 2023 Table 36 Raw'!P72</f>
        <v>71.594031999999999</v>
      </c>
      <c r="N90" s="23">
        <f>'AEO 2023 Table 36 Raw'!Q72</f>
        <v>71.837708000000006</v>
      </c>
      <c r="O90" s="23">
        <f>'AEO 2023 Table 36 Raw'!R72</f>
        <v>71.512496999999996</v>
      </c>
      <c r="P90" s="23">
        <f>'AEO 2023 Table 36 Raw'!S72</f>
        <v>71.239052000000001</v>
      </c>
      <c r="Q90" s="23">
        <f>'AEO 2023 Table 36 Raw'!T72</f>
        <v>70.989593999999997</v>
      </c>
      <c r="R90" s="23">
        <f>'AEO 2023 Table 36 Raw'!U72</f>
        <v>70.790924000000004</v>
      </c>
      <c r="S90" s="23">
        <f>'AEO 2023 Table 36 Raw'!V72</f>
        <v>70.163764999999998</v>
      </c>
      <c r="T90" s="23">
        <f>'AEO 2023 Table 36 Raw'!W72</f>
        <v>69.442642000000006</v>
      </c>
      <c r="U90" s="23">
        <f>'AEO 2023 Table 36 Raw'!X72</f>
        <v>68.681884999999994</v>
      </c>
      <c r="V90" s="23">
        <f>'AEO 2023 Table 36 Raw'!Y72</f>
        <v>67.900276000000005</v>
      </c>
      <c r="W90" s="23">
        <f>'AEO 2023 Table 36 Raw'!Z72</f>
        <v>67.010056000000006</v>
      </c>
      <c r="X90" s="23">
        <f>'AEO 2023 Table 36 Raw'!AA72</f>
        <v>66.063095000000004</v>
      </c>
      <c r="Y90" s="23">
        <f>'AEO 2023 Table 36 Raw'!AB72</f>
        <v>65.078491</v>
      </c>
      <c r="Z90" s="23">
        <f>'AEO 2023 Table 36 Raw'!AC72</f>
        <v>64.041968999999995</v>
      </c>
      <c r="AA90" s="23">
        <f>'AEO 2023 Table 36 Raw'!AD72</f>
        <v>62.83419</v>
      </c>
      <c r="AB90" s="23">
        <f>'AEO 2023 Table 36 Raw'!AE72</f>
        <v>61.602939999999997</v>
      </c>
      <c r="AC90" s="23">
        <f>'AEO 2023 Table 36 Raw'!AF72</f>
        <v>60.321541000000003</v>
      </c>
      <c r="AD90" s="23">
        <f>'AEO 2023 Table 36 Raw'!AG72</f>
        <v>58.979691000000003</v>
      </c>
      <c r="AE90" s="23">
        <f>'AEO 2023 Table 36 Raw'!AH72</f>
        <v>57.607379999999999</v>
      </c>
      <c r="AF90" s="28">
        <f>'AEO 2023 Table 36 Raw'!AI72</f>
        <v>-8.9999999999999993E-3</v>
      </c>
    </row>
    <row r="91" spans="1:32" ht="15" customHeight="1">
      <c r="A91" s="18" t="s">
        <v>832</v>
      </c>
      <c r="B91" s="21" t="s">
        <v>811</v>
      </c>
      <c r="C91" s="23">
        <f>'AEO 2023 Table 36 Raw'!F73</f>
        <v>0.92408599999999996</v>
      </c>
      <c r="D91" s="23">
        <f>'AEO 2023 Table 36 Raw'!G73</f>
        <v>1.0108280000000001</v>
      </c>
      <c r="E91" s="23">
        <f>'AEO 2023 Table 36 Raw'!H73</f>
        <v>1.0536110000000001</v>
      </c>
      <c r="F91" s="23">
        <f>'AEO 2023 Table 36 Raw'!I73</f>
        <v>1.083197</v>
      </c>
      <c r="G91" s="23">
        <f>'AEO 2023 Table 36 Raw'!J73</f>
        <v>1.1043369999999999</v>
      </c>
      <c r="H91" s="23">
        <f>'AEO 2023 Table 36 Raw'!K73</f>
        <v>1.1235299999999999</v>
      </c>
      <c r="I91" s="23">
        <f>'AEO 2023 Table 36 Raw'!L73</f>
        <v>1.1408499999999999</v>
      </c>
      <c r="J91" s="23">
        <f>'AEO 2023 Table 36 Raw'!M73</f>
        <v>1.1560729999999999</v>
      </c>
      <c r="K91" s="23">
        <f>'AEO 2023 Table 36 Raw'!N73</f>
        <v>1.171249</v>
      </c>
      <c r="L91" s="23">
        <f>'AEO 2023 Table 36 Raw'!O73</f>
        <v>1.185954</v>
      </c>
      <c r="M91" s="23">
        <f>'AEO 2023 Table 36 Raw'!P73</f>
        <v>1.2014899999999999</v>
      </c>
      <c r="N91" s="23">
        <f>'AEO 2023 Table 36 Raw'!Q73</f>
        <v>1.2187190000000001</v>
      </c>
      <c r="O91" s="23">
        <f>'AEO 2023 Table 36 Raw'!R73</f>
        <v>1.237236</v>
      </c>
      <c r="P91" s="23">
        <f>'AEO 2023 Table 36 Raw'!S73</f>
        <v>1.256583</v>
      </c>
      <c r="Q91" s="23">
        <f>'AEO 2023 Table 36 Raw'!T73</f>
        <v>1.277304</v>
      </c>
      <c r="R91" s="23">
        <f>'AEO 2023 Table 36 Raw'!U73</f>
        <v>1.299385</v>
      </c>
      <c r="S91" s="23">
        <f>'AEO 2023 Table 36 Raw'!V73</f>
        <v>1.318905</v>
      </c>
      <c r="T91" s="23">
        <f>'AEO 2023 Table 36 Raw'!W73</f>
        <v>1.3373429999999999</v>
      </c>
      <c r="U91" s="23">
        <f>'AEO 2023 Table 36 Raw'!X73</f>
        <v>1.355548</v>
      </c>
      <c r="V91" s="23">
        <f>'AEO 2023 Table 36 Raw'!Y73</f>
        <v>1.373292</v>
      </c>
      <c r="W91" s="23">
        <f>'AEO 2023 Table 36 Raw'!Z73</f>
        <v>1.390433</v>
      </c>
      <c r="X91" s="23">
        <f>'AEO 2023 Table 36 Raw'!AA73</f>
        <v>1.4067000000000001</v>
      </c>
      <c r="Y91" s="23">
        <f>'AEO 2023 Table 36 Raw'!AB73</f>
        <v>1.4226700000000001</v>
      </c>
      <c r="Z91" s="23">
        <f>'AEO 2023 Table 36 Raw'!AC73</f>
        <v>1.4381809999999999</v>
      </c>
      <c r="AA91" s="23">
        <f>'AEO 2023 Table 36 Raw'!AD73</f>
        <v>1.4527399999999999</v>
      </c>
      <c r="AB91" s="23">
        <f>'AEO 2023 Table 36 Raw'!AE73</f>
        <v>1.4629570000000001</v>
      </c>
      <c r="AC91" s="23">
        <f>'AEO 2023 Table 36 Raw'!AF73</f>
        <v>1.4730529999999999</v>
      </c>
      <c r="AD91" s="23">
        <f>'AEO 2023 Table 36 Raw'!AG73</f>
        <v>1.482996</v>
      </c>
      <c r="AE91" s="23">
        <f>'AEO 2023 Table 36 Raw'!AH73</f>
        <v>1.4928939999999999</v>
      </c>
      <c r="AF91" s="28">
        <f>'AEO 2023 Table 36 Raw'!AI73</f>
        <v>1.7000000000000001E-2</v>
      </c>
    </row>
    <row r="92" spans="1:32" ht="15" customHeight="1">
      <c r="A92" s="18" t="s">
        <v>833</v>
      </c>
      <c r="B92" s="21" t="s">
        <v>813</v>
      </c>
      <c r="C92" s="23">
        <f>'AEO 2023 Table 36 Raw'!F74</f>
        <v>7.6215450000000002</v>
      </c>
      <c r="D92" s="23">
        <f>'AEO 2023 Table 36 Raw'!G74</f>
        <v>8.0154069999999997</v>
      </c>
      <c r="E92" s="23">
        <f>'AEO 2023 Table 36 Raw'!H74</f>
        <v>8.0920509999999997</v>
      </c>
      <c r="F92" s="23">
        <f>'AEO 2023 Table 36 Raw'!I74</f>
        <v>8.0630500000000005</v>
      </c>
      <c r="G92" s="23">
        <f>'AEO 2023 Table 36 Raw'!J74</f>
        <v>7.9989129999999999</v>
      </c>
      <c r="H92" s="23">
        <f>'AEO 2023 Table 36 Raw'!K74</f>
        <v>7.9290890000000003</v>
      </c>
      <c r="I92" s="23">
        <f>'AEO 2023 Table 36 Raw'!L74</f>
        <v>7.8596399999999997</v>
      </c>
      <c r="J92" s="23">
        <f>'AEO 2023 Table 36 Raw'!M74</f>
        <v>7.7896799999999997</v>
      </c>
      <c r="K92" s="23">
        <f>'AEO 2023 Table 36 Raw'!N74</f>
        <v>7.71915</v>
      </c>
      <c r="L92" s="23">
        <f>'AEO 2023 Table 36 Raw'!O74</f>
        <v>7.6474950000000002</v>
      </c>
      <c r="M92" s="23">
        <f>'AEO 2023 Table 36 Raw'!P74</f>
        <v>7.5812689999999998</v>
      </c>
      <c r="N92" s="23">
        <f>'AEO 2023 Table 36 Raw'!Q74</f>
        <v>7.5267520000000001</v>
      </c>
      <c r="O92" s="23">
        <f>'AEO 2023 Table 36 Raw'!R74</f>
        <v>7.4812770000000004</v>
      </c>
      <c r="P92" s="23">
        <f>'AEO 2023 Table 36 Raw'!S74</f>
        <v>7.4434630000000004</v>
      </c>
      <c r="Q92" s="23">
        <f>'AEO 2023 Table 36 Raw'!T74</f>
        <v>7.4131020000000003</v>
      </c>
      <c r="R92" s="23">
        <f>'AEO 2023 Table 36 Raw'!U74</f>
        <v>7.3907420000000004</v>
      </c>
      <c r="S92" s="23">
        <f>'AEO 2023 Table 36 Raw'!V74</f>
        <v>7.3531319999999996</v>
      </c>
      <c r="T92" s="23">
        <f>'AEO 2023 Table 36 Raw'!W74</f>
        <v>7.3113330000000003</v>
      </c>
      <c r="U92" s="23">
        <f>'AEO 2023 Table 36 Raw'!X74</f>
        <v>7.2676160000000003</v>
      </c>
      <c r="V92" s="23">
        <f>'AEO 2023 Table 36 Raw'!Y74</f>
        <v>7.22288</v>
      </c>
      <c r="W92" s="23">
        <f>'AEO 2023 Table 36 Raw'!Z74</f>
        <v>7.1754610000000003</v>
      </c>
      <c r="X92" s="23">
        <f>'AEO 2023 Table 36 Raw'!AA74</f>
        <v>7.125019</v>
      </c>
      <c r="Y92" s="23">
        <f>'AEO 2023 Table 36 Raw'!AB74</f>
        <v>7.0722560000000003</v>
      </c>
      <c r="Z92" s="23">
        <f>'AEO 2023 Table 36 Raw'!AC74</f>
        <v>7.017741</v>
      </c>
      <c r="AA92" s="23">
        <f>'AEO 2023 Table 36 Raw'!AD74</f>
        <v>6.960877</v>
      </c>
      <c r="AB92" s="23">
        <f>'AEO 2023 Table 36 Raw'!AE74</f>
        <v>6.9032780000000002</v>
      </c>
      <c r="AC92" s="23">
        <f>'AEO 2023 Table 36 Raw'!AF74</f>
        <v>6.8454899999999999</v>
      </c>
      <c r="AD92" s="23">
        <f>'AEO 2023 Table 36 Raw'!AG74</f>
        <v>6.7870299999999997</v>
      </c>
      <c r="AE92" s="23">
        <f>'AEO 2023 Table 36 Raw'!AH74</f>
        <v>6.7284329999999999</v>
      </c>
      <c r="AF92" s="28">
        <f>'AEO 2023 Table 36 Raw'!AI74</f>
        <v>-4.0000000000000001E-3</v>
      </c>
    </row>
    <row r="93" spans="1:32" ht="15" customHeight="1">
      <c r="A93" s="18" t="s">
        <v>834</v>
      </c>
      <c r="B93" s="21" t="s">
        <v>815</v>
      </c>
      <c r="C93" s="23">
        <f>'AEO 2023 Table 36 Raw'!F75</f>
        <v>0.57226500000000002</v>
      </c>
      <c r="D93" s="23">
        <f>'AEO 2023 Table 36 Raw'!G75</f>
        <v>0.83341600000000005</v>
      </c>
      <c r="E93" s="23">
        <f>'AEO 2023 Table 36 Raw'!H75</f>
        <v>1.075178</v>
      </c>
      <c r="F93" s="23">
        <f>'AEO 2023 Table 36 Raw'!I75</f>
        <v>1.30423</v>
      </c>
      <c r="G93" s="23">
        <f>'AEO 2023 Table 36 Raw'!J75</f>
        <v>1.524958</v>
      </c>
      <c r="H93" s="23">
        <f>'AEO 2023 Table 36 Raw'!K75</f>
        <v>1.603828</v>
      </c>
      <c r="I93" s="23">
        <f>'AEO 2023 Table 36 Raw'!L75</f>
        <v>1.6665300000000001</v>
      </c>
      <c r="J93" s="23">
        <f>'AEO 2023 Table 36 Raw'!M75</f>
        <v>1.7516910000000001</v>
      </c>
      <c r="K93" s="23">
        <f>'AEO 2023 Table 36 Raw'!N75</f>
        <v>1.8409</v>
      </c>
      <c r="L93" s="23">
        <f>'AEO 2023 Table 36 Raw'!O75</f>
        <v>1.9398230000000001</v>
      </c>
      <c r="M93" s="23">
        <f>'AEO 2023 Table 36 Raw'!P75</f>
        <v>2.045474</v>
      </c>
      <c r="N93" s="23">
        <f>'AEO 2023 Table 36 Raw'!Q75</f>
        <v>1.638865</v>
      </c>
      <c r="O93" s="23">
        <f>'AEO 2023 Table 36 Raw'!R75</f>
        <v>1.561909</v>
      </c>
      <c r="P93" s="23">
        <f>'AEO 2023 Table 36 Raw'!S75</f>
        <v>1.4974970000000001</v>
      </c>
      <c r="Q93" s="23">
        <f>'AEO 2023 Table 36 Raw'!T75</f>
        <v>1.458207</v>
      </c>
      <c r="R93" s="23">
        <f>'AEO 2023 Table 36 Raw'!U75</f>
        <v>1.4334020000000001</v>
      </c>
      <c r="S93" s="23">
        <f>'AEO 2023 Table 36 Raw'!V75</f>
        <v>1.546791</v>
      </c>
      <c r="T93" s="23">
        <f>'AEO 2023 Table 36 Raw'!W75</f>
        <v>1.686464</v>
      </c>
      <c r="U93" s="23">
        <f>'AEO 2023 Table 36 Raw'!X75</f>
        <v>1.8363419999999999</v>
      </c>
      <c r="V93" s="23">
        <f>'AEO 2023 Table 36 Raw'!Y75</f>
        <v>1.9917119999999999</v>
      </c>
      <c r="W93" s="23">
        <f>'AEO 2023 Table 36 Raw'!Z75</f>
        <v>2.1880760000000001</v>
      </c>
      <c r="X93" s="23">
        <f>'AEO 2023 Table 36 Raw'!AA75</f>
        <v>2.3979050000000002</v>
      </c>
      <c r="Y93" s="23">
        <f>'AEO 2023 Table 36 Raw'!AB75</f>
        <v>2.6149490000000002</v>
      </c>
      <c r="Z93" s="23">
        <f>'AEO 2023 Table 36 Raw'!AC75</f>
        <v>2.8492980000000001</v>
      </c>
      <c r="AA93" s="23">
        <f>'AEO 2023 Table 36 Raw'!AD75</f>
        <v>3.1578240000000002</v>
      </c>
      <c r="AB93" s="23">
        <f>'AEO 2023 Table 36 Raw'!AE75</f>
        <v>3.4764889999999999</v>
      </c>
      <c r="AC93" s="23">
        <f>'AEO 2023 Table 36 Raw'!AF75</f>
        <v>3.8193260000000002</v>
      </c>
      <c r="AD93" s="23">
        <f>'AEO 2023 Table 36 Raw'!AG75</f>
        <v>4.1890539999999996</v>
      </c>
      <c r="AE93" s="23">
        <f>'AEO 2023 Table 36 Raw'!AH75</f>
        <v>4.5733420000000002</v>
      </c>
      <c r="AF93" s="28">
        <f>'AEO 2023 Table 36 Raw'!AI75</f>
        <v>7.6999999999999999E-2</v>
      </c>
    </row>
    <row r="94" spans="1:32" ht="15" customHeight="1">
      <c r="A94" s="18" t="s">
        <v>835</v>
      </c>
      <c r="B94" s="21" t="s">
        <v>817</v>
      </c>
      <c r="C94" s="23">
        <f>'AEO 2023 Table 36 Raw'!F76</f>
        <v>0</v>
      </c>
      <c r="D94" s="23">
        <f>'AEO 2023 Table 36 Raw'!G76</f>
        <v>0</v>
      </c>
      <c r="E94" s="23">
        <f>'AEO 2023 Table 36 Raw'!H76</f>
        <v>0</v>
      </c>
      <c r="F94" s="23">
        <f>'AEO 2023 Table 36 Raw'!I76</f>
        <v>0</v>
      </c>
      <c r="G94" s="23">
        <f>'AEO 2023 Table 36 Raw'!J76</f>
        <v>0</v>
      </c>
      <c r="H94" s="23">
        <f>'AEO 2023 Table 36 Raw'!K76</f>
        <v>0</v>
      </c>
      <c r="I94" s="23">
        <f>'AEO 2023 Table 36 Raw'!L76</f>
        <v>0</v>
      </c>
      <c r="J94" s="23">
        <f>'AEO 2023 Table 36 Raw'!M76</f>
        <v>0</v>
      </c>
      <c r="K94" s="23">
        <f>'AEO 2023 Table 36 Raw'!N76</f>
        <v>0</v>
      </c>
      <c r="L94" s="23">
        <f>'AEO 2023 Table 36 Raw'!O76</f>
        <v>0</v>
      </c>
      <c r="M94" s="23">
        <f>'AEO 2023 Table 36 Raw'!P76</f>
        <v>0</v>
      </c>
      <c r="N94" s="23">
        <f>'AEO 2023 Table 36 Raw'!Q76</f>
        <v>0</v>
      </c>
      <c r="O94" s="23">
        <f>'AEO 2023 Table 36 Raw'!R76</f>
        <v>0</v>
      </c>
      <c r="P94" s="23">
        <f>'AEO 2023 Table 36 Raw'!S76</f>
        <v>0</v>
      </c>
      <c r="Q94" s="23">
        <f>'AEO 2023 Table 36 Raw'!T76</f>
        <v>0</v>
      </c>
      <c r="R94" s="23">
        <f>'AEO 2023 Table 36 Raw'!U76</f>
        <v>0</v>
      </c>
      <c r="S94" s="23">
        <f>'AEO 2023 Table 36 Raw'!V76</f>
        <v>0</v>
      </c>
      <c r="T94" s="23">
        <f>'AEO 2023 Table 36 Raw'!W76</f>
        <v>0</v>
      </c>
      <c r="U94" s="23">
        <f>'AEO 2023 Table 36 Raw'!X76</f>
        <v>0</v>
      </c>
      <c r="V94" s="23">
        <f>'AEO 2023 Table 36 Raw'!Y76</f>
        <v>0</v>
      </c>
      <c r="W94" s="23">
        <f>'AEO 2023 Table 36 Raw'!Z76</f>
        <v>0</v>
      </c>
      <c r="X94" s="23">
        <f>'AEO 2023 Table 36 Raw'!AA76</f>
        <v>0</v>
      </c>
      <c r="Y94" s="23">
        <f>'AEO 2023 Table 36 Raw'!AB76</f>
        <v>0</v>
      </c>
      <c r="Z94" s="23">
        <f>'AEO 2023 Table 36 Raw'!AC76</f>
        <v>0</v>
      </c>
      <c r="AA94" s="23">
        <f>'AEO 2023 Table 36 Raw'!AD76</f>
        <v>0</v>
      </c>
      <c r="AB94" s="23">
        <f>'AEO 2023 Table 36 Raw'!AE76</f>
        <v>0</v>
      </c>
      <c r="AC94" s="23">
        <f>'AEO 2023 Table 36 Raw'!AF76</f>
        <v>0</v>
      </c>
      <c r="AD94" s="23">
        <f>'AEO 2023 Table 36 Raw'!AG76</f>
        <v>0</v>
      </c>
      <c r="AE94" s="23">
        <f>'AEO 2023 Table 36 Raw'!AH76</f>
        <v>0</v>
      </c>
      <c r="AF94" s="28" t="str">
        <f>'AEO 2023 Table 36 Raw'!AI76</f>
        <v>- -</v>
      </c>
    </row>
    <row r="95" spans="1:32" ht="15" customHeight="1">
      <c r="A95" s="18" t="s">
        <v>836</v>
      </c>
      <c r="B95" s="20" t="s">
        <v>682</v>
      </c>
      <c r="C95" s="23">
        <f>'AEO 2023 Table 36 Raw'!F77</f>
        <v>43.913421999999997</v>
      </c>
      <c r="D95" s="23">
        <f>'AEO 2023 Table 36 Raw'!G77</f>
        <v>45.563988000000002</v>
      </c>
      <c r="E95" s="23">
        <f>'AEO 2023 Table 36 Raw'!H77</f>
        <v>46.540951</v>
      </c>
      <c r="F95" s="23">
        <f>'AEO 2023 Table 36 Raw'!I77</f>
        <v>47.205399</v>
      </c>
      <c r="G95" s="23">
        <f>'AEO 2023 Table 36 Raw'!J77</f>
        <v>47.900013000000001</v>
      </c>
      <c r="H95" s="23">
        <f>'AEO 2023 Table 36 Raw'!K77</f>
        <v>48.570526000000001</v>
      </c>
      <c r="I95" s="23">
        <f>'AEO 2023 Table 36 Raw'!L77</f>
        <v>49.132919000000001</v>
      </c>
      <c r="J95" s="23">
        <f>'AEO 2023 Table 36 Raw'!M77</f>
        <v>49.707282999999997</v>
      </c>
      <c r="K95" s="23">
        <f>'AEO 2023 Table 36 Raw'!N77</f>
        <v>50.150032000000003</v>
      </c>
      <c r="L95" s="23">
        <f>'AEO 2023 Table 36 Raw'!O77</f>
        <v>50.598678999999997</v>
      </c>
      <c r="M95" s="23">
        <f>'AEO 2023 Table 36 Raw'!P77</f>
        <v>51.139499999999998</v>
      </c>
      <c r="N95" s="23">
        <f>'AEO 2023 Table 36 Raw'!Q77</f>
        <v>51.726661999999997</v>
      </c>
      <c r="O95" s="23">
        <f>'AEO 2023 Table 36 Raw'!R77</f>
        <v>52.369225</v>
      </c>
      <c r="P95" s="23">
        <f>'AEO 2023 Table 36 Raw'!S77</f>
        <v>52.923794000000001</v>
      </c>
      <c r="Q95" s="23">
        <f>'AEO 2023 Table 36 Raw'!T77</f>
        <v>53.456974000000002</v>
      </c>
      <c r="R95" s="23">
        <f>'AEO 2023 Table 36 Raw'!U77</f>
        <v>53.972693999999997</v>
      </c>
      <c r="S95" s="23">
        <f>'AEO 2023 Table 36 Raw'!V77</f>
        <v>54.509743</v>
      </c>
      <c r="T95" s="23">
        <f>'AEO 2023 Table 36 Raw'!W77</f>
        <v>55.033695000000002</v>
      </c>
      <c r="U95" s="23">
        <f>'AEO 2023 Table 36 Raw'!X77</f>
        <v>55.626582999999997</v>
      </c>
      <c r="V95" s="23">
        <f>'AEO 2023 Table 36 Raw'!Y77</f>
        <v>56.181145000000001</v>
      </c>
      <c r="W95" s="23">
        <f>'AEO 2023 Table 36 Raw'!Z77</f>
        <v>56.753779999999999</v>
      </c>
      <c r="X95" s="23">
        <f>'AEO 2023 Table 36 Raw'!AA77</f>
        <v>57.257598999999999</v>
      </c>
      <c r="Y95" s="23">
        <f>'AEO 2023 Table 36 Raw'!AB77</f>
        <v>57.815627999999997</v>
      </c>
      <c r="Z95" s="23">
        <f>'AEO 2023 Table 36 Raw'!AC77</f>
        <v>58.366591999999997</v>
      </c>
      <c r="AA95" s="23">
        <f>'AEO 2023 Table 36 Raw'!AD77</f>
        <v>59.116034999999997</v>
      </c>
      <c r="AB95" s="23">
        <f>'AEO 2023 Table 36 Raw'!AE77</f>
        <v>59.751427</v>
      </c>
      <c r="AC95" s="23">
        <f>'AEO 2023 Table 36 Raw'!AF77</f>
        <v>60.444682999999998</v>
      </c>
      <c r="AD95" s="23">
        <f>'AEO 2023 Table 36 Raw'!AG77</f>
        <v>61.080703999999997</v>
      </c>
      <c r="AE95" s="23">
        <f>'AEO 2023 Table 36 Raw'!AH77</f>
        <v>61.848125000000003</v>
      </c>
      <c r="AF95" s="28">
        <f>'AEO 2023 Table 36 Raw'!AI77</f>
        <v>1.2E-2</v>
      </c>
    </row>
    <row r="96" spans="1:32" ht="15" customHeight="1">
      <c r="A96" s="18" t="s">
        <v>837</v>
      </c>
      <c r="B96" s="21" t="s">
        <v>838</v>
      </c>
      <c r="C96" s="23">
        <f>'AEO 2023 Table 36 Raw'!F78</f>
        <v>7.5946369999999996</v>
      </c>
      <c r="D96" s="23">
        <f>'AEO 2023 Table 36 Raw'!G78</f>
        <v>8.2708110000000001</v>
      </c>
      <c r="E96" s="23">
        <f>'AEO 2023 Table 36 Raw'!H78</f>
        <v>8.8117520000000003</v>
      </c>
      <c r="F96" s="23">
        <f>'AEO 2023 Table 36 Raw'!I78</f>
        <v>9.2425239999999995</v>
      </c>
      <c r="G96" s="23">
        <f>'AEO 2023 Table 36 Raw'!J78</f>
        <v>9.5890699999999995</v>
      </c>
      <c r="H96" s="23">
        <f>'AEO 2023 Table 36 Raw'!K78</f>
        <v>9.8712160000000004</v>
      </c>
      <c r="I96" s="23">
        <f>'AEO 2023 Table 36 Raw'!L78</f>
        <v>10.105147000000001</v>
      </c>
      <c r="J96" s="23">
        <f>'AEO 2023 Table 36 Raw'!M78</f>
        <v>10.303372</v>
      </c>
      <c r="K96" s="23">
        <f>'AEO 2023 Table 36 Raw'!N78</f>
        <v>10.475068</v>
      </c>
      <c r="L96" s="23">
        <f>'AEO 2023 Table 36 Raw'!O78</f>
        <v>10.626023999999999</v>
      </c>
      <c r="M96" s="23">
        <f>'AEO 2023 Table 36 Raw'!P78</f>
        <v>10.758953999999999</v>
      </c>
      <c r="N96" s="23">
        <f>'AEO 2023 Table 36 Raw'!Q78</f>
        <v>10.875567999999999</v>
      </c>
      <c r="O96" s="23">
        <f>'AEO 2023 Table 36 Raw'!R78</f>
        <v>10.979032999999999</v>
      </c>
      <c r="P96" s="23">
        <f>'AEO 2023 Table 36 Raw'!S78</f>
        <v>11.071654000000001</v>
      </c>
      <c r="Q96" s="23">
        <f>'AEO 2023 Table 36 Raw'!T78</f>
        <v>11.154877000000001</v>
      </c>
      <c r="R96" s="23">
        <f>'AEO 2023 Table 36 Raw'!U78</f>
        <v>11.229654999999999</v>
      </c>
      <c r="S96" s="23">
        <f>'AEO 2023 Table 36 Raw'!V78</f>
        <v>11.304667</v>
      </c>
      <c r="T96" s="23">
        <f>'AEO 2023 Table 36 Raw'!W78</f>
        <v>11.377219</v>
      </c>
      <c r="U96" s="23">
        <f>'AEO 2023 Table 36 Raw'!X78</f>
        <v>11.447278000000001</v>
      </c>
      <c r="V96" s="23">
        <f>'AEO 2023 Table 36 Raw'!Y78</f>
        <v>11.515231999999999</v>
      </c>
      <c r="W96" s="23">
        <f>'AEO 2023 Table 36 Raw'!Z78</f>
        <v>11.582255999999999</v>
      </c>
      <c r="X96" s="23">
        <f>'AEO 2023 Table 36 Raw'!AA78</f>
        <v>11.648866999999999</v>
      </c>
      <c r="Y96" s="23">
        <f>'AEO 2023 Table 36 Raw'!AB78</f>
        <v>11.715138</v>
      </c>
      <c r="Z96" s="23">
        <f>'AEO 2023 Table 36 Raw'!AC78</f>
        <v>11.781057000000001</v>
      </c>
      <c r="AA96" s="23">
        <f>'AEO 2023 Table 36 Raw'!AD78</f>
        <v>11.847011999999999</v>
      </c>
      <c r="AB96" s="23">
        <f>'AEO 2023 Table 36 Raw'!AE78</f>
        <v>11.912785</v>
      </c>
      <c r="AC96" s="23">
        <f>'AEO 2023 Table 36 Raw'!AF78</f>
        <v>11.978335</v>
      </c>
      <c r="AD96" s="23">
        <f>'AEO 2023 Table 36 Raw'!AG78</f>
        <v>12.043905000000001</v>
      </c>
      <c r="AE96" s="23">
        <f>'AEO 2023 Table 36 Raw'!AH78</f>
        <v>12.109465</v>
      </c>
      <c r="AF96" s="28">
        <f>'AEO 2023 Table 36 Raw'!AI78</f>
        <v>1.7000000000000001E-2</v>
      </c>
    </row>
    <row r="97" spans="1:32" ht="15" customHeight="1">
      <c r="A97" s="18" t="s">
        <v>839</v>
      </c>
      <c r="B97" s="21" t="s">
        <v>815</v>
      </c>
      <c r="C97" s="23">
        <f>'AEO 2023 Table 36 Raw'!F79</f>
        <v>0.923149</v>
      </c>
      <c r="D97" s="23">
        <f>'AEO 2023 Table 36 Raw'!G79</f>
        <v>1.0053399999999999</v>
      </c>
      <c r="E97" s="23">
        <f>'AEO 2023 Table 36 Raw'!H79</f>
        <v>1.0710919999999999</v>
      </c>
      <c r="F97" s="23">
        <f>'AEO 2023 Table 36 Raw'!I79</f>
        <v>1.123454</v>
      </c>
      <c r="G97" s="23">
        <f>'AEO 2023 Table 36 Raw'!J79</f>
        <v>1.165578</v>
      </c>
      <c r="H97" s="23">
        <f>'AEO 2023 Table 36 Raw'!K79</f>
        <v>1.199873</v>
      </c>
      <c r="I97" s="23">
        <f>'AEO 2023 Table 36 Raw'!L79</f>
        <v>1.228308</v>
      </c>
      <c r="J97" s="23">
        <f>'AEO 2023 Table 36 Raw'!M79</f>
        <v>1.2524029999999999</v>
      </c>
      <c r="K97" s="23">
        <f>'AEO 2023 Table 36 Raw'!N79</f>
        <v>1.2732730000000001</v>
      </c>
      <c r="L97" s="23">
        <f>'AEO 2023 Table 36 Raw'!O79</f>
        <v>1.291622</v>
      </c>
      <c r="M97" s="23">
        <f>'AEO 2023 Table 36 Raw'!P79</f>
        <v>1.3077799999999999</v>
      </c>
      <c r="N97" s="23">
        <f>'AEO 2023 Table 36 Raw'!Q79</f>
        <v>1.321955</v>
      </c>
      <c r="O97" s="23">
        <f>'AEO 2023 Table 36 Raw'!R79</f>
        <v>1.3345309999999999</v>
      </c>
      <c r="P97" s="23">
        <f>'AEO 2023 Table 36 Raw'!S79</f>
        <v>1.34579</v>
      </c>
      <c r="Q97" s="23">
        <f>'AEO 2023 Table 36 Raw'!T79</f>
        <v>1.3559060000000001</v>
      </c>
      <c r="R97" s="23">
        <f>'AEO 2023 Table 36 Raw'!U79</f>
        <v>1.364995</v>
      </c>
      <c r="S97" s="23">
        <f>'AEO 2023 Table 36 Raw'!V79</f>
        <v>1.3741129999999999</v>
      </c>
      <c r="T97" s="23">
        <f>'AEO 2023 Table 36 Raw'!W79</f>
        <v>1.3829320000000001</v>
      </c>
      <c r="U97" s="23">
        <f>'AEO 2023 Table 36 Raw'!X79</f>
        <v>1.391448</v>
      </c>
      <c r="V97" s="23">
        <f>'AEO 2023 Table 36 Raw'!Y79</f>
        <v>1.399708</v>
      </c>
      <c r="W97" s="23">
        <f>'AEO 2023 Table 36 Raw'!Z79</f>
        <v>1.4078550000000001</v>
      </c>
      <c r="X97" s="23">
        <f>'AEO 2023 Table 36 Raw'!AA79</f>
        <v>1.4159520000000001</v>
      </c>
      <c r="Y97" s="23">
        <f>'AEO 2023 Table 36 Raw'!AB79</f>
        <v>1.4240060000000001</v>
      </c>
      <c r="Z97" s="23">
        <f>'AEO 2023 Table 36 Raw'!AC79</f>
        <v>1.4320189999999999</v>
      </c>
      <c r="AA97" s="23">
        <f>'AEO 2023 Table 36 Raw'!AD79</f>
        <v>1.440037</v>
      </c>
      <c r="AB97" s="23">
        <f>'AEO 2023 Table 36 Raw'!AE79</f>
        <v>1.4480310000000001</v>
      </c>
      <c r="AC97" s="23">
        <f>'AEO 2023 Table 36 Raw'!AF79</f>
        <v>1.455999</v>
      </c>
      <c r="AD97" s="23">
        <f>'AEO 2023 Table 36 Raw'!AG79</f>
        <v>1.4639690000000001</v>
      </c>
      <c r="AE97" s="23">
        <f>'AEO 2023 Table 36 Raw'!AH79</f>
        <v>1.471938</v>
      </c>
      <c r="AF97" s="28">
        <f>'AEO 2023 Table 36 Raw'!AI79</f>
        <v>1.7000000000000001E-2</v>
      </c>
    </row>
    <row r="98" spans="1:32" ht="15" customHeight="1">
      <c r="A98" s="18" t="s">
        <v>840</v>
      </c>
      <c r="B98" s="21" t="s">
        <v>841</v>
      </c>
      <c r="C98" s="23">
        <f>'AEO 2023 Table 36 Raw'!F80</f>
        <v>6.6714880000000001</v>
      </c>
      <c r="D98" s="23">
        <f>'AEO 2023 Table 36 Raw'!G80</f>
        <v>7.2654709999999998</v>
      </c>
      <c r="E98" s="23">
        <f>'AEO 2023 Table 36 Raw'!H80</f>
        <v>7.7406600000000001</v>
      </c>
      <c r="F98" s="23">
        <f>'AEO 2023 Table 36 Raw'!I80</f>
        <v>8.1190700000000007</v>
      </c>
      <c r="G98" s="23">
        <f>'AEO 2023 Table 36 Raw'!J80</f>
        <v>8.4234919999999995</v>
      </c>
      <c r="H98" s="23">
        <f>'AEO 2023 Table 36 Raw'!K80</f>
        <v>8.6713430000000002</v>
      </c>
      <c r="I98" s="23">
        <f>'AEO 2023 Table 36 Raw'!L80</f>
        <v>8.8768399999999996</v>
      </c>
      <c r="J98" s="23">
        <f>'AEO 2023 Table 36 Raw'!M80</f>
        <v>9.0509690000000003</v>
      </c>
      <c r="K98" s="23">
        <f>'AEO 2023 Table 36 Raw'!N80</f>
        <v>9.2017959999999999</v>
      </c>
      <c r="L98" s="23">
        <f>'AEO 2023 Table 36 Raw'!O80</f>
        <v>9.3344020000000008</v>
      </c>
      <c r="M98" s="23">
        <f>'AEO 2023 Table 36 Raw'!P80</f>
        <v>9.451174</v>
      </c>
      <c r="N98" s="23">
        <f>'AEO 2023 Table 36 Raw'!Q80</f>
        <v>9.5536139999999996</v>
      </c>
      <c r="O98" s="23">
        <f>'AEO 2023 Table 36 Raw'!R80</f>
        <v>9.6445030000000003</v>
      </c>
      <c r="P98" s="23">
        <f>'AEO 2023 Table 36 Raw'!S80</f>
        <v>9.7258639999999996</v>
      </c>
      <c r="Q98" s="23">
        <f>'AEO 2023 Table 36 Raw'!T80</f>
        <v>9.7989709999999999</v>
      </c>
      <c r="R98" s="23">
        <f>'AEO 2023 Table 36 Raw'!U80</f>
        <v>9.8646600000000007</v>
      </c>
      <c r="S98" s="23">
        <f>'AEO 2023 Table 36 Raw'!V80</f>
        <v>9.9305540000000008</v>
      </c>
      <c r="T98" s="23">
        <f>'AEO 2023 Table 36 Raw'!W80</f>
        <v>9.9942869999999999</v>
      </c>
      <c r="U98" s="23">
        <f>'AEO 2023 Table 36 Raw'!X80</f>
        <v>10.05583</v>
      </c>
      <c r="V98" s="23">
        <f>'AEO 2023 Table 36 Raw'!Y80</f>
        <v>10.115524000000001</v>
      </c>
      <c r="W98" s="23">
        <f>'AEO 2023 Table 36 Raw'!Z80</f>
        <v>10.174401</v>
      </c>
      <c r="X98" s="23">
        <f>'AEO 2023 Table 36 Raw'!AA80</f>
        <v>10.232915</v>
      </c>
      <c r="Y98" s="23">
        <f>'AEO 2023 Table 36 Raw'!AB80</f>
        <v>10.291131999999999</v>
      </c>
      <c r="Z98" s="23">
        <f>'AEO 2023 Table 36 Raw'!AC80</f>
        <v>10.349038</v>
      </c>
      <c r="AA98" s="23">
        <f>'AEO 2023 Table 36 Raw'!AD80</f>
        <v>10.406974999999999</v>
      </c>
      <c r="AB98" s="23">
        <f>'AEO 2023 Table 36 Raw'!AE80</f>
        <v>10.464753</v>
      </c>
      <c r="AC98" s="23">
        <f>'AEO 2023 Table 36 Raw'!AF80</f>
        <v>10.522335999999999</v>
      </c>
      <c r="AD98" s="23">
        <f>'AEO 2023 Table 36 Raw'!AG80</f>
        <v>10.579936</v>
      </c>
      <c r="AE98" s="23">
        <f>'AEO 2023 Table 36 Raw'!AH80</f>
        <v>10.637527</v>
      </c>
      <c r="AF98" s="28">
        <f>'AEO 2023 Table 36 Raw'!AI80</f>
        <v>1.7000000000000001E-2</v>
      </c>
    </row>
    <row r="99" spans="1:32" ht="15" customHeight="1">
      <c r="A99" s="18" t="s">
        <v>842</v>
      </c>
      <c r="B99" s="21" t="s">
        <v>843</v>
      </c>
      <c r="C99" s="23">
        <f>'AEO 2023 Table 36 Raw'!F81</f>
        <v>0</v>
      </c>
      <c r="D99" s="23">
        <f>'AEO 2023 Table 36 Raw'!G81</f>
        <v>0</v>
      </c>
      <c r="E99" s="23">
        <f>'AEO 2023 Table 36 Raw'!H81</f>
        <v>0</v>
      </c>
      <c r="F99" s="23">
        <f>'AEO 2023 Table 36 Raw'!I81</f>
        <v>0</v>
      </c>
      <c r="G99" s="23">
        <f>'AEO 2023 Table 36 Raw'!J81</f>
        <v>0</v>
      </c>
      <c r="H99" s="23">
        <f>'AEO 2023 Table 36 Raw'!K81</f>
        <v>0</v>
      </c>
      <c r="I99" s="23">
        <f>'AEO 2023 Table 36 Raw'!L81</f>
        <v>0</v>
      </c>
      <c r="J99" s="23">
        <f>'AEO 2023 Table 36 Raw'!M81</f>
        <v>0</v>
      </c>
      <c r="K99" s="23">
        <f>'AEO 2023 Table 36 Raw'!N81</f>
        <v>0</v>
      </c>
      <c r="L99" s="23">
        <f>'AEO 2023 Table 36 Raw'!O81</f>
        <v>0</v>
      </c>
      <c r="M99" s="23">
        <f>'AEO 2023 Table 36 Raw'!P81</f>
        <v>0</v>
      </c>
      <c r="N99" s="23">
        <f>'AEO 2023 Table 36 Raw'!Q81</f>
        <v>0</v>
      </c>
      <c r="O99" s="23">
        <f>'AEO 2023 Table 36 Raw'!R81</f>
        <v>0</v>
      </c>
      <c r="P99" s="23">
        <f>'AEO 2023 Table 36 Raw'!S81</f>
        <v>0</v>
      </c>
      <c r="Q99" s="23">
        <f>'AEO 2023 Table 36 Raw'!T81</f>
        <v>0</v>
      </c>
      <c r="R99" s="23">
        <f>'AEO 2023 Table 36 Raw'!U81</f>
        <v>0</v>
      </c>
      <c r="S99" s="23">
        <f>'AEO 2023 Table 36 Raw'!V81</f>
        <v>0</v>
      </c>
      <c r="T99" s="23">
        <f>'AEO 2023 Table 36 Raw'!W81</f>
        <v>0</v>
      </c>
      <c r="U99" s="23">
        <f>'AEO 2023 Table 36 Raw'!X81</f>
        <v>0</v>
      </c>
      <c r="V99" s="23">
        <f>'AEO 2023 Table 36 Raw'!Y81</f>
        <v>0</v>
      </c>
      <c r="W99" s="23">
        <f>'AEO 2023 Table 36 Raw'!Z81</f>
        <v>0</v>
      </c>
      <c r="X99" s="23">
        <f>'AEO 2023 Table 36 Raw'!AA81</f>
        <v>0</v>
      </c>
      <c r="Y99" s="23">
        <f>'AEO 2023 Table 36 Raw'!AB81</f>
        <v>0</v>
      </c>
      <c r="Z99" s="23">
        <f>'AEO 2023 Table 36 Raw'!AC81</f>
        <v>0</v>
      </c>
      <c r="AA99" s="23">
        <f>'AEO 2023 Table 36 Raw'!AD81</f>
        <v>0</v>
      </c>
      <c r="AB99" s="23">
        <f>'AEO 2023 Table 36 Raw'!AE81</f>
        <v>0</v>
      </c>
      <c r="AC99" s="23">
        <f>'AEO 2023 Table 36 Raw'!AF81</f>
        <v>0</v>
      </c>
      <c r="AD99" s="23">
        <f>'AEO 2023 Table 36 Raw'!AG81</f>
        <v>0</v>
      </c>
      <c r="AE99" s="23">
        <f>'AEO 2023 Table 36 Raw'!AH81</f>
        <v>0</v>
      </c>
      <c r="AF99" s="28" t="str">
        <f>'AEO 2023 Table 36 Raw'!AI81</f>
        <v>- -</v>
      </c>
    </row>
    <row r="100" spans="1:32" ht="15" customHeight="1">
      <c r="A100" s="18" t="s">
        <v>844</v>
      </c>
      <c r="B100" s="21" t="s">
        <v>845</v>
      </c>
      <c r="C100" s="23">
        <f>'AEO 2023 Table 36 Raw'!F82</f>
        <v>0</v>
      </c>
      <c r="D100" s="23">
        <f>'AEO 2023 Table 36 Raw'!G82</f>
        <v>0</v>
      </c>
      <c r="E100" s="23">
        <f>'AEO 2023 Table 36 Raw'!H82</f>
        <v>0</v>
      </c>
      <c r="F100" s="23">
        <f>'AEO 2023 Table 36 Raw'!I82</f>
        <v>0</v>
      </c>
      <c r="G100" s="23">
        <f>'AEO 2023 Table 36 Raw'!J82</f>
        <v>0</v>
      </c>
      <c r="H100" s="23">
        <f>'AEO 2023 Table 36 Raw'!K82</f>
        <v>0</v>
      </c>
      <c r="I100" s="23">
        <f>'AEO 2023 Table 36 Raw'!L82</f>
        <v>0</v>
      </c>
      <c r="J100" s="23">
        <f>'AEO 2023 Table 36 Raw'!M82</f>
        <v>0</v>
      </c>
      <c r="K100" s="23">
        <f>'AEO 2023 Table 36 Raw'!N82</f>
        <v>0</v>
      </c>
      <c r="L100" s="23">
        <f>'AEO 2023 Table 36 Raw'!O82</f>
        <v>0</v>
      </c>
      <c r="M100" s="23">
        <f>'AEO 2023 Table 36 Raw'!P82</f>
        <v>0</v>
      </c>
      <c r="N100" s="23">
        <f>'AEO 2023 Table 36 Raw'!Q82</f>
        <v>0</v>
      </c>
      <c r="O100" s="23">
        <f>'AEO 2023 Table 36 Raw'!R82</f>
        <v>0</v>
      </c>
      <c r="P100" s="23">
        <f>'AEO 2023 Table 36 Raw'!S82</f>
        <v>0</v>
      </c>
      <c r="Q100" s="23">
        <f>'AEO 2023 Table 36 Raw'!T82</f>
        <v>0</v>
      </c>
      <c r="R100" s="23">
        <f>'AEO 2023 Table 36 Raw'!U82</f>
        <v>0</v>
      </c>
      <c r="S100" s="23">
        <f>'AEO 2023 Table 36 Raw'!V82</f>
        <v>0</v>
      </c>
      <c r="T100" s="23">
        <f>'AEO 2023 Table 36 Raw'!W82</f>
        <v>0</v>
      </c>
      <c r="U100" s="23">
        <f>'AEO 2023 Table 36 Raw'!X82</f>
        <v>0</v>
      </c>
      <c r="V100" s="23">
        <f>'AEO 2023 Table 36 Raw'!Y82</f>
        <v>0</v>
      </c>
      <c r="W100" s="23">
        <f>'AEO 2023 Table 36 Raw'!Z82</f>
        <v>0</v>
      </c>
      <c r="X100" s="23">
        <f>'AEO 2023 Table 36 Raw'!AA82</f>
        <v>0</v>
      </c>
      <c r="Y100" s="23">
        <f>'AEO 2023 Table 36 Raw'!AB82</f>
        <v>0</v>
      </c>
      <c r="Z100" s="23">
        <f>'AEO 2023 Table 36 Raw'!AC82</f>
        <v>0</v>
      </c>
      <c r="AA100" s="23">
        <f>'AEO 2023 Table 36 Raw'!AD82</f>
        <v>0</v>
      </c>
      <c r="AB100" s="23">
        <f>'AEO 2023 Table 36 Raw'!AE82</f>
        <v>0</v>
      </c>
      <c r="AC100" s="23">
        <f>'AEO 2023 Table 36 Raw'!AF82</f>
        <v>0</v>
      </c>
      <c r="AD100" s="23">
        <f>'AEO 2023 Table 36 Raw'!AG82</f>
        <v>0</v>
      </c>
      <c r="AE100" s="23">
        <f>'AEO 2023 Table 36 Raw'!AH82</f>
        <v>0</v>
      </c>
      <c r="AF100" s="28" t="str">
        <f>'AEO 2023 Table 36 Raw'!AI82</f>
        <v>- -</v>
      </c>
    </row>
    <row r="101" spans="1:32" ht="15" customHeight="1">
      <c r="A101" s="18" t="s">
        <v>846</v>
      </c>
      <c r="B101" s="21" t="s">
        <v>847</v>
      </c>
      <c r="C101" s="23">
        <f>'AEO 2023 Table 36 Raw'!F83</f>
        <v>17.032639</v>
      </c>
      <c r="D101" s="23">
        <f>'AEO 2023 Table 36 Raw'!G83</f>
        <v>17.333525000000002</v>
      </c>
      <c r="E101" s="23">
        <f>'AEO 2023 Table 36 Raw'!H83</f>
        <v>17.471111000000001</v>
      </c>
      <c r="F101" s="23">
        <f>'AEO 2023 Table 36 Raw'!I83</f>
        <v>17.514868</v>
      </c>
      <c r="G101" s="23">
        <f>'AEO 2023 Table 36 Raw'!J83</f>
        <v>17.667708999999999</v>
      </c>
      <c r="H101" s="23">
        <f>'AEO 2023 Table 36 Raw'!K83</f>
        <v>17.921016999999999</v>
      </c>
      <c r="I101" s="23">
        <f>'AEO 2023 Table 36 Raw'!L83</f>
        <v>18.139037999999999</v>
      </c>
      <c r="J101" s="23">
        <f>'AEO 2023 Table 36 Raw'!M83</f>
        <v>18.293453</v>
      </c>
      <c r="K101" s="23">
        <f>'AEO 2023 Table 36 Raw'!N83</f>
        <v>18.389309000000001</v>
      </c>
      <c r="L101" s="23">
        <f>'AEO 2023 Table 36 Raw'!O83</f>
        <v>18.446940999999999</v>
      </c>
      <c r="M101" s="23">
        <f>'AEO 2023 Table 36 Raw'!P83</f>
        <v>18.571213</v>
      </c>
      <c r="N101" s="23">
        <f>'AEO 2023 Table 36 Raw'!Q83</f>
        <v>18.730657999999998</v>
      </c>
      <c r="O101" s="23">
        <f>'AEO 2023 Table 36 Raw'!R83</f>
        <v>18.930088000000001</v>
      </c>
      <c r="P101" s="23">
        <f>'AEO 2023 Table 36 Raw'!S83</f>
        <v>19.092124999999999</v>
      </c>
      <c r="Q101" s="23">
        <f>'AEO 2023 Table 36 Raw'!T83</f>
        <v>19.259436000000001</v>
      </c>
      <c r="R101" s="23">
        <f>'AEO 2023 Table 36 Raw'!U83</f>
        <v>19.415512</v>
      </c>
      <c r="S101" s="23">
        <f>'AEO 2023 Table 36 Raw'!V83</f>
        <v>19.584526</v>
      </c>
      <c r="T101" s="23">
        <f>'AEO 2023 Table 36 Raw'!W83</f>
        <v>19.751868999999999</v>
      </c>
      <c r="U101" s="23">
        <f>'AEO 2023 Table 36 Raw'!X83</f>
        <v>19.950641999999998</v>
      </c>
      <c r="V101" s="23">
        <f>'AEO 2023 Table 36 Raw'!Y83</f>
        <v>20.133372999999999</v>
      </c>
      <c r="W101" s="23">
        <f>'AEO 2023 Table 36 Raw'!Z83</f>
        <v>20.325230000000001</v>
      </c>
      <c r="X101" s="23">
        <f>'AEO 2023 Table 36 Raw'!AA83</f>
        <v>20.481424000000001</v>
      </c>
      <c r="Y101" s="23">
        <f>'AEO 2023 Table 36 Raw'!AB83</f>
        <v>20.667052999999999</v>
      </c>
      <c r="Z101" s="23">
        <f>'AEO 2023 Table 36 Raw'!AC83</f>
        <v>20.844881000000001</v>
      </c>
      <c r="AA101" s="23">
        <f>'AEO 2023 Table 36 Raw'!AD83</f>
        <v>21.123301999999999</v>
      </c>
      <c r="AB101" s="23">
        <f>'AEO 2023 Table 36 Raw'!AE83</f>
        <v>21.333514999999998</v>
      </c>
      <c r="AC101" s="23">
        <f>'AEO 2023 Table 36 Raw'!AF83</f>
        <v>21.575635999999999</v>
      </c>
      <c r="AD101" s="23">
        <f>'AEO 2023 Table 36 Raw'!AG83</f>
        <v>21.790666999999999</v>
      </c>
      <c r="AE101" s="23">
        <f>'AEO 2023 Table 36 Raw'!AH83</f>
        <v>22.070596999999999</v>
      </c>
      <c r="AF101" s="28">
        <f>'AEO 2023 Table 36 Raw'!AI83</f>
        <v>8.9999999999999993E-3</v>
      </c>
    </row>
    <row r="102" spans="1:32" ht="15" customHeight="1">
      <c r="A102" s="18" t="s">
        <v>848</v>
      </c>
      <c r="B102" s="21" t="s">
        <v>815</v>
      </c>
      <c r="C102" s="23">
        <f>'AEO 2023 Table 36 Raw'!F84</f>
        <v>17.032639</v>
      </c>
      <c r="D102" s="23">
        <f>'AEO 2023 Table 36 Raw'!G84</f>
        <v>17.333525000000002</v>
      </c>
      <c r="E102" s="23">
        <f>'AEO 2023 Table 36 Raw'!H84</f>
        <v>17.471111000000001</v>
      </c>
      <c r="F102" s="23">
        <f>'AEO 2023 Table 36 Raw'!I84</f>
        <v>17.514868</v>
      </c>
      <c r="G102" s="23">
        <f>'AEO 2023 Table 36 Raw'!J84</f>
        <v>17.667708999999999</v>
      </c>
      <c r="H102" s="23">
        <f>'AEO 2023 Table 36 Raw'!K84</f>
        <v>17.921016999999999</v>
      </c>
      <c r="I102" s="23">
        <f>'AEO 2023 Table 36 Raw'!L84</f>
        <v>18.139037999999999</v>
      </c>
      <c r="J102" s="23">
        <f>'AEO 2023 Table 36 Raw'!M84</f>
        <v>18.293453</v>
      </c>
      <c r="K102" s="23">
        <f>'AEO 2023 Table 36 Raw'!N84</f>
        <v>18.389309000000001</v>
      </c>
      <c r="L102" s="23">
        <f>'AEO 2023 Table 36 Raw'!O84</f>
        <v>18.446940999999999</v>
      </c>
      <c r="M102" s="23">
        <f>'AEO 2023 Table 36 Raw'!P84</f>
        <v>18.571213</v>
      </c>
      <c r="N102" s="23">
        <f>'AEO 2023 Table 36 Raw'!Q84</f>
        <v>18.730657999999998</v>
      </c>
      <c r="O102" s="23">
        <f>'AEO 2023 Table 36 Raw'!R84</f>
        <v>18.930088000000001</v>
      </c>
      <c r="P102" s="23">
        <f>'AEO 2023 Table 36 Raw'!S84</f>
        <v>19.092124999999999</v>
      </c>
      <c r="Q102" s="23">
        <f>'AEO 2023 Table 36 Raw'!T84</f>
        <v>19.259436000000001</v>
      </c>
      <c r="R102" s="23">
        <f>'AEO 2023 Table 36 Raw'!U84</f>
        <v>19.415512</v>
      </c>
      <c r="S102" s="23">
        <f>'AEO 2023 Table 36 Raw'!V84</f>
        <v>19.584526</v>
      </c>
      <c r="T102" s="23">
        <f>'AEO 2023 Table 36 Raw'!W84</f>
        <v>19.751868999999999</v>
      </c>
      <c r="U102" s="23">
        <f>'AEO 2023 Table 36 Raw'!X84</f>
        <v>19.950641999999998</v>
      </c>
      <c r="V102" s="23">
        <f>'AEO 2023 Table 36 Raw'!Y84</f>
        <v>20.133372999999999</v>
      </c>
      <c r="W102" s="23">
        <f>'AEO 2023 Table 36 Raw'!Z84</f>
        <v>20.325230000000001</v>
      </c>
      <c r="X102" s="23">
        <f>'AEO 2023 Table 36 Raw'!AA84</f>
        <v>20.481424000000001</v>
      </c>
      <c r="Y102" s="23">
        <f>'AEO 2023 Table 36 Raw'!AB84</f>
        <v>20.667052999999999</v>
      </c>
      <c r="Z102" s="23">
        <f>'AEO 2023 Table 36 Raw'!AC84</f>
        <v>20.844881000000001</v>
      </c>
      <c r="AA102" s="23">
        <f>'AEO 2023 Table 36 Raw'!AD84</f>
        <v>21.123301999999999</v>
      </c>
      <c r="AB102" s="23">
        <f>'AEO 2023 Table 36 Raw'!AE84</f>
        <v>21.333514999999998</v>
      </c>
      <c r="AC102" s="23">
        <f>'AEO 2023 Table 36 Raw'!AF84</f>
        <v>21.575635999999999</v>
      </c>
      <c r="AD102" s="23">
        <f>'AEO 2023 Table 36 Raw'!AG84</f>
        <v>21.790666999999999</v>
      </c>
      <c r="AE102" s="23">
        <f>'AEO 2023 Table 36 Raw'!AH84</f>
        <v>22.070596999999999</v>
      </c>
      <c r="AF102" s="28">
        <f>'AEO 2023 Table 36 Raw'!AI84</f>
        <v>8.9999999999999993E-3</v>
      </c>
    </row>
    <row r="103" spans="1:32" ht="15" customHeight="1">
      <c r="A103" s="18" t="s">
        <v>849</v>
      </c>
      <c r="B103" s="21" t="s">
        <v>850</v>
      </c>
      <c r="C103" s="23">
        <f>'AEO 2023 Table 36 Raw'!F85</f>
        <v>19.286148000000001</v>
      </c>
      <c r="D103" s="23">
        <f>'AEO 2023 Table 36 Raw'!G85</f>
        <v>19.959654</v>
      </c>
      <c r="E103" s="23">
        <f>'AEO 2023 Table 36 Raw'!H85</f>
        <v>20.258087</v>
      </c>
      <c r="F103" s="23">
        <f>'AEO 2023 Table 36 Raw'!I85</f>
        <v>20.448008000000002</v>
      </c>
      <c r="G103" s="23">
        <f>'AEO 2023 Table 36 Raw'!J85</f>
        <v>20.643234</v>
      </c>
      <c r="H103" s="23">
        <f>'AEO 2023 Table 36 Raw'!K85</f>
        <v>20.778293999999999</v>
      </c>
      <c r="I103" s="23">
        <f>'AEO 2023 Table 36 Raw'!L85</f>
        <v>20.888736999999999</v>
      </c>
      <c r="J103" s="23">
        <f>'AEO 2023 Table 36 Raw'!M85</f>
        <v>21.11046</v>
      </c>
      <c r="K103" s="23">
        <f>'AEO 2023 Table 36 Raw'!N85</f>
        <v>21.285655999999999</v>
      </c>
      <c r="L103" s="23">
        <f>'AEO 2023 Table 36 Raw'!O85</f>
        <v>21.525711000000001</v>
      </c>
      <c r="M103" s="23">
        <f>'AEO 2023 Table 36 Raw'!P85</f>
        <v>21.809334</v>
      </c>
      <c r="N103" s="23">
        <f>'AEO 2023 Table 36 Raw'!Q85</f>
        <v>22.120438</v>
      </c>
      <c r="O103" s="23">
        <f>'AEO 2023 Table 36 Raw'!R85</f>
        <v>22.460100000000001</v>
      </c>
      <c r="P103" s="23">
        <f>'AEO 2023 Table 36 Raw'!S85</f>
        <v>22.760014000000002</v>
      </c>
      <c r="Q103" s="23">
        <f>'AEO 2023 Table 36 Raw'!T85</f>
        <v>23.042663999999998</v>
      </c>
      <c r="R103" s="23">
        <f>'AEO 2023 Table 36 Raw'!U85</f>
        <v>23.327525999999999</v>
      </c>
      <c r="S103" s="23">
        <f>'AEO 2023 Table 36 Raw'!V85</f>
        <v>23.620547999999999</v>
      </c>
      <c r="T103" s="23">
        <f>'AEO 2023 Table 36 Raw'!W85</f>
        <v>23.904606000000001</v>
      </c>
      <c r="U103" s="23">
        <f>'AEO 2023 Table 36 Raw'!X85</f>
        <v>24.228663999999998</v>
      </c>
      <c r="V103" s="23">
        <f>'AEO 2023 Table 36 Raw'!Y85</f>
        <v>24.532539</v>
      </c>
      <c r="W103" s="23">
        <f>'AEO 2023 Table 36 Raw'!Z85</f>
        <v>24.846294</v>
      </c>
      <c r="X103" s="23">
        <f>'AEO 2023 Table 36 Raw'!AA85</f>
        <v>25.127307999999999</v>
      </c>
      <c r="Y103" s="23">
        <f>'AEO 2023 Table 36 Raw'!AB85</f>
        <v>25.433437000000001</v>
      </c>
      <c r="Z103" s="23">
        <f>'AEO 2023 Table 36 Raw'!AC85</f>
        <v>25.740656000000001</v>
      </c>
      <c r="AA103" s="23">
        <f>'AEO 2023 Table 36 Raw'!AD85</f>
        <v>26.145723</v>
      </c>
      <c r="AB103" s="23">
        <f>'AEO 2023 Table 36 Raw'!AE85</f>
        <v>26.505127000000002</v>
      </c>
      <c r="AC103" s="23">
        <f>'AEO 2023 Table 36 Raw'!AF85</f>
        <v>26.890711</v>
      </c>
      <c r="AD103" s="23">
        <f>'AEO 2023 Table 36 Raw'!AG85</f>
        <v>27.246131999999999</v>
      </c>
      <c r="AE103" s="23">
        <f>'AEO 2023 Table 36 Raw'!AH85</f>
        <v>27.668061999999999</v>
      </c>
      <c r="AF103" s="28">
        <f>'AEO 2023 Table 36 Raw'!AI85</f>
        <v>1.2999999999999999E-2</v>
      </c>
    </row>
    <row r="104" spans="1:32" ht="15" customHeight="1">
      <c r="A104" s="18" t="s">
        <v>851</v>
      </c>
      <c r="B104" s="21" t="s">
        <v>815</v>
      </c>
      <c r="C104" s="23">
        <f>'AEO 2023 Table 36 Raw'!F86</f>
        <v>6.9668039999999998</v>
      </c>
      <c r="D104" s="23">
        <f>'AEO 2023 Table 36 Raw'!G86</f>
        <v>7.2055709999999999</v>
      </c>
      <c r="E104" s="23">
        <f>'AEO 2023 Table 36 Raw'!H86</f>
        <v>7.3069870000000003</v>
      </c>
      <c r="F104" s="23">
        <f>'AEO 2023 Table 36 Raw'!I86</f>
        <v>7.3605080000000003</v>
      </c>
      <c r="G104" s="23">
        <f>'AEO 2023 Table 36 Raw'!J86</f>
        <v>7.3962209999999997</v>
      </c>
      <c r="H104" s="23">
        <f>'AEO 2023 Table 36 Raw'!K86</f>
        <v>7.4034529999999998</v>
      </c>
      <c r="I104" s="23">
        <f>'AEO 2023 Table 36 Raw'!L86</f>
        <v>7.4034849999999999</v>
      </c>
      <c r="J104" s="23">
        <f>'AEO 2023 Table 36 Raw'!M86</f>
        <v>7.4601230000000003</v>
      </c>
      <c r="K104" s="23">
        <f>'AEO 2023 Table 36 Raw'!N86</f>
        <v>7.5075329999999996</v>
      </c>
      <c r="L104" s="23">
        <f>'AEO 2023 Table 36 Raw'!O86</f>
        <v>7.6063049999999999</v>
      </c>
      <c r="M104" s="23">
        <f>'AEO 2023 Table 36 Raw'!P86</f>
        <v>7.7227600000000001</v>
      </c>
      <c r="N104" s="23">
        <f>'AEO 2023 Table 36 Raw'!Q86</f>
        <v>7.8505010000000004</v>
      </c>
      <c r="O104" s="23">
        <f>'AEO 2023 Table 36 Raw'!R86</f>
        <v>7.987139</v>
      </c>
      <c r="P104" s="23">
        <f>'AEO 2023 Table 36 Raw'!S86</f>
        <v>8.1068239999999996</v>
      </c>
      <c r="Q104" s="23">
        <f>'AEO 2023 Table 36 Raw'!T86</f>
        <v>8.2209280000000007</v>
      </c>
      <c r="R104" s="23">
        <f>'AEO 2023 Table 36 Raw'!U86</f>
        <v>8.3371739999999992</v>
      </c>
      <c r="S104" s="23">
        <f>'AEO 2023 Table 36 Raw'!V86</f>
        <v>8.4559110000000004</v>
      </c>
      <c r="T104" s="23">
        <f>'AEO 2023 Table 36 Raw'!W86</f>
        <v>8.5701509999999992</v>
      </c>
      <c r="U104" s="23">
        <f>'AEO 2023 Table 36 Raw'!X86</f>
        <v>8.700564</v>
      </c>
      <c r="V104" s="23">
        <f>'AEO 2023 Table 36 Raw'!Y86</f>
        <v>8.8238339999999997</v>
      </c>
      <c r="W104" s="23">
        <f>'AEO 2023 Table 36 Raw'!Z86</f>
        <v>8.9493679999999998</v>
      </c>
      <c r="X104" s="23">
        <f>'AEO 2023 Table 36 Raw'!AA86</f>
        <v>9.0625599999999995</v>
      </c>
      <c r="Y104" s="23">
        <f>'AEO 2023 Table 36 Raw'!AB86</f>
        <v>9.1843959999999996</v>
      </c>
      <c r="Z104" s="23">
        <f>'AEO 2023 Table 36 Raw'!AC86</f>
        <v>9.3055529999999997</v>
      </c>
      <c r="AA104" s="23">
        <f>'AEO 2023 Table 36 Raw'!AD86</f>
        <v>9.4632129999999997</v>
      </c>
      <c r="AB104" s="23">
        <f>'AEO 2023 Table 36 Raw'!AE86</f>
        <v>9.6034579999999998</v>
      </c>
      <c r="AC104" s="23">
        <f>'AEO 2023 Table 36 Raw'!AF86</f>
        <v>9.7528290000000002</v>
      </c>
      <c r="AD104" s="23">
        <f>'AEO 2023 Table 36 Raw'!AG86</f>
        <v>9.890326</v>
      </c>
      <c r="AE104" s="23">
        <f>'AEO 2023 Table 36 Raw'!AH86</f>
        <v>10.053587</v>
      </c>
      <c r="AF104" s="28">
        <f>'AEO 2023 Table 36 Raw'!AI86</f>
        <v>1.2999999999999999E-2</v>
      </c>
    </row>
    <row r="105" spans="1:32" ht="15" customHeight="1">
      <c r="A105" s="18" t="s">
        <v>852</v>
      </c>
      <c r="B105" s="21" t="s">
        <v>841</v>
      </c>
      <c r="C105" s="23">
        <f>'AEO 2023 Table 36 Raw'!F87</f>
        <v>12.319345</v>
      </c>
      <c r="D105" s="23">
        <f>'AEO 2023 Table 36 Raw'!G87</f>
        <v>12.754084000000001</v>
      </c>
      <c r="E105" s="23">
        <f>'AEO 2023 Table 36 Raw'!H87</f>
        <v>12.951098999999999</v>
      </c>
      <c r="F105" s="23">
        <f>'AEO 2023 Table 36 Raw'!I87</f>
        <v>13.0875</v>
      </c>
      <c r="G105" s="23">
        <f>'AEO 2023 Table 36 Raw'!J87</f>
        <v>13.247013000000001</v>
      </c>
      <c r="H105" s="23">
        <f>'AEO 2023 Table 36 Raw'!K87</f>
        <v>13.374840000000001</v>
      </c>
      <c r="I105" s="23">
        <f>'AEO 2023 Table 36 Raw'!L87</f>
        <v>13.485250000000001</v>
      </c>
      <c r="J105" s="23">
        <f>'AEO 2023 Table 36 Raw'!M87</f>
        <v>13.650337</v>
      </c>
      <c r="K105" s="23">
        <f>'AEO 2023 Table 36 Raw'!N87</f>
        <v>13.778123000000001</v>
      </c>
      <c r="L105" s="23">
        <f>'AEO 2023 Table 36 Raw'!O87</f>
        <v>13.919407</v>
      </c>
      <c r="M105" s="23">
        <f>'AEO 2023 Table 36 Raw'!P87</f>
        <v>14.086574000000001</v>
      </c>
      <c r="N105" s="23">
        <f>'AEO 2023 Table 36 Raw'!Q87</f>
        <v>14.269936</v>
      </c>
      <c r="O105" s="23">
        <f>'AEO 2023 Table 36 Raw'!R87</f>
        <v>14.47296</v>
      </c>
      <c r="P105" s="23">
        <f>'AEO 2023 Table 36 Raw'!S87</f>
        <v>14.65319</v>
      </c>
      <c r="Q105" s="23">
        <f>'AEO 2023 Table 36 Raw'!T87</f>
        <v>14.821736</v>
      </c>
      <c r="R105" s="23">
        <f>'AEO 2023 Table 36 Raw'!U87</f>
        <v>14.990353000000001</v>
      </c>
      <c r="S105" s="23">
        <f>'AEO 2023 Table 36 Raw'!V87</f>
        <v>15.164637000000001</v>
      </c>
      <c r="T105" s="23">
        <f>'AEO 2023 Table 36 Raw'!W87</f>
        <v>15.334455</v>
      </c>
      <c r="U105" s="23">
        <f>'AEO 2023 Table 36 Raw'!X87</f>
        <v>15.528098999999999</v>
      </c>
      <c r="V105" s="23">
        <f>'AEO 2023 Table 36 Raw'!Y87</f>
        <v>15.708705999999999</v>
      </c>
      <c r="W105" s="23">
        <f>'AEO 2023 Table 36 Raw'!Z87</f>
        <v>15.896927</v>
      </c>
      <c r="X105" s="23">
        <f>'AEO 2023 Table 36 Raw'!AA87</f>
        <v>16.064747000000001</v>
      </c>
      <c r="Y105" s="23">
        <f>'AEO 2023 Table 36 Raw'!AB87</f>
        <v>16.249043</v>
      </c>
      <c r="Z105" s="23">
        <f>'AEO 2023 Table 36 Raw'!AC87</f>
        <v>16.435102000000001</v>
      </c>
      <c r="AA105" s="23">
        <f>'AEO 2023 Table 36 Raw'!AD87</f>
        <v>16.682510000000001</v>
      </c>
      <c r="AB105" s="23">
        <f>'AEO 2023 Table 36 Raw'!AE87</f>
        <v>16.901668999999998</v>
      </c>
      <c r="AC105" s="23">
        <f>'AEO 2023 Table 36 Raw'!AF87</f>
        <v>17.137882000000001</v>
      </c>
      <c r="AD105" s="23">
        <f>'AEO 2023 Table 36 Raw'!AG87</f>
        <v>17.355803999999999</v>
      </c>
      <c r="AE105" s="23">
        <f>'AEO 2023 Table 36 Raw'!AH87</f>
        <v>17.614474999999999</v>
      </c>
      <c r="AF105" s="28">
        <f>'AEO 2023 Table 36 Raw'!AI87</f>
        <v>1.2999999999999999E-2</v>
      </c>
    </row>
    <row r="106" spans="1:32" ht="15" customHeight="1">
      <c r="A106" s="18" t="s">
        <v>853</v>
      </c>
      <c r="B106" s="21" t="s">
        <v>843</v>
      </c>
      <c r="C106" s="23">
        <f>'AEO 2023 Table 36 Raw'!F88</f>
        <v>0</v>
      </c>
      <c r="D106" s="23">
        <f>'AEO 2023 Table 36 Raw'!G88</f>
        <v>0</v>
      </c>
      <c r="E106" s="23">
        <f>'AEO 2023 Table 36 Raw'!H88</f>
        <v>0</v>
      </c>
      <c r="F106" s="23">
        <f>'AEO 2023 Table 36 Raw'!I88</f>
        <v>0</v>
      </c>
      <c r="G106" s="23">
        <f>'AEO 2023 Table 36 Raw'!J88</f>
        <v>0</v>
      </c>
      <c r="H106" s="23">
        <f>'AEO 2023 Table 36 Raw'!K88</f>
        <v>0</v>
      </c>
      <c r="I106" s="23">
        <f>'AEO 2023 Table 36 Raw'!L88</f>
        <v>0</v>
      </c>
      <c r="J106" s="23">
        <f>'AEO 2023 Table 36 Raw'!M88</f>
        <v>0</v>
      </c>
      <c r="K106" s="23">
        <f>'AEO 2023 Table 36 Raw'!N88</f>
        <v>0</v>
      </c>
      <c r="L106" s="23">
        <f>'AEO 2023 Table 36 Raw'!O88</f>
        <v>0</v>
      </c>
      <c r="M106" s="23">
        <f>'AEO 2023 Table 36 Raw'!P88</f>
        <v>0</v>
      </c>
      <c r="N106" s="23">
        <f>'AEO 2023 Table 36 Raw'!Q88</f>
        <v>0</v>
      </c>
      <c r="O106" s="23">
        <f>'AEO 2023 Table 36 Raw'!R88</f>
        <v>0</v>
      </c>
      <c r="P106" s="23">
        <f>'AEO 2023 Table 36 Raw'!S88</f>
        <v>0</v>
      </c>
      <c r="Q106" s="23">
        <f>'AEO 2023 Table 36 Raw'!T88</f>
        <v>0</v>
      </c>
      <c r="R106" s="23">
        <f>'AEO 2023 Table 36 Raw'!U88</f>
        <v>0</v>
      </c>
      <c r="S106" s="23">
        <f>'AEO 2023 Table 36 Raw'!V88</f>
        <v>0</v>
      </c>
      <c r="T106" s="23">
        <f>'AEO 2023 Table 36 Raw'!W88</f>
        <v>0</v>
      </c>
      <c r="U106" s="23">
        <f>'AEO 2023 Table 36 Raw'!X88</f>
        <v>0</v>
      </c>
      <c r="V106" s="23">
        <f>'AEO 2023 Table 36 Raw'!Y88</f>
        <v>0</v>
      </c>
      <c r="W106" s="23">
        <f>'AEO 2023 Table 36 Raw'!Z88</f>
        <v>0</v>
      </c>
      <c r="X106" s="23">
        <f>'AEO 2023 Table 36 Raw'!AA88</f>
        <v>0</v>
      </c>
      <c r="Y106" s="23">
        <f>'AEO 2023 Table 36 Raw'!AB88</f>
        <v>0</v>
      </c>
      <c r="Z106" s="23">
        <f>'AEO 2023 Table 36 Raw'!AC88</f>
        <v>0</v>
      </c>
      <c r="AA106" s="23">
        <f>'AEO 2023 Table 36 Raw'!AD88</f>
        <v>0</v>
      </c>
      <c r="AB106" s="23">
        <f>'AEO 2023 Table 36 Raw'!AE88</f>
        <v>0</v>
      </c>
      <c r="AC106" s="23">
        <f>'AEO 2023 Table 36 Raw'!AF88</f>
        <v>0</v>
      </c>
      <c r="AD106" s="23">
        <f>'AEO 2023 Table 36 Raw'!AG88</f>
        <v>0</v>
      </c>
      <c r="AE106" s="23">
        <f>'AEO 2023 Table 36 Raw'!AH88</f>
        <v>0</v>
      </c>
      <c r="AF106" s="28" t="str">
        <f>'AEO 2023 Table 36 Raw'!AI88</f>
        <v>- -</v>
      </c>
    </row>
    <row r="107" spans="1:32" ht="15" customHeight="1">
      <c r="A107" s="18" t="s">
        <v>854</v>
      </c>
      <c r="B107" s="21" t="s">
        <v>845</v>
      </c>
      <c r="C107" s="23">
        <f>'AEO 2023 Table 36 Raw'!F89</f>
        <v>0</v>
      </c>
      <c r="D107" s="23">
        <f>'AEO 2023 Table 36 Raw'!G89</f>
        <v>0</v>
      </c>
      <c r="E107" s="23">
        <f>'AEO 2023 Table 36 Raw'!H89</f>
        <v>0</v>
      </c>
      <c r="F107" s="23">
        <f>'AEO 2023 Table 36 Raw'!I89</f>
        <v>0</v>
      </c>
      <c r="G107" s="23">
        <f>'AEO 2023 Table 36 Raw'!J89</f>
        <v>0</v>
      </c>
      <c r="H107" s="23">
        <f>'AEO 2023 Table 36 Raw'!K89</f>
        <v>0</v>
      </c>
      <c r="I107" s="23">
        <f>'AEO 2023 Table 36 Raw'!L89</f>
        <v>0</v>
      </c>
      <c r="J107" s="23">
        <f>'AEO 2023 Table 36 Raw'!M89</f>
        <v>0</v>
      </c>
      <c r="K107" s="23">
        <f>'AEO 2023 Table 36 Raw'!N89</f>
        <v>0</v>
      </c>
      <c r="L107" s="23">
        <f>'AEO 2023 Table 36 Raw'!O89</f>
        <v>0</v>
      </c>
      <c r="M107" s="23">
        <f>'AEO 2023 Table 36 Raw'!P89</f>
        <v>0</v>
      </c>
      <c r="N107" s="23">
        <f>'AEO 2023 Table 36 Raw'!Q89</f>
        <v>0</v>
      </c>
      <c r="O107" s="23">
        <f>'AEO 2023 Table 36 Raw'!R89</f>
        <v>0</v>
      </c>
      <c r="P107" s="23">
        <f>'AEO 2023 Table 36 Raw'!S89</f>
        <v>0</v>
      </c>
      <c r="Q107" s="23">
        <f>'AEO 2023 Table 36 Raw'!T89</f>
        <v>0</v>
      </c>
      <c r="R107" s="23">
        <f>'AEO 2023 Table 36 Raw'!U89</f>
        <v>0</v>
      </c>
      <c r="S107" s="23">
        <f>'AEO 2023 Table 36 Raw'!V89</f>
        <v>0</v>
      </c>
      <c r="T107" s="23">
        <f>'AEO 2023 Table 36 Raw'!W89</f>
        <v>0</v>
      </c>
      <c r="U107" s="23">
        <f>'AEO 2023 Table 36 Raw'!X89</f>
        <v>0</v>
      </c>
      <c r="V107" s="23">
        <f>'AEO 2023 Table 36 Raw'!Y89</f>
        <v>0</v>
      </c>
      <c r="W107" s="23">
        <f>'AEO 2023 Table 36 Raw'!Z89</f>
        <v>0</v>
      </c>
      <c r="X107" s="23">
        <f>'AEO 2023 Table 36 Raw'!AA89</f>
        <v>0</v>
      </c>
      <c r="Y107" s="23">
        <f>'AEO 2023 Table 36 Raw'!AB89</f>
        <v>0</v>
      </c>
      <c r="Z107" s="23">
        <f>'AEO 2023 Table 36 Raw'!AC89</f>
        <v>0</v>
      </c>
      <c r="AA107" s="23">
        <f>'AEO 2023 Table 36 Raw'!AD89</f>
        <v>0</v>
      </c>
      <c r="AB107" s="23">
        <f>'AEO 2023 Table 36 Raw'!AE89</f>
        <v>0</v>
      </c>
      <c r="AC107" s="23">
        <f>'AEO 2023 Table 36 Raw'!AF89</f>
        <v>0</v>
      </c>
      <c r="AD107" s="23">
        <f>'AEO 2023 Table 36 Raw'!AG89</f>
        <v>0</v>
      </c>
      <c r="AE107" s="23">
        <f>'AEO 2023 Table 36 Raw'!AH89</f>
        <v>0</v>
      </c>
      <c r="AF107" s="28" t="str">
        <f>'AEO 2023 Table 36 Raw'!AI89</f>
        <v>- -</v>
      </c>
    </row>
    <row r="108" spans="1:32" ht="12" customHeight="1">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8"/>
    </row>
    <row r="109" spans="1:32" ht="15" customHeight="1">
      <c r="A109" s="18" t="s">
        <v>855</v>
      </c>
      <c r="B109" s="20" t="s">
        <v>713</v>
      </c>
      <c r="C109" s="23">
        <f>'AEO 2023 Table 36 Raw'!F90</f>
        <v>202.83663899999999</v>
      </c>
      <c r="D109" s="23">
        <f>'AEO 2023 Table 36 Raw'!G90</f>
        <v>199.16296399999999</v>
      </c>
      <c r="E109" s="23">
        <f>'AEO 2023 Table 36 Raw'!H90</f>
        <v>195.80548099999999</v>
      </c>
      <c r="F109" s="23">
        <f>'AEO 2023 Table 36 Raw'!I90</f>
        <v>193.737213</v>
      </c>
      <c r="G109" s="23">
        <f>'AEO 2023 Table 36 Raw'!J90</f>
        <v>192.813141</v>
      </c>
      <c r="H109" s="23">
        <f>'AEO 2023 Table 36 Raw'!K90</f>
        <v>191.8974</v>
      </c>
      <c r="I109" s="23">
        <f>'AEO 2023 Table 36 Raw'!L90</f>
        <v>190.73350500000001</v>
      </c>
      <c r="J109" s="23">
        <f>'AEO 2023 Table 36 Raw'!M90</f>
        <v>189.210464</v>
      </c>
      <c r="K109" s="23">
        <f>'AEO 2023 Table 36 Raw'!N90</f>
        <v>187.40353400000001</v>
      </c>
      <c r="L109" s="23">
        <f>'AEO 2023 Table 36 Raw'!O90</f>
        <v>185.676941</v>
      </c>
      <c r="M109" s="23">
        <f>'AEO 2023 Table 36 Raw'!P90</f>
        <v>184.46688800000001</v>
      </c>
      <c r="N109" s="23">
        <f>'AEO 2023 Table 36 Raw'!Q90</f>
        <v>183.61003099999999</v>
      </c>
      <c r="O109" s="23">
        <f>'AEO 2023 Table 36 Raw'!R90</f>
        <v>182.77757299999999</v>
      </c>
      <c r="P109" s="23">
        <f>'AEO 2023 Table 36 Raw'!S90</f>
        <v>181.99818400000001</v>
      </c>
      <c r="Q109" s="23">
        <f>'AEO 2023 Table 36 Raw'!T90</f>
        <v>181.450287</v>
      </c>
      <c r="R109" s="23">
        <f>'AEO 2023 Table 36 Raw'!U90</f>
        <v>181.105515</v>
      </c>
      <c r="S109" s="23">
        <f>'AEO 2023 Table 36 Raw'!V90</f>
        <v>180.74588</v>
      </c>
      <c r="T109" s="23">
        <f>'AEO 2023 Table 36 Raw'!W90</f>
        <v>180.38298</v>
      </c>
      <c r="U109" s="23">
        <f>'AEO 2023 Table 36 Raw'!X90</f>
        <v>180.29542499999999</v>
      </c>
      <c r="V109" s="23">
        <f>'AEO 2023 Table 36 Raw'!Y90</f>
        <v>180.16119399999999</v>
      </c>
      <c r="W109" s="23">
        <f>'AEO 2023 Table 36 Raw'!Z90</f>
        <v>179.988022</v>
      </c>
      <c r="X109" s="23">
        <f>'AEO 2023 Table 36 Raw'!AA90</f>
        <v>179.81350699999999</v>
      </c>
      <c r="Y109" s="23">
        <f>'AEO 2023 Table 36 Raw'!AB90</f>
        <v>179.55651900000001</v>
      </c>
      <c r="Z109" s="23">
        <f>'AEO 2023 Table 36 Raw'!AC90</f>
        <v>179.24385100000001</v>
      </c>
      <c r="AA109" s="23">
        <f>'AEO 2023 Table 36 Raw'!AD90</f>
        <v>178.94970699999999</v>
      </c>
      <c r="AB109" s="23">
        <f>'AEO 2023 Table 36 Raw'!AE90</f>
        <v>178.72766100000001</v>
      </c>
      <c r="AC109" s="23">
        <f>'AEO 2023 Table 36 Raw'!AF90</f>
        <v>178.49087499999999</v>
      </c>
      <c r="AD109" s="23">
        <f>'AEO 2023 Table 36 Raw'!AG90</f>
        <v>178.228363</v>
      </c>
      <c r="AE109" s="23">
        <f>'AEO 2023 Table 36 Raw'!AH90</f>
        <v>178.15554800000001</v>
      </c>
      <c r="AF109" s="28">
        <f>'AEO 2023 Table 36 Raw'!AI90</f>
        <v>-5.0000000000000001E-3</v>
      </c>
    </row>
    <row r="110" spans="1:32" ht="15" customHeight="1">
      <c r="A110" s="18" t="s">
        <v>856</v>
      </c>
      <c r="B110" s="21" t="s">
        <v>857</v>
      </c>
      <c r="C110" s="23">
        <f>'AEO 2023 Table 36 Raw'!F91</f>
        <v>163.608734</v>
      </c>
      <c r="D110" s="23">
        <f>'AEO 2023 Table 36 Raw'!G91</f>
        <v>160.38700900000001</v>
      </c>
      <c r="E110" s="23">
        <f>'AEO 2023 Table 36 Raw'!H91</f>
        <v>157.42775</v>
      </c>
      <c r="F110" s="23">
        <f>'AEO 2023 Table 36 Raw'!I91</f>
        <v>155.51083399999999</v>
      </c>
      <c r="G110" s="23">
        <f>'AEO 2023 Table 36 Raw'!J91</f>
        <v>154.51499899999999</v>
      </c>
      <c r="H110" s="23">
        <f>'AEO 2023 Table 36 Raw'!K91</f>
        <v>153.52697800000001</v>
      </c>
      <c r="I110" s="23">
        <f>'AEO 2023 Table 36 Raw'!L91</f>
        <v>152.34193400000001</v>
      </c>
      <c r="J110" s="23">
        <f>'AEO 2023 Table 36 Raw'!M91</f>
        <v>150.872345</v>
      </c>
      <c r="K110" s="23">
        <f>'AEO 2023 Table 36 Raw'!N91</f>
        <v>149.17961099999999</v>
      </c>
      <c r="L110" s="23">
        <f>'AEO 2023 Table 36 Raw'!O91</f>
        <v>147.55435199999999</v>
      </c>
      <c r="M110" s="23">
        <f>'AEO 2023 Table 36 Raw'!P91</f>
        <v>146.34231600000001</v>
      </c>
      <c r="N110" s="23">
        <f>'AEO 2023 Table 36 Raw'!Q91</f>
        <v>145.41207900000001</v>
      </c>
      <c r="O110" s="23">
        <f>'AEO 2023 Table 36 Raw'!R91</f>
        <v>144.50224299999999</v>
      </c>
      <c r="P110" s="23">
        <f>'AEO 2023 Table 36 Raw'!S91</f>
        <v>143.63537600000001</v>
      </c>
      <c r="Q110" s="23">
        <f>'AEO 2023 Table 36 Raw'!T91</f>
        <v>142.95182800000001</v>
      </c>
      <c r="R110" s="23">
        <f>'AEO 2023 Table 36 Raw'!U91</f>
        <v>142.42834500000001</v>
      </c>
      <c r="S110" s="23">
        <f>'AEO 2023 Table 36 Raw'!V91</f>
        <v>141.89295999999999</v>
      </c>
      <c r="T110" s="23">
        <f>'AEO 2023 Table 36 Raw'!W91</f>
        <v>141.35481300000001</v>
      </c>
      <c r="U110" s="23">
        <f>'AEO 2023 Table 36 Raw'!X91</f>
        <v>141.03187600000001</v>
      </c>
      <c r="V110" s="23">
        <f>'AEO 2023 Table 36 Raw'!Y91</f>
        <v>140.67157</v>
      </c>
      <c r="W110" s="23">
        <f>'AEO 2023 Table 36 Raw'!Z91</f>
        <v>140.28007500000001</v>
      </c>
      <c r="X110" s="23">
        <f>'AEO 2023 Table 36 Raw'!AA91</f>
        <v>139.886841</v>
      </c>
      <c r="Y110" s="23">
        <f>'AEO 2023 Table 36 Raw'!AB91</f>
        <v>139.42889400000001</v>
      </c>
      <c r="Z110" s="23">
        <f>'AEO 2023 Table 36 Raw'!AC91</f>
        <v>138.927322</v>
      </c>
      <c r="AA110" s="23">
        <f>'AEO 2023 Table 36 Raw'!AD91</f>
        <v>138.439819</v>
      </c>
      <c r="AB110" s="23">
        <f>'AEO 2023 Table 36 Raw'!AE91</f>
        <v>138.00765999999999</v>
      </c>
      <c r="AC110" s="23">
        <f>'AEO 2023 Table 36 Raw'!AF91</f>
        <v>137.56359900000001</v>
      </c>
      <c r="AD110" s="23">
        <f>'AEO 2023 Table 36 Raw'!AG91</f>
        <v>137.09927400000001</v>
      </c>
      <c r="AE110" s="23">
        <f>'AEO 2023 Table 36 Raw'!AH91</f>
        <v>136.780182</v>
      </c>
      <c r="AF110" s="28">
        <f>'AEO 2023 Table 36 Raw'!AI91</f>
        <v>-6.0000000000000001E-3</v>
      </c>
    </row>
    <row r="111" spans="1:32" ht="15" customHeight="1">
      <c r="A111" s="18" t="s">
        <v>858</v>
      </c>
      <c r="B111" s="21" t="s">
        <v>744</v>
      </c>
      <c r="C111" s="23">
        <f>'AEO 2023 Table 36 Raw'!F92</f>
        <v>39.227898000000003</v>
      </c>
      <c r="D111" s="23">
        <f>'AEO 2023 Table 36 Raw'!G92</f>
        <v>38.775948</v>
      </c>
      <c r="E111" s="23">
        <f>'AEO 2023 Table 36 Raw'!H92</f>
        <v>38.377730999999997</v>
      </c>
      <c r="F111" s="23">
        <f>'AEO 2023 Table 36 Raw'!I92</f>
        <v>38.226379000000001</v>
      </c>
      <c r="G111" s="23">
        <f>'AEO 2023 Table 36 Raw'!J92</f>
        <v>38.298149000000002</v>
      </c>
      <c r="H111" s="23">
        <f>'AEO 2023 Table 36 Raw'!K92</f>
        <v>38.370418999999998</v>
      </c>
      <c r="I111" s="23">
        <f>'AEO 2023 Table 36 Raw'!L92</f>
        <v>38.391570999999999</v>
      </c>
      <c r="J111" s="23">
        <f>'AEO 2023 Table 36 Raw'!M92</f>
        <v>38.338120000000004</v>
      </c>
      <c r="K111" s="23">
        <f>'AEO 2023 Table 36 Raw'!N92</f>
        <v>38.223914999999998</v>
      </c>
      <c r="L111" s="23">
        <f>'AEO 2023 Table 36 Raw'!O92</f>
        <v>38.122588999999998</v>
      </c>
      <c r="M111" s="23">
        <f>'AEO 2023 Table 36 Raw'!P92</f>
        <v>38.124577000000002</v>
      </c>
      <c r="N111" s="23">
        <f>'AEO 2023 Table 36 Raw'!Q92</f>
        <v>38.197955999999998</v>
      </c>
      <c r="O111" s="23">
        <f>'AEO 2023 Table 36 Raw'!R92</f>
        <v>38.275326</v>
      </c>
      <c r="P111" s="23">
        <f>'AEO 2023 Table 36 Raw'!S92</f>
        <v>38.362803999999997</v>
      </c>
      <c r="Q111" s="23">
        <f>'AEO 2023 Table 36 Raw'!T92</f>
        <v>38.498458999999997</v>
      </c>
      <c r="R111" s="23">
        <f>'AEO 2023 Table 36 Raw'!U92</f>
        <v>38.677174000000001</v>
      </c>
      <c r="S111" s="23">
        <f>'AEO 2023 Table 36 Raw'!V92</f>
        <v>38.852927999999999</v>
      </c>
      <c r="T111" s="23">
        <f>'AEO 2023 Table 36 Raw'!W92</f>
        <v>39.028163999999997</v>
      </c>
      <c r="U111" s="23">
        <f>'AEO 2023 Table 36 Raw'!X92</f>
        <v>39.263545999999998</v>
      </c>
      <c r="V111" s="23">
        <f>'AEO 2023 Table 36 Raw'!Y92</f>
        <v>39.489632</v>
      </c>
      <c r="W111" s="23">
        <f>'AEO 2023 Table 36 Raw'!Z92</f>
        <v>39.707951000000001</v>
      </c>
      <c r="X111" s="23">
        <f>'AEO 2023 Table 36 Raw'!AA92</f>
        <v>39.926662</v>
      </c>
      <c r="Y111" s="23">
        <f>'AEO 2023 Table 36 Raw'!AB92</f>
        <v>40.127631999999998</v>
      </c>
      <c r="Z111" s="23">
        <f>'AEO 2023 Table 36 Raw'!AC92</f>
        <v>40.316527999999998</v>
      </c>
      <c r="AA111" s="23">
        <f>'AEO 2023 Table 36 Raw'!AD92</f>
        <v>40.509892000000001</v>
      </c>
      <c r="AB111" s="23">
        <f>'AEO 2023 Table 36 Raw'!AE92</f>
        <v>40.720008999999997</v>
      </c>
      <c r="AC111" s="23">
        <f>'AEO 2023 Table 36 Raw'!AF92</f>
        <v>40.927284</v>
      </c>
      <c r="AD111" s="23">
        <f>'AEO 2023 Table 36 Raw'!AG92</f>
        <v>41.129097000000002</v>
      </c>
      <c r="AE111" s="23">
        <f>'AEO 2023 Table 36 Raw'!AH92</f>
        <v>41.375362000000003</v>
      </c>
      <c r="AF111" s="28">
        <f>'AEO 2023 Table 36 Raw'!AI92</f>
        <v>2E-3</v>
      </c>
    </row>
    <row r="112" spans="1:32" ht="12" customHeight="1">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8"/>
    </row>
    <row r="113" spans="1:32" ht="15" customHeight="1">
      <c r="A113" s="18" t="s">
        <v>859</v>
      </c>
      <c r="B113" s="21" t="s">
        <v>237</v>
      </c>
      <c r="C113" s="23">
        <f>'AEO 2023 Table 36 Raw'!F93</f>
        <v>125.945221</v>
      </c>
      <c r="D113" s="23">
        <f>'AEO 2023 Table 36 Raw'!G93</f>
        <v>125.92506400000001</v>
      </c>
      <c r="E113" s="23">
        <f>'AEO 2023 Table 36 Raw'!H93</f>
        <v>126.01237500000001</v>
      </c>
      <c r="F113" s="23">
        <f>'AEO 2023 Table 36 Raw'!I93</f>
        <v>126.049858</v>
      </c>
      <c r="G113" s="23">
        <f>'AEO 2023 Table 36 Raw'!J93</f>
        <v>126.11367</v>
      </c>
      <c r="H113" s="23">
        <f>'AEO 2023 Table 36 Raw'!K93</f>
        <v>125.98440600000001</v>
      </c>
      <c r="I113" s="23">
        <f>'AEO 2023 Table 36 Raw'!L93</f>
        <v>125.852997</v>
      </c>
      <c r="J113" s="23">
        <f>'AEO 2023 Table 36 Raw'!M93</f>
        <v>125.755234</v>
      </c>
      <c r="K113" s="23">
        <f>'AEO 2023 Table 36 Raw'!N93</f>
        <v>125.652069</v>
      </c>
      <c r="L113" s="23">
        <f>'AEO 2023 Table 36 Raw'!O93</f>
        <v>125.54579200000001</v>
      </c>
      <c r="M113" s="23">
        <f>'AEO 2023 Table 36 Raw'!P93</f>
        <v>125.439178</v>
      </c>
      <c r="N113" s="23">
        <f>'AEO 2023 Table 36 Raw'!Q93</f>
        <v>125.330147</v>
      </c>
      <c r="O113" s="23">
        <f>'AEO 2023 Table 36 Raw'!R93</f>
        <v>125.250381</v>
      </c>
      <c r="P113" s="23">
        <f>'AEO 2023 Table 36 Raw'!S93</f>
        <v>125.225021</v>
      </c>
      <c r="Q113" s="23">
        <f>'AEO 2023 Table 36 Raw'!T93</f>
        <v>125.255257</v>
      </c>
      <c r="R113" s="23">
        <f>'AEO 2023 Table 36 Raw'!U93</f>
        <v>125.318207</v>
      </c>
      <c r="S113" s="23">
        <f>'AEO 2023 Table 36 Raw'!V93</f>
        <v>125.411896</v>
      </c>
      <c r="T113" s="23">
        <f>'AEO 2023 Table 36 Raw'!W93</f>
        <v>125.52668799999999</v>
      </c>
      <c r="U113" s="23">
        <f>'AEO 2023 Table 36 Raw'!X93</f>
        <v>125.666534</v>
      </c>
      <c r="V113" s="23">
        <f>'AEO 2023 Table 36 Raw'!Y93</f>
        <v>125.797371</v>
      </c>
      <c r="W113" s="23">
        <f>'AEO 2023 Table 36 Raw'!Z93</f>
        <v>125.925034</v>
      </c>
      <c r="X113" s="23">
        <f>'AEO 2023 Table 36 Raw'!AA93</f>
        <v>126.04557</v>
      </c>
      <c r="Y113" s="23">
        <f>'AEO 2023 Table 36 Raw'!AB93</f>
        <v>126.16628300000001</v>
      </c>
      <c r="Z113" s="23">
        <f>'AEO 2023 Table 36 Raw'!AC93</f>
        <v>126.32028200000001</v>
      </c>
      <c r="AA113" s="23">
        <f>'AEO 2023 Table 36 Raw'!AD93</f>
        <v>126.49239300000001</v>
      </c>
      <c r="AB113" s="23">
        <f>'AEO 2023 Table 36 Raw'!AE93</f>
        <v>126.66081200000001</v>
      </c>
      <c r="AC113" s="23">
        <f>'AEO 2023 Table 36 Raw'!AF93</f>
        <v>126.811455</v>
      </c>
      <c r="AD113" s="23">
        <f>'AEO 2023 Table 36 Raw'!AG93</f>
        <v>126.974289</v>
      </c>
      <c r="AE113" s="23">
        <f>'AEO 2023 Table 36 Raw'!AH93</f>
        <v>127.158676</v>
      </c>
      <c r="AF113" s="28">
        <f>'AEO 2023 Table 36 Raw'!AI93</f>
        <v>0</v>
      </c>
    </row>
    <row r="114" spans="1:32" ht="15" customHeight="1">
      <c r="A114" s="18" t="s">
        <v>860</v>
      </c>
      <c r="B114" s="21" t="s">
        <v>723</v>
      </c>
      <c r="C114" s="23">
        <f>'AEO 2023 Table 36 Raw'!F94</f>
        <v>905.73223900000005</v>
      </c>
      <c r="D114" s="23">
        <f>'AEO 2023 Table 36 Raw'!G94</f>
        <v>820.54260299999999</v>
      </c>
      <c r="E114" s="23">
        <f>'AEO 2023 Table 36 Raw'!H94</f>
        <v>760.982483</v>
      </c>
      <c r="F114" s="23">
        <f>'AEO 2023 Table 36 Raw'!I94</f>
        <v>726.75244099999998</v>
      </c>
      <c r="G114" s="23">
        <f>'AEO 2023 Table 36 Raw'!J94</f>
        <v>695.850098</v>
      </c>
      <c r="H114" s="23">
        <f>'AEO 2023 Table 36 Raw'!K94</f>
        <v>653.98541299999999</v>
      </c>
      <c r="I114" s="23">
        <f>'AEO 2023 Table 36 Raw'!L94</f>
        <v>613.92791699999998</v>
      </c>
      <c r="J114" s="23">
        <f>'AEO 2023 Table 36 Raw'!M94</f>
        <v>612.03295900000001</v>
      </c>
      <c r="K114" s="23">
        <f>'AEO 2023 Table 36 Raw'!N94</f>
        <v>610.31640600000003</v>
      </c>
      <c r="L114" s="23">
        <f>'AEO 2023 Table 36 Raw'!O94</f>
        <v>611.89654499999995</v>
      </c>
      <c r="M114" s="23">
        <f>'AEO 2023 Table 36 Raw'!P94</f>
        <v>617.76355000000001</v>
      </c>
      <c r="N114" s="23">
        <f>'AEO 2023 Table 36 Raw'!Q94</f>
        <v>626.28515600000003</v>
      </c>
      <c r="O114" s="23">
        <f>'AEO 2023 Table 36 Raw'!R94</f>
        <v>630.76672399999995</v>
      </c>
      <c r="P114" s="23">
        <f>'AEO 2023 Table 36 Raw'!S94</f>
        <v>633.47729500000003</v>
      </c>
      <c r="Q114" s="23">
        <f>'AEO 2023 Table 36 Raw'!T94</f>
        <v>634.00311299999998</v>
      </c>
      <c r="R114" s="23">
        <f>'AEO 2023 Table 36 Raw'!U94</f>
        <v>632.96820100000002</v>
      </c>
      <c r="S114" s="23">
        <f>'AEO 2023 Table 36 Raw'!V94</f>
        <v>637.83142099999998</v>
      </c>
      <c r="T114" s="23">
        <f>'AEO 2023 Table 36 Raw'!W94</f>
        <v>636.66796899999997</v>
      </c>
      <c r="U114" s="23">
        <f>'AEO 2023 Table 36 Raw'!X94</f>
        <v>645.807007</v>
      </c>
      <c r="V114" s="23">
        <f>'AEO 2023 Table 36 Raw'!Y94</f>
        <v>652.42675799999995</v>
      </c>
      <c r="W114" s="23">
        <f>'AEO 2023 Table 36 Raw'!Z94</f>
        <v>658.166382</v>
      </c>
      <c r="X114" s="23">
        <f>'AEO 2023 Table 36 Raw'!AA94</f>
        <v>660.99408000000005</v>
      </c>
      <c r="Y114" s="23">
        <f>'AEO 2023 Table 36 Raw'!AB94</f>
        <v>665.09454300000004</v>
      </c>
      <c r="Z114" s="23">
        <f>'AEO 2023 Table 36 Raw'!AC94</f>
        <v>669.20263699999998</v>
      </c>
      <c r="AA114" s="23">
        <f>'AEO 2023 Table 36 Raw'!AD94</f>
        <v>674.53369099999998</v>
      </c>
      <c r="AB114" s="23">
        <f>'AEO 2023 Table 36 Raw'!AE94</f>
        <v>682.13464399999998</v>
      </c>
      <c r="AC114" s="23">
        <f>'AEO 2023 Table 36 Raw'!AF94</f>
        <v>689.49054000000001</v>
      </c>
      <c r="AD114" s="23">
        <f>'AEO 2023 Table 36 Raw'!AG94</f>
        <v>691.88214100000005</v>
      </c>
      <c r="AE114" s="23">
        <f>'AEO 2023 Table 36 Raw'!AH94</f>
        <v>696.77728300000001</v>
      </c>
      <c r="AF114" s="28">
        <f>'AEO 2023 Table 36 Raw'!AI94</f>
        <v>-8.9999999999999993E-3</v>
      </c>
    </row>
    <row r="115" spans="1:32" ht="12" customHeight="1">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8"/>
    </row>
    <row r="116" spans="1:32" ht="15" customHeight="1">
      <c r="A116" s="18" t="s">
        <v>861</v>
      </c>
      <c r="B116" s="20" t="s">
        <v>729</v>
      </c>
      <c r="C116" s="23">
        <f>'AEO 2023 Table 36 Raw'!F95</f>
        <v>332.52310199999999</v>
      </c>
      <c r="D116" s="23">
        <f>'AEO 2023 Table 36 Raw'!G95</f>
        <v>377.97052000000002</v>
      </c>
      <c r="E116" s="23">
        <f>'AEO 2023 Table 36 Raw'!H95</f>
        <v>384.00460800000002</v>
      </c>
      <c r="F116" s="23">
        <f>'AEO 2023 Table 36 Raw'!I95</f>
        <v>408.78292800000003</v>
      </c>
      <c r="G116" s="23">
        <f>'AEO 2023 Table 36 Raw'!J95</f>
        <v>446.260651</v>
      </c>
      <c r="H116" s="23">
        <f>'AEO 2023 Table 36 Raw'!K95</f>
        <v>477.17263800000001</v>
      </c>
      <c r="I116" s="23">
        <f>'AEO 2023 Table 36 Raw'!L95</f>
        <v>503.61007699999999</v>
      </c>
      <c r="J116" s="23">
        <f>'AEO 2023 Table 36 Raw'!M95</f>
        <v>527.57086200000003</v>
      </c>
      <c r="K116" s="23">
        <f>'AEO 2023 Table 36 Raw'!N95</f>
        <v>577.96905500000003</v>
      </c>
      <c r="L116" s="23">
        <f>'AEO 2023 Table 36 Raw'!O95</f>
        <v>628.36724900000002</v>
      </c>
      <c r="M116" s="23">
        <f>'AEO 2023 Table 36 Raw'!P95</f>
        <v>680.00372300000004</v>
      </c>
      <c r="N116" s="23">
        <f>'AEO 2023 Table 36 Raw'!Q95</f>
        <v>729.163635</v>
      </c>
      <c r="O116" s="23">
        <f>'AEO 2023 Table 36 Raw'!R95</f>
        <v>771.16210899999999</v>
      </c>
      <c r="P116" s="23">
        <f>'AEO 2023 Table 36 Raw'!S95</f>
        <v>796.36120600000004</v>
      </c>
      <c r="Q116" s="23">
        <f>'AEO 2023 Table 36 Raw'!T95</f>
        <v>814.39892599999996</v>
      </c>
      <c r="R116" s="23">
        <f>'AEO 2023 Table 36 Raw'!U95</f>
        <v>829.96002199999998</v>
      </c>
      <c r="S116" s="23">
        <f>'AEO 2023 Table 36 Raw'!V95</f>
        <v>838.35974099999999</v>
      </c>
      <c r="T116" s="23">
        <f>'AEO 2023 Table 36 Raw'!W95</f>
        <v>838.35974099999999</v>
      </c>
      <c r="U116" s="23">
        <f>'AEO 2023 Table 36 Raw'!X95</f>
        <v>839.59802200000001</v>
      </c>
      <c r="V116" s="23">
        <f>'AEO 2023 Table 36 Raw'!Y95</f>
        <v>838.35974099999999</v>
      </c>
      <c r="W116" s="23">
        <f>'AEO 2023 Table 36 Raw'!Z95</f>
        <v>838.35974099999999</v>
      </c>
      <c r="X116" s="23">
        <f>'AEO 2023 Table 36 Raw'!AA95</f>
        <v>838.35974099999999</v>
      </c>
      <c r="Y116" s="23">
        <f>'AEO 2023 Table 36 Raw'!AB95</f>
        <v>839.59802200000001</v>
      </c>
      <c r="Z116" s="23">
        <f>'AEO 2023 Table 36 Raw'!AC95</f>
        <v>838.35974099999999</v>
      </c>
      <c r="AA116" s="23">
        <f>'AEO 2023 Table 36 Raw'!AD95</f>
        <v>838.35974099999999</v>
      </c>
      <c r="AB116" s="23">
        <f>'AEO 2023 Table 36 Raw'!AE95</f>
        <v>838.35974099999999</v>
      </c>
      <c r="AC116" s="23">
        <f>'AEO 2023 Table 36 Raw'!AF95</f>
        <v>839.59802200000001</v>
      </c>
      <c r="AD116" s="23">
        <f>'AEO 2023 Table 36 Raw'!AG95</f>
        <v>838.35974099999999</v>
      </c>
      <c r="AE116" s="23">
        <f>'AEO 2023 Table 36 Raw'!AH95</f>
        <v>838.35974099999999</v>
      </c>
      <c r="AF116" s="28">
        <f>'AEO 2023 Table 36 Raw'!AI95</f>
        <v>3.4000000000000002E-2</v>
      </c>
    </row>
    <row r="117" spans="1:32" ht="15" customHeight="1" thickBot="1"/>
    <row r="118" spans="1:32" ht="15" customHeight="1">
      <c r="B118" s="88" t="s">
        <v>862</v>
      </c>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row>
    <row r="119" spans="1:32" ht="15" customHeight="1">
      <c r="B119" s="90" t="s">
        <v>863</v>
      </c>
    </row>
    <row r="120" spans="1:32" ht="15" customHeight="1">
      <c r="B120" s="90" t="s">
        <v>864</v>
      </c>
    </row>
    <row r="121" spans="1:32" ht="15" customHeight="1">
      <c r="B121" s="90" t="s">
        <v>865</v>
      </c>
    </row>
    <row r="122" spans="1:32" ht="15" customHeight="1">
      <c r="B122" s="90" t="s">
        <v>866</v>
      </c>
    </row>
    <row r="123" spans="1:32" ht="15" customHeight="1">
      <c r="B123" s="90" t="s">
        <v>387</v>
      </c>
    </row>
    <row r="124" spans="1:32" ht="15" customHeight="1">
      <c r="B124" s="90" t="s">
        <v>386</v>
      </c>
    </row>
    <row r="125" spans="1:32" ht="15" customHeight="1">
      <c r="B125" s="90" t="s">
        <v>867</v>
      </c>
    </row>
    <row r="126" spans="1:32" ht="15" customHeight="1">
      <c r="B126" s="90" t="s">
        <v>868</v>
      </c>
    </row>
    <row r="127" spans="1:32" ht="15" customHeight="1">
      <c r="A127" s="18"/>
      <c r="B127" s="21"/>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51"/>
    </row>
    <row r="128" spans="1:32" ht="12" customHeight="1">
      <c r="A128" s="18"/>
      <c r="B128" s="21"/>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51"/>
    </row>
    <row r="129" spans="1:32" ht="12" customHeight="1">
      <c r="A129" s="18"/>
      <c r="B129" s="21"/>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51"/>
    </row>
    <row r="130" spans="1:32" ht="12" customHeight="1">
      <c r="A130" s="18"/>
      <c r="B130" s="21"/>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51"/>
    </row>
    <row r="131" spans="1:32" ht="12" customHeight="1">
      <c r="A131" s="18"/>
      <c r="B131" s="21"/>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51"/>
    </row>
    <row r="132" spans="1:32" ht="12" customHeight="1">
      <c r="A132" s="18"/>
      <c r="B132" s="21"/>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51"/>
    </row>
    <row r="133" spans="1:32" ht="12" customHeight="1"/>
    <row r="134" spans="1:32" ht="12" customHeight="1">
      <c r="A134" s="18"/>
      <c r="B134" s="20"/>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8"/>
    </row>
    <row r="135" spans="1:32" ht="12" customHeight="1">
      <c r="A135" s="18"/>
      <c r="B135" s="21"/>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51"/>
    </row>
    <row r="136" spans="1:32" ht="12" customHeight="1">
      <c r="A136" s="18"/>
      <c r="B136" s="21"/>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51"/>
    </row>
    <row r="137" spans="1:32" ht="12" customHeight="1">
      <c r="A137" s="18"/>
      <c r="B137" s="21"/>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51"/>
    </row>
    <row r="138" spans="1:32" ht="12" customHeight="1">
      <c r="A138" s="18"/>
      <c r="B138" s="21"/>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51"/>
    </row>
    <row r="139" spans="1:32" ht="12" customHeight="1">
      <c r="A139" s="18"/>
      <c r="B139" s="21"/>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51"/>
    </row>
    <row r="140" spans="1:32" ht="12" customHeight="1">
      <c r="A140" s="18"/>
      <c r="B140" s="21"/>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51"/>
    </row>
    <row r="141" spans="1:32" ht="12" customHeight="1">
      <c r="A141" s="18"/>
      <c r="B141" s="21"/>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51"/>
    </row>
    <row r="142" spans="1:32" ht="12" customHeight="1"/>
    <row r="143" spans="1:32" ht="12" customHeight="1">
      <c r="A143" s="18"/>
      <c r="B143" s="20"/>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8"/>
    </row>
    <row r="144" spans="1:32" ht="12" customHeight="1">
      <c r="A144" s="18"/>
      <c r="B144" s="21"/>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51"/>
    </row>
    <row r="145" spans="1:32" ht="12" customHeight="1">
      <c r="A145" s="18"/>
      <c r="B145" s="21"/>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51"/>
    </row>
    <row r="146" spans="1:32" ht="12" customHeight="1">
      <c r="A146" s="18"/>
      <c r="B146" s="21"/>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51"/>
    </row>
    <row r="147" spans="1:32" ht="12" customHeight="1">
      <c r="A147" s="18"/>
      <c r="B147" s="21"/>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51"/>
    </row>
    <row r="148" spans="1:32" ht="12" customHeight="1">
      <c r="A148" s="18"/>
      <c r="B148" s="21"/>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51"/>
    </row>
    <row r="149" spans="1:32" ht="12" customHeight="1">
      <c r="A149" s="18"/>
      <c r="B149" s="21"/>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51"/>
    </row>
    <row r="150" spans="1:32" ht="15" customHeight="1">
      <c r="A150" s="18"/>
      <c r="B150" s="21"/>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51"/>
    </row>
    <row r="153" spans="1:32" ht="15" customHeight="1">
      <c r="A153" s="18"/>
      <c r="B153" s="20"/>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8"/>
    </row>
    <row r="154" spans="1:32" ht="15" customHeight="1">
      <c r="A154" s="18"/>
      <c r="B154" s="21"/>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51"/>
    </row>
    <row r="155" spans="1:32" ht="15" customHeight="1">
      <c r="A155" s="18"/>
      <c r="B155" s="21"/>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51"/>
    </row>
    <row r="156" spans="1:32" ht="15" customHeight="1">
      <c r="A156" s="18"/>
      <c r="B156" s="21"/>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51"/>
    </row>
    <row r="157" spans="1:32" ht="15" customHeight="1">
      <c r="A157" s="18"/>
      <c r="B157" s="21"/>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51"/>
    </row>
    <row r="159" spans="1:32" ht="15" customHeight="1">
      <c r="A159" s="18"/>
      <c r="B159" s="20"/>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8"/>
    </row>
    <row r="160" spans="1:32" ht="15" customHeight="1">
      <c r="A160" s="18"/>
      <c r="B160" s="21"/>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51"/>
    </row>
    <row r="161" spans="1:32" ht="15" customHeight="1">
      <c r="A161" s="18"/>
      <c r="B161" s="21"/>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51"/>
    </row>
    <row r="162" spans="1:32" ht="15" customHeight="1">
      <c r="A162" s="18"/>
      <c r="B162" s="21"/>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51"/>
    </row>
    <row r="163" spans="1:32" ht="12" customHeight="1">
      <c r="A163" s="18"/>
      <c r="B163" s="21"/>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51"/>
    </row>
    <row r="165" spans="1:32" ht="15" customHeight="1">
      <c r="A165" s="18"/>
      <c r="B165" s="20"/>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8"/>
    </row>
    <row r="166" spans="1:32" ht="15" customHeight="1">
      <c r="A166" s="18"/>
      <c r="B166" s="21"/>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51"/>
    </row>
    <row r="167" spans="1:32" ht="15" customHeight="1">
      <c r="A167" s="18"/>
      <c r="B167" s="21"/>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51"/>
    </row>
    <row r="168" spans="1:32" ht="15" customHeight="1">
      <c r="A168" s="18"/>
      <c r="B168" s="21"/>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51"/>
    </row>
    <row r="169" spans="1:32" ht="15" customHeight="1">
      <c r="A169" s="18"/>
      <c r="B169" s="21"/>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51"/>
    </row>
    <row r="171" spans="1:32" ht="15" customHeight="1">
      <c r="A171" s="18"/>
      <c r="B171" s="20"/>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8"/>
    </row>
    <row r="172" spans="1:32" ht="12" customHeight="1">
      <c r="A172" s="18"/>
      <c r="B172" s="21"/>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51"/>
    </row>
    <row r="173" spans="1:32" ht="15" customHeight="1">
      <c r="A173" s="18"/>
      <c r="B173" s="21"/>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51"/>
    </row>
    <row r="175" spans="1:32" ht="15" customHeight="1">
      <c r="A175" s="18"/>
      <c r="B175" s="20"/>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8"/>
    </row>
    <row r="176" spans="1:32" ht="15" customHeight="1">
      <c r="A176" s="18"/>
      <c r="B176" s="21"/>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51"/>
    </row>
    <row r="177" spans="1:32" ht="15" customHeight="1">
      <c r="A177" s="18"/>
      <c r="B177" s="21"/>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51"/>
    </row>
    <row r="178" spans="1:32" ht="15" customHeight="1">
      <c r="A178" s="18"/>
      <c r="B178" s="21"/>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51"/>
    </row>
    <row r="180" spans="1:32" ht="15" customHeight="1">
      <c r="A180" s="18"/>
      <c r="B180" s="20"/>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8"/>
    </row>
    <row r="181" spans="1:32" ht="12" customHeight="1">
      <c r="A181" s="18"/>
      <c r="B181" s="21"/>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51"/>
    </row>
    <row r="182" spans="1:32" ht="12" customHeight="1">
      <c r="A182" s="18"/>
      <c r="B182" s="21"/>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51"/>
    </row>
    <row r="183" spans="1:32" ht="15" customHeight="1">
      <c r="A183" s="18"/>
      <c r="B183" s="21"/>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51"/>
    </row>
    <row r="184" spans="1:32" ht="15" customHeight="1">
      <c r="A184" s="18"/>
      <c r="B184" s="21"/>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51"/>
    </row>
    <row r="185" spans="1:32" ht="15" customHeight="1">
      <c r="A185" s="18"/>
      <c r="B185" s="21"/>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51"/>
    </row>
    <row r="186" spans="1:32" ht="15" customHeight="1">
      <c r="A186" s="18"/>
      <c r="B186" s="21"/>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51"/>
    </row>
    <row r="187" spans="1:32" ht="15" customHeight="1">
      <c r="A187" s="18"/>
      <c r="B187" s="21"/>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51"/>
    </row>
    <row r="188" spans="1:32" ht="12" customHeight="1">
      <c r="A188" s="18"/>
      <c r="B188" s="21"/>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51"/>
    </row>
    <row r="189" spans="1:32" ht="15" customHeight="1">
      <c r="A189" s="18"/>
      <c r="B189" s="21"/>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51"/>
    </row>
    <row r="190" spans="1:32" ht="15" customHeight="1">
      <c r="A190" s="18"/>
      <c r="B190" s="21"/>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51"/>
    </row>
    <row r="191" spans="1:32" ht="15" customHeight="1">
      <c r="A191" s="18"/>
      <c r="B191" s="21"/>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51"/>
    </row>
    <row r="192" spans="1:32" ht="15" customHeight="1">
      <c r="A192" s="18"/>
      <c r="B192" s="21"/>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51"/>
    </row>
    <row r="193" spans="1:32" ht="15" customHeight="1">
      <c r="A193" s="18"/>
      <c r="B193" s="21"/>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51"/>
    </row>
    <row r="194" spans="1:32" ht="12" customHeight="1">
      <c r="A194" s="18"/>
      <c r="B194" s="21"/>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51"/>
    </row>
    <row r="195" spans="1:32" ht="15" customHeight="1">
      <c r="A195" s="18"/>
      <c r="B195" s="21"/>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51"/>
    </row>
    <row r="196" spans="1:32" ht="15" customHeight="1">
      <c r="A196" s="18"/>
      <c r="B196" s="21"/>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51"/>
    </row>
    <row r="197" spans="1:32" ht="15" customHeight="1">
      <c r="A197" s="18"/>
      <c r="B197" s="21"/>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51"/>
    </row>
    <row r="198" spans="1:32" ht="15" customHeight="1">
      <c r="A198" s="18"/>
      <c r="B198" s="21"/>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51"/>
    </row>
    <row r="199" spans="1:32" ht="15" customHeight="1">
      <c r="A199" s="18"/>
      <c r="B199" s="21"/>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51"/>
    </row>
    <row r="200" spans="1:32" ht="12" customHeight="1">
      <c r="A200" s="18"/>
      <c r="B200" s="21"/>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51"/>
    </row>
    <row r="201" spans="1:32" ht="15" customHeight="1">
      <c r="A201" s="18"/>
      <c r="B201" s="21"/>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51"/>
    </row>
    <row r="202" spans="1:32" ht="15" customHeight="1">
      <c r="A202" s="18"/>
      <c r="B202" s="21"/>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51"/>
    </row>
    <row r="203" spans="1:32" ht="15" customHeight="1">
      <c r="A203" s="18"/>
      <c r="B203" s="21"/>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51"/>
    </row>
    <row r="204" spans="1:32" ht="12" customHeight="1">
      <c r="A204" s="18"/>
      <c r="B204" s="21"/>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51"/>
    </row>
    <row r="205" spans="1:32" ht="15" customHeight="1">
      <c r="A205" s="18"/>
      <c r="B205" s="20"/>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8"/>
    </row>
    <row r="206" spans="1:32" ht="15" customHeight="1">
      <c r="A206" s="18"/>
      <c r="B206" s="21"/>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51"/>
    </row>
    <row r="207" spans="1:32" ht="15" customHeight="1">
      <c r="A207" s="18"/>
      <c r="B207" s="21"/>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51"/>
    </row>
    <row r="208" spans="1:32" ht="15" customHeight="1">
      <c r="A208" s="18"/>
      <c r="B208" s="21"/>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51"/>
    </row>
    <row r="209" spans="1:32" ht="12" customHeight="1">
      <c r="A209" s="18"/>
      <c r="B209" s="21"/>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51"/>
    </row>
    <row r="210" spans="1:32" ht="15" customHeight="1">
      <c r="A210" s="18"/>
      <c r="B210" s="21"/>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51"/>
    </row>
    <row r="211" spans="1:32" ht="15" customHeight="1">
      <c r="A211" s="18"/>
      <c r="B211" s="21"/>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51"/>
    </row>
    <row r="212" spans="1:32" ht="15" customHeight="1">
      <c r="A212" s="18"/>
      <c r="B212" s="21"/>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51"/>
    </row>
    <row r="213" spans="1:32" ht="15" customHeight="1">
      <c r="A213" s="18"/>
      <c r="B213" s="21"/>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51"/>
    </row>
    <row r="214" spans="1:32" ht="15" customHeight="1">
      <c r="A214" s="18"/>
      <c r="B214" s="21"/>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51"/>
    </row>
    <row r="215" spans="1:32" ht="15" customHeight="1">
      <c r="A215" s="18"/>
      <c r="B215" s="21"/>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51"/>
    </row>
    <row r="216" spans="1:32" ht="15" customHeight="1">
      <c r="A216" s="18"/>
      <c r="B216" s="21"/>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51"/>
    </row>
    <row r="217" spans="1:32" ht="15" customHeight="1">
      <c r="A217" s="18"/>
      <c r="B217" s="21"/>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51"/>
    </row>
    <row r="219" spans="1:32" ht="15" customHeight="1">
      <c r="A219" s="18"/>
      <c r="B219" s="20"/>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8"/>
    </row>
    <row r="220" spans="1:32" ht="15" customHeight="1">
      <c r="A220" s="18"/>
      <c r="B220" s="21"/>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51"/>
    </row>
    <row r="221" spans="1:32" ht="15" customHeight="1">
      <c r="A221" s="18"/>
      <c r="B221" s="21"/>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51"/>
    </row>
    <row r="223" spans="1:32" ht="15" customHeight="1">
      <c r="A223" s="18"/>
      <c r="B223" s="21"/>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51"/>
    </row>
    <row r="224" spans="1:32" ht="15" customHeight="1">
      <c r="A224" s="18"/>
      <c r="B224" s="21"/>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51"/>
    </row>
    <row r="226" spans="1:32" ht="15" customHeight="1">
      <c r="A226" s="18"/>
      <c r="B226" s="25"/>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52"/>
    </row>
    <row r="227" spans="1:32" ht="15" customHeight="1"/>
    <row r="228" spans="1:32" ht="15" customHeight="1">
      <c r="B228" s="27"/>
    </row>
    <row r="229" spans="1:32" ht="15" customHeight="1">
      <c r="B229" s="90"/>
    </row>
    <row r="230" spans="1:32" ht="15" customHeight="1">
      <c r="B230" s="90"/>
    </row>
    <row r="231" spans="1:32" ht="15" customHeight="1">
      <c r="B231" s="90"/>
    </row>
    <row r="232" spans="1:32" ht="15" customHeight="1">
      <c r="B232" s="90"/>
    </row>
    <row r="233" spans="1:32" ht="15" customHeight="1">
      <c r="B233" s="90"/>
    </row>
    <row r="234" spans="1:32" ht="15" customHeight="1">
      <c r="B234" s="90"/>
    </row>
    <row r="235" spans="1:32" ht="15" customHeight="1">
      <c r="B235" s="90"/>
    </row>
    <row r="236" spans="1:32" ht="15" customHeight="1">
      <c r="B236" s="90"/>
    </row>
    <row r="248" ht="12" customHeight="1"/>
    <row r="252" ht="12" customHeight="1"/>
    <row r="255" ht="12" customHeight="1"/>
    <row r="257" spans="2:32" ht="15" customHeight="1"/>
    <row r="258" spans="2:32" ht="15" customHeight="1">
      <c r="B258" s="83"/>
      <c r="C258" s="83"/>
      <c r="D258" s="83"/>
      <c r="E258" s="83"/>
      <c r="F258" s="83"/>
      <c r="G258" s="83"/>
      <c r="H258" s="83"/>
      <c r="I258" s="83"/>
      <c r="J258" s="83"/>
      <c r="K258" s="83"/>
      <c r="L258" s="83"/>
      <c r="M258" s="83"/>
      <c r="N258" s="83"/>
      <c r="O258" s="83"/>
      <c r="P258" s="83"/>
      <c r="Q258" s="83"/>
      <c r="R258" s="83"/>
      <c r="S258" s="83"/>
      <c r="T258" s="83"/>
      <c r="U258" s="83"/>
      <c r="V258" s="83"/>
      <c r="W258" s="83"/>
      <c r="X258" s="83"/>
      <c r="Y258" s="83"/>
      <c r="Z258" s="83"/>
      <c r="AA258" s="83"/>
      <c r="AB258" s="83"/>
      <c r="AC258" s="83"/>
      <c r="AD258" s="83"/>
      <c r="AE258" s="83"/>
      <c r="AF258" s="83"/>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83"/>
      <c r="C340" s="83"/>
      <c r="D340" s="83"/>
      <c r="E340" s="83"/>
      <c r="F340" s="83"/>
      <c r="G340" s="83"/>
      <c r="H340" s="83"/>
      <c r="I340" s="83"/>
      <c r="J340" s="83"/>
      <c r="K340" s="83"/>
      <c r="L340" s="83"/>
      <c r="M340" s="83"/>
      <c r="N340" s="83"/>
      <c r="O340" s="83"/>
      <c r="P340" s="83"/>
      <c r="Q340" s="83"/>
      <c r="R340" s="83"/>
      <c r="S340" s="83"/>
      <c r="T340" s="83"/>
      <c r="U340" s="83"/>
      <c r="V340" s="83"/>
      <c r="W340" s="83"/>
      <c r="X340" s="83"/>
      <c r="Y340" s="83"/>
      <c r="Z340" s="83"/>
      <c r="AA340" s="83"/>
      <c r="AB340" s="83"/>
      <c r="AC340" s="83"/>
      <c r="AD340" s="83"/>
      <c r="AE340" s="83"/>
      <c r="AF340" s="83"/>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83"/>
      <c r="C452" s="83"/>
      <c r="D452" s="83"/>
      <c r="E452" s="83"/>
      <c r="F452" s="83"/>
      <c r="G452" s="83"/>
      <c r="H452" s="83"/>
      <c r="I452" s="83"/>
      <c r="J452" s="83"/>
      <c r="K452" s="83"/>
      <c r="L452" s="83"/>
      <c r="M452" s="83"/>
      <c r="N452" s="83"/>
      <c r="O452" s="83"/>
      <c r="P452" s="83"/>
      <c r="Q452" s="83"/>
      <c r="R452" s="83"/>
      <c r="S452" s="83"/>
      <c r="T452" s="83"/>
      <c r="U452" s="83"/>
      <c r="V452" s="83"/>
      <c r="W452" s="83"/>
      <c r="X452" s="83"/>
      <c r="Y452" s="83"/>
      <c r="Z452" s="83"/>
      <c r="AA452" s="83"/>
      <c r="AB452" s="83"/>
      <c r="AC452" s="83"/>
      <c r="AD452" s="83"/>
      <c r="AE452" s="83"/>
      <c r="AF452" s="83"/>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83"/>
      <c r="C557" s="83"/>
      <c r="D557" s="83"/>
      <c r="E557" s="83"/>
      <c r="F557" s="83"/>
      <c r="G557" s="83"/>
      <c r="H557" s="83"/>
      <c r="I557" s="83"/>
      <c r="J557" s="83"/>
      <c r="K557" s="83"/>
      <c r="L557" s="83"/>
      <c r="M557" s="83"/>
      <c r="N557" s="83"/>
      <c r="O557" s="83"/>
      <c r="P557" s="83"/>
      <c r="Q557" s="83"/>
      <c r="R557" s="83"/>
      <c r="S557" s="83"/>
      <c r="T557" s="83"/>
      <c r="U557" s="83"/>
      <c r="V557" s="83"/>
      <c r="W557" s="83"/>
      <c r="X557" s="83"/>
      <c r="Y557" s="83"/>
      <c r="Z557" s="83"/>
      <c r="AA557" s="83"/>
      <c r="AB557" s="83"/>
      <c r="AC557" s="83"/>
      <c r="AD557" s="83"/>
      <c r="AE557" s="83"/>
      <c r="AF557" s="83"/>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83"/>
      <c r="C638" s="83"/>
      <c r="D638" s="83"/>
      <c r="E638" s="83"/>
      <c r="F638" s="83"/>
      <c r="G638" s="83"/>
      <c r="H638" s="83"/>
      <c r="I638" s="83"/>
      <c r="J638" s="83"/>
      <c r="K638" s="83"/>
      <c r="L638" s="83"/>
      <c r="M638" s="83"/>
      <c r="N638" s="83"/>
      <c r="O638" s="83"/>
      <c r="P638" s="83"/>
      <c r="Q638" s="83"/>
      <c r="R638" s="83"/>
      <c r="S638" s="83"/>
      <c r="T638" s="83"/>
      <c r="U638" s="83"/>
      <c r="V638" s="83"/>
      <c r="W638" s="83"/>
      <c r="X638" s="83"/>
      <c r="Y638" s="83"/>
      <c r="Z638" s="83"/>
      <c r="AA638" s="83"/>
      <c r="AB638" s="83"/>
      <c r="AC638" s="83"/>
      <c r="AD638" s="83"/>
      <c r="AE638" s="83"/>
      <c r="AF638" s="83"/>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83"/>
      <c r="C710" s="83"/>
      <c r="D710" s="83"/>
      <c r="E710" s="83"/>
      <c r="F710" s="83"/>
      <c r="G710" s="83"/>
      <c r="H710" s="83"/>
      <c r="I710" s="83"/>
      <c r="J710" s="83"/>
      <c r="K710" s="83"/>
      <c r="L710" s="83"/>
      <c r="M710" s="83"/>
      <c r="N710" s="83"/>
      <c r="O710" s="83"/>
      <c r="P710" s="83"/>
      <c r="Q710" s="83"/>
      <c r="R710" s="83"/>
      <c r="S710" s="83"/>
      <c r="T710" s="83"/>
      <c r="U710" s="83"/>
      <c r="V710" s="83"/>
      <c r="W710" s="83"/>
      <c r="X710" s="83"/>
      <c r="Y710" s="83"/>
      <c r="Z710" s="83"/>
      <c r="AA710" s="83"/>
      <c r="AB710" s="83"/>
      <c r="AC710" s="83"/>
      <c r="AD710" s="83"/>
      <c r="AE710" s="83"/>
      <c r="AF710" s="83"/>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83"/>
      <c r="C886" s="83"/>
      <c r="D886" s="83"/>
      <c r="E886" s="83"/>
      <c r="F886" s="83"/>
      <c r="G886" s="83"/>
      <c r="H886" s="83"/>
      <c r="I886" s="83"/>
      <c r="J886" s="83"/>
      <c r="K886" s="83"/>
      <c r="L886" s="83"/>
      <c r="M886" s="83"/>
      <c r="N886" s="83"/>
      <c r="O886" s="83"/>
      <c r="P886" s="83"/>
      <c r="Q886" s="83"/>
      <c r="R886" s="83"/>
      <c r="S886" s="83"/>
      <c r="T886" s="83"/>
      <c r="U886" s="83"/>
      <c r="V886" s="83"/>
      <c r="W886" s="83"/>
      <c r="X886" s="83"/>
      <c r="Y886" s="83"/>
      <c r="Z886" s="83"/>
      <c r="AA886" s="83"/>
      <c r="AB886" s="83"/>
      <c r="AC886" s="83"/>
      <c r="AD886" s="83"/>
      <c r="AE886" s="83"/>
      <c r="AF886" s="83"/>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83"/>
      <c r="C969" s="83"/>
      <c r="D969" s="83"/>
      <c r="E969" s="83"/>
      <c r="F969" s="83"/>
      <c r="G969" s="83"/>
      <c r="H969" s="83"/>
      <c r="I969" s="83"/>
      <c r="J969" s="83"/>
      <c r="K969" s="83"/>
      <c r="L969" s="83"/>
      <c r="M969" s="83"/>
      <c r="N969" s="83"/>
      <c r="O969" s="83"/>
      <c r="P969" s="83"/>
      <c r="Q969" s="83"/>
      <c r="R969" s="83"/>
      <c r="S969" s="83"/>
      <c r="T969" s="83"/>
      <c r="U969" s="83"/>
      <c r="V969" s="83"/>
      <c r="W969" s="83"/>
      <c r="X969" s="83"/>
      <c r="Y969" s="83"/>
      <c r="Z969" s="83"/>
      <c r="AA969" s="83"/>
      <c r="AB969" s="83"/>
      <c r="AC969" s="83"/>
      <c r="AD969" s="83"/>
      <c r="AE969" s="83"/>
      <c r="AF969" s="83"/>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83"/>
      <c r="C1071" s="83"/>
      <c r="D1071" s="83"/>
      <c r="E1071" s="83"/>
      <c r="F1071" s="83"/>
      <c r="G1071" s="83"/>
      <c r="H1071" s="83"/>
      <c r="I1071" s="83"/>
      <c r="J1071" s="83"/>
      <c r="K1071" s="83"/>
      <c r="L1071" s="83"/>
      <c r="M1071" s="83"/>
      <c r="N1071" s="83"/>
      <c r="O1071" s="83"/>
      <c r="P1071" s="83"/>
      <c r="Q1071" s="83"/>
      <c r="R1071" s="83"/>
      <c r="S1071" s="83"/>
      <c r="T1071" s="83"/>
      <c r="U1071" s="83"/>
      <c r="V1071" s="83"/>
      <c r="W1071" s="83"/>
      <c r="X1071" s="83"/>
      <c r="Y1071" s="83"/>
      <c r="Z1071" s="83"/>
      <c r="AA1071" s="83"/>
      <c r="AB1071" s="83"/>
      <c r="AC1071" s="83"/>
      <c r="AD1071" s="83"/>
      <c r="AE1071" s="83"/>
      <c r="AF1071" s="83"/>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83"/>
      <c r="C1169" s="83"/>
      <c r="D1169" s="83"/>
      <c r="E1169" s="83"/>
      <c r="F1169" s="83"/>
      <c r="G1169" s="83"/>
      <c r="H1169" s="83"/>
      <c r="I1169" s="83"/>
      <c r="J1169" s="83"/>
      <c r="K1169" s="83"/>
      <c r="L1169" s="83"/>
      <c r="M1169" s="83"/>
      <c r="N1169" s="83"/>
      <c r="O1169" s="83"/>
      <c r="P1169" s="83"/>
      <c r="Q1169" s="83"/>
      <c r="R1169" s="83"/>
      <c r="S1169" s="83"/>
      <c r="T1169" s="83"/>
      <c r="U1169" s="83"/>
      <c r="V1169" s="83"/>
      <c r="W1169" s="83"/>
      <c r="X1169" s="83"/>
      <c r="Y1169" s="83"/>
      <c r="Z1169" s="83"/>
      <c r="AA1169" s="83"/>
      <c r="AB1169" s="83"/>
      <c r="AC1169" s="83"/>
      <c r="AD1169" s="83"/>
      <c r="AE1169" s="83"/>
      <c r="AF1169" s="83"/>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83"/>
      <c r="C1269" s="83"/>
      <c r="D1269" s="83"/>
      <c r="E1269" s="83"/>
      <c r="F1269" s="83"/>
      <c r="G1269" s="83"/>
      <c r="H1269" s="83"/>
      <c r="I1269" s="83"/>
      <c r="J1269" s="83"/>
      <c r="K1269" s="83"/>
      <c r="L1269" s="83"/>
      <c r="M1269" s="83"/>
      <c r="N1269" s="83"/>
      <c r="O1269" s="83"/>
      <c r="P1269" s="83"/>
      <c r="Q1269" s="83"/>
      <c r="R1269" s="83"/>
      <c r="S1269" s="83"/>
      <c r="T1269" s="83"/>
      <c r="U1269" s="83"/>
      <c r="V1269" s="83"/>
      <c r="W1269" s="83"/>
      <c r="X1269" s="83"/>
      <c r="Y1269" s="83"/>
      <c r="Z1269" s="83"/>
      <c r="AA1269" s="83"/>
      <c r="AB1269" s="83"/>
      <c r="AC1269" s="83"/>
      <c r="AD1269" s="83"/>
      <c r="AE1269" s="83"/>
      <c r="AF1269" s="83"/>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83"/>
      <c r="C1484" s="83"/>
      <c r="D1484" s="83"/>
      <c r="E1484" s="83"/>
      <c r="F1484" s="83"/>
      <c r="G1484" s="83"/>
      <c r="H1484" s="83"/>
      <c r="I1484" s="83"/>
      <c r="J1484" s="83"/>
      <c r="K1484" s="83"/>
      <c r="L1484" s="83"/>
      <c r="M1484" s="83"/>
      <c r="N1484" s="83"/>
      <c r="O1484" s="83"/>
      <c r="P1484" s="83"/>
      <c r="Q1484" s="83"/>
      <c r="R1484" s="83"/>
      <c r="S1484" s="83"/>
      <c r="T1484" s="83"/>
      <c r="U1484" s="83"/>
      <c r="V1484" s="83"/>
      <c r="W1484" s="83"/>
      <c r="X1484" s="83"/>
      <c r="Y1484" s="83"/>
      <c r="Z1484" s="83"/>
      <c r="AA1484" s="83"/>
      <c r="AB1484" s="83"/>
      <c r="AC1484" s="83"/>
      <c r="AD1484" s="83"/>
      <c r="AE1484" s="83"/>
      <c r="AF1484" s="83"/>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83"/>
      <c r="C1713" s="83"/>
      <c r="D1713" s="83"/>
      <c r="E1713" s="83"/>
      <c r="F1713" s="83"/>
      <c r="G1713" s="83"/>
      <c r="H1713" s="83"/>
      <c r="I1713" s="83"/>
      <c r="J1713" s="83"/>
      <c r="K1713" s="83"/>
      <c r="L1713" s="83"/>
      <c r="M1713" s="83"/>
      <c r="N1713" s="83"/>
      <c r="O1713" s="83"/>
      <c r="P1713" s="83"/>
      <c r="Q1713" s="83"/>
      <c r="R1713" s="83"/>
      <c r="S1713" s="83"/>
      <c r="T1713" s="83"/>
      <c r="U1713" s="83"/>
      <c r="V1713" s="83"/>
      <c r="W1713" s="83"/>
      <c r="X1713" s="83"/>
      <c r="Y1713" s="83"/>
      <c r="Z1713" s="83"/>
      <c r="AA1713" s="83"/>
      <c r="AB1713" s="83"/>
      <c r="AC1713" s="83"/>
      <c r="AD1713" s="83"/>
      <c r="AE1713" s="83"/>
      <c r="AF1713" s="83"/>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83"/>
      <c r="C1990" s="83"/>
      <c r="D1990" s="83"/>
      <c r="E1990" s="83"/>
      <c r="F1990" s="83"/>
      <c r="G1990" s="83"/>
      <c r="H1990" s="83"/>
      <c r="I1990" s="83"/>
      <c r="J1990" s="83"/>
      <c r="K1990" s="83"/>
      <c r="L1990" s="83"/>
      <c r="M1990" s="83"/>
      <c r="N1990" s="83"/>
      <c r="O1990" s="83"/>
      <c r="P1990" s="83"/>
      <c r="Q1990" s="83"/>
      <c r="R1990" s="83"/>
      <c r="S1990" s="83"/>
      <c r="T1990" s="83"/>
      <c r="U1990" s="83"/>
      <c r="V1990" s="83"/>
      <c r="W1990" s="83"/>
      <c r="X1990" s="83"/>
      <c r="Y1990" s="83"/>
      <c r="Z1990" s="83"/>
      <c r="AA1990" s="83"/>
      <c r="AB1990" s="83"/>
      <c r="AC1990" s="83"/>
      <c r="AD1990" s="83"/>
      <c r="AE1990" s="83"/>
      <c r="AF1990" s="83"/>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83"/>
      <c r="C2325" s="83"/>
      <c r="D2325" s="83"/>
      <c r="E2325" s="83"/>
      <c r="F2325" s="83"/>
      <c r="G2325" s="83"/>
      <c r="H2325" s="83"/>
      <c r="I2325" s="83"/>
      <c r="J2325" s="83"/>
      <c r="K2325" s="83"/>
      <c r="L2325" s="83"/>
      <c r="M2325" s="83"/>
      <c r="N2325" s="83"/>
      <c r="O2325" s="83"/>
      <c r="P2325" s="83"/>
      <c r="Q2325" s="83"/>
      <c r="R2325" s="83"/>
      <c r="S2325" s="83"/>
      <c r="T2325" s="83"/>
      <c r="U2325" s="83"/>
      <c r="V2325" s="83"/>
      <c r="W2325" s="83"/>
      <c r="X2325" s="83"/>
      <c r="Y2325" s="83"/>
      <c r="Z2325" s="83"/>
      <c r="AA2325" s="83"/>
      <c r="AB2325" s="83"/>
      <c r="AC2325" s="83"/>
      <c r="AD2325" s="83"/>
      <c r="AE2325" s="83"/>
      <c r="AF2325" s="83"/>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83"/>
      <c r="C2645" s="83"/>
      <c r="D2645" s="83"/>
      <c r="E2645" s="83"/>
      <c r="F2645" s="83"/>
      <c r="G2645" s="83"/>
      <c r="H2645" s="83"/>
      <c r="I2645" s="83"/>
      <c r="J2645" s="83"/>
      <c r="K2645" s="83"/>
      <c r="L2645" s="83"/>
      <c r="M2645" s="83"/>
      <c r="N2645" s="83"/>
      <c r="O2645" s="83"/>
      <c r="P2645" s="83"/>
      <c r="Q2645" s="83"/>
      <c r="R2645" s="83"/>
      <c r="S2645" s="83"/>
      <c r="T2645" s="83"/>
      <c r="U2645" s="83"/>
      <c r="V2645" s="83"/>
      <c r="W2645" s="83"/>
      <c r="X2645" s="83"/>
      <c r="Y2645" s="83"/>
      <c r="Z2645" s="83"/>
      <c r="AA2645" s="83"/>
      <c r="AB2645" s="83"/>
      <c r="AC2645" s="83"/>
      <c r="AD2645" s="83"/>
      <c r="AE2645" s="83"/>
      <c r="AF2645" s="83"/>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83"/>
      <c r="C2971" s="83"/>
      <c r="D2971" s="83"/>
      <c r="E2971" s="83"/>
      <c r="F2971" s="83"/>
      <c r="G2971" s="83"/>
      <c r="H2971" s="83"/>
      <c r="I2971" s="83"/>
      <c r="J2971" s="83"/>
      <c r="K2971" s="83"/>
      <c r="L2971" s="83"/>
      <c r="M2971" s="83"/>
      <c r="N2971" s="83"/>
      <c r="O2971" s="83"/>
      <c r="P2971" s="83"/>
      <c r="Q2971" s="83"/>
      <c r="R2971" s="83"/>
      <c r="S2971" s="83"/>
      <c r="T2971" s="83"/>
      <c r="U2971" s="83"/>
      <c r="V2971" s="83"/>
      <c r="W2971" s="83"/>
      <c r="X2971" s="83"/>
      <c r="Y2971" s="83"/>
      <c r="Z2971" s="83"/>
      <c r="AA2971" s="83"/>
      <c r="AB2971" s="83"/>
      <c r="AC2971" s="83"/>
      <c r="AD2971" s="83"/>
      <c r="AE2971" s="83"/>
      <c r="AF2971" s="83"/>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83"/>
      <c r="C3293" s="83"/>
      <c r="D3293" s="83"/>
      <c r="E3293" s="83"/>
      <c r="F3293" s="83"/>
      <c r="G3293" s="83"/>
      <c r="H3293" s="83"/>
      <c r="I3293" s="83"/>
      <c r="J3293" s="83"/>
      <c r="K3293" s="83"/>
      <c r="L3293" s="83"/>
      <c r="M3293" s="83"/>
      <c r="N3293" s="83"/>
      <c r="O3293" s="83"/>
      <c r="P3293" s="83"/>
      <c r="Q3293" s="83"/>
      <c r="R3293" s="83"/>
      <c r="S3293" s="83"/>
      <c r="T3293" s="83"/>
      <c r="U3293" s="83"/>
      <c r="V3293" s="83"/>
      <c r="W3293" s="83"/>
      <c r="X3293" s="83"/>
      <c r="Y3293" s="83"/>
      <c r="Z3293" s="83"/>
      <c r="AA3293" s="83"/>
      <c r="AB3293" s="83"/>
      <c r="AC3293" s="83"/>
      <c r="AD3293" s="83"/>
      <c r="AE3293" s="83"/>
      <c r="AF3293" s="83"/>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83"/>
      <c r="C3402" s="83"/>
      <c r="D3402" s="83"/>
      <c r="E3402" s="83"/>
      <c r="F3402" s="83"/>
      <c r="G3402" s="83"/>
      <c r="H3402" s="83"/>
      <c r="I3402" s="83"/>
      <c r="J3402" s="83"/>
      <c r="K3402" s="83"/>
      <c r="L3402" s="83"/>
      <c r="M3402" s="83"/>
      <c r="N3402" s="83"/>
      <c r="O3402" s="83"/>
      <c r="P3402" s="83"/>
      <c r="Q3402" s="83"/>
      <c r="R3402" s="83"/>
      <c r="S3402" s="83"/>
      <c r="T3402" s="83"/>
      <c r="U3402" s="83"/>
      <c r="V3402" s="83"/>
      <c r="W3402" s="83"/>
      <c r="X3402" s="83"/>
      <c r="Y3402" s="83"/>
      <c r="Z3402" s="83"/>
      <c r="AA3402" s="83"/>
      <c r="AB3402" s="83"/>
      <c r="AC3402" s="83"/>
      <c r="AD3402" s="83"/>
      <c r="AE3402" s="83"/>
      <c r="AF3402" s="83"/>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83"/>
      <c r="C3527" s="83"/>
      <c r="D3527" s="83"/>
      <c r="E3527" s="83"/>
      <c r="F3527" s="83"/>
      <c r="G3527" s="83"/>
      <c r="H3527" s="83"/>
      <c r="I3527" s="83"/>
      <c r="J3527" s="83"/>
      <c r="K3527" s="83"/>
      <c r="L3527" s="83"/>
      <c r="M3527" s="83"/>
      <c r="N3527" s="83"/>
      <c r="O3527" s="83"/>
      <c r="P3527" s="83"/>
      <c r="Q3527" s="83"/>
      <c r="R3527" s="83"/>
      <c r="S3527" s="83"/>
      <c r="T3527" s="83"/>
      <c r="U3527" s="83"/>
      <c r="V3527" s="83"/>
      <c r="W3527" s="83"/>
      <c r="X3527" s="83"/>
      <c r="Y3527" s="83"/>
      <c r="Z3527" s="83"/>
      <c r="AA3527" s="83"/>
      <c r="AB3527" s="83"/>
      <c r="AC3527" s="83"/>
      <c r="AD3527" s="83"/>
      <c r="AE3527" s="83"/>
      <c r="AF3527" s="83"/>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83"/>
      <c r="C3652" s="83"/>
      <c r="D3652" s="83"/>
      <c r="E3652" s="83"/>
      <c r="F3652" s="83"/>
      <c r="G3652" s="83"/>
      <c r="H3652" s="83"/>
      <c r="I3652" s="83"/>
      <c r="J3652" s="83"/>
      <c r="K3652" s="83"/>
      <c r="L3652" s="83"/>
      <c r="M3652" s="83"/>
      <c r="N3652" s="83"/>
      <c r="O3652" s="83"/>
      <c r="P3652" s="83"/>
      <c r="Q3652" s="83"/>
      <c r="R3652" s="83"/>
      <c r="S3652" s="83"/>
      <c r="T3652" s="83"/>
      <c r="U3652" s="83"/>
      <c r="V3652" s="83"/>
      <c r="W3652" s="83"/>
      <c r="X3652" s="83"/>
      <c r="Y3652" s="83"/>
      <c r="Z3652" s="83"/>
      <c r="AA3652" s="83"/>
      <c r="AB3652" s="83"/>
      <c r="AC3652" s="83"/>
      <c r="AD3652" s="83"/>
      <c r="AE3652" s="83"/>
      <c r="AF3652" s="83"/>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83"/>
      <c r="C3777" s="83"/>
      <c r="D3777" s="83"/>
      <c r="E3777" s="83"/>
      <c r="F3777" s="83"/>
      <c r="G3777" s="83"/>
      <c r="H3777" s="83"/>
      <c r="I3777" s="83"/>
      <c r="J3777" s="83"/>
      <c r="K3777" s="83"/>
      <c r="L3777" s="83"/>
      <c r="M3777" s="83"/>
      <c r="N3777" s="83"/>
      <c r="O3777" s="83"/>
      <c r="P3777" s="83"/>
      <c r="Q3777" s="83"/>
      <c r="R3777" s="83"/>
      <c r="S3777" s="83"/>
      <c r="T3777" s="83"/>
      <c r="U3777" s="83"/>
      <c r="V3777" s="83"/>
      <c r="W3777" s="83"/>
      <c r="X3777" s="83"/>
      <c r="Y3777" s="83"/>
      <c r="Z3777" s="83"/>
      <c r="AA3777" s="83"/>
      <c r="AB3777" s="83"/>
      <c r="AC3777" s="83"/>
      <c r="AD3777" s="83"/>
      <c r="AE3777" s="83"/>
      <c r="AF3777" s="83"/>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83"/>
      <c r="C3902" s="83"/>
      <c r="D3902" s="83"/>
      <c r="E3902" s="83"/>
      <c r="F3902" s="83"/>
      <c r="G3902" s="83"/>
      <c r="H3902" s="83"/>
      <c r="I3902" s="83"/>
      <c r="J3902" s="83"/>
      <c r="K3902" s="83"/>
      <c r="L3902" s="83"/>
      <c r="M3902" s="83"/>
      <c r="N3902" s="83"/>
      <c r="O3902" s="83"/>
      <c r="P3902" s="83"/>
      <c r="Q3902" s="83"/>
      <c r="R3902" s="83"/>
      <c r="S3902" s="83"/>
      <c r="T3902" s="83"/>
      <c r="U3902" s="83"/>
      <c r="V3902" s="83"/>
      <c r="W3902" s="83"/>
      <c r="X3902" s="83"/>
      <c r="Y3902" s="83"/>
      <c r="Z3902" s="83"/>
      <c r="AA3902" s="83"/>
      <c r="AB3902" s="83"/>
      <c r="AC3902" s="83"/>
      <c r="AD3902" s="83"/>
      <c r="AE3902" s="83"/>
      <c r="AF3902" s="83"/>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83"/>
      <c r="C4027" s="83"/>
      <c r="D4027" s="83"/>
      <c r="E4027" s="83"/>
      <c r="F4027" s="83"/>
      <c r="G4027" s="83"/>
      <c r="H4027" s="83"/>
      <c r="I4027" s="83"/>
      <c r="J4027" s="83"/>
      <c r="K4027" s="83"/>
      <c r="L4027" s="83"/>
      <c r="M4027" s="83"/>
      <c r="N4027" s="83"/>
      <c r="O4027" s="83"/>
      <c r="P4027" s="83"/>
      <c r="Q4027" s="83"/>
      <c r="R4027" s="83"/>
      <c r="S4027" s="83"/>
      <c r="T4027" s="83"/>
      <c r="U4027" s="83"/>
      <c r="V4027" s="83"/>
      <c r="W4027" s="83"/>
      <c r="X4027" s="83"/>
      <c r="Y4027" s="83"/>
      <c r="Z4027" s="83"/>
      <c r="AA4027" s="83"/>
      <c r="AB4027" s="83"/>
      <c r="AC4027" s="83"/>
      <c r="AD4027" s="83"/>
      <c r="AE4027" s="83"/>
      <c r="AF4027" s="83"/>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83"/>
      <c r="C4152" s="83"/>
      <c r="D4152" s="83"/>
      <c r="E4152" s="83"/>
      <c r="F4152" s="83"/>
      <c r="G4152" s="83"/>
      <c r="H4152" s="83"/>
      <c r="I4152" s="83"/>
      <c r="J4152" s="83"/>
      <c r="K4152" s="83"/>
      <c r="L4152" s="83"/>
      <c r="M4152" s="83"/>
      <c r="N4152" s="83"/>
      <c r="O4152" s="83"/>
      <c r="P4152" s="83"/>
      <c r="Q4152" s="83"/>
      <c r="R4152" s="83"/>
      <c r="S4152" s="83"/>
      <c r="T4152" s="83"/>
      <c r="U4152" s="83"/>
      <c r="V4152" s="83"/>
      <c r="W4152" s="83"/>
      <c r="X4152" s="83"/>
      <c r="Y4152" s="83"/>
      <c r="Z4152" s="83"/>
      <c r="AA4152" s="83"/>
      <c r="AB4152" s="83"/>
      <c r="AC4152" s="83"/>
      <c r="AD4152" s="83"/>
      <c r="AE4152" s="83"/>
      <c r="AF4152" s="83"/>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83"/>
      <c r="C4277" s="83"/>
      <c r="D4277" s="83"/>
      <c r="E4277" s="83"/>
      <c r="F4277" s="83"/>
      <c r="G4277" s="83"/>
      <c r="H4277" s="83"/>
      <c r="I4277" s="83"/>
      <c r="J4277" s="83"/>
      <c r="K4277" s="83"/>
      <c r="L4277" s="83"/>
      <c r="M4277" s="83"/>
      <c r="N4277" s="83"/>
      <c r="O4277" s="83"/>
      <c r="P4277" s="83"/>
      <c r="Q4277" s="83"/>
      <c r="R4277" s="83"/>
      <c r="S4277" s="83"/>
      <c r="T4277" s="83"/>
      <c r="U4277" s="83"/>
      <c r="V4277" s="83"/>
      <c r="W4277" s="83"/>
      <c r="X4277" s="83"/>
      <c r="Y4277" s="83"/>
      <c r="Z4277" s="83"/>
      <c r="AA4277" s="83"/>
      <c r="AB4277" s="83"/>
      <c r="AC4277" s="83"/>
      <c r="AD4277" s="83"/>
      <c r="AE4277" s="83"/>
      <c r="AF4277" s="83"/>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83"/>
      <c r="C4402" s="83"/>
      <c r="D4402" s="83"/>
      <c r="E4402" s="83"/>
      <c r="F4402" s="83"/>
      <c r="G4402" s="83"/>
      <c r="H4402" s="83"/>
      <c r="I4402" s="83"/>
      <c r="J4402" s="83"/>
      <c r="K4402" s="83"/>
      <c r="L4402" s="83"/>
      <c r="M4402" s="83"/>
      <c r="N4402" s="83"/>
      <c r="O4402" s="83"/>
      <c r="P4402" s="83"/>
      <c r="Q4402" s="83"/>
      <c r="R4402" s="83"/>
      <c r="S4402" s="83"/>
      <c r="T4402" s="83"/>
      <c r="U4402" s="83"/>
      <c r="V4402" s="83"/>
      <c r="W4402" s="83"/>
      <c r="X4402" s="83"/>
      <c r="Y4402" s="83"/>
      <c r="Z4402" s="83"/>
      <c r="AA4402" s="83"/>
      <c r="AB4402" s="83"/>
      <c r="AC4402" s="83"/>
      <c r="AD4402" s="83"/>
      <c r="AE4402" s="83"/>
      <c r="AF4402" s="83"/>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bottomRight" activeCell="F4" sqref="F4"/>
      <selection pane="bottomLeft" activeCell="A2" sqref="A2"/>
      <selection pane="topRight" activeCell="C1" sqref="C1"/>
    </sheetView>
  </sheetViews>
  <sheetFormatPr defaultColWidth="8.85546875" defaultRowHeight="15" customHeight="1"/>
  <cols>
    <col min="1" max="1" width="45.7109375" customWidth="1"/>
    <col min="2" max="2" width="66.85546875" customWidth="1"/>
    <col min="3" max="3" width="18.42578125" customWidth="1"/>
  </cols>
  <sheetData>
    <row r="1" spans="1:36">
      <c r="A1" t="s">
        <v>510</v>
      </c>
    </row>
    <row r="2" spans="1:36">
      <c r="A2" t="s">
        <v>869</v>
      </c>
    </row>
    <row r="3" spans="1:36">
      <c r="A3" t="s">
        <v>870</v>
      </c>
      <c r="F3">
        <f>F8/F7</f>
        <v>2.3477060597993631E-3</v>
      </c>
    </row>
    <row r="4" spans="1:36">
      <c r="A4" t="s">
        <v>394</v>
      </c>
    </row>
    <row r="5" spans="1:36">
      <c r="B5" t="s">
        <v>395</v>
      </c>
      <c r="C5" t="s">
        <v>396</v>
      </c>
      <c r="D5" t="s">
        <v>397</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398</v>
      </c>
    </row>
    <row r="6" spans="1:36">
      <c r="A6" t="s">
        <v>514</v>
      </c>
      <c r="B6" t="s">
        <v>515</v>
      </c>
      <c r="C6" t="s">
        <v>871</v>
      </c>
      <c r="D6" t="s">
        <v>517</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518</v>
      </c>
      <c r="B7" t="s">
        <v>519</v>
      </c>
      <c r="C7" t="s">
        <v>872</v>
      </c>
      <c r="D7" t="s">
        <v>517</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521</v>
      </c>
      <c r="B8" t="s">
        <v>522</v>
      </c>
      <c r="C8" t="s">
        <v>873</v>
      </c>
      <c r="D8" t="s">
        <v>517</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524</v>
      </c>
      <c r="B9" t="s">
        <v>525</v>
      </c>
      <c r="C9" t="s">
        <v>874</v>
      </c>
      <c r="D9" t="s">
        <v>517</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527</v>
      </c>
      <c r="B10" t="s">
        <v>528</v>
      </c>
      <c r="C10" t="s">
        <v>875</v>
      </c>
      <c r="D10" t="s">
        <v>517</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196</v>
      </c>
      <c r="B11" t="s">
        <v>530</v>
      </c>
      <c r="C11" t="s">
        <v>876</v>
      </c>
      <c r="D11" t="s">
        <v>517</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532</v>
      </c>
      <c r="B12" t="s">
        <v>533</v>
      </c>
      <c r="C12" t="s">
        <v>877</v>
      </c>
      <c r="D12" t="s">
        <v>517</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535</v>
      </c>
      <c r="B13" t="s">
        <v>536</v>
      </c>
      <c r="C13" t="s">
        <v>878</v>
      </c>
      <c r="D13" t="s">
        <v>517</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538</v>
      </c>
      <c r="B14" t="s">
        <v>539</v>
      </c>
      <c r="C14" t="s">
        <v>879</v>
      </c>
      <c r="D14" t="s">
        <v>517</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518</v>
      </c>
      <c r="B15" t="s">
        <v>541</v>
      </c>
      <c r="C15" t="s">
        <v>880</v>
      </c>
      <c r="D15" t="s">
        <v>517</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521</v>
      </c>
      <c r="B16" t="s">
        <v>543</v>
      </c>
      <c r="C16" t="s">
        <v>881</v>
      </c>
      <c r="D16" t="s">
        <v>517</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524</v>
      </c>
      <c r="B17" t="s">
        <v>545</v>
      </c>
      <c r="C17" t="s">
        <v>882</v>
      </c>
      <c r="D17" t="s">
        <v>517</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196</v>
      </c>
      <c r="B18" t="s">
        <v>547</v>
      </c>
      <c r="C18" t="s">
        <v>883</v>
      </c>
      <c r="D18" t="s">
        <v>517</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527</v>
      </c>
      <c r="B19" t="s">
        <v>549</v>
      </c>
      <c r="C19" t="s">
        <v>884</v>
      </c>
      <c r="D19" t="s">
        <v>517</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532</v>
      </c>
      <c r="B20" t="s">
        <v>551</v>
      </c>
      <c r="C20" t="s">
        <v>885</v>
      </c>
      <c r="D20" t="s">
        <v>517</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535</v>
      </c>
      <c r="B21" t="s">
        <v>553</v>
      </c>
      <c r="C21" t="s">
        <v>886</v>
      </c>
      <c r="D21" t="s">
        <v>517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172</v>
      </c>
    </row>
    <row r="22" spans="1:36">
      <c r="A22" t="s">
        <v>555</v>
      </c>
      <c r="B22" t="s">
        <v>556</v>
      </c>
      <c r="C22" t="s">
        <v>887</v>
      </c>
      <c r="D22" t="s">
        <v>517</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216</v>
      </c>
      <c r="B23" t="s">
        <v>558</v>
      </c>
      <c r="C23" t="s">
        <v>888</v>
      </c>
      <c r="D23" t="s">
        <v>517</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524</v>
      </c>
      <c r="B24" t="s">
        <v>560</v>
      </c>
      <c r="C24" t="s">
        <v>889</v>
      </c>
      <c r="D24" t="s">
        <v>517</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527</v>
      </c>
      <c r="B25" t="s">
        <v>562</v>
      </c>
      <c r="C25" t="s">
        <v>890</v>
      </c>
      <c r="D25" t="s">
        <v>517</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196</v>
      </c>
      <c r="B26" t="s">
        <v>564</v>
      </c>
      <c r="C26" t="s">
        <v>891</v>
      </c>
      <c r="D26" t="s">
        <v>517</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521</v>
      </c>
      <c r="B27" t="s">
        <v>566</v>
      </c>
      <c r="C27" t="s">
        <v>892</v>
      </c>
      <c r="D27" t="s">
        <v>517</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532</v>
      </c>
      <c r="B28" t="s">
        <v>568</v>
      </c>
      <c r="C28" t="s">
        <v>893</v>
      </c>
      <c r="D28" t="s">
        <v>517</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535</v>
      </c>
      <c r="B29" t="s">
        <v>570</v>
      </c>
      <c r="C29" t="s">
        <v>894</v>
      </c>
      <c r="D29" t="s">
        <v>517</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572</v>
      </c>
      <c r="B30" t="s">
        <v>573</v>
      </c>
      <c r="C30" t="s">
        <v>895</v>
      </c>
      <c r="D30" t="s">
        <v>517</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524</v>
      </c>
      <c r="B31" t="s">
        <v>575</v>
      </c>
      <c r="C31" t="s">
        <v>896</v>
      </c>
      <c r="D31" t="s">
        <v>517</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577</v>
      </c>
      <c r="B32" t="s">
        <v>578</v>
      </c>
      <c r="C32" t="s">
        <v>897</v>
      </c>
      <c r="D32" t="s">
        <v>517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172</v>
      </c>
    </row>
    <row r="33" spans="1:36">
      <c r="A33" t="s">
        <v>580</v>
      </c>
      <c r="B33" t="s">
        <v>581</v>
      </c>
      <c r="C33" t="s">
        <v>898</v>
      </c>
      <c r="D33" t="s">
        <v>517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172</v>
      </c>
    </row>
    <row r="34" spans="1:36">
      <c r="A34" t="s">
        <v>583</v>
      </c>
      <c r="B34" t="s">
        <v>584</v>
      </c>
      <c r="C34" t="s">
        <v>899</v>
      </c>
      <c r="D34" t="s">
        <v>517</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586</v>
      </c>
      <c r="B35" t="s">
        <v>587</v>
      </c>
      <c r="C35" t="s">
        <v>900</v>
      </c>
      <c r="D35" t="s">
        <v>517</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524</v>
      </c>
      <c r="B36" t="s">
        <v>589</v>
      </c>
      <c r="C36" t="s">
        <v>901</v>
      </c>
      <c r="D36" t="s">
        <v>517</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591</v>
      </c>
      <c r="B37" t="s">
        <v>592</v>
      </c>
      <c r="C37" t="s">
        <v>902</v>
      </c>
      <c r="D37" t="s">
        <v>517</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580</v>
      </c>
      <c r="B38" t="s">
        <v>594</v>
      </c>
      <c r="C38" t="s">
        <v>903</v>
      </c>
      <c r="D38" t="s">
        <v>517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172</v>
      </c>
    </row>
    <row r="39" spans="1:36">
      <c r="A39" t="s">
        <v>583</v>
      </c>
      <c r="B39" t="s">
        <v>596</v>
      </c>
      <c r="C39" t="s">
        <v>904</v>
      </c>
      <c r="D39" t="s">
        <v>517</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598</v>
      </c>
      <c r="B40" t="s">
        <v>599</v>
      </c>
      <c r="C40" t="s">
        <v>905</v>
      </c>
      <c r="D40" t="s">
        <v>517</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524</v>
      </c>
      <c r="B41" t="s">
        <v>601</v>
      </c>
      <c r="C41" t="s">
        <v>906</v>
      </c>
      <c r="D41" t="s">
        <v>517</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591</v>
      </c>
      <c r="B42" t="s">
        <v>603</v>
      </c>
      <c r="C42" t="s">
        <v>907</v>
      </c>
      <c r="D42" t="s">
        <v>517</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580</v>
      </c>
      <c r="B43" t="s">
        <v>605</v>
      </c>
      <c r="C43" t="s">
        <v>908</v>
      </c>
      <c r="D43" t="s">
        <v>517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172</v>
      </c>
    </row>
    <row r="44" spans="1:36">
      <c r="A44" t="s">
        <v>583</v>
      </c>
      <c r="B44" t="s">
        <v>607</v>
      </c>
      <c r="C44" t="s">
        <v>909</v>
      </c>
      <c r="D44" t="s">
        <v>517</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609</v>
      </c>
      <c r="B45" t="s">
        <v>610</v>
      </c>
      <c r="C45" t="s">
        <v>910</v>
      </c>
      <c r="D45" t="s">
        <v>517</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223</v>
      </c>
      <c r="B46" t="s">
        <v>612</v>
      </c>
      <c r="C46" t="s">
        <v>911</v>
      </c>
      <c r="D46" t="s">
        <v>517</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614</v>
      </c>
      <c r="B47" t="s">
        <v>615</v>
      </c>
      <c r="C47" t="s">
        <v>912</v>
      </c>
      <c r="D47" t="s">
        <v>517</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617</v>
      </c>
      <c r="B48" t="s">
        <v>618</v>
      </c>
      <c r="C48" t="s">
        <v>913</v>
      </c>
      <c r="D48" t="s">
        <v>517</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620</v>
      </c>
      <c r="B49" t="s">
        <v>621</v>
      </c>
      <c r="C49" t="s">
        <v>914</v>
      </c>
      <c r="D49" t="s">
        <v>517</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577</v>
      </c>
      <c r="B50" t="s">
        <v>623</v>
      </c>
      <c r="C50" t="s">
        <v>915</v>
      </c>
      <c r="D50" t="s">
        <v>517</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625</v>
      </c>
      <c r="B51" t="s">
        <v>626</v>
      </c>
      <c r="C51" t="s">
        <v>916</v>
      </c>
      <c r="D51" t="s">
        <v>517</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628</v>
      </c>
      <c r="B52" t="s">
        <v>629</v>
      </c>
      <c r="C52" t="s">
        <v>917</v>
      </c>
      <c r="D52" t="s">
        <v>517</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631</v>
      </c>
      <c r="B53" t="s">
        <v>632</v>
      </c>
      <c r="C53" t="s">
        <v>918</v>
      </c>
      <c r="D53" t="s">
        <v>517</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216</v>
      </c>
      <c r="B54" t="s">
        <v>634</v>
      </c>
      <c r="C54" t="s">
        <v>919</v>
      </c>
      <c r="D54" t="s">
        <v>517</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521</v>
      </c>
      <c r="B55" t="s">
        <v>636</v>
      </c>
      <c r="C55" t="s">
        <v>920</v>
      </c>
      <c r="D55" t="s">
        <v>517</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524</v>
      </c>
      <c r="B56" t="s">
        <v>638</v>
      </c>
      <c r="C56" t="s">
        <v>921</v>
      </c>
      <c r="D56" t="s">
        <v>517</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527</v>
      </c>
      <c r="B57" t="s">
        <v>640</v>
      </c>
      <c r="C57" t="s">
        <v>922</v>
      </c>
      <c r="D57" t="s">
        <v>517</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196</v>
      </c>
      <c r="B58" t="s">
        <v>642</v>
      </c>
      <c r="C58" t="s">
        <v>923</v>
      </c>
      <c r="D58" t="s">
        <v>517</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532</v>
      </c>
      <c r="B59" t="s">
        <v>644</v>
      </c>
      <c r="C59" t="s">
        <v>924</v>
      </c>
      <c r="D59" t="s">
        <v>517</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535</v>
      </c>
      <c r="B60" t="s">
        <v>646</v>
      </c>
      <c r="C60" t="s">
        <v>925</v>
      </c>
      <c r="D60" t="s">
        <v>517</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648</v>
      </c>
      <c r="B61" t="s">
        <v>649</v>
      </c>
      <c r="C61" t="s">
        <v>926</v>
      </c>
      <c r="D61" t="s">
        <v>517</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216</v>
      </c>
      <c r="B62" t="s">
        <v>651</v>
      </c>
      <c r="C62" t="s">
        <v>927</v>
      </c>
      <c r="D62" t="s">
        <v>517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172</v>
      </c>
    </row>
    <row r="63" spans="1:36">
      <c r="A63" t="s">
        <v>521</v>
      </c>
      <c r="B63" t="s">
        <v>653</v>
      </c>
      <c r="C63" t="s">
        <v>928</v>
      </c>
      <c r="D63" t="s">
        <v>517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172</v>
      </c>
    </row>
    <row r="64" spans="1:36">
      <c r="A64" t="s">
        <v>524</v>
      </c>
      <c r="B64" t="s">
        <v>655</v>
      </c>
      <c r="C64" t="s">
        <v>929</v>
      </c>
      <c r="D64" t="s">
        <v>517</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527</v>
      </c>
      <c r="B65" t="s">
        <v>657</v>
      </c>
      <c r="C65" t="s">
        <v>930</v>
      </c>
      <c r="D65" t="s">
        <v>517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172</v>
      </c>
    </row>
    <row r="66" spans="1:36">
      <c r="A66" t="s">
        <v>196</v>
      </c>
      <c r="B66" t="s">
        <v>659</v>
      </c>
      <c r="C66" t="s">
        <v>931</v>
      </c>
      <c r="D66" t="s">
        <v>517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172</v>
      </c>
    </row>
    <row r="67" spans="1:36">
      <c r="A67" t="s">
        <v>532</v>
      </c>
      <c r="B67" t="s">
        <v>661</v>
      </c>
      <c r="C67" t="s">
        <v>932</v>
      </c>
      <c r="D67" t="s">
        <v>517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172</v>
      </c>
    </row>
    <row r="68" spans="1:36">
      <c r="A68" t="s">
        <v>535</v>
      </c>
      <c r="B68" t="s">
        <v>663</v>
      </c>
      <c r="C68" t="s">
        <v>933</v>
      </c>
      <c r="D68" t="s">
        <v>517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172</v>
      </c>
    </row>
    <row r="69" spans="1:36">
      <c r="A69" t="s">
        <v>665</v>
      </c>
      <c r="B69" t="s">
        <v>666</v>
      </c>
      <c r="C69" t="s">
        <v>934</v>
      </c>
      <c r="D69" t="s">
        <v>517</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216</v>
      </c>
      <c r="B70" t="s">
        <v>668</v>
      </c>
      <c r="C70" t="s">
        <v>935</v>
      </c>
      <c r="D70" t="s">
        <v>517</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521</v>
      </c>
      <c r="B71" t="s">
        <v>670</v>
      </c>
      <c r="C71" t="s">
        <v>936</v>
      </c>
      <c r="D71" t="s">
        <v>517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172</v>
      </c>
    </row>
    <row r="72" spans="1:36">
      <c r="A72" t="s">
        <v>524</v>
      </c>
      <c r="B72" t="s">
        <v>672</v>
      </c>
      <c r="C72" t="s">
        <v>937</v>
      </c>
      <c r="D72" t="s">
        <v>517</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527</v>
      </c>
      <c r="B73" t="s">
        <v>674</v>
      </c>
      <c r="C73" t="s">
        <v>938</v>
      </c>
      <c r="D73" t="s">
        <v>517</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196</v>
      </c>
      <c r="B74" t="s">
        <v>676</v>
      </c>
      <c r="C74" t="s">
        <v>939</v>
      </c>
      <c r="D74" t="s">
        <v>517</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532</v>
      </c>
      <c r="B75" t="s">
        <v>678</v>
      </c>
      <c r="C75" t="s">
        <v>940</v>
      </c>
      <c r="D75" t="s">
        <v>517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172</v>
      </c>
    </row>
    <row r="76" spans="1:36">
      <c r="A76" t="s">
        <v>535</v>
      </c>
      <c r="B76" t="s">
        <v>680</v>
      </c>
      <c r="C76" t="s">
        <v>941</v>
      </c>
      <c r="D76" t="s">
        <v>517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172</v>
      </c>
    </row>
    <row r="77" spans="1:36">
      <c r="A77" t="s">
        <v>682</v>
      </c>
      <c r="B77" t="s">
        <v>683</v>
      </c>
      <c r="C77" t="s">
        <v>942</v>
      </c>
      <c r="D77" t="s">
        <v>517</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685</v>
      </c>
      <c r="B78" t="s">
        <v>686</v>
      </c>
      <c r="C78" t="s">
        <v>943</v>
      </c>
      <c r="D78" t="s">
        <v>517</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532</v>
      </c>
      <c r="B79" t="s">
        <v>688</v>
      </c>
      <c r="C79" t="s">
        <v>944</v>
      </c>
      <c r="D79" t="s">
        <v>517</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690</v>
      </c>
      <c r="B80" t="s">
        <v>691</v>
      </c>
      <c r="C80" t="s">
        <v>945</v>
      </c>
      <c r="D80" t="s">
        <v>517</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580</v>
      </c>
      <c r="B81" t="s">
        <v>693</v>
      </c>
      <c r="C81" t="s">
        <v>946</v>
      </c>
      <c r="D81" t="s">
        <v>517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172</v>
      </c>
    </row>
    <row r="82" spans="1:36">
      <c r="A82" t="s">
        <v>583</v>
      </c>
      <c r="B82" t="s">
        <v>695</v>
      </c>
      <c r="C82" t="s">
        <v>947</v>
      </c>
      <c r="D82" t="s">
        <v>517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172</v>
      </c>
    </row>
    <row r="83" spans="1:36">
      <c r="A83" t="s">
        <v>697</v>
      </c>
      <c r="B83" t="s">
        <v>698</v>
      </c>
      <c r="C83" t="s">
        <v>948</v>
      </c>
      <c r="D83" t="s">
        <v>517</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532</v>
      </c>
      <c r="B84" t="s">
        <v>700</v>
      </c>
      <c r="C84" t="s">
        <v>949</v>
      </c>
      <c r="D84" t="s">
        <v>517</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702</v>
      </c>
      <c r="B85" t="s">
        <v>703</v>
      </c>
      <c r="C85" t="s">
        <v>950</v>
      </c>
      <c r="D85" t="s">
        <v>517</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532</v>
      </c>
      <c r="B86" t="s">
        <v>705</v>
      </c>
      <c r="C86" t="s">
        <v>951</v>
      </c>
      <c r="D86" t="s">
        <v>517</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690</v>
      </c>
      <c r="B87" t="s">
        <v>707</v>
      </c>
      <c r="C87" t="s">
        <v>952</v>
      </c>
      <c r="D87" t="s">
        <v>517</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580</v>
      </c>
      <c r="B88" t="s">
        <v>709</v>
      </c>
      <c r="C88" t="s">
        <v>953</v>
      </c>
      <c r="D88" t="s">
        <v>517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172</v>
      </c>
    </row>
    <row r="89" spans="1:36">
      <c r="A89" t="s">
        <v>583</v>
      </c>
      <c r="B89" t="s">
        <v>711</v>
      </c>
      <c r="C89" t="s">
        <v>954</v>
      </c>
      <c r="D89" t="s">
        <v>517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172</v>
      </c>
    </row>
    <row r="90" spans="1:36">
      <c r="A90" t="s">
        <v>713</v>
      </c>
      <c r="B90" t="s">
        <v>714</v>
      </c>
      <c r="C90" t="s">
        <v>955</v>
      </c>
      <c r="D90" t="s">
        <v>517</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716</v>
      </c>
      <c r="B91" t="s">
        <v>717</v>
      </c>
      <c r="C91" t="s">
        <v>956</v>
      </c>
      <c r="D91" t="s">
        <v>517</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524</v>
      </c>
      <c r="B92" t="s">
        <v>719</v>
      </c>
      <c r="C92" t="s">
        <v>957</v>
      </c>
      <c r="D92" t="s">
        <v>517</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237</v>
      </c>
      <c r="B93" t="s">
        <v>721</v>
      </c>
      <c r="C93" t="s">
        <v>958</v>
      </c>
      <c r="D93" t="s">
        <v>517</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723</v>
      </c>
      <c r="B94" t="s">
        <v>724</v>
      </c>
      <c r="C94" t="s">
        <v>959</v>
      </c>
      <c r="D94" t="s">
        <v>517</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729</v>
      </c>
      <c r="B95" t="s">
        <v>730</v>
      </c>
      <c r="C95" t="s">
        <v>960</v>
      </c>
      <c r="D95" t="s">
        <v>517</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tabSelected="1" workbookViewId="0">
      <selection activeCell="E9" sqref="E9"/>
    </sheetView>
  </sheetViews>
  <sheetFormatPr defaultColWidth="8.85546875" defaultRowHeight="15"/>
  <cols>
    <col min="1" max="1" width="46.42578125" customWidth="1"/>
    <col min="2" max="2" width="29" customWidth="1"/>
    <col min="3" max="3" width="14.28515625" customWidth="1"/>
    <col min="4" max="4" width="18.42578125" customWidth="1"/>
  </cols>
  <sheetData>
    <row r="1" spans="1:36">
      <c r="A1" t="s">
        <v>961</v>
      </c>
    </row>
    <row r="2" spans="1:36">
      <c r="A2" t="s">
        <v>962</v>
      </c>
    </row>
    <row r="3" spans="1:36">
      <c r="A3" t="s">
        <v>963</v>
      </c>
    </row>
    <row r="4" spans="1:36">
      <c r="A4" t="s">
        <v>964</v>
      </c>
    </row>
    <row r="6" spans="1:36" s="1" customFormat="1">
      <c r="A6" s="6" t="s">
        <v>965</v>
      </c>
      <c r="B6" s="6" t="s">
        <v>966</v>
      </c>
      <c r="C6" s="6" t="s">
        <v>967</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968</v>
      </c>
      <c r="B7" t="s">
        <v>969</v>
      </c>
      <c r="C7" t="s">
        <v>970</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971</v>
      </c>
      <c r="B8" t="s">
        <v>972</v>
      </c>
      <c r="C8" t="s">
        <v>970</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971</v>
      </c>
      <c r="B9" t="s">
        <v>973</v>
      </c>
      <c r="C9" t="s">
        <v>970</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971</v>
      </c>
      <c r="B10" t="s">
        <v>974</v>
      </c>
      <c r="C10" t="s">
        <v>970</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971</v>
      </c>
      <c r="B11" t="s">
        <v>975</v>
      </c>
      <c r="C11" t="s">
        <v>970</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971</v>
      </c>
      <c r="B12" t="s">
        <v>976</v>
      </c>
      <c r="C12" t="s">
        <v>970</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971</v>
      </c>
      <c r="B13" t="s">
        <v>977</v>
      </c>
      <c r="C13" t="s">
        <v>970</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971</v>
      </c>
      <c r="B14" t="s">
        <v>978</v>
      </c>
      <c r="C14" t="s">
        <v>970</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971</v>
      </c>
      <c r="B15" t="s">
        <v>979</v>
      </c>
      <c r="C15" t="s">
        <v>970</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980</v>
      </c>
      <c r="B17" s="7"/>
    </row>
    <row r="18" spans="1:36">
      <c r="A18" t="s">
        <v>972</v>
      </c>
      <c r="B18" s="5" t="b">
        <v>1</v>
      </c>
    </row>
    <row r="19" spans="1:36">
      <c r="A19" t="s">
        <v>973</v>
      </c>
      <c r="B19" s="5" t="b">
        <v>1</v>
      </c>
    </row>
    <row r="20" spans="1:36">
      <c r="A20" t="s">
        <v>974</v>
      </c>
      <c r="B20" s="5" t="b">
        <v>1</v>
      </c>
    </row>
    <row r="21" spans="1:36">
      <c r="A21" t="s">
        <v>975</v>
      </c>
      <c r="B21" s="5" t="b">
        <v>1</v>
      </c>
    </row>
    <row r="22" spans="1:36">
      <c r="A22" t="s">
        <v>976</v>
      </c>
      <c r="B22" s="5" t="b">
        <v>0</v>
      </c>
    </row>
    <row r="23" spans="1:36">
      <c r="A23" t="s">
        <v>977</v>
      </c>
      <c r="B23" s="5" t="b">
        <v>0</v>
      </c>
    </row>
    <row r="24" spans="1:36">
      <c r="A24" t="s">
        <v>978</v>
      </c>
      <c r="B24" s="5" t="b">
        <v>0</v>
      </c>
    </row>
    <row r="25" spans="1:36">
      <c r="A25" t="s">
        <v>979</v>
      </c>
      <c r="B25" s="5" t="b">
        <v>0</v>
      </c>
    </row>
    <row r="28" spans="1:36">
      <c r="A28" s="6" t="s">
        <v>981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982</v>
      </c>
      <c r="B30" s="2">
        <f t="shared" ref="B30:AE30" si="1">D7/(SUMIFS(D8:D15,$B18:$B25,TRUE)+D7)</f>
        <v>3.0174372751623022E-2</v>
      </c>
      <c r="C30" s="2">
        <f t="shared" si="1"/>
        <v>3.383163744664671E-2</v>
      </c>
      <c r="D30" s="2">
        <f t="shared" si="1"/>
        <v>3.2438802317246634E-2</v>
      </c>
      <c r="E30" s="2">
        <f t="shared" si="1"/>
        <v>3.782486911080353E-2</v>
      </c>
      <c r="F30" s="2">
        <f t="shared" si="1"/>
        <v>3.5567748669933542E-2</v>
      </c>
      <c r="G30" s="2">
        <f t="shared" si="1"/>
        <v>3.5254454168243979E-2</v>
      </c>
      <c r="H30" s="2">
        <f t="shared" si="1"/>
        <v>3.608580588664248E-2</v>
      </c>
      <c r="I30" s="2">
        <f t="shared" si="1"/>
        <v>2.8022389329501837E-2</v>
      </c>
      <c r="J30" s="2">
        <f t="shared" si="1"/>
        <v>2.997692473542508E-2</v>
      </c>
      <c r="K30" s="2">
        <f t="shared" si="1"/>
        <v>3.188638905111451E-2</v>
      </c>
      <c r="L30" s="2">
        <f t="shared" si="1"/>
        <v>3.3120166768829305E-2</v>
      </c>
      <c r="M30" s="2">
        <f t="shared" si="1"/>
        <v>3.3137176980726157E-2</v>
      </c>
      <c r="N30" s="2">
        <f t="shared" si="1"/>
        <v>3.3962635516428627E-2</v>
      </c>
      <c r="O30" s="2">
        <f t="shared" si="1"/>
        <v>3.3681037416752345E-2</v>
      </c>
      <c r="P30" s="2">
        <f t="shared" si="1"/>
        <v>3.3223817093886089E-2</v>
      </c>
      <c r="Q30" s="2">
        <f t="shared" si="1"/>
        <v>3.2737788339931455E-2</v>
      </c>
      <c r="R30" s="2">
        <f t="shared" si="1"/>
        <v>3.2151143779781267E-2</v>
      </c>
      <c r="S30" s="2">
        <f t="shared" si="1"/>
        <v>3.1508534084222446E-2</v>
      </c>
      <c r="T30" s="2">
        <f t="shared" si="1"/>
        <v>3.0922928954735404E-2</v>
      </c>
      <c r="U30" s="2">
        <f t="shared" si="1"/>
        <v>3.0169980800462202E-2</v>
      </c>
      <c r="V30" s="2">
        <f t="shared" si="1"/>
        <v>2.9363290610877515E-2</v>
      </c>
      <c r="W30" s="2">
        <f t="shared" si="1"/>
        <v>2.8515704490509459E-2</v>
      </c>
      <c r="X30" s="2">
        <f t="shared" si="1"/>
        <v>2.7637395603848428E-2</v>
      </c>
      <c r="Y30" s="2">
        <f t="shared" si="1"/>
        <v>2.6744659906316835E-2</v>
      </c>
      <c r="Z30" s="2">
        <f t="shared" si="1"/>
        <v>2.5832719071569213E-2</v>
      </c>
      <c r="AA30" s="2">
        <f t="shared" si="1"/>
        <v>2.4863807033253488E-2</v>
      </c>
      <c r="AB30" s="2">
        <f t="shared" si="1"/>
        <v>2.3860956925018297E-2</v>
      </c>
      <c r="AC30" s="2">
        <f t="shared" si="1"/>
        <v>2.2854378417662233E-2</v>
      </c>
      <c r="AD30" s="2">
        <f t="shared" si="1"/>
        <v>2.1830779684516348E-2</v>
      </c>
      <c r="AE30" s="2">
        <f t="shared" si="1"/>
        <v>2.0747063101467136E-2</v>
      </c>
      <c r="AF30" s="2"/>
      <c r="AG30" s="2"/>
      <c r="AH30" s="2"/>
      <c r="AI3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ColWidth="8.85546875" defaultRowHeight="15"/>
  <sheetData>
    <row r="1" spans="1:1">
      <c r="A1" t="s">
        <v>983</v>
      </c>
    </row>
    <row r="2" spans="1:1">
      <c r="A2" t="s">
        <v>984</v>
      </c>
    </row>
    <row r="4" spans="1:1">
      <c r="A4" t="s">
        <v>985</v>
      </c>
    </row>
    <row r="5" spans="1:1">
      <c r="A5">
        <v>0.55000000000000004</v>
      </c>
    </row>
    <row r="7" spans="1:1">
      <c r="A7" t="s">
        <v>986</v>
      </c>
    </row>
    <row r="8" spans="1:1">
      <c r="A8" t="s">
        <v>987</v>
      </c>
    </row>
    <row r="9" spans="1:1">
      <c r="A9" t="s">
        <v>988</v>
      </c>
    </row>
    <row r="11" spans="1:1">
      <c r="A11" s="9" t="s">
        <v>989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ColWidth="8.85546875" defaultRowHeight="15"/>
  <cols>
    <col min="1" max="1" width="50.140625" customWidth="1"/>
    <col min="2" max="3" width="41.28515625" customWidth="1"/>
    <col min="8" max="8" width="25.140625" customWidth="1"/>
    <col min="10" max="10" width="12" bestFit="1" customWidth="1"/>
  </cols>
  <sheetData>
    <row r="1" spans="1:18">
      <c r="A1" t="s">
        <v>990</v>
      </c>
    </row>
    <row r="2" spans="1:18">
      <c r="I2" t="s">
        <v>991</v>
      </c>
      <c r="J2" t="s">
        <v>992</v>
      </c>
    </row>
    <row r="3" spans="1:18">
      <c r="A3" t="s">
        <v>993</v>
      </c>
      <c r="B3">
        <v>2019</v>
      </c>
      <c r="C3">
        <v>2020</v>
      </c>
      <c r="D3">
        <v>2021</v>
      </c>
      <c r="H3" t="s">
        <v>994</v>
      </c>
      <c r="I3">
        <f>D18</f>
        <v>8</v>
      </c>
      <c r="J3">
        <f>I3*10^12/L10</f>
        <v>107793479781726.61</v>
      </c>
    </row>
    <row r="4" spans="1:18">
      <c r="A4" s="1" t="s">
        <v>995</v>
      </c>
      <c r="B4" s="53">
        <v>1087</v>
      </c>
      <c r="C4">
        <v>937</v>
      </c>
      <c r="D4" s="53">
        <v>1029</v>
      </c>
      <c r="H4" t="s">
        <v>996</v>
      </c>
      <c r="I4">
        <f>D29</f>
        <v>24</v>
      </c>
      <c r="J4">
        <f>I4*10^12/P10</f>
        <v>318772975028520.69</v>
      </c>
    </row>
    <row r="5" spans="1:18">
      <c r="A5" t="s">
        <v>997</v>
      </c>
      <c r="B5">
        <v>380</v>
      </c>
      <c r="C5">
        <v>328</v>
      </c>
      <c r="D5">
        <v>361</v>
      </c>
    </row>
    <row r="6" spans="1:18">
      <c r="A6" t="s">
        <v>998</v>
      </c>
      <c r="B6">
        <v>659</v>
      </c>
      <c r="C6">
        <v>566</v>
      </c>
      <c r="D6">
        <v>620</v>
      </c>
    </row>
    <row r="7" spans="1:18">
      <c r="A7" t="s">
        <v>999</v>
      </c>
      <c r="B7">
        <v>27</v>
      </c>
      <c r="C7">
        <v>24</v>
      </c>
      <c r="D7">
        <v>27</v>
      </c>
    </row>
    <row r="8" spans="1:18">
      <c r="A8" t="s">
        <v>1000</v>
      </c>
      <c r="B8">
        <v>3</v>
      </c>
      <c r="C8">
        <v>3</v>
      </c>
      <c r="D8">
        <v>3</v>
      </c>
    </row>
    <row r="9" spans="1:18">
      <c r="A9" t="s">
        <v>1001</v>
      </c>
      <c r="B9">
        <v>7</v>
      </c>
      <c r="C9">
        <v>7</v>
      </c>
      <c r="D9">
        <v>7</v>
      </c>
      <c r="H9" t="s">
        <v>1002</v>
      </c>
      <c r="I9" t="s">
        <v>1003</v>
      </c>
      <c r="J9" t="s">
        <v>1004</v>
      </c>
      <c r="K9" t="s">
        <v>1005</v>
      </c>
      <c r="L9" t="s">
        <v>1006</v>
      </c>
      <c r="M9" t="s">
        <v>1007</v>
      </c>
      <c r="N9" t="s">
        <v>1008</v>
      </c>
      <c r="O9" t="s">
        <v>1009</v>
      </c>
      <c r="P9" t="s">
        <v>1010</v>
      </c>
      <c r="Q9" t="s">
        <v>1011</v>
      </c>
      <c r="R9" t="s">
        <v>1012</v>
      </c>
    </row>
    <row r="10" spans="1:18">
      <c r="A10" t="s">
        <v>1013</v>
      </c>
      <c r="B10">
        <v>11</v>
      </c>
      <c r="C10">
        <v>10</v>
      </c>
      <c r="D10">
        <v>11</v>
      </c>
      <c r="H10" t="s">
        <v>1014</v>
      </c>
      <c r="I10">
        <v>0</v>
      </c>
      <c r="J10">
        <v>5.2751937984496129E-2</v>
      </c>
      <c r="K10">
        <v>7.2920703974688528E-2</v>
      </c>
      <c r="L10">
        <v>7.4215991692627201E-2</v>
      </c>
      <c r="M10">
        <v>0</v>
      </c>
      <c r="N10">
        <v>0</v>
      </c>
      <c r="O10">
        <v>0</v>
      </c>
      <c r="P10">
        <v>7.5288690949578504E-2</v>
      </c>
      <c r="Q10">
        <v>6.7030064624894622E-2</v>
      </c>
      <c r="R10">
        <v>0</v>
      </c>
    </row>
    <row r="11" spans="1:18">
      <c r="A11" s="1" t="s">
        <v>1015</v>
      </c>
      <c r="B11">
        <v>484</v>
      </c>
      <c r="C11">
        <v>455</v>
      </c>
      <c r="D11">
        <v>488</v>
      </c>
      <c r="H11" t="s">
        <v>1016</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997</v>
      </c>
      <c r="B12">
        <v>3</v>
      </c>
      <c r="C12">
        <v>3</v>
      </c>
      <c r="D12">
        <v>3</v>
      </c>
      <c r="H12" t="s">
        <v>1017</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998</v>
      </c>
      <c r="B13">
        <v>31</v>
      </c>
      <c r="C13">
        <v>30</v>
      </c>
      <c r="D13">
        <v>33</v>
      </c>
      <c r="H13" t="s">
        <v>1018</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999</v>
      </c>
      <c r="B14">
        <v>373</v>
      </c>
      <c r="C14">
        <v>353</v>
      </c>
      <c r="D14">
        <v>380</v>
      </c>
      <c r="H14" t="s">
        <v>1019</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1000</v>
      </c>
      <c r="B15">
        <v>21</v>
      </c>
      <c r="C15">
        <v>20</v>
      </c>
      <c r="D15">
        <v>21</v>
      </c>
      <c r="H15" t="s">
        <v>1020</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1021</v>
      </c>
      <c r="B16">
        <v>36</v>
      </c>
      <c r="C16">
        <v>31</v>
      </c>
      <c r="D16">
        <v>32</v>
      </c>
      <c r="H16" t="s">
        <v>1022</v>
      </c>
      <c r="I16">
        <v>0</v>
      </c>
      <c r="J16">
        <v>2.4242424242424244E-7</v>
      </c>
      <c r="K16">
        <v>4.2501798364698814E-7</v>
      </c>
      <c r="L16">
        <v>1.4983881920767892E-4</v>
      </c>
      <c r="M16">
        <v>0</v>
      </c>
      <c r="N16">
        <v>1.4983881920767892E-4</v>
      </c>
      <c r="O16">
        <v>0</v>
      </c>
      <c r="P16">
        <v>1.4983881920767892E-4</v>
      </c>
      <c r="Q16">
        <v>0</v>
      </c>
      <c r="R16">
        <v>0</v>
      </c>
    </row>
    <row r="17" spans="1:18">
      <c r="A17" t="s">
        <v>1013</v>
      </c>
      <c r="B17">
        <v>3</v>
      </c>
      <c r="C17">
        <v>3</v>
      </c>
      <c r="D17">
        <v>3</v>
      </c>
      <c r="H17" t="s">
        <v>1023</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1024</v>
      </c>
      <c r="B18">
        <v>7</v>
      </c>
      <c r="C18">
        <v>8</v>
      </c>
      <c r="D18">
        <v>8</v>
      </c>
      <c r="H18" t="s">
        <v>1025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1026</v>
      </c>
      <c r="B19">
        <v>10</v>
      </c>
      <c r="C19">
        <v>8</v>
      </c>
      <c r="D19">
        <v>7</v>
      </c>
      <c r="H19" t="s">
        <v>1027</v>
      </c>
      <c r="I19">
        <v>0</v>
      </c>
      <c r="J19">
        <v>9.9999999999999995E-7</v>
      </c>
      <c r="K19">
        <v>3.0000000000000001E-6</v>
      </c>
      <c r="L19">
        <v>3.0000000000000001E-6</v>
      </c>
      <c r="M19">
        <v>0</v>
      </c>
      <c r="N19">
        <v>0</v>
      </c>
      <c r="O19">
        <v>0</v>
      </c>
      <c r="P19">
        <v>3.0000000000000001E-6</v>
      </c>
      <c r="Q19">
        <v>3.0000000000000001E-6</v>
      </c>
      <c r="R19">
        <v>0</v>
      </c>
    </row>
    <row r="20" spans="1:18">
      <c r="A20" s="1" t="s">
        <v>223</v>
      </c>
      <c r="B20">
        <v>259</v>
      </c>
      <c r="C20">
        <v>160</v>
      </c>
      <c r="D20">
        <v>203</v>
      </c>
      <c r="H20" t="s">
        <v>1028</v>
      </c>
      <c r="I20">
        <v>0</v>
      </c>
      <c r="J20">
        <v>1.0000000000000001E-7</v>
      </c>
      <c r="K20">
        <v>5.9999999999999997E-7</v>
      </c>
      <c r="L20">
        <v>5.9999999999999997E-7</v>
      </c>
      <c r="M20">
        <v>0</v>
      </c>
      <c r="N20">
        <v>0</v>
      </c>
      <c r="O20">
        <v>0</v>
      </c>
      <c r="P20">
        <v>5.9999999999999997E-7</v>
      </c>
      <c r="Q20">
        <v>5.9999999999999997E-7</v>
      </c>
      <c r="R20">
        <v>0</v>
      </c>
    </row>
    <row r="21" spans="1:18">
      <c r="A21" t="s">
        <v>1029</v>
      </c>
      <c r="B21">
        <v>137</v>
      </c>
      <c r="C21">
        <v>91</v>
      </c>
      <c r="D21">
        <v>119</v>
      </c>
      <c r="H21" t="s">
        <v>1030</v>
      </c>
      <c r="I21">
        <v>0</v>
      </c>
      <c r="J21">
        <v>0</v>
      </c>
      <c r="K21">
        <v>0</v>
      </c>
      <c r="L21">
        <v>0</v>
      </c>
      <c r="M21">
        <v>0</v>
      </c>
      <c r="N21">
        <v>0</v>
      </c>
      <c r="O21">
        <v>0</v>
      </c>
      <c r="P21">
        <v>0</v>
      </c>
      <c r="Q21">
        <v>0</v>
      </c>
      <c r="R21">
        <v>0</v>
      </c>
    </row>
    <row r="22" spans="1:18">
      <c r="A22" t="s">
        <v>1031</v>
      </c>
      <c r="B22">
        <v>12</v>
      </c>
      <c r="C22">
        <v>12</v>
      </c>
      <c r="D22">
        <v>13</v>
      </c>
    </row>
    <row r="23" spans="1:18">
      <c r="A23" t="s">
        <v>1032</v>
      </c>
      <c r="B23">
        <v>31</v>
      </c>
      <c r="C23">
        <v>18</v>
      </c>
      <c r="D23">
        <v>21</v>
      </c>
    </row>
    <row r="24" spans="1:18">
      <c r="A24" t="s">
        <v>1026</v>
      </c>
      <c r="B24">
        <v>78</v>
      </c>
      <c r="C24">
        <v>40</v>
      </c>
      <c r="D24">
        <v>51</v>
      </c>
    </row>
    <row r="25" spans="1:18">
      <c r="A25" t="s">
        <v>1033</v>
      </c>
      <c r="B25">
        <v>75</v>
      </c>
      <c r="C25">
        <v>37</v>
      </c>
      <c r="D25">
        <v>48</v>
      </c>
    </row>
    <row r="26" spans="1:18">
      <c r="A26" s="1" t="s">
        <v>614</v>
      </c>
      <c r="B26">
        <v>2</v>
      </c>
      <c r="C26">
        <v>1</v>
      </c>
      <c r="D26">
        <v>1</v>
      </c>
    </row>
    <row r="27" spans="1:18">
      <c r="A27" t="s">
        <v>1032</v>
      </c>
      <c r="B27">
        <v>2</v>
      </c>
      <c r="C27">
        <v>1</v>
      </c>
      <c r="D27">
        <v>1</v>
      </c>
    </row>
    <row r="28" spans="1:18">
      <c r="A28" s="1" t="s">
        <v>577</v>
      </c>
      <c r="B28">
        <v>40</v>
      </c>
      <c r="C28">
        <v>29</v>
      </c>
      <c r="D28">
        <v>46</v>
      </c>
    </row>
    <row r="29" spans="1:18">
      <c r="A29" t="s">
        <v>1034</v>
      </c>
      <c r="B29">
        <v>14</v>
      </c>
      <c r="C29">
        <v>7</v>
      </c>
      <c r="D29">
        <v>24</v>
      </c>
    </row>
    <row r="30" spans="1:18">
      <c r="A30" t="s">
        <v>1026</v>
      </c>
      <c r="B30">
        <v>25</v>
      </c>
      <c r="C30">
        <v>22</v>
      </c>
      <c r="D30">
        <v>22</v>
      </c>
    </row>
    <row r="31" spans="1:18">
      <c r="A31" s="1" t="s">
        <v>1035</v>
      </c>
      <c r="B31">
        <v>59</v>
      </c>
      <c r="C31">
        <v>59</v>
      </c>
      <c r="D31">
        <v>65</v>
      </c>
    </row>
    <row r="32" spans="1:18">
      <c r="A32" t="s">
        <v>997</v>
      </c>
      <c r="B32">
        <v>0</v>
      </c>
      <c r="C32">
        <v>0</v>
      </c>
      <c r="D32">
        <v>0</v>
      </c>
    </row>
    <row r="33" spans="1:4">
      <c r="A33" t="s">
        <v>998</v>
      </c>
      <c r="B33">
        <v>0</v>
      </c>
      <c r="C33">
        <v>0</v>
      </c>
      <c r="D33">
        <v>0</v>
      </c>
    </row>
    <row r="34" spans="1:4">
      <c r="A34" t="s">
        <v>1036</v>
      </c>
      <c r="B34">
        <v>0</v>
      </c>
      <c r="C34">
        <v>0</v>
      </c>
      <c r="D34">
        <v>0</v>
      </c>
    </row>
    <row r="35" spans="1:4">
      <c r="A35" t="s">
        <v>1000</v>
      </c>
      <c r="B35">
        <v>1</v>
      </c>
      <c r="C35">
        <v>1</v>
      </c>
      <c r="D35">
        <v>1</v>
      </c>
    </row>
    <row r="36" spans="1:4">
      <c r="A36" t="s">
        <v>1037</v>
      </c>
      <c r="B36">
        <v>58</v>
      </c>
      <c r="C36">
        <v>58</v>
      </c>
      <c r="D36">
        <v>64</v>
      </c>
    </row>
    <row r="37" spans="1:4">
      <c r="A37" s="1" t="s">
        <v>1038</v>
      </c>
      <c r="B37">
        <v>1</v>
      </c>
      <c r="C37">
        <v>0</v>
      </c>
      <c r="D37">
        <v>0</v>
      </c>
    </row>
    <row r="38" spans="1:4">
      <c r="A38" t="s">
        <v>997</v>
      </c>
      <c r="B38">
        <v>0</v>
      </c>
      <c r="C38">
        <v>0</v>
      </c>
      <c r="D38">
        <v>0</v>
      </c>
    </row>
    <row r="39" spans="1:4">
      <c r="A39" t="s">
        <v>998</v>
      </c>
      <c r="B39">
        <v>0</v>
      </c>
      <c r="C39">
        <v>0</v>
      </c>
      <c r="D39">
        <v>0</v>
      </c>
    </row>
    <row r="40" spans="1:4">
      <c r="A40" t="s">
        <v>999</v>
      </c>
      <c r="B40">
        <v>0</v>
      </c>
      <c r="C40">
        <v>0</v>
      </c>
      <c r="D40">
        <v>0</v>
      </c>
    </row>
    <row r="41" spans="1:4">
      <c r="A41" t="s">
        <v>1000</v>
      </c>
      <c r="B41">
        <v>0</v>
      </c>
      <c r="C41">
        <v>0</v>
      </c>
      <c r="D41">
        <v>0</v>
      </c>
    </row>
    <row r="42" spans="1:4">
      <c r="A42" s="1" t="s">
        <v>1039</v>
      </c>
      <c r="B42">
        <v>5</v>
      </c>
      <c r="C42">
        <v>4</v>
      </c>
      <c r="D42">
        <v>5</v>
      </c>
    </row>
    <row r="43" spans="1:4">
      <c r="A43" t="s">
        <v>997</v>
      </c>
      <c r="B43">
        <v>1</v>
      </c>
      <c r="C43">
        <v>1</v>
      </c>
      <c r="D43">
        <v>2</v>
      </c>
    </row>
    <row r="44" spans="1:4">
      <c r="A44" t="s">
        <v>998</v>
      </c>
      <c r="B44">
        <v>0</v>
      </c>
      <c r="C44">
        <v>0</v>
      </c>
      <c r="D44">
        <v>1</v>
      </c>
    </row>
    <row r="45" spans="1:4">
      <c r="A45" t="s">
        <v>1000</v>
      </c>
      <c r="B45">
        <v>0</v>
      </c>
      <c r="C45">
        <v>0</v>
      </c>
      <c r="D45">
        <v>0</v>
      </c>
    </row>
    <row r="46" spans="1:4">
      <c r="A46" t="s">
        <v>1021</v>
      </c>
      <c r="B46">
        <v>3</v>
      </c>
      <c r="C46">
        <v>2</v>
      </c>
      <c r="D46">
        <v>2</v>
      </c>
    </row>
    <row r="47" spans="1:4">
      <c r="A47" t="s">
        <v>1040</v>
      </c>
      <c r="B47">
        <v>78.7</v>
      </c>
      <c r="C47">
        <v>68.099999999999994</v>
      </c>
      <c r="D47" s="53">
        <v>75.400000000000006</v>
      </c>
    </row>
    <row r="48" spans="1:4">
      <c r="A48" t="s">
        <v>1041</v>
      </c>
      <c r="B48">
        <v>114</v>
      </c>
      <c r="C48">
        <v>70</v>
      </c>
      <c r="D48">
        <v>80</v>
      </c>
    </row>
    <row r="49" spans="1:4">
      <c r="A49" t="s">
        <v>1042</v>
      </c>
      <c r="B49">
        <v>78.7</v>
      </c>
      <c r="C49">
        <v>68.099999999999994</v>
      </c>
      <c r="D49">
        <v>75.400000000000006</v>
      </c>
    </row>
    <row r="50" spans="1:4">
      <c r="A50" t="s">
        <v>1043</v>
      </c>
      <c r="B50">
        <v>17.100000000000001</v>
      </c>
      <c r="C50">
        <v>17.7</v>
      </c>
      <c r="D50">
        <v>16.100000000000001</v>
      </c>
    </row>
    <row r="51" spans="1:4">
      <c r="A51" t="s">
        <v>1044</v>
      </c>
    </row>
    <row r="52" spans="1:4">
      <c r="A52" t="s">
        <v>1045</v>
      </c>
    </row>
    <row r="53" spans="1:4">
      <c r="A53" t="s">
        <v>1046</v>
      </c>
    </row>
    <row r="54" spans="1:4">
      <c r="A54" t="s">
        <v>1047</v>
      </c>
    </row>
    <row r="55" spans="1:4">
      <c r="A55" t="s">
        <v>1048</v>
      </c>
    </row>
    <row r="56" spans="1:4">
      <c r="A56" t="s">
        <v>1049</v>
      </c>
    </row>
    <row r="57" spans="1:4">
      <c r="A57" t="s">
        <v>1050</v>
      </c>
    </row>
    <row r="58" spans="1:4">
      <c r="A58" t="s">
        <v>1051</v>
      </c>
    </row>
    <row r="59" spans="1:4">
      <c r="A59" t="s">
        <v>1052</v>
      </c>
    </row>
    <row r="60" spans="1:4">
      <c r="A60" t="s">
        <v>1053</v>
      </c>
    </row>
    <row r="61" spans="1:4">
      <c r="A61" t="s">
        <v>1054</v>
      </c>
    </row>
    <row r="62" spans="1:4">
      <c r="A62" t="s">
        <v>1055</v>
      </c>
    </row>
    <row r="63" spans="1:4">
      <c r="A63" t="s">
        <v>1056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ColWidth="8.85546875"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Y11"/>
  <sheetViews>
    <sheetView topLeftCell="V1" workbookViewId="0">
      <selection activeCell="AF1" sqref="AF1:AY11"/>
    </sheetView>
  </sheetViews>
  <sheetFormatPr defaultColWidth="8.85546875" defaultRowHeight="15"/>
  <cols>
    <col min="1" max="1" width="25.1406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2"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ref="AF3:AY3" si="2">AE3</f>
        <v>0</v>
      </c>
      <c r="AG3">
        <f t="shared" si="2"/>
        <v>0</v>
      </c>
      <c r="AH3">
        <f t="shared" si="2"/>
        <v>0</v>
      </c>
      <c r="AI3">
        <f t="shared" si="2"/>
        <v>0</v>
      </c>
      <c r="AJ3">
        <f t="shared" si="2"/>
        <v>0</v>
      </c>
      <c r="AK3">
        <f t="shared" si="2"/>
        <v>0</v>
      </c>
      <c r="AL3">
        <f t="shared" si="2"/>
        <v>0</v>
      </c>
      <c r="AM3">
        <f t="shared" si="2"/>
        <v>0</v>
      </c>
      <c r="AN3">
        <f t="shared" si="2"/>
        <v>0</v>
      </c>
      <c r="AO3">
        <f t="shared" si="2"/>
        <v>0</v>
      </c>
      <c r="AP3">
        <f t="shared" si="2"/>
        <v>0</v>
      </c>
      <c r="AQ3">
        <f t="shared" si="2"/>
        <v>0</v>
      </c>
      <c r="AR3">
        <f t="shared" si="2"/>
        <v>0</v>
      </c>
      <c r="AS3">
        <f t="shared" si="2"/>
        <v>0</v>
      </c>
      <c r="AT3">
        <f t="shared" si="2"/>
        <v>0</v>
      </c>
      <c r="AU3">
        <f t="shared" si="2"/>
        <v>0</v>
      </c>
      <c r="AV3">
        <f t="shared" si="2"/>
        <v>0</v>
      </c>
      <c r="AW3">
        <f t="shared" si="2"/>
        <v>0</v>
      </c>
      <c r="AX3">
        <f t="shared" si="2"/>
        <v>0</v>
      </c>
      <c r="AY3">
        <f t="shared" si="2"/>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ref="AF4:AY4" si="3">AE4</f>
        <v>0</v>
      </c>
      <c r="AG4">
        <f t="shared" si="3"/>
        <v>0</v>
      </c>
      <c r="AH4">
        <f t="shared" si="3"/>
        <v>0</v>
      </c>
      <c r="AI4">
        <f t="shared" si="3"/>
        <v>0</v>
      </c>
      <c r="AJ4">
        <f t="shared" si="3"/>
        <v>0</v>
      </c>
      <c r="AK4">
        <f t="shared" si="3"/>
        <v>0</v>
      </c>
      <c r="AL4">
        <f t="shared" si="3"/>
        <v>0</v>
      </c>
      <c r="AM4">
        <f t="shared" si="3"/>
        <v>0</v>
      </c>
      <c r="AN4">
        <f t="shared" si="3"/>
        <v>0</v>
      </c>
      <c r="AO4">
        <f t="shared" si="3"/>
        <v>0</v>
      </c>
      <c r="AP4">
        <f t="shared" si="3"/>
        <v>0</v>
      </c>
      <c r="AQ4">
        <f t="shared" si="3"/>
        <v>0</v>
      </c>
      <c r="AR4">
        <f t="shared" si="3"/>
        <v>0</v>
      </c>
      <c r="AS4">
        <f t="shared" si="3"/>
        <v>0</v>
      </c>
      <c r="AT4">
        <f t="shared" si="3"/>
        <v>0</v>
      </c>
      <c r="AU4">
        <f t="shared" si="3"/>
        <v>0</v>
      </c>
      <c r="AV4">
        <f t="shared" si="3"/>
        <v>0</v>
      </c>
      <c r="AW4">
        <f t="shared" si="3"/>
        <v>0</v>
      </c>
      <c r="AX4">
        <f t="shared" si="3"/>
        <v>0</v>
      </c>
      <c r="AY4">
        <f t="shared" si="3"/>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ref="AF5:AY5" si="4">AE5</f>
        <v>0</v>
      </c>
      <c r="AG5">
        <f t="shared" si="4"/>
        <v>0</v>
      </c>
      <c r="AH5">
        <f t="shared" si="4"/>
        <v>0</v>
      </c>
      <c r="AI5">
        <f t="shared" si="4"/>
        <v>0</v>
      </c>
      <c r="AJ5">
        <f t="shared" si="4"/>
        <v>0</v>
      </c>
      <c r="AK5">
        <f t="shared" si="4"/>
        <v>0</v>
      </c>
      <c r="AL5">
        <f t="shared" si="4"/>
        <v>0</v>
      </c>
      <c r="AM5">
        <f t="shared" si="4"/>
        <v>0</v>
      </c>
      <c r="AN5">
        <f t="shared" si="4"/>
        <v>0</v>
      </c>
      <c r="AO5">
        <f t="shared" si="4"/>
        <v>0</v>
      </c>
      <c r="AP5">
        <f t="shared" si="4"/>
        <v>0</v>
      </c>
      <c r="AQ5">
        <f t="shared" si="4"/>
        <v>0</v>
      </c>
      <c r="AR5">
        <f t="shared" si="4"/>
        <v>0</v>
      </c>
      <c r="AS5">
        <f t="shared" si="4"/>
        <v>0</v>
      </c>
      <c r="AT5">
        <f t="shared" si="4"/>
        <v>0</v>
      </c>
      <c r="AU5">
        <f t="shared" si="4"/>
        <v>0</v>
      </c>
      <c r="AV5">
        <f t="shared" si="4"/>
        <v>0</v>
      </c>
      <c r="AW5">
        <f t="shared" si="4"/>
        <v>0</v>
      </c>
      <c r="AX5">
        <f t="shared" si="4"/>
        <v>0</v>
      </c>
      <c r="AY5">
        <f t="shared" si="4"/>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ref="AF6:AY6" si="5">AE6</f>
        <v>0</v>
      </c>
      <c r="AG6">
        <f t="shared" si="5"/>
        <v>0</v>
      </c>
      <c r="AH6">
        <f t="shared" si="5"/>
        <v>0</v>
      </c>
      <c r="AI6">
        <f t="shared" si="5"/>
        <v>0</v>
      </c>
      <c r="AJ6">
        <f t="shared" si="5"/>
        <v>0</v>
      </c>
      <c r="AK6">
        <f t="shared" si="5"/>
        <v>0</v>
      </c>
      <c r="AL6">
        <f t="shared" si="5"/>
        <v>0</v>
      </c>
      <c r="AM6">
        <f t="shared" si="5"/>
        <v>0</v>
      </c>
      <c r="AN6">
        <f t="shared" si="5"/>
        <v>0</v>
      </c>
      <c r="AO6">
        <f t="shared" si="5"/>
        <v>0</v>
      </c>
      <c r="AP6">
        <f t="shared" si="5"/>
        <v>0</v>
      </c>
      <c r="AQ6">
        <f t="shared" si="5"/>
        <v>0</v>
      </c>
      <c r="AR6">
        <f t="shared" si="5"/>
        <v>0</v>
      </c>
      <c r="AS6">
        <f t="shared" si="5"/>
        <v>0</v>
      </c>
      <c r="AT6">
        <f t="shared" si="5"/>
        <v>0</v>
      </c>
      <c r="AU6">
        <f t="shared" si="5"/>
        <v>0</v>
      </c>
      <c r="AV6">
        <f t="shared" si="5"/>
        <v>0</v>
      </c>
      <c r="AW6">
        <f t="shared" si="5"/>
        <v>0</v>
      </c>
      <c r="AX6">
        <f t="shared" si="5"/>
        <v>0</v>
      </c>
      <c r="AY6">
        <f t="shared" si="5"/>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ref="AF7:AY7" si="6">AE7</f>
        <v>0</v>
      </c>
      <c r="AG7">
        <f t="shared" si="6"/>
        <v>0</v>
      </c>
      <c r="AH7">
        <f t="shared" si="6"/>
        <v>0</v>
      </c>
      <c r="AI7">
        <f t="shared" si="6"/>
        <v>0</v>
      </c>
      <c r="AJ7">
        <f t="shared" si="6"/>
        <v>0</v>
      </c>
      <c r="AK7">
        <f t="shared" si="6"/>
        <v>0</v>
      </c>
      <c r="AL7">
        <f t="shared" si="6"/>
        <v>0</v>
      </c>
      <c r="AM7">
        <f t="shared" si="6"/>
        <v>0</v>
      </c>
      <c r="AN7">
        <f t="shared" si="6"/>
        <v>0</v>
      </c>
      <c r="AO7">
        <f t="shared" si="6"/>
        <v>0</v>
      </c>
      <c r="AP7">
        <f t="shared" si="6"/>
        <v>0</v>
      </c>
      <c r="AQ7">
        <f t="shared" si="6"/>
        <v>0</v>
      </c>
      <c r="AR7">
        <f t="shared" si="6"/>
        <v>0</v>
      </c>
      <c r="AS7">
        <f t="shared" si="6"/>
        <v>0</v>
      </c>
      <c r="AT7">
        <f t="shared" si="6"/>
        <v>0</v>
      </c>
      <c r="AU7">
        <f t="shared" si="6"/>
        <v>0</v>
      </c>
      <c r="AV7">
        <f t="shared" si="6"/>
        <v>0</v>
      </c>
      <c r="AW7">
        <f t="shared" si="6"/>
        <v>0</v>
      </c>
      <c r="AX7">
        <f t="shared" si="6"/>
        <v>0</v>
      </c>
      <c r="AY7">
        <f t="shared" si="6"/>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ref="AF8:AY8" si="7">AE8</f>
        <v>0</v>
      </c>
      <c r="AG8">
        <f t="shared" si="7"/>
        <v>0</v>
      </c>
      <c r="AH8">
        <f t="shared" si="7"/>
        <v>0</v>
      </c>
      <c r="AI8">
        <f t="shared" si="7"/>
        <v>0</v>
      </c>
      <c r="AJ8">
        <f t="shared" si="7"/>
        <v>0</v>
      </c>
      <c r="AK8">
        <f t="shared" si="7"/>
        <v>0</v>
      </c>
      <c r="AL8">
        <f t="shared" si="7"/>
        <v>0</v>
      </c>
      <c r="AM8">
        <f t="shared" si="7"/>
        <v>0</v>
      </c>
      <c r="AN8">
        <f t="shared" si="7"/>
        <v>0</v>
      </c>
      <c r="AO8">
        <f t="shared" si="7"/>
        <v>0</v>
      </c>
      <c r="AP8">
        <f t="shared" si="7"/>
        <v>0</v>
      </c>
      <c r="AQ8">
        <f t="shared" si="7"/>
        <v>0</v>
      </c>
      <c r="AR8">
        <f t="shared" si="7"/>
        <v>0</v>
      </c>
      <c r="AS8">
        <f t="shared" si="7"/>
        <v>0</v>
      </c>
      <c r="AT8">
        <f t="shared" si="7"/>
        <v>0</v>
      </c>
      <c r="AU8">
        <f t="shared" si="7"/>
        <v>0</v>
      </c>
      <c r="AV8">
        <f t="shared" si="7"/>
        <v>0</v>
      </c>
      <c r="AW8">
        <f t="shared" si="7"/>
        <v>0</v>
      </c>
      <c r="AX8">
        <f t="shared" si="7"/>
        <v>0</v>
      </c>
      <c r="AY8">
        <f t="shared" si="7"/>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ref="AF9:AY9" si="8">AE9</f>
        <v>0</v>
      </c>
      <c r="AG9">
        <f t="shared" si="8"/>
        <v>0</v>
      </c>
      <c r="AH9">
        <f t="shared" si="8"/>
        <v>0</v>
      </c>
      <c r="AI9">
        <f t="shared" si="8"/>
        <v>0</v>
      </c>
      <c r="AJ9">
        <f t="shared" si="8"/>
        <v>0</v>
      </c>
      <c r="AK9">
        <f t="shared" si="8"/>
        <v>0</v>
      </c>
      <c r="AL9">
        <f t="shared" si="8"/>
        <v>0</v>
      </c>
      <c r="AM9">
        <f t="shared" si="8"/>
        <v>0</v>
      </c>
      <c r="AN9">
        <f t="shared" si="8"/>
        <v>0</v>
      </c>
      <c r="AO9">
        <f t="shared" si="8"/>
        <v>0</v>
      </c>
      <c r="AP9">
        <f t="shared" si="8"/>
        <v>0</v>
      </c>
      <c r="AQ9">
        <f t="shared" si="8"/>
        <v>0</v>
      </c>
      <c r="AR9">
        <f t="shared" si="8"/>
        <v>0</v>
      </c>
      <c r="AS9">
        <f t="shared" si="8"/>
        <v>0</v>
      </c>
      <c r="AT9">
        <f t="shared" si="8"/>
        <v>0</v>
      </c>
      <c r="AU9">
        <f t="shared" si="8"/>
        <v>0</v>
      </c>
      <c r="AV9">
        <f t="shared" si="8"/>
        <v>0</v>
      </c>
      <c r="AW9">
        <f t="shared" si="8"/>
        <v>0</v>
      </c>
      <c r="AX9">
        <f t="shared" si="8"/>
        <v>0</v>
      </c>
      <c r="AY9">
        <f t="shared" si="8"/>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ref="AF10:AY10" si="9">AE10</f>
        <v>0</v>
      </c>
      <c r="AG10">
        <f t="shared" si="9"/>
        <v>0</v>
      </c>
      <c r="AH10">
        <f t="shared" si="9"/>
        <v>0</v>
      </c>
      <c r="AI10">
        <f t="shared" si="9"/>
        <v>0</v>
      </c>
      <c r="AJ10">
        <f t="shared" si="9"/>
        <v>0</v>
      </c>
      <c r="AK10">
        <f t="shared" si="9"/>
        <v>0</v>
      </c>
      <c r="AL10">
        <f t="shared" si="9"/>
        <v>0</v>
      </c>
      <c r="AM10">
        <f t="shared" si="9"/>
        <v>0</v>
      </c>
      <c r="AN10">
        <f t="shared" si="9"/>
        <v>0</v>
      </c>
      <c r="AO10">
        <f t="shared" si="9"/>
        <v>0</v>
      </c>
      <c r="AP10">
        <f t="shared" si="9"/>
        <v>0</v>
      </c>
      <c r="AQ10">
        <f t="shared" si="9"/>
        <v>0</v>
      </c>
      <c r="AR10">
        <f t="shared" si="9"/>
        <v>0</v>
      </c>
      <c r="AS10">
        <f t="shared" si="9"/>
        <v>0</v>
      </c>
      <c r="AT10">
        <f t="shared" si="9"/>
        <v>0</v>
      </c>
      <c r="AU10">
        <f t="shared" si="9"/>
        <v>0</v>
      </c>
      <c r="AV10">
        <f t="shared" si="9"/>
        <v>0</v>
      </c>
      <c r="AW10">
        <f t="shared" si="9"/>
        <v>0</v>
      </c>
      <c r="AX10">
        <f t="shared" si="9"/>
        <v>0</v>
      </c>
      <c r="AY10">
        <f t="shared" si="9"/>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ref="AF11:AY11" si="10">AE11</f>
        <v>0</v>
      </c>
      <c r="AG11">
        <f t="shared" si="10"/>
        <v>0</v>
      </c>
      <c r="AH11">
        <f t="shared" si="10"/>
        <v>0</v>
      </c>
      <c r="AI11">
        <f t="shared" si="10"/>
        <v>0</v>
      </c>
      <c r="AJ11">
        <f t="shared" si="10"/>
        <v>0</v>
      </c>
      <c r="AK11">
        <f t="shared" si="10"/>
        <v>0</v>
      </c>
      <c r="AL11">
        <f t="shared" si="10"/>
        <v>0</v>
      </c>
      <c r="AM11">
        <f t="shared" si="10"/>
        <v>0</v>
      </c>
      <c r="AN11">
        <f t="shared" si="10"/>
        <v>0</v>
      </c>
      <c r="AO11">
        <f t="shared" si="10"/>
        <v>0</v>
      </c>
      <c r="AP11">
        <f t="shared" si="10"/>
        <v>0</v>
      </c>
      <c r="AQ11">
        <f t="shared" si="10"/>
        <v>0</v>
      </c>
      <c r="AR11">
        <f t="shared" si="10"/>
        <v>0</v>
      </c>
      <c r="AS11">
        <f t="shared" si="10"/>
        <v>0</v>
      </c>
      <c r="AT11">
        <f t="shared" si="10"/>
        <v>0</v>
      </c>
      <c r="AU11">
        <f t="shared" si="10"/>
        <v>0</v>
      </c>
      <c r="AV11">
        <f t="shared" si="10"/>
        <v>0</v>
      </c>
      <c r="AW11">
        <f t="shared" si="10"/>
        <v>0</v>
      </c>
      <c r="AX11">
        <f t="shared" si="10"/>
        <v>0</v>
      </c>
      <c r="AY11">
        <f t="shared" si="10"/>
        <v>0</v>
      </c>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Y11"/>
  <sheetViews>
    <sheetView topLeftCell="V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BA11"/>
  <sheetViews>
    <sheetView topLeftCell="Q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 t="shared" ref="B4:AE4" si="2">1-B6</f>
        <v>0.92710534558203916</v>
      </c>
      <c r="C4" s="2">
        <f t="shared" si="2"/>
        <v>0.92710534558203916</v>
      </c>
      <c r="D4" s="2">
        <f t="shared" si="2"/>
        <v>0.92710534558203916</v>
      </c>
      <c r="E4" s="2">
        <f t="shared" si="2"/>
        <v>0.92710534558203916</v>
      </c>
      <c r="F4" s="2">
        <f t="shared" si="2"/>
        <v>0.92710534558203916</v>
      </c>
      <c r="G4" s="2">
        <f t="shared" si="2"/>
        <v>0.92710534558203916</v>
      </c>
      <c r="H4" s="2">
        <f t="shared" si="2"/>
        <v>0.92710534558203916</v>
      </c>
      <c r="I4" s="2">
        <f t="shared" si="2"/>
        <v>0.92710534558203916</v>
      </c>
      <c r="J4" s="2">
        <f t="shared" si="2"/>
        <v>0.92710534558203916</v>
      </c>
      <c r="K4" s="2">
        <f t="shared" si="2"/>
        <v>0.92710534558203916</v>
      </c>
      <c r="L4" s="2">
        <f t="shared" si="2"/>
        <v>0.92710534558203916</v>
      </c>
      <c r="M4" s="2">
        <f t="shared" si="2"/>
        <v>0.92710534558203916</v>
      </c>
      <c r="N4" s="2">
        <f t="shared" si="2"/>
        <v>0.92710534558203916</v>
      </c>
      <c r="O4" s="2">
        <f t="shared" si="2"/>
        <v>0.92710534558203916</v>
      </c>
      <c r="P4" s="2">
        <f t="shared" si="2"/>
        <v>0.92710534558203916</v>
      </c>
      <c r="Q4" s="2">
        <f t="shared" si="2"/>
        <v>0.92710534558203916</v>
      </c>
      <c r="R4" s="2">
        <f t="shared" si="2"/>
        <v>0.92710534558203916</v>
      </c>
      <c r="S4" s="2">
        <f t="shared" si="2"/>
        <v>0.92710534558203916</v>
      </c>
      <c r="T4" s="2">
        <f t="shared" si="2"/>
        <v>0.92710534558203916</v>
      </c>
      <c r="U4" s="2">
        <f t="shared" si="2"/>
        <v>0.92710534558203916</v>
      </c>
      <c r="V4" s="2">
        <f t="shared" si="2"/>
        <v>0.92710534558203916</v>
      </c>
      <c r="W4" s="2">
        <f t="shared" si="2"/>
        <v>0.92710534558203916</v>
      </c>
      <c r="X4" s="2">
        <f t="shared" si="2"/>
        <v>0.92710534558203916</v>
      </c>
      <c r="Y4" s="2">
        <f t="shared" si="2"/>
        <v>0.92710534558203916</v>
      </c>
      <c r="Z4" s="2">
        <f t="shared" si="2"/>
        <v>0.92710534558203916</v>
      </c>
      <c r="AA4" s="2">
        <f t="shared" si="2"/>
        <v>0.92710534558203916</v>
      </c>
      <c r="AB4" s="2">
        <f t="shared" si="2"/>
        <v>0.92710534558203916</v>
      </c>
      <c r="AC4" s="2">
        <f t="shared" si="2"/>
        <v>0.92710534558203916</v>
      </c>
      <c r="AD4" s="2">
        <f t="shared" si="2"/>
        <v>0.92710534558203916</v>
      </c>
      <c r="AE4" s="2">
        <f t="shared" si="2"/>
        <v>0.92710534558203916</v>
      </c>
      <c r="AF4">
        <f t="shared" si="1"/>
        <v>0.92710534558203916</v>
      </c>
      <c r="AG4">
        <f t="shared" si="1"/>
        <v>0.92710534558203916</v>
      </c>
      <c r="AH4">
        <f t="shared" si="1"/>
        <v>0.92710534558203916</v>
      </c>
      <c r="AI4">
        <f t="shared" si="1"/>
        <v>0.92710534558203916</v>
      </c>
      <c r="AJ4">
        <f t="shared" si="1"/>
        <v>0.92710534558203916</v>
      </c>
      <c r="AK4">
        <f t="shared" si="1"/>
        <v>0.92710534558203916</v>
      </c>
      <c r="AL4">
        <f t="shared" si="1"/>
        <v>0.92710534558203916</v>
      </c>
      <c r="AM4">
        <f t="shared" si="1"/>
        <v>0.92710534558203916</v>
      </c>
      <c r="AN4">
        <f t="shared" si="1"/>
        <v>0.92710534558203916</v>
      </c>
      <c r="AO4">
        <f t="shared" si="1"/>
        <v>0.92710534558203916</v>
      </c>
      <c r="AP4">
        <f t="shared" si="1"/>
        <v>0.92710534558203916</v>
      </c>
      <c r="AQ4">
        <f t="shared" si="1"/>
        <v>0.92710534558203916</v>
      </c>
      <c r="AR4">
        <f t="shared" si="1"/>
        <v>0.92710534558203916</v>
      </c>
      <c r="AS4">
        <f t="shared" si="1"/>
        <v>0.92710534558203916</v>
      </c>
      <c r="AT4">
        <f t="shared" si="1"/>
        <v>0.92710534558203916</v>
      </c>
      <c r="AU4">
        <f t="shared" si="1"/>
        <v>0.92710534558203916</v>
      </c>
      <c r="AV4">
        <f t="shared" si="1"/>
        <v>0.92710534558203916</v>
      </c>
      <c r="AW4">
        <f t="shared" si="1"/>
        <v>0.92710534558203916</v>
      </c>
      <c r="AX4">
        <f t="shared" si="1"/>
        <v>0.92710534558203916</v>
      </c>
      <c r="AY4">
        <f t="shared" si="1"/>
        <v>0.92710534558203916</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'ethanol content'!J3</f>
        <v>7.2894654417960836E-2</v>
      </c>
      <c r="C6" s="2">
        <f>$B$6</f>
        <v>7.2894654417960836E-2</v>
      </c>
      <c r="D6" s="2">
        <f t="shared" ref="D6:BA6" si="3">$B$6</f>
        <v>7.2894654417960836E-2</v>
      </c>
      <c r="E6" s="2">
        <f t="shared" si="3"/>
        <v>7.2894654417960836E-2</v>
      </c>
      <c r="F6" s="2">
        <f t="shared" si="3"/>
        <v>7.2894654417960836E-2</v>
      </c>
      <c r="G6" s="2">
        <f t="shared" si="3"/>
        <v>7.2894654417960836E-2</v>
      </c>
      <c r="H6" s="2">
        <f t="shared" si="3"/>
        <v>7.2894654417960836E-2</v>
      </c>
      <c r="I6" s="2">
        <f t="shared" si="3"/>
        <v>7.2894654417960836E-2</v>
      </c>
      <c r="J6" s="2">
        <f t="shared" si="3"/>
        <v>7.2894654417960836E-2</v>
      </c>
      <c r="K6" s="2">
        <f t="shared" si="3"/>
        <v>7.2894654417960836E-2</v>
      </c>
      <c r="L6" s="2">
        <f t="shared" si="3"/>
        <v>7.2894654417960836E-2</v>
      </c>
      <c r="M6" s="2">
        <f t="shared" si="3"/>
        <v>7.2894654417960836E-2</v>
      </c>
      <c r="N6" s="2">
        <f t="shared" si="3"/>
        <v>7.2894654417960836E-2</v>
      </c>
      <c r="O6" s="2">
        <f t="shared" si="3"/>
        <v>7.2894654417960836E-2</v>
      </c>
      <c r="P6" s="2">
        <f t="shared" si="3"/>
        <v>7.2894654417960836E-2</v>
      </c>
      <c r="Q6" s="2">
        <f t="shared" si="3"/>
        <v>7.2894654417960836E-2</v>
      </c>
      <c r="R6" s="2">
        <f t="shared" si="3"/>
        <v>7.2894654417960836E-2</v>
      </c>
      <c r="S6" s="2">
        <f t="shared" si="3"/>
        <v>7.2894654417960836E-2</v>
      </c>
      <c r="T6" s="2">
        <f t="shared" si="3"/>
        <v>7.2894654417960836E-2</v>
      </c>
      <c r="U6" s="2">
        <f t="shared" si="3"/>
        <v>7.2894654417960836E-2</v>
      </c>
      <c r="V6" s="2">
        <f t="shared" si="3"/>
        <v>7.2894654417960836E-2</v>
      </c>
      <c r="W6" s="2">
        <f t="shared" si="3"/>
        <v>7.2894654417960836E-2</v>
      </c>
      <c r="X6" s="2">
        <f t="shared" si="3"/>
        <v>7.2894654417960836E-2</v>
      </c>
      <c r="Y6" s="2">
        <f t="shared" si="3"/>
        <v>7.2894654417960836E-2</v>
      </c>
      <c r="Z6" s="2">
        <f t="shared" si="3"/>
        <v>7.2894654417960836E-2</v>
      </c>
      <c r="AA6" s="2">
        <f t="shared" si="3"/>
        <v>7.2894654417960836E-2</v>
      </c>
      <c r="AB6" s="2">
        <f t="shared" si="3"/>
        <v>7.2894654417960836E-2</v>
      </c>
      <c r="AC6" s="2">
        <f t="shared" si="3"/>
        <v>7.2894654417960836E-2</v>
      </c>
      <c r="AD6" s="2">
        <f t="shared" si="3"/>
        <v>7.2894654417960836E-2</v>
      </c>
      <c r="AE6" s="2">
        <f t="shared" si="3"/>
        <v>7.2894654417960836E-2</v>
      </c>
      <c r="AF6">
        <f t="shared" si="1"/>
        <v>7.2894654417960836E-2</v>
      </c>
      <c r="AG6">
        <f t="shared" si="1"/>
        <v>7.2894654417960836E-2</v>
      </c>
      <c r="AH6">
        <f t="shared" si="1"/>
        <v>7.2894654417960836E-2</v>
      </c>
      <c r="AI6">
        <f t="shared" si="1"/>
        <v>7.2894654417960836E-2</v>
      </c>
      <c r="AJ6">
        <f t="shared" si="1"/>
        <v>7.2894654417960836E-2</v>
      </c>
      <c r="AK6">
        <f t="shared" si="1"/>
        <v>7.2894654417960836E-2</v>
      </c>
      <c r="AL6">
        <f t="shared" si="1"/>
        <v>7.2894654417960836E-2</v>
      </c>
      <c r="AM6">
        <f t="shared" si="1"/>
        <v>7.2894654417960836E-2</v>
      </c>
      <c r="AN6">
        <f t="shared" si="1"/>
        <v>7.2894654417960836E-2</v>
      </c>
      <c r="AO6">
        <f t="shared" si="1"/>
        <v>7.2894654417960836E-2</v>
      </c>
      <c r="AP6">
        <f t="shared" si="1"/>
        <v>7.2894654417960836E-2</v>
      </c>
      <c r="AQ6">
        <f t="shared" si="1"/>
        <v>7.2894654417960836E-2</v>
      </c>
      <c r="AR6">
        <f t="shared" si="1"/>
        <v>7.2894654417960836E-2</v>
      </c>
      <c r="AS6">
        <f t="shared" si="1"/>
        <v>7.2894654417960836E-2</v>
      </c>
      <c r="AT6">
        <f t="shared" si="1"/>
        <v>7.2894654417960836E-2</v>
      </c>
      <c r="AU6">
        <f t="shared" si="1"/>
        <v>7.2894654417960836E-2</v>
      </c>
      <c r="AV6">
        <f t="shared" si="1"/>
        <v>7.2894654417960836E-2</v>
      </c>
      <c r="AW6">
        <f t="shared" si="1"/>
        <v>7.2894654417960836E-2</v>
      </c>
      <c r="AX6">
        <f t="shared" si="1"/>
        <v>7.2894654417960836E-2</v>
      </c>
      <c r="AY6">
        <f t="shared" si="1"/>
        <v>7.2894654417960836E-2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Fraction'!$B18,1-'Biodiesel Fraction'!B30,1)</f>
        <v>0.96982562724837695</v>
      </c>
      <c r="C5">
        <f>IF('Biodiesel Fraction'!$B18,1-'Biodiesel Fraction'!B30,1)</f>
        <v>0.96982562724837695</v>
      </c>
      <c r="D5">
        <f>IF('Biodiesel Fraction'!$B18,1-'Biodiesel Fraction'!D30,1)</f>
        <v>0.96756119768275339</v>
      </c>
      <c r="E5">
        <f>IF('Biodiesel Fraction'!$B18,1-'Biodiesel Fraction'!E30,1)</f>
        <v>0.96217513088919648</v>
      </c>
      <c r="F5">
        <f>IF('Biodiesel Fraction'!$B18,1-'Biodiesel Fraction'!F30,1)</f>
        <v>0.96443225133006649</v>
      </c>
      <c r="G5">
        <f>IF('Biodiesel Fraction'!$B18,1-'Biodiesel Fraction'!G30,1)</f>
        <v>0.96474554583175598</v>
      </c>
      <c r="H5">
        <f>IF('Biodiesel Fraction'!$B18,1-'Biodiesel Fraction'!H30,1)</f>
        <v>0.96391419411335755</v>
      </c>
      <c r="I5">
        <f>IF('Biodiesel Fraction'!$B18,1-'Biodiesel Fraction'!I30,1)</f>
        <v>0.97197761067049815</v>
      </c>
      <c r="J5">
        <f>IF('Biodiesel Fraction'!$B18,1-'Biodiesel Fraction'!J30,1)</f>
        <v>0.97002307526457487</v>
      </c>
      <c r="K5">
        <f>IF('Biodiesel Fraction'!$B18,1-'Biodiesel Fraction'!K30,1)</f>
        <v>0.96811361094888548</v>
      </c>
      <c r="L5">
        <f>IF('Biodiesel Fraction'!$B18,1-'Biodiesel Fraction'!L30,1)</f>
        <v>0.96687983323117066</v>
      </c>
      <c r="M5">
        <f>IF('Biodiesel Fraction'!$B18,1-'Biodiesel Fraction'!M30,1)</f>
        <v>0.96686282301927384</v>
      </c>
      <c r="N5">
        <f>IF('Biodiesel Fraction'!$B18,1-'Biodiesel Fraction'!N30,1)</f>
        <v>0.96603736448357136</v>
      </c>
      <c r="O5">
        <f>IF('Biodiesel Fraction'!$B18,1-'Biodiesel Fraction'!O30,1)</f>
        <v>0.96631896258324768</v>
      </c>
      <c r="P5">
        <f>IF('Biodiesel Fraction'!$B18,1-'Biodiesel Fraction'!P30,1)</f>
        <v>0.96677618290611389</v>
      </c>
      <c r="Q5">
        <f>IF('Biodiesel Fraction'!$B18,1-'Biodiesel Fraction'!Q30,1)</f>
        <v>0.96726221166006854</v>
      </c>
      <c r="R5">
        <f>IF('Biodiesel Fraction'!$B18,1-'Biodiesel Fraction'!R30,1)</f>
        <v>0.96784885622021877</v>
      </c>
      <c r="S5">
        <f>IF('Biodiesel Fraction'!$B18,1-'Biodiesel Fraction'!S30,1)</f>
        <v>0.96849146591577751</v>
      </c>
      <c r="T5">
        <f>IF('Biodiesel Fraction'!$B18,1-'Biodiesel Fraction'!T30,1)</f>
        <v>0.96907707104526464</v>
      </c>
      <c r="U5">
        <f>IF('Biodiesel Fraction'!$B18,1-'Biodiesel Fraction'!U30,1)</f>
        <v>0.96983001919953782</v>
      </c>
      <c r="V5">
        <f>IF('Biodiesel Fraction'!$B18,1-'Biodiesel Fraction'!V30,1)</f>
        <v>0.9706367093891225</v>
      </c>
      <c r="W5">
        <f>IF('Biodiesel Fraction'!$B18,1-'Biodiesel Fraction'!W30,1)</f>
        <v>0.97148429550949056</v>
      </c>
      <c r="X5">
        <f>IF('Biodiesel Fraction'!$B18,1-'Biodiesel Fraction'!X30,1)</f>
        <v>0.97236260439615152</v>
      </c>
      <c r="Y5">
        <f>IF('Biodiesel Fraction'!$B18,1-'Biodiesel Fraction'!Y30,1)</f>
        <v>0.9732553400936832</v>
      </c>
      <c r="Z5">
        <f>IF('Biodiesel Fraction'!$B18,1-'Biodiesel Fraction'!Z30,1)</f>
        <v>0.97416728092843075</v>
      </c>
      <c r="AA5">
        <f>IF('Biodiesel Fraction'!$B18,1-'Biodiesel Fraction'!AA30,1)</f>
        <v>0.97513619296674647</v>
      </c>
      <c r="AB5">
        <f>IF('Biodiesel Fraction'!$B18,1-'Biodiesel Fraction'!AB30,1)</f>
        <v>0.97613904307498167</v>
      </c>
      <c r="AC5">
        <f>IF('Biodiesel Fraction'!$B18,1-'Biodiesel Fraction'!AC30,1)</f>
        <v>0.97714562158233775</v>
      </c>
      <c r="AD5">
        <f>IF('Biodiesel Fraction'!$B18,1-'Biodiesel Fraction'!AD30,1)</f>
        <v>0.9781692203154837</v>
      </c>
      <c r="AE5">
        <f>IF('Biodiesel Fraction'!$B18,1-'Biodiesel Fraction'!AE30,1)</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Fraction'!$B18,'Biodiesel Fraction'!B30,0)</f>
        <v>3.0174372751623022E-2</v>
      </c>
      <c r="C7">
        <f>IF('Biodiesel Fraction'!$B18,'Biodiesel Fraction'!B30,0)</f>
        <v>3.0174372751623022E-2</v>
      </c>
      <c r="D7">
        <f>IF('Biodiesel Fraction'!$B18,'Biodiesel Fraction'!D30,0)</f>
        <v>3.2438802317246634E-2</v>
      </c>
      <c r="E7">
        <f>IF('Biodiesel Fraction'!$B18,'Biodiesel Fraction'!E30,0)</f>
        <v>3.782486911080353E-2</v>
      </c>
      <c r="F7">
        <f>IF('Biodiesel Fraction'!$B18,'Biodiesel Fraction'!F30,0)</f>
        <v>3.5567748669933542E-2</v>
      </c>
      <c r="G7">
        <f>IF('Biodiesel Fraction'!$B18,'Biodiesel Fraction'!G30,0)</f>
        <v>3.5254454168243979E-2</v>
      </c>
      <c r="H7">
        <f>IF('Biodiesel Fraction'!$B18,'Biodiesel Fraction'!H30,0)</f>
        <v>3.608580588664248E-2</v>
      </c>
      <c r="I7">
        <f>IF('Biodiesel Fraction'!$B18,'Biodiesel Fraction'!I30,0)</f>
        <v>2.8022389329501837E-2</v>
      </c>
      <c r="J7">
        <f>IF('Biodiesel Fraction'!$B18,'Biodiesel Fraction'!J30,0)</f>
        <v>2.997692473542508E-2</v>
      </c>
      <c r="K7">
        <f>IF('Biodiesel Fraction'!$B18,'Biodiesel Fraction'!K30,0)</f>
        <v>3.188638905111451E-2</v>
      </c>
      <c r="L7">
        <f>IF('Biodiesel Fraction'!$B18,'Biodiesel Fraction'!L30,0)</f>
        <v>3.3120166768829305E-2</v>
      </c>
      <c r="M7">
        <f>IF('Biodiesel Fraction'!$B18,'Biodiesel Fraction'!M30,0)</f>
        <v>3.3137176980726157E-2</v>
      </c>
      <c r="N7">
        <f>IF('Biodiesel Fraction'!$B18,'Biodiesel Fraction'!N30,0)</f>
        <v>3.3962635516428627E-2</v>
      </c>
      <c r="O7">
        <f>IF('Biodiesel Fraction'!$B18,'Biodiesel Fraction'!O30,0)</f>
        <v>3.3681037416752345E-2</v>
      </c>
      <c r="P7">
        <f>IF('Biodiesel Fraction'!$B18,'Biodiesel Fraction'!P30,0)</f>
        <v>3.3223817093886089E-2</v>
      </c>
      <c r="Q7">
        <f>IF('Biodiesel Fraction'!$B18,'Biodiesel Fraction'!Q30,0)</f>
        <v>3.2737788339931455E-2</v>
      </c>
      <c r="R7">
        <f>IF('Biodiesel Fraction'!$B18,'Biodiesel Fraction'!R30,0)</f>
        <v>3.2151143779781267E-2</v>
      </c>
      <c r="S7">
        <f>IF('Biodiesel Fraction'!$B18,'Biodiesel Fraction'!S30,0)</f>
        <v>3.1508534084222446E-2</v>
      </c>
      <c r="T7">
        <f>IF('Biodiesel Fraction'!$B18,'Biodiesel Fraction'!T30,0)</f>
        <v>3.0922928954735404E-2</v>
      </c>
      <c r="U7">
        <f>IF('Biodiesel Fraction'!$B18,'Biodiesel Fraction'!U30,0)</f>
        <v>3.0169980800462202E-2</v>
      </c>
      <c r="V7">
        <f>IF('Biodiesel Fraction'!$B18,'Biodiesel Fraction'!V30,0)</f>
        <v>2.9363290610877515E-2</v>
      </c>
      <c r="W7">
        <f>IF('Biodiesel Fraction'!$B18,'Biodiesel Fraction'!W30,0)</f>
        <v>2.8515704490509459E-2</v>
      </c>
      <c r="X7">
        <f>IF('Biodiesel Fraction'!$B18,'Biodiesel Fraction'!X30,0)</f>
        <v>2.7637395603848428E-2</v>
      </c>
      <c r="Y7">
        <f>IF('Biodiesel Fraction'!$B18,'Biodiesel Fraction'!Y30,0)</f>
        <v>2.6744659906316835E-2</v>
      </c>
      <c r="Z7">
        <f>IF('Biodiesel Fraction'!$B18,'Biodiesel Fraction'!Z30,0)</f>
        <v>2.5832719071569213E-2</v>
      </c>
      <c r="AA7">
        <f>IF('Biodiesel Fraction'!$B18,'Biodiesel Fraction'!AA30,0)</f>
        <v>2.4863807033253488E-2</v>
      </c>
      <c r="AB7">
        <f>IF('Biodiesel Fraction'!$B18,'Biodiesel Fraction'!AB30,0)</f>
        <v>2.3860956925018297E-2</v>
      </c>
      <c r="AC7">
        <f>IF('Biodiesel Fraction'!$B18,'Biodiesel Fraction'!AC30,0)</f>
        <v>2.2854378417662233E-2</v>
      </c>
      <c r="AD7">
        <f>IF('Biodiesel Fraction'!$B18,'Biodiesel Fraction'!AD30,0)</f>
        <v>2.1830779684516348E-2</v>
      </c>
      <c r="AE7">
        <f>IF('Biodiesel Fraction'!$B18,'Biodiesel Fraction'!AE30,0)</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BA11"/>
  <sheetViews>
    <sheetView topLeftCell="D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 t="shared" ref="AF2:AY11" si="1">AE2</f>
        <v>0.55000000000000004</v>
      </c>
      <c r="AG2">
        <f t="shared" si="1"/>
        <v>0.55000000000000004</v>
      </c>
      <c r="AH2">
        <f t="shared" si="1"/>
        <v>0.55000000000000004</v>
      </c>
      <c r="AI2">
        <f t="shared" si="1"/>
        <v>0.55000000000000004</v>
      </c>
      <c r="AJ2">
        <f t="shared" si="1"/>
        <v>0.55000000000000004</v>
      </c>
      <c r="AK2">
        <f t="shared" si="1"/>
        <v>0.55000000000000004</v>
      </c>
      <c r="AL2">
        <f t="shared" si="1"/>
        <v>0.55000000000000004</v>
      </c>
      <c r="AM2">
        <f t="shared" si="1"/>
        <v>0.55000000000000004</v>
      </c>
      <c r="AN2">
        <f t="shared" si="1"/>
        <v>0.55000000000000004</v>
      </c>
      <c r="AO2">
        <f t="shared" si="1"/>
        <v>0.55000000000000004</v>
      </c>
      <c r="AP2">
        <f t="shared" si="1"/>
        <v>0.55000000000000004</v>
      </c>
      <c r="AQ2">
        <f t="shared" si="1"/>
        <v>0.55000000000000004</v>
      </c>
      <c r="AR2">
        <f t="shared" si="1"/>
        <v>0.55000000000000004</v>
      </c>
      <c r="AS2">
        <f t="shared" si="1"/>
        <v>0.55000000000000004</v>
      </c>
      <c r="AT2">
        <f t="shared" si="1"/>
        <v>0.55000000000000004</v>
      </c>
      <c r="AU2">
        <f t="shared" si="1"/>
        <v>0.55000000000000004</v>
      </c>
      <c r="AV2">
        <f t="shared" si="1"/>
        <v>0.55000000000000004</v>
      </c>
      <c r="AW2">
        <f t="shared" si="1"/>
        <v>0.55000000000000004</v>
      </c>
      <c r="AX2">
        <f t="shared" si="1"/>
        <v>0.55000000000000004</v>
      </c>
      <c r="AY2">
        <f t="shared" si="1"/>
        <v>0.55000000000000004</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1-B2-B6</f>
        <v>0.41719740551191759</v>
      </c>
      <c r="C4" s="2">
        <f>$B$4</f>
        <v>0.41719740551191759</v>
      </c>
      <c r="D4" s="2">
        <f t="shared" ref="D4:BA4" si="2">$B$4</f>
        <v>0.41719740551191759</v>
      </c>
      <c r="E4" s="2">
        <f t="shared" si="2"/>
        <v>0.41719740551191759</v>
      </c>
      <c r="F4" s="2">
        <f t="shared" si="2"/>
        <v>0.41719740551191759</v>
      </c>
      <c r="G4" s="2">
        <f t="shared" si="2"/>
        <v>0.41719740551191759</v>
      </c>
      <c r="H4" s="2">
        <f t="shared" si="2"/>
        <v>0.41719740551191759</v>
      </c>
      <c r="I4" s="2">
        <f t="shared" si="2"/>
        <v>0.41719740551191759</v>
      </c>
      <c r="J4" s="2">
        <f t="shared" si="2"/>
        <v>0.41719740551191759</v>
      </c>
      <c r="K4" s="2">
        <f t="shared" si="2"/>
        <v>0.41719740551191759</v>
      </c>
      <c r="L4" s="2">
        <f t="shared" si="2"/>
        <v>0.41719740551191759</v>
      </c>
      <c r="M4" s="2">
        <f t="shared" si="2"/>
        <v>0.41719740551191759</v>
      </c>
      <c r="N4" s="2">
        <f t="shared" si="2"/>
        <v>0.41719740551191759</v>
      </c>
      <c r="O4" s="2">
        <f t="shared" si="2"/>
        <v>0.41719740551191759</v>
      </c>
      <c r="P4" s="2">
        <f t="shared" si="2"/>
        <v>0.41719740551191759</v>
      </c>
      <c r="Q4" s="2">
        <f t="shared" si="2"/>
        <v>0.41719740551191759</v>
      </c>
      <c r="R4" s="2">
        <f t="shared" si="2"/>
        <v>0.41719740551191759</v>
      </c>
      <c r="S4" s="2">
        <f t="shared" si="2"/>
        <v>0.41719740551191759</v>
      </c>
      <c r="T4" s="2">
        <f t="shared" si="2"/>
        <v>0.41719740551191759</v>
      </c>
      <c r="U4" s="2">
        <f t="shared" si="2"/>
        <v>0.41719740551191759</v>
      </c>
      <c r="V4" s="2">
        <f t="shared" si="2"/>
        <v>0.41719740551191759</v>
      </c>
      <c r="W4" s="2">
        <f t="shared" si="2"/>
        <v>0.41719740551191759</v>
      </c>
      <c r="X4" s="2">
        <f t="shared" si="2"/>
        <v>0.41719740551191759</v>
      </c>
      <c r="Y4" s="2">
        <f t="shared" si="2"/>
        <v>0.41719740551191759</v>
      </c>
      <c r="Z4" s="2">
        <f t="shared" si="2"/>
        <v>0.41719740551191759</v>
      </c>
      <c r="AA4" s="2">
        <f t="shared" si="2"/>
        <v>0.41719740551191759</v>
      </c>
      <c r="AB4" s="2">
        <f t="shared" si="2"/>
        <v>0.41719740551191759</v>
      </c>
      <c r="AC4" s="2">
        <f t="shared" si="2"/>
        <v>0.41719740551191759</v>
      </c>
      <c r="AD4" s="2">
        <f t="shared" si="2"/>
        <v>0.41719740551191759</v>
      </c>
      <c r="AE4" s="2">
        <f t="shared" si="2"/>
        <v>0.41719740551191759</v>
      </c>
      <c r="AF4">
        <f t="shared" si="1"/>
        <v>0.41719740551191759</v>
      </c>
      <c r="AG4">
        <f t="shared" si="1"/>
        <v>0.41719740551191759</v>
      </c>
      <c r="AH4">
        <f t="shared" si="1"/>
        <v>0.41719740551191759</v>
      </c>
      <c r="AI4">
        <f t="shared" si="1"/>
        <v>0.41719740551191759</v>
      </c>
      <c r="AJ4">
        <f t="shared" si="1"/>
        <v>0.41719740551191759</v>
      </c>
      <c r="AK4">
        <f t="shared" si="1"/>
        <v>0.41719740551191759</v>
      </c>
      <c r="AL4">
        <f t="shared" si="1"/>
        <v>0.41719740551191759</v>
      </c>
      <c r="AM4">
        <f t="shared" si="1"/>
        <v>0.41719740551191759</v>
      </c>
      <c r="AN4">
        <f t="shared" si="1"/>
        <v>0.41719740551191759</v>
      </c>
      <c r="AO4">
        <f t="shared" si="1"/>
        <v>0.41719740551191759</v>
      </c>
      <c r="AP4">
        <f t="shared" si="1"/>
        <v>0.41719740551191759</v>
      </c>
      <c r="AQ4">
        <f t="shared" si="1"/>
        <v>0.41719740551191759</v>
      </c>
      <c r="AR4">
        <f t="shared" si="1"/>
        <v>0.41719740551191759</v>
      </c>
      <c r="AS4">
        <f t="shared" si="1"/>
        <v>0.41719740551191759</v>
      </c>
      <c r="AT4">
        <f t="shared" si="1"/>
        <v>0.41719740551191759</v>
      </c>
      <c r="AU4">
        <f t="shared" si="1"/>
        <v>0.41719740551191759</v>
      </c>
      <c r="AV4">
        <f t="shared" si="1"/>
        <v>0.41719740551191759</v>
      </c>
      <c r="AW4">
        <f t="shared" si="1"/>
        <v>0.41719740551191759</v>
      </c>
      <c r="AX4">
        <f t="shared" si="1"/>
        <v>0.41719740551191759</v>
      </c>
      <c r="AY4">
        <f t="shared" si="1"/>
        <v>0.41719740551191759</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(1-B2)*'ethanol content'!J3</f>
        <v>3.2802594488082371E-2</v>
      </c>
      <c r="C6" s="2">
        <f>$B$6</f>
        <v>3.2802594488082371E-2</v>
      </c>
      <c r="D6" s="2">
        <f t="shared" ref="D6:BA6" si="3">$B$6</f>
        <v>3.2802594488082371E-2</v>
      </c>
      <c r="E6" s="2">
        <f t="shared" si="3"/>
        <v>3.2802594488082371E-2</v>
      </c>
      <c r="F6" s="2">
        <f t="shared" si="3"/>
        <v>3.2802594488082371E-2</v>
      </c>
      <c r="G6" s="2">
        <f t="shared" si="3"/>
        <v>3.2802594488082371E-2</v>
      </c>
      <c r="H6" s="2">
        <f t="shared" si="3"/>
        <v>3.2802594488082371E-2</v>
      </c>
      <c r="I6" s="2">
        <f t="shared" si="3"/>
        <v>3.2802594488082371E-2</v>
      </c>
      <c r="J6" s="2">
        <f t="shared" si="3"/>
        <v>3.2802594488082371E-2</v>
      </c>
      <c r="K6" s="2">
        <f t="shared" si="3"/>
        <v>3.2802594488082371E-2</v>
      </c>
      <c r="L6" s="2">
        <f t="shared" si="3"/>
        <v>3.2802594488082371E-2</v>
      </c>
      <c r="M6" s="2">
        <f t="shared" si="3"/>
        <v>3.2802594488082371E-2</v>
      </c>
      <c r="N6" s="2">
        <f t="shared" si="3"/>
        <v>3.2802594488082371E-2</v>
      </c>
      <c r="O6" s="2">
        <f t="shared" si="3"/>
        <v>3.2802594488082371E-2</v>
      </c>
      <c r="P6" s="2">
        <f t="shared" si="3"/>
        <v>3.2802594488082371E-2</v>
      </c>
      <c r="Q6" s="2">
        <f t="shared" si="3"/>
        <v>3.2802594488082371E-2</v>
      </c>
      <c r="R6" s="2">
        <f t="shared" si="3"/>
        <v>3.2802594488082371E-2</v>
      </c>
      <c r="S6" s="2">
        <f t="shared" si="3"/>
        <v>3.2802594488082371E-2</v>
      </c>
      <c r="T6" s="2">
        <f t="shared" si="3"/>
        <v>3.2802594488082371E-2</v>
      </c>
      <c r="U6" s="2">
        <f t="shared" si="3"/>
        <v>3.2802594488082371E-2</v>
      </c>
      <c r="V6" s="2">
        <f t="shared" si="3"/>
        <v>3.2802594488082371E-2</v>
      </c>
      <c r="W6" s="2">
        <f t="shared" si="3"/>
        <v>3.2802594488082371E-2</v>
      </c>
      <c r="X6" s="2">
        <f t="shared" si="3"/>
        <v>3.2802594488082371E-2</v>
      </c>
      <c r="Y6" s="2">
        <f t="shared" si="3"/>
        <v>3.2802594488082371E-2</v>
      </c>
      <c r="Z6" s="2">
        <f t="shared" si="3"/>
        <v>3.2802594488082371E-2</v>
      </c>
      <c r="AA6" s="2">
        <f t="shared" si="3"/>
        <v>3.2802594488082371E-2</v>
      </c>
      <c r="AB6" s="2">
        <f t="shared" si="3"/>
        <v>3.2802594488082371E-2</v>
      </c>
      <c r="AC6" s="2">
        <f t="shared" si="3"/>
        <v>3.2802594488082371E-2</v>
      </c>
      <c r="AD6" s="2">
        <f t="shared" si="3"/>
        <v>3.2802594488082371E-2</v>
      </c>
      <c r="AE6" s="2">
        <f t="shared" si="3"/>
        <v>3.2802594488082371E-2</v>
      </c>
      <c r="AF6">
        <f t="shared" si="1"/>
        <v>3.2802594488082371E-2</v>
      </c>
      <c r="AG6">
        <f t="shared" si="1"/>
        <v>3.2802594488082371E-2</v>
      </c>
      <c r="AH6">
        <f t="shared" si="1"/>
        <v>3.2802594488082371E-2</v>
      </c>
      <c r="AI6">
        <f t="shared" si="1"/>
        <v>3.2802594488082371E-2</v>
      </c>
      <c r="AJ6">
        <f t="shared" si="1"/>
        <v>3.2802594488082371E-2</v>
      </c>
      <c r="AK6">
        <f t="shared" si="1"/>
        <v>3.2802594488082371E-2</v>
      </c>
      <c r="AL6">
        <f t="shared" si="1"/>
        <v>3.2802594488082371E-2</v>
      </c>
      <c r="AM6">
        <f t="shared" si="1"/>
        <v>3.2802594488082371E-2</v>
      </c>
      <c r="AN6">
        <f t="shared" si="1"/>
        <v>3.2802594488082371E-2</v>
      </c>
      <c r="AO6">
        <f t="shared" si="1"/>
        <v>3.2802594488082371E-2</v>
      </c>
      <c r="AP6">
        <f t="shared" si="1"/>
        <v>3.2802594488082371E-2</v>
      </c>
      <c r="AQ6">
        <f t="shared" si="1"/>
        <v>3.2802594488082371E-2</v>
      </c>
      <c r="AR6">
        <f t="shared" si="1"/>
        <v>3.2802594488082371E-2</v>
      </c>
      <c r="AS6">
        <f t="shared" si="1"/>
        <v>3.2802594488082371E-2</v>
      </c>
      <c r="AT6">
        <f t="shared" si="1"/>
        <v>3.2802594488082371E-2</v>
      </c>
      <c r="AU6">
        <f t="shared" si="1"/>
        <v>3.2802594488082371E-2</v>
      </c>
      <c r="AV6">
        <f t="shared" si="1"/>
        <v>3.2802594488082371E-2</v>
      </c>
      <c r="AW6">
        <f t="shared" si="1"/>
        <v>3.2802594488082371E-2</v>
      </c>
      <c r="AX6">
        <f t="shared" si="1"/>
        <v>3.2802594488082371E-2</v>
      </c>
      <c r="AY6">
        <f t="shared" si="1"/>
        <v>3.2802594488082371E-2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ignoredErrors>
    <ignoredError sqref="B5:C5" formulaRange="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ColWidth="8.85546875" defaultRowHeight="15"/>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BA11"/>
  <sheetViews>
    <sheetView topLeftCell="D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1-B6</f>
        <v>0.92710534558203916</v>
      </c>
      <c r="C4" s="2">
        <f t="shared" ref="C4:AE4" si="2">1-C6</f>
        <v>0.92710534558203916</v>
      </c>
      <c r="D4" s="2">
        <f t="shared" si="2"/>
        <v>0.92710534558203916</v>
      </c>
      <c r="E4" s="2">
        <f t="shared" si="2"/>
        <v>0.92710534558203916</v>
      </c>
      <c r="F4" s="2">
        <f t="shared" si="2"/>
        <v>0.92710534558203916</v>
      </c>
      <c r="G4" s="2">
        <f t="shared" si="2"/>
        <v>0.92710534558203916</v>
      </c>
      <c r="H4" s="2">
        <f t="shared" si="2"/>
        <v>0.92710534558203916</v>
      </c>
      <c r="I4" s="2">
        <f t="shared" si="2"/>
        <v>0.92710534558203916</v>
      </c>
      <c r="J4" s="2">
        <f t="shared" si="2"/>
        <v>0.92710534558203916</v>
      </c>
      <c r="K4" s="2">
        <f t="shared" si="2"/>
        <v>0.92710534558203916</v>
      </c>
      <c r="L4" s="2">
        <f t="shared" si="2"/>
        <v>0.92710534558203916</v>
      </c>
      <c r="M4" s="2">
        <f t="shared" si="2"/>
        <v>0.92710534558203916</v>
      </c>
      <c r="N4" s="2">
        <f t="shared" si="2"/>
        <v>0.92710534558203916</v>
      </c>
      <c r="O4" s="2">
        <f t="shared" si="2"/>
        <v>0.92710534558203916</v>
      </c>
      <c r="P4" s="2">
        <f t="shared" si="2"/>
        <v>0.92710534558203916</v>
      </c>
      <c r="Q4" s="2">
        <f t="shared" si="2"/>
        <v>0.92710534558203916</v>
      </c>
      <c r="R4" s="2">
        <f t="shared" si="2"/>
        <v>0.92710534558203916</v>
      </c>
      <c r="S4" s="2">
        <f t="shared" si="2"/>
        <v>0.92710534558203916</v>
      </c>
      <c r="T4" s="2">
        <f t="shared" si="2"/>
        <v>0.92710534558203916</v>
      </c>
      <c r="U4" s="2">
        <f t="shared" si="2"/>
        <v>0.92710534558203916</v>
      </c>
      <c r="V4" s="2">
        <f t="shared" si="2"/>
        <v>0.92710534558203916</v>
      </c>
      <c r="W4" s="2">
        <f t="shared" si="2"/>
        <v>0.92710534558203916</v>
      </c>
      <c r="X4" s="2">
        <f t="shared" si="2"/>
        <v>0.92710534558203916</v>
      </c>
      <c r="Y4" s="2">
        <f t="shared" si="2"/>
        <v>0.92710534558203916</v>
      </c>
      <c r="Z4" s="2">
        <f t="shared" si="2"/>
        <v>0.92710534558203916</v>
      </c>
      <c r="AA4" s="2">
        <f t="shared" si="2"/>
        <v>0.92710534558203916</v>
      </c>
      <c r="AB4" s="2">
        <f t="shared" si="2"/>
        <v>0.92710534558203916</v>
      </c>
      <c r="AC4" s="2">
        <f t="shared" si="2"/>
        <v>0.92710534558203916</v>
      </c>
      <c r="AD4" s="2">
        <f t="shared" si="2"/>
        <v>0.92710534558203916</v>
      </c>
      <c r="AE4" s="2">
        <f t="shared" si="2"/>
        <v>0.92710534558203916</v>
      </c>
      <c r="AF4">
        <f t="shared" si="1"/>
        <v>0.92710534558203916</v>
      </c>
      <c r="AG4">
        <f t="shared" si="1"/>
        <v>0.92710534558203916</v>
      </c>
      <c r="AH4">
        <f t="shared" si="1"/>
        <v>0.92710534558203916</v>
      </c>
      <c r="AI4">
        <f t="shared" si="1"/>
        <v>0.92710534558203916</v>
      </c>
      <c r="AJ4">
        <f t="shared" si="1"/>
        <v>0.92710534558203916</v>
      </c>
      <c r="AK4">
        <f t="shared" si="1"/>
        <v>0.92710534558203916</v>
      </c>
      <c r="AL4">
        <f t="shared" si="1"/>
        <v>0.92710534558203916</v>
      </c>
      <c r="AM4">
        <f t="shared" si="1"/>
        <v>0.92710534558203916</v>
      </c>
      <c r="AN4">
        <f t="shared" si="1"/>
        <v>0.92710534558203916</v>
      </c>
      <c r="AO4">
        <f t="shared" si="1"/>
        <v>0.92710534558203916</v>
      </c>
      <c r="AP4">
        <f t="shared" si="1"/>
        <v>0.92710534558203916</v>
      </c>
      <c r="AQ4">
        <f t="shared" si="1"/>
        <v>0.92710534558203916</v>
      </c>
      <c r="AR4">
        <f t="shared" si="1"/>
        <v>0.92710534558203916</v>
      </c>
      <c r="AS4">
        <f t="shared" si="1"/>
        <v>0.92710534558203916</v>
      </c>
      <c r="AT4">
        <f t="shared" si="1"/>
        <v>0.92710534558203916</v>
      </c>
      <c r="AU4">
        <f t="shared" si="1"/>
        <v>0.92710534558203916</v>
      </c>
      <c r="AV4">
        <f t="shared" si="1"/>
        <v>0.92710534558203916</v>
      </c>
      <c r="AW4">
        <f t="shared" si="1"/>
        <v>0.92710534558203916</v>
      </c>
      <c r="AX4">
        <f t="shared" si="1"/>
        <v>0.92710534558203916</v>
      </c>
      <c r="AY4">
        <f t="shared" si="1"/>
        <v>0.92710534558203916</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'ethanol content'!$J$3</f>
        <v>7.2894654417960836E-2</v>
      </c>
      <c r="C6" s="2">
        <f>'ethanol content'!$J$3</f>
        <v>7.2894654417960836E-2</v>
      </c>
      <c r="D6" s="2">
        <f>'ethanol content'!$J$3</f>
        <v>7.2894654417960836E-2</v>
      </c>
      <c r="E6" s="2">
        <f>'ethanol content'!$J$3</f>
        <v>7.2894654417960836E-2</v>
      </c>
      <c r="F6" s="2">
        <f>'ethanol content'!$J$3</f>
        <v>7.2894654417960836E-2</v>
      </c>
      <c r="G6" s="2">
        <f>'ethanol content'!$J$3</f>
        <v>7.2894654417960836E-2</v>
      </c>
      <c r="H6" s="2">
        <f>'ethanol content'!$J$3</f>
        <v>7.2894654417960836E-2</v>
      </c>
      <c r="I6" s="2">
        <f>'ethanol content'!$J$3</f>
        <v>7.2894654417960836E-2</v>
      </c>
      <c r="J6" s="2">
        <f>'ethanol content'!$J$3</f>
        <v>7.2894654417960836E-2</v>
      </c>
      <c r="K6" s="2">
        <f>'ethanol content'!$J$3</f>
        <v>7.2894654417960836E-2</v>
      </c>
      <c r="L6" s="2">
        <f>'ethanol content'!$J$3</f>
        <v>7.2894654417960836E-2</v>
      </c>
      <c r="M6" s="2">
        <f>'ethanol content'!$J$3</f>
        <v>7.2894654417960836E-2</v>
      </c>
      <c r="N6" s="2">
        <f>'ethanol content'!$J$3</f>
        <v>7.2894654417960836E-2</v>
      </c>
      <c r="O6" s="2">
        <f>'ethanol content'!$J$3</f>
        <v>7.2894654417960836E-2</v>
      </c>
      <c r="P6" s="2">
        <f>'ethanol content'!$J$3</f>
        <v>7.2894654417960836E-2</v>
      </c>
      <c r="Q6" s="2">
        <f>'ethanol content'!$J$3</f>
        <v>7.2894654417960836E-2</v>
      </c>
      <c r="R6" s="2">
        <f>'ethanol content'!$J$3</f>
        <v>7.2894654417960836E-2</v>
      </c>
      <c r="S6" s="2">
        <f>'ethanol content'!$J$3</f>
        <v>7.2894654417960836E-2</v>
      </c>
      <c r="T6" s="2">
        <f>'ethanol content'!$J$3</f>
        <v>7.2894654417960836E-2</v>
      </c>
      <c r="U6" s="2">
        <f>'ethanol content'!$J$3</f>
        <v>7.2894654417960836E-2</v>
      </c>
      <c r="V6" s="2">
        <f>'ethanol content'!$J$3</f>
        <v>7.2894654417960836E-2</v>
      </c>
      <c r="W6" s="2">
        <f>'ethanol content'!$J$3</f>
        <v>7.2894654417960836E-2</v>
      </c>
      <c r="X6" s="2">
        <f>'ethanol content'!$J$3</f>
        <v>7.2894654417960836E-2</v>
      </c>
      <c r="Y6" s="2">
        <f>'ethanol content'!$J$3</f>
        <v>7.2894654417960836E-2</v>
      </c>
      <c r="Z6" s="2">
        <f>'ethanol content'!$J$3</f>
        <v>7.2894654417960836E-2</v>
      </c>
      <c r="AA6" s="2">
        <f>'ethanol content'!$J$3</f>
        <v>7.2894654417960836E-2</v>
      </c>
      <c r="AB6" s="2">
        <f>'ethanol content'!$J$3</f>
        <v>7.2894654417960836E-2</v>
      </c>
      <c r="AC6" s="2">
        <f>'ethanol content'!$J$3</f>
        <v>7.2894654417960836E-2</v>
      </c>
      <c r="AD6" s="2">
        <f>'ethanol content'!$J$3</f>
        <v>7.2894654417960836E-2</v>
      </c>
      <c r="AE6" s="2">
        <f>'ethanol content'!$J$3</f>
        <v>7.2894654417960836E-2</v>
      </c>
      <c r="AF6">
        <f t="shared" si="1"/>
        <v>7.2894654417960836E-2</v>
      </c>
      <c r="AG6">
        <f t="shared" si="1"/>
        <v>7.2894654417960836E-2</v>
      </c>
      <c r="AH6">
        <f t="shared" si="1"/>
        <v>7.2894654417960836E-2</v>
      </c>
      <c r="AI6">
        <f t="shared" si="1"/>
        <v>7.2894654417960836E-2</v>
      </c>
      <c r="AJ6">
        <f t="shared" si="1"/>
        <v>7.2894654417960836E-2</v>
      </c>
      <c r="AK6">
        <f t="shared" si="1"/>
        <v>7.2894654417960836E-2</v>
      </c>
      <c r="AL6">
        <f t="shared" si="1"/>
        <v>7.2894654417960836E-2</v>
      </c>
      <c r="AM6">
        <f t="shared" si="1"/>
        <v>7.2894654417960836E-2</v>
      </c>
      <c r="AN6">
        <f t="shared" si="1"/>
        <v>7.2894654417960836E-2</v>
      </c>
      <c r="AO6">
        <f t="shared" si="1"/>
        <v>7.2894654417960836E-2</v>
      </c>
      <c r="AP6">
        <f t="shared" si="1"/>
        <v>7.2894654417960836E-2</v>
      </c>
      <c r="AQ6">
        <f t="shared" si="1"/>
        <v>7.2894654417960836E-2</v>
      </c>
      <c r="AR6">
        <f t="shared" si="1"/>
        <v>7.2894654417960836E-2</v>
      </c>
      <c r="AS6">
        <f t="shared" si="1"/>
        <v>7.2894654417960836E-2</v>
      </c>
      <c r="AT6">
        <f t="shared" si="1"/>
        <v>7.2894654417960836E-2</v>
      </c>
      <c r="AU6">
        <f t="shared" si="1"/>
        <v>7.2894654417960836E-2</v>
      </c>
      <c r="AV6">
        <f t="shared" si="1"/>
        <v>7.2894654417960836E-2</v>
      </c>
      <c r="AW6">
        <f t="shared" si="1"/>
        <v>7.2894654417960836E-2</v>
      </c>
      <c r="AX6">
        <f t="shared" si="1"/>
        <v>7.2894654417960836E-2</v>
      </c>
      <c r="AY6">
        <f t="shared" si="1"/>
        <v>7.2894654417960836E-2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ignoredErrors>
    <ignoredError sqref="B5:AE5" formulaRange="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Fraction'!$B19,1-'Biodiesel Fraction'!B30,1)</f>
        <v>0.96982562724837695</v>
      </c>
      <c r="C5">
        <f>IF('Biodiesel Fraction'!$B19,1-'Biodiesel Fraction'!B30,1)</f>
        <v>0.96982562724837695</v>
      </c>
      <c r="D5">
        <f>IF('Biodiesel Fraction'!$B19,1-'Biodiesel Fraction'!D30,1)</f>
        <v>0.96756119768275339</v>
      </c>
      <c r="E5">
        <f>IF('Biodiesel Fraction'!$B19,1-'Biodiesel Fraction'!E30,1)</f>
        <v>0.96217513088919648</v>
      </c>
      <c r="F5">
        <f>IF('Biodiesel Fraction'!$B19,1-'Biodiesel Fraction'!F30,1)</f>
        <v>0.96443225133006649</v>
      </c>
      <c r="G5">
        <f>IF('Biodiesel Fraction'!$B19,1-'Biodiesel Fraction'!G30,1)</f>
        <v>0.96474554583175598</v>
      </c>
      <c r="H5">
        <f>IF('Biodiesel Fraction'!$B19,1-'Biodiesel Fraction'!H30,1)</f>
        <v>0.96391419411335755</v>
      </c>
      <c r="I5">
        <f>IF('Biodiesel Fraction'!$B19,1-'Biodiesel Fraction'!I30,1)</f>
        <v>0.97197761067049815</v>
      </c>
      <c r="J5">
        <f>IF('Biodiesel Fraction'!$B19,1-'Biodiesel Fraction'!J30,1)</f>
        <v>0.97002307526457487</v>
      </c>
      <c r="K5">
        <f>IF('Biodiesel Fraction'!$B19,1-'Biodiesel Fraction'!K30,1)</f>
        <v>0.96811361094888548</v>
      </c>
      <c r="L5">
        <f>IF('Biodiesel Fraction'!$B19,1-'Biodiesel Fraction'!L30,1)</f>
        <v>0.96687983323117066</v>
      </c>
      <c r="M5">
        <f>IF('Biodiesel Fraction'!$B19,1-'Biodiesel Fraction'!M30,1)</f>
        <v>0.96686282301927384</v>
      </c>
      <c r="N5">
        <f>IF('Biodiesel Fraction'!$B19,1-'Biodiesel Fraction'!N30,1)</f>
        <v>0.96603736448357136</v>
      </c>
      <c r="O5">
        <f>IF('Biodiesel Fraction'!$B19,1-'Biodiesel Fraction'!O30,1)</f>
        <v>0.96631896258324768</v>
      </c>
      <c r="P5">
        <f>IF('Biodiesel Fraction'!$B19,1-'Biodiesel Fraction'!P30,1)</f>
        <v>0.96677618290611389</v>
      </c>
      <c r="Q5">
        <f>IF('Biodiesel Fraction'!$B19,1-'Biodiesel Fraction'!Q30,1)</f>
        <v>0.96726221166006854</v>
      </c>
      <c r="R5">
        <f>IF('Biodiesel Fraction'!$B19,1-'Biodiesel Fraction'!R30,1)</f>
        <v>0.96784885622021877</v>
      </c>
      <c r="S5">
        <f>IF('Biodiesel Fraction'!$B19,1-'Biodiesel Fraction'!S30,1)</f>
        <v>0.96849146591577751</v>
      </c>
      <c r="T5">
        <f>IF('Biodiesel Fraction'!$B19,1-'Biodiesel Fraction'!T30,1)</f>
        <v>0.96907707104526464</v>
      </c>
      <c r="U5">
        <f>IF('Biodiesel Fraction'!$B19,1-'Biodiesel Fraction'!U30,1)</f>
        <v>0.96983001919953782</v>
      </c>
      <c r="V5">
        <f>IF('Biodiesel Fraction'!$B19,1-'Biodiesel Fraction'!V30,1)</f>
        <v>0.9706367093891225</v>
      </c>
      <c r="W5">
        <f>IF('Biodiesel Fraction'!$B19,1-'Biodiesel Fraction'!W30,1)</f>
        <v>0.97148429550949056</v>
      </c>
      <c r="X5">
        <f>IF('Biodiesel Fraction'!$B19,1-'Biodiesel Fraction'!X30,1)</f>
        <v>0.97236260439615152</v>
      </c>
      <c r="Y5">
        <f>IF('Biodiesel Fraction'!$B19,1-'Biodiesel Fraction'!Y30,1)</f>
        <v>0.9732553400936832</v>
      </c>
      <c r="Z5">
        <f>IF('Biodiesel Fraction'!$B19,1-'Biodiesel Fraction'!Z30,1)</f>
        <v>0.97416728092843075</v>
      </c>
      <c r="AA5">
        <f>IF('Biodiesel Fraction'!$B19,1-'Biodiesel Fraction'!AA30,1)</f>
        <v>0.97513619296674647</v>
      </c>
      <c r="AB5">
        <f>IF('Biodiesel Fraction'!$B19,1-'Biodiesel Fraction'!AB30,1)</f>
        <v>0.97613904307498167</v>
      </c>
      <c r="AC5">
        <f>IF('Biodiesel Fraction'!$B19,1-'Biodiesel Fraction'!AC30,1)</f>
        <v>0.97714562158233775</v>
      </c>
      <c r="AD5">
        <f>IF('Biodiesel Fraction'!$B19,1-'Biodiesel Fraction'!AD30,1)</f>
        <v>0.9781692203154837</v>
      </c>
      <c r="AE5">
        <f>IF('Biodiesel Fraction'!$B19,1-'Biodiesel Fraction'!AE30,1)</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Fraction'!$B19,'Biodiesel Fraction'!B30,0)</f>
        <v>3.0174372751623022E-2</v>
      </c>
      <c r="C7">
        <f>IF('Biodiesel Fraction'!$B19,'Biodiesel Fraction'!B30,0)</f>
        <v>3.0174372751623022E-2</v>
      </c>
      <c r="D7">
        <f>IF('Biodiesel Fraction'!$B19,'Biodiesel Fraction'!D30,0)</f>
        <v>3.2438802317246634E-2</v>
      </c>
      <c r="E7">
        <f>IF('Biodiesel Fraction'!$B19,'Biodiesel Fraction'!E30,0)</f>
        <v>3.782486911080353E-2</v>
      </c>
      <c r="F7">
        <f>IF('Biodiesel Fraction'!$B19,'Biodiesel Fraction'!F30,0)</f>
        <v>3.5567748669933542E-2</v>
      </c>
      <c r="G7">
        <f>IF('Biodiesel Fraction'!$B19,'Biodiesel Fraction'!G30,0)</f>
        <v>3.5254454168243979E-2</v>
      </c>
      <c r="H7">
        <f>IF('Biodiesel Fraction'!$B19,'Biodiesel Fraction'!H30,0)</f>
        <v>3.608580588664248E-2</v>
      </c>
      <c r="I7">
        <f>IF('Biodiesel Fraction'!$B19,'Biodiesel Fraction'!I30,0)</f>
        <v>2.8022389329501837E-2</v>
      </c>
      <c r="J7">
        <f>IF('Biodiesel Fraction'!$B19,'Biodiesel Fraction'!J30,0)</f>
        <v>2.997692473542508E-2</v>
      </c>
      <c r="K7">
        <f>IF('Biodiesel Fraction'!$B19,'Biodiesel Fraction'!K30,0)</f>
        <v>3.188638905111451E-2</v>
      </c>
      <c r="L7">
        <f>IF('Biodiesel Fraction'!$B19,'Biodiesel Fraction'!L30,0)</f>
        <v>3.3120166768829305E-2</v>
      </c>
      <c r="M7">
        <f>IF('Biodiesel Fraction'!$B19,'Biodiesel Fraction'!M30,0)</f>
        <v>3.3137176980726157E-2</v>
      </c>
      <c r="N7">
        <f>IF('Biodiesel Fraction'!$B19,'Biodiesel Fraction'!N30,0)</f>
        <v>3.3962635516428627E-2</v>
      </c>
      <c r="O7">
        <f>IF('Biodiesel Fraction'!$B19,'Biodiesel Fraction'!O30,0)</f>
        <v>3.3681037416752345E-2</v>
      </c>
      <c r="P7">
        <f>IF('Biodiesel Fraction'!$B19,'Biodiesel Fraction'!P30,0)</f>
        <v>3.3223817093886089E-2</v>
      </c>
      <c r="Q7">
        <f>IF('Biodiesel Fraction'!$B19,'Biodiesel Fraction'!Q30,0)</f>
        <v>3.2737788339931455E-2</v>
      </c>
      <c r="R7">
        <f>IF('Biodiesel Fraction'!$B19,'Biodiesel Fraction'!R30,0)</f>
        <v>3.2151143779781267E-2</v>
      </c>
      <c r="S7">
        <f>IF('Biodiesel Fraction'!$B19,'Biodiesel Fraction'!S30,0)</f>
        <v>3.1508534084222446E-2</v>
      </c>
      <c r="T7">
        <f>IF('Biodiesel Fraction'!$B19,'Biodiesel Fraction'!T30,0)</f>
        <v>3.0922928954735404E-2</v>
      </c>
      <c r="U7">
        <f>IF('Biodiesel Fraction'!$B19,'Biodiesel Fraction'!U30,0)</f>
        <v>3.0169980800462202E-2</v>
      </c>
      <c r="V7">
        <f>IF('Biodiesel Fraction'!$B19,'Biodiesel Fraction'!V30,0)</f>
        <v>2.9363290610877515E-2</v>
      </c>
      <c r="W7">
        <f>IF('Biodiesel Fraction'!$B19,'Biodiesel Fraction'!W30,0)</f>
        <v>2.8515704490509459E-2</v>
      </c>
      <c r="X7">
        <f>IF('Biodiesel Fraction'!$B19,'Biodiesel Fraction'!X30,0)</f>
        <v>2.7637395603848428E-2</v>
      </c>
      <c r="Y7">
        <f>IF('Biodiesel Fraction'!$B19,'Biodiesel Fraction'!Y30,0)</f>
        <v>2.6744659906316835E-2</v>
      </c>
      <c r="Z7">
        <f>IF('Biodiesel Fraction'!$B19,'Biodiesel Fraction'!Z30,0)</f>
        <v>2.5832719071569213E-2</v>
      </c>
      <c r="AA7">
        <f>IF('Biodiesel Fraction'!$B19,'Biodiesel Fraction'!AA30,0)</f>
        <v>2.4863807033253488E-2</v>
      </c>
      <c r="AB7">
        <f>IF('Biodiesel Fraction'!$B19,'Biodiesel Fraction'!AB30,0)</f>
        <v>2.3860956925018297E-2</v>
      </c>
      <c r="AC7">
        <f>IF('Biodiesel Fraction'!$B19,'Biodiesel Fraction'!AC30,0)</f>
        <v>2.2854378417662233E-2</v>
      </c>
      <c r="AD7">
        <f>IF('Biodiesel Fraction'!$B19,'Biodiesel Fraction'!AD30,0)</f>
        <v>2.1830779684516348E-2</v>
      </c>
      <c r="AE7">
        <f>IF('Biodiesel Fraction'!$B19,'Biodiesel Fraction'!AE30,0)</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BA11"/>
  <sheetViews>
    <sheetView topLeftCell="D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 t="shared" ref="AF2:AY11" si="1">AE2</f>
        <v>0.55000000000000004</v>
      </c>
      <c r="AG2">
        <f t="shared" si="1"/>
        <v>0.55000000000000004</v>
      </c>
      <c r="AH2">
        <f t="shared" si="1"/>
        <v>0.55000000000000004</v>
      </c>
      <c r="AI2">
        <f t="shared" si="1"/>
        <v>0.55000000000000004</v>
      </c>
      <c r="AJ2">
        <f t="shared" si="1"/>
        <v>0.55000000000000004</v>
      </c>
      <c r="AK2">
        <f t="shared" si="1"/>
        <v>0.55000000000000004</v>
      </c>
      <c r="AL2">
        <f t="shared" si="1"/>
        <v>0.55000000000000004</v>
      </c>
      <c r="AM2">
        <f t="shared" si="1"/>
        <v>0.55000000000000004</v>
      </c>
      <c r="AN2">
        <f t="shared" si="1"/>
        <v>0.55000000000000004</v>
      </c>
      <c r="AO2">
        <f t="shared" si="1"/>
        <v>0.55000000000000004</v>
      </c>
      <c r="AP2">
        <f t="shared" si="1"/>
        <v>0.55000000000000004</v>
      </c>
      <c r="AQ2">
        <f t="shared" si="1"/>
        <v>0.55000000000000004</v>
      </c>
      <c r="AR2">
        <f t="shared" si="1"/>
        <v>0.55000000000000004</v>
      </c>
      <c r="AS2">
        <f t="shared" si="1"/>
        <v>0.55000000000000004</v>
      </c>
      <c r="AT2">
        <f t="shared" si="1"/>
        <v>0.55000000000000004</v>
      </c>
      <c r="AU2">
        <f t="shared" si="1"/>
        <v>0.55000000000000004</v>
      </c>
      <c r="AV2">
        <f t="shared" si="1"/>
        <v>0.55000000000000004</v>
      </c>
      <c r="AW2">
        <f t="shared" si="1"/>
        <v>0.55000000000000004</v>
      </c>
      <c r="AX2">
        <f t="shared" si="1"/>
        <v>0.55000000000000004</v>
      </c>
      <c r="AY2">
        <f t="shared" si="1"/>
        <v>0.55000000000000004</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1-B2-B6</f>
        <v>0.41719740551191759</v>
      </c>
      <c r="C4" s="2">
        <f>$B$4</f>
        <v>0.41719740551191759</v>
      </c>
      <c r="D4" s="2">
        <f t="shared" ref="D4:BA4" si="2">$B$4</f>
        <v>0.41719740551191759</v>
      </c>
      <c r="E4" s="2">
        <f t="shared" si="2"/>
        <v>0.41719740551191759</v>
      </c>
      <c r="F4" s="2">
        <f t="shared" si="2"/>
        <v>0.41719740551191759</v>
      </c>
      <c r="G4" s="2">
        <f t="shared" si="2"/>
        <v>0.41719740551191759</v>
      </c>
      <c r="H4" s="2">
        <f t="shared" si="2"/>
        <v>0.41719740551191759</v>
      </c>
      <c r="I4" s="2">
        <f t="shared" si="2"/>
        <v>0.41719740551191759</v>
      </c>
      <c r="J4" s="2">
        <f t="shared" si="2"/>
        <v>0.41719740551191759</v>
      </c>
      <c r="K4" s="2">
        <f t="shared" si="2"/>
        <v>0.41719740551191759</v>
      </c>
      <c r="L4" s="2">
        <f t="shared" si="2"/>
        <v>0.41719740551191759</v>
      </c>
      <c r="M4" s="2">
        <f t="shared" si="2"/>
        <v>0.41719740551191759</v>
      </c>
      <c r="N4" s="2">
        <f t="shared" si="2"/>
        <v>0.41719740551191759</v>
      </c>
      <c r="O4" s="2">
        <f t="shared" si="2"/>
        <v>0.41719740551191759</v>
      </c>
      <c r="P4" s="2">
        <f t="shared" si="2"/>
        <v>0.41719740551191759</v>
      </c>
      <c r="Q4" s="2">
        <f t="shared" si="2"/>
        <v>0.41719740551191759</v>
      </c>
      <c r="R4" s="2">
        <f t="shared" si="2"/>
        <v>0.41719740551191759</v>
      </c>
      <c r="S4" s="2">
        <f t="shared" si="2"/>
        <v>0.41719740551191759</v>
      </c>
      <c r="T4" s="2">
        <f t="shared" si="2"/>
        <v>0.41719740551191759</v>
      </c>
      <c r="U4" s="2">
        <f t="shared" si="2"/>
        <v>0.41719740551191759</v>
      </c>
      <c r="V4" s="2">
        <f t="shared" si="2"/>
        <v>0.41719740551191759</v>
      </c>
      <c r="W4" s="2">
        <f t="shared" si="2"/>
        <v>0.41719740551191759</v>
      </c>
      <c r="X4" s="2">
        <f t="shared" si="2"/>
        <v>0.41719740551191759</v>
      </c>
      <c r="Y4" s="2">
        <f t="shared" si="2"/>
        <v>0.41719740551191759</v>
      </c>
      <c r="Z4" s="2">
        <f t="shared" si="2"/>
        <v>0.41719740551191759</v>
      </c>
      <c r="AA4" s="2">
        <f t="shared" si="2"/>
        <v>0.41719740551191759</v>
      </c>
      <c r="AB4" s="2">
        <f t="shared" si="2"/>
        <v>0.41719740551191759</v>
      </c>
      <c r="AC4" s="2">
        <f t="shared" si="2"/>
        <v>0.41719740551191759</v>
      </c>
      <c r="AD4" s="2">
        <f t="shared" si="2"/>
        <v>0.41719740551191759</v>
      </c>
      <c r="AE4" s="2">
        <f t="shared" si="2"/>
        <v>0.41719740551191759</v>
      </c>
      <c r="AF4">
        <f t="shared" si="1"/>
        <v>0.41719740551191759</v>
      </c>
      <c r="AG4">
        <f t="shared" si="1"/>
        <v>0.41719740551191759</v>
      </c>
      <c r="AH4">
        <f t="shared" si="1"/>
        <v>0.41719740551191759</v>
      </c>
      <c r="AI4">
        <f t="shared" si="1"/>
        <v>0.41719740551191759</v>
      </c>
      <c r="AJ4">
        <f t="shared" si="1"/>
        <v>0.41719740551191759</v>
      </c>
      <c r="AK4">
        <f t="shared" si="1"/>
        <v>0.41719740551191759</v>
      </c>
      <c r="AL4">
        <f t="shared" si="1"/>
        <v>0.41719740551191759</v>
      </c>
      <c r="AM4">
        <f t="shared" si="1"/>
        <v>0.41719740551191759</v>
      </c>
      <c r="AN4">
        <f t="shared" si="1"/>
        <v>0.41719740551191759</v>
      </c>
      <c r="AO4">
        <f t="shared" si="1"/>
        <v>0.41719740551191759</v>
      </c>
      <c r="AP4">
        <f t="shared" si="1"/>
        <v>0.41719740551191759</v>
      </c>
      <c r="AQ4">
        <f t="shared" si="1"/>
        <v>0.41719740551191759</v>
      </c>
      <c r="AR4">
        <f t="shared" si="1"/>
        <v>0.41719740551191759</v>
      </c>
      <c r="AS4">
        <f t="shared" si="1"/>
        <v>0.41719740551191759</v>
      </c>
      <c r="AT4">
        <f t="shared" si="1"/>
        <v>0.41719740551191759</v>
      </c>
      <c r="AU4">
        <f t="shared" si="1"/>
        <v>0.41719740551191759</v>
      </c>
      <c r="AV4">
        <f t="shared" si="1"/>
        <v>0.41719740551191759</v>
      </c>
      <c r="AW4">
        <f t="shared" si="1"/>
        <v>0.41719740551191759</v>
      </c>
      <c r="AX4">
        <f t="shared" si="1"/>
        <v>0.41719740551191759</v>
      </c>
      <c r="AY4">
        <f t="shared" si="1"/>
        <v>0.41719740551191759</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'ethanol content'!$J$3*(1-B2)</f>
        <v>3.2802594488082371E-2</v>
      </c>
      <c r="C6" s="2">
        <f>$B$6</f>
        <v>3.2802594488082371E-2</v>
      </c>
      <c r="D6" s="2">
        <f t="shared" ref="D6:BA6" si="3">$B$6</f>
        <v>3.2802594488082371E-2</v>
      </c>
      <c r="E6" s="2">
        <f t="shared" si="3"/>
        <v>3.2802594488082371E-2</v>
      </c>
      <c r="F6" s="2">
        <f t="shared" si="3"/>
        <v>3.2802594488082371E-2</v>
      </c>
      <c r="G6" s="2">
        <f t="shared" si="3"/>
        <v>3.2802594488082371E-2</v>
      </c>
      <c r="H6" s="2">
        <f t="shared" si="3"/>
        <v>3.2802594488082371E-2</v>
      </c>
      <c r="I6" s="2">
        <f t="shared" si="3"/>
        <v>3.2802594488082371E-2</v>
      </c>
      <c r="J6" s="2">
        <f t="shared" si="3"/>
        <v>3.2802594488082371E-2</v>
      </c>
      <c r="K6" s="2">
        <f t="shared" si="3"/>
        <v>3.2802594488082371E-2</v>
      </c>
      <c r="L6" s="2">
        <f t="shared" si="3"/>
        <v>3.2802594488082371E-2</v>
      </c>
      <c r="M6" s="2">
        <f t="shared" si="3"/>
        <v>3.2802594488082371E-2</v>
      </c>
      <c r="N6" s="2">
        <f t="shared" si="3"/>
        <v>3.2802594488082371E-2</v>
      </c>
      <c r="O6" s="2">
        <f t="shared" si="3"/>
        <v>3.2802594488082371E-2</v>
      </c>
      <c r="P6" s="2">
        <f t="shared" si="3"/>
        <v>3.2802594488082371E-2</v>
      </c>
      <c r="Q6" s="2">
        <f t="shared" si="3"/>
        <v>3.2802594488082371E-2</v>
      </c>
      <c r="R6" s="2">
        <f t="shared" si="3"/>
        <v>3.2802594488082371E-2</v>
      </c>
      <c r="S6" s="2">
        <f t="shared" si="3"/>
        <v>3.2802594488082371E-2</v>
      </c>
      <c r="T6" s="2">
        <f t="shared" si="3"/>
        <v>3.2802594488082371E-2</v>
      </c>
      <c r="U6" s="2">
        <f t="shared" si="3"/>
        <v>3.2802594488082371E-2</v>
      </c>
      <c r="V6" s="2">
        <f t="shared" si="3"/>
        <v>3.2802594488082371E-2</v>
      </c>
      <c r="W6" s="2">
        <f t="shared" si="3"/>
        <v>3.2802594488082371E-2</v>
      </c>
      <c r="X6" s="2">
        <f t="shared" si="3"/>
        <v>3.2802594488082371E-2</v>
      </c>
      <c r="Y6" s="2">
        <f t="shared" si="3"/>
        <v>3.2802594488082371E-2</v>
      </c>
      <c r="Z6" s="2">
        <f t="shared" si="3"/>
        <v>3.2802594488082371E-2</v>
      </c>
      <c r="AA6" s="2">
        <f t="shared" si="3"/>
        <v>3.2802594488082371E-2</v>
      </c>
      <c r="AB6" s="2">
        <f t="shared" si="3"/>
        <v>3.2802594488082371E-2</v>
      </c>
      <c r="AC6" s="2">
        <f t="shared" si="3"/>
        <v>3.2802594488082371E-2</v>
      </c>
      <c r="AD6" s="2">
        <f t="shared" si="3"/>
        <v>3.2802594488082371E-2</v>
      </c>
      <c r="AE6" s="2">
        <f t="shared" si="3"/>
        <v>3.2802594488082371E-2</v>
      </c>
      <c r="AF6">
        <f t="shared" si="1"/>
        <v>3.2802594488082371E-2</v>
      </c>
      <c r="AG6">
        <f t="shared" si="1"/>
        <v>3.2802594488082371E-2</v>
      </c>
      <c r="AH6">
        <f t="shared" si="1"/>
        <v>3.2802594488082371E-2</v>
      </c>
      <c r="AI6">
        <f t="shared" si="1"/>
        <v>3.2802594488082371E-2</v>
      </c>
      <c r="AJ6">
        <f t="shared" si="1"/>
        <v>3.2802594488082371E-2</v>
      </c>
      <c r="AK6">
        <f t="shared" si="1"/>
        <v>3.2802594488082371E-2</v>
      </c>
      <c r="AL6">
        <f t="shared" si="1"/>
        <v>3.2802594488082371E-2</v>
      </c>
      <c r="AM6">
        <f t="shared" si="1"/>
        <v>3.2802594488082371E-2</v>
      </c>
      <c r="AN6">
        <f t="shared" si="1"/>
        <v>3.2802594488082371E-2</v>
      </c>
      <c r="AO6">
        <f t="shared" si="1"/>
        <v>3.2802594488082371E-2</v>
      </c>
      <c r="AP6">
        <f t="shared" si="1"/>
        <v>3.2802594488082371E-2</v>
      </c>
      <c r="AQ6">
        <f t="shared" si="1"/>
        <v>3.2802594488082371E-2</v>
      </c>
      <c r="AR6">
        <f t="shared" si="1"/>
        <v>3.2802594488082371E-2</v>
      </c>
      <c r="AS6">
        <f t="shared" si="1"/>
        <v>3.2802594488082371E-2</v>
      </c>
      <c r="AT6">
        <f t="shared" si="1"/>
        <v>3.2802594488082371E-2</v>
      </c>
      <c r="AU6">
        <f t="shared" si="1"/>
        <v>3.2802594488082371E-2</v>
      </c>
      <c r="AV6">
        <f t="shared" si="1"/>
        <v>3.2802594488082371E-2</v>
      </c>
      <c r="AW6">
        <f t="shared" si="1"/>
        <v>3.2802594488082371E-2</v>
      </c>
      <c r="AX6">
        <f t="shared" si="1"/>
        <v>3.2802594488082371E-2</v>
      </c>
      <c r="AY6">
        <f t="shared" si="1"/>
        <v>3.2802594488082371E-2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ignoredErrors>
    <ignoredError sqref="B5:C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Y11"/>
  <sheetViews>
    <sheetView topLeftCell="AD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BA11"/>
  <sheetViews>
    <sheetView topLeftCell="D1" workbookViewId="0">
      <selection activeCell="AF1" sqref="AF1:AY11"/>
    </sheetView>
  </sheetViews>
  <sheetFormatPr defaultColWidth="8.85546875" defaultRowHeight="15"/>
  <cols>
    <col min="1" max="1" width="22.42578125" customWidth="1"/>
  </cols>
  <sheetData>
    <row r="1" spans="1:53"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 t="shared" ref="B4:AE4" si="2">1-B6</f>
        <v>0.92710534558203916</v>
      </c>
      <c r="C4" s="2">
        <f t="shared" si="2"/>
        <v>0.92710534558203916</v>
      </c>
      <c r="D4" s="2">
        <f t="shared" si="2"/>
        <v>0.92710534558203916</v>
      </c>
      <c r="E4" s="2">
        <f t="shared" si="2"/>
        <v>0.92710534558203916</v>
      </c>
      <c r="F4" s="2">
        <f t="shared" si="2"/>
        <v>0.92710534558203916</v>
      </c>
      <c r="G4" s="2">
        <f t="shared" si="2"/>
        <v>0.92710534558203916</v>
      </c>
      <c r="H4" s="2">
        <f t="shared" si="2"/>
        <v>0.92710534558203916</v>
      </c>
      <c r="I4" s="2">
        <f t="shared" si="2"/>
        <v>0.92710534558203916</v>
      </c>
      <c r="J4" s="2">
        <f t="shared" si="2"/>
        <v>0.92710534558203916</v>
      </c>
      <c r="K4" s="2">
        <f t="shared" si="2"/>
        <v>0.92710534558203916</v>
      </c>
      <c r="L4" s="2">
        <f t="shared" si="2"/>
        <v>0.92710534558203916</v>
      </c>
      <c r="M4" s="2">
        <f t="shared" si="2"/>
        <v>0.92710534558203916</v>
      </c>
      <c r="N4" s="2">
        <f t="shared" si="2"/>
        <v>0.92710534558203916</v>
      </c>
      <c r="O4" s="2">
        <f t="shared" si="2"/>
        <v>0.92710534558203916</v>
      </c>
      <c r="P4" s="2">
        <f t="shared" si="2"/>
        <v>0.92710534558203916</v>
      </c>
      <c r="Q4" s="2">
        <f t="shared" si="2"/>
        <v>0.92710534558203916</v>
      </c>
      <c r="R4" s="2">
        <f t="shared" si="2"/>
        <v>0.92710534558203916</v>
      </c>
      <c r="S4" s="2">
        <f t="shared" si="2"/>
        <v>0.92710534558203916</v>
      </c>
      <c r="T4" s="2">
        <f t="shared" si="2"/>
        <v>0.92710534558203916</v>
      </c>
      <c r="U4" s="2">
        <f t="shared" si="2"/>
        <v>0.92710534558203916</v>
      </c>
      <c r="V4" s="2">
        <f t="shared" si="2"/>
        <v>0.92710534558203916</v>
      </c>
      <c r="W4" s="2">
        <f t="shared" si="2"/>
        <v>0.92710534558203916</v>
      </c>
      <c r="X4" s="2">
        <f t="shared" si="2"/>
        <v>0.92710534558203916</v>
      </c>
      <c r="Y4" s="2">
        <f t="shared" si="2"/>
        <v>0.92710534558203916</v>
      </c>
      <c r="Z4" s="2">
        <f t="shared" si="2"/>
        <v>0.92710534558203916</v>
      </c>
      <c r="AA4" s="2">
        <f t="shared" si="2"/>
        <v>0.92710534558203916</v>
      </c>
      <c r="AB4" s="2">
        <f t="shared" si="2"/>
        <v>0.92710534558203916</v>
      </c>
      <c r="AC4" s="2">
        <f t="shared" si="2"/>
        <v>0.92710534558203916</v>
      </c>
      <c r="AD4" s="2">
        <f t="shared" si="2"/>
        <v>0.92710534558203916</v>
      </c>
      <c r="AE4" s="2">
        <f t="shared" si="2"/>
        <v>0.92710534558203916</v>
      </c>
      <c r="AF4">
        <f t="shared" si="1"/>
        <v>0.92710534558203916</v>
      </c>
      <c r="AG4">
        <f t="shared" si="1"/>
        <v>0.92710534558203916</v>
      </c>
      <c r="AH4">
        <f t="shared" si="1"/>
        <v>0.92710534558203916</v>
      </c>
      <c r="AI4">
        <f t="shared" si="1"/>
        <v>0.92710534558203916</v>
      </c>
      <c r="AJ4">
        <f t="shared" si="1"/>
        <v>0.92710534558203916</v>
      </c>
      <c r="AK4">
        <f t="shared" si="1"/>
        <v>0.92710534558203916</v>
      </c>
      <c r="AL4">
        <f t="shared" si="1"/>
        <v>0.92710534558203916</v>
      </c>
      <c r="AM4">
        <f t="shared" si="1"/>
        <v>0.92710534558203916</v>
      </c>
      <c r="AN4">
        <f t="shared" si="1"/>
        <v>0.92710534558203916</v>
      </c>
      <c r="AO4">
        <f t="shared" si="1"/>
        <v>0.92710534558203916</v>
      </c>
      <c r="AP4">
        <f t="shared" si="1"/>
        <v>0.92710534558203916</v>
      </c>
      <c r="AQ4">
        <f t="shared" si="1"/>
        <v>0.92710534558203916</v>
      </c>
      <c r="AR4">
        <f t="shared" si="1"/>
        <v>0.92710534558203916</v>
      </c>
      <c r="AS4">
        <f t="shared" si="1"/>
        <v>0.92710534558203916</v>
      </c>
      <c r="AT4">
        <f t="shared" si="1"/>
        <v>0.92710534558203916</v>
      </c>
      <c r="AU4">
        <f t="shared" si="1"/>
        <v>0.92710534558203916</v>
      </c>
      <c r="AV4">
        <f t="shared" si="1"/>
        <v>0.92710534558203916</v>
      </c>
      <c r="AW4">
        <f t="shared" si="1"/>
        <v>0.92710534558203916</v>
      </c>
      <c r="AX4">
        <f t="shared" si="1"/>
        <v>0.92710534558203916</v>
      </c>
      <c r="AY4">
        <f t="shared" si="1"/>
        <v>0.92710534558203916</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'ethanol content'!$J$3</f>
        <v>7.2894654417960836E-2</v>
      </c>
      <c r="C6" s="2">
        <f>$B$6</f>
        <v>7.2894654417960836E-2</v>
      </c>
      <c r="D6" s="2">
        <f t="shared" ref="D6:BA6" si="3">$B$6</f>
        <v>7.2894654417960836E-2</v>
      </c>
      <c r="E6" s="2">
        <f t="shared" si="3"/>
        <v>7.2894654417960836E-2</v>
      </c>
      <c r="F6" s="2">
        <f t="shared" si="3"/>
        <v>7.2894654417960836E-2</v>
      </c>
      <c r="G6" s="2">
        <f t="shared" si="3"/>
        <v>7.2894654417960836E-2</v>
      </c>
      <c r="H6" s="2">
        <f t="shared" si="3"/>
        <v>7.2894654417960836E-2</v>
      </c>
      <c r="I6" s="2">
        <f t="shared" si="3"/>
        <v>7.2894654417960836E-2</v>
      </c>
      <c r="J6" s="2">
        <f t="shared" si="3"/>
        <v>7.2894654417960836E-2</v>
      </c>
      <c r="K6" s="2">
        <f t="shared" si="3"/>
        <v>7.2894654417960836E-2</v>
      </c>
      <c r="L6" s="2">
        <f t="shared" si="3"/>
        <v>7.2894654417960836E-2</v>
      </c>
      <c r="M6" s="2">
        <f t="shared" si="3"/>
        <v>7.2894654417960836E-2</v>
      </c>
      <c r="N6" s="2">
        <f t="shared" si="3"/>
        <v>7.2894654417960836E-2</v>
      </c>
      <c r="O6" s="2">
        <f t="shared" si="3"/>
        <v>7.2894654417960836E-2</v>
      </c>
      <c r="P6" s="2">
        <f t="shared" si="3"/>
        <v>7.2894654417960836E-2</v>
      </c>
      <c r="Q6" s="2">
        <f t="shared" si="3"/>
        <v>7.2894654417960836E-2</v>
      </c>
      <c r="R6" s="2">
        <f t="shared" si="3"/>
        <v>7.2894654417960836E-2</v>
      </c>
      <c r="S6" s="2">
        <f t="shared" si="3"/>
        <v>7.2894654417960836E-2</v>
      </c>
      <c r="T6" s="2">
        <f t="shared" si="3"/>
        <v>7.2894654417960836E-2</v>
      </c>
      <c r="U6" s="2">
        <f t="shared" si="3"/>
        <v>7.2894654417960836E-2</v>
      </c>
      <c r="V6" s="2">
        <f t="shared" si="3"/>
        <v>7.2894654417960836E-2</v>
      </c>
      <c r="W6" s="2">
        <f t="shared" si="3"/>
        <v>7.2894654417960836E-2</v>
      </c>
      <c r="X6" s="2">
        <f t="shared" si="3"/>
        <v>7.2894654417960836E-2</v>
      </c>
      <c r="Y6" s="2">
        <f t="shared" si="3"/>
        <v>7.2894654417960836E-2</v>
      </c>
      <c r="Z6" s="2">
        <f t="shared" si="3"/>
        <v>7.2894654417960836E-2</v>
      </c>
      <c r="AA6" s="2">
        <f t="shared" si="3"/>
        <v>7.2894654417960836E-2</v>
      </c>
      <c r="AB6" s="2">
        <f t="shared" si="3"/>
        <v>7.2894654417960836E-2</v>
      </c>
      <c r="AC6" s="2">
        <f t="shared" si="3"/>
        <v>7.2894654417960836E-2</v>
      </c>
      <c r="AD6" s="2">
        <f t="shared" si="3"/>
        <v>7.2894654417960836E-2</v>
      </c>
      <c r="AE6" s="2">
        <f t="shared" si="3"/>
        <v>7.2894654417960836E-2</v>
      </c>
      <c r="AF6">
        <f t="shared" si="1"/>
        <v>7.2894654417960836E-2</v>
      </c>
      <c r="AG6">
        <f t="shared" si="1"/>
        <v>7.2894654417960836E-2</v>
      </c>
      <c r="AH6">
        <f t="shared" si="1"/>
        <v>7.2894654417960836E-2</v>
      </c>
      <c r="AI6">
        <f t="shared" si="1"/>
        <v>7.2894654417960836E-2</v>
      </c>
      <c r="AJ6">
        <f t="shared" si="1"/>
        <v>7.2894654417960836E-2</v>
      </c>
      <c r="AK6">
        <f t="shared" si="1"/>
        <v>7.2894654417960836E-2</v>
      </c>
      <c r="AL6">
        <f t="shared" si="1"/>
        <v>7.2894654417960836E-2</v>
      </c>
      <c r="AM6">
        <f t="shared" si="1"/>
        <v>7.2894654417960836E-2</v>
      </c>
      <c r="AN6">
        <f t="shared" si="1"/>
        <v>7.2894654417960836E-2</v>
      </c>
      <c r="AO6">
        <f t="shared" si="1"/>
        <v>7.2894654417960836E-2</v>
      </c>
      <c r="AP6">
        <f t="shared" si="1"/>
        <v>7.2894654417960836E-2</v>
      </c>
      <c r="AQ6">
        <f t="shared" si="1"/>
        <v>7.2894654417960836E-2</v>
      </c>
      <c r="AR6">
        <f t="shared" si="1"/>
        <v>7.2894654417960836E-2</v>
      </c>
      <c r="AS6">
        <f t="shared" si="1"/>
        <v>7.2894654417960836E-2</v>
      </c>
      <c r="AT6">
        <f t="shared" si="1"/>
        <v>7.2894654417960836E-2</v>
      </c>
      <c r="AU6">
        <f t="shared" si="1"/>
        <v>7.2894654417960836E-2</v>
      </c>
      <c r="AV6">
        <f t="shared" si="1"/>
        <v>7.2894654417960836E-2</v>
      </c>
      <c r="AW6">
        <f t="shared" si="1"/>
        <v>7.2894654417960836E-2</v>
      </c>
      <c r="AX6">
        <f t="shared" si="1"/>
        <v>7.2894654417960836E-2</v>
      </c>
      <c r="AY6">
        <f t="shared" si="1"/>
        <v>7.2894654417960836E-2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Fraction'!$B20,1-'Biodiesel Fraction'!B30,1)</f>
        <v>0.96982562724837695</v>
      </c>
      <c r="C5">
        <f>IF('Biodiesel Fraction'!$B20,1-'Biodiesel Fraction'!B30,1)</f>
        <v>0.96982562724837695</v>
      </c>
      <c r="D5">
        <f>IF('Biodiesel Fraction'!$B20,1-'Biodiesel Fraction'!D30,1)</f>
        <v>0.96756119768275339</v>
      </c>
      <c r="E5">
        <f>IF('Biodiesel Fraction'!$B20,1-'Biodiesel Fraction'!E30,1)</f>
        <v>0.96217513088919648</v>
      </c>
      <c r="F5">
        <f>IF('Biodiesel Fraction'!$B20,1-'Biodiesel Fraction'!F30,1)</f>
        <v>0.96443225133006649</v>
      </c>
      <c r="G5">
        <f>IF('Biodiesel Fraction'!$B20,1-'Biodiesel Fraction'!G30,1)</f>
        <v>0.96474554583175598</v>
      </c>
      <c r="H5">
        <f>IF('Biodiesel Fraction'!$B20,1-'Biodiesel Fraction'!H30,1)</f>
        <v>0.96391419411335755</v>
      </c>
      <c r="I5">
        <f>IF('Biodiesel Fraction'!$B20,1-'Biodiesel Fraction'!I30,1)</f>
        <v>0.97197761067049815</v>
      </c>
      <c r="J5">
        <f>IF('Biodiesel Fraction'!$B20,1-'Biodiesel Fraction'!J30,1)</f>
        <v>0.97002307526457487</v>
      </c>
      <c r="K5">
        <f>IF('Biodiesel Fraction'!$B20,1-'Biodiesel Fraction'!K30,1)</f>
        <v>0.96811361094888548</v>
      </c>
      <c r="L5">
        <f>IF('Biodiesel Fraction'!$B20,1-'Biodiesel Fraction'!L30,1)</f>
        <v>0.96687983323117066</v>
      </c>
      <c r="M5">
        <f>IF('Biodiesel Fraction'!$B20,1-'Biodiesel Fraction'!M30,1)</f>
        <v>0.96686282301927384</v>
      </c>
      <c r="N5">
        <f>IF('Biodiesel Fraction'!$B20,1-'Biodiesel Fraction'!N30,1)</f>
        <v>0.96603736448357136</v>
      </c>
      <c r="O5">
        <f>IF('Biodiesel Fraction'!$B20,1-'Biodiesel Fraction'!O30,1)</f>
        <v>0.96631896258324768</v>
      </c>
      <c r="P5">
        <f>IF('Biodiesel Fraction'!$B20,1-'Biodiesel Fraction'!P30,1)</f>
        <v>0.96677618290611389</v>
      </c>
      <c r="Q5">
        <f>IF('Biodiesel Fraction'!$B20,1-'Biodiesel Fraction'!Q30,1)</f>
        <v>0.96726221166006854</v>
      </c>
      <c r="R5">
        <f>IF('Biodiesel Fraction'!$B20,1-'Biodiesel Fraction'!R30,1)</f>
        <v>0.96784885622021877</v>
      </c>
      <c r="S5">
        <f>IF('Biodiesel Fraction'!$B20,1-'Biodiesel Fraction'!S30,1)</f>
        <v>0.96849146591577751</v>
      </c>
      <c r="T5">
        <f>IF('Biodiesel Fraction'!$B20,1-'Biodiesel Fraction'!T30,1)</f>
        <v>0.96907707104526464</v>
      </c>
      <c r="U5">
        <f>IF('Biodiesel Fraction'!$B20,1-'Biodiesel Fraction'!U30,1)</f>
        <v>0.96983001919953782</v>
      </c>
      <c r="V5">
        <f>IF('Biodiesel Fraction'!$B20,1-'Biodiesel Fraction'!V30,1)</f>
        <v>0.9706367093891225</v>
      </c>
      <c r="W5">
        <f>IF('Biodiesel Fraction'!$B20,1-'Biodiesel Fraction'!W30,1)</f>
        <v>0.97148429550949056</v>
      </c>
      <c r="X5">
        <f>IF('Biodiesel Fraction'!$B20,1-'Biodiesel Fraction'!X30,1)</f>
        <v>0.97236260439615152</v>
      </c>
      <c r="Y5">
        <f>IF('Biodiesel Fraction'!$B20,1-'Biodiesel Fraction'!Y30,1)</f>
        <v>0.9732553400936832</v>
      </c>
      <c r="Z5">
        <f>IF('Biodiesel Fraction'!$B20,1-'Biodiesel Fraction'!Z30,1)</f>
        <v>0.97416728092843075</v>
      </c>
      <c r="AA5">
        <f>IF('Biodiesel Fraction'!$B20,1-'Biodiesel Fraction'!AA30,1)</f>
        <v>0.97513619296674647</v>
      </c>
      <c r="AB5">
        <f>IF('Biodiesel Fraction'!$B20,1-'Biodiesel Fraction'!AB30,1)</f>
        <v>0.97613904307498167</v>
      </c>
      <c r="AC5">
        <f>IF('Biodiesel Fraction'!$B20,1-'Biodiesel Fraction'!AC30,1)</f>
        <v>0.97714562158233775</v>
      </c>
      <c r="AD5">
        <f>IF('Biodiesel Fraction'!$B20,1-'Biodiesel Fraction'!AD30,1)</f>
        <v>0.9781692203154837</v>
      </c>
      <c r="AE5">
        <f>IF('Biodiesel Fraction'!$B20,1-'Biodiesel Fraction'!AE30,1)</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Fraction'!$B20,'Biodiesel Fraction'!B30,0)</f>
        <v>3.0174372751623022E-2</v>
      </c>
      <c r="C7">
        <f>IF('Biodiesel Fraction'!$B20,'Biodiesel Fraction'!B30,0)</f>
        <v>3.0174372751623022E-2</v>
      </c>
      <c r="D7">
        <f>IF('Biodiesel Fraction'!$B20,'Biodiesel Fraction'!D30,0)</f>
        <v>3.2438802317246634E-2</v>
      </c>
      <c r="E7">
        <f>IF('Biodiesel Fraction'!$B20,'Biodiesel Fraction'!E30,0)</f>
        <v>3.782486911080353E-2</v>
      </c>
      <c r="F7">
        <f>IF('Biodiesel Fraction'!$B20,'Biodiesel Fraction'!F30,0)</f>
        <v>3.5567748669933542E-2</v>
      </c>
      <c r="G7">
        <f>IF('Biodiesel Fraction'!$B20,'Biodiesel Fraction'!G30,0)</f>
        <v>3.5254454168243979E-2</v>
      </c>
      <c r="H7">
        <f>IF('Biodiesel Fraction'!$B20,'Biodiesel Fraction'!H30,0)</f>
        <v>3.608580588664248E-2</v>
      </c>
      <c r="I7">
        <f>IF('Biodiesel Fraction'!$B20,'Biodiesel Fraction'!I30,0)</f>
        <v>2.8022389329501837E-2</v>
      </c>
      <c r="J7">
        <f>IF('Biodiesel Fraction'!$B20,'Biodiesel Fraction'!J30,0)</f>
        <v>2.997692473542508E-2</v>
      </c>
      <c r="K7">
        <f>IF('Biodiesel Fraction'!$B20,'Biodiesel Fraction'!K30,0)</f>
        <v>3.188638905111451E-2</v>
      </c>
      <c r="L7">
        <f>IF('Biodiesel Fraction'!$B20,'Biodiesel Fraction'!L30,0)</f>
        <v>3.3120166768829305E-2</v>
      </c>
      <c r="M7">
        <f>IF('Biodiesel Fraction'!$B20,'Biodiesel Fraction'!M30,0)</f>
        <v>3.3137176980726157E-2</v>
      </c>
      <c r="N7">
        <f>IF('Biodiesel Fraction'!$B20,'Biodiesel Fraction'!N30,0)</f>
        <v>3.3962635516428627E-2</v>
      </c>
      <c r="O7">
        <f>IF('Biodiesel Fraction'!$B20,'Biodiesel Fraction'!O30,0)</f>
        <v>3.3681037416752345E-2</v>
      </c>
      <c r="P7">
        <f>IF('Biodiesel Fraction'!$B20,'Biodiesel Fraction'!P30,0)</f>
        <v>3.3223817093886089E-2</v>
      </c>
      <c r="Q7">
        <f>IF('Biodiesel Fraction'!$B20,'Biodiesel Fraction'!Q30,0)</f>
        <v>3.2737788339931455E-2</v>
      </c>
      <c r="R7">
        <f>IF('Biodiesel Fraction'!$B20,'Biodiesel Fraction'!R30,0)</f>
        <v>3.2151143779781267E-2</v>
      </c>
      <c r="S7">
        <f>IF('Biodiesel Fraction'!$B20,'Biodiesel Fraction'!S30,0)</f>
        <v>3.1508534084222446E-2</v>
      </c>
      <c r="T7">
        <f>IF('Biodiesel Fraction'!$B20,'Biodiesel Fraction'!T30,0)</f>
        <v>3.0922928954735404E-2</v>
      </c>
      <c r="U7">
        <f>IF('Biodiesel Fraction'!$B20,'Biodiesel Fraction'!U30,0)</f>
        <v>3.0169980800462202E-2</v>
      </c>
      <c r="V7">
        <f>IF('Biodiesel Fraction'!$B20,'Biodiesel Fraction'!V30,0)</f>
        <v>2.9363290610877515E-2</v>
      </c>
      <c r="W7">
        <f>IF('Biodiesel Fraction'!$B20,'Biodiesel Fraction'!W30,0)</f>
        <v>2.8515704490509459E-2</v>
      </c>
      <c r="X7">
        <f>IF('Biodiesel Fraction'!$B20,'Biodiesel Fraction'!X30,0)</f>
        <v>2.7637395603848428E-2</v>
      </c>
      <c r="Y7">
        <f>IF('Biodiesel Fraction'!$B20,'Biodiesel Fraction'!Y30,0)</f>
        <v>2.6744659906316835E-2</v>
      </c>
      <c r="Z7">
        <f>IF('Biodiesel Fraction'!$B20,'Biodiesel Fraction'!Z30,0)</f>
        <v>2.5832719071569213E-2</v>
      </c>
      <c r="AA7">
        <f>IF('Biodiesel Fraction'!$B20,'Biodiesel Fraction'!AA30,0)</f>
        <v>2.4863807033253488E-2</v>
      </c>
      <c r="AB7">
        <f>IF('Biodiesel Fraction'!$B20,'Biodiesel Fraction'!AB30,0)</f>
        <v>2.3860956925018297E-2</v>
      </c>
      <c r="AC7">
        <f>IF('Biodiesel Fraction'!$B20,'Biodiesel Fraction'!AC30,0)</f>
        <v>2.2854378417662233E-2</v>
      </c>
      <c r="AD7">
        <f>IF('Biodiesel Fraction'!$B20,'Biodiesel Fraction'!AD30,0)</f>
        <v>2.1830779684516348E-2</v>
      </c>
      <c r="AE7">
        <f>IF('Biodiesel Fraction'!$B20,'Biodiesel Fraction'!AE30,0)</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 t="shared" ref="AF2:AY11" si="1">AE2</f>
        <v>0.55000000000000004</v>
      </c>
      <c r="AG2">
        <f t="shared" si="1"/>
        <v>0.55000000000000004</v>
      </c>
      <c r="AH2">
        <f t="shared" si="1"/>
        <v>0.55000000000000004</v>
      </c>
      <c r="AI2">
        <f t="shared" si="1"/>
        <v>0.55000000000000004</v>
      </c>
      <c r="AJ2">
        <f t="shared" si="1"/>
        <v>0.55000000000000004</v>
      </c>
      <c r="AK2">
        <f t="shared" si="1"/>
        <v>0.55000000000000004</v>
      </c>
      <c r="AL2">
        <f t="shared" si="1"/>
        <v>0.55000000000000004</v>
      </c>
      <c r="AM2">
        <f t="shared" si="1"/>
        <v>0.55000000000000004</v>
      </c>
      <c r="AN2">
        <f t="shared" si="1"/>
        <v>0.55000000000000004</v>
      </c>
      <c r="AO2">
        <f t="shared" si="1"/>
        <v>0.55000000000000004</v>
      </c>
      <c r="AP2">
        <f t="shared" si="1"/>
        <v>0.55000000000000004</v>
      </c>
      <c r="AQ2">
        <f t="shared" si="1"/>
        <v>0.55000000000000004</v>
      </c>
      <c r="AR2">
        <f t="shared" si="1"/>
        <v>0.55000000000000004</v>
      </c>
      <c r="AS2">
        <f t="shared" si="1"/>
        <v>0.55000000000000004</v>
      </c>
      <c r="AT2">
        <f t="shared" si="1"/>
        <v>0.55000000000000004</v>
      </c>
      <c r="AU2">
        <f t="shared" si="1"/>
        <v>0.55000000000000004</v>
      </c>
      <c r="AV2">
        <f t="shared" si="1"/>
        <v>0.55000000000000004</v>
      </c>
      <c r="AW2">
        <f t="shared" si="1"/>
        <v>0.55000000000000004</v>
      </c>
      <c r="AX2">
        <f t="shared" si="1"/>
        <v>0.55000000000000004</v>
      </c>
      <c r="AY2">
        <f t="shared" si="1"/>
        <v>0.55000000000000004</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Fraction'!$B20,1-'Biodiesel Fraction'!B30,1)*(1-B2)</f>
        <v>0.43642153226176961</v>
      </c>
      <c r="C5">
        <f>IF('Biodiesel Fraction'!$B20,1-'Biodiesel Fraction'!B30,1)*(1-C2)</f>
        <v>0.43642153226176961</v>
      </c>
      <c r="D5">
        <f>IF('Biodiesel Fraction'!$B20,1-'Biodiesel Fraction'!D30,1)*(1-D2)</f>
        <v>0.43540253895723896</v>
      </c>
      <c r="E5">
        <f>IF('Biodiesel Fraction'!$B20,1-'Biodiesel Fraction'!E30,1)*(1-E2)</f>
        <v>0.4329788089001384</v>
      </c>
      <c r="F5">
        <f>IF('Biodiesel Fraction'!$B20,1-'Biodiesel Fraction'!F30,1)*(1-F2)</f>
        <v>0.43399451309852988</v>
      </c>
      <c r="G5">
        <f>IF('Biodiesel Fraction'!$B20,1-'Biodiesel Fraction'!G30,1)*(1-G2)</f>
        <v>0.43413549562429016</v>
      </c>
      <c r="H5">
        <f>IF('Biodiesel Fraction'!$B20,1-'Biodiesel Fraction'!H30,1)*(1-H2)</f>
        <v>0.43376138735101083</v>
      </c>
      <c r="I5">
        <f>IF('Biodiesel Fraction'!$B20,1-'Biodiesel Fraction'!I30,1)*(1-I2)</f>
        <v>0.43738992480172412</v>
      </c>
      <c r="J5">
        <f>IF('Biodiesel Fraction'!$B20,1-'Biodiesel Fraction'!J30,1)*(1-J2)</f>
        <v>0.43651038386905866</v>
      </c>
      <c r="K5">
        <f>IF('Biodiesel Fraction'!$B20,1-'Biodiesel Fraction'!K30,1)*(1-K2)</f>
        <v>0.43565112492699842</v>
      </c>
      <c r="L5">
        <f>IF('Biodiesel Fraction'!$B20,1-'Biodiesel Fraction'!L30,1)*(1-L2)</f>
        <v>0.43509592495402677</v>
      </c>
      <c r="M5">
        <f>IF('Biodiesel Fraction'!$B20,1-'Biodiesel Fraction'!M30,1)*(1-M2)</f>
        <v>0.4350882703586732</v>
      </c>
      <c r="N5">
        <f>IF('Biodiesel Fraction'!$B20,1-'Biodiesel Fraction'!N30,1)*(1-N2)</f>
        <v>0.43471681401760709</v>
      </c>
      <c r="O5">
        <f>IF('Biodiesel Fraction'!$B20,1-'Biodiesel Fraction'!O30,1)*(1-O2)</f>
        <v>0.43484353316246144</v>
      </c>
      <c r="P5">
        <f>IF('Biodiesel Fraction'!$B20,1-'Biodiesel Fraction'!P30,1)*(1-P2)</f>
        <v>0.4350492823077512</v>
      </c>
      <c r="Q5">
        <f>IF('Biodiesel Fraction'!$B20,1-'Biodiesel Fraction'!Q30,1)*(1-Q2)</f>
        <v>0.4352679952470308</v>
      </c>
      <c r="R5">
        <f>IF('Biodiesel Fraction'!$B20,1-'Biodiesel Fraction'!R30,1)*(1-R2)</f>
        <v>0.43553198529909842</v>
      </c>
      <c r="S5">
        <f>IF('Biodiesel Fraction'!$B20,1-'Biodiesel Fraction'!S30,1)*(1-S2)</f>
        <v>0.43582115966209983</v>
      </c>
      <c r="T5">
        <f>IF('Biodiesel Fraction'!$B20,1-'Biodiesel Fraction'!T30,1)*(1-T2)</f>
        <v>0.43608468197036904</v>
      </c>
      <c r="U5">
        <f>IF('Biodiesel Fraction'!$B20,1-'Biodiesel Fraction'!U30,1)*(1-U2)</f>
        <v>0.43642350863979196</v>
      </c>
      <c r="V5">
        <f>IF('Biodiesel Fraction'!$B20,1-'Biodiesel Fraction'!V30,1)*(1-V2)</f>
        <v>0.43678651922510509</v>
      </c>
      <c r="W5">
        <f>IF('Biodiesel Fraction'!$B20,1-'Biodiesel Fraction'!W30,1)*(1-W2)</f>
        <v>0.4371679329792707</v>
      </c>
      <c r="X5">
        <f>IF('Biodiesel Fraction'!$B20,1-'Biodiesel Fraction'!X30,1)*(1-X2)</f>
        <v>0.43756317197826816</v>
      </c>
      <c r="Y5">
        <f>IF('Biodiesel Fraction'!$B20,1-'Biodiesel Fraction'!Y30,1)*(1-Y2)</f>
        <v>0.43796490304215741</v>
      </c>
      <c r="Z5">
        <f>IF('Biodiesel Fraction'!$B20,1-'Biodiesel Fraction'!Z30,1)*(1-Z2)</f>
        <v>0.43837527641779378</v>
      </c>
      <c r="AA5">
        <f>IF('Biodiesel Fraction'!$B20,1-'Biodiesel Fraction'!AA30,1)*(1-AA2)</f>
        <v>0.4388112868350359</v>
      </c>
      <c r="AB5">
        <f>IF('Biodiesel Fraction'!$B20,1-'Biodiesel Fraction'!AB30,1)*(1-AB2)</f>
        <v>0.4392625693837417</v>
      </c>
      <c r="AC5">
        <f>IF('Biodiesel Fraction'!$B20,1-'Biodiesel Fraction'!AC30,1)*(1-AC2)</f>
        <v>0.43971552971205197</v>
      </c>
      <c r="AD5">
        <f>IF('Biodiesel Fraction'!$B20,1-'Biodiesel Fraction'!AD30,1)*(1-AD2)</f>
        <v>0.44017614914196762</v>
      </c>
      <c r="AE5">
        <f>IF('Biodiesel Fraction'!$B20,1-'Biodiesel Fraction'!AE30,1)*(1-AE2)</f>
        <v>0.44066382160433976</v>
      </c>
      <c r="AF5">
        <f t="shared" si="1"/>
        <v>0.44066382160433976</v>
      </c>
      <c r="AG5">
        <f t="shared" si="1"/>
        <v>0.44066382160433976</v>
      </c>
      <c r="AH5">
        <f t="shared" si="1"/>
        <v>0.44066382160433976</v>
      </c>
      <c r="AI5">
        <f t="shared" si="1"/>
        <v>0.44066382160433976</v>
      </c>
      <c r="AJ5">
        <f t="shared" si="1"/>
        <v>0.44066382160433976</v>
      </c>
      <c r="AK5">
        <f t="shared" si="1"/>
        <v>0.44066382160433976</v>
      </c>
      <c r="AL5">
        <f t="shared" si="1"/>
        <v>0.44066382160433976</v>
      </c>
      <c r="AM5">
        <f t="shared" si="1"/>
        <v>0.44066382160433976</v>
      </c>
      <c r="AN5">
        <f t="shared" si="1"/>
        <v>0.44066382160433976</v>
      </c>
      <c r="AO5">
        <f t="shared" si="1"/>
        <v>0.44066382160433976</v>
      </c>
      <c r="AP5">
        <f t="shared" si="1"/>
        <v>0.44066382160433976</v>
      </c>
      <c r="AQ5">
        <f t="shared" si="1"/>
        <v>0.44066382160433976</v>
      </c>
      <c r="AR5">
        <f t="shared" si="1"/>
        <v>0.44066382160433976</v>
      </c>
      <c r="AS5">
        <f t="shared" si="1"/>
        <v>0.44066382160433976</v>
      </c>
      <c r="AT5">
        <f t="shared" si="1"/>
        <v>0.44066382160433976</v>
      </c>
      <c r="AU5">
        <f t="shared" si="1"/>
        <v>0.44066382160433976</v>
      </c>
      <c r="AV5">
        <f t="shared" si="1"/>
        <v>0.44066382160433976</v>
      </c>
      <c r="AW5">
        <f t="shared" si="1"/>
        <v>0.44066382160433976</v>
      </c>
      <c r="AX5">
        <f t="shared" si="1"/>
        <v>0.44066382160433976</v>
      </c>
      <c r="AY5">
        <f t="shared" si="1"/>
        <v>0.44066382160433976</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Fraction'!$B20,'Biodiesel Fraction'!B30,0)*(1-B2)</f>
        <v>1.3578467738230359E-2</v>
      </c>
      <c r="C7">
        <f>IF('Biodiesel Fraction'!$B20,'Biodiesel Fraction'!B30,0)*(1-C2)</f>
        <v>1.3578467738230359E-2</v>
      </c>
      <c r="D7">
        <f>IF('Biodiesel Fraction'!$B20,'Biodiesel Fraction'!D30,0)*(1-D2)</f>
        <v>1.4597461042760985E-2</v>
      </c>
      <c r="E7">
        <f>IF('Biodiesel Fraction'!$B20,'Biodiesel Fraction'!E30,0)*(1-E2)</f>
        <v>1.7021191099861586E-2</v>
      </c>
      <c r="F7">
        <f>IF('Biodiesel Fraction'!$B20,'Biodiesel Fraction'!F30,0)*(1-F2)</f>
        <v>1.6005486901470092E-2</v>
      </c>
      <c r="G7">
        <f>IF('Biodiesel Fraction'!$B20,'Biodiesel Fraction'!G30,0)*(1-G2)</f>
        <v>1.5864504375709788E-2</v>
      </c>
      <c r="H7">
        <f>IF('Biodiesel Fraction'!$B20,'Biodiesel Fraction'!H30,0)*(1-H2)</f>
        <v>1.6238612648989115E-2</v>
      </c>
      <c r="I7">
        <f>IF('Biodiesel Fraction'!$B20,'Biodiesel Fraction'!I30,0)*(1-I2)</f>
        <v>1.2610075198275825E-2</v>
      </c>
      <c r="J7">
        <f>IF('Biodiesel Fraction'!$B20,'Biodiesel Fraction'!J30,0)*(1-J2)</f>
        <v>1.3489616130941285E-2</v>
      </c>
      <c r="K7">
        <f>IF('Biodiesel Fraction'!$B20,'Biodiesel Fraction'!K30,0)*(1-K2)</f>
        <v>1.4348875073001527E-2</v>
      </c>
      <c r="L7">
        <f>IF('Biodiesel Fraction'!$B20,'Biodiesel Fraction'!L30,0)*(1-L2)</f>
        <v>1.4904075045973186E-2</v>
      </c>
      <c r="M7">
        <f>IF('Biodiesel Fraction'!$B20,'Biodiesel Fraction'!M30,0)*(1-M2)</f>
        <v>1.491172964132677E-2</v>
      </c>
      <c r="N7">
        <f>IF('Biodiesel Fraction'!$B20,'Biodiesel Fraction'!N30,0)*(1-N2)</f>
        <v>1.528318598239288E-2</v>
      </c>
      <c r="O7">
        <f>IF('Biodiesel Fraction'!$B20,'Biodiesel Fraction'!O30,0)*(1-O2)</f>
        <v>1.5156466837538555E-2</v>
      </c>
      <c r="P7">
        <f>IF('Biodiesel Fraction'!$B20,'Biodiesel Fraction'!P30,0)*(1-P2)</f>
        <v>1.4950717692248738E-2</v>
      </c>
      <c r="Q7">
        <f>IF('Biodiesel Fraction'!$B20,'Biodiesel Fraction'!Q30,0)*(1-Q2)</f>
        <v>1.4732004752969154E-2</v>
      </c>
      <c r="R7">
        <f>IF('Biodiesel Fraction'!$B20,'Biodiesel Fraction'!R30,0)*(1-R2)</f>
        <v>1.4468014700901569E-2</v>
      </c>
      <c r="S7">
        <f>IF('Biodiesel Fraction'!$B20,'Biodiesel Fraction'!S30,0)*(1-S2)</f>
        <v>1.41788403379001E-2</v>
      </c>
      <c r="T7">
        <f>IF('Biodiesel Fraction'!$B20,'Biodiesel Fraction'!T30,0)*(1-T2)</f>
        <v>1.3915318029630931E-2</v>
      </c>
      <c r="U7">
        <f>IF('Biodiesel Fraction'!$B20,'Biodiesel Fraction'!U30,0)*(1-U2)</f>
        <v>1.357649136020799E-2</v>
      </c>
      <c r="V7">
        <f>IF('Biodiesel Fraction'!$B20,'Biodiesel Fraction'!V30,0)*(1-V2)</f>
        <v>1.3213480774894881E-2</v>
      </c>
      <c r="W7">
        <f>IF('Biodiesel Fraction'!$B20,'Biodiesel Fraction'!W30,0)*(1-W2)</f>
        <v>1.2832067020729256E-2</v>
      </c>
      <c r="X7">
        <f>IF('Biodiesel Fraction'!$B20,'Biodiesel Fraction'!X30,0)*(1-X2)</f>
        <v>1.2436828021731792E-2</v>
      </c>
      <c r="Y7">
        <f>IF('Biodiesel Fraction'!$B20,'Biodiesel Fraction'!Y30,0)*(1-Y2)</f>
        <v>1.2035096957842575E-2</v>
      </c>
      <c r="Z7">
        <f>IF('Biodiesel Fraction'!$B20,'Biodiesel Fraction'!Z30,0)*(1-Z2)</f>
        <v>1.1624723582206144E-2</v>
      </c>
      <c r="AA7">
        <f>IF('Biodiesel Fraction'!$B20,'Biodiesel Fraction'!AA30,0)*(1-AA2)</f>
        <v>1.1188713164964068E-2</v>
      </c>
      <c r="AB7">
        <f>IF('Biodiesel Fraction'!$B20,'Biodiesel Fraction'!AB30,0)*(1-AB2)</f>
        <v>1.0737430616258233E-2</v>
      </c>
      <c r="AC7">
        <f>IF('Biodiesel Fraction'!$B20,'Biodiesel Fraction'!AC30,0)*(1-AC2)</f>
        <v>1.0284470287948004E-2</v>
      </c>
      <c r="AD7">
        <f>IF('Biodiesel Fraction'!$B20,'Biodiesel Fraction'!AD30,0)*(1-AD2)</f>
        <v>9.8238508580323555E-3</v>
      </c>
      <c r="AE7">
        <f>IF('Biodiesel Fraction'!$B20,'Biodiesel Fraction'!AE30,0)*(1-AE2)</f>
        <v>9.33617839566021E-3</v>
      </c>
      <c r="AF7">
        <f t="shared" si="1"/>
        <v>9.33617839566021E-3</v>
      </c>
      <c r="AG7">
        <f t="shared" si="1"/>
        <v>9.33617839566021E-3</v>
      </c>
      <c r="AH7">
        <f t="shared" si="1"/>
        <v>9.33617839566021E-3</v>
      </c>
      <c r="AI7">
        <f t="shared" si="1"/>
        <v>9.33617839566021E-3</v>
      </c>
      <c r="AJ7">
        <f t="shared" si="1"/>
        <v>9.33617839566021E-3</v>
      </c>
      <c r="AK7">
        <f t="shared" si="1"/>
        <v>9.33617839566021E-3</v>
      </c>
      <c r="AL7">
        <f t="shared" si="1"/>
        <v>9.33617839566021E-3</v>
      </c>
      <c r="AM7">
        <f t="shared" si="1"/>
        <v>9.33617839566021E-3</v>
      </c>
      <c r="AN7">
        <f t="shared" si="1"/>
        <v>9.33617839566021E-3</v>
      </c>
      <c r="AO7">
        <f t="shared" si="1"/>
        <v>9.33617839566021E-3</v>
      </c>
      <c r="AP7">
        <f t="shared" si="1"/>
        <v>9.33617839566021E-3</v>
      </c>
      <c r="AQ7">
        <f t="shared" si="1"/>
        <v>9.33617839566021E-3</v>
      </c>
      <c r="AR7">
        <f t="shared" si="1"/>
        <v>9.33617839566021E-3</v>
      </c>
      <c r="AS7">
        <f t="shared" si="1"/>
        <v>9.33617839566021E-3</v>
      </c>
      <c r="AT7">
        <f t="shared" si="1"/>
        <v>9.33617839566021E-3</v>
      </c>
      <c r="AU7">
        <f t="shared" si="1"/>
        <v>9.33617839566021E-3</v>
      </c>
      <c r="AV7">
        <f t="shared" si="1"/>
        <v>9.33617839566021E-3</v>
      </c>
      <c r="AW7">
        <f t="shared" si="1"/>
        <v>9.33617839566021E-3</v>
      </c>
      <c r="AX7">
        <f t="shared" si="1"/>
        <v>9.33617839566021E-3</v>
      </c>
      <c r="AY7">
        <f t="shared" si="1"/>
        <v>9.33617839566021E-3</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BA11"/>
  <sheetViews>
    <sheetView topLeftCell="D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1-B6</f>
        <v>0.92710534558203916</v>
      </c>
      <c r="C4" s="2">
        <f t="shared" ref="C4:AE4" si="2">1-C6</f>
        <v>0.92710534558203916</v>
      </c>
      <c r="D4" s="2">
        <f t="shared" si="2"/>
        <v>0.92710534558203916</v>
      </c>
      <c r="E4" s="2">
        <f t="shared" si="2"/>
        <v>0.92710534558203916</v>
      </c>
      <c r="F4" s="2">
        <f t="shared" si="2"/>
        <v>0.92710534558203916</v>
      </c>
      <c r="G4" s="2">
        <f t="shared" si="2"/>
        <v>0.92710534558203916</v>
      </c>
      <c r="H4" s="2">
        <f t="shared" si="2"/>
        <v>0.92710534558203916</v>
      </c>
      <c r="I4" s="2">
        <f t="shared" si="2"/>
        <v>0.92710534558203916</v>
      </c>
      <c r="J4" s="2">
        <f t="shared" si="2"/>
        <v>0.92710534558203916</v>
      </c>
      <c r="K4" s="2">
        <f t="shared" si="2"/>
        <v>0.92710534558203916</v>
      </c>
      <c r="L4" s="2">
        <f t="shared" si="2"/>
        <v>0.92710534558203916</v>
      </c>
      <c r="M4" s="2">
        <f t="shared" si="2"/>
        <v>0.92710534558203916</v>
      </c>
      <c r="N4" s="2">
        <f t="shared" si="2"/>
        <v>0.92710534558203916</v>
      </c>
      <c r="O4" s="2">
        <f t="shared" si="2"/>
        <v>0.92710534558203916</v>
      </c>
      <c r="P4" s="2">
        <f t="shared" si="2"/>
        <v>0.92710534558203916</v>
      </c>
      <c r="Q4" s="2">
        <f t="shared" si="2"/>
        <v>0.92710534558203916</v>
      </c>
      <c r="R4" s="2">
        <f t="shared" si="2"/>
        <v>0.92710534558203916</v>
      </c>
      <c r="S4" s="2">
        <f t="shared" si="2"/>
        <v>0.92710534558203916</v>
      </c>
      <c r="T4" s="2">
        <f t="shared" si="2"/>
        <v>0.92710534558203916</v>
      </c>
      <c r="U4" s="2">
        <f t="shared" si="2"/>
        <v>0.92710534558203916</v>
      </c>
      <c r="V4" s="2">
        <f t="shared" si="2"/>
        <v>0.92710534558203916</v>
      </c>
      <c r="W4" s="2">
        <f t="shared" si="2"/>
        <v>0.92710534558203916</v>
      </c>
      <c r="X4" s="2">
        <f t="shared" si="2"/>
        <v>0.92710534558203916</v>
      </c>
      <c r="Y4" s="2">
        <f t="shared" si="2"/>
        <v>0.92710534558203916</v>
      </c>
      <c r="Z4" s="2">
        <f t="shared" si="2"/>
        <v>0.92710534558203916</v>
      </c>
      <c r="AA4" s="2">
        <f t="shared" si="2"/>
        <v>0.92710534558203916</v>
      </c>
      <c r="AB4" s="2">
        <f t="shared" si="2"/>
        <v>0.92710534558203916</v>
      </c>
      <c r="AC4" s="2">
        <f t="shared" si="2"/>
        <v>0.92710534558203916</v>
      </c>
      <c r="AD4" s="2">
        <f t="shared" si="2"/>
        <v>0.92710534558203916</v>
      </c>
      <c r="AE4" s="2">
        <f t="shared" si="2"/>
        <v>0.92710534558203916</v>
      </c>
      <c r="AF4">
        <f t="shared" si="1"/>
        <v>0.92710534558203916</v>
      </c>
      <c r="AG4">
        <f t="shared" si="1"/>
        <v>0.92710534558203916</v>
      </c>
      <c r="AH4">
        <f t="shared" si="1"/>
        <v>0.92710534558203916</v>
      </c>
      <c r="AI4">
        <f t="shared" si="1"/>
        <v>0.92710534558203916</v>
      </c>
      <c r="AJ4">
        <f t="shared" si="1"/>
        <v>0.92710534558203916</v>
      </c>
      <c r="AK4">
        <f t="shared" si="1"/>
        <v>0.92710534558203916</v>
      </c>
      <c r="AL4">
        <f t="shared" si="1"/>
        <v>0.92710534558203916</v>
      </c>
      <c r="AM4">
        <f t="shared" si="1"/>
        <v>0.92710534558203916</v>
      </c>
      <c r="AN4">
        <f t="shared" si="1"/>
        <v>0.92710534558203916</v>
      </c>
      <c r="AO4">
        <f t="shared" si="1"/>
        <v>0.92710534558203916</v>
      </c>
      <c r="AP4">
        <f t="shared" si="1"/>
        <v>0.92710534558203916</v>
      </c>
      <c r="AQ4">
        <f t="shared" si="1"/>
        <v>0.92710534558203916</v>
      </c>
      <c r="AR4">
        <f t="shared" si="1"/>
        <v>0.92710534558203916</v>
      </c>
      <c r="AS4">
        <f t="shared" si="1"/>
        <v>0.92710534558203916</v>
      </c>
      <c r="AT4">
        <f t="shared" si="1"/>
        <v>0.92710534558203916</v>
      </c>
      <c r="AU4">
        <f t="shared" si="1"/>
        <v>0.92710534558203916</v>
      </c>
      <c r="AV4">
        <f t="shared" si="1"/>
        <v>0.92710534558203916</v>
      </c>
      <c r="AW4">
        <f t="shared" si="1"/>
        <v>0.92710534558203916</v>
      </c>
      <c r="AX4">
        <f t="shared" si="1"/>
        <v>0.92710534558203916</v>
      </c>
      <c r="AY4">
        <f t="shared" si="1"/>
        <v>0.92710534558203916</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'ethanol content'!$J$3</f>
        <v>7.2894654417960836E-2</v>
      </c>
      <c r="C6" s="2">
        <f>$B$6</f>
        <v>7.2894654417960836E-2</v>
      </c>
      <c r="D6" s="2">
        <f t="shared" ref="D6:BA6" si="3">$B$6</f>
        <v>7.2894654417960836E-2</v>
      </c>
      <c r="E6" s="2">
        <f t="shared" si="3"/>
        <v>7.2894654417960836E-2</v>
      </c>
      <c r="F6" s="2">
        <f t="shared" si="3"/>
        <v>7.2894654417960836E-2</v>
      </c>
      <c r="G6" s="2">
        <f t="shared" si="3"/>
        <v>7.2894654417960836E-2</v>
      </c>
      <c r="H6" s="2">
        <f t="shared" si="3"/>
        <v>7.2894654417960836E-2</v>
      </c>
      <c r="I6" s="2">
        <f t="shared" si="3"/>
        <v>7.2894654417960836E-2</v>
      </c>
      <c r="J6" s="2">
        <f t="shared" si="3"/>
        <v>7.2894654417960836E-2</v>
      </c>
      <c r="K6" s="2">
        <f t="shared" si="3"/>
        <v>7.2894654417960836E-2</v>
      </c>
      <c r="L6" s="2">
        <f t="shared" si="3"/>
        <v>7.2894654417960836E-2</v>
      </c>
      <c r="M6" s="2">
        <f t="shared" si="3"/>
        <v>7.2894654417960836E-2</v>
      </c>
      <c r="N6" s="2">
        <f t="shared" si="3"/>
        <v>7.2894654417960836E-2</v>
      </c>
      <c r="O6" s="2">
        <f t="shared" si="3"/>
        <v>7.2894654417960836E-2</v>
      </c>
      <c r="P6" s="2">
        <f t="shared" si="3"/>
        <v>7.2894654417960836E-2</v>
      </c>
      <c r="Q6" s="2">
        <f t="shared" si="3"/>
        <v>7.2894654417960836E-2</v>
      </c>
      <c r="R6" s="2">
        <f t="shared" si="3"/>
        <v>7.2894654417960836E-2</v>
      </c>
      <c r="S6" s="2">
        <f t="shared" si="3"/>
        <v>7.2894654417960836E-2</v>
      </c>
      <c r="T6" s="2">
        <f t="shared" si="3"/>
        <v>7.2894654417960836E-2</v>
      </c>
      <c r="U6" s="2">
        <f t="shared" si="3"/>
        <v>7.2894654417960836E-2</v>
      </c>
      <c r="V6" s="2">
        <f t="shared" si="3"/>
        <v>7.2894654417960836E-2</v>
      </c>
      <c r="W6" s="2">
        <f t="shared" si="3"/>
        <v>7.2894654417960836E-2</v>
      </c>
      <c r="X6" s="2">
        <f t="shared" si="3"/>
        <v>7.2894654417960836E-2</v>
      </c>
      <c r="Y6" s="2">
        <f t="shared" si="3"/>
        <v>7.2894654417960836E-2</v>
      </c>
      <c r="Z6" s="2">
        <f t="shared" si="3"/>
        <v>7.2894654417960836E-2</v>
      </c>
      <c r="AA6" s="2">
        <f t="shared" si="3"/>
        <v>7.2894654417960836E-2</v>
      </c>
      <c r="AB6" s="2">
        <f t="shared" si="3"/>
        <v>7.2894654417960836E-2</v>
      </c>
      <c r="AC6" s="2">
        <f t="shared" si="3"/>
        <v>7.2894654417960836E-2</v>
      </c>
      <c r="AD6" s="2">
        <f t="shared" si="3"/>
        <v>7.2894654417960836E-2</v>
      </c>
      <c r="AE6" s="2">
        <f t="shared" si="3"/>
        <v>7.2894654417960836E-2</v>
      </c>
      <c r="AF6">
        <f t="shared" si="1"/>
        <v>7.2894654417960836E-2</v>
      </c>
      <c r="AG6">
        <f t="shared" si="1"/>
        <v>7.2894654417960836E-2</v>
      </c>
      <c r="AH6">
        <f t="shared" si="1"/>
        <v>7.2894654417960836E-2</v>
      </c>
      <c r="AI6">
        <f t="shared" si="1"/>
        <v>7.2894654417960836E-2</v>
      </c>
      <c r="AJ6">
        <f t="shared" si="1"/>
        <v>7.2894654417960836E-2</v>
      </c>
      <c r="AK6">
        <f t="shared" si="1"/>
        <v>7.2894654417960836E-2</v>
      </c>
      <c r="AL6">
        <f t="shared" si="1"/>
        <v>7.2894654417960836E-2</v>
      </c>
      <c r="AM6">
        <f t="shared" si="1"/>
        <v>7.2894654417960836E-2</v>
      </c>
      <c r="AN6">
        <f t="shared" si="1"/>
        <v>7.2894654417960836E-2</v>
      </c>
      <c r="AO6">
        <f t="shared" si="1"/>
        <v>7.2894654417960836E-2</v>
      </c>
      <c r="AP6">
        <f t="shared" si="1"/>
        <v>7.2894654417960836E-2</v>
      </c>
      <c r="AQ6">
        <f t="shared" si="1"/>
        <v>7.2894654417960836E-2</v>
      </c>
      <c r="AR6">
        <f t="shared" si="1"/>
        <v>7.2894654417960836E-2</v>
      </c>
      <c r="AS6">
        <f t="shared" si="1"/>
        <v>7.2894654417960836E-2</v>
      </c>
      <c r="AT6">
        <f t="shared" si="1"/>
        <v>7.2894654417960836E-2</v>
      </c>
      <c r="AU6">
        <f t="shared" si="1"/>
        <v>7.2894654417960836E-2</v>
      </c>
      <c r="AV6">
        <f t="shared" si="1"/>
        <v>7.2894654417960836E-2</v>
      </c>
      <c r="AW6">
        <f t="shared" si="1"/>
        <v>7.2894654417960836E-2</v>
      </c>
      <c r="AX6">
        <f t="shared" si="1"/>
        <v>7.2894654417960836E-2</v>
      </c>
      <c r="AY6">
        <f t="shared" si="1"/>
        <v>7.2894654417960836E-2</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Fraction'!$B21,1-'Biodiesel Fraction'!B30,1)</f>
        <v>0.96982562724837695</v>
      </c>
      <c r="C5">
        <f>IF('Biodiesel Fraction'!$B21,1-'Biodiesel Fraction'!B30,1)</f>
        <v>0.96982562724837695</v>
      </c>
      <c r="D5">
        <f>IF('Biodiesel Fraction'!$B21,1-'Biodiesel Fraction'!D30,1)</f>
        <v>0.96756119768275339</v>
      </c>
      <c r="E5">
        <f>IF('Biodiesel Fraction'!$B21,1-'Biodiesel Fraction'!E30,1)</f>
        <v>0.96217513088919648</v>
      </c>
      <c r="F5">
        <f>IF('Biodiesel Fraction'!$B21,1-'Biodiesel Fraction'!F30,1)</f>
        <v>0.96443225133006649</v>
      </c>
      <c r="G5">
        <f>IF('Biodiesel Fraction'!$B21,1-'Biodiesel Fraction'!G30,1)</f>
        <v>0.96474554583175598</v>
      </c>
      <c r="H5">
        <f>IF('Biodiesel Fraction'!$B21,1-'Biodiesel Fraction'!H30,1)</f>
        <v>0.96391419411335755</v>
      </c>
      <c r="I5">
        <f>IF('Biodiesel Fraction'!$B21,1-'Biodiesel Fraction'!I30,1)</f>
        <v>0.97197761067049815</v>
      </c>
      <c r="J5">
        <f>IF('Biodiesel Fraction'!$B21,1-'Biodiesel Fraction'!J30,1)</f>
        <v>0.97002307526457487</v>
      </c>
      <c r="K5">
        <f>IF('Biodiesel Fraction'!$B21,1-'Biodiesel Fraction'!K30,1)</f>
        <v>0.96811361094888548</v>
      </c>
      <c r="L5">
        <f>IF('Biodiesel Fraction'!$B21,1-'Biodiesel Fraction'!L30,1)</f>
        <v>0.96687983323117066</v>
      </c>
      <c r="M5">
        <f>IF('Biodiesel Fraction'!$B21,1-'Biodiesel Fraction'!M30,1)</f>
        <v>0.96686282301927384</v>
      </c>
      <c r="N5">
        <f>IF('Biodiesel Fraction'!$B21,1-'Biodiesel Fraction'!N30,1)</f>
        <v>0.96603736448357136</v>
      </c>
      <c r="O5">
        <f>IF('Biodiesel Fraction'!$B21,1-'Biodiesel Fraction'!O30,1)</f>
        <v>0.96631896258324768</v>
      </c>
      <c r="P5">
        <f>IF('Biodiesel Fraction'!$B21,1-'Biodiesel Fraction'!P30,1)</f>
        <v>0.96677618290611389</v>
      </c>
      <c r="Q5">
        <f>IF('Biodiesel Fraction'!$B21,1-'Biodiesel Fraction'!Q30,1)</f>
        <v>0.96726221166006854</v>
      </c>
      <c r="R5">
        <f>IF('Biodiesel Fraction'!$B21,1-'Biodiesel Fraction'!R30,1)</f>
        <v>0.96784885622021877</v>
      </c>
      <c r="S5">
        <f>IF('Biodiesel Fraction'!$B21,1-'Biodiesel Fraction'!S30,1)</f>
        <v>0.96849146591577751</v>
      </c>
      <c r="T5">
        <f>IF('Biodiesel Fraction'!$B21,1-'Biodiesel Fraction'!T30,1)</f>
        <v>0.96907707104526464</v>
      </c>
      <c r="U5">
        <f>IF('Biodiesel Fraction'!$B21,1-'Biodiesel Fraction'!U30,1)</f>
        <v>0.96983001919953782</v>
      </c>
      <c r="V5">
        <f>IF('Biodiesel Fraction'!$B21,1-'Biodiesel Fraction'!V30,1)</f>
        <v>0.9706367093891225</v>
      </c>
      <c r="W5">
        <f>IF('Biodiesel Fraction'!$B21,1-'Biodiesel Fraction'!W30,1)</f>
        <v>0.97148429550949056</v>
      </c>
      <c r="X5">
        <f>IF('Biodiesel Fraction'!$B21,1-'Biodiesel Fraction'!X30,1)</f>
        <v>0.97236260439615152</v>
      </c>
      <c r="Y5">
        <f>IF('Biodiesel Fraction'!$B21,1-'Biodiesel Fraction'!Y30,1)</f>
        <v>0.9732553400936832</v>
      </c>
      <c r="Z5">
        <f>IF('Biodiesel Fraction'!$B21,1-'Biodiesel Fraction'!Z30,1)</f>
        <v>0.97416728092843075</v>
      </c>
      <c r="AA5">
        <f>IF('Biodiesel Fraction'!$B21,1-'Biodiesel Fraction'!AA30,1)</f>
        <v>0.97513619296674647</v>
      </c>
      <c r="AB5">
        <f>IF('Biodiesel Fraction'!$B21,1-'Biodiesel Fraction'!AB30,1)</f>
        <v>0.97613904307498167</v>
      </c>
      <c r="AC5">
        <f>IF('Biodiesel Fraction'!$B21,1-'Biodiesel Fraction'!AC30,1)</f>
        <v>0.97714562158233775</v>
      </c>
      <c r="AD5">
        <f>IF('Biodiesel Fraction'!$B21,1-'Biodiesel Fraction'!AD30,1)</f>
        <v>0.9781692203154837</v>
      </c>
      <c r="AE5">
        <f>IF('Biodiesel Fraction'!$B21,1-'Biodiesel Fraction'!AE30,1)</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Fraction'!$B21,'Biodiesel Fraction'!B30,0)</f>
        <v>3.0174372751623022E-2</v>
      </c>
      <c r="C7">
        <f>IF('Biodiesel Fraction'!$B21,'Biodiesel Fraction'!B30,0)</f>
        <v>3.0174372751623022E-2</v>
      </c>
      <c r="D7">
        <f>IF('Biodiesel Fraction'!$B21,'Biodiesel Fraction'!D30,0)</f>
        <v>3.2438802317246634E-2</v>
      </c>
      <c r="E7">
        <f>IF('Biodiesel Fraction'!$B21,'Biodiesel Fraction'!E30,0)</f>
        <v>3.782486911080353E-2</v>
      </c>
      <c r="F7">
        <f>IF('Biodiesel Fraction'!$B21,'Biodiesel Fraction'!F30,0)</f>
        <v>3.5567748669933542E-2</v>
      </c>
      <c r="G7">
        <f>IF('Biodiesel Fraction'!$B21,'Biodiesel Fraction'!G30,0)</f>
        <v>3.5254454168243979E-2</v>
      </c>
      <c r="H7">
        <f>IF('Biodiesel Fraction'!$B21,'Biodiesel Fraction'!H30,0)</f>
        <v>3.608580588664248E-2</v>
      </c>
      <c r="I7">
        <f>IF('Biodiesel Fraction'!$B21,'Biodiesel Fraction'!I30,0)</f>
        <v>2.8022389329501837E-2</v>
      </c>
      <c r="J7">
        <f>IF('Biodiesel Fraction'!$B21,'Biodiesel Fraction'!J30,0)</f>
        <v>2.997692473542508E-2</v>
      </c>
      <c r="K7">
        <f>IF('Biodiesel Fraction'!$B21,'Biodiesel Fraction'!K30,0)</f>
        <v>3.188638905111451E-2</v>
      </c>
      <c r="L7">
        <f>IF('Biodiesel Fraction'!$B21,'Biodiesel Fraction'!L30,0)</f>
        <v>3.3120166768829305E-2</v>
      </c>
      <c r="M7">
        <f>IF('Biodiesel Fraction'!$B21,'Biodiesel Fraction'!M30,0)</f>
        <v>3.3137176980726157E-2</v>
      </c>
      <c r="N7">
        <f>IF('Biodiesel Fraction'!$B21,'Biodiesel Fraction'!N30,0)</f>
        <v>3.3962635516428627E-2</v>
      </c>
      <c r="O7">
        <f>IF('Biodiesel Fraction'!$B21,'Biodiesel Fraction'!O30,0)</f>
        <v>3.3681037416752345E-2</v>
      </c>
      <c r="P7">
        <f>IF('Biodiesel Fraction'!$B21,'Biodiesel Fraction'!P30,0)</f>
        <v>3.3223817093886089E-2</v>
      </c>
      <c r="Q7">
        <f>IF('Biodiesel Fraction'!$B21,'Biodiesel Fraction'!Q30,0)</f>
        <v>3.2737788339931455E-2</v>
      </c>
      <c r="R7">
        <f>IF('Biodiesel Fraction'!$B21,'Biodiesel Fraction'!R30,0)</f>
        <v>3.2151143779781267E-2</v>
      </c>
      <c r="S7">
        <f>IF('Biodiesel Fraction'!$B21,'Biodiesel Fraction'!S30,0)</f>
        <v>3.1508534084222446E-2</v>
      </c>
      <c r="T7">
        <f>IF('Biodiesel Fraction'!$B21,'Biodiesel Fraction'!T30,0)</f>
        <v>3.0922928954735404E-2</v>
      </c>
      <c r="U7">
        <f>IF('Biodiesel Fraction'!$B21,'Biodiesel Fraction'!U30,0)</f>
        <v>3.0169980800462202E-2</v>
      </c>
      <c r="V7">
        <f>IF('Biodiesel Fraction'!$B21,'Biodiesel Fraction'!V30,0)</f>
        <v>2.9363290610877515E-2</v>
      </c>
      <c r="W7">
        <f>IF('Biodiesel Fraction'!$B21,'Biodiesel Fraction'!W30,0)</f>
        <v>2.8515704490509459E-2</v>
      </c>
      <c r="X7">
        <f>IF('Biodiesel Fraction'!$B21,'Biodiesel Fraction'!X30,0)</f>
        <v>2.7637395603848428E-2</v>
      </c>
      <c r="Y7">
        <f>IF('Biodiesel Fraction'!$B21,'Biodiesel Fraction'!Y30,0)</f>
        <v>2.6744659906316835E-2</v>
      </c>
      <c r="Z7">
        <f>IF('Biodiesel Fraction'!$B21,'Biodiesel Fraction'!Z30,0)</f>
        <v>2.5832719071569213E-2</v>
      </c>
      <c r="AA7">
        <f>IF('Biodiesel Fraction'!$B21,'Biodiesel Fraction'!AA30,0)</f>
        <v>2.4863807033253488E-2</v>
      </c>
      <c r="AB7">
        <f>IF('Biodiesel Fraction'!$B21,'Biodiesel Fraction'!AB30,0)</f>
        <v>2.3860956925018297E-2</v>
      </c>
      <c r="AC7">
        <f>IF('Biodiesel Fraction'!$B21,'Biodiesel Fraction'!AC30,0)</f>
        <v>2.2854378417662233E-2</v>
      </c>
      <c r="AD7">
        <f>IF('Biodiesel Fraction'!$B21,'Biodiesel Fraction'!AD30,0)</f>
        <v>2.1830779684516348E-2</v>
      </c>
      <c r="AE7">
        <f>IF('Biodiesel Fraction'!$B21,'Biodiesel Fraction'!AE30,0)</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 t="shared" ref="AF2:AY11" si="1">AE2</f>
        <v>0.55000000000000004</v>
      </c>
      <c r="AG2">
        <f t="shared" si="1"/>
        <v>0.55000000000000004</v>
      </c>
      <c r="AH2">
        <f t="shared" si="1"/>
        <v>0.55000000000000004</v>
      </c>
      <c r="AI2">
        <f t="shared" si="1"/>
        <v>0.55000000000000004</v>
      </c>
      <c r="AJ2">
        <f t="shared" si="1"/>
        <v>0.55000000000000004</v>
      </c>
      <c r="AK2">
        <f t="shared" si="1"/>
        <v>0.55000000000000004</v>
      </c>
      <c r="AL2">
        <f t="shared" si="1"/>
        <v>0.55000000000000004</v>
      </c>
      <c r="AM2">
        <f t="shared" si="1"/>
        <v>0.55000000000000004</v>
      </c>
      <c r="AN2">
        <f t="shared" si="1"/>
        <v>0.55000000000000004</v>
      </c>
      <c r="AO2">
        <f t="shared" si="1"/>
        <v>0.55000000000000004</v>
      </c>
      <c r="AP2">
        <f t="shared" si="1"/>
        <v>0.55000000000000004</v>
      </c>
      <c r="AQ2">
        <f t="shared" si="1"/>
        <v>0.55000000000000004</v>
      </c>
      <c r="AR2">
        <f t="shared" si="1"/>
        <v>0.55000000000000004</v>
      </c>
      <c r="AS2">
        <f t="shared" si="1"/>
        <v>0.55000000000000004</v>
      </c>
      <c r="AT2">
        <f t="shared" si="1"/>
        <v>0.55000000000000004</v>
      </c>
      <c r="AU2">
        <f t="shared" si="1"/>
        <v>0.55000000000000004</v>
      </c>
      <c r="AV2">
        <f t="shared" si="1"/>
        <v>0.55000000000000004</v>
      </c>
      <c r="AW2">
        <f t="shared" si="1"/>
        <v>0.55000000000000004</v>
      </c>
      <c r="AX2">
        <f t="shared" si="1"/>
        <v>0.55000000000000004</v>
      </c>
      <c r="AY2">
        <f t="shared" si="1"/>
        <v>0.55000000000000004</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Fraction'!$B21,1-'Biodiesel Fraction'!B30,1)*(1-B2)</f>
        <v>0.43642153226176961</v>
      </c>
      <c r="C5">
        <f>IF('Biodiesel Fraction'!$B21,1-'Biodiesel Fraction'!B30,1)*(1-C2)</f>
        <v>0.43642153226176961</v>
      </c>
      <c r="D5">
        <f>IF('Biodiesel Fraction'!$B21,1-'Biodiesel Fraction'!D30,1)*(1-D2)</f>
        <v>0.43540253895723896</v>
      </c>
      <c r="E5">
        <f>IF('Biodiesel Fraction'!$B21,1-'Biodiesel Fraction'!E30,1)*(1-E2)</f>
        <v>0.4329788089001384</v>
      </c>
      <c r="F5">
        <f>IF('Biodiesel Fraction'!$B21,1-'Biodiesel Fraction'!F30,1)*(1-F2)</f>
        <v>0.43399451309852988</v>
      </c>
      <c r="G5">
        <f>IF('Biodiesel Fraction'!$B21,1-'Biodiesel Fraction'!G30,1)*(1-G2)</f>
        <v>0.43413549562429016</v>
      </c>
      <c r="H5">
        <f>IF('Biodiesel Fraction'!$B21,1-'Biodiesel Fraction'!H30,1)*(1-H2)</f>
        <v>0.43376138735101083</v>
      </c>
      <c r="I5">
        <f>IF('Biodiesel Fraction'!$B21,1-'Biodiesel Fraction'!I30,1)*(1-I2)</f>
        <v>0.43738992480172412</v>
      </c>
      <c r="J5">
        <f>IF('Biodiesel Fraction'!$B21,1-'Biodiesel Fraction'!J30,1)*(1-J2)</f>
        <v>0.43651038386905866</v>
      </c>
      <c r="K5">
        <f>IF('Biodiesel Fraction'!$B21,1-'Biodiesel Fraction'!K30,1)*(1-K2)</f>
        <v>0.43565112492699842</v>
      </c>
      <c r="L5">
        <f>IF('Biodiesel Fraction'!$B21,1-'Biodiesel Fraction'!L30,1)*(1-L2)</f>
        <v>0.43509592495402677</v>
      </c>
      <c r="M5">
        <f>IF('Biodiesel Fraction'!$B21,1-'Biodiesel Fraction'!M30,1)*(1-M2)</f>
        <v>0.4350882703586732</v>
      </c>
      <c r="N5">
        <f>IF('Biodiesel Fraction'!$B21,1-'Biodiesel Fraction'!N30,1)*(1-N2)</f>
        <v>0.43471681401760709</v>
      </c>
      <c r="O5">
        <f>IF('Biodiesel Fraction'!$B21,1-'Biodiesel Fraction'!O30,1)*(1-O2)</f>
        <v>0.43484353316246144</v>
      </c>
      <c r="P5">
        <f>IF('Biodiesel Fraction'!$B21,1-'Biodiesel Fraction'!P30,1)*(1-P2)</f>
        <v>0.4350492823077512</v>
      </c>
      <c r="Q5">
        <f>IF('Biodiesel Fraction'!$B21,1-'Biodiesel Fraction'!Q30,1)*(1-Q2)</f>
        <v>0.4352679952470308</v>
      </c>
      <c r="R5">
        <f>IF('Biodiesel Fraction'!$B21,1-'Biodiesel Fraction'!R30,1)*(1-R2)</f>
        <v>0.43553198529909842</v>
      </c>
      <c r="S5">
        <f>IF('Biodiesel Fraction'!$B21,1-'Biodiesel Fraction'!S30,1)*(1-S2)</f>
        <v>0.43582115966209983</v>
      </c>
      <c r="T5">
        <f>IF('Biodiesel Fraction'!$B21,1-'Biodiesel Fraction'!T30,1)*(1-T2)</f>
        <v>0.43608468197036904</v>
      </c>
      <c r="U5">
        <f>IF('Biodiesel Fraction'!$B21,1-'Biodiesel Fraction'!U30,1)*(1-U2)</f>
        <v>0.43642350863979196</v>
      </c>
      <c r="V5">
        <f>IF('Biodiesel Fraction'!$B21,1-'Biodiesel Fraction'!V30,1)*(1-V2)</f>
        <v>0.43678651922510509</v>
      </c>
      <c r="W5">
        <f>IF('Biodiesel Fraction'!$B21,1-'Biodiesel Fraction'!W30,1)*(1-W2)</f>
        <v>0.4371679329792707</v>
      </c>
      <c r="X5">
        <f>IF('Biodiesel Fraction'!$B21,1-'Biodiesel Fraction'!X30,1)*(1-X2)</f>
        <v>0.43756317197826816</v>
      </c>
      <c r="Y5">
        <f>IF('Biodiesel Fraction'!$B21,1-'Biodiesel Fraction'!Y30,1)*(1-Y2)</f>
        <v>0.43796490304215741</v>
      </c>
      <c r="Z5">
        <f>IF('Biodiesel Fraction'!$B21,1-'Biodiesel Fraction'!Z30,1)*(1-Z2)</f>
        <v>0.43837527641779378</v>
      </c>
      <c r="AA5">
        <f>IF('Biodiesel Fraction'!$B21,1-'Biodiesel Fraction'!AA30,1)*(1-AA2)</f>
        <v>0.4388112868350359</v>
      </c>
      <c r="AB5">
        <f>IF('Biodiesel Fraction'!$B21,1-'Biodiesel Fraction'!AB30,1)*(1-AB2)</f>
        <v>0.4392625693837417</v>
      </c>
      <c r="AC5">
        <f>IF('Biodiesel Fraction'!$B21,1-'Biodiesel Fraction'!AC30,1)*(1-AC2)</f>
        <v>0.43971552971205197</v>
      </c>
      <c r="AD5">
        <f>IF('Biodiesel Fraction'!$B21,1-'Biodiesel Fraction'!AD30,1)*(1-AD2)</f>
        <v>0.44017614914196762</v>
      </c>
      <c r="AE5">
        <f>IF('Biodiesel Fraction'!$B21,1-'Biodiesel Fraction'!AE30,1)*(1-AE2)</f>
        <v>0.44066382160433976</v>
      </c>
      <c r="AF5">
        <f t="shared" si="1"/>
        <v>0.44066382160433976</v>
      </c>
      <c r="AG5">
        <f t="shared" si="1"/>
        <v>0.44066382160433976</v>
      </c>
      <c r="AH5">
        <f t="shared" si="1"/>
        <v>0.44066382160433976</v>
      </c>
      <c r="AI5">
        <f t="shared" si="1"/>
        <v>0.44066382160433976</v>
      </c>
      <c r="AJ5">
        <f t="shared" si="1"/>
        <v>0.44066382160433976</v>
      </c>
      <c r="AK5">
        <f t="shared" si="1"/>
        <v>0.44066382160433976</v>
      </c>
      <c r="AL5">
        <f t="shared" si="1"/>
        <v>0.44066382160433976</v>
      </c>
      <c r="AM5">
        <f t="shared" si="1"/>
        <v>0.44066382160433976</v>
      </c>
      <c r="AN5">
        <f t="shared" si="1"/>
        <v>0.44066382160433976</v>
      </c>
      <c r="AO5">
        <f t="shared" si="1"/>
        <v>0.44066382160433976</v>
      </c>
      <c r="AP5">
        <f t="shared" si="1"/>
        <v>0.44066382160433976</v>
      </c>
      <c r="AQ5">
        <f t="shared" si="1"/>
        <v>0.44066382160433976</v>
      </c>
      <c r="AR5">
        <f t="shared" si="1"/>
        <v>0.44066382160433976</v>
      </c>
      <c r="AS5">
        <f t="shared" si="1"/>
        <v>0.44066382160433976</v>
      </c>
      <c r="AT5">
        <f t="shared" si="1"/>
        <v>0.44066382160433976</v>
      </c>
      <c r="AU5">
        <f t="shared" si="1"/>
        <v>0.44066382160433976</v>
      </c>
      <c r="AV5">
        <f t="shared" si="1"/>
        <v>0.44066382160433976</v>
      </c>
      <c r="AW5">
        <f t="shared" si="1"/>
        <v>0.44066382160433976</v>
      </c>
      <c r="AX5">
        <f t="shared" si="1"/>
        <v>0.44066382160433976</v>
      </c>
      <c r="AY5">
        <f t="shared" si="1"/>
        <v>0.44066382160433976</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Fraction'!$B21,'Biodiesel Fraction'!B30,0)*(1-B2)</f>
        <v>1.3578467738230359E-2</v>
      </c>
      <c r="C7">
        <f>IF('Biodiesel Fraction'!$B21,'Biodiesel Fraction'!B30,0)*(1-C2)</f>
        <v>1.3578467738230359E-2</v>
      </c>
      <c r="D7">
        <f>IF('Biodiesel Fraction'!$B21,'Biodiesel Fraction'!D30,0)*(1-D2)</f>
        <v>1.4597461042760985E-2</v>
      </c>
      <c r="E7">
        <f>IF('Biodiesel Fraction'!$B21,'Biodiesel Fraction'!E30,0)*(1-E2)</f>
        <v>1.7021191099861586E-2</v>
      </c>
      <c r="F7">
        <f>IF('Biodiesel Fraction'!$B21,'Biodiesel Fraction'!F30,0)*(1-F2)</f>
        <v>1.6005486901470092E-2</v>
      </c>
      <c r="G7">
        <f>IF('Biodiesel Fraction'!$B21,'Biodiesel Fraction'!G30,0)*(1-G2)</f>
        <v>1.5864504375709788E-2</v>
      </c>
      <c r="H7">
        <f>IF('Biodiesel Fraction'!$B21,'Biodiesel Fraction'!H30,0)*(1-H2)</f>
        <v>1.6238612648989115E-2</v>
      </c>
      <c r="I7">
        <f>IF('Biodiesel Fraction'!$B21,'Biodiesel Fraction'!I30,0)*(1-I2)</f>
        <v>1.2610075198275825E-2</v>
      </c>
      <c r="J7">
        <f>IF('Biodiesel Fraction'!$B21,'Biodiesel Fraction'!J30,0)*(1-J2)</f>
        <v>1.3489616130941285E-2</v>
      </c>
      <c r="K7">
        <f>IF('Biodiesel Fraction'!$B21,'Biodiesel Fraction'!K30,0)*(1-K2)</f>
        <v>1.4348875073001527E-2</v>
      </c>
      <c r="L7">
        <f>IF('Biodiesel Fraction'!$B21,'Biodiesel Fraction'!L30,0)*(1-L2)</f>
        <v>1.4904075045973186E-2</v>
      </c>
      <c r="M7">
        <f>IF('Biodiesel Fraction'!$B21,'Biodiesel Fraction'!M30,0)*(1-M2)</f>
        <v>1.491172964132677E-2</v>
      </c>
      <c r="N7">
        <f>IF('Biodiesel Fraction'!$B21,'Biodiesel Fraction'!N30,0)*(1-N2)</f>
        <v>1.528318598239288E-2</v>
      </c>
      <c r="O7">
        <f>IF('Biodiesel Fraction'!$B21,'Biodiesel Fraction'!O30,0)*(1-O2)</f>
        <v>1.5156466837538555E-2</v>
      </c>
      <c r="P7">
        <f>IF('Biodiesel Fraction'!$B21,'Biodiesel Fraction'!P30,0)*(1-P2)</f>
        <v>1.4950717692248738E-2</v>
      </c>
      <c r="Q7">
        <f>IF('Biodiesel Fraction'!$B21,'Biodiesel Fraction'!Q30,0)*(1-Q2)</f>
        <v>1.4732004752969154E-2</v>
      </c>
      <c r="R7">
        <f>IF('Biodiesel Fraction'!$B21,'Biodiesel Fraction'!R30,0)*(1-R2)</f>
        <v>1.4468014700901569E-2</v>
      </c>
      <c r="S7">
        <f>IF('Biodiesel Fraction'!$B21,'Biodiesel Fraction'!S30,0)*(1-S2)</f>
        <v>1.41788403379001E-2</v>
      </c>
      <c r="T7">
        <f>IF('Biodiesel Fraction'!$B21,'Biodiesel Fraction'!T30,0)*(1-T2)</f>
        <v>1.3915318029630931E-2</v>
      </c>
      <c r="U7">
        <f>IF('Biodiesel Fraction'!$B21,'Biodiesel Fraction'!U30,0)*(1-U2)</f>
        <v>1.357649136020799E-2</v>
      </c>
      <c r="V7">
        <f>IF('Biodiesel Fraction'!$B21,'Biodiesel Fraction'!V30,0)*(1-V2)</f>
        <v>1.3213480774894881E-2</v>
      </c>
      <c r="W7">
        <f>IF('Biodiesel Fraction'!$B21,'Biodiesel Fraction'!W30,0)*(1-W2)</f>
        <v>1.2832067020729256E-2</v>
      </c>
      <c r="X7">
        <f>IF('Biodiesel Fraction'!$B21,'Biodiesel Fraction'!X30,0)*(1-X2)</f>
        <v>1.2436828021731792E-2</v>
      </c>
      <c r="Y7">
        <f>IF('Biodiesel Fraction'!$B21,'Biodiesel Fraction'!Y30,0)*(1-Y2)</f>
        <v>1.2035096957842575E-2</v>
      </c>
      <c r="Z7">
        <f>IF('Biodiesel Fraction'!$B21,'Biodiesel Fraction'!Z30,0)*(1-Z2)</f>
        <v>1.1624723582206144E-2</v>
      </c>
      <c r="AA7">
        <f>IF('Biodiesel Fraction'!$B21,'Biodiesel Fraction'!AA30,0)*(1-AA2)</f>
        <v>1.1188713164964068E-2</v>
      </c>
      <c r="AB7">
        <f>IF('Biodiesel Fraction'!$B21,'Biodiesel Fraction'!AB30,0)*(1-AB2)</f>
        <v>1.0737430616258233E-2</v>
      </c>
      <c r="AC7">
        <f>IF('Biodiesel Fraction'!$B21,'Biodiesel Fraction'!AC30,0)*(1-AC2)</f>
        <v>1.0284470287948004E-2</v>
      </c>
      <c r="AD7">
        <f>IF('Biodiesel Fraction'!$B21,'Biodiesel Fraction'!AD30,0)*(1-AD2)</f>
        <v>9.8238508580323555E-3</v>
      </c>
      <c r="AE7">
        <f>IF('Biodiesel Fraction'!$B21,'Biodiesel Fraction'!AE30,0)*(1-AE2)</f>
        <v>9.33617839566021E-3</v>
      </c>
      <c r="AF7">
        <f t="shared" si="1"/>
        <v>9.33617839566021E-3</v>
      </c>
      <c r="AG7">
        <f t="shared" si="1"/>
        <v>9.33617839566021E-3</v>
      </c>
      <c r="AH7">
        <f t="shared" si="1"/>
        <v>9.33617839566021E-3</v>
      </c>
      <c r="AI7">
        <f t="shared" si="1"/>
        <v>9.33617839566021E-3</v>
      </c>
      <c r="AJ7">
        <f t="shared" si="1"/>
        <v>9.33617839566021E-3</v>
      </c>
      <c r="AK7">
        <f t="shared" si="1"/>
        <v>9.33617839566021E-3</v>
      </c>
      <c r="AL7">
        <f t="shared" si="1"/>
        <v>9.33617839566021E-3</v>
      </c>
      <c r="AM7">
        <f t="shared" si="1"/>
        <v>9.33617839566021E-3</v>
      </c>
      <c r="AN7">
        <f t="shared" si="1"/>
        <v>9.33617839566021E-3</v>
      </c>
      <c r="AO7">
        <f t="shared" si="1"/>
        <v>9.33617839566021E-3</v>
      </c>
      <c r="AP7">
        <f t="shared" si="1"/>
        <v>9.33617839566021E-3</v>
      </c>
      <c r="AQ7">
        <f t="shared" si="1"/>
        <v>9.33617839566021E-3</v>
      </c>
      <c r="AR7">
        <f t="shared" si="1"/>
        <v>9.33617839566021E-3</v>
      </c>
      <c r="AS7">
        <f t="shared" si="1"/>
        <v>9.33617839566021E-3</v>
      </c>
      <c r="AT7">
        <f t="shared" si="1"/>
        <v>9.33617839566021E-3</v>
      </c>
      <c r="AU7">
        <f t="shared" si="1"/>
        <v>9.33617839566021E-3</v>
      </c>
      <c r="AV7">
        <f t="shared" si="1"/>
        <v>9.33617839566021E-3</v>
      </c>
      <c r="AW7">
        <f t="shared" si="1"/>
        <v>9.33617839566021E-3</v>
      </c>
      <c r="AX7">
        <f t="shared" si="1"/>
        <v>9.33617839566021E-3</v>
      </c>
      <c r="AY7">
        <f t="shared" si="1"/>
        <v>9.33617839566021E-3</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f t="shared" si="1"/>
        <v>1</v>
      </c>
      <c r="AG8">
        <f t="shared" si="1"/>
        <v>1</v>
      </c>
      <c r="AH8">
        <f t="shared" si="1"/>
        <v>1</v>
      </c>
      <c r="AI8">
        <f t="shared" si="1"/>
        <v>1</v>
      </c>
      <c r="AJ8">
        <f t="shared" si="1"/>
        <v>1</v>
      </c>
      <c r="AK8">
        <f t="shared" si="1"/>
        <v>1</v>
      </c>
      <c r="AL8">
        <f t="shared" si="1"/>
        <v>1</v>
      </c>
      <c r="AM8">
        <f t="shared" si="1"/>
        <v>1</v>
      </c>
      <c r="AN8">
        <f t="shared" si="1"/>
        <v>1</v>
      </c>
      <c r="AO8">
        <f t="shared" si="1"/>
        <v>1</v>
      </c>
      <c r="AP8">
        <f t="shared" si="1"/>
        <v>1</v>
      </c>
      <c r="AQ8">
        <f t="shared" si="1"/>
        <v>1</v>
      </c>
      <c r="AR8">
        <f t="shared" si="1"/>
        <v>1</v>
      </c>
      <c r="AS8">
        <f t="shared" si="1"/>
        <v>1</v>
      </c>
      <c r="AT8">
        <f t="shared" si="1"/>
        <v>1</v>
      </c>
      <c r="AU8">
        <f t="shared" si="1"/>
        <v>1</v>
      </c>
      <c r="AV8">
        <f t="shared" si="1"/>
        <v>1</v>
      </c>
      <c r="AW8">
        <f t="shared" si="1"/>
        <v>1</v>
      </c>
      <c r="AX8">
        <f t="shared" si="1"/>
        <v>1</v>
      </c>
      <c r="AY8">
        <f t="shared" si="1"/>
        <v>1</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c r="AF8">
        <f t="shared" si="1"/>
        <v>1</v>
      </c>
      <c r="AG8">
        <f t="shared" si="1"/>
        <v>1</v>
      </c>
      <c r="AH8">
        <f t="shared" si="1"/>
        <v>1</v>
      </c>
      <c r="AI8">
        <f t="shared" si="1"/>
        <v>1</v>
      </c>
      <c r="AJ8">
        <f t="shared" si="1"/>
        <v>1</v>
      </c>
      <c r="AK8">
        <f t="shared" si="1"/>
        <v>1</v>
      </c>
      <c r="AL8">
        <f t="shared" si="1"/>
        <v>1</v>
      </c>
      <c r="AM8">
        <f t="shared" si="1"/>
        <v>1</v>
      </c>
      <c r="AN8">
        <f t="shared" si="1"/>
        <v>1</v>
      </c>
      <c r="AO8">
        <f t="shared" si="1"/>
        <v>1</v>
      </c>
      <c r="AP8">
        <f t="shared" si="1"/>
        <v>1</v>
      </c>
      <c r="AQ8">
        <f t="shared" si="1"/>
        <v>1</v>
      </c>
      <c r="AR8">
        <f t="shared" si="1"/>
        <v>1</v>
      </c>
      <c r="AS8">
        <f t="shared" si="1"/>
        <v>1</v>
      </c>
      <c r="AT8">
        <f t="shared" si="1"/>
        <v>1</v>
      </c>
      <c r="AU8">
        <f t="shared" si="1"/>
        <v>1</v>
      </c>
      <c r="AV8">
        <f t="shared" si="1"/>
        <v>1</v>
      </c>
      <c r="AW8">
        <f t="shared" si="1"/>
        <v>1</v>
      </c>
      <c r="AX8">
        <f t="shared" si="1"/>
        <v>1</v>
      </c>
      <c r="AY8">
        <f t="shared" si="1"/>
        <v>1</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f t="shared" si="1"/>
        <v>1</v>
      </c>
      <c r="AG5">
        <f t="shared" si="1"/>
        <v>1</v>
      </c>
      <c r="AH5">
        <f t="shared" si="1"/>
        <v>1</v>
      </c>
      <c r="AI5">
        <f t="shared" si="1"/>
        <v>1</v>
      </c>
      <c r="AJ5">
        <f t="shared" si="1"/>
        <v>1</v>
      </c>
      <c r="AK5">
        <f t="shared" si="1"/>
        <v>1</v>
      </c>
      <c r="AL5">
        <f t="shared" si="1"/>
        <v>1</v>
      </c>
      <c r="AM5">
        <f t="shared" si="1"/>
        <v>1</v>
      </c>
      <c r="AN5">
        <f t="shared" si="1"/>
        <v>1</v>
      </c>
      <c r="AO5">
        <f t="shared" si="1"/>
        <v>1</v>
      </c>
      <c r="AP5">
        <f t="shared" si="1"/>
        <v>1</v>
      </c>
      <c r="AQ5">
        <f t="shared" si="1"/>
        <v>1</v>
      </c>
      <c r="AR5">
        <f t="shared" si="1"/>
        <v>1</v>
      </c>
      <c r="AS5">
        <f t="shared" si="1"/>
        <v>1</v>
      </c>
      <c r="AT5">
        <f t="shared" si="1"/>
        <v>1</v>
      </c>
      <c r="AU5">
        <f t="shared" si="1"/>
        <v>1</v>
      </c>
      <c r="AV5">
        <f t="shared" si="1"/>
        <v>1</v>
      </c>
      <c r="AW5">
        <f t="shared" si="1"/>
        <v>1</v>
      </c>
      <c r="AX5">
        <f t="shared" si="1"/>
        <v>1</v>
      </c>
      <c r="AY5">
        <f t="shared" si="1"/>
        <v>1</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f t="shared" si="1"/>
        <v>1</v>
      </c>
      <c r="AG5">
        <f t="shared" si="1"/>
        <v>1</v>
      </c>
      <c r="AH5">
        <f t="shared" si="1"/>
        <v>1</v>
      </c>
      <c r="AI5">
        <f t="shared" si="1"/>
        <v>1</v>
      </c>
      <c r="AJ5">
        <f t="shared" si="1"/>
        <v>1</v>
      </c>
      <c r="AK5">
        <f t="shared" si="1"/>
        <v>1</v>
      </c>
      <c r="AL5">
        <f t="shared" si="1"/>
        <v>1</v>
      </c>
      <c r="AM5">
        <f t="shared" si="1"/>
        <v>1</v>
      </c>
      <c r="AN5">
        <f t="shared" si="1"/>
        <v>1</v>
      </c>
      <c r="AO5">
        <f t="shared" si="1"/>
        <v>1</v>
      </c>
      <c r="AP5">
        <f t="shared" si="1"/>
        <v>1</v>
      </c>
      <c r="AQ5">
        <f t="shared" si="1"/>
        <v>1</v>
      </c>
      <c r="AR5">
        <f t="shared" si="1"/>
        <v>1</v>
      </c>
      <c r="AS5">
        <f t="shared" si="1"/>
        <v>1</v>
      </c>
      <c r="AT5">
        <f t="shared" si="1"/>
        <v>1</v>
      </c>
      <c r="AU5">
        <f t="shared" si="1"/>
        <v>1</v>
      </c>
      <c r="AV5">
        <f t="shared" si="1"/>
        <v>1</v>
      </c>
      <c r="AW5">
        <f t="shared" si="1"/>
        <v>1</v>
      </c>
      <c r="AX5">
        <f t="shared" si="1"/>
        <v>1</v>
      </c>
      <c r="AY5">
        <f t="shared" si="1"/>
        <v>1</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Y11"/>
  <sheetViews>
    <sheetView zoomScale="80" zoomScaleNormal="80"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c r="AF5">
        <f t="shared" si="1"/>
        <v>1</v>
      </c>
      <c r="AG5">
        <f t="shared" si="1"/>
        <v>1</v>
      </c>
      <c r="AH5">
        <f t="shared" si="1"/>
        <v>1</v>
      </c>
      <c r="AI5">
        <f t="shared" si="1"/>
        <v>1</v>
      </c>
      <c r="AJ5">
        <f t="shared" si="1"/>
        <v>1</v>
      </c>
      <c r="AK5">
        <f t="shared" si="1"/>
        <v>1</v>
      </c>
      <c r="AL5">
        <f t="shared" si="1"/>
        <v>1</v>
      </c>
      <c r="AM5">
        <f t="shared" si="1"/>
        <v>1</v>
      </c>
      <c r="AN5">
        <f t="shared" si="1"/>
        <v>1</v>
      </c>
      <c r="AO5">
        <f t="shared" si="1"/>
        <v>1</v>
      </c>
      <c r="AP5">
        <f t="shared" si="1"/>
        <v>1</v>
      </c>
      <c r="AQ5">
        <f t="shared" si="1"/>
        <v>1</v>
      </c>
      <c r="AR5">
        <f t="shared" si="1"/>
        <v>1</v>
      </c>
      <c r="AS5">
        <f t="shared" si="1"/>
        <v>1</v>
      </c>
      <c r="AT5">
        <f t="shared" si="1"/>
        <v>1</v>
      </c>
      <c r="AU5">
        <f t="shared" si="1"/>
        <v>1</v>
      </c>
      <c r="AV5">
        <f t="shared" si="1"/>
        <v>1</v>
      </c>
      <c r="AW5">
        <f t="shared" si="1"/>
        <v>1</v>
      </c>
      <c r="AX5">
        <f t="shared" si="1"/>
        <v>1</v>
      </c>
      <c r="AY5">
        <f t="shared" si="1"/>
        <v>1</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ColWidth="8.85546875" defaultRowHeight="15"/>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c r="AF4">
        <f t="shared" si="1"/>
        <v>1</v>
      </c>
      <c r="AG4">
        <f t="shared" si="1"/>
        <v>1</v>
      </c>
      <c r="AH4">
        <f t="shared" si="1"/>
        <v>1</v>
      </c>
      <c r="AI4">
        <f t="shared" si="1"/>
        <v>1</v>
      </c>
      <c r="AJ4">
        <f t="shared" si="1"/>
        <v>1</v>
      </c>
      <c r="AK4">
        <f t="shared" si="1"/>
        <v>1</v>
      </c>
      <c r="AL4">
        <f t="shared" si="1"/>
        <v>1</v>
      </c>
      <c r="AM4">
        <f t="shared" si="1"/>
        <v>1</v>
      </c>
      <c r="AN4">
        <f t="shared" si="1"/>
        <v>1</v>
      </c>
      <c r="AO4">
        <f t="shared" si="1"/>
        <v>1</v>
      </c>
      <c r="AP4">
        <f t="shared" si="1"/>
        <v>1</v>
      </c>
      <c r="AQ4">
        <f t="shared" si="1"/>
        <v>1</v>
      </c>
      <c r="AR4">
        <f t="shared" si="1"/>
        <v>1</v>
      </c>
      <c r="AS4">
        <f t="shared" si="1"/>
        <v>1</v>
      </c>
      <c r="AT4">
        <f t="shared" si="1"/>
        <v>1</v>
      </c>
      <c r="AU4">
        <f t="shared" si="1"/>
        <v>1</v>
      </c>
      <c r="AV4">
        <f t="shared" si="1"/>
        <v>1</v>
      </c>
      <c r="AW4">
        <f t="shared" si="1"/>
        <v>1</v>
      </c>
      <c r="AX4">
        <f t="shared" si="1"/>
        <v>1</v>
      </c>
      <c r="AY4">
        <f t="shared" si="1"/>
        <v>1</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BA11"/>
  <sheetViews>
    <sheetView topLeftCell="Q1" workbookViewId="0">
      <selection activeCell="AF1" sqref="AF1:AY11"/>
    </sheetView>
  </sheetViews>
  <sheetFormatPr defaultColWidth="8.85546875" defaultRowHeight="15"/>
  <cols>
    <col min="1" max="1" width="22.42578125" customWidth="1"/>
    <col min="31" max="31" width="10.85546875" customWidth="1"/>
    <col min="32" max="32" width="9.42578125" style="13" bestFit="1" customWidth="1"/>
  </cols>
  <sheetData>
    <row r="1" spans="1:53"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c r="BA1" s="14"/>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3">
      <c r="A5" t="s">
        <v>1006</v>
      </c>
      <c r="B5">
        <f>'Freight Ships'!J3/SUM('Freight Ships'!J3:J4)</f>
        <v>0.2527003203514378</v>
      </c>
      <c r="C5">
        <f>B5</f>
        <v>0.2527003203514378</v>
      </c>
      <c r="D5">
        <f t="shared" ref="D5:AE5" si="2">C5</f>
        <v>0.2527003203514378</v>
      </c>
      <c r="E5">
        <f t="shared" si="2"/>
        <v>0.2527003203514378</v>
      </c>
      <c r="F5">
        <f t="shared" si="2"/>
        <v>0.2527003203514378</v>
      </c>
      <c r="G5">
        <f t="shared" si="2"/>
        <v>0.2527003203514378</v>
      </c>
      <c r="H5">
        <f t="shared" si="2"/>
        <v>0.2527003203514378</v>
      </c>
      <c r="I5">
        <f t="shared" si="2"/>
        <v>0.2527003203514378</v>
      </c>
      <c r="J5">
        <f t="shared" si="2"/>
        <v>0.2527003203514378</v>
      </c>
      <c r="K5">
        <f t="shared" si="2"/>
        <v>0.2527003203514378</v>
      </c>
      <c r="L5">
        <f t="shared" si="2"/>
        <v>0.2527003203514378</v>
      </c>
      <c r="M5">
        <f t="shared" si="2"/>
        <v>0.2527003203514378</v>
      </c>
      <c r="N5">
        <f t="shared" si="2"/>
        <v>0.2527003203514378</v>
      </c>
      <c r="O5">
        <f t="shared" si="2"/>
        <v>0.2527003203514378</v>
      </c>
      <c r="P5">
        <f t="shared" si="2"/>
        <v>0.2527003203514378</v>
      </c>
      <c r="Q5">
        <f t="shared" si="2"/>
        <v>0.2527003203514378</v>
      </c>
      <c r="R5">
        <f t="shared" si="2"/>
        <v>0.2527003203514378</v>
      </c>
      <c r="S5">
        <f t="shared" si="2"/>
        <v>0.2527003203514378</v>
      </c>
      <c r="T5">
        <f t="shared" si="2"/>
        <v>0.2527003203514378</v>
      </c>
      <c r="U5">
        <f t="shared" si="2"/>
        <v>0.2527003203514378</v>
      </c>
      <c r="V5">
        <f t="shared" si="2"/>
        <v>0.2527003203514378</v>
      </c>
      <c r="W5">
        <f t="shared" si="2"/>
        <v>0.2527003203514378</v>
      </c>
      <c r="X5">
        <f t="shared" si="2"/>
        <v>0.2527003203514378</v>
      </c>
      <c r="Y5">
        <f t="shared" si="2"/>
        <v>0.2527003203514378</v>
      </c>
      <c r="Z5">
        <f t="shared" si="2"/>
        <v>0.2527003203514378</v>
      </c>
      <c r="AA5">
        <f t="shared" si="2"/>
        <v>0.2527003203514378</v>
      </c>
      <c r="AB5">
        <f t="shared" si="2"/>
        <v>0.2527003203514378</v>
      </c>
      <c r="AC5">
        <f t="shared" si="2"/>
        <v>0.2527003203514378</v>
      </c>
      <c r="AD5">
        <f t="shared" si="2"/>
        <v>0.2527003203514378</v>
      </c>
      <c r="AE5">
        <f t="shared" si="2"/>
        <v>0.2527003203514378</v>
      </c>
      <c r="AF5">
        <f t="shared" si="1"/>
        <v>0.2527003203514378</v>
      </c>
      <c r="AG5">
        <f t="shared" si="1"/>
        <v>0.2527003203514378</v>
      </c>
      <c r="AH5">
        <f t="shared" si="1"/>
        <v>0.2527003203514378</v>
      </c>
      <c r="AI5">
        <f t="shared" si="1"/>
        <v>0.2527003203514378</v>
      </c>
      <c r="AJ5">
        <f t="shared" si="1"/>
        <v>0.2527003203514378</v>
      </c>
      <c r="AK5">
        <f t="shared" si="1"/>
        <v>0.2527003203514378</v>
      </c>
      <c r="AL5">
        <f t="shared" si="1"/>
        <v>0.2527003203514378</v>
      </c>
      <c r="AM5">
        <f t="shared" si="1"/>
        <v>0.2527003203514378</v>
      </c>
      <c r="AN5">
        <f t="shared" si="1"/>
        <v>0.2527003203514378</v>
      </c>
      <c r="AO5">
        <f t="shared" si="1"/>
        <v>0.2527003203514378</v>
      </c>
      <c r="AP5">
        <f t="shared" si="1"/>
        <v>0.2527003203514378</v>
      </c>
      <c r="AQ5">
        <f t="shared" si="1"/>
        <v>0.2527003203514378</v>
      </c>
      <c r="AR5">
        <f t="shared" si="1"/>
        <v>0.2527003203514378</v>
      </c>
      <c r="AS5">
        <f t="shared" si="1"/>
        <v>0.2527003203514378</v>
      </c>
      <c r="AT5">
        <f t="shared" si="1"/>
        <v>0.2527003203514378</v>
      </c>
      <c r="AU5">
        <f t="shared" si="1"/>
        <v>0.2527003203514378</v>
      </c>
      <c r="AV5">
        <f t="shared" si="1"/>
        <v>0.2527003203514378</v>
      </c>
      <c r="AW5">
        <f t="shared" si="1"/>
        <v>0.2527003203514378</v>
      </c>
      <c r="AX5">
        <f t="shared" si="1"/>
        <v>0.2527003203514378</v>
      </c>
      <c r="AY5">
        <f t="shared" si="1"/>
        <v>0.2527003203514378</v>
      </c>
    </row>
    <row r="6" spans="1:53">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f>1-B5</f>
        <v>0.74729967964856225</v>
      </c>
      <c r="C9">
        <f>B9</f>
        <v>0.74729967964856225</v>
      </c>
      <c r="D9">
        <f t="shared" ref="D9:AE9" si="3">C9</f>
        <v>0.74729967964856225</v>
      </c>
      <c r="E9">
        <f t="shared" si="3"/>
        <v>0.74729967964856225</v>
      </c>
      <c r="F9">
        <f t="shared" si="3"/>
        <v>0.74729967964856225</v>
      </c>
      <c r="G9">
        <f t="shared" si="3"/>
        <v>0.74729967964856225</v>
      </c>
      <c r="H9">
        <f t="shared" si="3"/>
        <v>0.74729967964856225</v>
      </c>
      <c r="I9">
        <f t="shared" si="3"/>
        <v>0.74729967964856225</v>
      </c>
      <c r="J9">
        <f t="shared" si="3"/>
        <v>0.74729967964856225</v>
      </c>
      <c r="K9">
        <f t="shared" si="3"/>
        <v>0.74729967964856225</v>
      </c>
      <c r="L9">
        <f t="shared" si="3"/>
        <v>0.74729967964856225</v>
      </c>
      <c r="M9">
        <f t="shared" si="3"/>
        <v>0.74729967964856225</v>
      </c>
      <c r="N9">
        <f t="shared" si="3"/>
        <v>0.74729967964856225</v>
      </c>
      <c r="O9">
        <f t="shared" si="3"/>
        <v>0.74729967964856225</v>
      </c>
      <c r="P9">
        <f t="shared" si="3"/>
        <v>0.74729967964856225</v>
      </c>
      <c r="Q9">
        <f t="shared" si="3"/>
        <v>0.74729967964856225</v>
      </c>
      <c r="R9">
        <f t="shared" si="3"/>
        <v>0.74729967964856225</v>
      </c>
      <c r="S9">
        <f t="shared" si="3"/>
        <v>0.74729967964856225</v>
      </c>
      <c r="T9">
        <f t="shared" si="3"/>
        <v>0.74729967964856225</v>
      </c>
      <c r="U9">
        <f t="shared" si="3"/>
        <v>0.74729967964856225</v>
      </c>
      <c r="V9">
        <f t="shared" si="3"/>
        <v>0.74729967964856225</v>
      </c>
      <c r="W9">
        <f t="shared" si="3"/>
        <v>0.74729967964856225</v>
      </c>
      <c r="X9">
        <f t="shared" si="3"/>
        <v>0.74729967964856225</v>
      </c>
      <c r="Y9">
        <f t="shared" si="3"/>
        <v>0.74729967964856225</v>
      </c>
      <c r="Z9">
        <f t="shared" si="3"/>
        <v>0.74729967964856225</v>
      </c>
      <c r="AA9">
        <f t="shared" si="3"/>
        <v>0.74729967964856225</v>
      </c>
      <c r="AB9">
        <f t="shared" si="3"/>
        <v>0.74729967964856225</v>
      </c>
      <c r="AC9">
        <f t="shared" si="3"/>
        <v>0.74729967964856225</v>
      </c>
      <c r="AD9">
        <f t="shared" si="3"/>
        <v>0.74729967964856225</v>
      </c>
      <c r="AE9">
        <f t="shared" si="3"/>
        <v>0.74729967964856225</v>
      </c>
      <c r="AF9">
        <f t="shared" si="1"/>
        <v>0.74729967964856225</v>
      </c>
      <c r="AG9">
        <f t="shared" si="1"/>
        <v>0.74729967964856225</v>
      </c>
      <c r="AH9">
        <f t="shared" si="1"/>
        <v>0.74729967964856225</v>
      </c>
      <c r="AI9">
        <f t="shared" si="1"/>
        <v>0.74729967964856225</v>
      </c>
      <c r="AJ9">
        <f t="shared" si="1"/>
        <v>0.74729967964856225</v>
      </c>
      <c r="AK9">
        <f t="shared" si="1"/>
        <v>0.74729967964856225</v>
      </c>
      <c r="AL9">
        <f t="shared" si="1"/>
        <v>0.74729967964856225</v>
      </c>
      <c r="AM9">
        <f t="shared" si="1"/>
        <v>0.74729967964856225</v>
      </c>
      <c r="AN9">
        <f t="shared" si="1"/>
        <v>0.74729967964856225</v>
      </c>
      <c r="AO9">
        <f t="shared" si="1"/>
        <v>0.74729967964856225</v>
      </c>
      <c r="AP9">
        <f t="shared" si="1"/>
        <v>0.74729967964856225</v>
      </c>
      <c r="AQ9">
        <f t="shared" si="1"/>
        <v>0.74729967964856225</v>
      </c>
      <c r="AR9">
        <f t="shared" si="1"/>
        <v>0.74729967964856225</v>
      </c>
      <c r="AS9">
        <f t="shared" si="1"/>
        <v>0.74729967964856225</v>
      </c>
      <c r="AT9">
        <f t="shared" si="1"/>
        <v>0.74729967964856225</v>
      </c>
      <c r="AU9">
        <f t="shared" si="1"/>
        <v>0.74729967964856225</v>
      </c>
      <c r="AV9">
        <f t="shared" si="1"/>
        <v>0.74729967964856225</v>
      </c>
      <c r="AW9">
        <f t="shared" si="1"/>
        <v>0.74729967964856225</v>
      </c>
      <c r="AX9">
        <f t="shared" si="1"/>
        <v>0.74729967964856225</v>
      </c>
      <c r="AY9">
        <f t="shared" si="1"/>
        <v>0.74729967964856225</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topLeftCell="C1" workbookViewId="0">
      <selection activeCell="AF1" sqref="AF1"/>
    </sheetView>
  </sheetViews>
  <sheetFormatPr defaultColWidth="8.85546875" defaultRowHeight="15"/>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BA11"/>
  <sheetViews>
    <sheetView topLeftCell="Q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1-B6</f>
        <v>0.89800000000000002</v>
      </c>
      <c r="C4" s="2">
        <f t="shared" ref="C4:AE4" si="2">1-C6</f>
        <v>0.89800000000000002</v>
      </c>
      <c r="D4" s="2">
        <f t="shared" si="2"/>
        <v>0.89800000000000002</v>
      </c>
      <c r="E4" s="2">
        <f t="shared" si="2"/>
        <v>0.89800000000000002</v>
      </c>
      <c r="F4" s="2">
        <f t="shared" si="2"/>
        <v>0.89800000000000002</v>
      </c>
      <c r="G4" s="2">
        <f t="shared" si="2"/>
        <v>0.89800000000000002</v>
      </c>
      <c r="H4" s="2">
        <f t="shared" si="2"/>
        <v>0.89800000000000002</v>
      </c>
      <c r="I4" s="2">
        <f t="shared" si="2"/>
        <v>0.89800000000000002</v>
      </c>
      <c r="J4" s="2">
        <f t="shared" si="2"/>
        <v>0.89800000000000002</v>
      </c>
      <c r="K4" s="2">
        <f t="shared" si="2"/>
        <v>0.89800000000000002</v>
      </c>
      <c r="L4" s="2">
        <f t="shared" si="2"/>
        <v>0.89800000000000002</v>
      </c>
      <c r="M4" s="2">
        <f t="shared" si="2"/>
        <v>0.89800000000000002</v>
      </c>
      <c r="N4" s="2">
        <f t="shared" si="2"/>
        <v>0.89800000000000002</v>
      </c>
      <c r="O4" s="2">
        <f t="shared" si="2"/>
        <v>0.89800000000000002</v>
      </c>
      <c r="P4" s="2">
        <f t="shared" si="2"/>
        <v>0.89800000000000002</v>
      </c>
      <c r="Q4" s="2">
        <f t="shared" si="2"/>
        <v>0.89800000000000002</v>
      </c>
      <c r="R4" s="2">
        <f t="shared" si="2"/>
        <v>0.89800000000000002</v>
      </c>
      <c r="S4" s="2">
        <f t="shared" si="2"/>
        <v>0.89800000000000002</v>
      </c>
      <c r="T4" s="2">
        <f t="shared" si="2"/>
        <v>0.89800000000000002</v>
      </c>
      <c r="U4" s="2">
        <f t="shared" si="2"/>
        <v>0.89800000000000002</v>
      </c>
      <c r="V4" s="2">
        <f t="shared" si="2"/>
        <v>0.89800000000000002</v>
      </c>
      <c r="W4" s="2">
        <f t="shared" si="2"/>
        <v>0.89800000000000002</v>
      </c>
      <c r="X4" s="2">
        <f t="shared" si="2"/>
        <v>0.89800000000000002</v>
      </c>
      <c r="Y4" s="2">
        <f t="shared" si="2"/>
        <v>0.89800000000000002</v>
      </c>
      <c r="Z4" s="2">
        <f t="shared" si="2"/>
        <v>0.89800000000000002</v>
      </c>
      <c r="AA4" s="2">
        <f t="shared" si="2"/>
        <v>0.89800000000000002</v>
      </c>
      <c r="AB4" s="2">
        <f t="shared" si="2"/>
        <v>0.89800000000000002</v>
      </c>
      <c r="AC4" s="2">
        <f t="shared" si="2"/>
        <v>0.89800000000000002</v>
      </c>
      <c r="AD4" s="2">
        <f t="shared" si="2"/>
        <v>0.89800000000000002</v>
      </c>
      <c r="AE4" s="2">
        <f t="shared" si="2"/>
        <v>0.89800000000000002</v>
      </c>
      <c r="AF4">
        <f t="shared" si="1"/>
        <v>0.89800000000000002</v>
      </c>
      <c r="AG4">
        <f t="shared" si="1"/>
        <v>0.89800000000000002</v>
      </c>
      <c r="AH4">
        <f t="shared" si="1"/>
        <v>0.89800000000000002</v>
      </c>
      <c r="AI4">
        <f t="shared" si="1"/>
        <v>0.89800000000000002</v>
      </c>
      <c r="AJ4">
        <f t="shared" si="1"/>
        <v>0.89800000000000002</v>
      </c>
      <c r="AK4">
        <f t="shared" si="1"/>
        <v>0.89800000000000002</v>
      </c>
      <c r="AL4">
        <f t="shared" si="1"/>
        <v>0.89800000000000002</v>
      </c>
      <c r="AM4">
        <f t="shared" si="1"/>
        <v>0.89800000000000002</v>
      </c>
      <c r="AN4">
        <f t="shared" si="1"/>
        <v>0.89800000000000002</v>
      </c>
      <c r="AO4">
        <f t="shared" si="1"/>
        <v>0.89800000000000002</v>
      </c>
      <c r="AP4">
        <f t="shared" si="1"/>
        <v>0.89800000000000002</v>
      </c>
      <c r="AQ4">
        <f t="shared" si="1"/>
        <v>0.89800000000000002</v>
      </c>
      <c r="AR4">
        <f t="shared" si="1"/>
        <v>0.89800000000000002</v>
      </c>
      <c r="AS4">
        <f t="shared" si="1"/>
        <v>0.89800000000000002</v>
      </c>
      <c r="AT4">
        <f t="shared" si="1"/>
        <v>0.89800000000000002</v>
      </c>
      <c r="AU4">
        <f t="shared" si="1"/>
        <v>0.89800000000000002</v>
      </c>
      <c r="AV4">
        <f t="shared" si="1"/>
        <v>0.89800000000000002</v>
      </c>
      <c r="AW4">
        <f t="shared" si="1"/>
        <v>0.89800000000000002</v>
      </c>
      <c r="AX4">
        <f t="shared" si="1"/>
        <v>0.89800000000000002</v>
      </c>
      <c r="AY4">
        <f t="shared" si="1"/>
        <v>0.89800000000000002</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f t="shared" si="1"/>
        <v>0.10199999999999999</v>
      </c>
      <c r="AG6">
        <f t="shared" si="1"/>
        <v>0.10199999999999999</v>
      </c>
      <c r="AH6">
        <f t="shared" si="1"/>
        <v>0.10199999999999999</v>
      </c>
      <c r="AI6">
        <f t="shared" si="1"/>
        <v>0.10199999999999999</v>
      </c>
      <c r="AJ6">
        <f t="shared" si="1"/>
        <v>0.10199999999999999</v>
      </c>
      <c r="AK6">
        <f t="shared" si="1"/>
        <v>0.10199999999999999</v>
      </c>
      <c r="AL6">
        <f t="shared" si="1"/>
        <v>0.10199999999999999</v>
      </c>
      <c r="AM6">
        <f t="shared" si="1"/>
        <v>0.10199999999999999</v>
      </c>
      <c r="AN6">
        <f t="shared" si="1"/>
        <v>0.10199999999999999</v>
      </c>
      <c r="AO6">
        <f t="shared" si="1"/>
        <v>0.10199999999999999</v>
      </c>
      <c r="AP6">
        <f t="shared" si="1"/>
        <v>0.10199999999999999</v>
      </c>
      <c r="AQ6">
        <f t="shared" si="1"/>
        <v>0.10199999999999999</v>
      </c>
      <c r="AR6">
        <f t="shared" si="1"/>
        <v>0.10199999999999999</v>
      </c>
      <c r="AS6">
        <f t="shared" si="1"/>
        <v>0.10199999999999999</v>
      </c>
      <c r="AT6">
        <f t="shared" si="1"/>
        <v>0.10199999999999999</v>
      </c>
      <c r="AU6">
        <f t="shared" si="1"/>
        <v>0.10199999999999999</v>
      </c>
      <c r="AV6">
        <f t="shared" si="1"/>
        <v>0.10199999999999999</v>
      </c>
      <c r="AW6">
        <f t="shared" si="1"/>
        <v>0.10199999999999999</v>
      </c>
      <c r="AX6">
        <f t="shared" si="1"/>
        <v>0.10199999999999999</v>
      </c>
      <c r="AY6">
        <f t="shared" si="1"/>
        <v>0.10199999999999999</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IF('Biodiesel Fraction'!$B18,1-'Biodiesel Fraction'!B30,1)</f>
        <v>0.96982562724837695</v>
      </c>
      <c r="C5">
        <f>IF('Biodiesel Fraction'!$B18,1-'Biodiesel Fraction'!B30,1)</f>
        <v>0.96982562724837695</v>
      </c>
      <c r="D5">
        <f>IF('Biodiesel Fraction'!$B18,1-'Biodiesel Fraction'!D30,1)</f>
        <v>0.96756119768275339</v>
      </c>
      <c r="E5">
        <f>IF('Biodiesel Fraction'!$B18,1-'Biodiesel Fraction'!E30,1)</f>
        <v>0.96217513088919648</v>
      </c>
      <c r="F5">
        <f>IF('Biodiesel Fraction'!$B18,1-'Biodiesel Fraction'!F30,1)</f>
        <v>0.96443225133006649</v>
      </c>
      <c r="G5">
        <f>IF('Biodiesel Fraction'!$B18,1-'Biodiesel Fraction'!G30,1)</f>
        <v>0.96474554583175598</v>
      </c>
      <c r="H5">
        <f>IF('Biodiesel Fraction'!$B18,1-'Biodiesel Fraction'!H30,1)</f>
        <v>0.96391419411335755</v>
      </c>
      <c r="I5">
        <f>IF('Biodiesel Fraction'!$B18,1-'Biodiesel Fraction'!I30,1)</f>
        <v>0.97197761067049815</v>
      </c>
      <c r="J5">
        <f>IF('Biodiesel Fraction'!$B18,1-'Biodiesel Fraction'!J30,1)</f>
        <v>0.97002307526457487</v>
      </c>
      <c r="K5">
        <f>IF('Biodiesel Fraction'!$B18,1-'Biodiesel Fraction'!K30,1)</f>
        <v>0.96811361094888548</v>
      </c>
      <c r="L5">
        <f>IF('Biodiesel Fraction'!$B18,1-'Biodiesel Fraction'!L30,1)</f>
        <v>0.96687983323117066</v>
      </c>
      <c r="M5">
        <f>IF('Biodiesel Fraction'!$B18,1-'Biodiesel Fraction'!M30,1)</f>
        <v>0.96686282301927384</v>
      </c>
      <c r="N5">
        <f>IF('Biodiesel Fraction'!$B18,1-'Biodiesel Fraction'!N30,1)</f>
        <v>0.96603736448357136</v>
      </c>
      <c r="O5">
        <f>IF('Biodiesel Fraction'!$B18,1-'Biodiesel Fraction'!O30,1)</f>
        <v>0.96631896258324768</v>
      </c>
      <c r="P5">
        <f>IF('Biodiesel Fraction'!$B18,1-'Biodiesel Fraction'!P30,1)</f>
        <v>0.96677618290611389</v>
      </c>
      <c r="Q5">
        <f>IF('Biodiesel Fraction'!$B18,1-'Biodiesel Fraction'!Q30,1)</f>
        <v>0.96726221166006854</v>
      </c>
      <c r="R5">
        <f>IF('Biodiesel Fraction'!$B18,1-'Biodiesel Fraction'!R30,1)</f>
        <v>0.96784885622021877</v>
      </c>
      <c r="S5">
        <f>IF('Biodiesel Fraction'!$B18,1-'Biodiesel Fraction'!S30,1)</f>
        <v>0.96849146591577751</v>
      </c>
      <c r="T5">
        <f>IF('Biodiesel Fraction'!$B18,1-'Biodiesel Fraction'!T30,1)</f>
        <v>0.96907707104526464</v>
      </c>
      <c r="U5">
        <f>IF('Biodiesel Fraction'!$B18,1-'Biodiesel Fraction'!U30,1)</f>
        <v>0.96983001919953782</v>
      </c>
      <c r="V5">
        <f>IF('Biodiesel Fraction'!$B18,1-'Biodiesel Fraction'!V30,1)</f>
        <v>0.9706367093891225</v>
      </c>
      <c r="W5">
        <f>IF('Biodiesel Fraction'!$B18,1-'Biodiesel Fraction'!W30,1)</f>
        <v>0.97148429550949056</v>
      </c>
      <c r="X5">
        <f>IF('Biodiesel Fraction'!$B18,1-'Biodiesel Fraction'!X30,1)</f>
        <v>0.97236260439615152</v>
      </c>
      <c r="Y5">
        <f>IF('Biodiesel Fraction'!$B18,1-'Biodiesel Fraction'!Y30,1)</f>
        <v>0.9732553400936832</v>
      </c>
      <c r="Z5">
        <f>IF('Biodiesel Fraction'!$B18,1-'Biodiesel Fraction'!Z30,1)</f>
        <v>0.97416728092843075</v>
      </c>
      <c r="AA5">
        <f>IF('Biodiesel Fraction'!$B18,1-'Biodiesel Fraction'!AA30,1)</f>
        <v>0.97513619296674647</v>
      </c>
      <c r="AB5">
        <f>IF('Biodiesel Fraction'!$B18,1-'Biodiesel Fraction'!AB30,1)</f>
        <v>0.97613904307498167</v>
      </c>
      <c r="AC5">
        <f>IF('Biodiesel Fraction'!$B18,1-'Biodiesel Fraction'!AC30,1)</f>
        <v>0.97714562158233775</v>
      </c>
      <c r="AD5">
        <f>IF('Biodiesel Fraction'!$B18,1-'Biodiesel Fraction'!AD30,1)</f>
        <v>0.9781692203154837</v>
      </c>
      <c r="AE5">
        <f>IF('Biodiesel Fraction'!$B18,1-'Biodiesel Fraction'!AE30,1)</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IF('Biodiesel Fraction'!$B18,'Biodiesel Fraction'!B30,0)</f>
        <v>3.0174372751623022E-2</v>
      </c>
      <c r="C7">
        <f>IF('Biodiesel Fraction'!$B18,'Biodiesel Fraction'!B30,0)</f>
        <v>3.0174372751623022E-2</v>
      </c>
      <c r="D7">
        <f>IF('Biodiesel Fraction'!$B18,'Biodiesel Fraction'!D30,0)</f>
        <v>3.2438802317246634E-2</v>
      </c>
      <c r="E7">
        <f>IF('Biodiesel Fraction'!$B18,'Biodiesel Fraction'!E30,0)</f>
        <v>3.782486911080353E-2</v>
      </c>
      <c r="F7">
        <f>IF('Biodiesel Fraction'!$B18,'Biodiesel Fraction'!F30,0)</f>
        <v>3.5567748669933542E-2</v>
      </c>
      <c r="G7">
        <f>IF('Biodiesel Fraction'!$B18,'Biodiesel Fraction'!G30,0)</f>
        <v>3.5254454168243979E-2</v>
      </c>
      <c r="H7">
        <f>IF('Biodiesel Fraction'!$B18,'Biodiesel Fraction'!H30,0)</f>
        <v>3.608580588664248E-2</v>
      </c>
      <c r="I7">
        <f>IF('Biodiesel Fraction'!$B18,'Biodiesel Fraction'!I30,0)</f>
        <v>2.8022389329501837E-2</v>
      </c>
      <c r="J7">
        <f>IF('Biodiesel Fraction'!$B18,'Biodiesel Fraction'!J30,0)</f>
        <v>2.997692473542508E-2</v>
      </c>
      <c r="K7">
        <f>IF('Biodiesel Fraction'!$B18,'Biodiesel Fraction'!K30,0)</f>
        <v>3.188638905111451E-2</v>
      </c>
      <c r="L7">
        <f>IF('Biodiesel Fraction'!$B18,'Biodiesel Fraction'!L30,0)</f>
        <v>3.3120166768829305E-2</v>
      </c>
      <c r="M7">
        <f>IF('Biodiesel Fraction'!$B18,'Biodiesel Fraction'!M30,0)</f>
        <v>3.3137176980726157E-2</v>
      </c>
      <c r="N7">
        <f>IF('Biodiesel Fraction'!$B18,'Biodiesel Fraction'!N30,0)</f>
        <v>3.3962635516428627E-2</v>
      </c>
      <c r="O7">
        <f>IF('Biodiesel Fraction'!$B18,'Biodiesel Fraction'!O30,0)</f>
        <v>3.3681037416752345E-2</v>
      </c>
      <c r="P7">
        <f>IF('Biodiesel Fraction'!$B18,'Biodiesel Fraction'!P30,0)</f>
        <v>3.3223817093886089E-2</v>
      </c>
      <c r="Q7">
        <f>IF('Biodiesel Fraction'!$B18,'Biodiesel Fraction'!Q30,0)</f>
        <v>3.2737788339931455E-2</v>
      </c>
      <c r="R7">
        <f>IF('Biodiesel Fraction'!$B18,'Biodiesel Fraction'!R30,0)</f>
        <v>3.2151143779781267E-2</v>
      </c>
      <c r="S7">
        <f>IF('Biodiesel Fraction'!$B18,'Biodiesel Fraction'!S30,0)</f>
        <v>3.1508534084222446E-2</v>
      </c>
      <c r="T7">
        <f>IF('Biodiesel Fraction'!$B18,'Biodiesel Fraction'!T30,0)</f>
        <v>3.0922928954735404E-2</v>
      </c>
      <c r="U7">
        <f>IF('Biodiesel Fraction'!$B18,'Biodiesel Fraction'!U30,0)</f>
        <v>3.0169980800462202E-2</v>
      </c>
      <c r="V7">
        <f>IF('Biodiesel Fraction'!$B18,'Biodiesel Fraction'!V30,0)</f>
        <v>2.9363290610877515E-2</v>
      </c>
      <c r="W7">
        <f>IF('Biodiesel Fraction'!$B18,'Biodiesel Fraction'!W30,0)</f>
        <v>2.8515704490509459E-2</v>
      </c>
      <c r="X7">
        <f>IF('Biodiesel Fraction'!$B18,'Biodiesel Fraction'!X30,0)</f>
        <v>2.7637395603848428E-2</v>
      </c>
      <c r="Y7">
        <f>IF('Biodiesel Fraction'!$B18,'Biodiesel Fraction'!Y30,0)</f>
        <v>2.6744659906316835E-2</v>
      </c>
      <c r="Z7">
        <f>IF('Biodiesel Fraction'!$B18,'Biodiesel Fraction'!Z30,0)</f>
        <v>2.5832719071569213E-2</v>
      </c>
      <c r="AA7">
        <f>IF('Biodiesel Fraction'!$B18,'Biodiesel Fraction'!AA30,0)</f>
        <v>2.4863807033253488E-2</v>
      </c>
      <c r="AB7">
        <f>IF('Biodiesel Fraction'!$B18,'Biodiesel Fraction'!AB30,0)</f>
        <v>2.3860956925018297E-2</v>
      </c>
      <c r="AC7">
        <f>IF('Biodiesel Fraction'!$B18,'Biodiesel Fraction'!AC30,0)</f>
        <v>2.2854378417662233E-2</v>
      </c>
      <c r="AD7">
        <f>IF('Biodiesel Fraction'!$B18,'Biodiesel Fraction'!AD30,0)</f>
        <v>2.1830779684516348E-2</v>
      </c>
      <c r="AE7">
        <f>IF('Biodiesel Fraction'!$B18,'Biodiesel Fraction'!AE30,0)</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BA11"/>
  <sheetViews>
    <sheetView topLeftCell="Q1" workbookViewId="0">
      <selection activeCell="AF1" sqref="AF1:AY11"/>
    </sheetView>
  </sheetViews>
  <sheetFormatPr defaultColWidth="8.85546875" defaultRowHeight="15"/>
  <cols>
    <col min="1" max="1" width="22.42578125" customWidth="1"/>
  </cols>
  <sheetData>
    <row r="1" spans="1:53"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3">
      <c r="A2" t="s">
        <v>1003</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c r="AF2">
        <f t="shared" ref="AF2:AY11" si="1">AE2</f>
        <v>0.55000000000000004</v>
      </c>
      <c r="AG2">
        <f t="shared" si="1"/>
        <v>0.55000000000000004</v>
      </c>
      <c r="AH2">
        <f t="shared" si="1"/>
        <v>0.55000000000000004</v>
      </c>
      <c r="AI2">
        <f t="shared" si="1"/>
        <v>0.55000000000000004</v>
      </c>
      <c r="AJ2">
        <f t="shared" si="1"/>
        <v>0.55000000000000004</v>
      </c>
      <c r="AK2">
        <f t="shared" si="1"/>
        <v>0.55000000000000004</v>
      </c>
      <c r="AL2">
        <f t="shared" si="1"/>
        <v>0.55000000000000004</v>
      </c>
      <c r="AM2">
        <f t="shared" si="1"/>
        <v>0.55000000000000004</v>
      </c>
      <c r="AN2">
        <f t="shared" si="1"/>
        <v>0.55000000000000004</v>
      </c>
      <c r="AO2">
        <f t="shared" si="1"/>
        <v>0.55000000000000004</v>
      </c>
      <c r="AP2">
        <f t="shared" si="1"/>
        <v>0.55000000000000004</v>
      </c>
      <c r="AQ2">
        <f t="shared" si="1"/>
        <v>0.55000000000000004</v>
      </c>
      <c r="AR2">
        <f t="shared" si="1"/>
        <v>0.55000000000000004</v>
      </c>
      <c r="AS2">
        <f t="shared" si="1"/>
        <v>0.55000000000000004</v>
      </c>
      <c r="AT2">
        <f t="shared" si="1"/>
        <v>0.55000000000000004</v>
      </c>
      <c r="AU2">
        <f t="shared" si="1"/>
        <v>0.55000000000000004</v>
      </c>
      <c r="AV2">
        <f t="shared" si="1"/>
        <v>0.55000000000000004</v>
      </c>
      <c r="AW2">
        <f t="shared" si="1"/>
        <v>0.55000000000000004</v>
      </c>
      <c r="AX2">
        <f t="shared" si="1"/>
        <v>0.55000000000000004</v>
      </c>
      <c r="AY2">
        <f t="shared" si="1"/>
        <v>0.55000000000000004</v>
      </c>
    </row>
    <row r="3" spans="1:53">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3">
      <c r="A4" t="s">
        <v>1005</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f t="shared" si="1"/>
        <v>0.44920449239135835</v>
      </c>
      <c r="AG4">
        <f t="shared" si="1"/>
        <v>0.44920449239135835</v>
      </c>
      <c r="AH4">
        <f t="shared" si="1"/>
        <v>0.44920449239135835</v>
      </c>
      <c r="AI4">
        <f t="shared" si="1"/>
        <v>0.44920449239135835</v>
      </c>
      <c r="AJ4">
        <f t="shared" si="1"/>
        <v>0.44920449239135835</v>
      </c>
      <c r="AK4">
        <f t="shared" si="1"/>
        <v>0.44920449239135835</v>
      </c>
      <c r="AL4">
        <f t="shared" si="1"/>
        <v>0.44920449239135835</v>
      </c>
      <c r="AM4">
        <f t="shared" si="1"/>
        <v>0.44920449239135835</v>
      </c>
      <c r="AN4">
        <f t="shared" si="1"/>
        <v>0.44920449239135835</v>
      </c>
      <c r="AO4">
        <f t="shared" si="1"/>
        <v>0.44920449239135835</v>
      </c>
      <c r="AP4">
        <f t="shared" si="1"/>
        <v>0.44920449239135835</v>
      </c>
      <c r="AQ4">
        <f t="shared" si="1"/>
        <v>0.44920449239135835</v>
      </c>
      <c r="AR4">
        <f t="shared" si="1"/>
        <v>0.44920449239135835</v>
      </c>
      <c r="AS4">
        <f t="shared" si="1"/>
        <v>0.44920449239135835</v>
      </c>
      <c r="AT4">
        <f t="shared" si="1"/>
        <v>0.44920449239135835</v>
      </c>
      <c r="AU4">
        <f t="shared" si="1"/>
        <v>0.44920449239135835</v>
      </c>
      <c r="AV4">
        <f t="shared" si="1"/>
        <v>0.44920449239135835</v>
      </c>
      <c r="AW4">
        <f t="shared" si="1"/>
        <v>0.44920449239135835</v>
      </c>
      <c r="AX4">
        <f t="shared" si="1"/>
        <v>0.44920449239135835</v>
      </c>
      <c r="AY4">
        <f t="shared" si="1"/>
        <v>0.44920449239135835</v>
      </c>
      <c r="AZ4" s="2"/>
      <c r="BA4" s="2"/>
    </row>
    <row r="5" spans="1:53">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3">
      <c r="A6" t="s">
        <v>1007</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f t="shared" si="1"/>
        <v>7.9550760864159826E-4</v>
      </c>
      <c r="AG6">
        <f t="shared" si="1"/>
        <v>7.9550760864159826E-4</v>
      </c>
      <c r="AH6">
        <f t="shared" si="1"/>
        <v>7.9550760864159826E-4</v>
      </c>
      <c r="AI6">
        <f t="shared" si="1"/>
        <v>7.9550760864159826E-4</v>
      </c>
      <c r="AJ6">
        <f t="shared" si="1"/>
        <v>7.9550760864159826E-4</v>
      </c>
      <c r="AK6">
        <f t="shared" si="1"/>
        <v>7.9550760864159826E-4</v>
      </c>
      <c r="AL6">
        <f t="shared" si="1"/>
        <v>7.9550760864159826E-4</v>
      </c>
      <c r="AM6">
        <f t="shared" si="1"/>
        <v>7.9550760864159826E-4</v>
      </c>
      <c r="AN6">
        <f t="shared" si="1"/>
        <v>7.9550760864159826E-4</v>
      </c>
      <c r="AO6">
        <f t="shared" si="1"/>
        <v>7.9550760864159826E-4</v>
      </c>
      <c r="AP6">
        <f t="shared" si="1"/>
        <v>7.9550760864159826E-4</v>
      </c>
      <c r="AQ6">
        <f t="shared" si="1"/>
        <v>7.9550760864159826E-4</v>
      </c>
      <c r="AR6">
        <f t="shared" si="1"/>
        <v>7.9550760864159826E-4</v>
      </c>
      <c r="AS6">
        <f t="shared" si="1"/>
        <v>7.9550760864159826E-4</v>
      </c>
      <c r="AT6">
        <f t="shared" si="1"/>
        <v>7.9550760864159826E-4</v>
      </c>
      <c r="AU6">
        <f t="shared" si="1"/>
        <v>7.9550760864159826E-4</v>
      </c>
      <c r="AV6">
        <f t="shared" si="1"/>
        <v>7.9550760864159826E-4</v>
      </c>
      <c r="AW6">
        <f t="shared" si="1"/>
        <v>7.9550760864159826E-4</v>
      </c>
      <c r="AX6">
        <f t="shared" si="1"/>
        <v>7.9550760864159826E-4</v>
      </c>
      <c r="AY6">
        <f t="shared" si="1"/>
        <v>7.9550760864159826E-4</v>
      </c>
      <c r="AZ6" s="2"/>
      <c r="BA6" s="2"/>
    </row>
    <row r="7" spans="1:53">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3">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3">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3">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3">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election activeCell="AF1" sqref="AF1:AY11"/>
    </sheetView>
  </sheetViews>
  <sheetFormatPr defaultColWidth="8.85546875" defaultRowHeight="15"/>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c r="AF2">
        <f t="shared" ref="AF2:AY11" si="1">AE2</f>
        <v>1</v>
      </c>
      <c r="AG2">
        <f t="shared" si="1"/>
        <v>1</v>
      </c>
      <c r="AH2">
        <f t="shared" si="1"/>
        <v>1</v>
      </c>
      <c r="AI2">
        <f t="shared" si="1"/>
        <v>1</v>
      </c>
      <c r="AJ2">
        <f t="shared" si="1"/>
        <v>1</v>
      </c>
      <c r="AK2">
        <f t="shared" si="1"/>
        <v>1</v>
      </c>
      <c r="AL2">
        <f t="shared" si="1"/>
        <v>1</v>
      </c>
      <c r="AM2">
        <f t="shared" si="1"/>
        <v>1</v>
      </c>
      <c r="AN2">
        <f t="shared" si="1"/>
        <v>1</v>
      </c>
      <c r="AO2">
        <f t="shared" si="1"/>
        <v>1</v>
      </c>
      <c r="AP2">
        <f t="shared" si="1"/>
        <v>1</v>
      </c>
      <c r="AQ2">
        <f t="shared" si="1"/>
        <v>1</v>
      </c>
      <c r="AR2">
        <f t="shared" si="1"/>
        <v>1</v>
      </c>
      <c r="AS2">
        <f t="shared" si="1"/>
        <v>1</v>
      </c>
      <c r="AT2">
        <f t="shared" si="1"/>
        <v>1</v>
      </c>
      <c r="AU2">
        <f t="shared" si="1"/>
        <v>1</v>
      </c>
      <c r="AV2">
        <f t="shared" si="1"/>
        <v>1</v>
      </c>
      <c r="AW2">
        <f t="shared" si="1"/>
        <v>1</v>
      </c>
      <c r="AX2">
        <f t="shared" si="1"/>
        <v>1</v>
      </c>
      <c r="AY2">
        <f t="shared" si="1"/>
        <v>1</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Y11"/>
  <sheetViews>
    <sheetView topLeftCell="E1" workbookViewId="0">
      <selection activeCell="AF1" sqref="AF1:AY11"/>
    </sheetView>
  </sheetViews>
  <sheetFormatPr defaultColWidth="8.85546875" defaultRowHeight="15"/>
  <cols>
    <col min="1" max="1" width="22.42578125" customWidth="1"/>
  </cols>
  <sheetData>
    <row r="1" spans="1:51" ht="32.1">
      <c r="A1" s="10" t="s">
        <v>1057</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c r="AF3">
        <f t="shared" si="1"/>
        <v>1</v>
      </c>
      <c r="AG3">
        <f t="shared" si="1"/>
        <v>1</v>
      </c>
      <c r="AH3">
        <f t="shared" si="1"/>
        <v>1</v>
      </c>
      <c r="AI3">
        <f t="shared" si="1"/>
        <v>1</v>
      </c>
      <c r="AJ3">
        <f t="shared" si="1"/>
        <v>1</v>
      </c>
      <c r="AK3">
        <f t="shared" si="1"/>
        <v>1</v>
      </c>
      <c r="AL3">
        <f t="shared" si="1"/>
        <v>1</v>
      </c>
      <c r="AM3">
        <f t="shared" si="1"/>
        <v>1</v>
      </c>
      <c r="AN3">
        <f t="shared" si="1"/>
        <v>1</v>
      </c>
      <c r="AO3">
        <f t="shared" si="1"/>
        <v>1</v>
      </c>
      <c r="AP3">
        <f t="shared" si="1"/>
        <v>1</v>
      </c>
      <c r="AQ3">
        <f t="shared" si="1"/>
        <v>1</v>
      </c>
      <c r="AR3">
        <f t="shared" si="1"/>
        <v>1</v>
      </c>
      <c r="AS3">
        <f t="shared" si="1"/>
        <v>1</v>
      </c>
      <c r="AT3">
        <f t="shared" si="1"/>
        <v>1</v>
      </c>
      <c r="AU3">
        <f t="shared" si="1"/>
        <v>1</v>
      </c>
      <c r="AV3">
        <f t="shared" si="1"/>
        <v>1</v>
      </c>
      <c r="AW3">
        <f t="shared" si="1"/>
        <v>1</v>
      </c>
      <c r="AX3">
        <f t="shared" si="1"/>
        <v>1</v>
      </c>
      <c r="AY3">
        <f t="shared" si="1"/>
        <v>1</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c r="AF4">
        <f t="shared" si="1"/>
        <v>0.89800000000000002</v>
      </c>
      <c r="AG4">
        <f t="shared" si="1"/>
        <v>0.89800000000000002</v>
      </c>
      <c r="AH4">
        <f t="shared" si="1"/>
        <v>0.89800000000000002</v>
      </c>
      <c r="AI4">
        <f t="shared" si="1"/>
        <v>0.89800000000000002</v>
      </c>
      <c r="AJ4">
        <f t="shared" si="1"/>
        <v>0.89800000000000002</v>
      </c>
      <c r="AK4">
        <f t="shared" si="1"/>
        <v>0.89800000000000002</v>
      </c>
      <c r="AL4">
        <f t="shared" si="1"/>
        <v>0.89800000000000002</v>
      </c>
      <c r="AM4">
        <f t="shared" si="1"/>
        <v>0.89800000000000002</v>
      </c>
      <c r="AN4">
        <f t="shared" si="1"/>
        <v>0.89800000000000002</v>
      </c>
      <c r="AO4">
        <f t="shared" si="1"/>
        <v>0.89800000000000002</v>
      </c>
      <c r="AP4">
        <f t="shared" si="1"/>
        <v>0.89800000000000002</v>
      </c>
      <c r="AQ4">
        <f t="shared" si="1"/>
        <v>0.89800000000000002</v>
      </c>
      <c r="AR4">
        <f t="shared" si="1"/>
        <v>0.89800000000000002</v>
      </c>
      <c r="AS4">
        <f t="shared" si="1"/>
        <v>0.89800000000000002</v>
      </c>
      <c r="AT4">
        <f t="shared" si="1"/>
        <v>0.89800000000000002</v>
      </c>
      <c r="AU4">
        <f t="shared" si="1"/>
        <v>0.89800000000000002</v>
      </c>
      <c r="AV4">
        <f t="shared" si="1"/>
        <v>0.89800000000000002</v>
      </c>
      <c r="AW4">
        <f t="shared" si="1"/>
        <v>0.89800000000000002</v>
      </c>
      <c r="AX4">
        <f t="shared" si="1"/>
        <v>0.89800000000000002</v>
      </c>
      <c r="AY4">
        <f t="shared" si="1"/>
        <v>0.89800000000000002</v>
      </c>
    </row>
    <row r="5" spans="1:51">
      <c r="A5" t="s">
        <v>1006</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c r="AF6">
        <f t="shared" si="1"/>
        <v>0.10199999999999999</v>
      </c>
      <c r="AG6">
        <f t="shared" si="1"/>
        <v>0.10199999999999999</v>
      </c>
      <c r="AH6">
        <f t="shared" si="1"/>
        <v>0.10199999999999999</v>
      </c>
      <c r="AI6">
        <f t="shared" si="1"/>
        <v>0.10199999999999999</v>
      </c>
      <c r="AJ6">
        <f t="shared" si="1"/>
        <v>0.10199999999999999</v>
      </c>
      <c r="AK6">
        <f t="shared" si="1"/>
        <v>0.10199999999999999</v>
      </c>
      <c r="AL6">
        <f t="shared" si="1"/>
        <v>0.10199999999999999</v>
      </c>
      <c r="AM6">
        <f t="shared" si="1"/>
        <v>0.10199999999999999</v>
      </c>
      <c r="AN6">
        <f t="shared" si="1"/>
        <v>0.10199999999999999</v>
      </c>
      <c r="AO6">
        <f t="shared" si="1"/>
        <v>0.10199999999999999</v>
      </c>
      <c r="AP6">
        <f t="shared" si="1"/>
        <v>0.10199999999999999</v>
      </c>
      <c r="AQ6">
        <f t="shared" si="1"/>
        <v>0.10199999999999999</v>
      </c>
      <c r="AR6">
        <f t="shared" si="1"/>
        <v>0.10199999999999999</v>
      </c>
      <c r="AS6">
        <f t="shared" si="1"/>
        <v>0.10199999999999999</v>
      </c>
      <c r="AT6">
        <f t="shared" si="1"/>
        <v>0.10199999999999999</v>
      </c>
      <c r="AU6">
        <f t="shared" si="1"/>
        <v>0.10199999999999999</v>
      </c>
      <c r="AV6">
        <f t="shared" si="1"/>
        <v>0.10199999999999999</v>
      </c>
      <c r="AW6">
        <f t="shared" si="1"/>
        <v>0.10199999999999999</v>
      </c>
      <c r="AX6">
        <f t="shared" si="1"/>
        <v>0.10199999999999999</v>
      </c>
      <c r="AY6">
        <f t="shared" si="1"/>
        <v>0.10199999999999999</v>
      </c>
    </row>
    <row r="7" spans="1:51">
      <c r="A7" t="s">
        <v>1008</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f>'BPoEFUbVT-mtrbks-psgr-dslveh'!B5</f>
        <v>0.96982562724837695</v>
      </c>
      <c r="C5">
        <f>'BPoEFUbVT-mtrbks-psgr-dslveh'!C5</f>
        <v>0.96982562724837695</v>
      </c>
      <c r="D5">
        <f>'BPoEFUbVT-mtrbks-psgr-dslveh'!D5</f>
        <v>0.96756119768275339</v>
      </c>
      <c r="E5">
        <f>'BPoEFUbVT-mtrbks-psgr-dslveh'!E5</f>
        <v>0.96217513088919648</v>
      </c>
      <c r="F5">
        <f>'BPoEFUbVT-mtrbks-psgr-dslveh'!F5</f>
        <v>0.96443225133006649</v>
      </c>
      <c r="G5">
        <f>'BPoEFUbVT-mtrbks-psgr-dslveh'!G5</f>
        <v>0.96474554583175598</v>
      </c>
      <c r="H5">
        <f>'BPoEFUbVT-mtrbks-psgr-dslveh'!H5</f>
        <v>0.96391419411335755</v>
      </c>
      <c r="I5">
        <f>'BPoEFUbVT-mtrbks-psgr-dslveh'!I5</f>
        <v>0.97197761067049815</v>
      </c>
      <c r="J5">
        <f>'BPoEFUbVT-mtrbks-psgr-dslveh'!J5</f>
        <v>0.97002307526457487</v>
      </c>
      <c r="K5">
        <f>'BPoEFUbVT-mtrbks-psgr-dslveh'!K5</f>
        <v>0.96811361094888548</v>
      </c>
      <c r="L5">
        <f>'BPoEFUbVT-mtrbks-psgr-dslveh'!L5</f>
        <v>0.96687983323117066</v>
      </c>
      <c r="M5">
        <f>'BPoEFUbVT-mtrbks-psgr-dslveh'!M5</f>
        <v>0.96686282301927384</v>
      </c>
      <c r="N5">
        <f>'BPoEFUbVT-mtrbks-psgr-dslveh'!N5</f>
        <v>0.96603736448357136</v>
      </c>
      <c r="O5">
        <f>'BPoEFUbVT-mtrbks-psgr-dslveh'!O5</f>
        <v>0.96631896258324768</v>
      </c>
      <c r="P5">
        <f>'BPoEFUbVT-mtrbks-psgr-dslveh'!P5</f>
        <v>0.96677618290611389</v>
      </c>
      <c r="Q5">
        <f>'BPoEFUbVT-mtrbks-psgr-dslveh'!Q5</f>
        <v>0.96726221166006854</v>
      </c>
      <c r="R5">
        <f>'BPoEFUbVT-mtrbks-psgr-dslveh'!R5</f>
        <v>0.96784885622021877</v>
      </c>
      <c r="S5">
        <f>'BPoEFUbVT-mtrbks-psgr-dslveh'!S5</f>
        <v>0.96849146591577751</v>
      </c>
      <c r="T5">
        <f>'BPoEFUbVT-mtrbks-psgr-dslveh'!T5</f>
        <v>0.96907707104526464</v>
      </c>
      <c r="U5">
        <f>'BPoEFUbVT-mtrbks-psgr-dslveh'!U5</f>
        <v>0.96983001919953782</v>
      </c>
      <c r="V5">
        <f>'BPoEFUbVT-mtrbks-psgr-dslveh'!V5</f>
        <v>0.9706367093891225</v>
      </c>
      <c r="W5">
        <f>'BPoEFUbVT-mtrbks-psgr-dslveh'!W5</f>
        <v>0.97148429550949056</v>
      </c>
      <c r="X5">
        <f>'BPoEFUbVT-mtrbks-psgr-dslveh'!X5</f>
        <v>0.97236260439615152</v>
      </c>
      <c r="Y5">
        <f>'BPoEFUbVT-mtrbks-psgr-dslveh'!Y5</f>
        <v>0.9732553400936832</v>
      </c>
      <c r="Z5">
        <f>'BPoEFUbVT-mtrbks-psgr-dslveh'!Z5</f>
        <v>0.97416728092843075</v>
      </c>
      <c r="AA5">
        <f>'BPoEFUbVT-mtrbks-psgr-dslveh'!AA5</f>
        <v>0.97513619296674647</v>
      </c>
      <c r="AB5">
        <f>'BPoEFUbVT-mtrbks-psgr-dslveh'!AB5</f>
        <v>0.97613904307498167</v>
      </c>
      <c r="AC5">
        <f>'BPoEFUbVT-mtrbks-psgr-dslveh'!AC5</f>
        <v>0.97714562158233775</v>
      </c>
      <c r="AD5">
        <f>'BPoEFUbVT-mtrbks-psgr-dslveh'!AD5</f>
        <v>0.9781692203154837</v>
      </c>
      <c r="AE5">
        <f>'BPoEFUbVT-mtrbks-psgr-dslveh'!AE5</f>
        <v>0.97925293689853288</v>
      </c>
      <c r="AF5">
        <f t="shared" si="1"/>
        <v>0.97925293689853288</v>
      </c>
      <c r="AG5">
        <f t="shared" si="1"/>
        <v>0.97925293689853288</v>
      </c>
      <c r="AH5">
        <f t="shared" si="1"/>
        <v>0.97925293689853288</v>
      </c>
      <c r="AI5">
        <f t="shared" si="1"/>
        <v>0.97925293689853288</v>
      </c>
      <c r="AJ5">
        <f t="shared" si="1"/>
        <v>0.97925293689853288</v>
      </c>
      <c r="AK5">
        <f t="shared" si="1"/>
        <v>0.97925293689853288</v>
      </c>
      <c r="AL5">
        <f t="shared" si="1"/>
        <v>0.97925293689853288</v>
      </c>
      <c r="AM5">
        <f t="shared" si="1"/>
        <v>0.97925293689853288</v>
      </c>
      <c r="AN5">
        <f t="shared" si="1"/>
        <v>0.97925293689853288</v>
      </c>
      <c r="AO5">
        <f t="shared" si="1"/>
        <v>0.97925293689853288</v>
      </c>
      <c r="AP5">
        <f t="shared" si="1"/>
        <v>0.97925293689853288</v>
      </c>
      <c r="AQ5">
        <f t="shared" si="1"/>
        <v>0.97925293689853288</v>
      </c>
      <c r="AR5">
        <f t="shared" si="1"/>
        <v>0.97925293689853288</v>
      </c>
      <c r="AS5">
        <f t="shared" si="1"/>
        <v>0.97925293689853288</v>
      </c>
      <c r="AT5">
        <f t="shared" si="1"/>
        <v>0.97925293689853288</v>
      </c>
      <c r="AU5">
        <f t="shared" si="1"/>
        <v>0.97925293689853288</v>
      </c>
      <c r="AV5">
        <f t="shared" si="1"/>
        <v>0.97925293689853288</v>
      </c>
      <c r="AW5">
        <f t="shared" si="1"/>
        <v>0.97925293689853288</v>
      </c>
      <c r="AX5">
        <f t="shared" si="1"/>
        <v>0.97925293689853288</v>
      </c>
      <c r="AY5">
        <f t="shared" si="1"/>
        <v>0.97925293689853288</v>
      </c>
    </row>
    <row r="6" spans="1:51">
      <c r="A6" t="s">
        <v>1007</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f>'BPoEFUbVT-mtrbks-psgr-dslveh'!B7</f>
        <v>3.0174372751623022E-2</v>
      </c>
      <c r="C7">
        <f>'BPoEFUbVT-mtrbks-psgr-dslveh'!C7</f>
        <v>3.0174372751623022E-2</v>
      </c>
      <c r="D7">
        <f>'BPoEFUbVT-mtrbks-psgr-dslveh'!D7</f>
        <v>3.2438802317246634E-2</v>
      </c>
      <c r="E7">
        <f>'BPoEFUbVT-mtrbks-psgr-dslveh'!E7</f>
        <v>3.782486911080353E-2</v>
      </c>
      <c r="F7">
        <f>'BPoEFUbVT-mtrbks-psgr-dslveh'!F7</f>
        <v>3.5567748669933542E-2</v>
      </c>
      <c r="G7">
        <f>'BPoEFUbVT-mtrbks-psgr-dslveh'!G7</f>
        <v>3.5254454168243979E-2</v>
      </c>
      <c r="H7">
        <f>'BPoEFUbVT-mtrbks-psgr-dslveh'!H7</f>
        <v>3.608580588664248E-2</v>
      </c>
      <c r="I7">
        <f>'BPoEFUbVT-mtrbks-psgr-dslveh'!I7</f>
        <v>2.8022389329501837E-2</v>
      </c>
      <c r="J7">
        <f>'BPoEFUbVT-mtrbks-psgr-dslveh'!J7</f>
        <v>2.997692473542508E-2</v>
      </c>
      <c r="K7">
        <f>'BPoEFUbVT-mtrbks-psgr-dslveh'!K7</f>
        <v>3.188638905111451E-2</v>
      </c>
      <c r="L7">
        <f>'BPoEFUbVT-mtrbks-psgr-dslveh'!L7</f>
        <v>3.3120166768829305E-2</v>
      </c>
      <c r="M7">
        <f>'BPoEFUbVT-mtrbks-psgr-dslveh'!M7</f>
        <v>3.3137176980726157E-2</v>
      </c>
      <c r="N7">
        <f>'BPoEFUbVT-mtrbks-psgr-dslveh'!N7</f>
        <v>3.3962635516428627E-2</v>
      </c>
      <c r="O7">
        <f>'BPoEFUbVT-mtrbks-psgr-dslveh'!O7</f>
        <v>3.3681037416752345E-2</v>
      </c>
      <c r="P7">
        <f>'BPoEFUbVT-mtrbks-psgr-dslveh'!P7</f>
        <v>3.3223817093886089E-2</v>
      </c>
      <c r="Q7">
        <f>'BPoEFUbVT-mtrbks-psgr-dslveh'!Q7</f>
        <v>3.2737788339931455E-2</v>
      </c>
      <c r="R7">
        <f>'BPoEFUbVT-mtrbks-psgr-dslveh'!R7</f>
        <v>3.2151143779781267E-2</v>
      </c>
      <c r="S7">
        <f>'BPoEFUbVT-mtrbks-psgr-dslveh'!S7</f>
        <v>3.1508534084222446E-2</v>
      </c>
      <c r="T7">
        <f>'BPoEFUbVT-mtrbks-psgr-dslveh'!T7</f>
        <v>3.0922928954735404E-2</v>
      </c>
      <c r="U7">
        <f>'BPoEFUbVT-mtrbks-psgr-dslveh'!U7</f>
        <v>3.0169980800462202E-2</v>
      </c>
      <c r="V7">
        <f>'BPoEFUbVT-mtrbks-psgr-dslveh'!V7</f>
        <v>2.9363290610877515E-2</v>
      </c>
      <c r="W7">
        <f>'BPoEFUbVT-mtrbks-psgr-dslveh'!W7</f>
        <v>2.8515704490509459E-2</v>
      </c>
      <c r="X7">
        <f>'BPoEFUbVT-mtrbks-psgr-dslveh'!X7</f>
        <v>2.7637395603848428E-2</v>
      </c>
      <c r="Y7">
        <f>'BPoEFUbVT-mtrbks-psgr-dslveh'!Y7</f>
        <v>2.6744659906316835E-2</v>
      </c>
      <c r="Z7">
        <f>'BPoEFUbVT-mtrbks-psgr-dslveh'!Z7</f>
        <v>2.5832719071569213E-2</v>
      </c>
      <c r="AA7">
        <f>'BPoEFUbVT-mtrbks-psgr-dslveh'!AA7</f>
        <v>2.4863807033253488E-2</v>
      </c>
      <c r="AB7">
        <f>'BPoEFUbVT-mtrbks-psgr-dslveh'!AB7</f>
        <v>2.3860956925018297E-2</v>
      </c>
      <c r="AC7">
        <f>'BPoEFUbVT-mtrbks-psgr-dslveh'!AC7</f>
        <v>2.2854378417662233E-2</v>
      </c>
      <c r="AD7">
        <f>'BPoEFUbVT-mtrbks-psgr-dslveh'!AD7</f>
        <v>2.1830779684516348E-2</v>
      </c>
      <c r="AE7">
        <f>'BPoEFUbVT-mtrbks-psgr-dslveh'!AE7</f>
        <v>2.0747063101467136E-2</v>
      </c>
      <c r="AF7">
        <f t="shared" si="1"/>
        <v>2.0747063101467136E-2</v>
      </c>
      <c r="AG7">
        <f t="shared" si="1"/>
        <v>2.0747063101467136E-2</v>
      </c>
      <c r="AH7">
        <f t="shared" si="1"/>
        <v>2.0747063101467136E-2</v>
      </c>
      <c r="AI7">
        <f t="shared" si="1"/>
        <v>2.0747063101467136E-2</v>
      </c>
      <c r="AJ7">
        <f t="shared" si="1"/>
        <v>2.0747063101467136E-2</v>
      </c>
      <c r="AK7">
        <f t="shared" si="1"/>
        <v>2.0747063101467136E-2</v>
      </c>
      <c r="AL7">
        <f t="shared" si="1"/>
        <v>2.0747063101467136E-2</v>
      </c>
      <c r="AM7">
        <f t="shared" si="1"/>
        <v>2.0747063101467136E-2</v>
      </c>
      <c r="AN7">
        <f t="shared" si="1"/>
        <v>2.0747063101467136E-2</v>
      </c>
      <c r="AO7">
        <f t="shared" si="1"/>
        <v>2.0747063101467136E-2</v>
      </c>
      <c r="AP7">
        <f t="shared" si="1"/>
        <v>2.0747063101467136E-2</v>
      </c>
      <c r="AQ7">
        <f t="shared" si="1"/>
        <v>2.0747063101467136E-2</v>
      </c>
      <c r="AR7">
        <f t="shared" si="1"/>
        <v>2.0747063101467136E-2</v>
      </c>
      <c r="AS7">
        <f t="shared" si="1"/>
        <v>2.0747063101467136E-2</v>
      </c>
      <c r="AT7">
        <f t="shared" si="1"/>
        <v>2.0747063101467136E-2</v>
      </c>
      <c r="AU7">
        <f t="shared" si="1"/>
        <v>2.0747063101467136E-2</v>
      </c>
      <c r="AV7">
        <f t="shared" si="1"/>
        <v>2.0747063101467136E-2</v>
      </c>
      <c r="AW7">
        <f t="shared" si="1"/>
        <v>2.0747063101467136E-2</v>
      </c>
      <c r="AX7">
        <f t="shared" si="1"/>
        <v>2.0747063101467136E-2</v>
      </c>
      <c r="AY7">
        <f t="shared" si="1"/>
        <v>2.0747063101467136E-2</v>
      </c>
    </row>
    <row r="8" spans="1:51">
      <c r="A8" t="s">
        <v>1009</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Y11"/>
  <sheetViews>
    <sheetView topLeftCell="F1" workbookViewId="0">
      <selection activeCell="AF1" sqref="AF1:AY11"/>
    </sheetView>
  </sheetViews>
  <sheetFormatPr defaultColWidth="8.85546875" defaultRowHeight="15"/>
  <cols>
    <col min="1" max="1" width="22.42578125" customWidth="1"/>
  </cols>
  <sheetData>
    <row r="1" spans="1:51" ht="32.1">
      <c r="A1" s="10" t="s">
        <v>1057</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c r="AF1">
        <f>'BPoEFUbVT-mtrbks-psgr-plghyb'!AF1</f>
        <v>2051</v>
      </c>
      <c r="AG1">
        <f>'BPoEFUbVT-mtrbks-psgr-plghyb'!AG1</f>
        <v>2052</v>
      </c>
      <c r="AH1">
        <f>'BPoEFUbVT-mtrbks-psgr-plghyb'!AH1</f>
        <v>2053</v>
      </c>
      <c r="AI1">
        <f>'BPoEFUbVT-mtrbks-psgr-plghyb'!AI1</f>
        <v>2054</v>
      </c>
      <c r="AJ1">
        <f>'BPoEFUbVT-mtrbks-psgr-plghyb'!AJ1</f>
        <v>2055</v>
      </c>
      <c r="AK1">
        <f>'BPoEFUbVT-mtrbks-psgr-plghyb'!AK1</f>
        <v>2056</v>
      </c>
      <c r="AL1">
        <f>'BPoEFUbVT-mtrbks-psgr-plghyb'!AL1</f>
        <v>2057</v>
      </c>
      <c r="AM1">
        <f>'BPoEFUbVT-mtrbks-psgr-plghyb'!AM1</f>
        <v>2058</v>
      </c>
      <c r="AN1">
        <f>'BPoEFUbVT-mtrbks-psgr-plghyb'!AN1</f>
        <v>2059</v>
      </c>
      <c r="AO1">
        <f>'BPoEFUbVT-mtrbks-psgr-plghyb'!AO1</f>
        <v>2060</v>
      </c>
      <c r="AP1">
        <f>'BPoEFUbVT-mtrbks-psgr-plghyb'!AP1</f>
        <v>2061</v>
      </c>
      <c r="AQ1">
        <f>'BPoEFUbVT-mtrbks-psgr-plghyb'!AQ1</f>
        <v>2062</v>
      </c>
      <c r="AR1">
        <f>'BPoEFUbVT-mtrbks-psgr-plghyb'!AR1</f>
        <v>2063</v>
      </c>
      <c r="AS1">
        <f>'BPoEFUbVT-mtrbks-psgr-plghyb'!AS1</f>
        <v>2064</v>
      </c>
      <c r="AT1">
        <f>'BPoEFUbVT-mtrbks-psgr-plghyb'!AT1</f>
        <v>2065</v>
      </c>
      <c r="AU1">
        <f>'BPoEFUbVT-mtrbks-psgr-plghyb'!AU1</f>
        <v>2066</v>
      </c>
      <c r="AV1">
        <f>'BPoEFUbVT-mtrbks-psgr-plghyb'!AV1</f>
        <v>2067</v>
      </c>
      <c r="AW1">
        <f>'BPoEFUbVT-mtrbks-psgr-plghyb'!AW1</f>
        <v>2068</v>
      </c>
      <c r="AX1">
        <f>'BPoEFUbVT-mtrbks-psgr-plghyb'!AX1</f>
        <v>2069</v>
      </c>
      <c r="AY1">
        <f>'BPoEFUbVT-mtrbks-psgr-plghyb'!AY1</f>
        <v>2070</v>
      </c>
    </row>
    <row r="2" spans="1:51">
      <c r="A2" t="s">
        <v>1003</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c r="AF2">
        <f t="shared" ref="AF2:AY2" si="0">AE2</f>
        <v>0.55000000000000004</v>
      </c>
      <c r="AG2">
        <f t="shared" si="0"/>
        <v>0.55000000000000004</v>
      </c>
      <c r="AH2">
        <f t="shared" si="0"/>
        <v>0.55000000000000004</v>
      </c>
      <c r="AI2">
        <f t="shared" si="0"/>
        <v>0.55000000000000004</v>
      </c>
      <c r="AJ2">
        <f t="shared" si="0"/>
        <v>0.55000000000000004</v>
      </c>
      <c r="AK2">
        <f t="shared" si="0"/>
        <v>0.55000000000000004</v>
      </c>
      <c r="AL2">
        <f t="shared" si="0"/>
        <v>0.55000000000000004</v>
      </c>
      <c r="AM2">
        <f t="shared" si="0"/>
        <v>0.55000000000000004</v>
      </c>
      <c r="AN2">
        <f t="shared" si="0"/>
        <v>0.55000000000000004</v>
      </c>
      <c r="AO2">
        <f t="shared" si="0"/>
        <v>0.55000000000000004</v>
      </c>
      <c r="AP2">
        <f t="shared" si="0"/>
        <v>0.55000000000000004</v>
      </c>
      <c r="AQ2">
        <f t="shared" si="0"/>
        <v>0.55000000000000004</v>
      </c>
      <c r="AR2">
        <f t="shared" si="0"/>
        <v>0.55000000000000004</v>
      </c>
      <c r="AS2">
        <f t="shared" si="0"/>
        <v>0.55000000000000004</v>
      </c>
      <c r="AT2">
        <f t="shared" si="0"/>
        <v>0.55000000000000004</v>
      </c>
      <c r="AU2">
        <f t="shared" si="0"/>
        <v>0.55000000000000004</v>
      </c>
      <c r="AV2">
        <f t="shared" si="0"/>
        <v>0.55000000000000004</v>
      </c>
      <c r="AW2">
        <f t="shared" si="0"/>
        <v>0.55000000000000004</v>
      </c>
      <c r="AX2">
        <f t="shared" si="0"/>
        <v>0.55000000000000004</v>
      </c>
      <c r="AY2">
        <f t="shared" si="0"/>
        <v>0.55000000000000004</v>
      </c>
    </row>
    <row r="3" spans="1:51">
      <c r="A3" t="s">
        <v>1004</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c r="AF3">
        <f t="shared" ref="AF3:AY3" si="1">AE3</f>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c r="AF4">
        <f t="shared" ref="AF4:AY4" si="2">AE4</f>
        <v>0.44920449239135835</v>
      </c>
      <c r="AG4">
        <f t="shared" si="2"/>
        <v>0.44920449239135835</v>
      </c>
      <c r="AH4">
        <f t="shared" si="2"/>
        <v>0.44920449239135835</v>
      </c>
      <c r="AI4">
        <f t="shared" si="2"/>
        <v>0.44920449239135835</v>
      </c>
      <c r="AJ4">
        <f t="shared" si="2"/>
        <v>0.44920449239135835</v>
      </c>
      <c r="AK4">
        <f t="shared" si="2"/>
        <v>0.44920449239135835</v>
      </c>
      <c r="AL4">
        <f t="shared" si="2"/>
        <v>0.44920449239135835</v>
      </c>
      <c r="AM4">
        <f t="shared" si="2"/>
        <v>0.44920449239135835</v>
      </c>
      <c r="AN4">
        <f t="shared" si="2"/>
        <v>0.44920449239135835</v>
      </c>
      <c r="AO4">
        <f t="shared" si="2"/>
        <v>0.44920449239135835</v>
      </c>
      <c r="AP4">
        <f t="shared" si="2"/>
        <v>0.44920449239135835</v>
      </c>
      <c r="AQ4">
        <f t="shared" si="2"/>
        <v>0.44920449239135835</v>
      </c>
      <c r="AR4">
        <f t="shared" si="2"/>
        <v>0.44920449239135835</v>
      </c>
      <c r="AS4">
        <f t="shared" si="2"/>
        <v>0.44920449239135835</v>
      </c>
      <c r="AT4">
        <f t="shared" si="2"/>
        <v>0.44920449239135835</v>
      </c>
      <c r="AU4">
        <f t="shared" si="2"/>
        <v>0.44920449239135835</v>
      </c>
      <c r="AV4">
        <f t="shared" si="2"/>
        <v>0.44920449239135835</v>
      </c>
      <c r="AW4">
        <f t="shared" si="2"/>
        <v>0.44920449239135835</v>
      </c>
      <c r="AX4">
        <f t="shared" si="2"/>
        <v>0.44920449239135835</v>
      </c>
      <c r="AY4">
        <f t="shared" si="2"/>
        <v>0.44920449239135835</v>
      </c>
    </row>
    <row r="5" spans="1:51">
      <c r="A5" t="s">
        <v>1006</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c r="AF5">
        <f t="shared" ref="AF5:AY5" si="3">AE5</f>
        <v>0</v>
      </c>
      <c r="AG5">
        <f t="shared" si="3"/>
        <v>0</v>
      </c>
      <c r="AH5">
        <f t="shared" si="3"/>
        <v>0</v>
      </c>
      <c r="AI5">
        <f t="shared" si="3"/>
        <v>0</v>
      </c>
      <c r="AJ5">
        <f t="shared" si="3"/>
        <v>0</v>
      </c>
      <c r="AK5">
        <f t="shared" si="3"/>
        <v>0</v>
      </c>
      <c r="AL5">
        <f t="shared" si="3"/>
        <v>0</v>
      </c>
      <c r="AM5">
        <f t="shared" si="3"/>
        <v>0</v>
      </c>
      <c r="AN5">
        <f t="shared" si="3"/>
        <v>0</v>
      </c>
      <c r="AO5">
        <f t="shared" si="3"/>
        <v>0</v>
      </c>
      <c r="AP5">
        <f t="shared" si="3"/>
        <v>0</v>
      </c>
      <c r="AQ5">
        <f t="shared" si="3"/>
        <v>0</v>
      </c>
      <c r="AR5">
        <f t="shared" si="3"/>
        <v>0</v>
      </c>
      <c r="AS5">
        <f t="shared" si="3"/>
        <v>0</v>
      </c>
      <c r="AT5">
        <f t="shared" si="3"/>
        <v>0</v>
      </c>
      <c r="AU5">
        <f t="shared" si="3"/>
        <v>0</v>
      </c>
      <c r="AV5">
        <f t="shared" si="3"/>
        <v>0</v>
      </c>
      <c r="AW5">
        <f t="shared" si="3"/>
        <v>0</v>
      </c>
      <c r="AX5">
        <f t="shared" si="3"/>
        <v>0</v>
      </c>
      <c r="AY5">
        <f t="shared" si="3"/>
        <v>0</v>
      </c>
    </row>
    <row r="6" spans="1:51">
      <c r="A6" t="s">
        <v>1007</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c r="AF6">
        <f t="shared" ref="AF6:AY6" si="4">AE6</f>
        <v>7.9550760864159826E-4</v>
      </c>
      <c r="AG6">
        <f t="shared" si="4"/>
        <v>7.9550760864159826E-4</v>
      </c>
      <c r="AH6">
        <f t="shared" si="4"/>
        <v>7.9550760864159826E-4</v>
      </c>
      <c r="AI6">
        <f t="shared" si="4"/>
        <v>7.9550760864159826E-4</v>
      </c>
      <c r="AJ6">
        <f t="shared" si="4"/>
        <v>7.9550760864159826E-4</v>
      </c>
      <c r="AK6">
        <f t="shared" si="4"/>
        <v>7.9550760864159826E-4</v>
      </c>
      <c r="AL6">
        <f t="shared" si="4"/>
        <v>7.9550760864159826E-4</v>
      </c>
      <c r="AM6">
        <f t="shared" si="4"/>
        <v>7.9550760864159826E-4</v>
      </c>
      <c r="AN6">
        <f t="shared" si="4"/>
        <v>7.9550760864159826E-4</v>
      </c>
      <c r="AO6">
        <f t="shared" si="4"/>
        <v>7.9550760864159826E-4</v>
      </c>
      <c r="AP6">
        <f t="shared" si="4"/>
        <v>7.9550760864159826E-4</v>
      </c>
      <c r="AQ6">
        <f t="shared" si="4"/>
        <v>7.9550760864159826E-4</v>
      </c>
      <c r="AR6">
        <f t="shared" si="4"/>
        <v>7.9550760864159826E-4</v>
      </c>
      <c r="AS6">
        <f t="shared" si="4"/>
        <v>7.9550760864159826E-4</v>
      </c>
      <c r="AT6">
        <f t="shared" si="4"/>
        <v>7.9550760864159826E-4</v>
      </c>
      <c r="AU6">
        <f t="shared" si="4"/>
        <v>7.9550760864159826E-4</v>
      </c>
      <c r="AV6">
        <f t="shared" si="4"/>
        <v>7.9550760864159826E-4</v>
      </c>
      <c r="AW6">
        <f t="shared" si="4"/>
        <v>7.9550760864159826E-4</v>
      </c>
      <c r="AX6">
        <f t="shared" si="4"/>
        <v>7.9550760864159826E-4</v>
      </c>
      <c r="AY6">
        <f t="shared" si="4"/>
        <v>7.9550760864159826E-4</v>
      </c>
    </row>
    <row r="7" spans="1:51">
      <c r="A7" t="s">
        <v>1008</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c r="AF7">
        <f t="shared" ref="AF7:AY7" si="5">AE7</f>
        <v>0</v>
      </c>
      <c r="AG7">
        <f t="shared" si="5"/>
        <v>0</v>
      </c>
      <c r="AH7">
        <f t="shared" si="5"/>
        <v>0</v>
      </c>
      <c r="AI7">
        <f t="shared" si="5"/>
        <v>0</v>
      </c>
      <c r="AJ7">
        <f t="shared" si="5"/>
        <v>0</v>
      </c>
      <c r="AK7">
        <f t="shared" si="5"/>
        <v>0</v>
      </c>
      <c r="AL7">
        <f t="shared" si="5"/>
        <v>0</v>
      </c>
      <c r="AM7">
        <f t="shared" si="5"/>
        <v>0</v>
      </c>
      <c r="AN7">
        <f t="shared" si="5"/>
        <v>0</v>
      </c>
      <c r="AO7">
        <f t="shared" si="5"/>
        <v>0</v>
      </c>
      <c r="AP7">
        <f t="shared" si="5"/>
        <v>0</v>
      </c>
      <c r="AQ7">
        <f t="shared" si="5"/>
        <v>0</v>
      </c>
      <c r="AR7">
        <f t="shared" si="5"/>
        <v>0</v>
      </c>
      <c r="AS7">
        <f t="shared" si="5"/>
        <v>0</v>
      </c>
      <c r="AT7">
        <f t="shared" si="5"/>
        <v>0</v>
      </c>
      <c r="AU7">
        <f t="shared" si="5"/>
        <v>0</v>
      </c>
      <c r="AV7">
        <f t="shared" si="5"/>
        <v>0</v>
      </c>
      <c r="AW7">
        <f t="shared" si="5"/>
        <v>0</v>
      </c>
      <c r="AX7">
        <f t="shared" si="5"/>
        <v>0</v>
      </c>
      <c r="AY7">
        <f t="shared" si="5"/>
        <v>0</v>
      </c>
    </row>
    <row r="8" spans="1:51">
      <c r="A8" t="s">
        <v>1009</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c r="AF8">
        <f t="shared" ref="AF8:AY8" si="6">AE8</f>
        <v>0</v>
      </c>
      <c r="AG8">
        <f t="shared" si="6"/>
        <v>0</v>
      </c>
      <c r="AH8">
        <f t="shared" si="6"/>
        <v>0</v>
      </c>
      <c r="AI8">
        <f t="shared" si="6"/>
        <v>0</v>
      </c>
      <c r="AJ8">
        <f t="shared" si="6"/>
        <v>0</v>
      </c>
      <c r="AK8">
        <f t="shared" si="6"/>
        <v>0</v>
      </c>
      <c r="AL8">
        <f t="shared" si="6"/>
        <v>0</v>
      </c>
      <c r="AM8">
        <f t="shared" si="6"/>
        <v>0</v>
      </c>
      <c r="AN8">
        <f t="shared" si="6"/>
        <v>0</v>
      </c>
      <c r="AO8">
        <f t="shared" si="6"/>
        <v>0</v>
      </c>
      <c r="AP8">
        <f t="shared" si="6"/>
        <v>0</v>
      </c>
      <c r="AQ8">
        <f t="shared" si="6"/>
        <v>0</v>
      </c>
      <c r="AR8">
        <f t="shared" si="6"/>
        <v>0</v>
      </c>
      <c r="AS8">
        <f t="shared" si="6"/>
        <v>0</v>
      </c>
      <c r="AT8">
        <f t="shared" si="6"/>
        <v>0</v>
      </c>
      <c r="AU8">
        <f t="shared" si="6"/>
        <v>0</v>
      </c>
      <c r="AV8">
        <f t="shared" si="6"/>
        <v>0</v>
      </c>
      <c r="AW8">
        <f t="shared" si="6"/>
        <v>0</v>
      </c>
      <c r="AX8">
        <f t="shared" si="6"/>
        <v>0</v>
      </c>
      <c r="AY8">
        <f t="shared" si="6"/>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ref="AF9:AY9" si="7">AE9</f>
        <v>0</v>
      </c>
      <c r="AG9">
        <f t="shared" si="7"/>
        <v>0</v>
      </c>
      <c r="AH9">
        <f t="shared" si="7"/>
        <v>0</v>
      </c>
      <c r="AI9">
        <f t="shared" si="7"/>
        <v>0</v>
      </c>
      <c r="AJ9">
        <f t="shared" si="7"/>
        <v>0</v>
      </c>
      <c r="AK9">
        <f t="shared" si="7"/>
        <v>0</v>
      </c>
      <c r="AL9">
        <f t="shared" si="7"/>
        <v>0</v>
      </c>
      <c r="AM9">
        <f t="shared" si="7"/>
        <v>0</v>
      </c>
      <c r="AN9">
        <f t="shared" si="7"/>
        <v>0</v>
      </c>
      <c r="AO9">
        <f t="shared" si="7"/>
        <v>0</v>
      </c>
      <c r="AP9">
        <f t="shared" si="7"/>
        <v>0</v>
      </c>
      <c r="AQ9">
        <f t="shared" si="7"/>
        <v>0</v>
      </c>
      <c r="AR9">
        <f t="shared" si="7"/>
        <v>0</v>
      </c>
      <c r="AS9">
        <f t="shared" si="7"/>
        <v>0</v>
      </c>
      <c r="AT9">
        <f t="shared" si="7"/>
        <v>0</v>
      </c>
      <c r="AU9">
        <f t="shared" si="7"/>
        <v>0</v>
      </c>
      <c r="AV9">
        <f t="shared" si="7"/>
        <v>0</v>
      </c>
      <c r="AW9">
        <f t="shared" si="7"/>
        <v>0</v>
      </c>
      <c r="AX9">
        <f t="shared" si="7"/>
        <v>0</v>
      </c>
      <c r="AY9">
        <f t="shared" si="7"/>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ref="AF10:AY10" si="8">AE10</f>
        <v>0</v>
      </c>
      <c r="AG10">
        <f t="shared" si="8"/>
        <v>0</v>
      </c>
      <c r="AH10">
        <f t="shared" si="8"/>
        <v>0</v>
      </c>
      <c r="AI10">
        <f t="shared" si="8"/>
        <v>0</v>
      </c>
      <c r="AJ10">
        <f t="shared" si="8"/>
        <v>0</v>
      </c>
      <c r="AK10">
        <f t="shared" si="8"/>
        <v>0</v>
      </c>
      <c r="AL10">
        <f t="shared" si="8"/>
        <v>0</v>
      </c>
      <c r="AM10">
        <f t="shared" si="8"/>
        <v>0</v>
      </c>
      <c r="AN10">
        <f t="shared" si="8"/>
        <v>0</v>
      </c>
      <c r="AO10">
        <f t="shared" si="8"/>
        <v>0</v>
      </c>
      <c r="AP10">
        <f t="shared" si="8"/>
        <v>0</v>
      </c>
      <c r="AQ10">
        <f t="shared" si="8"/>
        <v>0</v>
      </c>
      <c r="AR10">
        <f t="shared" si="8"/>
        <v>0</v>
      </c>
      <c r="AS10">
        <f t="shared" si="8"/>
        <v>0</v>
      </c>
      <c r="AT10">
        <f t="shared" si="8"/>
        <v>0</v>
      </c>
      <c r="AU10">
        <f t="shared" si="8"/>
        <v>0</v>
      </c>
      <c r="AV10">
        <f t="shared" si="8"/>
        <v>0</v>
      </c>
      <c r="AW10">
        <f t="shared" si="8"/>
        <v>0</v>
      </c>
      <c r="AX10">
        <f t="shared" si="8"/>
        <v>0</v>
      </c>
      <c r="AY10">
        <f t="shared" si="8"/>
        <v>0</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ref="AF11:AY11" si="9">AE11</f>
        <v>0</v>
      </c>
      <c r="AG11">
        <f t="shared" si="9"/>
        <v>0</v>
      </c>
      <c r="AH11">
        <f t="shared" si="9"/>
        <v>0</v>
      </c>
      <c r="AI11">
        <f t="shared" si="9"/>
        <v>0</v>
      </c>
      <c r="AJ11">
        <f t="shared" si="9"/>
        <v>0</v>
      </c>
      <c r="AK11">
        <f t="shared" si="9"/>
        <v>0</v>
      </c>
      <c r="AL11">
        <f t="shared" si="9"/>
        <v>0</v>
      </c>
      <c r="AM11">
        <f t="shared" si="9"/>
        <v>0</v>
      </c>
      <c r="AN11">
        <f t="shared" si="9"/>
        <v>0</v>
      </c>
      <c r="AO11">
        <f t="shared" si="9"/>
        <v>0</v>
      </c>
      <c r="AP11">
        <f t="shared" si="9"/>
        <v>0</v>
      </c>
      <c r="AQ11">
        <f t="shared" si="9"/>
        <v>0</v>
      </c>
      <c r="AR11">
        <f t="shared" si="9"/>
        <v>0</v>
      </c>
      <c r="AS11">
        <f t="shared" si="9"/>
        <v>0</v>
      </c>
      <c r="AT11">
        <f t="shared" si="9"/>
        <v>0</v>
      </c>
      <c r="AU11">
        <f t="shared" si="9"/>
        <v>0</v>
      </c>
      <c r="AV11">
        <f t="shared" si="9"/>
        <v>0</v>
      </c>
      <c r="AW11">
        <f t="shared" si="9"/>
        <v>0</v>
      </c>
      <c r="AX11">
        <f t="shared" si="9"/>
        <v>0</v>
      </c>
      <c r="AY11">
        <f t="shared" si="9"/>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c r="AF10">
        <f t="shared" si="1"/>
        <v>1</v>
      </c>
      <c r="AG10">
        <f t="shared" si="1"/>
        <v>1</v>
      </c>
      <c r="AH10">
        <f t="shared" si="1"/>
        <v>1</v>
      </c>
      <c r="AI10">
        <f t="shared" si="1"/>
        <v>1</v>
      </c>
      <c r="AJ10">
        <f t="shared" si="1"/>
        <v>1</v>
      </c>
      <c r="AK10">
        <f t="shared" si="1"/>
        <v>1</v>
      </c>
      <c r="AL10">
        <f t="shared" si="1"/>
        <v>1</v>
      </c>
      <c r="AM10">
        <f t="shared" si="1"/>
        <v>1</v>
      </c>
      <c r="AN10">
        <f t="shared" si="1"/>
        <v>1</v>
      </c>
      <c r="AO10">
        <f t="shared" si="1"/>
        <v>1</v>
      </c>
      <c r="AP10">
        <f t="shared" si="1"/>
        <v>1</v>
      </c>
      <c r="AQ10">
        <f t="shared" si="1"/>
        <v>1</v>
      </c>
      <c r="AR10">
        <f t="shared" si="1"/>
        <v>1</v>
      </c>
      <c r="AS10">
        <f t="shared" si="1"/>
        <v>1</v>
      </c>
      <c r="AT10">
        <f t="shared" si="1"/>
        <v>1</v>
      </c>
      <c r="AU10">
        <f t="shared" si="1"/>
        <v>1</v>
      </c>
      <c r="AV10">
        <f t="shared" si="1"/>
        <v>1</v>
      </c>
      <c r="AW10">
        <f t="shared" si="1"/>
        <v>1</v>
      </c>
      <c r="AX10">
        <f t="shared" si="1"/>
        <v>1</v>
      </c>
      <c r="AY10">
        <f t="shared" si="1"/>
        <v>1</v>
      </c>
    </row>
    <row r="11" spans="1:51">
      <c r="A11" t="s">
        <v>1012</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f t="shared" si="1"/>
        <v>0</v>
      </c>
      <c r="AG11">
        <f t="shared" si="1"/>
        <v>0</v>
      </c>
      <c r="AH11">
        <f t="shared" si="1"/>
        <v>0</v>
      </c>
      <c r="AI11">
        <f t="shared" si="1"/>
        <v>0</v>
      </c>
      <c r="AJ11">
        <f t="shared" si="1"/>
        <v>0</v>
      </c>
      <c r="AK11">
        <f t="shared" si="1"/>
        <v>0</v>
      </c>
      <c r="AL11">
        <f t="shared" si="1"/>
        <v>0</v>
      </c>
      <c r="AM11">
        <f t="shared" si="1"/>
        <v>0</v>
      </c>
      <c r="AN11">
        <f t="shared" si="1"/>
        <v>0</v>
      </c>
      <c r="AO11">
        <f t="shared" si="1"/>
        <v>0</v>
      </c>
      <c r="AP11">
        <f t="shared" si="1"/>
        <v>0</v>
      </c>
      <c r="AQ11">
        <f t="shared" si="1"/>
        <v>0</v>
      </c>
      <c r="AR11">
        <f t="shared" si="1"/>
        <v>0</v>
      </c>
      <c r="AS11">
        <f t="shared" si="1"/>
        <v>0</v>
      </c>
      <c r="AT11">
        <f t="shared" si="1"/>
        <v>0</v>
      </c>
      <c r="AU11">
        <f t="shared" si="1"/>
        <v>0</v>
      </c>
      <c r="AV11">
        <f t="shared" si="1"/>
        <v>0</v>
      </c>
      <c r="AW11">
        <f t="shared" si="1"/>
        <v>0</v>
      </c>
      <c r="AX11">
        <f t="shared" si="1"/>
        <v>0</v>
      </c>
      <c r="AY11">
        <f t="shared" si="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Y11"/>
  <sheetViews>
    <sheetView topLeftCell="Q1" workbookViewId="0">
      <selection activeCell="AF1" sqref="AF1:AY11"/>
    </sheetView>
  </sheetViews>
  <sheetFormatPr defaultColWidth="8.85546875" defaultRowHeight="15"/>
  <cols>
    <col min="1" max="1" width="22.42578125" customWidth="1"/>
  </cols>
  <sheetData>
    <row r="1" spans="1:51" ht="32.1">
      <c r="A1" s="10" t="s">
        <v>1057</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c r="AF1">
        <f t="shared" ref="AF1:AY1" si="0">AE1+1</f>
        <v>2051</v>
      </c>
      <c r="AG1">
        <f t="shared" si="0"/>
        <v>2052</v>
      </c>
      <c r="AH1">
        <f t="shared" si="0"/>
        <v>2053</v>
      </c>
      <c r="AI1">
        <f t="shared" si="0"/>
        <v>2054</v>
      </c>
      <c r="AJ1">
        <f t="shared" si="0"/>
        <v>2055</v>
      </c>
      <c r="AK1">
        <f t="shared" si="0"/>
        <v>2056</v>
      </c>
      <c r="AL1">
        <f t="shared" si="0"/>
        <v>2057</v>
      </c>
      <c r="AM1">
        <f t="shared" si="0"/>
        <v>2058</v>
      </c>
      <c r="AN1">
        <f t="shared" si="0"/>
        <v>2059</v>
      </c>
      <c r="AO1">
        <f t="shared" si="0"/>
        <v>2060</v>
      </c>
      <c r="AP1">
        <f t="shared" si="0"/>
        <v>2061</v>
      </c>
      <c r="AQ1">
        <f t="shared" si="0"/>
        <v>2062</v>
      </c>
      <c r="AR1">
        <f t="shared" si="0"/>
        <v>2063</v>
      </c>
      <c r="AS1">
        <f t="shared" si="0"/>
        <v>2064</v>
      </c>
      <c r="AT1">
        <f t="shared" si="0"/>
        <v>2065</v>
      </c>
      <c r="AU1">
        <f t="shared" si="0"/>
        <v>2066</v>
      </c>
      <c r="AV1">
        <f t="shared" si="0"/>
        <v>2067</v>
      </c>
      <c r="AW1">
        <f t="shared" si="0"/>
        <v>2068</v>
      </c>
      <c r="AX1">
        <f t="shared" si="0"/>
        <v>2069</v>
      </c>
      <c r="AY1">
        <f t="shared" si="0"/>
        <v>2070</v>
      </c>
    </row>
    <row r="2" spans="1:51">
      <c r="A2" t="s">
        <v>1003</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f t="shared" ref="AF2:AY11" si="1">AE2</f>
        <v>0</v>
      </c>
      <c r="AG2">
        <f t="shared" si="1"/>
        <v>0</v>
      </c>
      <c r="AH2">
        <f t="shared" si="1"/>
        <v>0</v>
      </c>
      <c r="AI2">
        <f t="shared" si="1"/>
        <v>0</v>
      </c>
      <c r="AJ2">
        <f t="shared" si="1"/>
        <v>0</v>
      </c>
      <c r="AK2">
        <f t="shared" si="1"/>
        <v>0</v>
      </c>
      <c r="AL2">
        <f t="shared" si="1"/>
        <v>0</v>
      </c>
      <c r="AM2">
        <f t="shared" si="1"/>
        <v>0</v>
      </c>
      <c r="AN2">
        <f t="shared" si="1"/>
        <v>0</v>
      </c>
      <c r="AO2">
        <f t="shared" si="1"/>
        <v>0</v>
      </c>
      <c r="AP2">
        <f t="shared" si="1"/>
        <v>0</v>
      </c>
      <c r="AQ2">
        <f t="shared" si="1"/>
        <v>0</v>
      </c>
      <c r="AR2">
        <f t="shared" si="1"/>
        <v>0</v>
      </c>
      <c r="AS2">
        <f t="shared" si="1"/>
        <v>0</v>
      </c>
      <c r="AT2">
        <f t="shared" si="1"/>
        <v>0</v>
      </c>
      <c r="AU2">
        <f t="shared" si="1"/>
        <v>0</v>
      </c>
      <c r="AV2">
        <f t="shared" si="1"/>
        <v>0</v>
      </c>
      <c r="AW2">
        <f t="shared" si="1"/>
        <v>0</v>
      </c>
      <c r="AX2">
        <f t="shared" si="1"/>
        <v>0</v>
      </c>
      <c r="AY2">
        <f t="shared" si="1"/>
        <v>0</v>
      </c>
    </row>
    <row r="3" spans="1:51">
      <c r="A3" t="s">
        <v>1004</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f t="shared" si="1"/>
        <v>0</v>
      </c>
      <c r="AG3">
        <f t="shared" si="1"/>
        <v>0</v>
      </c>
      <c r="AH3">
        <f t="shared" si="1"/>
        <v>0</v>
      </c>
      <c r="AI3">
        <f t="shared" si="1"/>
        <v>0</v>
      </c>
      <c r="AJ3">
        <f t="shared" si="1"/>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row>
    <row r="4" spans="1:51">
      <c r="A4" t="s">
        <v>1005</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f t="shared" si="1"/>
        <v>0</v>
      </c>
      <c r="AG4">
        <f t="shared" si="1"/>
        <v>0</v>
      </c>
      <c r="AH4">
        <f t="shared" si="1"/>
        <v>0</v>
      </c>
      <c r="AI4">
        <f t="shared" si="1"/>
        <v>0</v>
      </c>
      <c r="AJ4">
        <f t="shared" si="1"/>
        <v>0</v>
      </c>
      <c r="AK4">
        <f t="shared" si="1"/>
        <v>0</v>
      </c>
      <c r="AL4">
        <f t="shared" si="1"/>
        <v>0</v>
      </c>
      <c r="AM4">
        <f t="shared" si="1"/>
        <v>0</v>
      </c>
      <c r="AN4">
        <f t="shared" si="1"/>
        <v>0</v>
      </c>
      <c r="AO4">
        <f t="shared" si="1"/>
        <v>0</v>
      </c>
      <c r="AP4">
        <f t="shared" si="1"/>
        <v>0</v>
      </c>
      <c r="AQ4">
        <f t="shared" si="1"/>
        <v>0</v>
      </c>
      <c r="AR4">
        <f t="shared" si="1"/>
        <v>0</v>
      </c>
      <c r="AS4">
        <f t="shared" si="1"/>
        <v>0</v>
      </c>
      <c r="AT4">
        <f t="shared" si="1"/>
        <v>0</v>
      </c>
      <c r="AU4">
        <f t="shared" si="1"/>
        <v>0</v>
      </c>
      <c r="AV4">
        <f t="shared" si="1"/>
        <v>0</v>
      </c>
      <c r="AW4">
        <f t="shared" si="1"/>
        <v>0</v>
      </c>
      <c r="AX4">
        <f t="shared" si="1"/>
        <v>0</v>
      </c>
      <c r="AY4">
        <f t="shared" si="1"/>
        <v>0</v>
      </c>
    </row>
    <row r="5" spans="1:51">
      <c r="A5" t="s">
        <v>1006</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f t="shared" si="1"/>
        <v>0</v>
      </c>
      <c r="AG5">
        <f t="shared" si="1"/>
        <v>0</v>
      </c>
      <c r="AH5">
        <f t="shared" si="1"/>
        <v>0</v>
      </c>
      <c r="AI5">
        <f t="shared" si="1"/>
        <v>0</v>
      </c>
      <c r="AJ5">
        <f t="shared" si="1"/>
        <v>0</v>
      </c>
      <c r="AK5">
        <f t="shared" si="1"/>
        <v>0</v>
      </c>
      <c r="AL5">
        <f t="shared" si="1"/>
        <v>0</v>
      </c>
      <c r="AM5">
        <f t="shared" si="1"/>
        <v>0</v>
      </c>
      <c r="AN5">
        <f t="shared" si="1"/>
        <v>0</v>
      </c>
      <c r="AO5">
        <f t="shared" si="1"/>
        <v>0</v>
      </c>
      <c r="AP5">
        <f t="shared" si="1"/>
        <v>0</v>
      </c>
      <c r="AQ5">
        <f t="shared" si="1"/>
        <v>0</v>
      </c>
      <c r="AR5">
        <f t="shared" si="1"/>
        <v>0</v>
      </c>
      <c r="AS5">
        <f t="shared" si="1"/>
        <v>0</v>
      </c>
      <c r="AT5">
        <f t="shared" si="1"/>
        <v>0</v>
      </c>
      <c r="AU5">
        <f t="shared" si="1"/>
        <v>0</v>
      </c>
      <c r="AV5">
        <f t="shared" si="1"/>
        <v>0</v>
      </c>
      <c r="AW5">
        <f t="shared" si="1"/>
        <v>0</v>
      </c>
      <c r="AX5">
        <f t="shared" si="1"/>
        <v>0</v>
      </c>
      <c r="AY5">
        <f t="shared" si="1"/>
        <v>0</v>
      </c>
    </row>
    <row r="6" spans="1:51">
      <c r="A6" t="s">
        <v>1007</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f t="shared" si="1"/>
        <v>0</v>
      </c>
      <c r="AG6">
        <f t="shared" si="1"/>
        <v>0</v>
      </c>
      <c r="AH6">
        <f t="shared" si="1"/>
        <v>0</v>
      </c>
      <c r="AI6">
        <f t="shared" si="1"/>
        <v>0</v>
      </c>
      <c r="AJ6">
        <f t="shared" si="1"/>
        <v>0</v>
      </c>
      <c r="AK6">
        <f t="shared" si="1"/>
        <v>0</v>
      </c>
      <c r="AL6">
        <f t="shared" si="1"/>
        <v>0</v>
      </c>
      <c r="AM6">
        <f t="shared" si="1"/>
        <v>0</v>
      </c>
      <c r="AN6">
        <f t="shared" si="1"/>
        <v>0</v>
      </c>
      <c r="AO6">
        <f t="shared" si="1"/>
        <v>0</v>
      </c>
      <c r="AP6">
        <f t="shared" si="1"/>
        <v>0</v>
      </c>
      <c r="AQ6">
        <f t="shared" si="1"/>
        <v>0</v>
      </c>
      <c r="AR6">
        <f t="shared" si="1"/>
        <v>0</v>
      </c>
      <c r="AS6">
        <f t="shared" si="1"/>
        <v>0</v>
      </c>
      <c r="AT6">
        <f t="shared" si="1"/>
        <v>0</v>
      </c>
      <c r="AU6">
        <f t="shared" si="1"/>
        <v>0</v>
      </c>
      <c r="AV6">
        <f t="shared" si="1"/>
        <v>0</v>
      </c>
      <c r="AW6">
        <f t="shared" si="1"/>
        <v>0</v>
      </c>
      <c r="AX6">
        <f t="shared" si="1"/>
        <v>0</v>
      </c>
      <c r="AY6">
        <f t="shared" si="1"/>
        <v>0</v>
      </c>
    </row>
    <row r="7" spans="1:51">
      <c r="A7" t="s">
        <v>1008</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f t="shared" si="1"/>
        <v>0</v>
      </c>
      <c r="AG7">
        <f t="shared" si="1"/>
        <v>0</v>
      </c>
      <c r="AH7">
        <f t="shared" si="1"/>
        <v>0</v>
      </c>
      <c r="AI7">
        <f t="shared" si="1"/>
        <v>0</v>
      </c>
      <c r="AJ7">
        <f t="shared" si="1"/>
        <v>0</v>
      </c>
      <c r="AK7">
        <f t="shared" si="1"/>
        <v>0</v>
      </c>
      <c r="AL7">
        <f t="shared" si="1"/>
        <v>0</v>
      </c>
      <c r="AM7">
        <f t="shared" si="1"/>
        <v>0</v>
      </c>
      <c r="AN7">
        <f t="shared" si="1"/>
        <v>0</v>
      </c>
      <c r="AO7">
        <f t="shared" si="1"/>
        <v>0</v>
      </c>
      <c r="AP7">
        <f t="shared" si="1"/>
        <v>0</v>
      </c>
      <c r="AQ7">
        <f t="shared" si="1"/>
        <v>0</v>
      </c>
      <c r="AR7">
        <f t="shared" si="1"/>
        <v>0</v>
      </c>
      <c r="AS7">
        <f t="shared" si="1"/>
        <v>0</v>
      </c>
      <c r="AT7">
        <f t="shared" si="1"/>
        <v>0</v>
      </c>
      <c r="AU7">
        <f t="shared" si="1"/>
        <v>0</v>
      </c>
      <c r="AV7">
        <f t="shared" si="1"/>
        <v>0</v>
      </c>
      <c r="AW7">
        <f t="shared" si="1"/>
        <v>0</v>
      </c>
      <c r="AX7">
        <f t="shared" si="1"/>
        <v>0</v>
      </c>
      <c r="AY7">
        <f t="shared" si="1"/>
        <v>0</v>
      </c>
    </row>
    <row r="8" spans="1:51">
      <c r="A8" t="s">
        <v>1009</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f t="shared" si="1"/>
        <v>0</v>
      </c>
      <c r="AG8">
        <f t="shared" si="1"/>
        <v>0</v>
      </c>
      <c r="AH8">
        <f t="shared" si="1"/>
        <v>0</v>
      </c>
      <c r="AI8">
        <f t="shared" si="1"/>
        <v>0</v>
      </c>
      <c r="AJ8">
        <f t="shared" si="1"/>
        <v>0</v>
      </c>
      <c r="AK8">
        <f t="shared" si="1"/>
        <v>0</v>
      </c>
      <c r="AL8">
        <f t="shared" si="1"/>
        <v>0</v>
      </c>
      <c r="AM8">
        <f t="shared" si="1"/>
        <v>0</v>
      </c>
      <c r="AN8">
        <f t="shared" si="1"/>
        <v>0</v>
      </c>
      <c r="AO8">
        <f t="shared" si="1"/>
        <v>0</v>
      </c>
      <c r="AP8">
        <f t="shared" si="1"/>
        <v>0</v>
      </c>
      <c r="AQ8">
        <f t="shared" si="1"/>
        <v>0</v>
      </c>
      <c r="AR8">
        <f t="shared" si="1"/>
        <v>0</v>
      </c>
      <c r="AS8">
        <f t="shared" si="1"/>
        <v>0</v>
      </c>
      <c r="AT8">
        <f t="shared" si="1"/>
        <v>0</v>
      </c>
      <c r="AU8">
        <f t="shared" si="1"/>
        <v>0</v>
      </c>
      <c r="AV8">
        <f t="shared" si="1"/>
        <v>0</v>
      </c>
      <c r="AW8">
        <f t="shared" si="1"/>
        <v>0</v>
      </c>
      <c r="AX8">
        <f t="shared" si="1"/>
        <v>0</v>
      </c>
      <c r="AY8">
        <f t="shared" si="1"/>
        <v>0</v>
      </c>
    </row>
    <row r="9" spans="1:51">
      <c r="A9" t="s">
        <v>1010</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c r="AQ9">
        <f t="shared" si="1"/>
        <v>0</v>
      </c>
      <c r="AR9">
        <f t="shared" si="1"/>
        <v>0</v>
      </c>
      <c r="AS9">
        <f t="shared" si="1"/>
        <v>0</v>
      </c>
      <c r="AT9">
        <f t="shared" si="1"/>
        <v>0</v>
      </c>
      <c r="AU9">
        <f t="shared" si="1"/>
        <v>0</v>
      </c>
      <c r="AV9">
        <f t="shared" si="1"/>
        <v>0</v>
      </c>
      <c r="AW9">
        <f t="shared" si="1"/>
        <v>0</v>
      </c>
      <c r="AX9">
        <f t="shared" si="1"/>
        <v>0</v>
      </c>
      <c r="AY9">
        <f t="shared" si="1"/>
        <v>0</v>
      </c>
    </row>
    <row r="10" spans="1:51">
      <c r="A10" t="s">
        <v>1011</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f t="shared" si="1"/>
        <v>0</v>
      </c>
      <c r="AG10">
        <f t="shared" si="1"/>
        <v>0</v>
      </c>
      <c r="AH10">
        <f t="shared" si="1"/>
        <v>0</v>
      </c>
      <c r="AI10">
        <f t="shared" si="1"/>
        <v>0</v>
      </c>
      <c r="AJ10">
        <f t="shared" si="1"/>
        <v>0</v>
      </c>
      <c r="AK10">
        <f t="shared" si="1"/>
        <v>0</v>
      </c>
      <c r="AL10">
        <f t="shared" si="1"/>
        <v>0</v>
      </c>
      <c r="AM10">
        <f t="shared" si="1"/>
        <v>0</v>
      </c>
      <c r="AN10">
        <f t="shared" si="1"/>
        <v>0</v>
      </c>
      <c r="AO10">
        <f t="shared" si="1"/>
        <v>0</v>
      </c>
      <c r="AP10">
        <f t="shared" si="1"/>
        <v>0</v>
      </c>
      <c r="AQ10">
        <f t="shared" si="1"/>
        <v>0</v>
      </c>
      <c r="AR10">
        <f t="shared" si="1"/>
        <v>0</v>
      </c>
      <c r="AS10">
        <f t="shared" si="1"/>
        <v>0</v>
      </c>
      <c r="AT10">
        <f t="shared" si="1"/>
        <v>0</v>
      </c>
      <c r="AU10">
        <f t="shared" si="1"/>
        <v>0</v>
      </c>
      <c r="AV10">
        <f t="shared" si="1"/>
        <v>0</v>
      </c>
      <c r="AW10">
        <f t="shared" si="1"/>
        <v>0</v>
      </c>
      <c r="AX10">
        <f t="shared" si="1"/>
        <v>0</v>
      </c>
      <c r="AY10">
        <f t="shared" si="1"/>
        <v>0</v>
      </c>
    </row>
    <row r="11" spans="1:51">
      <c r="A11" t="s">
        <v>1012</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c r="AF11">
        <f t="shared" si="1"/>
        <v>1</v>
      </c>
      <c r="AG11">
        <f t="shared" si="1"/>
        <v>1</v>
      </c>
      <c r="AH11">
        <f t="shared" si="1"/>
        <v>1</v>
      </c>
      <c r="AI11">
        <f t="shared" si="1"/>
        <v>1</v>
      </c>
      <c r="AJ11">
        <f t="shared" si="1"/>
        <v>1</v>
      </c>
      <c r="AK11">
        <f t="shared" si="1"/>
        <v>1</v>
      </c>
      <c r="AL11">
        <f t="shared" si="1"/>
        <v>1</v>
      </c>
      <c r="AM11">
        <f t="shared" si="1"/>
        <v>1</v>
      </c>
      <c r="AN11">
        <f t="shared" si="1"/>
        <v>1</v>
      </c>
      <c r="AO11">
        <f t="shared" si="1"/>
        <v>1</v>
      </c>
      <c r="AP11">
        <f t="shared" si="1"/>
        <v>1</v>
      </c>
      <c r="AQ11">
        <f t="shared" si="1"/>
        <v>1</v>
      </c>
      <c r="AR11">
        <f t="shared" si="1"/>
        <v>1</v>
      </c>
      <c r="AS11">
        <f t="shared" si="1"/>
        <v>1</v>
      </c>
      <c r="AT11">
        <f t="shared" si="1"/>
        <v>1</v>
      </c>
      <c r="AU11">
        <f t="shared" si="1"/>
        <v>1</v>
      </c>
      <c r="AV11">
        <f t="shared" si="1"/>
        <v>1</v>
      </c>
      <c r="AW11">
        <f t="shared" si="1"/>
        <v>1</v>
      </c>
      <c r="AX11">
        <f t="shared" si="1"/>
        <v>1</v>
      </c>
      <c r="AY11">
        <f t="shared" si="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BFD3F4A-03E1-44BD-B615-70DF5AC0ACC8}"/>
</file>

<file path=customXml/itemProps2.xml><?xml version="1.0" encoding="utf-8"?>
<ds:datastoreItem xmlns:ds="http://schemas.openxmlformats.org/officeDocument/2006/customXml" ds:itemID="{3F93D786-79E5-400F-B442-F113A3AE79D4}"/>
</file>

<file path=customXml/itemProps3.xml><?xml version="1.0" encoding="utf-8"?>
<ds:datastoreItem xmlns:ds="http://schemas.openxmlformats.org/officeDocument/2006/customXml" ds:itemID="{F84CED94-0300-4D40-860A-2BA59065E1D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2017-06-23T20:50:52Z</dcterms:created>
  <dcterms:modified xsi:type="dcterms:W3CDTF">2025-04-03T16:44:51Z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