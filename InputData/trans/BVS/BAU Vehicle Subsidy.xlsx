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24226"/>
  <mc:AlternateContent xmlns:mc="http://schemas.openxmlformats.org/markup-compatibility/2006">
    <mc:Choice Requires="x15">
      <x15ac:absPath xmlns:x15ac="http://schemas.microsoft.com/office/spreadsheetml/2010/11/ac" url="C:\Users\Rachel Goldstein\Desktop\EPS Models\Mexico EPS\InputData\trans\BVS\"/>
    </mc:Choice>
  </mc:AlternateContent>
  <xr:revisionPtr revIDLastSave="0" documentId="13_ncr:1_{5F2F8491-A6C3-4729-90EA-69570E7AC904}" xr6:coauthVersionLast="47" xr6:coauthVersionMax="47" xr10:uidLastSave="{00000000-0000-0000-0000-000000000000}"/>
  <bookViews>
    <workbookView xWindow="33465" yWindow="900" windowWidth="22785" windowHeight="14115" activeTab="6" xr2:uid="{00000000-000D-0000-FFFF-FFFF00000000}"/>
  </bookViews>
  <sheets>
    <sheet name="About" sheetId="1" r:id="rId1"/>
    <sheet name="Calc" sheetId="113" r:id="rId2"/>
    <sheet name="psgr" sheetId="17" r:id="rId3"/>
    <sheet name="BVS-psgr-LDVs" sheetId="2" r:id="rId4"/>
    <sheet name="BVS-psgr-HDVs" sheetId="101" r:id="rId5"/>
    <sheet name="BVS-psgr-aircraft" sheetId="105" r:id="rId6"/>
    <sheet name="BVS-psgr-rail" sheetId="104" r:id="rId7"/>
    <sheet name="BVS-psgr-ships" sheetId="103" r:id="rId8"/>
    <sheet name="BVS-psgr-motorbikes" sheetId="102" r:id="rId9"/>
    <sheet name="frgt" sheetId="106" r:id="rId10"/>
    <sheet name="BVS-frgt-LDVs" sheetId="107" r:id="rId11"/>
    <sheet name="BVS-frgt-HDVs" sheetId="108" r:id="rId12"/>
    <sheet name="BVS-frgt-aircraft" sheetId="109" r:id="rId13"/>
    <sheet name="BVS-frgt-rail" sheetId="110" r:id="rId14"/>
    <sheet name="BVS-frgt-ships" sheetId="111" r:id="rId15"/>
    <sheet name="BVS-frgt-motorbikes" sheetId="112" r:id="rId1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46" i="113" l="1"/>
  <c r="O46" i="113"/>
  <c r="P46" i="113"/>
  <c r="Q46" i="113"/>
  <c r="R46" i="113"/>
  <c r="S46" i="113"/>
  <c r="T46" i="113"/>
  <c r="U46" i="113"/>
  <c r="V46" i="113"/>
  <c r="W46" i="113"/>
  <c r="X46" i="113"/>
  <c r="Y46" i="113"/>
  <c r="Z46" i="113"/>
  <c r="M46" i="113"/>
  <c r="N44" i="113"/>
  <c r="O44" i="113"/>
  <c r="P44" i="113"/>
  <c r="Q44" i="113"/>
  <c r="R44" i="113"/>
  <c r="S44" i="113"/>
  <c r="T44" i="113"/>
  <c r="U44" i="113"/>
  <c r="V44" i="113"/>
  <c r="W44" i="113"/>
  <c r="X44" i="113"/>
  <c r="Y44" i="113"/>
  <c r="Z44" i="113"/>
  <c r="M44" i="113"/>
  <c r="O10" i="113"/>
  <c r="O12" i="113" s="1"/>
  <c r="M12" i="113" s="1"/>
  <c r="M10" i="113" s="1"/>
  <c r="M9" i="113" s="1"/>
  <c r="C2" i="2" s="1"/>
  <c r="D2" i="2" l="1"/>
  <c r="E2" i="2"/>
  <c r="F2" i="2"/>
  <c r="G2" i="2"/>
  <c r="H2" i="2"/>
  <c r="I2" i="2"/>
  <c r="J2" i="2"/>
  <c r="K2" i="2"/>
  <c r="L2" i="2"/>
  <c r="M2" i="2"/>
  <c r="N2" i="2"/>
  <c r="O2" i="2"/>
  <c r="P2" i="2"/>
  <c r="Q2" i="2" s="1"/>
  <c r="T2" i="2" l="1" a="1"/>
  <c r="T2" i="2" s="1"/>
  <c r="S2" i="2" a="1"/>
  <c r="S2" i="2" s="1"/>
  <c r="R2" i="2" a="1"/>
  <c r="R2" i="2" s="1"/>
  <c r="B2" i="2" a="1"/>
  <c r="B2"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<sst xmlns="http://schemas.openxmlformats.org/spreadsheetml/2006/main" count="155" uniqueCount="64">
  <si>
    <t>BVS BAU Vehicle Subsidy</t>
  </si>
  <si>
    <t>Sources:</t>
  </si>
  <si>
    <t>ISAN, Mexico New Vehicle tax rate calculation</t>
  </si>
  <si>
    <t>https://multastransito-cdmx.com/que-es-el-isan-y-como-se-calcula/</t>
  </si>
  <si>
    <t>ISAN Published</t>
  </si>
  <si>
    <t>https://www.diputados.gob.mx/LeyesBiblio/pdf/LFISAN.pdf</t>
  </si>
  <si>
    <t>https://mexico-now.com/mexico-needs-incentives-for-electric-vehicles-experts/</t>
  </si>
  <si>
    <t>https://mobilityportal.eu/end-tax-benefits-electric-vehicles-mexico/</t>
  </si>
  <si>
    <t>Previous benefits included no new vehicle tax, reduced highway fares, dedicated power meters to avoid high electric consumption rate.</t>
  </si>
  <si>
    <t>https://cms.law/en/int/expert-guides/cms-expert-guide-to-electric-vehicles/mexico</t>
  </si>
  <si>
    <t>EVs are excempt from ISAN, a tax on new vehicles that varies by vehicle cost.</t>
  </si>
  <si>
    <t>We used EPS consistent values for vehicle cost, currently using same as US values (we have no data detail to remove battery cost from retail prices).</t>
  </si>
  <si>
    <t>*EV Vehicle cost from ICCT values in NBPoNVP, these are weighted by vehicle type shares which could be adjusted for Mexico. If so, this variable should be reviewed.</t>
  </si>
  <si>
    <t>ISAN Subsidy assumed to stay until 2040 when all sales should be ZEV.</t>
  </si>
  <si>
    <t>Currency Conversion</t>
  </si>
  <si>
    <t>MXN/USD 2022</t>
  </si>
  <si>
    <t>2022 to 2012 USD</t>
  </si>
  <si>
    <t>ISAN</t>
  </si>
  <si>
    <t>Al ser el ISAN un impuesto anual, se debe hacer mediante declaración en los 3 meses posteriores al cierre del ejercicio fiscal, con excepción como ya citamos en los casos de importaciones, en donde los pagos se hacen en la aduana junto con el Impuesto General de Importación.</t>
  </si>
  <si>
    <t>En la siguiente tabla, te indicaremos cómo calcular el el ISAN 2022:</t>
  </si>
  <si>
    <t>Limite inferior</t>
  </si>
  <si>
    <t>Limite superior</t>
  </si>
  <si>
    <t>Cuota Fija</t>
  </si>
  <si>
    <t>Tasa sobre el excedente del limite inferior</t>
  </si>
  <si>
    <t>2022, USD</t>
  </si>
  <si>
    <t>BEV</t>
  </si>
  <si>
    <t>Non battery portion of EV price (ICCT, 2022)</t>
  </si>
  <si>
    <t>ISAN, USD 2012</t>
  </si>
  <si>
    <t>Battery pack cost (ICCT, 2022)</t>
  </si>
  <si>
    <t>ISAN, USD 2022</t>
  </si>
  <si>
    <t xml:space="preserve">Total </t>
  </si>
  <si>
    <t>MXN 2022</t>
  </si>
  <si>
    <t>En adelante</t>
  </si>
  <si>
    <t>Price</t>
  </si>
  <si>
    <t>En el caso de que el precio del vehículo sea superior a 864,750.45 pesos, entonces se reducirá del monto del impuesto, según el resultado obtenido al aplicar el 7%, sobre la diferencia entre el precio de la unidad y esos 864,750.45 pesos.</t>
  </si>
  <si>
    <t>Para realizar el cálculo del ISAN apropiadamente, se deberán seguir los siguientes pasos:</t>
  </si>
  <si>
    <t>Al valor del automóvil, se le resta el límite inferior de la tabla.</t>
  </si>
  <si>
    <t>Al resultado, se le aplica la tasa determinada.</t>
  </si>
  <si>
    <t>Después, se debe sumar la cuota fija al valor obtenido en el punto anterior.</t>
  </si>
  <si>
    <t>Luego, al importe calculado, se le debe aplicar el descuento según el rango de precios indicado en la ley para obtener el ISAN a pagar.</t>
  </si>
  <si>
    <t>Quién debe pagar el impuesto del ISAN</t>
  </si>
  <si>
    <t>Todas las personas físicas o jurídicas que hagan la enajenación de vehículos nuevos en territorio mexicano, estarán obligados a pagar el ISAN a través de un Formato por duplicado otorgado por el SAT.</t>
  </si>
  <si>
    <t xml:space="preserve">En ese caso, se incluye la enajenación a los consumidores por fabricantes, ensambladores, distribuidores y comerciantes. </t>
  </si>
  <si>
    <t>Además, también se incluyen a aquellos que importen vehículos de carácter definitivo a México automóviles, y que sean distintas al ensamblador, fabricante, distribuidor o comerciante.</t>
  </si>
  <si>
    <t>Quien no paga el impuesto del ISAN</t>
  </si>
  <si>
    <t>Por otra parte, la ley del Impuesto sobre Automóviles Nuevos, indica algunas excepciones en relación al pago del ISAN.</t>
  </si>
  <si>
    <t>Por lo tanto, no se pagará el impuesto del ISAN en estos casos:</t>
  </si>
  <si>
    <t>Exportación de vehículos de carácter definitivo (términos de la legislación aduanera).</t>
  </si>
  <si>
    <t>Cuando el importe sea menor a 263,690.54 pesos.</t>
  </si>
  <si>
    <t>En la importación de automóviles en franquicia o con acuerdos internacionales suscritos por la república mexicana</t>
  </si>
  <si>
    <t>Importación o enajenación de vehículos de carácter definitiva, en donde el funcionamiento se realice mediante baterías eléctricas recargables, o aquellos autos eléctricos que posean un motor de combustión interna o uno impulsado por hidrógeno.</t>
  </si>
  <si>
    <t>Projection</t>
  </si>
  <si>
    <t>Weighted Average Annual Non-Battery Manufacturing Costs (2020 USD)</t>
  </si>
  <si>
    <t>Battery Pack cost</t>
  </si>
  <si>
    <t>Total cost</t>
  </si>
  <si>
    <t>Index</t>
  </si>
  <si>
    <t>Subsidy (2012 USD)</t>
  </si>
  <si>
    <t>battery electric vehicle</t>
  </si>
  <si>
    <t>natural gas vehicle</t>
  </si>
  <si>
    <t>gasoline vehicle</t>
  </si>
  <si>
    <t>diesel vehicle</t>
  </si>
  <si>
    <t>plugin hybrid vehicle</t>
  </si>
  <si>
    <t>LPG vehicle</t>
  </si>
  <si>
    <t>hydrogen vehicle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</si>
</sst>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0.0"/>
    <numFmt numFmtId="165" formatCode="_(* #,##0_);_(* \(#,##0\);_(* &quot;-&quot;??_);_(@_)"/>
  </numFmts>
  <fonts count="8"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u/>
      <sz val="11"/>
      <color theme="10"/>
      <name val="Calibri"/>
      <family val="2"/>
      <scheme val="minor"/>
    </font>
    <font>
      <sz val="11"/>
      <color theme="1"/>
      <name val="Calibri"/>
      <family val="2"/>
      <scheme val="minor"/>
    </font>
    <font>
      <sz val="10"/>
      <color rgb="FF000000"/>
      <name val="Calibri"/>
      <family val="2"/>
      <scheme val="minor"/>
    </font>
  </fonts>
  <fills count="4">
    <fill>
      <patternFill patternType="none"/>
    </fill>
    <fill>
      <patternFill patternType="gray125"/>
    </fill>
    <fill>
      <patternFill patternType="solid">
        <fgColor theme="0" tint="-0.249977111117893"/>
        <bgColor indexed="64"/>
      </patternFill>
    </fill>
    <fill>
      <patternFill patternType="solid">
        <fgColor theme="4" tint="0.79998168889431442"/>
        <bgColor indexed="64"/>
      </patternFill>
    </fill>
  </fills>
  <borders count="5">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s>
  <cellStyleXfs count="33">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4" fillId="0" borderId="0" applyNumberFormat="0" applyProtection="0">
      <alignment horizontal="left"/>
    </xf>
    <xf numFmtId="0" fontId="5" fillId="0" borderId="0" applyNumberFormat="0" applyFill="0" applyBorder="0" applyAlignment="0" applyProtection="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6" fillId="0" borderId="0"/>
    <xf numFmtId="0" fontId="2"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6"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7" fillId="0" borderId="0"/>
    <xf numFmtId="44" fontId="7" fillId="0" borderId="0" applyFont="0" applyFill="0" applyBorder="0" applyAlignment="0" applyProtection="0"/>
    <xf numFmtId="9" fontId="6" fillId="0" borderId="0" applyFont="0" applyFill="0" applyBorder="0" applyAlignment="0" applyProtection="0"/>
  </cellStyleXfs>
  <cellXfs count="19">
    <xf numFmtId="0" fontId="0" fillId="0" borderId="0" xfId="0"/>
    <xf numFmtId="0" fontId="1" fillId="0" borderId="0" xfId="0" applyFont="1"/>
    <xf numFmtId="0" fontId="1" fillId="0" borderId="0" xfId="0" applyFont="1" applyAlignment="1">
      <alignment wrapText="1"/>
    </xf>
    <xf numFmtId="0" fontId="0" fillId="0" borderId="0" xfId="0" applyAlignment="1">
      <alignment horizontal="left"/>
    </xf>
    <xf numFmtId="0" fontId="5" fillId="0" borderId="0" xfId="8" applyFill="1"/>
    <xf numFmtId="1" fontId="0" fillId="0" borderId="0" xfId="0" applyNumberFormat="1"/>
    <xf numFmtId="0" fontId="1" fillId="2" borderId="0" xfId="0" applyFont="1" applyFill="1"/>
    <xf numFmtId="0" fontId="5" fillId="0" borderId="0" xfId="8"/>
    <xf numFmtId="0" fontId="5" fillId="0" borderId="0" xfId="8" applyAlignment="1">
      <alignment horizontal="left"/>
    </xf>
    <xf numFmtId="4" fontId="0" fillId="0" borderId="0" xfId="0" applyNumberFormat="1"/>
    <xf numFmtId="10" fontId="0" fillId="0" borderId="0" xfId="0" applyNumberFormat="1"/>
    <xf numFmtId="9" fontId="0" fillId="0" borderId="0" xfId="0" applyNumberFormat="1"/>
    <xf numFmtId="1" fontId="0" fillId="0" borderId="0" xfId="32" applyNumberFormat="1" applyFont="1"/>
    <xf numFmtId="164" fontId="1" fillId="0" borderId="0" xfId="0" applyNumberFormat="1" applyFont="1"/>
    <xf numFmtId="165" fontId="0" fillId="0" borderId="0" xfId="0" applyNumberFormat="1"/>
    <xf numFmtId="165" fontId="1" fillId="0" borderId="0" xfId="0" applyNumberFormat="1" applyFont="1"/>
    <xf numFmtId="0" fontId="0" fillId="0" borderId="0" xfId="0" applyAlignment="1">
      <alignment horizontal="right"/>
    </xf>
    <xf numFmtId="0" fontId="1" fillId="3" borderId="0" xfId="0" applyFont="1" applyFill="1"/>
    <xf numFmtId="0" fontId="0" fillId="3" borderId="0" xfId="0" applyFill="1"/>
  </cellXfs>
  <cellStyles count="33">
    <cellStyle name="Body: normal cell" xfId="4" xr:uid="{00000000-0005-0000-0000-000000000000}"/>
    <cellStyle name="Body: normal cell 2" xfId="24" xr:uid="{18BAE46B-2E2B-4189-9E60-EEC8494BA028}"/>
    <cellStyle name="Body: normal cell 3" xfId="17" xr:uid="{46606A30-9DB6-4D96-9D39-18DB8C25C045}"/>
    <cellStyle name="Body: normal cell 4" xfId="9" xr:uid="{23D7D41B-0FA5-4B15-8ACE-D94C027772C4}"/>
    <cellStyle name="Currency 2" xfId="31" xr:uid="{C53AF8AC-2A66-4CBB-880E-1554F67B4888}"/>
    <cellStyle name="Font: Calibri, 9pt regular" xfId="6" xr:uid="{00000000-0005-0000-0000-000001000000}"/>
    <cellStyle name="Font: Calibri, 9pt regular 2" xfId="25" xr:uid="{97A6AFB7-D07D-4277-A8A5-6AA031407B07}"/>
    <cellStyle name="Font: Calibri, 9pt regular 3" xfId="18" xr:uid="{0009694E-C95B-4F43-83D7-2529DBC1B2D2}"/>
    <cellStyle name="Font: Calibri, 9pt regular 4" xfId="10" xr:uid="{4997676D-DE0F-4BF4-98C6-34E7B74441C2}"/>
    <cellStyle name="Footnotes: top row" xfId="2" xr:uid="{00000000-0005-0000-0000-000002000000}"/>
    <cellStyle name="Footnotes: top row 2" xfId="26" xr:uid="{97AB559D-7086-41BA-8641-AC105062AF6A}"/>
    <cellStyle name="Footnotes: top row 3" xfId="19" xr:uid="{D97984EB-4776-4DB2-9C83-81983F1B6E98}"/>
    <cellStyle name="Footnotes: top row 4" xfId="11" xr:uid="{F3BA1A2C-AD77-4812-ACFA-6C7A7B962945}"/>
    <cellStyle name="Header: bottom row" xfId="5" xr:uid="{00000000-0005-0000-0000-000003000000}"/>
    <cellStyle name="Header: bottom row 2" xfId="27" xr:uid="{1D7C7530-C012-4975-BABC-640C7522786E}"/>
    <cellStyle name="Header: bottom row 3" xfId="20" xr:uid="{D4A074B3-C733-4663-AFD1-0229ED226851}"/>
    <cellStyle name="Header: bottom row 4" xfId="12" xr:uid="{040BC27B-CB03-4FDE-8B80-4B13E048F2D8}"/>
    <cellStyle name="Hyperlink" xfId="8" builtinId="8"/>
    <cellStyle name="Normal" xfId="0" builtinId="0"/>
    <cellStyle name="Normal 2" xfId="1" xr:uid="{00000000-0005-0000-0000-000006000000}"/>
    <cellStyle name="Normal 3" xfId="23" xr:uid="{F75C00A9-4AB0-4B9A-85F1-1BA242EDAF83}"/>
    <cellStyle name="Normal 4" xfId="16" xr:uid="{D654EA3C-A2C4-4D73-9768-00B5086DE48E}"/>
    <cellStyle name="Normal 5" xfId="15" xr:uid="{0C79D543-A7BB-495E-ADE9-28C4F0835F44}"/>
    <cellStyle name="Normal 6" xfId="30" xr:uid="{0E9D232A-CBEC-4F0A-BBF4-253233F3584B}"/>
    <cellStyle name="Parent row" xfId="3" xr:uid="{00000000-0005-0000-0000-000007000000}"/>
    <cellStyle name="Parent row 2" xfId="28" xr:uid="{1C336998-EB49-46ED-B880-BDD7385C1A9F}"/>
    <cellStyle name="Parent row 3" xfId="21" xr:uid="{E39AA093-46A1-425E-9FAB-5E5D22915C9B}"/>
    <cellStyle name="Parent row 4" xfId="13" xr:uid="{766EEC84-3128-426E-8720-CF77BEFFA340}"/>
    <cellStyle name="Percent" xfId="32" builtinId="5"/>
    <cellStyle name="Table title" xfId="7" xr:uid="{00000000-0005-0000-0000-000008000000}"/>
    <cellStyle name="Table title 2" xfId="29" xr:uid="{75C5CFB8-5852-4F3E-A011-ECC9372E7F45}"/>
    <cellStyle name="Table title 3" xfId="22" xr:uid="{D3D003D1-845D-4DC8-878D-F5771072DB44}"/>
    <cellStyle name="Table title 4" xfId="14" xr:uid="{09C4790A-A5AC-4A4C-A2DC-60844BB56B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cms.law/en/int/expert-guides/cms-expert-guide-to-electric-vehicles/mexico" TargetMode="External"/><Relationship Id="rId2" Type="http://schemas.openxmlformats.org/officeDocument/2006/relationships/hyperlink" Target="https://mobilityportal.eu/end-tax-benefits-electric-vehicles-mexico/" TargetMode="External"/><Relationship Id="rId1" Type="http://schemas.openxmlformats.org/officeDocument/2006/relationships/hyperlink" Target="https://mexico-now.com/mexico-needs-incentives-for-electric-vehicles-experts/" TargetMode="External"/><Relationship Id="rId6" Type="http://schemas.openxmlformats.org/officeDocument/2006/relationships/printerSettings" Target="../printerSettings/printerSettings1.bin"/><Relationship Id="rId5" Type="http://schemas.openxmlformats.org/officeDocument/2006/relationships/hyperlink" Target="https://www.diputados.gob.mx/LeyesBiblio/pdf/LFISAN.pdf" TargetMode="External"/><Relationship Id="rId4" Type="http://schemas.openxmlformats.org/officeDocument/2006/relationships/hyperlink" Target="https://multastransito-cdmx.com/que-es-el-isan-y-como-se-calcula/"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multastransito-cdmx.com/que-es-el-isan-y-como-se-calcula/"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7"/>
  <sheetViews>
    <sheetView workbookViewId="0">
      <selection activeCell="B17" sqref="B17"/>
    </sheetView>
  </sheetViews>
  <sheetFormatPr defaultColWidth="8.88671875" defaultRowHeight="14.4" x14ac:dyDescent="0.3"/>
  <cols>
    <col min="2" max="2" width="69.33203125" customWidth="1"/>
  </cols>
  <sheetData>
    <row r="1" spans="1:2" x14ac:dyDescent="0.3">
      <c r="A1" s="1" t="s">
        <v>0</v>
      </c>
    </row>
    <row r="3" spans="1:2" x14ac:dyDescent="0.3">
      <c r="A3" s="1" t="s">
        <v>1</v>
      </c>
      <c r="B3" s="6" t="s">
        <v>2</v>
      </c>
    </row>
    <row r="4" spans="1:2" x14ac:dyDescent="0.3">
      <c r="B4" s="7" t="s">
        <v>3</v>
      </c>
    </row>
    <row r="5" spans="1:2" x14ac:dyDescent="0.3">
      <c r="B5" s="3">
        <v>2024</v>
      </c>
    </row>
    <row r="6" spans="1:2" x14ac:dyDescent="0.3">
      <c r="B6" s="6" t="s">
        <v>4</v>
      </c>
    </row>
    <row r="7" spans="1:2" x14ac:dyDescent="0.3">
      <c r="B7" s="7" t="s">
        <v>5</v>
      </c>
    </row>
    <row r="9" spans="1:2" x14ac:dyDescent="0.3">
      <c r="A9">
        <v>2023</v>
      </c>
      <c r="B9" s="7" t="s">
        <v>6</v>
      </c>
    </row>
    <row r="10" spans="1:2" x14ac:dyDescent="0.3">
      <c r="A10">
        <v>2024</v>
      </c>
      <c r="B10" s="8" t="s">
        <v>7</v>
      </c>
    </row>
    <row r="11" spans="1:2" x14ac:dyDescent="0.3">
      <c r="B11" t="s">
        <v>8</v>
      </c>
    </row>
    <row r="12" spans="1:2" x14ac:dyDescent="0.3">
      <c r="A12">
        <v>2018</v>
      </c>
      <c r="B12" s="7" t="s">
        <v>9</v>
      </c>
    </row>
    <row r="14" spans="1:2" x14ac:dyDescent="0.3">
      <c r="B14" s="3" t="s">
        <v>10</v>
      </c>
    </row>
    <row r="15" spans="1:2" x14ac:dyDescent="0.3">
      <c r="B15" s="3" t="s">
        <v>11</v>
      </c>
    </row>
    <row r="16" spans="1:2" x14ac:dyDescent="0.3">
      <c r="B16" s="3" t="s">
        <v>12</v>
      </c>
    </row>
    <row r="17" spans="1:2" x14ac:dyDescent="0.3">
      <c r="B17" s="3" t="s">
        <v>13</v>
      </c>
    </row>
    <row r="18" spans="1:2" x14ac:dyDescent="0.3">
      <c r="B18" s="3"/>
    </row>
    <row r="19" spans="1:2" x14ac:dyDescent="0.3">
      <c r="A19" s="1" t="s">
        <v>14</v>
      </c>
    </row>
    <row r="20" spans="1:2" x14ac:dyDescent="0.3">
      <c r="A20">
        <v>20.125</v>
      </c>
      <c r="B20" t="s">
        <v>15</v>
      </c>
    </row>
    <row r="21" spans="1:2" x14ac:dyDescent="0.3">
      <c r="A21">
        <v>0.78500000000000003</v>
      </c>
      <c r="B21" t="s">
        <v>16</v>
      </c>
    </row>
    <row r="32" spans="1:2" x14ac:dyDescent="0.3">
      <c r="B32" s="3"/>
    </row>
    <row r="34" spans="1:2" x14ac:dyDescent="0.3">
      <c r="B34" s="4"/>
    </row>
    <row r="37" spans="1:2" x14ac:dyDescent="0.3">
      <c r="A37" s="1"/>
    </row>
  </sheetData>
  <hyperlinks>
    <hyperlink ref="B9" r:id="rId1" xr:uid="{5263CCB5-BABF-4E7F-BC39-F620053EF030}"/>
    <hyperlink ref="B10" r:id="rId2" xr:uid="{F21D1998-7C76-4B7A-9868-69EB4C6A790C}"/>
    <hyperlink ref="B12" r:id="rId3" xr:uid="{6B7FB438-20EC-4189-B17F-C81299E1591E}"/>
    <hyperlink ref="B4" r:id="rId4" xr:uid="{1FBC5BB1-1129-465E-9E19-624D9ED02A00}"/>
    <hyperlink ref="B7" r:id="rId5" xr:uid="{D9B00997-CE70-4FA0-89C1-BB393BCF9A5C}"/>
  </hyperlinks>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0095BC-D79E-4CA5-8C63-79500511C350}">
  <dimension ref="A1:Z46"/>
  <sheetViews>
    <sheetView workbookViewId="0">
      <selection activeCell="M46" sqref="M46"/>
    </sheetView>
  </sheetViews>
  <sheetFormatPr defaultRowHeight="14.4" outlineLevelRow="1" x14ac:dyDescent="0.3"/>
  <cols>
    <col min="5" max="5" width="13.44140625" customWidth="1"/>
    <col min="6" max="6" width="13.109375" customWidth="1"/>
    <col min="13" max="13" width="9.109375" bestFit="1" customWidth="1"/>
    <col min="15" max="15" width="10.33203125" bestFit="1" customWidth="1"/>
  </cols>
  <sheetData>
    <row r="1" spans="1:16" x14ac:dyDescent="0.3">
      <c r="A1" s="1" t="s">
        <v>17</v>
      </c>
      <c r="B1" s="7" t="s">
        <v>3</v>
      </c>
    </row>
    <row r="3" spans="1:16" x14ac:dyDescent="0.3">
      <c r="B3" t="s">
        <v>18</v>
      </c>
    </row>
    <row r="5" spans="1:16" x14ac:dyDescent="0.3">
      <c r="B5" t="s">
        <v>19</v>
      </c>
    </row>
    <row r="7" spans="1:16" x14ac:dyDescent="0.3">
      <c r="E7" t="s">
        <v>20</v>
      </c>
      <c r="F7" t="s">
        <v>21</v>
      </c>
      <c r="G7" t="s">
        <v>22</v>
      </c>
      <c r="H7" t="s">
        <v>23</v>
      </c>
      <c r="O7" t="s">
        <v>24</v>
      </c>
    </row>
    <row r="8" spans="1:16" x14ac:dyDescent="0.3">
      <c r="E8">
        <v>0.01</v>
      </c>
      <c r="F8" s="9">
        <v>313163.32</v>
      </c>
      <c r="G8">
        <v>0</v>
      </c>
      <c r="H8" s="10">
        <v>0.02</v>
      </c>
      <c r="N8" t="s">
        <v>25</v>
      </c>
      <c r="O8" s="12">
        <v>34640.814024784384</v>
      </c>
      <c r="P8" t="s">
        <v>26</v>
      </c>
    </row>
    <row r="9" spans="1:16" x14ac:dyDescent="0.3">
      <c r="E9" s="9">
        <v>313163.32</v>
      </c>
      <c r="F9" s="9">
        <v>375795.92</v>
      </c>
      <c r="G9" s="9">
        <v>6263.16</v>
      </c>
      <c r="H9" s="11">
        <v>0.05</v>
      </c>
      <c r="L9" s="16" t="s">
        <v>27</v>
      </c>
      <c r="M9" s="14">
        <f>M10*About!A21</f>
        <v>3708.9982563506296</v>
      </c>
      <c r="O9" s="5">
        <v>11093.175446995418</v>
      </c>
      <c r="P9" t="s">
        <v>28</v>
      </c>
    </row>
    <row r="10" spans="1:16" x14ac:dyDescent="0.3">
      <c r="E10" s="9">
        <v>375795.92</v>
      </c>
      <c r="F10" s="9">
        <v>438428.76</v>
      </c>
      <c r="G10" s="9">
        <v>9394.94</v>
      </c>
      <c r="H10" s="10">
        <v>0.1</v>
      </c>
      <c r="L10" s="16" t="s">
        <v>29</v>
      </c>
      <c r="M10" s="14">
        <f>M12/About!A20</f>
        <v>4724.8385431218212</v>
      </c>
      <c r="O10" s="13">
        <f>O8+O9</f>
        <v>45733.989471779802</v>
      </c>
      <c r="P10" s="1" t="s">
        <v>30</v>
      </c>
    </row>
    <row r="11" spans="1:16" x14ac:dyDescent="0.3">
      <c r="E11" s="9">
        <v>438428.77</v>
      </c>
      <c r="F11" s="9">
        <v>563693.73</v>
      </c>
      <c r="G11" s="9">
        <v>15658.19</v>
      </c>
      <c r="H11" s="10">
        <v>0.15</v>
      </c>
      <c r="O11" t="s">
        <v>31</v>
      </c>
    </row>
    <row r="12" spans="1:16" x14ac:dyDescent="0.3">
      <c r="E12" s="9">
        <v>563693.74</v>
      </c>
      <c r="F12" t="s">
        <v>32</v>
      </c>
      <c r="G12" s="9">
        <v>34447.9</v>
      </c>
      <c r="H12" s="10">
        <v>0.17</v>
      </c>
      <c r="L12" t="s">
        <v>17</v>
      </c>
      <c r="M12" s="14">
        <f>G12+(O12-E12)*H12</f>
        <v>95087.375680326659</v>
      </c>
      <c r="N12" t="s">
        <v>33</v>
      </c>
      <c r="O12" s="15">
        <f>O10*About!A20</f>
        <v>920396.53811956849</v>
      </c>
    </row>
    <row r="14" spans="1:16" hidden="1" outlineLevel="1" x14ac:dyDescent="0.3">
      <c r="B14" t="s">
        <v>34</v>
      </c>
    </row>
    <row r="15" spans="1:16" hidden="1" outlineLevel="1" x14ac:dyDescent="0.3"/>
    <row r="16" spans="1:16" hidden="1" outlineLevel="1" x14ac:dyDescent="0.3">
      <c r="B16" t="s">
        <v>35</v>
      </c>
    </row>
    <row r="17" spans="2:2" hidden="1" outlineLevel="1" x14ac:dyDescent="0.3"/>
    <row r="18" spans="2:2" hidden="1" outlineLevel="1" x14ac:dyDescent="0.3">
      <c r="B18" t="s">
        <v>36</v>
      </c>
    </row>
    <row r="19" spans="2:2" hidden="1" outlineLevel="1" x14ac:dyDescent="0.3">
      <c r="B19" t="s">
        <v>37</v>
      </c>
    </row>
    <row r="20" spans="2:2" hidden="1" outlineLevel="1" x14ac:dyDescent="0.3">
      <c r="B20" t="s">
        <v>38</v>
      </c>
    </row>
    <row r="21" spans="2:2" hidden="1" outlineLevel="1" x14ac:dyDescent="0.3">
      <c r="B21" t="s">
        <v>39</v>
      </c>
    </row>
    <row r="22" spans="2:2" hidden="1" outlineLevel="1" x14ac:dyDescent="0.3">
      <c r="B22" t="s">
        <v>40</v>
      </c>
    </row>
    <row r="23" spans="2:2" hidden="1" outlineLevel="1" x14ac:dyDescent="0.3">
      <c r="B23" t="s">
        <v>41</v>
      </c>
    </row>
    <row r="24" spans="2:2" hidden="1" outlineLevel="1" x14ac:dyDescent="0.3"/>
    <row r="25" spans="2:2" hidden="1" outlineLevel="1" x14ac:dyDescent="0.3">
      <c r="B25" t="s">
        <v>42</v>
      </c>
    </row>
    <row r="26" spans="2:2" hidden="1" outlineLevel="1" x14ac:dyDescent="0.3"/>
    <row r="27" spans="2:2" hidden="1" outlineLevel="1" x14ac:dyDescent="0.3">
      <c r="B27" t="s">
        <v>43</v>
      </c>
    </row>
    <row r="28" spans="2:2" hidden="1" outlineLevel="1" x14ac:dyDescent="0.3"/>
    <row r="29" spans="2:2" hidden="1" outlineLevel="1" x14ac:dyDescent="0.3">
      <c r="B29" t="s">
        <v>44</v>
      </c>
    </row>
    <row r="30" spans="2:2" hidden="1" outlineLevel="1" x14ac:dyDescent="0.3">
      <c r="B30" t="s">
        <v>45</v>
      </c>
    </row>
    <row r="31" spans="2:2" hidden="1" outlineLevel="1" x14ac:dyDescent="0.3"/>
    <row r="32" spans="2:2" hidden="1" outlineLevel="1" x14ac:dyDescent="0.3">
      <c r="B32" t="s">
        <v>46</v>
      </c>
    </row>
    <row r="33" spans="2:26" hidden="1" outlineLevel="1" x14ac:dyDescent="0.3"/>
    <row r="34" spans="2:26" hidden="1" outlineLevel="1" x14ac:dyDescent="0.3">
      <c r="B34" t="s">
        <v>47</v>
      </c>
    </row>
    <row r="35" spans="2:26" hidden="1" outlineLevel="1" x14ac:dyDescent="0.3">
      <c r="B35" t="s">
        <v>48</v>
      </c>
    </row>
    <row r="36" spans="2:26" hidden="1" outlineLevel="1" x14ac:dyDescent="0.3">
      <c r="B36" t="s">
        <v>49</v>
      </c>
    </row>
    <row r="37" spans="2:26" hidden="1" outlineLevel="1" x14ac:dyDescent="0.3">
      <c r="B37" t="s">
        <v>50</v>
      </c>
    </row>
    <row r="38" spans="2:26" collapsed="1" x14ac:dyDescent="0.3"/>
    <row r="39" spans="2:26" x14ac:dyDescent="0.3">
      <c r="L39" s="1" t="s">
        <v>51</v>
      </c>
    </row>
    <row r="40" spans="2:26" x14ac:dyDescent="0.3">
      <c r="L40" s="17" t="s">
        <v>52</v>
      </c>
      <c r="M40" s="18"/>
      <c r="N40" s="18"/>
      <c r="O40" s="18"/>
      <c r="P40" s="18"/>
      <c r="Q40" s="18"/>
      <c r="R40" s="18"/>
      <c r="S40" s="18"/>
      <c r="T40" s="18"/>
      <c r="U40" s="18"/>
      <c r="V40" s="18"/>
      <c r="W40" s="18"/>
      <c r="X40" s="18"/>
      <c r="Y40" s="18"/>
      <c r="Z40" s="18"/>
    </row>
    <row r="41" spans="2:26" x14ac:dyDescent="0.3">
      <c r="M41">
        <v>2022</v>
      </c>
      <c r="N41">
        <v>2023</v>
      </c>
      <c r="O41">
        <v>2024</v>
      </c>
      <c r="P41">
        <v>2025</v>
      </c>
      <c r="Q41">
        <v>2026</v>
      </c>
      <c r="R41">
        <v>2027</v>
      </c>
      <c r="S41">
        <v>2028</v>
      </c>
      <c r="T41">
        <v>2029</v>
      </c>
      <c r="U41">
        <v>2030</v>
      </c>
      <c r="V41">
        <v>2031</v>
      </c>
      <c r="W41">
        <v>2032</v>
      </c>
      <c r="X41">
        <v>2033</v>
      </c>
      <c r="Y41">
        <v>2034</v>
      </c>
      <c r="Z41">
        <v>2035</v>
      </c>
    </row>
    <row r="42" spans="2:26" x14ac:dyDescent="0.3">
      <c r="L42" t="s">
        <v>25</v>
      </c>
      <c r="M42" s="12">
        <v>34640.814024784384</v>
      </c>
      <c r="N42" s="12">
        <v>33141.592843933518</v>
      </c>
      <c r="O42" s="12">
        <v>31995.013874203454</v>
      </c>
      <c r="P42" s="12">
        <v>31108.202139674708</v>
      </c>
      <c r="Q42" s="12">
        <v>30426.824351898435</v>
      </c>
      <c r="R42" s="12">
        <v>29912.808556041069</v>
      </c>
      <c r="S42" s="12">
        <v>29587.734966487005</v>
      </c>
      <c r="T42" s="12">
        <v>29425.630095818542</v>
      </c>
      <c r="U42" s="12">
        <v>29515.845064967696</v>
      </c>
      <c r="V42" s="12">
        <v>29101.83841726436</v>
      </c>
      <c r="W42" s="12">
        <v>28835.350510570854</v>
      </c>
      <c r="X42" s="12">
        <v>28670.845144264887</v>
      </c>
      <c r="Y42" s="12">
        <v>28580.787441134438</v>
      </c>
      <c r="Z42" s="12">
        <v>28558.667792194701</v>
      </c>
    </row>
    <row r="43" spans="2:26" x14ac:dyDescent="0.3">
      <c r="L43" s="16" t="s">
        <v>53</v>
      </c>
      <c r="M43">
        <v>11093.175446995418</v>
      </c>
      <c r="N43">
        <v>10473.507871915701</v>
      </c>
      <c r="O43">
        <v>9821.5333508675794</v>
      </c>
      <c r="P43">
        <v>9137.2518838510605</v>
      </c>
      <c r="Q43">
        <v>8420.6634708661441</v>
      </c>
      <c r="R43">
        <v>7671.7681119128283</v>
      </c>
      <c r="S43">
        <v>6890.565806991116</v>
      </c>
      <c r="T43">
        <v>6077.0565561010026</v>
      </c>
      <c r="U43">
        <v>5231.2403592424916</v>
      </c>
      <c r="V43">
        <v>5064.0707419316832</v>
      </c>
      <c r="W43">
        <v>4896.9011246208738</v>
      </c>
      <c r="X43">
        <v>4729.7315073100654</v>
      </c>
      <c r="Y43">
        <v>4562.5618899992569</v>
      </c>
      <c r="Z43">
        <v>4395.3922726884484</v>
      </c>
    </row>
    <row r="44" spans="2:26" x14ac:dyDescent="0.3">
      <c r="L44" t="s">
        <v>54</v>
      </c>
      <c r="M44" s="5">
        <f>M42+M43</f>
        <v>45733.989471779802</v>
      </c>
      <c r="N44" s="5">
        <f t="shared" ref="N44:Z44" si="0">N42+N43</f>
        <v>43615.100715849221</v>
      </c>
      <c r="O44" s="5">
        <f t="shared" si="0"/>
        <v>41816.54722507103</v>
      </c>
      <c r="P44" s="5">
        <f t="shared" si="0"/>
        <v>40245.454023525766</v>
      </c>
      <c r="Q44" s="5">
        <f t="shared" si="0"/>
        <v>38847.487822764582</v>
      </c>
      <c r="R44" s="5">
        <f t="shared" si="0"/>
        <v>37584.576667953894</v>
      </c>
      <c r="S44" s="5">
        <f t="shared" si="0"/>
        <v>36478.30077347812</v>
      </c>
      <c r="T44" s="5">
        <f t="shared" si="0"/>
        <v>35502.686651919546</v>
      </c>
      <c r="U44" s="5">
        <f t="shared" si="0"/>
        <v>34747.085424210185</v>
      </c>
      <c r="V44" s="5">
        <f t="shared" si="0"/>
        <v>34165.909159196046</v>
      </c>
      <c r="W44" s="5">
        <f t="shared" si="0"/>
        <v>33732.251635191729</v>
      </c>
      <c r="X44" s="5">
        <f t="shared" si="0"/>
        <v>33400.576651574956</v>
      </c>
      <c r="Y44" s="5">
        <f t="shared" si="0"/>
        <v>33143.349331133693</v>
      </c>
      <c r="Z44" s="5">
        <f t="shared" si="0"/>
        <v>32954.060064883146</v>
      </c>
    </row>
    <row r="46" spans="2:26" x14ac:dyDescent="0.3">
      <c r="L46" t="s">
        <v>55</v>
      </c>
      <c r="M46">
        <f>M44/$O$10</f>
        <v>1</v>
      </c>
      <c r="N46">
        <f t="shared" ref="N46:Z46" si="1">N44/$O$10</f>
        <v>0.95366927791772804</v>
      </c>
      <c r="O46">
        <f t="shared" si="1"/>
        <v>0.9143428707629796</v>
      </c>
      <c r="P46">
        <f t="shared" si="1"/>
        <v>0.87999001373714092</v>
      </c>
      <c r="Q46">
        <f t="shared" si="1"/>
        <v>0.84942267821912754</v>
      </c>
      <c r="R46">
        <f t="shared" si="1"/>
        <v>0.82180839900585301</v>
      </c>
      <c r="S46">
        <f t="shared" si="1"/>
        <v>0.79761903990438199</v>
      </c>
      <c r="T46">
        <f t="shared" si="1"/>
        <v>0.77628667566442044</v>
      </c>
      <c r="U46">
        <f t="shared" si="1"/>
        <v>0.75976501996728063</v>
      </c>
      <c r="V46">
        <f t="shared" si="1"/>
        <v>0.74705726646213866</v>
      </c>
      <c r="W46">
        <f t="shared" si="1"/>
        <v>0.7375750951271427</v>
      </c>
      <c r="X46">
        <f t="shared" si="1"/>
        <v>0.73032283072931592</v>
      </c>
      <c r="Y46">
        <f t="shared" si="1"/>
        <v>0.72469840733192159</v>
      </c>
      <c r="Z46">
        <f t="shared" si="1"/>
        <v>0.72055948858818619</v>
      </c>
    </row>
  </sheetData>
  <hyperlinks>
    <hyperlink ref="B1" r:id="rId1" xr:uid="{0F823954-AF48-463C-96E7-16B19AF0DD23}"/>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
  <sheetViews>
    <sheetView workbookViewId="0">
      <selection activeCell="E35" sqref="E35"/>
    </sheetView>
  </sheetViews>
  <sheetFormatPr defaultColWidth="8.88671875"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Y8"/>
  <sheetViews>
    <sheetView workbookViewId="0">
      <selection activeCell="U2" sqref="U2"/>
    </sheetView>
  </sheetViews>
  <sheetFormatPr defaultColWidth="8.88671875" defaultRowHeight="14.4" x14ac:dyDescent="0.3"/>
  <cols>
    <col min="1" max="1" width="25.109375" customWidth="1"/>
  </cols>
  <sheetData>
    <row r="1" spans="1:51" x14ac:dyDescent="0.3">
      <c r="A1" s="2" t="s">
        <v>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57</v>
      </c>
      <c r="B2" s="5" cm="1">
        <f t="array" ref="B2">TREND($C2:$P2,$C1:$P1,B1)</f>
        <v>3605.9179306919978</v>
      </c>
      <c r="C2" s="5">
        <f>Calc!M9</f>
        <v>3708.9982563506296</v>
      </c>
      <c r="D2" s="5">
        <f>$C2*Calc!N46</f>
        <v>3537.1576889320172</v>
      </c>
      <c r="E2" s="5">
        <f>$C2*Calc!O46</f>
        <v>3391.2961133665203</v>
      </c>
      <c r="F2" s="5">
        <f>$C2*Calc!P46</f>
        <v>3263.8814265570222</v>
      </c>
      <c r="G2" s="5">
        <f>$C2*Calc!Q46</f>
        <v>3150.5072324194261</v>
      </c>
      <c r="H2" s="5">
        <f>$C2*Calc!R46</f>
        <v>3048.0859189670114</v>
      </c>
      <c r="I2" s="5">
        <f>$C2*Calc!S46</f>
        <v>2958.3676282374163</v>
      </c>
      <c r="J2" s="5">
        <f>$C2*Calc!T46</f>
        <v>2879.2459264675622</v>
      </c>
      <c r="K2" s="5">
        <f>$C2*Calc!U46</f>
        <v>2817.967134294845</v>
      </c>
      <c r="L2" s="5">
        <f>$C2*Calc!V46</f>
        <v>2770.8340987021402</v>
      </c>
      <c r="M2" s="5">
        <f>$C2*Calc!W46</f>
        <v>2735.6647417542222</v>
      </c>
      <c r="N2" s="5">
        <f>$C2*Calc!X46</f>
        <v>2708.7661057480886</v>
      </c>
      <c r="O2" s="5">
        <f>$C2*Calc!Y46</f>
        <v>2687.9051291741757</v>
      </c>
      <c r="P2" s="5">
        <f>$C2*Calc!Z46</f>
        <v>2672.553886770484</v>
      </c>
      <c r="Q2" s="5">
        <f>P2</f>
        <v>2672.553886770484</v>
      </c>
      <c r="R2" s="5" cm="1">
        <f t="array" ref="R2">TREND($C2:$P2,$C1:$P1,R1)</f>
        <v>2363.7663509667618</v>
      </c>
      <c r="S2" s="5" cm="1">
        <f t="array" ref="S2">TREND($C2:$P2,$C1:$P1,S1)</f>
        <v>2286.1318772339437</v>
      </c>
      <c r="T2" s="5" cm="1">
        <f t="array" ref="T2">TREND($C2:$P2,$C1:$P1,T1)</f>
        <v>2208.4974035011255</v>
      </c>
      <c r="U2" s="5">
        <v>0</v>
      </c>
      <c r="V2" s="5">
        <v>0</v>
      </c>
      <c r="W2" s="5">
        <v>0</v>
      </c>
      <c r="X2" s="5">
        <v>0</v>
      </c>
      <c r="Y2" s="5">
        <v>0</v>
      </c>
      <c r="Z2" s="5">
        <v>0</v>
      </c>
      <c r="AA2" s="5">
        <v>0</v>
      </c>
      <c r="AB2" s="5">
        <v>0</v>
      </c>
      <c r="AC2" s="5">
        <v>0</v>
      </c>
      <c r="AD2" s="5">
        <v>0</v>
      </c>
      <c r="AE2" s="5">
        <v>0</v>
      </c>
      <c r="AF2" s="5">
        <v>0</v>
      </c>
      <c r="AG2" s="5">
        <v>0</v>
      </c>
      <c r="AH2" s="5">
        <v>0</v>
      </c>
      <c r="AI2" s="5">
        <v>0</v>
      </c>
      <c r="AJ2" s="5">
        <v>0</v>
      </c>
      <c r="AK2" s="5">
        <v>0</v>
      </c>
      <c r="AL2" s="5">
        <v>0</v>
      </c>
      <c r="AM2" s="5">
        <v>0</v>
      </c>
      <c r="AN2" s="5">
        <v>0</v>
      </c>
      <c r="AO2" s="5">
        <v>0</v>
      </c>
      <c r="AP2" s="5">
        <v>0</v>
      </c>
      <c r="AQ2" s="5">
        <v>0</v>
      </c>
      <c r="AR2" s="5">
        <v>0</v>
      </c>
      <c r="AS2" s="5">
        <v>0</v>
      </c>
      <c r="AT2" s="5">
        <v>0</v>
      </c>
      <c r="AU2" s="5">
        <v>0</v>
      </c>
      <c r="AV2" s="5">
        <v>0</v>
      </c>
      <c r="AW2" s="5">
        <v>0</v>
      </c>
      <c r="AX2" s="5">
        <v>0</v>
      </c>
      <c r="AY2" s="5">
        <v>0</v>
      </c>
    </row>
    <row r="3" spans="1:51" x14ac:dyDescent="0.3">
      <c r="A3" t="s">
        <v>58</v>
      </c>
      <c r="B3" s="5">
        <v>0</v>
      </c>
      <c r="C3" s="5">
        <v>0</v>
      </c>
      <c r="D3" s="5">
        <v>0</v>
      </c>
      <c r="E3" s="5">
        <v>0</v>
      </c>
      <c r="F3" s="5">
        <v>0</v>
      </c>
      <c r="G3" s="5">
        <v>0</v>
      </c>
      <c r="H3" s="5">
        <v>0</v>
      </c>
      <c r="I3" s="5">
        <v>0</v>
      </c>
      <c r="J3" s="5">
        <v>0</v>
      </c>
      <c r="K3" s="5">
        <v>0</v>
      </c>
      <c r="L3" s="5">
        <v>0</v>
      </c>
      <c r="M3" s="5">
        <v>0</v>
      </c>
      <c r="N3" s="5">
        <v>0</v>
      </c>
      <c r="O3" s="5">
        <v>0</v>
      </c>
      <c r="P3" s="5">
        <v>0</v>
      </c>
      <c r="Q3" s="5">
        <v>0</v>
      </c>
      <c r="R3" s="5">
        <v>0</v>
      </c>
      <c r="S3" s="5">
        <v>0</v>
      </c>
      <c r="T3" s="5">
        <v>0</v>
      </c>
      <c r="U3" s="5">
        <v>0</v>
      </c>
      <c r="V3" s="5">
        <v>0</v>
      </c>
      <c r="W3" s="5">
        <v>0</v>
      </c>
      <c r="X3" s="5">
        <v>0</v>
      </c>
      <c r="Y3" s="5">
        <v>0</v>
      </c>
      <c r="Z3" s="5">
        <v>0</v>
      </c>
      <c r="AA3" s="5">
        <v>0</v>
      </c>
      <c r="AB3" s="5">
        <v>0</v>
      </c>
      <c r="AC3" s="5">
        <v>0</v>
      </c>
      <c r="AD3" s="5">
        <v>0</v>
      </c>
      <c r="AE3" s="5">
        <v>0</v>
      </c>
      <c r="AF3" s="5">
        <v>0</v>
      </c>
      <c r="AG3" s="5">
        <v>0</v>
      </c>
      <c r="AH3" s="5">
        <v>0</v>
      </c>
      <c r="AI3" s="5">
        <v>0</v>
      </c>
      <c r="AJ3" s="5">
        <v>0</v>
      </c>
      <c r="AK3" s="5">
        <v>0</v>
      </c>
      <c r="AL3" s="5">
        <v>0</v>
      </c>
      <c r="AM3" s="5">
        <v>0</v>
      </c>
      <c r="AN3" s="5">
        <v>0</v>
      </c>
      <c r="AO3" s="5">
        <v>0</v>
      </c>
      <c r="AP3" s="5">
        <v>0</v>
      </c>
      <c r="AQ3" s="5">
        <v>0</v>
      </c>
      <c r="AR3" s="5">
        <v>0</v>
      </c>
      <c r="AS3" s="5">
        <v>0</v>
      </c>
      <c r="AT3" s="5">
        <v>0</v>
      </c>
      <c r="AU3" s="5">
        <v>0</v>
      </c>
      <c r="AV3" s="5">
        <v>0</v>
      </c>
      <c r="AW3" s="5">
        <v>0</v>
      </c>
      <c r="AX3" s="5">
        <v>0</v>
      </c>
      <c r="AY3" s="5">
        <v>0</v>
      </c>
    </row>
    <row r="4" spans="1:51" x14ac:dyDescent="0.3">
      <c r="A4" t="s">
        <v>59</v>
      </c>
      <c r="B4" s="5">
        <v>0</v>
      </c>
      <c r="C4" s="5">
        <v>0</v>
      </c>
      <c r="D4" s="5">
        <v>0</v>
      </c>
      <c r="E4" s="5">
        <v>0</v>
      </c>
      <c r="F4" s="5">
        <v>0</v>
      </c>
      <c r="G4" s="5">
        <v>0</v>
      </c>
      <c r="H4" s="5">
        <v>0</v>
      </c>
      <c r="I4" s="5">
        <v>0</v>
      </c>
      <c r="J4" s="5">
        <v>0</v>
      </c>
      <c r="K4" s="5">
        <v>0</v>
      </c>
      <c r="L4" s="5">
        <v>0</v>
      </c>
      <c r="M4" s="5">
        <v>0</v>
      </c>
      <c r="N4" s="5">
        <v>0</v>
      </c>
      <c r="O4" s="5">
        <v>0</v>
      </c>
      <c r="P4" s="5">
        <v>0</v>
      </c>
      <c r="Q4" s="5">
        <v>0</v>
      </c>
      <c r="R4" s="5">
        <v>0</v>
      </c>
      <c r="S4" s="5">
        <v>0</v>
      </c>
      <c r="T4" s="5">
        <v>0</v>
      </c>
      <c r="U4" s="5">
        <v>0</v>
      </c>
      <c r="V4" s="5">
        <v>0</v>
      </c>
      <c r="W4" s="5">
        <v>0</v>
      </c>
      <c r="X4" s="5">
        <v>0</v>
      </c>
      <c r="Y4" s="5">
        <v>0</v>
      </c>
      <c r="Z4" s="5">
        <v>0</v>
      </c>
      <c r="AA4" s="5">
        <v>0</v>
      </c>
      <c r="AB4" s="5">
        <v>0</v>
      </c>
      <c r="AC4" s="5">
        <v>0</v>
      </c>
      <c r="AD4" s="5">
        <v>0</v>
      </c>
      <c r="AE4" s="5">
        <v>0</v>
      </c>
      <c r="AF4" s="5">
        <v>0</v>
      </c>
      <c r="AG4" s="5">
        <v>0</v>
      </c>
      <c r="AH4" s="5">
        <v>0</v>
      </c>
      <c r="AI4" s="5">
        <v>0</v>
      </c>
      <c r="AJ4" s="5">
        <v>0</v>
      </c>
      <c r="AK4" s="5">
        <v>0</v>
      </c>
      <c r="AL4" s="5">
        <v>0</v>
      </c>
      <c r="AM4" s="5">
        <v>0</v>
      </c>
      <c r="AN4" s="5">
        <v>0</v>
      </c>
      <c r="AO4" s="5">
        <v>0</v>
      </c>
      <c r="AP4" s="5">
        <v>0</v>
      </c>
      <c r="AQ4" s="5">
        <v>0</v>
      </c>
      <c r="AR4" s="5">
        <v>0</v>
      </c>
      <c r="AS4" s="5">
        <v>0</v>
      </c>
      <c r="AT4" s="5">
        <v>0</v>
      </c>
      <c r="AU4" s="5">
        <v>0</v>
      </c>
      <c r="AV4" s="5">
        <v>0</v>
      </c>
      <c r="AW4" s="5">
        <v>0</v>
      </c>
      <c r="AX4" s="5">
        <v>0</v>
      </c>
      <c r="AY4" s="5">
        <v>0</v>
      </c>
    </row>
    <row r="5" spans="1:51" x14ac:dyDescent="0.3">
      <c r="A5" t="s">
        <v>60</v>
      </c>
      <c r="B5" s="5">
        <v>0</v>
      </c>
      <c r="C5" s="5">
        <v>0</v>
      </c>
      <c r="D5" s="5">
        <v>0</v>
      </c>
      <c r="E5" s="5">
        <v>0</v>
      </c>
      <c r="F5" s="5">
        <v>0</v>
      </c>
      <c r="G5" s="5">
        <v>0</v>
      </c>
      <c r="H5" s="5">
        <v>0</v>
      </c>
      <c r="I5" s="5">
        <v>0</v>
      </c>
      <c r="J5" s="5">
        <v>0</v>
      </c>
      <c r="K5" s="5">
        <v>0</v>
      </c>
      <c r="L5" s="5">
        <v>0</v>
      </c>
      <c r="M5" s="5">
        <v>0</v>
      </c>
      <c r="N5" s="5">
        <v>0</v>
      </c>
      <c r="O5" s="5">
        <v>0</v>
      </c>
      <c r="P5" s="5">
        <v>0</v>
      </c>
      <c r="Q5" s="5">
        <v>0</v>
      </c>
      <c r="R5" s="5">
        <v>0</v>
      </c>
      <c r="S5" s="5">
        <v>0</v>
      </c>
      <c r="T5" s="5">
        <v>0</v>
      </c>
      <c r="U5" s="5">
        <v>0</v>
      </c>
      <c r="V5" s="5">
        <v>0</v>
      </c>
      <c r="W5" s="5">
        <v>0</v>
      </c>
      <c r="X5" s="5">
        <v>0</v>
      </c>
      <c r="Y5" s="5">
        <v>0</v>
      </c>
      <c r="Z5" s="5">
        <v>0</v>
      </c>
      <c r="AA5" s="5">
        <v>0</v>
      </c>
      <c r="AB5" s="5">
        <v>0</v>
      </c>
      <c r="AC5" s="5">
        <v>0</v>
      </c>
      <c r="AD5" s="5">
        <v>0</v>
      </c>
      <c r="AE5" s="5">
        <v>0</v>
      </c>
      <c r="AF5" s="5">
        <v>0</v>
      </c>
      <c r="AG5" s="5">
        <v>0</v>
      </c>
      <c r="AH5" s="5">
        <v>0</v>
      </c>
      <c r="AI5" s="5">
        <v>0</v>
      </c>
      <c r="AJ5" s="5">
        <v>0</v>
      </c>
      <c r="AK5" s="5">
        <v>0</v>
      </c>
      <c r="AL5" s="5">
        <v>0</v>
      </c>
      <c r="AM5" s="5">
        <v>0</v>
      </c>
      <c r="AN5" s="5">
        <v>0</v>
      </c>
      <c r="AO5" s="5">
        <v>0</v>
      </c>
      <c r="AP5" s="5">
        <v>0</v>
      </c>
      <c r="AQ5" s="5">
        <v>0</v>
      </c>
      <c r="AR5" s="5">
        <v>0</v>
      </c>
      <c r="AS5" s="5">
        <v>0</v>
      </c>
      <c r="AT5" s="5">
        <v>0</v>
      </c>
      <c r="AU5" s="5">
        <v>0</v>
      </c>
      <c r="AV5" s="5">
        <v>0</v>
      </c>
      <c r="AW5" s="5">
        <v>0</v>
      </c>
      <c r="AX5" s="5">
        <v>0</v>
      </c>
      <c r="AY5" s="5">
        <v>0</v>
      </c>
    </row>
    <row r="6" spans="1:51" x14ac:dyDescent="0.3">
      <c r="A6" t="s">
        <v>61</v>
      </c>
      <c r="B6" s="5">
        <v>0</v>
      </c>
      <c r="C6" s="5">
        <v>0</v>
      </c>
      <c r="D6" s="5">
        <v>0</v>
      </c>
      <c r="E6" s="5">
        <v>0</v>
      </c>
      <c r="F6" s="5">
        <v>0</v>
      </c>
      <c r="G6" s="5">
        <v>0</v>
      </c>
      <c r="H6" s="5">
        <v>0</v>
      </c>
      <c r="I6" s="5">
        <v>0</v>
      </c>
      <c r="J6" s="5">
        <v>0</v>
      </c>
      <c r="K6" s="5">
        <v>0</v>
      </c>
      <c r="L6" s="5">
        <v>0</v>
      </c>
      <c r="M6" s="5">
        <v>0</v>
      </c>
      <c r="N6" s="5">
        <v>0</v>
      </c>
      <c r="O6" s="5">
        <v>0</v>
      </c>
      <c r="P6" s="5">
        <v>0</v>
      </c>
      <c r="Q6" s="5">
        <v>0</v>
      </c>
      <c r="R6" s="5">
        <v>0</v>
      </c>
      <c r="S6" s="5">
        <v>0</v>
      </c>
      <c r="T6" s="5">
        <v>0</v>
      </c>
      <c r="U6" s="5">
        <v>0</v>
      </c>
      <c r="V6" s="5">
        <v>0</v>
      </c>
      <c r="W6" s="5">
        <v>0</v>
      </c>
      <c r="X6" s="5">
        <v>0</v>
      </c>
      <c r="Y6" s="5">
        <v>0</v>
      </c>
      <c r="Z6" s="5">
        <v>0</v>
      </c>
      <c r="AA6" s="5">
        <v>0</v>
      </c>
      <c r="AB6" s="5">
        <v>0</v>
      </c>
      <c r="AC6" s="5">
        <v>0</v>
      </c>
      <c r="AD6" s="5">
        <v>0</v>
      </c>
      <c r="AE6" s="5">
        <v>0</v>
      </c>
      <c r="AF6" s="5">
        <v>0</v>
      </c>
      <c r="AG6" s="5">
        <v>0</v>
      </c>
      <c r="AH6" s="5">
        <v>0</v>
      </c>
      <c r="AI6" s="5">
        <v>0</v>
      </c>
      <c r="AJ6" s="5">
        <v>0</v>
      </c>
      <c r="AK6" s="5">
        <v>0</v>
      </c>
      <c r="AL6" s="5">
        <v>0</v>
      </c>
      <c r="AM6" s="5">
        <v>0</v>
      </c>
      <c r="AN6" s="5">
        <v>0</v>
      </c>
      <c r="AO6" s="5">
        <v>0</v>
      </c>
      <c r="AP6" s="5">
        <v>0</v>
      </c>
      <c r="AQ6" s="5">
        <v>0</v>
      </c>
      <c r="AR6" s="5">
        <v>0</v>
      </c>
      <c r="AS6" s="5">
        <v>0</v>
      </c>
      <c r="AT6" s="5">
        <v>0</v>
      </c>
      <c r="AU6" s="5">
        <v>0</v>
      </c>
      <c r="AV6" s="5">
        <v>0</v>
      </c>
      <c r="AW6" s="5">
        <v>0</v>
      </c>
      <c r="AX6" s="5">
        <v>0</v>
      </c>
      <c r="AY6" s="5">
        <v>0</v>
      </c>
    </row>
    <row r="7" spans="1:51" x14ac:dyDescent="0.3">
      <c r="A7" t="s">
        <v>62</v>
      </c>
      <c r="B7" s="5">
        <v>0</v>
      </c>
      <c r="C7" s="5">
        <v>0</v>
      </c>
      <c r="D7" s="5">
        <v>0</v>
      </c>
      <c r="E7" s="5">
        <v>0</v>
      </c>
      <c r="F7" s="5">
        <v>0</v>
      </c>
      <c r="G7" s="5">
        <v>0</v>
      </c>
      <c r="H7" s="5">
        <v>0</v>
      </c>
      <c r="I7" s="5">
        <v>0</v>
      </c>
      <c r="J7" s="5">
        <v>0</v>
      </c>
      <c r="K7" s="5">
        <v>0</v>
      </c>
      <c r="L7" s="5">
        <v>0</v>
      </c>
      <c r="M7" s="5">
        <v>0</v>
      </c>
      <c r="N7" s="5">
        <v>0</v>
      </c>
      <c r="O7" s="5">
        <v>0</v>
      </c>
      <c r="P7" s="5">
        <v>0</v>
      </c>
      <c r="Q7" s="5">
        <v>0</v>
      </c>
      <c r="R7" s="5">
        <v>0</v>
      </c>
      <c r="S7" s="5">
        <v>0</v>
      </c>
      <c r="T7" s="5">
        <v>0</v>
      </c>
      <c r="U7" s="5">
        <v>0</v>
      </c>
      <c r="V7" s="5">
        <v>0</v>
      </c>
      <c r="W7" s="5">
        <v>0</v>
      </c>
      <c r="X7" s="5">
        <v>0</v>
      </c>
      <c r="Y7" s="5">
        <v>0</v>
      </c>
      <c r="Z7" s="5">
        <v>0</v>
      </c>
      <c r="AA7" s="5">
        <v>0</v>
      </c>
      <c r="AB7" s="5">
        <v>0</v>
      </c>
      <c r="AC7" s="5">
        <v>0</v>
      </c>
      <c r="AD7" s="5">
        <v>0</v>
      </c>
      <c r="AE7" s="5">
        <v>0</v>
      </c>
      <c r="AF7" s="5">
        <v>0</v>
      </c>
      <c r="AG7" s="5">
        <v>0</v>
      </c>
      <c r="AH7" s="5">
        <v>0</v>
      </c>
      <c r="AI7" s="5">
        <v>0</v>
      </c>
      <c r="AJ7" s="5">
        <v>0</v>
      </c>
      <c r="AK7" s="5">
        <v>0</v>
      </c>
      <c r="AL7" s="5">
        <v>0</v>
      </c>
      <c r="AM7" s="5">
        <v>0</v>
      </c>
      <c r="AN7" s="5">
        <v>0</v>
      </c>
      <c r="AO7" s="5">
        <v>0</v>
      </c>
      <c r="AP7" s="5">
        <v>0</v>
      </c>
      <c r="AQ7" s="5">
        <v>0</v>
      </c>
      <c r="AR7" s="5">
        <v>0</v>
      </c>
      <c r="AS7" s="5">
        <v>0</v>
      </c>
      <c r="AT7" s="5">
        <v>0</v>
      </c>
      <c r="AU7" s="5">
        <v>0</v>
      </c>
      <c r="AV7" s="5">
        <v>0</v>
      </c>
      <c r="AW7" s="5">
        <v>0</v>
      </c>
      <c r="AX7" s="5">
        <v>0</v>
      </c>
      <c r="AY7" s="5">
        <v>0</v>
      </c>
    </row>
    <row r="8" spans="1:51" x14ac:dyDescent="0.3">
      <c r="A8" t="s">
        <v>63</v>
      </c>
      <c r="B8" s="5">
        <v>0</v>
      </c>
      <c r="C8" s="5">
        <v>0</v>
      </c>
      <c r="D8" s="5">
        <v>0</v>
      </c>
      <c r="E8" s="5">
        <v>0</v>
      </c>
      <c r="F8" s="5">
        <v>0</v>
      </c>
      <c r="G8" s="5">
        <v>0</v>
      </c>
      <c r="H8" s="5">
        <v>0</v>
      </c>
      <c r="I8" s="5">
        <v>0</v>
      </c>
      <c r="J8" s="5">
        <v>0</v>
      </c>
      <c r="K8" s="5">
        <v>0</v>
      </c>
      <c r="L8" s="5">
        <v>0</v>
      </c>
      <c r="M8" s="5">
        <v>0</v>
      </c>
      <c r="N8" s="5">
        <v>0</v>
      </c>
      <c r="O8" s="5">
        <v>0</v>
      </c>
      <c r="P8" s="5">
        <v>0</v>
      </c>
      <c r="Q8" s="5">
        <v>0</v>
      </c>
      <c r="R8" s="5">
        <v>0</v>
      </c>
      <c r="S8" s="5">
        <v>0</v>
      </c>
      <c r="T8" s="5">
        <v>0</v>
      </c>
      <c r="U8" s="5">
        <v>0</v>
      </c>
      <c r="V8" s="5">
        <v>0</v>
      </c>
      <c r="W8" s="5">
        <v>0</v>
      </c>
      <c r="X8" s="5">
        <v>0</v>
      </c>
      <c r="Y8" s="5">
        <v>0</v>
      </c>
      <c r="Z8" s="5">
        <v>0</v>
      </c>
      <c r="AA8" s="5">
        <v>0</v>
      </c>
      <c r="AB8" s="5">
        <v>0</v>
      </c>
      <c r="AC8" s="5">
        <v>0</v>
      </c>
      <c r="AD8" s="5">
        <v>0</v>
      </c>
      <c r="AE8" s="5">
        <v>0</v>
      </c>
      <c r="AF8" s="5">
        <v>0</v>
      </c>
      <c r="AG8" s="5">
        <v>0</v>
      </c>
      <c r="AH8" s="5">
        <v>0</v>
      </c>
      <c r="AI8" s="5">
        <v>0</v>
      </c>
      <c r="AJ8" s="5">
        <v>0</v>
      </c>
      <c r="AK8" s="5">
        <v>0</v>
      </c>
      <c r="AL8" s="5">
        <v>0</v>
      </c>
      <c r="AM8" s="5">
        <v>0</v>
      </c>
      <c r="AN8" s="5">
        <v>0</v>
      </c>
      <c r="AO8" s="5">
        <v>0</v>
      </c>
      <c r="AP8" s="5">
        <v>0</v>
      </c>
      <c r="AQ8" s="5">
        <v>0</v>
      </c>
      <c r="AR8" s="5">
        <v>0</v>
      </c>
      <c r="AS8" s="5">
        <v>0</v>
      </c>
      <c r="AT8" s="5">
        <v>0</v>
      </c>
      <c r="AU8" s="5">
        <v>0</v>
      </c>
      <c r="AV8" s="5">
        <v>0</v>
      </c>
      <c r="AW8" s="5">
        <v>0</v>
      </c>
      <c r="AX8" s="5">
        <v>0</v>
      </c>
      <c r="AY8" s="5">
        <v>0</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34DDE-5D7D-440E-9F2D-C8BE7EE78DD9}">
  <sheetPr>
    <tabColor theme="3"/>
  </sheetPr>
  <dimension ref="A1:AY8"/>
  <sheetViews>
    <sheetView workbookViewId="0">
      <selection activeCell="B2" sqref="B2"/>
    </sheetView>
  </sheetViews>
  <sheetFormatPr defaultColWidth="8.88671875" defaultRowHeight="14.4" x14ac:dyDescent="0.3"/>
  <cols>
    <col min="1" max="1" width="25.109375" customWidth="1"/>
  </cols>
  <sheetData>
    <row r="1" spans="1:51" x14ac:dyDescent="0.3">
      <c r="A1" s="2" t="s">
        <v>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57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c r="AQ2">
        <v>0</v>
      </c>
      <c r="AR2">
        <v>0</v>
      </c>
      <c r="AS2">
        <v>0</v>
      </c>
      <c r="AT2">
        <v>0</v>
      </c>
      <c r="AU2">
        <v>0</v>
      </c>
      <c r="AV2">
        <v>0</v>
      </c>
      <c r="AW2">
        <v>0</v>
      </c>
      <c r="AX2">
        <v>0</v>
      </c>
      <c r="AY2">
        <v>0</v>
      </c>
    </row>
    <row r="3" spans="1:51" x14ac:dyDescent="0.3">
      <c r="A3" t="s">
        <v>58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c r="AS3">
        <v>0</v>
      </c>
      <c r="AT3">
        <v>0</v>
      </c>
      <c r="AU3">
        <v>0</v>
      </c>
      <c r="AV3">
        <v>0</v>
      </c>
      <c r="AW3">
        <v>0</v>
      </c>
      <c r="AX3">
        <v>0</v>
      </c>
      <c r="AY3">
        <v>0</v>
      </c>
    </row>
    <row r="4" spans="1:51" x14ac:dyDescent="0.3">
      <c r="A4" t="s">
        <v>59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c r="AQ4">
        <v>0</v>
      </c>
      <c r="AR4">
        <v>0</v>
      </c>
      <c r="AS4">
        <v>0</v>
      </c>
      <c r="AT4">
        <v>0</v>
      </c>
      <c r="AU4">
        <v>0</v>
      </c>
      <c r="AV4">
        <v>0</v>
      </c>
      <c r="AW4">
        <v>0</v>
      </c>
      <c r="AX4">
        <v>0</v>
      </c>
      <c r="AY4">
        <v>0</v>
      </c>
    </row>
    <row r="5" spans="1:51" x14ac:dyDescent="0.3">
      <c r="A5" t="s">
        <v>60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c r="AQ5">
        <v>0</v>
      </c>
      <c r="AR5">
        <v>0</v>
      </c>
      <c r="AS5">
        <v>0</v>
      </c>
      <c r="AT5">
        <v>0</v>
      </c>
      <c r="AU5">
        <v>0</v>
      </c>
      <c r="AV5">
        <v>0</v>
      </c>
      <c r="AW5">
        <v>0</v>
      </c>
      <c r="AX5">
        <v>0</v>
      </c>
      <c r="AY5">
        <v>0</v>
      </c>
    </row>
    <row r="6" spans="1:51" x14ac:dyDescent="0.3">
      <c r="A6" t="s">
        <v>61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c r="AQ6">
        <v>0</v>
      </c>
      <c r="AR6">
        <v>0</v>
      </c>
      <c r="AS6">
        <v>0</v>
      </c>
      <c r="AT6">
        <v>0</v>
      </c>
      <c r="AU6">
        <v>0</v>
      </c>
      <c r="AV6">
        <v>0</v>
      </c>
      <c r="AW6">
        <v>0</v>
      </c>
      <c r="AX6">
        <v>0</v>
      </c>
      <c r="AY6">
        <v>0</v>
      </c>
    </row>
    <row r="7" spans="1:51" x14ac:dyDescent="0.3">
      <c r="A7" t="s">
        <v>62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row>
    <row r="8" spans="1:51" x14ac:dyDescent="0.3">
      <c r="A8" t="s">
        <v>63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741F6-596C-4C6D-91F8-CA5AA118CF11}">
  <sheetPr>
    <tabColor theme="3"/>
  </sheetPr>
  <dimension ref="A1:AY8"/>
  <sheetViews>
    <sheetView workbookViewId="0">
      <selection activeCell="B2" sqref="B2"/>
    </sheetView>
  </sheetViews>
  <sheetFormatPr defaultColWidth="8.88671875" defaultRowHeight="14.4" x14ac:dyDescent="0.3"/>
  <cols>
    <col min="1" max="1" width="25.109375" customWidth="1"/>
  </cols>
  <sheetData>
    <row r="1" spans="1:51" x14ac:dyDescent="0.3">
      <c r="A1" s="2" t="s">
        <v>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57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c r="AQ2">
        <v>0</v>
      </c>
      <c r="AR2">
        <v>0</v>
      </c>
      <c r="AS2">
        <v>0</v>
      </c>
      <c r="AT2">
        <v>0</v>
      </c>
      <c r="AU2">
        <v>0</v>
      </c>
      <c r="AV2">
        <v>0</v>
      </c>
      <c r="AW2">
        <v>0</v>
      </c>
      <c r="AX2">
        <v>0</v>
      </c>
      <c r="AY2">
        <v>0</v>
      </c>
    </row>
    <row r="3" spans="1:51" x14ac:dyDescent="0.3">
      <c r="A3" t="s">
        <v>58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c r="AS3">
        <v>0</v>
      </c>
      <c r="AT3">
        <v>0</v>
      </c>
      <c r="AU3">
        <v>0</v>
      </c>
      <c r="AV3">
        <v>0</v>
      </c>
      <c r="AW3">
        <v>0</v>
      </c>
      <c r="AX3">
        <v>0</v>
      </c>
      <c r="AY3">
        <v>0</v>
      </c>
    </row>
    <row r="4" spans="1:51" x14ac:dyDescent="0.3">
      <c r="A4" t="s">
        <v>59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c r="AQ4">
        <v>0</v>
      </c>
      <c r="AR4">
        <v>0</v>
      </c>
      <c r="AS4">
        <v>0</v>
      </c>
      <c r="AT4">
        <v>0</v>
      </c>
      <c r="AU4">
        <v>0</v>
      </c>
      <c r="AV4">
        <v>0</v>
      </c>
      <c r="AW4">
        <v>0</v>
      </c>
      <c r="AX4">
        <v>0</v>
      </c>
      <c r="AY4">
        <v>0</v>
      </c>
    </row>
    <row r="5" spans="1:51" x14ac:dyDescent="0.3">
      <c r="A5" t="s">
        <v>60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c r="AQ5">
        <v>0</v>
      </c>
      <c r="AR5">
        <v>0</v>
      </c>
      <c r="AS5">
        <v>0</v>
      </c>
      <c r="AT5">
        <v>0</v>
      </c>
      <c r="AU5">
        <v>0</v>
      </c>
      <c r="AV5">
        <v>0</v>
      </c>
      <c r="AW5">
        <v>0</v>
      </c>
      <c r="AX5">
        <v>0</v>
      </c>
      <c r="AY5">
        <v>0</v>
      </c>
    </row>
    <row r="6" spans="1:51" x14ac:dyDescent="0.3">
      <c r="A6" t="s">
        <v>61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c r="AQ6">
        <v>0</v>
      </c>
      <c r="AR6">
        <v>0</v>
      </c>
      <c r="AS6">
        <v>0</v>
      </c>
      <c r="AT6">
        <v>0</v>
      </c>
      <c r="AU6">
        <v>0</v>
      </c>
      <c r="AV6">
        <v>0</v>
      </c>
      <c r="AW6">
        <v>0</v>
      </c>
      <c r="AX6">
        <v>0</v>
      </c>
      <c r="AY6">
        <v>0</v>
      </c>
    </row>
    <row r="7" spans="1:51" x14ac:dyDescent="0.3">
      <c r="A7" t="s">
        <v>62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row>
    <row r="8" spans="1:51" x14ac:dyDescent="0.3">
      <c r="A8" t="s">
        <v>63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94405-868B-4452-B9AC-D6B63E4037BA}">
  <sheetPr>
    <tabColor theme="3"/>
  </sheetPr>
  <dimension ref="A1:AY8"/>
  <sheetViews>
    <sheetView tabSelected="1" workbookViewId="0">
      <selection activeCell="B2" sqref="B2"/>
    </sheetView>
  </sheetViews>
  <sheetFormatPr defaultColWidth="8.88671875" defaultRowHeight="14.4" x14ac:dyDescent="0.3"/>
  <cols>
    <col min="1" max="1" width="25.109375" customWidth="1"/>
  </cols>
  <sheetData>
    <row r="1" spans="1:51" x14ac:dyDescent="0.3">
      <c r="A1" s="2" t="s">
        <v>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57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c r="AQ2">
        <v>0</v>
      </c>
      <c r="AR2">
        <v>0</v>
      </c>
      <c r="AS2">
        <v>0</v>
      </c>
      <c r="AT2">
        <v>0</v>
      </c>
      <c r="AU2">
        <v>0</v>
      </c>
      <c r="AV2">
        <v>0</v>
      </c>
      <c r="AW2">
        <v>0</v>
      </c>
      <c r="AX2">
        <v>0</v>
      </c>
      <c r="AY2">
        <v>0</v>
      </c>
    </row>
    <row r="3" spans="1:51" x14ac:dyDescent="0.3">
      <c r="A3" t="s">
        <v>58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c r="AS3">
        <v>0</v>
      </c>
      <c r="AT3">
        <v>0</v>
      </c>
      <c r="AU3">
        <v>0</v>
      </c>
      <c r="AV3">
        <v>0</v>
      </c>
      <c r="AW3">
        <v>0</v>
      </c>
      <c r="AX3">
        <v>0</v>
      </c>
      <c r="AY3">
        <v>0</v>
      </c>
    </row>
    <row r="4" spans="1:51" x14ac:dyDescent="0.3">
      <c r="A4" t="s">
        <v>59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c r="AQ4">
        <v>0</v>
      </c>
      <c r="AR4">
        <v>0</v>
      </c>
      <c r="AS4">
        <v>0</v>
      </c>
      <c r="AT4">
        <v>0</v>
      </c>
      <c r="AU4">
        <v>0</v>
      </c>
      <c r="AV4">
        <v>0</v>
      </c>
      <c r="AW4">
        <v>0</v>
      </c>
      <c r="AX4">
        <v>0</v>
      </c>
      <c r="AY4">
        <v>0</v>
      </c>
    </row>
    <row r="5" spans="1:51" x14ac:dyDescent="0.3">
      <c r="A5" t="s">
        <v>60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c r="AQ5">
        <v>0</v>
      </c>
      <c r="AR5">
        <v>0</v>
      </c>
      <c r="AS5">
        <v>0</v>
      </c>
      <c r="AT5">
        <v>0</v>
      </c>
      <c r="AU5">
        <v>0</v>
      </c>
      <c r="AV5">
        <v>0</v>
      </c>
      <c r="AW5">
        <v>0</v>
      </c>
      <c r="AX5">
        <v>0</v>
      </c>
      <c r="AY5">
        <v>0</v>
      </c>
    </row>
    <row r="6" spans="1:51" x14ac:dyDescent="0.3">
      <c r="A6" t="s">
        <v>61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c r="AQ6">
        <v>0</v>
      </c>
      <c r="AR6">
        <v>0</v>
      </c>
      <c r="AS6">
        <v>0</v>
      </c>
      <c r="AT6">
        <v>0</v>
      </c>
      <c r="AU6">
        <v>0</v>
      </c>
      <c r="AV6">
        <v>0</v>
      </c>
      <c r="AW6">
        <v>0</v>
      </c>
      <c r="AX6">
        <v>0</v>
      </c>
      <c r="AY6">
        <v>0</v>
      </c>
    </row>
    <row r="7" spans="1:51" x14ac:dyDescent="0.3">
      <c r="A7" t="s">
        <v>62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row>
    <row r="8" spans="1:51" x14ac:dyDescent="0.3">
      <c r="A8" t="s">
        <v>63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87FBF-8038-4912-A5A6-BE7241A5CAB0}">
  <sheetPr>
    <tabColor theme="3"/>
  </sheetPr>
  <dimension ref="A1:AY8"/>
  <sheetViews>
    <sheetView workbookViewId="0">
      <selection activeCell="B2" sqref="B2"/>
    </sheetView>
  </sheetViews>
  <sheetFormatPr defaultColWidth="8.88671875" defaultRowHeight="14.4" x14ac:dyDescent="0.3"/>
  <cols>
    <col min="1" max="1" width="25.109375" customWidth="1"/>
  </cols>
  <sheetData>
    <row r="1" spans="1:51" x14ac:dyDescent="0.3">
      <c r="A1" s="2" t="s">
        <v>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57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c r="AQ2">
        <v>0</v>
      </c>
      <c r="AR2">
        <v>0</v>
      </c>
      <c r="AS2">
        <v>0</v>
      </c>
      <c r="AT2">
        <v>0</v>
      </c>
      <c r="AU2">
        <v>0</v>
      </c>
      <c r="AV2">
        <v>0</v>
      </c>
      <c r="AW2">
        <v>0</v>
      </c>
      <c r="AX2">
        <v>0</v>
      </c>
      <c r="AY2">
        <v>0</v>
      </c>
    </row>
    <row r="3" spans="1:51" x14ac:dyDescent="0.3">
      <c r="A3" t="s">
        <v>58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c r="AS3">
        <v>0</v>
      </c>
      <c r="AT3">
        <v>0</v>
      </c>
      <c r="AU3">
        <v>0</v>
      </c>
      <c r="AV3">
        <v>0</v>
      </c>
      <c r="AW3">
        <v>0</v>
      </c>
      <c r="AX3">
        <v>0</v>
      </c>
      <c r="AY3">
        <v>0</v>
      </c>
    </row>
    <row r="4" spans="1:51" x14ac:dyDescent="0.3">
      <c r="A4" t="s">
        <v>59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c r="AQ4">
        <v>0</v>
      </c>
      <c r="AR4">
        <v>0</v>
      </c>
      <c r="AS4">
        <v>0</v>
      </c>
      <c r="AT4">
        <v>0</v>
      </c>
      <c r="AU4">
        <v>0</v>
      </c>
      <c r="AV4">
        <v>0</v>
      </c>
      <c r="AW4">
        <v>0</v>
      </c>
      <c r="AX4">
        <v>0</v>
      </c>
      <c r="AY4">
        <v>0</v>
      </c>
    </row>
    <row r="5" spans="1:51" x14ac:dyDescent="0.3">
      <c r="A5" t="s">
        <v>60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c r="AQ5">
        <v>0</v>
      </c>
      <c r="AR5">
        <v>0</v>
      </c>
      <c r="AS5">
        <v>0</v>
      </c>
      <c r="AT5">
        <v>0</v>
      </c>
      <c r="AU5">
        <v>0</v>
      </c>
      <c r="AV5">
        <v>0</v>
      </c>
      <c r="AW5">
        <v>0</v>
      </c>
      <c r="AX5">
        <v>0</v>
      </c>
      <c r="AY5">
        <v>0</v>
      </c>
    </row>
    <row r="6" spans="1:51" x14ac:dyDescent="0.3">
      <c r="A6" t="s">
        <v>61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c r="AQ6">
        <v>0</v>
      </c>
      <c r="AR6">
        <v>0</v>
      </c>
      <c r="AS6">
        <v>0</v>
      </c>
      <c r="AT6">
        <v>0</v>
      </c>
      <c r="AU6">
        <v>0</v>
      </c>
      <c r="AV6">
        <v>0</v>
      </c>
      <c r="AW6">
        <v>0</v>
      </c>
      <c r="AX6">
        <v>0</v>
      </c>
      <c r="AY6">
        <v>0</v>
      </c>
    </row>
    <row r="7" spans="1:51" x14ac:dyDescent="0.3">
      <c r="A7" t="s">
        <v>62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row>
    <row r="8" spans="1:51" x14ac:dyDescent="0.3">
      <c r="A8" t="s">
        <v>63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5C6BF-BE7A-4625-8CB5-34C673B46C4E}">
  <sheetPr>
    <tabColor theme="3"/>
  </sheetPr>
  <dimension ref="A1:AY8"/>
  <sheetViews>
    <sheetView workbookViewId="0">
      <selection activeCell="B2" sqref="B2"/>
    </sheetView>
  </sheetViews>
  <sheetFormatPr defaultColWidth="8.88671875" defaultRowHeight="14.4" x14ac:dyDescent="0.3"/>
  <cols>
    <col min="1" max="1" width="25.109375" customWidth="1"/>
  </cols>
  <sheetData>
    <row r="1" spans="1:51" x14ac:dyDescent="0.3">
      <c r="A1" s="2" t="s">
        <v>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57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c r="AQ2">
        <v>0</v>
      </c>
      <c r="AR2">
        <v>0</v>
      </c>
      <c r="AS2">
        <v>0</v>
      </c>
      <c r="AT2">
        <v>0</v>
      </c>
      <c r="AU2">
        <v>0</v>
      </c>
      <c r="AV2">
        <v>0</v>
      </c>
      <c r="AW2">
        <v>0</v>
      </c>
      <c r="AX2">
        <v>0</v>
      </c>
      <c r="AY2">
        <v>0</v>
      </c>
    </row>
    <row r="3" spans="1:51" x14ac:dyDescent="0.3">
      <c r="A3" t="s">
        <v>58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c r="AS3">
        <v>0</v>
      </c>
      <c r="AT3">
        <v>0</v>
      </c>
      <c r="AU3">
        <v>0</v>
      </c>
      <c r="AV3">
        <v>0</v>
      </c>
      <c r="AW3">
        <v>0</v>
      </c>
      <c r="AX3">
        <v>0</v>
      </c>
      <c r="AY3">
        <v>0</v>
      </c>
    </row>
    <row r="4" spans="1:51" x14ac:dyDescent="0.3">
      <c r="A4" t="s">
        <v>59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c r="AQ4">
        <v>0</v>
      </c>
      <c r="AR4">
        <v>0</v>
      </c>
      <c r="AS4">
        <v>0</v>
      </c>
      <c r="AT4">
        <v>0</v>
      </c>
      <c r="AU4">
        <v>0</v>
      </c>
      <c r="AV4">
        <v>0</v>
      </c>
      <c r="AW4">
        <v>0</v>
      </c>
      <c r="AX4">
        <v>0</v>
      </c>
      <c r="AY4">
        <v>0</v>
      </c>
    </row>
    <row r="5" spans="1:51" x14ac:dyDescent="0.3">
      <c r="A5" t="s">
        <v>60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c r="AQ5">
        <v>0</v>
      </c>
      <c r="AR5">
        <v>0</v>
      </c>
      <c r="AS5">
        <v>0</v>
      </c>
      <c r="AT5">
        <v>0</v>
      </c>
      <c r="AU5">
        <v>0</v>
      </c>
      <c r="AV5">
        <v>0</v>
      </c>
      <c r="AW5">
        <v>0</v>
      </c>
      <c r="AX5">
        <v>0</v>
      </c>
      <c r="AY5">
        <v>0</v>
      </c>
    </row>
    <row r="6" spans="1:51" x14ac:dyDescent="0.3">
      <c r="A6" t="s">
        <v>61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c r="AQ6">
        <v>0</v>
      </c>
      <c r="AR6">
        <v>0</v>
      </c>
      <c r="AS6">
        <v>0</v>
      </c>
      <c r="AT6">
        <v>0</v>
      </c>
      <c r="AU6">
        <v>0</v>
      </c>
      <c r="AV6">
        <v>0</v>
      </c>
      <c r="AW6">
        <v>0</v>
      </c>
      <c r="AX6">
        <v>0</v>
      </c>
      <c r="AY6">
        <v>0</v>
      </c>
    </row>
    <row r="7" spans="1:51" x14ac:dyDescent="0.3">
      <c r="A7" t="s">
        <v>62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row>
    <row r="8" spans="1:51" x14ac:dyDescent="0.3">
      <c r="A8" t="s">
        <v>63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976DC-F6C0-456E-8DA9-4BF43DDF1E10}">
  <sheetPr>
    <tabColor rgb="FFFF0000"/>
  </sheetPr>
  <dimension ref="A1"/>
  <sheetViews>
    <sheetView workbookViewId="0">
      <selection activeCell="N30" sqref="N30"/>
    </sheetView>
  </sheetViews>
  <sheetFormatPr defaultColWidth="8.88671875" defaultRowHeight="14.4" x14ac:dyDescent="0.3"/>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978D3-75FC-40E7-B55E-E0DE8CD249DB}">
  <sheetPr>
    <tabColor theme="3"/>
  </sheetPr>
  <dimension ref="A1:AY8"/>
  <sheetViews>
    <sheetView workbookViewId="0">
      <selection activeCell="A2" sqref="A2"/>
    </sheetView>
  </sheetViews>
  <sheetFormatPr defaultColWidth="8.88671875" defaultRowHeight="14.4" x14ac:dyDescent="0.3"/>
  <cols>
    <col min="1" max="1" width="25.109375" customWidth="1"/>
  </cols>
  <sheetData>
    <row r="1" spans="1:51" x14ac:dyDescent="0.3">
      <c r="A1" s="2" t="s">
        <v>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57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c r="AQ2">
        <v>0</v>
      </c>
      <c r="AR2">
        <v>0</v>
      </c>
      <c r="AS2">
        <v>0</v>
      </c>
      <c r="AT2">
        <v>0</v>
      </c>
      <c r="AU2">
        <v>0</v>
      </c>
      <c r="AV2">
        <v>0</v>
      </c>
      <c r="AW2">
        <v>0</v>
      </c>
      <c r="AX2">
        <v>0</v>
      </c>
      <c r="AY2">
        <v>0</v>
      </c>
    </row>
    <row r="3" spans="1:51" x14ac:dyDescent="0.3">
      <c r="A3" t="s">
        <v>58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c r="AS3">
        <v>0</v>
      </c>
      <c r="AT3">
        <v>0</v>
      </c>
      <c r="AU3">
        <v>0</v>
      </c>
      <c r="AV3">
        <v>0</v>
      </c>
      <c r="AW3">
        <v>0</v>
      </c>
      <c r="AX3">
        <v>0</v>
      </c>
      <c r="AY3">
        <v>0</v>
      </c>
    </row>
    <row r="4" spans="1:51" x14ac:dyDescent="0.3">
      <c r="A4" t="s">
        <v>59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c r="AQ4">
        <v>0</v>
      </c>
      <c r="AR4">
        <v>0</v>
      </c>
      <c r="AS4">
        <v>0</v>
      </c>
      <c r="AT4">
        <v>0</v>
      </c>
      <c r="AU4">
        <v>0</v>
      </c>
      <c r="AV4">
        <v>0</v>
      </c>
      <c r="AW4">
        <v>0</v>
      </c>
      <c r="AX4">
        <v>0</v>
      </c>
      <c r="AY4">
        <v>0</v>
      </c>
    </row>
    <row r="5" spans="1:51" x14ac:dyDescent="0.3">
      <c r="A5" t="s">
        <v>60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c r="AQ5">
        <v>0</v>
      </c>
      <c r="AR5">
        <v>0</v>
      </c>
      <c r="AS5">
        <v>0</v>
      </c>
      <c r="AT5">
        <v>0</v>
      </c>
      <c r="AU5">
        <v>0</v>
      </c>
      <c r="AV5">
        <v>0</v>
      </c>
      <c r="AW5">
        <v>0</v>
      </c>
      <c r="AX5">
        <v>0</v>
      </c>
      <c r="AY5">
        <v>0</v>
      </c>
    </row>
    <row r="6" spans="1:51" x14ac:dyDescent="0.3">
      <c r="A6" t="s">
        <v>61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c r="AQ6">
        <v>0</v>
      </c>
      <c r="AR6">
        <v>0</v>
      </c>
      <c r="AS6">
        <v>0</v>
      </c>
      <c r="AT6">
        <v>0</v>
      </c>
      <c r="AU6">
        <v>0</v>
      </c>
      <c r="AV6">
        <v>0</v>
      </c>
      <c r="AW6">
        <v>0</v>
      </c>
      <c r="AX6">
        <v>0</v>
      </c>
      <c r="AY6">
        <v>0</v>
      </c>
    </row>
    <row r="7" spans="1:51" x14ac:dyDescent="0.3">
      <c r="A7" t="s">
        <v>62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row>
    <row r="8" spans="1:51" x14ac:dyDescent="0.3">
      <c r="A8" t="s">
        <v>63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139E4-90E8-4DFC-ABC4-1799BB0C313F}">
  <sheetPr>
    <tabColor theme="3"/>
  </sheetPr>
  <dimension ref="A1:AY8"/>
  <sheetViews>
    <sheetView workbookViewId="0">
      <selection activeCell="A2" sqref="A2"/>
    </sheetView>
  </sheetViews>
  <sheetFormatPr defaultColWidth="8.88671875" defaultRowHeight="14.4" x14ac:dyDescent="0.3"/>
  <cols>
    <col min="1" max="1" width="25.109375" customWidth="1"/>
  </cols>
  <sheetData>
    <row r="1" spans="1:51" x14ac:dyDescent="0.3">
      <c r="A1" s="2" t="s">
        <v>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57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c r="AQ2">
        <v>0</v>
      </c>
      <c r="AR2">
        <v>0</v>
      </c>
      <c r="AS2">
        <v>0</v>
      </c>
      <c r="AT2">
        <v>0</v>
      </c>
      <c r="AU2">
        <v>0</v>
      </c>
      <c r="AV2">
        <v>0</v>
      </c>
      <c r="AW2">
        <v>0</v>
      </c>
      <c r="AX2">
        <v>0</v>
      </c>
      <c r="AY2">
        <v>0</v>
      </c>
    </row>
    <row r="3" spans="1:51" x14ac:dyDescent="0.3">
      <c r="A3" t="s">
        <v>58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c r="AS3">
        <v>0</v>
      </c>
      <c r="AT3">
        <v>0</v>
      </c>
      <c r="AU3">
        <v>0</v>
      </c>
      <c r="AV3">
        <v>0</v>
      </c>
      <c r="AW3">
        <v>0</v>
      </c>
      <c r="AX3">
        <v>0</v>
      </c>
      <c r="AY3">
        <v>0</v>
      </c>
    </row>
    <row r="4" spans="1:51" x14ac:dyDescent="0.3">
      <c r="A4" t="s">
        <v>59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c r="AQ4">
        <v>0</v>
      </c>
      <c r="AR4">
        <v>0</v>
      </c>
      <c r="AS4">
        <v>0</v>
      </c>
      <c r="AT4">
        <v>0</v>
      </c>
      <c r="AU4">
        <v>0</v>
      </c>
      <c r="AV4">
        <v>0</v>
      </c>
      <c r="AW4">
        <v>0</v>
      </c>
      <c r="AX4">
        <v>0</v>
      </c>
      <c r="AY4">
        <v>0</v>
      </c>
    </row>
    <row r="5" spans="1:51" x14ac:dyDescent="0.3">
      <c r="A5" t="s">
        <v>60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c r="AQ5">
        <v>0</v>
      </c>
      <c r="AR5">
        <v>0</v>
      </c>
      <c r="AS5">
        <v>0</v>
      </c>
      <c r="AT5">
        <v>0</v>
      </c>
      <c r="AU5">
        <v>0</v>
      </c>
      <c r="AV5">
        <v>0</v>
      </c>
      <c r="AW5">
        <v>0</v>
      </c>
      <c r="AX5">
        <v>0</v>
      </c>
      <c r="AY5">
        <v>0</v>
      </c>
    </row>
    <row r="6" spans="1:51" x14ac:dyDescent="0.3">
      <c r="A6" t="s">
        <v>61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c r="AQ6">
        <v>0</v>
      </c>
      <c r="AR6">
        <v>0</v>
      </c>
      <c r="AS6">
        <v>0</v>
      </c>
      <c r="AT6">
        <v>0</v>
      </c>
      <c r="AU6">
        <v>0</v>
      </c>
      <c r="AV6">
        <v>0</v>
      </c>
      <c r="AW6">
        <v>0</v>
      </c>
      <c r="AX6">
        <v>0</v>
      </c>
      <c r="AY6">
        <v>0</v>
      </c>
    </row>
    <row r="7" spans="1:51" x14ac:dyDescent="0.3">
      <c r="A7" t="s">
        <v>62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row>
    <row r="8" spans="1:51" x14ac:dyDescent="0.3">
      <c r="A8" t="s">
        <v>63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4E315-3F6B-4E92-87B5-9C3C1B4F85DA}">
  <sheetPr>
    <tabColor theme="3"/>
  </sheetPr>
  <dimension ref="A1:AY8"/>
  <sheetViews>
    <sheetView workbookViewId="0">
      <selection activeCell="A2" sqref="A2"/>
    </sheetView>
  </sheetViews>
  <sheetFormatPr defaultColWidth="8.88671875" defaultRowHeight="14.4" x14ac:dyDescent="0.3"/>
  <cols>
    <col min="1" max="1" width="25.109375" customWidth="1"/>
  </cols>
  <sheetData>
    <row r="1" spans="1:51" x14ac:dyDescent="0.3">
      <c r="A1" s="2" t="s">
        <v>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57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c r="AQ2">
        <v>0</v>
      </c>
      <c r="AR2">
        <v>0</v>
      </c>
      <c r="AS2">
        <v>0</v>
      </c>
      <c r="AT2">
        <v>0</v>
      </c>
      <c r="AU2">
        <v>0</v>
      </c>
      <c r="AV2">
        <v>0</v>
      </c>
      <c r="AW2">
        <v>0</v>
      </c>
      <c r="AX2">
        <v>0</v>
      </c>
      <c r="AY2">
        <v>0</v>
      </c>
    </row>
    <row r="3" spans="1:51" x14ac:dyDescent="0.3">
      <c r="A3" t="s">
        <v>58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c r="AS3">
        <v>0</v>
      </c>
      <c r="AT3">
        <v>0</v>
      </c>
      <c r="AU3">
        <v>0</v>
      </c>
      <c r="AV3">
        <v>0</v>
      </c>
      <c r="AW3">
        <v>0</v>
      </c>
      <c r="AX3">
        <v>0</v>
      </c>
      <c r="AY3">
        <v>0</v>
      </c>
    </row>
    <row r="4" spans="1:51" x14ac:dyDescent="0.3">
      <c r="A4" t="s">
        <v>59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c r="AQ4">
        <v>0</v>
      </c>
      <c r="AR4">
        <v>0</v>
      </c>
      <c r="AS4">
        <v>0</v>
      </c>
      <c r="AT4">
        <v>0</v>
      </c>
      <c r="AU4">
        <v>0</v>
      </c>
      <c r="AV4">
        <v>0</v>
      </c>
      <c r="AW4">
        <v>0</v>
      </c>
      <c r="AX4">
        <v>0</v>
      </c>
      <c r="AY4">
        <v>0</v>
      </c>
    </row>
    <row r="5" spans="1:51" x14ac:dyDescent="0.3">
      <c r="A5" t="s">
        <v>60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c r="AQ5">
        <v>0</v>
      </c>
      <c r="AR5">
        <v>0</v>
      </c>
      <c r="AS5">
        <v>0</v>
      </c>
      <c r="AT5">
        <v>0</v>
      </c>
      <c r="AU5">
        <v>0</v>
      </c>
      <c r="AV5">
        <v>0</v>
      </c>
      <c r="AW5">
        <v>0</v>
      </c>
      <c r="AX5">
        <v>0</v>
      </c>
      <c r="AY5">
        <v>0</v>
      </c>
    </row>
    <row r="6" spans="1:51" x14ac:dyDescent="0.3">
      <c r="A6" t="s">
        <v>61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c r="AQ6">
        <v>0</v>
      </c>
      <c r="AR6">
        <v>0</v>
      </c>
      <c r="AS6">
        <v>0</v>
      </c>
      <c r="AT6">
        <v>0</v>
      </c>
      <c r="AU6">
        <v>0</v>
      </c>
      <c r="AV6">
        <v>0</v>
      </c>
      <c r="AW6">
        <v>0</v>
      </c>
      <c r="AX6">
        <v>0</v>
      </c>
      <c r="AY6">
        <v>0</v>
      </c>
    </row>
    <row r="7" spans="1:51" x14ac:dyDescent="0.3">
      <c r="A7" t="s">
        <v>62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row>
    <row r="8" spans="1:51" x14ac:dyDescent="0.3">
      <c r="A8" t="s">
        <v>63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E62EB-7B15-406D-A4C2-A4FF0C772B4A}">
  <sheetPr>
    <tabColor theme="3"/>
  </sheetPr>
  <dimension ref="A1:AY8"/>
  <sheetViews>
    <sheetView workbookViewId="0">
      <selection activeCell="A2" sqref="A2"/>
    </sheetView>
  </sheetViews>
  <sheetFormatPr defaultColWidth="8.88671875" defaultRowHeight="14.4" x14ac:dyDescent="0.3"/>
  <cols>
    <col min="1" max="1" width="25.109375" customWidth="1"/>
  </cols>
  <sheetData>
    <row r="1" spans="1:51" x14ac:dyDescent="0.3">
      <c r="A1" s="2" t="s">
        <v>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57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c r="AQ2">
        <v>0</v>
      </c>
      <c r="AR2">
        <v>0</v>
      </c>
      <c r="AS2">
        <v>0</v>
      </c>
      <c r="AT2">
        <v>0</v>
      </c>
      <c r="AU2">
        <v>0</v>
      </c>
      <c r="AV2">
        <v>0</v>
      </c>
      <c r="AW2">
        <v>0</v>
      </c>
      <c r="AX2">
        <v>0</v>
      </c>
      <c r="AY2">
        <v>0</v>
      </c>
    </row>
    <row r="3" spans="1:51" x14ac:dyDescent="0.3">
      <c r="A3" t="s">
        <v>58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c r="AS3">
        <v>0</v>
      </c>
      <c r="AT3">
        <v>0</v>
      </c>
      <c r="AU3">
        <v>0</v>
      </c>
      <c r="AV3">
        <v>0</v>
      </c>
      <c r="AW3">
        <v>0</v>
      </c>
      <c r="AX3">
        <v>0</v>
      </c>
      <c r="AY3">
        <v>0</v>
      </c>
    </row>
    <row r="4" spans="1:51" x14ac:dyDescent="0.3">
      <c r="A4" t="s">
        <v>59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c r="AQ4">
        <v>0</v>
      </c>
      <c r="AR4">
        <v>0</v>
      </c>
      <c r="AS4">
        <v>0</v>
      </c>
      <c r="AT4">
        <v>0</v>
      </c>
      <c r="AU4">
        <v>0</v>
      </c>
      <c r="AV4">
        <v>0</v>
      </c>
      <c r="AW4">
        <v>0</v>
      </c>
      <c r="AX4">
        <v>0</v>
      </c>
      <c r="AY4">
        <v>0</v>
      </c>
    </row>
    <row r="5" spans="1:51" x14ac:dyDescent="0.3">
      <c r="A5" t="s">
        <v>60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c r="AQ5">
        <v>0</v>
      </c>
      <c r="AR5">
        <v>0</v>
      </c>
      <c r="AS5">
        <v>0</v>
      </c>
      <c r="AT5">
        <v>0</v>
      </c>
      <c r="AU5">
        <v>0</v>
      </c>
      <c r="AV5">
        <v>0</v>
      </c>
      <c r="AW5">
        <v>0</v>
      </c>
      <c r="AX5">
        <v>0</v>
      </c>
      <c r="AY5">
        <v>0</v>
      </c>
    </row>
    <row r="6" spans="1:51" x14ac:dyDescent="0.3">
      <c r="A6" t="s">
        <v>61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c r="AQ6">
        <v>0</v>
      </c>
      <c r="AR6">
        <v>0</v>
      </c>
      <c r="AS6">
        <v>0</v>
      </c>
      <c r="AT6">
        <v>0</v>
      </c>
      <c r="AU6">
        <v>0</v>
      </c>
      <c r="AV6">
        <v>0</v>
      </c>
      <c r="AW6">
        <v>0</v>
      </c>
      <c r="AX6">
        <v>0</v>
      </c>
      <c r="AY6">
        <v>0</v>
      </c>
    </row>
    <row r="7" spans="1:51" x14ac:dyDescent="0.3">
      <c r="A7" t="s">
        <v>62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row>
    <row r="8" spans="1:51" x14ac:dyDescent="0.3">
      <c r="A8" t="s">
        <v>63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835A4-EB4E-4E1F-85F1-DB244E55CC6B}">
  <sheetPr>
    <tabColor theme="3"/>
  </sheetPr>
  <dimension ref="A1:AY8"/>
  <sheetViews>
    <sheetView workbookViewId="0">
      <selection activeCell="A2" sqref="A2"/>
    </sheetView>
  </sheetViews>
  <sheetFormatPr defaultColWidth="8.88671875" defaultRowHeight="14.4" x14ac:dyDescent="0.3"/>
  <cols>
    <col min="1" max="1" width="25.109375" customWidth="1"/>
  </cols>
  <sheetData>
    <row r="1" spans="1:51" x14ac:dyDescent="0.3">
      <c r="A1" s="2" t="s">
        <v>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57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c r="AQ2">
        <v>0</v>
      </c>
      <c r="AR2">
        <v>0</v>
      </c>
      <c r="AS2">
        <v>0</v>
      </c>
      <c r="AT2">
        <v>0</v>
      </c>
      <c r="AU2">
        <v>0</v>
      </c>
      <c r="AV2">
        <v>0</v>
      </c>
      <c r="AW2">
        <v>0</v>
      </c>
      <c r="AX2">
        <v>0</v>
      </c>
      <c r="AY2">
        <v>0</v>
      </c>
    </row>
    <row r="3" spans="1:51" x14ac:dyDescent="0.3">
      <c r="A3" t="s">
        <v>58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c r="AS3">
        <v>0</v>
      </c>
      <c r="AT3">
        <v>0</v>
      </c>
      <c r="AU3">
        <v>0</v>
      </c>
      <c r="AV3">
        <v>0</v>
      </c>
      <c r="AW3">
        <v>0</v>
      </c>
      <c r="AX3">
        <v>0</v>
      </c>
      <c r="AY3">
        <v>0</v>
      </c>
    </row>
    <row r="4" spans="1:51" x14ac:dyDescent="0.3">
      <c r="A4" t="s">
        <v>59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c r="AQ4">
        <v>0</v>
      </c>
      <c r="AR4">
        <v>0</v>
      </c>
      <c r="AS4">
        <v>0</v>
      </c>
      <c r="AT4">
        <v>0</v>
      </c>
      <c r="AU4">
        <v>0</v>
      </c>
      <c r="AV4">
        <v>0</v>
      </c>
      <c r="AW4">
        <v>0</v>
      </c>
      <c r="AX4">
        <v>0</v>
      </c>
      <c r="AY4">
        <v>0</v>
      </c>
    </row>
    <row r="5" spans="1:51" x14ac:dyDescent="0.3">
      <c r="A5" t="s">
        <v>60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c r="AQ5">
        <v>0</v>
      </c>
      <c r="AR5">
        <v>0</v>
      </c>
      <c r="AS5">
        <v>0</v>
      </c>
      <c r="AT5">
        <v>0</v>
      </c>
      <c r="AU5">
        <v>0</v>
      </c>
      <c r="AV5">
        <v>0</v>
      </c>
      <c r="AW5">
        <v>0</v>
      </c>
      <c r="AX5">
        <v>0</v>
      </c>
      <c r="AY5">
        <v>0</v>
      </c>
    </row>
    <row r="6" spans="1:51" x14ac:dyDescent="0.3">
      <c r="A6" t="s">
        <v>61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c r="AQ6">
        <v>0</v>
      </c>
      <c r="AR6">
        <v>0</v>
      </c>
      <c r="AS6">
        <v>0</v>
      </c>
      <c r="AT6">
        <v>0</v>
      </c>
      <c r="AU6">
        <v>0</v>
      </c>
      <c r="AV6">
        <v>0</v>
      </c>
      <c r="AW6">
        <v>0</v>
      </c>
      <c r="AX6">
        <v>0</v>
      </c>
      <c r="AY6">
        <v>0</v>
      </c>
    </row>
    <row r="7" spans="1:51" x14ac:dyDescent="0.3">
      <c r="A7" t="s">
        <v>62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row>
    <row r="8" spans="1:51" x14ac:dyDescent="0.3">
      <c r="A8" t="s">
        <v>63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2F53C0-8CAC-4671-B512-864662BE4DD4}">
  <sheetPr>
    <tabColor theme="3"/>
  </sheetPr>
  <dimension ref="A1:AY8"/>
  <sheetViews>
    <sheetView workbookViewId="0">
      <selection activeCell="A2" sqref="A2"/>
    </sheetView>
  </sheetViews>
  <sheetFormatPr defaultColWidth="8.88671875" defaultRowHeight="14.4" x14ac:dyDescent="0.3"/>
  <cols>
    <col min="1" max="1" width="25.109375" customWidth="1"/>
  </cols>
  <sheetData>
    <row r="1" spans="1:51" x14ac:dyDescent="0.3">
      <c r="A1" s="2" t="s">
        <v>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57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c r="AQ2">
        <v>0</v>
      </c>
      <c r="AR2">
        <v>0</v>
      </c>
      <c r="AS2">
        <v>0</v>
      </c>
      <c r="AT2">
        <v>0</v>
      </c>
      <c r="AU2">
        <v>0</v>
      </c>
      <c r="AV2">
        <v>0</v>
      </c>
      <c r="AW2">
        <v>0</v>
      </c>
      <c r="AX2">
        <v>0</v>
      </c>
      <c r="AY2">
        <v>0</v>
      </c>
    </row>
    <row r="3" spans="1:51" x14ac:dyDescent="0.3">
      <c r="A3" t="s">
        <v>58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c r="AS3">
        <v>0</v>
      </c>
      <c r="AT3">
        <v>0</v>
      </c>
      <c r="AU3">
        <v>0</v>
      </c>
      <c r="AV3">
        <v>0</v>
      </c>
      <c r="AW3">
        <v>0</v>
      </c>
      <c r="AX3">
        <v>0</v>
      </c>
      <c r="AY3">
        <v>0</v>
      </c>
    </row>
    <row r="4" spans="1:51" x14ac:dyDescent="0.3">
      <c r="A4" t="s">
        <v>59</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c r="AQ4">
        <v>0</v>
      </c>
      <c r="AR4">
        <v>0</v>
      </c>
      <c r="AS4">
        <v>0</v>
      </c>
      <c r="AT4">
        <v>0</v>
      </c>
      <c r="AU4">
        <v>0</v>
      </c>
      <c r="AV4">
        <v>0</v>
      </c>
      <c r="AW4">
        <v>0</v>
      </c>
      <c r="AX4">
        <v>0</v>
      </c>
      <c r="AY4">
        <v>0</v>
      </c>
    </row>
    <row r="5" spans="1:51" x14ac:dyDescent="0.3">
      <c r="A5" t="s">
        <v>60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c r="AQ5">
        <v>0</v>
      </c>
      <c r="AR5">
        <v>0</v>
      </c>
      <c r="AS5">
        <v>0</v>
      </c>
      <c r="AT5">
        <v>0</v>
      </c>
      <c r="AU5">
        <v>0</v>
      </c>
      <c r="AV5">
        <v>0</v>
      </c>
      <c r="AW5">
        <v>0</v>
      </c>
      <c r="AX5">
        <v>0</v>
      </c>
      <c r="AY5">
        <v>0</v>
      </c>
    </row>
    <row r="6" spans="1:51" x14ac:dyDescent="0.3">
      <c r="A6" t="s">
        <v>61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c r="AQ6">
        <v>0</v>
      </c>
      <c r="AR6">
        <v>0</v>
      </c>
      <c r="AS6">
        <v>0</v>
      </c>
      <c r="AT6">
        <v>0</v>
      </c>
      <c r="AU6">
        <v>0</v>
      </c>
      <c r="AV6">
        <v>0</v>
      </c>
      <c r="AW6">
        <v>0</v>
      </c>
      <c r="AX6">
        <v>0</v>
      </c>
      <c r="AY6">
        <v>0</v>
      </c>
    </row>
    <row r="7" spans="1:51" x14ac:dyDescent="0.3">
      <c r="A7" t="s">
        <v>62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row>
    <row r="8" spans="1:51" x14ac:dyDescent="0.3">
      <c r="A8" t="s">
        <v>63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A9DAB439B36DB4795F39C4E722C7BC4" ma:contentTypeVersion="4" ma:contentTypeDescription="Create a new document." ma:contentTypeScope="" ma:versionID="44674c89fa9bc5e97a878a6680c46188">
  <xsd:schema xmlns:xsd="http://www.w3.org/2001/XMLSchema" xmlns:xs="http://www.w3.org/2001/XMLSchema" xmlns:p="http://schemas.microsoft.com/office/2006/metadata/properties" xmlns:ns2="79748b23-d81a-423e-9112-21109dc864e6" targetNamespace="http://schemas.microsoft.com/office/2006/metadata/properties" ma:root="true" ma:fieldsID="447839a363ea5a12024b5bf1ab53ed90" ns2:_="">
    <xsd:import namespace="79748b23-d81a-423e-9112-21109dc864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748b23-d81a-423e-9112-21109dc864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3F18FE0-B2EF-49A1-850E-5EB591ACC98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9748b23-d81a-423e-9112-21109dc864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804E63A-64CC-4BC7-855C-920638B46FF8}">
  <ds:schemaRefs>
    <ds:schemaRef ds:uri="http://schemas.microsoft.com/sharepoint/v3/contenttype/forms"/>
  </ds:schemaRefs>
</ds:datastoreItem>
</file>

<file path=customXml/itemProps3.xml><?xml version="1.0" encoding="utf-8"?>
<ds:datastoreItem xmlns:ds="http://schemas.openxmlformats.org/officeDocument/2006/customXml" ds:itemID="{7EE12702-2F00-4C34-B62E-BB558095A878}">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Calc</vt:lpstr>
      <vt:lpstr>psgr</vt:lpstr>
      <vt:lpstr>BVS-psgr-LDVs</vt:lpstr>
      <vt:lpstr>BVS-psgr-HDVs</vt:lpstr>
      <vt:lpstr>BVS-psgr-aircraft</vt:lpstr>
      <vt:lpstr>BVS-psgr-rail</vt:lpstr>
      <vt:lpstr>BVS-psgr-ships</vt:lpstr>
      <vt:lpstr>BVS-psgr-motorbikes</vt:lpstr>
      <vt:lpstr>frgt</vt:lpstr>
      <vt:lpstr>BVS-frgt-LDVs</vt:lpstr>
      <vt:lpstr>BVS-frgt-HDVs</vt:lpstr>
      <vt:lpstr>BVS-frgt-aircraft</vt:lpstr>
      <vt:lpstr>BVS-frgt-rail</vt:lpstr>
      <vt:lpstr>BVS-frgt-ships</vt:lpstr>
      <vt:lpstr>BVS-frgt-motorbikes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2017-06-23T20:50:52Z</dcterms:created>
  <dcterms:modified xsi:type="dcterms:W3CDTF">2025-05-14T14:24:56Z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0x0101009A9DAB439B36DB4795F39C4E722C7BC4</vt:lpwstr>
  </property>
</Properties>
</file>