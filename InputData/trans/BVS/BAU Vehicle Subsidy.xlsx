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defaultThemeVersion="124226"/>
  <mc:AlternateContent xmlns:mc="http://schemas.openxmlformats.org/markup-compatibility/2006">
    <mc:Choice Requires="x15">
      <x15ac:absPath xmlns:x15ac="http://schemas.microsoft.com/office/spreadsheetml/2010/11/ac" url="/Users/skorpius/My Drive/2024/FO local_EPS ICM/Diario/20250317_Trans2/BVS/"/>
    </mc:Choice>
  </mc:AlternateContent>
  <xr:revisionPtr revIDLastSave="149" documentId="13_ncr:1_{CA2D9201-8E71-0842-AA9C-A4DF09A0B696}" xr6:coauthVersionLast="47" xr6:coauthVersionMax="47" xr10:uidLastSave="{8F5DF023-4F49-40CB-A578-39AAD5FB9994}"/>
  <bookViews>
    <workbookView xWindow="0" yWindow="500" windowWidth="27760" windowHeight="18760" firstSheet="3" xr2:uid="{00000000-000D-0000-FFFF-FFFF00000000}"/>
  </bookViews>
  <sheets>
    <sheet name="About" sheetId="1" r:id="rId1"/>
    <sheet name="Calc" sheetId="113" r:id="rId2"/>
    <sheet name="psgr" sheetId="17" r:id="rId3"/>
    <sheet name="BVS-psgr-LDVs" sheetId="2" r:id="rId4"/>
    <sheet name="BVS-psgr-HDVs" sheetId="101" r:id="rId5"/>
    <sheet name="BVS-psgr-aircraft" sheetId="105" r:id="rId6"/>
    <sheet name="BVP-psgr-rail" sheetId="104" r:id="rId7"/>
    <sheet name="BVS-psgr-ships" sheetId="103" r:id="rId8"/>
    <sheet name="BVS-psgr-motorbikes" sheetId="102" r:id="rId9"/>
    <sheet name="frgt" sheetId="106" r:id="rId10"/>
    <sheet name="BVS-frgt-LDVs" sheetId="107" r:id="rId11"/>
    <sheet name="BVS-frgt-HDVs" sheetId="108" r:id="rId12"/>
    <sheet name="BVS-frgt-aircraft" sheetId="109" r:id="rId13"/>
    <sheet name="BVS-frgt-rail" sheetId="110" r:id="rId14"/>
    <sheet name="BVS-frgt-ships" sheetId="111" r:id="rId15"/>
    <sheet name="BVS-frgt-motorbikes" sheetId="112"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6" i="113" l="1"/>
  <c r="O46" i="113"/>
  <c r="P46" i="113"/>
  <c r="Q46" i="113"/>
  <c r="R46" i="113"/>
  <c r="S46" i="113"/>
  <c r="T46" i="113"/>
  <c r="U46" i="113"/>
  <c r="V46" i="113"/>
  <c r="W46" i="113"/>
  <c r="X46" i="113"/>
  <c r="Y46" i="113"/>
  <c r="Z46" i="113"/>
  <c r="M46" i="113"/>
  <c r="N44" i="113"/>
  <c r="O44" i="113"/>
  <c r="P44" i="113"/>
  <c r="Q44" i="113"/>
  <c r="R44" i="113"/>
  <c r="S44" i="113"/>
  <c r="T44" i="113"/>
  <c r="U44" i="113"/>
  <c r="V44" i="113"/>
  <c r="W44" i="113"/>
  <c r="X44" i="113"/>
  <c r="Y44" i="113"/>
  <c r="Z44" i="113"/>
  <c r="M44" i="113"/>
  <c r="O10" i="113"/>
  <c r="O12" i="113" s="1"/>
  <c r="M12" i="113" s="1"/>
  <c r="M10" i="113" s="1"/>
  <c r="M9" i="113" s="1"/>
  <c r="C2" i="2" s="1"/>
  <c r="D2" i="2" l="1"/>
  <c r="E2" i="2"/>
  <c r="F2" i="2"/>
  <c r="G2" i="2"/>
  <c r="H2" i="2"/>
  <c r="I2" i="2"/>
  <c r="J2" i="2"/>
  <c r="K2" i="2"/>
  <c r="L2" i="2"/>
  <c r="M2" i="2"/>
  <c r="N2" i="2"/>
  <c r="O2" i="2"/>
  <c r="P2" i="2"/>
  <c r="Q2" i="2" s="1"/>
  <c r="T2" i="2" l="1" a="1"/>
  <c r="T2" i="2" s="1"/>
  <c r="S2" i="2" a="1"/>
  <c r="S2" i="2" s="1"/>
  <c r="R2" i="2" a="1"/>
  <c r="R2" i="2" s="1"/>
  <c r="B2" i="2" a="1"/>
  <c r="B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<sst xmlns="http://schemas.openxmlformats.org/spreadsheetml/2006/main" count="155" uniqueCount="64">
  <si>
    <t>BVS BAU Vehicle Subsidy</t>
  </si>
  <si>
    <t>Sources:</t>
  </si>
  <si>
    <t>ISAN, Mexico New Vehicle tax rate calculation</t>
  </si>
  <si>
    <t>https://multastransito-cdmx.com/que-es-el-isan-y-como-se-calcula/</t>
  </si>
  <si>
    <t>ISAN Published</t>
  </si>
  <si>
    <t>https://www.diputados.gob.mx/LeyesBiblio/pdf/LFISAN.pdf</t>
  </si>
  <si>
    <t>https://mexico-now.com/mexico-needs-incentives-for-electric-vehicles-experts/</t>
  </si>
  <si>
    <t>https://mobilityportal.eu/end-tax-benefits-electric-vehicles-mexico/</t>
  </si>
  <si>
    <t>Previous benefits included no new vehicle tax, reduced highway fares, dedicated power meters to avoid high electric consumption rate.</t>
  </si>
  <si>
    <t>https://cms.law/en/int/expert-guides/cms-expert-guide-to-electric-vehicles/mexico</t>
  </si>
  <si>
    <t>EVs are excempt from ISAN, a tax on new vehicles that varies by vehicle cost.</t>
  </si>
  <si>
    <t>We used EPS consistent values for vehicle cost, currently using same as US values (we have no data detail to remove battery cost from retail prices).</t>
  </si>
  <si>
    <t>*EV Vehicle cost from ICCT values in NBPoNVP, these are weighted by vehicle type shares which could be adjusted for Mexico. If so, this variable should be reviewed.</t>
  </si>
  <si>
    <t>ISAN Subsidy assumed to stay until 2040 when all sales should be ZEV.</t>
  </si>
  <si>
    <t>Currency Conversion</t>
  </si>
  <si>
    <t>MXN/USD 2022</t>
  </si>
  <si>
    <t>2022 to 2012 USD</t>
  </si>
  <si>
    <t>ISAN</t>
  </si>
  <si>
    <t>Al ser el ISAN un impuesto anual, se debe hacer mediante declaración en los 3 meses posteriores al cierre del ejercicio fiscal, con excepción como ya citamos en los casos de importaciones, en donde los pagos se hacen en la aduana junto con el Impuesto General de Importación.</t>
  </si>
  <si>
    <t>En la siguiente tabla, te indicaremos cómo calcular el el ISAN 2022:</t>
  </si>
  <si>
    <t>Limite inferior</t>
  </si>
  <si>
    <t>Limite superior</t>
  </si>
  <si>
    <t>Cuota Fija</t>
  </si>
  <si>
    <t>Tasa sobre el excedente del limite inferior</t>
  </si>
  <si>
    <t>2022, USD</t>
  </si>
  <si>
    <t>BEV</t>
  </si>
  <si>
    <t>Non battery portion of EV price (ICCT, 2022)</t>
  </si>
  <si>
    <t>ISAN, USD 2012</t>
  </si>
  <si>
    <t>Battery pack cost (ICCT, 2022)</t>
  </si>
  <si>
    <t>ISAN, USD 2022</t>
  </si>
  <si>
    <t xml:space="preserve">Total </t>
  </si>
  <si>
    <t>MXN 2022</t>
  </si>
  <si>
    <t>En adelante</t>
  </si>
  <si>
    <t>Price</t>
  </si>
  <si>
    <t>En el caso de que el precio del vehículo sea superior a 864,750.45 pesos, entonces se reducirá del monto del impuesto, según el resultado obtenido al aplicar el 7%, sobre la diferencia entre el precio de la unidad y esos 864,750.45 pesos.</t>
  </si>
  <si>
    <t>Para realizar el cálculo del ISAN apropiadamente, se deberán seguir los siguientes pasos:</t>
  </si>
  <si>
    <t>Al valor del automóvil, se le resta el límite inferior de la tabla.</t>
  </si>
  <si>
    <t>Al resultado, se le aplica la tasa determinada.</t>
  </si>
  <si>
    <t>Después, se debe sumar la cuota fija al valor obtenido en el punto anterior.</t>
  </si>
  <si>
    <t>Luego, al importe calculado, se le debe aplicar el descuento según el rango de precios indicado en la ley para obtener el ISAN a pagar.</t>
  </si>
  <si>
    <t>Quién debe pagar el impuesto del ISAN</t>
  </si>
  <si>
    <t>Todas las personas físicas o jurídicas que hagan la enajenación de vehículos nuevos en territorio mexicano, estarán obligados a pagar el ISAN a través de un Formato por duplicado otorgado por el SAT.</t>
  </si>
  <si>
    <t xml:space="preserve">En ese caso, se incluye la enajenación a los consumidores por fabricantes, ensambladores, distribuidores y comerciantes. </t>
  </si>
  <si>
    <t>Además, también se incluyen a aquellos que importen vehículos de carácter definitivo a México automóviles, y que sean distintas al ensamblador, fabricante, distribuidor o comerciante.</t>
  </si>
  <si>
    <t>Quien no paga el impuesto del ISAN</t>
  </si>
  <si>
    <t>Por otra parte, la ley del Impuesto sobre Automóviles Nuevos, indica algunas excepciones en relación al pago del ISAN.</t>
  </si>
  <si>
    <t>Por lo tanto, no se pagará el impuesto del ISAN en estos casos:</t>
  </si>
  <si>
    <t>Exportación de vehículos de carácter definitivo (términos de la legislación aduanera).</t>
  </si>
  <si>
    <t>Cuando el importe sea menor a 263,690.54 pesos.</t>
  </si>
  <si>
    <t>En la importación de automóviles en franquicia o con acuerdos internacionales suscritos por la república mexicana</t>
  </si>
  <si>
    <t>Importación o enajenación de vehículos de carácter definitiva, en donde el funcionamiento se realice mediante baterías eléctricas recargables, o aquellos autos eléctricos que posean un motor de combustión interna o uno impulsado por hidrógeno.</t>
  </si>
  <si>
    <t>Projection</t>
  </si>
  <si>
    <t>Weighted Average Annual Non-Battery Manufacturing Costs (2020 USD)</t>
  </si>
  <si>
    <t>Battery Pack cost</t>
  </si>
  <si>
    <t>Total cost</t>
  </si>
  <si>
    <t>Index</t>
  </si>
  <si>
    <t>Subsidy (2012 USD)</t>
  </si>
  <si>
    <t>battery electric vehicle</t>
  </si>
  <si>
    <t>natural gas vehicle</t>
  </si>
  <si>
    <t>gasoline vehicle</t>
  </si>
  <si>
    <t>diesel vehicle</t>
  </si>
  <si>
    <t>plugin hybrid vehicle</t>
  </si>
  <si>
    <t>LPG vehicle</t>
  </si>
  <si>
    <t>hydrogen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</si>
</sst>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_(* #,##0_);_(* \(#,##0\);_(* &quot;-&quot;??_);_(@_)"/>
  </numFmts>
  <fonts count="8">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u/>
      <sz val="11"/>
      <color theme="10"/>
      <name val="Calibri"/>
      <family val="2"/>
      <scheme val="minor"/>
    </font>
    <font>
      <sz val="11"/>
      <color theme="1"/>
      <name val="Calibri"/>
      <family val="2"/>
      <scheme val="minor"/>
    </font>
    <font>
      <sz val="10"/>
      <color rgb="FF00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s>
  <borders count="5">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s>
  <cellStyleXfs count="33">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5" fillId="0" borderId="0" applyNumberForma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6"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6"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44" fontId="7" fillId="0" borderId="0" applyFont="0" applyFill="0" applyBorder="0" applyAlignment="0" applyProtection="0"/>
    <xf numFmtId="9" fontId="6" fillId="0" borderId="0" applyFont="0" applyFill="0" applyBorder="0" applyAlignment="0" applyProtection="0"/>
  </cellStyleXfs>
  <cellXfs count="19">
    <xf numFmtId="0" fontId="0" fillId="0" borderId="0" xfId="0"/>
    <xf numFmtId="0" fontId="1" fillId="0" borderId="0" xfId="0" applyFont="1"/>
    <xf numFmtId="0" fontId="1" fillId="0" borderId="0" xfId="0" applyFont="1" applyAlignment="1">
      <alignment wrapText="1"/>
    </xf>
    <xf numFmtId="0" fontId="0" fillId="0" borderId="0" xfId="0" applyAlignment="1">
      <alignment horizontal="left"/>
    </xf>
    <xf numFmtId="0" fontId="5" fillId="0" borderId="0" xfId="8" applyFill="1"/>
    <xf numFmtId="1" fontId="0" fillId="0" borderId="0" xfId="0" applyNumberFormat="1"/>
    <xf numFmtId="0" fontId="1" fillId="2" borderId="0" xfId="0" applyFont="1" applyFill="1"/>
    <xf numFmtId="0" fontId="5" fillId="0" borderId="0" xfId="8"/>
    <xf numFmtId="0" fontId="5" fillId="0" borderId="0" xfId="8" applyAlignment="1">
      <alignment horizontal="left"/>
    </xf>
    <xf numFmtId="4" fontId="0" fillId="0" borderId="0" xfId="0" applyNumberFormat="1"/>
    <xf numFmtId="10" fontId="0" fillId="0" borderId="0" xfId="0" applyNumberFormat="1"/>
    <xf numFmtId="9" fontId="0" fillId="0" borderId="0" xfId="0" applyNumberFormat="1"/>
    <xf numFmtId="1" fontId="0" fillId="0" borderId="0" xfId="32" applyNumberFormat="1" applyFont="1"/>
    <xf numFmtId="164" fontId="1" fillId="0" borderId="0" xfId="0" applyNumberFormat="1" applyFont="1"/>
    <xf numFmtId="165" fontId="0" fillId="0" borderId="0" xfId="0" applyNumberFormat="1"/>
    <xf numFmtId="165" fontId="1" fillId="0" borderId="0" xfId="0" applyNumberFormat="1" applyFont="1"/>
    <xf numFmtId="0" fontId="0" fillId="0" borderId="0" xfId="0" applyAlignment="1">
      <alignment horizontal="right"/>
    </xf>
    <xf numFmtId="0" fontId="1" fillId="3" borderId="0" xfId="0" applyFont="1" applyFill="1"/>
    <xf numFmtId="0" fontId="0" fillId="3" borderId="0" xfId="0" applyFill="1"/>
  </cellXfs>
  <cellStyles count="33">
    <cellStyle name="Body: normal cell" xfId="4" xr:uid="{00000000-0005-0000-0000-000000000000}"/>
    <cellStyle name="Body: normal cell 2" xfId="24" xr:uid="{18BAE46B-2E2B-4189-9E60-EEC8494BA028}"/>
    <cellStyle name="Body: normal cell 3" xfId="17" xr:uid="{46606A30-9DB6-4D96-9D39-18DB8C25C045}"/>
    <cellStyle name="Body: normal cell 4" xfId="9" xr:uid="{23D7D41B-0FA5-4B15-8ACE-D94C027772C4}"/>
    <cellStyle name="Currency 2" xfId="31" xr:uid="{C53AF8AC-2A66-4CBB-880E-1554F67B4888}"/>
    <cellStyle name="Font: Calibri, 9pt regular" xfId="6" xr:uid="{00000000-0005-0000-0000-000001000000}"/>
    <cellStyle name="Font: Calibri, 9pt regular 2" xfId="25" xr:uid="{97A6AFB7-D07D-4277-A8A5-6AA031407B07}"/>
    <cellStyle name="Font: Calibri, 9pt regular 3" xfId="18" xr:uid="{0009694E-C95B-4F43-83D7-2529DBC1B2D2}"/>
    <cellStyle name="Font: Calibri, 9pt regular 4" xfId="10" xr:uid="{4997676D-DE0F-4BF4-98C6-34E7B74441C2}"/>
    <cellStyle name="Footnotes: top row" xfId="2" xr:uid="{00000000-0005-0000-0000-000002000000}"/>
    <cellStyle name="Footnotes: top row 2" xfId="26" xr:uid="{97AB559D-7086-41BA-8641-AC105062AF6A}"/>
    <cellStyle name="Footnotes: top row 3" xfId="19" xr:uid="{D97984EB-4776-4DB2-9C83-81983F1B6E98}"/>
    <cellStyle name="Footnotes: top row 4" xfId="11" xr:uid="{F3BA1A2C-AD77-4812-ACFA-6C7A7B962945}"/>
    <cellStyle name="Header: bottom row" xfId="5" xr:uid="{00000000-0005-0000-0000-000003000000}"/>
    <cellStyle name="Header: bottom row 2" xfId="27" xr:uid="{1D7C7530-C012-4975-BABC-640C7522786E}"/>
    <cellStyle name="Header: bottom row 3" xfId="20" xr:uid="{D4A074B3-C733-4663-AFD1-0229ED226851}"/>
    <cellStyle name="Header: bottom row 4" xfId="12" xr:uid="{040BC27B-CB03-4FDE-8B80-4B13E048F2D8}"/>
    <cellStyle name="Hyperlink" xfId="8" builtinId="8"/>
    <cellStyle name="Normal" xfId="0" builtinId="0"/>
    <cellStyle name="Normal 2" xfId="1" xr:uid="{00000000-0005-0000-0000-000006000000}"/>
    <cellStyle name="Normal 3" xfId="23" xr:uid="{F75C00A9-4AB0-4B9A-85F1-1BA242EDAF83}"/>
    <cellStyle name="Normal 4" xfId="16" xr:uid="{D654EA3C-A2C4-4D73-9768-00B5086DE48E}"/>
    <cellStyle name="Normal 5" xfId="15" xr:uid="{0C79D543-A7BB-495E-ADE9-28C4F0835F44}"/>
    <cellStyle name="Normal 6" xfId="30" xr:uid="{0E9D232A-CBEC-4F0A-BBF4-253233F3584B}"/>
    <cellStyle name="Parent row" xfId="3" xr:uid="{00000000-0005-0000-0000-000007000000}"/>
    <cellStyle name="Parent row 2" xfId="28" xr:uid="{1C336998-EB49-46ED-B880-BDD7385C1A9F}"/>
    <cellStyle name="Parent row 3" xfId="21" xr:uid="{E39AA093-46A1-425E-9FAB-5E5D22915C9B}"/>
    <cellStyle name="Parent row 4" xfId="13" xr:uid="{766EEC84-3128-426E-8720-CF77BEFFA340}"/>
    <cellStyle name="Percent" xfId="32" builtinId="5"/>
    <cellStyle name="Table title" xfId="7" xr:uid="{00000000-0005-0000-0000-000008000000}"/>
    <cellStyle name="Table title 2" xfId="29" xr:uid="{75C5CFB8-5852-4F3E-A011-ECC9372E7F45}"/>
    <cellStyle name="Table title 3" xfId="22" xr:uid="{D3D003D1-845D-4DC8-878D-F5771072DB44}"/>
    <cellStyle name="Table title 4" xfId="14"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ms.law/en/int/expert-guides/cms-expert-guide-to-electric-vehicles/mexico" TargetMode="External"/><Relationship Id="rId2" Type="http://schemas.openxmlformats.org/officeDocument/2006/relationships/hyperlink" Target="https://mobilityportal.eu/end-tax-benefits-electric-vehicles-mexico/" TargetMode="External"/><Relationship Id="rId1" Type="http://schemas.openxmlformats.org/officeDocument/2006/relationships/hyperlink" Target="https://mexico-now.com/mexico-needs-incentives-for-electric-vehicles-experts/" TargetMode="External"/><Relationship Id="rId6" Type="http://schemas.openxmlformats.org/officeDocument/2006/relationships/printerSettings" Target="../printerSettings/printerSettings1.bin"/><Relationship Id="rId5" Type="http://schemas.openxmlformats.org/officeDocument/2006/relationships/hyperlink" Target="https://www.diputados.gob.mx/LeyesBiblio/pdf/LFISAN.pdf" TargetMode="External"/><Relationship Id="rId4" Type="http://schemas.openxmlformats.org/officeDocument/2006/relationships/hyperlink" Target="https://multastransito-cdmx.com/que-es-el-isan-y-como-se-calcul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ultastransito-cdmx.com/que-es-el-isan-y-como-se-calcul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B17" sqref="B17"/>
    </sheetView>
  </sheetViews>
  <sheetFormatPr defaultColWidth="8.85546875" defaultRowHeight="15"/>
  <cols>
    <col min="2" max="2" width="69.28515625" customWidth="1"/>
  </cols>
  <sheetData>
    <row r="1" spans="1:2">
      <c r="A1" s="1" t="s">
        <v>0</v>
      </c>
    </row>
    <row r="3" spans="1:2">
      <c r="A3" s="1" t="s">
        <v>1</v>
      </c>
      <c r="B3" s="6" t="s">
        <v>2</v>
      </c>
    </row>
    <row r="4" spans="1:2">
      <c r="B4" s="7" t="s">
        <v>3</v>
      </c>
    </row>
    <row r="5" spans="1:2">
      <c r="B5" s="3">
        <v>2024</v>
      </c>
    </row>
    <row r="6" spans="1:2">
      <c r="B6" s="6" t="s">
        <v>4</v>
      </c>
    </row>
    <row r="7" spans="1:2">
      <c r="B7" s="7" t="s">
        <v>5</v>
      </c>
    </row>
    <row r="9" spans="1:2">
      <c r="A9">
        <v>2023</v>
      </c>
      <c r="B9" s="7" t="s">
        <v>6</v>
      </c>
    </row>
    <row r="10" spans="1:2">
      <c r="A10">
        <v>2024</v>
      </c>
      <c r="B10" s="8" t="s">
        <v>7</v>
      </c>
    </row>
    <row r="11" spans="1:2">
      <c r="B11" t="s">
        <v>8</v>
      </c>
    </row>
    <row r="12" spans="1:2">
      <c r="A12">
        <v>2018</v>
      </c>
      <c r="B12" s="7" t="s">
        <v>9</v>
      </c>
    </row>
    <row r="14" spans="1:2">
      <c r="B14" s="3" t="s">
        <v>10</v>
      </c>
    </row>
    <row r="15" spans="1:2">
      <c r="B15" s="3" t="s">
        <v>11</v>
      </c>
    </row>
    <row r="16" spans="1:2">
      <c r="B16" s="3" t="s">
        <v>12</v>
      </c>
    </row>
    <row r="17" spans="1:2">
      <c r="B17" s="3" t="s">
        <v>13</v>
      </c>
    </row>
    <row r="18" spans="1:2">
      <c r="B18" s="3"/>
    </row>
    <row r="19" spans="1:2">
      <c r="A19" s="1" t="s">
        <v>14</v>
      </c>
    </row>
    <row r="20" spans="1:2">
      <c r="A20">
        <v>20.125</v>
      </c>
      <c r="B20" t="s">
        <v>15</v>
      </c>
    </row>
    <row r="21" spans="1:2">
      <c r="A21">
        <v>0.78500000000000003</v>
      </c>
      <c r="B21" t="s">
        <v>16</v>
      </c>
    </row>
    <row r="32" spans="1:2">
      <c r="B32" s="3"/>
    </row>
    <row r="34" spans="1:2">
      <c r="B34" s="4"/>
    </row>
    <row r="37" spans="1:2">
      <c r="A37" s="1"/>
    </row>
  </sheetData>
  <hyperlinks>
    <hyperlink ref="B9" r:id="rId1" xr:uid="{5263CCB5-BABF-4E7F-BC39-F620053EF030}"/>
    <hyperlink ref="B10" r:id="rId2" xr:uid="{F21D1998-7C76-4B7A-9868-69EB4C6A790C}"/>
    <hyperlink ref="B12" r:id="rId3" xr:uid="{6B7FB438-20EC-4189-B17F-C81299E1591E}"/>
    <hyperlink ref="B4" r:id="rId4" xr:uid="{1FBC5BB1-1129-465E-9E19-624D9ED02A00}"/>
    <hyperlink ref="B7" r:id="rId5" xr:uid="{D9B00997-CE70-4FA0-89C1-BB393BCF9A5C}"/>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095BC-D79E-4CA5-8C63-79500511C350}">
  <dimension ref="A1:Z46"/>
  <sheetViews>
    <sheetView workbookViewId="0">
      <selection activeCell="M46" sqref="M46"/>
    </sheetView>
  </sheetViews>
  <sheetFormatPr defaultRowHeight="15" outlineLevelRow="1"/>
  <cols>
    <col min="5" max="5" width="13.42578125" customWidth="1"/>
    <col min="6" max="6" width="13.140625" customWidth="1"/>
    <col min="13" max="13" width="9.140625" bestFit="1" customWidth="1"/>
    <col min="15" max="15" width="10.28515625" bestFit="1" customWidth="1"/>
  </cols>
  <sheetData>
    <row r="1" spans="1:16">
      <c r="A1" s="1" t="s">
        <v>17</v>
      </c>
      <c r="B1" s="7" t="s">
        <v>3</v>
      </c>
    </row>
    <row r="3" spans="1:16">
      <c r="B3" t="s">
        <v>18</v>
      </c>
    </row>
    <row r="5" spans="1:16">
      <c r="B5" t="s">
        <v>19</v>
      </c>
    </row>
    <row r="7" spans="1:16">
      <c r="E7" t="s">
        <v>20</v>
      </c>
      <c r="F7" t="s">
        <v>21</v>
      </c>
      <c r="G7" t="s">
        <v>22</v>
      </c>
      <c r="H7" t="s">
        <v>23</v>
      </c>
      <c r="O7" t="s">
        <v>24</v>
      </c>
    </row>
    <row r="8" spans="1:16">
      <c r="E8">
        <v>0.01</v>
      </c>
      <c r="F8" s="9">
        <v>313163.32</v>
      </c>
      <c r="G8">
        <v>0</v>
      </c>
      <c r="H8" s="10">
        <v>0.02</v>
      </c>
      <c r="N8" t="s">
        <v>25</v>
      </c>
      <c r="O8" s="12">
        <v>34640.814024784384</v>
      </c>
      <c r="P8" t="s">
        <v>26</v>
      </c>
    </row>
    <row r="9" spans="1:16">
      <c r="E9" s="9">
        <v>313163.32</v>
      </c>
      <c r="F9" s="9">
        <v>375795.92</v>
      </c>
      <c r="G9" s="9">
        <v>6263.16</v>
      </c>
      <c r="H9" s="11">
        <v>0.05</v>
      </c>
      <c r="L9" s="16" t="s">
        <v>27</v>
      </c>
      <c r="M9" s="14">
        <f>M10*About!A21</f>
        <v>3708.9982563506296</v>
      </c>
      <c r="O9" s="5">
        <v>11093.175446995418</v>
      </c>
      <c r="P9" t="s">
        <v>28</v>
      </c>
    </row>
    <row r="10" spans="1:16">
      <c r="E10" s="9">
        <v>375795.92</v>
      </c>
      <c r="F10" s="9">
        <v>438428.76</v>
      </c>
      <c r="G10" s="9">
        <v>9394.94</v>
      </c>
      <c r="H10" s="10">
        <v>0.1</v>
      </c>
      <c r="L10" s="16" t="s">
        <v>29</v>
      </c>
      <c r="M10" s="14">
        <f>M12/About!A20</f>
        <v>4724.8385431218212</v>
      </c>
      <c r="O10" s="13">
        <f>O8+O9</f>
        <v>45733.989471779802</v>
      </c>
      <c r="P10" s="1" t="s">
        <v>30</v>
      </c>
    </row>
    <row r="11" spans="1:16">
      <c r="E11" s="9">
        <v>438428.77</v>
      </c>
      <c r="F11" s="9">
        <v>563693.73</v>
      </c>
      <c r="G11" s="9">
        <v>15658.19</v>
      </c>
      <c r="H11" s="10">
        <v>0.15</v>
      </c>
      <c r="O11" t="s">
        <v>31</v>
      </c>
    </row>
    <row r="12" spans="1:16">
      <c r="E12" s="9">
        <v>563693.74</v>
      </c>
      <c r="F12" t="s">
        <v>32</v>
      </c>
      <c r="G12" s="9">
        <v>34447.9</v>
      </c>
      <c r="H12" s="10">
        <v>0.17</v>
      </c>
      <c r="L12" t="s">
        <v>17</v>
      </c>
      <c r="M12" s="14">
        <f>G12+(O12-E12)*H12</f>
        <v>95087.375680326659</v>
      </c>
      <c r="N12" t="s">
        <v>33</v>
      </c>
      <c r="O12" s="15">
        <f>O10*About!A20</f>
        <v>920396.53811956849</v>
      </c>
    </row>
    <row r="14" spans="1:16" hidden="1" outlineLevel="1">
      <c r="B14" t="s">
        <v>34</v>
      </c>
    </row>
    <row r="15" spans="1:16" hidden="1" outlineLevel="1"/>
    <row r="16" spans="1:16" hidden="1" outlineLevel="1">
      <c r="B16" t="s">
        <v>35</v>
      </c>
    </row>
    <row r="17" spans="2:2" hidden="1" outlineLevel="1"/>
    <row r="18" spans="2:2" hidden="1" outlineLevel="1">
      <c r="B18" t="s">
        <v>36</v>
      </c>
    </row>
    <row r="19" spans="2:2" hidden="1" outlineLevel="1">
      <c r="B19" t="s">
        <v>37</v>
      </c>
    </row>
    <row r="20" spans="2:2" hidden="1" outlineLevel="1">
      <c r="B20" t="s">
        <v>38</v>
      </c>
    </row>
    <row r="21" spans="2:2" hidden="1" outlineLevel="1">
      <c r="B21" t="s">
        <v>39</v>
      </c>
    </row>
    <row r="22" spans="2:2" hidden="1" outlineLevel="1">
      <c r="B22" t="s">
        <v>40</v>
      </c>
    </row>
    <row r="23" spans="2:2" hidden="1" outlineLevel="1">
      <c r="B23" t="s">
        <v>41</v>
      </c>
    </row>
    <row r="24" spans="2:2" hidden="1" outlineLevel="1"/>
    <row r="25" spans="2:2" hidden="1" outlineLevel="1">
      <c r="B25" t="s">
        <v>42</v>
      </c>
    </row>
    <row r="26" spans="2:2" hidden="1" outlineLevel="1"/>
    <row r="27" spans="2:2" hidden="1" outlineLevel="1">
      <c r="B27" t="s">
        <v>43</v>
      </c>
    </row>
    <row r="28" spans="2:2" hidden="1" outlineLevel="1"/>
    <row r="29" spans="2:2" hidden="1" outlineLevel="1">
      <c r="B29" t="s">
        <v>44</v>
      </c>
    </row>
    <row r="30" spans="2:2" hidden="1" outlineLevel="1">
      <c r="B30" t="s">
        <v>45</v>
      </c>
    </row>
    <row r="31" spans="2:2" hidden="1" outlineLevel="1"/>
    <row r="32" spans="2:2" hidden="1" outlineLevel="1">
      <c r="B32" t="s">
        <v>46</v>
      </c>
    </row>
    <row r="33" spans="2:26" hidden="1" outlineLevel="1"/>
    <row r="34" spans="2:26" hidden="1" outlineLevel="1">
      <c r="B34" t="s">
        <v>47</v>
      </c>
    </row>
    <row r="35" spans="2:26" hidden="1" outlineLevel="1">
      <c r="B35" t="s">
        <v>48</v>
      </c>
    </row>
    <row r="36" spans="2:26" hidden="1" outlineLevel="1">
      <c r="B36" t="s">
        <v>49</v>
      </c>
    </row>
    <row r="37" spans="2:26" hidden="1" outlineLevel="1">
      <c r="B37" t="s">
        <v>50</v>
      </c>
    </row>
    <row r="38" spans="2:26" collapsed="1"/>
    <row r="39" spans="2:26">
      <c r="L39" s="1" t="s">
        <v>51</v>
      </c>
    </row>
    <row r="40" spans="2:26">
      <c r="L40" s="17" t="s">
        <v>52</v>
      </c>
      <c r="M40" s="18"/>
      <c r="N40" s="18"/>
      <c r="O40" s="18"/>
      <c r="P40" s="18"/>
      <c r="Q40" s="18"/>
      <c r="R40" s="18"/>
      <c r="S40" s="18"/>
      <c r="T40" s="18"/>
      <c r="U40" s="18"/>
      <c r="V40" s="18"/>
      <c r="W40" s="18"/>
      <c r="X40" s="18"/>
      <c r="Y40" s="18"/>
      <c r="Z40" s="18"/>
    </row>
    <row r="41" spans="2:26">
      <c r="M41">
        <v>2022</v>
      </c>
      <c r="N41">
        <v>2023</v>
      </c>
      <c r="O41">
        <v>2024</v>
      </c>
      <c r="P41">
        <v>2025</v>
      </c>
      <c r="Q41">
        <v>2026</v>
      </c>
      <c r="R41">
        <v>2027</v>
      </c>
      <c r="S41">
        <v>2028</v>
      </c>
      <c r="T41">
        <v>2029</v>
      </c>
      <c r="U41">
        <v>2030</v>
      </c>
      <c r="V41">
        <v>2031</v>
      </c>
      <c r="W41">
        <v>2032</v>
      </c>
      <c r="X41">
        <v>2033</v>
      </c>
      <c r="Y41">
        <v>2034</v>
      </c>
      <c r="Z41">
        <v>2035</v>
      </c>
    </row>
    <row r="42" spans="2:26">
      <c r="L42" t="s">
        <v>25</v>
      </c>
      <c r="M42" s="12">
        <v>34640.814024784384</v>
      </c>
      <c r="N42" s="12">
        <v>33141.592843933518</v>
      </c>
      <c r="O42" s="12">
        <v>31995.013874203454</v>
      </c>
      <c r="P42" s="12">
        <v>31108.202139674708</v>
      </c>
      <c r="Q42" s="12">
        <v>30426.824351898435</v>
      </c>
      <c r="R42" s="12">
        <v>29912.808556041069</v>
      </c>
      <c r="S42" s="12">
        <v>29587.734966487005</v>
      </c>
      <c r="T42" s="12">
        <v>29425.630095818542</v>
      </c>
      <c r="U42" s="12">
        <v>29515.845064967696</v>
      </c>
      <c r="V42" s="12">
        <v>29101.83841726436</v>
      </c>
      <c r="W42" s="12">
        <v>28835.350510570854</v>
      </c>
      <c r="X42" s="12">
        <v>28670.845144264887</v>
      </c>
      <c r="Y42" s="12">
        <v>28580.787441134438</v>
      </c>
      <c r="Z42" s="12">
        <v>28558.667792194701</v>
      </c>
    </row>
    <row r="43" spans="2:26">
      <c r="L43" s="16" t="s">
        <v>53</v>
      </c>
      <c r="M43">
        <v>11093.175446995418</v>
      </c>
      <c r="N43">
        <v>10473.507871915701</v>
      </c>
      <c r="O43">
        <v>9821.5333508675794</v>
      </c>
      <c r="P43">
        <v>9137.2518838510605</v>
      </c>
      <c r="Q43">
        <v>8420.6634708661441</v>
      </c>
      <c r="R43">
        <v>7671.7681119128283</v>
      </c>
      <c r="S43">
        <v>6890.565806991116</v>
      </c>
      <c r="T43">
        <v>6077.0565561010026</v>
      </c>
      <c r="U43">
        <v>5231.2403592424916</v>
      </c>
      <c r="V43">
        <v>5064.0707419316832</v>
      </c>
      <c r="W43">
        <v>4896.9011246208738</v>
      </c>
      <c r="X43">
        <v>4729.7315073100654</v>
      </c>
      <c r="Y43">
        <v>4562.5618899992569</v>
      </c>
      <c r="Z43">
        <v>4395.3922726884484</v>
      </c>
    </row>
    <row r="44" spans="2:26">
      <c r="L44" t="s">
        <v>54</v>
      </c>
      <c r="M44" s="5">
        <f>M42+M43</f>
        <v>45733.989471779802</v>
      </c>
      <c r="N44" s="5">
        <f t="shared" ref="N44:Z44" si="0">N42+N43</f>
        <v>43615.100715849221</v>
      </c>
      <c r="O44" s="5">
        <f t="shared" si="0"/>
        <v>41816.54722507103</v>
      </c>
      <c r="P44" s="5">
        <f t="shared" si="0"/>
        <v>40245.454023525766</v>
      </c>
      <c r="Q44" s="5">
        <f t="shared" si="0"/>
        <v>38847.487822764582</v>
      </c>
      <c r="R44" s="5">
        <f t="shared" si="0"/>
        <v>37584.576667953894</v>
      </c>
      <c r="S44" s="5">
        <f t="shared" si="0"/>
        <v>36478.30077347812</v>
      </c>
      <c r="T44" s="5">
        <f t="shared" si="0"/>
        <v>35502.686651919546</v>
      </c>
      <c r="U44" s="5">
        <f t="shared" si="0"/>
        <v>34747.085424210185</v>
      </c>
      <c r="V44" s="5">
        <f t="shared" si="0"/>
        <v>34165.909159196046</v>
      </c>
      <c r="W44" s="5">
        <f t="shared" si="0"/>
        <v>33732.251635191729</v>
      </c>
      <c r="X44" s="5">
        <f t="shared" si="0"/>
        <v>33400.576651574956</v>
      </c>
      <c r="Y44" s="5">
        <f t="shared" si="0"/>
        <v>33143.349331133693</v>
      </c>
      <c r="Z44" s="5">
        <f t="shared" si="0"/>
        <v>32954.060064883146</v>
      </c>
    </row>
    <row r="46" spans="2:26">
      <c r="L46" t="s">
        <v>55</v>
      </c>
      <c r="M46">
        <f>M44/$O$10</f>
        <v>1</v>
      </c>
      <c r="N46">
        <f t="shared" ref="N46:Z46" si="1">N44/$O$10</f>
        <v>0.95366927791772804</v>
      </c>
      <c r="O46">
        <f t="shared" si="1"/>
        <v>0.9143428707629796</v>
      </c>
      <c r="P46">
        <f t="shared" si="1"/>
        <v>0.87999001373714092</v>
      </c>
      <c r="Q46">
        <f t="shared" si="1"/>
        <v>0.84942267821912754</v>
      </c>
      <c r="R46">
        <f t="shared" si="1"/>
        <v>0.82180839900585301</v>
      </c>
      <c r="S46">
        <f t="shared" si="1"/>
        <v>0.79761903990438199</v>
      </c>
      <c r="T46">
        <f t="shared" si="1"/>
        <v>0.77628667566442044</v>
      </c>
      <c r="U46">
        <f t="shared" si="1"/>
        <v>0.75976501996728063</v>
      </c>
      <c r="V46">
        <f t="shared" si="1"/>
        <v>0.74705726646213866</v>
      </c>
      <c r="W46">
        <f t="shared" si="1"/>
        <v>0.7375750951271427</v>
      </c>
      <c r="X46">
        <f t="shared" si="1"/>
        <v>0.73032283072931592</v>
      </c>
      <c r="Y46">
        <f t="shared" si="1"/>
        <v>0.72469840733192159</v>
      </c>
      <c r="Z46">
        <f t="shared" si="1"/>
        <v>0.72055948858818619</v>
      </c>
    </row>
  </sheetData>
  <hyperlinks>
    <hyperlink ref="B1" r:id="rId1" xr:uid="{0F823954-AF48-463C-96E7-16B19AF0DD2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E35" sqref="E35"/>
    </sheetView>
  </sheetViews>
  <sheetFormatPr defaultColWidth="8.8554687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Y8"/>
  <sheetViews>
    <sheetView workbookViewId="0">
      <selection activeCell="U2" sqref="U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s="5" cm="1">
        <f t="array" ref="B2">TREND($C2:$P2,$C1:$P1,B1)</f>
        <v>3605.9179306919978</v>
      </c>
      <c r="C2" s="5">
        <f>Calc!M9</f>
        <v>3708.9982563506296</v>
      </c>
      <c r="D2" s="5">
        <f>$C2*Calc!N46</f>
        <v>3537.1576889320172</v>
      </c>
      <c r="E2" s="5">
        <f>$C2*Calc!O46</f>
        <v>3391.2961133665203</v>
      </c>
      <c r="F2" s="5">
        <f>$C2*Calc!P46</f>
        <v>3263.8814265570222</v>
      </c>
      <c r="G2" s="5">
        <f>$C2*Calc!Q46</f>
        <v>3150.5072324194261</v>
      </c>
      <c r="H2" s="5">
        <f>$C2*Calc!R46</f>
        <v>3048.0859189670114</v>
      </c>
      <c r="I2" s="5">
        <f>$C2*Calc!S46</f>
        <v>2958.3676282374163</v>
      </c>
      <c r="J2" s="5">
        <f>$C2*Calc!T46</f>
        <v>2879.2459264675622</v>
      </c>
      <c r="K2" s="5">
        <f>$C2*Calc!U46</f>
        <v>2817.967134294845</v>
      </c>
      <c r="L2" s="5">
        <f>$C2*Calc!V46</f>
        <v>2770.8340987021402</v>
      </c>
      <c r="M2" s="5">
        <f>$C2*Calc!W46</f>
        <v>2735.6647417542222</v>
      </c>
      <c r="N2" s="5">
        <f>$C2*Calc!X46</f>
        <v>2708.7661057480886</v>
      </c>
      <c r="O2" s="5">
        <f>$C2*Calc!Y46</f>
        <v>2687.9051291741757</v>
      </c>
      <c r="P2" s="5">
        <f>$C2*Calc!Z46</f>
        <v>2672.553886770484</v>
      </c>
      <c r="Q2" s="5">
        <f>P2</f>
        <v>2672.553886770484</v>
      </c>
      <c r="R2" s="5" cm="1">
        <f t="array" ref="R2">TREND($C2:$P2,$C1:$P1,R1)</f>
        <v>2363.7663509667618</v>
      </c>
      <c r="S2" s="5" cm="1">
        <f t="array" ref="S2">TREND($C2:$P2,$C1:$P1,S1)</f>
        <v>2286.1318772339437</v>
      </c>
      <c r="T2" s="5" cm="1">
        <f t="array" ref="T2">TREND($C2:$P2,$C1:$P1,T1)</f>
        <v>2208.4974035011255</v>
      </c>
      <c r="U2" s="5">
        <v>0</v>
      </c>
      <c r="V2" s="5">
        <v>0</v>
      </c>
      <c r="W2" s="5">
        <v>0</v>
      </c>
      <c r="X2" s="5">
        <v>0</v>
      </c>
      <c r="Y2" s="5">
        <v>0</v>
      </c>
      <c r="Z2" s="5">
        <v>0</v>
      </c>
      <c r="AA2" s="5">
        <v>0</v>
      </c>
      <c r="AB2" s="5">
        <v>0</v>
      </c>
      <c r="AC2" s="5">
        <v>0</v>
      </c>
      <c r="AD2" s="5">
        <v>0</v>
      </c>
      <c r="AE2" s="5">
        <v>0</v>
      </c>
      <c r="AF2" s="5">
        <v>0</v>
      </c>
      <c r="AG2" s="5">
        <v>0</v>
      </c>
      <c r="AH2" s="5">
        <v>0</v>
      </c>
      <c r="AI2" s="5">
        <v>0</v>
      </c>
      <c r="AJ2" s="5">
        <v>0</v>
      </c>
      <c r="AK2" s="5">
        <v>0</v>
      </c>
      <c r="AL2" s="5">
        <v>0</v>
      </c>
      <c r="AM2" s="5">
        <v>0</v>
      </c>
      <c r="AN2" s="5">
        <v>0</v>
      </c>
      <c r="AO2" s="5">
        <v>0</v>
      </c>
      <c r="AP2" s="5">
        <v>0</v>
      </c>
      <c r="AQ2" s="5">
        <v>0</v>
      </c>
      <c r="AR2" s="5">
        <v>0</v>
      </c>
      <c r="AS2" s="5">
        <v>0</v>
      </c>
      <c r="AT2" s="5">
        <v>0</v>
      </c>
      <c r="AU2" s="5">
        <v>0</v>
      </c>
      <c r="AV2" s="5">
        <v>0</v>
      </c>
      <c r="AW2" s="5">
        <v>0</v>
      </c>
      <c r="AX2" s="5">
        <v>0</v>
      </c>
      <c r="AY2" s="5">
        <v>0</v>
      </c>
    </row>
    <row r="3" spans="1:51">
      <c r="A3" t="s">
        <v>58</v>
      </c>
      <c r="B3" s="5">
        <v>0</v>
      </c>
      <c r="C3" s="5">
        <v>0</v>
      </c>
      <c r="D3" s="5">
        <v>0</v>
      </c>
      <c r="E3" s="5">
        <v>0</v>
      </c>
      <c r="F3" s="5">
        <v>0</v>
      </c>
      <c r="G3" s="5">
        <v>0</v>
      </c>
      <c r="H3" s="5">
        <v>0</v>
      </c>
      <c r="I3" s="5">
        <v>0</v>
      </c>
      <c r="J3" s="5">
        <v>0</v>
      </c>
      <c r="K3" s="5">
        <v>0</v>
      </c>
      <c r="L3" s="5">
        <v>0</v>
      </c>
      <c r="M3" s="5">
        <v>0</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0</v>
      </c>
      <c r="AN3" s="5">
        <v>0</v>
      </c>
      <c r="AO3" s="5">
        <v>0</v>
      </c>
      <c r="AP3" s="5">
        <v>0</v>
      </c>
      <c r="AQ3" s="5">
        <v>0</v>
      </c>
      <c r="AR3" s="5">
        <v>0</v>
      </c>
      <c r="AS3" s="5">
        <v>0</v>
      </c>
      <c r="AT3" s="5">
        <v>0</v>
      </c>
      <c r="AU3" s="5">
        <v>0</v>
      </c>
      <c r="AV3" s="5">
        <v>0</v>
      </c>
      <c r="AW3" s="5">
        <v>0</v>
      </c>
      <c r="AX3" s="5">
        <v>0</v>
      </c>
      <c r="AY3" s="5">
        <v>0</v>
      </c>
    </row>
    <row r="4" spans="1:51">
      <c r="A4" t="s">
        <v>59</v>
      </c>
      <c r="B4" s="5">
        <v>0</v>
      </c>
      <c r="C4" s="5">
        <v>0</v>
      </c>
      <c r="D4" s="5">
        <v>0</v>
      </c>
      <c r="E4" s="5">
        <v>0</v>
      </c>
      <c r="F4" s="5">
        <v>0</v>
      </c>
      <c r="G4" s="5">
        <v>0</v>
      </c>
      <c r="H4" s="5">
        <v>0</v>
      </c>
      <c r="I4" s="5">
        <v>0</v>
      </c>
      <c r="J4" s="5">
        <v>0</v>
      </c>
      <c r="K4" s="5">
        <v>0</v>
      </c>
      <c r="L4" s="5">
        <v>0</v>
      </c>
      <c r="M4" s="5">
        <v>0</v>
      </c>
      <c r="N4" s="5">
        <v>0</v>
      </c>
      <c r="O4" s="5">
        <v>0</v>
      </c>
      <c r="P4" s="5">
        <v>0</v>
      </c>
      <c r="Q4" s="5">
        <v>0</v>
      </c>
      <c r="R4" s="5">
        <v>0</v>
      </c>
      <c r="S4" s="5">
        <v>0</v>
      </c>
      <c r="T4" s="5">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0</v>
      </c>
      <c r="AN4" s="5">
        <v>0</v>
      </c>
      <c r="AO4" s="5">
        <v>0</v>
      </c>
      <c r="AP4" s="5">
        <v>0</v>
      </c>
      <c r="AQ4" s="5">
        <v>0</v>
      </c>
      <c r="AR4" s="5">
        <v>0</v>
      </c>
      <c r="AS4" s="5">
        <v>0</v>
      </c>
      <c r="AT4" s="5">
        <v>0</v>
      </c>
      <c r="AU4" s="5">
        <v>0</v>
      </c>
      <c r="AV4" s="5">
        <v>0</v>
      </c>
      <c r="AW4" s="5">
        <v>0</v>
      </c>
      <c r="AX4" s="5">
        <v>0</v>
      </c>
      <c r="AY4" s="5">
        <v>0</v>
      </c>
    </row>
    <row r="5" spans="1:51">
      <c r="A5" t="s">
        <v>60</v>
      </c>
      <c r="B5" s="5">
        <v>0</v>
      </c>
      <c r="C5" s="5">
        <v>0</v>
      </c>
      <c r="D5" s="5">
        <v>0</v>
      </c>
      <c r="E5" s="5">
        <v>0</v>
      </c>
      <c r="F5" s="5">
        <v>0</v>
      </c>
      <c r="G5" s="5">
        <v>0</v>
      </c>
      <c r="H5" s="5">
        <v>0</v>
      </c>
      <c r="I5" s="5">
        <v>0</v>
      </c>
      <c r="J5" s="5">
        <v>0</v>
      </c>
      <c r="K5" s="5">
        <v>0</v>
      </c>
      <c r="L5" s="5">
        <v>0</v>
      </c>
      <c r="M5" s="5">
        <v>0</v>
      </c>
      <c r="N5" s="5">
        <v>0</v>
      </c>
      <c r="O5" s="5">
        <v>0</v>
      </c>
      <c r="P5" s="5">
        <v>0</v>
      </c>
      <c r="Q5" s="5">
        <v>0</v>
      </c>
      <c r="R5" s="5">
        <v>0</v>
      </c>
      <c r="S5" s="5">
        <v>0</v>
      </c>
      <c r="T5" s="5">
        <v>0</v>
      </c>
      <c r="U5" s="5">
        <v>0</v>
      </c>
      <c r="V5" s="5">
        <v>0</v>
      </c>
      <c r="W5" s="5">
        <v>0</v>
      </c>
      <c r="X5" s="5">
        <v>0</v>
      </c>
      <c r="Y5" s="5">
        <v>0</v>
      </c>
      <c r="Z5" s="5">
        <v>0</v>
      </c>
      <c r="AA5" s="5">
        <v>0</v>
      </c>
      <c r="AB5" s="5">
        <v>0</v>
      </c>
      <c r="AC5" s="5">
        <v>0</v>
      </c>
      <c r="AD5" s="5">
        <v>0</v>
      </c>
      <c r="AE5" s="5">
        <v>0</v>
      </c>
      <c r="AF5" s="5">
        <v>0</v>
      </c>
      <c r="AG5" s="5">
        <v>0</v>
      </c>
      <c r="AH5" s="5">
        <v>0</v>
      </c>
      <c r="AI5" s="5">
        <v>0</v>
      </c>
      <c r="AJ5" s="5">
        <v>0</v>
      </c>
      <c r="AK5" s="5">
        <v>0</v>
      </c>
      <c r="AL5" s="5">
        <v>0</v>
      </c>
      <c r="AM5" s="5">
        <v>0</v>
      </c>
      <c r="AN5" s="5">
        <v>0</v>
      </c>
      <c r="AO5" s="5">
        <v>0</v>
      </c>
      <c r="AP5" s="5">
        <v>0</v>
      </c>
      <c r="AQ5" s="5">
        <v>0</v>
      </c>
      <c r="AR5" s="5">
        <v>0</v>
      </c>
      <c r="AS5" s="5">
        <v>0</v>
      </c>
      <c r="AT5" s="5">
        <v>0</v>
      </c>
      <c r="AU5" s="5">
        <v>0</v>
      </c>
      <c r="AV5" s="5">
        <v>0</v>
      </c>
      <c r="AW5" s="5">
        <v>0</v>
      </c>
      <c r="AX5" s="5">
        <v>0</v>
      </c>
      <c r="AY5" s="5">
        <v>0</v>
      </c>
    </row>
    <row r="6" spans="1:51">
      <c r="A6" t="s">
        <v>61</v>
      </c>
      <c r="B6" s="5">
        <v>0</v>
      </c>
      <c r="C6" s="5">
        <v>0</v>
      </c>
      <c r="D6" s="5">
        <v>0</v>
      </c>
      <c r="E6" s="5">
        <v>0</v>
      </c>
      <c r="F6" s="5">
        <v>0</v>
      </c>
      <c r="G6" s="5">
        <v>0</v>
      </c>
      <c r="H6" s="5">
        <v>0</v>
      </c>
      <c r="I6" s="5">
        <v>0</v>
      </c>
      <c r="J6" s="5">
        <v>0</v>
      </c>
      <c r="K6" s="5">
        <v>0</v>
      </c>
      <c r="L6" s="5">
        <v>0</v>
      </c>
      <c r="M6" s="5">
        <v>0</v>
      </c>
      <c r="N6" s="5">
        <v>0</v>
      </c>
      <c r="O6" s="5">
        <v>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c r="AJ6" s="5">
        <v>0</v>
      </c>
      <c r="AK6" s="5">
        <v>0</v>
      </c>
      <c r="AL6" s="5">
        <v>0</v>
      </c>
      <c r="AM6" s="5">
        <v>0</v>
      </c>
      <c r="AN6" s="5">
        <v>0</v>
      </c>
      <c r="AO6" s="5">
        <v>0</v>
      </c>
      <c r="AP6" s="5">
        <v>0</v>
      </c>
      <c r="AQ6" s="5">
        <v>0</v>
      </c>
      <c r="AR6" s="5">
        <v>0</v>
      </c>
      <c r="AS6" s="5">
        <v>0</v>
      </c>
      <c r="AT6" s="5">
        <v>0</v>
      </c>
      <c r="AU6" s="5">
        <v>0</v>
      </c>
      <c r="AV6" s="5">
        <v>0</v>
      </c>
      <c r="AW6" s="5">
        <v>0</v>
      </c>
      <c r="AX6" s="5">
        <v>0</v>
      </c>
      <c r="AY6" s="5">
        <v>0</v>
      </c>
    </row>
    <row r="7" spans="1:51">
      <c r="A7" t="s">
        <v>62</v>
      </c>
      <c r="B7" s="5">
        <v>0</v>
      </c>
      <c r="C7" s="5">
        <v>0</v>
      </c>
      <c r="D7" s="5">
        <v>0</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c r="AR7" s="5">
        <v>0</v>
      </c>
      <c r="AS7" s="5">
        <v>0</v>
      </c>
      <c r="AT7" s="5">
        <v>0</v>
      </c>
      <c r="AU7" s="5">
        <v>0</v>
      </c>
      <c r="AV7" s="5">
        <v>0</v>
      </c>
      <c r="AW7" s="5">
        <v>0</v>
      </c>
      <c r="AX7" s="5">
        <v>0</v>
      </c>
      <c r="AY7" s="5">
        <v>0</v>
      </c>
    </row>
    <row r="8" spans="1:51">
      <c r="A8" t="s">
        <v>63</v>
      </c>
      <c r="B8" s="5">
        <v>0</v>
      </c>
      <c r="C8" s="5">
        <v>0</v>
      </c>
      <c r="D8" s="5">
        <v>0</v>
      </c>
      <c r="E8" s="5">
        <v>0</v>
      </c>
      <c r="F8" s="5">
        <v>0</v>
      </c>
      <c r="G8" s="5">
        <v>0</v>
      </c>
      <c r="H8" s="5">
        <v>0</v>
      </c>
      <c r="I8" s="5">
        <v>0</v>
      </c>
      <c r="J8" s="5">
        <v>0</v>
      </c>
      <c r="K8" s="5">
        <v>0</v>
      </c>
      <c r="L8" s="5">
        <v>0</v>
      </c>
      <c r="M8" s="5">
        <v>0</v>
      </c>
      <c r="N8" s="5">
        <v>0</v>
      </c>
      <c r="O8" s="5">
        <v>0</v>
      </c>
      <c r="P8" s="5">
        <v>0</v>
      </c>
      <c r="Q8" s="5">
        <v>0</v>
      </c>
      <c r="R8" s="5">
        <v>0</v>
      </c>
      <c r="S8" s="5">
        <v>0</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0</v>
      </c>
      <c r="AP8" s="5">
        <v>0</v>
      </c>
      <c r="AQ8" s="5">
        <v>0</v>
      </c>
      <c r="AR8" s="5">
        <v>0</v>
      </c>
      <c r="AS8" s="5">
        <v>0</v>
      </c>
      <c r="AT8" s="5">
        <v>0</v>
      </c>
      <c r="AU8" s="5">
        <v>0</v>
      </c>
      <c r="AV8" s="5">
        <v>0</v>
      </c>
      <c r="AW8" s="5">
        <v>0</v>
      </c>
      <c r="AX8" s="5">
        <v>0</v>
      </c>
      <c r="AY8" s="5">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4DDE-5D7D-440E-9F2D-C8BE7EE78DD9}">
  <sheetPr>
    <tabColor theme="3"/>
  </sheetPr>
  <dimension ref="A1:AY8"/>
  <sheetViews>
    <sheetView workbookViewId="0">
      <selection activeCell="B2" sqref="B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41F6-596C-4C6D-91F8-CA5AA118CF11}">
  <sheetPr>
    <tabColor theme="3"/>
  </sheetPr>
  <dimension ref="A1:AY8"/>
  <sheetViews>
    <sheetView workbookViewId="0">
      <selection activeCell="B2" sqref="B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94405-868B-4452-B9AC-D6B63E4037BA}">
  <sheetPr>
    <tabColor theme="3"/>
  </sheetPr>
  <dimension ref="A1:AY8"/>
  <sheetViews>
    <sheetView workbookViewId="0">
      <selection activeCell="B2" sqref="B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87FBF-8038-4912-A5A6-BE7241A5CAB0}">
  <sheetPr>
    <tabColor theme="3"/>
  </sheetPr>
  <dimension ref="A1:AY8"/>
  <sheetViews>
    <sheetView workbookViewId="0">
      <selection activeCell="B2" sqref="B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5C6BF-BE7A-4625-8CB5-34C673B46C4E}">
  <sheetPr>
    <tabColor theme="3"/>
  </sheetPr>
  <dimension ref="A1:AY8"/>
  <sheetViews>
    <sheetView workbookViewId="0">
      <selection activeCell="B2" sqref="B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976DC-F6C0-456E-8DA9-4BF43DDF1E10}">
  <sheetPr>
    <tabColor rgb="FFFF0000"/>
  </sheetPr>
  <dimension ref="A1"/>
  <sheetViews>
    <sheetView workbookViewId="0">
      <selection activeCell="N30" sqref="N30"/>
    </sheetView>
  </sheetViews>
  <sheetFormatPr defaultColWidth="8.85546875"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78D3-75FC-40E7-B55E-E0DE8CD249DB}">
  <sheetPr>
    <tabColor theme="3"/>
  </sheetPr>
  <dimension ref="A1:AY8"/>
  <sheetViews>
    <sheetView workbookViewId="0">
      <selection activeCell="A2" sqref="A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139E4-90E8-4DFC-ABC4-1799BB0C313F}">
  <sheetPr>
    <tabColor theme="3"/>
  </sheetPr>
  <dimension ref="A1:AY8"/>
  <sheetViews>
    <sheetView workbookViewId="0">
      <selection activeCell="A2" sqref="A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E315-3F6B-4E92-87B5-9C3C1B4F85DA}">
  <sheetPr>
    <tabColor theme="3"/>
  </sheetPr>
  <dimension ref="A1:AY8"/>
  <sheetViews>
    <sheetView workbookViewId="0">
      <selection activeCell="A2" sqref="A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E62EB-7B15-406D-A4C2-A4FF0C772B4A}">
  <sheetPr>
    <tabColor theme="3"/>
  </sheetPr>
  <dimension ref="A1:AY8"/>
  <sheetViews>
    <sheetView workbookViewId="0">
      <selection activeCell="A2" sqref="A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35A4-EB4E-4E1F-85F1-DB244E55CC6B}">
  <sheetPr>
    <tabColor theme="3"/>
  </sheetPr>
  <dimension ref="A1:AY8"/>
  <sheetViews>
    <sheetView workbookViewId="0">
      <selection activeCell="A2" sqref="A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53C0-8CAC-4671-B512-864662BE4DD4}">
  <sheetPr>
    <tabColor theme="3"/>
  </sheetPr>
  <dimension ref="A1:AY8"/>
  <sheetViews>
    <sheetView workbookViewId="0">
      <selection activeCell="A2" sqref="A2"/>
    </sheetView>
  </sheetViews>
  <sheetFormatPr defaultColWidth="8.85546875" defaultRowHeight="15"/>
  <cols>
    <col min="1" max="1" width="25.140625" customWidth="1"/>
  </cols>
  <sheetData>
    <row r="1" spans="1:51" ht="15.95">
      <c r="A1" s="2" t="s">
        <v>56</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57</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row>
    <row r="3" spans="1:51">
      <c r="A3" t="s">
        <v>58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row>
    <row r="4" spans="1:51">
      <c r="A4" t="s">
        <v>59</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60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row>
    <row r="6" spans="1:51">
      <c r="A6" t="s">
        <v>61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row>
    <row r="7" spans="1:51">
      <c r="A7" t="s">
        <v>62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63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E12702-2F00-4C34-B62E-BB558095A878}"/>
</file>

<file path=customXml/itemProps2.xml><?xml version="1.0" encoding="utf-8"?>
<ds:datastoreItem xmlns:ds="http://schemas.openxmlformats.org/officeDocument/2006/customXml" ds:itemID="{6804E63A-64CC-4BC7-855C-920638B46FF8}"/>
</file>

<file path=customXml/itemProps3.xml><?xml version="1.0" encoding="utf-8"?>
<ds:datastoreItem xmlns:ds="http://schemas.openxmlformats.org/officeDocument/2006/customXml" ds:itemID="{33F18FE0-B2EF-49A1-850E-5EB591ACC9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ferolea@gmail.com</cp:lastModifiedBy>
  <cp:revision/>
  <dcterms:created xsi:type="dcterms:W3CDTF">2017-06-23T20:50:52Z</dcterms:created>
  <dcterms:modified xsi:type="dcterms:W3CDTF">2025-03-19T04:05:39Z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