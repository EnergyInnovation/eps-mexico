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Mexico\Models\eps-mexico\InputData\trans\AVOP\"/>
    </mc:Choice>
  </mc:AlternateContent>
  <xr:revisionPtr revIDLastSave="0" documentId="13_ncr:1_{0A6A9B84-E4B8-4FB0-812F-D347F94F1C0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bout" sheetId="1" r:id="rId1"/>
    <sheet name="AVL" sheetId="3" r:id="rId2"/>
    <sheet name="AVOP" sheetId="2" r:id="rId3"/>
  </sheets>
  <externalReferences>
    <externalReference r:id="rId4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C4" i="2"/>
  <c r="B5" i="2"/>
  <c r="C5" i="2"/>
  <c r="B6" i="2"/>
  <c r="C6" i="2"/>
  <c r="B7" i="2"/>
  <c r="C7" i="2"/>
</calcChain>
</file>

<file path=xl/sharedStrings.xml><?xml version="1.0" encoding="utf-8"?>
<sst xmlns="http://schemas.openxmlformats.org/spreadsheetml/2006/main" count="57" uniqueCount="41">
  <si>
    <t>AVOP Average Vehicle Ownership Period</t>
  </si>
  <si>
    <t>Sources:</t>
  </si>
  <si>
    <t>On-road fleet by type of vehicle and technology</t>
  </si>
  <si>
    <t>Updated Transport Model Data Base (2024), self-analysis with data from INEGI</t>
  </si>
  <si>
    <t>LDVs: Market Shares of Cars and Light Trucks</t>
  </si>
  <si>
    <t xml:space="preserve">INEGI - </t>
  </si>
  <si>
    <t>National Transportation Statistics 2015</t>
  </si>
  <si>
    <t>http://www.rita.dot.gov/bts/sites/rita.dot.gov.bts/files/publications/national_transportation_statistics/index.html</t>
  </si>
  <si>
    <t>Table 1-20</t>
  </si>
  <si>
    <t>aircraft</t>
  </si>
  <si>
    <t>SCT - Secretaria de comunicaciones y transportes (Mexico)</t>
  </si>
  <si>
    <t>Estadísticas de flota</t>
  </si>
  <si>
    <t>https://www.gob.mx/cms/uploads/attachment/file/970059/flota-reg-2024-4-trim-27012025.pdf</t>
  </si>
  <si>
    <t>Slide 2</t>
  </si>
  <si>
    <t>rail and ships</t>
  </si>
  <si>
    <t>California State Controller's Office</t>
  </si>
  <si>
    <t>1992 (but still current)</t>
  </si>
  <si>
    <t>Audit Guidelines and Uniform Accounting Systems: Special Districts</t>
  </si>
  <si>
    <t>http://www.sco.ca.gov/ard_local_rep_uas_special_dist.html</t>
  </si>
  <si>
    <t>Appendix A: Suggested Useful Lives of Fixed Assets</t>
  </si>
  <si>
    <t>Notes:</t>
  </si>
  <si>
    <t>MEXICO</t>
  </si>
  <si>
    <t>USA</t>
  </si>
  <si>
    <t>Vehicle Lifetime (years)</t>
  </si>
  <si>
    <t>Passenger</t>
  </si>
  <si>
    <t>Freight</t>
  </si>
  <si>
    <t>Owners</t>
  </si>
  <si>
    <t>LDVs</t>
  </si>
  <si>
    <t>HDVs</t>
  </si>
  <si>
    <t>rail</t>
  </si>
  <si>
    <t>ships</t>
  </si>
  <si>
    <t>motorbikes</t>
  </si>
  <si>
    <t>Vehicle Ownership Period (years)</t>
  </si>
  <si>
    <t>passenger</t>
  </si>
  <si>
    <t>freight</t>
  </si>
  <si>
    <t>Freight LDVs and HDVs</t>
  </si>
  <si>
    <t>International Council on Clean Transportation</t>
  </si>
  <si>
    <t>https://theicct.org/wp-content/uploads/2021/06/Mexico-freight-assessment_ICCT-Consultant-Report_Oct2017.pdf</t>
  </si>
  <si>
    <t>Mexico Freight Assessment</t>
  </si>
  <si>
    <t>We use the same data as for Average Vehicle Lifetime, and an assumptions of number of owners, except for onroad freight</t>
  </si>
  <si>
    <t>p.53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</si>
</sst>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##0.00_)"/>
    <numFmt numFmtId="166" formatCode="#,##0_)"/>
  </numFmts>
  <fonts count="4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</fills>
  <borders count="1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54">
    <xf numFmtId="0" fontId="0" fillId="0" borderId="0"/>
    <xf numFmtId="0" fontId="2" fillId="0" borderId="0" applyNumberFormat="0" applyFill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21" borderId="0" applyNumberFormat="0" applyBorder="0" applyAlignment="0" applyProtection="0"/>
    <xf numFmtId="0" fontId="6" fillId="5" borderId="0" applyNumberFormat="0" applyBorder="0" applyAlignment="0" applyProtection="0"/>
    <xf numFmtId="0" fontId="7" fillId="0" borderId="2" applyNumberFormat="0" applyFont="0" applyProtection="0">
      <alignment wrapText="1"/>
    </xf>
    <xf numFmtId="0" fontId="7" fillId="0" borderId="2" applyNumberFormat="0" applyFont="0" applyProtection="0">
      <alignment wrapText="1"/>
    </xf>
    <xf numFmtId="0" fontId="8" fillId="22" borderId="3" applyNumberFormat="0" applyAlignment="0" applyProtection="0"/>
    <xf numFmtId="0" fontId="9" fillId="23" borderId="4" applyNumberFormat="0" applyAlignment="0" applyProtection="0"/>
    <xf numFmtId="0" fontId="10" fillId="0" borderId="0">
      <alignment horizontal="center" vertical="center" wrapText="1"/>
    </xf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2" fillId="0" borderId="0">
      <alignment horizontal="left" vertical="center" wrapText="1"/>
    </xf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1" fillId="0" borderId="0" applyFont="0" applyFill="0" applyBorder="0" applyAlignment="0" applyProtection="0"/>
    <xf numFmtId="165" fontId="13" fillId="0" borderId="5" applyNumberFormat="0" applyFill="0">
      <alignment horizontal="right"/>
    </xf>
    <xf numFmtId="165" fontId="14" fillId="0" borderId="5" applyNumberFormat="0" applyFill="0">
      <alignment horizontal="right"/>
    </xf>
    <xf numFmtId="166" fontId="15" fillId="0" borderId="5">
      <alignment horizontal="right" vertical="center"/>
    </xf>
    <xf numFmtId="49" fontId="16" fillId="0" borderId="5">
      <alignment horizontal="left" vertical="center"/>
    </xf>
    <xf numFmtId="165" fontId="13" fillId="0" borderId="5" applyNumberFormat="0" applyFill="0">
      <alignment horizontal="right"/>
    </xf>
    <xf numFmtId="0" fontId="1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6" applyNumberFormat="0" applyProtection="0">
      <alignment wrapText="1"/>
    </xf>
    <xf numFmtId="0" fontId="7" fillId="0" borderId="6" applyNumberFormat="0" applyProtection="0">
      <alignment wrapText="1"/>
    </xf>
    <xf numFmtId="0" fontId="18" fillId="6" borderId="0" applyNumberFormat="0" applyBorder="0" applyAlignment="0" applyProtection="0"/>
    <xf numFmtId="0" fontId="19" fillId="0" borderId="7" applyNumberFormat="0" applyProtection="0">
      <alignment wrapText="1"/>
    </xf>
    <xf numFmtId="0" fontId="19" fillId="0" borderId="7" applyNumberFormat="0" applyProtection="0">
      <alignment wrapText="1"/>
    </xf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5">
      <alignment horizontal="left"/>
    </xf>
    <xf numFmtId="0" fontId="24" fillId="0" borderId="5">
      <alignment horizontal="left"/>
    </xf>
    <xf numFmtId="0" fontId="25" fillId="0" borderId="11">
      <alignment horizontal="right" vertical="center"/>
    </xf>
    <xf numFmtId="0" fontId="26" fillId="0" borderId="5">
      <alignment horizontal="left" vertical="center"/>
    </xf>
    <xf numFmtId="0" fontId="13" fillId="0" borderId="5">
      <alignment horizontal="left" vertical="center"/>
    </xf>
    <xf numFmtId="0" fontId="23" fillId="0" borderId="5">
      <alignment horizontal="left"/>
    </xf>
    <xf numFmtId="0" fontId="23" fillId="24" borderId="0">
      <alignment horizontal="centerContinuous" wrapText="1"/>
    </xf>
    <xf numFmtId="49" fontId="23" fillId="24" borderId="12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3" applyNumberFormat="0" applyAlignment="0" applyProtection="0"/>
    <xf numFmtId="0" fontId="29" fillId="0" borderId="13" applyNumberFormat="0" applyFill="0" applyAlignment="0" applyProtection="0"/>
    <xf numFmtId="0" fontId="30" fillId="25" borderId="0" applyNumberFormat="0" applyBorder="0" applyAlignment="0" applyProtection="0"/>
    <xf numFmtId="0" fontId="3" fillId="0" borderId="0"/>
    <xf numFmtId="0" fontId="3" fillId="0" borderId="0"/>
    <xf numFmtId="0" fontId="7" fillId="0" borderId="0"/>
    <xf numFmtId="0" fontId="11" fillId="0" borderId="0"/>
    <xf numFmtId="0" fontId="3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3" borderId="1" applyNumberFormat="0" applyFont="0" applyAlignment="0" applyProtection="0"/>
    <xf numFmtId="0" fontId="11" fillId="26" borderId="14" applyNumberFormat="0" applyFont="0" applyAlignment="0" applyProtection="0"/>
    <xf numFmtId="0" fontId="32" fillId="22" borderId="15" applyNumberFormat="0" applyAlignment="0" applyProtection="0"/>
    <xf numFmtId="0" fontId="19" fillId="0" borderId="16" applyNumberFormat="0" applyProtection="0">
      <alignment wrapText="1"/>
    </xf>
    <xf numFmtId="0" fontId="19" fillId="0" borderId="16" applyNumberFormat="0" applyProtection="0">
      <alignment wrapText="1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3" fontId="15" fillId="0" borderId="0">
      <alignment horizontal="left" vertical="center"/>
    </xf>
    <xf numFmtId="0" fontId="10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6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5" fillId="0" borderId="0">
      <alignment horizontal="left" vertical="center"/>
    </xf>
    <xf numFmtId="49" fontId="16" fillId="0" borderId="5">
      <alignment horizontal="left"/>
    </xf>
    <xf numFmtId="165" fontId="15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36" fillId="0" borderId="0" applyNumberFormat="0" applyProtection="0">
      <alignment horizontal="left"/>
    </xf>
    <xf numFmtId="0" fontId="36" fillId="0" borderId="0" applyNumberFormat="0" applyProtection="0">
      <alignment horizontal="left"/>
    </xf>
    <xf numFmtId="0" fontId="37" fillId="0" borderId="0" applyNumberFormat="0" applyFill="0" applyBorder="0" applyAlignment="0" applyProtection="0"/>
    <xf numFmtId="0" fontId="23" fillId="0" borderId="0">
      <alignment horizontal="left"/>
    </xf>
    <xf numFmtId="0" fontId="12" fillId="0" borderId="0">
      <alignment horizontal="left"/>
    </xf>
    <xf numFmtId="0" fontId="13" fillId="0" borderId="0">
      <alignment horizontal="left"/>
    </xf>
    <xf numFmtId="0" fontId="38" fillId="0" borderId="0">
      <alignment horizontal="left" vertical="top"/>
    </xf>
    <xf numFmtId="0" fontId="12" fillId="0" borderId="0">
      <alignment horizontal="left"/>
    </xf>
    <xf numFmtId="0" fontId="13" fillId="0" borderId="0">
      <alignment horizontal="left"/>
    </xf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49" fontId="15" fillId="0" borderId="5">
      <alignment horizontal="left"/>
    </xf>
    <xf numFmtId="0" fontId="25" fillId="0" borderId="11">
      <alignment horizontal="left"/>
    </xf>
    <xf numFmtId="0" fontId="23" fillId="0" borderId="0">
      <alignment horizontal="left" vertical="center"/>
    </xf>
    <xf numFmtId="49" fontId="33" fillId="0" borderId="5">
      <alignment horizontal="left"/>
    </xf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2" fontId="0" fillId="0" borderId="0" xfId="0" applyNumberFormat="1"/>
    <xf numFmtId="164" fontId="0" fillId="0" borderId="0" xfId="0" applyNumberFormat="1"/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41" fillId="0" borderId="0" xfId="0" applyFont="1" applyAlignment="1">
      <alignment wrapText="1"/>
    </xf>
    <xf numFmtId="0" fontId="42" fillId="0" borderId="0" xfId="0" applyFont="1" applyAlignment="1">
      <alignment horizontal="right"/>
    </xf>
    <xf numFmtId="0" fontId="42" fillId="0" borderId="0" xfId="0" applyFont="1"/>
    <xf numFmtId="1" fontId="0" fillId="0" borderId="0" xfId="0" applyNumberFormat="1"/>
    <xf numFmtId="164" fontId="0" fillId="2" borderId="0" xfId="0" applyNumberFormat="1" applyFill="1"/>
    <xf numFmtId="0" fontId="2" fillId="0" borderId="0" xfId="1" applyFill="1"/>
  </cellXfs>
  <cellStyles count="154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27" xr:uid="{00000000-0005-0000-0000-000019000000}"/>
    <cellStyle name="Body: normal cell 2" xfId="28" xr:uid="{00000000-0005-0000-0000-00001A000000}"/>
    <cellStyle name="Calculation 2" xfId="29" xr:uid="{00000000-0005-0000-0000-00001B000000}"/>
    <cellStyle name="Check Cell 2" xfId="30" xr:uid="{00000000-0005-0000-0000-00001C000000}"/>
    <cellStyle name="Column heading" xfId="31" xr:uid="{00000000-0005-0000-0000-00001D000000}"/>
    <cellStyle name="Comma 2" xfId="32" xr:uid="{00000000-0005-0000-0000-00001E000000}"/>
    <cellStyle name="Comma 2 2" xfId="33" xr:uid="{00000000-0005-0000-0000-00001F000000}"/>
    <cellStyle name="Comma 3" xfId="34" xr:uid="{00000000-0005-0000-0000-000020000000}"/>
    <cellStyle name="Comma 4" xfId="35" xr:uid="{00000000-0005-0000-0000-000021000000}"/>
    <cellStyle name="Comma 5" xfId="36" xr:uid="{00000000-0005-0000-0000-000022000000}"/>
    <cellStyle name="Comma 6" xfId="37" xr:uid="{00000000-0005-0000-0000-000023000000}"/>
    <cellStyle name="Comma 7" xfId="38" xr:uid="{00000000-0005-0000-0000-000024000000}"/>
    <cellStyle name="Comma 8" xfId="39" xr:uid="{00000000-0005-0000-0000-000025000000}"/>
    <cellStyle name="Corner heading" xfId="40" xr:uid="{00000000-0005-0000-0000-000026000000}"/>
    <cellStyle name="Currency 2" xfId="41" xr:uid="{00000000-0005-0000-0000-000027000000}"/>
    <cellStyle name="Currency 3" xfId="42" xr:uid="{00000000-0005-0000-0000-000028000000}"/>
    <cellStyle name="Currency 3 2" xfId="43" xr:uid="{00000000-0005-0000-0000-000029000000}"/>
    <cellStyle name="Data" xfId="44" xr:uid="{00000000-0005-0000-0000-00002A000000}"/>
    <cellStyle name="Data 2" xfId="45" xr:uid="{00000000-0005-0000-0000-00002B000000}"/>
    <cellStyle name="Data no deci" xfId="46" xr:uid="{00000000-0005-0000-0000-00002C000000}"/>
    <cellStyle name="Data Superscript" xfId="47" xr:uid="{00000000-0005-0000-0000-00002D000000}"/>
    <cellStyle name="Data_1-1A-Regular" xfId="48" xr:uid="{00000000-0005-0000-0000-00002E000000}"/>
    <cellStyle name="Explanatory Text 2" xfId="49" xr:uid="{00000000-0005-0000-0000-00002F000000}"/>
    <cellStyle name="Font: Calibri, 9pt regular" xfId="50" xr:uid="{00000000-0005-0000-0000-000030000000}"/>
    <cellStyle name="Font: Calibri, 9pt regular 2" xfId="51" xr:uid="{00000000-0005-0000-0000-000031000000}"/>
    <cellStyle name="Footnotes: top row" xfId="52" xr:uid="{00000000-0005-0000-0000-000032000000}"/>
    <cellStyle name="Footnotes: top row 2" xfId="53" xr:uid="{00000000-0005-0000-0000-000033000000}"/>
    <cellStyle name="Good 2" xfId="54" xr:uid="{00000000-0005-0000-0000-000034000000}"/>
    <cellStyle name="Header: bottom row" xfId="55" xr:uid="{00000000-0005-0000-0000-000035000000}"/>
    <cellStyle name="Header: bottom row 2" xfId="56" xr:uid="{00000000-0005-0000-0000-000036000000}"/>
    <cellStyle name="Heading 1 2" xfId="57" xr:uid="{00000000-0005-0000-0000-000037000000}"/>
    <cellStyle name="Heading 2 2" xfId="58" xr:uid="{00000000-0005-0000-0000-000038000000}"/>
    <cellStyle name="Heading 3 2" xfId="59" xr:uid="{00000000-0005-0000-0000-000039000000}"/>
    <cellStyle name="Heading 4 2" xfId="60" xr:uid="{00000000-0005-0000-0000-00003A000000}"/>
    <cellStyle name="Hed Side" xfId="61" xr:uid="{00000000-0005-0000-0000-00003B000000}"/>
    <cellStyle name="Hed Side 2" xfId="62" xr:uid="{00000000-0005-0000-0000-00003C000000}"/>
    <cellStyle name="Hed Side bold" xfId="63" xr:uid="{00000000-0005-0000-0000-00003D000000}"/>
    <cellStyle name="Hed Side Indent" xfId="64" xr:uid="{00000000-0005-0000-0000-00003E000000}"/>
    <cellStyle name="Hed Side Regular" xfId="65" xr:uid="{00000000-0005-0000-0000-00003F000000}"/>
    <cellStyle name="Hed Side_1-1A-Regular" xfId="66" xr:uid="{00000000-0005-0000-0000-000040000000}"/>
    <cellStyle name="Hed Top" xfId="67" xr:uid="{00000000-0005-0000-0000-000041000000}"/>
    <cellStyle name="Hed Top - SECTION" xfId="68" xr:uid="{00000000-0005-0000-0000-000042000000}"/>
    <cellStyle name="Hed Top_3-new4" xfId="69" xr:uid="{00000000-0005-0000-0000-000043000000}"/>
    <cellStyle name="Hyperlink" xfId="1" builtinId="8"/>
    <cellStyle name="Hyperlink 2" xfId="70" xr:uid="{00000000-0005-0000-0000-000045000000}"/>
    <cellStyle name="Input 2" xfId="71" xr:uid="{00000000-0005-0000-0000-000046000000}"/>
    <cellStyle name="Linked Cell 2" xfId="72" xr:uid="{00000000-0005-0000-0000-000047000000}"/>
    <cellStyle name="Neutral 2" xfId="73" xr:uid="{00000000-0005-0000-0000-000048000000}"/>
    <cellStyle name="Normal" xfId="0" builtinId="0"/>
    <cellStyle name="Normal 10" xfId="74" xr:uid="{00000000-0005-0000-0000-00004A000000}"/>
    <cellStyle name="Normal 11" xfId="75" xr:uid="{00000000-0005-0000-0000-00004B000000}"/>
    <cellStyle name="Normal 2" xfId="76" xr:uid="{00000000-0005-0000-0000-00004C000000}"/>
    <cellStyle name="Normal 2 2" xfId="77" xr:uid="{00000000-0005-0000-0000-00004D000000}"/>
    <cellStyle name="Normal 2 3" xfId="78" xr:uid="{00000000-0005-0000-0000-00004E000000}"/>
    <cellStyle name="Normal 3" xfId="79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theicct.org/wp-content/uploads/2021/06/Mexico-freight-assessment_ICCT-Consultant-Report_Oct2017.pdf" TargetMode="External"/><Relationship Id="rId1" Type="http://schemas.openxmlformats.org/officeDocument/2006/relationships/hyperlink" Target="http://www.sco.ca.gov/ard_local_rep_uas_special_dist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8"/>
  <sheetViews>
    <sheetView topLeftCell="A7" workbookViewId="0">
      <selection activeCell="B34" sqref="B34"/>
    </sheetView>
  </sheetViews>
  <sheetFormatPr defaultColWidth="8.85546875" defaultRowHeight="15"/>
  <cols>
    <col min="1" max="1" width="11.42578125" customWidth="1"/>
    <col min="2" max="2" width="85.140625" customWidth="1"/>
    <col min="5" max="5" width="17.85546875" customWidth="1"/>
  </cols>
  <sheetData>
    <row r="1" spans="1:2">
      <c r="A1" s="1" t="s">
        <v>0</v>
      </c>
    </row>
    <row r="3" spans="1:2">
      <c r="A3" s="1" t="s">
        <v>1</v>
      </c>
      <c r="B3" s="4" t="s">
        <v>2</v>
      </c>
    </row>
    <row r="4" spans="1:2">
      <c r="B4" t="s">
        <v>3</v>
      </c>
    </row>
    <row r="5" spans="1:2">
      <c r="B5" s="2">
        <v>2024</v>
      </c>
    </row>
    <row r="7" spans="1:2">
      <c r="B7" s="4" t="s">
        <v>4</v>
      </c>
    </row>
    <row r="8" spans="1:2">
      <c r="B8" t="s">
        <v>5</v>
      </c>
    </row>
    <row r="9" spans="1:2">
      <c r="B9" s="2">
        <v>2016</v>
      </c>
    </row>
    <row r="10" spans="1:2">
      <c r="B10" t="s">
        <v>6</v>
      </c>
    </row>
    <row r="11" spans="1:2">
      <c r="B11" s="3" t="s">
        <v>7</v>
      </c>
    </row>
    <row r="12" spans="1:2">
      <c r="B12" t="s">
        <v>8</v>
      </c>
    </row>
    <row r="14" spans="1:2">
      <c r="B14" s="4" t="s">
        <v>9</v>
      </c>
    </row>
    <row r="15" spans="1:2">
      <c r="B15" t="s">
        <v>10</v>
      </c>
    </row>
    <row r="16" spans="1:2">
      <c r="B16" s="2">
        <v>2024</v>
      </c>
    </row>
    <row r="17" spans="2:2">
      <c r="B17" t="s">
        <v>11</v>
      </c>
    </row>
    <row r="18" spans="2:2">
      <c r="B18" s="3" t="s">
        <v>12</v>
      </c>
    </row>
    <row r="19" spans="2:2">
      <c r="B19" t="s">
        <v>13</v>
      </c>
    </row>
    <row r="21" spans="2:2">
      <c r="B21" s="4" t="s">
        <v>14</v>
      </c>
    </row>
    <row r="22" spans="2:2">
      <c r="B22" t="s">
        <v>15</v>
      </c>
    </row>
    <row r="23" spans="2:2">
      <c r="B23" t="s">
        <v>16</v>
      </c>
    </row>
    <row r="24" spans="2:2">
      <c r="B24" t="s">
        <v>17</v>
      </c>
    </row>
    <row r="25" spans="2:2">
      <c r="B25" s="15" t="s">
        <v>18</v>
      </c>
    </row>
    <row r="26" spans="2:2">
      <c r="B26" t="s">
        <v>19</v>
      </c>
    </row>
    <row r="28" spans="2:2">
      <c r="B28" s="4" t="s">
        <v>35</v>
      </c>
    </row>
    <row r="29" spans="2:2">
      <c r="B29" t="s">
        <v>36</v>
      </c>
    </row>
    <row r="30" spans="2:2">
      <c r="B30" s="2">
        <v>2017</v>
      </c>
    </row>
    <row r="31" spans="2:2">
      <c r="B31" t="s">
        <v>38</v>
      </c>
    </row>
    <row r="32" spans="2:2">
      <c r="B32" s="3" t="s">
        <v>37</v>
      </c>
    </row>
    <row r="33" spans="1:2">
      <c r="B33" t="s">
        <v>40</v>
      </c>
    </row>
    <row r="37" spans="1:2">
      <c r="A37" s="1" t="s">
        <v>20</v>
      </c>
    </row>
    <row r="38" spans="1:2">
      <c r="A38" t="s">
        <v>39</v>
      </c>
    </row>
  </sheetData>
  <hyperlinks>
    <hyperlink ref="B25" r:id="rId1" xr:uid="{D8F5C839-1F3D-476B-8CF3-68EA878EF9CA}"/>
    <hyperlink ref="B32" r:id="rId2" xr:uid="{D6BED324-C0E7-48E7-9378-2BBD9DE5BEE6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37FEA-FCCF-D84F-86D2-B9FC5FD41617}">
  <dimension ref="A2:H9"/>
  <sheetViews>
    <sheetView workbookViewId="0">
      <selection activeCell="D5" sqref="D5"/>
    </sheetView>
  </sheetViews>
  <sheetFormatPr defaultColWidth="11.42578125" defaultRowHeight="15"/>
  <sheetData>
    <row r="2" spans="1:8">
      <c r="A2" t="s">
        <v>21</v>
      </c>
      <c r="F2" t="s">
        <v>22</v>
      </c>
    </row>
    <row r="3" spans="1:8" ht="45">
      <c r="A3" s="8" t="s">
        <v>23</v>
      </c>
      <c r="B3" s="9" t="s">
        <v>24</v>
      </c>
      <c r="C3" s="9" t="s">
        <v>25</v>
      </c>
      <c r="D3" t="s">
        <v>26</v>
      </c>
      <c r="F3" s="10" t="s">
        <v>23</v>
      </c>
      <c r="G3" s="11" t="s">
        <v>24</v>
      </c>
      <c r="H3" s="11" t="s">
        <v>25</v>
      </c>
    </row>
    <row r="4" spans="1:8">
      <c r="A4" t="s">
        <v>27</v>
      </c>
      <c r="B4">
        <v>24</v>
      </c>
      <c r="C4">
        <v>24</v>
      </c>
      <c r="D4">
        <v>3</v>
      </c>
      <c r="F4" s="12" t="s">
        <v>27</v>
      </c>
      <c r="G4" s="12">
        <v>17</v>
      </c>
      <c r="H4" s="12">
        <v>17</v>
      </c>
    </row>
    <row r="5" spans="1:8">
      <c r="A5" t="s">
        <v>28</v>
      </c>
      <c r="B5" s="13">
        <v>25</v>
      </c>
      <c r="C5" s="13">
        <v>33.25</v>
      </c>
      <c r="D5">
        <v>2</v>
      </c>
      <c r="F5" s="12" t="s">
        <v>28</v>
      </c>
      <c r="G5" s="12">
        <v>12</v>
      </c>
      <c r="H5" s="12">
        <v>19</v>
      </c>
    </row>
    <row r="6" spans="1:8">
      <c r="A6" t="s">
        <v>9</v>
      </c>
      <c r="B6" s="13">
        <v>15</v>
      </c>
      <c r="C6" s="13">
        <v>15</v>
      </c>
      <c r="D6">
        <v>1</v>
      </c>
      <c r="F6" s="12" t="s">
        <v>9</v>
      </c>
      <c r="G6" s="12">
        <v>24</v>
      </c>
      <c r="H6" s="12">
        <v>24</v>
      </c>
    </row>
    <row r="7" spans="1:8">
      <c r="A7" t="s">
        <v>29</v>
      </c>
      <c r="B7">
        <v>45</v>
      </c>
      <c r="C7">
        <v>45</v>
      </c>
      <c r="D7">
        <v>1</v>
      </c>
      <c r="F7" s="12" t="s">
        <v>29</v>
      </c>
      <c r="G7" s="12">
        <v>34</v>
      </c>
      <c r="H7" s="12">
        <v>34</v>
      </c>
    </row>
    <row r="8" spans="1:8">
      <c r="A8" t="s">
        <v>30</v>
      </c>
      <c r="B8">
        <v>44</v>
      </c>
      <c r="C8">
        <v>44</v>
      </c>
      <c r="D8">
        <v>1</v>
      </c>
      <c r="F8" s="12" t="s">
        <v>30</v>
      </c>
      <c r="G8" s="12">
        <v>33</v>
      </c>
      <c r="H8" s="12">
        <v>33</v>
      </c>
    </row>
    <row r="9" spans="1:8">
      <c r="A9" t="s">
        <v>31</v>
      </c>
      <c r="B9">
        <v>11</v>
      </c>
      <c r="C9">
        <v>11</v>
      </c>
      <c r="D9">
        <v>2</v>
      </c>
      <c r="F9" s="12" t="s">
        <v>31</v>
      </c>
      <c r="G9" s="12">
        <v>17</v>
      </c>
      <c r="H9" s="12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K7"/>
  <sheetViews>
    <sheetView tabSelected="1" workbookViewId="0">
      <selection activeCell="C3" sqref="C3"/>
    </sheetView>
  </sheetViews>
  <sheetFormatPr defaultColWidth="8.85546875" defaultRowHeight="15"/>
  <cols>
    <col min="1" max="1" width="13.140625" customWidth="1"/>
    <col min="2" max="3" width="11.7109375" bestFit="1" customWidth="1"/>
  </cols>
  <sheetData>
    <row r="1" spans="1:37" ht="60">
      <c r="A1" s="8" t="s">
        <v>32</v>
      </c>
      <c r="B1" s="5" t="s">
        <v>33</v>
      </c>
      <c r="C1" s="1" t="s">
        <v>34</v>
      </c>
      <c r="D1" s="5"/>
      <c r="E1" s="1"/>
      <c r="F1" s="5"/>
      <c r="G1" s="1"/>
      <c r="H1" s="5"/>
      <c r="I1" s="1"/>
      <c r="J1" s="5"/>
      <c r="K1" s="1"/>
      <c r="L1" s="5"/>
      <c r="M1" s="1"/>
      <c r="N1" s="5"/>
      <c r="O1" s="1"/>
      <c r="P1" s="5"/>
      <c r="Q1" s="1"/>
      <c r="R1" s="5"/>
      <c r="S1" s="1"/>
      <c r="T1" s="5"/>
      <c r="U1" s="1"/>
      <c r="V1" s="5"/>
      <c r="W1" s="1"/>
      <c r="X1" s="5"/>
      <c r="Y1" s="1"/>
      <c r="Z1" s="5"/>
      <c r="AA1" s="1"/>
      <c r="AB1" s="5"/>
      <c r="AC1" s="1"/>
      <c r="AD1" s="5"/>
      <c r="AE1" s="1"/>
      <c r="AF1" s="5"/>
      <c r="AG1" s="1"/>
      <c r="AH1" s="5"/>
      <c r="AI1" s="1"/>
      <c r="AJ1" s="5"/>
      <c r="AK1" s="1"/>
    </row>
    <row r="2" spans="1:37">
      <c r="A2" s="1" t="s">
        <v>27</v>
      </c>
      <c r="B2" s="7">
        <f>ROUND(AVL!B4/AVL!$D4,0)</f>
        <v>8</v>
      </c>
      <c r="C2" s="14">
        <v>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 spans="1:37">
      <c r="A3" s="1" t="s">
        <v>28</v>
      </c>
      <c r="B3" s="7">
        <f>ROUND(AVL!B5/AVL!$D5,0)</f>
        <v>13</v>
      </c>
      <c r="C3" s="14">
        <v>5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>
      <c r="A4" s="1" t="s">
        <v>9</v>
      </c>
      <c r="B4" s="7">
        <f>ROUND(AVL!B6/AVL!$D6,0)</f>
        <v>15</v>
      </c>
      <c r="C4" s="7">
        <f>ROUND(AVL!C6/AVL!$D6,0)</f>
        <v>15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 spans="1:37">
      <c r="A5" s="1" t="s">
        <v>29</v>
      </c>
      <c r="B5" s="7">
        <f>ROUND(AVL!B7/AVL!$D7,0)</f>
        <v>45</v>
      </c>
      <c r="C5" s="7">
        <f>ROUND(AVL!C7/AVL!$D7,0)</f>
        <v>45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 spans="1:37">
      <c r="A6" s="1" t="s">
        <v>30</v>
      </c>
      <c r="B6" s="7">
        <f>ROUND(AVL!B8/AVL!$D8,0)</f>
        <v>44</v>
      </c>
      <c r="C6" s="7">
        <f>ROUND(AVL!C8/AVL!$D8,0)</f>
        <v>44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 spans="1:37">
      <c r="A7" s="1" t="s">
        <v>31</v>
      </c>
      <c r="B7" s="14">
        <f>ROUND(AVL!B9/AVL!$D9,0)</f>
        <v>6</v>
      </c>
      <c r="C7" s="14">
        <f>ROUND(AVL!C9/AVL!$D9,0)</f>
        <v>6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F1F79C-2571-4802-B485-05A4491151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E317E3-51F2-41AC-B8D0-96B353FF6EA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FF3F324-0775-4003-BF60-A444A7FE0C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AVL</vt:lpstr>
      <vt:lpstr>AVOP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>Updated for Mexico by Fernando Olea. Feb,2025</dc:description>
  <cp:lastModifiedBy>Robbie Orvis</cp:lastModifiedBy>
  <cp:revision/>
  <dcterms:created xsi:type="dcterms:W3CDTF">2015-06-16T22:55:39Z</dcterms:created>
  <dcterms:modified xsi:type="dcterms:W3CDTF">2026-01-06T17:02:16Z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