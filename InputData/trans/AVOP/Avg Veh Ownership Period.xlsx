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206_Flota/"/>
    </mc:Choice>
  </mc:AlternateContent>
  <xr:revisionPtr revIDLastSave="5" documentId="13_ncr:1_{46546555-91C5-0041-8F22-5333CF10175B}" xr6:coauthVersionLast="47" xr6:coauthVersionMax="47" xr10:uidLastSave="{EAB2AFA7-3991-4FAD-A829-4439E8DE0AC9}"/>
  <bookViews>
    <workbookView xWindow="-3140" yWindow="-21100" windowWidth="33600" windowHeight="20500" firstSheet="2" xr2:uid="{00000000-000D-0000-FFFF-FFFF00000000}"/>
  </bookViews>
  <sheets>
    <sheet name="About" sheetId="1" r:id="rId1"/>
    <sheet name="AVL" sheetId="3" r:id="rId2"/>
    <sheet name="AVOP" sheetId="2" r:id="rId3"/>
  </sheets>
  <externalReferences>
    <externalReference r:id="rId4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  <c r="B3" i="2"/>
  <c r="C3" i="2"/>
  <c r="B4" i="2"/>
  <c r="C4" i="2"/>
  <c r="B5" i="2"/>
  <c r="C5" i="2"/>
  <c r="B6" i="2"/>
  <c r="C6" i="2"/>
  <c r="B7" i="2"/>
  <c r="C7" i="2"/>
</calcChain>
</file>

<file path=xl/sharedStrings.xml><?xml version="1.0" encoding="utf-8"?>
<sst xmlns="http://schemas.openxmlformats.org/spreadsheetml/2006/main" count="52" uniqueCount="36">
  <si>
    <t>AVOP Average Vehicle Ownership Period</t>
  </si>
  <si>
    <t>Sources:</t>
  </si>
  <si>
    <t>On-road fleet by type of vehicle and technology</t>
  </si>
  <si>
    <t>Updated Transport Model Data Base (2024), self-analysis with data from INEGI</t>
  </si>
  <si>
    <t>LDVs: Market Shares of Cars and Light Trucks</t>
  </si>
  <si>
    <t xml:space="preserve">INEGI - </t>
  </si>
  <si>
    <t>National Transportation Statistics 2015</t>
  </si>
  <si>
    <t>http://www.rita.dot.gov/bts/sites/rita.dot.gov.bts/files/publications/national_transportation_statistics/index.html</t>
  </si>
  <si>
    <t>Table 1-20</t>
  </si>
  <si>
    <t>aircraft</t>
  </si>
  <si>
    <t>SCT - Secretaria de comunicaciones y transportes (Mexico)</t>
  </si>
  <si>
    <t>Estadísticas de flota</t>
  </si>
  <si>
    <t>https://www.gob.mx/cms/uploads/attachment/file/970059/flota-reg-2024-4-trim-27012025.pdf</t>
  </si>
  <si>
    <t>Slide 2</t>
  </si>
  <si>
    <t>rail and ships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</si>
  <si>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</si>
  <si>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</si>
  <si>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</si>
  <si>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</si>
  <si>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</si>
  <si>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Notes:</t>
  </si>
  <si>
    <t>We use the same data as for Average Vehicle Lifetime, and an assumptions of number of owners</t>
  </si>
  <si>
    <t>MEXICO</t>
  </si>
  <si>
    <t>USA</t>
  </si>
  <si>
    <t>Vehicle Lifetime (years)</t>
  </si>
  <si>
    <t>Passenger</t>
  </si>
  <si>
    <t>Freight</t>
  </si>
  <si>
    <t>Owners</t>
  </si>
  <si>
    <t>LDVs</t>
  </si>
  <si>
    <t>HDVs</t>
  </si>
  <si>
    <t>rail</t>
  </si>
  <si>
    <t>ships</t>
  </si>
  <si>
    <t>motorbikes</t>
  </si>
  <si>
    <t>Vehicle Ownership Period (years)</t>
  </si>
  <si>
    <t>passenger</t>
  </si>
  <si>
    <t>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</si>
</sst>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2" borderId="3" applyNumberFormat="0" applyAlignment="0" applyProtection="0"/>
    <xf numFmtId="0" fontId="9" fillId="23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5" fontId="13" fillId="0" borderId="5" applyNumberFormat="0" applyFill="0">
      <alignment horizontal="right"/>
    </xf>
    <xf numFmtId="165" fontId="14" fillId="0" borderId="5" applyNumberFormat="0" applyFill="0">
      <alignment horizontal="right"/>
    </xf>
    <xf numFmtId="166" fontId="15" fillId="0" borderId="5">
      <alignment horizontal="right" vertical="center"/>
    </xf>
    <xf numFmtId="49" fontId="16" fillId="0" borderId="5">
      <alignment horizontal="left" vertical="center"/>
    </xf>
    <xf numFmtId="165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6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4" borderId="0">
      <alignment horizontal="centerContinuous" wrapText="1"/>
    </xf>
    <xf numFmtId="49" fontId="23" fillId="24" borderId="12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3" applyNumberFormat="0" applyAlignment="0" applyProtection="0"/>
    <xf numFmtId="0" fontId="29" fillId="0" borderId="13" applyNumberFormat="0" applyFill="0" applyAlignment="0" applyProtection="0"/>
    <xf numFmtId="0" fontId="30" fillId="25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3" borderId="1" applyNumberFormat="0" applyFont="0" applyAlignment="0" applyProtection="0"/>
    <xf numFmtId="0" fontId="11" fillId="26" borderId="14" applyNumberFormat="0" applyFont="0" applyAlignment="0" applyProtection="0"/>
    <xf numFmtId="0" fontId="32" fillId="22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5" fontId="15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41" fillId="0" borderId="0" xfId="0" applyFont="1" applyAlignment="1">
      <alignment wrapText="1"/>
    </xf>
    <xf numFmtId="0" fontId="42" fillId="0" borderId="0" xfId="0" applyFont="1" applyAlignment="1">
      <alignment horizontal="right"/>
    </xf>
    <xf numFmtId="0" fontId="42" fillId="0" borderId="0" xfId="0" applyFont="1"/>
    <xf numFmtId="1" fontId="0" fillId="0" borderId="0" xfId="0" applyNumberFormat="1"/>
    <xf numFmtId="164" fontId="0" fillId="2" borderId="0" xfId="0" applyNumberFormat="1" applyFill="1"/>
    <xf numFmtId="0" fontId="2" fillId="0" borderId="0" xfId="1" applyFill="1"/>
  </cellXfs>
  <cellStyles count="1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o.ca.gov/ard_local_rep_uas_special_d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B16" sqref="B16"/>
    </sheetView>
  </sheetViews>
  <sheetFormatPr defaultColWidth="8.85546875" defaultRowHeight="15"/>
  <cols>
    <col min="1" max="1" width="11.42578125" customWidth="1"/>
    <col min="2" max="2" width="85.140625" customWidth="1"/>
    <col min="5" max="5" width="17.8554687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2">
        <v>2024</v>
      </c>
    </row>
    <row r="7" spans="1:2">
      <c r="B7" s="4" t="s">
        <v>4</v>
      </c>
    </row>
    <row r="8" spans="1:2">
      <c r="B8" t="s">
        <v>5</v>
      </c>
    </row>
    <row r="9" spans="1:2">
      <c r="B9" s="2">
        <v>2016</v>
      </c>
    </row>
    <row r="10" spans="1:2">
      <c r="B10" t="s">
        <v>6</v>
      </c>
    </row>
    <row r="11" spans="1:2">
      <c r="B11" s="3" t="s">
        <v>7</v>
      </c>
    </row>
    <row r="12" spans="1:2">
      <c r="B12" t="s">
        <v>8</v>
      </c>
    </row>
    <row r="14" spans="1:2">
      <c r="B14" s="4" t="s">
        <v>9</v>
      </c>
    </row>
    <row r="15" spans="1:2">
      <c r="B15" t="s">
        <v>10</v>
      </c>
    </row>
    <row r="16" spans="1:2">
      <c r="B16" s="2">
        <v>2024</v>
      </c>
    </row>
    <row r="17" spans="1:2">
      <c r="B17" t="s">
        <v>11</v>
      </c>
    </row>
    <row r="18" spans="1:2">
      <c r="B18" s="3" t="s">
        <v>12</v>
      </c>
    </row>
    <row r="19" spans="1:2">
      <c r="B19" t="s">
        <v>13</v>
      </c>
    </row>
    <row r="21" spans="1:2">
      <c r="B21" s="4" t="s">
        <v>14</v>
      </c>
    </row>
    <row r="22" spans="1:2">
      <c r="B22" t="s">
        <v>15</v>
      </c>
    </row>
    <row r="23" spans="1:2">
      <c r="B23" t="s">
        <v>16</v>
      </c>
    </row>
    <row r="24" spans="1:2">
      <c r="B24" t="s">
        <v>17</v>
      </c>
    </row>
    <row r="25" spans="1:2">
      <c r="B25" s="15" t="s">
        <v>18</v>
      </c>
    </row>
    <row r="26" spans="1:2">
      <c r="B26" t="s">
        <v>19</v>
      </c>
    </row>
    <row r="28" spans="1:2">
      <c r="A28" s="1" t="s">
        <v>20</v>
      </c>
    </row>
    <row r="29" spans="1:2">
      <c r="A29" t="s">
        <v>21</v>
      </c>
    </row>
  </sheetData>
  <hyperlinks>
    <hyperlink ref="B25" r:id="rId1" xr:uid="{D8F5C839-1F3D-476B-8CF3-68EA878EF9CA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7FEA-FCCF-D84F-86D2-B9FC5FD41617}">
  <dimension ref="A2:H9"/>
  <sheetViews>
    <sheetView workbookViewId="0">
      <selection activeCell="D5" sqref="D5"/>
    </sheetView>
  </sheetViews>
  <sheetFormatPr defaultColWidth="11.42578125" defaultRowHeight="15"/>
  <sheetData>
    <row r="2" spans="1:8">
      <c r="A2" t="s">
        <v>22</v>
      </c>
      <c r="F2" t="s">
        <v>23</v>
      </c>
    </row>
    <row r="3" spans="1:8" ht="48">
      <c r="A3" s="8" t="s">
        <v>24</v>
      </c>
      <c r="B3" s="9" t="s">
        <v>25</v>
      </c>
      <c r="C3" s="9" t="s">
        <v>26</v>
      </c>
      <c r="D3" t="s">
        <v>27</v>
      </c>
      <c r="F3" s="10" t="s">
        <v>24</v>
      </c>
      <c r="G3" s="11" t="s">
        <v>25</v>
      </c>
      <c r="H3" s="11" t="s">
        <v>26</v>
      </c>
    </row>
    <row r="4" spans="1:8">
      <c r="A4" t="s">
        <v>28</v>
      </c>
      <c r="B4">
        <v>24</v>
      </c>
      <c r="C4">
        <v>24</v>
      </c>
      <c r="D4">
        <v>3</v>
      </c>
      <c r="F4" s="12" t="s">
        <v>28</v>
      </c>
      <c r="G4" s="12">
        <v>17</v>
      </c>
      <c r="H4" s="12">
        <v>17</v>
      </c>
    </row>
    <row r="5" spans="1:8">
      <c r="A5" t="s">
        <v>29</v>
      </c>
      <c r="B5" s="13">
        <v>25</v>
      </c>
      <c r="C5" s="13">
        <v>33.25</v>
      </c>
      <c r="D5">
        <v>2</v>
      </c>
      <c r="F5" s="12" t="s">
        <v>29</v>
      </c>
      <c r="G5" s="12">
        <v>12</v>
      </c>
      <c r="H5" s="12">
        <v>19</v>
      </c>
    </row>
    <row r="6" spans="1:8">
      <c r="A6" t="s">
        <v>9</v>
      </c>
      <c r="B6" s="13">
        <v>15</v>
      </c>
      <c r="C6" s="13">
        <v>15</v>
      </c>
      <c r="D6">
        <v>1</v>
      </c>
      <c r="F6" s="12" t="s">
        <v>9</v>
      </c>
      <c r="G6" s="12">
        <v>24</v>
      </c>
      <c r="H6" s="12">
        <v>24</v>
      </c>
    </row>
    <row r="7" spans="1:8">
      <c r="A7" t="s">
        <v>30</v>
      </c>
      <c r="B7">
        <v>45</v>
      </c>
      <c r="C7">
        <v>45</v>
      </c>
      <c r="D7">
        <v>1</v>
      </c>
      <c r="F7" s="12" t="s">
        <v>30</v>
      </c>
      <c r="G7" s="12">
        <v>34</v>
      </c>
      <c r="H7" s="12">
        <v>34</v>
      </c>
    </row>
    <row r="8" spans="1:8">
      <c r="A8" t="s">
        <v>31</v>
      </c>
      <c r="B8">
        <v>44</v>
      </c>
      <c r="C8">
        <v>44</v>
      </c>
      <c r="D8">
        <v>1</v>
      </c>
      <c r="F8" s="12" t="s">
        <v>31</v>
      </c>
      <c r="G8" s="12">
        <v>33</v>
      </c>
      <c r="H8" s="12">
        <v>33</v>
      </c>
    </row>
    <row r="9" spans="1:8">
      <c r="A9" t="s">
        <v>32</v>
      </c>
      <c r="B9">
        <v>11</v>
      </c>
      <c r="C9">
        <v>11</v>
      </c>
      <c r="D9">
        <v>2</v>
      </c>
      <c r="F9" s="12" t="s">
        <v>32</v>
      </c>
      <c r="G9" s="12">
        <v>17</v>
      </c>
      <c r="H9" s="12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workbookViewId="0">
      <selection activeCell="C3" sqref="C3"/>
    </sheetView>
  </sheetViews>
  <sheetFormatPr defaultColWidth="8.85546875" defaultRowHeight="15"/>
  <cols>
    <col min="1" max="1" width="13.140625" customWidth="1"/>
    <col min="2" max="3" width="11.7109375" bestFit="1" customWidth="1"/>
  </cols>
  <sheetData>
    <row r="1" spans="1:37" ht="48">
      <c r="A1" s="8" t="s">
        <v>33</v>
      </c>
      <c r="B1" s="5" t="s">
        <v>34</v>
      </c>
      <c r="C1" s="1" t="s">
        <v>35</v>
      </c>
      <c r="D1" s="5"/>
      <c r="E1" s="1"/>
      <c r="F1" s="5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5"/>
      <c r="W1" s="1"/>
      <c r="X1" s="5"/>
      <c r="Y1" s="1"/>
      <c r="Z1" s="5"/>
      <c r="AA1" s="1"/>
      <c r="AB1" s="5"/>
      <c r="AC1" s="1"/>
      <c r="AD1" s="5"/>
      <c r="AE1" s="1"/>
      <c r="AF1" s="5"/>
      <c r="AG1" s="1"/>
      <c r="AH1" s="5"/>
      <c r="AI1" s="1"/>
      <c r="AJ1" s="5"/>
      <c r="AK1" s="1"/>
    </row>
    <row r="2" spans="1:37">
      <c r="A2" s="1" t="s">
        <v>28</v>
      </c>
      <c r="B2" s="7">
        <f>ROUND(AVL!B4/AVL!$D4,0)</f>
        <v>8</v>
      </c>
      <c r="C2" s="7">
        <f>ROUND(AVL!C4/AVL!$D4,0)</f>
        <v>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>
      <c r="A3" s="1" t="s">
        <v>29</v>
      </c>
      <c r="B3" s="7">
        <f>ROUND(AVL!B5/AVL!$D5,0)</f>
        <v>13</v>
      </c>
      <c r="C3" s="7">
        <f>ROUND(AVL!C5/AVL!$D5,0)</f>
        <v>17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>
      <c r="A4" s="1" t="s">
        <v>9</v>
      </c>
      <c r="B4" s="7">
        <f>ROUND(AVL!B6/AVL!$D6,0)</f>
        <v>15</v>
      </c>
      <c r="C4" s="7">
        <f>ROUND(AVL!C6/AVL!$D6,0)</f>
        <v>15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>
      <c r="A5" s="1" t="s">
        <v>30</v>
      </c>
      <c r="B5" s="7">
        <f>ROUND(AVL!B7/AVL!$D7,0)</f>
        <v>45</v>
      </c>
      <c r="C5" s="7">
        <f>ROUND(AVL!C7/AVL!$D7,0)</f>
        <v>45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>
      <c r="A6" s="1" t="s">
        <v>31</v>
      </c>
      <c r="B6" s="7">
        <f>ROUND(AVL!B8/AVL!$D8,0)</f>
        <v>44</v>
      </c>
      <c r="C6" s="7">
        <f>ROUND(AVL!C8/AVL!$D8,0)</f>
        <v>44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1" t="s">
        <v>32</v>
      </c>
      <c r="B7" s="14">
        <f>ROUND(AVL!B9/AVL!$D9,0)</f>
        <v>6</v>
      </c>
      <c r="C7" s="14">
        <f>ROUND(AVL!C9/AVL!$D9,0)</f>
        <v>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F1F79C-2571-4802-B485-05A4491151A6}"/>
</file>

<file path=customXml/itemProps2.xml><?xml version="1.0" encoding="utf-8"?>
<ds:datastoreItem xmlns:ds="http://schemas.openxmlformats.org/officeDocument/2006/customXml" ds:itemID="{E0E317E3-51F2-41AC-B8D0-96B353FF6EA1}"/>
</file>

<file path=customXml/itemProps3.xml><?xml version="1.0" encoding="utf-8"?>
<ds:datastoreItem xmlns:ds="http://schemas.openxmlformats.org/officeDocument/2006/customXml" ds:itemID="{6FF3F324-0775-4003-BF60-A444A7FE0C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>Updated for Mexico by Fernando Olea. Feb,2025</dc:description>
  <cp:lastModifiedBy>ferolea@gmail.com</cp:lastModifiedBy>
  <cp:revision/>
  <dcterms:created xsi:type="dcterms:W3CDTF">2015-06-16T22:55:39Z</dcterms:created>
  <dcterms:modified xsi:type="dcterms:W3CDTF">2025-02-27T04:06:00Z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