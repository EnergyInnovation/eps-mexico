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317_Trans2/BHNVFEAL/"/>
    </mc:Choice>
  </mc:AlternateContent>
  <xr:revisionPtr revIDLastSave="0" documentId="13_ncr:1_{FFAAF01B-267B-F248-AE8B-2B1477F039FA}" xr6:coauthVersionLast="47" xr6:coauthVersionMax="47" xr10:uidLastSave="{00000000-0000-0000-0000-000000000000}"/>
  <bookViews>
    <workbookView xWindow="760" yWindow="-21100" windowWidth="33600" windowHeight="20500" firstSheet="17" activeTab="17" xr2:uid="{00000000-000D-0000-FFFF-FFFF00000000}"/>
  </bookViews>
  <sheets>
    <sheet name="About" sheetId="1" r:id="rId1"/>
    <sheet name="BNVFE" sheetId="25" r:id="rId2"/>
    <sheet name="SYFAFE" sheetId="27" r:id="rId3"/>
    <sheet name="Other Values" sheetId="18" r:id="rId4"/>
    <sheet name="Calculations" sheetId="26" r:id="rId5"/>
    <sheet name="Extrapolations" sheetId="24" r:id="rId6"/>
    <sheet name="BHNVFEAL-LDVs-psgr" sheetId="2" r:id="rId7"/>
    <sheet name="BHNVFEAL-LDVs-frgt" sheetId="5" r:id="rId8"/>
    <sheet name="BHNVFEAL-HDVs-psgr" sheetId="6" r:id="rId9"/>
    <sheet name="BHNVFEAL-HDVs-frgt" sheetId="7" r:id="rId10"/>
    <sheet name="BHNVFEAL-aircraft-psgr" sheetId="8" r:id="rId11"/>
    <sheet name="BHNVFEAL-aircraft-frgt" sheetId="9" r:id="rId12"/>
    <sheet name="BHNVFEAL-rail-psgr" sheetId="10" r:id="rId13"/>
    <sheet name="BHNVFEAL-rail-frgt" sheetId="11" r:id="rId14"/>
    <sheet name="BHNVFEAL-ships-psgr" sheetId="12" r:id="rId15"/>
    <sheet name="BHNVFEAL-ships-frgt" sheetId="13" r:id="rId16"/>
    <sheet name="BHNVFEAL-motorbikes-psgr" sheetId="14" r:id="rId17"/>
    <sheet name="BHNVFEAL-motorbikes-frgt" sheetId="15" r:id="rId18"/>
  </sheets>
  <externalReferences>
    <externalReference r:id="rId19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5" l="1"/>
  <c r="AG2" i="5"/>
  <c r="AH2" i="5"/>
  <c r="AI2" i="5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AU2" i="5" s="1"/>
  <c r="AV2" i="5" s="1"/>
  <c r="AW2" i="5" s="1"/>
  <c r="AX2" i="5" s="1"/>
  <c r="AY2" i="5" s="1"/>
  <c r="AF3" i="5"/>
  <c r="AG3" i="5"/>
  <c r="AH3" i="5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AU3" i="5" s="1"/>
  <c r="AV3" i="5" s="1"/>
  <c r="AW3" i="5" s="1"/>
  <c r="AX3" i="5" s="1"/>
  <c r="AY3" i="5" s="1"/>
  <c r="AF4" i="5"/>
  <c r="AG4" i="5"/>
  <c r="AH4" i="5"/>
  <c r="AI4" i="5"/>
  <c r="AJ4" i="5" s="1"/>
  <c r="AK4" i="5"/>
  <c r="AL4" i="5"/>
  <c r="AM4" i="5" s="1"/>
  <c r="AN4" i="5" s="1"/>
  <c r="AO4" i="5" s="1"/>
  <c r="AP4" i="5" s="1"/>
  <c r="AQ4" i="5" s="1"/>
  <c r="AR4" i="5" s="1"/>
  <c r="AS4" i="5" s="1"/>
  <c r="AT4" i="5" s="1"/>
  <c r="AU4" i="5" s="1"/>
  <c r="AV4" i="5" s="1"/>
  <c r="AW4" i="5" s="1"/>
  <c r="AX4" i="5" s="1"/>
  <c r="AY4" i="5" s="1"/>
  <c r="AF5" i="5"/>
  <c r="AG5" i="5"/>
  <c r="AH5" i="5"/>
  <c r="AI5" i="5"/>
  <c r="AJ5" i="5" s="1"/>
  <c r="AK5" i="5" s="1"/>
  <c r="AL5" i="5" s="1"/>
  <c r="AM5" i="5" s="1"/>
  <c r="AN5" i="5" s="1"/>
  <c r="AO5" i="5" s="1"/>
  <c r="AP5" i="5" s="1"/>
  <c r="AQ5" i="5" s="1"/>
  <c r="AR5" i="5" s="1"/>
  <c r="AS5" i="5" s="1"/>
  <c r="AT5" i="5" s="1"/>
  <c r="AU5" i="5" s="1"/>
  <c r="AV5" i="5" s="1"/>
  <c r="AW5" i="5" s="1"/>
  <c r="AX5" i="5" s="1"/>
  <c r="AY5" i="5" s="1"/>
  <c r="AF6" i="5"/>
  <c r="AG6" i="5" s="1"/>
  <c r="AH6" i="5" s="1"/>
  <c r="AI6" i="5" s="1"/>
  <c r="AJ6" i="5" s="1"/>
  <c r="AK6" i="5"/>
  <c r="AL6" i="5" s="1"/>
  <c r="AM6" i="5" s="1"/>
  <c r="AN6" i="5" s="1"/>
  <c r="AO6" i="5" s="1"/>
  <c r="AP6" i="5" s="1"/>
  <c r="AQ6" i="5" s="1"/>
  <c r="AR6" i="5" s="1"/>
  <c r="AS6" i="5" s="1"/>
  <c r="AT6" i="5" s="1"/>
  <c r="AU6" i="5" s="1"/>
  <c r="AV6" i="5" s="1"/>
  <c r="AW6" i="5" s="1"/>
  <c r="AX6" i="5" s="1"/>
  <c r="AY6" i="5" s="1"/>
  <c r="AF7" i="5"/>
  <c r="AG7" i="5"/>
  <c r="AH7" i="5"/>
  <c r="AI7" i="5" s="1"/>
  <c r="AJ7" i="5" s="1"/>
  <c r="AK7" i="5" s="1"/>
  <c r="AL7" i="5" s="1"/>
  <c r="AM7" i="5" s="1"/>
  <c r="AN7" i="5" s="1"/>
  <c r="AO7" i="5" s="1"/>
  <c r="AP7" i="5" s="1"/>
  <c r="AQ7" i="5" s="1"/>
  <c r="AR7" i="5" s="1"/>
  <c r="AS7" i="5" s="1"/>
  <c r="AT7" i="5" s="1"/>
  <c r="AU7" i="5" s="1"/>
  <c r="AV7" i="5" s="1"/>
  <c r="AW7" i="5" s="1"/>
  <c r="AX7" i="5" s="1"/>
  <c r="AY7" i="5" s="1"/>
  <c r="AF8" i="5"/>
  <c r="AG8" i="5" s="1"/>
  <c r="AH8" i="5" s="1"/>
  <c r="AI8" i="5" s="1"/>
  <c r="AJ8" i="5" s="1"/>
  <c r="AK8" i="5" s="1"/>
  <c r="AL8" i="5" s="1"/>
  <c r="AM8" i="5" s="1"/>
  <c r="AN8" i="5" s="1"/>
  <c r="AO8" i="5" s="1"/>
  <c r="AP8" i="5" s="1"/>
  <c r="AQ8" i="5" s="1"/>
  <c r="AR8" i="5" s="1"/>
  <c r="AS8" i="5" s="1"/>
  <c r="AT8" i="5" s="1"/>
  <c r="AU8" i="5" s="1"/>
  <c r="AV8" i="5" s="1"/>
  <c r="AW8" i="5" s="1"/>
  <c r="AX8" i="5" s="1"/>
  <c r="AY8" i="5" s="1"/>
  <c r="AF2" i="6"/>
  <c r="AG2" i="6"/>
  <c r="AH2" i="6" s="1"/>
  <c r="AI2" i="6" s="1"/>
  <c r="AJ2" i="6" s="1"/>
  <c r="AK2" i="6" s="1"/>
  <c r="AL2" i="6" s="1"/>
  <c r="AM2" i="6" s="1"/>
  <c r="AN2" i="6" s="1"/>
  <c r="AO2" i="6"/>
  <c r="AP2" i="6" s="1"/>
  <c r="AQ2" i="6" s="1"/>
  <c r="AR2" i="6" s="1"/>
  <c r="AS2" i="6" s="1"/>
  <c r="AT2" i="6" s="1"/>
  <c r="AU2" i="6" s="1"/>
  <c r="AV2" i="6" s="1"/>
  <c r="AW2" i="6" s="1"/>
  <c r="AX2" i="6" s="1"/>
  <c r="AY2" i="6" s="1"/>
  <c r="AF3" i="6"/>
  <c r="AG3" i="6" s="1"/>
  <c r="AH3" i="6" s="1"/>
  <c r="AI3" i="6"/>
  <c r="AJ3" i="6" s="1"/>
  <c r="AK3" i="6" s="1"/>
  <c r="AL3" i="6" s="1"/>
  <c r="AM3" i="6" s="1"/>
  <c r="AN3" i="6" s="1"/>
  <c r="AO3" i="6" s="1"/>
  <c r="AP3" i="6" s="1"/>
  <c r="AQ3" i="6" s="1"/>
  <c r="AR3" i="6" s="1"/>
  <c r="AS3" i="6" s="1"/>
  <c r="AT3" i="6" s="1"/>
  <c r="AU3" i="6" s="1"/>
  <c r="AV3" i="6" s="1"/>
  <c r="AW3" i="6" s="1"/>
  <c r="AX3" i="6" s="1"/>
  <c r="AY3" i="6" s="1"/>
  <c r="AF4" i="6"/>
  <c r="AG4" i="6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F5" i="6"/>
  <c r="AG5" i="6" s="1"/>
  <c r="AH5" i="6" s="1"/>
  <c r="AI5" i="6"/>
  <c r="AJ5" i="6" s="1"/>
  <c r="AK5" i="6" s="1"/>
  <c r="AL5" i="6" s="1"/>
  <c r="AM5" i="6" s="1"/>
  <c r="AN5" i="6" s="1"/>
  <c r="AO5" i="6" s="1"/>
  <c r="AP5" i="6" s="1"/>
  <c r="AQ5" i="6" s="1"/>
  <c r="AR5" i="6" s="1"/>
  <c r="AS5" i="6" s="1"/>
  <c r="AT5" i="6" s="1"/>
  <c r="AU5" i="6" s="1"/>
  <c r="AV5" i="6" s="1"/>
  <c r="AW5" i="6" s="1"/>
  <c r="AX5" i="6" s="1"/>
  <c r="AY5" i="6" s="1"/>
  <c r="AF6" i="6"/>
  <c r="AG6" i="6"/>
  <c r="AH6" i="6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F7" i="6"/>
  <c r="AG7" i="6" s="1"/>
  <c r="AH7" i="6" s="1"/>
  <c r="AI7" i="6" s="1"/>
  <c r="AJ7" i="6" s="1"/>
  <c r="AK7" i="6" s="1"/>
  <c r="AL7" i="6"/>
  <c r="AM7" i="6" s="1"/>
  <c r="AN7" i="6" s="1"/>
  <c r="AO7" i="6" s="1"/>
  <c r="AP7" i="6" s="1"/>
  <c r="AQ7" i="6" s="1"/>
  <c r="AR7" i="6" s="1"/>
  <c r="AS7" i="6" s="1"/>
  <c r="AT7" i="6" s="1"/>
  <c r="AU7" i="6" s="1"/>
  <c r="AV7" i="6" s="1"/>
  <c r="AW7" i="6" s="1"/>
  <c r="AX7" i="6" s="1"/>
  <c r="AY7" i="6" s="1"/>
  <c r="AF8" i="6"/>
  <c r="AG8" i="6" s="1"/>
  <c r="AH8" i="6" s="1"/>
  <c r="AI8" i="6" s="1"/>
  <c r="AJ8" i="6" s="1"/>
  <c r="AK8" i="6" s="1"/>
  <c r="AL8" i="6" s="1"/>
  <c r="AM8" i="6" s="1"/>
  <c r="AN8" i="6" s="1"/>
  <c r="AO8" i="6" s="1"/>
  <c r="AP8" i="6" s="1"/>
  <c r="AQ8" i="6" s="1"/>
  <c r="AR8" i="6" s="1"/>
  <c r="AS8" i="6" s="1"/>
  <c r="AT8" i="6" s="1"/>
  <c r="AU8" i="6" s="1"/>
  <c r="AV8" i="6" s="1"/>
  <c r="AW8" i="6" s="1"/>
  <c r="AX8" i="6" s="1"/>
  <c r="AY8" i="6" s="1"/>
  <c r="AF2" i="7"/>
  <c r="AG2" i="7"/>
  <c r="AH2" i="7" s="1"/>
  <c r="AI2" i="7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F3" i="7"/>
  <c r="AG3" i="7"/>
  <c r="AH3" i="7" s="1"/>
  <c r="AI3" i="7" s="1"/>
  <c r="AJ3" i="7" s="1"/>
  <c r="AK3" i="7" s="1"/>
  <c r="AL3" i="7" s="1"/>
  <c r="AM3" i="7" s="1"/>
  <c r="AN3" i="7"/>
  <c r="AO3" i="7" s="1"/>
  <c r="AP3" i="7" s="1"/>
  <c r="AQ3" i="7" s="1"/>
  <c r="AR3" i="7" s="1"/>
  <c r="AS3" i="7" s="1"/>
  <c r="AT3" i="7" s="1"/>
  <c r="AU3" i="7" s="1"/>
  <c r="AV3" i="7" s="1"/>
  <c r="AW3" i="7" s="1"/>
  <c r="AX3" i="7" s="1"/>
  <c r="AY3" i="7" s="1"/>
  <c r="AF4" i="7"/>
  <c r="AG4" i="7"/>
  <c r="AH4" i="7" s="1"/>
  <c r="AI4" i="7"/>
  <c r="AJ4" i="7"/>
  <c r="AK4" i="7" s="1"/>
  <c r="AL4" i="7" s="1"/>
  <c r="AM4" i="7" s="1"/>
  <c r="AN4" i="7" s="1"/>
  <c r="AO4" i="7" s="1"/>
  <c r="AP4" i="7" s="1"/>
  <c r="AQ4" i="7"/>
  <c r="AR4" i="7" s="1"/>
  <c r="AS4" i="7" s="1"/>
  <c r="AT4" i="7" s="1"/>
  <c r="AU4" i="7" s="1"/>
  <c r="AV4" i="7" s="1"/>
  <c r="AW4" i="7" s="1"/>
  <c r="AX4" i="7" s="1"/>
  <c r="AY4" i="7" s="1"/>
  <c r="AF5" i="7"/>
  <c r="AG5" i="7" s="1"/>
  <c r="AH5" i="7"/>
  <c r="AI5" i="7" s="1"/>
  <c r="AJ5" i="7" s="1"/>
  <c r="AK5" i="7" s="1"/>
  <c r="AL5" i="7" s="1"/>
  <c r="AM5" i="7" s="1"/>
  <c r="AN5" i="7" s="1"/>
  <c r="AO5" i="7" s="1"/>
  <c r="AP5" i="7" s="1"/>
  <c r="AQ5" i="7" s="1"/>
  <c r="AR5" i="7" s="1"/>
  <c r="AS5" i="7" s="1"/>
  <c r="AT5" i="7" s="1"/>
  <c r="AU5" i="7" s="1"/>
  <c r="AV5" i="7" s="1"/>
  <c r="AW5" i="7" s="1"/>
  <c r="AX5" i="7" s="1"/>
  <c r="AY5" i="7" s="1"/>
  <c r="AF6" i="7"/>
  <c r="AG6" i="7" s="1"/>
  <c r="AH6" i="7" s="1"/>
  <c r="AI6" i="7" s="1"/>
  <c r="AJ6" i="7" s="1"/>
  <c r="AK6" i="7" s="1"/>
  <c r="AL6" i="7" s="1"/>
  <c r="AM6" i="7" s="1"/>
  <c r="AN6" i="7" s="1"/>
  <c r="AO6" i="7" s="1"/>
  <c r="AP6" i="7" s="1"/>
  <c r="AQ6" i="7" s="1"/>
  <c r="AR6" i="7" s="1"/>
  <c r="AS6" i="7" s="1"/>
  <c r="AT6" i="7" s="1"/>
  <c r="AU6" i="7" s="1"/>
  <c r="AV6" i="7" s="1"/>
  <c r="AW6" i="7" s="1"/>
  <c r="AX6" i="7" s="1"/>
  <c r="AY6" i="7" s="1"/>
  <c r="AF7" i="7"/>
  <c r="AG7" i="7" s="1"/>
  <c r="AH7" i="7" s="1"/>
  <c r="AI7" i="7"/>
  <c r="AJ7" i="7" s="1"/>
  <c r="AK7" i="7" s="1"/>
  <c r="AL7" i="7" s="1"/>
  <c r="AM7" i="7"/>
  <c r="AN7" i="7" s="1"/>
  <c r="AO7" i="7" s="1"/>
  <c r="AP7" i="7" s="1"/>
  <c r="AQ7" i="7"/>
  <c r="AR7" i="7" s="1"/>
  <c r="AS7" i="7" s="1"/>
  <c r="AT7" i="7" s="1"/>
  <c r="AU7" i="7" s="1"/>
  <c r="AV7" i="7" s="1"/>
  <c r="AW7" i="7" s="1"/>
  <c r="AX7" i="7" s="1"/>
  <c r="AY7" i="7" s="1"/>
  <c r="AF8" i="7"/>
  <c r="AG8" i="7" s="1"/>
  <c r="AH8" i="7" s="1"/>
  <c r="AI8" i="7" s="1"/>
  <c r="AJ8" i="7"/>
  <c r="AK8" i="7" s="1"/>
  <c r="AL8" i="7" s="1"/>
  <c r="AM8" i="7" s="1"/>
  <c r="AN8" i="7" s="1"/>
  <c r="AO8" i="7" s="1"/>
  <c r="AP8" i="7" s="1"/>
  <c r="AQ8" i="7" s="1"/>
  <c r="AR8" i="7" s="1"/>
  <c r="AS8" i="7" s="1"/>
  <c r="AT8" i="7" s="1"/>
  <c r="AU8" i="7" s="1"/>
  <c r="AV8" i="7" s="1"/>
  <c r="AW8" i="7" s="1"/>
  <c r="AX8" i="7" s="1"/>
  <c r="AY8" i="7" s="1"/>
  <c r="AF2" i="8"/>
  <c r="AG2" i="8"/>
  <c r="AH2" i="8" s="1"/>
  <c r="AI2" i="8" s="1"/>
  <c r="AJ2" i="8" s="1"/>
  <c r="AK2" i="8" s="1"/>
  <c r="AL2" i="8" s="1"/>
  <c r="AM2" i="8" s="1"/>
  <c r="AN2" i="8" s="1"/>
  <c r="AO2" i="8" s="1"/>
  <c r="AP2" i="8" s="1"/>
  <c r="AQ2" i="8" s="1"/>
  <c r="AR2" i="8" s="1"/>
  <c r="AS2" i="8" s="1"/>
  <c r="AT2" i="8" s="1"/>
  <c r="AU2" i="8" s="1"/>
  <c r="AV2" i="8" s="1"/>
  <c r="AW2" i="8" s="1"/>
  <c r="AX2" i="8" s="1"/>
  <c r="AY2" i="8" s="1"/>
  <c r="AF3" i="8"/>
  <c r="AG3" i="8"/>
  <c r="AH3" i="8" s="1"/>
  <c r="AI3" i="8" s="1"/>
  <c r="AJ3" i="8" s="1"/>
  <c r="AK3" i="8" s="1"/>
  <c r="AL3" i="8" s="1"/>
  <c r="AM3" i="8" s="1"/>
  <c r="AN3" i="8" s="1"/>
  <c r="AO3" i="8" s="1"/>
  <c r="AP3" i="8" s="1"/>
  <c r="AQ3" i="8" s="1"/>
  <c r="AR3" i="8" s="1"/>
  <c r="AS3" i="8" s="1"/>
  <c r="AT3" i="8" s="1"/>
  <c r="AU3" i="8" s="1"/>
  <c r="AV3" i="8" s="1"/>
  <c r="AW3" i="8" s="1"/>
  <c r="AX3" i="8" s="1"/>
  <c r="AY3" i="8" s="1"/>
  <c r="AF4" i="8"/>
  <c r="AG4" i="8" s="1"/>
  <c r="AH4" i="8" s="1"/>
  <c r="AI4" i="8" s="1"/>
  <c r="AJ4" i="8" s="1"/>
  <c r="AK4" i="8" s="1"/>
  <c r="AL4" i="8" s="1"/>
  <c r="AM4" i="8" s="1"/>
  <c r="AN4" i="8" s="1"/>
  <c r="AO4" i="8" s="1"/>
  <c r="AP4" i="8" s="1"/>
  <c r="AQ4" i="8"/>
  <c r="AR4" i="8" s="1"/>
  <c r="AS4" i="8" s="1"/>
  <c r="AT4" i="8" s="1"/>
  <c r="AU4" i="8" s="1"/>
  <c r="AV4" i="8" s="1"/>
  <c r="AW4" i="8" s="1"/>
  <c r="AX4" i="8" s="1"/>
  <c r="AY4" i="8" s="1"/>
  <c r="AF5" i="8"/>
  <c r="AG5" i="8"/>
  <c r="AH5" i="8" s="1"/>
  <c r="AI5" i="8" s="1"/>
  <c r="AJ5" i="8"/>
  <c r="AK5" i="8" s="1"/>
  <c r="AL5" i="8" s="1"/>
  <c r="AM5" i="8"/>
  <c r="AN5" i="8" s="1"/>
  <c r="AO5" i="8" s="1"/>
  <c r="AP5" i="8" s="1"/>
  <c r="AQ5" i="8" s="1"/>
  <c r="AR5" i="8" s="1"/>
  <c r="AS5" i="8" s="1"/>
  <c r="AT5" i="8" s="1"/>
  <c r="AU5" i="8" s="1"/>
  <c r="AV5" i="8" s="1"/>
  <c r="AW5" i="8" s="1"/>
  <c r="AX5" i="8" s="1"/>
  <c r="AY5" i="8" s="1"/>
  <c r="AF6" i="8"/>
  <c r="AG6" i="8" s="1"/>
  <c r="AH6" i="8" s="1"/>
  <c r="AI6" i="8" s="1"/>
  <c r="AJ6" i="8" s="1"/>
  <c r="AK6" i="8" s="1"/>
  <c r="AL6" i="8" s="1"/>
  <c r="AM6" i="8" s="1"/>
  <c r="AN6" i="8" s="1"/>
  <c r="AO6" i="8" s="1"/>
  <c r="AP6" i="8" s="1"/>
  <c r="AQ6" i="8" s="1"/>
  <c r="AR6" i="8" s="1"/>
  <c r="AS6" i="8" s="1"/>
  <c r="AT6" i="8" s="1"/>
  <c r="AU6" i="8" s="1"/>
  <c r="AV6" i="8"/>
  <c r="AW6" i="8" s="1"/>
  <c r="AX6" i="8" s="1"/>
  <c r="AY6" i="8" s="1"/>
  <c r="AF7" i="8"/>
  <c r="AG7" i="8" s="1"/>
  <c r="AH7" i="8" s="1"/>
  <c r="AI7" i="8" s="1"/>
  <c r="AJ7" i="8"/>
  <c r="AK7" i="8" s="1"/>
  <c r="AL7" i="8" s="1"/>
  <c r="AM7" i="8" s="1"/>
  <c r="AN7" i="8" s="1"/>
  <c r="AO7" i="8"/>
  <c r="AP7" i="8" s="1"/>
  <c r="AQ7" i="8" s="1"/>
  <c r="AR7" i="8" s="1"/>
  <c r="AS7" i="8"/>
  <c r="AT7" i="8" s="1"/>
  <c r="AU7" i="8" s="1"/>
  <c r="AV7" i="8" s="1"/>
  <c r="AW7" i="8" s="1"/>
  <c r="AX7" i="8" s="1"/>
  <c r="AY7" i="8" s="1"/>
  <c r="AF8" i="8"/>
  <c r="AG8" i="8" s="1"/>
  <c r="AH8" i="8"/>
  <c r="AI8" i="8"/>
  <c r="AJ8" i="8" s="1"/>
  <c r="AK8" i="8" s="1"/>
  <c r="AL8" i="8" s="1"/>
  <c r="AM8" i="8" s="1"/>
  <c r="AN8" i="8" s="1"/>
  <c r="AO8" i="8" s="1"/>
  <c r="AP8" i="8" s="1"/>
  <c r="AQ8" i="8" s="1"/>
  <c r="AR8" i="8" s="1"/>
  <c r="AS8" i="8" s="1"/>
  <c r="AT8" i="8" s="1"/>
  <c r="AU8" i="8" s="1"/>
  <c r="AV8" i="8" s="1"/>
  <c r="AW8" i="8" s="1"/>
  <c r="AX8" i="8" s="1"/>
  <c r="AY8" i="8" s="1"/>
  <c r="AF2" i="9"/>
  <c r="AG2" i="9" s="1"/>
  <c r="AH2" i="9" s="1"/>
  <c r="AI2" i="9" s="1"/>
  <c r="AJ2" i="9" s="1"/>
  <c r="AK2" i="9" s="1"/>
  <c r="AL2" i="9" s="1"/>
  <c r="AM2" i="9" s="1"/>
  <c r="AN2" i="9" s="1"/>
  <c r="AO2" i="9" s="1"/>
  <c r="AP2" i="9" s="1"/>
  <c r="AQ2" i="9" s="1"/>
  <c r="AR2" i="9"/>
  <c r="AS2" i="9"/>
  <c r="AT2" i="9" s="1"/>
  <c r="AU2" i="9" s="1"/>
  <c r="AV2" i="9" s="1"/>
  <c r="AW2" i="9" s="1"/>
  <c r="AX2" i="9" s="1"/>
  <c r="AY2" i="9" s="1"/>
  <c r="AF3" i="9"/>
  <c r="AG3" i="9"/>
  <c r="AH3" i="9"/>
  <c r="AI3" i="9"/>
  <c r="AJ3" i="9"/>
  <c r="AK3" i="9" s="1"/>
  <c r="AL3" i="9" s="1"/>
  <c r="AM3" i="9" s="1"/>
  <c r="AN3" i="9" s="1"/>
  <c r="AO3" i="9" s="1"/>
  <c r="AP3" i="9" s="1"/>
  <c r="AQ3" i="9" s="1"/>
  <c r="AR3" i="9" s="1"/>
  <c r="AS3" i="9" s="1"/>
  <c r="AT3" i="9" s="1"/>
  <c r="AU3" i="9" s="1"/>
  <c r="AV3" i="9" s="1"/>
  <c r="AW3" i="9" s="1"/>
  <c r="AX3" i="9" s="1"/>
  <c r="AY3" i="9" s="1"/>
  <c r="AF4" i="9"/>
  <c r="AG4" i="9"/>
  <c r="AH4" i="9" s="1"/>
  <c r="AI4" i="9"/>
  <c r="AJ4" i="9" s="1"/>
  <c r="AK4" i="9" s="1"/>
  <c r="AL4" i="9"/>
  <c r="AM4" i="9"/>
  <c r="AN4" i="9"/>
  <c r="AO4" i="9" s="1"/>
  <c r="AP4" i="9" s="1"/>
  <c r="AQ4" i="9" s="1"/>
  <c r="AR4" i="9" s="1"/>
  <c r="AS4" i="9" s="1"/>
  <c r="AT4" i="9" s="1"/>
  <c r="AU4" i="9" s="1"/>
  <c r="AV4" i="9" s="1"/>
  <c r="AW4" i="9" s="1"/>
  <c r="AX4" i="9" s="1"/>
  <c r="AY4" i="9" s="1"/>
  <c r="AF5" i="9"/>
  <c r="AG5" i="9"/>
  <c r="AH5" i="9" s="1"/>
  <c r="AI5" i="9" s="1"/>
  <c r="AJ5" i="9" s="1"/>
  <c r="AK5" i="9" s="1"/>
  <c r="AL5" i="9" s="1"/>
  <c r="AM5" i="9" s="1"/>
  <c r="AN5" i="9" s="1"/>
  <c r="AO5" i="9" s="1"/>
  <c r="AP5" i="9" s="1"/>
  <c r="AQ5" i="9" s="1"/>
  <c r="AR5" i="9" s="1"/>
  <c r="AS5" i="9"/>
  <c r="AT5" i="9" s="1"/>
  <c r="AU5" i="9" s="1"/>
  <c r="AV5" i="9" s="1"/>
  <c r="AW5" i="9" s="1"/>
  <c r="AX5" i="9" s="1"/>
  <c r="AY5" i="9" s="1"/>
  <c r="AF6" i="9"/>
  <c r="AG6" i="9" s="1"/>
  <c r="AH6" i="9" s="1"/>
  <c r="AI6" i="9"/>
  <c r="AJ6" i="9"/>
  <c r="AK6" i="9" s="1"/>
  <c r="AL6" i="9" s="1"/>
  <c r="AM6" i="9" s="1"/>
  <c r="AN6" i="9" s="1"/>
  <c r="AO6" i="9" s="1"/>
  <c r="AP6" i="9" s="1"/>
  <c r="AQ6" i="9" s="1"/>
  <c r="AR6" i="9" s="1"/>
  <c r="AS6" i="9" s="1"/>
  <c r="AT6" i="9" s="1"/>
  <c r="AU6" i="9" s="1"/>
  <c r="AV6" i="9" s="1"/>
  <c r="AW6" i="9" s="1"/>
  <c r="AX6" i="9" s="1"/>
  <c r="AY6" i="9" s="1"/>
  <c r="AF7" i="9"/>
  <c r="AG7" i="9"/>
  <c r="AH7" i="9" s="1"/>
  <c r="AI7" i="9" s="1"/>
  <c r="AJ7" i="9" s="1"/>
  <c r="AK7" i="9"/>
  <c r="AL7" i="9" s="1"/>
  <c r="AM7" i="9" s="1"/>
  <c r="AN7" i="9" s="1"/>
  <c r="AO7" i="9" s="1"/>
  <c r="AP7" i="9" s="1"/>
  <c r="AQ7" i="9" s="1"/>
  <c r="AR7" i="9" s="1"/>
  <c r="AS7" i="9" s="1"/>
  <c r="AT7" i="9" s="1"/>
  <c r="AU7" i="9" s="1"/>
  <c r="AV7" i="9" s="1"/>
  <c r="AW7" i="9" s="1"/>
  <c r="AX7" i="9" s="1"/>
  <c r="AY7" i="9" s="1"/>
  <c r="AF8" i="9"/>
  <c r="AG8" i="9" s="1"/>
  <c r="AH8" i="9" s="1"/>
  <c r="AI8" i="9" s="1"/>
  <c r="AJ8" i="9" s="1"/>
  <c r="AK8" i="9" s="1"/>
  <c r="AL8" i="9" s="1"/>
  <c r="AM8" i="9" s="1"/>
  <c r="AN8" i="9" s="1"/>
  <c r="AO8" i="9" s="1"/>
  <c r="AP8" i="9" s="1"/>
  <c r="AQ8" i="9"/>
  <c r="AR8" i="9"/>
  <c r="AS8" i="9" s="1"/>
  <c r="AT8" i="9" s="1"/>
  <c r="AU8" i="9" s="1"/>
  <c r="AV8" i="9" s="1"/>
  <c r="AW8" i="9" s="1"/>
  <c r="AX8" i="9" s="1"/>
  <c r="AY8" i="9" s="1"/>
  <c r="AF2" i="10"/>
  <c r="AG2" i="10"/>
  <c r="AH2" i="10"/>
  <c r="AI2" i="10" s="1"/>
  <c r="AJ2" i="10" s="1"/>
  <c r="AK2" i="10" s="1"/>
  <c r="AL2" i="10" s="1"/>
  <c r="AM2" i="10" s="1"/>
  <c r="AN2" i="10" s="1"/>
  <c r="AO2" i="10" s="1"/>
  <c r="AP2" i="10" s="1"/>
  <c r="AQ2" i="10" s="1"/>
  <c r="AR2" i="10" s="1"/>
  <c r="AS2" i="10" s="1"/>
  <c r="AT2" i="10" s="1"/>
  <c r="AU2" i="10" s="1"/>
  <c r="AV2" i="10" s="1"/>
  <c r="AW2" i="10" s="1"/>
  <c r="AX2" i="10" s="1"/>
  <c r="AY2" i="10" s="1"/>
  <c r="AF3" i="10"/>
  <c r="AG3" i="10"/>
  <c r="AH3" i="10"/>
  <c r="AI3" i="10" s="1"/>
  <c r="AJ3" i="10" s="1"/>
  <c r="AK3" i="10" s="1"/>
  <c r="AL3" i="10" s="1"/>
  <c r="AM3" i="10" s="1"/>
  <c r="AN3" i="10" s="1"/>
  <c r="AO3" i="10" s="1"/>
  <c r="AP3" i="10" s="1"/>
  <c r="AQ3" i="10" s="1"/>
  <c r="AR3" i="10" s="1"/>
  <c r="AS3" i="10" s="1"/>
  <c r="AT3" i="10" s="1"/>
  <c r="AU3" i="10" s="1"/>
  <c r="AV3" i="10" s="1"/>
  <c r="AW3" i="10" s="1"/>
  <c r="AX3" i="10" s="1"/>
  <c r="AY3" i="10" s="1"/>
  <c r="AF4" i="10"/>
  <c r="AG4" i="10"/>
  <c r="AH4" i="10"/>
  <c r="AI4" i="10" s="1"/>
  <c r="AJ4" i="10" s="1"/>
  <c r="AK4" i="10" s="1"/>
  <c r="AL4" i="10" s="1"/>
  <c r="AM4" i="10" s="1"/>
  <c r="AN4" i="10" s="1"/>
  <c r="AO4" i="10" s="1"/>
  <c r="AP4" i="10" s="1"/>
  <c r="AQ4" i="10" s="1"/>
  <c r="AR4" i="10" s="1"/>
  <c r="AS4" i="10" s="1"/>
  <c r="AT4" i="10" s="1"/>
  <c r="AU4" i="10" s="1"/>
  <c r="AV4" i="10" s="1"/>
  <c r="AW4" i="10" s="1"/>
  <c r="AX4" i="10" s="1"/>
  <c r="AY4" i="10" s="1"/>
  <c r="AF5" i="10"/>
  <c r="AG5" i="10"/>
  <c r="AH5" i="10"/>
  <c r="AI5" i="10" s="1"/>
  <c r="AJ5" i="10" s="1"/>
  <c r="AK5" i="10" s="1"/>
  <c r="AL5" i="10" s="1"/>
  <c r="AM5" i="10" s="1"/>
  <c r="AN5" i="10" s="1"/>
  <c r="AO5" i="10" s="1"/>
  <c r="AP5" i="10" s="1"/>
  <c r="AQ5" i="10" s="1"/>
  <c r="AR5" i="10"/>
  <c r="AS5" i="10" s="1"/>
  <c r="AT5" i="10" s="1"/>
  <c r="AU5" i="10" s="1"/>
  <c r="AV5" i="10" s="1"/>
  <c r="AW5" i="10" s="1"/>
  <c r="AX5" i="10" s="1"/>
  <c r="AY5" i="10" s="1"/>
  <c r="AF6" i="10"/>
  <c r="AG6" i="10"/>
  <c r="AH6" i="10" s="1"/>
  <c r="AI6" i="10" s="1"/>
  <c r="AJ6" i="10" s="1"/>
  <c r="AK6" i="10" s="1"/>
  <c r="AL6" i="10" s="1"/>
  <c r="AM6" i="10" s="1"/>
  <c r="AN6" i="10" s="1"/>
  <c r="AO6" i="10" s="1"/>
  <c r="AP6" i="10" s="1"/>
  <c r="AQ6" i="10" s="1"/>
  <c r="AR6" i="10" s="1"/>
  <c r="AS6" i="10"/>
  <c r="AT6" i="10" s="1"/>
  <c r="AU6" i="10" s="1"/>
  <c r="AV6" i="10" s="1"/>
  <c r="AW6" i="10" s="1"/>
  <c r="AX6" i="10" s="1"/>
  <c r="AY6" i="10" s="1"/>
  <c r="AF7" i="10"/>
  <c r="AG7" i="10"/>
  <c r="AH7" i="10"/>
  <c r="AI7" i="10" s="1"/>
  <c r="AJ7" i="10"/>
  <c r="AK7" i="10" s="1"/>
  <c r="AL7" i="10" s="1"/>
  <c r="AM7" i="10" s="1"/>
  <c r="AN7" i="10" s="1"/>
  <c r="AO7" i="10" s="1"/>
  <c r="AP7" i="10" s="1"/>
  <c r="AQ7" i="10" s="1"/>
  <c r="AR7" i="10" s="1"/>
  <c r="AS7" i="10" s="1"/>
  <c r="AT7" i="10" s="1"/>
  <c r="AU7" i="10" s="1"/>
  <c r="AV7" i="10" s="1"/>
  <c r="AW7" i="10" s="1"/>
  <c r="AX7" i="10" s="1"/>
  <c r="AY7" i="10" s="1"/>
  <c r="AF8" i="10"/>
  <c r="AG8" i="10"/>
  <c r="AH8" i="10"/>
  <c r="AI8" i="10" s="1"/>
  <c r="AJ8" i="10" s="1"/>
  <c r="AK8" i="10" s="1"/>
  <c r="AL8" i="10" s="1"/>
  <c r="AM8" i="10" s="1"/>
  <c r="AN8" i="10" s="1"/>
  <c r="AO8" i="10" s="1"/>
  <c r="AP8" i="10" s="1"/>
  <c r="AQ8" i="10" s="1"/>
  <c r="AR8" i="10" s="1"/>
  <c r="AS8" i="10" s="1"/>
  <c r="AT8" i="10" s="1"/>
  <c r="AU8" i="10" s="1"/>
  <c r="AV8" i="10" s="1"/>
  <c r="AW8" i="10" s="1"/>
  <c r="AX8" i="10" s="1"/>
  <c r="AY8" i="10" s="1"/>
  <c r="AF2" i="11"/>
  <c r="AG2" i="11"/>
  <c r="AH2" i="11"/>
  <c r="AI2" i="11"/>
  <c r="AJ2" i="11"/>
  <c r="AK2" i="11" s="1"/>
  <c r="AL2" i="11" s="1"/>
  <c r="AM2" i="11" s="1"/>
  <c r="AN2" i="11" s="1"/>
  <c r="AO2" i="11" s="1"/>
  <c r="AP2" i="11" s="1"/>
  <c r="AQ2" i="11" s="1"/>
  <c r="AR2" i="11" s="1"/>
  <c r="AS2" i="11" s="1"/>
  <c r="AT2" i="11"/>
  <c r="AU2" i="11" s="1"/>
  <c r="AV2" i="11" s="1"/>
  <c r="AW2" i="11" s="1"/>
  <c r="AX2" i="11" s="1"/>
  <c r="AY2" i="11" s="1"/>
  <c r="AF3" i="11"/>
  <c r="AG3" i="11"/>
  <c r="AH3" i="11"/>
  <c r="AI3" i="11" s="1"/>
  <c r="AJ3" i="11" s="1"/>
  <c r="AK3" i="11"/>
  <c r="AL3" i="11" s="1"/>
  <c r="AM3" i="11"/>
  <c r="AN3" i="11" s="1"/>
  <c r="AO3" i="11" s="1"/>
  <c r="AP3" i="11" s="1"/>
  <c r="AQ3" i="11" s="1"/>
  <c r="AR3" i="11" s="1"/>
  <c r="AS3" i="11" s="1"/>
  <c r="AT3" i="11" s="1"/>
  <c r="AU3" i="11" s="1"/>
  <c r="AV3" i="11" s="1"/>
  <c r="AW3" i="11" s="1"/>
  <c r="AX3" i="11" s="1"/>
  <c r="AY3" i="11" s="1"/>
  <c r="AF4" i="11"/>
  <c r="AG4" i="11"/>
  <c r="AH4" i="11"/>
  <c r="AI4" i="11"/>
  <c r="AJ4" i="11"/>
  <c r="AK4" i="11"/>
  <c r="AL4" i="11"/>
  <c r="AM4" i="11" s="1"/>
  <c r="AN4" i="11" s="1"/>
  <c r="AO4" i="11" s="1"/>
  <c r="AP4" i="11" s="1"/>
  <c r="AQ4" i="11" s="1"/>
  <c r="AR4" i="11" s="1"/>
  <c r="AS4" i="11" s="1"/>
  <c r="AT4" i="11" s="1"/>
  <c r="AU4" i="11" s="1"/>
  <c r="AV4" i="11" s="1"/>
  <c r="AW4" i="11"/>
  <c r="AX4" i="11" s="1"/>
  <c r="AY4" i="11" s="1"/>
  <c r="AF5" i="11"/>
  <c r="AG5" i="11" s="1"/>
  <c r="AH5" i="11" s="1"/>
  <c r="AI5" i="11" s="1"/>
  <c r="AJ5" i="11" s="1"/>
  <c r="AK5" i="11" s="1"/>
  <c r="AL5" i="11"/>
  <c r="AM5" i="11" s="1"/>
  <c r="AN5" i="11" s="1"/>
  <c r="AO5" i="11" s="1"/>
  <c r="AP5" i="11"/>
  <c r="AQ5" i="11" s="1"/>
  <c r="AR5" i="11" s="1"/>
  <c r="AS5" i="11" s="1"/>
  <c r="AT5" i="11" s="1"/>
  <c r="AU5" i="11" s="1"/>
  <c r="AV5" i="11" s="1"/>
  <c r="AW5" i="11" s="1"/>
  <c r="AX5" i="11" s="1"/>
  <c r="AY5" i="11" s="1"/>
  <c r="AF6" i="11"/>
  <c r="AG6" i="11"/>
  <c r="AH6" i="11" s="1"/>
  <c r="AI6" i="11" s="1"/>
  <c r="AJ6" i="11" s="1"/>
  <c r="AK6" i="11"/>
  <c r="AL6" i="11" s="1"/>
  <c r="AM6" i="11" s="1"/>
  <c r="AN6" i="11" s="1"/>
  <c r="AO6" i="11"/>
  <c r="AP6" i="11" s="1"/>
  <c r="AQ6" i="11" s="1"/>
  <c r="AR6" i="11" s="1"/>
  <c r="AS6" i="11" s="1"/>
  <c r="AT6" i="11" s="1"/>
  <c r="AU6" i="11" s="1"/>
  <c r="AV6" i="11" s="1"/>
  <c r="AW6" i="11" s="1"/>
  <c r="AX6" i="11" s="1"/>
  <c r="AY6" i="11" s="1"/>
  <c r="AF7" i="11"/>
  <c r="AG7" i="11" s="1"/>
  <c r="AH7" i="11" s="1"/>
  <c r="AI7" i="11" s="1"/>
  <c r="AJ7" i="11" s="1"/>
  <c r="AK7" i="11"/>
  <c r="AL7" i="11" s="1"/>
  <c r="AM7" i="11" s="1"/>
  <c r="AN7" i="11" s="1"/>
  <c r="AO7" i="11" s="1"/>
  <c r="AP7" i="11" s="1"/>
  <c r="AQ7" i="11" s="1"/>
  <c r="AR7" i="11" s="1"/>
  <c r="AS7" i="11" s="1"/>
  <c r="AT7" i="11" s="1"/>
  <c r="AU7" i="11" s="1"/>
  <c r="AV7" i="11" s="1"/>
  <c r="AW7" i="11"/>
  <c r="AX7" i="11" s="1"/>
  <c r="AY7" i="11" s="1"/>
  <c r="AF8" i="11"/>
  <c r="AG8" i="11"/>
  <c r="AH8" i="11"/>
  <c r="AI8" i="11" s="1"/>
  <c r="AJ8" i="11" s="1"/>
  <c r="AK8" i="11" s="1"/>
  <c r="AL8" i="11" s="1"/>
  <c r="AM8" i="11" s="1"/>
  <c r="AN8" i="11" s="1"/>
  <c r="AO8" i="11" s="1"/>
  <c r="AP8" i="11" s="1"/>
  <c r="AQ8" i="11" s="1"/>
  <c r="AR8" i="11" s="1"/>
  <c r="AS8" i="11" s="1"/>
  <c r="AT8" i="11" s="1"/>
  <c r="AU8" i="11" s="1"/>
  <c r="AV8" i="11" s="1"/>
  <c r="AW8" i="11" s="1"/>
  <c r="AX8" i="11" s="1"/>
  <c r="AY8" i="11" s="1"/>
  <c r="AF2" i="12"/>
  <c r="AG2" i="12" s="1"/>
  <c r="AH2" i="12"/>
  <c r="AI2" i="12" s="1"/>
  <c r="AJ2" i="12" s="1"/>
  <c r="AK2" i="12" s="1"/>
  <c r="AL2" i="12" s="1"/>
  <c r="AM2" i="12" s="1"/>
  <c r="AN2" i="12" s="1"/>
  <c r="AO2" i="12" s="1"/>
  <c r="AP2" i="12" s="1"/>
  <c r="AQ2" i="12" s="1"/>
  <c r="AR2" i="12" s="1"/>
  <c r="AS2" i="12" s="1"/>
  <c r="AT2" i="12" s="1"/>
  <c r="AU2" i="12" s="1"/>
  <c r="AV2" i="12" s="1"/>
  <c r="AW2" i="12" s="1"/>
  <c r="AX2" i="12" s="1"/>
  <c r="AY2" i="12" s="1"/>
  <c r="AF3" i="12"/>
  <c r="AG3" i="12"/>
  <c r="AH3" i="12" s="1"/>
  <c r="AI3" i="12" s="1"/>
  <c r="AJ3" i="12" s="1"/>
  <c r="AK3" i="12" s="1"/>
  <c r="AL3" i="12" s="1"/>
  <c r="AM3" i="12" s="1"/>
  <c r="AN3" i="12" s="1"/>
  <c r="AO3" i="12" s="1"/>
  <c r="AP3" i="12" s="1"/>
  <c r="AQ3" i="12" s="1"/>
  <c r="AR3" i="12" s="1"/>
  <c r="AS3" i="12" s="1"/>
  <c r="AT3" i="12" s="1"/>
  <c r="AU3" i="12" s="1"/>
  <c r="AV3" i="12" s="1"/>
  <c r="AW3" i="12" s="1"/>
  <c r="AX3" i="12" s="1"/>
  <c r="AY3" i="12" s="1"/>
  <c r="AF4" i="12"/>
  <c r="AG4" i="12"/>
  <c r="AH4" i="12" s="1"/>
  <c r="AI4" i="12" s="1"/>
  <c r="AJ4" i="12" s="1"/>
  <c r="AK4" i="12" s="1"/>
  <c r="AL4" i="12" s="1"/>
  <c r="AM4" i="12" s="1"/>
  <c r="AN4" i="12" s="1"/>
  <c r="AO4" i="12" s="1"/>
  <c r="AP4" i="12" s="1"/>
  <c r="AQ4" i="12" s="1"/>
  <c r="AR4" i="12"/>
  <c r="AS4" i="12" s="1"/>
  <c r="AT4" i="12" s="1"/>
  <c r="AU4" i="12" s="1"/>
  <c r="AV4" i="12" s="1"/>
  <c r="AW4" i="12" s="1"/>
  <c r="AX4" i="12" s="1"/>
  <c r="AY4" i="12" s="1"/>
  <c r="AF5" i="12"/>
  <c r="AG5" i="12"/>
  <c r="AH5" i="12" s="1"/>
  <c r="AI5" i="12" s="1"/>
  <c r="AJ5" i="12" s="1"/>
  <c r="AK5" i="12" s="1"/>
  <c r="AL5" i="12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/>
  <c r="AX5" i="12" s="1"/>
  <c r="AY5" i="12" s="1"/>
  <c r="AF6" i="12"/>
  <c r="AG6" i="12"/>
  <c r="AH6" i="12"/>
  <c r="AI6" i="12"/>
  <c r="AJ6" i="12" s="1"/>
  <c r="AK6" i="12" s="1"/>
  <c r="AL6" i="12" s="1"/>
  <c r="AM6" i="12" s="1"/>
  <c r="AN6" i="12" s="1"/>
  <c r="AO6" i="12" s="1"/>
  <c r="AP6" i="12"/>
  <c r="AQ6" i="12" s="1"/>
  <c r="AR6" i="12" s="1"/>
  <c r="AS6" i="12" s="1"/>
  <c r="AT6" i="12" s="1"/>
  <c r="AU6" i="12" s="1"/>
  <c r="AV6" i="12" s="1"/>
  <c r="AW6" i="12" s="1"/>
  <c r="AX6" i="12" s="1"/>
  <c r="AY6" i="12" s="1"/>
  <c r="AF7" i="12"/>
  <c r="AG7" i="12"/>
  <c r="AH7" i="12" s="1"/>
  <c r="AI7" i="12" s="1"/>
  <c r="AJ7" i="12" s="1"/>
  <c r="AK7" i="12" s="1"/>
  <c r="AL7" i="12" s="1"/>
  <c r="AM7" i="12" s="1"/>
  <c r="AN7" i="12" s="1"/>
  <c r="AO7" i="12" s="1"/>
  <c r="AP7" i="12" s="1"/>
  <c r="AQ7" i="12" s="1"/>
  <c r="AR7" i="12" s="1"/>
  <c r="AS7" i="12" s="1"/>
  <c r="AT7" i="12" s="1"/>
  <c r="AU7" i="12"/>
  <c r="AV7" i="12" s="1"/>
  <c r="AW7" i="12" s="1"/>
  <c r="AX7" i="12" s="1"/>
  <c r="AY7" i="12" s="1"/>
  <c r="AF8" i="12"/>
  <c r="AG8" i="12"/>
  <c r="AH8" i="12" s="1"/>
  <c r="AI8" i="12" s="1"/>
  <c r="AJ8" i="12" s="1"/>
  <c r="AK8" i="12" s="1"/>
  <c r="AL8" i="12" s="1"/>
  <c r="AM8" i="12" s="1"/>
  <c r="AN8" i="12" s="1"/>
  <c r="AO8" i="12" s="1"/>
  <c r="AP8" i="12" s="1"/>
  <c r="AQ8" i="12" s="1"/>
  <c r="AR8" i="12" s="1"/>
  <c r="AS8" i="12" s="1"/>
  <c r="AT8" i="12" s="1"/>
  <c r="AU8" i="12" s="1"/>
  <c r="AV8" i="12" s="1"/>
  <c r="AW8" i="12" s="1"/>
  <c r="AX8" i="12" s="1"/>
  <c r="AY8" i="12" s="1"/>
  <c r="AF2" i="13"/>
  <c r="AG2" i="13"/>
  <c r="AH2" i="13" s="1"/>
  <c r="AI2" i="13" s="1"/>
  <c r="AJ2" i="13"/>
  <c r="AK2" i="13" s="1"/>
  <c r="AL2" i="13" s="1"/>
  <c r="AM2" i="13" s="1"/>
  <c r="AN2" i="13"/>
  <c r="AO2" i="13" s="1"/>
  <c r="AP2" i="13" s="1"/>
  <c r="AQ2" i="13" s="1"/>
  <c r="AR2" i="13" s="1"/>
  <c r="AS2" i="13" s="1"/>
  <c r="AT2" i="13" s="1"/>
  <c r="AU2" i="13" s="1"/>
  <c r="AV2" i="13" s="1"/>
  <c r="AW2" i="13" s="1"/>
  <c r="AX2" i="13" s="1"/>
  <c r="AY2" i="13" s="1"/>
  <c r="AF3" i="13"/>
  <c r="AG3" i="13" s="1"/>
  <c r="AH3" i="13" s="1"/>
  <c r="AI3" i="13" s="1"/>
  <c r="AJ3" i="13" s="1"/>
  <c r="AK3" i="13" s="1"/>
  <c r="AL3" i="13" s="1"/>
  <c r="AM3" i="13" s="1"/>
  <c r="AN3" i="13" s="1"/>
  <c r="AO3" i="13" s="1"/>
  <c r="AP3" i="13" s="1"/>
  <c r="AQ3" i="13" s="1"/>
  <c r="AR3" i="13" s="1"/>
  <c r="AS3" i="13" s="1"/>
  <c r="AT3" i="13" s="1"/>
  <c r="AU3" i="13" s="1"/>
  <c r="AV3" i="13" s="1"/>
  <c r="AW3" i="13" s="1"/>
  <c r="AX3" i="13" s="1"/>
  <c r="AY3" i="13" s="1"/>
  <c r="AF4" i="13"/>
  <c r="AG4" i="13" s="1"/>
  <c r="AH4" i="13" s="1"/>
  <c r="AI4" i="13" s="1"/>
  <c r="AJ4" i="13" s="1"/>
  <c r="AK4" i="13" s="1"/>
  <c r="AL4" i="13" s="1"/>
  <c r="AM4" i="13" s="1"/>
  <c r="AN4" i="13" s="1"/>
  <c r="AO4" i="13" s="1"/>
  <c r="AP4" i="13" s="1"/>
  <c r="AQ4" i="13" s="1"/>
  <c r="AR4" i="13"/>
  <c r="AS4" i="13" s="1"/>
  <c r="AT4" i="13" s="1"/>
  <c r="AU4" i="13" s="1"/>
  <c r="AV4" i="13" s="1"/>
  <c r="AW4" i="13" s="1"/>
  <c r="AX4" i="13" s="1"/>
  <c r="AY4" i="13" s="1"/>
  <c r="AF5" i="13"/>
  <c r="AG5" i="13" s="1"/>
  <c r="AH5" i="13" s="1"/>
  <c r="AI5" i="13" s="1"/>
  <c r="AJ5" i="13" s="1"/>
  <c r="AK5" i="13" s="1"/>
  <c r="AL5" i="13" s="1"/>
  <c r="AM5" i="13" s="1"/>
  <c r="AN5" i="13" s="1"/>
  <c r="AO5" i="13" s="1"/>
  <c r="AP5" i="13" s="1"/>
  <c r="AQ5" i="13" s="1"/>
  <c r="AR5" i="13" s="1"/>
  <c r="AS5" i="13" s="1"/>
  <c r="AT5" i="13" s="1"/>
  <c r="AU5" i="13" s="1"/>
  <c r="AV5" i="13" s="1"/>
  <c r="AW5" i="13" s="1"/>
  <c r="AX5" i="13" s="1"/>
  <c r="AY5" i="13" s="1"/>
  <c r="AF6" i="13"/>
  <c r="AG6" i="13" s="1"/>
  <c r="AH6" i="13" s="1"/>
  <c r="AI6" i="13" s="1"/>
  <c r="AJ6" i="13" s="1"/>
  <c r="AK6" i="13" s="1"/>
  <c r="AL6" i="13" s="1"/>
  <c r="AM6" i="13" s="1"/>
  <c r="AN6" i="13" s="1"/>
  <c r="AO6" i="13" s="1"/>
  <c r="AP6" i="13" s="1"/>
  <c r="AQ6" i="13" s="1"/>
  <c r="AR6" i="13" s="1"/>
  <c r="AS6" i="13" s="1"/>
  <c r="AT6" i="13" s="1"/>
  <c r="AU6" i="13" s="1"/>
  <c r="AV6" i="13" s="1"/>
  <c r="AW6" i="13" s="1"/>
  <c r="AX6" i="13" s="1"/>
  <c r="AY6" i="13" s="1"/>
  <c r="AF7" i="13"/>
  <c r="AG7" i="13" s="1"/>
  <c r="AH7" i="13" s="1"/>
  <c r="AI7" i="13" s="1"/>
  <c r="AJ7" i="13"/>
  <c r="AK7" i="13" s="1"/>
  <c r="AL7" i="13" s="1"/>
  <c r="AM7" i="13" s="1"/>
  <c r="AN7" i="13" s="1"/>
  <c r="AO7" i="13" s="1"/>
  <c r="AP7" i="13" s="1"/>
  <c r="AQ7" i="13" s="1"/>
  <c r="AR7" i="13" s="1"/>
  <c r="AS7" i="13" s="1"/>
  <c r="AT7" i="13" s="1"/>
  <c r="AU7" i="13" s="1"/>
  <c r="AV7" i="13"/>
  <c r="AW7" i="13" s="1"/>
  <c r="AX7" i="13" s="1"/>
  <c r="AY7" i="13" s="1"/>
  <c r="AF8" i="13"/>
  <c r="AG8" i="13" s="1"/>
  <c r="AH8" i="13" s="1"/>
  <c r="AI8" i="13" s="1"/>
  <c r="AJ8" i="13" s="1"/>
  <c r="AK8" i="13" s="1"/>
  <c r="AL8" i="13"/>
  <c r="AM8" i="13" s="1"/>
  <c r="AN8" i="13" s="1"/>
  <c r="AO8" i="13" s="1"/>
  <c r="AP8" i="13" s="1"/>
  <c r="AQ8" i="13" s="1"/>
  <c r="AR8" i="13" s="1"/>
  <c r="AS8" i="13" s="1"/>
  <c r="AT8" i="13" s="1"/>
  <c r="AU8" i="13" s="1"/>
  <c r="AV8" i="13"/>
  <c r="AW8" i="13" s="1"/>
  <c r="AX8" i="13" s="1"/>
  <c r="AY8" i="13" s="1"/>
  <c r="AF2" i="14"/>
  <c r="AG2" i="14"/>
  <c r="AH2" i="14"/>
  <c r="AI2" i="14" s="1"/>
  <c r="AJ2" i="14" s="1"/>
  <c r="AK2" i="14" s="1"/>
  <c r="AL2" i="14" s="1"/>
  <c r="AM2" i="14" s="1"/>
  <c r="AN2" i="14"/>
  <c r="AO2" i="14" s="1"/>
  <c r="AP2" i="14" s="1"/>
  <c r="AQ2" i="14" s="1"/>
  <c r="AR2" i="14" s="1"/>
  <c r="AS2" i="14" s="1"/>
  <c r="AT2" i="14" s="1"/>
  <c r="AU2" i="14" s="1"/>
  <c r="AV2" i="14" s="1"/>
  <c r="AW2" i="14" s="1"/>
  <c r="AX2" i="14"/>
  <c r="AY2" i="14" s="1"/>
  <c r="AF3" i="14"/>
  <c r="AG3" i="14"/>
  <c r="AH3" i="14" s="1"/>
  <c r="AI3" i="14" s="1"/>
  <c r="AJ3" i="14"/>
  <c r="AK3" i="14" s="1"/>
  <c r="AL3" i="14" s="1"/>
  <c r="AM3" i="14" s="1"/>
  <c r="AN3" i="14" s="1"/>
  <c r="AO3" i="14" s="1"/>
  <c r="AP3" i="14" s="1"/>
  <c r="AQ3" i="14" s="1"/>
  <c r="AR3" i="14" s="1"/>
  <c r="AS3" i="14" s="1"/>
  <c r="AT3" i="14" s="1"/>
  <c r="AU3" i="14" s="1"/>
  <c r="AV3" i="14" s="1"/>
  <c r="AW3" i="14" s="1"/>
  <c r="AX3" i="14" s="1"/>
  <c r="AY3" i="14" s="1"/>
  <c r="AF4" i="14"/>
  <c r="AG4" i="14" s="1"/>
  <c r="AH4" i="14" s="1"/>
  <c r="AI4" i="14" s="1"/>
  <c r="AJ4" i="14" s="1"/>
  <c r="AK4" i="14" s="1"/>
  <c r="AL4" i="14" s="1"/>
  <c r="AM4" i="14" s="1"/>
  <c r="AN4" i="14" s="1"/>
  <c r="AO4" i="14" s="1"/>
  <c r="AP4" i="14" s="1"/>
  <c r="AQ4" i="14" s="1"/>
  <c r="AR4" i="14" s="1"/>
  <c r="AS4" i="14" s="1"/>
  <c r="AT4" i="14" s="1"/>
  <c r="AU4" i="14" s="1"/>
  <c r="AV4" i="14" s="1"/>
  <c r="AW4" i="14" s="1"/>
  <c r="AX4" i="14" s="1"/>
  <c r="AY4" i="14" s="1"/>
  <c r="AF5" i="14"/>
  <c r="AG5" i="14" s="1"/>
  <c r="AH5" i="14" s="1"/>
  <c r="AI5" i="14" s="1"/>
  <c r="AJ5" i="14" s="1"/>
  <c r="AK5" i="14" s="1"/>
  <c r="AL5" i="14" s="1"/>
  <c r="AM5" i="14" s="1"/>
  <c r="AN5" i="14" s="1"/>
  <c r="AO5" i="14" s="1"/>
  <c r="AP5" i="14" s="1"/>
  <c r="AQ5" i="14" s="1"/>
  <c r="AR5" i="14"/>
  <c r="AS5" i="14" s="1"/>
  <c r="AT5" i="14" s="1"/>
  <c r="AU5" i="14" s="1"/>
  <c r="AV5" i="14" s="1"/>
  <c r="AW5" i="14" s="1"/>
  <c r="AX5" i="14" s="1"/>
  <c r="AY5" i="14" s="1"/>
  <c r="AF6" i="14"/>
  <c r="AG6" i="14" s="1"/>
  <c r="AH6" i="14"/>
  <c r="AI6" i="14" s="1"/>
  <c r="AJ6" i="14" s="1"/>
  <c r="AK6" i="14" s="1"/>
  <c r="AL6" i="14" s="1"/>
  <c r="AM6" i="14" s="1"/>
  <c r="AN6" i="14" s="1"/>
  <c r="AO6" i="14" s="1"/>
  <c r="AP6" i="14" s="1"/>
  <c r="AQ6" i="14" s="1"/>
  <c r="AR6" i="14" s="1"/>
  <c r="AS6" i="14" s="1"/>
  <c r="AT6" i="14" s="1"/>
  <c r="AU6" i="14" s="1"/>
  <c r="AV6" i="14" s="1"/>
  <c r="AW6" i="14" s="1"/>
  <c r="AX6" i="14" s="1"/>
  <c r="AY6" i="14" s="1"/>
  <c r="AF7" i="14"/>
  <c r="AG7" i="14" s="1"/>
  <c r="AH7" i="14" s="1"/>
  <c r="AI7" i="14" s="1"/>
  <c r="AJ7" i="14" s="1"/>
  <c r="AK7" i="14" s="1"/>
  <c r="AL7" i="14" s="1"/>
  <c r="AM7" i="14" s="1"/>
  <c r="AN7" i="14" s="1"/>
  <c r="AO7" i="14" s="1"/>
  <c r="AP7" i="14" s="1"/>
  <c r="AQ7" i="14" s="1"/>
  <c r="AR7" i="14" s="1"/>
  <c r="AS7" i="14" s="1"/>
  <c r="AT7" i="14" s="1"/>
  <c r="AU7" i="14" s="1"/>
  <c r="AV7" i="14" s="1"/>
  <c r="AW7" i="14" s="1"/>
  <c r="AX7" i="14" s="1"/>
  <c r="AY7" i="14" s="1"/>
  <c r="AF8" i="14"/>
  <c r="AG8" i="14" s="1"/>
  <c r="AH8" i="14" s="1"/>
  <c r="AI8" i="14" s="1"/>
  <c r="AJ8" i="14"/>
  <c r="AK8" i="14" s="1"/>
  <c r="AL8" i="14" s="1"/>
  <c r="AM8" i="14" s="1"/>
  <c r="AN8" i="14" s="1"/>
  <c r="AO8" i="14" s="1"/>
  <c r="AP8" i="14" s="1"/>
  <c r="AQ8" i="14" s="1"/>
  <c r="AR8" i="14" s="1"/>
  <c r="AS8" i="14" s="1"/>
  <c r="AT8" i="14" s="1"/>
  <c r="AU8" i="14" s="1"/>
  <c r="AV8" i="14" s="1"/>
  <c r="AW8" i="14" s="1"/>
  <c r="AX8" i="14" s="1"/>
  <c r="AY8" i="14" s="1"/>
  <c r="AF2" i="15"/>
  <c r="AG2" i="15" s="1"/>
  <c r="AH2" i="15" s="1"/>
  <c r="AI2" i="15"/>
  <c r="AJ2" i="15" s="1"/>
  <c r="AK2" i="15" s="1"/>
  <c r="AL2" i="15" s="1"/>
  <c r="AM2" i="15" s="1"/>
  <c r="AN2" i="15" s="1"/>
  <c r="AO2" i="15" s="1"/>
  <c r="AP2" i="15" s="1"/>
  <c r="AQ2" i="15" s="1"/>
  <c r="AR2" i="15" s="1"/>
  <c r="AS2" i="15" s="1"/>
  <c r="AT2" i="15" s="1"/>
  <c r="AU2" i="15" s="1"/>
  <c r="AV2" i="15" s="1"/>
  <c r="AW2" i="15" s="1"/>
  <c r="AX2" i="15" s="1"/>
  <c r="AY2" i="15" s="1"/>
  <c r="AF3" i="15"/>
  <c r="AG3" i="15"/>
  <c r="AH3" i="15" s="1"/>
  <c r="AI3" i="15" s="1"/>
  <c r="AJ3" i="15" s="1"/>
  <c r="AK3" i="15" s="1"/>
  <c r="AL3" i="15" s="1"/>
  <c r="AM3" i="15" s="1"/>
  <c r="AN3" i="15" s="1"/>
  <c r="AO3" i="15" s="1"/>
  <c r="AP3" i="15" s="1"/>
  <c r="AQ3" i="15" s="1"/>
  <c r="AR3" i="15" s="1"/>
  <c r="AS3" i="15" s="1"/>
  <c r="AT3" i="15" s="1"/>
  <c r="AU3" i="15" s="1"/>
  <c r="AV3" i="15" s="1"/>
  <c r="AW3" i="15" s="1"/>
  <c r="AX3" i="15" s="1"/>
  <c r="AY3" i="15" s="1"/>
  <c r="AF4" i="15"/>
  <c r="AG4" i="15"/>
  <c r="AH4" i="15" s="1"/>
  <c r="AI4" i="15"/>
  <c r="AJ4" i="15"/>
  <c r="AK4" i="15" s="1"/>
  <c r="AL4" i="15" s="1"/>
  <c r="AM4" i="15" s="1"/>
  <c r="AN4" i="15" s="1"/>
  <c r="AO4" i="15" s="1"/>
  <c r="AP4" i="15" s="1"/>
  <c r="AQ4" i="15" s="1"/>
  <c r="AR4" i="15" s="1"/>
  <c r="AS4" i="15" s="1"/>
  <c r="AT4" i="15" s="1"/>
  <c r="AU4" i="15" s="1"/>
  <c r="AV4" i="15" s="1"/>
  <c r="AW4" i="15" s="1"/>
  <c r="AX4" i="15" s="1"/>
  <c r="AY4" i="15" s="1"/>
  <c r="AF5" i="15"/>
  <c r="AG5" i="15"/>
  <c r="AH5" i="15"/>
  <c r="AI5" i="15" s="1"/>
  <c r="AJ5" i="15"/>
  <c r="AK5" i="15" s="1"/>
  <c r="AL5" i="15" s="1"/>
  <c r="AM5" i="15" s="1"/>
  <c r="AN5" i="15" s="1"/>
  <c r="AO5" i="15" s="1"/>
  <c r="AP5" i="15" s="1"/>
  <c r="AQ5" i="15" s="1"/>
  <c r="AR5" i="15" s="1"/>
  <c r="AS5" i="15" s="1"/>
  <c r="AT5" i="15" s="1"/>
  <c r="AU5" i="15" s="1"/>
  <c r="AV5" i="15" s="1"/>
  <c r="AW5" i="15" s="1"/>
  <c r="AX5" i="15" s="1"/>
  <c r="AY5" i="15" s="1"/>
  <c r="AF6" i="15"/>
  <c r="AG6" i="15" s="1"/>
  <c r="AH6" i="15" s="1"/>
  <c r="AI6" i="15" s="1"/>
  <c r="AJ6" i="15" s="1"/>
  <c r="AK6" i="15" s="1"/>
  <c r="AL6" i="15" s="1"/>
  <c r="AM6" i="15" s="1"/>
  <c r="AN6" i="15" s="1"/>
  <c r="AO6" i="15" s="1"/>
  <c r="AP6" i="15" s="1"/>
  <c r="AQ6" i="15" s="1"/>
  <c r="AR6" i="15" s="1"/>
  <c r="AS6" i="15" s="1"/>
  <c r="AT6" i="15" s="1"/>
  <c r="AU6" i="15" s="1"/>
  <c r="AV6" i="15" s="1"/>
  <c r="AW6" i="15" s="1"/>
  <c r="AX6" i="15" s="1"/>
  <c r="AY6" i="15" s="1"/>
  <c r="AF7" i="15"/>
  <c r="AG7" i="15"/>
  <c r="AH7" i="15" s="1"/>
  <c r="AI7" i="15"/>
  <c r="AJ7" i="15" s="1"/>
  <c r="AK7" i="15" s="1"/>
  <c r="AL7" i="15" s="1"/>
  <c r="AM7" i="15" s="1"/>
  <c r="AN7" i="15" s="1"/>
  <c r="AO7" i="15" s="1"/>
  <c r="AP7" i="15" s="1"/>
  <c r="AQ7" i="15" s="1"/>
  <c r="AR7" i="15" s="1"/>
  <c r="AS7" i="15" s="1"/>
  <c r="AT7" i="15" s="1"/>
  <c r="AU7" i="15" s="1"/>
  <c r="AV7" i="15" s="1"/>
  <c r="AW7" i="15" s="1"/>
  <c r="AX7" i="15" s="1"/>
  <c r="AY7" i="15" s="1"/>
  <c r="AF8" i="15"/>
  <c r="AG8" i="15"/>
  <c r="AH8" i="15" s="1"/>
  <c r="AI8" i="15" s="1"/>
  <c r="AJ8" i="15" s="1"/>
  <c r="AK8" i="15" s="1"/>
  <c r="AL8" i="15" s="1"/>
  <c r="AM8" i="15" s="1"/>
  <c r="AN8" i="15"/>
  <c r="AO8" i="15" s="1"/>
  <c r="AP8" i="15" s="1"/>
  <c r="AQ8" i="15"/>
  <c r="AR8" i="15" s="1"/>
  <c r="AS8" i="15" s="1"/>
  <c r="AT8" i="15" s="1"/>
  <c r="AU8" i="15" s="1"/>
  <c r="AV8" i="15" s="1"/>
  <c r="AW8" i="15" s="1"/>
  <c r="AX8" i="15" s="1"/>
  <c r="AY8" i="15" s="1"/>
  <c r="AF2" i="2"/>
  <c r="AG2" i="2" s="1"/>
  <c r="AH2" i="2" s="1"/>
  <c r="AI2" i="2" s="1"/>
  <c r="AJ2" i="2"/>
  <c r="AK2" i="2" s="1"/>
  <c r="AL2" i="2" s="1"/>
  <c r="AM2" i="2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F3" i="2"/>
  <c r="AG3" i="2"/>
  <c r="AH3" i="2" s="1"/>
  <c r="AI3" i="2"/>
  <c r="AJ3" i="2" s="1"/>
  <c r="AK3" i="2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F4" i="2"/>
  <c r="AG4" i="2"/>
  <c r="AH4" i="2" s="1"/>
  <c r="AI4" i="2"/>
  <c r="AJ4" i="2" s="1"/>
  <c r="AK4" i="2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F5" i="2"/>
  <c r="AG5" i="2"/>
  <c r="AH5" i="2" s="1"/>
  <c r="AI5" i="2" s="1"/>
  <c r="AJ5" i="2"/>
  <c r="AK5" i="2" s="1"/>
  <c r="AL5" i="2" s="1"/>
  <c r="AM5" i="2" s="1"/>
  <c r="AN5" i="2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F6" i="2"/>
  <c r="AG6" i="2" s="1"/>
  <c r="AH6" i="2" s="1"/>
  <c r="AI6" i="2" s="1"/>
  <c r="AJ6" i="2" s="1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F7" i="2"/>
  <c r="AG7" i="2" s="1"/>
  <c r="AH7" i="2" s="1"/>
  <c r="AI7" i="2" s="1"/>
  <c r="AJ7" i="2" s="1"/>
  <c r="AK7" i="2" s="1"/>
  <c r="AL7" i="2" s="1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F8" i="2"/>
  <c r="AG8" i="2"/>
  <c r="AH8" i="2"/>
  <c r="AI8" i="2"/>
  <c r="AJ8" i="2" s="1"/>
  <c r="AK8" i="2"/>
  <c r="AL8" i="2" s="1"/>
  <c r="AM8" i="2" s="1"/>
  <c r="AN8" i="2"/>
  <c r="AO8" i="2" s="1"/>
  <c r="AP8" i="2" s="1"/>
  <c r="AQ8" i="2" s="1"/>
  <c r="AR8" i="2"/>
  <c r="AS8" i="2" s="1"/>
  <c r="AT8" i="2" s="1"/>
  <c r="AU8" i="2" s="1"/>
  <c r="AV8" i="2" s="1"/>
  <c r="AW8" i="2" s="1"/>
  <c r="AX8" i="2" s="1"/>
  <c r="AY8" i="2" s="1"/>
  <c r="B2" i="10" l="1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B5" i="10"/>
  <c r="H8" i="24"/>
  <c r="I8" i="24"/>
  <c r="J8" i="24" s="1"/>
  <c r="K8" i="24" s="1"/>
  <c r="L8" i="24" s="1"/>
  <c r="M8" i="24" s="1"/>
  <c r="N8" i="24" s="1"/>
  <c r="O8" i="24" s="1"/>
  <c r="P8" i="24" s="1"/>
  <c r="Q8" i="24" s="1"/>
  <c r="R8" i="24" s="1"/>
  <c r="S8" i="24" s="1"/>
  <c r="T8" i="24" s="1"/>
  <c r="U8" i="24" s="1"/>
  <c r="V8" i="24" s="1"/>
  <c r="W8" i="24" s="1"/>
  <c r="X8" i="24" s="1"/>
  <c r="Y8" i="24" s="1"/>
  <c r="Z8" i="24" s="1"/>
  <c r="AA8" i="24" s="1"/>
  <c r="AB8" i="24" s="1"/>
  <c r="AC8" i="24" s="1"/>
  <c r="AD8" i="24" s="1"/>
  <c r="AE8" i="24" s="1"/>
  <c r="AF8" i="24" s="1"/>
  <c r="AG8" i="24" s="1"/>
  <c r="AH8" i="24" s="1"/>
  <c r="AI8" i="24" s="1"/>
  <c r="AJ8" i="24" s="1"/>
  <c r="AK8" i="24" s="1"/>
  <c r="AL8" i="24" s="1"/>
  <c r="AM8" i="24" s="1"/>
  <c r="AN8" i="24" s="1"/>
  <c r="AO8" i="24" s="1"/>
  <c r="AP8" i="24" s="1"/>
  <c r="AQ8" i="24" s="1"/>
  <c r="AR8" i="24" s="1"/>
  <c r="AS8" i="24" s="1"/>
  <c r="AT8" i="24" s="1"/>
  <c r="AU8" i="24" s="1"/>
  <c r="AV8" i="24" s="1"/>
  <c r="AW8" i="24" s="1"/>
  <c r="AX8" i="24" s="1"/>
  <c r="AY8" i="24" s="1"/>
  <c r="AZ8" i="24" s="1"/>
  <c r="BA8" i="24" s="1"/>
  <c r="BB8" i="24" s="1"/>
  <c r="BC8" i="24" s="1"/>
  <c r="BD8" i="24" s="1"/>
  <c r="BE8" i="24" s="1"/>
  <c r="BF8" i="24" s="1"/>
  <c r="BG8" i="24" s="1"/>
  <c r="BH8" i="24" s="1"/>
  <c r="BI8" i="24" s="1"/>
  <c r="BJ8" i="24" s="1"/>
  <c r="BK8" i="24" s="1"/>
  <c r="BL8" i="24" s="1"/>
  <c r="BM8" i="24" s="1"/>
  <c r="BN8" i="24" s="1"/>
  <c r="BO8" i="24" s="1"/>
  <c r="BP8" i="24" s="1"/>
  <c r="BQ8" i="24" s="1"/>
  <c r="BR8" i="24" s="1"/>
  <c r="H9" i="24"/>
  <c r="I9" i="24"/>
  <c r="J9" i="24"/>
  <c r="K9" i="24" s="1"/>
  <c r="L9" i="24" s="1"/>
  <c r="M9" i="24" s="1"/>
  <c r="N9" i="24" s="1"/>
  <c r="O9" i="24" s="1"/>
  <c r="P9" i="24" s="1"/>
  <c r="Q9" i="24" s="1"/>
  <c r="R9" i="24" s="1"/>
  <c r="S9" i="24" s="1"/>
  <c r="T9" i="24" s="1"/>
  <c r="U9" i="24" s="1"/>
  <c r="V9" i="24" s="1"/>
  <c r="W9" i="24" s="1"/>
  <c r="X9" i="24" s="1"/>
  <c r="Y9" i="24" s="1"/>
  <c r="Z9" i="24" s="1"/>
  <c r="AA9" i="24" s="1"/>
  <c r="AB9" i="24" s="1"/>
  <c r="AC9" i="24" s="1"/>
  <c r="AD9" i="24" s="1"/>
  <c r="AE9" i="24" s="1"/>
  <c r="AF9" i="24" s="1"/>
  <c r="AG9" i="24" s="1"/>
  <c r="AH9" i="24" s="1"/>
  <c r="AI9" i="24" s="1"/>
  <c r="AJ9" i="24" s="1"/>
  <c r="AK9" i="24" s="1"/>
  <c r="AL9" i="24" s="1"/>
  <c r="AM9" i="24" s="1"/>
  <c r="AN9" i="24" s="1"/>
  <c r="AO9" i="24" s="1"/>
  <c r="AP9" i="24" s="1"/>
  <c r="AQ9" i="24" s="1"/>
  <c r="AR9" i="24" s="1"/>
  <c r="AS9" i="24" s="1"/>
  <c r="AT9" i="24" s="1"/>
  <c r="AU9" i="24" s="1"/>
  <c r="AV9" i="24" s="1"/>
  <c r="AW9" i="24" s="1"/>
  <c r="AX9" i="24" s="1"/>
  <c r="AY9" i="24" s="1"/>
  <c r="AZ9" i="24" s="1"/>
  <c r="BA9" i="24" s="1"/>
  <c r="BB9" i="24" s="1"/>
  <c r="BC9" i="24" s="1"/>
  <c r="BD9" i="24" s="1"/>
  <c r="BE9" i="24" s="1"/>
  <c r="BF9" i="24" s="1"/>
  <c r="BG9" i="24" s="1"/>
  <c r="BH9" i="24" s="1"/>
  <c r="BI9" i="24" s="1"/>
  <c r="BJ9" i="24" s="1"/>
  <c r="BK9" i="24" s="1"/>
  <c r="BL9" i="24" s="1"/>
  <c r="BM9" i="24" s="1"/>
  <c r="BN9" i="24" s="1"/>
  <c r="BO9" i="24" s="1"/>
  <c r="BP9" i="24" s="1"/>
  <c r="BQ9" i="24" s="1"/>
  <c r="BR9" i="24" s="1"/>
  <c r="G9" i="24"/>
  <c r="G8" i="24"/>
  <c r="F9" i="24"/>
  <c r="F8" i="24"/>
  <c r="B8" i="2" l="1"/>
  <c r="AO3" i="24"/>
  <c r="D16" i="26"/>
  <c r="B2" i="2" l="1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B2" i="14" a="1"/>
  <c r="B3" i="14" s="1"/>
  <c r="B2" i="12" a="1"/>
  <c r="B2" i="12" s="1"/>
  <c r="B2" i="6" a="1"/>
  <c r="B3" i="6" s="1"/>
  <c r="C3" i="6" s="1"/>
  <c r="C3" i="14" l="1"/>
  <c r="D3" i="14" s="1"/>
  <c r="E3" i="14" s="1"/>
  <c r="F3" i="14" s="1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E3" i="14" s="1"/>
  <c r="C2" i="12"/>
  <c r="D2" i="12" s="1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B2" i="14"/>
  <c r="B8" i="14"/>
  <c r="B7" i="14"/>
  <c r="B6" i="14"/>
  <c r="B5" i="14"/>
  <c r="B4" i="14"/>
  <c r="B8" i="12"/>
  <c r="B7" i="12"/>
  <c r="B6" i="12"/>
  <c r="B5" i="12"/>
  <c r="B4" i="12"/>
  <c r="B3" i="12"/>
  <c r="B5" i="6"/>
  <c r="C5" i="6" s="1"/>
  <c r="B4" i="6"/>
  <c r="C4" i="6" s="1"/>
  <c r="B2" i="6"/>
  <c r="C2" i="6" s="1"/>
  <c r="B8" i="6"/>
  <c r="C8" i="6" s="1"/>
  <c r="B7" i="6"/>
  <c r="C7" i="6" s="1"/>
  <c r="B6" i="6"/>
  <c r="C6" i="6" s="1"/>
  <c r="C5" i="14" l="1"/>
  <c r="D5" i="14" s="1"/>
  <c r="E5" i="14" s="1"/>
  <c r="F5" i="14" s="1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C6" i="14"/>
  <c r="D6" i="14" s="1"/>
  <c r="E6" i="14" s="1"/>
  <c r="F6" i="14" s="1"/>
  <c r="G6" i="14" s="1"/>
  <c r="H6" i="14" s="1"/>
  <c r="I6" i="14" s="1"/>
  <c r="J6" i="14" s="1"/>
  <c r="K6" i="14" s="1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C8" i="14"/>
  <c r="D8" i="14" s="1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W8" i="14" s="1"/>
  <c r="X8" i="14" s="1"/>
  <c r="Y8" i="14" s="1"/>
  <c r="Z8" i="14" s="1"/>
  <c r="AA8" i="14" s="1"/>
  <c r="AB8" i="14" s="1"/>
  <c r="AC8" i="14" s="1"/>
  <c r="AD8" i="14" s="1"/>
  <c r="AE8" i="14" s="1"/>
  <c r="C2" i="14"/>
  <c r="D2" i="14" s="1"/>
  <c r="E2" i="14" s="1"/>
  <c r="F2" i="14" s="1"/>
  <c r="G2" i="14" s="1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C7" i="14"/>
  <c r="D7" i="14" s="1"/>
  <c r="E7" i="14" s="1"/>
  <c r="F7" i="14" s="1"/>
  <c r="G7" i="14" s="1"/>
  <c r="H7" i="14" s="1"/>
  <c r="I7" i="14" s="1"/>
  <c r="J7" i="14" s="1"/>
  <c r="K7" i="14" s="1"/>
  <c r="L7" i="14" s="1"/>
  <c r="M7" i="14" s="1"/>
  <c r="N7" i="14" s="1"/>
  <c r="O7" i="14" s="1"/>
  <c r="P7" i="14" s="1"/>
  <c r="Q7" i="14" s="1"/>
  <c r="R7" i="14" s="1"/>
  <c r="S7" i="14" s="1"/>
  <c r="T7" i="14" s="1"/>
  <c r="U7" i="14" s="1"/>
  <c r="V7" i="14" s="1"/>
  <c r="W7" i="14" s="1"/>
  <c r="X7" i="14" s="1"/>
  <c r="Y7" i="14" s="1"/>
  <c r="Z7" i="14" s="1"/>
  <c r="AA7" i="14" s="1"/>
  <c r="AB7" i="14" s="1"/>
  <c r="AC7" i="14" s="1"/>
  <c r="AD7" i="14" s="1"/>
  <c r="AE7" i="14" s="1"/>
  <c r="C4" i="14"/>
  <c r="D4" i="14" s="1"/>
  <c r="E4" i="14" s="1"/>
  <c r="F4" i="14" s="1"/>
  <c r="G4" i="14" s="1"/>
  <c r="H4" i="14" s="1"/>
  <c r="I4" i="14" s="1"/>
  <c r="J4" i="14" s="1"/>
  <c r="K4" i="14" s="1"/>
  <c r="L4" i="14" s="1"/>
  <c r="M4" i="14" s="1"/>
  <c r="N4" i="14" s="1"/>
  <c r="O4" i="14" s="1"/>
  <c r="P4" i="14" s="1"/>
  <c r="Q4" i="14" s="1"/>
  <c r="R4" i="14" s="1"/>
  <c r="S4" i="14" s="1"/>
  <c r="T4" i="14" s="1"/>
  <c r="U4" i="14" s="1"/>
  <c r="V4" i="14" s="1"/>
  <c r="W4" i="14" s="1"/>
  <c r="X4" i="14" s="1"/>
  <c r="Y4" i="14" s="1"/>
  <c r="Z4" i="14" s="1"/>
  <c r="AA4" i="14" s="1"/>
  <c r="AB4" i="14" s="1"/>
  <c r="AC4" i="14" s="1"/>
  <c r="AD4" i="14" s="1"/>
  <c r="AE4" i="14" s="1"/>
  <c r="C3" i="12"/>
  <c r="D3" i="12" s="1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C4" i="12"/>
  <c r="D4" i="12" s="1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C5" i="12"/>
  <c r="D5" i="12" s="1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C6" i="12"/>
  <c r="D6" i="12" s="1"/>
  <c r="E6" i="12" s="1"/>
  <c r="F6" i="12" s="1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C7" i="12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C8" i="12"/>
  <c r="D8" i="12" s="1"/>
  <c r="E8" i="12" s="1"/>
  <c r="F8" i="12" s="1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B2" i="7" a="1"/>
  <c r="B3" i="7" s="1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B2" i="5" a="1"/>
  <c r="B3" i="5" s="1"/>
  <c r="C3" i="7" l="1"/>
  <c r="D3" i="7" s="1"/>
  <c r="E3" i="7" s="1"/>
  <c r="F3" i="7" s="1"/>
  <c r="G3" i="7" s="1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C3" i="5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B2" i="7"/>
  <c r="D2" i="6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B6" i="7"/>
  <c r="B5" i="7"/>
  <c r="B4" i="7"/>
  <c r="B8" i="7"/>
  <c r="B7" i="7"/>
  <c r="D7" i="6"/>
  <c r="E7" i="6" s="1"/>
  <c r="F7" i="6" s="1"/>
  <c r="G7" i="6" s="1"/>
  <c r="H7" i="6" s="1"/>
  <c r="I7" i="6" s="1"/>
  <c r="J7" i="6" s="1"/>
  <c r="K7" i="6" s="1"/>
  <c r="L7" i="6" s="1"/>
  <c r="M7" i="6" s="1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D6" i="6"/>
  <c r="E6" i="6" s="1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D5" i="6"/>
  <c r="E5" i="6" s="1"/>
  <c r="F5" i="6" s="1"/>
  <c r="G5" i="6" s="1"/>
  <c r="H5" i="6" s="1"/>
  <c r="I5" i="6" s="1"/>
  <c r="J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D8" i="6"/>
  <c r="E8" i="6" s="1"/>
  <c r="F8" i="6" s="1"/>
  <c r="G8" i="6" s="1"/>
  <c r="H8" i="6" s="1"/>
  <c r="I8" i="6" s="1"/>
  <c r="J8" i="6" s="1"/>
  <c r="K8" i="6" s="1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D4" i="6"/>
  <c r="E4" i="6" s="1"/>
  <c r="F4" i="6" s="1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B2" i="5"/>
  <c r="B8" i="5"/>
  <c r="B7" i="5"/>
  <c r="B6" i="5"/>
  <c r="B5" i="5"/>
  <c r="B4" i="5"/>
  <c r="C2" i="7" l="1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C7" i="7"/>
  <c r="D7" i="7" s="1"/>
  <c r="E7" i="7" s="1"/>
  <c r="F7" i="7" s="1"/>
  <c r="G7" i="7" s="1"/>
  <c r="H7" i="7" s="1"/>
  <c r="I7" i="7" s="1"/>
  <c r="J7" i="7" s="1"/>
  <c r="K7" i="7" s="1"/>
  <c r="L7" i="7" s="1"/>
  <c r="M7" i="7" s="1"/>
  <c r="N7" i="7" s="1"/>
  <c r="O7" i="7" s="1"/>
  <c r="P7" i="7" s="1"/>
  <c r="Q7" i="7" s="1"/>
  <c r="R7" i="7" s="1"/>
  <c r="S7" i="7" s="1"/>
  <c r="T7" i="7" s="1"/>
  <c r="U7" i="7" s="1"/>
  <c r="V7" i="7" s="1"/>
  <c r="W7" i="7" s="1"/>
  <c r="X7" i="7" s="1"/>
  <c r="Y7" i="7" s="1"/>
  <c r="Z7" i="7" s="1"/>
  <c r="AA7" i="7" s="1"/>
  <c r="AB7" i="7" s="1"/>
  <c r="AC7" i="7" s="1"/>
  <c r="AD7" i="7" s="1"/>
  <c r="AE7" i="7" s="1"/>
  <c r="C8" i="7"/>
  <c r="D8" i="7" s="1"/>
  <c r="E8" i="7" s="1"/>
  <c r="F8" i="7" s="1"/>
  <c r="G8" i="7" s="1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U8" i="7" s="1"/>
  <c r="V8" i="7" s="1"/>
  <c r="W8" i="7" s="1"/>
  <c r="X8" i="7" s="1"/>
  <c r="Y8" i="7" s="1"/>
  <c r="Z8" i="7" s="1"/>
  <c r="AA8" i="7" s="1"/>
  <c r="AB8" i="7" s="1"/>
  <c r="AC8" i="7" s="1"/>
  <c r="AD8" i="7" s="1"/>
  <c r="AE8" i="7" s="1"/>
  <c r="C4" i="7"/>
  <c r="D4" i="7" s="1"/>
  <c r="E4" i="7" s="1"/>
  <c r="F4" i="7" s="1"/>
  <c r="G4" i="7" s="1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C6" i="7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X6" i="7" s="1"/>
  <c r="Y6" i="7" s="1"/>
  <c r="Z6" i="7" s="1"/>
  <c r="AA6" i="7" s="1"/>
  <c r="AB6" i="7" s="1"/>
  <c r="AC6" i="7" s="1"/>
  <c r="AD6" i="7" s="1"/>
  <c r="AE6" i="7" s="1"/>
  <c r="C7" i="5"/>
  <c r="D7" i="5" s="1"/>
  <c r="E7" i="5" s="1"/>
  <c r="F7" i="5" s="1"/>
  <c r="G7" i="5" s="1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C4" i="5"/>
  <c r="D4" i="5" s="1"/>
  <c r="E4" i="5" s="1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C5" i="5"/>
  <c r="D5" i="5" s="1"/>
  <c r="E5" i="5" s="1"/>
  <c r="F5" i="5" s="1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C6" i="5"/>
  <c r="D6" i="5" s="1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C8" i="5"/>
  <c r="D8" i="5" s="1"/>
  <c r="E8" i="5" s="1"/>
  <c r="F8" i="5" s="1"/>
  <c r="G8" i="5" s="1"/>
  <c r="H8" i="5" s="1"/>
  <c r="I8" i="5" s="1"/>
  <c r="J8" i="5" s="1"/>
  <c r="K8" i="5" s="1"/>
  <c r="L8" i="5" s="1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A8" i="5" s="1"/>
  <c r="AB8" i="5" s="1"/>
  <c r="AC8" i="5" s="1"/>
  <c r="AD8" i="5" s="1"/>
  <c r="AE8" i="5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O2" i="24"/>
  <c r="AP2" i="24"/>
  <c r="P4" i="2" s="1"/>
  <c r="AQ2" i="24"/>
  <c r="Q4" i="2" s="1"/>
  <c r="AR2" i="24"/>
  <c r="R4" i="2" s="1"/>
  <c r="AS2" i="24"/>
  <c r="S4" i="2" s="1"/>
  <c r="AT2" i="24"/>
  <c r="T4" i="2" s="1"/>
  <c r="AU2" i="24"/>
  <c r="U4" i="2" s="1"/>
  <c r="AV2" i="24"/>
  <c r="V4" i="2" s="1"/>
  <c r="AW2" i="24"/>
  <c r="W4" i="2" s="1"/>
  <c r="AX2" i="24"/>
  <c r="X4" i="2" s="1"/>
  <c r="AY2" i="24"/>
  <c r="Y4" i="2" s="1"/>
  <c r="AZ2" i="24"/>
  <c r="Z4" i="2" s="1"/>
  <c r="BA2" i="24"/>
  <c r="AA4" i="2" s="1"/>
  <c r="BB2" i="24"/>
  <c r="AB4" i="2" s="1"/>
  <c r="BC2" i="24"/>
  <c r="AC4" i="2" s="1"/>
  <c r="BD2" i="24"/>
  <c r="AD4" i="2" s="1"/>
  <c r="BE2" i="24"/>
  <c r="AE4" i="2" s="1"/>
  <c r="BF2" i="24"/>
  <c r="BG2" i="24"/>
  <c r="BH2" i="24"/>
  <c r="BI2" i="24"/>
  <c r="BJ2" i="24"/>
  <c r="BK2" i="24"/>
  <c r="BL2" i="24"/>
  <c r="BM2" i="24"/>
  <c r="BN2" i="24"/>
  <c r="BO2" i="24"/>
  <c r="BP2" i="24"/>
  <c r="BQ2" i="24"/>
  <c r="BR2" i="24"/>
  <c r="AP3" i="24"/>
  <c r="AQ3" i="24"/>
  <c r="AR3" i="24"/>
  <c r="AS3" i="24"/>
  <c r="AT3" i="24"/>
  <c r="AU3" i="24"/>
  <c r="AV3" i="24"/>
  <c r="AW3" i="24"/>
  <c r="AX3" i="24"/>
  <c r="AY3" i="24"/>
  <c r="AZ3" i="24"/>
  <c r="BA3" i="24"/>
  <c r="BB3" i="24"/>
  <c r="BC3" i="24"/>
  <c r="BD3" i="24"/>
  <c r="BE3" i="24"/>
  <c r="BF3" i="24"/>
  <c r="BG3" i="24"/>
  <c r="BH3" i="24"/>
  <c r="BI3" i="24"/>
  <c r="BJ3" i="24"/>
  <c r="BK3" i="24"/>
  <c r="BL3" i="24"/>
  <c r="BM3" i="24"/>
  <c r="BN3" i="24"/>
  <c r="BO3" i="24"/>
  <c r="BP3" i="24"/>
  <c r="BQ3" i="24"/>
  <c r="BR3" i="24"/>
  <c r="AO4" i="24"/>
  <c r="AP4" i="24"/>
  <c r="AQ4" i="24"/>
  <c r="AR4" i="24"/>
  <c r="AS4" i="24"/>
  <c r="AT4" i="24"/>
  <c r="AU4" i="24"/>
  <c r="AV4" i="24"/>
  <c r="AW4" i="24"/>
  <c r="AX4" i="24"/>
  <c r="AY4" i="24"/>
  <c r="AZ4" i="24"/>
  <c r="BA4" i="24"/>
  <c r="BB4" i="24"/>
  <c r="BC4" i="24"/>
  <c r="BD4" i="24"/>
  <c r="BE4" i="24"/>
  <c r="BF4" i="24"/>
  <c r="BG4" i="24"/>
  <c r="BH4" i="24"/>
  <c r="BI4" i="24"/>
  <c r="BJ4" i="24"/>
  <c r="BK4" i="24"/>
  <c r="BL4" i="24"/>
  <c r="BM4" i="24"/>
  <c r="BN4" i="24"/>
  <c r="BO4" i="24"/>
  <c r="BP4" i="24"/>
  <c r="BQ4" i="24"/>
  <c r="BR4" i="24"/>
  <c r="AO5" i="24"/>
  <c r="AP5" i="24"/>
  <c r="AQ5" i="24"/>
  <c r="AR5" i="24"/>
  <c r="AS5" i="24"/>
  <c r="AT5" i="24"/>
  <c r="AU5" i="24"/>
  <c r="AV5" i="24"/>
  <c r="AW5" i="24"/>
  <c r="AX5" i="24"/>
  <c r="AY5" i="24"/>
  <c r="AZ5" i="24"/>
  <c r="BA5" i="24"/>
  <c r="BB5" i="24"/>
  <c r="BC5" i="24"/>
  <c r="BD5" i="24"/>
  <c r="BE5" i="24"/>
  <c r="BF5" i="24"/>
  <c r="BG5" i="24"/>
  <c r="BH5" i="24"/>
  <c r="BI5" i="24"/>
  <c r="BJ5" i="24"/>
  <c r="BK5" i="24"/>
  <c r="BL5" i="24"/>
  <c r="BM5" i="24"/>
  <c r="BN5" i="24"/>
  <c r="BO5" i="24"/>
  <c r="BP5" i="24"/>
  <c r="BQ5" i="24"/>
  <c r="BR5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BC6" i="24"/>
  <c r="BD6" i="24"/>
  <c r="BE6" i="24"/>
  <c r="BF6" i="24"/>
  <c r="BG6" i="24"/>
  <c r="BH6" i="24"/>
  <c r="BI6" i="24"/>
  <c r="BJ6" i="24"/>
  <c r="BK6" i="24"/>
  <c r="BL6" i="24"/>
  <c r="BM6" i="24"/>
  <c r="BN6" i="24"/>
  <c r="BO6" i="24"/>
  <c r="BP6" i="24"/>
  <c r="BQ6" i="24"/>
  <c r="BR6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BC7" i="24"/>
  <c r="BD7" i="24"/>
  <c r="BE7" i="24"/>
  <c r="BF7" i="24"/>
  <c r="BG7" i="24"/>
  <c r="BH7" i="24"/>
  <c r="BI7" i="24"/>
  <c r="BJ7" i="24"/>
  <c r="BK7" i="24"/>
  <c r="BL7" i="24"/>
  <c r="BM7" i="24"/>
  <c r="BN7" i="24"/>
  <c r="BO7" i="24"/>
  <c r="BP7" i="24"/>
  <c r="BQ7" i="24"/>
  <c r="BR7" i="24"/>
  <c r="AO10" i="24"/>
  <c r="AP10" i="24"/>
  <c r="AQ10" i="24"/>
  <c r="AR10" i="24"/>
  <c r="AS10" i="24"/>
  <c r="AT10" i="24"/>
  <c r="AU10" i="24"/>
  <c r="AV10" i="24"/>
  <c r="AW10" i="24"/>
  <c r="AX10" i="24"/>
  <c r="AY10" i="24"/>
  <c r="AZ10" i="24"/>
  <c r="BA10" i="24"/>
  <c r="BB10" i="24"/>
  <c r="BC10" i="24"/>
  <c r="BD10" i="24"/>
  <c r="BE10" i="24"/>
  <c r="BF10" i="24"/>
  <c r="BG10" i="24"/>
  <c r="BH10" i="24"/>
  <c r="BI10" i="24"/>
  <c r="BJ10" i="24"/>
  <c r="BK10" i="24"/>
  <c r="BL10" i="24"/>
  <c r="BM10" i="24"/>
  <c r="BN10" i="24"/>
  <c r="BO10" i="24"/>
  <c r="BP10" i="24"/>
  <c r="BQ10" i="24"/>
  <c r="BR10" i="24"/>
  <c r="AO11" i="24"/>
  <c r="AP11" i="24"/>
  <c r="AQ11" i="24"/>
  <c r="AR11" i="24"/>
  <c r="AS11" i="24"/>
  <c r="AT11" i="24"/>
  <c r="AU11" i="24"/>
  <c r="AV11" i="24"/>
  <c r="AW11" i="24"/>
  <c r="AX11" i="24"/>
  <c r="AY11" i="24"/>
  <c r="AZ11" i="24"/>
  <c r="BA11" i="24"/>
  <c r="BB11" i="24"/>
  <c r="BC11" i="24"/>
  <c r="BD11" i="24"/>
  <c r="BE11" i="24"/>
  <c r="BF11" i="24"/>
  <c r="BG11" i="24"/>
  <c r="BH11" i="24"/>
  <c r="BI11" i="24"/>
  <c r="BJ11" i="24"/>
  <c r="BK11" i="24"/>
  <c r="BL11" i="24"/>
  <c r="BM11" i="24"/>
  <c r="BN11" i="24"/>
  <c r="BO11" i="24"/>
  <c r="BP11" i="24"/>
  <c r="BQ11" i="24"/>
  <c r="BR11" i="24"/>
  <c r="AO12" i="24"/>
  <c r="AP12" i="24"/>
  <c r="AQ12" i="24"/>
  <c r="AR12" i="24"/>
  <c r="AS12" i="24"/>
  <c r="AT12" i="24"/>
  <c r="AU12" i="24"/>
  <c r="AV12" i="24"/>
  <c r="AW12" i="24"/>
  <c r="AX12" i="24"/>
  <c r="AY12" i="24"/>
  <c r="AZ12" i="24"/>
  <c r="BA12" i="24"/>
  <c r="BB12" i="24"/>
  <c r="BC12" i="24"/>
  <c r="BD12" i="24"/>
  <c r="BE12" i="24"/>
  <c r="BF12" i="24"/>
  <c r="BG12" i="24"/>
  <c r="BH12" i="24"/>
  <c r="BI12" i="24"/>
  <c r="BJ12" i="24"/>
  <c r="BK12" i="24"/>
  <c r="BL12" i="24"/>
  <c r="BM12" i="24"/>
  <c r="BN12" i="24"/>
  <c r="BO12" i="24"/>
  <c r="BP12" i="24"/>
  <c r="BQ12" i="24"/>
  <c r="BR12" i="24"/>
  <c r="AO13" i="24"/>
  <c r="AP13" i="24"/>
  <c r="AQ13" i="24"/>
  <c r="AR13" i="24"/>
  <c r="AS13" i="24"/>
  <c r="AT13" i="24"/>
  <c r="AU13" i="24"/>
  <c r="AV13" i="24"/>
  <c r="AW13" i="24"/>
  <c r="AX13" i="24"/>
  <c r="AY13" i="24"/>
  <c r="AZ13" i="24"/>
  <c r="BA13" i="24"/>
  <c r="BB13" i="24"/>
  <c r="BC13" i="24"/>
  <c r="BD13" i="24"/>
  <c r="BE13" i="24"/>
  <c r="BF13" i="24"/>
  <c r="BG13" i="24"/>
  <c r="BH13" i="24"/>
  <c r="BI13" i="24"/>
  <c r="BJ13" i="24"/>
  <c r="BK13" i="24"/>
  <c r="BL13" i="24"/>
  <c r="BM13" i="24"/>
  <c r="BN13" i="24"/>
  <c r="BO13" i="24"/>
  <c r="BP13" i="24"/>
  <c r="BQ13" i="24"/>
  <c r="BR13" i="24"/>
  <c r="AO14" i="24"/>
  <c r="AP14" i="24"/>
  <c r="AQ14" i="24"/>
  <c r="AR14" i="24"/>
  <c r="AS14" i="24"/>
  <c r="AT14" i="24"/>
  <c r="AU14" i="24"/>
  <c r="AV14" i="24"/>
  <c r="AW14" i="24"/>
  <c r="AX14" i="24"/>
  <c r="AY14" i="24"/>
  <c r="AZ14" i="24"/>
  <c r="BA14" i="24"/>
  <c r="BB14" i="24"/>
  <c r="BC14" i="24"/>
  <c r="BD14" i="24"/>
  <c r="BE14" i="24"/>
  <c r="BF14" i="24"/>
  <c r="BG14" i="24"/>
  <c r="BH14" i="24"/>
  <c r="BI14" i="24"/>
  <c r="BJ14" i="24"/>
  <c r="BK14" i="24"/>
  <c r="BL14" i="24"/>
  <c r="BM14" i="24"/>
  <c r="BN14" i="24"/>
  <c r="BO14" i="24"/>
  <c r="BP14" i="24"/>
  <c r="BQ14" i="24"/>
  <c r="BR14" i="24"/>
  <c r="AC13" i="24" l="1"/>
  <c r="AK13" i="24"/>
  <c r="AD13" i="24"/>
  <c r="AL13" i="24"/>
  <c r="AJ13" i="24"/>
  <c r="AE13" i="24"/>
  <c r="AM13" i="24"/>
  <c r="AB13" i="24"/>
  <c r="X13" i="24"/>
  <c r="AF13" i="24"/>
  <c r="AN13" i="24"/>
  <c r="Y13" i="24"/>
  <c r="AG13" i="24"/>
  <c r="W13" i="24"/>
  <c r="Z13" i="24"/>
  <c r="AH13" i="24"/>
  <c r="AA13" i="24"/>
  <c r="AI13" i="24"/>
  <c r="W5" i="24"/>
  <c r="X5" i="24" s="1"/>
  <c r="Y5" i="24" s="1"/>
  <c r="Z5" i="24" s="1"/>
  <c r="AA5" i="24" s="1"/>
  <c r="AB5" i="24" s="1"/>
  <c r="AC5" i="24" s="1"/>
  <c r="AD5" i="24" s="1"/>
  <c r="AE5" i="24" s="1"/>
  <c r="AF5" i="24" s="1"/>
  <c r="AG5" i="24" s="1"/>
  <c r="AH5" i="24" s="1"/>
  <c r="AI5" i="24" s="1"/>
  <c r="AJ5" i="24" s="1"/>
  <c r="AK5" i="24" s="1"/>
  <c r="AL5" i="24" s="1"/>
  <c r="AM5" i="24" s="1"/>
  <c r="AN5" i="24" s="1"/>
  <c r="AN4" i="24" s="1"/>
  <c r="W7" i="24"/>
  <c r="AE7" i="24"/>
  <c r="AM7" i="24"/>
  <c r="X7" i="24"/>
  <c r="AF7" i="24"/>
  <c r="AN7" i="24"/>
  <c r="AD7" i="24"/>
  <c r="Q7" i="24"/>
  <c r="Y7" i="24"/>
  <c r="AG7" i="24"/>
  <c r="P7" i="24"/>
  <c r="R7" i="24"/>
  <c r="Z7" i="24"/>
  <c r="AH7" i="24"/>
  <c r="S7" i="24"/>
  <c r="AA7" i="24"/>
  <c r="AI7" i="24"/>
  <c r="AL7" i="24"/>
  <c r="T7" i="24"/>
  <c r="AB7" i="24"/>
  <c r="AJ7" i="24"/>
  <c r="V7" i="24"/>
  <c r="U7" i="24"/>
  <c r="AC7" i="24"/>
  <c r="AK7" i="24"/>
  <c r="O4" i="2"/>
  <c r="O6" i="2" s="1"/>
  <c r="AB2" i="24"/>
  <c r="AC2" i="24" s="1"/>
  <c r="AD2" i="24" s="1"/>
  <c r="AE2" i="24" s="1"/>
  <c r="AF2" i="24" s="1"/>
  <c r="AG2" i="24" s="1"/>
  <c r="AH2" i="24" s="1"/>
  <c r="AI2" i="24" s="1"/>
  <c r="AJ2" i="24" s="1"/>
  <c r="AK2" i="24" s="1"/>
  <c r="AL2" i="24" s="1"/>
  <c r="AM2" i="24" s="1"/>
  <c r="AN2" i="24" s="1"/>
  <c r="AD14" i="24"/>
  <c r="AL14" i="24"/>
  <c r="AC14" i="24"/>
  <c r="W14" i="24"/>
  <c r="AE14" i="24"/>
  <c r="AM14" i="24"/>
  <c r="X14" i="24"/>
  <c r="AF14" i="24"/>
  <c r="AN14" i="24"/>
  <c r="Y14" i="24"/>
  <c r="AG14" i="24"/>
  <c r="Z14" i="24"/>
  <c r="AH14" i="24"/>
  <c r="AA14" i="24"/>
  <c r="AI14" i="24"/>
  <c r="AK14" i="24"/>
  <c r="AB14" i="24"/>
  <c r="AJ14" i="24"/>
  <c r="L10" i="24"/>
  <c r="T10" i="24"/>
  <c r="AB10" i="24"/>
  <c r="AJ10" i="24"/>
  <c r="M10" i="24"/>
  <c r="U10" i="24"/>
  <c r="AC10" i="24"/>
  <c r="AK10" i="24"/>
  <c r="S10" i="24"/>
  <c r="N10" i="24"/>
  <c r="V10" i="24"/>
  <c r="AD10" i="24"/>
  <c r="AL10" i="24"/>
  <c r="K10" i="24"/>
  <c r="G10" i="24"/>
  <c r="O10" i="24"/>
  <c r="W10" i="24"/>
  <c r="AE10" i="24"/>
  <c r="AM10" i="24"/>
  <c r="AI10" i="24"/>
  <c r="H10" i="24"/>
  <c r="P10" i="24"/>
  <c r="X10" i="24"/>
  <c r="AF10" i="24"/>
  <c r="AN10" i="24"/>
  <c r="AA10" i="24"/>
  <c r="I10" i="24"/>
  <c r="Q10" i="24"/>
  <c r="Y10" i="24"/>
  <c r="AG10" i="24"/>
  <c r="J10" i="24"/>
  <c r="R10" i="24"/>
  <c r="Z10" i="24"/>
  <c r="AH10" i="24"/>
  <c r="F10" i="24"/>
  <c r="V6" i="24"/>
  <c r="AD6" i="24"/>
  <c r="AL6" i="24"/>
  <c r="W6" i="24"/>
  <c r="AE6" i="24"/>
  <c r="AM6" i="24"/>
  <c r="X6" i="24"/>
  <c r="AF6" i="24"/>
  <c r="AN6" i="24"/>
  <c r="AC6" i="24"/>
  <c r="Q6" i="24"/>
  <c r="Y6" i="24"/>
  <c r="AG6" i="24"/>
  <c r="P6" i="24"/>
  <c r="AK6" i="24"/>
  <c r="R6" i="24"/>
  <c r="Z6" i="24"/>
  <c r="AH6" i="24"/>
  <c r="S6" i="24"/>
  <c r="AA6" i="24"/>
  <c r="AI6" i="24"/>
  <c r="U6" i="24"/>
  <c r="T6" i="24"/>
  <c r="AB6" i="24"/>
  <c r="AJ6" i="24"/>
  <c r="AD3" i="24" a="1"/>
  <c r="AD3" i="24" s="1"/>
  <c r="AJ3" i="24" a="1"/>
  <c r="AJ3" i="24" s="1"/>
  <c r="AK3" i="24" a="1"/>
  <c r="AK3" i="24" s="1"/>
  <c r="AM3" i="24" a="1"/>
  <c r="AM3" i="24" s="1"/>
  <c r="AF3" i="24" a="1"/>
  <c r="AF3" i="24" s="1"/>
  <c r="AL3" i="24" a="1"/>
  <c r="AL3" i="24" s="1"/>
  <c r="AN3" i="24" a="1"/>
  <c r="AN3" i="24" s="1"/>
  <c r="AI3" i="24" a="1"/>
  <c r="AI3" i="24" s="1"/>
  <c r="AC3" i="24" a="1"/>
  <c r="AC3" i="24" s="1"/>
  <c r="AG3" i="24" a="1"/>
  <c r="AG3" i="24" s="1"/>
  <c r="AA3" i="24" a="1"/>
  <c r="AA3" i="24" s="1"/>
  <c r="AE3" i="24" a="1"/>
  <c r="AE3" i="24" s="1"/>
  <c r="AH3" i="24" a="1"/>
  <c r="AH3" i="24" s="1"/>
  <c r="AB3" i="24" a="1"/>
  <c r="AB3" i="24" s="1"/>
  <c r="K11" i="24"/>
  <c r="S11" i="24"/>
  <c r="AA11" i="24"/>
  <c r="AI11" i="24"/>
  <c r="G11" i="24"/>
  <c r="Z11" i="24"/>
  <c r="L11" i="24"/>
  <c r="T11" i="24"/>
  <c r="AB11" i="24"/>
  <c r="AJ11" i="24"/>
  <c r="AH11" i="24"/>
  <c r="M11" i="24"/>
  <c r="U11" i="24"/>
  <c r="AC11" i="24"/>
  <c r="AK11" i="24"/>
  <c r="N11" i="24"/>
  <c r="V11" i="24"/>
  <c r="AD11" i="24"/>
  <c r="AL11" i="24"/>
  <c r="O11" i="24"/>
  <c r="W11" i="24"/>
  <c r="AE11" i="24"/>
  <c r="AM11" i="24"/>
  <c r="J11" i="24"/>
  <c r="H11" i="24"/>
  <c r="P11" i="24"/>
  <c r="X11" i="24"/>
  <c r="AF11" i="24"/>
  <c r="AN11" i="24"/>
  <c r="R11" i="24"/>
  <c r="I11" i="24"/>
  <c r="Q11" i="24"/>
  <c r="Y11" i="24"/>
  <c r="AG11" i="24"/>
  <c r="J12" i="24"/>
  <c r="R12" i="24"/>
  <c r="Z12" i="24"/>
  <c r="AH12" i="24"/>
  <c r="AG12" i="24"/>
  <c r="K12" i="24"/>
  <c r="S12" i="24"/>
  <c r="AA12" i="24"/>
  <c r="AI12" i="24"/>
  <c r="L12" i="24"/>
  <c r="T12" i="24"/>
  <c r="AB12" i="24"/>
  <c r="AJ12" i="24"/>
  <c r="Q12" i="24"/>
  <c r="M12" i="24"/>
  <c r="U12" i="24"/>
  <c r="AC12" i="24"/>
  <c r="AK12" i="24"/>
  <c r="N12" i="24"/>
  <c r="V12" i="24"/>
  <c r="AD12" i="24"/>
  <c r="AL12" i="24"/>
  <c r="I12" i="24"/>
  <c r="O12" i="24"/>
  <c r="W12" i="24"/>
  <c r="AE12" i="24"/>
  <c r="AM12" i="24"/>
  <c r="Y12" i="24"/>
  <c r="H12" i="24"/>
  <c r="P12" i="24"/>
  <c r="X12" i="24"/>
  <c r="AF12" i="24"/>
  <c r="AN12" i="24"/>
  <c r="G12" i="24"/>
  <c r="P5" i="2"/>
  <c r="P3" i="2"/>
  <c r="P6" i="2"/>
  <c r="P7" i="2"/>
  <c r="AE7" i="2"/>
  <c r="AE6" i="2"/>
  <c r="AE3" i="2"/>
  <c r="AE5" i="2"/>
  <c r="W5" i="2"/>
  <c r="W7" i="2"/>
  <c r="W3" i="2"/>
  <c r="W6" i="2"/>
  <c r="AC7" i="2"/>
  <c r="AC3" i="2"/>
  <c r="AC5" i="2"/>
  <c r="AC6" i="2"/>
  <c r="U7" i="2"/>
  <c r="U5" i="2"/>
  <c r="U3" i="2"/>
  <c r="U6" i="2"/>
  <c r="T7" i="2"/>
  <c r="T3" i="2"/>
  <c r="T6" i="2"/>
  <c r="T5" i="2"/>
  <c r="AA3" i="2"/>
  <c r="AA6" i="2"/>
  <c r="AA5" i="2"/>
  <c r="AA7" i="2"/>
  <c r="Z6" i="2"/>
  <c r="Z5" i="2"/>
  <c r="Z3" i="2"/>
  <c r="Z7" i="2"/>
  <c r="R6" i="2"/>
  <c r="R5" i="2"/>
  <c r="R7" i="2"/>
  <c r="R3" i="2"/>
  <c r="AB7" i="2"/>
  <c r="AB3" i="2"/>
  <c r="AB6" i="2"/>
  <c r="AB5" i="2"/>
  <c r="S3" i="2"/>
  <c r="S6" i="2"/>
  <c r="S5" i="2"/>
  <c r="S7" i="2"/>
  <c r="Y5" i="2"/>
  <c r="Y3" i="2"/>
  <c r="Y6" i="2"/>
  <c r="Y7" i="2"/>
  <c r="Q5" i="2"/>
  <c r="Q3" i="2"/>
  <c r="Q6" i="2"/>
  <c r="Q7" i="2"/>
  <c r="X5" i="2"/>
  <c r="X7" i="2"/>
  <c r="X3" i="2"/>
  <c r="X6" i="2"/>
  <c r="O5" i="2"/>
  <c r="O3" i="2"/>
  <c r="AD7" i="2"/>
  <c r="AD5" i="2"/>
  <c r="AD3" i="2"/>
  <c r="AD6" i="2"/>
  <c r="V7" i="2"/>
  <c r="V3" i="2"/>
  <c r="V5" i="2"/>
  <c r="V6" i="2"/>
  <c r="O7" i="2" l="1"/>
  <c r="N4" i="2"/>
  <c r="B16" i="26"/>
  <c r="C16" i="26"/>
  <c r="AA2" i="24" s="1"/>
  <c r="B4" i="2" l="1"/>
  <c r="B6" i="2" s="1"/>
  <c r="N7" i="2"/>
  <c r="N3" i="2"/>
  <c r="N6" i="2"/>
  <c r="N5" i="2"/>
  <c r="B7" i="2" l="1"/>
  <c r="B5" i="2"/>
  <c r="B3" i="2"/>
  <c r="X5" i="8"/>
  <c r="D4" i="2" l="1"/>
  <c r="D7" i="2" s="1"/>
  <c r="C4" i="2"/>
  <c r="C3" i="2" s="1"/>
  <c r="E4" i="2"/>
  <c r="Y5" i="9"/>
  <c r="Z5" i="9"/>
  <c r="AA5" i="9"/>
  <c r="AC5" i="9"/>
  <c r="AD5" i="9"/>
  <c r="AE5" i="9"/>
  <c r="C7" i="2" l="1"/>
  <c r="C5" i="2"/>
  <c r="C6" i="2"/>
  <c r="D5" i="2"/>
  <c r="D6" i="2"/>
  <c r="D3" i="2"/>
  <c r="E7" i="2"/>
  <c r="E3" i="2"/>
  <c r="E6" i="2"/>
  <c r="E5" i="2"/>
  <c r="F4" i="2"/>
  <c r="AB5" i="8"/>
  <c r="AA5" i="8"/>
  <c r="AE5" i="8"/>
  <c r="AD5" i="8"/>
  <c r="Z5" i="8"/>
  <c r="AC5" i="8"/>
  <c r="AB5" i="9"/>
  <c r="Y5" i="8"/>
  <c r="B31" i="26"/>
  <c r="B27" i="26"/>
  <c r="F7" i="2" l="1"/>
  <c r="F5" i="2"/>
  <c r="F3" i="2"/>
  <c r="F6" i="2"/>
  <c r="G4" i="2"/>
  <c r="L5" i="8"/>
  <c r="R5" i="8"/>
  <c r="P5" i="8"/>
  <c r="B5" i="8"/>
  <c r="T5" i="8"/>
  <c r="M5" i="8"/>
  <c r="C5" i="8"/>
  <c r="K5" i="8"/>
  <c r="Q5" i="8"/>
  <c r="F5" i="8"/>
  <c r="V5" i="8"/>
  <c r="G5" i="8"/>
  <c r="O5" i="8"/>
  <c r="S5" i="8"/>
  <c r="U5" i="8"/>
  <c r="D5" i="8"/>
  <c r="H5" i="8"/>
  <c r="E5" i="8"/>
  <c r="N5" i="8"/>
  <c r="I5" i="8"/>
  <c r="W5" i="8"/>
  <c r="J5" i="8"/>
  <c r="B20" i="26"/>
  <c r="G5" i="2" l="1"/>
  <c r="G7" i="2"/>
  <c r="G3" i="2"/>
  <c r="G6" i="2"/>
  <c r="H4" i="2"/>
  <c r="B21" i="26"/>
  <c r="B22" i="26" s="1"/>
  <c r="V5" i="24" s="1"/>
  <c r="AM4" i="24" s="1"/>
  <c r="H5" i="2" l="1"/>
  <c r="H3" i="2"/>
  <c r="H6" i="2"/>
  <c r="H7" i="2"/>
  <c r="I4" i="2"/>
  <c r="U5" i="24"/>
  <c r="I5" i="2" l="1"/>
  <c r="I3" i="2"/>
  <c r="I6" i="2"/>
  <c r="I7" i="2"/>
  <c r="J4" i="2"/>
  <c r="T5" i="24"/>
  <c r="J6" i="2" l="1"/>
  <c r="J7" i="2"/>
  <c r="J5" i="2"/>
  <c r="J3" i="2"/>
  <c r="K4" i="2"/>
  <c r="S5" i="24"/>
  <c r="Y2" i="8"/>
  <c r="Y8" i="8"/>
  <c r="AB2" i="9"/>
  <c r="AB8" i="9"/>
  <c r="AE2" i="8"/>
  <c r="AE8" i="8"/>
  <c r="X8" i="8"/>
  <c r="X2" i="8"/>
  <c r="AA2" i="9"/>
  <c r="AA8" i="9"/>
  <c r="AD8" i="8"/>
  <c r="AD2" i="8"/>
  <c r="Z2" i="9"/>
  <c r="Z8" i="9"/>
  <c r="AC2" i="8"/>
  <c r="AC8" i="8"/>
  <c r="AB8" i="8"/>
  <c r="AB2" i="8"/>
  <c r="AE2" i="9"/>
  <c r="AE8" i="9"/>
  <c r="Z8" i="8"/>
  <c r="Z2" i="8"/>
  <c r="AD2" i="9"/>
  <c r="AD8" i="9"/>
  <c r="AC8" i="9"/>
  <c r="AC2" i="9"/>
  <c r="K3" i="2" l="1"/>
  <c r="K6" i="2"/>
  <c r="K7" i="2"/>
  <c r="K5" i="2"/>
  <c r="M4" i="2"/>
  <c r="L4" i="2"/>
  <c r="R5" i="24"/>
  <c r="H8" i="8"/>
  <c r="H2" i="8"/>
  <c r="K8" i="8"/>
  <c r="K2" i="8"/>
  <c r="C8" i="10"/>
  <c r="V8" i="8"/>
  <c r="V2" i="8"/>
  <c r="L8" i="8"/>
  <c r="L2" i="8"/>
  <c r="I2" i="8"/>
  <c r="I8" i="8"/>
  <c r="Z8" i="10"/>
  <c r="S8" i="10"/>
  <c r="J8" i="10"/>
  <c r="J8" i="8"/>
  <c r="J2" i="8"/>
  <c r="H8" i="10"/>
  <c r="S8" i="8"/>
  <c r="S2" i="8"/>
  <c r="F8" i="8"/>
  <c r="F2" i="8"/>
  <c r="D8" i="8"/>
  <c r="D2" i="8"/>
  <c r="R8" i="10"/>
  <c r="AD8" i="10"/>
  <c r="B8" i="10"/>
  <c r="O2" i="8"/>
  <c r="O8" i="8"/>
  <c r="AC8" i="10"/>
  <c r="T8" i="8"/>
  <c r="T2" i="8"/>
  <c r="U2" i="8"/>
  <c r="U8" i="8"/>
  <c r="G8" i="8"/>
  <c r="G2" i="8"/>
  <c r="Q8" i="10"/>
  <c r="Y8" i="10"/>
  <c r="F8" i="10"/>
  <c r="V8" i="10"/>
  <c r="I8" i="10"/>
  <c r="D8" i="10"/>
  <c r="AA8" i="8"/>
  <c r="AA2" i="8"/>
  <c r="M2" i="8"/>
  <c r="M8" i="8"/>
  <c r="C8" i="8"/>
  <c r="C2" i="8"/>
  <c r="W2" i="8"/>
  <c r="W8" i="8"/>
  <c r="AE8" i="10"/>
  <c r="E8" i="8"/>
  <c r="E2" i="8"/>
  <c r="B8" i="8"/>
  <c r="B2" i="8"/>
  <c r="P8" i="8"/>
  <c r="P2" i="8"/>
  <c r="W8" i="10"/>
  <c r="U8" i="10"/>
  <c r="AB8" i="10"/>
  <c r="X8" i="10"/>
  <c r="M8" i="10"/>
  <c r="T8" i="10"/>
  <c r="AA8" i="10"/>
  <c r="Q2" i="8"/>
  <c r="Q8" i="8"/>
  <c r="N8" i="8"/>
  <c r="N2" i="8"/>
  <c r="R8" i="8"/>
  <c r="R2" i="8"/>
  <c r="P8" i="10"/>
  <c r="G8" i="10"/>
  <c r="E8" i="10"/>
  <c r="L8" i="10"/>
  <c r="O8" i="10"/>
  <c r="Y2" i="9"/>
  <c r="Y8" i="9"/>
  <c r="N8" i="10"/>
  <c r="K8" i="10"/>
  <c r="L7" i="2" l="1"/>
  <c r="L3" i="2"/>
  <c r="L6" i="2"/>
  <c r="L5" i="2"/>
  <c r="M7" i="2"/>
  <c r="M3" i="2"/>
  <c r="M6" i="2"/>
  <c r="M5" i="2"/>
  <c r="Q5" i="24"/>
  <c r="P5" i="24" l="1"/>
  <c r="O5" i="24" l="1"/>
  <c r="N5" i="24" l="1"/>
  <c r="M5" i="24" l="1"/>
  <c r="L5" i="24" s="1"/>
  <c r="AL4" i="24" l="1"/>
  <c r="AK4" i="24" l="1"/>
  <c r="AJ4" i="24" l="1"/>
  <c r="AI4" i="24" l="1"/>
  <c r="AH4" i="24" l="1"/>
  <c r="AG4" i="24" l="1"/>
  <c r="AF4" i="24" l="1"/>
  <c r="AE4" i="24" l="1"/>
  <c r="AD4" i="24" l="1"/>
  <c r="AC4" i="24" l="1"/>
  <c r="AB4" i="24" l="1"/>
  <c r="AA4" i="24" l="1"/>
  <c r="Z4" i="24" l="1"/>
  <c r="Y4" i="24" l="1"/>
  <c r="X4" i="24" l="1"/>
  <c r="W4" i="24" l="1"/>
  <c r="V4" i="24" l="1"/>
  <c r="U4" i="24" l="1"/>
  <c r="T4" i="24" l="1"/>
  <c r="S4" i="24" l="1"/>
  <c r="R4" i="24" l="1"/>
  <c r="Q4" i="24" l="1"/>
  <c r="P4" i="24" l="1"/>
  <c r="O4" i="24" l="1"/>
  <c r="N4" i="24" l="1"/>
  <c r="M4" i="24" l="1"/>
  <c r="L4" i="24" s="1"/>
  <c r="B5" i="9" l="1"/>
  <c r="B2" i="9" s="1"/>
  <c r="C5" i="9"/>
  <c r="C2" i="9" s="1"/>
  <c r="D5" i="9"/>
  <c r="D2" i="9" s="1"/>
  <c r="E5" i="9"/>
  <c r="E2" i="9" s="1"/>
  <c r="F5" i="9"/>
  <c r="F2" i="9" s="1"/>
  <c r="G5" i="9"/>
  <c r="H5" i="9"/>
  <c r="H2" i="9" s="1"/>
  <c r="I5" i="9"/>
  <c r="I2" i="9" s="1"/>
  <c r="J5" i="9"/>
  <c r="J2" i="9" s="1"/>
  <c r="K5" i="9"/>
  <c r="K2" i="9" s="1"/>
  <c r="L5" i="9"/>
  <c r="L2" i="9" s="1"/>
  <c r="M5" i="9"/>
  <c r="M2" i="9" s="1"/>
  <c r="N5" i="9"/>
  <c r="N2" i="9" s="1"/>
  <c r="O5" i="9"/>
  <c r="P5" i="9"/>
  <c r="P2" i="9" s="1"/>
  <c r="Q5" i="9"/>
  <c r="Q2" i="9" s="1"/>
  <c r="R5" i="9"/>
  <c r="R2" i="9" s="1"/>
  <c r="S5" i="9"/>
  <c r="S2" i="9" s="1"/>
  <c r="T5" i="9"/>
  <c r="T2" i="9" s="1"/>
  <c r="U5" i="9"/>
  <c r="U2" i="9" s="1"/>
  <c r="V5" i="9"/>
  <c r="V2" i="9" s="1"/>
  <c r="W5" i="9"/>
  <c r="X5" i="9"/>
  <c r="X2" i="9" s="1"/>
  <c r="S8" i="9" l="1"/>
  <c r="R8" i="9"/>
  <c r="K8" i="9"/>
  <c r="T8" i="9"/>
  <c r="L8" i="9"/>
  <c r="D8" i="9"/>
  <c r="Q8" i="9"/>
  <c r="I8" i="9"/>
  <c r="J8" i="9"/>
  <c r="B8" i="9"/>
  <c r="F8" i="9"/>
  <c r="C8" i="9"/>
  <c r="V8" i="9"/>
  <c r="H8" i="9"/>
  <c r="P8" i="9"/>
  <c r="N8" i="9"/>
  <c r="E8" i="9"/>
  <c r="M8" i="9"/>
  <c r="U8" i="9"/>
  <c r="X8" i="9"/>
  <c r="W2" i="9"/>
  <c r="W8" i="9"/>
  <c r="O2" i="9"/>
  <c r="O8" i="9"/>
  <c r="G2" i="9"/>
  <c r="G8" i="9"/>
  <c r="C2" i="10"/>
  <c r="D2" i="10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B5" i="11" l="1"/>
  <c r="B2" i="11" s="1"/>
  <c r="C5" i="11"/>
  <c r="C2" i="11" s="1"/>
  <c r="D5" i="11"/>
  <c r="D2" i="11" s="1"/>
  <c r="E5" i="11"/>
  <c r="E2" i="11" s="1"/>
  <c r="F5" i="11"/>
  <c r="F2" i="11" s="1"/>
  <c r="G5" i="11"/>
  <c r="G2" i="11" s="1"/>
  <c r="H5" i="11"/>
  <c r="H2" i="11" s="1"/>
  <c r="I5" i="11"/>
  <c r="I2" i="11" s="1"/>
  <c r="J5" i="11"/>
  <c r="J2" i="11" s="1"/>
  <c r="K5" i="11"/>
  <c r="K2" i="11" s="1"/>
  <c r="L5" i="11"/>
  <c r="L2" i="11" s="1"/>
  <c r="M5" i="11"/>
  <c r="M2" i="11" s="1"/>
  <c r="N5" i="11"/>
  <c r="N2" i="11" s="1"/>
  <c r="O5" i="11"/>
  <c r="O2" i="11" s="1"/>
  <c r="P5" i="11"/>
  <c r="P2" i="11" s="1"/>
  <c r="Q5" i="11"/>
  <c r="Q2" i="11" s="1"/>
  <c r="R5" i="11"/>
  <c r="R2" i="11" s="1"/>
  <c r="S5" i="11"/>
  <c r="S2" i="11" s="1"/>
  <c r="T5" i="11"/>
  <c r="T2" i="11" s="1"/>
  <c r="U5" i="11"/>
  <c r="U2" i="11" s="1"/>
  <c r="V5" i="11"/>
  <c r="V2" i="11" s="1"/>
  <c r="W5" i="11"/>
  <c r="W2" i="11" s="1"/>
  <c r="X5" i="11"/>
  <c r="X2" i="11" s="1"/>
  <c r="Y5" i="11"/>
  <c r="Y2" i="11" s="1"/>
  <c r="Z5" i="11"/>
  <c r="Z2" i="11" s="1"/>
  <c r="AA5" i="11"/>
  <c r="AA2" i="11" s="1"/>
  <c r="AB5" i="11"/>
  <c r="AB2" i="11" s="1"/>
  <c r="AC5" i="11"/>
  <c r="AC2" i="11" s="1"/>
  <c r="AD5" i="11"/>
  <c r="AD2" i="11" s="1"/>
  <c r="AE5" i="11"/>
  <c r="AE2" i="11" s="1"/>
  <c r="B5" i="13"/>
  <c r="B2" i="13" s="1"/>
  <c r="C5" i="13"/>
  <c r="C2" i="13" s="1"/>
  <c r="D5" i="13"/>
  <c r="D2" i="13" s="1"/>
  <c r="E5" i="13"/>
  <c r="E2" i="13" s="1"/>
  <c r="F5" i="13"/>
  <c r="F2" i="13" s="1"/>
  <c r="G5" i="13"/>
  <c r="G2" i="13" s="1"/>
  <c r="H5" i="13"/>
  <c r="H2" i="13" s="1"/>
  <c r="I5" i="13"/>
  <c r="I2" i="13" s="1"/>
  <c r="J5" i="13"/>
  <c r="J2" i="13" s="1"/>
  <c r="K5" i="13"/>
  <c r="K2" i="13" s="1"/>
  <c r="L5" i="13"/>
  <c r="L2" i="13" s="1"/>
  <c r="M5" i="13"/>
  <c r="M2" i="13" s="1"/>
  <c r="N5" i="13"/>
  <c r="N2" i="13" s="1"/>
  <c r="O5" i="13"/>
  <c r="O2" i="13" s="1"/>
  <c r="P5" i="13"/>
  <c r="P2" i="13" s="1"/>
  <c r="Q5" i="13"/>
  <c r="Q2" i="13" s="1"/>
  <c r="R5" i="13"/>
  <c r="R2" i="13" s="1"/>
  <c r="S5" i="13"/>
  <c r="S2" i="13" s="1"/>
  <c r="T5" i="13"/>
  <c r="T2" i="13" s="1"/>
  <c r="U5" i="13"/>
  <c r="U2" i="13" s="1"/>
  <c r="V5" i="13"/>
  <c r="V2" i="13" s="1"/>
  <c r="W5" i="13"/>
  <c r="W2" i="13" s="1"/>
  <c r="X5" i="13"/>
  <c r="X2" i="13" s="1"/>
  <c r="Y5" i="13"/>
  <c r="Y2" i="13" s="1"/>
  <c r="Z5" i="13"/>
  <c r="Z2" i="13" s="1"/>
  <c r="AA5" i="13"/>
  <c r="AA2" i="13" s="1"/>
  <c r="AB5" i="13"/>
  <c r="AB2" i="13" s="1"/>
  <c r="AC5" i="13"/>
  <c r="AC2" i="13" s="1"/>
  <c r="AD5" i="13"/>
  <c r="AD2" i="13" s="1"/>
  <c r="AE5" i="13"/>
  <c r="AE2" i="13" s="1"/>
  <c r="K8" i="11" l="1"/>
  <c r="U8" i="13"/>
  <c r="E8" i="13"/>
  <c r="AB8" i="11"/>
  <c r="I8" i="11"/>
  <c r="AA8" i="11"/>
  <c r="Y8" i="11"/>
  <c r="Q8" i="11"/>
  <c r="X8" i="13"/>
  <c r="O8" i="13"/>
  <c r="G8" i="13"/>
  <c r="U8" i="11"/>
  <c r="P8" i="13"/>
  <c r="M8" i="13"/>
  <c r="AC8" i="13"/>
  <c r="F8" i="13"/>
  <c r="V8" i="13"/>
  <c r="J8" i="11"/>
  <c r="R8" i="13"/>
  <c r="B8" i="13"/>
  <c r="Z8" i="11"/>
  <c r="B8" i="11"/>
  <c r="AD8" i="13"/>
  <c r="N8" i="13"/>
  <c r="R8" i="11"/>
  <c r="AA8" i="13"/>
  <c r="Z8" i="13"/>
  <c r="C8" i="13"/>
  <c r="K8" i="13"/>
  <c r="F8" i="11"/>
  <c r="T8" i="11"/>
  <c r="D8" i="11"/>
  <c r="J8" i="13"/>
  <c r="AE8" i="13"/>
  <c r="S8" i="13"/>
  <c r="H8" i="13"/>
  <c r="S8" i="11"/>
  <c r="C8" i="11"/>
  <c r="I8" i="13"/>
  <c r="H8" i="11"/>
  <c r="Q8" i="13"/>
  <c r="P8" i="11"/>
  <c r="E8" i="11"/>
  <c r="Y8" i="13"/>
  <c r="X8" i="11"/>
  <c r="N8" i="11"/>
  <c r="V8" i="11"/>
  <c r="M8" i="11"/>
  <c r="W8" i="13"/>
  <c r="AE8" i="11"/>
  <c r="W8" i="11"/>
  <c r="O8" i="11"/>
  <c r="G8" i="11"/>
  <c r="AD8" i="11"/>
  <c r="AC8" i="11"/>
  <c r="L8" i="11"/>
  <c r="AB8" i="13"/>
  <c r="T8" i="13"/>
  <c r="L8" i="13"/>
  <c r="D8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<sst xmlns="http://schemas.openxmlformats.org/spreadsheetml/2006/main" count="291" uniqueCount="99">
  <si>
    <t>BHNVFEAL BAU Historical New Vehicle Fuel Economy After Lifetime</t>
  </si>
  <si>
    <t>Sources:</t>
  </si>
  <si>
    <t>BAU New Vehicle Fuel Economy</t>
  </si>
  <si>
    <t>For sources and calculations, see the variable BNVFE.</t>
  </si>
  <si>
    <t>LDVs</t>
  </si>
  <si>
    <t>EIA</t>
  </si>
  <si>
    <t>Annual Energy Outlook 2008</t>
  </si>
  <si>
    <t>https://www.eia.gov/outlooks/archive/aeo08/index.html</t>
  </si>
  <si>
    <t>Tables 35, 49, 55</t>
  </si>
  <si>
    <t>Perc Reduction in Fuel Use for Electricity</t>
  </si>
  <si>
    <t>For sources and calculations, see the variable PTFURfE.</t>
  </si>
  <si>
    <t>Perc of Electricity Use for Plug-In Hybrid Vehicles</t>
  </si>
  <si>
    <t>For source, see the variable BPoEFUbVT.</t>
  </si>
  <si>
    <t>Vehicle Lifetimes</t>
  </si>
  <si>
    <t>For sources and calculations, see the variable AVL.</t>
  </si>
  <si>
    <t>Efficiency modifiers for LPG and hydrogen vehicles</t>
  </si>
  <si>
    <t>See the variable BNVFE</t>
  </si>
  <si>
    <t>Notes</t>
  </si>
  <si>
    <t>To estimate the BAU New Vehicle Fuel Economy in historical years (up to one</t>
  </si>
  <si>
    <t>vehicle lifetime before the first simulated year of the model run), we use</t>
  </si>
  <si>
    <t>a somewhat simplified approach.  We linearly extrapolate backwards from</t>
  </si>
  <si>
    <t>the future year values in BNVFE, using the entire period (2016-2050) as the</t>
  </si>
  <si>
    <t>basis for extrapolation. We adjust the Y-intercept of the extrapolated</t>
  </si>
  <si>
    <t>line when needed to avoid any discontinuity.</t>
  </si>
  <si>
    <t>More than one vehicle lifetime into</t>
  </si>
  <si>
    <t>the model run, the model will have switched</t>
  </si>
  <si>
    <t>over to using data from retiring vehicles that were added during the</t>
  </si>
  <si>
    <t>model run itself and no longer needs to reference the historical input data</t>
  </si>
  <si>
    <t>in this variable.  However, we include values in this variable out to</t>
  </si>
  <si>
    <t>2050 to make the process of updating the model's start year</t>
  </si>
  <si>
    <t>simpler (since no updates to this variable will be needed).</t>
  </si>
  <si>
    <t>Historical fuel economies are estimated for vehicle type / technology</t>
  </si>
  <si>
    <t>combinations that did not exist in those years, such as battery</t>
  </si>
  <si>
    <t>electric HDVs in 1988.  This is simply for consistency of formulas</t>
  </si>
  <si>
    <t>and will not cause any problems, as there are no such vehicles to</t>
  </si>
  <si>
    <t>be retired during the model run.</t>
  </si>
  <si>
    <t xml:space="preserve">For the following vehicle types, we instead use values directly from SYFAFE, which results in </t>
  </si>
  <si>
    <t>energy consumption that more closely matches EIA's AEO trajectory: freight LDVs, passenger HDVs, freight HDVs, passenger ships, passenger motorbikes.</t>
  </si>
  <si>
    <t>This tab contains BAU New Vehicle Fuel Economy (BNVFE) data for the primary</t>
  </si>
  <si>
    <t>vehicle technology for each vehicle/cargo combination.  This is the technology</t>
  </si>
  <si>
    <t>from which the BAU new vehicle fuel economies of the other technologies</t>
  </si>
  <si>
    <t>are calculated.</t>
  </si>
  <si>
    <t>BAU New Vehicle Fuel Economy (from BNVFE variable)</t>
  </si>
  <si>
    <t>vehicle type</t>
  </si>
  <si>
    <t>cargo type</t>
  </si>
  <si>
    <t>psgr</t>
  </si>
  <si>
    <t>gasoline vehicle</t>
  </si>
  <si>
    <t>frgt</t>
  </si>
  <si>
    <t>HDVs</t>
  </si>
  <si>
    <t>diesel vehicle</t>
  </si>
  <si>
    <t>aircraft</t>
  </si>
  <si>
    <t>rail</t>
  </si>
  <si>
    <t>battery electric vehicle</t>
  </si>
  <si>
    <t>ships</t>
  </si>
  <si>
    <t>motorbikes</t>
  </si>
  <si>
    <t>All passenger LDVs</t>
  </si>
  <si>
    <t>Fuel Economy (thing*miles/BTU)</t>
  </si>
  <si>
    <t>natural gas vehicle</t>
  </si>
  <si>
    <t>plugin hybrid vehicle</t>
  </si>
  <si>
    <t>LPG vehicle</t>
  </si>
  <si>
    <t>hydrogen vehicle</t>
  </si>
  <si>
    <t>Fuel Economy (passenger*miles/BTU)</t>
  </si>
  <si>
    <t>Fuel Economy (freight ton*miles/BTU)</t>
  </si>
  <si>
    <t>LDVs and motorbikes</t>
  </si>
  <si>
    <t>electricity share</t>
  </si>
  <si>
    <t>Vehicle Lifetimes (years)</t>
  </si>
  <si>
    <t>Vehicle Loadings (in people or freight tons / vehicle)</t>
  </si>
  <si>
    <t>Source:</t>
  </si>
  <si>
    <t>passenger LDVs</t>
  </si>
  <si>
    <t>For sources and calculations, see the variable AVLo.</t>
  </si>
  <si>
    <t>freight LDVs</t>
  </si>
  <si>
    <t>passenger HDVs</t>
  </si>
  <si>
    <t>freight HDVs</t>
  </si>
  <si>
    <t>passenger rail</t>
  </si>
  <si>
    <t>BTU per Gallon Liquid Fuels</t>
  </si>
  <si>
    <t>gasoline</t>
  </si>
  <si>
    <t>Energy Explained: Units and Calculators</t>
  </si>
  <si>
    <t>diesel</t>
  </si>
  <si>
    <t>https://www.eia.gov/energyexplained/index.cfm/index.cfm?page=about_energy_units</t>
  </si>
  <si>
    <t>Historical AEO fuel economy - passenger LDVs</t>
  </si>
  <si>
    <t>Source</t>
  </si>
  <si>
    <t>AEO 2010 Table 7</t>
  </si>
  <si>
    <t>MPG</t>
  </si>
  <si>
    <t>thing-miles/BTU</t>
  </si>
  <si>
    <t>Historical fuel economy - freight HDV</t>
  </si>
  <si>
    <t>2002 diesel heavy-duty vehicles</t>
  </si>
  <si>
    <t>Ratio of 2019 AEO overall freight efficiency to "heavy" freight efficiency, AEO 2019</t>
  </si>
  <si>
    <t>2002 Average Freight HDV efficiency (MPG)</t>
  </si>
  <si>
    <t>2002 Average Freight HDV efficiency (thing-miles/BTU)</t>
  </si>
  <si>
    <t>Hydrogen vs. Gasoline Efficiency</t>
  </si>
  <si>
    <t>gasoline car efficiency</t>
  </si>
  <si>
    <t>hydrogen FCV efficiency</t>
  </si>
  <si>
    <t>distance multiplier for hydrogen vehicles</t>
  </si>
  <si>
    <t>Propane (LPG) vs. Gasoline Efficiency</t>
  </si>
  <si>
    <t>reduction in efficiency for propane</t>
  </si>
  <si>
    <t>distance multiplier for propane vehicles</t>
  </si>
  <si>
    <t>psgr - diesel</t>
  </si>
  <si>
    <t>psgr - electric</t>
  </si>
  <si>
    <t>Fuel Economy ((thing*miles)/BTU)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</si>
</sst>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  <numFmt numFmtId="166" formatCode="0.000"/>
    <numFmt numFmtId="167" formatCode="0.0%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56">
    <xf numFmtId="0" fontId="0" fillId="0" borderId="0"/>
    <xf numFmtId="0" fontId="3" fillId="0" borderId="0"/>
    <xf numFmtId="0" fontId="3" fillId="0" borderId="2" applyNumberForma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Font="0" applyProtection="0">
      <alignment wrapText="1"/>
    </xf>
    <xf numFmtId="0" fontId="4" fillId="0" borderId="5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3" fillId="0" borderId="4" applyNumberFormat="0" applyFont="0" applyProtection="0">
      <alignment wrapText="1"/>
    </xf>
    <xf numFmtId="0" fontId="9" fillId="22" borderId="6" applyNumberFormat="0" applyAlignment="0" applyProtection="0"/>
    <xf numFmtId="0" fontId="10" fillId="23" borderId="7" applyNumberFormat="0" applyAlignment="0" applyProtection="0"/>
    <xf numFmtId="0" fontId="11" fillId="0" borderId="0">
      <alignment horizontal="center" vertical="center" wrapText="1"/>
    </xf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>
      <alignment horizontal="left" vertical="center" wrapText="1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164" fontId="14" fillId="0" borderId="8" applyNumberFormat="0" applyFill="0">
      <alignment horizontal="right"/>
    </xf>
    <xf numFmtId="164" fontId="15" fillId="0" borderId="8" applyNumberFormat="0" applyFill="0">
      <alignment horizontal="right"/>
    </xf>
    <xf numFmtId="165" fontId="16" fillId="0" borderId="8">
      <alignment horizontal="right" vertical="center"/>
    </xf>
    <xf numFmtId="49" fontId="17" fillId="0" borderId="8">
      <alignment horizontal="left" vertical="center"/>
    </xf>
    <xf numFmtId="164" fontId="14" fillId="0" borderId="8" applyNumberFormat="0" applyFill="0">
      <alignment horizontal="right"/>
    </xf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2" applyNumberFormat="0" applyProtection="0">
      <alignment wrapText="1"/>
    </xf>
    <xf numFmtId="0" fontId="19" fillId="6" borderId="0" applyNumberFormat="0" applyBorder="0" applyAlignment="0" applyProtection="0"/>
    <xf numFmtId="0" fontId="4" fillId="0" borderId="5" applyNumberFormat="0" applyProtection="0">
      <alignment wrapText="1"/>
    </xf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8">
      <alignment horizontal="left"/>
    </xf>
    <xf numFmtId="0" fontId="24" fillId="0" borderId="8">
      <alignment horizontal="left"/>
    </xf>
    <xf numFmtId="0" fontId="25" fillId="0" borderId="12">
      <alignment horizontal="right" vertical="center"/>
    </xf>
    <xf numFmtId="0" fontId="26" fillId="0" borderId="8">
      <alignment horizontal="left" vertical="center"/>
    </xf>
    <xf numFmtId="0" fontId="14" fillId="0" borderId="8">
      <alignment horizontal="left" vertical="center"/>
    </xf>
    <xf numFmtId="0" fontId="23" fillId="0" borderId="8">
      <alignment horizontal="left"/>
    </xf>
    <xf numFmtId="0" fontId="23" fillId="24" borderId="0">
      <alignment horizontal="centerContinuous" wrapText="1"/>
    </xf>
    <xf numFmtId="49" fontId="23" fillId="24" borderId="13">
      <alignment horizontal="left" vertical="center"/>
    </xf>
    <xf numFmtId="0" fontId="23" fillId="24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9" borderId="6" applyNumberFormat="0" applyAlignment="0" applyProtection="0"/>
    <xf numFmtId="0" fontId="29" fillId="0" borderId="14" applyNumberFormat="0" applyFill="0" applyAlignment="0" applyProtection="0"/>
    <xf numFmtId="0" fontId="30" fillId="25" borderId="0" applyNumberFormat="0" applyBorder="0" applyAlignment="0" applyProtection="0"/>
    <xf numFmtId="0" fontId="1" fillId="0" borderId="0"/>
    <xf numFmtId="0" fontId="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2" borderId="1" applyNumberFormat="0" applyFont="0" applyAlignment="0" applyProtection="0"/>
    <xf numFmtId="0" fontId="12" fillId="26" borderId="15" applyNumberFormat="0" applyFont="0" applyAlignment="0" applyProtection="0"/>
    <xf numFmtId="0" fontId="32" fillId="22" borderId="16" applyNumberFormat="0" applyAlignment="0" applyProtection="0"/>
    <xf numFmtId="0" fontId="4" fillId="0" borderId="3" applyNumberFormat="0" applyProtection="0">
      <alignment wrapText="1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3" fontId="16" fillId="0" borderId="0">
      <alignment horizontal="left" vertical="center"/>
    </xf>
    <xf numFmtId="0" fontId="11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7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4" fontId="16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7">
      <alignment horizontal="left" vertical="center"/>
    </xf>
    <xf numFmtId="0" fontId="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3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7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6" fillId="0" borderId="8">
      <alignment horizontal="left"/>
    </xf>
    <xf numFmtId="0" fontId="25" fillId="0" borderId="12">
      <alignment horizontal="left"/>
    </xf>
    <xf numFmtId="0" fontId="23" fillId="0" borderId="0">
      <alignment horizontal="left" vertical="center"/>
    </xf>
    <xf numFmtId="49" fontId="33" fillId="0" borderId="8">
      <alignment horizontal="left"/>
    </xf>
    <xf numFmtId="0" fontId="4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3" borderId="0" xfId="0" applyFont="1" applyFill="1"/>
    <xf numFmtId="0" fontId="0" fillId="3" borderId="0" xfId="0" applyFill="1"/>
    <xf numFmtId="11" fontId="0" fillId="0" borderId="0" xfId="0" applyNumberFormat="1"/>
    <xf numFmtId="0" fontId="0" fillId="0" borderId="0" xfId="0" applyAlignment="1">
      <alignment horizontal="left"/>
    </xf>
    <xf numFmtId="0" fontId="40" fillId="0" borderId="0" xfId="0" applyFont="1"/>
    <xf numFmtId="1" fontId="0" fillId="0" borderId="0" xfId="0" applyNumberFormat="1"/>
    <xf numFmtId="11" fontId="0" fillId="28" borderId="0" xfId="0" applyNumberFormat="1" applyFill="1"/>
    <xf numFmtId="0" fontId="0" fillId="28" borderId="0" xfId="0" applyFill="1"/>
    <xf numFmtId="11" fontId="41" fillId="0" borderId="0" xfId="0" applyNumberFormat="1" applyFont="1"/>
    <xf numFmtId="0" fontId="41" fillId="0" borderId="0" xfId="0" applyFont="1"/>
    <xf numFmtId="166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 applyAlignment="1">
      <alignment horizontal="left"/>
    </xf>
    <xf numFmtId="9" fontId="0" fillId="0" borderId="0" xfId="0" applyNumberFormat="1"/>
    <xf numFmtId="167" fontId="0" fillId="0" borderId="0" xfId="0" applyNumberFormat="1"/>
    <xf numFmtId="0" fontId="42" fillId="0" borderId="0" xfId="153"/>
    <xf numFmtId="0" fontId="2" fillId="0" borderId="0" xfId="0" applyFont="1" applyAlignment="1">
      <alignment wrapText="1"/>
    </xf>
    <xf numFmtId="11" fontId="43" fillId="0" borderId="0" xfId="0" applyNumberFormat="1" applyFont="1"/>
    <xf numFmtId="0" fontId="43" fillId="0" borderId="0" xfId="0" applyFont="1"/>
    <xf numFmtId="0" fontId="0" fillId="0" borderId="0" xfId="0" applyAlignment="1">
      <alignment horizontal="right" wrapText="1"/>
    </xf>
    <xf numFmtId="167" fontId="0" fillId="0" borderId="0" xfId="155" applyNumberFormat="1" applyFont="1"/>
    <xf numFmtId="11" fontId="0" fillId="29" borderId="0" xfId="0" applyNumberFormat="1" applyFill="1"/>
    <xf numFmtId="0" fontId="0" fillId="0" borderId="19" xfId="0" applyBorder="1"/>
    <xf numFmtId="0" fontId="0" fillId="0" borderId="20" xfId="0" applyBorder="1"/>
    <xf numFmtId="11" fontId="0" fillId="0" borderId="20" xfId="0" applyNumberFormat="1" applyBorder="1"/>
    <xf numFmtId="11" fontId="43" fillId="0" borderId="20" xfId="0" applyNumberFormat="1" applyFont="1" applyBorder="1"/>
    <xf numFmtId="0" fontId="43" fillId="0" borderId="20" xfId="0" applyFont="1" applyBorder="1"/>
    <xf numFmtId="0" fontId="0" fillId="0" borderId="0" xfId="154" applyNumberFormat="1" applyFont="1"/>
    <xf numFmtId="0" fontId="0" fillId="0" borderId="0" xfId="155" applyNumberFormat="1" applyFont="1"/>
    <xf numFmtId="11" fontId="0" fillId="0" borderId="0" xfId="154" applyNumberFormat="1" applyFont="1"/>
  </cellXfs>
  <cellStyles count="156">
    <cellStyle name="20% - Accent1 2" xfId="8" xr:uid="{00000000-0005-0000-0000-000000000000}"/>
    <cellStyle name="20% - Accent2 2" xfId="9" xr:uid="{00000000-0005-0000-0000-000001000000}"/>
    <cellStyle name="20% - Accent3 2" xfId="10" xr:uid="{00000000-0005-0000-0000-000002000000}"/>
    <cellStyle name="20% - Accent4 2" xfId="11" xr:uid="{00000000-0005-0000-0000-000003000000}"/>
    <cellStyle name="20% - Accent5 2" xfId="12" xr:uid="{00000000-0005-0000-0000-000004000000}"/>
    <cellStyle name="20% - Accent6 2" xfId="13" xr:uid="{00000000-0005-0000-0000-000005000000}"/>
    <cellStyle name="40% - Accent1 2" xfId="14" xr:uid="{00000000-0005-0000-0000-000006000000}"/>
    <cellStyle name="40% - Accent2 2" xfId="15" xr:uid="{00000000-0005-0000-0000-000007000000}"/>
    <cellStyle name="40% - Accent3 2" xfId="16" xr:uid="{00000000-0005-0000-0000-000008000000}"/>
    <cellStyle name="40% - Accent4 2" xfId="17" xr:uid="{00000000-0005-0000-0000-000009000000}"/>
    <cellStyle name="40% - Accent5 2" xfId="18" xr:uid="{00000000-0005-0000-0000-00000A000000}"/>
    <cellStyle name="40% - Accent6 2" xfId="19" xr:uid="{00000000-0005-0000-0000-00000B000000}"/>
    <cellStyle name="60% - Accent1 2" xfId="20" xr:uid="{00000000-0005-0000-0000-00000C000000}"/>
    <cellStyle name="60% - Accent2 2" xfId="21" xr:uid="{00000000-0005-0000-0000-00000D000000}"/>
    <cellStyle name="60% - Accent3 2" xfId="22" xr:uid="{00000000-0005-0000-0000-00000E000000}"/>
    <cellStyle name="60% - Accent4 2" xfId="23" xr:uid="{00000000-0005-0000-0000-00000F000000}"/>
    <cellStyle name="60% - Accent5 2" xfId="24" xr:uid="{00000000-0005-0000-0000-000010000000}"/>
    <cellStyle name="60% - Accent6 2" xfId="25" xr:uid="{00000000-0005-0000-0000-000011000000}"/>
    <cellStyle name="Accent1 2" xfId="26" xr:uid="{00000000-0005-0000-0000-000012000000}"/>
    <cellStyle name="Accent2 2" xfId="27" xr:uid="{00000000-0005-0000-0000-000013000000}"/>
    <cellStyle name="Accent3 2" xfId="28" xr:uid="{00000000-0005-0000-0000-000014000000}"/>
    <cellStyle name="Accent4 2" xfId="29" xr:uid="{00000000-0005-0000-0000-000015000000}"/>
    <cellStyle name="Accent5 2" xfId="30" xr:uid="{00000000-0005-0000-0000-000016000000}"/>
    <cellStyle name="Accent6 2" xfId="31" xr:uid="{00000000-0005-0000-0000-000017000000}"/>
    <cellStyle name="Bad 2" xfId="32" xr:uid="{00000000-0005-0000-0000-000018000000}"/>
    <cellStyle name="Body: normal cell" xfId="4" xr:uid="{00000000-0005-0000-0000-000019000000}"/>
    <cellStyle name="Body: normal cell 2" xfId="33" xr:uid="{00000000-0005-0000-0000-00001A000000}"/>
    <cellStyle name="Calculation 2" xfId="34" xr:uid="{00000000-0005-0000-0000-00001B000000}"/>
    <cellStyle name="Check Cell 2" xfId="35" xr:uid="{00000000-0005-0000-0000-00001C000000}"/>
    <cellStyle name="Column heading" xfId="36" xr:uid="{00000000-0005-0000-0000-00001D000000}"/>
    <cellStyle name="Comma" xfId="154" builtinId="3"/>
    <cellStyle name="Comma 2" xfId="37" xr:uid="{00000000-0005-0000-0000-00001F000000}"/>
    <cellStyle name="Comma 2 2" xfId="38" xr:uid="{00000000-0005-0000-0000-000020000000}"/>
    <cellStyle name="Comma 3" xfId="39" xr:uid="{00000000-0005-0000-0000-000021000000}"/>
    <cellStyle name="Comma 4" xfId="40" xr:uid="{00000000-0005-0000-0000-000022000000}"/>
    <cellStyle name="Comma 5" xfId="41" xr:uid="{00000000-0005-0000-0000-000023000000}"/>
    <cellStyle name="Comma 6" xfId="42" xr:uid="{00000000-0005-0000-0000-000024000000}"/>
    <cellStyle name="Comma 7" xfId="43" xr:uid="{00000000-0005-0000-0000-000025000000}"/>
    <cellStyle name="Comma 8" xfId="44" xr:uid="{00000000-0005-0000-0000-000026000000}"/>
    <cellStyle name="Corner heading" xfId="45" xr:uid="{00000000-0005-0000-0000-000027000000}"/>
    <cellStyle name="Currency 2" xfId="46" xr:uid="{00000000-0005-0000-0000-000028000000}"/>
    <cellStyle name="Currency 3" xfId="47" xr:uid="{00000000-0005-0000-0000-000029000000}"/>
    <cellStyle name="Currency 3 2" xfId="48" xr:uid="{00000000-0005-0000-0000-00002A000000}"/>
    <cellStyle name="Data" xfId="49" xr:uid="{00000000-0005-0000-0000-00002B000000}"/>
    <cellStyle name="Data 2" xfId="50" xr:uid="{00000000-0005-0000-0000-00002C000000}"/>
    <cellStyle name="Data no deci" xfId="51" xr:uid="{00000000-0005-0000-0000-00002D000000}"/>
    <cellStyle name="Data Superscript" xfId="52" xr:uid="{00000000-0005-0000-0000-00002E000000}"/>
    <cellStyle name="Data_1-1A-Regular" xfId="53" xr:uid="{00000000-0005-0000-0000-00002F000000}"/>
    <cellStyle name="Explanatory Text 2" xfId="54" xr:uid="{00000000-0005-0000-0000-000030000000}"/>
    <cellStyle name="Font: Calibri, 9pt regular" xfId="6" xr:uid="{00000000-0005-0000-0000-000031000000}"/>
    <cellStyle name="Font: Calibri, 9pt regular 2" xfId="55" xr:uid="{00000000-0005-0000-0000-000032000000}"/>
    <cellStyle name="Footnotes: top row" xfId="2" xr:uid="{00000000-0005-0000-0000-000033000000}"/>
    <cellStyle name="Footnotes: top row 2" xfId="56" xr:uid="{00000000-0005-0000-0000-000034000000}"/>
    <cellStyle name="Good 2" xfId="57" xr:uid="{00000000-0005-0000-0000-000035000000}"/>
    <cellStyle name="Header: bottom row" xfId="5" xr:uid="{00000000-0005-0000-0000-000036000000}"/>
    <cellStyle name="Header: bottom row 2" xfId="58" xr:uid="{00000000-0005-0000-0000-000037000000}"/>
    <cellStyle name="Heading 1 2" xfId="59" xr:uid="{00000000-0005-0000-0000-000038000000}"/>
    <cellStyle name="Heading 2 2" xfId="60" xr:uid="{00000000-0005-0000-0000-000039000000}"/>
    <cellStyle name="Heading 3 2" xfId="61" xr:uid="{00000000-0005-0000-0000-00003A000000}"/>
    <cellStyle name="Heading 4 2" xfId="62" xr:uid="{00000000-0005-0000-0000-00003B000000}"/>
    <cellStyle name="Hed Side" xfId="63" xr:uid="{00000000-0005-0000-0000-00003C000000}"/>
    <cellStyle name="Hed Side 2" xfId="64" xr:uid="{00000000-0005-0000-0000-00003D000000}"/>
    <cellStyle name="Hed Side bold" xfId="65" xr:uid="{00000000-0005-0000-0000-00003E000000}"/>
    <cellStyle name="Hed Side Indent" xfId="66" xr:uid="{00000000-0005-0000-0000-00003F000000}"/>
    <cellStyle name="Hed Side Regular" xfId="67" xr:uid="{00000000-0005-0000-0000-000040000000}"/>
    <cellStyle name="Hed Side_1-1A-Regular" xfId="68" xr:uid="{00000000-0005-0000-0000-000041000000}"/>
    <cellStyle name="Hed Top" xfId="69" xr:uid="{00000000-0005-0000-0000-000042000000}"/>
    <cellStyle name="Hed Top - SECTION" xfId="70" xr:uid="{00000000-0005-0000-0000-000043000000}"/>
    <cellStyle name="Hed Top_3-new4" xfId="71" xr:uid="{00000000-0005-0000-0000-000044000000}"/>
    <cellStyle name="Hyperlink" xfId="153" builtinId="8"/>
    <cellStyle name="Hyperlink 2" xfId="72" xr:uid="{00000000-0005-0000-0000-000046000000}"/>
    <cellStyle name="Input 2" xfId="73" xr:uid="{00000000-0005-0000-0000-000047000000}"/>
    <cellStyle name="Linked Cell 2" xfId="74" xr:uid="{00000000-0005-0000-0000-000048000000}"/>
    <cellStyle name="Neutral 2" xfId="75" xr:uid="{00000000-0005-0000-0000-000049000000}"/>
    <cellStyle name="Normal" xfId="0" builtinId="0"/>
    <cellStyle name="Normal 10" xfId="76" xr:uid="{00000000-0005-0000-0000-00004B000000}"/>
    <cellStyle name="Normal 11" xfId="77" xr:uid="{00000000-0005-0000-0000-00004C000000}"/>
    <cellStyle name="Normal 2" xfId="1" xr:uid="{00000000-0005-0000-0000-00004D000000}"/>
    <cellStyle name="Normal 2 2" xfId="78" xr:uid="{00000000-0005-0000-0000-00004E000000}"/>
    <cellStyle name="Normal 2 3" xfId="79" xr:uid="{00000000-0005-0000-0000-00004F000000}"/>
    <cellStyle name="Normal 3" xfId="80" xr:uid="{00000000-0005-0000-0000-000050000000}"/>
    <cellStyle name="Normal 3 2" xfId="81" xr:uid="{00000000-0005-0000-0000-000051000000}"/>
    <cellStyle name="Normal 3 2 2" xfId="82" xr:uid="{00000000-0005-0000-0000-000052000000}"/>
    <cellStyle name="Normal 3 2 2 2" xfId="83" xr:uid="{00000000-0005-0000-0000-000053000000}"/>
    <cellStyle name="Normal 3 2 3" xfId="84" xr:uid="{00000000-0005-0000-0000-000054000000}"/>
    <cellStyle name="Normal 3 3" xfId="85" xr:uid="{00000000-0005-0000-0000-000055000000}"/>
    <cellStyle name="Normal 3 3 2" xfId="86" xr:uid="{00000000-0005-0000-0000-000056000000}"/>
    <cellStyle name="Normal 3 3 2 2" xfId="87" xr:uid="{00000000-0005-0000-0000-000057000000}"/>
    <cellStyle name="Normal 3 3 3" xfId="88" xr:uid="{00000000-0005-0000-0000-000058000000}"/>
    <cellStyle name="Normal 3 4" xfId="89" xr:uid="{00000000-0005-0000-0000-000059000000}"/>
    <cellStyle name="Normal 3 4 2" xfId="90" xr:uid="{00000000-0005-0000-0000-00005A000000}"/>
    <cellStyle name="Normal 3 5" xfId="91" xr:uid="{00000000-0005-0000-0000-00005B000000}"/>
    <cellStyle name="Normal 3 6" xfId="92" xr:uid="{00000000-0005-0000-0000-00005C000000}"/>
    <cellStyle name="Normal 3 7" xfId="93" xr:uid="{00000000-0005-0000-0000-00005D000000}"/>
    <cellStyle name="Normal 4" xfId="94" xr:uid="{00000000-0005-0000-0000-00005E000000}"/>
    <cellStyle name="Normal 4 2" xfId="95" xr:uid="{00000000-0005-0000-0000-00005F000000}"/>
    <cellStyle name="Normal 4 2 2" xfId="96" xr:uid="{00000000-0005-0000-0000-000060000000}"/>
    <cellStyle name="Normal 4 2 2 2" xfId="97" xr:uid="{00000000-0005-0000-0000-000061000000}"/>
    <cellStyle name="Normal 4 2 3" xfId="98" xr:uid="{00000000-0005-0000-0000-000062000000}"/>
    <cellStyle name="Normal 4 3" xfId="99" xr:uid="{00000000-0005-0000-0000-000063000000}"/>
    <cellStyle name="Normal 4 3 2" xfId="100" xr:uid="{00000000-0005-0000-0000-000064000000}"/>
    <cellStyle name="Normal 4 3 2 2" xfId="101" xr:uid="{00000000-0005-0000-0000-000065000000}"/>
    <cellStyle name="Normal 4 3 3" xfId="102" xr:uid="{00000000-0005-0000-0000-000066000000}"/>
    <cellStyle name="Normal 4 4" xfId="103" xr:uid="{00000000-0005-0000-0000-000067000000}"/>
    <cellStyle name="Normal 4 4 2" xfId="104" xr:uid="{00000000-0005-0000-0000-000068000000}"/>
    <cellStyle name="Normal 4 5" xfId="105" xr:uid="{00000000-0005-0000-0000-000069000000}"/>
    <cellStyle name="Normal 4 6" xfId="106" xr:uid="{00000000-0005-0000-0000-00006A000000}"/>
    <cellStyle name="Normal 4 7" xfId="107" xr:uid="{00000000-0005-0000-0000-00006B000000}"/>
    <cellStyle name="Normal 5" xfId="108" xr:uid="{00000000-0005-0000-0000-00006C000000}"/>
    <cellStyle name="Normal 5 2" xfId="109" xr:uid="{00000000-0005-0000-0000-00006D000000}"/>
    <cellStyle name="Normal 5 3" xfId="110" xr:uid="{00000000-0005-0000-0000-00006E000000}"/>
    <cellStyle name="Normal 6" xfId="111" xr:uid="{00000000-0005-0000-0000-00006F000000}"/>
    <cellStyle name="Normal 6 2" xfId="112" xr:uid="{00000000-0005-0000-0000-000070000000}"/>
    <cellStyle name="Normal 7" xfId="113" xr:uid="{00000000-0005-0000-0000-000071000000}"/>
    <cellStyle name="Normal 7 2" xfId="114" xr:uid="{00000000-0005-0000-0000-000072000000}"/>
    <cellStyle name="Normal 8" xfId="115" xr:uid="{00000000-0005-0000-0000-000073000000}"/>
    <cellStyle name="Normal 9" xfId="116" xr:uid="{00000000-0005-0000-0000-000074000000}"/>
    <cellStyle name="Note 2" xfId="117" xr:uid="{00000000-0005-0000-0000-000075000000}"/>
    <cellStyle name="Note 2 2" xfId="118" xr:uid="{00000000-0005-0000-0000-000076000000}"/>
    <cellStyle name="Output 2" xfId="119" xr:uid="{00000000-0005-0000-0000-000077000000}"/>
    <cellStyle name="Parent row" xfId="3" xr:uid="{00000000-0005-0000-0000-000078000000}"/>
    <cellStyle name="Parent row 2" xfId="120" xr:uid="{00000000-0005-0000-0000-000079000000}"/>
    <cellStyle name="Percent" xfId="155" builtinId="5"/>
    <cellStyle name="Percent 2" xfId="121" xr:uid="{00000000-0005-0000-0000-00007B000000}"/>
    <cellStyle name="Percent 2 2" xfId="122" xr:uid="{00000000-0005-0000-0000-00007C000000}"/>
    <cellStyle name="Percent 3" xfId="123" xr:uid="{00000000-0005-0000-0000-00007D000000}"/>
    <cellStyle name="Percent 3 2" xfId="124" xr:uid="{00000000-0005-0000-0000-00007E000000}"/>
    <cellStyle name="Percent 4" xfId="125" xr:uid="{00000000-0005-0000-0000-00007F000000}"/>
    <cellStyle name="Reference" xfId="126" xr:uid="{00000000-0005-0000-0000-000080000000}"/>
    <cellStyle name="Row heading" xfId="127" xr:uid="{00000000-0005-0000-0000-000081000000}"/>
    <cellStyle name="Source Hed" xfId="128" xr:uid="{00000000-0005-0000-0000-000082000000}"/>
    <cellStyle name="Source Letter" xfId="129" xr:uid="{00000000-0005-0000-0000-000083000000}"/>
    <cellStyle name="Source Superscript" xfId="130" xr:uid="{00000000-0005-0000-0000-000084000000}"/>
    <cellStyle name="Source Superscript 2" xfId="131" xr:uid="{00000000-0005-0000-0000-000085000000}"/>
    <cellStyle name="Source Text" xfId="132" xr:uid="{00000000-0005-0000-0000-000086000000}"/>
    <cellStyle name="Source Text 2" xfId="133" xr:uid="{00000000-0005-0000-0000-000087000000}"/>
    <cellStyle name="State" xfId="134" xr:uid="{00000000-0005-0000-0000-000088000000}"/>
    <cellStyle name="Superscript" xfId="135" xr:uid="{00000000-0005-0000-0000-000089000000}"/>
    <cellStyle name="Table Data" xfId="136" xr:uid="{00000000-0005-0000-0000-00008A000000}"/>
    <cellStyle name="Table Head Top" xfId="137" xr:uid="{00000000-0005-0000-0000-00008B000000}"/>
    <cellStyle name="Table Hed Side" xfId="138" xr:uid="{00000000-0005-0000-0000-00008C000000}"/>
    <cellStyle name="Table title" xfId="7" xr:uid="{00000000-0005-0000-0000-00008D000000}"/>
    <cellStyle name="Table title 2" xfId="139" xr:uid="{00000000-0005-0000-0000-00008E000000}"/>
    <cellStyle name="Title 2" xfId="140" xr:uid="{00000000-0005-0000-0000-00008F000000}"/>
    <cellStyle name="Title Text" xfId="141" xr:uid="{00000000-0005-0000-0000-000090000000}"/>
    <cellStyle name="Title Text 1" xfId="142" xr:uid="{00000000-0005-0000-0000-000091000000}"/>
    <cellStyle name="Title Text 2" xfId="143" xr:uid="{00000000-0005-0000-0000-000092000000}"/>
    <cellStyle name="Title-1" xfId="144" xr:uid="{00000000-0005-0000-0000-000093000000}"/>
    <cellStyle name="Title-2" xfId="145" xr:uid="{00000000-0005-0000-0000-000094000000}"/>
    <cellStyle name="Title-3" xfId="146" xr:uid="{00000000-0005-0000-0000-000095000000}"/>
    <cellStyle name="Total 2" xfId="147" xr:uid="{00000000-0005-0000-0000-000096000000}"/>
    <cellStyle name="Warning Text 2" xfId="148" xr:uid="{00000000-0005-0000-0000-000097000000}"/>
    <cellStyle name="Wrap" xfId="149" xr:uid="{00000000-0005-0000-0000-000098000000}"/>
    <cellStyle name="Wrap Bold" xfId="150" xr:uid="{00000000-0005-0000-0000-000099000000}"/>
    <cellStyle name="Wrap Title" xfId="151" xr:uid="{00000000-0005-0000-0000-00009A000000}"/>
    <cellStyle name="Wrap_NTS99-~11" xfId="152" xr:uid="{00000000-0005-0000-0000-00009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Extrapolations!$A$2:$B$2</c:f>
              <c:strCache>
                <c:ptCount val="2"/>
                <c:pt idx="0">
                  <c:v>LDVs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Extrapolations!$C$2:$BT$2</c:f>
              <c:numCache>
                <c:formatCode>General</c:formatCode>
                <c:ptCount val="70"/>
                <c:pt idx="24" formatCode="0.00E+00">
                  <c:v>3.142498616321923E-4</c:v>
                </c:pt>
                <c:pt idx="25" formatCode="0.00E+00">
                  <c:v>3.1934654476143933E-4</c:v>
                </c:pt>
                <c:pt idx="26" formatCode="0.00E+00">
                  <c:v>3.2444322789068635E-4</c:v>
                </c:pt>
                <c:pt idx="27" formatCode="0.00E+00">
                  <c:v>3.2953991101993338E-4</c:v>
                </c:pt>
                <c:pt idx="28" formatCode="0.00E+00">
                  <c:v>3.346365941491804E-4</c:v>
                </c:pt>
                <c:pt idx="29" formatCode="0.00E+00">
                  <c:v>3.3973327727842743E-4</c:v>
                </c:pt>
                <c:pt idx="30" formatCode="0.00E+00">
                  <c:v>3.4482996040767445E-4</c:v>
                </c:pt>
                <c:pt idx="31" formatCode="0.00E+00">
                  <c:v>3.4992664353692148E-4</c:v>
                </c:pt>
                <c:pt idx="32" formatCode="0.00E+00">
                  <c:v>3.550233266661685E-4</c:v>
                </c:pt>
                <c:pt idx="33" formatCode="0.00E+00">
                  <c:v>3.6012000979541552E-4</c:v>
                </c:pt>
                <c:pt idx="34" formatCode="0.00E+00">
                  <c:v>3.6521669292466255E-4</c:v>
                </c:pt>
                <c:pt idx="35" formatCode="0.00E+00">
                  <c:v>3.7031337605390957E-4</c:v>
                </c:pt>
                <c:pt idx="36" formatCode="0.00E+00">
                  <c:v>3.754100591831566E-4</c:v>
                </c:pt>
                <c:pt idx="37" formatCode="0.00E+00">
                  <c:v>3.8050674231240362E-4</c:v>
                </c:pt>
                <c:pt idx="38" formatCode="0.00E+00">
                  <c:v>3.8560342544165043E-4</c:v>
                </c:pt>
                <c:pt idx="39" formatCode="0.00E+00">
                  <c:v>3.938977091004229E-4</c:v>
                </c:pt>
                <c:pt idx="40" formatCode="0.00E+00">
                  <c:v>4.0102815590911211E-4</c:v>
                </c:pt>
                <c:pt idx="41" formatCode="0.00E+00">
                  <c:v>4.0668872915977704E-4</c:v>
                </c:pt>
                <c:pt idx="42" formatCode="0.00E+00">
                  <c:v>4.2148439524556525E-4</c:v>
                </c:pt>
                <c:pt idx="43" formatCode="0.00E+00">
                  <c:v>4.2638034079782157E-4</c:v>
                </c:pt>
                <c:pt idx="44" formatCode="0.00E+00">
                  <c:v>4.2993928617474374E-4</c:v>
                </c:pt>
                <c:pt idx="45" formatCode="0.00E+00">
                  <c:v>4.4295232919176118E-4</c:v>
                </c:pt>
                <c:pt idx="46" formatCode="0.00E+00">
                  <c:v>4.4402927119422075E-4</c:v>
                </c:pt>
                <c:pt idx="47" formatCode="0.00E+00">
                  <c:v>4.4423001272194757E-4</c:v>
                </c:pt>
                <c:pt idx="48" formatCode="0.00E+00">
                  <c:v>4.4444787060954387E-4</c:v>
                </c:pt>
                <c:pt idx="49" formatCode="0.00E+00">
                  <c:v>4.4510595798899477E-4</c:v>
                </c:pt>
                <c:pt idx="50" formatCode="0.00E+00">
                  <c:v>4.4626178063197816E-4</c:v>
                </c:pt>
                <c:pt idx="51" formatCode="0.00E+00">
                  <c:v>4.4757258182247277E-4</c:v>
                </c:pt>
                <c:pt idx="52" formatCode="0.00E+00">
                  <c:v>4.4919390205042781E-4</c:v>
                </c:pt>
                <c:pt idx="53" formatCode="0.00E+00">
                  <c:v>4.5078104437884211E-4</c:v>
                </c:pt>
                <c:pt idx="54" formatCode="0.00E+00">
                  <c:v>4.5211629450069859E-4</c:v>
                </c:pt>
                <c:pt idx="55" formatCode="0.00E+00">
                  <c:v>4.5326957425061224E-4</c:v>
                </c:pt>
                <c:pt idx="56" formatCode="0.00E+00">
                  <c:v>4.5520696339484528E-4</c:v>
                </c:pt>
                <c:pt idx="57" formatCode="0.00E+00">
                  <c:v>4.5553578115777672E-4</c:v>
                </c:pt>
                <c:pt idx="58" formatCode="0.00E+00">
                  <c:v>4.5584944646724456E-4</c:v>
                </c:pt>
                <c:pt idx="59" formatCode="0.00E+00">
                  <c:v>4.559561094704881E-4</c:v>
                </c:pt>
                <c:pt idx="60" formatCode="0.00E+00">
                  <c:v>4.5572121425237108E-4</c:v>
                </c:pt>
                <c:pt idx="61" formatCode="0.00E+00">
                  <c:v>4.550985416964502E-4</c:v>
                </c:pt>
                <c:pt idx="62" formatCode="0.00E+00">
                  <c:v>4.5449905971852166E-4</c:v>
                </c:pt>
                <c:pt idx="63" formatCode="0.00E+00">
                  <c:v>4.5443664862698183E-4</c:v>
                </c:pt>
                <c:pt idx="64" formatCode="0.00E+00">
                  <c:v>4.5380063490385911E-4</c:v>
                </c:pt>
                <c:pt idx="65" formatCode="0.00E+00">
                  <c:v>4.5343326114607497E-4</c:v>
                </c:pt>
                <c:pt idx="66" formatCode="0.00E+00">
                  <c:v>4.5494560422822621E-4</c:v>
                </c:pt>
                <c:pt idx="67" formatCode="0.00E+00">
                  <c:v>4.5447278785524218E-4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3-40F3-B705-D06D6F55F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63456"/>
        <c:axId val="138105216"/>
      </c:lineChart>
      <c:catAx>
        <c:axId val="13576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105216"/>
        <c:crosses val="autoZero"/>
        <c:auto val="1"/>
        <c:lblAlgn val="ctr"/>
        <c:lblOffset val="100"/>
        <c:noMultiLvlLbl val="0"/>
      </c:catAx>
      <c:valAx>
        <c:axId val="138105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7634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Extrapolations!$A$3:$B$3</c:f>
              <c:strCache>
                <c:ptCount val="2"/>
                <c:pt idx="0">
                  <c:v>LDVs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Extrapolations!$C$3:$BT$3</c:f>
              <c:numCache>
                <c:formatCode>General</c:formatCode>
                <c:ptCount val="70"/>
                <c:pt idx="24" formatCode="0.00E+00">
                  <c:v>5.0412726378568952E-5</c:v>
                </c:pt>
                <c:pt idx="25" formatCode="0.00E+00">
                  <c:v>5.4271492176534604E-5</c:v>
                </c:pt>
                <c:pt idx="26" formatCode="0.00E+00">
                  <c:v>5.8130257974500256E-5</c:v>
                </c:pt>
                <c:pt idx="27" formatCode="0.00E+00">
                  <c:v>6.1989023772465041E-5</c:v>
                </c:pt>
                <c:pt idx="28" formatCode="0.00E+00">
                  <c:v>6.5847789570430693E-5</c:v>
                </c:pt>
                <c:pt idx="29" formatCode="0.00E+00">
                  <c:v>6.9706555368396345E-5</c:v>
                </c:pt>
                <c:pt idx="30" formatCode="0.00E+00">
                  <c:v>7.3565321166361129E-5</c:v>
                </c:pt>
                <c:pt idx="31" formatCode="0.00E+00">
                  <c:v>7.7424086964326781E-5</c:v>
                </c:pt>
                <c:pt idx="32" formatCode="0.00E+00">
                  <c:v>8.1282852762291566E-5</c:v>
                </c:pt>
                <c:pt idx="33" formatCode="0.00E+00">
                  <c:v>8.5141618560257218E-5</c:v>
                </c:pt>
                <c:pt idx="34" formatCode="0.00E+00">
                  <c:v>8.900038435822287E-5</c:v>
                </c:pt>
                <c:pt idx="35" formatCode="0.00E+00">
                  <c:v>9.2859150156187655E-5</c:v>
                </c:pt>
                <c:pt idx="36" formatCode="0.00E+00">
                  <c:v>9.6717915954153307E-5</c:v>
                </c:pt>
                <c:pt idx="37" formatCode="0.00E+00">
                  <c:v>1.0057668175211809E-4</c:v>
                </c:pt>
                <c:pt idx="38" formatCode="0.00E+00">
                  <c:v>1.0420515928406728E-4</c:v>
                </c:pt>
                <c:pt idx="39" formatCode="0.00E+00">
                  <c:v>1.0877081887028839E-4</c:v>
                </c:pt>
                <c:pt idx="40" formatCode="0.00E+00">
                  <c:v>1.119228749342E-4</c:v>
                </c:pt>
                <c:pt idx="41" formatCode="0.00E+00">
                  <c:v>1.1596328986495364E-4</c:v>
                </c:pt>
                <c:pt idx="42" formatCode="0.00E+00">
                  <c:v>1.1990275277656129E-4</c:v>
                </c:pt>
                <c:pt idx="43" formatCode="0.00E+00">
                  <c:v>1.2199635295884858E-4</c:v>
                </c:pt>
                <c:pt idx="44" formatCode="0.00E+00">
                  <c:v>1.243467097653028E-4</c:v>
                </c:pt>
                <c:pt idx="45" formatCode="0.00E+00">
                  <c:v>1.2468075205096364E-4</c:v>
                </c:pt>
                <c:pt idx="46" formatCode="0.00E+00">
                  <c:v>1.2577381385553893E-4</c:v>
                </c:pt>
                <c:pt idx="47" formatCode="0.00E+00">
                  <c:v>1.2646319222836433E-4</c:v>
                </c:pt>
                <c:pt idx="48" formatCode="0.00E+00">
                  <c:v>1.2698406877407795E-4</c:v>
                </c:pt>
                <c:pt idx="49" formatCode="0.00E+00">
                  <c:v>1.2710494044541212E-4</c:v>
                </c:pt>
                <c:pt idx="50" formatCode="0.00E+00">
                  <c:v>1.2713124547346271E-4</c:v>
                </c:pt>
                <c:pt idx="51" formatCode="0.00E+00">
                  <c:v>1.2714496314152464E-4</c:v>
                </c:pt>
                <c:pt idx="52" formatCode="0.00E+00">
                  <c:v>1.2712313200368365E-4</c:v>
                </c:pt>
                <c:pt idx="53" formatCode="0.00E+00">
                  <c:v>1.271005238267318E-4</c:v>
                </c:pt>
                <c:pt idx="54" formatCode="0.00E+00">
                  <c:v>1.2708001023750603E-4</c:v>
                </c:pt>
                <c:pt idx="55" formatCode="0.00E+00">
                  <c:v>1.2705407014004141E-4</c:v>
                </c:pt>
                <c:pt idx="56" formatCode="0.00E+00">
                  <c:v>1.2702629811717708E-4</c:v>
                </c:pt>
                <c:pt idx="57" formatCode="0.00E+00">
                  <c:v>1.2701194080551808E-4</c:v>
                </c:pt>
                <c:pt idx="58" formatCode="0.00E+00">
                  <c:v>1.2701796387221964E-4</c:v>
                </c:pt>
                <c:pt idx="59" formatCode="0.00E+00">
                  <c:v>1.2701802056749482E-4</c:v>
                </c:pt>
                <c:pt idx="60" formatCode="0.00E+00">
                  <c:v>1.270327910946451E-4</c:v>
                </c:pt>
                <c:pt idx="61" formatCode="0.00E+00">
                  <c:v>1.2702817221538397E-4</c:v>
                </c:pt>
                <c:pt idx="62" formatCode="0.00E+00">
                  <c:v>1.2698131801807758E-4</c:v>
                </c:pt>
                <c:pt idx="63" formatCode="0.00E+00">
                  <c:v>1.2695571200958938E-4</c:v>
                </c:pt>
                <c:pt idx="64" formatCode="0.00E+00">
                  <c:v>1.2640538596243631E-4</c:v>
                </c:pt>
                <c:pt idx="65" formatCode="0.00E+00">
                  <c:v>1.2643551327178303E-4</c:v>
                </c:pt>
                <c:pt idx="66" formatCode="0.00E+00">
                  <c:v>1.2650241733350927E-4</c:v>
                </c:pt>
                <c:pt idx="67" formatCode="0.00E+00">
                  <c:v>1.2663654108394285E-4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E-45BE-91CB-AD70E79DC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29152"/>
        <c:axId val="134701824"/>
      </c:lineChart>
      <c:catAx>
        <c:axId val="24572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01824"/>
        <c:crosses val="autoZero"/>
        <c:auto val="1"/>
        <c:lblAlgn val="ctr"/>
        <c:lblOffset val="100"/>
        <c:noMultiLvlLbl val="0"/>
      </c:catAx>
      <c:valAx>
        <c:axId val="134701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72915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Extrapolations!$A$4:$B$4</c:f>
              <c:strCache>
                <c:ptCount val="2"/>
                <c:pt idx="0">
                  <c:v>HDVs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Extrapolations!$C$4:$BT$4</c:f>
              <c:numCache>
                <c:formatCode>General</c:formatCode>
                <c:ptCount val="70"/>
                <c:pt idx="9" formatCode="0.00E+00">
                  <c:v>1.1628806678959742E-3</c:v>
                </c:pt>
                <c:pt idx="10" formatCode="0.00E+00">
                  <c:v>1.1628806678959742E-3</c:v>
                </c:pt>
                <c:pt idx="11" formatCode="0.00E+00">
                  <c:v>1.1628806678959742E-3</c:v>
                </c:pt>
                <c:pt idx="12" formatCode="0.00E+00">
                  <c:v>1.1628806678959742E-3</c:v>
                </c:pt>
                <c:pt idx="13" formatCode="0.00E+00">
                  <c:v>1.1628806678959742E-3</c:v>
                </c:pt>
                <c:pt idx="14" formatCode="0.00E+00">
                  <c:v>1.1628806678959742E-3</c:v>
                </c:pt>
                <c:pt idx="15" formatCode="0.00E+00">
                  <c:v>1.1628806678959742E-3</c:v>
                </c:pt>
                <c:pt idx="16" formatCode="0.00E+00">
                  <c:v>1.1628806678959742E-3</c:v>
                </c:pt>
                <c:pt idx="17" formatCode="0.00E+00">
                  <c:v>1.1628806678959742E-3</c:v>
                </c:pt>
                <c:pt idx="18" formatCode="0.00E+00">
                  <c:v>1.1628806678959742E-3</c:v>
                </c:pt>
                <c:pt idx="19" formatCode="0.00E+00">
                  <c:v>1.1628806678959742E-3</c:v>
                </c:pt>
                <c:pt idx="20" formatCode="0.00E+00">
                  <c:v>1.1604234453908705E-3</c:v>
                </c:pt>
                <c:pt idx="21" formatCode="0.00E+00">
                  <c:v>1.1579662228857668E-3</c:v>
                </c:pt>
                <c:pt idx="22" formatCode="0.00E+00">
                  <c:v>1.1555090003806633E-3</c:v>
                </c:pt>
                <c:pt idx="23" formatCode="0.00E+00">
                  <c:v>1.1530517778755595E-3</c:v>
                </c:pt>
                <c:pt idx="24" formatCode="0.00E+00">
                  <c:v>1.1505945553704558E-3</c:v>
                </c:pt>
                <c:pt idx="25" formatCode="0.00E+00">
                  <c:v>1.1481373328653521E-3</c:v>
                </c:pt>
                <c:pt idx="26" formatCode="0.00E+00">
                  <c:v>1.1456801103602485E-3</c:v>
                </c:pt>
                <c:pt idx="27" formatCode="0.00E+00">
                  <c:v>1.1432228878551448E-3</c:v>
                </c:pt>
                <c:pt idx="28" formatCode="0.00E+00">
                  <c:v>1.1407656653500411E-3</c:v>
                </c:pt>
                <c:pt idx="29" formatCode="0.00E+00">
                  <c:v>1.1383084428449376E-3</c:v>
                </c:pt>
                <c:pt idx="30" formatCode="0.00E+00">
                  <c:v>1.1358512203398338E-3</c:v>
                </c:pt>
                <c:pt idx="31" formatCode="0.00E+00">
                  <c:v>1.1333939978347303E-3</c:v>
                </c:pt>
                <c:pt idx="32" formatCode="0.00E+00">
                  <c:v>1.1309367753296266E-3</c:v>
                </c:pt>
                <c:pt idx="33" formatCode="0.00E+00">
                  <c:v>1.1284795528245229E-3</c:v>
                </c:pt>
                <c:pt idx="34" formatCode="0.00E+00">
                  <c:v>1.1260223303194191E-3</c:v>
                </c:pt>
                <c:pt idx="35" formatCode="0.00E+00">
                  <c:v>1.1235651078143154E-3</c:v>
                </c:pt>
                <c:pt idx="36" formatCode="0.00E+00">
                  <c:v>1.1211078853092119E-3</c:v>
                </c:pt>
                <c:pt idx="37" formatCode="0.00E+00">
                  <c:v>1.1186506628041082E-3</c:v>
                </c:pt>
                <c:pt idx="38" formatCode="0.00E+00">
                  <c:v>1.1137362177939013E-3</c:v>
                </c:pt>
                <c:pt idx="39" formatCode="0.00E+00">
                  <c:v>1.1868928349938494E-3</c:v>
                </c:pt>
                <c:pt idx="40" formatCode="0.00E+00">
                  <c:v>1.2242021544325342E-3</c:v>
                </c:pt>
                <c:pt idx="41" formatCode="0.00E+00">
                  <c:v>1.2625148116111296E-3</c:v>
                </c:pt>
                <c:pt idx="42" formatCode="0.00E+00">
                  <c:v>1.2984724640643824E-3</c:v>
                </c:pt>
                <c:pt idx="43" formatCode="0.00E+00">
                  <c:v>1.3325458991476349E-3</c:v>
                </c:pt>
                <c:pt idx="44" formatCode="0.00E+00">
                  <c:v>1.3625499159680566E-3</c:v>
                </c:pt>
                <c:pt idx="45" formatCode="0.00E+00">
                  <c:v>1.3753174198569197E-3</c:v>
                </c:pt>
                <c:pt idx="46" formatCode="0.00E+00">
                  <c:v>1.3946841343267524E-3</c:v>
                </c:pt>
                <c:pt idx="47" formatCode="0.00E+00">
                  <c:v>1.4146533498165597E-3</c:v>
                </c:pt>
                <c:pt idx="48" formatCode="0.00E+00">
                  <c:v>1.433418275232172E-3</c:v>
                </c:pt>
                <c:pt idx="49" formatCode="0.00E+00">
                  <c:v>1.4445909758303492E-3</c:v>
                </c:pt>
                <c:pt idx="50" formatCode="0.00E+00">
                  <c:v>1.4455847020325705E-3</c:v>
                </c:pt>
                <c:pt idx="51" formatCode="0.00E+00">
                  <c:v>1.4457021763821074E-3</c:v>
                </c:pt>
                <c:pt idx="52" formatCode="0.00E+00">
                  <c:v>1.4456854451868704E-3</c:v>
                </c:pt>
                <c:pt idx="53" formatCode="0.00E+00">
                  <c:v>1.4457034223221783E-3</c:v>
                </c:pt>
                <c:pt idx="54" formatCode="0.00E+00">
                  <c:v>1.4456555426251702E-3</c:v>
                </c:pt>
                <c:pt idx="55" formatCode="0.00E+00">
                  <c:v>1.4455629870770495E-3</c:v>
                </c:pt>
                <c:pt idx="56" formatCode="0.00E+00">
                  <c:v>1.4452171497116699E-3</c:v>
                </c:pt>
                <c:pt idx="57" formatCode="0.00E+00">
                  <c:v>1.4450916657473914E-3</c:v>
                </c:pt>
                <c:pt idx="58" formatCode="0.00E+00">
                  <c:v>1.4448529792281048E-3</c:v>
                </c:pt>
                <c:pt idx="59" formatCode="0.00E+00">
                  <c:v>1.4438560491799872E-3</c:v>
                </c:pt>
                <c:pt idx="60" formatCode="0.00E+00">
                  <c:v>1.4432142120520612E-3</c:v>
                </c:pt>
                <c:pt idx="61" formatCode="0.00E+00">
                  <c:v>1.4432665415350372E-3</c:v>
                </c:pt>
                <c:pt idx="62" formatCode="0.00E+00">
                  <c:v>1.4434251319069122E-3</c:v>
                </c:pt>
                <c:pt idx="63" formatCode="0.00E+00">
                  <c:v>1.4437811147842976E-3</c:v>
                </c:pt>
                <c:pt idx="64" formatCode="0.00E+00">
                  <c:v>1.4442054463741406E-3</c:v>
                </c:pt>
                <c:pt idx="65" formatCode="0.00E+00">
                  <c:v>1.4447501001765403E-3</c:v>
                </c:pt>
                <c:pt idx="66" formatCode="0.00E+00">
                  <c:v>1.4451804834752992E-3</c:v>
                </c:pt>
                <c:pt idx="67" formatCode="0.00E+00">
                  <c:v>1.4456904289471535E-3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25-4EBA-BDE8-170EF0E8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14112"/>
        <c:axId val="134715648"/>
      </c:lineChart>
      <c:catAx>
        <c:axId val="13471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15648"/>
        <c:crosses val="autoZero"/>
        <c:auto val="1"/>
        <c:lblAlgn val="ctr"/>
        <c:lblOffset val="100"/>
        <c:noMultiLvlLbl val="0"/>
      </c:catAx>
      <c:valAx>
        <c:axId val="134715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1411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Extrapolations!$A$5:$B$5</c:f>
              <c:strCache>
                <c:ptCount val="2"/>
                <c:pt idx="0">
                  <c:v>HDVs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Extrapolations!$C$5:$BT$5</c:f>
              <c:numCache>
                <c:formatCode>General</c:formatCode>
                <c:ptCount val="70"/>
                <c:pt idx="9" formatCode="0.00E+00">
                  <c:v>7.8040477200267344E-4</c:v>
                </c:pt>
                <c:pt idx="10" formatCode="0.00E+00">
                  <c:v>7.8040477200267344E-4</c:v>
                </c:pt>
                <c:pt idx="11" formatCode="0.00E+00">
                  <c:v>7.8040477200267344E-4</c:v>
                </c:pt>
                <c:pt idx="12" formatCode="0.00E+00">
                  <c:v>7.8040477200267344E-4</c:v>
                </c:pt>
                <c:pt idx="13" formatCode="0.00E+00">
                  <c:v>7.8040477200267344E-4</c:v>
                </c:pt>
                <c:pt idx="14" formatCode="0.00E+00">
                  <c:v>7.8040477200267344E-4</c:v>
                </c:pt>
                <c:pt idx="15" formatCode="0.00E+00">
                  <c:v>7.8040477200267344E-4</c:v>
                </c:pt>
                <c:pt idx="16" formatCode="0.00E+00">
                  <c:v>7.8040477200267344E-4</c:v>
                </c:pt>
                <c:pt idx="17" formatCode="0.00E+00">
                  <c:v>7.8040477200267344E-4</c:v>
                </c:pt>
                <c:pt idx="18" formatCode="0.00E+00">
                  <c:v>7.8040477200267344E-4</c:v>
                </c:pt>
                <c:pt idx="19" formatCode="0.00E+00">
                  <c:v>7.8040477200267344E-4</c:v>
                </c:pt>
                <c:pt idx="20" formatCode="0.00E+00">
                  <c:v>7.7875573937035282E-4</c:v>
                </c:pt>
                <c:pt idx="21" formatCode="0.00E+00">
                  <c:v>7.771067067380322E-4</c:v>
                </c:pt>
                <c:pt idx="22" formatCode="0.00E+00">
                  <c:v>7.7545767410571158E-4</c:v>
                </c:pt>
                <c:pt idx="23" formatCode="0.00E+00">
                  <c:v>7.7380864147339097E-4</c:v>
                </c:pt>
                <c:pt idx="24" formatCode="0.00E+00">
                  <c:v>7.7215960884107035E-4</c:v>
                </c:pt>
                <c:pt idx="25" formatCode="0.00E+00">
                  <c:v>7.7051057620874973E-4</c:v>
                </c:pt>
                <c:pt idx="26" formatCode="0.00E+00">
                  <c:v>7.6886154357642912E-4</c:v>
                </c:pt>
                <c:pt idx="27" formatCode="0.00E+00">
                  <c:v>7.672125109441085E-4</c:v>
                </c:pt>
                <c:pt idx="28" formatCode="0.00E+00">
                  <c:v>7.6556347831178788E-4</c:v>
                </c:pt>
                <c:pt idx="29" formatCode="0.00E+00">
                  <c:v>7.6391444567946727E-4</c:v>
                </c:pt>
                <c:pt idx="30" formatCode="0.00E+00">
                  <c:v>7.6226541304714665E-4</c:v>
                </c:pt>
                <c:pt idx="31" formatCode="0.00E+00">
                  <c:v>7.6061638041482603E-4</c:v>
                </c:pt>
                <c:pt idx="32" formatCode="0.00E+00">
                  <c:v>7.5896734778250542E-4</c:v>
                </c:pt>
                <c:pt idx="33" formatCode="0.00E+00">
                  <c:v>7.573183151501848E-4</c:v>
                </c:pt>
                <c:pt idx="34" formatCode="0.00E+00">
                  <c:v>7.5566928251786418E-4</c:v>
                </c:pt>
                <c:pt idx="35" formatCode="0.00E+00">
                  <c:v>7.5402024988554357E-4</c:v>
                </c:pt>
                <c:pt idx="36" formatCode="0.00E+00">
                  <c:v>7.5237121725322295E-4</c:v>
                </c:pt>
                <c:pt idx="37" formatCode="0.00E+00">
                  <c:v>7.5072218462090233E-4</c:v>
                </c:pt>
                <c:pt idx="38" formatCode="0.00E+00">
                  <c:v>7.4742411935626142E-4</c:v>
                </c:pt>
                <c:pt idx="39" formatCode="0.00E+00">
                  <c:v>7.9651924557390657E-4</c:v>
                </c:pt>
                <c:pt idx="40" formatCode="0.00E+00">
                  <c:v>8.2155738726285784E-4</c:v>
                </c:pt>
                <c:pt idx="41" formatCode="0.00E+00">
                  <c:v>8.4726886507457174E-4</c:v>
                </c:pt>
                <c:pt idx="42" formatCode="0.00E+00">
                  <c:v>8.7139990821531331E-4</c:v>
                </c:pt>
                <c:pt idx="43" formatCode="0.00E+00">
                  <c:v>8.9426646028002797E-4</c:v>
                </c:pt>
                <c:pt idx="44" formatCode="0.00E+00">
                  <c:v>9.1440204130079723E-4</c:v>
                </c:pt>
                <c:pt idx="45" formatCode="0.00E+00">
                  <c:v>9.2297026436659075E-4</c:v>
                </c:pt>
                <c:pt idx="46" formatCode="0.00E+00">
                  <c:v>9.3596719243283541E-4</c:v>
                </c:pt>
                <c:pt idx="47" formatCode="0.00E+00">
                  <c:v>9.4936845663098554E-4</c:v>
                </c:pt>
                <c:pt idx="48" formatCode="0.00E+00">
                  <c:v>9.6196152636282171E-4</c:v>
                </c:pt>
                <c:pt idx="49" formatCode="0.00E+00">
                  <c:v>9.6945948303515201E-4</c:v>
                </c:pt>
                <c:pt idx="50" formatCode="0.00E+00">
                  <c:v>9.7012636889170394E-4</c:v>
                </c:pt>
                <c:pt idx="51" formatCode="0.00E+00">
                  <c:v>9.7020520547872228E-4</c:v>
                </c:pt>
                <c:pt idx="52" formatCode="0.00E+00">
                  <c:v>9.7019397723754094E-4</c:v>
                </c:pt>
                <c:pt idx="53" formatCode="0.00E+00">
                  <c:v>9.7020604162434225E-4</c:v>
                </c:pt>
                <c:pt idx="54" formatCode="0.00E+00">
                  <c:v>9.7017390974266364E-4</c:v>
                </c:pt>
                <c:pt idx="55" formatCode="0.00E+00">
                  <c:v>9.7011179606804271E-4</c:v>
                </c:pt>
                <c:pt idx="56" formatCode="0.00E+00">
                  <c:v>9.6987970593383536E-4</c:v>
                </c:pt>
                <c:pt idx="57" formatCode="0.00E+00">
                  <c:v>9.6979549412497463E-4</c:v>
                </c:pt>
                <c:pt idx="58" formatCode="0.00E+00">
                  <c:v>9.6963531251407814E-4</c:v>
                </c:pt>
                <c:pt idx="59" formatCode="0.00E+00">
                  <c:v>9.6896627656878928E-4</c:v>
                </c:pt>
                <c:pt idx="60" formatCode="0.00E+00">
                  <c:v>9.6853554212517003E-4</c:v>
                </c:pt>
                <c:pt idx="61" formatCode="0.00E+00">
                  <c:v>9.6857066024120565E-4</c:v>
                </c:pt>
                <c:pt idx="62" formatCode="0.00E+00">
                  <c:v>9.6867708963368051E-4</c:v>
                </c:pt>
                <c:pt idx="63" formatCode="0.00E+00">
                  <c:v>9.6891598838222154E-4</c:v>
                </c:pt>
                <c:pt idx="64" formatCode="0.00E+00">
                  <c:v>9.6920075569048212E-4</c:v>
                </c:pt>
                <c:pt idx="65" formatCode="0.00E+00">
                  <c:v>9.6956627077574963E-4</c:v>
                </c:pt>
                <c:pt idx="66" formatCode="0.00E+00">
                  <c:v>9.6985509936273564E-4</c:v>
                </c:pt>
                <c:pt idx="67" formatCode="0.00E+00">
                  <c:v>9.701973218200204E-4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9E-47F4-8644-3A040F3A9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32032"/>
        <c:axId val="134807552"/>
      </c:lineChart>
      <c:catAx>
        <c:axId val="13473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07552"/>
        <c:crosses val="autoZero"/>
        <c:auto val="1"/>
        <c:lblAlgn val="ctr"/>
        <c:lblOffset val="100"/>
        <c:noMultiLvlLbl val="0"/>
      </c:catAx>
      <c:valAx>
        <c:axId val="134807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3203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Extrapolations!$A$6:$B$6</c:f>
              <c:strCache>
                <c:ptCount val="2"/>
                <c:pt idx="0">
                  <c:v>aircraft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Extrapolations!$C$6:$BT$6</c:f>
              <c:numCache>
                <c:formatCode>General</c:formatCode>
                <c:ptCount val="70"/>
                <c:pt idx="13" formatCode="0.00E+00">
                  <c:v>5.7245968727451246E-4</c:v>
                </c:pt>
                <c:pt idx="14" formatCode="0.00E+00">
                  <c:v>5.7245968727451246E-4</c:v>
                </c:pt>
                <c:pt idx="15" formatCode="0.00E+00">
                  <c:v>5.7245968727451246E-4</c:v>
                </c:pt>
                <c:pt idx="16" formatCode="0.00E+00">
                  <c:v>5.7245968727451246E-4</c:v>
                </c:pt>
                <c:pt idx="17" formatCode="0.00E+00">
                  <c:v>5.7245968727451246E-4</c:v>
                </c:pt>
                <c:pt idx="18" formatCode="0.00E+00">
                  <c:v>5.7245968727451246E-4</c:v>
                </c:pt>
                <c:pt idx="19" formatCode="0.00E+00">
                  <c:v>5.7245968727451246E-4</c:v>
                </c:pt>
                <c:pt idx="20" formatCode="0.00E+00">
                  <c:v>5.7245968727451246E-4</c:v>
                </c:pt>
                <c:pt idx="21" formatCode="0.00E+00">
                  <c:v>5.7245968727451246E-4</c:v>
                </c:pt>
                <c:pt idx="22" formatCode="0.00E+00">
                  <c:v>5.7245968727451246E-4</c:v>
                </c:pt>
                <c:pt idx="23" formatCode="0.00E+00">
                  <c:v>5.7245968727451246E-4</c:v>
                </c:pt>
                <c:pt idx="24" formatCode="0.00E+00">
                  <c:v>5.7245968727451246E-4</c:v>
                </c:pt>
                <c:pt idx="25" formatCode="0.00E+00">
                  <c:v>5.7245968727451246E-4</c:v>
                </c:pt>
                <c:pt idx="26" formatCode="0.00E+00">
                  <c:v>5.7245968727451246E-4</c:v>
                </c:pt>
                <c:pt idx="27" formatCode="0.00E+00">
                  <c:v>5.7245968727451246E-4</c:v>
                </c:pt>
                <c:pt idx="28" formatCode="0.00E+00">
                  <c:v>5.7245968727451246E-4</c:v>
                </c:pt>
                <c:pt idx="29" formatCode="0.00E+00">
                  <c:v>5.7245968727451246E-4</c:v>
                </c:pt>
                <c:pt idx="30" formatCode="0.00E+00">
                  <c:v>5.7245968727451246E-4</c:v>
                </c:pt>
                <c:pt idx="31" formatCode="0.00E+00">
                  <c:v>5.7245968727451246E-4</c:v>
                </c:pt>
                <c:pt idx="32" formatCode="0.00E+00">
                  <c:v>5.7245968727451246E-4</c:v>
                </c:pt>
                <c:pt idx="33" formatCode="0.00E+00">
                  <c:v>5.7245968727451246E-4</c:v>
                </c:pt>
                <c:pt idx="34" formatCode="0.00E+00">
                  <c:v>5.7245968727451246E-4</c:v>
                </c:pt>
                <c:pt idx="35" formatCode="0.00E+00">
                  <c:v>5.7245968727451246E-4</c:v>
                </c:pt>
                <c:pt idx="36" formatCode="0.00E+00">
                  <c:v>5.7245968727451246E-4</c:v>
                </c:pt>
                <c:pt idx="37" formatCode="0.00E+00">
                  <c:v>5.7245968727451246E-4</c:v>
                </c:pt>
                <c:pt idx="38" formatCode="0.00E+00">
                  <c:v>5.7245968727451246E-4</c:v>
                </c:pt>
                <c:pt idx="39" formatCode="0.00E+00">
                  <c:v>5.7245968727451246E-4</c:v>
                </c:pt>
                <c:pt idx="40" formatCode="0.00E+00">
                  <c:v>5.7245968727451246E-4</c:v>
                </c:pt>
                <c:pt idx="41" formatCode="0.00E+00">
                  <c:v>5.7245968727451246E-4</c:v>
                </c:pt>
                <c:pt idx="42" formatCode="0.00E+00">
                  <c:v>5.7245968727451246E-4</c:v>
                </c:pt>
                <c:pt idx="43" formatCode="0.00E+00">
                  <c:v>5.7245968727451246E-4</c:v>
                </c:pt>
                <c:pt idx="44" formatCode="0.00E+00">
                  <c:v>5.7245968727451246E-4</c:v>
                </c:pt>
                <c:pt idx="45" formatCode="0.00E+00">
                  <c:v>5.7245968727451246E-4</c:v>
                </c:pt>
                <c:pt idx="46" formatCode="0.00E+00">
                  <c:v>5.7245968727451246E-4</c:v>
                </c:pt>
                <c:pt idx="47" formatCode="0.00E+00">
                  <c:v>5.7245968727451246E-4</c:v>
                </c:pt>
                <c:pt idx="48" formatCode="0.00E+00">
                  <c:v>5.7245968727451246E-4</c:v>
                </c:pt>
                <c:pt idx="49" formatCode="0.00E+00">
                  <c:v>5.7245968727451246E-4</c:v>
                </c:pt>
                <c:pt idx="50" formatCode="0.00E+00">
                  <c:v>5.7245968727451246E-4</c:v>
                </c:pt>
                <c:pt idx="51" formatCode="0.00E+00">
                  <c:v>5.7245968727451246E-4</c:v>
                </c:pt>
                <c:pt idx="52" formatCode="0.00E+00">
                  <c:v>5.7245968727451246E-4</c:v>
                </c:pt>
                <c:pt idx="53" formatCode="0.00E+00">
                  <c:v>5.7245968727451246E-4</c:v>
                </c:pt>
                <c:pt idx="54" formatCode="0.00E+00">
                  <c:v>5.7245968727451246E-4</c:v>
                </c:pt>
                <c:pt idx="55" formatCode="0.00E+00">
                  <c:v>5.7245968727451246E-4</c:v>
                </c:pt>
                <c:pt idx="56" formatCode="0.00E+00">
                  <c:v>5.7245968727451246E-4</c:v>
                </c:pt>
                <c:pt idx="57" formatCode="0.00E+00">
                  <c:v>5.7245968727451246E-4</c:v>
                </c:pt>
                <c:pt idx="58" formatCode="0.00E+00">
                  <c:v>5.7245968727451246E-4</c:v>
                </c:pt>
                <c:pt idx="59" formatCode="0.00E+00">
                  <c:v>5.7245968727451246E-4</c:v>
                </c:pt>
                <c:pt idx="60" formatCode="0.00E+00">
                  <c:v>5.7245968727451246E-4</c:v>
                </c:pt>
                <c:pt idx="61" formatCode="0.00E+00">
                  <c:v>5.7245968727451246E-4</c:v>
                </c:pt>
                <c:pt idx="62" formatCode="0.00E+00">
                  <c:v>5.7245968727451246E-4</c:v>
                </c:pt>
                <c:pt idx="63" formatCode="0.00E+00">
                  <c:v>5.7245968727451246E-4</c:v>
                </c:pt>
                <c:pt idx="64" formatCode="0.00E+00">
                  <c:v>5.7245968727451246E-4</c:v>
                </c:pt>
                <c:pt idx="65" formatCode="0.00E+00">
                  <c:v>5.7245968727451246E-4</c:v>
                </c:pt>
                <c:pt idx="66" formatCode="0.00E+00">
                  <c:v>5.7245968727451246E-4</c:v>
                </c:pt>
                <c:pt idx="67" formatCode="0.00E+00">
                  <c:v>5.7245968727451246E-4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2-4B86-967E-8CB150C67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29568"/>
        <c:axId val="134831104"/>
      </c:lineChart>
      <c:catAx>
        <c:axId val="13482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31104"/>
        <c:crosses val="autoZero"/>
        <c:auto val="1"/>
        <c:lblAlgn val="ctr"/>
        <c:lblOffset val="100"/>
        <c:noMultiLvlLbl val="0"/>
      </c:catAx>
      <c:valAx>
        <c:axId val="13483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2956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Extrapolations!$A$7:$B$7</c:f>
              <c:strCache>
                <c:ptCount val="2"/>
                <c:pt idx="0">
                  <c:v>aircraft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Extrapolations!$C$7:$BT$7</c:f>
              <c:numCache>
                <c:formatCode>General</c:formatCode>
                <c:ptCount val="70"/>
                <c:pt idx="13" formatCode="0.00E+00">
                  <c:v>3.6038411832808568E-5</c:v>
                </c:pt>
                <c:pt idx="14" formatCode="0.00E+00">
                  <c:v>3.647844074325616E-5</c:v>
                </c:pt>
                <c:pt idx="15" formatCode="0.00E+00">
                  <c:v>3.6918469653703644E-5</c:v>
                </c:pt>
                <c:pt idx="16" formatCode="0.00E+00">
                  <c:v>3.7358498564151237E-5</c:v>
                </c:pt>
                <c:pt idx="17" formatCode="0.00E+00">
                  <c:v>3.7798527474598721E-5</c:v>
                </c:pt>
                <c:pt idx="18" formatCode="0.00E+00">
                  <c:v>3.8238556385046314E-5</c:v>
                </c:pt>
                <c:pt idx="19" formatCode="0.00E+00">
                  <c:v>3.8678585295493906E-5</c:v>
                </c:pt>
                <c:pt idx="20" formatCode="0.00E+00">
                  <c:v>3.9118614205941391E-5</c:v>
                </c:pt>
                <c:pt idx="21" formatCode="0.00E+00">
                  <c:v>3.9558643116388983E-5</c:v>
                </c:pt>
                <c:pt idx="22" formatCode="0.00E+00">
                  <c:v>3.9998672026836467E-5</c:v>
                </c:pt>
                <c:pt idx="23" formatCode="0.00E+00">
                  <c:v>4.043870093728406E-5</c:v>
                </c:pt>
                <c:pt idx="24" formatCode="0.00E+00">
                  <c:v>4.0878729847731653E-5</c:v>
                </c:pt>
                <c:pt idx="25" formatCode="0.00E+00">
                  <c:v>4.1318758758179137E-5</c:v>
                </c:pt>
                <c:pt idx="26" formatCode="0.00E+00">
                  <c:v>4.1758787668626729E-5</c:v>
                </c:pt>
                <c:pt idx="27" formatCode="0.00E+00">
                  <c:v>4.2198816579074322E-5</c:v>
                </c:pt>
                <c:pt idx="28" formatCode="0.00E+00">
                  <c:v>4.2638845489521806E-5</c:v>
                </c:pt>
                <c:pt idx="29" formatCode="0.00E+00">
                  <c:v>4.3078874399969399E-5</c:v>
                </c:pt>
                <c:pt idx="30" formatCode="0.00E+00">
                  <c:v>4.3518903310416883E-5</c:v>
                </c:pt>
                <c:pt idx="31" formatCode="0.00E+00">
                  <c:v>4.3958932220864476E-5</c:v>
                </c:pt>
                <c:pt idx="32" formatCode="0.00E+00">
                  <c:v>4.4398961131312068E-5</c:v>
                </c:pt>
                <c:pt idx="33" formatCode="0.00E+00">
                  <c:v>4.4838990041759552E-5</c:v>
                </c:pt>
                <c:pt idx="34" formatCode="0.00E+00">
                  <c:v>4.5279018952207145E-5</c:v>
                </c:pt>
                <c:pt idx="35" formatCode="0.00E+00">
                  <c:v>4.5719047862654629E-5</c:v>
                </c:pt>
                <c:pt idx="36" formatCode="0.00E+00">
                  <c:v>4.6159076773102222E-5</c:v>
                </c:pt>
                <c:pt idx="37" formatCode="0.00E+00">
                  <c:v>4.6599105683549815E-5</c:v>
                </c:pt>
                <c:pt idx="38" formatCode="0.00E+00">
                  <c:v>4.8563096039282174E-5</c:v>
                </c:pt>
                <c:pt idx="39" formatCode="0.00E+00">
                  <c:v>4.7951937565239972E-5</c:v>
                </c:pt>
                <c:pt idx="40" formatCode="0.00E+00">
                  <c:v>4.8199148542133818E-5</c:v>
                </c:pt>
                <c:pt idx="41" formatCode="0.00E+00">
                  <c:v>4.8463289763291303E-5</c:v>
                </c:pt>
                <c:pt idx="42" formatCode="0.00E+00">
                  <c:v>4.8810101273548841E-5</c:v>
                </c:pt>
                <c:pt idx="43" formatCode="0.00E+00">
                  <c:v>4.9248402309752346E-5</c:v>
                </c:pt>
                <c:pt idx="44" formatCode="0.00E+00">
                  <c:v>4.9544253613324154E-5</c:v>
                </c:pt>
                <c:pt idx="45" formatCode="0.00E+00">
                  <c:v>4.9847838070065696E-5</c:v>
                </c:pt>
                <c:pt idx="46" formatCode="0.00E+00">
                  <c:v>5.0132631366857999E-5</c:v>
                </c:pt>
                <c:pt idx="47" formatCode="0.00E+00">
                  <c:v>5.0441473470928121E-5</c:v>
                </c:pt>
                <c:pt idx="48" formatCode="0.00E+00">
                  <c:v>5.0785598457265348E-5</c:v>
                </c:pt>
                <c:pt idx="49" formatCode="0.00E+00">
                  <c:v>5.1172517250624796E-5</c:v>
                </c:pt>
                <c:pt idx="50" formatCode="0.00E+00">
                  <c:v>5.161151266819503E-5</c:v>
                </c:pt>
                <c:pt idx="51" formatCode="0.00E+00">
                  <c:v>5.2082892766601423E-5</c:v>
                </c:pt>
                <c:pt idx="52" formatCode="0.00E+00">
                  <c:v>5.2576863009813412E-5</c:v>
                </c:pt>
                <c:pt idx="53" formatCode="0.00E+00">
                  <c:v>5.3077126867236362E-5</c:v>
                </c:pt>
                <c:pt idx="54" formatCode="0.00E+00">
                  <c:v>5.3586049060219874E-5</c:v>
                </c:pt>
                <c:pt idx="55" formatCode="0.00E+00">
                  <c:v>5.4105334878616127E-5</c:v>
                </c:pt>
                <c:pt idx="56" formatCode="0.00E+00">
                  <c:v>5.4610539196817424E-5</c:v>
                </c:pt>
                <c:pt idx="57" formatCode="0.00E+00">
                  <c:v>5.5125025672775793E-5</c:v>
                </c:pt>
                <c:pt idx="58" formatCode="0.00E+00">
                  <c:v>5.5644352375924891E-5</c:v>
                </c:pt>
                <c:pt idx="59" formatCode="0.00E+00">
                  <c:v>5.6164574587047429E-5</c:v>
                </c:pt>
                <c:pt idx="60" formatCode="0.00E+00">
                  <c:v>5.6693978062907934E-5</c:v>
                </c:pt>
                <c:pt idx="61" formatCode="0.00E+00">
                  <c:v>5.721493949673903E-5</c:v>
                </c:pt>
                <c:pt idx="62" formatCode="0.00E+00">
                  <c:v>5.7733179456780447E-5</c:v>
                </c:pt>
                <c:pt idx="63" formatCode="0.00E+00">
                  <c:v>5.8241709288023016E-5</c:v>
                </c:pt>
                <c:pt idx="64" formatCode="0.00E+00">
                  <c:v>5.8749514404049965E-5</c:v>
                </c:pt>
                <c:pt idx="65" formatCode="0.00E+00">
                  <c:v>5.9249763094548476E-5</c:v>
                </c:pt>
                <c:pt idx="66" formatCode="0.00E+00">
                  <c:v>5.9740125588038328E-5</c:v>
                </c:pt>
                <c:pt idx="67" formatCode="0.00E+00">
                  <c:v>6.0224657388228372E-5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6-4868-B118-F1A6BB173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39680"/>
        <c:axId val="134845568"/>
      </c:lineChart>
      <c:catAx>
        <c:axId val="13483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45568"/>
        <c:crosses val="autoZero"/>
        <c:auto val="1"/>
        <c:lblAlgn val="ctr"/>
        <c:lblOffset val="100"/>
        <c:noMultiLvlLbl val="0"/>
      </c:catAx>
      <c:valAx>
        <c:axId val="134845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3968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Extrapolations!$A$8:$B$8</c:f>
              <c:strCache>
                <c:ptCount val="2"/>
                <c:pt idx="0">
                  <c:v>rail</c:v>
                </c:pt>
                <c:pt idx="1">
                  <c:v>psgr - diesel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Extrapolations!$C$8:$BT$8</c:f>
              <c:numCache>
                <c:formatCode>General</c:formatCode>
                <c:ptCount val="70"/>
                <c:pt idx="3" formatCode="0.00E+00">
                  <c:v>7.1745362435245036E-5</c:v>
                </c:pt>
                <c:pt idx="4" formatCode="0.00E+00">
                  <c:v>7.1745362435245036E-5</c:v>
                </c:pt>
                <c:pt idx="5" formatCode="0.00E+00">
                  <c:v>7.1745362435245036E-5</c:v>
                </c:pt>
                <c:pt idx="6" formatCode="0.00E+00">
                  <c:v>7.1745362435245036E-5</c:v>
                </c:pt>
                <c:pt idx="7" formatCode="0.00E+00">
                  <c:v>7.1745362435245036E-5</c:v>
                </c:pt>
                <c:pt idx="8" formatCode="0.00E+00">
                  <c:v>7.1745362435245036E-5</c:v>
                </c:pt>
                <c:pt idx="9" formatCode="0.00E+00">
                  <c:v>7.1745362435245036E-5</c:v>
                </c:pt>
                <c:pt idx="10" formatCode="0.00E+00">
                  <c:v>7.1745362435245036E-5</c:v>
                </c:pt>
                <c:pt idx="11" formatCode="0.00E+00">
                  <c:v>7.1745362435245036E-5</c:v>
                </c:pt>
                <c:pt idx="12" formatCode="0.00E+00">
                  <c:v>7.1745362435245036E-5</c:v>
                </c:pt>
                <c:pt idx="13" formatCode="0.00E+00">
                  <c:v>7.1745362435245036E-5</c:v>
                </c:pt>
                <c:pt idx="14" formatCode="0.00E+00">
                  <c:v>7.1745362435245036E-5</c:v>
                </c:pt>
                <c:pt idx="15" formatCode="0.00E+00">
                  <c:v>7.1745362435245036E-5</c:v>
                </c:pt>
                <c:pt idx="16" formatCode="0.00E+00">
                  <c:v>7.1745362435245036E-5</c:v>
                </c:pt>
                <c:pt idx="17" formatCode="0.00E+00">
                  <c:v>7.1745362435245036E-5</c:v>
                </c:pt>
                <c:pt idx="18" formatCode="0.00E+00">
                  <c:v>7.1745362435245036E-5</c:v>
                </c:pt>
                <c:pt idx="19" formatCode="0.00E+00">
                  <c:v>7.1745362435245036E-5</c:v>
                </c:pt>
                <c:pt idx="20" formatCode="0.00E+00">
                  <c:v>7.1745362435245036E-5</c:v>
                </c:pt>
                <c:pt idx="21" formatCode="0.00E+00">
                  <c:v>7.1745362435245036E-5</c:v>
                </c:pt>
                <c:pt idx="22" formatCode="0.00E+00">
                  <c:v>7.1745362435245036E-5</c:v>
                </c:pt>
                <c:pt idx="23" formatCode="0.00E+00">
                  <c:v>7.1745362435245036E-5</c:v>
                </c:pt>
                <c:pt idx="24" formatCode="0.00E+00">
                  <c:v>7.1745362435245036E-5</c:v>
                </c:pt>
                <c:pt idx="25" formatCode="0.00E+00">
                  <c:v>7.1745362435245036E-5</c:v>
                </c:pt>
                <c:pt idx="26" formatCode="0.00E+00">
                  <c:v>7.1745362435245036E-5</c:v>
                </c:pt>
                <c:pt idx="27" formatCode="0.00E+00">
                  <c:v>7.1745362435245036E-5</c:v>
                </c:pt>
                <c:pt idx="28" formatCode="0.00E+00">
                  <c:v>7.1745362435245036E-5</c:v>
                </c:pt>
                <c:pt idx="29" formatCode="0.00E+00">
                  <c:v>7.1745362435245036E-5</c:v>
                </c:pt>
                <c:pt idx="30" formatCode="0.00E+00">
                  <c:v>7.1745362435245036E-5</c:v>
                </c:pt>
                <c:pt idx="31" formatCode="0.00E+00">
                  <c:v>7.1745362435245036E-5</c:v>
                </c:pt>
                <c:pt idx="32" formatCode="0.00E+00">
                  <c:v>7.1745362435245036E-5</c:v>
                </c:pt>
                <c:pt idx="33" formatCode="0.00E+00">
                  <c:v>7.1745362435245036E-5</c:v>
                </c:pt>
                <c:pt idx="34" formatCode="0.00E+00">
                  <c:v>7.1745362435245036E-5</c:v>
                </c:pt>
                <c:pt idx="35" formatCode="0.00E+00">
                  <c:v>7.1745362435245036E-5</c:v>
                </c:pt>
                <c:pt idx="36" formatCode="0.00E+00">
                  <c:v>7.1745362435245036E-5</c:v>
                </c:pt>
                <c:pt idx="37" formatCode="0.00E+00">
                  <c:v>7.1745362435245036E-5</c:v>
                </c:pt>
                <c:pt idx="38" formatCode="0.00E+00">
                  <c:v>7.1745362435245036E-5</c:v>
                </c:pt>
                <c:pt idx="39" formatCode="0.00E+00">
                  <c:v>7.1745362435245036E-5</c:v>
                </c:pt>
                <c:pt idx="40" formatCode="0.00E+00">
                  <c:v>7.1745362435245036E-5</c:v>
                </c:pt>
                <c:pt idx="41" formatCode="0.00E+00">
                  <c:v>7.1745362435245036E-5</c:v>
                </c:pt>
                <c:pt idx="42" formatCode="0.00E+00">
                  <c:v>7.1745362435245036E-5</c:v>
                </c:pt>
                <c:pt idx="43" formatCode="0.00E+00">
                  <c:v>7.1745362435245036E-5</c:v>
                </c:pt>
                <c:pt idx="44" formatCode="0.00E+00">
                  <c:v>7.1745362435245036E-5</c:v>
                </c:pt>
                <c:pt idx="45" formatCode="0.00E+00">
                  <c:v>7.1745362435245036E-5</c:v>
                </c:pt>
                <c:pt idx="46" formatCode="0.00E+00">
                  <c:v>7.1745362435245036E-5</c:v>
                </c:pt>
                <c:pt idx="47" formatCode="0.00E+00">
                  <c:v>7.1745362435245036E-5</c:v>
                </c:pt>
                <c:pt idx="48" formatCode="0.00E+00">
                  <c:v>7.1745362435245036E-5</c:v>
                </c:pt>
                <c:pt idx="49" formatCode="0.00E+00">
                  <c:v>7.1745362435245036E-5</c:v>
                </c:pt>
                <c:pt idx="50" formatCode="0.00E+00">
                  <c:v>7.1745362435245036E-5</c:v>
                </c:pt>
                <c:pt idx="51" formatCode="0.00E+00">
                  <c:v>7.1745362435245036E-5</c:v>
                </c:pt>
                <c:pt idx="52" formatCode="0.00E+00">
                  <c:v>7.1745362435245036E-5</c:v>
                </c:pt>
                <c:pt idx="53" formatCode="0.00E+00">
                  <c:v>7.1745362435245036E-5</c:v>
                </c:pt>
                <c:pt idx="54" formatCode="0.00E+00">
                  <c:v>7.1745362435245036E-5</c:v>
                </c:pt>
                <c:pt idx="55" formatCode="0.00E+00">
                  <c:v>7.1745362435245036E-5</c:v>
                </c:pt>
                <c:pt idx="56" formatCode="0.00E+00">
                  <c:v>7.1745362435245036E-5</c:v>
                </c:pt>
                <c:pt idx="57" formatCode="0.00E+00">
                  <c:v>7.1745362435245036E-5</c:v>
                </c:pt>
                <c:pt idx="58" formatCode="0.00E+00">
                  <c:v>7.1745362435245036E-5</c:v>
                </c:pt>
                <c:pt idx="59" formatCode="0.00E+00">
                  <c:v>7.1745362435245036E-5</c:v>
                </c:pt>
                <c:pt idx="60" formatCode="0.00E+00">
                  <c:v>7.1745362435245036E-5</c:v>
                </c:pt>
                <c:pt idx="61" formatCode="0.00E+00">
                  <c:v>7.1745362435245036E-5</c:v>
                </c:pt>
                <c:pt idx="62" formatCode="0.00E+00">
                  <c:v>7.1745362435245036E-5</c:v>
                </c:pt>
                <c:pt idx="63" formatCode="0.00E+00">
                  <c:v>7.1745362435245036E-5</c:v>
                </c:pt>
                <c:pt idx="64" formatCode="0.00E+00">
                  <c:v>7.1745362435245036E-5</c:v>
                </c:pt>
                <c:pt idx="65" formatCode="0.00E+00">
                  <c:v>7.1745362435245036E-5</c:v>
                </c:pt>
                <c:pt idx="66" formatCode="0.00E+00">
                  <c:v>7.1745362435245036E-5</c:v>
                </c:pt>
                <c:pt idx="67" formatCode="0.00E+00">
                  <c:v>7.1745362435245036E-5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1B-46D7-9971-4B60B6127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70848"/>
        <c:axId val="135072384"/>
      </c:lineChart>
      <c:catAx>
        <c:axId val="13507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72384"/>
        <c:crosses val="autoZero"/>
        <c:auto val="1"/>
        <c:lblAlgn val="ctr"/>
        <c:lblOffset val="100"/>
        <c:noMultiLvlLbl val="0"/>
      </c:catAx>
      <c:valAx>
        <c:axId val="1350723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7084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Extrapolations!$A$10:$B$10</c:f>
              <c:strCache>
                <c:ptCount val="2"/>
                <c:pt idx="0">
                  <c:v>rail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Extrapolations!$C$10:$BT$10</c:f>
              <c:numCache>
                <c:formatCode>General</c:formatCode>
                <c:ptCount val="70"/>
                <c:pt idx="3" formatCode="0.00E+00">
                  <c:v>3.2890937975528366E-3</c:v>
                </c:pt>
                <c:pt idx="4" formatCode="0.00E+00">
                  <c:v>3.2917330420467188E-3</c:v>
                </c:pt>
                <c:pt idx="5" formatCode="0.00E+00">
                  <c:v>3.294372286540601E-3</c:v>
                </c:pt>
                <c:pt idx="6" formatCode="0.00E+00">
                  <c:v>3.2970115310344832E-3</c:v>
                </c:pt>
                <c:pt idx="7" formatCode="0.00E+00">
                  <c:v>3.2996507755283645E-3</c:v>
                </c:pt>
                <c:pt idx="8" formatCode="0.00E+00">
                  <c:v>3.3022900200222467E-3</c:v>
                </c:pt>
                <c:pt idx="9" formatCode="0.00E+00">
                  <c:v>3.3049292645161289E-3</c:v>
                </c:pt>
                <c:pt idx="10" formatCode="0.00E+00">
                  <c:v>3.3075685090100111E-3</c:v>
                </c:pt>
                <c:pt idx="11" formatCode="0.00E+00">
                  <c:v>3.3102077535038933E-3</c:v>
                </c:pt>
                <c:pt idx="12" formatCode="0.00E+00">
                  <c:v>3.3128469979977755E-3</c:v>
                </c:pt>
                <c:pt idx="13" formatCode="0.00E+00">
                  <c:v>3.3154862424916577E-3</c:v>
                </c:pt>
                <c:pt idx="14" formatCode="0.00E+00">
                  <c:v>3.318125486985539E-3</c:v>
                </c:pt>
                <c:pt idx="15" formatCode="0.00E+00">
                  <c:v>3.3207647314794212E-3</c:v>
                </c:pt>
                <c:pt idx="16" formatCode="0.00E+00">
                  <c:v>3.3234039759733034E-3</c:v>
                </c:pt>
                <c:pt idx="17" formatCode="0.00E+00">
                  <c:v>3.3260432204671856E-3</c:v>
                </c:pt>
                <c:pt idx="18" formatCode="0.00E+00">
                  <c:v>3.3286824649610678E-3</c:v>
                </c:pt>
                <c:pt idx="19" formatCode="0.00E+00">
                  <c:v>3.33132170945495E-3</c:v>
                </c:pt>
                <c:pt idx="20" formatCode="0.00E+00">
                  <c:v>3.3339609539488322E-3</c:v>
                </c:pt>
                <c:pt idx="21" formatCode="0.00E+00">
                  <c:v>3.3366001984427144E-3</c:v>
                </c:pt>
                <c:pt idx="22" formatCode="0.00E+00">
                  <c:v>3.3392394429365957E-3</c:v>
                </c:pt>
                <c:pt idx="23" formatCode="0.00E+00">
                  <c:v>3.3418786874304779E-3</c:v>
                </c:pt>
                <c:pt idx="24" formatCode="0.00E+00">
                  <c:v>3.3445179319243601E-3</c:v>
                </c:pt>
                <c:pt idx="25" formatCode="0.00E+00">
                  <c:v>3.3471571764182423E-3</c:v>
                </c:pt>
                <c:pt idx="26" formatCode="0.00E+00">
                  <c:v>3.3497964209121245E-3</c:v>
                </c:pt>
                <c:pt idx="27" formatCode="0.00E+00">
                  <c:v>3.3524356654060067E-3</c:v>
                </c:pt>
                <c:pt idx="28" formatCode="0.00E+00">
                  <c:v>3.3550749098998889E-3</c:v>
                </c:pt>
                <c:pt idx="29" formatCode="0.00E+00">
                  <c:v>3.3577141543937711E-3</c:v>
                </c:pt>
                <c:pt idx="30" formatCode="0.00E+00">
                  <c:v>3.3603533988876525E-3</c:v>
                </c:pt>
                <c:pt idx="31" formatCode="0.00E+00">
                  <c:v>3.3629926433815347E-3</c:v>
                </c:pt>
                <c:pt idx="32" formatCode="0.00E+00">
                  <c:v>3.3656318878754169E-3</c:v>
                </c:pt>
                <c:pt idx="33" formatCode="0.00E+00">
                  <c:v>3.3682711323692991E-3</c:v>
                </c:pt>
                <c:pt idx="34" formatCode="0.00E+00">
                  <c:v>3.3709103768631813E-3</c:v>
                </c:pt>
                <c:pt idx="35" formatCode="0.00E+00">
                  <c:v>3.3735496213570635E-3</c:v>
                </c:pt>
                <c:pt idx="36" formatCode="0.00E+00">
                  <c:v>3.3761888658509456E-3</c:v>
                </c:pt>
                <c:pt idx="37" formatCode="0.00E+00">
                  <c:v>3.3788281103448278E-3</c:v>
                </c:pt>
                <c:pt idx="38" formatCode="0.00E+00">
                  <c:v>3.5120030000000001E-3</c:v>
                </c:pt>
                <c:pt idx="39" formatCode="0.00E+00">
                  <c:v>3.3663400000000002E-3</c:v>
                </c:pt>
                <c:pt idx="40" formatCode="0.00E+00">
                  <c:v>3.3698929999999997E-3</c:v>
                </c:pt>
                <c:pt idx="41" formatCode="0.00E+00">
                  <c:v>3.3734500000000001E-3</c:v>
                </c:pt>
                <c:pt idx="42" formatCode="0.00E+00">
                  <c:v>3.3770099999999997E-3</c:v>
                </c:pt>
                <c:pt idx="43" formatCode="0.00E+00">
                  <c:v>3.3805740000000003E-3</c:v>
                </c:pt>
                <c:pt idx="44" formatCode="0.00E+00">
                  <c:v>3.3841420000000001E-3</c:v>
                </c:pt>
                <c:pt idx="45" formatCode="0.00E+00">
                  <c:v>3.3877130000000001E-3</c:v>
                </c:pt>
                <c:pt idx="46" formatCode="0.00E+00">
                  <c:v>3.391289E-3</c:v>
                </c:pt>
                <c:pt idx="47" formatCode="0.00E+00">
                  <c:v>3.3948680000000001E-3</c:v>
                </c:pt>
                <c:pt idx="48" formatCode="0.00E+00">
                  <c:v>3.3984510000000002E-3</c:v>
                </c:pt>
                <c:pt idx="49" formatCode="0.00E+00">
                  <c:v>3.4020370000000001E-3</c:v>
                </c:pt>
                <c:pt idx="50" formatCode="0.00E+00">
                  <c:v>3.405628E-3</c:v>
                </c:pt>
                <c:pt idx="51" formatCode="0.00E+00">
                  <c:v>3.4092220000000004E-3</c:v>
                </c:pt>
                <c:pt idx="52" formatCode="0.00E+00">
                  <c:v>3.41282E-3</c:v>
                </c:pt>
                <c:pt idx="53" formatCode="0.00E+00">
                  <c:v>3.4164219999999997E-3</c:v>
                </c:pt>
                <c:pt idx="54" formatCode="0.00E+00">
                  <c:v>3.420027E-3</c:v>
                </c:pt>
                <c:pt idx="55" formatCode="0.00E+00">
                  <c:v>3.4236369999999998E-3</c:v>
                </c:pt>
                <c:pt idx="56" formatCode="0.00E+00">
                  <c:v>3.4272499999999997E-3</c:v>
                </c:pt>
                <c:pt idx="57" formatCode="0.00E+00">
                  <c:v>3.4308670000000002E-3</c:v>
                </c:pt>
                <c:pt idx="58" formatCode="0.00E+00">
                  <c:v>3.4344879999999999E-3</c:v>
                </c:pt>
                <c:pt idx="59" formatCode="0.00E+00">
                  <c:v>3.438113E-3</c:v>
                </c:pt>
                <c:pt idx="60" formatCode="0.00E+00">
                  <c:v>3.4417409999999999E-3</c:v>
                </c:pt>
                <c:pt idx="61" formatCode="0.00E+00">
                  <c:v>3.4453729999999998E-3</c:v>
                </c:pt>
                <c:pt idx="62" formatCode="0.00E+00">
                  <c:v>3.4490099999999997E-3</c:v>
                </c:pt>
                <c:pt idx="63" formatCode="0.00E+00">
                  <c:v>3.4526489999999999E-3</c:v>
                </c:pt>
                <c:pt idx="64" formatCode="0.00E+00">
                  <c:v>3.456293E-3</c:v>
                </c:pt>
                <c:pt idx="65" formatCode="0.00E+00">
                  <c:v>3.4599410000000002E-3</c:v>
                </c:pt>
                <c:pt idx="66" formatCode="0.00E+00">
                  <c:v>3.4635930000000001E-3</c:v>
                </c:pt>
                <c:pt idx="67" formatCode="0.00E+00">
                  <c:v>3.467248E-3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5-451A-B673-5FFCCFCC4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96960"/>
        <c:axId val="135098752"/>
      </c:lineChart>
      <c:catAx>
        <c:axId val="13509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98752"/>
        <c:crosses val="autoZero"/>
        <c:auto val="1"/>
        <c:lblAlgn val="ctr"/>
        <c:lblOffset val="100"/>
        <c:noMultiLvlLbl val="0"/>
      </c:catAx>
      <c:valAx>
        <c:axId val="135098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9696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Extrapolations!$A$11:$B$11</c:f>
              <c:strCache>
                <c:ptCount val="2"/>
                <c:pt idx="0">
                  <c:v>ships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Extrapolations!$C$11:$BT$11</c:f>
              <c:numCache>
                <c:formatCode>General</c:formatCode>
                <c:ptCount val="70"/>
                <c:pt idx="4" formatCode="0.00E+00">
                  <c:v>1.2594546332724645E-5</c:v>
                </c:pt>
                <c:pt idx="5" formatCode="0.00E+00">
                  <c:v>1.2594546332724645E-5</c:v>
                </c:pt>
                <c:pt idx="6" formatCode="0.00E+00">
                  <c:v>1.2594546332724645E-5</c:v>
                </c:pt>
                <c:pt idx="7" formatCode="0.00E+00">
                  <c:v>1.2594546332724645E-5</c:v>
                </c:pt>
                <c:pt idx="8" formatCode="0.00E+00">
                  <c:v>1.2594546332724645E-5</c:v>
                </c:pt>
                <c:pt idx="9" formatCode="0.00E+00">
                  <c:v>1.2594546332724645E-5</c:v>
                </c:pt>
                <c:pt idx="10" formatCode="0.00E+00">
                  <c:v>1.2594546332724645E-5</c:v>
                </c:pt>
                <c:pt idx="11" formatCode="0.00E+00">
                  <c:v>1.2594546332724645E-5</c:v>
                </c:pt>
                <c:pt idx="12" formatCode="0.00E+00">
                  <c:v>1.2594546332724645E-5</c:v>
                </c:pt>
                <c:pt idx="13" formatCode="0.00E+00">
                  <c:v>1.2594546332724645E-5</c:v>
                </c:pt>
                <c:pt idx="14" formatCode="0.00E+00">
                  <c:v>1.2594546332724645E-5</c:v>
                </c:pt>
                <c:pt idx="15" formatCode="0.00E+00">
                  <c:v>1.2594546332724645E-5</c:v>
                </c:pt>
                <c:pt idx="16" formatCode="0.00E+00">
                  <c:v>1.2594546332724645E-5</c:v>
                </c:pt>
                <c:pt idx="17" formatCode="0.00E+00">
                  <c:v>1.2594546332724645E-5</c:v>
                </c:pt>
                <c:pt idx="18" formatCode="0.00E+00">
                  <c:v>1.2594546332724645E-5</c:v>
                </c:pt>
                <c:pt idx="19" formatCode="0.00E+00">
                  <c:v>1.2594546332724645E-5</c:v>
                </c:pt>
                <c:pt idx="20" formatCode="0.00E+00">
                  <c:v>1.2594546332724645E-5</c:v>
                </c:pt>
                <c:pt idx="21" formatCode="0.00E+00">
                  <c:v>1.2594546332724645E-5</c:v>
                </c:pt>
                <c:pt idx="22" formatCode="0.00E+00">
                  <c:v>1.2594546332724645E-5</c:v>
                </c:pt>
                <c:pt idx="23" formatCode="0.00E+00">
                  <c:v>1.2594546332724645E-5</c:v>
                </c:pt>
                <c:pt idx="24" formatCode="0.00E+00">
                  <c:v>1.2594546332724645E-5</c:v>
                </c:pt>
                <c:pt idx="25" formatCode="0.00E+00">
                  <c:v>1.2594546332724645E-5</c:v>
                </c:pt>
                <c:pt idx="26" formatCode="0.00E+00">
                  <c:v>1.2594546332724645E-5</c:v>
                </c:pt>
                <c:pt idx="27" formatCode="0.00E+00">
                  <c:v>1.2594546332724645E-5</c:v>
                </c:pt>
                <c:pt idx="28" formatCode="0.00E+00">
                  <c:v>1.2594546332724645E-5</c:v>
                </c:pt>
                <c:pt idx="29" formatCode="0.00E+00">
                  <c:v>1.2594546332724645E-5</c:v>
                </c:pt>
                <c:pt idx="30" formatCode="0.00E+00">
                  <c:v>1.2594546332724645E-5</c:v>
                </c:pt>
                <c:pt idx="31" formatCode="0.00E+00">
                  <c:v>1.2594546332724645E-5</c:v>
                </c:pt>
                <c:pt idx="32" formatCode="0.00E+00">
                  <c:v>1.2594546332724645E-5</c:v>
                </c:pt>
                <c:pt idx="33" formatCode="0.00E+00">
                  <c:v>1.2594546332724645E-5</c:v>
                </c:pt>
                <c:pt idx="34" formatCode="0.00E+00">
                  <c:v>1.2594546332724645E-5</c:v>
                </c:pt>
                <c:pt idx="35" formatCode="0.00E+00">
                  <c:v>1.2594546332724645E-5</c:v>
                </c:pt>
                <c:pt idx="36" formatCode="0.00E+00">
                  <c:v>1.2594546332724645E-5</c:v>
                </c:pt>
                <c:pt idx="37" formatCode="0.00E+00">
                  <c:v>1.2594546332724645E-5</c:v>
                </c:pt>
                <c:pt idx="38" formatCode="0.00E+00">
                  <c:v>1.2594546332724645E-5</c:v>
                </c:pt>
                <c:pt idx="39" formatCode="0.00E+00">
                  <c:v>1.2594546332724645E-5</c:v>
                </c:pt>
                <c:pt idx="40" formatCode="0.00E+00">
                  <c:v>1.2594546332724645E-5</c:v>
                </c:pt>
                <c:pt idx="41" formatCode="0.00E+00">
                  <c:v>1.2594546332724645E-5</c:v>
                </c:pt>
                <c:pt idx="42" formatCode="0.00E+00">
                  <c:v>1.2594546332724645E-5</c:v>
                </c:pt>
                <c:pt idx="43" formatCode="0.00E+00">
                  <c:v>1.2594546332724645E-5</c:v>
                </c:pt>
                <c:pt idx="44" formatCode="0.00E+00">
                  <c:v>1.2594546332724645E-5</c:v>
                </c:pt>
                <c:pt idx="45" formatCode="0.00E+00">
                  <c:v>1.2594546332724645E-5</c:v>
                </c:pt>
                <c:pt idx="46" formatCode="0.00E+00">
                  <c:v>1.2594546332724645E-5</c:v>
                </c:pt>
                <c:pt idx="47" formatCode="0.00E+00">
                  <c:v>1.2594546332724645E-5</c:v>
                </c:pt>
                <c:pt idx="48" formatCode="0.00E+00">
                  <c:v>1.2594546332724645E-5</c:v>
                </c:pt>
                <c:pt idx="49" formatCode="0.00E+00">
                  <c:v>1.2594546332724645E-5</c:v>
                </c:pt>
                <c:pt idx="50" formatCode="0.00E+00">
                  <c:v>1.2594546332724645E-5</c:v>
                </c:pt>
                <c:pt idx="51" formatCode="0.00E+00">
                  <c:v>1.2594546332724645E-5</c:v>
                </c:pt>
                <c:pt idx="52" formatCode="0.00E+00">
                  <c:v>1.2594546332724645E-5</c:v>
                </c:pt>
                <c:pt idx="53" formatCode="0.00E+00">
                  <c:v>1.2594546332724645E-5</c:v>
                </c:pt>
                <c:pt idx="54" formatCode="0.00E+00">
                  <c:v>1.2594546332724645E-5</c:v>
                </c:pt>
                <c:pt idx="55" formatCode="0.00E+00">
                  <c:v>1.2594546332724645E-5</c:v>
                </c:pt>
                <c:pt idx="56" formatCode="0.00E+00">
                  <c:v>1.2594546332724645E-5</c:v>
                </c:pt>
                <c:pt idx="57" formatCode="0.00E+00">
                  <c:v>1.2594546332724645E-5</c:v>
                </c:pt>
                <c:pt idx="58" formatCode="0.00E+00">
                  <c:v>1.2594546332724645E-5</c:v>
                </c:pt>
                <c:pt idx="59" formatCode="0.00E+00">
                  <c:v>1.2594546332724645E-5</c:v>
                </c:pt>
                <c:pt idx="60" formatCode="0.00E+00">
                  <c:v>1.2594546332724645E-5</c:v>
                </c:pt>
                <c:pt idx="61" formatCode="0.00E+00">
                  <c:v>1.2594546332724645E-5</c:v>
                </c:pt>
                <c:pt idx="62" formatCode="0.00E+00">
                  <c:v>1.2594546332724645E-5</c:v>
                </c:pt>
                <c:pt idx="63" formatCode="0.00E+00">
                  <c:v>1.2594546332724645E-5</c:v>
                </c:pt>
                <c:pt idx="64" formatCode="0.00E+00">
                  <c:v>1.2594546332724645E-5</c:v>
                </c:pt>
                <c:pt idx="65" formatCode="0.00E+00">
                  <c:v>1.2594546332724645E-5</c:v>
                </c:pt>
                <c:pt idx="66" formatCode="0.00E+00">
                  <c:v>1.2594546332724645E-5</c:v>
                </c:pt>
                <c:pt idx="67" formatCode="0.00E+00">
                  <c:v>1.2594546332724645E-5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80-4FCE-BFFD-1E700362E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10656"/>
        <c:axId val="135112192"/>
      </c:lineChart>
      <c:catAx>
        <c:axId val="13511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12192"/>
        <c:crosses val="autoZero"/>
        <c:auto val="1"/>
        <c:lblAlgn val="ctr"/>
        <c:lblOffset val="100"/>
        <c:noMultiLvlLbl val="0"/>
      </c:catAx>
      <c:valAx>
        <c:axId val="13511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106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Extrapolations!$A$12:$B$12</c:f>
              <c:strCache>
                <c:ptCount val="2"/>
                <c:pt idx="0">
                  <c:v>ships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Extrapolations!$C$12:$BT$12</c:f>
              <c:numCache>
                <c:formatCode>General</c:formatCode>
                <c:ptCount val="70"/>
                <c:pt idx="4" formatCode="0.00E+00">
                  <c:v>5.2454271866069317E-3</c:v>
                </c:pt>
                <c:pt idx="5" formatCode="0.00E+00">
                  <c:v>5.2454271866069317E-3</c:v>
                </c:pt>
                <c:pt idx="6" formatCode="0.00E+00">
                  <c:v>5.2454271866069317E-3</c:v>
                </c:pt>
                <c:pt idx="7" formatCode="0.00E+00">
                  <c:v>5.2454271866069317E-3</c:v>
                </c:pt>
                <c:pt idx="8" formatCode="0.00E+00">
                  <c:v>5.2454271866069317E-3</c:v>
                </c:pt>
                <c:pt idx="9" formatCode="0.00E+00">
                  <c:v>5.2454271866069317E-3</c:v>
                </c:pt>
                <c:pt idx="10" formatCode="0.00E+00">
                  <c:v>5.2454271866069317E-3</c:v>
                </c:pt>
                <c:pt idx="11" formatCode="0.00E+00">
                  <c:v>5.2454271866069317E-3</c:v>
                </c:pt>
                <c:pt idx="12" formatCode="0.00E+00">
                  <c:v>5.2454271866069317E-3</c:v>
                </c:pt>
                <c:pt idx="13" formatCode="0.00E+00">
                  <c:v>5.2454271866069317E-3</c:v>
                </c:pt>
                <c:pt idx="14" formatCode="0.00E+00">
                  <c:v>5.2454271866069317E-3</c:v>
                </c:pt>
                <c:pt idx="15" formatCode="0.00E+00">
                  <c:v>5.2454271866069317E-3</c:v>
                </c:pt>
                <c:pt idx="16" formatCode="0.00E+00">
                  <c:v>5.2454271866069317E-3</c:v>
                </c:pt>
                <c:pt idx="17" formatCode="0.00E+00">
                  <c:v>5.2454271866069317E-3</c:v>
                </c:pt>
                <c:pt idx="18" formatCode="0.00E+00">
                  <c:v>5.2454271866069317E-3</c:v>
                </c:pt>
                <c:pt idx="19" formatCode="0.00E+00">
                  <c:v>5.2454271866069317E-3</c:v>
                </c:pt>
                <c:pt idx="20" formatCode="0.00E+00">
                  <c:v>5.2454271866069317E-3</c:v>
                </c:pt>
                <c:pt idx="21" formatCode="0.00E+00">
                  <c:v>5.2454271866069317E-3</c:v>
                </c:pt>
                <c:pt idx="22" formatCode="0.00E+00">
                  <c:v>5.2454271866069317E-3</c:v>
                </c:pt>
                <c:pt idx="23" formatCode="0.00E+00">
                  <c:v>5.2454271866069317E-3</c:v>
                </c:pt>
                <c:pt idx="24" formatCode="0.00E+00">
                  <c:v>5.2454271866069317E-3</c:v>
                </c:pt>
                <c:pt idx="25" formatCode="0.00E+00">
                  <c:v>5.2454271866069317E-3</c:v>
                </c:pt>
                <c:pt idx="26" formatCode="0.00E+00">
                  <c:v>5.2454271866069317E-3</c:v>
                </c:pt>
                <c:pt idx="27" formatCode="0.00E+00">
                  <c:v>5.2454271866069317E-3</c:v>
                </c:pt>
                <c:pt idx="28" formatCode="0.00E+00">
                  <c:v>5.2454271866069317E-3</c:v>
                </c:pt>
                <c:pt idx="29" formatCode="0.00E+00">
                  <c:v>5.2454271866069317E-3</c:v>
                </c:pt>
                <c:pt idx="30" formatCode="0.00E+00">
                  <c:v>5.2454271866069317E-3</c:v>
                </c:pt>
                <c:pt idx="31" formatCode="0.00E+00">
                  <c:v>5.2454271866069317E-3</c:v>
                </c:pt>
                <c:pt idx="32" formatCode="0.00E+00">
                  <c:v>5.2454271866069317E-3</c:v>
                </c:pt>
                <c:pt idx="33" formatCode="0.00E+00">
                  <c:v>5.2454271866069317E-3</c:v>
                </c:pt>
                <c:pt idx="34" formatCode="0.00E+00">
                  <c:v>5.2454271866069317E-3</c:v>
                </c:pt>
                <c:pt idx="35" formatCode="0.00E+00">
                  <c:v>5.2454271866069317E-3</c:v>
                </c:pt>
                <c:pt idx="36" formatCode="0.00E+00">
                  <c:v>5.2454271866069317E-3</c:v>
                </c:pt>
                <c:pt idx="37" formatCode="0.00E+00">
                  <c:v>5.2454271866069317E-3</c:v>
                </c:pt>
                <c:pt idx="38" formatCode="0.00E+00">
                  <c:v>5.2454271866069326E-3</c:v>
                </c:pt>
                <c:pt idx="39" formatCode="0.00E+00">
                  <c:v>5.2454271866069326E-3</c:v>
                </c:pt>
                <c:pt idx="40" formatCode="0.00E+00">
                  <c:v>5.2454271866069326E-3</c:v>
                </c:pt>
                <c:pt idx="41" formatCode="0.00E+00">
                  <c:v>5.2454271866069326E-3</c:v>
                </c:pt>
                <c:pt idx="42" formatCode="0.00E+00">
                  <c:v>5.2454271866069326E-3</c:v>
                </c:pt>
                <c:pt idx="43" formatCode="0.00E+00">
                  <c:v>5.2454271866069326E-3</c:v>
                </c:pt>
                <c:pt idx="44" formatCode="0.00E+00">
                  <c:v>5.2454271866069326E-3</c:v>
                </c:pt>
                <c:pt idx="45" formatCode="0.00E+00">
                  <c:v>5.2454271866069326E-3</c:v>
                </c:pt>
                <c:pt idx="46" formatCode="0.00E+00">
                  <c:v>5.2454271866069326E-3</c:v>
                </c:pt>
                <c:pt idx="47" formatCode="0.00E+00">
                  <c:v>5.2454271866069326E-3</c:v>
                </c:pt>
                <c:pt idx="48" formatCode="0.00E+00">
                  <c:v>5.2454271866069326E-3</c:v>
                </c:pt>
                <c:pt idx="49" formatCode="0.00E+00">
                  <c:v>5.2454271866069326E-3</c:v>
                </c:pt>
                <c:pt idx="50" formatCode="0.00E+00">
                  <c:v>5.2454271866069326E-3</c:v>
                </c:pt>
                <c:pt idx="51" formatCode="0.00E+00">
                  <c:v>5.2454271866069326E-3</c:v>
                </c:pt>
                <c:pt idx="52" formatCode="0.00E+00">
                  <c:v>5.2454271866069326E-3</c:v>
                </c:pt>
                <c:pt idx="53" formatCode="0.00E+00">
                  <c:v>5.2454271866069326E-3</c:v>
                </c:pt>
                <c:pt idx="54" formatCode="0.00E+00">
                  <c:v>5.2454271866069326E-3</c:v>
                </c:pt>
                <c:pt idx="55" formatCode="0.00E+00">
                  <c:v>5.2454271866069326E-3</c:v>
                </c:pt>
                <c:pt idx="56" formatCode="0.00E+00">
                  <c:v>5.2454271866069326E-3</c:v>
                </c:pt>
                <c:pt idx="57" formatCode="0.00E+00">
                  <c:v>5.2454271866069326E-3</c:v>
                </c:pt>
                <c:pt idx="58" formatCode="0.00E+00">
                  <c:v>5.2454271866069326E-3</c:v>
                </c:pt>
                <c:pt idx="59" formatCode="0.00E+00">
                  <c:v>5.2454271866069326E-3</c:v>
                </c:pt>
                <c:pt idx="60" formatCode="0.00E+00">
                  <c:v>5.2454271866069326E-3</c:v>
                </c:pt>
                <c:pt idx="61" formatCode="0.00E+00">
                  <c:v>5.2454271866069326E-3</c:v>
                </c:pt>
                <c:pt idx="62" formatCode="0.00E+00">
                  <c:v>5.2454271866069326E-3</c:v>
                </c:pt>
                <c:pt idx="63" formatCode="0.00E+00">
                  <c:v>5.2454271866069326E-3</c:v>
                </c:pt>
                <c:pt idx="64" formatCode="0.00E+00">
                  <c:v>5.2454271866069326E-3</c:v>
                </c:pt>
                <c:pt idx="65" formatCode="0.00E+00">
                  <c:v>5.2454271866069326E-3</c:v>
                </c:pt>
                <c:pt idx="66" formatCode="0.00E+00">
                  <c:v>5.2454271866069326E-3</c:v>
                </c:pt>
                <c:pt idx="67" formatCode="0.00E+00">
                  <c:v>5.2454271866069326E-3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5-457C-979A-2B83C354C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43424"/>
        <c:axId val="135144960"/>
      </c:lineChart>
      <c:catAx>
        <c:axId val="13514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44960"/>
        <c:crosses val="autoZero"/>
        <c:auto val="1"/>
        <c:lblAlgn val="ctr"/>
        <c:lblOffset val="100"/>
        <c:noMultiLvlLbl val="0"/>
      </c:catAx>
      <c:valAx>
        <c:axId val="135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434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Extrapolations!$A$13:$B$13</c:f>
              <c:strCache>
                <c:ptCount val="2"/>
                <c:pt idx="0">
                  <c:v>motorbikes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Extrapolations!$C$13:$BT$13</c:f>
              <c:numCache>
                <c:formatCode>0.00E+00</c:formatCode>
                <c:ptCount val="70"/>
                <c:pt idx="20">
                  <c:v>1.4345302324303025E-3</c:v>
                </c:pt>
                <c:pt idx="21">
                  <c:v>1.4345302324303025E-3</c:v>
                </c:pt>
                <c:pt idx="22">
                  <c:v>1.4345302324303025E-3</c:v>
                </c:pt>
                <c:pt idx="23">
                  <c:v>1.4345302324303025E-3</c:v>
                </c:pt>
                <c:pt idx="24">
                  <c:v>1.4345302324303025E-3</c:v>
                </c:pt>
                <c:pt idx="25">
                  <c:v>1.4345302324303025E-3</c:v>
                </c:pt>
                <c:pt idx="26">
                  <c:v>1.4345302324303025E-3</c:v>
                </c:pt>
                <c:pt idx="27">
                  <c:v>1.4345302324303025E-3</c:v>
                </c:pt>
                <c:pt idx="28">
                  <c:v>1.4345302324303025E-3</c:v>
                </c:pt>
                <c:pt idx="29">
                  <c:v>1.4345302324303025E-3</c:v>
                </c:pt>
                <c:pt idx="30">
                  <c:v>1.4345302324303025E-3</c:v>
                </c:pt>
                <c:pt idx="31">
                  <c:v>1.4345302324303025E-3</c:v>
                </c:pt>
                <c:pt idx="32">
                  <c:v>1.4345302324303025E-3</c:v>
                </c:pt>
                <c:pt idx="33">
                  <c:v>1.4345302324303025E-3</c:v>
                </c:pt>
                <c:pt idx="34">
                  <c:v>1.4345302324303025E-3</c:v>
                </c:pt>
                <c:pt idx="35">
                  <c:v>1.4345302324303025E-3</c:v>
                </c:pt>
                <c:pt idx="36">
                  <c:v>1.4345302324303025E-3</c:v>
                </c:pt>
                <c:pt idx="37">
                  <c:v>1.4345302324303025E-3</c:v>
                </c:pt>
                <c:pt idx="38">
                  <c:v>1.4345302324303027E-3</c:v>
                </c:pt>
                <c:pt idx="39">
                  <c:v>1.4345302324303027E-3</c:v>
                </c:pt>
                <c:pt idx="40">
                  <c:v>1.4345302324303027E-3</c:v>
                </c:pt>
                <c:pt idx="41">
                  <c:v>1.4345302324303027E-3</c:v>
                </c:pt>
                <c:pt idx="42">
                  <c:v>1.4345302324303027E-3</c:v>
                </c:pt>
                <c:pt idx="43">
                  <c:v>1.4345302324303027E-3</c:v>
                </c:pt>
                <c:pt idx="44">
                  <c:v>1.4345302324303027E-3</c:v>
                </c:pt>
                <c:pt idx="45">
                  <c:v>1.4345302324303027E-3</c:v>
                </c:pt>
                <c:pt idx="46">
                  <c:v>1.4345302324303027E-3</c:v>
                </c:pt>
                <c:pt idx="47">
                  <c:v>1.4345302324303027E-3</c:v>
                </c:pt>
                <c:pt idx="48">
                  <c:v>1.4345302324303027E-3</c:v>
                </c:pt>
                <c:pt idx="49">
                  <c:v>1.4345302324303027E-3</c:v>
                </c:pt>
                <c:pt idx="50">
                  <c:v>1.4345302324303027E-3</c:v>
                </c:pt>
                <c:pt idx="51">
                  <c:v>1.4345302324303027E-3</c:v>
                </c:pt>
                <c:pt idx="52">
                  <c:v>1.4345302324303027E-3</c:v>
                </c:pt>
                <c:pt idx="53">
                  <c:v>1.4345302324303027E-3</c:v>
                </c:pt>
                <c:pt idx="54">
                  <c:v>1.4345302324303027E-3</c:v>
                </c:pt>
                <c:pt idx="55">
                  <c:v>1.4345302324303027E-3</c:v>
                </c:pt>
                <c:pt idx="56">
                  <c:v>1.4345302324303027E-3</c:v>
                </c:pt>
                <c:pt idx="57">
                  <c:v>1.4345302324303027E-3</c:v>
                </c:pt>
                <c:pt idx="58">
                  <c:v>1.4345302324303027E-3</c:v>
                </c:pt>
                <c:pt idx="59">
                  <c:v>1.4345302324303027E-3</c:v>
                </c:pt>
                <c:pt idx="60">
                  <c:v>1.4345302324303027E-3</c:v>
                </c:pt>
                <c:pt idx="61">
                  <c:v>1.4345302324303027E-3</c:v>
                </c:pt>
                <c:pt idx="62">
                  <c:v>1.4345302324303027E-3</c:v>
                </c:pt>
                <c:pt idx="63">
                  <c:v>1.4345302324303027E-3</c:v>
                </c:pt>
                <c:pt idx="64">
                  <c:v>1.4345302324303027E-3</c:v>
                </c:pt>
                <c:pt idx="65">
                  <c:v>1.4345302324303027E-3</c:v>
                </c:pt>
                <c:pt idx="66">
                  <c:v>1.4345302324303027E-3</c:v>
                </c:pt>
                <c:pt idx="67">
                  <c:v>1.4345302324303027E-3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9-495D-B209-DBE27AA2B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81824"/>
        <c:axId val="135183360"/>
      </c:lineChart>
      <c:catAx>
        <c:axId val="13518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83360"/>
        <c:crosses val="autoZero"/>
        <c:auto val="1"/>
        <c:lblAlgn val="ctr"/>
        <c:lblOffset val="100"/>
        <c:noMultiLvlLbl val="0"/>
      </c:catAx>
      <c:valAx>
        <c:axId val="135183360"/>
        <c:scaling>
          <c:orientation val="minMax"/>
          <c:min val="0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351818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15</xdr:row>
      <xdr:rowOff>0</xdr:rowOff>
    </xdr:from>
    <xdr:to>
      <xdr:col>9</xdr:col>
      <xdr:colOff>314325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30</xdr:row>
      <xdr:rowOff>19050</xdr:rowOff>
    </xdr:from>
    <xdr:to>
      <xdr:col>9</xdr:col>
      <xdr:colOff>314325</xdr:colOff>
      <xdr:row>44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600075</xdr:colOff>
      <xdr:row>14</xdr:row>
      <xdr:rowOff>161925</xdr:rowOff>
    </xdr:from>
    <xdr:to>
      <xdr:col>17</xdr:col>
      <xdr:colOff>295275</xdr:colOff>
      <xdr:row>29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30</xdr:row>
      <xdr:rowOff>0</xdr:rowOff>
    </xdr:from>
    <xdr:to>
      <xdr:col>17</xdr:col>
      <xdr:colOff>304800</xdr:colOff>
      <xdr:row>44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14</xdr:row>
      <xdr:rowOff>180975</xdr:rowOff>
    </xdr:from>
    <xdr:to>
      <xdr:col>25</xdr:col>
      <xdr:colOff>304800</xdr:colOff>
      <xdr:row>29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19050</xdr:colOff>
      <xdr:row>30</xdr:row>
      <xdr:rowOff>9525</xdr:rowOff>
    </xdr:from>
    <xdr:to>
      <xdr:col>25</xdr:col>
      <xdr:colOff>323850</xdr:colOff>
      <xdr:row>44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0</xdr:colOff>
      <xdr:row>15</xdr:row>
      <xdr:rowOff>9525</xdr:rowOff>
    </xdr:from>
    <xdr:to>
      <xdr:col>33</xdr:col>
      <xdr:colOff>304800</xdr:colOff>
      <xdr:row>29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28575</xdr:colOff>
      <xdr:row>30</xdr:row>
      <xdr:rowOff>9525</xdr:rowOff>
    </xdr:from>
    <xdr:to>
      <xdr:col>33</xdr:col>
      <xdr:colOff>333375</xdr:colOff>
      <xdr:row>44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15</xdr:row>
      <xdr:rowOff>9525</xdr:rowOff>
    </xdr:from>
    <xdr:to>
      <xdr:col>42</xdr:col>
      <xdr:colOff>304800</xdr:colOff>
      <xdr:row>29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9525</xdr:colOff>
      <xdr:row>30</xdr:row>
      <xdr:rowOff>0</xdr:rowOff>
    </xdr:from>
    <xdr:to>
      <xdr:col>42</xdr:col>
      <xdr:colOff>314325</xdr:colOff>
      <xdr:row>44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0</xdr:colOff>
      <xdr:row>15</xdr:row>
      <xdr:rowOff>9525</xdr:rowOff>
    </xdr:from>
    <xdr:to>
      <xdr:col>50</xdr:col>
      <xdr:colOff>304800</xdr:colOff>
      <xdr:row>29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outlooks/archive/aeo08/index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>
      <selection activeCell="C36" sqref="C36"/>
    </sheetView>
  </sheetViews>
  <sheetFormatPr defaultColWidth="8.85546875" defaultRowHeight="15"/>
  <cols>
    <col min="1" max="1" width="13.42578125" customWidth="1"/>
    <col min="2" max="2" width="107.4257812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s="6" t="s">
        <v>3</v>
      </c>
    </row>
    <row r="5" spans="1:2">
      <c r="B5" s="5"/>
    </row>
    <row r="6" spans="1:2">
      <c r="B6" s="14" t="s">
        <v>4</v>
      </c>
    </row>
    <row r="7" spans="1:2">
      <c r="B7" s="5" t="s">
        <v>5</v>
      </c>
    </row>
    <row r="8" spans="1:2">
      <c r="B8" s="5">
        <v>2008</v>
      </c>
    </row>
    <row r="9" spans="1:2">
      <c r="B9" s="5" t="s">
        <v>6</v>
      </c>
    </row>
    <row r="10" spans="1:2">
      <c r="B10" s="5" t="s">
        <v>7</v>
      </c>
    </row>
    <row r="11" spans="1:2">
      <c r="B11" s="5" t="s">
        <v>8</v>
      </c>
    </row>
    <row r="12" spans="1:2">
      <c r="B12" s="5"/>
    </row>
    <row r="13" spans="1:2">
      <c r="B13" s="2" t="s">
        <v>9</v>
      </c>
    </row>
    <row r="14" spans="1:2">
      <c r="B14" s="6" t="s">
        <v>10</v>
      </c>
    </row>
    <row r="16" spans="1:2">
      <c r="B16" s="2" t="s">
        <v>11</v>
      </c>
    </row>
    <row r="17" spans="1:2">
      <c r="B17" s="6" t="s">
        <v>12</v>
      </c>
    </row>
    <row r="18" spans="1:2">
      <c r="B18" s="5"/>
    </row>
    <row r="19" spans="1:2">
      <c r="B19" s="2" t="s">
        <v>13</v>
      </c>
    </row>
    <row r="20" spans="1:2">
      <c r="B20" s="6" t="s">
        <v>14</v>
      </c>
    </row>
    <row r="21" spans="1:2">
      <c r="B21" s="6"/>
    </row>
    <row r="22" spans="1:2">
      <c r="B22" s="2" t="s">
        <v>15</v>
      </c>
    </row>
    <row r="23" spans="1:2">
      <c r="B23" s="6" t="s">
        <v>16</v>
      </c>
    </row>
    <row r="25" spans="1:2">
      <c r="A25" s="1" t="s">
        <v>17</v>
      </c>
    </row>
    <row r="26" spans="1:2">
      <c r="A26" t="s">
        <v>18</v>
      </c>
    </row>
    <row r="27" spans="1:2">
      <c r="A27" t="s">
        <v>19</v>
      </c>
    </row>
    <row r="28" spans="1:2">
      <c r="A28" t="s">
        <v>20</v>
      </c>
    </row>
    <row r="29" spans="1:2">
      <c r="A29" t="s">
        <v>21</v>
      </c>
    </row>
    <row r="30" spans="1:2">
      <c r="A30" t="s">
        <v>22</v>
      </c>
    </row>
    <row r="31" spans="1:2">
      <c r="A31" t="s">
        <v>23</v>
      </c>
    </row>
    <row r="33" spans="1:1">
      <c r="A33" t="s">
        <v>24</v>
      </c>
    </row>
    <row r="34" spans="1:1">
      <c r="A34" t="s">
        <v>25</v>
      </c>
    </row>
    <row r="35" spans="1:1">
      <c r="A35" t="s">
        <v>26</v>
      </c>
    </row>
    <row r="36" spans="1:1">
      <c r="A36" t="s">
        <v>27</v>
      </c>
    </row>
    <row r="37" spans="1:1">
      <c r="A37" t="s">
        <v>28</v>
      </c>
    </row>
    <row r="38" spans="1:1">
      <c r="A38" t="s">
        <v>29</v>
      </c>
    </row>
    <row r="39" spans="1:1">
      <c r="A39" t="s">
        <v>30</v>
      </c>
    </row>
    <row r="41" spans="1:1">
      <c r="A41" t="s">
        <v>31</v>
      </c>
    </row>
    <row r="42" spans="1:1">
      <c r="A42" t="s">
        <v>32</v>
      </c>
    </row>
    <row r="43" spans="1:1">
      <c r="A43" t="s">
        <v>33</v>
      </c>
    </row>
    <row r="44" spans="1:1">
      <c r="A44" t="s">
        <v>34</v>
      </c>
    </row>
    <row r="45" spans="1:1">
      <c r="A45" t="s">
        <v>35</v>
      </c>
    </row>
    <row r="47" spans="1:1">
      <c r="A47" t="s">
        <v>36</v>
      </c>
    </row>
    <row r="48" spans="1:1">
      <c r="A48" t="s">
        <v>37</v>
      </c>
    </row>
  </sheetData>
  <hyperlinks>
    <hyperlink ref="B10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0"/>
  <sheetViews>
    <sheetView workbookViewId="0">
      <selection activeCell="C21" sqref="C21"/>
    </sheetView>
  </sheetViews>
  <sheetFormatPr defaultColWidth="8.85546875" defaultRowHeight="15"/>
  <cols>
    <col min="1" max="1" width="18.42578125" customWidth="1"/>
    <col min="2" max="2" width="16.42578125" customWidth="1"/>
    <col min="3" max="3" width="30.7109375" customWidth="1"/>
  </cols>
  <sheetData>
    <row r="1" spans="1:37">
      <c r="A1" t="s">
        <v>38</v>
      </c>
    </row>
    <row r="2" spans="1:37">
      <c r="A2" t="s">
        <v>39</v>
      </c>
    </row>
    <row r="3" spans="1:37">
      <c r="A3" t="s">
        <v>40</v>
      </c>
    </row>
    <row r="4" spans="1:37">
      <c r="A4" t="s">
        <v>41</v>
      </c>
    </row>
    <row r="6" spans="1:37">
      <c r="A6" s="2" t="s">
        <v>42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>
      <c r="A7" s="1" t="s">
        <v>43</v>
      </c>
      <c r="B7" s="1" t="s">
        <v>44</v>
      </c>
      <c r="C7" s="1"/>
      <c r="D7">
        <v>2021</v>
      </c>
      <c r="E7">
        <v>2022</v>
      </c>
      <c r="F7">
        <v>2023</v>
      </c>
      <c r="G7">
        <v>2024</v>
      </c>
      <c r="H7">
        <v>2025</v>
      </c>
      <c r="I7">
        <v>2026</v>
      </c>
      <c r="J7">
        <v>2027</v>
      </c>
      <c r="K7">
        <v>2028</v>
      </c>
      <c r="L7">
        <v>2029</v>
      </c>
      <c r="M7">
        <v>2030</v>
      </c>
      <c r="N7">
        <v>2031</v>
      </c>
      <c r="O7">
        <v>2032</v>
      </c>
      <c r="P7">
        <v>2033</v>
      </c>
      <c r="Q7">
        <v>2034</v>
      </c>
      <c r="R7">
        <v>2035</v>
      </c>
      <c r="S7">
        <v>2036</v>
      </c>
      <c r="T7">
        <v>2037</v>
      </c>
      <c r="U7">
        <v>2038</v>
      </c>
      <c r="V7">
        <v>2039</v>
      </c>
      <c r="W7">
        <v>2040</v>
      </c>
      <c r="X7">
        <v>2041</v>
      </c>
      <c r="Y7">
        <v>2042</v>
      </c>
      <c r="Z7">
        <v>2043</v>
      </c>
      <c r="AA7">
        <v>2044</v>
      </c>
      <c r="AB7">
        <v>2045</v>
      </c>
      <c r="AC7">
        <v>2046</v>
      </c>
      <c r="AD7">
        <v>2047</v>
      </c>
      <c r="AE7">
        <v>2048</v>
      </c>
      <c r="AF7">
        <v>2049</v>
      </c>
      <c r="AG7">
        <v>2050</v>
      </c>
    </row>
    <row r="8" spans="1:37">
      <c r="A8" t="s">
        <v>4</v>
      </c>
      <c r="B8" t="s">
        <v>45</v>
      </c>
      <c r="C8" t="s">
        <v>46</v>
      </c>
      <c r="D8" s="4">
        <v>3.8560342544165043E-4</v>
      </c>
      <c r="E8" s="4">
        <v>3.938977091004229E-4</v>
      </c>
      <c r="F8" s="4">
        <v>4.0102815590911211E-4</v>
      </c>
      <c r="G8" s="4">
        <v>4.0668872915977704E-4</v>
      </c>
      <c r="H8" s="4">
        <v>4.2148439524556525E-4</v>
      </c>
      <c r="I8" s="4">
        <v>4.2638034079782157E-4</v>
      </c>
      <c r="J8" s="4">
        <v>4.2993928617474374E-4</v>
      </c>
      <c r="K8" s="4">
        <v>4.4295232919176118E-4</v>
      </c>
      <c r="L8" s="4">
        <v>4.4402927119422075E-4</v>
      </c>
      <c r="M8" s="4">
        <v>4.4423001272194757E-4</v>
      </c>
      <c r="N8" s="4">
        <v>4.4444787060954387E-4</v>
      </c>
      <c r="O8" s="4">
        <v>4.4510595798899477E-4</v>
      </c>
      <c r="P8" s="4">
        <v>4.4626178063197816E-4</v>
      </c>
      <c r="Q8" s="4">
        <v>4.4757258182247277E-4</v>
      </c>
      <c r="R8" s="4">
        <v>4.4919390205042781E-4</v>
      </c>
      <c r="S8" s="4">
        <v>4.5078104437884211E-4</v>
      </c>
      <c r="T8" s="4">
        <v>4.5211629450069859E-4</v>
      </c>
      <c r="U8" s="4">
        <v>4.5326957425061224E-4</v>
      </c>
      <c r="V8" s="4">
        <v>4.5520696339484528E-4</v>
      </c>
      <c r="W8" s="4">
        <v>4.5553578115777672E-4</v>
      </c>
      <c r="X8" s="4">
        <v>4.5584944646724456E-4</v>
      </c>
      <c r="Y8" s="4">
        <v>4.559561094704881E-4</v>
      </c>
      <c r="Z8" s="4">
        <v>4.5572121425237108E-4</v>
      </c>
      <c r="AA8" s="4">
        <v>4.550985416964502E-4</v>
      </c>
      <c r="AB8" s="4">
        <v>4.5449905971852166E-4</v>
      </c>
      <c r="AC8" s="4">
        <v>4.5443664862698183E-4</v>
      </c>
      <c r="AD8" s="4">
        <v>4.5380063490385911E-4</v>
      </c>
      <c r="AE8" s="4">
        <v>4.5343326114607497E-4</v>
      </c>
      <c r="AF8" s="4">
        <v>4.5494560422822621E-4</v>
      </c>
      <c r="AG8" s="4">
        <v>4.5447278785524218E-4</v>
      </c>
      <c r="AH8" s="4"/>
      <c r="AI8" s="4"/>
      <c r="AJ8" s="4"/>
      <c r="AK8" s="4"/>
    </row>
    <row r="9" spans="1:37">
      <c r="A9" t="s">
        <v>4</v>
      </c>
      <c r="B9" t="s">
        <v>47</v>
      </c>
      <c r="C9" t="s">
        <v>46</v>
      </c>
      <c r="D9" s="4">
        <v>1.0420515928406728E-4</v>
      </c>
      <c r="E9" s="4">
        <v>1.0877081887028839E-4</v>
      </c>
      <c r="F9" s="4">
        <v>1.119228749342E-4</v>
      </c>
      <c r="G9" s="4">
        <v>1.1596328986495364E-4</v>
      </c>
      <c r="H9" s="4">
        <v>1.1990275277656129E-4</v>
      </c>
      <c r="I9" s="4">
        <v>1.2199635295884858E-4</v>
      </c>
      <c r="J9" s="4">
        <v>1.243467097653028E-4</v>
      </c>
      <c r="K9" s="4">
        <v>1.2468075205096364E-4</v>
      </c>
      <c r="L9" s="4">
        <v>1.2577381385553893E-4</v>
      </c>
      <c r="M9" s="4">
        <v>1.2646319222836433E-4</v>
      </c>
      <c r="N9" s="4">
        <v>1.2698406877407795E-4</v>
      </c>
      <c r="O9" s="4">
        <v>1.2710494044541212E-4</v>
      </c>
      <c r="P9" s="4">
        <v>1.2713124547346271E-4</v>
      </c>
      <c r="Q9" s="4">
        <v>1.2714496314152464E-4</v>
      </c>
      <c r="R9" s="4">
        <v>1.2712313200368365E-4</v>
      </c>
      <c r="S9" s="4">
        <v>1.271005238267318E-4</v>
      </c>
      <c r="T9" s="4">
        <v>1.2708001023750603E-4</v>
      </c>
      <c r="U9" s="4">
        <v>1.2705407014004141E-4</v>
      </c>
      <c r="V9" s="4">
        <v>1.2702629811717708E-4</v>
      </c>
      <c r="W9" s="4">
        <v>1.2701194080551808E-4</v>
      </c>
      <c r="X9" s="4">
        <v>1.2701796387221964E-4</v>
      </c>
      <c r="Y9" s="4">
        <v>1.2701802056749482E-4</v>
      </c>
      <c r="Z9" s="4">
        <v>1.270327910946451E-4</v>
      </c>
      <c r="AA9" s="4">
        <v>1.2702817221538397E-4</v>
      </c>
      <c r="AB9" s="4">
        <v>1.2698131801807758E-4</v>
      </c>
      <c r="AC9" s="4">
        <v>1.2695571200958938E-4</v>
      </c>
      <c r="AD9" s="4">
        <v>1.2640538596243631E-4</v>
      </c>
      <c r="AE9" s="4">
        <v>1.2643551327178303E-4</v>
      </c>
      <c r="AF9" s="4">
        <v>1.2650241733350927E-4</v>
      </c>
      <c r="AG9" s="4">
        <v>1.2663654108394285E-4</v>
      </c>
      <c r="AH9" s="4"/>
      <c r="AI9" s="4"/>
      <c r="AJ9" s="4"/>
      <c r="AK9" s="4"/>
    </row>
    <row r="10" spans="1:37">
      <c r="A10" t="s">
        <v>48</v>
      </c>
      <c r="B10" t="s">
        <v>45</v>
      </c>
      <c r="C10" t="s">
        <v>49</v>
      </c>
      <c r="D10" s="4">
        <v>1.1137362177939013E-3</v>
      </c>
      <c r="E10" s="4">
        <v>1.1868928349938494E-3</v>
      </c>
      <c r="F10" s="4">
        <v>1.2242021544325342E-3</v>
      </c>
      <c r="G10" s="4">
        <v>1.2625148116111296E-3</v>
      </c>
      <c r="H10" s="4">
        <v>1.2984724640643824E-3</v>
      </c>
      <c r="I10" s="4">
        <v>1.3325458991476349E-3</v>
      </c>
      <c r="J10" s="4">
        <v>1.3625499159680566E-3</v>
      </c>
      <c r="K10" s="4">
        <v>1.3753174198569197E-3</v>
      </c>
      <c r="L10" s="4">
        <v>1.3946841343267524E-3</v>
      </c>
      <c r="M10" s="4">
        <v>1.4146533498165597E-3</v>
      </c>
      <c r="N10" s="4">
        <v>1.433418275232172E-3</v>
      </c>
      <c r="O10" s="4">
        <v>1.4445909758303492E-3</v>
      </c>
      <c r="P10" s="4">
        <v>1.4455847020325705E-3</v>
      </c>
      <c r="Q10" s="4">
        <v>1.4457021763821074E-3</v>
      </c>
      <c r="R10" s="4">
        <v>1.4456854451868704E-3</v>
      </c>
      <c r="S10" s="4">
        <v>1.4457034223221783E-3</v>
      </c>
      <c r="T10" s="4">
        <v>1.4456555426251702E-3</v>
      </c>
      <c r="U10" s="4">
        <v>1.4455629870770495E-3</v>
      </c>
      <c r="V10" s="4">
        <v>1.4452171497116699E-3</v>
      </c>
      <c r="W10" s="4">
        <v>1.4450916657473914E-3</v>
      </c>
      <c r="X10" s="4">
        <v>1.4448529792281048E-3</v>
      </c>
      <c r="Y10" s="4">
        <v>1.4438560491799872E-3</v>
      </c>
      <c r="Z10" s="4">
        <v>1.4432142120520612E-3</v>
      </c>
      <c r="AA10" s="4">
        <v>1.4432665415350372E-3</v>
      </c>
      <c r="AB10" s="4">
        <v>1.4434251319069122E-3</v>
      </c>
      <c r="AC10" s="4">
        <v>1.4437811147842976E-3</v>
      </c>
      <c r="AD10" s="4">
        <v>1.4442054463741406E-3</v>
      </c>
      <c r="AE10" s="4">
        <v>1.4447501001765403E-3</v>
      </c>
      <c r="AF10" s="4">
        <v>1.4451804834752992E-3</v>
      </c>
      <c r="AG10" s="4">
        <v>1.4456904289471535E-3</v>
      </c>
      <c r="AH10" s="4"/>
      <c r="AI10" s="4"/>
      <c r="AJ10" s="4"/>
      <c r="AK10" s="4"/>
    </row>
    <row r="11" spans="1:37">
      <c r="A11" t="s">
        <v>48</v>
      </c>
      <c r="B11" t="s">
        <v>47</v>
      </c>
      <c r="C11" t="s">
        <v>49</v>
      </c>
      <c r="D11" s="4">
        <v>7.4742411935626142E-4</v>
      </c>
      <c r="E11" s="4">
        <v>7.9651924557390657E-4</v>
      </c>
      <c r="F11" s="4">
        <v>8.2155738726285784E-4</v>
      </c>
      <c r="G11" s="4">
        <v>8.4726886507457174E-4</v>
      </c>
      <c r="H11" s="4">
        <v>8.7139990821531331E-4</v>
      </c>
      <c r="I11" s="4">
        <v>8.9426646028002797E-4</v>
      </c>
      <c r="J11" s="4">
        <v>9.1440204130079723E-4</v>
      </c>
      <c r="K11" s="4">
        <v>9.2297026436659075E-4</v>
      </c>
      <c r="L11" s="4">
        <v>9.3596719243283541E-4</v>
      </c>
      <c r="M11" s="4">
        <v>9.4936845663098554E-4</v>
      </c>
      <c r="N11" s="4">
        <v>9.6196152636282171E-4</v>
      </c>
      <c r="O11" s="4">
        <v>9.6945948303515201E-4</v>
      </c>
      <c r="P11" s="4">
        <v>9.7012636889170394E-4</v>
      </c>
      <c r="Q11" s="4">
        <v>9.7020520547872228E-4</v>
      </c>
      <c r="R11" s="4">
        <v>9.7019397723754094E-4</v>
      </c>
      <c r="S11" s="4">
        <v>9.7020604162434225E-4</v>
      </c>
      <c r="T11" s="4">
        <v>9.7017390974266364E-4</v>
      </c>
      <c r="U11" s="4">
        <v>9.7011179606804271E-4</v>
      </c>
      <c r="V11" s="4">
        <v>9.6987970593383536E-4</v>
      </c>
      <c r="W11" s="4">
        <v>9.6979549412497463E-4</v>
      </c>
      <c r="X11" s="4">
        <v>9.6963531251407814E-4</v>
      </c>
      <c r="Y11" s="4">
        <v>9.6896627656878928E-4</v>
      </c>
      <c r="Z11" s="4">
        <v>9.6853554212517003E-4</v>
      </c>
      <c r="AA11" s="4">
        <v>9.6857066024120565E-4</v>
      </c>
      <c r="AB11" s="4">
        <v>9.6867708963368051E-4</v>
      </c>
      <c r="AC11" s="4">
        <v>9.6891598838222154E-4</v>
      </c>
      <c r="AD11" s="4">
        <v>9.6920075569048212E-4</v>
      </c>
      <c r="AE11" s="4">
        <v>9.6956627077574963E-4</v>
      </c>
      <c r="AF11" s="4">
        <v>9.6985509936273564E-4</v>
      </c>
      <c r="AG11" s="4">
        <v>9.701973218200204E-4</v>
      </c>
      <c r="AH11" s="4"/>
      <c r="AI11" s="4"/>
      <c r="AJ11" s="4"/>
      <c r="AK11" s="4"/>
    </row>
    <row r="12" spans="1:37">
      <c r="A12" t="s">
        <v>50</v>
      </c>
      <c r="B12" t="s">
        <v>45</v>
      </c>
      <c r="C12" t="s">
        <v>49</v>
      </c>
      <c r="D12" s="4">
        <v>5.7245968727451246E-4</v>
      </c>
      <c r="E12" s="4">
        <v>5.7245968727451246E-4</v>
      </c>
      <c r="F12" s="4">
        <v>5.7245968727451246E-4</v>
      </c>
      <c r="G12" s="4">
        <v>5.7245968727451246E-4</v>
      </c>
      <c r="H12" s="4">
        <v>5.7245968727451246E-4</v>
      </c>
      <c r="I12" s="4">
        <v>5.7245968727451246E-4</v>
      </c>
      <c r="J12" s="4">
        <v>5.7245968727451246E-4</v>
      </c>
      <c r="K12" s="4">
        <v>5.7245968727451246E-4</v>
      </c>
      <c r="L12" s="4">
        <v>5.7245968727451246E-4</v>
      </c>
      <c r="M12" s="4">
        <v>5.7245968727451246E-4</v>
      </c>
      <c r="N12" s="4">
        <v>5.7245968727451246E-4</v>
      </c>
      <c r="O12" s="4">
        <v>5.7245968727451246E-4</v>
      </c>
      <c r="P12" s="4">
        <v>5.7245968727451246E-4</v>
      </c>
      <c r="Q12" s="4">
        <v>5.7245968727451246E-4</v>
      </c>
      <c r="R12" s="4">
        <v>5.7245968727451246E-4</v>
      </c>
      <c r="S12" s="4">
        <v>5.7245968727451246E-4</v>
      </c>
      <c r="T12" s="4">
        <v>5.7245968727451246E-4</v>
      </c>
      <c r="U12" s="4">
        <v>5.7245968727451246E-4</v>
      </c>
      <c r="V12" s="4">
        <v>5.7245968727451246E-4</v>
      </c>
      <c r="W12" s="4">
        <v>5.7245968727451246E-4</v>
      </c>
      <c r="X12" s="4">
        <v>5.7245968727451246E-4</v>
      </c>
      <c r="Y12" s="4">
        <v>5.7245968727451246E-4</v>
      </c>
      <c r="Z12" s="4">
        <v>5.7245968727451246E-4</v>
      </c>
      <c r="AA12" s="4">
        <v>5.7245968727451246E-4</v>
      </c>
      <c r="AB12" s="4">
        <v>5.7245968727451246E-4</v>
      </c>
      <c r="AC12" s="4">
        <v>5.7245968727451246E-4</v>
      </c>
      <c r="AD12" s="4">
        <v>5.7245968727451246E-4</v>
      </c>
      <c r="AE12" s="4">
        <v>5.7245968727451246E-4</v>
      </c>
      <c r="AF12" s="4">
        <v>5.7245968727451246E-4</v>
      </c>
      <c r="AG12" s="4">
        <v>5.7245968727451246E-4</v>
      </c>
      <c r="AH12" s="4"/>
      <c r="AI12" s="4"/>
      <c r="AJ12" s="4"/>
      <c r="AK12" s="4"/>
    </row>
    <row r="13" spans="1:37">
      <c r="A13" t="s">
        <v>50</v>
      </c>
      <c r="B13" t="s">
        <v>47</v>
      </c>
      <c r="C13" t="s">
        <v>49</v>
      </c>
      <c r="D13" s="4">
        <v>4.8563096039282174E-5</v>
      </c>
      <c r="E13" s="4">
        <v>4.7951937565239972E-5</v>
      </c>
      <c r="F13" s="4">
        <v>4.8199148542133818E-5</v>
      </c>
      <c r="G13" s="4">
        <v>4.8463289763291303E-5</v>
      </c>
      <c r="H13" s="4">
        <v>4.8810101273548841E-5</v>
      </c>
      <c r="I13" s="4">
        <v>4.9248402309752346E-5</v>
      </c>
      <c r="J13" s="4">
        <v>4.9544253613324154E-5</v>
      </c>
      <c r="K13" s="4">
        <v>4.9847838070065696E-5</v>
      </c>
      <c r="L13" s="4">
        <v>5.0132631366857999E-5</v>
      </c>
      <c r="M13" s="4">
        <v>5.0441473470928121E-5</v>
      </c>
      <c r="N13" s="4">
        <v>5.0785598457265348E-5</v>
      </c>
      <c r="O13" s="4">
        <v>5.1172517250624796E-5</v>
      </c>
      <c r="P13" s="4">
        <v>5.161151266819503E-5</v>
      </c>
      <c r="Q13" s="4">
        <v>5.2082892766601423E-5</v>
      </c>
      <c r="R13" s="4">
        <v>5.2576863009813412E-5</v>
      </c>
      <c r="S13" s="4">
        <v>5.3077126867236362E-5</v>
      </c>
      <c r="T13" s="4">
        <v>5.3586049060219874E-5</v>
      </c>
      <c r="U13" s="4">
        <v>5.4105334878616127E-5</v>
      </c>
      <c r="V13" s="4">
        <v>5.4610539196817424E-5</v>
      </c>
      <c r="W13" s="4">
        <v>5.5125025672775793E-5</v>
      </c>
      <c r="X13" s="4">
        <v>5.5644352375924891E-5</v>
      </c>
      <c r="Y13" s="4">
        <v>5.6164574587047429E-5</v>
      </c>
      <c r="Z13" s="4">
        <v>5.6693978062907934E-5</v>
      </c>
      <c r="AA13" s="4">
        <v>5.721493949673903E-5</v>
      </c>
      <c r="AB13" s="4">
        <v>5.7733179456780447E-5</v>
      </c>
      <c r="AC13" s="4">
        <v>5.8241709288023016E-5</v>
      </c>
      <c r="AD13" s="4">
        <v>5.8749514404049965E-5</v>
      </c>
      <c r="AE13" s="4">
        <v>5.9249763094548476E-5</v>
      </c>
      <c r="AF13" s="4">
        <v>5.9740125588038328E-5</v>
      </c>
      <c r="AG13" s="4">
        <v>6.0224657388228372E-5</v>
      </c>
      <c r="AH13" s="4"/>
      <c r="AI13" s="4"/>
      <c r="AJ13" s="4"/>
      <c r="AK13" s="4"/>
    </row>
    <row r="14" spans="1:37">
      <c r="A14" t="s">
        <v>51</v>
      </c>
      <c r="B14" t="s">
        <v>45</v>
      </c>
      <c r="C14" t="s">
        <v>49</v>
      </c>
      <c r="D14" s="4">
        <v>7.1745362435245036E-5</v>
      </c>
      <c r="E14" s="4">
        <v>7.1745362435245036E-5</v>
      </c>
      <c r="F14" s="4">
        <v>7.1745362435245036E-5</v>
      </c>
      <c r="G14" s="4">
        <v>7.1745362435245036E-5</v>
      </c>
      <c r="H14" s="4">
        <v>7.1745362435245036E-5</v>
      </c>
      <c r="I14" s="4">
        <v>7.1745362435245036E-5</v>
      </c>
      <c r="J14" s="4">
        <v>7.1745362435245036E-5</v>
      </c>
      <c r="K14" s="4">
        <v>7.1745362435245036E-5</v>
      </c>
      <c r="L14" s="4">
        <v>7.1745362435245036E-5</v>
      </c>
      <c r="M14" s="4">
        <v>7.1745362435245036E-5</v>
      </c>
      <c r="N14" s="4">
        <v>7.1745362435245036E-5</v>
      </c>
      <c r="O14" s="4">
        <v>7.1745362435245036E-5</v>
      </c>
      <c r="P14" s="4">
        <v>7.1745362435245036E-5</v>
      </c>
      <c r="Q14" s="4">
        <v>7.1745362435245036E-5</v>
      </c>
      <c r="R14" s="4">
        <v>7.1745362435245036E-5</v>
      </c>
      <c r="S14" s="4">
        <v>7.1745362435245036E-5</v>
      </c>
      <c r="T14" s="4">
        <v>7.1745362435245036E-5</v>
      </c>
      <c r="U14" s="4">
        <v>7.1745362435245036E-5</v>
      </c>
      <c r="V14" s="4">
        <v>7.1745362435245036E-5</v>
      </c>
      <c r="W14" s="4">
        <v>7.1745362435245036E-5</v>
      </c>
      <c r="X14" s="4">
        <v>7.1745362435245036E-5</v>
      </c>
      <c r="Y14" s="4">
        <v>7.1745362435245036E-5</v>
      </c>
      <c r="Z14" s="4">
        <v>7.1745362435245036E-5</v>
      </c>
      <c r="AA14" s="4">
        <v>7.1745362435245036E-5</v>
      </c>
      <c r="AB14" s="4">
        <v>7.1745362435245036E-5</v>
      </c>
      <c r="AC14" s="4">
        <v>7.1745362435245036E-5</v>
      </c>
      <c r="AD14" s="4">
        <v>7.1745362435245036E-5</v>
      </c>
      <c r="AE14" s="4">
        <v>7.1745362435245036E-5</v>
      </c>
      <c r="AF14" s="4">
        <v>7.1745362435245036E-5</v>
      </c>
      <c r="AG14" s="4">
        <v>7.1745362435245036E-5</v>
      </c>
      <c r="AH14" s="4"/>
      <c r="AI14" s="4"/>
      <c r="AJ14" s="4"/>
      <c r="AK14" s="4"/>
    </row>
    <row r="15" spans="1:37">
      <c r="A15" t="s">
        <v>51</v>
      </c>
      <c r="B15" t="s">
        <v>45</v>
      </c>
      <c r="C15" t="s">
        <v>52</v>
      </c>
      <c r="D15" s="4">
        <v>7.5686214263268839E-4</v>
      </c>
      <c r="E15" s="4">
        <v>7.5686214263268839E-4</v>
      </c>
      <c r="F15" s="4">
        <v>7.5686214263268839E-4</v>
      </c>
      <c r="G15" s="4">
        <v>7.5686214263268839E-4</v>
      </c>
      <c r="H15" s="4">
        <v>7.5686214263268839E-4</v>
      </c>
      <c r="I15" s="4">
        <v>7.5686214263268839E-4</v>
      </c>
      <c r="J15" s="4">
        <v>7.5686214263268839E-4</v>
      </c>
      <c r="K15" s="4">
        <v>7.5686214263268839E-4</v>
      </c>
      <c r="L15" s="4">
        <v>7.5686214263268839E-4</v>
      </c>
      <c r="M15" s="4">
        <v>7.5686214263268839E-4</v>
      </c>
      <c r="N15" s="4">
        <v>7.5686214263268839E-4</v>
      </c>
      <c r="O15" s="4">
        <v>7.5686214263268839E-4</v>
      </c>
      <c r="P15" s="4">
        <v>7.5686214263268839E-4</v>
      </c>
      <c r="Q15" s="4">
        <v>7.5686214263268839E-4</v>
      </c>
      <c r="R15" s="4">
        <v>7.5686214263268839E-4</v>
      </c>
      <c r="S15" s="4">
        <v>7.5686214263268839E-4</v>
      </c>
      <c r="T15" s="4">
        <v>7.5686214263268839E-4</v>
      </c>
      <c r="U15" s="4">
        <v>7.5686214263268839E-4</v>
      </c>
      <c r="V15" s="4">
        <v>7.5686214263268839E-4</v>
      </c>
      <c r="W15" s="4">
        <v>7.5686214263268839E-4</v>
      </c>
      <c r="X15" s="4">
        <v>7.5686214263268839E-4</v>
      </c>
      <c r="Y15" s="4">
        <v>7.5686214263268839E-4</v>
      </c>
      <c r="Z15" s="4">
        <v>7.5686214263268839E-4</v>
      </c>
      <c r="AA15" s="4">
        <v>7.5686214263268839E-4</v>
      </c>
      <c r="AB15" s="4">
        <v>7.5686214263268839E-4</v>
      </c>
      <c r="AC15" s="4">
        <v>7.5686214263268839E-4</v>
      </c>
      <c r="AD15" s="4">
        <v>7.5686214263268839E-4</v>
      </c>
      <c r="AE15" s="4">
        <v>7.5686214263268839E-4</v>
      </c>
      <c r="AF15" s="4">
        <v>7.5686214263268839E-4</v>
      </c>
      <c r="AG15" s="4">
        <v>7.5686214263268839E-4</v>
      </c>
      <c r="AH15" s="4"/>
      <c r="AI15" s="4"/>
      <c r="AJ15" s="4"/>
      <c r="AK15" s="4"/>
    </row>
    <row r="16" spans="1:37">
      <c r="A16" t="s">
        <v>51</v>
      </c>
      <c r="B16" t="s">
        <v>47</v>
      </c>
      <c r="C16" t="s">
        <v>49</v>
      </c>
      <c r="D16" s="4">
        <v>3.5120030000000001E-3</v>
      </c>
      <c r="E16" s="4">
        <v>3.3663400000000002E-3</v>
      </c>
      <c r="F16" s="4">
        <v>3.3698929999999997E-3</v>
      </c>
      <c r="G16" s="4">
        <v>3.3734500000000001E-3</v>
      </c>
      <c r="H16" s="4">
        <v>3.3770099999999997E-3</v>
      </c>
      <c r="I16" s="4">
        <v>3.3805740000000003E-3</v>
      </c>
      <c r="J16" s="4">
        <v>3.3841420000000001E-3</v>
      </c>
      <c r="K16" s="4">
        <v>3.3877130000000001E-3</v>
      </c>
      <c r="L16" s="4">
        <v>3.391289E-3</v>
      </c>
      <c r="M16" s="4">
        <v>3.3948680000000001E-3</v>
      </c>
      <c r="N16" s="4">
        <v>3.3984510000000002E-3</v>
      </c>
      <c r="O16" s="4">
        <v>3.4020370000000001E-3</v>
      </c>
      <c r="P16" s="4">
        <v>3.405628E-3</v>
      </c>
      <c r="Q16" s="4">
        <v>3.4092220000000004E-3</v>
      </c>
      <c r="R16" s="4">
        <v>3.41282E-3</v>
      </c>
      <c r="S16" s="4">
        <v>3.4164219999999997E-3</v>
      </c>
      <c r="T16" s="4">
        <v>3.420027E-3</v>
      </c>
      <c r="U16" s="4">
        <v>3.4236369999999998E-3</v>
      </c>
      <c r="V16" s="4">
        <v>3.4272499999999997E-3</v>
      </c>
      <c r="W16" s="4">
        <v>3.4308670000000002E-3</v>
      </c>
      <c r="X16" s="4">
        <v>3.4344879999999999E-3</v>
      </c>
      <c r="Y16" s="4">
        <v>3.438113E-3</v>
      </c>
      <c r="Z16" s="4">
        <v>3.4417409999999999E-3</v>
      </c>
      <c r="AA16" s="4">
        <v>3.4453729999999998E-3</v>
      </c>
      <c r="AB16" s="4">
        <v>3.4490099999999997E-3</v>
      </c>
      <c r="AC16" s="4">
        <v>3.4526489999999999E-3</v>
      </c>
      <c r="AD16" s="4">
        <v>3.456293E-3</v>
      </c>
      <c r="AE16" s="4">
        <v>3.4599410000000002E-3</v>
      </c>
      <c r="AF16" s="4">
        <v>3.4635930000000001E-3</v>
      </c>
      <c r="AG16" s="4">
        <v>3.467248E-3</v>
      </c>
      <c r="AH16" s="4"/>
      <c r="AI16" s="4"/>
      <c r="AJ16" s="4"/>
      <c r="AK16" s="4"/>
    </row>
    <row r="17" spans="1:37">
      <c r="A17" t="s">
        <v>53</v>
      </c>
      <c r="B17" t="s">
        <v>45</v>
      </c>
      <c r="C17" t="s">
        <v>49</v>
      </c>
      <c r="D17" s="4">
        <v>1.2594546332724645E-5</v>
      </c>
      <c r="E17" s="4">
        <v>1.2594546332724645E-5</v>
      </c>
      <c r="F17" s="4">
        <v>1.2594546332724645E-5</v>
      </c>
      <c r="G17" s="4">
        <v>1.2594546332724645E-5</v>
      </c>
      <c r="H17" s="4">
        <v>1.2594546332724645E-5</v>
      </c>
      <c r="I17" s="4">
        <v>1.2594546332724645E-5</v>
      </c>
      <c r="J17" s="4">
        <v>1.2594546332724645E-5</v>
      </c>
      <c r="K17" s="4">
        <v>1.2594546332724645E-5</v>
      </c>
      <c r="L17" s="4">
        <v>1.2594546332724645E-5</v>
      </c>
      <c r="M17" s="4">
        <v>1.2594546332724645E-5</v>
      </c>
      <c r="N17" s="4">
        <v>1.2594546332724645E-5</v>
      </c>
      <c r="O17" s="4">
        <v>1.2594546332724645E-5</v>
      </c>
      <c r="P17" s="4">
        <v>1.2594546332724645E-5</v>
      </c>
      <c r="Q17" s="4">
        <v>1.2594546332724645E-5</v>
      </c>
      <c r="R17" s="4">
        <v>1.2594546332724645E-5</v>
      </c>
      <c r="S17" s="4">
        <v>1.2594546332724645E-5</v>
      </c>
      <c r="T17" s="4">
        <v>1.2594546332724645E-5</v>
      </c>
      <c r="U17" s="4">
        <v>1.2594546332724645E-5</v>
      </c>
      <c r="V17" s="4">
        <v>1.2594546332724645E-5</v>
      </c>
      <c r="W17" s="4">
        <v>1.2594546332724645E-5</v>
      </c>
      <c r="X17" s="4">
        <v>1.2594546332724645E-5</v>
      </c>
      <c r="Y17" s="4">
        <v>1.2594546332724645E-5</v>
      </c>
      <c r="Z17" s="4">
        <v>1.2594546332724645E-5</v>
      </c>
      <c r="AA17" s="4">
        <v>1.2594546332724645E-5</v>
      </c>
      <c r="AB17" s="4">
        <v>1.2594546332724645E-5</v>
      </c>
      <c r="AC17" s="4">
        <v>1.2594546332724645E-5</v>
      </c>
      <c r="AD17" s="4">
        <v>1.2594546332724645E-5</v>
      </c>
      <c r="AE17" s="4">
        <v>1.2594546332724645E-5</v>
      </c>
      <c r="AF17" s="4">
        <v>1.2594546332724645E-5</v>
      </c>
      <c r="AG17" s="4">
        <v>1.2594546332724645E-5</v>
      </c>
      <c r="AH17" s="4"/>
      <c r="AI17" s="4"/>
      <c r="AJ17" s="4"/>
      <c r="AK17" s="4"/>
    </row>
    <row r="18" spans="1:37">
      <c r="A18" t="s">
        <v>53</v>
      </c>
      <c r="B18" t="s">
        <v>47</v>
      </c>
      <c r="C18" t="s">
        <v>49</v>
      </c>
      <c r="D18" s="4">
        <v>5.2454271866069326E-3</v>
      </c>
      <c r="E18" s="4">
        <v>5.2454271866069326E-3</v>
      </c>
      <c r="F18" s="4">
        <v>5.2454271866069326E-3</v>
      </c>
      <c r="G18" s="4">
        <v>5.2454271866069326E-3</v>
      </c>
      <c r="H18" s="4">
        <v>5.2454271866069326E-3</v>
      </c>
      <c r="I18" s="4">
        <v>5.2454271866069326E-3</v>
      </c>
      <c r="J18" s="4">
        <v>5.2454271866069326E-3</v>
      </c>
      <c r="K18" s="4">
        <v>5.2454271866069326E-3</v>
      </c>
      <c r="L18" s="4">
        <v>5.2454271866069326E-3</v>
      </c>
      <c r="M18" s="4">
        <v>5.2454271866069326E-3</v>
      </c>
      <c r="N18" s="4">
        <v>5.2454271866069326E-3</v>
      </c>
      <c r="O18" s="4">
        <v>5.2454271866069326E-3</v>
      </c>
      <c r="P18" s="4">
        <v>5.2454271866069326E-3</v>
      </c>
      <c r="Q18" s="4">
        <v>5.2454271866069326E-3</v>
      </c>
      <c r="R18" s="4">
        <v>5.2454271866069326E-3</v>
      </c>
      <c r="S18" s="4">
        <v>5.2454271866069326E-3</v>
      </c>
      <c r="T18" s="4">
        <v>5.2454271866069326E-3</v>
      </c>
      <c r="U18" s="4">
        <v>5.2454271866069326E-3</v>
      </c>
      <c r="V18" s="4">
        <v>5.2454271866069326E-3</v>
      </c>
      <c r="W18" s="4">
        <v>5.2454271866069326E-3</v>
      </c>
      <c r="X18" s="4">
        <v>5.2454271866069326E-3</v>
      </c>
      <c r="Y18" s="4">
        <v>5.2454271866069326E-3</v>
      </c>
      <c r="Z18" s="4">
        <v>5.2454271866069326E-3</v>
      </c>
      <c r="AA18" s="4">
        <v>5.2454271866069326E-3</v>
      </c>
      <c r="AB18" s="4">
        <v>5.2454271866069326E-3</v>
      </c>
      <c r="AC18" s="4">
        <v>5.2454271866069326E-3</v>
      </c>
      <c r="AD18" s="4">
        <v>5.2454271866069326E-3</v>
      </c>
      <c r="AE18" s="4">
        <v>5.2454271866069326E-3</v>
      </c>
      <c r="AF18" s="4">
        <v>5.2454271866069326E-3</v>
      </c>
      <c r="AG18" s="4">
        <v>5.2454271866069326E-3</v>
      </c>
      <c r="AH18" s="4"/>
      <c r="AI18" s="4"/>
      <c r="AJ18" s="4"/>
      <c r="AK18" s="4"/>
    </row>
    <row r="19" spans="1:37">
      <c r="A19" t="s">
        <v>54</v>
      </c>
      <c r="B19" t="s">
        <v>45</v>
      </c>
      <c r="C19" t="s">
        <v>46</v>
      </c>
      <c r="D19" s="4">
        <v>1.4345302324303027E-3</v>
      </c>
      <c r="E19" s="4">
        <v>1.4345302324303027E-3</v>
      </c>
      <c r="F19" s="4">
        <v>1.4345302324303027E-3</v>
      </c>
      <c r="G19" s="4">
        <v>1.4345302324303027E-3</v>
      </c>
      <c r="H19" s="4">
        <v>1.4345302324303027E-3</v>
      </c>
      <c r="I19" s="4">
        <v>1.4345302324303027E-3</v>
      </c>
      <c r="J19" s="4">
        <v>1.4345302324303027E-3</v>
      </c>
      <c r="K19" s="4">
        <v>1.4345302324303027E-3</v>
      </c>
      <c r="L19" s="4">
        <v>1.4345302324303027E-3</v>
      </c>
      <c r="M19" s="4">
        <v>1.4345302324303027E-3</v>
      </c>
      <c r="N19" s="4">
        <v>1.4345302324303027E-3</v>
      </c>
      <c r="O19" s="4">
        <v>1.4345302324303027E-3</v>
      </c>
      <c r="P19" s="4">
        <v>1.4345302324303027E-3</v>
      </c>
      <c r="Q19" s="4">
        <v>1.4345302324303027E-3</v>
      </c>
      <c r="R19" s="4">
        <v>1.4345302324303027E-3</v>
      </c>
      <c r="S19" s="4">
        <v>1.4345302324303027E-3</v>
      </c>
      <c r="T19" s="4">
        <v>1.4345302324303027E-3</v>
      </c>
      <c r="U19" s="4">
        <v>1.4345302324303027E-3</v>
      </c>
      <c r="V19" s="4">
        <v>1.4345302324303027E-3</v>
      </c>
      <c r="W19" s="4">
        <v>1.4345302324303027E-3</v>
      </c>
      <c r="X19" s="4">
        <v>1.4345302324303027E-3</v>
      </c>
      <c r="Y19" s="4">
        <v>1.4345302324303027E-3</v>
      </c>
      <c r="Z19" s="4">
        <v>1.4345302324303027E-3</v>
      </c>
      <c r="AA19" s="4">
        <v>1.4345302324303027E-3</v>
      </c>
      <c r="AB19" s="4">
        <v>1.4345302324303027E-3</v>
      </c>
      <c r="AC19" s="4">
        <v>1.4345302324303027E-3</v>
      </c>
      <c r="AD19" s="4">
        <v>1.4345302324303027E-3</v>
      </c>
      <c r="AE19" s="4">
        <v>1.4345302324303027E-3</v>
      </c>
      <c r="AF19" s="4">
        <v>1.4345302324303027E-3</v>
      </c>
      <c r="AG19" s="4">
        <v>1.4345302324303027E-3</v>
      </c>
      <c r="AH19" s="4"/>
      <c r="AI19" s="4"/>
      <c r="AJ19" s="4"/>
      <c r="AK19" s="4"/>
    </row>
    <row r="20" spans="1:37">
      <c r="A20" t="s">
        <v>54</v>
      </c>
      <c r="B20" t="s">
        <v>47</v>
      </c>
      <c r="C20" t="s">
        <v>46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2" spans="1:37">
      <c r="A22" s="1" t="s">
        <v>55</v>
      </c>
    </row>
    <row r="23" spans="1:37">
      <c r="A23" t="s">
        <v>56</v>
      </c>
      <c r="B23">
        <v>2021</v>
      </c>
      <c r="C23">
        <v>2022</v>
      </c>
      <c r="D23">
        <v>2023</v>
      </c>
      <c r="E23">
        <v>2024</v>
      </c>
      <c r="F23">
        <v>2025</v>
      </c>
      <c r="G23">
        <v>2026</v>
      </c>
      <c r="H23">
        <v>2027</v>
      </c>
      <c r="I23">
        <v>2028</v>
      </c>
      <c r="J23">
        <v>2029</v>
      </c>
      <c r="K23">
        <v>2030</v>
      </c>
      <c r="L23">
        <v>2031</v>
      </c>
      <c r="M23">
        <v>2032</v>
      </c>
      <c r="N23">
        <v>2033</v>
      </c>
      <c r="O23">
        <v>2034</v>
      </c>
      <c r="P23">
        <v>2035</v>
      </c>
      <c r="Q23">
        <v>2036</v>
      </c>
      <c r="R23">
        <v>2037</v>
      </c>
      <c r="S23">
        <v>2038</v>
      </c>
      <c r="T23">
        <v>2039</v>
      </c>
      <c r="U23">
        <v>2040</v>
      </c>
      <c r="V23">
        <v>2041</v>
      </c>
      <c r="W23">
        <v>2042</v>
      </c>
      <c r="X23">
        <v>2043</v>
      </c>
      <c r="Y23">
        <v>2044</v>
      </c>
      <c r="Z23">
        <v>2045</v>
      </c>
      <c r="AA23">
        <v>2046</v>
      </c>
      <c r="AB23">
        <v>2047</v>
      </c>
      <c r="AC23">
        <v>2048</v>
      </c>
      <c r="AD23">
        <v>2049</v>
      </c>
      <c r="AE23">
        <v>2050</v>
      </c>
    </row>
    <row r="24" spans="1:37">
      <c r="A24" t="s">
        <v>52</v>
      </c>
      <c r="B24">
        <v>1.1058184387710214E-3</v>
      </c>
      <c r="C24">
        <v>1.1654653618777037E-3</v>
      </c>
      <c r="D24">
        <v>1.1704178038241025E-3</v>
      </c>
      <c r="E24">
        <v>1.1680699023993095E-3</v>
      </c>
      <c r="F24">
        <v>1.1715925157363262E-3</v>
      </c>
      <c r="G24">
        <v>1.1717836975623729E-3</v>
      </c>
      <c r="H24">
        <v>1.1670454732039669E-3</v>
      </c>
      <c r="I24">
        <v>1.1663553647253712E-3</v>
      </c>
      <c r="J24">
        <v>1.1600295837550369E-3</v>
      </c>
      <c r="K24">
        <v>1.1556233631186427E-3</v>
      </c>
      <c r="L24">
        <v>1.1543479301738477E-3</v>
      </c>
      <c r="M24">
        <v>1.1538248111999468E-3</v>
      </c>
      <c r="N24">
        <v>1.1534771013398996E-3</v>
      </c>
      <c r="O24">
        <v>1.153358383316175E-3</v>
      </c>
      <c r="P24">
        <v>1.1533777970732827E-3</v>
      </c>
      <c r="Q24">
        <v>1.1533839998503657E-3</v>
      </c>
      <c r="R24">
        <v>1.1531365054505626E-3</v>
      </c>
      <c r="S24">
        <v>1.1528517648706005E-3</v>
      </c>
      <c r="T24">
        <v>1.1527114348871379E-3</v>
      </c>
      <c r="U24">
        <v>1.1521628742468084E-3</v>
      </c>
      <c r="V24">
        <v>1.1516853990217147E-3</v>
      </c>
      <c r="W24">
        <v>1.1511845126241146E-3</v>
      </c>
      <c r="X24">
        <v>1.1504833870552749E-3</v>
      </c>
      <c r="Y24">
        <v>1.1498404422001507E-3</v>
      </c>
      <c r="Z24">
        <v>1.1492400691721339E-3</v>
      </c>
      <c r="AA24">
        <v>1.1499032994117962E-3</v>
      </c>
      <c r="AB24">
        <v>1.1491304009395679E-3</v>
      </c>
      <c r="AC24">
        <v>1.148913547482614E-3</v>
      </c>
      <c r="AD24">
        <v>1.1490606826052038E-3</v>
      </c>
      <c r="AE24">
        <v>1.1487858957225897E-3</v>
      </c>
    </row>
    <row r="25" spans="1:37">
      <c r="A25" t="s">
        <v>57</v>
      </c>
      <c r="B25">
        <v>4.1435623124899391E-4</v>
      </c>
      <c r="C25">
        <v>4.1583860682125711E-4</v>
      </c>
      <c r="D25">
        <v>4.2674810809389702E-4</v>
      </c>
      <c r="E25">
        <v>4.2774094105362768E-4</v>
      </c>
      <c r="F25">
        <v>4.4088946807188358E-4</v>
      </c>
      <c r="G25">
        <v>4.4515587089355332E-4</v>
      </c>
      <c r="H25">
        <v>4.4712215141194824E-4</v>
      </c>
      <c r="I25">
        <v>4.5871378319881849E-4</v>
      </c>
      <c r="J25">
        <v>4.60087233889707E-4</v>
      </c>
      <c r="K25">
        <v>4.5997510943360454E-4</v>
      </c>
      <c r="L25">
        <v>4.5952689761791997E-4</v>
      </c>
      <c r="M25">
        <v>4.5879531018905696E-4</v>
      </c>
      <c r="N25">
        <v>4.5885757750912214E-4</v>
      </c>
      <c r="O25">
        <v>4.5899315341134275E-4</v>
      </c>
      <c r="P25">
        <v>4.5978047950904734E-4</v>
      </c>
      <c r="Q25">
        <v>4.6013085920391559E-4</v>
      </c>
      <c r="R25">
        <v>4.6092082071518263E-4</v>
      </c>
      <c r="S25">
        <v>4.615465505005841E-4</v>
      </c>
      <c r="T25">
        <v>4.6289202003053275E-4</v>
      </c>
      <c r="U25">
        <v>4.6286158567069468E-4</v>
      </c>
      <c r="V25">
        <v>4.6295981398202245E-4</v>
      </c>
      <c r="W25">
        <v>4.6271617508682986E-4</v>
      </c>
      <c r="X25">
        <v>4.6243920306310218E-4</v>
      </c>
      <c r="Y25">
        <v>4.6116751148015295E-4</v>
      </c>
      <c r="Z25">
        <v>4.6042305602918797E-4</v>
      </c>
      <c r="AA25">
        <v>4.591399062500133E-4</v>
      </c>
      <c r="AB25">
        <v>4.5839402783031833E-4</v>
      </c>
      <c r="AC25">
        <v>4.573327059931574E-4</v>
      </c>
      <c r="AD25">
        <v>4.5895199125989522E-4</v>
      </c>
      <c r="AE25">
        <v>4.579632154985259E-4</v>
      </c>
    </row>
    <row r="26" spans="1:37">
      <c r="A26" t="s">
        <v>46</v>
      </c>
      <c r="B26">
        <v>3.8560342544165043E-4</v>
      </c>
      <c r="C26">
        <v>3.938977091004229E-4</v>
      </c>
      <c r="D26">
        <v>4.0102815590911211E-4</v>
      </c>
      <c r="E26">
        <v>4.0668872915977704E-4</v>
      </c>
      <c r="F26">
        <v>4.2148439524556525E-4</v>
      </c>
      <c r="G26">
        <v>4.2638034079782157E-4</v>
      </c>
      <c r="H26">
        <v>4.2993928617474374E-4</v>
      </c>
      <c r="I26">
        <v>4.4295232919176118E-4</v>
      </c>
      <c r="J26">
        <v>4.4402927119422075E-4</v>
      </c>
      <c r="K26">
        <v>4.4423001272194757E-4</v>
      </c>
      <c r="L26">
        <v>4.4444787060954387E-4</v>
      </c>
      <c r="M26">
        <v>4.4510595798899477E-4</v>
      </c>
      <c r="N26">
        <v>4.4626178063197816E-4</v>
      </c>
      <c r="O26">
        <v>4.4757258182247277E-4</v>
      </c>
      <c r="P26">
        <v>4.4919390205042781E-4</v>
      </c>
      <c r="Q26">
        <v>4.5078104437884211E-4</v>
      </c>
      <c r="R26">
        <v>4.5211629450069859E-4</v>
      </c>
      <c r="S26">
        <v>4.5326957425061224E-4</v>
      </c>
      <c r="T26">
        <v>4.5520696339484528E-4</v>
      </c>
      <c r="U26">
        <v>4.5553578115777672E-4</v>
      </c>
      <c r="V26">
        <v>4.5584944646724456E-4</v>
      </c>
      <c r="W26">
        <v>4.559561094704881E-4</v>
      </c>
      <c r="X26">
        <v>4.5572121425237108E-4</v>
      </c>
      <c r="Y26">
        <v>4.550985416964502E-4</v>
      </c>
      <c r="Z26">
        <v>4.5449905971852166E-4</v>
      </c>
      <c r="AA26">
        <v>4.5443664862698183E-4</v>
      </c>
      <c r="AB26">
        <v>4.5380063490385911E-4</v>
      </c>
      <c r="AC26">
        <v>4.5343326114607497E-4</v>
      </c>
      <c r="AD26">
        <v>4.5494560422822621E-4</v>
      </c>
      <c r="AE26">
        <v>4.5447278785524218E-4</v>
      </c>
    </row>
    <row r="27" spans="1:37">
      <c r="A27" t="s">
        <v>49</v>
      </c>
      <c r="B27">
        <v>4.0465652197743196E-4</v>
      </c>
      <c r="C27">
        <v>4.1576202640994142E-4</v>
      </c>
      <c r="D27">
        <v>4.1870929984394776E-4</v>
      </c>
      <c r="E27">
        <v>4.2168190349906829E-4</v>
      </c>
      <c r="F27">
        <v>4.3266443515270633E-4</v>
      </c>
      <c r="G27">
        <v>4.3735322098718013E-4</v>
      </c>
      <c r="H27">
        <v>4.3922149191073594E-4</v>
      </c>
      <c r="I27">
        <v>4.4603511227335165E-4</v>
      </c>
      <c r="J27">
        <v>4.4678679157952655E-4</v>
      </c>
      <c r="K27">
        <v>4.4699302940114473E-4</v>
      </c>
      <c r="L27">
        <v>4.4771409957447328E-4</v>
      </c>
      <c r="M27">
        <v>4.4831497643516992E-4</v>
      </c>
      <c r="N27">
        <v>4.496705619988588E-4</v>
      </c>
      <c r="O27">
        <v>4.5096086515454705E-4</v>
      </c>
      <c r="P27">
        <v>4.5263001592613935E-4</v>
      </c>
      <c r="Q27">
        <v>4.5367403060863823E-4</v>
      </c>
      <c r="R27">
        <v>4.5509702541521833E-4</v>
      </c>
      <c r="S27">
        <v>4.5632605270766956E-4</v>
      </c>
      <c r="T27">
        <v>4.5773099888512522E-4</v>
      </c>
      <c r="U27">
        <v>4.5821744528746784E-4</v>
      </c>
      <c r="V27">
        <v>4.5881268049317148E-4</v>
      </c>
      <c r="W27">
        <v>4.5899094233070158E-4</v>
      </c>
      <c r="X27">
        <v>4.5931420503415025E-4</v>
      </c>
      <c r="Y27">
        <v>4.5870544153793057E-4</v>
      </c>
      <c r="Z27">
        <v>4.584089610106891E-4</v>
      </c>
      <c r="AA27">
        <v>4.5781993462527175E-4</v>
      </c>
      <c r="AB27">
        <v>4.5749536457941731E-4</v>
      </c>
      <c r="AC27">
        <v>4.5687733265413878E-4</v>
      </c>
      <c r="AD27">
        <v>4.5823891780242144E-4</v>
      </c>
      <c r="AE27">
        <v>4.5756640849424067E-4</v>
      </c>
    </row>
    <row r="28" spans="1:37">
      <c r="A28" t="s">
        <v>58</v>
      </c>
      <c r="B28">
        <v>6.5517280333083554E-4</v>
      </c>
      <c r="C28">
        <v>6.0514507559113824E-4</v>
      </c>
      <c r="D28">
        <v>6.0150704320725845E-4</v>
      </c>
      <c r="E28">
        <v>6.1427035538190694E-4</v>
      </c>
      <c r="F28">
        <v>6.3712460549070139E-4</v>
      </c>
      <c r="G28">
        <v>6.4738616664415639E-4</v>
      </c>
      <c r="H28">
        <v>6.5513359005477795E-4</v>
      </c>
      <c r="I28">
        <v>6.7192511645025751E-4</v>
      </c>
      <c r="J28">
        <v>6.7577275142821603E-4</v>
      </c>
      <c r="K28">
        <v>6.7933446138261709E-4</v>
      </c>
      <c r="L28">
        <v>6.8029519215282537E-4</v>
      </c>
      <c r="M28">
        <v>6.8243036537951835E-4</v>
      </c>
      <c r="N28">
        <v>6.8502370209035806E-4</v>
      </c>
      <c r="O28">
        <v>6.8784464147818671E-4</v>
      </c>
      <c r="P28">
        <v>6.9068440837210285E-4</v>
      </c>
      <c r="Q28">
        <v>6.9349335772620044E-4</v>
      </c>
      <c r="R28">
        <v>6.9575678906731286E-4</v>
      </c>
      <c r="S28">
        <v>6.9777923827096409E-4</v>
      </c>
      <c r="T28">
        <v>7.0046159489822399E-4</v>
      </c>
      <c r="U28">
        <v>7.0126820554068138E-4</v>
      </c>
      <c r="V28">
        <v>7.0187448889172854E-4</v>
      </c>
      <c r="W28">
        <v>7.0235628151829209E-4</v>
      </c>
      <c r="X28">
        <v>7.0245879124624332E-4</v>
      </c>
      <c r="Y28">
        <v>7.0208138504586923E-4</v>
      </c>
      <c r="Z28">
        <v>7.0164276868927991E-4</v>
      </c>
      <c r="AA28">
        <v>7.0187587901977887E-4</v>
      </c>
      <c r="AB28">
        <v>7.0121740957167211E-4</v>
      </c>
      <c r="AC28">
        <v>7.0084703451029598E-4</v>
      </c>
      <c r="AD28">
        <v>7.0243269074363234E-4</v>
      </c>
      <c r="AE28">
        <v>7.0193181770471214E-4</v>
      </c>
    </row>
    <row r="29" spans="1:37">
      <c r="A29" t="s">
        <v>59</v>
      </c>
      <c r="B29">
        <v>3.6045503701553509E-4</v>
      </c>
      <c r="C29">
        <v>3.5950684514816466E-4</v>
      </c>
      <c r="D29">
        <v>3.7560487909735457E-4</v>
      </c>
      <c r="E29">
        <v>3.7971585214712964E-4</v>
      </c>
      <c r="F29">
        <v>3.9181403193273731E-4</v>
      </c>
      <c r="G29">
        <v>3.9880573963794092E-4</v>
      </c>
      <c r="H29">
        <v>4.0115976169978224E-4</v>
      </c>
      <c r="I29">
        <v>4.1153349812879397E-4</v>
      </c>
      <c r="J29">
        <v>4.1265933176568687E-4</v>
      </c>
      <c r="K29">
        <v>4.129117958327599E-4</v>
      </c>
      <c r="L29">
        <v>4.1327833609856163E-4</v>
      </c>
      <c r="M29">
        <v>4.1383220593268312E-4</v>
      </c>
      <c r="N29">
        <v>4.1515854913946708E-4</v>
      </c>
      <c r="O29">
        <v>4.1645840924083266E-4</v>
      </c>
      <c r="P29">
        <v>4.1783871648228943E-4</v>
      </c>
      <c r="Q29">
        <v>4.185963043514945E-4</v>
      </c>
      <c r="R29">
        <v>4.1957711242621983E-4</v>
      </c>
      <c r="S29">
        <v>4.2039727289771742E-4</v>
      </c>
      <c r="T29">
        <v>4.2149458289914189E-4</v>
      </c>
      <c r="U29">
        <v>4.2162480789881447E-4</v>
      </c>
      <c r="V29">
        <v>4.2172822917568159E-4</v>
      </c>
      <c r="W29">
        <v>4.2146361886612633E-4</v>
      </c>
      <c r="X29">
        <v>4.2111122291148745E-4</v>
      </c>
      <c r="Y29">
        <v>4.1994581639741166E-4</v>
      </c>
      <c r="Z29">
        <v>4.190906180766014E-4</v>
      </c>
      <c r="AA29">
        <v>4.1770702521979762E-4</v>
      </c>
      <c r="AB29">
        <v>4.170356261122462E-4</v>
      </c>
      <c r="AC29">
        <v>4.1601977841646405E-4</v>
      </c>
      <c r="AD29">
        <v>4.1673941788640924E-4</v>
      </c>
      <c r="AE29">
        <v>4.1566874700402494E-4</v>
      </c>
    </row>
    <row r="30" spans="1:37">
      <c r="A30" t="s">
        <v>60</v>
      </c>
      <c r="B30">
        <v>5.8311378364830837E-4</v>
      </c>
      <c r="C30">
        <v>5.7223208730528745E-4</v>
      </c>
      <c r="D30">
        <v>5.6894733626181731E-4</v>
      </c>
      <c r="E30">
        <v>5.6725048162098066E-4</v>
      </c>
      <c r="F30">
        <v>5.6996008314341522E-4</v>
      </c>
      <c r="G30">
        <v>5.6951816703823988E-4</v>
      </c>
      <c r="H30">
        <v>5.7010978594149338E-4</v>
      </c>
      <c r="I30">
        <v>5.7487956261865754E-4</v>
      </c>
      <c r="J30">
        <v>5.7443519462267441E-4</v>
      </c>
      <c r="K30">
        <v>5.7407101696939681E-4</v>
      </c>
      <c r="L30">
        <v>5.7368079332420063E-4</v>
      </c>
      <c r="M30">
        <v>5.7338591052819412E-4</v>
      </c>
      <c r="N30">
        <v>5.7352870427450646E-4</v>
      </c>
      <c r="O30">
        <v>5.7404524281558721E-4</v>
      </c>
      <c r="P30">
        <v>5.7495598374617473E-4</v>
      </c>
      <c r="Q30">
        <v>5.7567197447162301E-4</v>
      </c>
      <c r="R30">
        <v>5.7606741774479436E-4</v>
      </c>
      <c r="S30">
        <v>5.7607237499356242E-4</v>
      </c>
      <c r="T30">
        <v>5.762329043721763E-4</v>
      </c>
      <c r="U30">
        <v>5.7598405732017636E-4</v>
      </c>
      <c r="V30">
        <v>5.7576783576552626E-4</v>
      </c>
      <c r="W30">
        <v>5.7552143636232329E-4</v>
      </c>
      <c r="X30">
        <v>5.7518244213933473E-4</v>
      </c>
      <c r="Y30">
        <v>5.7458173195686134E-4</v>
      </c>
      <c r="Z30">
        <v>5.7415134865799545E-4</v>
      </c>
      <c r="AA30">
        <v>5.7420812373722705E-4</v>
      </c>
      <c r="AB30">
        <v>5.7395891913116653E-4</v>
      </c>
      <c r="AC30">
        <v>5.7361920437307709E-4</v>
      </c>
      <c r="AD30">
        <v>5.7393876788858417E-4</v>
      </c>
      <c r="AE30">
        <v>5.7343895733650446E-4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sqref="A1:H7"/>
    </sheetView>
  </sheetViews>
  <sheetFormatPr defaultColWidth="8.85546875" defaultRowHeight="15"/>
  <sheetData>
    <row r="1" spans="1:8">
      <c r="A1" t="s">
        <v>61</v>
      </c>
      <c r="B1" t="s">
        <v>52</v>
      </c>
      <c r="C1" t="s">
        <v>57</v>
      </c>
      <c r="D1" t="s">
        <v>46</v>
      </c>
      <c r="E1" t="s">
        <v>49</v>
      </c>
      <c r="F1" t="s">
        <v>58</v>
      </c>
      <c r="G1" t="s">
        <v>59</v>
      </c>
      <c r="H1" t="s">
        <v>60</v>
      </c>
    </row>
    <row r="2" spans="1:8">
      <c r="A2" t="s">
        <v>4</v>
      </c>
      <c r="B2">
        <v>1.3018081401348375E-3</v>
      </c>
      <c r="C2">
        <v>3.3031749575123515E-4</v>
      </c>
      <c r="D2">
        <v>3.190354313353257E-4</v>
      </c>
      <c r="E2">
        <v>3.8594187567882171E-4</v>
      </c>
      <c r="F2">
        <v>6.3946128345580171E-4</v>
      </c>
      <c r="G2">
        <v>2.8289784339346184E-4</v>
      </c>
      <c r="H2">
        <v>5.8506340922459044E-4</v>
      </c>
    </row>
    <row r="3" spans="1:8">
      <c r="A3" t="s">
        <v>48</v>
      </c>
      <c r="B3">
        <v>3.4003581782857295E-3</v>
      </c>
      <c r="C3">
        <v>2.8226770072497282E-3</v>
      </c>
      <c r="D3">
        <v>9.1563612345912568E-4</v>
      </c>
      <c r="E3">
        <v>1.0581562199094108E-3</v>
      </c>
      <c r="F3">
        <v>2.3463672970163861E-3</v>
      </c>
      <c r="G3">
        <v>3.076266427557592E-3</v>
      </c>
      <c r="H3">
        <v>3.1744686597282318E-3</v>
      </c>
    </row>
    <row r="4" spans="1:8">
      <c r="A4" t="s">
        <v>50</v>
      </c>
      <c r="B4">
        <v>1.6475083571845849E-3</v>
      </c>
      <c r="C4">
        <v>5.1268752410855989E-4</v>
      </c>
      <c r="D4">
        <v>5.1268752410855989E-4</v>
      </c>
      <c r="E4">
        <v>5.1268752410855989E-4</v>
      </c>
      <c r="F4">
        <v>0</v>
      </c>
      <c r="G4">
        <v>0</v>
      </c>
      <c r="H4">
        <v>1.5380625723256794E-3</v>
      </c>
    </row>
    <row r="5" spans="1:8">
      <c r="A5" t="s">
        <v>51</v>
      </c>
      <c r="B5">
        <v>7.5686214263268839E-4</v>
      </c>
      <c r="C5">
        <v>7.1745362435245036E-5</v>
      </c>
      <c r="D5">
        <v>7.1745362435245036E-5</v>
      </c>
      <c r="E5">
        <v>7.1745362435245036E-5</v>
      </c>
      <c r="F5">
        <v>0</v>
      </c>
      <c r="G5">
        <v>0</v>
      </c>
      <c r="H5">
        <v>2.1523608730573507E-4</v>
      </c>
    </row>
    <row r="6" spans="1:8">
      <c r="A6" t="s">
        <v>53</v>
      </c>
      <c r="B6">
        <v>4.0472255247854741E-5</v>
      </c>
      <c r="C6">
        <v>0</v>
      </c>
      <c r="D6">
        <v>1.2594546332724645E-5</v>
      </c>
      <c r="E6">
        <v>1.2594546332724645E-5</v>
      </c>
      <c r="F6">
        <v>0</v>
      </c>
      <c r="G6">
        <v>0</v>
      </c>
      <c r="H6">
        <v>3.7783638998173928E-5</v>
      </c>
    </row>
    <row r="7" spans="1:8">
      <c r="A7" t="s">
        <v>54</v>
      </c>
      <c r="B7">
        <v>4.5678462664228052E-3</v>
      </c>
      <c r="C7">
        <v>1.4345302324303027E-3</v>
      </c>
      <c r="D7">
        <v>1.4345302324303027E-3</v>
      </c>
      <c r="E7">
        <v>1.4345302324303027E-3</v>
      </c>
      <c r="F7">
        <v>3.1578540511261791E-3</v>
      </c>
      <c r="G7">
        <v>1.1117609301334846E-3</v>
      </c>
      <c r="H7">
        <v>4.3035906972909077E-3</v>
      </c>
    </row>
    <row r="9" spans="1:8">
      <c r="A9" t="s">
        <v>62</v>
      </c>
      <c r="B9" t="s">
        <v>52</v>
      </c>
      <c r="C9" t="s">
        <v>57</v>
      </c>
      <c r="D9" t="s">
        <v>46</v>
      </c>
      <c r="E9" t="s">
        <v>49</v>
      </c>
      <c r="F9" t="s">
        <v>58</v>
      </c>
      <c r="G9" t="s">
        <v>59</v>
      </c>
      <c r="H9" t="s">
        <v>60</v>
      </c>
    </row>
    <row r="10" spans="1:8">
      <c r="A10" t="s">
        <v>4</v>
      </c>
      <c r="B10">
        <v>1.0150688714543495E-4</v>
      </c>
      <c r="C10">
        <v>6.6748780423538421E-5</v>
      </c>
      <c r="D10">
        <v>9.6215656200720077E-5</v>
      </c>
      <c r="E10">
        <v>6.8445241372973434E-5</v>
      </c>
      <c r="F10">
        <v>2.1334965945734235E-4</v>
      </c>
      <c r="G10">
        <v>4.0500619498536022E-5</v>
      </c>
      <c r="H10">
        <v>2.0802620001785488E-3</v>
      </c>
    </row>
    <row r="11" spans="1:8">
      <c r="A11" t="s">
        <v>48</v>
      </c>
      <c r="B11">
        <v>2.228289727670437E-3</v>
      </c>
      <c r="C11">
        <v>4.9095868400551087E-4</v>
      </c>
      <c r="D11">
        <v>6.5279355603770168E-3</v>
      </c>
      <c r="E11">
        <v>6.9342066672618309E-4</v>
      </c>
      <c r="F11">
        <v>1.3400471387543073E-3</v>
      </c>
      <c r="G11">
        <v>2.7723416471617654E-3</v>
      </c>
      <c r="H11">
        <v>2.5188574658521696E-3</v>
      </c>
    </row>
    <row r="12" spans="1:8">
      <c r="A12" t="s">
        <v>50</v>
      </c>
      <c r="B12">
        <v>1.397619925979322E-4</v>
      </c>
      <c r="C12">
        <v>4.3492483444491975E-5</v>
      </c>
      <c r="D12">
        <v>4.3492483444491975E-5</v>
      </c>
      <c r="E12">
        <v>4.3492483444491975E-5</v>
      </c>
      <c r="F12">
        <v>0</v>
      </c>
      <c r="G12">
        <v>0</v>
      </c>
      <c r="H12">
        <v>1.304774503334759E-4</v>
      </c>
    </row>
    <row r="13" spans="1:8">
      <c r="A13" t="s">
        <v>51</v>
      </c>
      <c r="B13">
        <v>1.1213005219530657E-2</v>
      </c>
      <c r="C13">
        <v>3.4893709999999998E-3</v>
      </c>
      <c r="D13">
        <v>3.4893709999999998E-3</v>
      </c>
      <c r="E13">
        <v>3.4893709999999998E-3</v>
      </c>
      <c r="F13">
        <v>0</v>
      </c>
      <c r="G13">
        <v>0</v>
      </c>
      <c r="H13">
        <v>1.0468112999999998E-2</v>
      </c>
    </row>
    <row r="14" spans="1:8">
      <c r="A14" t="s">
        <v>53</v>
      </c>
      <c r="B14">
        <v>1.5559515669947011E-2</v>
      </c>
      <c r="C14">
        <v>4.8419600000000002E-3</v>
      </c>
      <c r="D14">
        <v>4.8419600000000002E-3</v>
      </c>
      <c r="E14">
        <v>4.8419600000000002E-3</v>
      </c>
      <c r="F14">
        <v>0</v>
      </c>
      <c r="G14">
        <v>0</v>
      </c>
      <c r="H14">
        <v>1.4525879999999998E-2</v>
      </c>
    </row>
    <row r="15" spans="1:8">
      <c r="A15" t="s">
        <v>54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ColWidth="8.85546875" defaultRowHeight="15"/>
  <cols>
    <col min="1" max="1" width="50.42578125" customWidth="1"/>
  </cols>
  <sheetData>
    <row r="1" spans="1:2">
      <c r="A1" s="2" t="s">
        <v>9</v>
      </c>
      <c r="B1" s="3"/>
    </row>
    <row r="2" spans="1:2">
      <c r="A2" t="s">
        <v>63</v>
      </c>
      <c r="B2" s="12">
        <v>0.68595041322314043</v>
      </c>
    </row>
    <row r="3" spans="1:2">
      <c r="A3" t="s">
        <v>48</v>
      </c>
      <c r="B3" s="12">
        <v>0.68881036513545346</v>
      </c>
    </row>
    <row r="5" spans="1:2">
      <c r="A5" s="2" t="s">
        <v>11</v>
      </c>
      <c r="B5" s="3"/>
    </row>
    <row r="6" spans="1:2">
      <c r="A6" t="s">
        <v>64</v>
      </c>
      <c r="B6">
        <v>0.55000000000000004</v>
      </c>
    </row>
    <row r="8" spans="1:2">
      <c r="A8" s="2" t="s">
        <v>65</v>
      </c>
      <c r="B8" s="3"/>
    </row>
    <row r="9" spans="1:2">
      <c r="A9" t="s">
        <v>4</v>
      </c>
      <c r="B9" s="7">
        <v>13.378781688359696</v>
      </c>
    </row>
    <row r="10" spans="1:2">
      <c r="A10" t="s">
        <v>48</v>
      </c>
      <c r="B10">
        <v>28</v>
      </c>
    </row>
    <row r="11" spans="1:2">
      <c r="A11" t="s">
        <v>50</v>
      </c>
      <c r="B11">
        <v>24</v>
      </c>
    </row>
    <row r="12" spans="1:2">
      <c r="A12" t="s">
        <v>51</v>
      </c>
      <c r="B12">
        <v>34</v>
      </c>
    </row>
    <row r="13" spans="1:2">
      <c r="A13" t="s">
        <v>53</v>
      </c>
      <c r="B13">
        <v>33</v>
      </c>
    </row>
    <row r="14" spans="1:2">
      <c r="A14" t="s">
        <v>54</v>
      </c>
      <c r="B14" s="7">
        <v>17.22332068760786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1"/>
  <sheetViews>
    <sheetView workbookViewId="0">
      <selection activeCell="B10" sqref="B10"/>
    </sheetView>
  </sheetViews>
  <sheetFormatPr defaultColWidth="8.85546875" defaultRowHeight="15"/>
  <cols>
    <col min="1" max="1" width="42.140625" customWidth="1"/>
    <col min="2" max="2" width="26.42578125" customWidth="1"/>
    <col min="3" max="3" width="42.85546875" customWidth="1"/>
  </cols>
  <sheetData>
    <row r="1" spans="1:38">
      <c r="A1" s="2" t="s">
        <v>66</v>
      </c>
      <c r="B1" s="3"/>
      <c r="D1" s="2" t="s">
        <v>67</v>
      </c>
    </row>
    <row r="2" spans="1:38">
      <c r="A2" t="s">
        <v>68</v>
      </c>
      <c r="B2">
        <v>1.67</v>
      </c>
      <c r="D2" s="6" t="s">
        <v>69</v>
      </c>
    </row>
    <row r="3" spans="1:38">
      <c r="A3" t="s">
        <v>70</v>
      </c>
      <c r="B3">
        <v>1</v>
      </c>
    </row>
    <row r="4" spans="1:38">
      <c r="A4" t="s">
        <v>71</v>
      </c>
      <c r="B4">
        <v>21.2</v>
      </c>
    </row>
    <row r="5" spans="1:38">
      <c r="A5" t="s">
        <v>72</v>
      </c>
      <c r="B5">
        <v>16</v>
      </c>
    </row>
    <row r="6" spans="1:38">
      <c r="A6" t="s">
        <v>73</v>
      </c>
      <c r="B6">
        <v>48.656731685074099</v>
      </c>
    </row>
    <row r="8" spans="1:38">
      <c r="A8" s="2" t="s">
        <v>74</v>
      </c>
      <c r="B8" s="3"/>
      <c r="AK8" s="2" t="s">
        <v>67</v>
      </c>
    </row>
    <row r="9" spans="1:38">
      <c r="A9" t="s">
        <v>75</v>
      </c>
      <c r="B9">
        <v>120476</v>
      </c>
      <c r="AK9" t="s">
        <v>5</v>
      </c>
      <c r="AL9" t="s">
        <v>76</v>
      </c>
    </row>
    <row r="10" spans="1:38">
      <c r="A10" t="s">
        <v>77</v>
      </c>
      <c r="B10">
        <v>137452</v>
      </c>
      <c r="AK10" s="5">
        <v>2017</v>
      </c>
      <c r="AL10" t="s">
        <v>78</v>
      </c>
    </row>
    <row r="12" spans="1:38">
      <c r="A12" s="2" t="s">
        <v>79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"/>
    </row>
    <row r="13" spans="1:38">
      <c r="B13">
        <v>2007</v>
      </c>
      <c r="C13">
        <v>2007</v>
      </c>
      <c r="D13">
        <v>2021</v>
      </c>
    </row>
    <row r="14" spans="1:38" s="13" customFormat="1" ht="15.95">
      <c r="A14" s="13" t="s">
        <v>80</v>
      </c>
      <c r="C14" s="21" t="s">
        <v>81</v>
      </c>
    </row>
    <row r="15" spans="1:38">
      <c r="A15" t="s">
        <v>82</v>
      </c>
      <c r="C15">
        <v>22.670399</v>
      </c>
    </row>
    <row r="16" spans="1:38">
      <c r="A16" t="s">
        <v>83</v>
      </c>
      <c r="B16">
        <f>TREND(C16:D16,C13:D13,B13)</f>
        <v>3.142498616321935E-4</v>
      </c>
      <c r="C16">
        <f>C15*$B$2/$B$9</f>
        <v>3.142498616321923E-4</v>
      </c>
      <c r="D16" s="4">
        <f>BNVFE!D8</f>
        <v>3.8560342544165043E-4</v>
      </c>
    </row>
    <row r="18" spans="1:4">
      <c r="A18" s="2" t="s">
        <v>84</v>
      </c>
      <c r="B18" s="2"/>
      <c r="C18" s="2"/>
    </row>
    <row r="19" spans="1:4">
      <c r="A19" t="s">
        <v>85</v>
      </c>
      <c r="B19">
        <v>5.76</v>
      </c>
    </row>
    <row r="20" spans="1:4" ht="32.1">
      <c r="A20" s="13" t="s">
        <v>86</v>
      </c>
      <c r="B20">
        <f>7.1/6.1</f>
        <v>1.1639344262295082</v>
      </c>
    </row>
    <row r="21" spans="1:4" ht="15.95">
      <c r="A21" s="13" t="s">
        <v>87</v>
      </c>
      <c r="B21">
        <f>B19*$B$20</f>
        <v>6.7042622950819668</v>
      </c>
    </row>
    <row r="22" spans="1:4" ht="32.1">
      <c r="A22" s="13" t="s">
        <v>88</v>
      </c>
      <c r="B22">
        <f>B21*$B$5/$B$10</f>
        <v>7.8040477200267344E-4</v>
      </c>
    </row>
    <row r="24" spans="1:4">
      <c r="A24" s="2" t="s">
        <v>89</v>
      </c>
      <c r="B24" s="3"/>
      <c r="D24" s="2" t="s">
        <v>67</v>
      </c>
    </row>
    <row r="25" spans="1:4">
      <c r="A25" t="s">
        <v>90</v>
      </c>
      <c r="B25" s="15">
        <v>0.2</v>
      </c>
      <c r="D25" s="6" t="s">
        <v>16</v>
      </c>
    </row>
    <row r="26" spans="1:4">
      <c r="A26" t="s">
        <v>91</v>
      </c>
      <c r="B26" s="15">
        <v>0.6</v>
      </c>
      <c r="D26" s="6"/>
    </row>
    <row r="27" spans="1:4">
      <c r="A27" t="s">
        <v>92</v>
      </c>
      <c r="B27">
        <f>B26/B25</f>
        <v>2.9999999999999996</v>
      </c>
    </row>
    <row r="29" spans="1:4">
      <c r="A29" s="2" t="s">
        <v>93</v>
      </c>
      <c r="B29" s="2"/>
      <c r="D29" s="2" t="s">
        <v>67</v>
      </c>
    </row>
    <row r="30" spans="1:4">
      <c r="A30" t="s">
        <v>94</v>
      </c>
      <c r="B30" s="16">
        <v>0.22500000000000001</v>
      </c>
      <c r="D30" s="6" t="s">
        <v>16</v>
      </c>
    </row>
    <row r="31" spans="1:4">
      <c r="A31" t="s">
        <v>95</v>
      </c>
      <c r="B31">
        <f>1-B30</f>
        <v>0.77500000000000002</v>
      </c>
      <c r="D31" s="1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T15"/>
  <sheetViews>
    <sheetView zoomScale="90" zoomScaleNormal="90" workbookViewId="0">
      <pane xSplit="2" topLeftCell="C1" activePane="topRight" state="frozen"/>
      <selection pane="topRight" activeCell="A2" sqref="A2"/>
    </sheetView>
  </sheetViews>
  <sheetFormatPr defaultColWidth="8.85546875" defaultRowHeight="15"/>
  <cols>
    <col min="1" max="1" width="14" customWidth="1"/>
    <col min="15" max="15" width="11.42578125" customWidth="1"/>
    <col min="40" max="40" width="8.7109375" style="24"/>
  </cols>
  <sheetData>
    <row r="1" spans="1:72">
      <c r="C1">
        <v>1983</v>
      </c>
      <c r="D1">
        <v>1984</v>
      </c>
      <c r="E1">
        <v>1985</v>
      </c>
      <c r="F1">
        <v>1986</v>
      </c>
      <c r="G1">
        <v>1987</v>
      </c>
      <c r="H1">
        <v>1988</v>
      </c>
      <c r="I1">
        <v>1989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>
        <v>2019</v>
      </c>
      <c r="AN1" s="25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  <c r="AT1">
        <v>2026</v>
      </c>
      <c r="AU1">
        <v>2027</v>
      </c>
      <c r="AV1">
        <v>2028</v>
      </c>
      <c r="AW1">
        <v>2029</v>
      </c>
      <c r="AX1">
        <v>2030</v>
      </c>
      <c r="AY1">
        <v>2031</v>
      </c>
      <c r="AZ1">
        <v>2032</v>
      </c>
      <c r="BA1">
        <v>2033</v>
      </c>
      <c r="BB1">
        <v>2034</v>
      </c>
      <c r="BC1">
        <v>2035</v>
      </c>
      <c r="BD1">
        <v>2036</v>
      </c>
      <c r="BE1">
        <v>2037</v>
      </c>
      <c r="BF1">
        <v>2038</v>
      </c>
      <c r="BG1">
        <v>2039</v>
      </c>
      <c r="BH1">
        <v>2040</v>
      </c>
      <c r="BI1">
        <v>2041</v>
      </c>
      <c r="BJ1">
        <v>2042</v>
      </c>
      <c r="BK1">
        <v>2043</v>
      </c>
      <c r="BL1">
        <v>2044</v>
      </c>
      <c r="BM1">
        <v>2045</v>
      </c>
      <c r="BN1">
        <v>2046</v>
      </c>
      <c r="BO1">
        <v>2047</v>
      </c>
      <c r="BP1">
        <v>2048</v>
      </c>
      <c r="BQ1">
        <v>2049</v>
      </c>
      <c r="BR1">
        <v>2050</v>
      </c>
    </row>
    <row r="2" spans="1:72">
      <c r="A2" t="s">
        <v>4</v>
      </c>
      <c r="B2" t="s">
        <v>45</v>
      </c>
      <c r="C2" s="9"/>
      <c r="D2" s="9"/>
      <c r="E2" s="9"/>
      <c r="F2" s="9"/>
      <c r="G2" s="9"/>
      <c r="H2" s="9"/>
      <c r="I2" s="9"/>
      <c r="J2" s="9"/>
      <c r="K2" s="9"/>
      <c r="L2" s="9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4">
        <f>Calculations!C16</f>
        <v>3.142498616321923E-4</v>
      </c>
      <c r="AB2" s="4">
        <f>($AO$2-$AA$2)/COUNT($AB$1:$AO$1)+AA2</f>
        <v>3.1934654476143933E-4</v>
      </c>
      <c r="AC2" s="4">
        <f t="shared" ref="AC2:AN2" si="0">($AO$2-$AA$2)/COUNT($AB$1:$AO$1)+AB2</f>
        <v>3.2444322789068635E-4</v>
      </c>
      <c r="AD2" s="4">
        <f t="shared" si="0"/>
        <v>3.2953991101993338E-4</v>
      </c>
      <c r="AE2" s="4">
        <f t="shared" si="0"/>
        <v>3.346365941491804E-4</v>
      </c>
      <c r="AF2" s="4">
        <f t="shared" si="0"/>
        <v>3.3973327727842743E-4</v>
      </c>
      <c r="AG2" s="4">
        <f t="shared" si="0"/>
        <v>3.4482996040767445E-4</v>
      </c>
      <c r="AH2" s="4">
        <f t="shared" si="0"/>
        <v>3.4992664353692148E-4</v>
      </c>
      <c r="AI2" s="4">
        <f t="shared" si="0"/>
        <v>3.550233266661685E-4</v>
      </c>
      <c r="AJ2" s="4">
        <f t="shared" si="0"/>
        <v>3.6012000979541552E-4</v>
      </c>
      <c r="AK2" s="4">
        <f t="shared" si="0"/>
        <v>3.6521669292466255E-4</v>
      </c>
      <c r="AL2" s="4">
        <f t="shared" si="0"/>
        <v>3.7031337605390957E-4</v>
      </c>
      <c r="AM2" s="4">
        <f t="shared" si="0"/>
        <v>3.754100591831566E-4</v>
      </c>
      <c r="AN2" s="26">
        <f t="shared" si="0"/>
        <v>3.8050674231240362E-4</v>
      </c>
      <c r="AO2" s="10">
        <f>BNVFE!D8</f>
        <v>3.8560342544165043E-4</v>
      </c>
      <c r="AP2" s="10">
        <f>BNVFE!E8</f>
        <v>3.938977091004229E-4</v>
      </c>
      <c r="AQ2" s="10">
        <f>BNVFE!F8</f>
        <v>4.0102815590911211E-4</v>
      </c>
      <c r="AR2" s="10">
        <f>BNVFE!G8</f>
        <v>4.0668872915977704E-4</v>
      </c>
      <c r="AS2" s="10">
        <f>BNVFE!H8</f>
        <v>4.2148439524556525E-4</v>
      </c>
      <c r="AT2" s="10">
        <f>BNVFE!I8</f>
        <v>4.2638034079782157E-4</v>
      </c>
      <c r="AU2" s="10">
        <f>BNVFE!J8</f>
        <v>4.2993928617474374E-4</v>
      </c>
      <c r="AV2" s="10">
        <f>BNVFE!K8</f>
        <v>4.4295232919176118E-4</v>
      </c>
      <c r="AW2" s="10">
        <f>BNVFE!L8</f>
        <v>4.4402927119422075E-4</v>
      </c>
      <c r="AX2" s="10">
        <f>BNVFE!M8</f>
        <v>4.4423001272194757E-4</v>
      </c>
      <c r="AY2" s="10">
        <f>BNVFE!N8</f>
        <v>4.4444787060954387E-4</v>
      </c>
      <c r="AZ2" s="10">
        <f>BNVFE!O8</f>
        <v>4.4510595798899477E-4</v>
      </c>
      <c r="BA2" s="10">
        <f>BNVFE!P8</f>
        <v>4.4626178063197816E-4</v>
      </c>
      <c r="BB2" s="10">
        <f>BNVFE!Q8</f>
        <v>4.4757258182247277E-4</v>
      </c>
      <c r="BC2" s="10">
        <f>BNVFE!R8</f>
        <v>4.4919390205042781E-4</v>
      </c>
      <c r="BD2" s="10">
        <f>BNVFE!S8</f>
        <v>4.5078104437884211E-4</v>
      </c>
      <c r="BE2" s="10">
        <f>BNVFE!T8</f>
        <v>4.5211629450069859E-4</v>
      </c>
      <c r="BF2" s="10">
        <f>BNVFE!U8</f>
        <v>4.5326957425061224E-4</v>
      </c>
      <c r="BG2" s="10">
        <f>BNVFE!V8</f>
        <v>4.5520696339484528E-4</v>
      </c>
      <c r="BH2" s="10">
        <f>BNVFE!W8</f>
        <v>4.5553578115777672E-4</v>
      </c>
      <c r="BI2" s="10">
        <f>BNVFE!X8</f>
        <v>4.5584944646724456E-4</v>
      </c>
      <c r="BJ2" s="10">
        <f>BNVFE!Y8</f>
        <v>4.559561094704881E-4</v>
      </c>
      <c r="BK2" s="10">
        <f>BNVFE!Z8</f>
        <v>4.5572121425237108E-4</v>
      </c>
      <c r="BL2" s="10">
        <f>BNVFE!AA8</f>
        <v>4.550985416964502E-4</v>
      </c>
      <c r="BM2" s="10">
        <f>BNVFE!AB8</f>
        <v>4.5449905971852166E-4</v>
      </c>
      <c r="BN2" s="10">
        <f>BNVFE!AC8</f>
        <v>4.5443664862698183E-4</v>
      </c>
      <c r="BO2" s="10">
        <f>BNVFE!AD8</f>
        <v>4.5380063490385911E-4</v>
      </c>
      <c r="BP2" s="10">
        <f>BNVFE!AE8</f>
        <v>4.5343326114607497E-4</v>
      </c>
      <c r="BQ2" s="10">
        <f>BNVFE!AF8</f>
        <v>4.5494560422822621E-4</v>
      </c>
      <c r="BR2" s="10">
        <f>BNVFE!AG8</f>
        <v>4.5447278785524218E-4</v>
      </c>
      <c r="BS2" s="10"/>
      <c r="BT2" s="4"/>
    </row>
    <row r="3" spans="1:72">
      <c r="A3" t="s">
        <v>4</v>
      </c>
      <c r="B3" t="s">
        <v>47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4" cm="1">
        <f t="array" ref="AA3">TREND($AO$3:$AS$3,$AO$1:$AS$1,AA1)</f>
        <v>5.0412726378568952E-5</v>
      </c>
      <c r="AB3" s="4" cm="1">
        <f t="array" ref="AB3">TREND($AO$3:$AS$3,$AO$1:$AS$1,AB1)</f>
        <v>5.4271492176534604E-5</v>
      </c>
      <c r="AC3" s="4" cm="1">
        <f t="array" ref="AC3">TREND($AO$3:$AS$3,$AO$1:$AS$1,AC1)</f>
        <v>5.8130257974500256E-5</v>
      </c>
      <c r="AD3" s="4" cm="1">
        <f t="array" ref="AD3">TREND($AO$3:$AS$3,$AO$1:$AS$1,AD1)</f>
        <v>6.1989023772465041E-5</v>
      </c>
      <c r="AE3" s="4" cm="1">
        <f t="array" ref="AE3">TREND($AO$3:$AS$3,$AO$1:$AS$1,AE1)</f>
        <v>6.5847789570430693E-5</v>
      </c>
      <c r="AF3" s="4" cm="1">
        <f t="array" ref="AF3">TREND($AO$3:$AS$3,$AO$1:$AS$1,AF1)</f>
        <v>6.9706555368396345E-5</v>
      </c>
      <c r="AG3" s="4" cm="1">
        <f t="array" ref="AG3">TREND($AO$3:$AS$3,$AO$1:$AS$1,AG1)</f>
        <v>7.3565321166361129E-5</v>
      </c>
      <c r="AH3" s="4" cm="1">
        <f t="array" ref="AH3">TREND($AO$3:$AS$3,$AO$1:$AS$1,AH1)</f>
        <v>7.7424086964326781E-5</v>
      </c>
      <c r="AI3" s="4" cm="1">
        <f t="array" ref="AI3">TREND($AO$3:$AS$3,$AO$1:$AS$1,AI1)</f>
        <v>8.1282852762291566E-5</v>
      </c>
      <c r="AJ3" s="4" cm="1">
        <f t="array" ref="AJ3">TREND($AO$3:$AS$3,$AO$1:$AS$1,AJ1)</f>
        <v>8.5141618560257218E-5</v>
      </c>
      <c r="AK3" s="4" cm="1">
        <f t="array" ref="AK3">TREND($AO$3:$AS$3,$AO$1:$AS$1,AK1)</f>
        <v>8.900038435822287E-5</v>
      </c>
      <c r="AL3" s="4" cm="1">
        <f t="array" ref="AL3">TREND($AO$3:$AS$3,$AO$1:$AS$1,AL1)</f>
        <v>9.2859150156187655E-5</v>
      </c>
      <c r="AM3" s="4" cm="1">
        <f t="array" ref="AM3">TREND($AO$3:$AS$3,$AO$1:$AS$1,AM1)</f>
        <v>9.6717915954153307E-5</v>
      </c>
      <c r="AN3" s="26" cm="1">
        <f t="array" ref="AN3">TREND($AO$3:$AS$3,$AO$1:$AS$1,AN1)</f>
        <v>1.0057668175211809E-4</v>
      </c>
      <c r="AO3" s="10">
        <f>BNVFE!D9</f>
        <v>1.0420515928406728E-4</v>
      </c>
      <c r="AP3" s="10">
        <f>BNVFE!E9</f>
        <v>1.0877081887028839E-4</v>
      </c>
      <c r="AQ3" s="10">
        <f>BNVFE!F9</f>
        <v>1.119228749342E-4</v>
      </c>
      <c r="AR3" s="10">
        <f>BNVFE!G9</f>
        <v>1.1596328986495364E-4</v>
      </c>
      <c r="AS3" s="10">
        <f>BNVFE!H9</f>
        <v>1.1990275277656129E-4</v>
      </c>
      <c r="AT3" s="10">
        <f>BNVFE!I9</f>
        <v>1.2199635295884858E-4</v>
      </c>
      <c r="AU3" s="10">
        <f>BNVFE!J9</f>
        <v>1.243467097653028E-4</v>
      </c>
      <c r="AV3" s="10">
        <f>BNVFE!K9</f>
        <v>1.2468075205096364E-4</v>
      </c>
      <c r="AW3" s="10">
        <f>BNVFE!L9</f>
        <v>1.2577381385553893E-4</v>
      </c>
      <c r="AX3" s="10">
        <f>BNVFE!M9</f>
        <v>1.2646319222836433E-4</v>
      </c>
      <c r="AY3" s="10">
        <f>BNVFE!N9</f>
        <v>1.2698406877407795E-4</v>
      </c>
      <c r="AZ3" s="10">
        <f>BNVFE!O9</f>
        <v>1.2710494044541212E-4</v>
      </c>
      <c r="BA3" s="10">
        <f>BNVFE!P9</f>
        <v>1.2713124547346271E-4</v>
      </c>
      <c r="BB3" s="10">
        <f>BNVFE!Q9</f>
        <v>1.2714496314152464E-4</v>
      </c>
      <c r="BC3" s="10">
        <f>BNVFE!R9</f>
        <v>1.2712313200368365E-4</v>
      </c>
      <c r="BD3" s="10">
        <f>BNVFE!S9</f>
        <v>1.271005238267318E-4</v>
      </c>
      <c r="BE3" s="10">
        <f>BNVFE!T9</f>
        <v>1.2708001023750603E-4</v>
      </c>
      <c r="BF3" s="10">
        <f>BNVFE!U9</f>
        <v>1.2705407014004141E-4</v>
      </c>
      <c r="BG3" s="10">
        <f>BNVFE!V9</f>
        <v>1.2702629811717708E-4</v>
      </c>
      <c r="BH3" s="10">
        <f>BNVFE!W9</f>
        <v>1.2701194080551808E-4</v>
      </c>
      <c r="BI3" s="10">
        <f>BNVFE!X9</f>
        <v>1.2701796387221964E-4</v>
      </c>
      <c r="BJ3" s="10">
        <f>BNVFE!Y9</f>
        <v>1.2701802056749482E-4</v>
      </c>
      <c r="BK3" s="10">
        <f>BNVFE!Z9</f>
        <v>1.270327910946451E-4</v>
      </c>
      <c r="BL3" s="10">
        <f>BNVFE!AA9</f>
        <v>1.2702817221538397E-4</v>
      </c>
      <c r="BM3" s="10">
        <f>BNVFE!AB9</f>
        <v>1.2698131801807758E-4</v>
      </c>
      <c r="BN3" s="10">
        <f>BNVFE!AC9</f>
        <v>1.2695571200958938E-4</v>
      </c>
      <c r="BO3" s="10">
        <f>BNVFE!AD9</f>
        <v>1.2640538596243631E-4</v>
      </c>
      <c r="BP3" s="10">
        <f>BNVFE!AE9</f>
        <v>1.2643551327178303E-4</v>
      </c>
      <c r="BQ3" s="10">
        <f>BNVFE!AF9</f>
        <v>1.2650241733350927E-4</v>
      </c>
      <c r="BR3" s="10">
        <f>BNVFE!AG9</f>
        <v>1.2663654108394285E-4</v>
      </c>
      <c r="BS3" s="10"/>
      <c r="BT3" s="4"/>
    </row>
    <row r="4" spans="1:72">
      <c r="A4" t="s">
        <v>48</v>
      </c>
      <c r="B4" t="s">
        <v>45</v>
      </c>
      <c r="C4" s="9"/>
      <c r="D4" s="9"/>
      <c r="E4" s="9"/>
      <c r="F4" s="9"/>
      <c r="G4" s="9"/>
      <c r="H4" s="9"/>
      <c r="I4" s="9"/>
      <c r="J4" s="9"/>
      <c r="K4" s="9"/>
      <c r="L4" s="4">
        <f>L5/M5*M4</f>
        <v>1.1628806678959742E-3</v>
      </c>
      <c r="M4" s="4">
        <f t="shared" ref="M4:AI4" si="1">M5/N5*N4</f>
        <v>1.1628806678959742E-3</v>
      </c>
      <c r="N4" s="4">
        <f t="shared" si="1"/>
        <v>1.1628806678959742E-3</v>
      </c>
      <c r="O4" s="4">
        <f t="shared" si="1"/>
        <v>1.1628806678959742E-3</v>
      </c>
      <c r="P4" s="4">
        <f t="shared" si="1"/>
        <v>1.1628806678959742E-3</v>
      </c>
      <c r="Q4" s="4">
        <f t="shared" si="1"/>
        <v>1.1628806678959742E-3</v>
      </c>
      <c r="R4" s="4">
        <f t="shared" si="1"/>
        <v>1.1628806678959742E-3</v>
      </c>
      <c r="S4" s="4">
        <f t="shared" si="1"/>
        <v>1.1628806678959742E-3</v>
      </c>
      <c r="T4" s="4">
        <f t="shared" si="1"/>
        <v>1.1628806678959742E-3</v>
      </c>
      <c r="U4" s="4">
        <f t="shared" si="1"/>
        <v>1.1628806678959742E-3</v>
      </c>
      <c r="V4" s="4">
        <f t="shared" si="1"/>
        <v>1.1628806678959742E-3</v>
      </c>
      <c r="W4" s="4">
        <f t="shared" si="1"/>
        <v>1.1604234453908705E-3</v>
      </c>
      <c r="X4" s="4">
        <f t="shared" si="1"/>
        <v>1.1579662228857668E-3</v>
      </c>
      <c r="Y4" s="4">
        <f t="shared" si="1"/>
        <v>1.1555090003806633E-3</v>
      </c>
      <c r="Z4" s="4">
        <f t="shared" si="1"/>
        <v>1.1530517778755595E-3</v>
      </c>
      <c r="AA4" s="4">
        <f t="shared" si="1"/>
        <v>1.1505945553704558E-3</v>
      </c>
      <c r="AB4" s="4">
        <f t="shared" si="1"/>
        <v>1.1481373328653521E-3</v>
      </c>
      <c r="AC4" s="4">
        <f t="shared" si="1"/>
        <v>1.1456801103602485E-3</v>
      </c>
      <c r="AD4" s="4">
        <f t="shared" si="1"/>
        <v>1.1432228878551448E-3</v>
      </c>
      <c r="AE4" s="4">
        <f t="shared" si="1"/>
        <v>1.1407656653500411E-3</v>
      </c>
      <c r="AF4" s="4">
        <f t="shared" si="1"/>
        <v>1.1383084428449376E-3</v>
      </c>
      <c r="AG4" s="4">
        <f>AG5/AH5*AH4</f>
        <v>1.1358512203398338E-3</v>
      </c>
      <c r="AH4" s="4">
        <f t="shared" si="1"/>
        <v>1.1333939978347303E-3</v>
      </c>
      <c r="AI4" s="4">
        <f t="shared" si="1"/>
        <v>1.1309367753296266E-3</v>
      </c>
      <c r="AJ4" s="4">
        <f>AJ5/AK5*AK4</f>
        <v>1.1284795528245229E-3</v>
      </c>
      <c r="AK4" s="19">
        <f>AK5/AL5*AL4</f>
        <v>1.1260223303194191E-3</v>
      </c>
      <c r="AL4" s="19">
        <f>AL5/AM5*AM4</f>
        <v>1.1235651078143154E-3</v>
      </c>
      <c r="AM4" s="19">
        <f>AM5/AN5*AN4</f>
        <v>1.1211078853092119E-3</v>
      </c>
      <c r="AN4" s="27">
        <f>AN5/AO5*AO4</f>
        <v>1.1186506628041082E-3</v>
      </c>
      <c r="AO4" s="10">
        <f>BNVFE!D10</f>
        <v>1.1137362177939013E-3</v>
      </c>
      <c r="AP4" s="10">
        <f>BNVFE!E10</f>
        <v>1.1868928349938494E-3</v>
      </c>
      <c r="AQ4" s="10">
        <f>BNVFE!F10</f>
        <v>1.2242021544325342E-3</v>
      </c>
      <c r="AR4" s="10">
        <f>BNVFE!G10</f>
        <v>1.2625148116111296E-3</v>
      </c>
      <c r="AS4" s="10">
        <f>BNVFE!H10</f>
        <v>1.2984724640643824E-3</v>
      </c>
      <c r="AT4" s="10">
        <f>BNVFE!I10</f>
        <v>1.3325458991476349E-3</v>
      </c>
      <c r="AU4" s="10">
        <f>BNVFE!J10</f>
        <v>1.3625499159680566E-3</v>
      </c>
      <c r="AV4" s="10">
        <f>BNVFE!K10</f>
        <v>1.3753174198569197E-3</v>
      </c>
      <c r="AW4" s="10">
        <f>BNVFE!L10</f>
        <v>1.3946841343267524E-3</v>
      </c>
      <c r="AX4" s="10">
        <f>BNVFE!M10</f>
        <v>1.4146533498165597E-3</v>
      </c>
      <c r="AY4" s="10">
        <f>BNVFE!N10</f>
        <v>1.433418275232172E-3</v>
      </c>
      <c r="AZ4" s="10">
        <f>BNVFE!O10</f>
        <v>1.4445909758303492E-3</v>
      </c>
      <c r="BA4" s="10">
        <f>BNVFE!P10</f>
        <v>1.4455847020325705E-3</v>
      </c>
      <c r="BB4" s="10">
        <f>BNVFE!Q10</f>
        <v>1.4457021763821074E-3</v>
      </c>
      <c r="BC4" s="10">
        <f>BNVFE!R10</f>
        <v>1.4456854451868704E-3</v>
      </c>
      <c r="BD4" s="10">
        <f>BNVFE!S10</f>
        <v>1.4457034223221783E-3</v>
      </c>
      <c r="BE4" s="10">
        <f>BNVFE!T10</f>
        <v>1.4456555426251702E-3</v>
      </c>
      <c r="BF4" s="10">
        <f>BNVFE!U10</f>
        <v>1.4455629870770495E-3</v>
      </c>
      <c r="BG4" s="10">
        <f>BNVFE!V10</f>
        <v>1.4452171497116699E-3</v>
      </c>
      <c r="BH4" s="10">
        <f>BNVFE!W10</f>
        <v>1.4450916657473914E-3</v>
      </c>
      <c r="BI4" s="10">
        <f>BNVFE!X10</f>
        <v>1.4448529792281048E-3</v>
      </c>
      <c r="BJ4" s="10">
        <f>BNVFE!Y10</f>
        <v>1.4438560491799872E-3</v>
      </c>
      <c r="BK4" s="10">
        <f>BNVFE!Z10</f>
        <v>1.4432142120520612E-3</v>
      </c>
      <c r="BL4" s="10">
        <f>BNVFE!AA10</f>
        <v>1.4432665415350372E-3</v>
      </c>
      <c r="BM4" s="10">
        <f>BNVFE!AB10</f>
        <v>1.4434251319069122E-3</v>
      </c>
      <c r="BN4" s="10">
        <f>BNVFE!AC10</f>
        <v>1.4437811147842976E-3</v>
      </c>
      <c r="BO4" s="10">
        <f>BNVFE!AD10</f>
        <v>1.4442054463741406E-3</v>
      </c>
      <c r="BP4" s="10">
        <f>BNVFE!AE10</f>
        <v>1.4447501001765403E-3</v>
      </c>
      <c r="BQ4" s="10">
        <f>BNVFE!AF10</f>
        <v>1.4451804834752992E-3</v>
      </c>
      <c r="BR4" s="10">
        <f>BNVFE!AG10</f>
        <v>1.4456904289471535E-3</v>
      </c>
      <c r="BS4" s="10"/>
      <c r="BT4" s="4"/>
    </row>
    <row r="5" spans="1:72">
      <c r="A5" t="s">
        <v>48</v>
      </c>
      <c r="B5" t="s">
        <v>47</v>
      </c>
      <c r="C5" s="9"/>
      <c r="D5" s="9"/>
      <c r="E5" s="9"/>
      <c r="F5" s="9"/>
      <c r="G5" s="9"/>
      <c r="H5" s="9"/>
      <c r="I5" s="9"/>
      <c r="J5" s="9"/>
      <c r="K5" s="9"/>
      <c r="L5" s="4">
        <f>M5</f>
        <v>7.8040477200267344E-4</v>
      </c>
      <c r="M5" s="4">
        <f t="shared" ref="M5:T5" si="2">N5</f>
        <v>7.8040477200267344E-4</v>
      </c>
      <c r="N5" s="4">
        <f t="shared" si="2"/>
        <v>7.8040477200267344E-4</v>
      </c>
      <c r="O5" s="4">
        <f t="shared" si="2"/>
        <v>7.8040477200267344E-4</v>
      </c>
      <c r="P5" s="4">
        <f t="shared" si="2"/>
        <v>7.8040477200267344E-4</v>
      </c>
      <c r="Q5" s="4">
        <f t="shared" si="2"/>
        <v>7.8040477200267344E-4</v>
      </c>
      <c r="R5" s="4">
        <f t="shared" si="2"/>
        <v>7.8040477200267344E-4</v>
      </c>
      <c r="S5" s="4">
        <f t="shared" si="2"/>
        <v>7.8040477200267344E-4</v>
      </c>
      <c r="T5" s="4">
        <f t="shared" si="2"/>
        <v>7.8040477200267344E-4</v>
      </c>
      <c r="U5" s="4">
        <f>V5</f>
        <v>7.8040477200267344E-4</v>
      </c>
      <c r="V5" s="23">
        <f>Calculations!B22</f>
        <v>7.8040477200267344E-4</v>
      </c>
      <c r="W5" s="4">
        <f>($AO$5-$V$5)/COUNT($V$1:$AO$1)+V5</f>
        <v>7.7875573937035282E-4</v>
      </c>
      <c r="X5" s="4">
        <f t="shared" ref="X5:AN5" si="3">($AO$5-$V$5)/COUNT($V$1:$AO$1)+W5</f>
        <v>7.771067067380322E-4</v>
      </c>
      <c r="Y5" s="4">
        <f t="shared" si="3"/>
        <v>7.7545767410571158E-4</v>
      </c>
      <c r="Z5" s="4">
        <f t="shared" si="3"/>
        <v>7.7380864147339097E-4</v>
      </c>
      <c r="AA5" s="4">
        <f t="shared" si="3"/>
        <v>7.7215960884107035E-4</v>
      </c>
      <c r="AB5" s="4">
        <f t="shared" si="3"/>
        <v>7.7051057620874973E-4</v>
      </c>
      <c r="AC5" s="4">
        <f t="shared" si="3"/>
        <v>7.6886154357642912E-4</v>
      </c>
      <c r="AD5" s="4">
        <f t="shared" si="3"/>
        <v>7.672125109441085E-4</v>
      </c>
      <c r="AE5" s="4">
        <f t="shared" si="3"/>
        <v>7.6556347831178788E-4</v>
      </c>
      <c r="AF5" s="4">
        <f t="shared" si="3"/>
        <v>7.6391444567946727E-4</v>
      </c>
      <c r="AG5" s="4">
        <f t="shared" si="3"/>
        <v>7.6226541304714665E-4</v>
      </c>
      <c r="AH5" s="4">
        <f t="shared" si="3"/>
        <v>7.6061638041482603E-4</v>
      </c>
      <c r="AI5" s="4">
        <f t="shared" si="3"/>
        <v>7.5896734778250542E-4</v>
      </c>
      <c r="AJ5" s="4">
        <f t="shared" si="3"/>
        <v>7.573183151501848E-4</v>
      </c>
      <c r="AK5" s="4">
        <f t="shared" si="3"/>
        <v>7.5566928251786418E-4</v>
      </c>
      <c r="AL5" s="4">
        <f t="shared" si="3"/>
        <v>7.5402024988554357E-4</v>
      </c>
      <c r="AM5" s="4">
        <f t="shared" si="3"/>
        <v>7.5237121725322295E-4</v>
      </c>
      <c r="AN5" s="26">
        <f t="shared" si="3"/>
        <v>7.5072218462090233E-4</v>
      </c>
      <c r="AO5" s="10">
        <f>BNVFE!D11</f>
        <v>7.4742411935626142E-4</v>
      </c>
      <c r="AP5" s="10">
        <f>BNVFE!E11</f>
        <v>7.9651924557390657E-4</v>
      </c>
      <c r="AQ5" s="10">
        <f>BNVFE!F11</f>
        <v>8.2155738726285784E-4</v>
      </c>
      <c r="AR5" s="10">
        <f>BNVFE!G11</f>
        <v>8.4726886507457174E-4</v>
      </c>
      <c r="AS5" s="10">
        <f>BNVFE!H11</f>
        <v>8.7139990821531331E-4</v>
      </c>
      <c r="AT5" s="10">
        <f>BNVFE!I11</f>
        <v>8.9426646028002797E-4</v>
      </c>
      <c r="AU5" s="10">
        <f>BNVFE!J11</f>
        <v>9.1440204130079723E-4</v>
      </c>
      <c r="AV5" s="10">
        <f>BNVFE!K11</f>
        <v>9.2297026436659075E-4</v>
      </c>
      <c r="AW5" s="10">
        <f>BNVFE!L11</f>
        <v>9.3596719243283541E-4</v>
      </c>
      <c r="AX5" s="10">
        <f>BNVFE!M11</f>
        <v>9.4936845663098554E-4</v>
      </c>
      <c r="AY5" s="10">
        <f>BNVFE!N11</f>
        <v>9.6196152636282171E-4</v>
      </c>
      <c r="AZ5" s="10">
        <f>BNVFE!O11</f>
        <v>9.6945948303515201E-4</v>
      </c>
      <c r="BA5" s="10">
        <f>BNVFE!P11</f>
        <v>9.7012636889170394E-4</v>
      </c>
      <c r="BB5" s="10">
        <f>BNVFE!Q11</f>
        <v>9.7020520547872228E-4</v>
      </c>
      <c r="BC5" s="10">
        <f>BNVFE!R11</f>
        <v>9.7019397723754094E-4</v>
      </c>
      <c r="BD5" s="10">
        <f>BNVFE!S11</f>
        <v>9.7020604162434225E-4</v>
      </c>
      <c r="BE5" s="10">
        <f>BNVFE!T11</f>
        <v>9.7017390974266364E-4</v>
      </c>
      <c r="BF5" s="10">
        <f>BNVFE!U11</f>
        <v>9.7011179606804271E-4</v>
      </c>
      <c r="BG5" s="10">
        <f>BNVFE!V11</f>
        <v>9.6987970593383536E-4</v>
      </c>
      <c r="BH5" s="10">
        <f>BNVFE!W11</f>
        <v>9.6979549412497463E-4</v>
      </c>
      <c r="BI5" s="10">
        <f>BNVFE!X11</f>
        <v>9.6963531251407814E-4</v>
      </c>
      <c r="BJ5" s="10">
        <f>BNVFE!Y11</f>
        <v>9.6896627656878928E-4</v>
      </c>
      <c r="BK5" s="10">
        <f>BNVFE!Z11</f>
        <v>9.6853554212517003E-4</v>
      </c>
      <c r="BL5" s="10">
        <f>BNVFE!AA11</f>
        <v>9.6857066024120565E-4</v>
      </c>
      <c r="BM5" s="10">
        <f>BNVFE!AB11</f>
        <v>9.6867708963368051E-4</v>
      </c>
      <c r="BN5" s="10">
        <f>BNVFE!AC11</f>
        <v>9.6891598838222154E-4</v>
      </c>
      <c r="BO5" s="10">
        <f>BNVFE!AD11</f>
        <v>9.6920075569048212E-4</v>
      </c>
      <c r="BP5" s="10">
        <f>BNVFE!AE11</f>
        <v>9.6956627077574963E-4</v>
      </c>
      <c r="BQ5" s="10">
        <f>BNVFE!AF11</f>
        <v>9.6985509936273564E-4</v>
      </c>
      <c r="BR5" s="10">
        <f>BNVFE!AG11</f>
        <v>9.701973218200204E-4</v>
      </c>
      <c r="BS5" s="10"/>
      <c r="BT5" s="4"/>
    </row>
    <row r="6" spans="1:72">
      <c r="A6" t="s">
        <v>50</v>
      </c>
      <c r="B6" t="s">
        <v>45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4">
        <f>TREND($AO6:$BR6,$AO$1:$BR$1,P$1)</f>
        <v>5.7245968727451246E-4</v>
      </c>
      <c r="Q6" s="4">
        <f t="shared" ref="Q6:AN6" si="4">TREND($AO6:$BR6,$AO$1:$BR$1,Q$1)</f>
        <v>5.7245968727451246E-4</v>
      </c>
      <c r="R6" s="4">
        <f t="shared" si="4"/>
        <v>5.7245968727451246E-4</v>
      </c>
      <c r="S6" s="4">
        <f t="shared" si="4"/>
        <v>5.7245968727451246E-4</v>
      </c>
      <c r="T6" s="4">
        <f t="shared" si="4"/>
        <v>5.7245968727451246E-4</v>
      </c>
      <c r="U6" s="4">
        <f t="shared" si="4"/>
        <v>5.7245968727451246E-4</v>
      </c>
      <c r="V6" s="4">
        <f t="shared" si="4"/>
        <v>5.7245968727451246E-4</v>
      </c>
      <c r="W6" s="4">
        <f t="shared" si="4"/>
        <v>5.7245968727451246E-4</v>
      </c>
      <c r="X6" s="4">
        <f t="shared" si="4"/>
        <v>5.7245968727451246E-4</v>
      </c>
      <c r="Y6" s="4">
        <f t="shared" si="4"/>
        <v>5.7245968727451246E-4</v>
      </c>
      <c r="Z6" s="4">
        <f t="shared" si="4"/>
        <v>5.7245968727451246E-4</v>
      </c>
      <c r="AA6" s="4">
        <f t="shared" si="4"/>
        <v>5.7245968727451246E-4</v>
      </c>
      <c r="AB6" s="4">
        <f t="shared" si="4"/>
        <v>5.7245968727451246E-4</v>
      </c>
      <c r="AC6" s="4">
        <f t="shared" si="4"/>
        <v>5.7245968727451246E-4</v>
      </c>
      <c r="AD6" s="4">
        <f t="shared" si="4"/>
        <v>5.7245968727451246E-4</v>
      </c>
      <c r="AE6" s="4">
        <f t="shared" si="4"/>
        <v>5.7245968727451246E-4</v>
      </c>
      <c r="AF6" s="4">
        <f t="shared" si="4"/>
        <v>5.7245968727451246E-4</v>
      </c>
      <c r="AG6" s="4">
        <f t="shared" si="4"/>
        <v>5.7245968727451246E-4</v>
      </c>
      <c r="AH6" s="4">
        <f t="shared" si="4"/>
        <v>5.7245968727451246E-4</v>
      </c>
      <c r="AI6" s="4">
        <f t="shared" si="4"/>
        <v>5.7245968727451246E-4</v>
      </c>
      <c r="AJ6" s="4">
        <f t="shared" si="4"/>
        <v>5.7245968727451246E-4</v>
      </c>
      <c r="AK6" s="4">
        <f t="shared" si="4"/>
        <v>5.7245968727451246E-4</v>
      </c>
      <c r="AL6" s="4">
        <f t="shared" si="4"/>
        <v>5.7245968727451246E-4</v>
      </c>
      <c r="AM6" s="4">
        <f t="shared" si="4"/>
        <v>5.7245968727451246E-4</v>
      </c>
      <c r="AN6" s="26">
        <f t="shared" si="4"/>
        <v>5.7245968727451246E-4</v>
      </c>
      <c r="AO6" s="10">
        <f>BNVFE!D12</f>
        <v>5.7245968727451246E-4</v>
      </c>
      <c r="AP6" s="10">
        <f>BNVFE!E12</f>
        <v>5.7245968727451246E-4</v>
      </c>
      <c r="AQ6" s="10">
        <f>BNVFE!F12</f>
        <v>5.7245968727451246E-4</v>
      </c>
      <c r="AR6" s="10">
        <f>BNVFE!G12</f>
        <v>5.7245968727451246E-4</v>
      </c>
      <c r="AS6" s="10">
        <f>BNVFE!H12</f>
        <v>5.7245968727451246E-4</v>
      </c>
      <c r="AT6" s="10">
        <f>BNVFE!I12</f>
        <v>5.7245968727451246E-4</v>
      </c>
      <c r="AU6" s="10">
        <f>BNVFE!J12</f>
        <v>5.7245968727451246E-4</v>
      </c>
      <c r="AV6" s="10">
        <f>BNVFE!K12</f>
        <v>5.7245968727451246E-4</v>
      </c>
      <c r="AW6" s="10">
        <f>BNVFE!L12</f>
        <v>5.7245968727451246E-4</v>
      </c>
      <c r="AX6" s="10">
        <f>BNVFE!M12</f>
        <v>5.7245968727451246E-4</v>
      </c>
      <c r="AY6" s="10">
        <f>BNVFE!N12</f>
        <v>5.7245968727451246E-4</v>
      </c>
      <c r="AZ6" s="10">
        <f>BNVFE!O12</f>
        <v>5.7245968727451246E-4</v>
      </c>
      <c r="BA6" s="10">
        <f>BNVFE!P12</f>
        <v>5.7245968727451246E-4</v>
      </c>
      <c r="BB6" s="10">
        <f>BNVFE!Q12</f>
        <v>5.7245968727451246E-4</v>
      </c>
      <c r="BC6" s="10">
        <f>BNVFE!R12</f>
        <v>5.7245968727451246E-4</v>
      </c>
      <c r="BD6" s="10">
        <f>BNVFE!S12</f>
        <v>5.7245968727451246E-4</v>
      </c>
      <c r="BE6" s="10">
        <f>BNVFE!T12</f>
        <v>5.7245968727451246E-4</v>
      </c>
      <c r="BF6" s="10">
        <f>BNVFE!U12</f>
        <v>5.7245968727451246E-4</v>
      </c>
      <c r="BG6" s="10">
        <f>BNVFE!V12</f>
        <v>5.7245968727451246E-4</v>
      </c>
      <c r="BH6" s="10">
        <f>BNVFE!W12</f>
        <v>5.7245968727451246E-4</v>
      </c>
      <c r="BI6" s="10">
        <f>BNVFE!X12</f>
        <v>5.7245968727451246E-4</v>
      </c>
      <c r="BJ6" s="10">
        <f>BNVFE!Y12</f>
        <v>5.7245968727451246E-4</v>
      </c>
      <c r="BK6" s="10">
        <f>BNVFE!Z12</f>
        <v>5.7245968727451246E-4</v>
      </c>
      <c r="BL6" s="10">
        <f>BNVFE!AA12</f>
        <v>5.7245968727451246E-4</v>
      </c>
      <c r="BM6" s="10">
        <f>BNVFE!AB12</f>
        <v>5.7245968727451246E-4</v>
      </c>
      <c r="BN6" s="10">
        <f>BNVFE!AC12</f>
        <v>5.7245968727451246E-4</v>
      </c>
      <c r="BO6" s="10">
        <f>BNVFE!AD12</f>
        <v>5.7245968727451246E-4</v>
      </c>
      <c r="BP6" s="10">
        <f>BNVFE!AE12</f>
        <v>5.7245968727451246E-4</v>
      </c>
      <c r="BQ6" s="10">
        <f>BNVFE!AF12</f>
        <v>5.7245968727451246E-4</v>
      </c>
      <c r="BR6" s="10">
        <f>BNVFE!AG12</f>
        <v>5.7245968727451246E-4</v>
      </c>
      <c r="BS6" s="10"/>
      <c r="BT6" s="4"/>
    </row>
    <row r="7" spans="1:72">
      <c r="A7" t="s">
        <v>50</v>
      </c>
      <c r="B7" t="s">
        <v>47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4">
        <f>TREND($AO7:$BR7,$AO$1:$BR$1,P$1)-($AR7-$AO7)</f>
        <v>3.6038411832808568E-5</v>
      </c>
      <c r="Q7" s="4">
        <f t="shared" ref="Q7:AN7" si="5">TREND($AO7:$BR7,$AO$1:$BR$1,Q$1)-($AR7-$AO7)</f>
        <v>3.647844074325616E-5</v>
      </c>
      <c r="R7" s="4">
        <f t="shared" si="5"/>
        <v>3.6918469653703644E-5</v>
      </c>
      <c r="S7" s="4">
        <f t="shared" si="5"/>
        <v>3.7358498564151237E-5</v>
      </c>
      <c r="T7" s="4">
        <f t="shared" si="5"/>
        <v>3.7798527474598721E-5</v>
      </c>
      <c r="U7" s="4">
        <f t="shared" si="5"/>
        <v>3.8238556385046314E-5</v>
      </c>
      <c r="V7" s="4">
        <f t="shared" si="5"/>
        <v>3.8678585295493906E-5</v>
      </c>
      <c r="W7" s="4">
        <f t="shared" si="5"/>
        <v>3.9118614205941391E-5</v>
      </c>
      <c r="X7" s="4">
        <f t="shared" si="5"/>
        <v>3.9558643116388983E-5</v>
      </c>
      <c r="Y7" s="4">
        <f t="shared" si="5"/>
        <v>3.9998672026836467E-5</v>
      </c>
      <c r="Z7" s="4">
        <f t="shared" si="5"/>
        <v>4.043870093728406E-5</v>
      </c>
      <c r="AA7" s="4">
        <f t="shared" si="5"/>
        <v>4.0878729847731653E-5</v>
      </c>
      <c r="AB7" s="4">
        <f t="shared" si="5"/>
        <v>4.1318758758179137E-5</v>
      </c>
      <c r="AC7" s="4">
        <f t="shared" si="5"/>
        <v>4.1758787668626729E-5</v>
      </c>
      <c r="AD7" s="4">
        <f t="shared" si="5"/>
        <v>4.2198816579074322E-5</v>
      </c>
      <c r="AE7" s="4">
        <f t="shared" si="5"/>
        <v>4.2638845489521806E-5</v>
      </c>
      <c r="AF7" s="4">
        <f t="shared" si="5"/>
        <v>4.3078874399969399E-5</v>
      </c>
      <c r="AG7" s="4">
        <f t="shared" si="5"/>
        <v>4.3518903310416883E-5</v>
      </c>
      <c r="AH7" s="4">
        <f t="shared" si="5"/>
        <v>4.3958932220864476E-5</v>
      </c>
      <c r="AI7" s="4">
        <f t="shared" si="5"/>
        <v>4.4398961131312068E-5</v>
      </c>
      <c r="AJ7" s="4">
        <f t="shared" si="5"/>
        <v>4.4838990041759552E-5</v>
      </c>
      <c r="AK7" s="4">
        <f t="shared" si="5"/>
        <v>4.5279018952207145E-5</v>
      </c>
      <c r="AL7" s="4">
        <f t="shared" si="5"/>
        <v>4.5719047862654629E-5</v>
      </c>
      <c r="AM7" s="4">
        <f t="shared" si="5"/>
        <v>4.6159076773102222E-5</v>
      </c>
      <c r="AN7" s="26">
        <f t="shared" si="5"/>
        <v>4.6599105683549815E-5</v>
      </c>
      <c r="AO7" s="10">
        <f>BNVFE!D13</f>
        <v>4.8563096039282174E-5</v>
      </c>
      <c r="AP7" s="10">
        <f>BNVFE!E13</f>
        <v>4.7951937565239972E-5</v>
      </c>
      <c r="AQ7" s="10">
        <f>BNVFE!F13</f>
        <v>4.8199148542133818E-5</v>
      </c>
      <c r="AR7" s="10">
        <f>BNVFE!G13</f>
        <v>4.8463289763291303E-5</v>
      </c>
      <c r="AS7" s="10">
        <f>BNVFE!H13</f>
        <v>4.8810101273548841E-5</v>
      </c>
      <c r="AT7" s="10">
        <f>BNVFE!I13</f>
        <v>4.9248402309752346E-5</v>
      </c>
      <c r="AU7" s="10">
        <f>BNVFE!J13</f>
        <v>4.9544253613324154E-5</v>
      </c>
      <c r="AV7" s="10">
        <f>BNVFE!K13</f>
        <v>4.9847838070065696E-5</v>
      </c>
      <c r="AW7" s="10">
        <f>BNVFE!L13</f>
        <v>5.0132631366857999E-5</v>
      </c>
      <c r="AX7" s="10">
        <f>BNVFE!M13</f>
        <v>5.0441473470928121E-5</v>
      </c>
      <c r="AY7" s="10">
        <f>BNVFE!N13</f>
        <v>5.0785598457265348E-5</v>
      </c>
      <c r="AZ7" s="10">
        <f>BNVFE!O13</f>
        <v>5.1172517250624796E-5</v>
      </c>
      <c r="BA7" s="10">
        <f>BNVFE!P13</f>
        <v>5.161151266819503E-5</v>
      </c>
      <c r="BB7" s="10">
        <f>BNVFE!Q13</f>
        <v>5.2082892766601423E-5</v>
      </c>
      <c r="BC7" s="10">
        <f>BNVFE!R13</f>
        <v>5.2576863009813412E-5</v>
      </c>
      <c r="BD7" s="10">
        <f>BNVFE!S13</f>
        <v>5.3077126867236362E-5</v>
      </c>
      <c r="BE7" s="10">
        <f>BNVFE!T13</f>
        <v>5.3586049060219874E-5</v>
      </c>
      <c r="BF7" s="10">
        <f>BNVFE!U13</f>
        <v>5.4105334878616127E-5</v>
      </c>
      <c r="BG7" s="10">
        <f>BNVFE!V13</f>
        <v>5.4610539196817424E-5</v>
      </c>
      <c r="BH7" s="10">
        <f>BNVFE!W13</f>
        <v>5.5125025672775793E-5</v>
      </c>
      <c r="BI7" s="10">
        <f>BNVFE!X13</f>
        <v>5.5644352375924891E-5</v>
      </c>
      <c r="BJ7" s="10">
        <f>BNVFE!Y13</f>
        <v>5.6164574587047429E-5</v>
      </c>
      <c r="BK7" s="10">
        <f>BNVFE!Z13</f>
        <v>5.6693978062907934E-5</v>
      </c>
      <c r="BL7" s="10">
        <f>BNVFE!AA13</f>
        <v>5.721493949673903E-5</v>
      </c>
      <c r="BM7" s="10">
        <f>BNVFE!AB13</f>
        <v>5.7733179456780447E-5</v>
      </c>
      <c r="BN7" s="10">
        <f>BNVFE!AC13</f>
        <v>5.8241709288023016E-5</v>
      </c>
      <c r="BO7" s="10">
        <f>BNVFE!AD13</f>
        <v>5.8749514404049965E-5</v>
      </c>
      <c r="BP7" s="10">
        <f>BNVFE!AE13</f>
        <v>5.9249763094548476E-5</v>
      </c>
      <c r="BQ7" s="10">
        <f>BNVFE!AF13</f>
        <v>5.9740125588038328E-5</v>
      </c>
      <c r="BR7" s="10">
        <f>BNVFE!AG13</f>
        <v>6.0224657388228372E-5</v>
      </c>
      <c r="BS7" s="10"/>
      <c r="BT7" s="4"/>
    </row>
    <row r="8" spans="1:72">
      <c r="A8" t="s">
        <v>51</v>
      </c>
      <c r="B8" t="s">
        <v>96</v>
      </c>
      <c r="C8" s="9"/>
      <c r="D8" s="9"/>
      <c r="E8" s="9"/>
      <c r="F8" s="4">
        <f>SYFAFE!$E$5</f>
        <v>7.1745362435245036E-5</v>
      </c>
      <c r="G8" s="4">
        <f>F8</f>
        <v>7.1745362435245036E-5</v>
      </c>
      <c r="H8" s="4">
        <f t="shared" ref="H8:BR8" si="6">G8</f>
        <v>7.1745362435245036E-5</v>
      </c>
      <c r="I8" s="4">
        <f t="shared" si="6"/>
        <v>7.1745362435245036E-5</v>
      </c>
      <c r="J8" s="4">
        <f t="shared" si="6"/>
        <v>7.1745362435245036E-5</v>
      </c>
      <c r="K8" s="4">
        <f t="shared" si="6"/>
        <v>7.1745362435245036E-5</v>
      </c>
      <c r="L8" s="4">
        <f t="shared" si="6"/>
        <v>7.1745362435245036E-5</v>
      </c>
      <c r="M8" s="4">
        <f t="shared" si="6"/>
        <v>7.1745362435245036E-5</v>
      </c>
      <c r="N8" s="4">
        <f t="shared" si="6"/>
        <v>7.1745362435245036E-5</v>
      </c>
      <c r="O8" s="4">
        <f t="shared" si="6"/>
        <v>7.1745362435245036E-5</v>
      </c>
      <c r="P8" s="4">
        <f t="shared" si="6"/>
        <v>7.1745362435245036E-5</v>
      </c>
      <c r="Q8" s="4">
        <f t="shared" si="6"/>
        <v>7.1745362435245036E-5</v>
      </c>
      <c r="R8" s="4">
        <f t="shared" si="6"/>
        <v>7.1745362435245036E-5</v>
      </c>
      <c r="S8" s="4">
        <f t="shared" si="6"/>
        <v>7.1745362435245036E-5</v>
      </c>
      <c r="T8" s="4">
        <f t="shared" si="6"/>
        <v>7.1745362435245036E-5</v>
      </c>
      <c r="U8" s="4">
        <f t="shared" si="6"/>
        <v>7.1745362435245036E-5</v>
      </c>
      <c r="V8" s="4">
        <f t="shared" si="6"/>
        <v>7.1745362435245036E-5</v>
      </c>
      <c r="W8" s="4">
        <f t="shared" si="6"/>
        <v>7.1745362435245036E-5</v>
      </c>
      <c r="X8" s="4">
        <f t="shared" si="6"/>
        <v>7.1745362435245036E-5</v>
      </c>
      <c r="Y8" s="4">
        <f t="shared" si="6"/>
        <v>7.1745362435245036E-5</v>
      </c>
      <c r="Z8" s="4">
        <f t="shared" si="6"/>
        <v>7.1745362435245036E-5</v>
      </c>
      <c r="AA8" s="4">
        <f t="shared" si="6"/>
        <v>7.1745362435245036E-5</v>
      </c>
      <c r="AB8" s="4">
        <f t="shared" si="6"/>
        <v>7.1745362435245036E-5</v>
      </c>
      <c r="AC8" s="4">
        <f t="shared" si="6"/>
        <v>7.1745362435245036E-5</v>
      </c>
      <c r="AD8" s="4">
        <f t="shared" si="6"/>
        <v>7.1745362435245036E-5</v>
      </c>
      <c r="AE8" s="4">
        <f t="shared" si="6"/>
        <v>7.1745362435245036E-5</v>
      </c>
      <c r="AF8" s="4">
        <f t="shared" si="6"/>
        <v>7.1745362435245036E-5</v>
      </c>
      <c r="AG8" s="4">
        <f t="shared" si="6"/>
        <v>7.1745362435245036E-5</v>
      </c>
      <c r="AH8" s="4">
        <f t="shared" si="6"/>
        <v>7.1745362435245036E-5</v>
      </c>
      <c r="AI8" s="4">
        <f t="shared" si="6"/>
        <v>7.1745362435245036E-5</v>
      </c>
      <c r="AJ8" s="4">
        <f t="shared" si="6"/>
        <v>7.1745362435245036E-5</v>
      </c>
      <c r="AK8" s="4">
        <f t="shared" si="6"/>
        <v>7.1745362435245036E-5</v>
      </c>
      <c r="AL8" s="4">
        <f t="shared" si="6"/>
        <v>7.1745362435245036E-5</v>
      </c>
      <c r="AM8" s="4">
        <f t="shared" si="6"/>
        <v>7.1745362435245036E-5</v>
      </c>
      <c r="AN8" s="4">
        <f t="shared" si="6"/>
        <v>7.1745362435245036E-5</v>
      </c>
      <c r="AO8" s="4">
        <f t="shared" si="6"/>
        <v>7.1745362435245036E-5</v>
      </c>
      <c r="AP8" s="4">
        <f t="shared" si="6"/>
        <v>7.1745362435245036E-5</v>
      </c>
      <c r="AQ8" s="4">
        <f t="shared" si="6"/>
        <v>7.1745362435245036E-5</v>
      </c>
      <c r="AR8" s="4">
        <f t="shared" si="6"/>
        <v>7.1745362435245036E-5</v>
      </c>
      <c r="AS8" s="4">
        <f t="shared" si="6"/>
        <v>7.1745362435245036E-5</v>
      </c>
      <c r="AT8" s="4">
        <f t="shared" si="6"/>
        <v>7.1745362435245036E-5</v>
      </c>
      <c r="AU8" s="4">
        <f t="shared" si="6"/>
        <v>7.1745362435245036E-5</v>
      </c>
      <c r="AV8" s="4">
        <f t="shared" si="6"/>
        <v>7.1745362435245036E-5</v>
      </c>
      <c r="AW8" s="4">
        <f t="shared" si="6"/>
        <v>7.1745362435245036E-5</v>
      </c>
      <c r="AX8" s="4">
        <f t="shared" si="6"/>
        <v>7.1745362435245036E-5</v>
      </c>
      <c r="AY8" s="4">
        <f t="shared" si="6"/>
        <v>7.1745362435245036E-5</v>
      </c>
      <c r="AZ8" s="4">
        <f t="shared" si="6"/>
        <v>7.1745362435245036E-5</v>
      </c>
      <c r="BA8" s="4">
        <f t="shared" si="6"/>
        <v>7.1745362435245036E-5</v>
      </c>
      <c r="BB8" s="4">
        <f t="shared" si="6"/>
        <v>7.1745362435245036E-5</v>
      </c>
      <c r="BC8" s="4">
        <f t="shared" si="6"/>
        <v>7.1745362435245036E-5</v>
      </c>
      <c r="BD8" s="4">
        <f t="shared" si="6"/>
        <v>7.1745362435245036E-5</v>
      </c>
      <c r="BE8" s="4">
        <f t="shared" si="6"/>
        <v>7.1745362435245036E-5</v>
      </c>
      <c r="BF8" s="4">
        <f t="shared" si="6"/>
        <v>7.1745362435245036E-5</v>
      </c>
      <c r="BG8" s="4">
        <f t="shared" si="6"/>
        <v>7.1745362435245036E-5</v>
      </c>
      <c r="BH8" s="4">
        <f t="shared" si="6"/>
        <v>7.1745362435245036E-5</v>
      </c>
      <c r="BI8" s="4">
        <f t="shared" si="6"/>
        <v>7.1745362435245036E-5</v>
      </c>
      <c r="BJ8" s="4">
        <f t="shared" si="6"/>
        <v>7.1745362435245036E-5</v>
      </c>
      <c r="BK8" s="4">
        <f t="shared" si="6"/>
        <v>7.1745362435245036E-5</v>
      </c>
      <c r="BL8" s="4">
        <f t="shared" si="6"/>
        <v>7.1745362435245036E-5</v>
      </c>
      <c r="BM8" s="4">
        <f t="shared" si="6"/>
        <v>7.1745362435245036E-5</v>
      </c>
      <c r="BN8" s="4">
        <f t="shared" si="6"/>
        <v>7.1745362435245036E-5</v>
      </c>
      <c r="BO8" s="4">
        <f t="shared" si="6"/>
        <v>7.1745362435245036E-5</v>
      </c>
      <c r="BP8" s="4">
        <f t="shared" si="6"/>
        <v>7.1745362435245036E-5</v>
      </c>
      <c r="BQ8" s="4">
        <f t="shared" si="6"/>
        <v>7.1745362435245036E-5</v>
      </c>
      <c r="BR8" s="4">
        <f t="shared" si="6"/>
        <v>7.1745362435245036E-5</v>
      </c>
      <c r="BS8" s="10"/>
      <c r="BT8" s="4"/>
    </row>
    <row r="9" spans="1:72">
      <c r="A9" t="s">
        <v>51</v>
      </c>
      <c r="B9" t="s">
        <v>97</v>
      </c>
      <c r="C9" s="9"/>
      <c r="D9" s="9"/>
      <c r="E9" s="9"/>
      <c r="F9" s="19">
        <f>SYFAFE!$B$5</f>
        <v>7.5686214263268839E-4</v>
      </c>
      <c r="G9" s="4">
        <f>F9</f>
        <v>7.5686214263268839E-4</v>
      </c>
      <c r="H9" s="4">
        <f t="shared" ref="H9:BR9" si="7">G9</f>
        <v>7.5686214263268839E-4</v>
      </c>
      <c r="I9" s="4">
        <f t="shared" si="7"/>
        <v>7.5686214263268839E-4</v>
      </c>
      <c r="J9" s="4">
        <f t="shared" si="7"/>
        <v>7.5686214263268839E-4</v>
      </c>
      <c r="K9" s="4">
        <f t="shared" si="7"/>
        <v>7.5686214263268839E-4</v>
      </c>
      <c r="L9" s="4">
        <f t="shared" si="7"/>
        <v>7.5686214263268839E-4</v>
      </c>
      <c r="M9" s="4">
        <f t="shared" si="7"/>
        <v>7.5686214263268839E-4</v>
      </c>
      <c r="N9" s="4">
        <f t="shared" si="7"/>
        <v>7.5686214263268839E-4</v>
      </c>
      <c r="O9" s="4">
        <f t="shared" si="7"/>
        <v>7.5686214263268839E-4</v>
      </c>
      <c r="P9" s="4">
        <f t="shared" si="7"/>
        <v>7.5686214263268839E-4</v>
      </c>
      <c r="Q9" s="4">
        <f t="shared" si="7"/>
        <v>7.5686214263268839E-4</v>
      </c>
      <c r="R9" s="4">
        <f t="shared" si="7"/>
        <v>7.5686214263268839E-4</v>
      </c>
      <c r="S9" s="4">
        <f t="shared" si="7"/>
        <v>7.5686214263268839E-4</v>
      </c>
      <c r="T9" s="4">
        <f t="shared" si="7"/>
        <v>7.5686214263268839E-4</v>
      </c>
      <c r="U9" s="4">
        <f t="shared" si="7"/>
        <v>7.5686214263268839E-4</v>
      </c>
      <c r="V9" s="4">
        <f t="shared" si="7"/>
        <v>7.5686214263268839E-4</v>
      </c>
      <c r="W9" s="4">
        <f t="shared" si="7"/>
        <v>7.5686214263268839E-4</v>
      </c>
      <c r="X9" s="4">
        <f t="shared" si="7"/>
        <v>7.5686214263268839E-4</v>
      </c>
      <c r="Y9" s="4">
        <f t="shared" si="7"/>
        <v>7.5686214263268839E-4</v>
      </c>
      <c r="Z9" s="4">
        <f t="shared" si="7"/>
        <v>7.5686214263268839E-4</v>
      </c>
      <c r="AA9" s="4">
        <f t="shared" si="7"/>
        <v>7.5686214263268839E-4</v>
      </c>
      <c r="AB9" s="4">
        <f t="shared" si="7"/>
        <v>7.5686214263268839E-4</v>
      </c>
      <c r="AC9" s="4">
        <f t="shared" si="7"/>
        <v>7.5686214263268839E-4</v>
      </c>
      <c r="AD9" s="4">
        <f t="shared" si="7"/>
        <v>7.5686214263268839E-4</v>
      </c>
      <c r="AE9" s="4">
        <f t="shared" si="7"/>
        <v>7.5686214263268839E-4</v>
      </c>
      <c r="AF9" s="4">
        <f t="shared" si="7"/>
        <v>7.5686214263268839E-4</v>
      </c>
      <c r="AG9" s="4">
        <f t="shared" si="7"/>
        <v>7.5686214263268839E-4</v>
      </c>
      <c r="AH9" s="4">
        <f t="shared" si="7"/>
        <v>7.5686214263268839E-4</v>
      </c>
      <c r="AI9" s="4">
        <f t="shared" si="7"/>
        <v>7.5686214263268839E-4</v>
      </c>
      <c r="AJ9" s="4">
        <f t="shared" si="7"/>
        <v>7.5686214263268839E-4</v>
      </c>
      <c r="AK9" s="4">
        <f t="shared" si="7"/>
        <v>7.5686214263268839E-4</v>
      </c>
      <c r="AL9" s="4">
        <f t="shared" si="7"/>
        <v>7.5686214263268839E-4</v>
      </c>
      <c r="AM9" s="4">
        <f t="shared" si="7"/>
        <v>7.5686214263268839E-4</v>
      </c>
      <c r="AN9" s="4">
        <f t="shared" si="7"/>
        <v>7.5686214263268839E-4</v>
      </c>
      <c r="AO9" s="4">
        <f t="shared" si="7"/>
        <v>7.5686214263268839E-4</v>
      </c>
      <c r="AP9" s="4">
        <f t="shared" si="7"/>
        <v>7.5686214263268839E-4</v>
      </c>
      <c r="AQ9" s="4">
        <f t="shared" si="7"/>
        <v>7.5686214263268839E-4</v>
      </c>
      <c r="AR9" s="4">
        <f t="shared" si="7"/>
        <v>7.5686214263268839E-4</v>
      </c>
      <c r="AS9" s="4">
        <f t="shared" si="7"/>
        <v>7.5686214263268839E-4</v>
      </c>
      <c r="AT9" s="4">
        <f t="shared" si="7"/>
        <v>7.5686214263268839E-4</v>
      </c>
      <c r="AU9" s="4">
        <f t="shared" si="7"/>
        <v>7.5686214263268839E-4</v>
      </c>
      <c r="AV9" s="4">
        <f t="shared" si="7"/>
        <v>7.5686214263268839E-4</v>
      </c>
      <c r="AW9" s="4">
        <f t="shared" si="7"/>
        <v>7.5686214263268839E-4</v>
      </c>
      <c r="AX9" s="4">
        <f t="shared" si="7"/>
        <v>7.5686214263268839E-4</v>
      </c>
      <c r="AY9" s="4">
        <f t="shared" si="7"/>
        <v>7.5686214263268839E-4</v>
      </c>
      <c r="AZ9" s="4">
        <f t="shared" si="7"/>
        <v>7.5686214263268839E-4</v>
      </c>
      <c r="BA9" s="4">
        <f t="shared" si="7"/>
        <v>7.5686214263268839E-4</v>
      </c>
      <c r="BB9" s="4">
        <f t="shared" si="7"/>
        <v>7.5686214263268839E-4</v>
      </c>
      <c r="BC9" s="4">
        <f t="shared" si="7"/>
        <v>7.5686214263268839E-4</v>
      </c>
      <c r="BD9" s="4">
        <f t="shared" si="7"/>
        <v>7.5686214263268839E-4</v>
      </c>
      <c r="BE9" s="4">
        <f t="shared" si="7"/>
        <v>7.5686214263268839E-4</v>
      </c>
      <c r="BF9" s="4">
        <f t="shared" si="7"/>
        <v>7.5686214263268839E-4</v>
      </c>
      <c r="BG9" s="4">
        <f t="shared" si="7"/>
        <v>7.5686214263268839E-4</v>
      </c>
      <c r="BH9" s="4">
        <f t="shared" si="7"/>
        <v>7.5686214263268839E-4</v>
      </c>
      <c r="BI9" s="4">
        <f t="shared" si="7"/>
        <v>7.5686214263268839E-4</v>
      </c>
      <c r="BJ9" s="4">
        <f t="shared" si="7"/>
        <v>7.5686214263268839E-4</v>
      </c>
      <c r="BK9" s="4">
        <f t="shared" si="7"/>
        <v>7.5686214263268839E-4</v>
      </c>
      <c r="BL9" s="4">
        <f t="shared" si="7"/>
        <v>7.5686214263268839E-4</v>
      </c>
      <c r="BM9" s="4">
        <f t="shared" si="7"/>
        <v>7.5686214263268839E-4</v>
      </c>
      <c r="BN9" s="4">
        <f t="shared" si="7"/>
        <v>7.5686214263268839E-4</v>
      </c>
      <c r="BO9" s="4">
        <f t="shared" si="7"/>
        <v>7.5686214263268839E-4</v>
      </c>
      <c r="BP9" s="4">
        <f t="shared" si="7"/>
        <v>7.5686214263268839E-4</v>
      </c>
      <c r="BQ9" s="4">
        <f t="shared" si="7"/>
        <v>7.5686214263268839E-4</v>
      </c>
      <c r="BR9" s="4">
        <f t="shared" si="7"/>
        <v>7.5686214263268839E-4</v>
      </c>
      <c r="BS9" s="10"/>
      <c r="BT9" s="4"/>
    </row>
    <row r="10" spans="1:72">
      <c r="A10" t="s">
        <v>51</v>
      </c>
      <c r="B10" t="s">
        <v>47</v>
      </c>
      <c r="C10" s="9"/>
      <c r="D10" s="9"/>
      <c r="E10" s="9"/>
      <c r="F10" s="4">
        <f>TREND($AO10:$BR10,$AO$1:$BR$1,F$1)</f>
        <v>3.2890937975528366E-3</v>
      </c>
      <c r="G10" s="4">
        <f t="shared" ref="G10:AN13" si="8">TREND($AO10:$BR10,$AO$1:$BR$1,G$1)</f>
        <v>3.2917330420467188E-3</v>
      </c>
      <c r="H10" s="4">
        <f t="shared" si="8"/>
        <v>3.294372286540601E-3</v>
      </c>
      <c r="I10" s="4">
        <f t="shared" si="8"/>
        <v>3.2970115310344832E-3</v>
      </c>
      <c r="J10" s="4">
        <f t="shared" si="8"/>
        <v>3.2996507755283645E-3</v>
      </c>
      <c r="K10" s="4">
        <f t="shared" si="8"/>
        <v>3.3022900200222467E-3</v>
      </c>
      <c r="L10" s="4">
        <f t="shared" si="8"/>
        <v>3.3049292645161289E-3</v>
      </c>
      <c r="M10" s="4">
        <f t="shared" si="8"/>
        <v>3.3075685090100111E-3</v>
      </c>
      <c r="N10" s="4">
        <f t="shared" si="8"/>
        <v>3.3102077535038933E-3</v>
      </c>
      <c r="O10" s="4">
        <f t="shared" si="8"/>
        <v>3.3128469979977755E-3</v>
      </c>
      <c r="P10" s="4">
        <f t="shared" si="8"/>
        <v>3.3154862424916577E-3</v>
      </c>
      <c r="Q10" s="4">
        <f t="shared" si="8"/>
        <v>3.318125486985539E-3</v>
      </c>
      <c r="R10" s="4">
        <f t="shared" si="8"/>
        <v>3.3207647314794212E-3</v>
      </c>
      <c r="S10" s="4">
        <f t="shared" si="8"/>
        <v>3.3234039759733034E-3</v>
      </c>
      <c r="T10" s="4">
        <f t="shared" si="8"/>
        <v>3.3260432204671856E-3</v>
      </c>
      <c r="U10" s="4">
        <f t="shared" si="8"/>
        <v>3.3286824649610678E-3</v>
      </c>
      <c r="V10" s="4">
        <f t="shared" si="8"/>
        <v>3.33132170945495E-3</v>
      </c>
      <c r="W10" s="4">
        <f t="shared" si="8"/>
        <v>3.3339609539488322E-3</v>
      </c>
      <c r="X10" s="4">
        <f t="shared" si="8"/>
        <v>3.3366001984427144E-3</v>
      </c>
      <c r="Y10" s="4">
        <f t="shared" si="8"/>
        <v>3.3392394429365957E-3</v>
      </c>
      <c r="Z10" s="4">
        <f t="shared" si="8"/>
        <v>3.3418786874304779E-3</v>
      </c>
      <c r="AA10" s="4">
        <f t="shared" si="8"/>
        <v>3.3445179319243601E-3</v>
      </c>
      <c r="AB10" s="4">
        <f t="shared" si="8"/>
        <v>3.3471571764182423E-3</v>
      </c>
      <c r="AC10" s="4">
        <f t="shared" si="8"/>
        <v>3.3497964209121245E-3</v>
      </c>
      <c r="AD10" s="4">
        <f t="shared" si="8"/>
        <v>3.3524356654060067E-3</v>
      </c>
      <c r="AE10" s="4">
        <f t="shared" si="8"/>
        <v>3.3550749098998889E-3</v>
      </c>
      <c r="AF10" s="4">
        <f t="shared" si="8"/>
        <v>3.3577141543937711E-3</v>
      </c>
      <c r="AG10" s="4">
        <f t="shared" si="8"/>
        <v>3.3603533988876525E-3</v>
      </c>
      <c r="AH10" s="4">
        <f t="shared" si="8"/>
        <v>3.3629926433815347E-3</v>
      </c>
      <c r="AI10" s="4">
        <f t="shared" si="8"/>
        <v>3.3656318878754169E-3</v>
      </c>
      <c r="AJ10" s="4">
        <f t="shared" si="8"/>
        <v>3.3682711323692991E-3</v>
      </c>
      <c r="AK10" s="4">
        <f t="shared" si="8"/>
        <v>3.3709103768631813E-3</v>
      </c>
      <c r="AL10" s="4">
        <f t="shared" si="8"/>
        <v>3.3735496213570635E-3</v>
      </c>
      <c r="AM10" s="4">
        <f t="shared" si="8"/>
        <v>3.3761888658509456E-3</v>
      </c>
      <c r="AN10" s="26">
        <f t="shared" si="8"/>
        <v>3.3788281103448278E-3</v>
      </c>
      <c r="AO10" s="10">
        <f>BNVFE!D16</f>
        <v>3.5120030000000001E-3</v>
      </c>
      <c r="AP10" s="10">
        <f>BNVFE!E16</f>
        <v>3.3663400000000002E-3</v>
      </c>
      <c r="AQ10" s="10">
        <f>BNVFE!F16</f>
        <v>3.3698929999999997E-3</v>
      </c>
      <c r="AR10" s="10">
        <f>BNVFE!G16</f>
        <v>3.3734500000000001E-3</v>
      </c>
      <c r="AS10" s="10">
        <f>BNVFE!H16</f>
        <v>3.3770099999999997E-3</v>
      </c>
      <c r="AT10" s="10">
        <f>BNVFE!I16</f>
        <v>3.3805740000000003E-3</v>
      </c>
      <c r="AU10" s="10">
        <f>BNVFE!J16</f>
        <v>3.3841420000000001E-3</v>
      </c>
      <c r="AV10" s="10">
        <f>BNVFE!K16</f>
        <v>3.3877130000000001E-3</v>
      </c>
      <c r="AW10" s="10">
        <f>BNVFE!L16</f>
        <v>3.391289E-3</v>
      </c>
      <c r="AX10" s="10">
        <f>BNVFE!M16</f>
        <v>3.3948680000000001E-3</v>
      </c>
      <c r="AY10" s="10">
        <f>BNVFE!N16</f>
        <v>3.3984510000000002E-3</v>
      </c>
      <c r="AZ10" s="10">
        <f>BNVFE!O16</f>
        <v>3.4020370000000001E-3</v>
      </c>
      <c r="BA10" s="10">
        <f>BNVFE!P16</f>
        <v>3.405628E-3</v>
      </c>
      <c r="BB10" s="10">
        <f>BNVFE!Q16</f>
        <v>3.4092220000000004E-3</v>
      </c>
      <c r="BC10" s="10">
        <f>BNVFE!R16</f>
        <v>3.41282E-3</v>
      </c>
      <c r="BD10" s="10">
        <f>BNVFE!S16</f>
        <v>3.4164219999999997E-3</v>
      </c>
      <c r="BE10" s="10">
        <f>BNVFE!T16</f>
        <v>3.420027E-3</v>
      </c>
      <c r="BF10" s="10">
        <f>BNVFE!U16</f>
        <v>3.4236369999999998E-3</v>
      </c>
      <c r="BG10" s="10">
        <f>BNVFE!V16</f>
        <v>3.4272499999999997E-3</v>
      </c>
      <c r="BH10" s="10">
        <f>BNVFE!W16</f>
        <v>3.4308670000000002E-3</v>
      </c>
      <c r="BI10" s="10">
        <f>BNVFE!X16</f>
        <v>3.4344879999999999E-3</v>
      </c>
      <c r="BJ10" s="10">
        <f>BNVFE!Y16</f>
        <v>3.438113E-3</v>
      </c>
      <c r="BK10" s="10">
        <f>BNVFE!Z16</f>
        <v>3.4417409999999999E-3</v>
      </c>
      <c r="BL10" s="10">
        <f>BNVFE!AA16</f>
        <v>3.4453729999999998E-3</v>
      </c>
      <c r="BM10" s="10">
        <f>BNVFE!AB16</f>
        <v>3.4490099999999997E-3</v>
      </c>
      <c r="BN10" s="10">
        <f>BNVFE!AC16</f>
        <v>3.4526489999999999E-3</v>
      </c>
      <c r="BO10" s="10">
        <f>BNVFE!AD16</f>
        <v>3.456293E-3</v>
      </c>
      <c r="BP10" s="10">
        <f>BNVFE!AE16</f>
        <v>3.4599410000000002E-3</v>
      </c>
      <c r="BQ10" s="10">
        <f>BNVFE!AF16</f>
        <v>3.4635930000000001E-3</v>
      </c>
      <c r="BR10" s="10">
        <f>BNVFE!AG16</f>
        <v>3.467248E-3</v>
      </c>
      <c r="BS10" s="10"/>
      <c r="BT10" s="4"/>
    </row>
    <row r="11" spans="1:72">
      <c r="A11" t="s">
        <v>53</v>
      </c>
      <c r="B11" t="s">
        <v>45</v>
      </c>
      <c r="C11" s="9"/>
      <c r="D11" s="9"/>
      <c r="E11" s="9"/>
      <c r="F11" s="9"/>
      <c r="G11" s="4">
        <f>TREND($AO11:$BR11,$AO$1:$BR$1,G$1)</f>
        <v>1.2594546332724645E-5</v>
      </c>
      <c r="H11" s="4">
        <f t="shared" si="8"/>
        <v>1.2594546332724645E-5</v>
      </c>
      <c r="I11" s="4">
        <f t="shared" si="8"/>
        <v>1.2594546332724645E-5</v>
      </c>
      <c r="J11" s="4">
        <f t="shared" si="8"/>
        <v>1.2594546332724645E-5</v>
      </c>
      <c r="K11" s="4">
        <f t="shared" si="8"/>
        <v>1.2594546332724645E-5</v>
      </c>
      <c r="L11" s="4">
        <f t="shared" si="8"/>
        <v>1.2594546332724645E-5</v>
      </c>
      <c r="M11" s="4">
        <f t="shared" si="8"/>
        <v>1.2594546332724645E-5</v>
      </c>
      <c r="N11" s="4">
        <f t="shared" si="8"/>
        <v>1.2594546332724645E-5</v>
      </c>
      <c r="O11" s="4">
        <f t="shared" si="8"/>
        <v>1.2594546332724645E-5</v>
      </c>
      <c r="P11" s="4">
        <f t="shared" si="8"/>
        <v>1.2594546332724645E-5</v>
      </c>
      <c r="Q11" s="4">
        <f t="shared" si="8"/>
        <v>1.2594546332724645E-5</v>
      </c>
      <c r="R11" s="4">
        <f t="shared" si="8"/>
        <v>1.2594546332724645E-5</v>
      </c>
      <c r="S11" s="4">
        <f t="shared" si="8"/>
        <v>1.2594546332724645E-5</v>
      </c>
      <c r="T11" s="4">
        <f t="shared" si="8"/>
        <v>1.2594546332724645E-5</v>
      </c>
      <c r="U11" s="4">
        <f t="shared" si="8"/>
        <v>1.2594546332724645E-5</v>
      </c>
      <c r="V11" s="4">
        <f t="shared" si="8"/>
        <v>1.2594546332724645E-5</v>
      </c>
      <c r="W11" s="4">
        <f t="shared" si="8"/>
        <v>1.2594546332724645E-5</v>
      </c>
      <c r="X11" s="4">
        <f t="shared" si="8"/>
        <v>1.2594546332724645E-5</v>
      </c>
      <c r="Y11" s="4">
        <f t="shared" si="8"/>
        <v>1.2594546332724645E-5</v>
      </c>
      <c r="Z11" s="4">
        <f t="shared" si="8"/>
        <v>1.2594546332724645E-5</v>
      </c>
      <c r="AA11" s="4">
        <f t="shared" si="8"/>
        <v>1.2594546332724645E-5</v>
      </c>
      <c r="AB11" s="4">
        <f t="shared" si="8"/>
        <v>1.2594546332724645E-5</v>
      </c>
      <c r="AC11" s="4">
        <f t="shared" si="8"/>
        <v>1.2594546332724645E-5</v>
      </c>
      <c r="AD11" s="4">
        <f t="shared" si="8"/>
        <v>1.2594546332724645E-5</v>
      </c>
      <c r="AE11" s="4">
        <f t="shared" si="8"/>
        <v>1.2594546332724645E-5</v>
      </c>
      <c r="AF11" s="4">
        <f t="shared" si="8"/>
        <v>1.2594546332724645E-5</v>
      </c>
      <c r="AG11" s="4">
        <f t="shared" si="8"/>
        <v>1.2594546332724645E-5</v>
      </c>
      <c r="AH11" s="4">
        <f t="shared" si="8"/>
        <v>1.2594546332724645E-5</v>
      </c>
      <c r="AI11" s="4">
        <f t="shared" si="8"/>
        <v>1.2594546332724645E-5</v>
      </c>
      <c r="AJ11" s="4">
        <f t="shared" si="8"/>
        <v>1.2594546332724645E-5</v>
      </c>
      <c r="AK11" s="4">
        <f t="shared" si="8"/>
        <v>1.2594546332724645E-5</v>
      </c>
      <c r="AL11" s="4">
        <f t="shared" si="8"/>
        <v>1.2594546332724645E-5</v>
      </c>
      <c r="AM11" s="4">
        <f t="shared" si="8"/>
        <v>1.2594546332724645E-5</v>
      </c>
      <c r="AN11" s="26">
        <f t="shared" si="8"/>
        <v>1.2594546332724645E-5</v>
      </c>
      <c r="AO11" s="10">
        <f>BNVFE!D17</f>
        <v>1.2594546332724645E-5</v>
      </c>
      <c r="AP11" s="10">
        <f>BNVFE!E17</f>
        <v>1.2594546332724645E-5</v>
      </c>
      <c r="AQ11" s="10">
        <f>BNVFE!F17</f>
        <v>1.2594546332724645E-5</v>
      </c>
      <c r="AR11" s="10">
        <f>BNVFE!G17</f>
        <v>1.2594546332724645E-5</v>
      </c>
      <c r="AS11" s="10">
        <f>BNVFE!H17</f>
        <v>1.2594546332724645E-5</v>
      </c>
      <c r="AT11" s="10">
        <f>BNVFE!I17</f>
        <v>1.2594546332724645E-5</v>
      </c>
      <c r="AU11" s="10">
        <f>BNVFE!J17</f>
        <v>1.2594546332724645E-5</v>
      </c>
      <c r="AV11" s="10">
        <f>BNVFE!K17</f>
        <v>1.2594546332724645E-5</v>
      </c>
      <c r="AW11" s="10">
        <f>BNVFE!L17</f>
        <v>1.2594546332724645E-5</v>
      </c>
      <c r="AX11" s="10">
        <f>BNVFE!M17</f>
        <v>1.2594546332724645E-5</v>
      </c>
      <c r="AY11" s="10">
        <f>BNVFE!N17</f>
        <v>1.2594546332724645E-5</v>
      </c>
      <c r="AZ11" s="10">
        <f>BNVFE!O17</f>
        <v>1.2594546332724645E-5</v>
      </c>
      <c r="BA11" s="10">
        <f>BNVFE!P17</f>
        <v>1.2594546332724645E-5</v>
      </c>
      <c r="BB11" s="10">
        <f>BNVFE!Q17</f>
        <v>1.2594546332724645E-5</v>
      </c>
      <c r="BC11" s="10">
        <f>BNVFE!R17</f>
        <v>1.2594546332724645E-5</v>
      </c>
      <c r="BD11" s="10">
        <f>BNVFE!S17</f>
        <v>1.2594546332724645E-5</v>
      </c>
      <c r="BE11" s="10">
        <f>BNVFE!T17</f>
        <v>1.2594546332724645E-5</v>
      </c>
      <c r="BF11" s="10">
        <f>BNVFE!U17</f>
        <v>1.2594546332724645E-5</v>
      </c>
      <c r="BG11" s="10">
        <f>BNVFE!V17</f>
        <v>1.2594546332724645E-5</v>
      </c>
      <c r="BH11" s="10">
        <f>BNVFE!W17</f>
        <v>1.2594546332724645E-5</v>
      </c>
      <c r="BI11" s="10">
        <f>BNVFE!X17</f>
        <v>1.2594546332724645E-5</v>
      </c>
      <c r="BJ11" s="10">
        <f>BNVFE!Y17</f>
        <v>1.2594546332724645E-5</v>
      </c>
      <c r="BK11" s="10">
        <f>BNVFE!Z17</f>
        <v>1.2594546332724645E-5</v>
      </c>
      <c r="BL11" s="10">
        <f>BNVFE!AA17</f>
        <v>1.2594546332724645E-5</v>
      </c>
      <c r="BM11" s="10">
        <f>BNVFE!AB17</f>
        <v>1.2594546332724645E-5</v>
      </c>
      <c r="BN11" s="10">
        <f>BNVFE!AC17</f>
        <v>1.2594546332724645E-5</v>
      </c>
      <c r="BO11" s="10">
        <f>BNVFE!AD17</f>
        <v>1.2594546332724645E-5</v>
      </c>
      <c r="BP11" s="10">
        <f>BNVFE!AE17</f>
        <v>1.2594546332724645E-5</v>
      </c>
      <c r="BQ11" s="10">
        <f>BNVFE!AF17</f>
        <v>1.2594546332724645E-5</v>
      </c>
      <c r="BR11" s="10">
        <f>BNVFE!AG17</f>
        <v>1.2594546332724645E-5</v>
      </c>
      <c r="BS11" s="10"/>
      <c r="BT11" s="4"/>
    </row>
    <row r="12" spans="1:72">
      <c r="A12" t="s">
        <v>53</v>
      </c>
      <c r="B12" t="s">
        <v>47</v>
      </c>
      <c r="C12" s="9"/>
      <c r="D12" s="9"/>
      <c r="E12" s="9"/>
      <c r="F12" s="9"/>
      <c r="G12" s="4">
        <f>TREND($AO12:$BR12,$AO$1:$BR$1,G$1)</f>
        <v>5.2454271866069317E-3</v>
      </c>
      <c r="H12" s="4">
        <f t="shared" si="8"/>
        <v>5.2454271866069317E-3</v>
      </c>
      <c r="I12" s="4">
        <f t="shared" si="8"/>
        <v>5.2454271866069317E-3</v>
      </c>
      <c r="J12" s="4">
        <f t="shared" si="8"/>
        <v>5.2454271866069317E-3</v>
      </c>
      <c r="K12" s="4">
        <f t="shared" si="8"/>
        <v>5.2454271866069317E-3</v>
      </c>
      <c r="L12" s="4">
        <f t="shared" si="8"/>
        <v>5.2454271866069317E-3</v>
      </c>
      <c r="M12" s="4">
        <f t="shared" si="8"/>
        <v>5.2454271866069317E-3</v>
      </c>
      <c r="N12" s="4">
        <f t="shared" si="8"/>
        <v>5.2454271866069317E-3</v>
      </c>
      <c r="O12" s="4">
        <f t="shared" si="8"/>
        <v>5.2454271866069317E-3</v>
      </c>
      <c r="P12" s="4">
        <f t="shared" si="8"/>
        <v>5.2454271866069317E-3</v>
      </c>
      <c r="Q12" s="4">
        <f t="shared" si="8"/>
        <v>5.2454271866069317E-3</v>
      </c>
      <c r="R12" s="4">
        <f t="shared" si="8"/>
        <v>5.2454271866069317E-3</v>
      </c>
      <c r="S12" s="4">
        <f t="shared" si="8"/>
        <v>5.2454271866069317E-3</v>
      </c>
      <c r="T12" s="4">
        <f t="shared" si="8"/>
        <v>5.2454271866069317E-3</v>
      </c>
      <c r="U12" s="4">
        <f t="shared" si="8"/>
        <v>5.2454271866069317E-3</v>
      </c>
      <c r="V12" s="4">
        <f t="shared" si="8"/>
        <v>5.2454271866069317E-3</v>
      </c>
      <c r="W12" s="4">
        <f t="shared" si="8"/>
        <v>5.2454271866069317E-3</v>
      </c>
      <c r="X12" s="4">
        <f t="shared" si="8"/>
        <v>5.2454271866069317E-3</v>
      </c>
      <c r="Y12" s="4">
        <f t="shared" si="8"/>
        <v>5.2454271866069317E-3</v>
      </c>
      <c r="Z12" s="4">
        <f t="shared" si="8"/>
        <v>5.2454271866069317E-3</v>
      </c>
      <c r="AA12" s="4">
        <f t="shared" si="8"/>
        <v>5.2454271866069317E-3</v>
      </c>
      <c r="AB12" s="4">
        <f t="shared" si="8"/>
        <v>5.2454271866069317E-3</v>
      </c>
      <c r="AC12" s="4">
        <f t="shared" si="8"/>
        <v>5.2454271866069317E-3</v>
      </c>
      <c r="AD12" s="4">
        <f t="shared" si="8"/>
        <v>5.2454271866069317E-3</v>
      </c>
      <c r="AE12" s="4">
        <f t="shared" si="8"/>
        <v>5.2454271866069317E-3</v>
      </c>
      <c r="AF12" s="4">
        <f t="shared" si="8"/>
        <v>5.2454271866069317E-3</v>
      </c>
      <c r="AG12" s="4">
        <f t="shared" si="8"/>
        <v>5.2454271866069317E-3</v>
      </c>
      <c r="AH12" s="4">
        <f t="shared" si="8"/>
        <v>5.2454271866069317E-3</v>
      </c>
      <c r="AI12" s="4">
        <f t="shared" si="8"/>
        <v>5.2454271866069317E-3</v>
      </c>
      <c r="AJ12" s="4">
        <f t="shared" si="8"/>
        <v>5.2454271866069317E-3</v>
      </c>
      <c r="AK12" s="4">
        <f t="shared" si="8"/>
        <v>5.2454271866069317E-3</v>
      </c>
      <c r="AL12" s="4">
        <f t="shared" si="8"/>
        <v>5.2454271866069317E-3</v>
      </c>
      <c r="AM12" s="4">
        <f t="shared" si="8"/>
        <v>5.2454271866069317E-3</v>
      </c>
      <c r="AN12" s="26">
        <f t="shared" si="8"/>
        <v>5.2454271866069317E-3</v>
      </c>
      <c r="AO12" s="10">
        <f>BNVFE!D18</f>
        <v>5.2454271866069326E-3</v>
      </c>
      <c r="AP12" s="10">
        <f>BNVFE!E18</f>
        <v>5.2454271866069326E-3</v>
      </c>
      <c r="AQ12" s="10">
        <f>BNVFE!F18</f>
        <v>5.2454271866069326E-3</v>
      </c>
      <c r="AR12" s="10">
        <f>BNVFE!G18</f>
        <v>5.2454271866069326E-3</v>
      </c>
      <c r="AS12" s="10">
        <f>BNVFE!H18</f>
        <v>5.2454271866069326E-3</v>
      </c>
      <c r="AT12" s="10">
        <f>BNVFE!I18</f>
        <v>5.2454271866069326E-3</v>
      </c>
      <c r="AU12" s="10">
        <f>BNVFE!J18</f>
        <v>5.2454271866069326E-3</v>
      </c>
      <c r="AV12" s="10">
        <f>BNVFE!K18</f>
        <v>5.2454271866069326E-3</v>
      </c>
      <c r="AW12" s="10">
        <f>BNVFE!L18</f>
        <v>5.2454271866069326E-3</v>
      </c>
      <c r="AX12" s="10">
        <f>BNVFE!M18</f>
        <v>5.2454271866069326E-3</v>
      </c>
      <c r="AY12" s="10">
        <f>BNVFE!N18</f>
        <v>5.2454271866069326E-3</v>
      </c>
      <c r="AZ12" s="10">
        <f>BNVFE!O18</f>
        <v>5.2454271866069326E-3</v>
      </c>
      <c r="BA12" s="10">
        <f>BNVFE!P18</f>
        <v>5.2454271866069326E-3</v>
      </c>
      <c r="BB12" s="10">
        <f>BNVFE!Q18</f>
        <v>5.2454271866069326E-3</v>
      </c>
      <c r="BC12" s="10">
        <f>BNVFE!R18</f>
        <v>5.2454271866069326E-3</v>
      </c>
      <c r="BD12" s="10">
        <f>BNVFE!S18</f>
        <v>5.2454271866069326E-3</v>
      </c>
      <c r="BE12" s="10">
        <f>BNVFE!T18</f>
        <v>5.2454271866069326E-3</v>
      </c>
      <c r="BF12" s="10">
        <f>BNVFE!U18</f>
        <v>5.2454271866069326E-3</v>
      </c>
      <c r="BG12" s="10">
        <f>BNVFE!V18</f>
        <v>5.2454271866069326E-3</v>
      </c>
      <c r="BH12" s="10">
        <f>BNVFE!W18</f>
        <v>5.2454271866069326E-3</v>
      </c>
      <c r="BI12" s="10">
        <f>BNVFE!X18</f>
        <v>5.2454271866069326E-3</v>
      </c>
      <c r="BJ12" s="10">
        <f>BNVFE!Y18</f>
        <v>5.2454271866069326E-3</v>
      </c>
      <c r="BK12" s="10">
        <f>BNVFE!Z18</f>
        <v>5.2454271866069326E-3</v>
      </c>
      <c r="BL12" s="10">
        <f>BNVFE!AA18</f>
        <v>5.2454271866069326E-3</v>
      </c>
      <c r="BM12" s="10">
        <f>BNVFE!AB18</f>
        <v>5.2454271866069326E-3</v>
      </c>
      <c r="BN12" s="10">
        <f>BNVFE!AC18</f>
        <v>5.2454271866069326E-3</v>
      </c>
      <c r="BO12" s="10">
        <f>BNVFE!AD18</f>
        <v>5.2454271866069326E-3</v>
      </c>
      <c r="BP12" s="10">
        <f>BNVFE!AE18</f>
        <v>5.2454271866069326E-3</v>
      </c>
      <c r="BQ12" s="10">
        <f>BNVFE!AF18</f>
        <v>5.2454271866069326E-3</v>
      </c>
      <c r="BR12" s="10">
        <f>BNVFE!AG18</f>
        <v>5.2454271866069326E-3</v>
      </c>
      <c r="BS12" s="10"/>
      <c r="BT12" s="4"/>
    </row>
    <row r="13" spans="1:72">
      <c r="A13" t="s">
        <v>54</v>
      </c>
      <c r="B13" t="s">
        <v>45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4">
        <f>TREND($AO13:$BR13,$AO$1:$BR$1,W$1)</f>
        <v>1.4345302324303025E-3</v>
      </c>
      <c r="X13" s="4">
        <f t="shared" si="8"/>
        <v>1.4345302324303025E-3</v>
      </c>
      <c r="Y13" s="4">
        <f t="shared" si="8"/>
        <v>1.4345302324303025E-3</v>
      </c>
      <c r="Z13" s="4">
        <f t="shared" si="8"/>
        <v>1.4345302324303025E-3</v>
      </c>
      <c r="AA13" s="4">
        <f t="shared" si="8"/>
        <v>1.4345302324303025E-3</v>
      </c>
      <c r="AB13" s="4">
        <f t="shared" si="8"/>
        <v>1.4345302324303025E-3</v>
      </c>
      <c r="AC13" s="4">
        <f t="shared" si="8"/>
        <v>1.4345302324303025E-3</v>
      </c>
      <c r="AD13" s="4">
        <f t="shared" si="8"/>
        <v>1.4345302324303025E-3</v>
      </c>
      <c r="AE13" s="4">
        <f t="shared" si="8"/>
        <v>1.4345302324303025E-3</v>
      </c>
      <c r="AF13" s="4">
        <f t="shared" si="8"/>
        <v>1.4345302324303025E-3</v>
      </c>
      <c r="AG13" s="4">
        <f t="shared" si="8"/>
        <v>1.4345302324303025E-3</v>
      </c>
      <c r="AH13" s="4">
        <f t="shared" si="8"/>
        <v>1.4345302324303025E-3</v>
      </c>
      <c r="AI13" s="4">
        <f t="shared" si="8"/>
        <v>1.4345302324303025E-3</v>
      </c>
      <c r="AJ13" s="4">
        <f t="shared" si="8"/>
        <v>1.4345302324303025E-3</v>
      </c>
      <c r="AK13" s="4">
        <f t="shared" si="8"/>
        <v>1.4345302324303025E-3</v>
      </c>
      <c r="AL13" s="4">
        <f t="shared" si="8"/>
        <v>1.4345302324303025E-3</v>
      </c>
      <c r="AM13" s="4">
        <f t="shared" si="8"/>
        <v>1.4345302324303025E-3</v>
      </c>
      <c r="AN13" s="26">
        <f t="shared" si="8"/>
        <v>1.4345302324303025E-3</v>
      </c>
      <c r="AO13" s="10">
        <f>BNVFE!D19</f>
        <v>1.4345302324303027E-3</v>
      </c>
      <c r="AP13" s="10">
        <f>BNVFE!E19</f>
        <v>1.4345302324303027E-3</v>
      </c>
      <c r="AQ13" s="10">
        <f>BNVFE!F19</f>
        <v>1.4345302324303027E-3</v>
      </c>
      <c r="AR13" s="10">
        <f>BNVFE!G19</f>
        <v>1.4345302324303027E-3</v>
      </c>
      <c r="AS13" s="10">
        <f>BNVFE!H19</f>
        <v>1.4345302324303027E-3</v>
      </c>
      <c r="AT13" s="10">
        <f>BNVFE!I19</f>
        <v>1.4345302324303027E-3</v>
      </c>
      <c r="AU13" s="10">
        <f>BNVFE!J19</f>
        <v>1.4345302324303027E-3</v>
      </c>
      <c r="AV13" s="10">
        <f>BNVFE!K19</f>
        <v>1.4345302324303027E-3</v>
      </c>
      <c r="AW13" s="10">
        <f>BNVFE!L19</f>
        <v>1.4345302324303027E-3</v>
      </c>
      <c r="AX13" s="10">
        <f>BNVFE!M19</f>
        <v>1.4345302324303027E-3</v>
      </c>
      <c r="AY13" s="10">
        <f>BNVFE!N19</f>
        <v>1.4345302324303027E-3</v>
      </c>
      <c r="AZ13" s="10">
        <f>BNVFE!O19</f>
        <v>1.4345302324303027E-3</v>
      </c>
      <c r="BA13" s="10">
        <f>BNVFE!P19</f>
        <v>1.4345302324303027E-3</v>
      </c>
      <c r="BB13" s="10">
        <f>BNVFE!Q19</f>
        <v>1.4345302324303027E-3</v>
      </c>
      <c r="BC13" s="10">
        <f>BNVFE!R19</f>
        <v>1.4345302324303027E-3</v>
      </c>
      <c r="BD13" s="10">
        <f>BNVFE!S19</f>
        <v>1.4345302324303027E-3</v>
      </c>
      <c r="BE13" s="10">
        <f>BNVFE!T19</f>
        <v>1.4345302324303027E-3</v>
      </c>
      <c r="BF13" s="10">
        <f>BNVFE!U19</f>
        <v>1.4345302324303027E-3</v>
      </c>
      <c r="BG13" s="10">
        <f>BNVFE!V19</f>
        <v>1.4345302324303027E-3</v>
      </c>
      <c r="BH13" s="10">
        <f>BNVFE!W19</f>
        <v>1.4345302324303027E-3</v>
      </c>
      <c r="BI13" s="10">
        <f>BNVFE!X19</f>
        <v>1.4345302324303027E-3</v>
      </c>
      <c r="BJ13" s="10">
        <f>BNVFE!Y19</f>
        <v>1.4345302324303027E-3</v>
      </c>
      <c r="BK13" s="10">
        <f>BNVFE!Z19</f>
        <v>1.4345302324303027E-3</v>
      </c>
      <c r="BL13" s="10">
        <f>BNVFE!AA19</f>
        <v>1.4345302324303027E-3</v>
      </c>
      <c r="BM13" s="10">
        <f>BNVFE!AB19</f>
        <v>1.4345302324303027E-3</v>
      </c>
      <c r="BN13" s="10">
        <f>BNVFE!AC19</f>
        <v>1.4345302324303027E-3</v>
      </c>
      <c r="BO13" s="10">
        <f>BNVFE!AD19</f>
        <v>1.4345302324303027E-3</v>
      </c>
      <c r="BP13" s="10">
        <f>BNVFE!AE19</f>
        <v>1.4345302324303027E-3</v>
      </c>
      <c r="BQ13" s="10">
        <f>BNVFE!AF19</f>
        <v>1.4345302324303027E-3</v>
      </c>
      <c r="BR13" s="10">
        <f>BNVFE!AG19</f>
        <v>1.4345302324303027E-3</v>
      </c>
      <c r="BS13" s="10"/>
      <c r="BT13" s="4"/>
    </row>
    <row r="14" spans="1:72">
      <c r="A14" t="s">
        <v>54</v>
      </c>
      <c r="B14" t="s">
        <v>47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>
        <f t="shared" ref="W14:AM14" si="9">$AO14</f>
        <v>0</v>
      </c>
      <c r="X14">
        <f t="shared" si="9"/>
        <v>0</v>
      </c>
      <c r="Y14">
        <f t="shared" si="9"/>
        <v>0</v>
      </c>
      <c r="Z14">
        <f t="shared" si="9"/>
        <v>0</v>
      </c>
      <c r="AA14">
        <f t="shared" si="9"/>
        <v>0</v>
      </c>
      <c r="AB14">
        <f t="shared" si="9"/>
        <v>0</v>
      </c>
      <c r="AC14">
        <f t="shared" si="9"/>
        <v>0</v>
      </c>
      <c r="AD14">
        <f t="shared" si="9"/>
        <v>0</v>
      </c>
      <c r="AE14">
        <f t="shared" si="9"/>
        <v>0</v>
      </c>
      <c r="AF14">
        <f t="shared" si="9"/>
        <v>0</v>
      </c>
      <c r="AG14">
        <f t="shared" si="9"/>
        <v>0</v>
      </c>
      <c r="AH14">
        <f t="shared" si="9"/>
        <v>0</v>
      </c>
      <c r="AI14">
        <f t="shared" si="9"/>
        <v>0</v>
      </c>
      <c r="AJ14">
        <f t="shared" si="9"/>
        <v>0</v>
      </c>
      <c r="AK14" s="20">
        <f t="shared" si="9"/>
        <v>0</v>
      </c>
      <c r="AL14" s="20">
        <f t="shared" si="9"/>
        <v>0</v>
      </c>
      <c r="AM14" s="20">
        <f t="shared" si="9"/>
        <v>0</v>
      </c>
      <c r="AN14" s="28">
        <f>$AO14</f>
        <v>0</v>
      </c>
      <c r="AO14" s="11">
        <f>BNVFE!D20</f>
        <v>0</v>
      </c>
      <c r="AP14" s="11">
        <f>BNVFE!E20</f>
        <v>0</v>
      </c>
      <c r="AQ14" s="11">
        <f>BNVFE!F20</f>
        <v>0</v>
      </c>
      <c r="AR14" s="11">
        <f>BNVFE!G20</f>
        <v>0</v>
      </c>
      <c r="AS14" s="11">
        <f>BNVFE!H20</f>
        <v>0</v>
      </c>
      <c r="AT14" s="11">
        <f>BNVFE!I20</f>
        <v>0</v>
      </c>
      <c r="AU14" s="11">
        <f>BNVFE!J20</f>
        <v>0</v>
      </c>
      <c r="AV14" s="11">
        <f>BNVFE!K20</f>
        <v>0</v>
      </c>
      <c r="AW14" s="11">
        <f>BNVFE!L20</f>
        <v>0</v>
      </c>
      <c r="AX14" s="11">
        <f>BNVFE!M20</f>
        <v>0</v>
      </c>
      <c r="AY14" s="11">
        <f>BNVFE!N20</f>
        <v>0</v>
      </c>
      <c r="AZ14" s="11">
        <f>BNVFE!O20</f>
        <v>0</v>
      </c>
      <c r="BA14" s="11">
        <f>BNVFE!P20</f>
        <v>0</v>
      </c>
      <c r="BB14" s="11">
        <f>BNVFE!Q20</f>
        <v>0</v>
      </c>
      <c r="BC14" s="11">
        <f>BNVFE!R20</f>
        <v>0</v>
      </c>
      <c r="BD14" s="11">
        <f>BNVFE!S20</f>
        <v>0</v>
      </c>
      <c r="BE14" s="11">
        <f>BNVFE!T20</f>
        <v>0</v>
      </c>
      <c r="BF14" s="11">
        <f>BNVFE!U20</f>
        <v>0</v>
      </c>
      <c r="BG14" s="11">
        <f>BNVFE!V20</f>
        <v>0</v>
      </c>
      <c r="BH14" s="11">
        <f>BNVFE!W20</f>
        <v>0</v>
      </c>
      <c r="BI14" s="11">
        <f>BNVFE!X20</f>
        <v>0</v>
      </c>
      <c r="BJ14" s="11">
        <f>BNVFE!Y20</f>
        <v>0</v>
      </c>
      <c r="BK14" s="11">
        <f>BNVFE!Z20</f>
        <v>0</v>
      </c>
      <c r="BL14" s="11">
        <f>BNVFE!AA20</f>
        <v>0</v>
      </c>
      <c r="BM14" s="11">
        <f>BNVFE!AB20</f>
        <v>0</v>
      </c>
      <c r="BN14" s="11">
        <f>BNVFE!AC20</f>
        <v>0</v>
      </c>
      <c r="BO14" s="11">
        <f>BNVFE!AD20</f>
        <v>0</v>
      </c>
      <c r="BP14" s="11">
        <f>BNVFE!AE20</f>
        <v>0</v>
      </c>
      <c r="BQ14" s="11">
        <f>BNVFE!AF20</f>
        <v>0</v>
      </c>
      <c r="BR14" s="11">
        <f>BNVFE!AG20</f>
        <v>0</v>
      </c>
      <c r="BS14" s="11"/>
    </row>
    <row r="15" spans="1:72">
      <c r="E15" s="22"/>
      <c r="X15" s="4"/>
      <c r="AH15" s="4"/>
      <c r="AN15" s="2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Y10"/>
  <sheetViews>
    <sheetView topLeftCell="U1" workbookViewId="0">
      <selection activeCell="AF2" sqref="AF2:AY8"/>
    </sheetView>
  </sheetViews>
  <sheetFormatPr defaultColWidth="8.85546875" defaultRowHeight="15"/>
  <cols>
    <col min="1" max="1" width="31.140625" customWidth="1"/>
  </cols>
  <sheetData>
    <row r="1" spans="1:51" ht="15.95">
      <c r="A1" s="18" t="s">
        <v>98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52</v>
      </c>
      <c r="B2" s="4">
        <f>SYFAFE!$B$2</f>
        <v>1.3018081401348375E-3</v>
      </c>
      <c r="C2" s="4">
        <f>SYFAFE!$B$2</f>
        <v>1.3018081401348375E-3</v>
      </c>
      <c r="D2" s="4">
        <f>SYFAFE!$B$2</f>
        <v>1.3018081401348375E-3</v>
      </c>
      <c r="E2" s="4">
        <f>SYFAFE!$B$2</f>
        <v>1.3018081401348375E-3</v>
      </c>
      <c r="F2" s="4">
        <f>SYFAFE!$B$2</f>
        <v>1.3018081401348375E-3</v>
      </c>
      <c r="G2" s="4">
        <f>SYFAFE!$B$2</f>
        <v>1.3018081401348375E-3</v>
      </c>
      <c r="H2" s="4">
        <f>SYFAFE!$B$2</f>
        <v>1.3018081401348375E-3</v>
      </c>
      <c r="I2" s="4">
        <f>SYFAFE!$B$2</f>
        <v>1.3018081401348375E-3</v>
      </c>
      <c r="J2" s="4">
        <f>SYFAFE!$B$2</f>
        <v>1.3018081401348375E-3</v>
      </c>
      <c r="K2" s="4">
        <f>SYFAFE!$B$2</f>
        <v>1.3018081401348375E-3</v>
      </c>
      <c r="L2" s="4">
        <f>SYFAFE!$B$2</f>
        <v>1.3018081401348375E-3</v>
      </c>
      <c r="M2" s="4">
        <f>SYFAFE!$B$2</f>
        <v>1.3018081401348375E-3</v>
      </c>
      <c r="N2" s="4">
        <f>SYFAFE!$B$2</f>
        <v>1.3018081401348375E-3</v>
      </c>
      <c r="O2" s="4">
        <f>SYFAFE!$B$2</f>
        <v>1.3018081401348375E-3</v>
      </c>
      <c r="P2" s="4">
        <f>SYFAFE!$B$2</f>
        <v>1.3018081401348375E-3</v>
      </c>
      <c r="Q2" s="4">
        <f>SYFAFE!$B$2</f>
        <v>1.3018081401348375E-3</v>
      </c>
      <c r="R2" s="4">
        <f>SYFAFE!$B$2</f>
        <v>1.3018081401348375E-3</v>
      </c>
      <c r="S2" s="4">
        <f>SYFAFE!$B$2</f>
        <v>1.3018081401348375E-3</v>
      </c>
      <c r="T2" s="4">
        <f>SYFAFE!$B$2</f>
        <v>1.3018081401348375E-3</v>
      </c>
      <c r="U2" s="4">
        <f>SYFAFE!$B$2</f>
        <v>1.3018081401348375E-3</v>
      </c>
      <c r="V2" s="4">
        <f>SYFAFE!$B$2</f>
        <v>1.3018081401348375E-3</v>
      </c>
      <c r="W2" s="4">
        <f>SYFAFE!$B$2</f>
        <v>1.3018081401348375E-3</v>
      </c>
      <c r="X2" s="4">
        <f>SYFAFE!$B$2</f>
        <v>1.3018081401348375E-3</v>
      </c>
      <c r="Y2" s="4">
        <f>SYFAFE!$B$2</f>
        <v>1.3018081401348375E-3</v>
      </c>
      <c r="Z2" s="4">
        <f>SYFAFE!$B$2</f>
        <v>1.3018081401348375E-3</v>
      </c>
      <c r="AA2" s="4">
        <f>SYFAFE!$B$2</f>
        <v>1.3018081401348375E-3</v>
      </c>
      <c r="AB2" s="4">
        <f>SYFAFE!$B$2</f>
        <v>1.3018081401348375E-3</v>
      </c>
      <c r="AC2" s="4">
        <f>SYFAFE!$B$2</f>
        <v>1.3018081401348375E-3</v>
      </c>
      <c r="AD2" s="4">
        <f>SYFAFE!$B$2</f>
        <v>1.3018081401348375E-3</v>
      </c>
      <c r="AE2" s="4">
        <f>SYFAFE!$B$2</f>
        <v>1.3018081401348375E-3</v>
      </c>
      <c r="AF2" s="4">
        <f t="shared" ref="AF2:AY2" si="0">AE2</f>
        <v>1.3018081401348375E-3</v>
      </c>
      <c r="AG2" s="4">
        <f t="shared" si="0"/>
        <v>1.3018081401348375E-3</v>
      </c>
      <c r="AH2" s="4">
        <f t="shared" si="0"/>
        <v>1.3018081401348375E-3</v>
      </c>
      <c r="AI2" s="4">
        <f t="shared" si="0"/>
        <v>1.3018081401348375E-3</v>
      </c>
      <c r="AJ2" s="4">
        <f t="shared" si="0"/>
        <v>1.3018081401348375E-3</v>
      </c>
      <c r="AK2" s="4">
        <f t="shared" si="0"/>
        <v>1.3018081401348375E-3</v>
      </c>
      <c r="AL2" s="4">
        <f t="shared" si="0"/>
        <v>1.3018081401348375E-3</v>
      </c>
      <c r="AM2" s="4">
        <f t="shared" si="0"/>
        <v>1.3018081401348375E-3</v>
      </c>
      <c r="AN2" s="4">
        <f t="shared" si="0"/>
        <v>1.3018081401348375E-3</v>
      </c>
      <c r="AO2" s="4">
        <f t="shared" si="0"/>
        <v>1.3018081401348375E-3</v>
      </c>
      <c r="AP2" s="4">
        <f t="shared" si="0"/>
        <v>1.3018081401348375E-3</v>
      </c>
      <c r="AQ2" s="4">
        <f t="shared" si="0"/>
        <v>1.3018081401348375E-3</v>
      </c>
      <c r="AR2" s="4">
        <f t="shared" si="0"/>
        <v>1.3018081401348375E-3</v>
      </c>
      <c r="AS2" s="4">
        <f t="shared" si="0"/>
        <v>1.3018081401348375E-3</v>
      </c>
      <c r="AT2" s="4">
        <f t="shared" si="0"/>
        <v>1.3018081401348375E-3</v>
      </c>
      <c r="AU2" s="4">
        <f t="shared" si="0"/>
        <v>1.3018081401348375E-3</v>
      </c>
      <c r="AV2" s="4">
        <f t="shared" si="0"/>
        <v>1.3018081401348375E-3</v>
      </c>
      <c r="AW2" s="4">
        <f t="shared" si="0"/>
        <v>1.3018081401348375E-3</v>
      </c>
      <c r="AX2" s="4">
        <f t="shared" si="0"/>
        <v>1.3018081401348375E-3</v>
      </c>
      <c r="AY2" s="4">
        <f t="shared" si="0"/>
        <v>1.3018081401348375E-3</v>
      </c>
    </row>
    <row r="3" spans="1:51">
      <c r="A3" t="s">
        <v>57</v>
      </c>
      <c r="B3" s="4">
        <f>BNVFE!B25*('BHNVFEAL-LDVs-psgr'!B$4/BNVFE!B$26)</f>
        <v>3.4315885705159878E-4</v>
      </c>
      <c r="C3" s="4">
        <f>BNVFE!C25*('BHNVFEAL-LDVs-psgr'!C$4/BNVFE!C$26)</f>
        <v>3.4251537077170018E-4</v>
      </c>
      <c r="D3" s="4">
        <f>BNVFE!D25*('BHNVFEAL-LDVs-psgr'!D$4/BNVFE!D$26)</f>
        <v>3.5067496258556929E-4</v>
      </c>
      <c r="E3" s="4">
        <f>BNVFE!E25*('BHNVFEAL-LDVs-psgr'!E$4/BNVFE!E$26)</f>
        <v>3.5195903261955489E-4</v>
      </c>
      <c r="F3" s="4">
        <f>BNVFE!F25*('BHNVFEAL-LDVs-psgr'!F$4/BNVFE!F$26)</f>
        <v>3.5537454196456301E-4</v>
      </c>
      <c r="G3" s="4">
        <f>BNVFE!G25*('BHNVFEAL-LDVs-psgr'!G$4/BNVFE!G$26)</f>
        <v>3.6001444402488291E-4</v>
      </c>
      <c r="H3" s="4">
        <f>BNVFE!H25*('BHNVFEAL-LDVs-psgr'!H$4/BNVFE!H$26)</f>
        <v>3.639117399264578E-4</v>
      </c>
      <c r="I3" s="4">
        <f>BNVFE!I25*('BHNVFEAL-LDVs-psgr'!I$4/BNVFE!I$26)</f>
        <v>3.6765602654358315E-4</v>
      </c>
      <c r="J3" s="4">
        <f>BNVFE!J25*('BHNVFEAL-LDVs-psgr'!J$4/BNVFE!J$26)</f>
        <v>3.7314346130715945E-4</v>
      </c>
      <c r="K3" s="4">
        <f>BNVFE!K25*('BHNVFEAL-LDVs-psgr'!K$4/BNVFE!K$26)</f>
        <v>3.7816127565462235E-4</v>
      </c>
      <c r="L3" s="4">
        <f>BNVFE!L25*('BHNVFEAL-LDVs-psgr'!L$4/BNVFE!L$26)</f>
        <v>3.8287720134892478E-4</v>
      </c>
      <c r="M3" s="4">
        <f>BNVFE!M25*('BHNVFEAL-LDVs-psgr'!M$4/BNVFE!M$26)</f>
        <v>3.8695589546632644E-4</v>
      </c>
      <c r="N3" s="4">
        <f>BNVFE!N25*('BHNVFEAL-LDVs-psgr'!N$4/BNVFE!N$26)</f>
        <v>3.9124659466938441E-4</v>
      </c>
      <c r="O3" s="4">
        <f>BNVFE!O25*('BHNVFEAL-LDVs-psgr'!O$4/BNVFE!O$26)</f>
        <v>3.9544274917153121E-4</v>
      </c>
      <c r="P3" s="4">
        <f>BNVFE!P25*('BHNVFEAL-LDVs-psgr'!P$4/BNVFE!P$26)</f>
        <v>4.0318106889032553E-4</v>
      </c>
      <c r="Q3" s="4">
        <f>BNVFE!Q25*('BHNVFEAL-LDVs-psgr'!Q$4/BNVFE!Q$26)</f>
        <v>4.0934602784305208E-4</v>
      </c>
      <c r="R3" s="4">
        <f>BNVFE!R25*('BHNVFEAL-LDVs-psgr'!R$4/BNVFE!R$26)</f>
        <v>4.1460859761082873E-4</v>
      </c>
      <c r="S3" s="4">
        <f>BNVFE!S25*('BHNVFEAL-LDVs-psgr'!S$4/BNVFE!S$26)</f>
        <v>4.2918095492519738E-4</v>
      </c>
      <c r="T3" s="4">
        <f>BNVFE!T25*('BHNVFEAL-LDVs-psgr'!T$4/BNVFE!T$26)</f>
        <v>4.335787303895307E-4</v>
      </c>
      <c r="U3" s="4">
        <f>BNVFE!U25*('BHNVFEAL-LDVs-psgr'!U$4/BNVFE!U$26)</f>
        <v>4.3685345470599412E-4</v>
      </c>
      <c r="V3" s="4">
        <f>BNVFE!V25*('BHNVFEAL-LDVs-psgr'!V$4/BNVFE!V$26)</f>
        <v>4.4986152668336464E-4</v>
      </c>
      <c r="W3" s="4">
        <f>BNVFE!W25*('BHNVFEAL-LDVs-psgr'!W$4/BNVFE!W$26)</f>
        <v>4.506125079279828E-4</v>
      </c>
      <c r="X3" s="4">
        <f>BNVFE!X25*('BHNVFEAL-LDVs-psgr'!X$4/BNVFE!X$26)</f>
        <v>4.5077860462753374E-4</v>
      </c>
      <c r="Y3" s="4">
        <f>BNVFE!Y25*('BHNVFEAL-LDVs-psgr'!Y$4/BNVFE!Y$26)</f>
        <v>4.5037480829452432E-4</v>
      </c>
      <c r="Z3" s="4">
        <f>BNVFE!Z25*('BHNVFEAL-LDVs-psgr'!Z$4/BNVFE!Z$26)</f>
        <v>4.5090752346333351E-4</v>
      </c>
      <c r="AA3" s="4">
        <f>BNVFE!AA25*('BHNVFEAL-LDVs-psgr'!AA$4/BNVFE!AA$26)</f>
        <v>4.5088043127990992E-4</v>
      </c>
      <c r="AB3" s="4">
        <f>BNVFE!AB25*('BHNVFEAL-LDVs-psgr'!AB$4/BNVFE!AB$26)</f>
        <v>4.5210293408135845E-4</v>
      </c>
      <c r="AC3" s="4">
        <f>BNVFE!AC25*('BHNVFEAL-LDVs-psgr'!AC$4/BNVFE!AC$26)</f>
        <v>4.5305688916845286E-4</v>
      </c>
      <c r="AD3" s="4">
        <f>BNVFE!AD25*('BHNVFEAL-LDVs-psgr'!AD$4/BNVFE!AD$26)</f>
        <v>4.5475075705116326E-4</v>
      </c>
      <c r="AE3" s="4">
        <f>BNVFE!AE25*('BHNVFEAL-LDVs-psgr'!AE$4/BNVFE!AE$26)</f>
        <v>4.5558862387767087E-4</v>
      </c>
      <c r="AF3" s="4">
        <f t="shared" ref="AF3:AY3" si="1">AE3</f>
        <v>4.5558862387767087E-4</v>
      </c>
      <c r="AG3" s="4">
        <f t="shared" si="1"/>
        <v>4.5558862387767087E-4</v>
      </c>
      <c r="AH3" s="4">
        <f t="shared" si="1"/>
        <v>4.5558862387767087E-4</v>
      </c>
      <c r="AI3" s="4">
        <f t="shared" si="1"/>
        <v>4.5558862387767087E-4</v>
      </c>
      <c r="AJ3" s="4">
        <f t="shared" si="1"/>
        <v>4.5558862387767087E-4</v>
      </c>
      <c r="AK3" s="4">
        <f t="shared" si="1"/>
        <v>4.5558862387767087E-4</v>
      </c>
      <c r="AL3" s="4">
        <f t="shared" si="1"/>
        <v>4.5558862387767087E-4</v>
      </c>
      <c r="AM3" s="4">
        <f t="shared" si="1"/>
        <v>4.5558862387767087E-4</v>
      </c>
      <c r="AN3" s="4">
        <f t="shared" si="1"/>
        <v>4.5558862387767087E-4</v>
      </c>
      <c r="AO3" s="4">
        <f t="shared" si="1"/>
        <v>4.5558862387767087E-4</v>
      </c>
      <c r="AP3" s="4">
        <f t="shared" si="1"/>
        <v>4.5558862387767087E-4</v>
      </c>
      <c r="AQ3" s="4">
        <f t="shared" si="1"/>
        <v>4.5558862387767087E-4</v>
      </c>
      <c r="AR3" s="4">
        <f t="shared" si="1"/>
        <v>4.5558862387767087E-4</v>
      </c>
      <c r="AS3" s="4">
        <f t="shared" si="1"/>
        <v>4.5558862387767087E-4</v>
      </c>
      <c r="AT3" s="4">
        <f t="shared" si="1"/>
        <v>4.5558862387767087E-4</v>
      </c>
      <c r="AU3" s="4">
        <f t="shared" si="1"/>
        <v>4.5558862387767087E-4</v>
      </c>
      <c r="AV3" s="4">
        <f t="shared" si="1"/>
        <v>4.5558862387767087E-4</v>
      </c>
      <c r="AW3" s="4">
        <f t="shared" si="1"/>
        <v>4.5558862387767087E-4</v>
      </c>
      <c r="AX3" s="4">
        <f t="shared" si="1"/>
        <v>4.5558862387767087E-4</v>
      </c>
      <c r="AY3" s="4">
        <f t="shared" si="1"/>
        <v>4.5558862387767087E-4</v>
      </c>
    </row>
    <row r="4" spans="1:51">
      <c r="A4" t="s">
        <v>46</v>
      </c>
      <c r="B4" s="4">
        <f>Extrapolations!AB2</f>
        <v>3.1934654476143933E-4</v>
      </c>
      <c r="C4" s="4">
        <f>Extrapolations!AC2</f>
        <v>3.2444322789068635E-4</v>
      </c>
      <c r="D4" s="4">
        <f>Extrapolations!AD2</f>
        <v>3.2953991101993338E-4</v>
      </c>
      <c r="E4" s="4">
        <f>Extrapolations!AE2</f>
        <v>3.346365941491804E-4</v>
      </c>
      <c r="F4" s="4">
        <f>Extrapolations!AF2</f>
        <v>3.3973327727842743E-4</v>
      </c>
      <c r="G4" s="4">
        <f>Extrapolations!AG2</f>
        <v>3.4482996040767445E-4</v>
      </c>
      <c r="H4" s="4">
        <f>Extrapolations!AH2</f>
        <v>3.4992664353692148E-4</v>
      </c>
      <c r="I4" s="4">
        <f>Extrapolations!AI2</f>
        <v>3.550233266661685E-4</v>
      </c>
      <c r="J4" s="4">
        <f>Extrapolations!AJ2</f>
        <v>3.6012000979541552E-4</v>
      </c>
      <c r="K4" s="4">
        <f>Extrapolations!AK2</f>
        <v>3.6521669292466255E-4</v>
      </c>
      <c r="L4" s="4">
        <f>Extrapolations!AL2</f>
        <v>3.7031337605390957E-4</v>
      </c>
      <c r="M4" s="4">
        <f>Extrapolations!AM2</f>
        <v>3.754100591831566E-4</v>
      </c>
      <c r="N4" s="4">
        <f>Extrapolations!AN2</f>
        <v>3.8050674231240362E-4</v>
      </c>
      <c r="O4" s="4">
        <f>Extrapolations!AO2</f>
        <v>3.8560342544165043E-4</v>
      </c>
      <c r="P4" s="4">
        <f>Extrapolations!AP2</f>
        <v>3.938977091004229E-4</v>
      </c>
      <c r="Q4" s="4">
        <f>Extrapolations!AQ2</f>
        <v>4.0102815590911211E-4</v>
      </c>
      <c r="R4" s="4">
        <f>Extrapolations!AR2</f>
        <v>4.0668872915977704E-4</v>
      </c>
      <c r="S4" s="4">
        <f>Extrapolations!AS2</f>
        <v>4.2148439524556525E-4</v>
      </c>
      <c r="T4" s="4">
        <f>Extrapolations!AT2</f>
        <v>4.2638034079782157E-4</v>
      </c>
      <c r="U4" s="4">
        <f>Extrapolations!AU2</f>
        <v>4.2993928617474374E-4</v>
      </c>
      <c r="V4" s="4">
        <f>Extrapolations!AV2</f>
        <v>4.4295232919176118E-4</v>
      </c>
      <c r="W4" s="4">
        <f>Extrapolations!AW2</f>
        <v>4.4402927119422075E-4</v>
      </c>
      <c r="X4" s="4">
        <f>Extrapolations!AX2</f>
        <v>4.4423001272194757E-4</v>
      </c>
      <c r="Y4" s="4">
        <f>Extrapolations!AY2</f>
        <v>4.4444787060954387E-4</v>
      </c>
      <c r="Z4" s="4">
        <f>Extrapolations!AZ2</f>
        <v>4.4510595798899477E-4</v>
      </c>
      <c r="AA4" s="4">
        <f>Extrapolations!BA2</f>
        <v>4.4626178063197816E-4</v>
      </c>
      <c r="AB4" s="4">
        <f>Extrapolations!BB2</f>
        <v>4.4757258182247277E-4</v>
      </c>
      <c r="AC4" s="4">
        <f>Extrapolations!BC2</f>
        <v>4.4919390205042781E-4</v>
      </c>
      <c r="AD4" s="4">
        <f>Extrapolations!BD2</f>
        <v>4.5078104437884211E-4</v>
      </c>
      <c r="AE4" s="4">
        <f>Extrapolations!BE2</f>
        <v>4.5211629450069859E-4</v>
      </c>
      <c r="AF4" s="4">
        <f t="shared" ref="AF4:AY4" si="2">AE4</f>
        <v>4.5211629450069859E-4</v>
      </c>
      <c r="AG4" s="4">
        <f t="shared" si="2"/>
        <v>4.5211629450069859E-4</v>
      </c>
      <c r="AH4" s="4">
        <f t="shared" si="2"/>
        <v>4.5211629450069859E-4</v>
      </c>
      <c r="AI4" s="4">
        <f t="shared" si="2"/>
        <v>4.5211629450069859E-4</v>
      </c>
      <c r="AJ4" s="4">
        <f t="shared" si="2"/>
        <v>4.5211629450069859E-4</v>
      </c>
      <c r="AK4" s="4">
        <f t="shared" si="2"/>
        <v>4.5211629450069859E-4</v>
      </c>
      <c r="AL4" s="4">
        <f t="shared" si="2"/>
        <v>4.5211629450069859E-4</v>
      </c>
      <c r="AM4" s="4">
        <f t="shared" si="2"/>
        <v>4.5211629450069859E-4</v>
      </c>
      <c r="AN4" s="4">
        <f t="shared" si="2"/>
        <v>4.5211629450069859E-4</v>
      </c>
      <c r="AO4" s="4">
        <f t="shared" si="2"/>
        <v>4.5211629450069859E-4</v>
      </c>
      <c r="AP4" s="4">
        <f t="shared" si="2"/>
        <v>4.5211629450069859E-4</v>
      </c>
      <c r="AQ4" s="4">
        <f t="shared" si="2"/>
        <v>4.5211629450069859E-4</v>
      </c>
      <c r="AR4" s="4">
        <f t="shared" si="2"/>
        <v>4.5211629450069859E-4</v>
      </c>
      <c r="AS4" s="4">
        <f t="shared" si="2"/>
        <v>4.5211629450069859E-4</v>
      </c>
      <c r="AT4" s="4">
        <f t="shared" si="2"/>
        <v>4.5211629450069859E-4</v>
      </c>
      <c r="AU4" s="4">
        <f t="shared" si="2"/>
        <v>4.5211629450069859E-4</v>
      </c>
      <c r="AV4" s="4">
        <f t="shared" si="2"/>
        <v>4.5211629450069859E-4</v>
      </c>
      <c r="AW4" s="4">
        <f t="shared" si="2"/>
        <v>4.5211629450069859E-4</v>
      </c>
      <c r="AX4" s="4">
        <f t="shared" si="2"/>
        <v>4.5211629450069859E-4</v>
      </c>
      <c r="AY4" s="4">
        <f t="shared" si="2"/>
        <v>4.5211629450069859E-4</v>
      </c>
    </row>
    <row r="5" spans="1:51">
      <c r="A5" t="s">
        <v>49</v>
      </c>
      <c r="B5" s="4">
        <f>BNVFE!B27*('BHNVFEAL-LDVs-psgr'!B$4/BNVFE!B$26)</f>
        <v>3.3512581471667653E-4</v>
      </c>
      <c r="C5" s="4">
        <f>BNVFE!C27*('BHNVFEAL-LDVs-psgr'!C$4/BNVFE!C$26)</f>
        <v>3.4245229349232932E-4</v>
      </c>
      <c r="D5" s="4">
        <f>BNVFE!D27*('BHNVFEAL-LDVs-psgr'!D$4/BNVFE!D$26)</f>
        <v>3.4406917165453311E-4</v>
      </c>
      <c r="E5" s="4">
        <f>BNVFE!E27*('BHNVFEAL-LDVs-psgr'!E$4/BNVFE!E$26)</f>
        <v>3.4697346123362365E-4</v>
      </c>
      <c r="F5" s="4">
        <f>BNVFE!F27*('BHNVFEAL-LDVs-psgr'!F$4/BNVFE!F$26)</f>
        <v>3.4874483652143026E-4</v>
      </c>
      <c r="G5" s="4">
        <f>BNVFE!G27*('BHNVFEAL-LDVs-psgr'!G$4/BNVFE!G$26)</f>
        <v>3.5370414497766343E-4</v>
      </c>
      <c r="H5" s="4">
        <f>BNVFE!H27*('BHNVFEAL-LDVs-psgr'!H$4/BNVFE!H$26)</f>
        <v>3.5748141045927891E-4</v>
      </c>
      <c r="I5" s="4">
        <f>BNVFE!I27*('BHNVFEAL-LDVs-psgr'!I$4/BNVFE!I$26)</f>
        <v>3.5749415666950872E-4</v>
      </c>
      <c r="J5" s="4">
        <f>BNVFE!J27*('BHNVFEAL-LDVs-psgr'!J$4/BNVFE!J$26)</f>
        <v>3.6235643503264504E-4</v>
      </c>
      <c r="K5" s="4">
        <f>BNVFE!K27*('BHNVFEAL-LDVs-psgr'!K$4/BNVFE!K$26)</f>
        <v>3.6748826347409249E-4</v>
      </c>
      <c r="L5" s="4">
        <f>BNVFE!L27*('BHNVFEAL-LDVs-psgr'!L$4/BNVFE!L$26)</f>
        <v>3.7303479369352893E-4</v>
      </c>
      <c r="M5" s="4">
        <f>BNVFE!M27*('BHNVFEAL-LDVs-psgr'!M$4/BNVFE!M$26)</f>
        <v>3.7811660081257293E-4</v>
      </c>
      <c r="N5" s="4">
        <f>BNVFE!N27*('BHNVFEAL-LDVs-psgr'!N$4/BNVFE!N$26)</f>
        <v>3.8341325223429322E-4</v>
      </c>
      <c r="O5" s="4">
        <f>BNVFE!O27*('BHNVFEAL-LDVs-psgr'!O$4/BNVFE!O$26)</f>
        <v>3.8852258026095287E-4</v>
      </c>
      <c r="P5" s="4">
        <f>BNVFE!P27*('BHNVFEAL-LDVs-psgr'!P$4/BNVFE!P$26)</f>
        <v>3.9691083411764322E-4</v>
      </c>
      <c r="Q5" s="4">
        <f>BNVFE!Q27*('BHNVFEAL-LDVs-psgr'!Q$4/BNVFE!Q$26)</f>
        <v>4.0360184206400415E-4</v>
      </c>
      <c r="R5" s="4">
        <f>BNVFE!R27*('BHNVFEAL-LDVs-psgr'!R$4/BNVFE!R$26)</f>
        <v>4.0936996335181616E-4</v>
      </c>
      <c r="S5" s="4">
        <f>BNVFE!S27*('BHNVFEAL-LDVs-psgr'!S$4/BNVFE!S$26)</f>
        <v>4.2432654051018792E-4</v>
      </c>
      <c r="T5" s="4">
        <f>BNVFE!T27*('BHNVFEAL-LDVs-psgr'!T$4/BNVFE!T$26)</f>
        <v>4.2874453818290829E-4</v>
      </c>
      <c r="U5" s="4">
        <f>BNVFE!U27*('BHNVFEAL-LDVs-psgr'!U$4/BNVFE!U$26)</f>
        <v>4.3247026795349556E-4</v>
      </c>
      <c r="V5" s="4">
        <f>BNVFE!V27*('BHNVFEAL-LDVs-psgr'!V$4/BNVFE!V$26)</f>
        <v>4.4583172593973757E-4</v>
      </c>
      <c r="W5" s="4">
        <f>BNVFE!W27*('BHNVFEAL-LDVs-psgr'!W$4/BNVFE!W$26)</f>
        <v>4.4698471930671959E-4</v>
      </c>
      <c r="X5" s="4">
        <f>BNVFE!X27*('BHNVFEAL-LDVs-psgr'!X$4/BNVFE!X$26)</f>
        <v>4.4773240473439335E-4</v>
      </c>
      <c r="Y5" s="4">
        <f>BNVFE!Y27*('BHNVFEAL-LDVs-psgr'!Y$4/BNVFE!Y$26)</f>
        <v>4.4797035817470312E-4</v>
      </c>
      <c r="Z5" s="4">
        <f>BNVFE!Z27*('BHNVFEAL-LDVs-psgr'!Z$4/BNVFE!Z$26)</f>
        <v>4.4893505361214171E-4</v>
      </c>
      <c r="AA5" s="4">
        <f>BNVFE!AA27*('BHNVFEAL-LDVs-psgr'!AA$4/BNVFE!AA$26)</f>
        <v>4.4958420464541509E-4</v>
      </c>
      <c r="AB5" s="4">
        <f>BNVFE!AB27*('BHNVFEAL-LDVs-psgr'!AB$4/BNVFE!AB$26)</f>
        <v>4.5121660426941369E-4</v>
      </c>
      <c r="AC5" s="4">
        <f>BNVFE!AC27*('BHNVFEAL-LDVs-psgr'!AC$4/BNVFE!AC$26)</f>
        <v>4.5260577332722303E-4</v>
      </c>
      <c r="AD5" s="4">
        <f>BNVFE!AD27*('BHNVFEAL-LDVs-psgr'!AD$4/BNVFE!AD$26)</f>
        <v>4.5404421104897877E-4</v>
      </c>
      <c r="AE5" s="4">
        <f>BNVFE!AE27*('BHNVFEAL-LDVs-psgr'!AE$4/BNVFE!AE$26)</f>
        <v>4.5519387436306075E-4</v>
      </c>
      <c r="AF5" s="4">
        <f t="shared" ref="AF5:AY5" si="3">AE5</f>
        <v>4.5519387436306075E-4</v>
      </c>
      <c r="AG5" s="4">
        <f t="shared" si="3"/>
        <v>4.5519387436306075E-4</v>
      </c>
      <c r="AH5" s="4">
        <f t="shared" si="3"/>
        <v>4.5519387436306075E-4</v>
      </c>
      <c r="AI5" s="4">
        <f t="shared" si="3"/>
        <v>4.5519387436306075E-4</v>
      </c>
      <c r="AJ5" s="4">
        <f t="shared" si="3"/>
        <v>4.5519387436306075E-4</v>
      </c>
      <c r="AK5" s="4">
        <f t="shared" si="3"/>
        <v>4.5519387436306075E-4</v>
      </c>
      <c r="AL5" s="4">
        <f t="shared" si="3"/>
        <v>4.5519387436306075E-4</v>
      </c>
      <c r="AM5" s="4">
        <f t="shared" si="3"/>
        <v>4.5519387436306075E-4</v>
      </c>
      <c r="AN5" s="4">
        <f t="shared" si="3"/>
        <v>4.5519387436306075E-4</v>
      </c>
      <c r="AO5" s="4">
        <f t="shared" si="3"/>
        <v>4.5519387436306075E-4</v>
      </c>
      <c r="AP5" s="4">
        <f t="shared" si="3"/>
        <v>4.5519387436306075E-4</v>
      </c>
      <c r="AQ5" s="4">
        <f t="shared" si="3"/>
        <v>4.5519387436306075E-4</v>
      </c>
      <c r="AR5" s="4">
        <f t="shared" si="3"/>
        <v>4.5519387436306075E-4</v>
      </c>
      <c r="AS5" s="4">
        <f t="shared" si="3"/>
        <v>4.5519387436306075E-4</v>
      </c>
      <c r="AT5" s="4">
        <f t="shared" si="3"/>
        <v>4.5519387436306075E-4</v>
      </c>
      <c r="AU5" s="4">
        <f t="shared" si="3"/>
        <v>4.5519387436306075E-4</v>
      </c>
      <c r="AV5" s="4">
        <f t="shared" si="3"/>
        <v>4.5519387436306075E-4</v>
      </c>
      <c r="AW5" s="4">
        <f t="shared" si="3"/>
        <v>4.5519387436306075E-4</v>
      </c>
      <c r="AX5" s="4">
        <f t="shared" si="3"/>
        <v>4.5519387436306075E-4</v>
      </c>
      <c r="AY5" s="4">
        <f t="shared" si="3"/>
        <v>4.5519387436306075E-4</v>
      </c>
    </row>
    <row r="6" spans="1:51">
      <c r="A6" t="s">
        <v>58</v>
      </c>
      <c r="B6" s="4">
        <f>BNVFE!B28*('BHNVFEAL-LDVs-psgr'!B$4/BNVFE!B$26)</f>
        <v>5.4259676434598647E-4</v>
      </c>
      <c r="C6" s="4">
        <f>BNVFE!C28*('BHNVFEAL-LDVs-psgr'!C$4/BNVFE!C$26)</f>
        <v>4.9844215168280475E-4</v>
      </c>
      <c r="D6" s="4">
        <f>BNVFE!D28*('BHNVFEAL-LDVs-psgr'!D$4/BNVFE!D$26)</f>
        <v>4.9428094904465346E-4</v>
      </c>
      <c r="E6" s="4">
        <f>BNVFE!E28*('BHNVFEAL-LDVs-psgr'!E$4/BNVFE!E$26)</f>
        <v>5.0544144667222896E-4</v>
      </c>
      <c r="F6" s="4">
        <f>BNVFE!F28*('BHNVFEAL-LDVs-psgr'!F$4/BNVFE!F$26)</f>
        <v>5.1354790995754805E-4</v>
      </c>
      <c r="G6" s="4">
        <f>BNVFE!G28*('BHNVFEAL-LDVs-psgr'!G$4/BNVFE!G$26)</f>
        <v>5.235657577332682E-4</v>
      </c>
      <c r="H6" s="4">
        <f>BNVFE!H28*('BHNVFEAL-LDVs-psgr'!H$4/BNVFE!H$26)</f>
        <v>5.332117943345761E-4</v>
      </c>
      <c r="I6" s="4">
        <f>BNVFE!I28*('BHNVFEAL-LDVs-psgr'!I$4/BNVFE!I$26)</f>
        <v>5.3854348287996328E-4</v>
      </c>
      <c r="J6" s="4">
        <f>BNVFE!J28*('BHNVFEAL-LDVs-psgr'!J$4/BNVFE!J$26)</f>
        <v>5.480703765526247E-4</v>
      </c>
      <c r="K6" s="4">
        <f>BNVFE!K28*('BHNVFEAL-LDVs-psgr'!K$4/BNVFE!K$26)</f>
        <v>5.5850410433932053E-4</v>
      </c>
      <c r="L6" s="4">
        <f>BNVFE!L28*('BHNVFEAL-LDVs-psgr'!L$4/BNVFE!L$26)</f>
        <v>5.6682105141791681E-4</v>
      </c>
      <c r="M6" s="4">
        <f>BNVFE!M28*('BHNVFEAL-LDVs-psgr'!M$4/BNVFE!M$26)</f>
        <v>5.7557356682662623E-4</v>
      </c>
      <c r="N6" s="4">
        <f>BNVFE!N28*('BHNVFEAL-LDVs-psgr'!N$4/BNVFE!N$26)</f>
        <v>5.8408796944263018E-4</v>
      </c>
      <c r="O6" s="4">
        <f>BNVFE!O28*('BHNVFEAL-LDVs-psgr'!O$4/BNVFE!O$26)</f>
        <v>5.9260835157877673E-4</v>
      </c>
      <c r="P6" s="4">
        <f>BNVFE!P28*('BHNVFEAL-LDVs-psgr'!P$4/BNVFE!P$26)</f>
        <v>6.0566050635881105E-4</v>
      </c>
      <c r="Q6" s="4">
        <f>BNVFE!Q28*('BHNVFEAL-LDVs-psgr'!Q$4/BNVFE!Q$26)</f>
        <v>6.1695221183796919E-4</v>
      </c>
      <c r="R6" s="4">
        <f>BNVFE!R28*('BHNVFEAL-LDVs-psgr'!R$4/BNVFE!R$26)</f>
        <v>6.2584880879500203E-4</v>
      </c>
      <c r="S6" s="4">
        <f>BNVFE!S28*('BHNVFEAL-LDVs-psgr'!S$4/BNVFE!S$26)</f>
        <v>6.4884800781915975E-4</v>
      </c>
      <c r="T6" s="4">
        <f>BNVFE!T28*('BHNVFEAL-LDVs-psgr'!T$4/BNVFE!T$26)</f>
        <v>6.5610387706092899E-4</v>
      </c>
      <c r="U6" s="4">
        <f>BNVFE!U28*('BHNVFEAL-LDVs-psgr'!U$4/BNVFE!U$26)</f>
        <v>6.6186403829994044E-4</v>
      </c>
      <c r="V6" s="4">
        <f>BNVFE!V28*('BHNVFEAL-LDVs-psgr'!V$4/BNVFE!V$26)</f>
        <v>6.8201670982440869E-4</v>
      </c>
      <c r="W6" s="4">
        <f>BNVFE!W28*('BHNVFEAL-LDVs-psgr'!W$4/BNVFE!W$26)</f>
        <v>6.8398414084949516E-4</v>
      </c>
      <c r="X6" s="4">
        <f>BNVFE!X28*('BHNVFEAL-LDVs-psgr'!X$4/BNVFE!X$26)</f>
        <v>6.847459982390736E-4</v>
      </c>
      <c r="Y6" s="4">
        <f>BNVFE!Y28*('BHNVFEAL-LDVs-psgr'!Y$4/BNVFE!Y$26)</f>
        <v>6.8565057452186899E-4</v>
      </c>
      <c r="Z6" s="4">
        <f>BNVFE!Z28*('BHNVFEAL-LDVs-psgr'!Z$4/BNVFE!Z$26)</f>
        <v>6.8714196442322276E-4</v>
      </c>
      <c r="AA6" s="4">
        <f>BNVFE!AA28*('BHNVFEAL-LDVs-psgr'!AA$4/BNVFE!AA$26)</f>
        <v>6.892498228308697E-4</v>
      </c>
      <c r="AB6" s="4">
        <f>BNVFE!AB28*('BHNVFEAL-LDVs-psgr'!AB$4/BNVFE!AB$26)</f>
        <v>6.9159375787861133E-4</v>
      </c>
      <c r="AC6" s="4">
        <f>BNVFE!AC28*('BHNVFEAL-LDVs-psgr'!AC$4/BNVFE!AC$26)</f>
        <v>6.942944886231706E-4</v>
      </c>
      <c r="AD6" s="4">
        <f>BNVFE!AD28*('BHNVFEAL-LDVs-psgr'!AD$4/BNVFE!AD$26)</f>
        <v>6.9600264074737327E-4</v>
      </c>
      <c r="AE6" s="4">
        <f>BNVFE!AE28*('BHNVFEAL-LDVs-psgr'!AE$4/BNVFE!AE$26)</f>
        <v>6.98292220994049E-4</v>
      </c>
      <c r="AF6" s="4">
        <f t="shared" ref="AF6:AY6" si="4">AE6</f>
        <v>6.98292220994049E-4</v>
      </c>
      <c r="AG6" s="4">
        <f t="shared" si="4"/>
        <v>6.98292220994049E-4</v>
      </c>
      <c r="AH6" s="4">
        <f t="shared" si="4"/>
        <v>6.98292220994049E-4</v>
      </c>
      <c r="AI6" s="4">
        <f t="shared" si="4"/>
        <v>6.98292220994049E-4</v>
      </c>
      <c r="AJ6" s="4">
        <f t="shared" si="4"/>
        <v>6.98292220994049E-4</v>
      </c>
      <c r="AK6" s="4">
        <f t="shared" si="4"/>
        <v>6.98292220994049E-4</v>
      </c>
      <c r="AL6" s="4">
        <f t="shared" si="4"/>
        <v>6.98292220994049E-4</v>
      </c>
      <c r="AM6" s="4">
        <f t="shared" si="4"/>
        <v>6.98292220994049E-4</v>
      </c>
      <c r="AN6" s="4">
        <f t="shared" si="4"/>
        <v>6.98292220994049E-4</v>
      </c>
      <c r="AO6" s="4">
        <f t="shared" si="4"/>
        <v>6.98292220994049E-4</v>
      </c>
      <c r="AP6" s="4">
        <f t="shared" si="4"/>
        <v>6.98292220994049E-4</v>
      </c>
      <c r="AQ6" s="4">
        <f t="shared" si="4"/>
        <v>6.98292220994049E-4</v>
      </c>
      <c r="AR6" s="4">
        <f t="shared" si="4"/>
        <v>6.98292220994049E-4</v>
      </c>
      <c r="AS6" s="4">
        <f t="shared" si="4"/>
        <v>6.98292220994049E-4</v>
      </c>
      <c r="AT6" s="4">
        <f t="shared" si="4"/>
        <v>6.98292220994049E-4</v>
      </c>
      <c r="AU6" s="4">
        <f t="shared" si="4"/>
        <v>6.98292220994049E-4</v>
      </c>
      <c r="AV6" s="4">
        <f t="shared" si="4"/>
        <v>6.98292220994049E-4</v>
      </c>
      <c r="AW6" s="4">
        <f t="shared" si="4"/>
        <v>6.98292220994049E-4</v>
      </c>
      <c r="AX6" s="4">
        <f t="shared" si="4"/>
        <v>6.98292220994049E-4</v>
      </c>
      <c r="AY6" s="4">
        <f t="shared" si="4"/>
        <v>6.98292220994049E-4</v>
      </c>
    </row>
    <row r="7" spans="1:51">
      <c r="A7" t="s">
        <v>59</v>
      </c>
      <c r="B7" s="4">
        <f>BNVFE!B29*('BHNVFEAL-LDVs-psgr'!B$4/BNVFE!B$26)</f>
        <v>2.9851931548825495E-4</v>
      </c>
      <c r="C7" s="4">
        <f>BNVFE!C29*('BHNVFEAL-LDVs-psgr'!C$4/BNVFE!C$26)</f>
        <v>2.9611637385514933E-4</v>
      </c>
      <c r="D7" s="4">
        <f>BNVFE!D29*('BHNVFEAL-LDVs-psgr'!D$4/BNVFE!D$26)</f>
        <v>3.0864864876083039E-4</v>
      </c>
      <c r="E7" s="4">
        <f>BNVFE!E29*('BHNVFEAL-LDVs-psgr'!E$4/BNVFE!E$26)</f>
        <v>3.1244244159283816E-4</v>
      </c>
      <c r="F7" s="4">
        <f>BNVFE!F29*('BHNVFEAL-LDVs-psgr'!F$4/BNVFE!F$26)</f>
        <v>3.1581777796216959E-4</v>
      </c>
      <c r="G7" s="4">
        <f>BNVFE!G29*('BHNVFEAL-LDVs-psgr'!G$4/BNVFE!G$26)</f>
        <v>3.2252933414421414E-4</v>
      </c>
      <c r="H7" s="4">
        <f>BNVFE!H29*('BHNVFEAL-LDVs-psgr'!H$4/BNVFE!H$26)</f>
        <v>3.2650305158812983E-4</v>
      </c>
      <c r="I7" s="4">
        <f>BNVFE!I29*('BHNVFEAL-LDVs-psgr'!I$4/BNVFE!I$26)</f>
        <v>3.298413438909791E-4</v>
      </c>
      <c r="J7" s="4">
        <f>BNVFE!J29*('BHNVFEAL-LDVs-psgr'!J$4/BNVFE!J$26)</f>
        <v>3.3467812200296891E-4</v>
      </c>
      <c r="K7" s="4">
        <f>BNVFE!K29*('BHNVFEAL-LDVs-psgr'!K$4/BNVFE!K$26)</f>
        <v>3.3946891525767797E-4</v>
      </c>
      <c r="L7" s="4">
        <f>BNVFE!L29*('BHNVFEAL-LDVs-psgr'!L$4/BNVFE!L$26)</f>
        <v>3.443429612582203E-4</v>
      </c>
      <c r="M7" s="4">
        <f>BNVFE!M29*('BHNVFEAL-LDVs-psgr'!M$4/BNVFE!M$26)</f>
        <v>3.4903323609280015E-4</v>
      </c>
      <c r="N7" s="4">
        <f>BNVFE!N29*('BHNVFEAL-LDVs-psgr'!N$4/BNVFE!N$26)</f>
        <v>3.5398645802132289E-4</v>
      </c>
      <c r="O7" s="4">
        <f>BNVFE!O29*('BHNVFEAL-LDVs-psgr'!O$4/BNVFE!O$26)</f>
        <v>3.5879720000574574E-4</v>
      </c>
      <c r="P7" s="4">
        <f>BNVFE!P29*('BHNVFEAL-LDVs-psgr'!P$4/BNVFE!P$26)</f>
        <v>3.6640237644490118E-4</v>
      </c>
      <c r="Q7" s="4">
        <f>BNVFE!Q29*('BHNVFEAL-LDVs-psgr'!Q$4/BNVFE!Q$26)</f>
        <v>3.7239565881871939E-4</v>
      </c>
      <c r="R7" s="4">
        <f>BNVFE!R29*('BHNVFEAL-LDVs-psgr'!R$4/BNVFE!R$26)</f>
        <v>3.774190063766538E-4</v>
      </c>
      <c r="S7" s="4">
        <f>BNVFE!S29*('BHNVFEAL-LDVs-psgr'!S$4/BNVFE!S$26)</f>
        <v>3.9091723865015179E-4</v>
      </c>
      <c r="T7" s="4">
        <f>BNVFE!T29*('BHNVFEAL-LDVs-psgr'!T$4/BNVFE!T$26)</f>
        <v>3.9480284431652184E-4</v>
      </c>
      <c r="U7" s="4">
        <f>BNVFE!U29*('BHNVFEAL-LDVs-psgr'!U$4/BNVFE!U$26)</f>
        <v>3.9793376599498131E-4</v>
      </c>
      <c r="V7" s="4">
        <f>BNVFE!V29*('BHNVFEAL-LDVs-psgr'!V$4/BNVFE!V$26)</f>
        <v>4.0979648620174003E-4</v>
      </c>
      <c r="W7" s="4">
        <f>BNVFE!W29*('BHNVFEAL-LDVs-psgr'!W$4/BNVFE!W$26)</f>
        <v>4.1043903049645998E-4</v>
      </c>
      <c r="X7" s="4">
        <f>BNVFE!X29*('BHNVFEAL-LDVs-psgr'!X$4/BNVFE!X$26)</f>
        <v>4.1049272682690713E-4</v>
      </c>
      <c r="Y7" s="4">
        <f>BNVFE!Y29*('BHNVFEAL-LDVs-psgr'!Y$4/BNVFE!Y$26)</f>
        <v>4.1011782453415828E-4</v>
      </c>
      <c r="Z7" s="4">
        <f>BNVFE!Z29*('BHNVFEAL-LDVs-psgr'!Z$4/BNVFE!Z$26)</f>
        <v>4.1042930024698523E-4</v>
      </c>
      <c r="AA7" s="4">
        <f>BNVFE!AA29*('BHNVFEAL-LDVs-psgr'!AA$4/BNVFE!AA$26)</f>
        <v>4.1019288699596694E-4</v>
      </c>
      <c r="AB7" s="4">
        <f>BNVFE!AB29*('BHNVFEAL-LDVs-psgr'!AB$4/BNVFE!AB$26)</f>
        <v>4.1131214355959064E-4</v>
      </c>
      <c r="AC7" s="4">
        <f>BNVFE!AC29*('BHNVFEAL-LDVs-psgr'!AC$4/BNVFE!AC$26)</f>
        <v>4.1213021542511836E-4</v>
      </c>
      <c r="AD7" s="4">
        <f>BNVFE!AD29*('BHNVFEAL-LDVs-psgr'!AD$4/BNVFE!AD$26)</f>
        <v>4.1292459644126167E-4</v>
      </c>
      <c r="AE7" s="4">
        <f>BNVFE!AE29*('BHNVFEAL-LDVs-psgr'!AE$4/BNVFE!AE$26)</f>
        <v>4.135134570368764E-4</v>
      </c>
      <c r="AF7" s="4">
        <f t="shared" ref="AF7:AY7" si="5">AE7</f>
        <v>4.135134570368764E-4</v>
      </c>
      <c r="AG7" s="4">
        <f t="shared" si="5"/>
        <v>4.135134570368764E-4</v>
      </c>
      <c r="AH7" s="4">
        <f t="shared" si="5"/>
        <v>4.135134570368764E-4</v>
      </c>
      <c r="AI7" s="4">
        <f t="shared" si="5"/>
        <v>4.135134570368764E-4</v>
      </c>
      <c r="AJ7" s="4">
        <f t="shared" si="5"/>
        <v>4.135134570368764E-4</v>
      </c>
      <c r="AK7" s="4">
        <f t="shared" si="5"/>
        <v>4.135134570368764E-4</v>
      </c>
      <c r="AL7" s="4">
        <f t="shared" si="5"/>
        <v>4.135134570368764E-4</v>
      </c>
      <c r="AM7" s="4">
        <f t="shared" si="5"/>
        <v>4.135134570368764E-4</v>
      </c>
      <c r="AN7" s="4">
        <f t="shared" si="5"/>
        <v>4.135134570368764E-4</v>
      </c>
      <c r="AO7" s="4">
        <f t="shared" si="5"/>
        <v>4.135134570368764E-4</v>
      </c>
      <c r="AP7" s="4">
        <f t="shared" si="5"/>
        <v>4.135134570368764E-4</v>
      </c>
      <c r="AQ7" s="4">
        <f t="shared" si="5"/>
        <v>4.135134570368764E-4</v>
      </c>
      <c r="AR7" s="4">
        <f t="shared" si="5"/>
        <v>4.135134570368764E-4</v>
      </c>
      <c r="AS7" s="4">
        <f t="shared" si="5"/>
        <v>4.135134570368764E-4</v>
      </c>
      <c r="AT7" s="4">
        <f t="shared" si="5"/>
        <v>4.135134570368764E-4</v>
      </c>
      <c r="AU7" s="4">
        <f t="shared" si="5"/>
        <v>4.135134570368764E-4</v>
      </c>
      <c r="AV7" s="4">
        <f t="shared" si="5"/>
        <v>4.135134570368764E-4</v>
      </c>
      <c r="AW7" s="4">
        <f t="shared" si="5"/>
        <v>4.135134570368764E-4</v>
      </c>
      <c r="AX7" s="4">
        <f t="shared" si="5"/>
        <v>4.135134570368764E-4</v>
      </c>
      <c r="AY7" s="4">
        <f t="shared" si="5"/>
        <v>4.135134570368764E-4</v>
      </c>
    </row>
    <row r="8" spans="1:51">
      <c r="A8" t="s">
        <v>60</v>
      </c>
      <c r="B8" s="4">
        <f>SYFAFE!$H$2</f>
        <v>5.8506340922459044E-4</v>
      </c>
      <c r="C8" s="4">
        <f t="shared" ref="C8:AE8" si="6">B8</f>
        <v>5.8506340922459044E-4</v>
      </c>
      <c r="D8" s="4">
        <f t="shared" si="6"/>
        <v>5.8506340922459044E-4</v>
      </c>
      <c r="E8" s="4">
        <f t="shared" si="6"/>
        <v>5.8506340922459044E-4</v>
      </c>
      <c r="F8" s="4">
        <f t="shared" si="6"/>
        <v>5.8506340922459044E-4</v>
      </c>
      <c r="G8" s="4">
        <f t="shared" si="6"/>
        <v>5.8506340922459044E-4</v>
      </c>
      <c r="H8" s="4">
        <f t="shared" si="6"/>
        <v>5.8506340922459044E-4</v>
      </c>
      <c r="I8" s="4">
        <f t="shared" si="6"/>
        <v>5.8506340922459044E-4</v>
      </c>
      <c r="J8" s="4">
        <f t="shared" si="6"/>
        <v>5.8506340922459044E-4</v>
      </c>
      <c r="K8" s="4">
        <f t="shared" si="6"/>
        <v>5.8506340922459044E-4</v>
      </c>
      <c r="L8" s="4">
        <f t="shared" si="6"/>
        <v>5.8506340922459044E-4</v>
      </c>
      <c r="M8" s="4">
        <f t="shared" si="6"/>
        <v>5.8506340922459044E-4</v>
      </c>
      <c r="N8" s="4">
        <f t="shared" si="6"/>
        <v>5.8506340922459044E-4</v>
      </c>
      <c r="O8" s="4">
        <f t="shared" si="6"/>
        <v>5.8506340922459044E-4</v>
      </c>
      <c r="P8" s="4">
        <f t="shared" si="6"/>
        <v>5.8506340922459044E-4</v>
      </c>
      <c r="Q8" s="4">
        <f t="shared" si="6"/>
        <v>5.8506340922459044E-4</v>
      </c>
      <c r="R8" s="4">
        <f t="shared" si="6"/>
        <v>5.8506340922459044E-4</v>
      </c>
      <c r="S8" s="4">
        <f t="shared" si="6"/>
        <v>5.8506340922459044E-4</v>
      </c>
      <c r="T8" s="4">
        <f t="shared" si="6"/>
        <v>5.8506340922459044E-4</v>
      </c>
      <c r="U8" s="4">
        <f t="shared" si="6"/>
        <v>5.8506340922459044E-4</v>
      </c>
      <c r="V8" s="4">
        <f t="shared" si="6"/>
        <v>5.8506340922459044E-4</v>
      </c>
      <c r="W8" s="4">
        <f t="shared" si="6"/>
        <v>5.8506340922459044E-4</v>
      </c>
      <c r="X8" s="4">
        <f t="shared" si="6"/>
        <v>5.8506340922459044E-4</v>
      </c>
      <c r="Y8" s="4">
        <f t="shared" si="6"/>
        <v>5.8506340922459044E-4</v>
      </c>
      <c r="Z8" s="4">
        <f t="shared" si="6"/>
        <v>5.8506340922459044E-4</v>
      </c>
      <c r="AA8" s="4">
        <f t="shared" si="6"/>
        <v>5.8506340922459044E-4</v>
      </c>
      <c r="AB8" s="4">
        <f t="shared" si="6"/>
        <v>5.8506340922459044E-4</v>
      </c>
      <c r="AC8" s="4">
        <f t="shared" si="6"/>
        <v>5.8506340922459044E-4</v>
      </c>
      <c r="AD8" s="4">
        <f t="shared" si="6"/>
        <v>5.8506340922459044E-4</v>
      </c>
      <c r="AE8" s="4">
        <f t="shared" si="6"/>
        <v>5.8506340922459044E-4</v>
      </c>
      <c r="AF8" s="4">
        <f t="shared" ref="AF8:AY8" si="7">AE8</f>
        <v>5.8506340922459044E-4</v>
      </c>
      <c r="AG8" s="4">
        <f t="shared" si="7"/>
        <v>5.8506340922459044E-4</v>
      </c>
      <c r="AH8" s="4">
        <f t="shared" si="7"/>
        <v>5.8506340922459044E-4</v>
      </c>
      <c r="AI8" s="4">
        <f t="shared" si="7"/>
        <v>5.8506340922459044E-4</v>
      </c>
      <c r="AJ8" s="4">
        <f t="shared" si="7"/>
        <v>5.8506340922459044E-4</v>
      </c>
      <c r="AK8" s="4">
        <f t="shared" si="7"/>
        <v>5.8506340922459044E-4</v>
      </c>
      <c r="AL8" s="4">
        <f t="shared" si="7"/>
        <v>5.8506340922459044E-4</v>
      </c>
      <c r="AM8" s="4">
        <f t="shared" si="7"/>
        <v>5.8506340922459044E-4</v>
      </c>
      <c r="AN8" s="4">
        <f t="shared" si="7"/>
        <v>5.8506340922459044E-4</v>
      </c>
      <c r="AO8" s="4">
        <f t="shared" si="7"/>
        <v>5.8506340922459044E-4</v>
      </c>
      <c r="AP8" s="4">
        <f t="shared" si="7"/>
        <v>5.8506340922459044E-4</v>
      </c>
      <c r="AQ8" s="4">
        <f t="shared" si="7"/>
        <v>5.8506340922459044E-4</v>
      </c>
      <c r="AR8" s="4">
        <f t="shared" si="7"/>
        <v>5.8506340922459044E-4</v>
      </c>
      <c r="AS8" s="4">
        <f t="shared" si="7"/>
        <v>5.8506340922459044E-4</v>
      </c>
      <c r="AT8" s="4">
        <f t="shared" si="7"/>
        <v>5.8506340922459044E-4</v>
      </c>
      <c r="AU8" s="4">
        <f t="shared" si="7"/>
        <v>5.8506340922459044E-4</v>
      </c>
      <c r="AV8" s="4">
        <f t="shared" si="7"/>
        <v>5.8506340922459044E-4</v>
      </c>
      <c r="AW8" s="4">
        <f t="shared" si="7"/>
        <v>5.8506340922459044E-4</v>
      </c>
      <c r="AX8" s="4">
        <f t="shared" si="7"/>
        <v>5.8506340922459044E-4</v>
      </c>
      <c r="AY8" s="4">
        <f t="shared" si="7"/>
        <v>5.8506340922459044E-4</v>
      </c>
    </row>
    <row r="10" spans="1:51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Y8"/>
  <sheetViews>
    <sheetView topLeftCell="V1" workbookViewId="0">
      <selection activeCell="AF2" sqref="AF2:AY8"/>
    </sheetView>
  </sheetViews>
  <sheetFormatPr defaultColWidth="8.85546875" defaultRowHeight="15"/>
  <cols>
    <col min="1" max="1" width="31.140625" customWidth="1"/>
  </cols>
  <sheetData>
    <row r="1" spans="1:51" ht="15.95">
      <c r="A1" s="18" t="s">
        <v>98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52</v>
      </c>
      <c r="B2" s="4">
        <f t="array" ref="B2:B8">TRANSPOSE(SYFAFE!B10:H10)</f>
        <v>1.0150688714543495E-4</v>
      </c>
      <c r="C2" s="4">
        <f>B2</f>
        <v>1.0150688714543495E-4</v>
      </c>
      <c r="D2" s="4">
        <f t="shared" ref="D2:AE8" si="0">C2</f>
        <v>1.0150688714543495E-4</v>
      </c>
      <c r="E2" s="4">
        <f t="shared" si="0"/>
        <v>1.0150688714543495E-4</v>
      </c>
      <c r="F2" s="4">
        <f t="shared" si="0"/>
        <v>1.0150688714543495E-4</v>
      </c>
      <c r="G2" s="4">
        <f t="shared" si="0"/>
        <v>1.0150688714543495E-4</v>
      </c>
      <c r="H2" s="4">
        <f t="shared" si="0"/>
        <v>1.0150688714543495E-4</v>
      </c>
      <c r="I2" s="4">
        <f t="shared" si="0"/>
        <v>1.0150688714543495E-4</v>
      </c>
      <c r="J2" s="4">
        <f t="shared" si="0"/>
        <v>1.0150688714543495E-4</v>
      </c>
      <c r="K2" s="4">
        <f t="shared" si="0"/>
        <v>1.0150688714543495E-4</v>
      </c>
      <c r="L2" s="4">
        <f t="shared" si="0"/>
        <v>1.0150688714543495E-4</v>
      </c>
      <c r="M2" s="4">
        <f t="shared" si="0"/>
        <v>1.0150688714543495E-4</v>
      </c>
      <c r="N2" s="4">
        <f t="shared" si="0"/>
        <v>1.0150688714543495E-4</v>
      </c>
      <c r="O2" s="4">
        <f t="shared" si="0"/>
        <v>1.0150688714543495E-4</v>
      </c>
      <c r="P2" s="4">
        <f t="shared" si="0"/>
        <v>1.0150688714543495E-4</v>
      </c>
      <c r="Q2" s="4">
        <f t="shared" si="0"/>
        <v>1.0150688714543495E-4</v>
      </c>
      <c r="R2" s="4">
        <f t="shared" si="0"/>
        <v>1.0150688714543495E-4</v>
      </c>
      <c r="S2" s="4">
        <f t="shared" si="0"/>
        <v>1.0150688714543495E-4</v>
      </c>
      <c r="T2" s="4">
        <f t="shared" si="0"/>
        <v>1.0150688714543495E-4</v>
      </c>
      <c r="U2" s="4">
        <f t="shared" si="0"/>
        <v>1.0150688714543495E-4</v>
      </c>
      <c r="V2" s="4">
        <f t="shared" si="0"/>
        <v>1.0150688714543495E-4</v>
      </c>
      <c r="W2" s="4">
        <f t="shared" si="0"/>
        <v>1.0150688714543495E-4</v>
      </c>
      <c r="X2" s="4">
        <f t="shared" si="0"/>
        <v>1.0150688714543495E-4</v>
      </c>
      <c r="Y2" s="4">
        <f t="shared" si="0"/>
        <v>1.0150688714543495E-4</v>
      </c>
      <c r="Z2" s="4">
        <f t="shared" si="0"/>
        <v>1.0150688714543495E-4</v>
      </c>
      <c r="AA2" s="4">
        <f t="shared" si="0"/>
        <v>1.0150688714543495E-4</v>
      </c>
      <c r="AB2" s="4">
        <f t="shared" si="0"/>
        <v>1.0150688714543495E-4</v>
      </c>
      <c r="AC2" s="4">
        <f t="shared" si="0"/>
        <v>1.0150688714543495E-4</v>
      </c>
      <c r="AD2" s="4">
        <f t="shared" si="0"/>
        <v>1.0150688714543495E-4</v>
      </c>
      <c r="AE2" s="4">
        <f t="shared" si="0"/>
        <v>1.0150688714543495E-4</v>
      </c>
      <c r="AF2" s="4">
        <f t="shared" ref="AF2:AY2" si="1">AE2</f>
        <v>1.0150688714543495E-4</v>
      </c>
      <c r="AG2" s="4">
        <f t="shared" si="1"/>
        <v>1.0150688714543495E-4</v>
      </c>
      <c r="AH2" s="4">
        <f t="shared" si="1"/>
        <v>1.0150688714543495E-4</v>
      </c>
      <c r="AI2" s="4">
        <f t="shared" si="1"/>
        <v>1.0150688714543495E-4</v>
      </c>
      <c r="AJ2" s="4">
        <f t="shared" si="1"/>
        <v>1.0150688714543495E-4</v>
      </c>
      <c r="AK2" s="4">
        <f t="shared" si="1"/>
        <v>1.0150688714543495E-4</v>
      </c>
      <c r="AL2" s="4">
        <f t="shared" si="1"/>
        <v>1.0150688714543495E-4</v>
      </c>
      <c r="AM2" s="4">
        <f t="shared" si="1"/>
        <v>1.0150688714543495E-4</v>
      </c>
      <c r="AN2" s="4">
        <f t="shared" si="1"/>
        <v>1.0150688714543495E-4</v>
      </c>
      <c r="AO2" s="4">
        <f t="shared" si="1"/>
        <v>1.0150688714543495E-4</v>
      </c>
      <c r="AP2" s="4">
        <f t="shared" si="1"/>
        <v>1.0150688714543495E-4</v>
      </c>
      <c r="AQ2" s="4">
        <f t="shared" si="1"/>
        <v>1.0150688714543495E-4</v>
      </c>
      <c r="AR2" s="4">
        <f t="shared" si="1"/>
        <v>1.0150688714543495E-4</v>
      </c>
      <c r="AS2" s="4">
        <f t="shared" si="1"/>
        <v>1.0150688714543495E-4</v>
      </c>
      <c r="AT2" s="4">
        <f t="shared" si="1"/>
        <v>1.0150688714543495E-4</v>
      </c>
      <c r="AU2" s="4">
        <f t="shared" si="1"/>
        <v>1.0150688714543495E-4</v>
      </c>
      <c r="AV2" s="4">
        <f t="shared" si="1"/>
        <v>1.0150688714543495E-4</v>
      </c>
      <c r="AW2" s="4">
        <f t="shared" si="1"/>
        <v>1.0150688714543495E-4</v>
      </c>
      <c r="AX2" s="4">
        <f t="shared" si="1"/>
        <v>1.0150688714543495E-4</v>
      </c>
      <c r="AY2" s="4">
        <f t="shared" si="1"/>
        <v>1.0150688714543495E-4</v>
      </c>
    </row>
    <row r="3" spans="1:51">
      <c r="A3" t="s">
        <v>57</v>
      </c>
      <c r="B3" s="4">
        <v>6.6748780423538421E-5</v>
      </c>
      <c r="C3" s="4">
        <f t="shared" ref="C3:C8" si="2">B3</f>
        <v>6.6748780423538421E-5</v>
      </c>
      <c r="D3" s="4">
        <f t="shared" ref="D3:Q3" si="3">C3</f>
        <v>6.6748780423538421E-5</v>
      </c>
      <c r="E3" s="4">
        <f t="shared" si="3"/>
        <v>6.6748780423538421E-5</v>
      </c>
      <c r="F3" s="4">
        <f t="shared" si="3"/>
        <v>6.6748780423538421E-5</v>
      </c>
      <c r="G3" s="4">
        <f t="shared" si="3"/>
        <v>6.6748780423538421E-5</v>
      </c>
      <c r="H3" s="4">
        <f t="shared" si="3"/>
        <v>6.6748780423538421E-5</v>
      </c>
      <c r="I3" s="4">
        <f t="shared" si="3"/>
        <v>6.6748780423538421E-5</v>
      </c>
      <c r="J3" s="4">
        <f t="shared" si="3"/>
        <v>6.6748780423538421E-5</v>
      </c>
      <c r="K3" s="4">
        <f t="shared" si="3"/>
        <v>6.6748780423538421E-5</v>
      </c>
      <c r="L3" s="4">
        <f t="shared" si="3"/>
        <v>6.6748780423538421E-5</v>
      </c>
      <c r="M3" s="4">
        <f t="shared" si="3"/>
        <v>6.6748780423538421E-5</v>
      </c>
      <c r="N3" s="4">
        <f t="shared" si="3"/>
        <v>6.6748780423538421E-5</v>
      </c>
      <c r="O3" s="4">
        <f t="shared" si="3"/>
        <v>6.6748780423538421E-5</v>
      </c>
      <c r="P3" s="4">
        <f t="shared" si="3"/>
        <v>6.6748780423538421E-5</v>
      </c>
      <c r="Q3" s="4">
        <f t="shared" si="3"/>
        <v>6.6748780423538421E-5</v>
      </c>
      <c r="R3" s="4">
        <f t="shared" si="0"/>
        <v>6.6748780423538421E-5</v>
      </c>
      <c r="S3" s="4">
        <f t="shared" si="0"/>
        <v>6.6748780423538421E-5</v>
      </c>
      <c r="T3" s="4">
        <f t="shared" si="0"/>
        <v>6.6748780423538421E-5</v>
      </c>
      <c r="U3" s="4">
        <f t="shared" si="0"/>
        <v>6.6748780423538421E-5</v>
      </c>
      <c r="V3" s="4">
        <f t="shared" si="0"/>
        <v>6.6748780423538421E-5</v>
      </c>
      <c r="W3" s="4">
        <f t="shared" si="0"/>
        <v>6.6748780423538421E-5</v>
      </c>
      <c r="X3" s="4">
        <f t="shared" si="0"/>
        <v>6.6748780423538421E-5</v>
      </c>
      <c r="Y3" s="4">
        <f t="shared" si="0"/>
        <v>6.6748780423538421E-5</v>
      </c>
      <c r="Z3" s="4">
        <f t="shared" si="0"/>
        <v>6.6748780423538421E-5</v>
      </c>
      <c r="AA3" s="4">
        <f t="shared" si="0"/>
        <v>6.6748780423538421E-5</v>
      </c>
      <c r="AB3" s="4">
        <f t="shared" si="0"/>
        <v>6.6748780423538421E-5</v>
      </c>
      <c r="AC3" s="4">
        <f t="shared" si="0"/>
        <v>6.6748780423538421E-5</v>
      </c>
      <c r="AD3" s="4">
        <f t="shared" si="0"/>
        <v>6.6748780423538421E-5</v>
      </c>
      <c r="AE3" s="4">
        <f t="shared" si="0"/>
        <v>6.6748780423538421E-5</v>
      </c>
      <c r="AF3" s="4">
        <f t="shared" ref="AF3:AY3" si="4">AE3</f>
        <v>6.6748780423538421E-5</v>
      </c>
      <c r="AG3" s="4">
        <f t="shared" si="4"/>
        <v>6.6748780423538421E-5</v>
      </c>
      <c r="AH3" s="4">
        <f t="shared" si="4"/>
        <v>6.6748780423538421E-5</v>
      </c>
      <c r="AI3" s="4">
        <f t="shared" si="4"/>
        <v>6.6748780423538421E-5</v>
      </c>
      <c r="AJ3" s="4">
        <f t="shared" si="4"/>
        <v>6.6748780423538421E-5</v>
      </c>
      <c r="AK3" s="4">
        <f t="shared" si="4"/>
        <v>6.6748780423538421E-5</v>
      </c>
      <c r="AL3" s="4">
        <f t="shared" si="4"/>
        <v>6.6748780423538421E-5</v>
      </c>
      <c r="AM3" s="4">
        <f t="shared" si="4"/>
        <v>6.6748780423538421E-5</v>
      </c>
      <c r="AN3" s="4">
        <f t="shared" si="4"/>
        <v>6.6748780423538421E-5</v>
      </c>
      <c r="AO3" s="4">
        <f t="shared" si="4"/>
        <v>6.6748780423538421E-5</v>
      </c>
      <c r="AP3" s="4">
        <f t="shared" si="4"/>
        <v>6.6748780423538421E-5</v>
      </c>
      <c r="AQ3" s="4">
        <f t="shared" si="4"/>
        <v>6.6748780423538421E-5</v>
      </c>
      <c r="AR3" s="4">
        <f t="shared" si="4"/>
        <v>6.6748780423538421E-5</v>
      </c>
      <c r="AS3" s="4">
        <f t="shared" si="4"/>
        <v>6.6748780423538421E-5</v>
      </c>
      <c r="AT3" s="4">
        <f t="shared" si="4"/>
        <v>6.6748780423538421E-5</v>
      </c>
      <c r="AU3" s="4">
        <f t="shared" si="4"/>
        <v>6.6748780423538421E-5</v>
      </c>
      <c r="AV3" s="4">
        <f t="shared" si="4"/>
        <v>6.6748780423538421E-5</v>
      </c>
      <c r="AW3" s="4">
        <f t="shared" si="4"/>
        <v>6.6748780423538421E-5</v>
      </c>
      <c r="AX3" s="4">
        <f t="shared" si="4"/>
        <v>6.6748780423538421E-5</v>
      </c>
      <c r="AY3" s="4">
        <f t="shared" si="4"/>
        <v>6.6748780423538421E-5</v>
      </c>
    </row>
    <row r="4" spans="1:51">
      <c r="A4" t="s">
        <v>46</v>
      </c>
      <c r="B4" s="4">
        <v>9.6215656200720077E-5</v>
      </c>
      <c r="C4" s="4">
        <f t="shared" si="2"/>
        <v>9.6215656200720077E-5</v>
      </c>
      <c r="D4" s="4">
        <f t="shared" si="0"/>
        <v>9.6215656200720077E-5</v>
      </c>
      <c r="E4" s="4">
        <f t="shared" si="0"/>
        <v>9.6215656200720077E-5</v>
      </c>
      <c r="F4" s="4">
        <f t="shared" si="0"/>
        <v>9.6215656200720077E-5</v>
      </c>
      <c r="G4" s="4">
        <f t="shared" si="0"/>
        <v>9.6215656200720077E-5</v>
      </c>
      <c r="H4" s="4">
        <f t="shared" si="0"/>
        <v>9.6215656200720077E-5</v>
      </c>
      <c r="I4" s="4">
        <f t="shared" si="0"/>
        <v>9.6215656200720077E-5</v>
      </c>
      <c r="J4" s="4">
        <f t="shared" si="0"/>
        <v>9.6215656200720077E-5</v>
      </c>
      <c r="K4" s="4">
        <f t="shared" si="0"/>
        <v>9.6215656200720077E-5</v>
      </c>
      <c r="L4" s="4">
        <f t="shared" si="0"/>
        <v>9.6215656200720077E-5</v>
      </c>
      <c r="M4" s="4">
        <f t="shared" si="0"/>
        <v>9.6215656200720077E-5</v>
      </c>
      <c r="N4" s="4">
        <f t="shared" si="0"/>
        <v>9.6215656200720077E-5</v>
      </c>
      <c r="O4" s="4">
        <f t="shared" si="0"/>
        <v>9.6215656200720077E-5</v>
      </c>
      <c r="P4" s="4">
        <f t="shared" si="0"/>
        <v>9.6215656200720077E-5</v>
      </c>
      <c r="Q4" s="4">
        <f t="shared" si="0"/>
        <v>9.6215656200720077E-5</v>
      </c>
      <c r="R4" s="4">
        <f t="shared" si="0"/>
        <v>9.6215656200720077E-5</v>
      </c>
      <c r="S4" s="4">
        <f t="shared" si="0"/>
        <v>9.6215656200720077E-5</v>
      </c>
      <c r="T4" s="4">
        <f t="shared" si="0"/>
        <v>9.6215656200720077E-5</v>
      </c>
      <c r="U4" s="4">
        <f t="shared" si="0"/>
        <v>9.6215656200720077E-5</v>
      </c>
      <c r="V4" s="4">
        <f t="shared" si="0"/>
        <v>9.6215656200720077E-5</v>
      </c>
      <c r="W4" s="4">
        <f t="shared" si="0"/>
        <v>9.6215656200720077E-5</v>
      </c>
      <c r="X4" s="4">
        <f t="shared" si="0"/>
        <v>9.6215656200720077E-5</v>
      </c>
      <c r="Y4" s="4">
        <f t="shared" si="0"/>
        <v>9.6215656200720077E-5</v>
      </c>
      <c r="Z4" s="4">
        <f t="shared" si="0"/>
        <v>9.6215656200720077E-5</v>
      </c>
      <c r="AA4" s="4">
        <f t="shared" si="0"/>
        <v>9.6215656200720077E-5</v>
      </c>
      <c r="AB4" s="4">
        <f t="shared" si="0"/>
        <v>9.6215656200720077E-5</v>
      </c>
      <c r="AC4" s="4">
        <f t="shared" si="0"/>
        <v>9.6215656200720077E-5</v>
      </c>
      <c r="AD4" s="4">
        <f t="shared" si="0"/>
        <v>9.6215656200720077E-5</v>
      </c>
      <c r="AE4" s="4">
        <f t="shared" si="0"/>
        <v>9.6215656200720077E-5</v>
      </c>
      <c r="AF4" s="4">
        <f t="shared" ref="AF4:AY4" si="5">AE4</f>
        <v>9.6215656200720077E-5</v>
      </c>
      <c r="AG4" s="4">
        <f t="shared" si="5"/>
        <v>9.6215656200720077E-5</v>
      </c>
      <c r="AH4" s="4">
        <f t="shared" si="5"/>
        <v>9.6215656200720077E-5</v>
      </c>
      <c r="AI4" s="4">
        <f t="shared" si="5"/>
        <v>9.6215656200720077E-5</v>
      </c>
      <c r="AJ4" s="4">
        <f t="shared" si="5"/>
        <v>9.6215656200720077E-5</v>
      </c>
      <c r="AK4" s="4">
        <f t="shared" si="5"/>
        <v>9.6215656200720077E-5</v>
      </c>
      <c r="AL4" s="4">
        <f t="shared" si="5"/>
        <v>9.6215656200720077E-5</v>
      </c>
      <c r="AM4" s="4">
        <f t="shared" si="5"/>
        <v>9.6215656200720077E-5</v>
      </c>
      <c r="AN4" s="4">
        <f t="shared" si="5"/>
        <v>9.6215656200720077E-5</v>
      </c>
      <c r="AO4" s="4">
        <f t="shared" si="5"/>
        <v>9.6215656200720077E-5</v>
      </c>
      <c r="AP4" s="4">
        <f t="shared" si="5"/>
        <v>9.6215656200720077E-5</v>
      </c>
      <c r="AQ4" s="4">
        <f t="shared" si="5"/>
        <v>9.6215656200720077E-5</v>
      </c>
      <c r="AR4" s="4">
        <f t="shared" si="5"/>
        <v>9.6215656200720077E-5</v>
      </c>
      <c r="AS4" s="4">
        <f t="shared" si="5"/>
        <v>9.6215656200720077E-5</v>
      </c>
      <c r="AT4" s="4">
        <f t="shared" si="5"/>
        <v>9.6215656200720077E-5</v>
      </c>
      <c r="AU4" s="4">
        <f t="shared" si="5"/>
        <v>9.6215656200720077E-5</v>
      </c>
      <c r="AV4" s="4">
        <f t="shared" si="5"/>
        <v>9.6215656200720077E-5</v>
      </c>
      <c r="AW4" s="4">
        <f t="shared" si="5"/>
        <v>9.6215656200720077E-5</v>
      </c>
      <c r="AX4" s="4">
        <f t="shared" si="5"/>
        <v>9.6215656200720077E-5</v>
      </c>
      <c r="AY4" s="4">
        <f t="shared" si="5"/>
        <v>9.6215656200720077E-5</v>
      </c>
    </row>
    <row r="5" spans="1:51">
      <c r="A5" t="s">
        <v>49</v>
      </c>
      <c r="B5" s="4">
        <v>6.8445241372973434E-5</v>
      </c>
      <c r="C5" s="4">
        <f t="shared" si="2"/>
        <v>6.8445241372973434E-5</v>
      </c>
      <c r="D5" s="4">
        <f t="shared" si="0"/>
        <v>6.8445241372973434E-5</v>
      </c>
      <c r="E5" s="4">
        <f t="shared" si="0"/>
        <v>6.8445241372973434E-5</v>
      </c>
      <c r="F5" s="4">
        <f t="shared" si="0"/>
        <v>6.8445241372973434E-5</v>
      </c>
      <c r="G5" s="4">
        <f t="shared" si="0"/>
        <v>6.8445241372973434E-5</v>
      </c>
      <c r="H5" s="4">
        <f t="shared" si="0"/>
        <v>6.8445241372973434E-5</v>
      </c>
      <c r="I5" s="4">
        <f t="shared" si="0"/>
        <v>6.8445241372973434E-5</v>
      </c>
      <c r="J5" s="4">
        <f t="shared" si="0"/>
        <v>6.8445241372973434E-5</v>
      </c>
      <c r="K5" s="4">
        <f t="shared" si="0"/>
        <v>6.8445241372973434E-5</v>
      </c>
      <c r="L5" s="4">
        <f t="shared" si="0"/>
        <v>6.8445241372973434E-5</v>
      </c>
      <c r="M5" s="4">
        <f t="shared" si="0"/>
        <v>6.8445241372973434E-5</v>
      </c>
      <c r="N5" s="4">
        <f t="shared" si="0"/>
        <v>6.8445241372973434E-5</v>
      </c>
      <c r="O5" s="4">
        <f t="shared" si="0"/>
        <v>6.8445241372973434E-5</v>
      </c>
      <c r="P5" s="4">
        <f t="shared" si="0"/>
        <v>6.8445241372973434E-5</v>
      </c>
      <c r="Q5" s="4">
        <f t="shared" si="0"/>
        <v>6.8445241372973434E-5</v>
      </c>
      <c r="R5" s="4">
        <f t="shared" si="0"/>
        <v>6.8445241372973434E-5</v>
      </c>
      <c r="S5" s="4">
        <f t="shared" si="0"/>
        <v>6.8445241372973434E-5</v>
      </c>
      <c r="T5" s="4">
        <f t="shared" si="0"/>
        <v>6.8445241372973434E-5</v>
      </c>
      <c r="U5" s="4">
        <f t="shared" si="0"/>
        <v>6.8445241372973434E-5</v>
      </c>
      <c r="V5" s="4">
        <f t="shared" si="0"/>
        <v>6.8445241372973434E-5</v>
      </c>
      <c r="W5" s="4">
        <f t="shared" si="0"/>
        <v>6.8445241372973434E-5</v>
      </c>
      <c r="X5" s="4">
        <f t="shared" si="0"/>
        <v>6.8445241372973434E-5</v>
      </c>
      <c r="Y5" s="4">
        <f t="shared" si="0"/>
        <v>6.8445241372973434E-5</v>
      </c>
      <c r="Z5" s="4">
        <f t="shared" si="0"/>
        <v>6.8445241372973434E-5</v>
      </c>
      <c r="AA5" s="4">
        <f t="shared" si="0"/>
        <v>6.8445241372973434E-5</v>
      </c>
      <c r="AB5" s="4">
        <f t="shared" si="0"/>
        <v>6.8445241372973434E-5</v>
      </c>
      <c r="AC5" s="4">
        <f t="shared" si="0"/>
        <v>6.8445241372973434E-5</v>
      </c>
      <c r="AD5" s="4">
        <f t="shared" si="0"/>
        <v>6.8445241372973434E-5</v>
      </c>
      <c r="AE5" s="4">
        <f t="shared" si="0"/>
        <v>6.8445241372973434E-5</v>
      </c>
      <c r="AF5" s="4">
        <f t="shared" ref="AF5:AY5" si="6">AE5</f>
        <v>6.8445241372973434E-5</v>
      </c>
      <c r="AG5" s="4">
        <f t="shared" si="6"/>
        <v>6.8445241372973434E-5</v>
      </c>
      <c r="AH5" s="4">
        <f t="shared" si="6"/>
        <v>6.8445241372973434E-5</v>
      </c>
      <c r="AI5" s="4">
        <f t="shared" si="6"/>
        <v>6.8445241372973434E-5</v>
      </c>
      <c r="AJ5" s="4">
        <f t="shared" si="6"/>
        <v>6.8445241372973434E-5</v>
      </c>
      <c r="AK5" s="4">
        <f t="shared" si="6"/>
        <v>6.8445241372973434E-5</v>
      </c>
      <c r="AL5" s="4">
        <f t="shared" si="6"/>
        <v>6.8445241372973434E-5</v>
      </c>
      <c r="AM5" s="4">
        <f t="shared" si="6"/>
        <v>6.8445241372973434E-5</v>
      </c>
      <c r="AN5" s="4">
        <f t="shared" si="6"/>
        <v>6.8445241372973434E-5</v>
      </c>
      <c r="AO5" s="4">
        <f t="shared" si="6"/>
        <v>6.8445241372973434E-5</v>
      </c>
      <c r="AP5" s="4">
        <f t="shared" si="6"/>
        <v>6.8445241372973434E-5</v>
      </c>
      <c r="AQ5" s="4">
        <f t="shared" si="6"/>
        <v>6.8445241372973434E-5</v>
      </c>
      <c r="AR5" s="4">
        <f t="shared" si="6"/>
        <v>6.8445241372973434E-5</v>
      </c>
      <c r="AS5" s="4">
        <f t="shared" si="6"/>
        <v>6.8445241372973434E-5</v>
      </c>
      <c r="AT5" s="4">
        <f t="shared" si="6"/>
        <v>6.8445241372973434E-5</v>
      </c>
      <c r="AU5" s="4">
        <f t="shared" si="6"/>
        <v>6.8445241372973434E-5</v>
      </c>
      <c r="AV5" s="4">
        <f t="shared" si="6"/>
        <v>6.8445241372973434E-5</v>
      </c>
      <c r="AW5" s="4">
        <f t="shared" si="6"/>
        <v>6.8445241372973434E-5</v>
      </c>
      <c r="AX5" s="4">
        <f t="shared" si="6"/>
        <v>6.8445241372973434E-5</v>
      </c>
      <c r="AY5" s="4">
        <f t="shared" si="6"/>
        <v>6.8445241372973434E-5</v>
      </c>
    </row>
    <row r="6" spans="1:51">
      <c r="A6" t="s">
        <v>58</v>
      </c>
      <c r="B6" s="4">
        <v>2.1334965945734235E-4</v>
      </c>
      <c r="C6" s="4">
        <f t="shared" si="2"/>
        <v>2.1334965945734235E-4</v>
      </c>
      <c r="D6" s="4">
        <f t="shared" si="0"/>
        <v>2.1334965945734235E-4</v>
      </c>
      <c r="E6" s="4">
        <f t="shared" si="0"/>
        <v>2.1334965945734235E-4</v>
      </c>
      <c r="F6" s="4">
        <f t="shared" si="0"/>
        <v>2.1334965945734235E-4</v>
      </c>
      <c r="G6" s="4">
        <f t="shared" si="0"/>
        <v>2.1334965945734235E-4</v>
      </c>
      <c r="H6" s="4">
        <f t="shared" si="0"/>
        <v>2.1334965945734235E-4</v>
      </c>
      <c r="I6" s="4">
        <f t="shared" si="0"/>
        <v>2.1334965945734235E-4</v>
      </c>
      <c r="J6" s="4">
        <f t="shared" si="0"/>
        <v>2.1334965945734235E-4</v>
      </c>
      <c r="K6" s="4">
        <f t="shared" si="0"/>
        <v>2.1334965945734235E-4</v>
      </c>
      <c r="L6" s="4">
        <f t="shared" si="0"/>
        <v>2.1334965945734235E-4</v>
      </c>
      <c r="M6" s="4">
        <f t="shared" si="0"/>
        <v>2.1334965945734235E-4</v>
      </c>
      <c r="N6" s="4">
        <f t="shared" si="0"/>
        <v>2.1334965945734235E-4</v>
      </c>
      <c r="O6" s="4">
        <f t="shared" si="0"/>
        <v>2.1334965945734235E-4</v>
      </c>
      <c r="P6" s="4">
        <f t="shared" si="0"/>
        <v>2.1334965945734235E-4</v>
      </c>
      <c r="Q6" s="4">
        <f t="shared" si="0"/>
        <v>2.1334965945734235E-4</v>
      </c>
      <c r="R6" s="4">
        <f t="shared" si="0"/>
        <v>2.1334965945734235E-4</v>
      </c>
      <c r="S6" s="4">
        <f t="shared" si="0"/>
        <v>2.1334965945734235E-4</v>
      </c>
      <c r="T6" s="4">
        <f t="shared" si="0"/>
        <v>2.1334965945734235E-4</v>
      </c>
      <c r="U6" s="4">
        <f t="shared" si="0"/>
        <v>2.1334965945734235E-4</v>
      </c>
      <c r="V6" s="4">
        <f t="shared" si="0"/>
        <v>2.1334965945734235E-4</v>
      </c>
      <c r="W6" s="4">
        <f t="shared" si="0"/>
        <v>2.1334965945734235E-4</v>
      </c>
      <c r="X6" s="4">
        <f t="shared" si="0"/>
        <v>2.1334965945734235E-4</v>
      </c>
      <c r="Y6" s="4">
        <f t="shared" si="0"/>
        <v>2.1334965945734235E-4</v>
      </c>
      <c r="Z6" s="4">
        <f t="shared" si="0"/>
        <v>2.1334965945734235E-4</v>
      </c>
      <c r="AA6" s="4">
        <f t="shared" si="0"/>
        <v>2.1334965945734235E-4</v>
      </c>
      <c r="AB6" s="4">
        <f t="shared" si="0"/>
        <v>2.1334965945734235E-4</v>
      </c>
      <c r="AC6" s="4">
        <f t="shared" si="0"/>
        <v>2.1334965945734235E-4</v>
      </c>
      <c r="AD6" s="4">
        <f t="shared" si="0"/>
        <v>2.1334965945734235E-4</v>
      </c>
      <c r="AE6" s="4">
        <f t="shared" si="0"/>
        <v>2.1334965945734235E-4</v>
      </c>
      <c r="AF6" s="4">
        <f t="shared" ref="AF6:AY6" si="7">AE6</f>
        <v>2.1334965945734235E-4</v>
      </c>
      <c r="AG6" s="4">
        <f t="shared" si="7"/>
        <v>2.1334965945734235E-4</v>
      </c>
      <c r="AH6" s="4">
        <f t="shared" si="7"/>
        <v>2.1334965945734235E-4</v>
      </c>
      <c r="AI6" s="4">
        <f t="shared" si="7"/>
        <v>2.1334965945734235E-4</v>
      </c>
      <c r="AJ6" s="4">
        <f t="shared" si="7"/>
        <v>2.1334965945734235E-4</v>
      </c>
      <c r="AK6" s="4">
        <f t="shared" si="7"/>
        <v>2.1334965945734235E-4</v>
      </c>
      <c r="AL6" s="4">
        <f t="shared" si="7"/>
        <v>2.1334965945734235E-4</v>
      </c>
      <c r="AM6" s="4">
        <f t="shared" si="7"/>
        <v>2.1334965945734235E-4</v>
      </c>
      <c r="AN6" s="4">
        <f t="shared" si="7"/>
        <v>2.1334965945734235E-4</v>
      </c>
      <c r="AO6" s="4">
        <f t="shared" si="7"/>
        <v>2.1334965945734235E-4</v>
      </c>
      <c r="AP6" s="4">
        <f t="shared" si="7"/>
        <v>2.1334965945734235E-4</v>
      </c>
      <c r="AQ6" s="4">
        <f t="shared" si="7"/>
        <v>2.1334965945734235E-4</v>
      </c>
      <c r="AR6" s="4">
        <f t="shared" si="7"/>
        <v>2.1334965945734235E-4</v>
      </c>
      <c r="AS6" s="4">
        <f t="shared" si="7"/>
        <v>2.1334965945734235E-4</v>
      </c>
      <c r="AT6" s="4">
        <f t="shared" si="7"/>
        <v>2.1334965945734235E-4</v>
      </c>
      <c r="AU6" s="4">
        <f t="shared" si="7"/>
        <v>2.1334965945734235E-4</v>
      </c>
      <c r="AV6" s="4">
        <f t="shared" si="7"/>
        <v>2.1334965945734235E-4</v>
      </c>
      <c r="AW6" s="4">
        <f t="shared" si="7"/>
        <v>2.1334965945734235E-4</v>
      </c>
      <c r="AX6" s="4">
        <f t="shared" si="7"/>
        <v>2.1334965945734235E-4</v>
      </c>
      <c r="AY6" s="4">
        <f t="shared" si="7"/>
        <v>2.1334965945734235E-4</v>
      </c>
    </row>
    <row r="7" spans="1:51">
      <c r="A7" t="s">
        <v>59</v>
      </c>
      <c r="B7" s="4">
        <v>4.0500619498536022E-5</v>
      </c>
      <c r="C7" s="4">
        <f t="shared" si="2"/>
        <v>4.0500619498536022E-5</v>
      </c>
      <c r="D7" s="4">
        <f t="shared" si="0"/>
        <v>4.0500619498536022E-5</v>
      </c>
      <c r="E7" s="4">
        <f t="shared" si="0"/>
        <v>4.0500619498536022E-5</v>
      </c>
      <c r="F7" s="4">
        <f t="shared" si="0"/>
        <v>4.0500619498536022E-5</v>
      </c>
      <c r="G7" s="4">
        <f t="shared" si="0"/>
        <v>4.0500619498536022E-5</v>
      </c>
      <c r="H7" s="4">
        <f t="shared" si="0"/>
        <v>4.0500619498536022E-5</v>
      </c>
      <c r="I7" s="4">
        <f t="shared" si="0"/>
        <v>4.0500619498536022E-5</v>
      </c>
      <c r="J7" s="4">
        <f t="shared" si="0"/>
        <v>4.0500619498536022E-5</v>
      </c>
      <c r="K7" s="4">
        <f t="shared" si="0"/>
        <v>4.0500619498536022E-5</v>
      </c>
      <c r="L7" s="4">
        <f t="shared" si="0"/>
        <v>4.0500619498536022E-5</v>
      </c>
      <c r="M7" s="4">
        <f t="shared" si="0"/>
        <v>4.0500619498536022E-5</v>
      </c>
      <c r="N7" s="4">
        <f t="shared" si="0"/>
        <v>4.0500619498536022E-5</v>
      </c>
      <c r="O7" s="4">
        <f t="shared" si="0"/>
        <v>4.0500619498536022E-5</v>
      </c>
      <c r="P7" s="4">
        <f t="shared" si="0"/>
        <v>4.0500619498536022E-5</v>
      </c>
      <c r="Q7" s="4">
        <f t="shared" si="0"/>
        <v>4.0500619498536022E-5</v>
      </c>
      <c r="R7" s="4">
        <f t="shared" si="0"/>
        <v>4.0500619498536022E-5</v>
      </c>
      <c r="S7" s="4">
        <f t="shared" si="0"/>
        <v>4.0500619498536022E-5</v>
      </c>
      <c r="T7" s="4">
        <f t="shared" si="0"/>
        <v>4.0500619498536022E-5</v>
      </c>
      <c r="U7" s="4">
        <f t="shared" si="0"/>
        <v>4.0500619498536022E-5</v>
      </c>
      <c r="V7" s="4">
        <f t="shared" si="0"/>
        <v>4.0500619498536022E-5</v>
      </c>
      <c r="W7" s="4">
        <f t="shared" si="0"/>
        <v>4.0500619498536022E-5</v>
      </c>
      <c r="X7" s="4">
        <f t="shared" si="0"/>
        <v>4.0500619498536022E-5</v>
      </c>
      <c r="Y7" s="4">
        <f t="shared" si="0"/>
        <v>4.0500619498536022E-5</v>
      </c>
      <c r="Z7" s="4">
        <f t="shared" si="0"/>
        <v>4.0500619498536022E-5</v>
      </c>
      <c r="AA7" s="4">
        <f t="shared" si="0"/>
        <v>4.0500619498536022E-5</v>
      </c>
      <c r="AB7" s="4">
        <f t="shared" si="0"/>
        <v>4.0500619498536022E-5</v>
      </c>
      <c r="AC7" s="4">
        <f t="shared" si="0"/>
        <v>4.0500619498536022E-5</v>
      </c>
      <c r="AD7" s="4">
        <f t="shared" si="0"/>
        <v>4.0500619498536022E-5</v>
      </c>
      <c r="AE7" s="4">
        <f t="shared" si="0"/>
        <v>4.0500619498536022E-5</v>
      </c>
      <c r="AF7" s="4">
        <f t="shared" ref="AF7:AY7" si="8">AE7</f>
        <v>4.0500619498536022E-5</v>
      </c>
      <c r="AG7" s="4">
        <f t="shared" si="8"/>
        <v>4.0500619498536022E-5</v>
      </c>
      <c r="AH7" s="4">
        <f t="shared" si="8"/>
        <v>4.0500619498536022E-5</v>
      </c>
      <c r="AI7" s="4">
        <f t="shared" si="8"/>
        <v>4.0500619498536022E-5</v>
      </c>
      <c r="AJ7" s="4">
        <f t="shared" si="8"/>
        <v>4.0500619498536022E-5</v>
      </c>
      <c r="AK7" s="4">
        <f t="shared" si="8"/>
        <v>4.0500619498536022E-5</v>
      </c>
      <c r="AL7" s="4">
        <f t="shared" si="8"/>
        <v>4.0500619498536022E-5</v>
      </c>
      <c r="AM7" s="4">
        <f t="shared" si="8"/>
        <v>4.0500619498536022E-5</v>
      </c>
      <c r="AN7" s="4">
        <f t="shared" si="8"/>
        <v>4.0500619498536022E-5</v>
      </c>
      <c r="AO7" s="4">
        <f t="shared" si="8"/>
        <v>4.0500619498536022E-5</v>
      </c>
      <c r="AP7" s="4">
        <f t="shared" si="8"/>
        <v>4.0500619498536022E-5</v>
      </c>
      <c r="AQ7" s="4">
        <f t="shared" si="8"/>
        <v>4.0500619498536022E-5</v>
      </c>
      <c r="AR7" s="4">
        <f t="shared" si="8"/>
        <v>4.0500619498536022E-5</v>
      </c>
      <c r="AS7" s="4">
        <f t="shared" si="8"/>
        <v>4.0500619498536022E-5</v>
      </c>
      <c r="AT7" s="4">
        <f t="shared" si="8"/>
        <v>4.0500619498536022E-5</v>
      </c>
      <c r="AU7" s="4">
        <f t="shared" si="8"/>
        <v>4.0500619498536022E-5</v>
      </c>
      <c r="AV7" s="4">
        <f t="shared" si="8"/>
        <v>4.0500619498536022E-5</v>
      </c>
      <c r="AW7" s="4">
        <f t="shared" si="8"/>
        <v>4.0500619498536022E-5</v>
      </c>
      <c r="AX7" s="4">
        <f t="shared" si="8"/>
        <v>4.0500619498536022E-5</v>
      </c>
      <c r="AY7" s="4">
        <f t="shared" si="8"/>
        <v>4.0500619498536022E-5</v>
      </c>
    </row>
    <row r="8" spans="1:51">
      <c r="A8" t="s">
        <v>60</v>
      </c>
      <c r="B8" s="4">
        <v>2.0802620001785488E-3</v>
      </c>
      <c r="C8" s="4">
        <f t="shared" si="2"/>
        <v>2.0802620001785488E-3</v>
      </c>
      <c r="D8" s="4">
        <f t="shared" si="0"/>
        <v>2.0802620001785488E-3</v>
      </c>
      <c r="E8" s="4">
        <f t="shared" si="0"/>
        <v>2.0802620001785488E-3</v>
      </c>
      <c r="F8" s="4">
        <f t="shared" si="0"/>
        <v>2.0802620001785488E-3</v>
      </c>
      <c r="G8" s="4">
        <f t="shared" si="0"/>
        <v>2.0802620001785488E-3</v>
      </c>
      <c r="H8" s="4">
        <f t="shared" si="0"/>
        <v>2.0802620001785488E-3</v>
      </c>
      <c r="I8" s="4">
        <f t="shared" si="0"/>
        <v>2.0802620001785488E-3</v>
      </c>
      <c r="J8" s="4">
        <f t="shared" si="0"/>
        <v>2.0802620001785488E-3</v>
      </c>
      <c r="K8" s="4">
        <f t="shared" si="0"/>
        <v>2.0802620001785488E-3</v>
      </c>
      <c r="L8" s="4">
        <f t="shared" si="0"/>
        <v>2.0802620001785488E-3</v>
      </c>
      <c r="M8" s="4">
        <f t="shared" si="0"/>
        <v>2.0802620001785488E-3</v>
      </c>
      <c r="N8" s="4">
        <f t="shared" si="0"/>
        <v>2.0802620001785488E-3</v>
      </c>
      <c r="O8" s="4">
        <f t="shared" si="0"/>
        <v>2.0802620001785488E-3</v>
      </c>
      <c r="P8" s="4">
        <f t="shared" si="0"/>
        <v>2.0802620001785488E-3</v>
      </c>
      <c r="Q8" s="4">
        <f t="shared" si="0"/>
        <v>2.0802620001785488E-3</v>
      </c>
      <c r="R8" s="4">
        <f t="shared" si="0"/>
        <v>2.0802620001785488E-3</v>
      </c>
      <c r="S8" s="4">
        <f t="shared" si="0"/>
        <v>2.0802620001785488E-3</v>
      </c>
      <c r="T8" s="4">
        <f t="shared" si="0"/>
        <v>2.0802620001785488E-3</v>
      </c>
      <c r="U8" s="4">
        <f t="shared" si="0"/>
        <v>2.0802620001785488E-3</v>
      </c>
      <c r="V8" s="4">
        <f t="shared" si="0"/>
        <v>2.0802620001785488E-3</v>
      </c>
      <c r="W8" s="4">
        <f t="shared" si="0"/>
        <v>2.0802620001785488E-3</v>
      </c>
      <c r="X8" s="4">
        <f t="shared" si="0"/>
        <v>2.0802620001785488E-3</v>
      </c>
      <c r="Y8" s="4">
        <f t="shared" si="0"/>
        <v>2.0802620001785488E-3</v>
      </c>
      <c r="Z8" s="4">
        <f t="shared" si="0"/>
        <v>2.0802620001785488E-3</v>
      </c>
      <c r="AA8" s="4">
        <f t="shared" si="0"/>
        <v>2.0802620001785488E-3</v>
      </c>
      <c r="AB8" s="4">
        <f t="shared" si="0"/>
        <v>2.0802620001785488E-3</v>
      </c>
      <c r="AC8" s="4">
        <f t="shared" si="0"/>
        <v>2.0802620001785488E-3</v>
      </c>
      <c r="AD8" s="4">
        <f t="shared" si="0"/>
        <v>2.0802620001785488E-3</v>
      </c>
      <c r="AE8" s="4">
        <f t="shared" si="0"/>
        <v>2.0802620001785488E-3</v>
      </c>
      <c r="AF8" s="4">
        <f t="shared" ref="AF8:AY8" si="9">AE8</f>
        <v>2.0802620001785488E-3</v>
      </c>
      <c r="AG8" s="4">
        <f t="shared" si="9"/>
        <v>2.0802620001785488E-3</v>
      </c>
      <c r="AH8" s="4">
        <f t="shared" si="9"/>
        <v>2.0802620001785488E-3</v>
      </c>
      <c r="AI8" s="4">
        <f t="shared" si="9"/>
        <v>2.0802620001785488E-3</v>
      </c>
      <c r="AJ8" s="4">
        <f t="shared" si="9"/>
        <v>2.0802620001785488E-3</v>
      </c>
      <c r="AK8" s="4">
        <f t="shared" si="9"/>
        <v>2.0802620001785488E-3</v>
      </c>
      <c r="AL8" s="4">
        <f t="shared" si="9"/>
        <v>2.0802620001785488E-3</v>
      </c>
      <c r="AM8" s="4">
        <f t="shared" si="9"/>
        <v>2.0802620001785488E-3</v>
      </c>
      <c r="AN8" s="4">
        <f t="shared" si="9"/>
        <v>2.0802620001785488E-3</v>
      </c>
      <c r="AO8" s="4">
        <f t="shared" si="9"/>
        <v>2.0802620001785488E-3</v>
      </c>
      <c r="AP8" s="4">
        <f t="shared" si="9"/>
        <v>2.0802620001785488E-3</v>
      </c>
      <c r="AQ8" s="4">
        <f t="shared" si="9"/>
        <v>2.0802620001785488E-3</v>
      </c>
      <c r="AR8" s="4">
        <f t="shared" si="9"/>
        <v>2.0802620001785488E-3</v>
      </c>
      <c r="AS8" s="4">
        <f t="shared" si="9"/>
        <v>2.0802620001785488E-3</v>
      </c>
      <c r="AT8" s="4">
        <f t="shared" si="9"/>
        <v>2.0802620001785488E-3</v>
      </c>
      <c r="AU8" s="4">
        <f t="shared" si="9"/>
        <v>2.0802620001785488E-3</v>
      </c>
      <c r="AV8" s="4">
        <f t="shared" si="9"/>
        <v>2.0802620001785488E-3</v>
      </c>
      <c r="AW8" s="4">
        <f t="shared" si="9"/>
        <v>2.0802620001785488E-3</v>
      </c>
      <c r="AX8" s="4">
        <f t="shared" si="9"/>
        <v>2.0802620001785488E-3</v>
      </c>
      <c r="AY8" s="4">
        <f t="shared" si="9"/>
        <v>2.0802620001785488E-3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Y8"/>
  <sheetViews>
    <sheetView topLeftCell="V1" workbookViewId="0">
      <selection activeCell="AF2" sqref="AF2:AY8"/>
    </sheetView>
  </sheetViews>
  <sheetFormatPr defaultColWidth="8.85546875" defaultRowHeight="15"/>
  <cols>
    <col min="1" max="1" width="31.140625" customWidth="1"/>
  </cols>
  <sheetData>
    <row r="1" spans="1:51" ht="15.95">
      <c r="A1" s="18" t="s">
        <v>98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52</v>
      </c>
      <c r="B2" s="4">
        <f t="array" ref="B2:B8">TRANSPOSE(SYFAFE!B3:H3)</f>
        <v>3.4003581782857295E-3</v>
      </c>
      <c r="C2" s="4">
        <f>B2</f>
        <v>3.4003581782857295E-3</v>
      </c>
      <c r="D2" s="4">
        <f t="shared" ref="D2:AE8" si="0">C2</f>
        <v>3.4003581782857295E-3</v>
      </c>
      <c r="E2" s="4">
        <f t="shared" si="0"/>
        <v>3.4003581782857295E-3</v>
      </c>
      <c r="F2" s="4">
        <f t="shared" si="0"/>
        <v>3.4003581782857295E-3</v>
      </c>
      <c r="G2" s="4">
        <f t="shared" si="0"/>
        <v>3.4003581782857295E-3</v>
      </c>
      <c r="H2" s="4">
        <f t="shared" si="0"/>
        <v>3.4003581782857295E-3</v>
      </c>
      <c r="I2" s="4">
        <f t="shared" si="0"/>
        <v>3.4003581782857295E-3</v>
      </c>
      <c r="J2" s="4">
        <f t="shared" si="0"/>
        <v>3.4003581782857295E-3</v>
      </c>
      <c r="K2" s="4">
        <f t="shared" si="0"/>
        <v>3.4003581782857295E-3</v>
      </c>
      <c r="L2" s="4">
        <f t="shared" si="0"/>
        <v>3.4003581782857295E-3</v>
      </c>
      <c r="M2" s="4">
        <f t="shared" si="0"/>
        <v>3.4003581782857295E-3</v>
      </c>
      <c r="N2" s="4">
        <f t="shared" si="0"/>
        <v>3.4003581782857295E-3</v>
      </c>
      <c r="O2" s="4">
        <f t="shared" si="0"/>
        <v>3.4003581782857295E-3</v>
      </c>
      <c r="P2" s="4">
        <f t="shared" si="0"/>
        <v>3.4003581782857295E-3</v>
      </c>
      <c r="Q2" s="4">
        <f t="shared" si="0"/>
        <v>3.4003581782857295E-3</v>
      </c>
      <c r="R2" s="4">
        <f t="shared" si="0"/>
        <v>3.4003581782857295E-3</v>
      </c>
      <c r="S2" s="4">
        <f t="shared" si="0"/>
        <v>3.4003581782857295E-3</v>
      </c>
      <c r="T2" s="4">
        <f t="shared" si="0"/>
        <v>3.4003581782857295E-3</v>
      </c>
      <c r="U2" s="4">
        <f t="shared" si="0"/>
        <v>3.4003581782857295E-3</v>
      </c>
      <c r="V2" s="4">
        <f t="shared" si="0"/>
        <v>3.4003581782857295E-3</v>
      </c>
      <c r="W2" s="4">
        <f t="shared" si="0"/>
        <v>3.4003581782857295E-3</v>
      </c>
      <c r="X2" s="4">
        <f t="shared" si="0"/>
        <v>3.4003581782857295E-3</v>
      </c>
      <c r="Y2" s="4">
        <f t="shared" si="0"/>
        <v>3.4003581782857295E-3</v>
      </c>
      <c r="Z2" s="4">
        <f t="shared" si="0"/>
        <v>3.4003581782857295E-3</v>
      </c>
      <c r="AA2" s="4">
        <f t="shared" si="0"/>
        <v>3.4003581782857295E-3</v>
      </c>
      <c r="AB2" s="4">
        <f t="shared" si="0"/>
        <v>3.4003581782857295E-3</v>
      </c>
      <c r="AC2" s="4">
        <f t="shared" si="0"/>
        <v>3.4003581782857295E-3</v>
      </c>
      <c r="AD2" s="4">
        <f t="shared" si="0"/>
        <v>3.4003581782857295E-3</v>
      </c>
      <c r="AE2" s="4">
        <f t="shared" si="0"/>
        <v>3.4003581782857295E-3</v>
      </c>
      <c r="AF2" s="4">
        <f t="shared" ref="AF2:AY2" si="1">AE2</f>
        <v>3.4003581782857295E-3</v>
      </c>
      <c r="AG2" s="4">
        <f t="shared" si="1"/>
        <v>3.4003581782857295E-3</v>
      </c>
      <c r="AH2" s="4">
        <f t="shared" si="1"/>
        <v>3.4003581782857295E-3</v>
      </c>
      <c r="AI2" s="4">
        <f t="shared" si="1"/>
        <v>3.4003581782857295E-3</v>
      </c>
      <c r="AJ2" s="4">
        <f t="shared" si="1"/>
        <v>3.4003581782857295E-3</v>
      </c>
      <c r="AK2" s="4">
        <f t="shared" si="1"/>
        <v>3.4003581782857295E-3</v>
      </c>
      <c r="AL2" s="4">
        <f t="shared" si="1"/>
        <v>3.4003581782857295E-3</v>
      </c>
      <c r="AM2" s="4">
        <f t="shared" si="1"/>
        <v>3.4003581782857295E-3</v>
      </c>
      <c r="AN2" s="4">
        <f t="shared" si="1"/>
        <v>3.4003581782857295E-3</v>
      </c>
      <c r="AO2" s="4">
        <f t="shared" si="1"/>
        <v>3.4003581782857295E-3</v>
      </c>
      <c r="AP2" s="4">
        <f t="shared" si="1"/>
        <v>3.4003581782857295E-3</v>
      </c>
      <c r="AQ2" s="4">
        <f t="shared" si="1"/>
        <v>3.4003581782857295E-3</v>
      </c>
      <c r="AR2" s="4">
        <f t="shared" si="1"/>
        <v>3.4003581782857295E-3</v>
      </c>
      <c r="AS2" s="4">
        <f t="shared" si="1"/>
        <v>3.4003581782857295E-3</v>
      </c>
      <c r="AT2" s="4">
        <f t="shared" si="1"/>
        <v>3.4003581782857295E-3</v>
      </c>
      <c r="AU2" s="4">
        <f t="shared" si="1"/>
        <v>3.4003581782857295E-3</v>
      </c>
      <c r="AV2" s="4">
        <f t="shared" si="1"/>
        <v>3.4003581782857295E-3</v>
      </c>
      <c r="AW2" s="4">
        <f t="shared" si="1"/>
        <v>3.4003581782857295E-3</v>
      </c>
      <c r="AX2" s="4">
        <f t="shared" si="1"/>
        <v>3.4003581782857295E-3</v>
      </c>
      <c r="AY2" s="4">
        <f t="shared" si="1"/>
        <v>3.4003581782857295E-3</v>
      </c>
    </row>
    <row r="3" spans="1:51">
      <c r="A3" t="s">
        <v>57</v>
      </c>
      <c r="B3" s="4">
        <v>2.8226770072497282E-3</v>
      </c>
      <c r="C3" s="4">
        <f t="shared" ref="C3:C8" si="2">B3</f>
        <v>2.8226770072497282E-3</v>
      </c>
      <c r="D3" s="4">
        <f t="shared" ref="D3:Q3" si="3">C3</f>
        <v>2.8226770072497282E-3</v>
      </c>
      <c r="E3" s="4">
        <f t="shared" si="3"/>
        <v>2.8226770072497282E-3</v>
      </c>
      <c r="F3" s="4">
        <f t="shared" si="3"/>
        <v>2.8226770072497282E-3</v>
      </c>
      <c r="G3" s="4">
        <f t="shared" si="3"/>
        <v>2.8226770072497282E-3</v>
      </c>
      <c r="H3" s="4">
        <f t="shared" si="3"/>
        <v>2.8226770072497282E-3</v>
      </c>
      <c r="I3" s="4">
        <f t="shared" si="3"/>
        <v>2.8226770072497282E-3</v>
      </c>
      <c r="J3" s="4">
        <f t="shared" si="3"/>
        <v>2.8226770072497282E-3</v>
      </c>
      <c r="K3" s="4">
        <f t="shared" si="3"/>
        <v>2.8226770072497282E-3</v>
      </c>
      <c r="L3" s="4">
        <f t="shared" si="3"/>
        <v>2.8226770072497282E-3</v>
      </c>
      <c r="M3" s="4">
        <f t="shared" si="3"/>
        <v>2.8226770072497282E-3</v>
      </c>
      <c r="N3" s="4">
        <f t="shared" si="3"/>
        <v>2.8226770072497282E-3</v>
      </c>
      <c r="O3" s="4">
        <f t="shared" si="3"/>
        <v>2.8226770072497282E-3</v>
      </c>
      <c r="P3" s="4">
        <f t="shared" si="3"/>
        <v>2.8226770072497282E-3</v>
      </c>
      <c r="Q3" s="4">
        <f t="shared" si="3"/>
        <v>2.8226770072497282E-3</v>
      </c>
      <c r="R3" s="4">
        <f t="shared" si="0"/>
        <v>2.8226770072497282E-3</v>
      </c>
      <c r="S3" s="4">
        <f t="shared" si="0"/>
        <v>2.8226770072497282E-3</v>
      </c>
      <c r="T3" s="4">
        <f t="shared" si="0"/>
        <v>2.8226770072497282E-3</v>
      </c>
      <c r="U3" s="4">
        <f t="shared" si="0"/>
        <v>2.8226770072497282E-3</v>
      </c>
      <c r="V3" s="4">
        <f t="shared" si="0"/>
        <v>2.8226770072497282E-3</v>
      </c>
      <c r="W3" s="4">
        <f t="shared" si="0"/>
        <v>2.8226770072497282E-3</v>
      </c>
      <c r="X3" s="4">
        <f t="shared" si="0"/>
        <v>2.8226770072497282E-3</v>
      </c>
      <c r="Y3" s="4">
        <f t="shared" si="0"/>
        <v>2.8226770072497282E-3</v>
      </c>
      <c r="Z3" s="4">
        <f t="shared" si="0"/>
        <v>2.8226770072497282E-3</v>
      </c>
      <c r="AA3" s="4">
        <f t="shared" si="0"/>
        <v>2.8226770072497282E-3</v>
      </c>
      <c r="AB3" s="4">
        <f t="shared" si="0"/>
        <v>2.8226770072497282E-3</v>
      </c>
      <c r="AC3" s="4">
        <f t="shared" si="0"/>
        <v>2.8226770072497282E-3</v>
      </c>
      <c r="AD3" s="4">
        <f t="shared" si="0"/>
        <v>2.8226770072497282E-3</v>
      </c>
      <c r="AE3" s="4">
        <f t="shared" si="0"/>
        <v>2.8226770072497282E-3</v>
      </c>
      <c r="AF3" s="4">
        <f t="shared" ref="AF3:AY3" si="4">AE3</f>
        <v>2.8226770072497282E-3</v>
      </c>
      <c r="AG3" s="4">
        <f t="shared" si="4"/>
        <v>2.8226770072497282E-3</v>
      </c>
      <c r="AH3" s="4">
        <f t="shared" si="4"/>
        <v>2.8226770072497282E-3</v>
      </c>
      <c r="AI3" s="4">
        <f t="shared" si="4"/>
        <v>2.8226770072497282E-3</v>
      </c>
      <c r="AJ3" s="4">
        <f t="shared" si="4"/>
        <v>2.8226770072497282E-3</v>
      </c>
      <c r="AK3" s="4">
        <f t="shared" si="4"/>
        <v>2.8226770072497282E-3</v>
      </c>
      <c r="AL3" s="4">
        <f t="shared" si="4"/>
        <v>2.8226770072497282E-3</v>
      </c>
      <c r="AM3" s="4">
        <f t="shared" si="4"/>
        <v>2.8226770072497282E-3</v>
      </c>
      <c r="AN3" s="4">
        <f t="shared" si="4"/>
        <v>2.8226770072497282E-3</v>
      </c>
      <c r="AO3" s="4">
        <f t="shared" si="4"/>
        <v>2.8226770072497282E-3</v>
      </c>
      <c r="AP3" s="4">
        <f t="shared" si="4"/>
        <v>2.8226770072497282E-3</v>
      </c>
      <c r="AQ3" s="4">
        <f t="shared" si="4"/>
        <v>2.8226770072497282E-3</v>
      </c>
      <c r="AR3" s="4">
        <f t="shared" si="4"/>
        <v>2.8226770072497282E-3</v>
      </c>
      <c r="AS3" s="4">
        <f t="shared" si="4"/>
        <v>2.8226770072497282E-3</v>
      </c>
      <c r="AT3" s="4">
        <f t="shared" si="4"/>
        <v>2.8226770072497282E-3</v>
      </c>
      <c r="AU3" s="4">
        <f t="shared" si="4"/>
        <v>2.8226770072497282E-3</v>
      </c>
      <c r="AV3" s="4">
        <f t="shared" si="4"/>
        <v>2.8226770072497282E-3</v>
      </c>
      <c r="AW3" s="4">
        <f t="shared" si="4"/>
        <v>2.8226770072497282E-3</v>
      </c>
      <c r="AX3" s="4">
        <f t="shared" si="4"/>
        <v>2.8226770072497282E-3</v>
      </c>
      <c r="AY3" s="4">
        <f t="shared" si="4"/>
        <v>2.8226770072497282E-3</v>
      </c>
    </row>
    <row r="4" spans="1:51">
      <c r="A4" t="s">
        <v>46</v>
      </c>
      <c r="B4" s="4">
        <v>9.1563612345912568E-4</v>
      </c>
      <c r="C4" s="4">
        <f t="shared" si="2"/>
        <v>9.1563612345912568E-4</v>
      </c>
      <c r="D4" s="4">
        <f t="shared" si="0"/>
        <v>9.1563612345912568E-4</v>
      </c>
      <c r="E4" s="4">
        <f t="shared" si="0"/>
        <v>9.1563612345912568E-4</v>
      </c>
      <c r="F4" s="4">
        <f t="shared" si="0"/>
        <v>9.1563612345912568E-4</v>
      </c>
      <c r="G4" s="4">
        <f t="shared" si="0"/>
        <v>9.1563612345912568E-4</v>
      </c>
      <c r="H4" s="4">
        <f t="shared" si="0"/>
        <v>9.1563612345912568E-4</v>
      </c>
      <c r="I4" s="4">
        <f t="shared" si="0"/>
        <v>9.1563612345912568E-4</v>
      </c>
      <c r="J4" s="4">
        <f t="shared" si="0"/>
        <v>9.1563612345912568E-4</v>
      </c>
      <c r="K4" s="4">
        <f t="shared" si="0"/>
        <v>9.1563612345912568E-4</v>
      </c>
      <c r="L4" s="4">
        <f t="shared" si="0"/>
        <v>9.1563612345912568E-4</v>
      </c>
      <c r="M4" s="4">
        <f t="shared" si="0"/>
        <v>9.1563612345912568E-4</v>
      </c>
      <c r="N4" s="4">
        <f t="shared" si="0"/>
        <v>9.1563612345912568E-4</v>
      </c>
      <c r="O4" s="4">
        <f t="shared" si="0"/>
        <v>9.1563612345912568E-4</v>
      </c>
      <c r="P4" s="4">
        <f t="shared" si="0"/>
        <v>9.1563612345912568E-4</v>
      </c>
      <c r="Q4" s="4">
        <f t="shared" si="0"/>
        <v>9.1563612345912568E-4</v>
      </c>
      <c r="R4" s="4">
        <f t="shared" si="0"/>
        <v>9.1563612345912568E-4</v>
      </c>
      <c r="S4" s="4">
        <f t="shared" si="0"/>
        <v>9.1563612345912568E-4</v>
      </c>
      <c r="T4" s="4">
        <f t="shared" si="0"/>
        <v>9.1563612345912568E-4</v>
      </c>
      <c r="U4" s="4">
        <f t="shared" si="0"/>
        <v>9.1563612345912568E-4</v>
      </c>
      <c r="V4" s="4">
        <f t="shared" si="0"/>
        <v>9.1563612345912568E-4</v>
      </c>
      <c r="W4" s="4">
        <f t="shared" si="0"/>
        <v>9.1563612345912568E-4</v>
      </c>
      <c r="X4" s="4">
        <f t="shared" si="0"/>
        <v>9.1563612345912568E-4</v>
      </c>
      <c r="Y4" s="4">
        <f t="shared" si="0"/>
        <v>9.1563612345912568E-4</v>
      </c>
      <c r="Z4" s="4">
        <f t="shared" si="0"/>
        <v>9.1563612345912568E-4</v>
      </c>
      <c r="AA4" s="4">
        <f t="shared" si="0"/>
        <v>9.1563612345912568E-4</v>
      </c>
      <c r="AB4" s="4">
        <f t="shared" si="0"/>
        <v>9.1563612345912568E-4</v>
      </c>
      <c r="AC4" s="4">
        <f t="shared" si="0"/>
        <v>9.1563612345912568E-4</v>
      </c>
      <c r="AD4" s="4">
        <f t="shared" si="0"/>
        <v>9.1563612345912568E-4</v>
      </c>
      <c r="AE4" s="4">
        <f t="shared" si="0"/>
        <v>9.1563612345912568E-4</v>
      </c>
      <c r="AF4" s="4">
        <f t="shared" ref="AF4:AY4" si="5">AE4</f>
        <v>9.1563612345912568E-4</v>
      </c>
      <c r="AG4" s="4">
        <f t="shared" si="5"/>
        <v>9.1563612345912568E-4</v>
      </c>
      <c r="AH4" s="4">
        <f t="shared" si="5"/>
        <v>9.1563612345912568E-4</v>
      </c>
      <c r="AI4" s="4">
        <f t="shared" si="5"/>
        <v>9.1563612345912568E-4</v>
      </c>
      <c r="AJ4" s="4">
        <f t="shared" si="5"/>
        <v>9.1563612345912568E-4</v>
      </c>
      <c r="AK4" s="4">
        <f t="shared" si="5"/>
        <v>9.1563612345912568E-4</v>
      </c>
      <c r="AL4" s="4">
        <f t="shared" si="5"/>
        <v>9.1563612345912568E-4</v>
      </c>
      <c r="AM4" s="4">
        <f t="shared" si="5"/>
        <v>9.1563612345912568E-4</v>
      </c>
      <c r="AN4" s="4">
        <f t="shared" si="5"/>
        <v>9.1563612345912568E-4</v>
      </c>
      <c r="AO4" s="4">
        <f t="shared" si="5"/>
        <v>9.1563612345912568E-4</v>
      </c>
      <c r="AP4" s="4">
        <f t="shared" si="5"/>
        <v>9.1563612345912568E-4</v>
      </c>
      <c r="AQ4" s="4">
        <f t="shared" si="5"/>
        <v>9.1563612345912568E-4</v>
      </c>
      <c r="AR4" s="4">
        <f t="shared" si="5"/>
        <v>9.1563612345912568E-4</v>
      </c>
      <c r="AS4" s="4">
        <f t="shared" si="5"/>
        <v>9.1563612345912568E-4</v>
      </c>
      <c r="AT4" s="4">
        <f t="shared" si="5"/>
        <v>9.1563612345912568E-4</v>
      </c>
      <c r="AU4" s="4">
        <f t="shared" si="5"/>
        <v>9.1563612345912568E-4</v>
      </c>
      <c r="AV4" s="4">
        <f t="shared" si="5"/>
        <v>9.1563612345912568E-4</v>
      </c>
      <c r="AW4" s="4">
        <f t="shared" si="5"/>
        <v>9.1563612345912568E-4</v>
      </c>
      <c r="AX4" s="4">
        <f t="shared" si="5"/>
        <v>9.1563612345912568E-4</v>
      </c>
      <c r="AY4" s="4">
        <f t="shared" si="5"/>
        <v>9.1563612345912568E-4</v>
      </c>
    </row>
    <row r="5" spans="1:51">
      <c r="A5" t="s">
        <v>49</v>
      </c>
      <c r="B5" s="4">
        <v>1.0581562199094108E-3</v>
      </c>
      <c r="C5" s="4">
        <f t="shared" si="2"/>
        <v>1.0581562199094108E-3</v>
      </c>
      <c r="D5" s="4">
        <f t="shared" si="0"/>
        <v>1.0581562199094108E-3</v>
      </c>
      <c r="E5" s="4">
        <f t="shared" si="0"/>
        <v>1.0581562199094108E-3</v>
      </c>
      <c r="F5" s="4">
        <f t="shared" si="0"/>
        <v>1.0581562199094108E-3</v>
      </c>
      <c r="G5" s="4">
        <f t="shared" si="0"/>
        <v>1.0581562199094108E-3</v>
      </c>
      <c r="H5" s="4">
        <f t="shared" si="0"/>
        <v>1.0581562199094108E-3</v>
      </c>
      <c r="I5" s="4">
        <f t="shared" si="0"/>
        <v>1.0581562199094108E-3</v>
      </c>
      <c r="J5" s="4">
        <f t="shared" si="0"/>
        <v>1.0581562199094108E-3</v>
      </c>
      <c r="K5" s="4">
        <f t="shared" si="0"/>
        <v>1.0581562199094108E-3</v>
      </c>
      <c r="L5" s="4">
        <f t="shared" si="0"/>
        <v>1.0581562199094108E-3</v>
      </c>
      <c r="M5" s="4">
        <f t="shared" si="0"/>
        <v>1.0581562199094108E-3</v>
      </c>
      <c r="N5" s="4">
        <f t="shared" si="0"/>
        <v>1.0581562199094108E-3</v>
      </c>
      <c r="O5" s="4">
        <f t="shared" si="0"/>
        <v>1.0581562199094108E-3</v>
      </c>
      <c r="P5" s="4">
        <f t="shared" si="0"/>
        <v>1.0581562199094108E-3</v>
      </c>
      <c r="Q5" s="4">
        <f t="shared" si="0"/>
        <v>1.0581562199094108E-3</v>
      </c>
      <c r="R5" s="4">
        <f t="shared" si="0"/>
        <v>1.0581562199094108E-3</v>
      </c>
      <c r="S5" s="4">
        <f t="shared" si="0"/>
        <v>1.0581562199094108E-3</v>
      </c>
      <c r="T5" s="4">
        <f t="shared" si="0"/>
        <v>1.0581562199094108E-3</v>
      </c>
      <c r="U5" s="4">
        <f t="shared" si="0"/>
        <v>1.0581562199094108E-3</v>
      </c>
      <c r="V5" s="4">
        <f t="shared" si="0"/>
        <v>1.0581562199094108E-3</v>
      </c>
      <c r="W5" s="4">
        <f t="shared" si="0"/>
        <v>1.0581562199094108E-3</v>
      </c>
      <c r="X5" s="4">
        <f t="shared" si="0"/>
        <v>1.0581562199094108E-3</v>
      </c>
      <c r="Y5" s="4">
        <f t="shared" si="0"/>
        <v>1.0581562199094108E-3</v>
      </c>
      <c r="Z5" s="4">
        <f t="shared" si="0"/>
        <v>1.0581562199094108E-3</v>
      </c>
      <c r="AA5" s="4">
        <f t="shared" si="0"/>
        <v>1.0581562199094108E-3</v>
      </c>
      <c r="AB5" s="4">
        <f t="shared" si="0"/>
        <v>1.0581562199094108E-3</v>
      </c>
      <c r="AC5" s="4">
        <f t="shared" si="0"/>
        <v>1.0581562199094108E-3</v>
      </c>
      <c r="AD5" s="4">
        <f t="shared" si="0"/>
        <v>1.0581562199094108E-3</v>
      </c>
      <c r="AE5" s="4">
        <f t="shared" si="0"/>
        <v>1.0581562199094108E-3</v>
      </c>
      <c r="AF5" s="4">
        <f t="shared" ref="AF5:AY5" si="6">AE5</f>
        <v>1.0581562199094108E-3</v>
      </c>
      <c r="AG5" s="4">
        <f t="shared" si="6"/>
        <v>1.0581562199094108E-3</v>
      </c>
      <c r="AH5" s="4">
        <f t="shared" si="6"/>
        <v>1.0581562199094108E-3</v>
      </c>
      <c r="AI5" s="4">
        <f t="shared" si="6"/>
        <v>1.0581562199094108E-3</v>
      </c>
      <c r="AJ5" s="4">
        <f t="shared" si="6"/>
        <v>1.0581562199094108E-3</v>
      </c>
      <c r="AK5" s="4">
        <f t="shared" si="6"/>
        <v>1.0581562199094108E-3</v>
      </c>
      <c r="AL5" s="4">
        <f t="shared" si="6"/>
        <v>1.0581562199094108E-3</v>
      </c>
      <c r="AM5" s="4">
        <f t="shared" si="6"/>
        <v>1.0581562199094108E-3</v>
      </c>
      <c r="AN5" s="4">
        <f t="shared" si="6"/>
        <v>1.0581562199094108E-3</v>
      </c>
      <c r="AO5" s="4">
        <f t="shared" si="6"/>
        <v>1.0581562199094108E-3</v>
      </c>
      <c r="AP5" s="4">
        <f t="shared" si="6"/>
        <v>1.0581562199094108E-3</v>
      </c>
      <c r="AQ5" s="4">
        <f t="shared" si="6"/>
        <v>1.0581562199094108E-3</v>
      </c>
      <c r="AR5" s="4">
        <f t="shared" si="6"/>
        <v>1.0581562199094108E-3</v>
      </c>
      <c r="AS5" s="4">
        <f t="shared" si="6"/>
        <v>1.0581562199094108E-3</v>
      </c>
      <c r="AT5" s="4">
        <f t="shared" si="6"/>
        <v>1.0581562199094108E-3</v>
      </c>
      <c r="AU5" s="4">
        <f t="shared" si="6"/>
        <v>1.0581562199094108E-3</v>
      </c>
      <c r="AV5" s="4">
        <f t="shared" si="6"/>
        <v>1.0581562199094108E-3</v>
      </c>
      <c r="AW5" s="4">
        <f t="shared" si="6"/>
        <v>1.0581562199094108E-3</v>
      </c>
      <c r="AX5" s="4">
        <f t="shared" si="6"/>
        <v>1.0581562199094108E-3</v>
      </c>
      <c r="AY5" s="4">
        <f t="shared" si="6"/>
        <v>1.0581562199094108E-3</v>
      </c>
    </row>
    <row r="6" spans="1:51">
      <c r="A6" t="s">
        <v>58</v>
      </c>
      <c r="B6" s="4">
        <v>2.3463672970163861E-3</v>
      </c>
      <c r="C6" s="4">
        <f t="shared" si="2"/>
        <v>2.3463672970163861E-3</v>
      </c>
      <c r="D6" s="4">
        <f t="shared" si="0"/>
        <v>2.3463672970163861E-3</v>
      </c>
      <c r="E6" s="4">
        <f t="shared" si="0"/>
        <v>2.3463672970163861E-3</v>
      </c>
      <c r="F6" s="4">
        <f t="shared" si="0"/>
        <v>2.3463672970163861E-3</v>
      </c>
      <c r="G6" s="4">
        <f t="shared" si="0"/>
        <v>2.3463672970163861E-3</v>
      </c>
      <c r="H6" s="4">
        <f t="shared" si="0"/>
        <v>2.3463672970163861E-3</v>
      </c>
      <c r="I6" s="4">
        <f t="shared" si="0"/>
        <v>2.3463672970163861E-3</v>
      </c>
      <c r="J6" s="4">
        <f t="shared" si="0"/>
        <v>2.3463672970163861E-3</v>
      </c>
      <c r="K6" s="4">
        <f t="shared" si="0"/>
        <v>2.3463672970163861E-3</v>
      </c>
      <c r="L6" s="4">
        <f t="shared" si="0"/>
        <v>2.3463672970163861E-3</v>
      </c>
      <c r="M6" s="4">
        <f t="shared" si="0"/>
        <v>2.3463672970163861E-3</v>
      </c>
      <c r="N6" s="4">
        <f t="shared" si="0"/>
        <v>2.3463672970163861E-3</v>
      </c>
      <c r="O6" s="4">
        <f t="shared" si="0"/>
        <v>2.3463672970163861E-3</v>
      </c>
      <c r="P6" s="4">
        <f t="shared" si="0"/>
        <v>2.3463672970163861E-3</v>
      </c>
      <c r="Q6" s="4">
        <f t="shared" si="0"/>
        <v>2.3463672970163861E-3</v>
      </c>
      <c r="R6" s="4">
        <f t="shared" si="0"/>
        <v>2.3463672970163861E-3</v>
      </c>
      <c r="S6" s="4">
        <f t="shared" si="0"/>
        <v>2.3463672970163861E-3</v>
      </c>
      <c r="T6" s="4">
        <f t="shared" si="0"/>
        <v>2.3463672970163861E-3</v>
      </c>
      <c r="U6" s="4">
        <f t="shared" si="0"/>
        <v>2.3463672970163861E-3</v>
      </c>
      <c r="V6" s="4">
        <f t="shared" si="0"/>
        <v>2.3463672970163861E-3</v>
      </c>
      <c r="W6" s="4">
        <f t="shared" si="0"/>
        <v>2.3463672970163861E-3</v>
      </c>
      <c r="X6" s="4">
        <f t="shared" si="0"/>
        <v>2.3463672970163861E-3</v>
      </c>
      <c r="Y6" s="4">
        <f t="shared" si="0"/>
        <v>2.3463672970163861E-3</v>
      </c>
      <c r="Z6" s="4">
        <f t="shared" si="0"/>
        <v>2.3463672970163861E-3</v>
      </c>
      <c r="AA6" s="4">
        <f t="shared" si="0"/>
        <v>2.3463672970163861E-3</v>
      </c>
      <c r="AB6" s="4">
        <f t="shared" si="0"/>
        <v>2.3463672970163861E-3</v>
      </c>
      <c r="AC6" s="4">
        <f t="shared" si="0"/>
        <v>2.3463672970163861E-3</v>
      </c>
      <c r="AD6" s="4">
        <f t="shared" si="0"/>
        <v>2.3463672970163861E-3</v>
      </c>
      <c r="AE6" s="4">
        <f t="shared" si="0"/>
        <v>2.3463672970163861E-3</v>
      </c>
      <c r="AF6" s="4">
        <f t="shared" ref="AF6:AY6" si="7">AE6</f>
        <v>2.3463672970163861E-3</v>
      </c>
      <c r="AG6" s="4">
        <f t="shared" si="7"/>
        <v>2.3463672970163861E-3</v>
      </c>
      <c r="AH6" s="4">
        <f t="shared" si="7"/>
        <v>2.3463672970163861E-3</v>
      </c>
      <c r="AI6" s="4">
        <f t="shared" si="7"/>
        <v>2.3463672970163861E-3</v>
      </c>
      <c r="AJ6" s="4">
        <f t="shared" si="7"/>
        <v>2.3463672970163861E-3</v>
      </c>
      <c r="AK6" s="4">
        <f t="shared" si="7"/>
        <v>2.3463672970163861E-3</v>
      </c>
      <c r="AL6" s="4">
        <f t="shared" si="7"/>
        <v>2.3463672970163861E-3</v>
      </c>
      <c r="AM6" s="4">
        <f t="shared" si="7"/>
        <v>2.3463672970163861E-3</v>
      </c>
      <c r="AN6" s="4">
        <f t="shared" si="7"/>
        <v>2.3463672970163861E-3</v>
      </c>
      <c r="AO6" s="4">
        <f t="shared" si="7"/>
        <v>2.3463672970163861E-3</v>
      </c>
      <c r="AP6" s="4">
        <f t="shared" si="7"/>
        <v>2.3463672970163861E-3</v>
      </c>
      <c r="AQ6" s="4">
        <f t="shared" si="7"/>
        <v>2.3463672970163861E-3</v>
      </c>
      <c r="AR6" s="4">
        <f t="shared" si="7"/>
        <v>2.3463672970163861E-3</v>
      </c>
      <c r="AS6" s="4">
        <f t="shared" si="7"/>
        <v>2.3463672970163861E-3</v>
      </c>
      <c r="AT6" s="4">
        <f t="shared" si="7"/>
        <v>2.3463672970163861E-3</v>
      </c>
      <c r="AU6" s="4">
        <f t="shared" si="7"/>
        <v>2.3463672970163861E-3</v>
      </c>
      <c r="AV6" s="4">
        <f t="shared" si="7"/>
        <v>2.3463672970163861E-3</v>
      </c>
      <c r="AW6" s="4">
        <f t="shared" si="7"/>
        <v>2.3463672970163861E-3</v>
      </c>
      <c r="AX6" s="4">
        <f t="shared" si="7"/>
        <v>2.3463672970163861E-3</v>
      </c>
      <c r="AY6" s="4">
        <f t="shared" si="7"/>
        <v>2.3463672970163861E-3</v>
      </c>
    </row>
    <row r="7" spans="1:51">
      <c r="A7" t="s">
        <v>59</v>
      </c>
      <c r="B7" s="4">
        <v>3.076266427557592E-3</v>
      </c>
      <c r="C7" s="4">
        <f t="shared" si="2"/>
        <v>3.076266427557592E-3</v>
      </c>
      <c r="D7" s="4">
        <f t="shared" si="0"/>
        <v>3.076266427557592E-3</v>
      </c>
      <c r="E7" s="4">
        <f t="shared" si="0"/>
        <v>3.076266427557592E-3</v>
      </c>
      <c r="F7" s="4">
        <f t="shared" si="0"/>
        <v>3.076266427557592E-3</v>
      </c>
      <c r="G7" s="4">
        <f t="shared" si="0"/>
        <v>3.076266427557592E-3</v>
      </c>
      <c r="H7" s="4">
        <f t="shared" si="0"/>
        <v>3.076266427557592E-3</v>
      </c>
      <c r="I7" s="4">
        <f t="shared" si="0"/>
        <v>3.076266427557592E-3</v>
      </c>
      <c r="J7" s="4">
        <f t="shared" si="0"/>
        <v>3.076266427557592E-3</v>
      </c>
      <c r="K7" s="4">
        <f t="shared" si="0"/>
        <v>3.076266427557592E-3</v>
      </c>
      <c r="L7" s="4">
        <f t="shared" si="0"/>
        <v>3.076266427557592E-3</v>
      </c>
      <c r="M7" s="4">
        <f t="shared" si="0"/>
        <v>3.076266427557592E-3</v>
      </c>
      <c r="N7" s="4">
        <f t="shared" si="0"/>
        <v>3.076266427557592E-3</v>
      </c>
      <c r="O7" s="4">
        <f t="shared" si="0"/>
        <v>3.076266427557592E-3</v>
      </c>
      <c r="P7" s="4">
        <f t="shared" si="0"/>
        <v>3.076266427557592E-3</v>
      </c>
      <c r="Q7" s="4">
        <f t="shared" si="0"/>
        <v>3.076266427557592E-3</v>
      </c>
      <c r="R7" s="4">
        <f t="shared" si="0"/>
        <v>3.076266427557592E-3</v>
      </c>
      <c r="S7" s="4">
        <f t="shared" si="0"/>
        <v>3.076266427557592E-3</v>
      </c>
      <c r="T7" s="4">
        <f t="shared" si="0"/>
        <v>3.076266427557592E-3</v>
      </c>
      <c r="U7" s="4">
        <f t="shared" si="0"/>
        <v>3.076266427557592E-3</v>
      </c>
      <c r="V7" s="4">
        <f t="shared" si="0"/>
        <v>3.076266427557592E-3</v>
      </c>
      <c r="W7" s="4">
        <f t="shared" si="0"/>
        <v>3.076266427557592E-3</v>
      </c>
      <c r="X7" s="4">
        <f t="shared" si="0"/>
        <v>3.076266427557592E-3</v>
      </c>
      <c r="Y7" s="4">
        <f t="shared" si="0"/>
        <v>3.076266427557592E-3</v>
      </c>
      <c r="Z7" s="4">
        <f t="shared" si="0"/>
        <v>3.076266427557592E-3</v>
      </c>
      <c r="AA7" s="4">
        <f t="shared" si="0"/>
        <v>3.076266427557592E-3</v>
      </c>
      <c r="AB7" s="4">
        <f t="shared" si="0"/>
        <v>3.076266427557592E-3</v>
      </c>
      <c r="AC7" s="4">
        <f t="shared" si="0"/>
        <v>3.076266427557592E-3</v>
      </c>
      <c r="AD7" s="4">
        <f t="shared" si="0"/>
        <v>3.076266427557592E-3</v>
      </c>
      <c r="AE7" s="4">
        <f t="shared" si="0"/>
        <v>3.076266427557592E-3</v>
      </c>
      <c r="AF7" s="4">
        <f t="shared" ref="AF7:AY7" si="8">AE7</f>
        <v>3.076266427557592E-3</v>
      </c>
      <c r="AG7" s="4">
        <f t="shared" si="8"/>
        <v>3.076266427557592E-3</v>
      </c>
      <c r="AH7" s="4">
        <f t="shared" si="8"/>
        <v>3.076266427557592E-3</v>
      </c>
      <c r="AI7" s="4">
        <f t="shared" si="8"/>
        <v>3.076266427557592E-3</v>
      </c>
      <c r="AJ7" s="4">
        <f t="shared" si="8"/>
        <v>3.076266427557592E-3</v>
      </c>
      <c r="AK7" s="4">
        <f t="shared" si="8"/>
        <v>3.076266427557592E-3</v>
      </c>
      <c r="AL7" s="4">
        <f t="shared" si="8"/>
        <v>3.076266427557592E-3</v>
      </c>
      <c r="AM7" s="4">
        <f t="shared" si="8"/>
        <v>3.076266427557592E-3</v>
      </c>
      <c r="AN7" s="4">
        <f t="shared" si="8"/>
        <v>3.076266427557592E-3</v>
      </c>
      <c r="AO7" s="4">
        <f t="shared" si="8"/>
        <v>3.076266427557592E-3</v>
      </c>
      <c r="AP7" s="4">
        <f t="shared" si="8"/>
        <v>3.076266427557592E-3</v>
      </c>
      <c r="AQ7" s="4">
        <f t="shared" si="8"/>
        <v>3.076266427557592E-3</v>
      </c>
      <c r="AR7" s="4">
        <f t="shared" si="8"/>
        <v>3.076266427557592E-3</v>
      </c>
      <c r="AS7" s="4">
        <f t="shared" si="8"/>
        <v>3.076266427557592E-3</v>
      </c>
      <c r="AT7" s="4">
        <f t="shared" si="8"/>
        <v>3.076266427557592E-3</v>
      </c>
      <c r="AU7" s="4">
        <f t="shared" si="8"/>
        <v>3.076266427557592E-3</v>
      </c>
      <c r="AV7" s="4">
        <f t="shared" si="8"/>
        <v>3.076266427557592E-3</v>
      </c>
      <c r="AW7" s="4">
        <f t="shared" si="8"/>
        <v>3.076266427557592E-3</v>
      </c>
      <c r="AX7" s="4">
        <f t="shared" si="8"/>
        <v>3.076266427557592E-3</v>
      </c>
      <c r="AY7" s="4">
        <f t="shared" si="8"/>
        <v>3.076266427557592E-3</v>
      </c>
    </row>
    <row r="8" spans="1:51">
      <c r="A8" t="s">
        <v>60</v>
      </c>
      <c r="B8" s="4">
        <v>3.1744686597282318E-3</v>
      </c>
      <c r="C8" s="4">
        <f t="shared" si="2"/>
        <v>3.1744686597282318E-3</v>
      </c>
      <c r="D8" s="4">
        <f t="shared" si="0"/>
        <v>3.1744686597282318E-3</v>
      </c>
      <c r="E8" s="4">
        <f t="shared" si="0"/>
        <v>3.1744686597282318E-3</v>
      </c>
      <c r="F8" s="4">
        <f t="shared" si="0"/>
        <v>3.1744686597282318E-3</v>
      </c>
      <c r="G8" s="4">
        <f t="shared" si="0"/>
        <v>3.1744686597282318E-3</v>
      </c>
      <c r="H8" s="4">
        <f t="shared" si="0"/>
        <v>3.1744686597282318E-3</v>
      </c>
      <c r="I8" s="4">
        <f t="shared" si="0"/>
        <v>3.1744686597282318E-3</v>
      </c>
      <c r="J8" s="4">
        <f t="shared" si="0"/>
        <v>3.1744686597282318E-3</v>
      </c>
      <c r="K8" s="4">
        <f t="shared" si="0"/>
        <v>3.1744686597282318E-3</v>
      </c>
      <c r="L8" s="4">
        <f t="shared" si="0"/>
        <v>3.1744686597282318E-3</v>
      </c>
      <c r="M8" s="4">
        <f t="shared" si="0"/>
        <v>3.1744686597282318E-3</v>
      </c>
      <c r="N8" s="4">
        <f t="shared" si="0"/>
        <v>3.1744686597282318E-3</v>
      </c>
      <c r="O8" s="4">
        <f t="shared" si="0"/>
        <v>3.1744686597282318E-3</v>
      </c>
      <c r="P8" s="4">
        <f t="shared" si="0"/>
        <v>3.1744686597282318E-3</v>
      </c>
      <c r="Q8" s="4">
        <f t="shared" si="0"/>
        <v>3.1744686597282318E-3</v>
      </c>
      <c r="R8" s="4">
        <f t="shared" si="0"/>
        <v>3.1744686597282318E-3</v>
      </c>
      <c r="S8" s="4">
        <f t="shared" si="0"/>
        <v>3.1744686597282318E-3</v>
      </c>
      <c r="T8" s="4">
        <f t="shared" si="0"/>
        <v>3.1744686597282318E-3</v>
      </c>
      <c r="U8" s="4">
        <f t="shared" si="0"/>
        <v>3.1744686597282318E-3</v>
      </c>
      <c r="V8" s="4">
        <f t="shared" si="0"/>
        <v>3.1744686597282318E-3</v>
      </c>
      <c r="W8" s="4">
        <f t="shared" si="0"/>
        <v>3.1744686597282318E-3</v>
      </c>
      <c r="X8" s="4">
        <f t="shared" si="0"/>
        <v>3.1744686597282318E-3</v>
      </c>
      <c r="Y8" s="4">
        <f t="shared" si="0"/>
        <v>3.1744686597282318E-3</v>
      </c>
      <c r="Z8" s="4">
        <f t="shared" si="0"/>
        <v>3.1744686597282318E-3</v>
      </c>
      <c r="AA8" s="4">
        <f t="shared" si="0"/>
        <v>3.1744686597282318E-3</v>
      </c>
      <c r="AB8" s="4">
        <f t="shared" si="0"/>
        <v>3.1744686597282318E-3</v>
      </c>
      <c r="AC8" s="4">
        <f t="shared" si="0"/>
        <v>3.1744686597282318E-3</v>
      </c>
      <c r="AD8" s="4">
        <f t="shared" si="0"/>
        <v>3.1744686597282318E-3</v>
      </c>
      <c r="AE8" s="4">
        <f t="shared" si="0"/>
        <v>3.1744686597282318E-3</v>
      </c>
      <c r="AF8" s="4">
        <f t="shared" ref="AF8:AY8" si="9">AE8</f>
        <v>3.1744686597282318E-3</v>
      </c>
      <c r="AG8" s="4">
        <f t="shared" si="9"/>
        <v>3.1744686597282318E-3</v>
      </c>
      <c r="AH8" s="4">
        <f t="shared" si="9"/>
        <v>3.1744686597282318E-3</v>
      </c>
      <c r="AI8" s="4">
        <f t="shared" si="9"/>
        <v>3.1744686597282318E-3</v>
      </c>
      <c r="AJ8" s="4">
        <f t="shared" si="9"/>
        <v>3.1744686597282318E-3</v>
      </c>
      <c r="AK8" s="4">
        <f t="shared" si="9"/>
        <v>3.1744686597282318E-3</v>
      </c>
      <c r="AL8" s="4">
        <f t="shared" si="9"/>
        <v>3.1744686597282318E-3</v>
      </c>
      <c r="AM8" s="4">
        <f t="shared" si="9"/>
        <v>3.1744686597282318E-3</v>
      </c>
      <c r="AN8" s="4">
        <f t="shared" si="9"/>
        <v>3.1744686597282318E-3</v>
      </c>
      <c r="AO8" s="4">
        <f t="shared" si="9"/>
        <v>3.1744686597282318E-3</v>
      </c>
      <c r="AP8" s="4">
        <f t="shared" si="9"/>
        <v>3.1744686597282318E-3</v>
      </c>
      <c r="AQ8" s="4">
        <f t="shared" si="9"/>
        <v>3.1744686597282318E-3</v>
      </c>
      <c r="AR8" s="4">
        <f t="shared" si="9"/>
        <v>3.1744686597282318E-3</v>
      </c>
      <c r="AS8" s="4">
        <f t="shared" si="9"/>
        <v>3.1744686597282318E-3</v>
      </c>
      <c r="AT8" s="4">
        <f t="shared" si="9"/>
        <v>3.1744686597282318E-3</v>
      </c>
      <c r="AU8" s="4">
        <f t="shared" si="9"/>
        <v>3.1744686597282318E-3</v>
      </c>
      <c r="AV8" s="4">
        <f t="shared" si="9"/>
        <v>3.1744686597282318E-3</v>
      </c>
      <c r="AW8" s="4">
        <f t="shared" si="9"/>
        <v>3.1744686597282318E-3</v>
      </c>
      <c r="AX8" s="4">
        <f t="shared" si="9"/>
        <v>3.1744686597282318E-3</v>
      </c>
      <c r="AY8" s="4">
        <f t="shared" si="9"/>
        <v>3.1744686597282318E-3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Y8"/>
  <sheetViews>
    <sheetView topLeftCell="V1" workbookViewId="0">
      <selection activeCell="AF2" sqref="AF2:AY8"/>
    </sheetView>
  </sheetViews>
  <sheetFormatPr defaultColWidth="8.85546875" defaultRowHeight="15"/>
  <cols>
    <col min="1" max="1" width="31.140625" customWidth="1"/>
  </cols>
  <sheetData>
    <row r="1" spans="1:51" ht="15.95">
      <c r="A1" s="18" t="s">
        <v>98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52</v>
      </c>
      <c r="B2" s="4">
        <f t="array" ref="B2:B8">TRANSPOSE(SYFAFE!B11:H11)</f>
        <v>2.228289727670437E-3</v>
      </c>
      <c r="C2" s="4">
        <f>B2</f>
        <v>2.228289727670437E-3</v>
      </c>
      <c r="D2" s="4">
        <f t="shared" ref="D2:AE8" si="0">C2</f>
        <v>2.228289727670437E-3</v>
      </c>
      <c r="E2" s="4">
        <f t="shared" si="0"/>
        <v>2.228289727670437E-3</v>
      </c>
      <c r="F2" s="4">
        <f t="shared" si="0"/>
        <v>2.228289727670437E-3</v>
      </c>
      <c r="G2" s="4">
        <f t="shared" si="0"/>
        <v>2.228289727670437E-3</v>
      </c>
      <c r="H2" s="4">
        <f t="shared" si="0"/>
        <v>2.228289727670437E-3</v>
      </c>
      <c r="I2" s="4">
        <f t="shared" si="0"/>
        <v>2.228289727670437E-3</v>
      </c>
      <c r="J2" s="4">
        <f t="shared" si="0"/>
        <v>2.228289727670437E-3</v>
      </c>
      <c r="K2" s="4">
        <f t="shared" si="0"/>
        <v>2.228289727670437E-3</v>
      </c>
      <c r="L2" s="4">
        <f t="shared" si="0"/>
        <v>2.228289727670437E-3</v>
      </c>
      <c r="M2" s="4">
        <f t="shared" si="0"/>
        <v>2.228289727670437E-3</v>
      </c>
      <c r="N2" s="4">
        <f t="shared" si="0"/>
        <v>2.228289727670437E-3</v>
      </c>
      <c r="O2" s="4">
        <f t="shared" si="0"/>
        <v>2.228289727670437E-3</v>
      </c>
      <c r="P2" s="4">
        <f t="shared" si="0"/>
        <v>2.228289727670437E-3</v>
      </c>
      <c r="Q2" s="4">
        <f t="shared" si="0"/>
        <v>2.228289727670437E-3</v>
      </c>
      <c r="R2" s="4">
        <f t="shared" si="0"/>
        <v>2.228289727670437E-3</v>
      </c>
      <c r="S2" s="4">
        <f t="shared" si="0"/>
        <v>2.228289727670437E-3</v>
      </c>
      <c r="T2" s="4">
        <f t="shared" si="0"/>
        <v>2.228289727670437E-3</v>
      </c>
      <c r="U2" s="4">
        <f t="shared" si="0"/>
        <v>2.228289727670437E-3</v>
      </c>
      <c r="V2" s="4">
        <f t="shared" si="0"/>
        <v>2.228289727670437E-3</v>
      </c>
      <c r="W2" s="4">
        <f t="shared" si="0"/>
        <v>2.228289727670437E-3</v>
      </c>
      <c r="X2" s="4">
        <f t="shared" si="0"/>
        <v>2.228289727670437E-3</v>
      </c>
      <c r="Y2" s="4">
        <f t="shared" si="0"/>
        <v>2.228289727670437E-3</v>
      </c>
      <c r="Z2" s="4">
        <f t="shared" si="0"/>
        <v>2.228289727670437E-3</v>
      </c>
      <c r="AA2" s="4">
        <f t="shared" si="0"/>
        <v>2.228289727670437E-3</v>
      </c>
      <c r="AB2" s="4">
        <f t="shared" si="0"/>
        <v>2.228289727670437E-3</v>
      </c>
      <c r="AC2" s="4">
        <f t="shared" si="0"/>
        <v>2.228289727670437E-3</v>
      </c>
      <c r="AD2" s="4">
        <f t="shared" si="0"/>
        <v>2.228289727670437E-3</v>
      </c>
      <c r="AE2" s="4">
        <f t="shared" si="0"/>
        <v>2.228289727670437E-3</v>
      </c>
      <c r="AF2" s="4">
        <f t="shared" ref="AF2:AY2" si="1">AE2</f>
        <v>2.228289727670437E-3</v>
      </c>
      <c r="AG2" s="4">
        <f t="shared" si="1"/>
        <v>2.228289727670437E-3</v>
      </c>
      <c r="AH2" s="4">
        <f t="shared" si="1"/>
        <v>2.228289727670437E-3</v>
      </c>
      <c r="AI2" s="4">
        <f t="shared" si="1"/>
        <v>2.228289727670437E-3</v>
      </c>
      <c r="AJ2" s="4">
        <f t="shared" si="1"/>
        <v>2.228289727670437E-3</v>
      </c>
      <c r="AK2" s="4">
        <f t="shared" si="1"/>
        <v>2.228289727670437E-3</v>
      </c>
      <c r="AL2" s="4">
        <f t="shared" si="1"/>
        <v>2.228289727670437E-3</v>
      </c>
      <c r="AM2" s="4">
        <f t="shared" si="1"/>
        <v>2.228289727670437E-3</v>
      </c>
      <c r="AN2" s="4">
        <f t="shared" si="1"/>
        <v>2.228289727670437E-3</v>
      </c>
      <c r="AO2" s="4">
        <f t="shared" si="1"/>
        <v>2.228289727670437E-3</v>
      </c>
      <c r="AP2" s="4">
        <f t="shared" si="1"/>
        <v>2.228289727670437E-3</v>
      </c>
      <c r="AQ2" s="4">
        <f t="shared" si="1"/>
        <v>2.228289727670437E-3</v>
      </c>
      <c r="AR2" s="4">
        <f t="shared" si="1"/>
        <v>2.228289727670437E-3</v>
      </c>
      <c r="AS2" s="4">
        <f t="shared" si="1"/>
        <v>2.228289727670437E-3</v>
      </c>
      <c r="AT2" s="4">
        <f t="shared" si="1"/>
        <v>2.228289727670437E-3</v>
      </c>
      <c r="AU2" s="4">
        <f t="shared" si="1"/>
        <v>2.228289727670437E-3</v>
      </c>
      <c r="AV2" s="4">
        <f t="shared" si="1"/>
        <v>2.228289727670437E-3</v>
      </c>
      <c r="AW2" s="4">
        <f t="shared" si="1"/>
        <v>2.228289727670437E-3</v>
      </c>
      <c r="AX2" s="4">
        <f t="shared" si="1"/>
        <v>2.228289727670437E-3</v>
      </c>
      <c r="AY2" s="4">
        <f t="shared" si="1"/>
        <v>2.228289727670437E-3</v>
      </c>
    </row>
    <row r="3" spans="1:51">
      <c r="A3" t="s">
        <v>57</v>
      </c>
      <c r="B3" s="4">
        <v>4.9095868400551087E-4</v>
      </c>
      <c r="C3" s="4">
        <f t="shared" ref="C3:C8" si="2">B3</f>
        <v>4.9095868400551087E-4</v>
      </c>
      <c r="D3" s="4">
        <f t="shared" ref="D3:Q3" si="3">C3</f>
        <v>4.9095868400551087E-4</v>
      </c>
      <c r="E3" s="4">
        <f t="shared" si="3"/>
        <v>4.9095868400551087E-4</v>
      </c>
      <c r="F3" s="4">
        <f t="shared" si="3"/>
        <v>4.9095868400551087E-4</v>
      </c>
      <c r="G3" s="4">
        <f t="shared" si="3"/>
        <v>4.9095868400551087E-4</v>
      </c>
      <c r="H3" s="4">
        <f t="shared" si="3"/>
        <v>4.9095868400551087E-4</v>
      </c>
      <c r="I3" s="4">
        <f t="shared" si="3"/>
        <v>4.9095868400551087E-4</v>
      </c>
      <c r="J3" s="4">
        <f t="shared" si="3"/>
        <v>4.9095868400551087E-4</v>
      </c>
      <c r="K3" s="4">
        <f t="shared" si="3"/>
        <v>4.9095868400551087E-4</v>
      </c>
      <c r="L3" s="4">
        <f t="shared" si="3"/>
        <v>4.9095868400551087E-4</v>
      </c>
      <c r="M3" s="4">
        <f t="shared" si="3"/>
        <v>4.9095868400551087E-4</v>
      </c>
      <c r="N3" s="4">
        <f t="shared" si="3"/>
        <v>4.9095868400551087E-4</v>
      </c>
      <c r="O3" s="4">
        <f t="shared" si="3"/>
        <v>4.9095868400551087E-4</v>
      </c>
      <c r="P3" s="4">
        <f t="shared" si="3"/>
        <v>4.9095868400551087E-4</v>
      </c>
      <c r="Q3" s="4">
        <f t="shared" si="3"/>
        <v>4.9095868400551087E-4</v>
      </c>
      <c r="R3" s="4">
        <f t="shared" si="0"/>
        <v>4.9095868400551087E-4</v>
      </c>
      <c r="S3" s="4">
        <f t="shared" si="0"/>
        <v>4.9095868400551087E-4</v>
      </c>
      <c r="T3" s="4">
        <f t="shared" si="0"/>
        <v>4.9095868400551087E-4</v>
      </c>
      <c r="U3" s="4">
        <f t="shared" si="0"/>
        <v>4.9095868400551087E-4</v>
      </c>
      <c r="V3" s="4">
        <f t="shared" si="0"/>
        <v>4.9095868400551087E-4</v>
      </c>
      <c r="W3" s="4">
        <f t="shared" si="0"/>
        <v>4.9095868400551087E-4</v>
      </c>
      <c r="X3" s="4">
        <f t="shared" si="0"/>
        <v>4.9095868400551087E-4</v>
      </c>
      <c r="Y3" s="4">
        <f t="shared" si="0"/>
        <v>4.9095868400551087E-4</v>
      </c>
      <c r="Z3" s="4">
        <f t="shared" si="0"/>
        <v>4.9095868400551087E-4</v>
      </c>
      <c r="AA3" s="4">
        <f t="shared" si="0"/>
        <v>4.9095868400551087E-4</v>
      </c>
      <c r="AB3" s="4">
        <f t="shared" si="0"/>
        <v>4.9095868400551087E-4</v>
      </c>
      <c r="AC3" s="4">
        <f t="shared" si="0"/>
        <v>4.9095868400551087E-4</v>
      </c>
      <c r="AD3" s="4">
        <f t="shared" si="0"/>
        <v>4.9095868400551087E-4</v>
      </c>
      <c r="AE3" s="4">
        <f t="shared" si="0"/>
        <v>4.9095868400551087E-4</v>
      </c>
      <c r="AF3" s="4">
        <f t="shared" ref="AF3:AY3" si="4">AE3</f>
        <v>4.9095868400551087E-4</v>
      </c>
      <c r="AG3" s="4">
        <f t="shared" si="4"/>
        <v>4.9095868400551087E-4</v>
      </c>
      <c r="AH3" s="4">
        <f t="shared" si="4"/>
        <v>4.9095868400551087E-4</v>
      </c>
      <c r="AI3" s="4">
        <f t="shared" si="4"/>
        <v>4.9095868400551087E-4</v>
      </c>
      <c r="AJ3" s="4">
        <f t="shared" si="4"/>
        <v>4.9095868400551087E-4</v>
      </c>
      <c r="AK3" s="4">
        <f t="shared" si="4"/>
        <v>4.9095868400551087E-4</v>
      </c>
      <c r="AL3" s="4">
        <f t="shared" si="4"/>
        <v>4.9095868400551087E-4</v>
      </c>
      <c r="AM3" s="4">
        <f t="shared" si="4"/>
        <v>4.9095868400551087E-4</v>
      </c>
      <c r="AN3" s="4">
        <f t="shared" si="4"/>
        <v>4.9095868400551087E-4</v>
      </c>
      <c r="AO3" s="4">
        <f t="shared" si="4"/>
        <v>4.9095868400551087E-4</v>
      </c>
      <c r="AP3" s="4">
        <f t="shared" si="4"/>
        <v>4.9095868400551087E-4</v>
      </c>
      <c r="AQ3" s="4">
        <f t="shared" si="4"/>
        <v>4.9095868400551087E-4</v>
      </c>
      <c r="AR3" s="4">
        <f t="shared" si="4"/>
        <v>4.9095868400551087E-4</v>
      </c>
      <c r="AS3" s="4">
        <f t="shared" si="4"/>
        <v>4.9095868400551087E-4</v>
      </c>
      <c r="AT3" s="4">
        <f t="shared" si="4"/>
        <v>4.9095868400551087E-4</v>
      </c>
      <c r="AU3" s="4">
        <f t="shared" si="4"/>
        <v>4.9095868400551087E-4</v>
      </c>
      <c r="AV3" s="4">
        <f t="shared" si="4"/>
        <v>4.9095868400551087E-4</v>
      </c>
      <c r="AW3" s="4">
        <f t="shared" si="4"/>
        <v>4.9095868400551087E-4</v>
      </c>
      <c r="AX3" s="4">
        <f t="shared" si="4"/>
        <v>4.9095868400551087E-4</v>
      </c>
      <c r="AY3" s="4">
        <f t="shared" si="4"/>
        <v>4.9095868400551087E-4</v>
      </c>
    </row>
    <row r="4" spans="1:51">
      <c r="A4" t="s">
        <v>46</v>
      </c>
      <c r="B4" s="4">
        <v>6.5279355603770168E-3</v>
      </c>
      <c r="C4" s="4">
        <f t="shared" si="2"/>
        <v>6.5279355603770168E-3</v>
      </c>
      <c r="D4" s="4">
        <f t="shared" si="0"/>
        <v>6.5279355603770168E-3</v>
      </c>
      <c r="E4" s="4">
        <f t="shared" si="0"/>
        <v>6.5279355603770168E-3</v>
      </c>
      <c r="F4" s="4">
        <f t="shared" si="0"/>
        <v>6.5279355603770168E-3</v>
      </c>
      <c r="G4" s="4">
        <f t="shared" si="0"/>
        <v>6.5279355603770168E-3</v>
      </c>
      <c r="H4" s="4">
        <f t="shared" si="0"/>
        <v>6.5279355603770168E-3</v>
      </c>
      <c r="I4" s="4">
        <f t="shared" si="0"/>
        <v>6.5279355603770168E-3</v>
      </c>
      <c r="J4" s="4">
        <f t="shared" si="0"/>
        <v>6.5279355603770168E-3</v>
      </c>
      <c r="K4" s="4">
        <f t="shared" si="0"/>
        <v>6.5279355603770168E-3</v>
      </c>
      <c r="L4" s="4">
        <f t="shared" si="0"/>
        <v>6.5279355603770168E-3</v>
      </c>
      <c r="M4" s="4">
        <f t="shared" si="0"/>
        <v>6.5279355603770168E-3</v>
      </c>
      <c r="N4" s="4">
        <f t="shared" si="0"/>
        <v>6.5279355603770168E-3</v>
      </c>
      <c r="O4" s="4">
        <f t="shared" si="0"/>
        <v>6.5279355603770168E-3</v>
      </c>
      <c r="P4" s="4">
        <f t="shared" si="0"/>
        <v>6.5279355603770168E-3</v>
      </c>
      <c r="Q4" s="4">
        <f t="shared" si="0"/>
        <v>6.5279355603770168E-3</v>
      </c>
      <c r="R4" s="4">
        <f t="shared" si="0"/>
        <v>6.5279355603770168E-3</v>
      </c>
      <c r="S4" s="4">
        <f t="shared" si="0"/>
        <v>6.5279355603770168E-3</v>
      </c>
      <c r="T4" s="4">
        <f t="shared" si="0"/>
        <v>6.5279355603770168E-3</v>
      </c>
      <c r="U4" s="4">
        <f t="shared" si="0"/>
        <v>6.5279355603770168E-3</v>
      </c>
      <c r="V4" s="4">
        <f t="shared" si="0"/>
        <v>6.5279355603770168E-3</v>
      </c>
      <c r="W4" s="4">
        <f t="shared" si="0"/>
        <v>6.5279355603770168E-3</v>
      </c>
      <c r="X4" s="4">
        <f t="shared" si="0"/>
        <v>6.5279355603770168E-3</v>
      </c>
      <c r="Y4" s="4">
        <f t="shared" si="0"/>
        <v>6.5279355603770168E-3</v>
      </c>
      <c r="Z4" s="4">
        <f t="shared" si="0"/>
        <v>6.5279355603770168E-3</v>
      </c>
      <c r="AA4" s="4">
        <f t="shared" si="0"/>
        <v>6.5279355603770168E-3</v>
      </c>
      <c r="AB4" s="4">
        <f t="shared" si="0"/>
        <v>6.5279355603770168E-3</v>
      </c>
      <c r="AC4" s="4">
        <f t="shared" si="0"/>
        <v>6.5279355603770168E-3</v>
      </c>
      <c r="AD4" s="4">
        <f t="shared" si="0"/>
        <v>6.5279355603770168E-3</v>
      </c>
      <c r="AE4" s="4">
        <f t="shared" si="0"/>
        <v>6.5279355603770168E-3</v>
      </c>
      <c r="AF4" s="4">
        <f t="shared" ref="AF4:AY4" si="5">AE4</f>
        <v>6.5279355603770168E-3</v>
      </c>
      <c r="AG4" s="4">
        <f t="shared" si="5"/>
        <v>6.5279355603770168E-3</v>
      </c>
      <c r="AH4" s="4">
        <f t="shared" si="5"/>
        <v>6.5279355603770168E-3</v>
      </c>
      <c r="AI4" s="4">
        <f t="shared" si="5"/>
        <v>6.5279355603770168E-3</v>
      </c>
      <c r="AJ4" s="4">
        <f t="shared" si="5"/>
        <v>6.5279355603770168E-3</v>
      </c>
      <c r="AK4" s="4">
        <f t="shared" si="5"/>
        <v>6.5279355603770168E-3</v>
      </c>
      <c r="AL4" s="4">
        <f t="shared" si="5"/>
        <v>6.5279355603770168E-3</v>
      </c>
      <c r="AM4" s="4">
        <f t="shared" si="5"/>
        <v>6.5279355603770168E-3</v>
      </c>
      <c r="AN4" s="4">
        <f t="shared" si="5"/>
        <v>6.5279355603770168E-3</v>
      </c>
      <c r="AO4" s="4">
        <f t="shared" si="5"/>
        <v>6.5279355603770168E-3</v>
      </c>
      <c r="AP4" s="4">
        <f t="shared" si="5"/>
        <v>6.5279355603770168E-3</v>
      </c>
      <c r="AQ4" s="4">
        <f t="shared" si="5"/>
        <v>6.5279355603770168E-3</v>
      </c>
      <c r="AR4" s="4">
        <f t="shared" si="5"/>
        <v>6.5279355603770168E-3</v>
      </c>
      <c r="AS4" s="4">
        <f t="shared" si="5"/>
        <v>6.5279355603770168E-3</v>
      </c>
      <c r="AT4" s="4">
        <f t="shared" si="5"/>
        <v>6.5279355603770168E-3</v>
      </c>
      <c r="AU4" s="4">
        <f t="shared" si="5"/>
        <v>6.5279355603770168E-3</v>
      </c>
      <c r="AV4" s="4">
        <f t="shared" si="5"/>
        <v>6.5279355603770168E-3</v>
      </c>
      <c r="AW4" s="4">
        <f t="shared" si="5"/>
        <v>6.5279355603770168E-3</v>
      </c>
      <c r="AX4" s="4">
        <f t="shared" si="5"/>
        <v>6.5279355603770168E-3</v>
      </c>
      <c r="AY4" s="4">
        <f t="shared" si="5"/>
        <v>6.5279355603770168E-3</v>
      </c>
    </row>
    <row r="5" spans="1:51">
      <c r="A5" t="s">
        <v>49</v>
      </c>
      <c r="B5" s="4">
        <v>6.9342066672618309E-4</v>
      </c>
      <c r="C5" s="4">
        <f t="shared" si="2"/>
        <v>6.9342066672618309E-4</v>
      </c>
      <c r="D5" s="4">
        <f t="shared" si="0"/>
        <v>6.9342066672618309E-4</v>
      </c>
      <c r="E5" s="4">
        <f t="shared" si="0"/>
        <v>6.9342066672618309E-4</v>
      </c>
      <c r="F5" s="4">
        <f t="shared" si="0"/>
        <v>6.9342066672618309E-4</v>
      </c>
      <c r="G5" s="4">
        <f t="shared" si="0"/>
        <v>6.9342066672618309E-4</v>
      </c>
      <c r="H5" s="4">
        <f t="shared" si="0"/>
        <v>6.9342066672618309E-4</v>
      </c>
      <c r="I5" s="4">
        <f t="shared" si="0"/>
        <v>6.9342066672618309E-4</v>
      </c>
      <c r="J5" s="4">
        <f t="shared" si="0"/>
        <v>6.9342066672618309E-4</v>
      </c>
      <c r="K5" s="4">
        <f t="shared" si="0"/>
        <v>6.9342066672618309E-4</v>
      </c>
      <c r="L5" s="4">
        <f t="shared" si="0"/>
        <v>6.9342066672618309E-4</v>
      </c>
      <c r="M5" s="4">
        <f t="shared" si="0"/>
        <v>6.9342066672618309E-4</v>
      </c>
      <c r="N5" s="4">
        <f t="shared" si="0"/>
        <v>6.9342066672618309E-4</v>
      </c>
      <c r="O5" s="4">
        <f t="shared" si="0"/>
        <v>6.9342066672618309E-4</v>
      </c>
      <c r="P5" s="4">
        <f t="shared" si="0"/>
        <v>6.9342066672618309E-4</v>
      </c>
      <c r="Q5" s="4">
        <f t="shared" si="0"/>
        <v>6.9342066672618309E-4</v>
      </c>
      <c r="R5" s="4">
        <f t="shared" si="0"/>
        <v>6.9342066672618309E-4</v>
      </c>
      <c r="S5" s="4">
        <f t="shared" si="0"/>
        <v>6.9342066672618309E-4</v>
      </c>
      <c r="T5" s="4">
        <f t="shared" si="0"/>
        <v>6.9342066672618309E-4</v>
      </c>
      <c r="U5" s="4">
        <f t="shared" si="0"/>
        <v>6.9342066672618309E-4</v>
      </c>
      <c r="V5" s="4">
        <f t="shared" si="0"/>
        <v>6.9342066672618309E-4</v>
      </c>
      <c r="W5" s="4">
        <f t="shared" si="0"/>
        <v>6.9342066672618309E-4</v>
      </c>
      <c r="X5" s="4">
        <f t="shared" si="0"/>
        <v>6.9342066672618309E-4</v>
      </c>
      <c r="Y5" s="4">
        <f t="shared" si="0"/>
        <v>6.9342066672618309E-4</v>
      </c>
      <c r="Z5" s="4">
        <f t="shared" si="0"/>
        <v>6.9342066672618309E-4</v>
      </c>
      <c r="AA5" s="4">
        <f t="shared" si="0"/>
        <v>6.9342066672618309E-4</v>
      </c>
      <c r="AB5" s="4">
        <f t="shared" si="0"/>
        <v>6.9342066672618309E-4</v>
      </c>
      <c r="AC5" s="4">
        <f t="shared" si="0"/>
        <v>6.9342066672618309E-4</v>
      </c>
      <c r="AD5" s="4">
        <f t="shared" si="0"/>
        <v>6.9342066672618309E-4</v>
      </c>
      <c r="AE5" s="4">
        <f t="shared" si="0"/>
        <v>6.9342066672618309E-4</v>
      </c>
      <c r="AF5" s="4">
        <f t="shared" ref="AF5:AY5" si="6">AE5</f>
        <v>6.9342066672618309E-4</v>
      </c>
      <c r="AG5" s="4">
        <f t="shared" si="6"/>
        <v>6.9342066672618309E-4</v>
      </c>
      <c r="AH5" s="4">
        <f t="shared" si="6"/>
        <v>6.9342066672618309E-4</v>
      </c>
      <c r="AI5" s="4">
        <f t="shared" si="6"/>
        <v>6.9342066672618309E-4</v>
      </c>
      <c r="AJ5" s="4">
        <f t="shared" si="6"/>
        <v>6.9342066672618309E-4</v>
      </c>
      <c r="AK5" s="4">
        <f t="shared" si="6"/>
        <v>6.9342066672618309E-4</v>
      </c>
      <c r="AL5" s="4">
        <f t="shared" si="6"/>
        <v>6.9342066672618309E-4</v>
      </c>
      <c r="AM5" s="4">
        <f t="shared" si="6"/>
        <v>6.9342066672618309E-4</v>
      </c>
      <c r="AN5" s="4">
        <f t="shared" si="6"/>
        <v>6.9342066672618309E-4</v>
      </c>
      <c r="AO5" s="4">
        <f t="shared" si="6"/>
        <v>6.9342066672618309E-4</v>
      </c>
      <c r="AP5" s="4">
        <f t="shared" si="6"/>
        <v>6.9342066672618309E-4</v>
      </c>
      <c r="AQ5" s="4">
        <f t="shared" si="6"/>
        <v>6.9342066672618309E-4</v>
      </c>
      <c r="AR5" s="4">
        <f t="shared" si="6"/>
        <v>6.9342066672618309E-4</v>
      </c>
      <c r="AS5" s="4">
        <f t="shared" si="6"/>
        <v>6.9342066672618309E-4</v>
      </c>
      <c r="AT5" s="4">
        <f t="shared" si="6"/>
        <v>6.9342066672618309E-4</v>
      </c>
      <c r="AU5" s="4">
        <f t="shared" si="6"/>
        <v>6.9342066672618309E-4</v>
      </c>
      <c r="AV5" s="4">
        <f t="shared" si="6"/>
        <v>6.9342066672618309E-4</v>
      </c>
      <c r="AW5" s="4">
        <f t="shared" si="6"/>
        <v>6.9342066672618309E-4</v>
      </c>
      <c r="AX5" s="4">
        <f t="shared" si="6"/>
        <v>6.9342066672618309E-4</v>
      </c>
      <c r="AY5" s="4">
        <f t="shared" si="6"/>
        <v>6.9342066672618309E-4</v>
      </c>
    </row>
    <row r="6" spans="1:51">
      <c r="A6" t="s">
        <v>58</v>
      </c>
      <c r="B6" s="4">
        <v>1.3400471387543073E-3</v>
      </c>
      <c r="C6" s="4">
        <f t="shared" si="2"/>
        <v>1.3400471387543073E-3</v>
      </c>
      <c r="D6" s="4">
        <f t="shared" si="0"/>
        <v>1.3400471387543073E-3</v>
      </c>
      <c r="E6" s="4">
        <f t="shared" si="0"/>
        <v>1.3400471387543073E-3</v>
      </c>
      <c r="F6" s="4">
        <f t="shared" si="0"/>
        <v>1.3400471387543073E-3</v>
      </c>
      <c r="G6" s="4">
        <f t="shared" si="0"/>
        <v>1.3400471387543073E-3</v>
      </c>
      <c r="H6" s="4">
        <f t="shared" si="0"/>
        <v>1.3400471387543073E-3</v>
      </c>
      <c r="I6" s="4">
        <f t="shared" si="0"/>
        <v>1.3400471387543073E-3</v>
      </c>
      <c r="J6" s="4">
        <f t="shared" si="0"/>
        <v>1.3400471387543073E-3</v>
      </c>
      <c r="K6" s="4">
        <f t="shared" si="0"/>
        <v>1.3400471387543073E-3</v>
      </c>
      <c r="L6" s="4">
        <f t="shared" si="0"/>
        <v>1.3400471387543073E-3</v>
      </c>
      <c r="M6" s="4">
        <f t="shared" si="0"/>
        <v>1.3400471387543073E-3</v>
      </c>
      <c r="N6" s="4">
        <f t="shared" si="0"/>
        <v>1.3400471387543073E-3</v>
      </c>
      <c r="O6" s="4">
        <f t="shared" si="0"/>
        <v>1.3400471387543073E-3</v>
      </c>
      <c r="P6" s="4">
        <f t="shared" si="0"/>
        <v>1.3400471387543073E-3</v>
      </c>
      <c r="Q6" s="4">
        <f t="shared" si="0"/>
        <v>1.3400471387543073E-3</v>
      </c>
      <c r="R6" s="4">
        <f t="shared" si="0"/>
        <v>1.3400471387543073E-3</v>
      </c>
      <c r="S6" s="4">
        <f t="shared" si="0"/>
        <v>1.3400471387543073E-3</v>
      </c>
      <c r="T6" s="4">
        <f t="shared" si="0"/>
        <v>1.3400471387543073E-3</v>
      </c>
      <c r="U6" s="4">
        <f t="shared" si="0"/>
        <v>1.3400471387543073E-3</v>
      </c>
      <c r="V6" s="4">
        <f t="shared" si="0"/>
        <v>1.3400471387543073E-3</v>
      </c>
      <c r="W6" s="4">
        <f t="shared" si="0"/>
        <v>1.3400471387543073E-3</v>
      </c>
      <c r="X6" s="4">
        <f t="shared" si="0"/>
        <v>1.3400471387543073E-3</v>
      </c>
      <c r="Y6" s="4">
        <f t="shared" si="0"/>
        <v>1.3400471387543073E-3</v>
      </c>
      <c r="Z6" s="4">
        <f t="shared" si="0"/>
        <v>1.3400471387543073E-3</v>
      </c>
      <c r="AA6" s="4">
        <f t="shared" si="0"/>
        <v>1.3400471387543073E-3</v>
      </c>
      <c r="AB6" s="4">
        <f t="shared" si="0"/>
        <v>1.3400471387543073E-3</v>
      </c>
      <c r="AC6" s="4">
        <f t="shared" si="0"/>
        <v>1.3400471387543073E-3</v>
      </c>
      <c r="AD6" s="4">
        <f t="shared" si="0"/>
        <v>1.3400471387543073E-3</v>
      </c>
      <c r="AE6" s="4">
        <f t="shared" si="0"/>
        <v>1.3400471387543073E-3</v>
      </c>
      <c r="AF6" s="4">
        <f t="shared" ref="AF6:AY6" si="7">AE6</f>
        <v>1.3400471387543073E-3</v>
      </c>
      <c r="AG6" s="4">
        <f t="shared" si="7"/>
        <v>1.3400471387543073E-3</v>
      </c>
      <c r="AH6" s="4">
        <f t="shared" si="7"/>
        <v>1.3400471387543073E-3</v>
      </c>
      <c r="AI6" s="4">
        <f t="shared" si="7"/>
        <v>1.3400471387543073E-3</v>
      </c>
      <c r="AJ6" s="4">
        <f t="shared" si="7"/>
        <v>1.3400471387543073E-3</v>
      </c>
      <c r="AK6" s="4">
        <f t="shared" si="7"/>
        <v>1.3400471387543073E-3</v>
      </c>
      <c r="AL6" s="4">
        <f t="shared" si="7"/>
        <v>1.3400471387543073E-3</v>
      </c>
      <c r="AM6" s="4">
        <f t="shared" si="7"/>
        <v>1.3400471387543073E-3</v>
      </c>
      <c r="AN6" s="4">
        <f t="shared" si="7"/>
        <v>1.3400471387543073E-3</v>
      </c>
      <c r="AO6" s="4">
        <f t="shared" si="7"/>
        <v>1.3400471387543073E-3</v>
      </c>
      <c r="AP6" s="4">
        <f t="shared" si="7"/>
        <v>1.3400471387543073E-3</v>
      </c>
      <c r="AQ6" s="4">
        <f t="shared" si="7"/>
        <v>1.3400471387543073E-3</v>
      </c>
      <c r="AR6" s="4">
        <f t="shared" si="7"/>
        <v>1.3400471387543073E-3</v>
      </c>
      <c r="AS6" s="4">
        <f t="shared" si="7"/>
        <v>1.3400471387543073E-3</v>
      </c>
      <c r="AT6" s="4">
        <f t="shared" si="7"/>
        <v>1.3400471387543073E-3</v>
      </c>
      <c r="AU6" s="4">
        <f t="shared" si="7"/>
        <v>1.3400471387543073E-3</v>
      </c>
      <c r="AV6" s="4">
        <f t="shared" si="7"/>
        <v>1.3400471387543073E-3</v>
      </c>
      <c r="AW6" s="4">
        <f t="shared" si="7"/>
        <v>1.3400471387543073E-3</v>
      </c>
      <c r="AX6" s="4">
        <f t="shared" si="7"/>
        <v>1.3400471387543073E-3</v>
      </c>
      <c r="AY6" s="4">
        <f t="shared" si="7"/>
        <v>1.3400471387543073E-3</v>
      </c>
    </row>
    <row r="7" spans="1:51">
      <c r="A7" t="s">
        <v>59</v>
      </c>
      <c r="B7" s="4">
        <v>2.7723416471617654E-3</v>
      </c>
      <c r="C7" s="4">
        <f t="shared" si="2"/>
        <v>2.7723416471617654E-3</v>
      </c>
      <c r="D7" s="4">
        <f t="shared" si="0"/>
        <v>2.7723416471617654E-3</v>
      </c>
      <c r="E7" s="4">
        <f t="shared" si="0"/>
        <v>2.7723416471617654E-3</v>
      </c>
      <c r="F7" s="4">
        <f t="shared" si="0"/>
        <v>2.7723416471617654E-3</v>
      </c>
      <c r="G7" s="4">
        <f t="shared" si="0"/>
        <v>2.7723416471617654E-3</v>
      </c>
      <c r="H7" s="4">
        <f t="shared" si="0"/>
        <v>2.7723416471617654E-3</v>
      </c>
      <c r="I7" s="4">
        <f t="shared" si="0"/>
        <v>2.7723416471617654E-3</v>
      </c>
      <c r="J7" s="4">
        <f t="shared" si="0"/>
        <v>2.7723416471617654E-3</v>
      </c>
      <c r="K7" s="4">
        <f t="shared" si="0"/>
        <v>2.7723416471617654E-3</v>
      </c>
      <c r="L7" s="4">
        <f t="shared" si="0"/>
        <v>2.7723416471617654E-3</v>
      </c>
      <c r="M7" s="4">
        <f t="shared" si="0"/>
        <v>2.7723416471617654E-3</v>
      </c>
      <c r="N7" s="4">
        <f t="shared" si="0"/>
        <v>2.7723416471617654E-3</v>
      </c>
      <c r="O7" s="4">
        <f t="shared" si="0"/>
        <v>2.7723416471617654E-3</v>
      </c>
      <c r="P7" s="4">
        <f t="shared" si="0"/>
        <v>2.7723416471617654E-3</v>
      </c>
      <c r="Q7" s="4">
        <f t="shared" si="0"/>
        <v>2.7723416471617654E-3</v>
      </c>
      <c r="R7" s="4">
        <f t="shared" si="0"/>
        <v>2.7723416471617654E-3</v>
      </c>
      <c r="S7" s="4">
        <f t="shared" si="0"/>
        <v>2.7723416471617654E-3</v>
      </c>
      <c r="T7" s="4">
        <f t="shared" si="0"/>
        <v>2.7723416471617654E-3</v>
      </c>
      <c r="U7" s="4">
        <f t="shared" si="0"/>
        <v>2.7723416471617654E-3</v>
      </c>
      <c r="V7" s="4">
        <f t="shared" si="0"/>
        <v>2.7723416471617654E-3</v>
      </c>
      <c r="W7" s="4">
        <f t="shared" si="0"/>
        <v>2.7723416471617654E-3</v>
      </c>
      <c r="X7" s="4">
        <f t="shared" si="0"/>
        <v>2.7723416471617654E-3</v>
      </c>
      <c r="Y7" s="4">
        <f t="shared" si="0"/>
        <v>2.7723416471617654E-3</v>
      </c>
      <c r="Z7" s="4">
        <f t="shared" si="0"/>
        <v>2.7723416471617654E-3</v>
      </c>
      <c r="AA7" s="4">
        <f t="shared" si="0"/>
        <v>2.7723416471617654E-3</v>
      </c>
      <c r="AB7" s="4">
        <f t="shared" si="0"/>
        <v>2.7723416471617654E-3</v>
      </c>
      <c r="AC7" s="4">
        <f t="shared" si="0"/>
        <v>2.7723416471617654E-3</v>
      </c>
      <c r="AD7" s="4">
        <f t="shared" si="0"/>
        <v>2.7723416471617654E-3</v>
      </c>
      <c r="AE7" s="4">
        <f t="shared" si="0"/>
        <v>2.7723416471617654E-3</v>
      </c>
      <c r="AF7" s="4">
        <f t="shared" ref="AF7:AY7" si="8">AE7</f>
        <v>2.7723416471617654E-3</v>
      </c>
      <c r="AG7" s="4">
        <f t="shared" si="8"/>
        <v>2.7723416471617654E-3</v>
      </c>
      <c r="AH7" s="4">
        <f t="shared" si="8"/>
        <v>2.7723416471617654E-3</v>
      </c>
      <c r="AI7" s="4">
        <f t="shared" si="8"/>
        <v>2.7723416471617654E-3</v>
      </c>
      <c r="AJ7" s="4">
        <f t="shared" si="8"/>
        <v>2.7723416471617654E-3</v>
      </c>
      <c r="AK7" s="4">
        <f t="shared" si="8"/>
        <v>2.7723416471617654E-3</v>
      </c>
      <c r="AL7" s="4">
        <f t="shared" si="8"/>
        <v>2.7723416471617654E-3</v>
      </c>
      <c r="AM7" s="4">
        <f t="shared" si="8"/>
        <v>2.7723416471617654E-3</v>
      </c>
      <c r="AN7" s="4">
        <f t="shared" si="8"/>
        <v>2.7723416471617654E-3</v>
      </c>
      <c r="AO7" s="4">
        <f t="shared" si="8"/>
        <v>2.7723416471617654E-3</v>
      </c>
      <c r="AP7" s="4">
        <f t="shared" si="8"/>
        <v>2.7723416471617654E-3</v>
      </c>
      <c r="AQ7" s="4">
        <f t="shared" si="8"/>
        <v>2.7723416471617654E-3</v>
      </c>
      <c r="AR7" s="4">
        <f t="shared" si="8"/>
        <v>2.7723416471617654E-3</v>
      </c>
      <c r="AS7" s="4">
        <f t="shared" si="8"/>
        <v>2.7723416471617654E-3</v>
      </c>
      <c r="AT7" s="4">
        <f t="shared" si="8"/>
        <v>2.7723416471617654E-3</v>
      </c>
      <c r="AU7" s="4">
        <f t="shared" si="8"/>
        <v>2.7723416471617654E-3</v>
      </c>
      <c r="AV7" s="4">
        <f t="shared" si="8"/>
        <v>2.7723416471617654E-3</v>
      </c>
      <c r="AW7" s="4">
        <f t="shared" si="8"/>
        <v>2.7723416471617654E-3</v>
      </c>
      <c r="AX7" s="4">
        <f t="shared" si="8"/>
        <v>2.7723416471617654E-3</v>
      </c>
      <c r="AY7" s="4">
        <f t="shared" si="8"/>
        <v>2.7723416471617654E-3</v>
      </c>
    </row>
    <row r="8" spans="1:51">
      <c r="A8" t="s">
        <v>60</v>
      </c>
      <c r="B8" s="4">
        <v>2.5188574658521696E-3</v>
      </c>
      <c r="C8" s="4">
        <f t="shared" si="2"/>
        <v>2.5188574658521696E-3</v>
      </c>
      <c r="D8" s="4">
        <f t="shared" si="0"/>
        <v>2.5188574658521696E-3</v>
      </c>
      <c r="E8" s="4">
        <f t="shared" si="0"/>
        <v>2.5188574658521696E-3</v>
      </c>
      <c r="F8" s="4">
        <f t="shared" si="0"/>
        <v>2.5188574658521696E-3</v>
      </c>
      <c r="G8" s="4">
        <f t="shared" si="0"/>
        <v>2.5188574658521696E-3</v>
      </c>
      <c r="H8" s="4">
        <f t="shared" si="0"/>
        <v>2.5188574658521696E-3</v>
      </c>
      <c r="I8" s="4">
        <f t="shared" si="0"/>
        <v>2.5188574658521696E-3</v>
      </c>
      <c r="J8" s="4">
        <f t="shared" si="0"/>
        <v>2.5188574658521696E-3</v>
      </c>
      <c r="K8" s="4">
        <f t="shared" si="0"/>
        <v>2.5188574658521696E-3</v>
      </c>
      <c r="L8" s="4">
        <f t="shared" si="0"/>
        <v>2.5188574658521696E-3</v>
      </c>
      <c r="M8" s="4">
        <f t="shared" si="0"/>
        <v>2.5188574658521696E-3</v>
      </c>
      <c r="N8" s="4">
        <f t="shared" si="0"/>
        <v>2.5188574658521696E-3</v>
      </c>
      <c r="O8" s="4">
        <f t="shared" si="0"/>
        <v>2.5188574658521696E-3</v>
      </c>
      <c r="P8" s="4">
        <f t="shared" si="0"/>
        <v>2.5188574658521696E-3</v>
      </c>
      <c r="Q8" s="4">
        <f t="shared" si="0"/>
        <v>2.5188574658521696E-3</v>
      </c>
      <c r="R8" s="4">
        <f t="shared" si="0"/>
        <v>2.5188574658521696E-3</v>
      </c>
      <c r="S8" s="4">
        <f t="shared" si="0"/>
        <v>2.5188574658521696E-3</v>
      </c>
      <c r="T8" s="4">
        <f t="shared" si="0"/>
        <v>2.5188574658521696E-3</v>
      </c>
      <c r="U8" s="4">
        <f t="shared" si="0"/>
        <v>2.5188574658521696E-3</v>
      </c>
      <c r="V8" s="4">
        <f t="shared" si="0"/>
        <v>2.5188574658521696E-3</v>
      </c>
      <c r="W8" s="4">
        <f t="shared" si="0"/>
        <v>2.5188574658521696E-3</v>
      </c>
      <c r="X8" s="4">
        <f t="shared" si="0"/>
        <v>2.5188574658521696E-3</v>
      </c>
      <c r="Y8" s="4">
        <f t="shared" si="0"/>
        <v>2.5188574658521696E-3</v>
      </c>
      <c r="Z8" s="4">
        <f t="shared" si="0"/>
        <v>2.5188574658521696E-3</v>
      </c>
      <c r="AA8" s="4">
        <f t="shared" si="0"/>
        <v>2.5188574658521696E-3</v>
      </c>
      <c r="AB8" s="4">
        <f t="shared" si="0"/>
        <v>2.5188574658521696E-3</v>
      </c>
      <c r="AC8" s="4">
        <f t="shared" si="0"/>
        <v>2.5188574658521696E-3</v>
      </c>
      <c r="AD8" s="4">
        <f t="shared" si="0"/>
        <v>2.5188574658521696E-3</v>
      </c>
      <c r="AE8" s="4">
        <f t="shared" si="0"/>
        <v>2.5188574658521696E-3</v>
      </c>
      <c r="AF8" s="4">
        <f t="shared" ref="AF8:AY8" si="9">AE8</f>
        <v>2.5188574658521696E-3</v>
      </c>
      <c r="AG8" s="4">
        <f t="shared" si="9"/>
        <v>2.5188574658521696E-3</v>
      </c>
      <c r="AH8" s="4">
        <f t="shared" si="9"/>
        <v>2.5188574658521696E-3</v>
      </c>
      <c r="AI8" s="4">
        <f t="shared" si="9"/>
        <v>2.5188574658521696E-3</v>
      </c>
      <c r="AJ8" s="4">
        <f t="shared" si="9"/>
        <v>2.5188574658521696E-3</v>
      </c>
      <c r="AK8" s="4">
        <f t="shared" si="9"/>
        <v>2.5188574658521696E-3</v>
      </c>
      <c r="AL8" s="4">
        <f t="shared" si="9"/>
        <v>2.5188574658521696E-3</v>
      </c>
      <c r="AM8" s="4">
        <f t="shared" si="9"/>
        <v>2.5188574658521696E-3</v>
      </c>
      <c r="AN8" s="4">
        <f t="shared" si="9"/>
        <v>2.5188574658521696E-3</v>
      </c>
      <c r="AO8" s="4">
        <f t="shared" si="9"/>
        <v>2.5188574658521696E-3</v>
      </c>
      <c r="AP8" s="4">
        <f t="shared" si="9"/>
        <v>2.5188574658521696E-3</v>
      </c>
      <c r="AQ8" s="4">
        <f t="shared" si="9"/>
        <v>2.5188574658521696E-3</v>
      </c>
      <c r="AR8" s="4">
        <f t="shared" si="9"/>
        <v>2.5188574658521696E-3</v>
      </c>
      <c r="AS8" s="4">
        <f t="shared" si="9"/>
        <v>2.5188574658521696E-3</v>
      </c>
      <c r="AT8" s="4">
        <f t="shared" si="9"/>
        <v>2.5188574658521696E-3</v>
      </c>
      <c r="AU8" s="4">
        <f t="shared" si="9"/>
        <v>2.5188574658521696E-3</v>
      </c>
      <c r="AV8" s="4">
        <f t="shared" si="9"/>
        <v>2.5188574658521696E-3</v>
      </c>
      <c r="AW8" s="4">
        <f t="shared" si="9"/>
        <v>2.5188574658521696E-3</v>
      </c>
      <c r="AX8" s="4">
        <f t="shared" si="9"/>
        <v>2.5188574658521696E-3</v>
      </c>
      <c r="AY8" s="4">
        <f t="shared" si="9"/>
        <v>2.5188574658521696E-3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Y8"/>
  <sheetViews>
    <sheetView topLeftCell="V1" workbookViewId="0">
      <selection activeCell="AF2" sqref="AF2:AY8"/>
    </sheetView>
  </sheetViews>
  <sheetFormatPr defaultColWidth="8.85546875" defaultRowHeight="15"/>
  <cols>
    <col min="1" max="1" width="31.140625" customWidth="1"/>
  </cols>
  <sheetData>
    <row r="1" spans="1:51" ht="15.95">
      <c r="A1" s="18" t="s">
        <v>98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52</v>
      </c>
      <c r="B2" s="4">
        <f>B$5/(1-'Other Values'!$B$3)</f>
        <v>1.8395846877216544E-3</v>
      </c>
      <c r="C2" s="4">
        <f>C$5/(1-'Other Values'!$B$3)</f>
        <v>1.8395846877216544E-3</v>
      </c>
      <c r="D2" s="4">
        <f>D$5/(1-'Other Values'!$B$3)</f>
        <v>1.8395846877216544E-3</v>
      </c>
      <c r="E2" s="4">
        <f>E$5/(1-'Other Values'!$B$3)</f>
        <v>1.8395846877216544E-3</v>
      </c>
      <c r="F2" s="4">
        <f>F$5/(1-'Other Values'!$B$3)</f>
        <v>1.8395846877216544E-3</v>
      </c>
      <c r="G2" s="4">
        <f>G$5/(1-'Other Values'!$B$3)</f>
        <v>1.8395846877216544E-3</v>
      </c>
      <c r="H2" s="4">
        <f>H$5/(1-'Other Values'!$B$3)</f>
        <v>1.8395846877216544E-3</v>
      </c>
      <c r="I2" s="4">
        <f>I$5/(1-'Other Values'!$B$3)</f>
        <v>1.8395846877216544E-3</v>
      </c>
      <c r="J2" s="4">
        <f>J$5/(1-'Other Values'!$B$3)</f>
        <v>1.8395846877216544E-3</v>
      </c>
      <c r="K2" s="4">
        <f>K$5/(1-'Other Values'!$B$3)</f>
        <v>1.8395846877216544E-3</v>
      </c>
      <c r="L2" s="4">
        <f>L$5/(1-'Other Values'!$B$3)</f>
        <v>1.8395846877216544E-3</v>
      </c>
      <c r="M2" s="4">
        <f>M$5/(1-'Other Values'!$B$3)</f>
        <v>1.8395846877216544E-3</v>
      </c>
      <c r="N2" s="4">
        <f>N$5/(1-'Other Values'!$B$3)</f>
        <v>1.8395846877216544E-3</v>
      </c>
      <c r="O2" s="4">
        <f>O$5/(1-'Other Values'!$B$3)</f>
        <v>1.8395846877216544E-3</v>
      </c>
      <c r="P2" s="4">
        <f>P$5/(1-'Other Values'!$B$3)</f>
        <v>1.8395846877216544E-3</v>
      </c>
      <c r="Q2" s="4">
        <f>Q$5/(1-'Other Values'!$B$3)</f>
        <v>1.8395846877216544E-3</v>
      </c>
      <c r="R2" s="4">
        <f>R$5/(1-'Other Values'!$B$3)</f>
        <v>1.8395846877216544E-3</v>
      </c>
      <c r="S2" s="4">
        <f>S$5/(1-'Other Values'!$B$3)</f>
        <v>1.8395846877216544E-3</v>
      </c>
      <c r="T2" s="4">
        <f>T$5/(1-'Other Values'!$B$3)</f>
        <v>1.8395846877216544E-3</v>
      </c>
      <c r="U2" s="4">
        <f>U$5/(1-'Other Values'!$B$3)</f>
        <v>1.8395846877216544E-3</v>
      </c>
      <c r="V2" s="4">
        <f>V$5/(1-'Other Values'!$B$3)</f>
        <v>1.8395846877216544E-3</v>
      </c>
      <c r="W2" s="4">
        <f>W$5/(1-'Other Values'!$B$3)</f>
        <v>1.8395846877216544E-3</v>
      </c>
      <c r="X2" s="4">
        <f>X$5/(1-'Other Values'!$B$3)</f>
        <v>1.8395846877216544E-3</v>
      </c>
      <c r="Y2" s="4">
        <f>Y$5/(1-'Other Values'!$B$3)</f>
        <v>1.8395846877216544E-3</v>
      </c>
      <c r="Z2" s="4">
        <f>Z$5/(1-'Other Values'!$B$3)</f>
        <v>1.8395846877216544E-3</v>
      </c>
      <c r="AA2" s="4">
        <f>AA$5/(1-'Other Values'!$B$3)</f>
        <v>1.8395846877216544E-3</v>
      </c>
      <c r="AB2" s="4">
        <f>AB$5/(1-'Other Values'!$B$3)</f>
        <v>1.8395846877216544E-3</v>
      </c>
      <c r="AC2" s="4">
        <f>AC$5/(1-'Other Values'!$B$3)</f>
        <v>1.8395846877216544E-3</v>
      </c>
      <c r="AD2" s="4">
        <f>AD$5/(1-'Other Values'!$B$3)</f>
        <v>1.8395846877216544E-3</v>
      </c>
      <c r="AE2" s="4">
        <f>AE$5/(1-'Other Values'!$B$3)</f>
        <v>1.8395846877216544E-3</v>
      </c>
      <c r="AF2" s="4">
        <f t="shared" ref="AF2:AY2" si="0">AE2</f>
        <v>1.8395846877216544E-3</v>
      </c>
      <c r="AG2" s="4">
        <f t="shared" si="0"/>
        <v>1.8395846877216544E-3</v>
      </c>
      <c r="AH2" s="4">
        <f t="shared" si="0"/>
        <v>1.8395846877216544E-3</v>
      </c>
      <c r="AI2" s="4">
        <f t="shared" si="0"/>
        <v>1.8395846877216544E-3</v>
      </c>
      <c r="AJ2" s="4">
        <f t="shared" si="0"/>
        <v>1.8395846877216544E-3</v>
      </c>
      <c r="AK2" s="4">
        <f t="shared" si="0"/>
        <v>1.8395846877216544E-3</v>
      </c>
      <c r="AL2" s="4">
        <f t="shared" si="0"/>
        <v>1.8395846877216544E-3</v>
      </c>
      <c r="AM2" s="4">
        <f t="shared" si="0"/>
        <v>1.8395846877216544E-3</v>
      </c>
      <c r="AN2" s="4">
        <f t="shared" si="0"/>
        <v>1.8395846877216544E-3</v>
      </c>
      <c r="AO2" s="4">
        <f t="shared" si="0"/>
        <v>1.8395846877216544E-3</v>
      </c>
      <c r="AP2" s="4">
        <f t="shared" si="0"/>
        <v>1.8395846877216544E-3</v>
      </c>
      <c r="AQ2" s="4">
        <f t="shared" si="0"/>
        <v>1.8395846877216544E-3</v>
      </c>
      <c r="AR2" s="4">
        <f t="shared" si="0"/>
        <v>1.8395846877216544E-3</v>
      </c>
      <c r="AS2" s="4">
        <f t="shared" si="0"/>
        <v>1.8395846877216544E-3</v>
      </c>
      <c r="AT2" s="4">
        <f t="shared" si="0"/>
        <v>1.8395846877216544E-3</v>
      </c>
      <c r="AU2" s="4">
        <f t="shared" si="0"/>
        <v>1.8395846877216544E-3</v>
      </c>
      <c r="AV2" s="4">
        <f t="shared" si="0"/>
        <v>1.8395846877216544E-3</v>
      </c>
      <c r="AW2" s="4">
        <f t="shared" si="0"/>
        <v>1.8395846877216544E-3</v>
      </c>
      <c r="AX2" s="4">
        <f t="shared" si="0"/>
        <v>1.8395846877216544E-3</v>
      </c>
      <c r="AY2" s="4">
        <f t="shared" si="0"/>
        <v>1.8395846877216544E-3</v>
      </c>
    </row>
    <row r="3" spans="1:51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s="4">
        <f t="shared" ref="AF3:AY3" si="1">AE3</f>
        <v>0</v>
      </c>
      <c r="AG3" s="4">
        <f t="shared" si="1"/>
        <v>0</v>
      </c>
      <c r="AH3" s="4">
        <f t="shared" si="1"/>
        <v>0</v>
      </c>
      <c r="AI3" s="4">
        <f t="shared" si="1"/>
        <v>0</v>
      </c>
      <c r="AJ3" s="4">
        <f t="shared" si="1"/>
        <v>0</v>
      </c>
      <c r="AK3" s="4">
        <f t="shared" si="1"/>
        <v>0</v>
      </c>
      <c r="AL3" s="4">
        <f t="shared" si="1"/>
        <v>0</v>
      </c>
      <c r="AM3" s="4">
        <f t="shared" si="1"/>
        <v>0</v>
      </c>
      <c r="AN3" s="4">
        <f t="shared" si="1"/>
        <v>0</v>
      </c>
      <c r="AO3" s="4">
        <f t="shared" si="1"/>
        <v>0</v>
      </c>
      <c r="AP3" s="4">
        <f t="shared" si="1"/>
        <v>0</v>
      </c>
      <c r="AQ3" s="4">
        <f t="shared" si="1"/>
        <v>0</v>
      </c>
      <c r="AR3" s="4">
        <f t="shared" si="1"/>
        <v>0</v>
      </c>
      <c r="AS3" s="4">
        <f t="shared" si="1"/>
        <v>0</v>
      </c>
      <c r="AT3" s="4">
        <f t="shared" si="1"/>
        <v>0</v>
      </c>
      <c r="AU3" s="4">
        <f t="shared" si="1"/>
        <v>0</v>
      </c>
      <c r="AV3" s="4">
        <f t="shared" si="1"/>
        <v>0</v>
      </c>
      <c r="AW3" s="4">
        <f t="shared" si="1"/>
        <v>0</v>
      </c>
      <c r="AX3" s="4">
        <f t="shared" si="1"/>
        <v>0</v>
      </c>
      <c r="AY3" s="4">
        <f t="shared" si="1"/>
        <v>0</v>
      </c>
    </row>
    <row r="4" spans="1:51">
      <c r="A4" t="s">
        <v>46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s="4">
        <f t="shared" ref="AF4:AY4" si="2">AE4</f>
        <v>0</v>
      </c>
      <c r="AG4" s="4">
        <f t="shared" si="2"/>
        <v>0</v>
      </c>
      <c r="AH4" s="4">
        <f t="shared" si="2"/>
        <v>0</v>
      </c>
      <c r="AI4" s="4">
        <f t="shared" si="2"/>
        <v>0</v>
      </c>
      <c r="AJ4" s="4">
        <f t="shared" si="2"/>
        <v>0</v>
      </c>
      <c r="AK4" s="4">
        <f t="shared" si="2"/>
        <v>0</v>
      </c>
      <c r="AL4" s="4">
        <f t="shared" si="2"/>
        <v>0</v>
      </c>
      <c r="AM4" s="4">
        <f t="shared" si="2"/>
        <v>0</v>
      </c>
      <c r="AN4" s="4">
        <f t="shared" si="2"/>
        <v>0</v>
      </c>
      <c r="AO4" s="4">
        <f t="shared" si="2"/>
        <v>0</v>
      </c>
      <c r="AP4" s="4">
        <f t="shared" si="2"/>
        <v>0</v>
      </c>
      <c r="AQ4" s="4">
        <f t="shared" si="2"/>
        <v>0</v>
      </c>
      <c r="AR4" s="4">
        <f t="shared" si="2"/>
        <v>0</v>
      </c>
      <c r="AS4" s="4">
        <f t="shared" si="2"/>
        <v>0</v>
      </c>
      <c r="AT4" s="4">
        <f t="shared" si="2"/>
        <v>0</v>
      </c>
      <c r="AU4" s="4">
        <f t="shared" si="2"/>
        <v>0</v>
      </c>
      <c r="AV4" s="4">
        <f t="shared" si="2"/>
        <v>0</v>
      </c>
      <c r="AW4" s="4">
        <f t="shared" si="2"/>
        <v>0</v>
      </c>
      <c r="AX4" s="4">
        <f t="shared" si="2"/>
        <v>0</v>
      </c>
      <c r="AY4" s="4">
        <f t="shared" si="2"/>
        <v>0</v>
      </c>
    </row>
    <row r="5" spans="1:51">
      <c r="A5" t="s">
        <v>49</v>
      </c>
      <c r="B5" s="4">
        <f>Extrapolations!Q6</f>
        <v>5.7245968727451246E-4</v>
      </c>
      <c r="C5" s="4">
        <f>Extrapolations!R6</f>
        <v>5.7245968727451246E-4</v>
      </c>
      <c r="D5" s="4">
        <f>Extrapolations!S6</f>
        <v>5.7245968727451246E-4</v>
      </c>
      <c r="E5" s="4">
        <f>Extrapolations!T6</f>
        <v>5.7245968727451246E-4</v>
      </c>
      <c r="F5" s="4">
        <f>Extrapolations!U6</f>
        <v>5.7245968727451246E-4</v>
      </c>
      <c r="G5" s="4">
        <f>Extrapolations!V6</f>
        <v>5.7245968727451246E-4</v>
      </c>
      <c r="H5" s="4">
        <f>Extrapolations!W6</f>
        <v>5.7245968727451246E-4</v>
      </c>
      <c r="I5" s="4">
        <f>Extrapolations!X6</f>
        <v>5.7245968727451246E-4</v>
      </c>
      <c r="J5" s="4">
        <f>Extrapolations!Y6</f>
        <v>5.7245968727451246E-4</v>
      </c>
      <c r="K5" s="4">
        <f>Extrapolations!Z6</f>
        <v>5.7245968727451246E-4</v>
      </c>
      <c r="L5" s="4">
        <f>Extrapolations!AA6</f>
        <v>5.7245968727451246E-4</v>
      </c>
      <c r="M5" s="4">
        <f>Extrapolations!AB6</f>
        <v>5.7245968727451246E-4</v>
      </c>
      <c r="N5" s="4">
        <f>Extrapolations!AC6</f>
        <v>5.7245968727451246E-4</v>
      </c>
      <c r="O5" s="4">
        <f>Extrapolations!AD6</f>
        <v>5.7245968727451246E-4</v>
      </c>
      <c r="P5" s="4">
        <f>Extrapolations!AE6</f>
        <v>5.7245968727451246E-4</v>
      </c>
      <c r="Q5" s="4">
        <f>Extrapolations!AF6</f>
        <v>5.7245968727451246E-4</v>
      </c>
      <c r="R5" s="4">
        <f>Extrapolations!AG6</f>
        <v>5.7245968727451246E-4</v>
      </c>
      <c r="S5" s="4">
        <f>Extrapolations!AH6</f>
        <v>5.7245968727451246E-4</v>
      </c>
      <c r="T5" s="4">
        <f>Extrapolations!AI6</f>
        <v>5.7245968727451246E-4</v>
      </c>
      <c r="U5" s="4">
        <f>Extrapolations!AJ6</f>
        <v>5.7245968727451246E-4</v>
      </c>
      <c r="V5" s="4">
        <f>Extrapolations!AK6</f>
        <v>5.7245968727451246E-4</v>
      </c>
      <c r="W5" s="4">
        <f>Extrapolations!AL6</f>
        <v>5.7245968727451246E-4</v>
      </c>
      <c r="X5" s="4">
        <f>Extrapolations!AM6</f>
        <v>5.7245968727451246E-4</v>
      </c>
      <c r="Y5" s="4">
        <f>Extrapolations!AN6</f>
        <v>5.7245968727451246E-4</v>
      </c>
      <c r="Z5" s="4">
        <f>Extrapolations!AO6</f>
        <v>5.7245968727451246E-4</v>
      </c>
      <c r="AA5" s="4">
        <f>Extrapolations!AP6</f>
        <v>5.7245968727451246E-4</v>
      </c>
      <c r="AB5" s="4">
        <f>Extrapolations!AQ6</f>
        <v>5.7245968727451246E-4</v>
      </c>
      <c r="AC5" s="4">
        <f>Extrapolations!AR6</f>
        <v>5.7245968727451246E-4</v>
      </c>
      <c r="AD5" s="4">
        <f>Extrapolations!AS6</f>
        <v>5.7245968727451246E-4</v>
      </c>
      <c r="AE5" s="4">
        <f>Extrapolations!AT6</f>
        <v>5.7245968727451246E-4</v>
      </c>
      <c r="AF5" s="4">
        <f t="shared" ref="AF5:AY5" si="3">AE5</f>
        <v>5.7245968727451246E-4</v>
      </c>
      <c r="AG5" s="4">
        <f t="shared" si="3"/>
        <v>5.7245968727451246E-4</v>
      </c>
      <c r="AH5" s="4">
        <f t="shared" si="3"/>
        <v>5.7245968727451246E-4</v>
      </c>
      <c r="AI5" s="4">
        <f t="shared" si="3"/>
        <v>5.7245968727451246E-4</v>
      </c>
      <c r="AJ5" s="4">
        <f t="shared" si="3"/>
        <v>5.7245968727451246E-4</v>
      </c>
      <c r="AK5" s="4">
        <f t="shared" si="3"/>
        <v>5.7245968727451246E-4</v>
      </c>
      <c r="AL5" s="4">
        <f t="shared" si="3"/>
        <v>5.7245968727451246E-4</v>
      </c>
      <c r="AM5" s="4">
        <f t="shared" si="3"/>
        <v>5.7245968727451246E-4</v>
      </c>
      <c r="AN5" s="4">
        <f t="shared" si="3"/>
        <v>5.7245968727451246E-4</v>
      </c>
      <c r="AO5" s="4">
        <f t="shared" si="3"/>
        <v>5.7245968727451246E-4</v>
      </c>
      <c r="AP5" s="4">
        <f t="shared" si="3"/>
        <v>5.7245968727451246E-4</v>
      </c>
      <c r="AQ5" s="4">
        <f t="shared" si="3"/>
        <v>5.7245968727451246E-4</v>
      </c>
      <c r="AR5" s="4">
        <f t="shared" si="3"/>
        <v>5.7245968727451246E-4</v>
      </c>
      <c r="AS5" s="4">
        <f t="shared" si="3"/>
        <v>5.7245968727451246E-4</v>
      </c>
      <c r="AT5" s="4">
        <f t="shared" si="3"/>
        <v>5.7245968727451246E-4</v>
      </c>
      <c r="AU5" s="4">
        <f t="shared" si="3"/>
        <v>5.7245968727451246E-4</v>
      </c>
      <c r="AV5" s="4">
        <f t="shared" si="3"/>
        <v>5.7245968727451246E-4</v>
      </c>
      <c r="AW5" s="4">
        <f t="shared" si="3"/>
        <v>5.7245968727451246E-4</v>
      </c>
      <c r="AX5" s="4">
        <f t="shared" si="3"/>
        <v>5.7245968727451246E-4</v>
      </c>
      <c r="AY5" s="4">
        <f t="shared" si="3"/>
        <v>5.7245968727451246E-4</v>
      </c>
    </row>
    <row r="6" spans="1:51">
      <c r="A6" t="s">
        <v>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s="4">
        <f t="shared" ref="AF6:AY6" si="4">AE6</f>
        <v>0</v>
      </c>
      <c r="AG6" s="4">
        <f t="shared" si="4"/>
        <v>0</v>
      </c>
      <c r="AH6" s="4">
        <f t="shared" si="4"/>
        <v>0</v>
      </c>
      <c r="AI6" s="4">
        <f t="shared" si="4"/>
        <v>0</v>
      </c>
      <c r="AJ6" s="4">
        <f t="shared" si="4"/>
        <v>0</v>
      </c>
      <c r="AK6" s="4">
        <f t="shared" si="4"/>
        <v>0</v>
      </c>
      <c r="AL6" s="4">
        <f t="shared" si="4"/>
        <v>0</v>
      </c>
      <c r="AM6" s="4">
        <f t="shared" si="4"/>
        <v>0</v>
      </c>
      <c r="AN6" s="4">
        <f t="shared" si="4"/>
        <v>0</v>
      </c>
      <c r="AO6" s="4">
        <f t="shared" si="4"/>
        <v>0</v>
      </c>
      <c r="AP6" s="4">
        <f t="shared" si="4"/>
        <v>0</v>
      </c>
      <c r="AQ6" s="4">
        <f t="shared" si="4"/>
        <v>0</v>
      </c>
      <c r="AR6" s="4">
        <f t="shared" si="4"/>
        <v>0</v>
      </c>
      <c r="AS6" s="4">
        <f t="shared" si="4"/>
        <v>0</v>
      </c>
      <c r="AT6" s="4">
        <f t="shared" si="4"/>
        <v>0</v>
      </c>
      <c r="AU6" s="4">
        <f t="shared" si="4"/>
        <v>0</v>
      </c>
      <c r="AV6" s="4">
        <f t="shared" si="4"/>
        <v>0</v>
      </c>
      <c r="AW6" s="4">
        <f t="shared" si="4"/>
        <v>0</v>
      </c>
      <c r="AX6" s="4">
        <f t="shared" si="4"/>
        <v>0</v>
      </c>
      <c r="AY6" s="4">
        <f t="shared" si="4"/>
        <v>0</v>
      </c>
    </row>
    <row r="7" spans="1:51">
      <c r="A7" t="s">
        <v>59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s="4">
        <f t="shared" ref="AF7:AY7" si="5">AE7</f>
        <v>0</v>
      </c>
      <c r="AG7" s="4">
        <f t="shared" si="5"/>
        <v>0</v>
      </c>
      <c r="AH7" s="4">
        <f t="shared" si="5"/>
        <v>0</v>
      </c>
      <c r="AI7" s="4">
        <f t="shared" si="5"/>
        <v>0</v>
      </c>
      <c r="AJ7" s="4">
        <f t="shared" si="5"/>
        <v>0</v>
      </c>
      <c r="AK7" s="4">
        <f t="shared" si="5"/>
        <v>0</v>
      </c>
      <c r="AL7" s="4">
        <f t="shared" si="5"/>
        <v>0</v>
      </c>
      <c r="AM7" s="4">
        <f t="shared" si="5"/>
        <v>0</v>
      </c>
      <c r="AN7" s="4">
        <f t="shared" si="5"/>
        <v>0</v>
      </c>
      <c r="AO7" s="4">
        <f t="shared" si="5"/>
        <v>0</v>
      </c>
      <c r="AP7" s="4">
        <f t="shared" si="5"/>
        <v>0</v>
      </c>
      <c r="AQ7" s="4">
        <f t="shared" si="5"/>
        <v>0</v>
      </c>
      <c r="AR7" s="4">
        <f t="shared" si="5"/>
        <v>0</v>
      </c>
      <c r="AS7" s="4">
        <f t="shared" si="5"/>
        <v>0</v>
      </c>
      <c r="AT7" s="4">
        <f t="shared" si="5"/>
        <v>0</v>
      </c>
      <c r="AU7" s="4">
        <f t="shared" si="5"/>
        <v>0</v>
      </c>
      <c r="AV7" s="4">
        <f t="shared" si="5"/>
        <v>0</v>
      </c>
      <c r="AW7" s="4">
        <f t="shared" si="5"/>
        <v>0</v>
      </c>
      <c r="AX7" s="4">
        <f t="shared" si="5"/>
        <v>0</v>
      </c>
      <c r="AY7" s="4">
        <f t="shared" si="5"/>
        <v>0</v>
      </c>
    </row>
    <row r="8" spans="1:51">
      <c r="A8" t="s">
        <v>60</v>
      </c>
      <c r="B8" s="4">
        <f>B$5*Calculations!$B$27</f>
        <v>1.7173790618235372E-3</v>
      </c>
      <c r="C8" s="4">
        <f>C$5*Calculations!$B$27</f>
        <v>1.7173790618235372E-3</v>
      </c>
      <c r="D8" s="4">
        <f>D$5*Calculations!$B$27</f>
        <v>1.7173790618235372E-3</v>
      </c>
      <c r="E8" s="4">
        <f>E$5*Calculations!$B$27</f>
        <v>1.7173790618235372E-3</v>
      </c>
      <c r="F8" s="4">
        <f>F$5*Calculations!$B$27</f>
        <v>1.7173790618235372E-3</v>
      </c>
      <c r="G8" s="4">
        <f>G$5*Calculations!$B$27</f>
        <v>1.7173790618235372E-3</v>
      </c>
      <c r="H8" s="4">
        <f>H$5*Calculations!$B$27</f>
        <v>1.7173790618235372E-3</v>
      </c>
      <c r="I8" s="4">
        <f>I$5*Calculations!$B$27</f>
        <v>1.7173790618235372E-3</v>
      </c>
      <c r="J8" s="4">
        <f>J$5*Calculations!$B$27</f>
        <v>1.7173790618235372E-3</v>
      </c>
      <c r="K8" s="4">
        <f>K$5*Calculations!$B$27</f>
        <v>1.7173790618235372E-3</v>
      </c>
      <c r="L8" s="4">
        <f>L$5*Calculations!$B$27</f>
        <v>1.7173790618235372E-3</v>
      </c>
      <c r="M8" s="4">
        <f>M$5*Calculations!$B$27</f>
        <v>1.7173790618235372E-3</v>
      </c>
      <c r="N8" s="4">
        <f>N$5*Calculations!$B$27</f>
        <v>1.7173790618235372E-3</v>
      </c>
      <c r="O8" s="4">
        <f>O$5*Calculations!$B$27</f>
        <v>1.7173790618235372E-3</v>
      </c>
      <c r="P8" s="4">
        <f>P$5*Calculations!$B$27</f>
        <v>1.7173790618235372E-3</v>
      </c>
      <c r="Q8" s="4">
        <f>Q$5*Calculations!$B$27</f>
        <v>1.7173790618235372E-3</v>
      </c>
      <c r="R8" s="4">
        <f>R$5*Calculations!$B$27</f>
        <v>1.7173790618235372E-3</v>
      </c>
      <c r="S8" s="4">
        <f>S$5*Calculations!$B$27</f>
        <v>1.7173790618235372E-3</v>
      </c>
      <c r="T8" s="4">
        <f>T$5*Calculations!$B$27</f>
        <v>1.7173790618235372E-3</v>
      </c>
      <c r="U8" s="4">
        <f>U$5*Calculations!$B$27</f>
        <v>1.7173790618235372E-3</v>
      </c>
      <c r="V8" s="4">
        <f>V$5*Calculations!$B$27</f>
        <v>1.7173790618235372E-3</v>
      </c>
      <c r="W8" s="4">
        <f>W$5*Calculations!$B$27</f>
        <v>1.7173790618235372E-3</v>
      </c>
      <c r="X8" s="4">
        <f>X$5*Calculations!$B$27</f>
        <v>1.7173790618235372E-3</v>
      </c>
      <c r="Y8" s="4">
        <f>Y$5*Calculations!$B$27</f>
        <v>1.7173790618235372E-3</v>
      </c>
      <c r="Z8" s="4">
        <f>Z$5*Calculations!$B$27</f>
        <v>1.7173790618235372E-3</v>
      </c>
      <c r="AA8" s="4">
        <f>AA$5*Calculations!$B$27</f>
        <v>1.7173790618235372E-3</v>
      </c>
      <c r="AB8" s="4">
        <f>AB$5*Calculations!$B$27</f>
        <v>1.7173790618235372E-3</v>
      </c>
      <c r="AC8" s="4">
        <f>AC$5*Calculations!$B$27</f>
        <v>1.7173790618235372E-3</v>
      </c>
      <c r="AD8" s="4">
        <f>AD$5*Calculations!$B$27</f>
        <v>1.7173790618235372E-3</v>
      </c>
      <c r="AE8" s="4">
        <f>AE$5*Calculations!$B$27</f>
        <v>1.7173790618235372E-3</v>
      </c>
      <c r="AF8" s="4">
        <f t="shared" ref="AF8:AY8" si="6">AE8</f>
        <v>1.7173790618235372E-3</v>
      </c>
      <c r="AG8" s="4">
        <f t="shared" si="6"/>
        <v>1.7173790618235372E-3</v>
      </c>
      <c r="AH8" s="4">
        <f t="shared" si="6"/>
        <v>1.7173790618235372E-3</v>
      </c>
      <c r="AI8" s="4">
        <f t="shared" si="6"/>
        <v>1.7173790618235372E-3</v>
      </c>
      <c r="AJ8" s="4">
        <f t="shared" si="6"/>
        <v>1.7173790618235372E-3</v>
      </c>
      <c r="AK8" s="4">
        <f t="shared" si="6"/>
        <v>1.7173790618235372E-3</v>
      </c>
      <c r="AL8" s="4">
        <f t="shared" si="6"/>
        <v>1.7173790618235372E-3</v>
      </c>
      <c r="AM8" s="4">
        <f t="shared" si="6"/>
        <v>1.7173790618235372E-3</v>
      </c>
      <c r="AN8" s="4">
        <f t="shared" si="6"/>
        <v>1.7173790618235372E-3</v>
      </c>
      <c r="AO8" s="4">
        <f t="shared" si="6"/>
        <v>1.7173790618235372E-3</v>
      </c>
      <c r="AP8" s="4">
        <f t="shared" si="6"/>
        <v>1.7173790618235372E-3</v>
      </c>
      <c r="AQ8" s="4">
        <f t="shared" si="6"/>
        <v>1.7173790618235372E-3</v>
      </c>
      <c r="AR8" s="4">
        <f t="shared" si="6"/>
        <v>1.7173790618235372E-3</v>
      </c>
      <c r="AS8" s="4">
        <f t="shared" si="6"/>
        <v>1.7173790618235372E-3</v>
      </c>
      <c r="AT8" s="4">
        <f t="shared" si="6"/>
        <v>1.7173790618235372E-3</v>
      </c>
      <c r="AU8" s="4">
        <f t="shared" si="6"/>
        <v>1.7173790618235372E-3</v>
      </c>
      <c r="AV8" s="4">
        <f t="shared" si="6"/>
        <v>1.7173790618235372E-3</v>
      </c>
      <c r="AW8" s="4">
        <f t="shared" si="6"/>
        <v>1.7173790618235372E-3</v>
      </c>
      <c r="AX8" s="4">
        <f t="shared" si="6"/>
        <v>1.7173790618235372E-3</v>
      </c>
      <c r="AY8" s="4">
        <f t="shared" si="6"/>
        <v>1.7173790618235372E-3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Y8"/>
  <sheetViews>
    <sheetView topLeftCell="V1" workbookViewId="0">
      <selection activeCell="AF2" sqref="AF2:AY8"/>
    </sheetView>
  </sheetViews>
  <sheetFormatPr defaultColWidth="8.85546875" defaultRowHeight="15"/>
  <cols>
    <col min="1" max="1" width="31.140625" customWidth="1"/>
  </cols>
  <sheetData>
    <row r="1" spans="1:51" ht="15.95">
      <c r="A1" s="18" t="s">
        <v>98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52</v>
      </c>
      <c r="B2" s="4">
        <f>B$5/(1-'Other Values'!$B$3)</f>
        <v>1.1722254425066041E-4</v>
      </c>
      <c r="C2" s="4">
        <f>C$5/(1-'Other Values'!$B$3)</f>
        <v>1.1863656599543676E-4</v>
      </c>
      <c r="D2" s="4">
        <f>D$5/(1-'Other Values'!$B$3)</f>
        <v>1.2005058774021348E-4</v>
      </c>
      <c r="E2" s="4">
        <f>E$5/(1-'Other Values'!$B$3)</f>
        <v>1.2146460948498984E-4</v>
      </c>
      <c r="F2" s="4">
        <f>F$5/(1-'Other Values'!$B$3)</f>
        <v>1.2287863122976655E-4</v>
      </c>
      <c r="G2" s="4">
        <f>G$5/(1-'Other Values'!$B$3)</f>
        <v>1.2429265297454325E-4</v>
      </c>
      <c r="H2" s="4">
        <f>H$5/(1-'Other Values'!$B$3)</f>
        <v>1.2570667471931959E-4</v>
      </c>
      <c r="I2" s="4">
        <f>I$5/(1-'Other Values'!$B$3)</f>
        <v>1.2712069646409632E-4</v>
      </c>
      <c r="J2" s="4">
        <f>J$5/(1-'Other Values'!$B$3)</f>
        <v>1.2853471820887266E-4</v>
      </c>
      <c r="K2" s="4">
        <f>K$5/(1-'Other Values'!$B$3)</f>
        <v>1.2994873995364939E-4</v>
      </c>
      <c r="L2" s="4">
        <f>L$5/(1-'Other Values'!$B$3)</f>
        <v>1.3136276169842609E-4</v>
      </c>
      <c r="M2" s="4">
        <f>M$5/(1-'Other Values'!$B$3)</f>
        <v>1.3277678344320243E-4</v>
      </c>
      <c r="N2" s="4">
        <f>N$5/(1-'Other Values'!$B$3)</f>
        <v>1.3419080518797916E-4</v>
      </c>
      <c r="O2" s="4">
        <f>O$5/(1-'Other Values'!$B$3)</f>
        <v>1.3560482693275586E-4</v>
      </c>
      <c r="P2" s="4">
        <f>P$5/(1-'Other Values'!$B$3)</f>
        <v>1.3701884867753223E-4</v>
      </c>
      <c r="Q2" s="4">
        <f>Q$5/(1-'Other Values'!$B$3)</f>
        <v>1.3843287042230893E-4</v>
      </c>
      <c r="R2" s="4">
        <f>R$5/(1-'Other Values'!$B$3)</f>
        <v>1.3984689216708527E-4</v>
      </c>
      <c r="S2" s="4">
        <f>S$5/(1-'Other Values'!$B$3)</f>
        <v>1.41260913911862E-4</v>
      </c>
      <c r="T2" s="4">
        <f>T$5/(1-'Other Values'!$B$3)</f>
        <v>1.426749356566387E-4</v>
      </c>
      <c r="U2" s="4">
        <f>U$5/(1-'Other Values'!$B$3)</f>
        <v>1.4408895740141507E-4</v>
      </c>
      <c r="V2" s="4">
        <f>V$5/(1-'Other Values'!$B$3)</f>
        <v>1.4550297914619177E-4</v>
      </c>
      <c r="W2" s="4">
        <f>W$5/(1-'Other Values'!$B$3)</f>
        <v>1.4691700089096812E-4</v>
      </c>
      <c r="X2" s="4">
        <f>X$5/(1-'Other Values'!$B$3)</f>
        <v>1.4833102263574484E-4</v>
      </c>
      <c r="Y2" s="4">
        <f>Y$5/(1-'Other Values'!$B$3)</f>
        <v>1.4974504438052154E-4</v>
      </c>
      <c r="Z2" s="4">
        <f>Z$5/(1-'Other Values'!$B$3)</f>
        <v>1.5605627758270464E-4</v>
      </c>
      <c r="AA2" s="4">
        <f>AA$5/(1-'Other Values'!$B$3)</f>
        <v>1.5409233532508984E-4</v>
      </c>
      <c r="AB2" s="4">
        <f>AB$5/(1-'Other Values'!$B$3)</f>
        <v>1.5488674153017263E-4</v>
      </c>
      <c r="AC2" s="4">
        <f>AC$5/(1-'Other Values'!$B$3)</f>
        <v>1.5573555264585283E-4</v>
      </c>
      <c r="AD2" s="4">
        <f>AD$5/(1-'Other Values'!$B$3)</f>
        <v>1.5685002263907255E-4</v>
      </c>
      <c r="AE2" s="4">
        <f>AE$5/(1-'Other Values'!$B$3)</f>
        <v>1.5825849190378402E-4</v>
      </c>
      <c r="AF2" s="4">
        <f t="shared" ref="AF2:AY2" si="0">AE2</f>
        <v>1.5825849190378402E-4</v>
      </c>
      <c r="AG2" s="4">
        <f t="shared" si="0"/>
        <v>1.5825849190378402E-4</v>
      </c>
      <c r="AH2" s="4">
        <f t="shared" si="0"/>
        <v>1.5825849190378402E-4</v>
      </c>
      <c r="AI2" s="4">
        <f t="shared" si="0"/>
        <v>1.5825849190378402E-4</v>
      </c>
      <c r="AJ2" s="4">
        <f t="shared" si="0"/>
        <v>1.5825849190378402E-4</v>
      </c>
      <c r="AK2" s="4">
        <f t="shared" si="0"/>
        <v>1.5825849190378402E-4</v>
      </c>
      <c r="AL2" s="4">
        <f t="shared" si="0"/>
        <v>1.5825849190378402E-4</v>
      </c>
      <c r="AM2" s="4">
        <f t="shared" si="0"/>
        <v>1.5825849190378402E-4</v>
      </c>
      <c r="AN2" s="4">
        <f t="shared" si="0"/>
        <v>1.5825849190378402E-4</v>
      </c>
      <c r="AO2" s="4">
        <f t="shared" si="0"/>
        <v>1.5825849190378402E-4</v>
      </c>
      <c r="AP2" s="4">
        <f t="shared" si="0"/>
        <v>1.5825849190378402E-4</v>
      </c>
      <c r="AQ2" s="4">
        <f t="shared" si="0"/>
        <v>1.5825849190378402E-4</v>
      </c>
      <c r="AR2" s="4">
        <f t="shared" si="0"/>
        <v>1.5825849190378402E-4</v>
      </c>
      <c r="AS2" s="4">
        <f t="shared" si="0"/>
        <v>1.5825849190378402E-4</v>
      </c>
      <c r="AT2" s="4">
        <f t="shared" si="0"/>
        <v>1.5825849190378402E-4</v>
      </c>
      <c r="AU2" s="4">
        <f t="shared" si="0"/>
        <v>1.5825849190378402E-4</v>
      </c>
      <c r="AV2" s="4">
        <f t="shared" si="0"/>
        <v>1.5825849190378402E-4</v>
      </c>
      <c r="AW2" s="4">
        <f t="shared" si="0"/>
        <v>1.5825849190378402E-4</v>
      </c>
      <c r="AX2" s="4">
        <f t="shared" si="0"/>
        <v>1.5825849190378402E-4</v>
      </c>
      <c r="AY2" s="4">
        <f t="shared" si="0"/>
        <v>1.5825849190378402E-4</v>
      </c>
    </row>
    <row r="3" spans="1:51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s="4">
        <f t="shared" ref="AF3:AY3" si="1">AE3</f>
        <v>0</v>
      </c>
      <c r="AG3" s="4">
        <f t="shared" si="1"/>
        <v>0</v>
      </c>
      <c r="AH3" s="4">
        <f t="shared" si="1"/>
        <v>0</v>
      </c>
      <c r="AI3" s="4">
        <f t="shared" si="1"/>
        <v>0</v>
      </c>
      <c r="AJ3" s="4">
        <f t="shared" si="1"/>
        <v>0</v>
      </c>
      <c r="AK3" s="4">
        <f t="shared" si="1"/>
        <v>0</v>
      </c>
      <c r="AL3" s="4">
        <f t="shared" si="1"/>
        <v>0</v>
      </c>
      <c r="AM3" s="4">
        <f t="shared" si="1"/>
        <v>0</v>
      </c>
      <c r="AN3" s="4">
        <f t="shared" si="1"/>
        <v>0</v>
      </c>
      <c r="AO3" s="4">
        <f t="shared" si="1"/>
        <v>0</v>
      </c>
      <c r="AP3" s="4">
        <f t="shared" si="1"/>
        <v>0</v>
      </c>
      <c r="AQ3" s="4">
        <f t="shared" si="1"/>
        <v>0</v>
      </c>
      <c r="AR3" s="4">
        <f t="shared" si="1"/>
        <v>0</v>
      </c>
      <c r="AS3" s="4">
        <f t="shared" si="1"/>
        <v>0</v>
      </c>
      <c r="AT3" s="4">
        <f t="shared" si="1"/>
        <v>0</v>
      </c>
      <c r="AU3" s="4">
        <f t="shared" si="1"/>
        <v>0</v>
      </c>
      <c r="AV3" s="4">
        <f t="shared" si="1"/>
        <v>0</v>
      </c>
      <c r="AW3" s="4">
        <f t="shared" si="1"/>
        <v>0</v>
      </c>
      <c r="AX3" s="4">
        <f t="shared" si="1"/>
        <v>0</v>
      </c>
      <c r="AY3" s="4">
        <f t="shared" si="1"/>
        <v>0</v>
      </c>
    </row>
    <row r="4" spans="1:51">
      <c r="A4" t="s">
        <v>46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s="4">
        <f t="shared" ref="AF4:AY4" si="2">AE4</f>
        <v>0</v>
      </c>
      <c r="AG4" s="4">
        <f t="shared" si="2"/>
        <v>0</v>
      </c>
      <c r="AH4" s="4">
        <f t="shared" si="2"/>
        <v>0</v>
      </c>
      <c r="AI4" s="4">
        <f t="shared" si="2"/>
        <v>0</v>
      </c>
      <c r="AJ4" s="4">
        <f t="shared" si="2"/>
        <v>0</v>
      </c>
      <c r="AK4" s="4">
        <f t="shared" si="2"/>
        <v>0</v>
      </c>
      <c r="AL4" s="4">
        <f t="shared" si="2"/>
        <v>0</v>
      </c>
      <c r="AM4" s="4">
        <f t="shared" si="2"/>
        <v>0</v>
      </c>
      <c r="AN4" s="4">
        <f t="shared" si="2"/>
        <v>0</v>
      </c>
      <c r="AO4" s="4">
        <f t="shared" si="2"/>
        <v>0</v>
      </c>
      <c r="AP4" s="4">
        <f t="shared" si="2"/>
        <v>0</v>
      </c>
      <c r="AQ4" s="4">
        <f t="shared" si="2"/>
        <v>0</v>
      </c>
      <c r="AR4" s="4">
        <f t="shared" si="2"/>
        <v>0</v>
      </c>
      <c r="AS4" s="4">
        <f t="shared" si="2"/>
        <v>0</v>
      </c>
      <c r="AT4" s="4">
        <f t="shared" si="2"/>
        <v>0</v>
      </c>
      <c r="AU4" s="4">
        <f t="shared" si="2"/>
        <v>0</v>
      </c>
      <c r="AV4" s="4">
        <f t="shared" si="2"/>
        <v>0</v>
      </c>
      <c r="AW4" s="4">
        <f t="shared" si="2"/>
        <v>0</v>
      </c>
      <c r="AX4" s="4">
        <f t="shared" si="2"/>
        <v>0</v>
      </c>
      <c r="AY4" s="4">
        <f t="shared" si="2"/>
        <v>0</v>
      </c>
    </row>
    <row r="5" spans="1:51">
      <c r="A5" t="s">
        <v>49</v>
      </c>
      <c r="B5" s="4">
        <f>Extrapolations!Q7</f>
        <v>3.647844074325616E-5</v>
      </c>
      <c r="C5" s="4">
        <f>Extrapolations!R7</f>
        <v>3.6918469653703644E-5</v>
      </c>
      <c r="D5" s="4">
        <f>Extrapolations!S7</f>
        <v>3.7358498564151237E-5</v>
      </c>
      <c r="E5" s="4">
        <f>Extrapolations!T7</f>
        <v>3.7798527474598721E-5</v>
      </c>
      <c r="F5" s="4">
        <f>Extrapolations!U7</f>
        <v>3.8238556385046314E-5</v>
      </c>
      <c r="G5" s="4">
        <f>Extrapolations!V7</f>
        <v>3.8678585295493906E-5</v>
      </c>
      <c r="H5" s="4">
        <f>Extrapolations!W7</f>
        <v>3.9118614205941391E-5</v>
      </c>
      <c r="I5" s="4">
        <f>Extrapolations!X7</f>
        <v>3.9558643116388983E-5</v>
      </c>
      <c r="J5" s="4">
        <f>Extrapolations!Y7</f>
        <v>3.9998672026836467E-5</v>
      </c>
      <c r="K5" s="4">
        <f>Extrapolations!Z7</f>
        <v>4.043870093728406E-5</v>
      </c>
      <c r="L5" s="4">
        <f>Extrapolations!AA7</f>
        <v>4.0878729847731653E-5</v>
      </c>
      <c r="M5" s="4">
        <f>Extrapolations!AB7</f>
        <v>4.1318758758179137E-5</v>
      </c>
      <c r="N5" s="4">
        <f>Extrapolations!AC7</f>
        <v>4.1758787668626729E-5</v>
      </c>
      <c r="O5" s="4">
        <f>Extrapolations!AD7</f>
        <v>4.2198816579074322E-5</v>
      </c>
      <c r="P5" s="4">
        <f>Extrapolations!AE7</f>
        <v>4.2638845489521806E-5</v>
      </c>
      <c r="Q5" s="4">
        <f>Extrapolations!AF7</f>
        <v>4.3078874399969399E-5</v>
      </c>
      <c r="R5" s="4">
        <f>Extrapolations!AG7</f>
        <v>4.3518903310416883E-5</v>
      </c>
      <c r="S5" s="4">
        <f>Extrapolations!AH7</f>
        <v>4.3958932220864476E-5</v>
      </c>
      <c r="T5" s="4">
        <f>Extrapolations!AI7</f>
        <v>4.4398961131312068E-5</v>
      </c>
      <c r="U5" s="4">
        <f>Extrapolations!AJ7</f>
        <v>4.4838990041759552E-5</v>
      </c>
      <c r="V5" s="4">
        <f>Extrapolations!AK7</f>
        <v>4.5279018952207145E-5</v>
      </c>
      <c r="W5" s="4">
        <f>Extrapolations!AL7</f>
        <v>4.5719047862654629E-5</v>
      </c>
      <c r="X5" s="4">
        <f>Extrapolations!AM7</f>
        <v>4.6159076773102222E-5</v>
      </c>
      <c r="Y5" s="4">
        <f>Extrapolations!AN7</f>
        <v>4.6599105683549815E-5</v>
      </c>
      <c r="Z5" s="4">
        <f>Extrapolations!AO7</f>
        <v>4.8563096039282174E-5</v>
      </c>
      <c r="AA5" s="4">
        <f>Extrapolations!AP7</f>
        <v>4.7951937565239972E-5</v>
      </c>
      <c r="AB5" s="4">
        <f>Extrapolations!AQ7</f>
        <v>4.8199148542133818E-5</v>
      </c>
      <c r="AC5" s="4">
        <f>Extrapolations!AR7</f>
        <v>4.8463289763291303E-5</v>
      </c>
      <c r="AD5" s="4">
        <f>Extrapolations!AS7</f>
        <v>4.8810101273548841E-5</v>
      </c>
      <c r="AE5" s="4">
        <f>Extrapolations!AT7</f>
        <v>4.9248402309752346E-5</v>
      </c>
      <c r="AF5" s="4">
        <f t="shared" ref="AF5:AY5" si="3">AE5</f>
        <v>4.9248402309752346E-5</v>
      </c>
      <c r="AG5" s="4">
        <f t="shared" si="3"/>
        <v>4.9248402309752346E-5</v>
      </c>
      <c r="AH5" s="4">
        <f t="shared" si="3"/>
        <v>4.9248402309752346E-5</v>
      </c>
      <c r="AI5" s="4">
        <f t="shared" si="3"/>
        <v>4.9248402309752346E-5</v>
      </c>
      <c r="AJ5" s="4">
        <f t="shared" si="3"/>
        <v>4.9248402309752346E-5</v>
      </c>
      <c r="AK5" s="4">
        <f t="shared" si="3"/>
        <v>4.9248402309752346E-5</v>
      </c>
      <c r="AL5" s="4">
        <f t="shared" si="3"/>
        <v>4.9248402309752346E-5</v>
      </c>
      <c r="AM5" s="4">
        <f t="shared" si="3"/>
        <v>4.9248402309752346E-5</v>
      </c>
      <c r="AN5" s="4">
        <f t="shared" si="3"/>
        <v>4.9248402309752346E-5</v>
      </c>
      <c r="AO5" s="4">
        <f t="shared" si="3"/>
        <v>4.9248402309752346E-5</v>
      </c>
      <c r="AP5" s="4">
        <f t="shared" si="3"/>
        <v>4.9248402309752346E-5</v>
      </c>
      <c r="AQ5" s="4">
        <f t="shared" si="3"/>
        <v>4.9248402309752346E-5</v>
      </c>
      <c r="AR5" s="4">
        <f t="shared" si="3"/>
        <v>4.9248402309752346E-5</v>
      </c>
      <c r="AS5" s="4">
        <f t="shared" si="3"/>
        <v>4.9248402309752346E-5</v>
      </c>
      <c r="AT5" s="4">
        <f t="shared" si="3"/>
        <v>4.9248402309752346E-5</v>
      </c>
      <c r="AU5" s="4">
        <f t="shared" si="3"/>
        <v>4.9248402309752346E-5</v>
      </c>
      <c r="AV5" s="4">
        <f t="shared" si="3"/>
        <v>4.9248402309752346E-5</v>
      </c>
      <c r="AW5" s="4">
        <f t="shared" si="3"/>
        <v>4.9248402309752346E-5</v>
      </c>
      <c r="AX5" s="4">
        <f t="shared" si="3"/>
        <v>4.9248402309752346E-5</v>
      </c>
      <c r="AY5" s="4">
        <f t="shared" si="3"/>
        <v>4.9248402309752346E-5</v>
      </c>
    </row>
    <row r="6" spans="1:51">
      <c r="A6" t="s">
        <v>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s="4">
        <f t="shared" ref="AF6:AY6" si="4">AE6</f>
        <v>0</v>
      </c>
      <c r="AG6" s="4">
        <f t="shared" si="4"/>
        <v>0</v>
      </c>
      <c r="AH6" s="4">
        <f t="shared" si="4"/>
        <v>0</v>
      </c>
      <c r="AI6" s="4">
        <f t="shared" si="4"/>
        <v>0</v>
      </c>
      <c r="AJ6" s="4">
        <f t="shared" si="4"/>
        <v>0</v>
      </c>
      <c r="AK6" s="4">
        <f t="shared" si="4"/>
        <v>0</v>
      </c>
      <c r="AL6" s="4">
        <f t="shared" si="4"/>
        <v>0</v>
      </c>
      <c r="AM6" s="4">
        <f t="shared" si="4"/>
        <v>0</v>
      </c>
      <c r="AN6" s="4">
        <f t="shared" si="4"/>
        <v>0</v>
      </c>
      <c r="AO6" s="4">
        <f t="shared" si="4"/>
        <v>0</v>
      </c>
      <c r="AP6" s="4">
        <f t="shared" si="4"/>
        <v>0</v>
      </c>
      <c r="AQ6" s="4">
        <f t="shared" si="4"/>
        <v>0</v>
      </c>
      <c r="AR6" s="4">
        <f t="shared" si="4"/>
        <v>0</v>
      </c>
      <c r="AS6" s="4">
        <f t="shared" si="4"/>
        <v>0</v>
      </c>
      <c r="AT6" s="4">
        <f t="shared" si="4"/>
        <v>0</v>
      </c>
      <c r="AU6" s="4">
        <f t="shared" si="4"/>
        <v>0</v>
      </c>
      <c r="AV6" s="4">
        <f t="shared" si="4"/>
        <v>0</v>
      </c>
      <c r="AW6" s="4">
        <f t="shared" si="4"/>
        <v>0</v>
      </c>
      <c r="AX6" s="4">
        <f t="shared" si="4"/>
        <v>0</v>
      </c>
      <c r="AY6" s="4">
        <f t="shared" si="4"/>
        <v>0</v>
      </c>
    </row>
    <row r="7" spans="1:51">
      <c r="A7" t="s">
        <v>59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s="4">
        <f t="shared" ref="AF7:AY7" si="5">AE7</f>
        <v>0</v>
      </c>
      <c r="AG7" s="4">
        <f t="shared" si="5"/>
        <v>0</v>
      </c>
      <c r="AH7" s="4">
        <f t="shared" si="5"/>
        <v>0</v>
      </c>
      <c r="AI7" s="4">
        <f t="shared" si="5"/>
        <v>0</v>
      </c>
      <c r="AJ7" s="4">
        <f t="shared" si="5"/>
        <v>0</v>
      </c>
      <c r="AK7" s="4">
        <f t="shared" si="5"/>
        <v>0</v>
      </c>
      <c r="AL7" s="4">
        <f t="shared" si="5"/>
        <v>0</v>
      </c>
      <c r="AM7" s="4">
        <f t="shared" si="5"/>
        <v>0</v>
      </c>
      <c r="AN7" s="4">
        <f t="shared" si="5"/>
        <v>0</v>
      </c>
      <c r="AO7" s="4">
        <f t="shared" si="5"/>
        <v>0</v>
      </c>
      <c r="AP7" s="4">
        <f t="shared" si="5"/>
        <v>0</v>
      </c>
      <c r="AQ7" s="4">
        <f t="shared" si="5"/>
        <v>0</v>
      </c>
      <c r="AR7" s="4">
        <f t="shared" si="5"/>
        <v>0</v>
      </c>
      <c r="AS7" s="4">
        <f t="shared" si="5"/>
        <v>0</v>
      </c>
      <c r="AT7" s="4">
        <f t="shared" si="5"/>
        <v>0</v>
      </c>
      <c r="AU7" s="4">
        <f t="shared" si="5"/>
        <v>0</v>
      </c>
      <c r="AV7" s="4">
        <f t="shared" si="5"/>
        <v>0</v>
      </c>
      <c r="AW7" s="4">
        <f t="shared" si="5"/>
        <v>0</v>
      </c>
      <c r="AX7" s="4">
        <f t="shared" si="5"/>
        <v>0</v>
      </c>
      <c r="AY7" s="4">
        <f t="shared" si="5"/>
        <v>0</v>
      </c>
    </row>
    <row r="8" spans="1:51">
      <c r="A8" t="s">
        <v>60</v>
      </c>
      <c r="B8" s="4">
        <f>B$5*Calculations!$B$27</f>
        <v>1.0943532222976846E-4</v>
      </c>
      <c r="C8" s="4">
        <f>C$5*Calculations!$B$27</f>
        <v>1.1075540896111091E-4</v>
      </c>
      <c r="D8" s="4">
        <f>D$5*Calculations!$B$27</f>
        <v>1.1207549569245369E-4</v>
      </c>
      <c r="E8" s="4">
        <f>E$5*Calculations!$B$27</f>
        <v>1.1339558242379614E-4</v>
      </c>
      <c r="F8" s="4">
        <f>F$5*Calculations!$B$27</f>
        <v>1.1471566915513892E-4</v>
      </c>
      <c r="G8" s="4">
        <f>G$5*Calculations!$B$27</f>
        <v>1.160357558864817E-4</v>
      </c>
      <c r="H8" s="4">
        <f>H$5*Calculations!$B$27</f>
        <v>1.1735584261782415E-4</v>
      </c>
      <c r="I8" s="4">
        <f>I$5*Calculations!$B$27</f>
        <v>1.1867592934916693E-4</v>
      </c>
      <c r="J8" s="4">
        <f>J$5*Calculations!$B$27</f>
        <v>1.1999601608050938E-4</v>
      </c>
      <c r="K8" s="4">
        <f>K$5*Calculations!$B$27</f>
        <v>1.2131610281185216E-4</v>
      </c>
      <c r="L8" s="4">
        <f>L$5*Calculations!$B$27</f>
        <v>1.2263618954319494E-4</v>
      </c>
      <c r="M8" s="4">
        <f>M$5*Calculations!$B$27</f>
        <v>1.2395627627453739E-4</v>
      </c>
      <c r="N8" s="4">
        <f>N$5*Calculations!$B$27</f>
        <v>1.2527636300588017E-4</v>
      </c>
      <c r="O8" s="4">
        <f>O$5*Calculations!$B$27</f>
        <v>1.2659644973722295E-4</v>
      </c>
      <c r="P8" s="4">
        <f>P$5*Calculations!$B$27</f>
        <v>1.279165364685654E-4</v>
      </c>
      <c r="Q8" s="4">
        <f>Q$5*Calculations!$B$27</f>
        <v>1.2923662319990818E-4</v>
      </c>
      <c r="R8" s="4">
        <f>R$5*Calculations!$B$27</f>
        <v>1.3055670993125063E-4</v>
      </c>
      <c r="S8" s="4">
        <f>S$5*Calculations!$B$27</f>
        <v>1.3187679666259341E-4</v>
      </c>
      <c r="T8" s="4">
        <f>T$5*Calculations!$B$27</f>
        <v>1.3319688339393618E-4</v>
      </c>
      <c r="U8" s="4">
        <f>U$5*Calculations!$B$27</f>
        <v>1.3451697012527864E-4</v>
      </c>
      <c r="V8" s="4">
        <f>V$5*Calculations!$B$27</f>
        <v>1.3583705685662141E-4</v>
      </c>
      <c r="W8" s="4">
        <f>W$5*Calculations!$B$27</f>
        <v>1.3715714358796387E-4</v>
      </c>
      <c r="X8" s="4">
        <f>X$5*Calculations!$B$27</f>
        <v>1.3847723031930665E-4</v>
      </c>
      <c r="Y8" s="4">
        <f>Y$5*Calculations!$B$27</f>
        <v>1.3979731705064942E-4</v>
      </c>
      <c r="Z8" s="4">
        <f>Z$5*Calculations!$B$27</f>
        <v>1.4568928811784651E-4</v>
      </c>
      <c r="AA8" s="4">
        <f>AA$5*Calculations!$B$27</f>
        <v>1.4385581269571988E-4</v>
      </c>
      <c r="AB8" s="4">
        <f>AB$5*Calculations!$B$27</f>
        <v>1.4459744562640142E-4</v>
      </c>
      <c r="AC8" s="4">
        <f>AC$5*Calculations!$B$27</f>
        <v>1.4538986928987389E-4</v>
      </c>
      <c r="AD8" s="4">
        <f>AD$5*Calculations!$B$27</f>
        <v>1.464303038206465E-4</v>
      </c>
      <c r="AE8" s="4">
        <f>AE$5*Calculations!$B$27</f>
        <v>1.47745206929257E-4</v>
      </c>
      <c r="AF8" s="4">
        <f t="shared" ref="AF8:AY8" si="6">AE8</f>
        <v>1.47745206929257E-4</v>
      </c>
      <c r="AG8" s="4">
        <f t="shared" si="6"/>
        <v>1.47745206929257E-4</v>
      </c>
      <c r="AH8" s="4">
        <f t="shared" si="6"/>
        <v>1.47745206929257E-4</v>
      </c>
      <c r="AI8" s="4">
        <f t="shared" si="6"/>
        <v>1.47745206929257E-4</v>
      </c>
      <c r="AJ8" s="4">
        <f t="shared" si="6"/>
        <v>1.47745206929257E-4</v>
      </c>
      <c r="AK8" s="4">
        <f t="shared" si="6"/>
        <v>1.47745206929257E-4</v>
      </c>
      <c r="AL8" s="4">
        <f t="shared" si="6"/>
        <v>1.47745206929257E-4</v>
      </c>
      <c r="AM8" s="4">
        <f t="shared" si="6"/>
        <v>1.47745206929257E-4</v>
      </c>
      <c r="AN8" s="4">
        <f t="shared" si="6"/>
        <v>1.47745206929257E-4</v>
      </c>
      <c r="AO8" s="4">
        <f t="shared" si="6"/>
        <v>1.47745206929257E-4</v>
      </c>
      <c r="AP8" s="4">
        <f t="shared" si="6"/>
        <v>1.47745206929257E-4</v>
      </c>
      <c r="AQ8" s="4">
        <f t="shared" si="6"/>
        <v>1.47745206929257E-4</v>
      </c>
      <c r="AR8" s="4">
        <f t="shared" si="6"/>
        <v>1.47745206929257E-4</v>
      </c>
      <c r="AS8" s="4">
        <f t="shared" si="6"/>
        <v>1.47745206929257E-4</v>
      </c>
      <c r="AT8" s="4">
        <f t="shared" si="6"/>
        <v>1.47745206929257E-4</v>
      </c>
      <c r="AU8" s="4">
        <f t="shared" si="6"/>
        <v>1.47745206929257E-4</v>
      </c>
      <c r="AV8" s="4">
        <f t="shared" si="6"/>
        <v>1.47745206929257E-4</v>
      </c>
      <c r="AW8" s="4">
        <f t="shared" si="6"/>
        <v>1.47745206929257E-4</v>
      </c>
      <c r="AX8" s="4">
        <f t="shared" si="6"/>
        <v>1.47745206929257E-4</v>
      </c>
      <c r="AY8" s="4">
        <f t="shared" si="6"/>
        <v>1.47745206929257E-4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Y13"/>
  <sheetViews>
    <sheetView topLeftCell="V1" workbookViewId="0">
      <selection activeCell="AF2" sqref="AF2:AY8"/>
    </sheetView>
  </sheetViews>
  <sheetFormatPr defaultColWidth="8.85546875" defaultRowHeight="15"/>
  <cols>
    <col min="1" max="1" width="31.140625" customWidth="1"/>
    <col min="2" max="2" width="10.42578125" customWidth="1"/>
    <col min="3" max="3" width="10.7109375" customWidth="1"/>
  </cols>
  <sheetData>
    <row r="1" spans="1:51" ht="15.95">
      <c r="A1" s="18" t="s">
        <v>98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s="4" customFormat="1">
      <c r="A2" s="4" t="s">
        <v>52</v>
      </c>
      <c r="B2" s="4">
        <f>Extrapolations!G9</f>
        <v>7.5686214263268839E-4</v>
      </c>
      <c r="C2" s="4">
        <f>Extrapolations!H9</f>
        <v>7.5686214263268839E-4</v>
      </c>
      <c r="D2" s="4">
        <f>Extrapolations!I9</f>
        <v>7.5686214263268839E-4</v>
      </c>
      <c r="E2" s="4">
        <f>Extrapolations!J9</f>
        <v>7.5686214263268839E-4</v>
      </c>
      <c r="F2" s="4">
        <f>Extrapolations!K9</f>
        <v>7.5686214263268839E-4</v>
      </c>
      <c r="G2" s="4">
        <f>Extrapolations!L9</f>
        <v>7.5686214263268839E-4</v>
      </c>
      <c r="H2" s="4">
        <f>Extrapolations!M9</f>
        <v>7.5686214263268839E-4</v>
      </c>
      <c r="I2" s="4">
        <f>Extrapolations!N9</f>
        <v>7.5686214263268839E-4</v>
      </c>
      <c r="J2" s="4">
        <f>Extrapolations!O9</f>
        <v>7.5686214263268839E-4</v>
      </c>
      <c r="K2" s="4">
        <f>Extrapolations!P9</f>
        <v>7.5686214263268839E-4</v>
      </c>
      <c r="L2" s="4">
        <f>Extrapolations!Q9</f>
        <v>7.5686214263268839E-4</v>
      </c>
      <c r="M2" s="4">
        <f>Extrapolations!R9</f>
        <v>7.5686214263268839E-4</v>
      </c>
      <c r="N2" s="4">
        <f>Extrapolations!S9</f>
        <v>7.5686214263268839E-4</v>
      </c>
      <c r="O2" s="4">
        <f>Extrapolations!T9</f>
        <v>7.5686214263268839E-4</v>
      </c>
      <c r="P2" s="4">
        <f>Extrapolations!U9</f>
        <v>7.5686214263268839E-4</v>
      </c>
      <c r="Q2" s="4">
        <f>Extrapolations!V9</f>
        <v>7.5686214263268839E-4</v>
      </c>
      <c r="R2" s="4">
        <f>Extrapolations!W9</f>
        <v>7.5686214263268839E-4</v>
      </c>
      <c r="S2" s="4">
        <f>Extrapolations!X9</f>
        <v>7.5686214263268839E-4</v>
      </c>
      <c r="T2" s="4">
        <f>Extrapolations!Y9</f>
        <v>7.5686214263268839E-4</v>
      </c>
      <c r="U2" s="4">
        <f>Extrapolations!Z9</f>
        <v>7.5686214263268839E-4</v>
      </c>
      <c r="V2" s="4">
        <f>Extrapolations!AA9</f>
        <v>7.5686214263268839E-4</v>
      </c>
      <c r="W2" s="4">
        <f>Extrapolations!AB9</f>
        <v>7.5686214263268839E-4</v>
      </c>
      <c r="X2" s="4">
        <f>Extrapolations!AC9</f>
        <v>7.5686214263268839E-4</v>
      </c>
      <c r="Y2" s="4">
        <f>Extrapolations!AD9</f>
        <v>7.5686214263268839E-4</v>
      </c>
      <c r="Z2" s="4">
        <f>Extrapolations!AE9</f>
        <v>7.5686214263268839E-4</v>
      </c>
      <c r="AA2" s="4">
        <f>Extrapolations!AF9</f>
        <v>7.5686214263268839E-4</v>
      </c>
      <c r="AB2" s="4">
        <f>Extrapolations!AG9</f>
        <v>7.5686214263268839E-4</v>
      </c>
      <c r="AC2" s="4">
        <f>Extrapolations!AH9</f>
        <v>7.5686214263268839E-4</v>
      </c>
      <c r="AD2" s="4">
        <f>Extrapolations!AI9</f>
        <v>7.5686214263268839E-4</v>
      </c>
      <c r="AE2" s="4">
        <f>Extrapolations!AJ9</f>
        <v>7.5686214263268839E-4</v>
      </c>
      <c r="AF2" s="4">
        <f t="shared" ref="AF2:AY2" si="0">AE2</f>
        <v>7.5686214263268839E-4</v>
      </c>
      <c r="AG2" s="4">
        <f t="shared" si="0"/>
        <v>7.5686214263268839E-4</v>
      </c>
      <c r="AH2" s="4">
        <f t="shared" si="0"/>
        <v>7.5686214263268839E-4</v>
      </c>
      <c r="AI2" s="4">
        <f t="shared" si="0"/>
        <v>7.5686214263268839E-4</v>
      </c>
      <c r="AJ2" s="4">
        <f t="shared" si="0"/>
        <v>7.5686214263268839E-4</v>
      </c>
      <c r="AK2" s="4">
        <f t="shared" si="0"/>
        <v>7.5686214263268839E-4</v>
      </c>
      <c r="AL2" s="4">
        <f t="shared" si="0"/>
        <v>7.5686214263268839E-4</v>
      </c>
      <c r="AM2" s="4">
        <f t="shared" si="0"/>
        <v>7.5686214263268839E-4</v>
      </c>
      <c r="AN2" s="4">
        <f t="shared" si="0"/>
        <v>7.5686214263268839E-4</v>
      </c>
      <c r="AO2" s="4">
        <f t="shared" si="0"/>
        <v>7.5686214263268839E-4</v>
      </c>
      <c r="AP2" s="4">
        <f t="shared" si="0"/>
        <v>7.5686214263268839E-4</v>
      </c>
      <c r="AQ2" s="4">
        <f t="shared" si="0"/>
        <v>7.5686214263268839E-4</v>
      </c>
      <c r="AR2" s="4">
        <f t="shared" si="0"/>
        <v>7.5686214263268839E-4</v>
      </c>
      <c r="AS2" s="4">
        <f t="shared" si="0"/>
        <v>7.5686214263268839E-4</v>
      </c>
      <c r="AT2" s="4">
        <f t="shared" si="0"/>
        <v>7.5686214263268839E-4</v>
      </c>
      <c r="AU2" s="4">
        <f t="shared" si="0"/>
        <v>7.5686214263268839E-4</v>
      </c>
      <c r="AV2" s="4">
        <f t="shared" si="0"/>
        <v>7.5686214263268839E-4</v>
      </c>
      <c r="AW2" s="4">
        <f t="shared" si="0"/>
        <v>7.5686214263268839E-4</v>
      </c>
      <c r="AX2" s="4">
        <f t="shared" si="0"/>
        <v>7.5686214263268839E-4</v>
      </c>
      <c r="AY2" s="4">
        <f t="shared" si="0"/>
        <v>7.5686214263268839E-4</v>
      </c>
    </row>
    <row r="3" spans="1:51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s="4">
        <f t="shared" ref="AF3:AY3" si="1">AE3</f>
        <v>0</v>
      </c>
      <c r="AG3" s="4">
        <f t="shared" si="1"/>
        <v>0</v>
      </c>
      <c r="AH3" s="4">
        <f t="shared" si="1"/>
        <v>0</v>
      </c>
      <c r="AI3" s="4">
        <f t="shared" si="1"/>
        <v>0</v>
      </c>
      <c r="AJ3" s="4">
        <f t="shared" si="1"/>
        <v>0</v>
      </c>
      <c r="AK3" s="4">
        <f t="shared" si="1"/>
        <v>0</v>
      </c>
      <c r="AL3" s="4">
        <f t="shared" si="1"/>
        <v>0</v>
      </c>
      <c r="AM3" s="4">
        <f t="shared" si="1"/>
        <v>0</v>
      </c>
      <c r="AN3" s="4">
        <f t="shared" si="1"/>
        <v>0</v>
      </c>
      <c r="AO3" s="4">
        <f t="shared" si="1"/>
        <v>0</v>
      </c>
      <c r="AP3" s="4">
        <f t="shared" si="1"/>
        <v>0</v>
      </c>
      <c r="AQ3" s="4">
        <f t="shared" si="1"/>
        <v>0</v>
      </c>
      <c r="AR3" s="4">
        <f t="shared" si="1"/>
        <v>0</v>
      </c>
      <c r="AS3" s="4">
        <f t="shared" si="1"/>
        <v>0</v>
      </c>
      <c r="AT3" s="4">
        <f t="shared" si="1"/>
        <v>0</v>
      </c>
      <c r="AU3" s="4">
        <f t="shared" si="1"/>
        <v>0</v>
      </c>
      <c r="AV3" s="4">
        <f t="shared" si="1"/>
        <v>0</v>
      </c>
      <c r="AW3" s="4">
        <f t="shared" si="1"/>
        <v>0</v>
      </c>
      <c r="AX3" s="4">
        <f t="shared" si="1"/>
        <v>0</v>
      </c>
      <c r="AY3" s="4">
        <f t="shared" si="1"/>
        <v>0</v>
      </c>
    </row>
    <row r="4" spans="1:51">
      <c r="A4" t="s">
        <v>46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s="4">
        <f t="shared" ref="AF4:AY4" si="2">AE4</f>
        <v>0</v>
      </c>
      <c r="AG4" s="4">
        <f t="shared" si="2"/>
        <v>0</v>
      </c>
      <c r="AH4" s="4">
        <f t="shared" si="2"/>
        <v>0</v>
      </c>
      <c r="AI4" s="4">
        <f t="shared" si="2"/>
        <v>0</v>
      </c>
      <c r="AJ4" s="4">
        <f t="shared" si="2"/>
        <v>0</v>
      </c>
      <c r="AK4" s="4">
        <f t="shared" si="2"/>
        <v>0</v>
      </c>
      <c r="AL4" s="4">
        <f t="shared" si="2"/>
        <v>0</v>
      </c>
      <c r="AM4" s="4">
        <f t="shared" si="2"/>
        <v>0</v>
      </c>
      <c r="AN4" s="4">
        <f t="shared" si="2"/>
        <v>0</v>
      </c>
      <c r="AO4" s="4">
        <f t="shared" si="2"/>
        <v>0</v>
      </c>
      <c r="AP4" s="4">
        <f t="shared" si="2"/>
        <v>0</v>
      </c>
      <c r="AQ4" s="4">
        <f t="shared" si="2"/>
        <v>0</v>
      </c>
      <c r="AR4" s="4">
        <f t="shared" si="2"/>
        <v>0</v>
      </c>
      <c r="AS4" s="4">
        <f t="shared" si="2"/>
        <v>0</v>
      </c>
      <c r="AT4" s="4">
        <f t="shared" si="2"/>
        <v>0</v>
      </c>
      <c r="AU4" s="4">
        <f t="shared" si="2"/>
        <v>0</v>
      </c>
      <c r="AV4" s="4">
        <f t="shared" si="2"/>
        <v>0</v>
      </c>
      <c r="AW4" s="4">
        <f t="shared" si="2"/>
        <v>0</v>
      </c>
      <c r="AX4" s="4">
        <f t="shared" si="2"/>
        <v>0</v>
      </c>
      <c r="AY4" s="4">
        <f t="shared" si="2"/>
        <v>0</v>
      </c>
    </row>
    <row r="5" spans="1:51">
      <c r="A5" t="s">
        <v>49</v>
      </c>
      <c r="B5" s="29">
        <f>Extrapolations!G8</f>
        <v>7.1745362435245036E-5</v>
      </c>
      <c r="C5" s="29">
        <f>Extrapolations!H8</f>
        <v>7.1745362435245036E-5</v>
      </c>
      <c r="D5" s="29">
        <f>Extrapolations!I8</f>
        <v>7.1745362435245036E-5</v>
      </c>
      <c r="E5" s="29">
        <f>Extrapolations!J8</f>
        <v>7.1745362435245036E-5</v>
      </c>
      <c r="F5" s="29">
        <f>Extrapolations!K8</f>
        <v>7.1745362435245036E-5</v>
      </c>
      <c r="G5" s="29">
        <f>Extrapolations!L8</f>
        <v>7.1745362435245036E-5</v>
      </c>
      <c r="H5" s="29">
        <f>Extrapolations!M8</f>
        <v>7.1745362435245036E-5</v>
      </c>
      <c r="I5" s="29">
        <f>Extrapolations!N8</f>
        <v>7.1745362435245036E-5</v>
      </c>
      <c r="J5" s="29">
        <f>Extrapolations!O8</f>
        <v>7.1745362435245036E-5</v>
      </c>
      <c r="K5" s="29">
        <f>Extrapolations!P8</f>
        <v>7.1745362435245036E-5</v>
      </c>
      <c r="L5" s="29">
        <f>Extrapolations!Q8</f>
        <v>7.1745362435245036E-5</v>
      </c>
      <c r="M5" s="29">
        <f>Extrapolations!R8</f>
        <v>7.1745362435245036E-5</v>
      </c>
      <c r="N5" s="29">
        <f>Extrapolations!S8</f>
        <v>7.1745362435245036E-5</v>
      </c>
      <c r="O5" s="29">
        <f>Extrapolations!T8</f>
        <v>7.1745362435245036E-5</v>
      </c>
      <c r="P5" s="29">
        <f>Extrapolations!U8</f>
        <v>7.1745362435245036E-5</v>
      </c>
      <c r="Q5" s="29">
        <f>Extrapolations!V8</f>
        <v>7.1745362435245036E-5</v>
      </c>
      <c r="R5" s="29">
        <f>Extrapolations!W8</f>
        <v>7.1745362435245036E-5</v>
      </c>
      <c r="S5" s="29">
        <f>Extrapolations!X8</f>
        <v>7.1745362435245036E-5</v>
      </c>
      <c r="T5" s="29">
        <f>Extrapolations!Y8</f>
        <v>7.1745362435245036E-5</v>
      </c>
      <c r="U5" s="29">
        <f>Extrapolations!Z8</f>
        <v>7.1745362435245036E-5</v>
      </c>
      <c r="V5" s="29">
        <f>Extrapolations!AA8</f>
        <v>7.1745362435245036E-5</v>
      </c>
      <c r="W5" s="29">
        <f>Extrapolations!AB8</f>
        <v>7.1745362435245036E-5</v>
      </c>
      <c r="X5" s="29">
        <f>Extrapolations!AC8</f>
        <v>7.1745362435245036E-5</v>
      </c>
      <c r="Y5" s="29">
        <f>Extrapolations!AD8</f>
        <v>7.1745362435245036E-5</v>
      </c>
      <c r="Z5" s="29">
        <f>Extrapolations!AE8</f>
        <v>7.1745362435245036E-5</v>
      </c>
      <c r="AA5" s="29">
        <f>Extrapolations!AF8</f>
        <v>7.1745362435245036E-5</v>
      </c>
      <c r="AB5" s="29">
        <f>Extrapolations!AG8</f>
        <v>7.1745362435245036E-5</v>
      </c>
      <c r="AC5" s="29">
        <f>Extrapolations!AH8</f>
        <v>7.1745362435245036E-5</v>
      </c>
      <c r="AD5" s="29">
        <f>Extrapolations!AI8</f>
        <v>7.1745362435245036E-5</v>
      </c>
      <c r="AE5" s="29">
        <f>Extrapolations!AJ8</f>
        <v>7.1745362435245036E-5</v>
      </c>
      <c r="AF5" s="31">
        <f t="shared" ref="AF5:AY5" si="3">AE5</f>
        <v>7.1745362435245036E-5</v>
      </c>
      <c r="AG5" s="31">
        <f t="shared" si="3"/>
        <v>7.1745362435245036E-5</v>
      </c>
      <c r="AH5" s="31">
        <f t="shared" si="3"/>
        <v>7.1745362435245036E-5</v>
      </c>
      <c r="AI5" s="31">
        <f t="shared" si="3"/>
        <v>7.1745362435245036E-5</v>
      </c>
      <c r="AJ5" s="31">
        <f t="shared" si="3"/>
        <v>7.1745362435245036E-5</v>
      </c>
      <c r="AK5" s="31">
        <f t="shared" si="3"/>
        <v>7.1745362435245036E-5</v>
      </c>
      <c r="AL5" s="31">
        <f t="shared" si="3"/>
        <v>7.1745362435245036E-5</v>
      </c>
      <c r="AM5" s="31">
        <f t="shared" si="3"/>
        <v>7.1745362435245036E-5</v>
      </c>
      <c r="AN5" s="31">
        <f t="shared" si="3"/>
        <v>7.1745362435245036E-5</v>
      </c>
      <c r="AO5" s="31">
        <f t="shared" si="3"/>
        <v>7.1745362435245036E-5</v>
      </c>
      <c r="AP5" s="31">
        <f t="shared" si="3"/>
        <v>7.1745362435245036E-5</v>
      </c>
      <c r="AQ5" s="31">
        <f t="shared" si="3"/>
        <v>7.1745362435245036E-5</v>
      </c>
      <c r="AR5" s="31">
        <f t="shared" si="3"/>
        <v>7.1745362435245036E-5</v>
      </c>
      <c r="AS5" s="31">
        <f t="shared" si="3"/>
        <v>7.1745362435245036E-5</v>
      </c>
      <c r="AT5" s="31">
        <f t="shared" si="3"/>
        <v>7.1745362435245036E-5</v>
      </c>
      <c r="AU5" s="31">
        <f t="shared" si="3"/>
        <v>7.1745362435245036E-5</v>
      </c>
      <c r="AV5" s="31">
        <f t="shared" si="3"/>
        <v>7.1745362435245036E-5</v>
      </c>
      <c r="AW5" s="31">
        <f t="shared" si="3"/>
        <v>7.1745362435245036E-5</v>
      </c>
      <c r="AX5" s="31">
        <f t="shared" si="3"/>
        <v>7.1745362435245036E-5</v>
      </c>
      <c r="AY5" s="31">
        <f t="shared" si="3"/>
        <v>7.1745362435245036E-5</v>
      </c>
    </row>
    <row r="6" spans="1:51">
      <c r="A6" t="s">
        <v>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s="4">
        <f t="shared" ref="AF6:AY6" si="4">AE6</f>
        <v>0</v>
      </c>
      <c r="AG6" s="4">
        <f t="shared" si="4"/>
        <v>0</v>
      </c>
      <c r="AH6" s="4">
        <f t="shared" si="4"/>
        <v>0</v>
      </c>
      <c r="AI6" s="4">
        <f t="shared" si="4"/>
        <v>0</v>
      </c>
      <c r="AJ6" s="4">
        <f t="shared" si="4"/>
        <v>0</v>
      </c>
      <c r="AK6" s="4">
        <f t="shared" si="4"/>
        <v>0</v>
      </c>
      <c r="AL6" s="4">
        <f t="shared" si="4"/>
        <v>0</v>
      </c>
      <c r="AM6" s="4">
        <f t="shared" si="4"/>
        <v>0</v>
      </c>
      <c r="AN6" s="4">
        <f t="shared" si="4"/>
        <v>0</v>
      </c>
      <c r="AO6" s="4">
        <f t="shared" si="4"/>
        <v>0</v>
      </c>
      <c r="AP6" s="4">
        <f t="shared" si="4"/>
        <v>0</v>
      </c>
      <c r="AQ6" s="4">
        <f t="shared" si="4"/>
        <v>0</v>
      </c>
      <c r="AR6" s="4">
        <f t="shared" si="4"/>
        <v>0</v>
      </c>
      <c r="AS6" s="4">
        <f t="shared" si="4"/>
        <v>0</v>
      </c>
      <c r="AT6" s="4">
        <f t="shared" si="4"/>
        <v>0</v>
      </c>
      <c r="AU6" s="4">
        <f t="shared" si="4"/>
        <v>0</v>
      </c>
      <c r="AV6" s="4">
        <f t="shared" si="4"/>
        <v>0</v>
      </c>
      <c r="AW6" s="4">
        <f t="shared" si="4"/>
        <v>0</v>
      </c>
      <c r="AX6" s="4">
        <f t="shared" si="4"/>
        <v>0</v>
      </c>
      <c r="AY6" s="4">
        <f t="shared" si="4"/>
        <v>0</v>
      </c>
    </row>
    <row r="7" spans="1:51">
      <c r="A7" t="s">
        <v>59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s="4">
        <f t="shared" ref="AF7:AY7" si="5">AE7</f>
        <v>0</v>
      </c>
      <c r="AG7" s="4">
        <f t="shared" si="5"/>
        <v>0</v>
      </c>
      <c r="AH7" s="4">
        <f t="shared" si="5"/>
        <v>0</v>
      </c>
      <c r="AI7" s="4">
        <f t="shared" si="5"/>
        <v>0</v>
      </c>
      <c r="AJ7" s="4">
        <f t="shared" si="5"/>
        <v>0</v>
      </c>
      <c r="AK7" s="4">
        <f t="shared" si="5"/>
        <v>0</v>
      </c>
      <c r="AL7" s="4">
        <f t="shared" si="5"/>
        <v>0</v>
      </c>
      <c r="AM7" s="4">
        <f t="shared" si="5"/>
        <v>0</v>
      </c>
      <c r="AN7" s="4">
        <f t="shared" si="5"/>
        <v>0</v>
      </c>
      <c r="AO7" s="4">
        <f t="shared" si="5"/>
        <v>0</v>
      </c>
      <c r="AP7" s="4">
        <f t="shared" si="5"/>
        <v>0</v>
      </c>
      <c r="AQ7" s="4">
        <f t="shared" si="5"/>
        <v>0</v>
      </c>
      <c r="AR7" s="4">
        <f t="shared" si="5"/>
        <v>0</v>
      </c>
      <c r="AS7" s="4">
        <f t="shared" si="5"/>
        <v>0</v>
      </c>
      <c r="AT7" s="4">
        <f t="shared" si="5"/>
        <v>0</v>
      </c>
      <c r="AU7" s="4">
        <f t="shared" si="5"/>
        <v>0</v>
      </c>
      <c r="AV7" s="4">
        <f t="shared" si="5"/>
        <v>0</v>
      </c>
      <c r="AW7" s="4">
        <f t="shared" si="5"/>
        <v>0</v>
      </c>
      <c r="AX7" s="4">
        <f t="shared" si="5"/>
        <v>0</v>
      </c>
      <c r="AY7" s="4">
        <f t="shared" si="5"/>
        <v>0</v>
      </c>
    </row>
    <row r="8" spans="1:51" s="4" customFormat="1">
      <c r="A8" s="4" t="s">
        <v>60</v>
      </c>
      <c r="B8" s="4">
        <f>B$5*Calculations!$B$27</f>
        <v>2.1523608730573507E-4</v>
      </c>
      <c r="C8" s="4">
        <f>C$5*Calculations!$B$27</f>
        <v>2.1523608730573507E-4</v>
      </c>
      <c r="D8" s="4">
        <f>D$5*Calculations!$B$27</f>
        <v>2.1523608730573507E-4</v>
      </c>
      <c r="E8" s="4">
        <f>E$5*Calculations!$B$27</f>
        <v>2.1523608730573507E-4</v>
      </c>
      <c r="F8" s="4">
        <f>F$5*Calculations!$B$27</f>
        <v>2.1523608730573507E-4</v>
      </c>
      <c r="G8" s="4">
        <f>G$5*Calculations!$B$27</f>
        <v>2.1523608730573507E-4</v>
      </c>
      <c r="H8" s="4">
        <f>H$5*Calculations!$B$27</f>
        <v>2.1523608730573507E-4</v>
      </c>
      <c r="I8" s="4">
        <f>I$5*Calculations!$B$27</f>
        <v>2.1523608730573507E-4</v>
      </c>
      <c r="J8" s="4">
        <f>J$5*Calculations!$B$27</f>
        <v>2.1523608730573507E-4</v>
      </c>
      <c r="K8" s="4">
        <f>K$5*Calculations!$B$27</f>
        <v>2.1523608730573507E-4</v>
      </c>
      <c r="L8" s="4">
        <f>L$5*Calculations!$B$27</f>
        <v>2.1523608730573507E-4</v>
      </c>
      <c r="M8" s="4">
        <f>M$5*Calculations!$B$27</f>
        <v>2.1523608730573507E-4</v>
      </c>
      <c r="N8" s="4">
        <f>N$5*Calculations!$B$27</f>
        <v>2.1523608730573507E-4</v>
      </c>
      <c r="O8" s="4">
        <f>O$5*Calculations!$B$27</f>
        <v>2.1523608730573507E-4</v>
      </c>
      <c r="P8" s="4">
        <f>P$5*Calculations!$B$27</f>
        <v>2.1523608730573507E-4</v>
      </c>
      <c r="Q8" s="4">
        <f>Q$5*Calculations!$B$27</f>
        <v>2.1523608730573507E-4</v>
      </c>
      <c r="R8" s="4">
        <f>R$5*Calculations!$B$27</f>
        <v>2.1523608730573507E-4</v>
      </c>
      <c r="S8" s="4">
        <f>S$5*Calculations!$B$27</f>
        <v>2.1523608730573507E-4</v>
      </c>
      <c r="T8" s="4">
        <f>T$5*Calculations!$B$27</f>
        <v>2.1523608730573507E-4</v>
      </c>
      <c r="U8" s="4">
        <f>U$5*Calculations!$B$27</f>
        <v>2.1523608730573507E-4</v>
      </c>
      <c r="V8" s="4">
        <f>V$5*Calculations!$B$27</f>
        <v>2.1523608730573507E-4</v>
      </c>
      <c r="W8" s="4">
        <f>W$5*Calculations!$B$27</f>
        <v>2.1523608730573507E-4</v>
      </c>
      <c r="X8" s="4">
        <f>X$5*Calculations!$B$27</f>
        <v>2.1523608730573507E-4</v>
      </c>
      <c r="Y8" s="4">
        <f>Y$5*Calculations!$B$27</f>
        <v>2.1523608730573507E-4</v>
      </c>
      <c r="Z8" s="4">
        <f>Z$5*Calculations!$B$27</f>
        <v>2.1523608730573507E-4</v>
      </c>
      <c r="AA8" s="4">
        <f>AA$5*Calculations!$B$27</f>
        <v>2.1523608730573507E-4</v>
      </c>
      <c r="AB8" s="4">
        <f>AB$5*Calculations!$B$27</f>
        <v>2.1523608730573507E-4</v>
      </c>
      <c r="AC8" s="4">
        <f>AC$5*Calculations!$B$27</f>
        <v>2.1523608730573507E-4</v>
      </c>
      <c r="AD8" s="4">
        <f>AD$5*Calculations!$B$27</f>
        <v>2.1523608730573507E-4</v>
      </c>
      <c r="AE8" s="4">
        <f>AE$5*Calculations!$B$27</f>
        <v>2.1523608730573507E-4</v>
      </c>
      <c r="AF8" s="4">
        <f t="shared" ref="AF8:AY8" si="6">AE8</f>
        <v>2.1523608730573507E-4</v>
      </c>
      <c r="AG8" s="4">
        <f t="shared" si="6"/>
        <v>2.1523608730573507E-4</v>
      </c>
      <c r="AH8" s="4">
        <f t="shared" si="6"/>
        <v>2.1523608730573507E-4</v>
      </c>
      <c r="AI8" s="4">
        <f t="shared" si="6"/>
        <v>2.1523608730573507E-4</v>
      </c>
      <c r="AJ8" s="4">
        <f t="shared" si="6"/>
        <v>2.1523608730573507E-4</v>
      </c>
      <c r="AK8" s="4">
        <f t="shared" si="6"/>
        <v>2.1523608730573507E-4</v>
      </c>
      <c r="AL8" s="4">
        <f t="shared" si="6"/>
        <v>2.1523608730573507E-4</v>
      </c>
      <c r="AM8" s="4">
        <f t="shared" si="6"/>
        <v>2.1523608730573507E-4</v>
      </c>
      <c r="AN8" s="4">
        <f t="shared" si="6"/>
        <v>2.1523608730573507E-4</v>
      </c>
      <c r="AO8" s="4">
        <f t="shared" si="6"/>
        <v>2.1523608730573507E-4</v>
      </c>
      <c r="AP8" s="4">
        <f t="shared" si="6"/>
        <v>2.1523608730573507E-4</v>
      </c>
      <c r="AQ8" s="4">
        <f t="shared" si="6"/>
        <v>2.1523608730573507E-4</v>
      </c>
      <c r="AR8" s="4">
        <f t="shared" si="6"/>
        <v>2.1523608730573507E-4</v>
      </c>
      <c r="AS8" s="4">
        <f t="shared" si="6"/>
        <v>2.1523608730573507E-4</v>
      </c>
      <c r="AT8" s="4">
        <f t="shared" si="6"/>
        <v>2.1523608730573507E-4</v>
      </c>
      <c r="AU8" s="4">
        <f t="shared" si="6"/>
        <v>2.1523608730573507E-4</v>
      </c>
      <c r="AV8" s="4">
        <f t="shared" si="6"/>
        <v>2.1523608730573507E-4</v>
      </c>
      <c r="AW8" s="4">
        <f t="shared" si="6"/>
        <v>2.1523608730573507E-4</v>
      </c>
      <c r="AX8" s="4">
        <f t="shared" si="6"/>
        <v>2.1523608730573507E-4</v>
      </c>
      <c r="AY8" s="4">
        <f t="shared" si="6"/>
        <v>2.1523608730573507E-4</v>
      </c>
    </row>
    <row r="13" spans="1:51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Y8"/>
  <sheetViews>
    <sheetView topLeftCell="V1" workbookViewId="0">
      <selection activeCell="AF2" sqref="AF2:AY8"/>
    </sheetView>
  </sheetViews>
  <sheetFormatPr defaultColWidth="8.85546875" defaultRowHeight="15"/>
  <cols>
    <col min="1" max="1" width="31.140625" customWidth="1"/>
  </cols>
  <sheetData>
    <row r="1" spans="1:51" ht="15.95">
      <c r="A1" s="18" t="s">
        <v>98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52</v>
      </c>
      <c r="B2" s="4">
        <f>B$5/(1-'Other Values'!$B$3)</f>
        <v>1.057790065366262E-2</v>
      </c>
      <c r="C2" s="4">
        <f>C$5/(1-'Other Values'!$B$3)</f>
        <v>1.0586381798913589E-2</v>
      </c>
      <c r="D2" s="4">
        <f>D$5/(1-'Other Values'!$B$3)</f>
        <v>1.0594862944164557E-2</v>
      </c>
      <c r="E2" s="4">
        <f>E$5/(1-'Other Values'!$B$3)</f>
        <v>1.0603344089415524E-2</v>
      </c>
      <c r="F2" s="4">
        <f>F$5/(1-'Other Values'!$B$3)</f>
        <v>1.0611825234666493E-2</v>
      </c>
      <c r="G2" s="4">
        <f>G$5/(1-'Other Values'!$B$3)</f>
        <v>1.0620306379917462E-2</v>
      </c>
      <c r="H2" s="4">
        <f>H$5/(1-'Other Values'!$B$3)</f>
        <v>1.062878752516843E-2</v>
      </c>
      <c r="I2" s="4">
        <f>I$5/(1-'Other Values'!$B$3)</f>
        <v>1.0637268670419399E-2</v>
      </c>
      <c r="J2" s="4">
        <f>J$5/(1-'Other Values'!$B$3)</f>
        <v>1.0645749815670368E-2</v>
      </c>
      <c r="K2" s="4">
        <f>K$5/(1-'Other Values'!$B$3)</f>
        <v>1.0654230960921338E-2</v>
      </c>
      <c r="L2" s="4">
        <f>L$5/(1-'Other Values'!$B$3)</f>
        <v>1.0662712106172303E-2</v>
      </c>
      <c r="M2" s="4">
        <f>M$5/(1-'Other Values'!$B$3)</f>
        <v>1.0671193251423272E-2</v>
      </c>
      <c r="N2" s="4">
        <f>N$5/(1-'Other Values'!$B$3)</f>
        <v>1.067967439667424E-2</v>
      </c>
      <c r="O2" s="4">
        <f>O$5/(1-'Other Values'!$B$3)</f>
        <v>1.0688155541925211E-2</v>
      </c>
      <c r="P2" s="4">
        <f>P$5/(1-'Other Values'!$B$3)</f>
        <v>1.0696636687176179E-2</v>
      </c>
      <c r="Q2" s="4">
        <f>Q$5/(1-'Other Values'!$B$3)</f>
        <v>1.0705117832427148E-2</v>
      </c>
      <c r="R2" s="4">
        <f>R$5/(1-'Other Values'!$B$3)</f>
        <v>1.0713598977678117E-2</v>
      </c>
      <c r="S2" s="4">
        <f>S$5/(1-'Other Values'!$B$3)</f>
        <v>1.0722080122929085E-2</v>
      </c>
      <c r="T2" s="4">
        <f>T$5/(1-'Other Values'!$B$3)</f>
        <v>1.0730561268180052E-2</v>
      </c>
      <c r="U2" s="4">
        <f>U$5/(1-'Other Values'!$B$3)</f>
        <v>1.0739042413431021E-2</v>
      </c>
      <c r="V2" s="4">
        <f>V$5/(1-'Other Values'!$B$3)</f>
        <v>1.074752355868199E-2</v>
      </c>
      <c r="W2" s="4">
        <f>W$5/(1-'Other Values'!$B$3)</f>
        <v>1.0756004703932958E-2</v>
      </c>
      <c r="X2" s="4">
        <f>X$5/(1-'Other Values'!$B$3)</f>
        <v>1.0764485849183927E-2</v>
      </c>
      <c r="Y2" s="4">
        <f>Y$5/(1-'Other Values'!$B$3)</f>
        <v>1.0772966994434896E-2</v>
      </c>
      <c r="Z2" s="4">
        <f>Z$5/(1-'Other Values'!$B$3)</f>
        <v>1.0781448139685864E-2</v>
      </c>
      <c r="AA2" s="4">
        <f>AA$5/(1-'Other Values'!$B$3)</f>
        <v>1.0789929284936835E-2</v>
      </c>
      <c r="AB2" s="4">
        <f>AB$5/(1-'Other Values'!$B$3)</f>
        <v>1.07984104301878E-2</v>
      </c>
      <c r="AC2" s="4">
        <f>AC$5/(1-'Other Values'!$B$3)</f>
        <v>1.0806891575438769E-2</v>
      </c>
      <c r="AD2" s="4">
        <f>AD$5/(1-'Other Values'!$B$3)</f>
        <v>1.0815372720689737E-2</v>
      </c>
      <c r="AE2" s="4">
        <f>AE$5/(1-'Other Values'!$B$3)</f>
        <v>1.0823853865940708E-2</v>
      </c>
      <c r="AF2" s="4">
        <f t="shared" ref="AF2:AY2" si="0">AE2</f>
        <v>1.0823853865940708E-2</v>
      </c>
      <c r="AG2" s="4">
        <f t="shared" si="0"/>
        <v>1.0823853865940708E-2</v>
      </c>
      <c r="AH2" s="4">
        <f t="shared" si="0"/>
        <v>1.0823853865940708E-2</v>
      </c>
      <c r="AI2" s="4">
        <f t="shared" si="0"/>
        <v>1.0823853865940708E-2</v>
      </c>
      <c r="AJ2" s="4">
        <f t="shared" si="0"/>
        <v>1.0823853865940708E-2</v>
      </c>
      <c r="AK2" s="4">
        <f t="shared" si="0"/>
        <v>1.0823853865940708E-2</v>
      </c>
      <c r="AL2" s="4">
        <f t="shared" si="0"/>
        <v>1.0823853865940708E-2</v>
      </c>
      <c r="AM2" s="4">
        <f t="shared" si="0"/>
        <v>1.0823853865940708E-2</v>
      </c>
      <c r="AN2" s="4">
        <f t="shared" si="0"/>
        <v>1.0823853865940708E-2</v>
      </c>
      <c r="AO2" s="4">
        <f t="shared" si="0"/>
        <v>1.0823853865940708E-2</v>
      </c>
      <c r="AP2" s="4">
        <f t="shared" si="0"/>
        <v>1.0823853865940708E-2</v>
      </c>
      <c r="AQ2" s="4">
        <f t="shared" si="0"/>
        <v>1.0823853865940708E-2</v>
      </c>
      <c r="AR2" s="4">
        <f t="shared" si="0"/>
        <v>1.0823853865940708E-2</v>
      </c>
      <c r="AS2" s="4">
        <f t="shared" si="0"/>
        <v>1.0823853865940708E-2</v>
      </c>
      <c r="AT2" s="4">
        <f t="shared" si="0"/>
        <v>1.0823853865940708E-2</v>
      </c>
      <c r="AU2" s="4">
        <f t="shared" si="0"/>
        <v>1.0823853865940708E-2</v>
      </c>
      <c r="AV2" s="4">
        <f t="shared" si="0"/>
        <v>1.0823853865940708E-2</v>
      </c>
      <c r="AW2" s="4">
        <f t="shared" si="0"/>
        <v>1.0823853865940708E-2</v>
      </c>
      <c r="AX2" s="4">
        <f t="shared" si="0"/>
        <v>1.0823853865940708E-2</v>
      </c>
      <c r="AY2" s="4">
        <f t="shared" si="0"/>
        <v>1.0823853865940708E-2</v>
      </c>
    </row>
    <row r="3" spans="1:51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s="4">
        <f t="shared" ref="AF3:AY3" si="1">AE3</f>
        <v>0</v>
      </c>
      <c r="AG3" s="4">
        <f t="shared" si="1"/>
        <v>0</v>
      </c>
      <c r="AH3" s="4">
        <f t="shared" si="1"/>
        <v>0</v>
      </c>
      <c r="AI3" s="4">
        <f t="shared" si="1"/>
        <v>0</v>
      </c>
      <c r="AJ3" s="4">
        <f t="shared" si="1"/>
        <v>0</v>
      </c>
      <c r="AK3" s="4">
        <f t="shared" si="1"/>
        <v>0</v>
      </c>
      <c r="AL3" s="4">
        <f t="shared" si="1"/>
        <v>0</v>
      </c>
      <c r="AM3" s="4">
        <f t="shared" si="1"/>
        <v>0</v>
      </c>
      <c r="AN3" s="4">
        <f t="shared" si="1"/>
        <v>0</v>
      </c>
      <c r="AO3" s="4">
        <f t="shared" si="1"/>
        <v>0</v>
      </c>
      <c r="AP3" s="4">
        <f t="shared" si="1"/>
        <v>0</v>
      </c>
      <c r="AQ3" s="4">
        <f t="shared" si="1"/>
        <v>0</v>
      </c>
      <c r="AR3" s="4">
        <f t="shared" si="1"/>
        <v>0</v>
      </c>
      <c r="AS3" s="4">
        <f t="shared" si="1"/>
        <v>0</v>
      </c>
      <c r="AT3" s="4">
        <f t="shared" si="1"/>
        <v>0</v>
      </c>
      <c r="AU3" s="4">
        <f t="shared" si="1"/>
        <v>0</v>
      </c>
      <c r="AV3" s="4">
        <f t="shared" si="1"/>
        <v>0</v>
      </c>
      <c r="AW3" s="4">
        <f t="shared" si="1"/>
        <v>0</v>
      </c>
      <c r="AX3" s="4">
        <f t="shared" si="1"/>
        <v>0</v>
      </c>
      <c r="AY3" s="4">
        <f t="shared" si="1"/>
        <v>0</v>
      </c>
    </row>
    <row r="4" spans="1:51">
      <c r="A4" t="s">
        <v>46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s="4">
        <f t="shared" ref="AF4:AY4" si="2">AE4</f>
        <v>0</v>
      </c>
      <c r="AG4" s="4">
        <f t="shared" si="2"/>
        <v>0</v>
      </c>
      <c r="AH4" s="4">
        <f t="shared" si="2"/>
        <v>0</v>
      </c>
      <c r="AI4" s="4">
        <f t="shared" si="2"/>
        <v>0</v>
      </c>
      <c r="AJ4" s="4">
        <f t="shared" si="2"/>
        <v>0</v>
      </c>
      <c r="AK4" s="4">
        <f t="shared" si="2"/>
        <v>0</v>
      </c>
      <c r="AL4" s="4">
        <f t="shared" si="2"/>
        <v>0</v>
      </c>
      <c r="AM4" s="4">
        <f t="shared" si="2"/>
        <v>0</v>
      </c>
      <c r="AN4" s="4">
        <f t="shared" si="2"/>
        <v>0</v>
      </c>
      <c r="AO4" s="4">
        <f t="shared" si="2"/>
        <v>0</v>
      </c>
      <c r="AP4" s="4">
        <f t="shared" si="2"/>
        <v>0</v>
      </c>
      <c r="AQ4" s="4">
        <f t="shared" si="2"/>
        <v>0</v>
      </c>
      <c r="AR4" s="4">
        <f t="shared" si="2"/>
        <v>0</v>
      </c>
      <c r="AS4" s="4">
        <f t="shared" si="2"/>
        <v>0</v>
      </c>
      <c r="AT4" s="4">
        <f t="shared" si="2"/>
        <v>0</v>
      </c>
      <c r="AU4" s="4">
        <f t="shared" si="2"/>
        <v>0</v>
      </c>
      <c r="AV4" s="4">
        <f t="shared" si="2"/>
        <v>0</v>
      </c>
      <c r="AW4" s="4">
        <f t="shared" si="2"/>
        <v>0</v>
      </c>
      <c r="AX4" s="4">
        <f t="shared" si="2"/>
        <v>0</v>
      </c>
      <c r="AY4" s="4">
        <f t="shared" si="2"/>
        <v>0</v>
      </c>
    </row>
    <row r="5" spans="1:51">
      <c r="A5" t="s">
        <v>49</v>
      </c>
      <c r="B5" s="4">
        <f>Extrapolations!G10</f>
        <v>3.2917330420467188E-3</v>
      </c>
      <c r="C5" s="4">
        <f>Extrapolations!H10</f>
        <v>3.294372286540601E-3</v>
      </c>
      <c r="D5" s="4">
        <f>Extrapolations!I10</f>
        <v>3.2970115310344832E-3</v>
      </c>
      <c r="E5" s="4">
        <f>Extrapolations!J10</f>
        <v>3.2996507755283645E-3</v>
      </c>
      <c r="F5" s="4">
        <f>Extrapolations!K10</f>
        <v>3.3022900200222467E-3</v>
      </c>
      <c r="G5" s="4">
        <f>Extrapolations!L10</f>
        <v>3.3049292645161289E-3</v>
      </c>
      <c r="H5" s="4">
        <f>Extrapolations!M10</f>
        <v>3.3075685090100111E-3</v>
      </c>
      <c r="I5" s="4">
        <f>Extrapolations!N10</f>
        <v>3.3102077535038933E-3</v>
      </c>
      <c r="J5" s="4">
        <f>Extrapolations!O10</f>
        <v>3.3128469979977755E-3</v>
      </c>
      <c r="K5" s="4">
        <f>Extrapolations!P10</f>
        <v>3.3154862424916577E-3</v>
      </c>
      <c r="L5" s="4">
        <f>Extrapolations!Q10</f>
        <v>3.318125486985539E-3</v>
      </c>
      <c r="M5" s="4">
        <f>Extrapolations!R10</f>
        <v>3.3207647314794212E-3</v>
      </c>
      <c r="N5" s="4">
        <f>Extrapolations!S10</f>
        <v>3.3234039759733034E-3</v>
      </c>
      <c r="O5" s="4">
        <f>Extrapolations!T10</f>
        <v>3.3260432204671856E-3</v>
      </c>
      <c r="P5" s="4">
        <f>Extrapolations!U10</f>
        <v>3.3286824649610678E-3</v>
      </c>
      <c r="Q5" s="4">
        <f>Extrapolations!V10</f>
        <v>3.33132170945495E-3</v>
      </c>
      <c r="R5" s="4">
        <f>Extrapolations!W10</f>
        <v>3.3339609539488322E-3</v>
      </c>
      <c r="S5" s="4">
        <f>Extrapolations!X10</f>
        <v>3.3366001984427144E-3</v>
      </c>
      <c r="T5" s="4">
        <f>Extrapolations!Y10</f>
        <v>3.3392394429365957E-3</v>
      </c>
      <c r="U5" s="4">
        <f>Extrapolations!Z10</f>
        <v>3.3418786874304779E-3</v>
      </c>
      <c r="V5" s="4">
        <f>Extrapolations!AA10</f>
        <v>3.3445179319243601E-3</v>
      </c>
      <c r="W5" s="4">
        <f>Extrapolations!AB10</f>
        <v>3.3471571764182423E-3</v>
      </c>
      <c r="X5" s="4">
        <f>Extrapolations!AC10</f>
        <v>3.3497964209121245E-3</v>
      </c>
      <c r="Y5" s="4">
        <f>Extrapolations!AD10</f>
        <v>3.3524356654060067E-3</v>
      </c>
      <c r="Z5" s="4">
        <f>Extrapolations!AE10</f>
        <v>3.3550749098998889E-3</v>
      </c>
      <c r="AA5" s="4">
        <f>Extrapolations!AF10</f>
        <v>3.3577141543937711E-3</v>
      </c>
      <c r="AB5" s="4">
        <f>Extrapolations!AG10</f>
        <v>3.3603533988876525E-3</v>
      </c>
      <c r="AC5" s="4">
        <f>Extrapolations!AH10</f>
        <v>3.3629926433815347E-3</v>
      </c>
      <c r="AD5" s="4">
        <f>Extrapolations!AI10</f>
        <v>3.3656318878754169E-3</v>
      </c>
      <c r="AE5" s="4">
        <f>Extrapolations!AJ10</f>
        <v>3.3682711323692991E-3</v>
      </c>
      <c r="AF5" s="4">
        <f t="shared" ref="AF5:AY5" si="3">AE5</f>
        <v>3.3682711323692991E-3</v>
      </c>
      <c r="AG5" s="4">
        <f t="shared" si="3"/>
        <v>3.3682711323692991E-3</v>
      </c>
      <c r="AH5" s="4">
        <f t="shared" si="3"/>
        <v>3.3682711323692991E-3</v>
      </c>
      <c r="AI5" s="4">
        <f t="shared" si="3"/>
        <v>3.3682711323692991E-3</v>
      </c>
      <c r="AJ5" s="4">
        <f t="shared" si="3"/>
        <v>3.3682711323692991E-3</v>
      </c>
      <c r="AK5" s="4">
        <f t="shared" si="3"/>
        <v>3.3682711323692991E-3</v>
      </c>
      <c r="AL5" s="4">
        <f t="shared" si="3"/>
        <v>3.3682711323692991E-3</v>
      </c>
      <c r="AM5" s="4">
        <f t="shared" si="3"/>
        <v>3.3682711323692991E-3</v>
      </c>
      <c r="AN5" s="4">
        <f t="shared" si="3"/>
        <v>3.3682711323692991E-3</v>
      </c>
      <c r="AO5" s="4">
        <f t="shared" si="3"/>
        <v>3.3682711323692991E-3</v>
      </c>
      <c r="AP5" s="4">
        <f t="shared" si="3"/>
        <v>3.3682711323692991E-3</v>
      </c>
      <c r="AQ5" s="4">
        <f t="shared" si="3"/>
        <v>3.3682711323692991E-3</v>
      </c>
      <c r="AR5" s="4">
        <f t="shared" si="3"/>
        <v>3.3682711323692991E-3</v>
      </c>
      <c r="AS5" s="4">
        <f t="shared" si="3"/>
        <v>3.3682711323692991E-3</v>
      </c>
      <c r="AT5" s="4">
        <f t="shared" si="3"/>
        <v>3.3682711323692991E-3</v>
      </c>
      <c r="AU5" s="4">
        <f t="shared" si="3"/>
        <v>3.3682711323692991E-3</v>
      </c>
      <c r="AV5" s="4">
        <f t="shared" si="3"/>
        <v>3.3682711323692991E-3</v>
      </c>
      <c r="AW5" s="4">
        <f t="shared" si="3"/>
        <v>3.3682711323692991E-3</v>
      </c>
      <c r="AX5" s="4">
        <f t="shared" si="3"/>
        <v>3.3682711323692991E-3</v>
      </c>
      <c r="AY5" s="4">
        <f t="shared" si="3"/>
        <v>3.3682711323692991E-3</v>
      </c>
    </row>
    <row r="6" spans="1:51">
      <c r="A6" t="s">
        <v>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s="4">
        <f t="shared" ref="AF6:AY6" si="4">AE6</f>
        <v>0</v>
      </c>
      <c r="AG6" s="4">
        <f t="shared" si="4"/>
        <v>0</v>
      </c>
      <c r="AH6" s="4">
        <f t="shared" si="4"/>
        <v>0</v>
      </c>
      <c r="AI6" s="4">
        <f t="shared" si="4"/>
        <v>0</v>
      </c>
      <c r="AJ6" s="4">
        <f t="shared" si="4"/>
        <v>0</v>
      </c>
      <c r="AK6" s="4">
        <f t="shared" si="4"/>
        <v>0</v>
      </c>
      <c r="AL6" s="4">
        <f t="shared" si="4"/>
        <v>0</v>
      </c>
      <c r="AM6" s="4">
        <f t="shared" si="4"/>
        <v>0</v>
      </c>
      <c r="AN6" s="4">
        <f t="shared" si="4"/>
        <v>0</v>
      </c>
      <c r="AO6" s="4">
        <f t="shared" si="4"/>
        <v>0</v>
      </c>
      <c r="AP6" s="4">
        <f t="shared" si="4"/>
        <v>0</v>
      </c>
      <c r="AQ6" s="4">
        <f t="shared" si="4"/>
        <v>0</v>
      </c>
      <c r="AR6" s="4">
        <f t="shared" si="4"/>
        <v>0</v>
      </c>
      <c r="AS6" s="4">
        <f t="shared" si="4"/>
        <v>0</v>
      </c>
      <c r="AT6" s="4">
        <f t="shared" si="4"/>
        <v>0</v>
      </c>
      <c r="AU6" s="4">
        <f t="shared" si="4"/>
        <v>0</v>
      </c>
      <c r="AV6" s="4">
        <f t="shared" si="4"/>
        <v>0</v>
      </c>
      <c r="AW6" s="4">
        <f t="shared" si="4"/>
        <v>0</v>
      </c>
      <c r="AX6" s="4">
        <f t="shared" si="4"/>
        <v>0</v>
      </c>
      <c r="AY6" s="4">
        <f t="shared" si="4"/>
        <v>0</v>
      </c>
    </row>
    <row r="7" spans="1:51">
      <c r="A7" t="s">
        <v>59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s="4">
        <f t="shared" ref="AF7:AY7" si="5">AE7</f>
        <v>0</v>
      </c>
      <c r="AG7" s="4">
        <f t="shared" si="5"/>
        <v>0</v>
      </c>
      <c r="AH7" s="4">
        <f t="shared" si="5"/>
        <v>0</v>
      </c>
      <c r="AI7" s="4">
        <f t="shared" si="5"/>
        <v>0</v>
      </c>
      <c r="AJ7" s="4">
        <f t="shared" si="5"/>
        <v>0</v>
      </c>
      <c r="AK7" s="4">
        <f t="shared" si="5"/>
        <v>0</v>
      </c>
      <c r="AL7" s="4">
        <f t="shared" si="5"/>
        <v>0</v>
      </c>
      <c r="AM7" s="4">
        <f t="shared" si="5"/>
        <v>0</v>
      </c>
      <c r="AN7" s="4">
        <f t="shared" si="5"/>
        <v>0</v>
      </c>
      <c r="AO7" s="4">
        <f t="shared" si="5"/>
        <v>0</v>
      </c>
      <c r="AP7" s="4">
        <f t="shared" si="5"/>
        <v>0</v>
      </c>
      <c r="AQ7" s="4">
        <f t="shared" si="5"/>
        <v>0</v>
      </c>
      <c r="AR7" s="4">
        <f t="shared" si="5"/>
        <v>0</v>
      </c>
      <c r="AS7" s="4">
        <f t="shared" si="5"/>
        <v>0</v>
      </c>
      <c r="AT7" s="4">
        <f t="shared" si="5"/>
        <v>0</v>
      </c>
      <c r="AU7" s="4">
        <f t="shared" si="5"/>
        <v>0</v>
      </c>
      <c r="AV7" s="4">
        <f t="shared" si="5"/>
        <v>0</v>
      </c>
      <c r="AW7" s="4">
        <f t="shared" si="5"/>
        <v>0</v>
      </c>
      <c r="AX7" s="4">
        <f t="shared" si="5"/>
        <v>0</v>
      </c>
      <c r="AY7" s="4">
        <f t="shared" si="5"/>
        <v>0</v>
      </c>
    </row>
    <row r="8" spans="1:51">
      <c r="A8" t="s">
        <v>60</v>
      </c>
      <c r="B8" s="4">
        <f>B$5*Calculations!$B$27</f>
        <v>9.875199126140155E-3</v>
      </c>
      <c r="C8" s="4">
        <f>C$5*Calculations!$B$27</f>
        <v>9.8831168596218016E-3</v>
      </c>
      <c r="D8" s="4">
        <f>D$5*Calculations!$B$27</f>
        <v>9.8910345931034482E-3</v>
      </c>
      <c r="E8" s="4">
        <f>E$5*Calculations!$B$27</f>
        <v>9.8989523265850914E-3</v>
      </c>
      <c r="F8" s="4">
        <f>F$5*Calculations!$B$27</f>
        <v>9.906870060066738E-3</v>
      </c>
      <c r="G8" s="4">
        <f>G$5*Calculations!$B$27</f>
        <v>9.9147877935483845E-3</v>
      </c>
      <c r="H8" s="4">
        <f>H$5*Calculations!$B$27</f>
        <v>9.9227055270300311E-3</v>
      </c>
      <c r="I8" s="4">
        <f>I$5*Calculations!$B$27</f>
        <v>9.9306232605116777E-3</v>
      </c>
      <c r="J8" s="4">
        <f>J$5*Calculations!$B$27</f>
        <v>9.9385409939933243E-3</v>
      </c>
      <c r="K8" s="4">
        <f>K$5*Calculations!$B$27</f>
        <v>9.9464587274749709E-3</v>
      </c>
      <c r="L8" s="4">
        <f>L$5*Calculations!$B$27</f>
        <v>9.9543764609566158E-3</v>
      </c>
      <c r="M8" s="4">
        <f>M$5*Calculations!$B$27</f>
        <v>9.9622941944382624E-3</v>
      </c>
      <c r="N8" s="4">
        <f>N$5*Calculations!$B$27</f>
        <v>9.970211927919909E-3</v>
      </c>
      <c r="O8" s="4">
        <f>O$5*Calculations!$B$27</f>
        <v>9.9781296614015556E-3</v>
      </c>
      <c r="P8" s="4">
        <f>P$5*Calculations!$B$27</f>
        <v>9.9860473948832022E-3</v>
      </c>
      <c r="Q8" s="4">
        <f>Q$5*Calculations!$B$27</f>
        <v>9.9939651283648488E-3</v>
      </c>
      <c r="R8" s="4">
        <f>R$5*Calculations!$B$27</f>
        <v>1.0001882861846495E-2</v>
      </c>
      <c r="S8" s="4">
        <f>S$5*Calculations!$B$27</f>
        <v>1.0009800595328142E-2</v>
      </c>
      <c r="T8" s="4">
        <f>T$5*Calculations!$B$27</f>
        <v>1.0017718328809785E-2</v>
      </c>
      <c r="U8" s="4">
        <f>U$5*Calculations!$B$27</f>
        <v>1.0025636062291432E-2</v>
      </c>
      <c r="V8" s="4">
        <f>V$5*Calculations!$B$27</f>
        <v>1.0033553795773078E-2</v>
      </c>
      <c r="W8" s="4">
        <f>W$5*Calculations!$B$27</f>
        <v>1.0041471529254725E-2</v>
      </c>
      <c r="X8" s="4">
        <f>X$5*Calculations!$B$27</f>
        <v>1.0049389262736371E-2</v>
      </c>
      <c r="Y8" s="4">
        <f>Y$5*Calculations!$B$27</f>
        <v>1.0057306996218018E-2</v>
      </c>
      <c r="Z8" s="4">
        <f>Z$5*Calculations!$B$27</f>
        <v>1.0065224729699665E-2</v>
      </c>
      <c r="AA8" s="4">
        <f>AA$5*Calculations!$B$27</f>
        <v>1.0073142463181311E-2</v>
      </c>
      <c r="AB8" s="4">
        <f>AB$5*Calculations!$B$27</f>
        <v>1.0081060196662956E-2</v>
      </c>
      <c r="AC8" s="4">
        <f>AC$5*Calculations!$B$27</f>
        <v>1.0088977930144603E-2</v>
      </c>
      <c r="AD8" s="4">
        <f>AD$5*Calculations!$B$27</f>
        <v>1.0096895663626249E-2</v>
      </c>
      <c r="AE8" s="4">
        <f>AE$5*Calculations!$B$27</f>
        <v>1.0104813397107896E-2</v>
      </c>
      <c r="AF8" s="4">
        <f t="shared" ref="AF8:AY8" si="6">AE8</f>
        <v>1.0104813397107896E-2</v>
      </c>
      <c r="AG8" s="4">
        <f t="shared" si="6"/>
        <v>1.0104813397107896E-2</v>
      </c>
      <c r="AH8" s="4">
        <f t="shared" si="6"/>
        <v>1.0104813397107896E-2</v>
      </c>
      <c r="AI8" s="4">
        <f t="shared" si="6"/>
        <v>1.0104813397107896E-2</v>
      </c>
      <c r="AJ8" s="4">
        <f t="shared" si="6"/>
        <v>1.0104813397107896E-2</v>
      </c>
      <c r="AK8" s="4">
        <f t="shared" si="6"/>
        <v>1.0104813397107896E-2</v>
      </c>
      <c r="AL8" s="4">
        <f t="shared" si="6"/>
        <v>1.0104813397107896E-2</v>
      </c>
      <c r="AM8" s="4">
        <f t="shared" si="6"/>
        <v>1.0104813397107896E-2</v>
      </c>
      <c r="AN8" s="4">
        <f t="shared" si="6"/>
        <v>1.0104813397107896E-2</v>
      </c>
      <c r="AO8" s="4">
        <f t="shared" si="6"/>
        <v>1.0104813397107896E-2</v>
      </c>
      <c r="AP8" s="4">
        <f t="shared" si="6"/>
        <v>1.0104813397107896E-2</v>
      </c>
      <c r="AQ8" s="4">
        <f t="shared" si="6"/>
        <v>1.0104813397107896E-2</v>
      </c>
      <c r="AR8" s="4">
        <f t="shared" si="6"/>
        <v>1.0104813397107896E-2</v>
      </c>
      <c r="AS8" s="4">
        <f t="shared" si="6"/>
        <v>1.0104813397107896E-2</v>
      </c>
      <c r="AT8" s="4">
        <f t="shared" si="6"/>
        <v>1.0104813397107896E-2</v>
      </c>
      <c r="AU8" s="4">
        <f t="shared" si="6"/>
        <v>1.0104813397107896E-2</v>
      </c>
      <c r="AV8" s="4">
        <f t="shared" si="6"/>
        <v>1.0104813397107896E-2</v>
      </c>
      <c r="AW8" s="4">
        <f t="shared" si="6"/>
        <v>1.0104813397107896E-2</v>
      </c>
      <c r="AX8" s="4">
        <f t="shared" si="6"/>
        <v>1.0104813397107896E-2</v>
      </c>
      <c r="AY8" s="4">
        <f t="shared" si="6"/>
        <v>1.0104813397107896E-2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Y8"/>
  <sheetViews>
    <sheetView topLeftCell="V1" workbookViewId="0">
      <selection activeCell="AF2" sqref="AF2:AY8"/>
    </sheetView>
  </sheetViews>
  <sheetFormatPr defaultColWidth="8.85546875" defaultRowHeight="15"/>
  <cols>
    <col min="1" max="1" width="31.140625" customWidth="1"/>
  </cols>
  <sheetData>
    <row r="1" spans="1:51" ht="15.95">
      <c r="A1" s="18" t="s">
        <v>98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52</v>
      </c>
      <c r="B2" s="4">
        <f t="array" ref="B2:B8">TRANSPOSE(SYFAFE!B6:H6)</f>
        <v>4.0472255247854741E-5</v>
      </c>
      <c r="C2" s="4">
        <f>B2</f>
        <v>4.0472255247854741E-5</v>
      </c>
      <c r="D2" s="4">
        <f t="shared" ref="D2:AE8" si="0">C2</f>
        <v>4.0472255247854741E-5</v>
      </c>
      <c r="E2" s="4">
        <f t="shared" si="0"/>
        <v>4.0472255247854741E-5</v>
      </c>
      <c r="F2" s="4">
        <f t="shared" si="0"/>
        <v>4.0472255247854741E-5</v>
      </c>
      <c r="G2" s="4">
        <f t="shared" si="0"/>
        <v>4.0472255247854741E-5</v>
      </c>
      <c r="H2" s="4">
        <f t="shared" si="0"/>
        <v>4.0472255247854741E-5</v>
      </c>
      <c r="I2" s="4">
        <f t="shared" si="0"/>
        <v>4.0472255247854741E-5</v>
      </c>
      <c r="J2" s="4">
        <f t="shared" si="0"/>
        <v>4.0472255247854741E-5</v>
      </c>
      <c r="K2" s="4">
        <f t="shared" si="0"/>
        <v>4.0472255247854741E-5</v>
      </c>
      <c r="L2" s="4">
        <f t="shared" si="0"/>
        <v>4.0472255247854741E-5</v>
      </c>
      <c r="M2" s="4">
        <f t="shared" si="0"/>
        <v>4.0472255247854741E-5</v>
      </c>
      <c r="N2" s="4">
        <f t="shared" si="0"/>
        <v>4.0472255247854741E-5</v>
      </c>
      <c r="O2" s="4">
        <f t="shared" si="0"/>
        <v>4.0472255247854741E-5</v>
      </c>
      <c r="P2" s="4">
        <f t="shared" si="0"/>
        <v>4.0472255247854741E-5</v>
      </c>
      <c r="Q2" s="4">
        <f t="shared" si="0"/>
        <v>4.0472255247854741E-5</v>
      </c>
      <c r="R2" s="4">
        <f t="shared" si="0"/>
        <v>4.0472255247854741E-5</v>
      </c>
      <c r="S2" s="4">
        <f t="shared" si="0"/>
        <v>4.0472255247854741E-5</v>
      </c>
      <c r="T2" s="4">
        <f t="shared" si="0"/>
        <v>4.0472255247854741E-5</v>
      </c>
      <c r="U2" s="4">
        <f t="shared" si="0"/>
        <v>4.0472255247854741E-5</v>
      </c>
      <c r="V2" s="4">
        <f t="shared" si="0"/>
        <v>4.0472255247854741E-5</v>
      </c>
      <c r="W2" s="4">
        <f t="shared" si="0"/>
        <v>4.0472255247854741E-5</v>
      </c>
      <c r="X2" s="4">
        <f t="shared" si="0"/>
        <v>4.0472255247854741E-5</v>
      </c>
      <c r="Y2" s="4">
        <f t="shared" si="0"/>
        <v>4.0472255247854741E-5</v>
      </c>
      <c r="Z2" s="4">
        <f t="shared" si="0"/>
        <v>4.0472255247854741E-5</v>
      </c>
      <c r="AA2" s="4">
        <f t="shared" si="0"/>
        <v>4.0472255247854741E-5</v>
      </c>
      <c r="AB2" s="4">
        <f t="shared" si="0"/>
        <v>4.0472255247854741E-5</v>
      </c>
      <c r="AC2" s="4">
        <f t="shared" si="0"/>
        <v>4.0472255247854741E-5</v>
      </c>
      <c r="AD2" s="4">
        <f t="shared" si="0"/>
        <v>4.0472255247854741E-5</v>
      </c>
      <c r="AE2" s="4">
        <f t="shared" si="0"/>
        <v>4.0472255247854741E-5</v>
      </c>
      <c r="AF2" s="4">
        <f t="shared" ref="AF2:AY2" si="1">AE2</f>
        <v>4.0472255247854741E-5</v>
      </c>
      <c r="AG2" s="4">
        <f t="shared" si="1"/>
        <v>4.0472255247854741E-5</v>
      </c>
      <c r="AH2" s="4">
        <f t="shared" si="1"/>
        <v>4.0472255247854741E-5</v>
      </c>
      <c r="AI2" s="4">
        <f t="shared" si="1"/>
        <v>4.0472255247854741E-5</v>
      </c>
      <c r="AJ2" s="4">
        <f t="shared" si="1"/>
        <v>4.0472255247854741E-5</v>
      </c>
      <c r="AK2" s="4">
        <f t="shared" si="1"/>
        <v>4.0472255247854741E-5</v>
      </c>
      <c r="AL2" s="4">
        <f t="shared" si="1"/>
        <v>4.0472255247854741E-5</v>
      </c>
      <c r="AM2" s="4">
        <f t="shared" si="1"/>
        <v>4.0472255247854741E-5</v>
      </c>
      <c r="AN2" s="4">
        <f t="shared" si="1"/>
        <v>4.0472255247854741E-5</v>
      </c>
      <c r="AO2" s="4">
        <f t="shared" si="1"/>
        <v>4.0472255247854741E-5</v>
      </c>
      <c r="AP2" s="4">
        <f t="shared" si="1"/>
        <v>4.0472255247854741E-5</v>
      </c>
      <c r="AQ2" s="4">
        <f t="shared" si="1"/>
        <v>4.0472255247854741E-5</v>
      </c>
      <c r="AR2" s="4">
        <f t="shared" si="1"/>
        <v>4.0472255247854741E-5</v>
      </c>
      <c r="AS2" s="4">
        <f t="shared" si="1"/>
        <v>4.0472255247854741E-5</v>
      </c>
      <c r="AT2" s="4">
        <f t="shared" si="1"/>
        <v>4.0472255247854741E-5</v>
      </c>
      <c r="AU2" s="4">
        <f t="shared" si="1"/>
        <v>4.0472255247854741E-5</v>
      </c>
      <c r="AV2" s="4">
        <f t="shared" si="1"/>
        <v>4.0472255247854741E-5</v>
      </c>
      <c r="AW2" s="4">
        <f t="shared" si="1"/>
        <v>4.0472255247854741E-5</v>
      </c>
      <c r="AX2" s="4">
        <f t="shared" si="1"/>
        <v>4.0472255247854741E-5</v>
      </c>
      <c r="AY2" s="4">
        <f t="shared" si="1"/>
        <v>4.0472255247854741E-5</v>
      </c>
    </row>
    <row r="3" spans="1:51">
      <c r="A3" t="s">
        <v>57</v>
      </c>
      <c r="B3">
        <v>0</v>
      </c>
      <c r="C3" s="4">
        <f t="shared" ref="C3:C8" si="2">B3</f>
        <v>0</v>
      </c>
      <c r="D3" s="4">
        <f t="shared" ref="D3:Q3" si="3">C3</f>
        <v>0</v>
      </c>
      <c r="E3" s="4">
        <f t="shared" si="3"/>
        <v>0</v>
      </c>
      <c r="F3" s="4">
        <f t="shared" si="3"/>
        <v>0</v>
      </c>
      <c r="G3" s="4">
        <f t="shared" si="3"/>
        <v>0</v>
      </c>
      <c r="H3" s="4">
        <f t="shared" si="3"/>
        <v>0</v>
      </c>
      <c r="I3" s="4">
        <f t="shared" si="3"/>
        <v>0</v>
      </c>
      <c r="J3" s="4">
        <f t="shared" si="3"/>
        <v>0</v>
      </c>
      <c r="K3" s="4">
        <f t="shared" si="3"/>
        <v>0</v>
      </c>
      <c r="L3" s="4">
        <f t="shared" si="3"/>
        <v>0</v>
      </c>
      <c r="M3" s="4">
        <f t="shared" si="3"/>
        <v>0</v>
      </c>
      <c r="N3" s="4">
        <f t="shared" si="3"/>
        <v>0</v>
      </c>
      <c r="O3" s="4">
        <f t="shared" si="3"/>
        <v>0</v>
      </c>
      <c r="P3" s="4">
        <f t="shared" si="3"/>
        <v>0</v>
      </c>
      <c r="Q3" s="4">
        <f t="shared" si="3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">
        <f t="shared" si="0"/>
        <v>0</v>
      </c>
      <c r="AD3" s="4">
        <f t="shared" si="0"/>
        <v>0</v>
      </c>
      <c r="AE3" s="4">
        <f t="shared" si="0"/>
        <v>0</v>
      </c>
      <c r="AF3" s="4">
        <f t="shared" ref="AF3:AY3" si="4">AE3</f>
        <v>0</v>
      </c>
      <c r="AG3" s="4">
        <f t="shared" si="4"/>
        <v>0</v>
      </c>
      <c r="AH3" s="4">
        <f t="shared" si="4"/>
        <v>0</v>
      </c>
      <c r="AI3" s="4">
        <f t="shared" si="4"/>
        <v>0</v>
      </c>
      <c r="AJ3" s="4">
        <f t="shared" si="4"/>
        <v>0</v>
      </c>
      <c r="AK3" s="4">
        <f t="shared" si="4"/>
        <v>0</v>
      </c>
      <c r="AL3" s="4">
        <f t="shared" si="4"/>
        <v>0</v>
      </c>
      <c r="AM3" s="4">
        <f t="shared" si="4"/>
        <v>0</v>
      </c>
      <c r="AN3" s="4">
        <f t="shared" si="4"/>
        <v>0</v>
      </c>
      <c r="AO3" s="4">
        <f t="shared" si="4"/>
        <v>0</v>
      </c>
      <c r="AP3" s="4">
        <f t="shared" si="4"/>
        <v>0</v>
      </c>
      <c r="AQ3" s="4">
        <f t="shared" si="4"/>
        <v>0</v>
      </c>
      <c r="AR3" s="4">
        <f t="shared" si="4"/>
        <v>0</v>
      </c>
      <c r="AS3" s="4">
        <f t="shared" si="4"/>
        <v>0</v>
      </c>
      <c r="AT3" s="4">
        <f t="shared" si="4"/>
        <v>0</v>
      </c>
      <c r="AU3" s="4">
        <f t="shared" si="4"/>
        <v>0</v>
      </c>
      <c r="AV3" s="4">
        <f t="shared" si="4"/>
        <v>0</v>
      </c>
      <c r="AW3" s="4">
        <f t="shared" si="4"/>
        <v>0</v>
      </c>
      <c r="AX3" s="4">
        <f t="shared" si="4"/>
        <v>0</v>
      </c>
      <c r="AY3" s="4">
        <f t="shared" si="4"/>
        <v>0</v>
      </c>
    </row>
    <row r="4" spans="1:51">
      <c r="A4" t="s">
        <v>46</v>
      </c>
      <c r="B4" s="4">
        <v>1.2594546332724645E-5</v>
      </c>
      <c r="C4" s="4">
        <f t="shared" si="2"/>
        <v>1.2594546332724645E-5</v>
      </c>
      <c r="D4" s="4">
        <f t="shared" si="0"/>
        <v>1.2594546332724645E-5</v>
      </c>
      <c r="E4" s="4">
        <f t="shared" si="0"/>
        <v>1.2594546332724645E-5</v>
      </c>
      <c r="F4" s="4">
        <f t="shared" si="0"/>
        <v>1.2594546332724645E-5</v>
      </c>
      <c r="G4" s="4">
        <f t="shared" si="0"/>
        <v>1.2594546332724645E-5</v>
      </c>
      <c r="H4" s="4">
        <f t="shared" si="0"/>
        <v>1.2594546332724645E-5</v>
      </c>
      <c r="I4" s="4">
        <f t="shared" si="0"/>
        <v>1.2594546332724645E-5</v>
      </c>
      <c r="J4" s="4">
        <f t="shared" si="0"/>
        <v>1.2594546332724645E-5</v>
      </c>
      <c r="K4" s="4">
        <f t="shared" si="0"/>
        <v>1.2594546332724645E-5</v>
      </c>
      <c r="L4" s="4">
        <f t="shared" si="0"/>
        <v>1.2594546332724645E-5</v>
      </c>
      <c r="M4" s="4">
        <f t="shared" si="0"/>
        <v>1.2594546332724645E-5</v>
      </c>
      <c r="N4" s="4">
        <f t="shared" si="0"/>
        <v>1.2594546332724645E-5</v>
      </c>
      <c r="O4" s="4">
        <f t="shared" si="0"/>
        <v>1.2594546332724645E-5</v>
      </c>
      <c r="P4" s="4">
        <f t="shared" si="0"/>
        <v>1.2594546332724645E-5</v>
      </c>
      <c r="Q4" s="4">
        <f t="shared" si="0"/>
        <v>1.2594546332724645E-5</v>
      </c>
      <c r="R4" s="4">
        <f t="shared" si="0"/>
        <v>1.2594546332724645E-5</v>
      </c>
      <c r="S4" s="4">
        <f t="shared" si="0"/>
        <v>1.2594546332724645E-5</v>
      </c>
      <c r="T4" s="4">
        <f t="shared" si="0"/>
        <v>1.2594546332724645E-5</v>
      </c>
      <c r="U4" s="4">
        <f t="shared" si="0"/>
        <v>1.2594546332724645E-5</v>
      </c>
      <c r="V4" s="4">
        <f t="shared" si="0"/>
        <v>1.2594546332724645E-5</v>
      </c>
      <c r="W4" s="4">
        <f t="shared" si="0"/>
        <v>1.2594546332724645E-5</v>
      </c>
      <c r="X4" s="4">
        <f t="shared" si="0"/>
        <v>1.2594546332724645E-5</v>
      </c>
      <c r="Y4" s="4">
        <f t="shared" si="0"/>
        <v>1.2594546332724645E-5</v>
      </c>
      <c r="Z4" s="4">
        <f t="shared" si="0"/>
        <v>1.2594546332724645E-5</v>
      </c>
      <c r="AA4" s="4">
        <f t="shared" si="0"/>
        <v>1.2594546332724645E-5</v>
      </c>
      <c r="AB4" s="4">
        <f t="shared" si="0"/>
        <v>1.2594546332724645E-5</v>
      </c>
      <c r="AC4" s="4">
        <f t="shared" si="0"/>
        <v>1.2594546332724645E-5</v>
      </c>
      <c r="AD4" s="4">
        <f t="shared" si="0"/>
        <v>1.2594546332724645E-5</v>
      </c>
      <c r="AE4" s="4">
        <f t="shared" si="0"/>
        <v>1.2594546332724645E-5</v>
      </c>
      <c r="AF4" s="4">
        <f t="shared" ref="AF4:AY4" si="5">AE4</f>
        <v>1.2594546332724645E-5</v>
      </c>
      <c r="AG4" s="4">
        <f t="shared" si="5"/>
        <v>1.2594546332724645E-5</v>
      </c>
      <c r="AH4" s="4">
        <f t="shared" si="5"/>
        <v>1.2594546332724645E-5</v>
      </c>
      <c r="AI4" s="4">
        <f t="shared" si="5"/>
        <v>1.2594546332724645E-5</v>
      </c>
      <c r="AJ4" s="4">
        <f t="shared" si="5"/>
        <v>1.2594546332724645E-5</v>
      </c>
      <c r="AK4" s="4">
        <f t="shared" si="5"/>
        <v>1.2594546332724645E-5</v>
      </c>
      <c r="AL4" s="4">
        <f t="shared" si="5"/>
        <v>1.2594546332724645E-5</v>
      </c>
      <c r="AM4" s="4">
        <f t="shared" si="5"/>
        <v>1.2594546332724645E-5</v>
      </c>
      <c r="AN4" s="4">
        <f t="shared" si="5"/>
        <v>1.2594546332724645E-5</v>
      </c>
      <c r="AO4" s="4">
        <f t="shared" si="5"/>
        <v>1.2594546332724645E-5</v>
      </c>
      <c r="AP4" s="4">
        <f t="shared" si="5"/>
        <v>1.2594546332724645E-5</v>
      </c>
      <c r="AQ4" s="4">
        <f t="shared" si="5"/>
        <v>1.2594546332724645E-5</v>
      </c>
      <c r="AR4" s="4">
        <f t="shared" si="5"/>
        <v>1.2594546332724645E-5</v>
      </c>
      <c r="AS4" s="4">
        <f t="shared" si="5"/>
        <v>1.2594546332724645E-5</v>
      </c>
      <c r="AT4" s="4">
        <f t="shared" si="5"/>
        <v>1.2594546332724645E-5</v>
      </c>
      <c r="AU4" s="4">
        <f t="shared" si="5"/>
        <v>1.2594546332724645E-5</v>
      </c>
      <c r="AV4" s="4">
        <f t="shared" si="5"/>
        <v>1.2594546332724645E-5</v>
      </c>
      <c r="AW4" s="4">
        <f t="shared" si="5"/>
        <v>1.2594546332724645E-5</v>
      </c>
      <c r="AX4" s="4">
        <f t="shared" si="5"/>
        <v>1.2594546332724645E-5</v>
      </c>
      <c r="AY4" s="4">
        <f t="shared" si="5"/>
        <v>1.2594546332724645E-5</v>
      </c>
    </row>
    <row r="5" spans="1:51">
      <c r="A5" t="s">
        <v>49</v>
      </c>
      <c r="B5" s="4">
        <v>1.2594546332724645E-5</v>
      </c>
      <c r="C5" s="4">
        <f t="shared" si="2"/>
        <v>1.2594546332724645E-5</v>
      </c>
      <c r="D5" s="4">
        <f t="shared" si="0"/>
        <v>1.2594546332724645E-5</v>
      </c>
      <c r="E5" s="4">
        <f t="shared" si="0"/>
        <v>1.2594546332724645E-5</v>
      </c>
      <c r="F5" s="4">
        <f t="shared" si="0"/>
        <v>1.2594546332724645E-5</v>
      </c>
      <c r="G5" s="4">
        <f t="shared" si="0"/>
        <v>1.2594546332724645E-5</v>
      </c>
      <c r="H5" s="4">
        <f t="shared" si="0"/>
        <v>1.2594546332724645E-5</v>
      </c>
      <c r="I5" s="4">
        <f t="shared" si="0"/>
        <v>1.2594546332724645E-5</v>
      </c>
      <c r="J5" s="4">
        <f t="shared" si="0"/>
        <v>1.2594546332724645E-5</v>
      </c>
      <c r="K5" s="4">
        <f t="shared" si="0"/>
        <v>1.2594546332724645E-5</v>
      </c>
      <c r="L5" s="4">
        <f t="shared" si="0"/>
        <v>1.2594546332724645E-5</v>
      </c>
      <c r="M5" s="4">
        <f t="shared" si="0"/>
        <v>1.2594546332724645E-5</v>
      </c>
      <c r="N5" s="4">
        <f t="shared" si="0"/>
        <v>1.2594546332724645E-5</v>
      </c>
      <c r="O5" s="4">
        <f t="shared" si="0"/>
        <v>1.2594546332724645E-5</v>
      </c>
      <c r="P5" s="4">
        <f t="shared" si="0"/>
        <v>1.2594546332724645E-5</v>
      </c>
      <c r="Q5" s="4">
        <f t="shared" si="0"/>
        <v>1.2594546332724645E-5</v>
      </c>
      <c r="R5" s="4">
        <f t="shared" si="0"/>
        <v>1.2594546332724645E-5</v>
      </c>
      <c r="S5" s="4">
        <f t="shared" si="0"/>
        <v>1.2594546332724645E-5</v>
      </c>
      <c r="T5" s="4">
        <f t="shared" si="0"/>
        <v>1.2594546332724645E-5</v>
      </c>
      <c r="U5" s="4">
        <f t="shared" si="0"/>
        <v>1.2594546332724645E-5</v>
      </c>
      <c r="V5" s="4">
        <f t="shared" si="0"/>
        <v>1.2594546332724645E-5</v>
      </c>
      <c r="W5" s="4">
        <f t="shared" si="0"/>
        <v>1.2594546332724645E-5</v>
      </c>
      <c r="X5" s="4">
        <f t="shared" si="0"/>
        <v>1.2594546332724645E-5</v>
      </c>
      <c r="Y5" s="4">
        <f t="shared" si="0"/>
        <v>1.2594546332724645E-5</v>
      </c>
      <c r="Z5" s="4">
        <f t="shared" si="0"/>
        <v>1.2594546332724645E-5</v>
      </c>
      <c r="AA5" s="4">
        <f t="shared" si="0"/>
        <v>1.2594546332724645E-5</v>
      </c>
      <c r="AB5" s="4">
        <f t="shared" si="0"/>
        <v>1.2594546332724645E-5</v>
      </c>
      <c r="AC5" s="4">
        <f t="shared" si="0"/>
        <v>1.2594546332724645E-5</v>
      </c>
      <c r="AD5" s="4">
        <f t="shared" si="0"/>
        <v>1.2594546332724645E-5</v>
      </c>
      <c r="AE5" s="4">
        <f t="shared" si="0"/>
        <v>1.2594546332724645E-5</v>
      </c>
      <c r="AF5" s="4">
        <f t="shared" ref="AF5:AY5" si="6">AE5</f>
        <v>1.2594546332724645E-5</v>
      </c>
      <c r="AG5" s="4">
        <f t="shared" si="6"/>
        <v>1.2594546332724645E-5</v>
      </c>
      <c r="AH5" s="4">
        <f t="shared" si="6"/>
        <v>1.2594546332724645E-5</v>
      </c>
      <c r="AI5" s="4">
        <f t="shared" si="6"/>
        <v>1.2594546332724645E-5</v>
      </c>
      <c r="AJ5" s="4">
        <f t="shared" si="6"/>
        <v>1.2594546332724645E-5</v>
      </c>
      <c r="AK5" s="4">
        <f t="shared" si="6"/>
        <v>1.2594546332724645E-5</v>
      </c>
      <c r="AL5" s="4">
        <f t="shared" si="6"/>
        <v>1.2594546332724645E-5</v>
      </c>
      <c r="AM5" s="4">
        <f t="shared" si="6"/>
        <v>1.2594546332724645E-5</v>
      </c>
      <c r="AN5" s="4">
        <f t="shared" si="6"/>
        <v>1.2594546332724645E-5</v>
      </c>
      <c r="AO5" s="4">
        <f t="shared" si="6"/>
        <v>1.2594546332724645E-5</v>
      </c>
      <c r="AP5" s="4">
        <f t="shared" si="6"/>
        <v>1.2594546332724645E-5</v>
      </c>
      <c r="AQ5" s="4">
        <f t="shared" si="6"/>
        <v>1.2594546332724645E-5</v>
      </c>
      <c r="AR5" s="4">
        <f t="shared" si="6"/>
        <v>1.2594546332724645E-5</v>
      </c>
      <c r="AS5" s="4">
        <f t="shared" si="6"/>
        <v>1.2594546332724645E-5</v>
      </c>
      <c r="AT5" s="4">
        <f t="shared" si="6"/>
        <v>1.2594546332724645E-5</v>
      </c>
      <c r="AU5" s="4">
        <f t="shared" si="6"/>
        <v>1.2594546332724645E-5</v>
      </c>
      <c r="AV5" s="4">
        <f t="shared" si="6"/>
        <v>1.2594546332724645E-5</v>
      </c>
      <c r="AW5" s="4">
        <f t="shared" si="6"/>
        <v>1.2594546332724645E-5</v>
      </c>
      <c r="AX5" s="4">
        <f t="shared" si="6"/>
        <v>1.2594546332724645E-5</v>
      </c>
      <c r="AY5" s="4">
        <f t="shared" si="6"/>
        <v>1.2594546332724645E-5</v>
      </c>
    </row>
    <row r="6" spans="1:51">
      <c r="A6" t="s">
        <v>58</v>
      </c>
      <c r="B6">
        <v>0</v>
      </c>
      <c r="C6" s="4">
        <f t="shared" si="2"/>
        <v>0</v>
      </c>
      <c r="D6" s="4">
        <f t="shared" si="0"/>
        <v>0</v>
      </c>
      <c r="E6" s="4">
        <f t="shared" si="0"/>
        <v>0</v>
      </c>
      <c r="F6" s="4">
        <f t="shared" si="0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4">
        <f t="shared" si="0"/>
        <v>0</v>
      </c>
      <c r="R6" s="4">
        <f t="shared" si="0"/>
        <v>0</v>
      </c>
      <c r="S6" s="4">
        <f t="shared" si="0"/>
        <v>0</v>
      </c>
      <c r="T6" s="4">
        <f t="shared" si="0"/>
        <v>0</v>
      </c>
      <c r="U6" s="4">
        <f t="shared" si="0"/>
        <v>0</v>
      </c>
      <c r="V6" s="4">
        <f t="shared" si="0"/>
        <v>0</v>
      </c>
      <c r="W6" s="4">
        <f t="shared" si="0"/>
        <v>0</v>
      </c>
      <c r="X6" s="4">
        <f t="shared" si="0"/>
        <v>0</v>
      </c>
      <c r="Y6" s="4">
        <f t="shared" si="0"/>
        <v>0</v>
      </c>
      <c r="Z6" s="4">
        <f t="shared" si="0"/>
        <v>0</v>
      </c>
      <c r="AA6" s="4">
        <f t="shared" si="0"/>
        <v>0</v>
      </c>
      <c r="AB6" s="4">
        <f t="shared" si="0"/>
        <v>0</v>
      </c>
      <c r="AC6" s="4">
        <f t="shared" si="0"/>
        <v>0</v>
      </c>
      <c r="AD6" s="4">
        <f t="shared" si="0"/>
        <v>0</v>
      </c>
      <c r="AE6" s="4">
        <f t="shared" si="0"/>
        <v>0</v>
      </c>
      <c r="AF6" s="4">
        <f t="shared" ref="AF6:AY6" si="7">AE6</f>
        <v>0</v>
      </c>
      <c r="AG6" s="4">
        <f t="shared" si="7"/>
        <v>0</v>
      </c>
      <c r="AH6" s="4">
        <f t="shared" si="7"/>
        <v>0</v>
      </c>
      <c r="AI6" s="4">
        <f t="shared" si="7"/>
        <v>0</v>
      </c>
      <c r="AJ6" s="4">
        <f t="shared" si="7"/>
        <v>0</v>
      </c>
      <c r="AK6" s="4">
        <f t="shared" si="7"/>
        <v>0</v>
      </c>
      <c r="AL6" s="4">
        <f t="shared" si="7"/>
        <v>0</v>
      </c>
      <c r="AM6" s="4">
        <f t="shared" si="7"/>
        <v>0</v>
      </c>
      <c r="AN6" s="4">
        <f t="shared" si="7"/>
        <v>0</v>
      </c>
      <c r="AO6" s="4">
        <f t="shared" si="7"/>
        <v>0</v>
      </c>
      <c r="AP6" s="4">
        <f t="shared" si="7"/>
        <v>0</v>
      </c>
      <c r="AQ6" s="4">
        <f t="shared" si="7"/>
        <v>0</v>
      </c>
      <c r="AR6" s="4">
        <f t="shared" si="7"/>
        <v>0</v>
      </c>
      <c r="AS6" s="4">
        <f t="shared" si="7"/>
        <v>0</v>
      </c>
      <c r="AT6" s="4">
        <f t="shared" si="7"/>
        <v>0</v>
      </c>
      <c r="AU6" s="4">
        <f t="shared" si="7"/>
        <v>0</v>
      </c>
      <c r="AV6" s="4">
        <f t="shared" si="7"/>
        <v>0</v>
      </c>
      <c r="AW6" s="4">
        <f t="shared" si="7"/>
        <v>0</v>
      </c>
      <c r="AX6" s="4">
        <f t="shared" si="7"/>
        <v>0</v>
      </c>
      <c r="AY6" s="4">
        <f t="shared" si="7"/>
        <v>0</v>
      </c>
    </row>
    <row r="7" spans="1:51">
      <c r="A7" t="s">
        <v>59</v>
      </c>
      <c r="B7">
        <v>0</v>
      </c>
      <c r="C7" s="4">
        <f t="shared" si="2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Q7" s="4">
        <f t="shared" si="0"/>
        <v>0</v>
      </c>
      <c r="R7" s="4">
        <f t="shared" si="0"/>
        <v>0</v>
      </c>
      <c r="S7" s="4">
        <f t="shared" si="0"/>
        <v>0</v>
      </c>
      <c r="T7" s="4">
        <f t="shared" si="0"/>
        <v>0</v>
      </c>
      <c r="U7" s="4">
        <f t="shared" si="0"/>
        <v>0</v>
      </c>
      <c r="V7" s="4">
        <f t="shared" si="0"/>
        <v>0</v>
      </c>
      <c r="W7" s="4">
        <f t="shared" si="0"/>
        <v>0</v>
      </c>
      <c r="X7" s="4">
        <f t="shared" si="0"/>
        <v>0</v>
      </c>
      <c r="Y7" s="4">
        <f t="shared" si="0"/>
        <v>0</v>
      </c>
      <c r="Z7" s="4">
        <f t="shared" si="0"/>
        <v>0</v>
      </c>
      <c r="AA7" s="4">
        <f t="shared" si="0"/>
        <v>0</v>
      </c>
      <c r="AB7" s="4">
        <f t="shared" si="0"/>
        <v>0</v>
      </c>
      <c r="AC7" s="4">
        <f t="shared" si="0"/>
        <v>0</v>
      </c>
      <c r="AD7" s="4">
        <f t="shared" si="0"/>
        <v>0</v>
      </c>
      <c r="AE7" s="4">
        <f t="shared" si="0"/>
        <v>0</v>
      </c>
      <c r="AF7" s="4">
        <f t="shared" ref="AF7:AY7" si="8">AE7</f>
        <v>0</v>
      </c>
      <c r="AG7" s="4">
        <f t="shared" si="8"/>
        <v>0</v>
      </c>
      <c r="AH7" s="4">
        <f t="shared" si="8"/>
        <v>0</v>
      </c>
      <c r="AI7" s="4">
        <f t="shared" si="8"/>
        <v>0</v>
      </c>
      <c r="AJ7" s="4">
        <f t="shared" si="8"/>
        <v>0</v>
      </c>
      <c r="AK7" s="4">
        <f t="shared" si="8"/>
        <v>0</v>
      </c>
      <c r="AL7" s="4">
        <f t="shared" si="8"/>
        <v>0</v>
      </c>
      <c r="AM7" s="4">
        <f t="shared" si="8"/>
        <v>0</v>
      </c>
      <c r="AN7" s="4">
        <f t="shared" si="8"/>
        <v>0</v>
      </c>
      <c r="AO7" s="4">
        <f t="shared" si="8"/>
        <v>0</v>
      </c>
      <c r="AP7" s="4">
        <f t="shared" si="8"/>
        <v>0</v>
      </c>
      <c r="AQ7" s="4">
        <f t="shared" si="8"/>
        <v>0</v>
      </c>
      <c r="AR7" s="4">
        <f t="shared" si="8"/>
        <v>0</v>
      </c>
      <c r="AS7" s="4">
        <f t="shared" si="8"/>
        <v>0</v>
      </c>
      <c r="AT7" s="4">
        <f t="shared" si="8"/>
        <v>0</v>
      </c>
      <c r="AU7" s="4">
        <f t="shared" si="8"/>
        <v>0</v>
      </c>
      <c r="AV7" s="4">
        <f t="shared" si="8"/>
        <v>0</v>
      </c>
      <c r="AW7" s="4">
        <f t="shared" si="8"/>
        <v>0</v>
      </c>
      <c r="AX7" s="4">
        <f t="shared" si="8"/>
        <v>0</v>
      </c>
      <c r="AY7" s="4">
        <f t="shared" si="8"/>
        <v>0</v>
      </c>
    </row>
    <row r="8" spans="1:51">
      <c r="A8" t="s">
        <v>60</v>
      </c>
      <c r="B8" s="4">
        <v>3.7783638998173928E-5</v>
      </c>
      <c r="C8" s="4">
        <f t="shared" si="2"/>
        <v>3.7783638998173928E-5</v>
      </c>
      <c r="D8" s="4">
        <f t="shared" si="0"/>
        <v>3.7783638998173928E-5</v>
      </c>
      <c r="E8" s="4">
        <f t="shared" si="0"/>
        <v>3.7783638998173928E-5</v>
      </c>
      <c r="F8" s="4">
        <f t="shared" si="0"/>
        <v>3.7783638998173928E-5</v>
      </c>
      <c r="G8" s="4">
        <f t="shared" si="0"/>
        <v>3.7783638998173928E-5</v>
      </c>
      <c r="H8" s="4">
        <f t="shared" si="0"/>
        <v>3.7783638998173928E-5</v>
      </c>
      <c r="I8" s="4">
        <f t="shared" si="0"/>
        <v>3.7783638998173928E-5</v>
      </c>
      <c r="J8" s="4">
        <f t="shared" si="0"/>
        <v>3.7783638998173928E-5</v>
      </c>
      <c r="K8" s="4">
        <f t="shared" si="0"/>
        <v>3.7783638998173928E-5</v>
      </c>
      <c r="L8" s="4">
        <f t="shared" si="0"/>
        <v>3.7783638998173928E-5</v>
      </c>
      <c r="M8" s="4">
        <f t="shared" si="0"/>
        <v>3.7783638998173928E-5</v>
      </c>
      <c r="N8" s="4">
        <f t="shared" si="0"/>
        <v>3.7783638998173928E-5</v>
      </c>
      <c r="O8" s="4">
        <f t="shared" si="0"/>
        <v>3.7783638998173928E-5</v>
      </c>
      <c r="P8" s="4">
        <f t="shared" si="0"/>
        <v>3.7783638998173928E-5</v>
      </c>
      <c r="Q8" s="4">
        <f t="shared" si="0"/>
        <v>3.7783638998173928E-5</v>
      </c>
      <c r="R8" s="4">
        <f t="shared" si="0"/>
        <v>3.7783638998173928E-5</v>
      </c>
      <c r="S8" s="4">
        <f t="shared" si="0"/>
        <v>3.7783638998173928E-5</v>
      </c>
      <c r="T8" s="4">
        <f t="shared" si="0"/>
        <v>3.7783638998173928E-5</v>
      </c>
      <c r="U8" s="4">
        <f t="shared" si="0"/>
        <v>3.7783638998173928E-5</v>
      </c>
      <c r="V8" s="4">
        <f t="shared" si="0"/>
        <v>3.7783638998173928E-5</v>
      </c>
      <c r="W8" s="4">
        <f t="shared" si="0"/>
        <v>3.7783638998173928E-5</v>
      </c>
      <c r="X8" s="4">
        <f t="shared" si="0"/>
        <v>3.7783638998173928E-5</v>
      </c>
      <c r="Y8" s="4">
        <f t="shared" si="0"/>
        <v>3.7783638998173928E-5</v>
      </c>
      <c r="Z8" s="4">
        <f t="shared" si="0"/>
        <v>3.7783638998173928E-5</v>
      </c>
      <c r="AA8" s="4">
        <f t="shared" si="0"/>
        <v>3.7783638998173928E-5</v>
      </c>
      <c r="AB8" s="4">
        <f t="shared" si="0"/>
        <v>3.7783638998173928E-5</v>
      </c>
      <c r="AC8" s="4">
        <f t="shared" si="0"/>
        <v>3.7783638998173928E-5</v>
      </c>
      <c r="AD8" s="4">
        <f t="shared" si="0"/>
        <v>3.7783638998173928E-5</v>
      </c>
      <c r="AE8" s="4">
        <f t="shared" si="0"/>
        <v>3.7783638998173928E-5</v>
      </c>
      <c r="AF8" s="4">
        <f t="shared" ref="AF8:AY8" si="9">AE8</f>
        <v>3.7783638998173928E-5</v>
      </c>
      <c r="AG8" s="4">
        <f t="shared" si="9"/>
        <v>3.7783638998173928E-5</v>
      </c>
      <c r="AH8" s="4">
        <f t="shared" si="9"/>
        <v>3.7783638998173928E-5</v>
      </c>
      <c r="AI8" s="4">
        <f t="shared" si="9"/>
        <v>3.7783638998173928E-5</v>
      </c>
      <c r="AJ8" s="4">
        <f t="shared" si="9"/>
        <v>3.7783638998173928E-5</v>
      </c>
      <c r="AK8" s="4">
        <f t="shared" si="9"/>
        <v>3.7783638998173928E-5</v>
      </c>
      <c r="AL8" s="4">
        <f t="shared" si="9"/>
        <v>3.7783638998173928E-5</v>
      </c>
      <c r="AM8" s="4">
        <f t="shared" si="9"/>
        <v>3.7783638998173928E-5</v>
      </c>
      <c r="AN8" s="4">
        <f t="shared" si="9"/>
        <v>3.7783638998173928E-5</v>
      </c>
      <c r="AO8" s="4">
        <f t="shared" si="9"/>
        <v>3.7783638998173928E-5</v>
      </c>
      <c r="AP8" s="4">
        <f t="shared" si="9"/>
        <v>3.7783638998173928E-5</v>
      </c>
      <c r="AQ8" s="4">
        <f t="shared" si="9"/>
        <v>3.7783638998173928E-5</v>
      </c>
      <c r="AR8" s="4">
        <f t="shared" si="9"/>
        <v>3.7783638998173928E-5</v>
      </c>
      <c r="AS8" s="4">
        <f t="shared" si="9"/>
        <v>3.7783638998173928E-5</v>
      </c>
      <c r="AT8" s="4">
        <f t="shared" si="9"/>
        <v>3.7783638998173928E-5</v>
      </c>
      <c r="AU8" s="4">
        <f t="shared" si="9"/>
        <v>3.7783638998173928E-5</v>
      </c>
      <c r="AV8" s="4">
        <f t="shared" si="9"/>
        <v>3.7783638998173928E-5</v>
      </c>
      <c r="AW8" s="4">
        <f t="shared" si="9"/>
        <v>3.7783638998173928E-5</v>
      </c>
      <c r="AX8" s="4">
        <f t="shared" si="9"/>
        <v>3.7783638998173928E-5</v>
      </c>
      <c r="AY8" s="4">
        <f t="shared" si="9"/>
        <v>3.7783638998173928E-5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Y8"/>
  <sheetViews>
    <sheetView topLeftCell="V1" workbookViewId="0">
      <selection activeCell="AF2" sqref="AF2:AY8"/>
    </sheetView>
  </sheetViews>
  <sheetFormatPr defaultColWidth="8.85546875" defaultRowHeight="15"/>
  <cols>
    <col min="1" max="1" width="31.140625" customWidth="1"/>
  </cols>
  <sheetData>
    <row r="1" spans="1:51" ht="15.95">
      <c r="A1" s="18" t="s">
        <v>98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52</v>
      </c>
      <c r="B2" s="4">
        <f>B$5/(1-'Other Values'!$B$3)</f>
        <v>1.6856047242351572E-2</v>
      </c>
      <c r="C2" s="4">
        <f>C$5/(1-'Other Values'!$B$3)</f>
        <v>1.6856047242351572E-2</v>
      </c>
      <c r="D2" s="4">
        <f>D$5/(1-'Other Values'!$B$3)</f>
        <v>1.6856047242351572E-2</v>
      </c>
      <c r="E2" s="4">
        <f>E$5/(1-'Other Values'!$B$3)</f>
        <v>1.6856047242351572E-2</v>
      </c>
      <c r="F2" s="4">
        <f>F$5/(1-'Other Values'!$B$3)</f>
        <v>1.6856047242351572E-2</v>
      </c>
      <c r="G2" s="4">
        <f>G$5/(1-'Other Values'!$B$3)</f>
        <v>1.6856047242351572E-2</v>
      </c>
      <c r="H2" s="4">
        <f>H$5/(1-'Other Values'!$B$3)</f>
        <v>1.6856047242351572E-2</v>
      </c>
      <c r="I2" s="4">
        <f>I$5/(1-'Other Values'!$B$3)</f>
        <v>1.6856047242351572E-2</v>
      </c>
      <c r="J2" s="4">
        <f>J$5/(1-'Other Values'!$B$3)</f>
        <v>1.6856047242351572E-2</v>
      </c>
      <c r="K2" s="4">
        <f>K$5/(1-'Other Values'!$B$3)</f>
        <v>1.6856047242351572E-2</v>
      </c>
      <c r="L2" s="4">
        <f>L$5/(1-'Other Values'!$B$3)</f>
        <v>1.6856047242351572E-2</v>
      </c>
      <c r="M2" s="4">
        <f>M$5/(1-'Other Values'!$B$3)</f>
        <v>1.6856047242351572E-2</v>
      </c>
      <c r="N2" s="4">
        <f>N$5/(1-'Other Values'!$B$3)</f>
        <v>1.6856047242351572E-2</v>
      </c>
      <c r="O2" s="4">
        <f>O$5/(1-'Other Values'!$B$3)</f>
        <v>1.6856047242351572E-2</v>
      </c>
      <c r="P2" s="4">
        <f>P$5/(1-'Other Values'!$B$3)</f>
        <v>1.6856047242351572E-2</v>
      </c>
      <c r="Q2" s="4">
        <f>Q$5/(1-'Other Values'!$B$3)</f>
        <v>1.6856047242351572E-2</v>
      </c>
      <c r="R2" s="4">
        <f>R$5/(1-'Other Values'!$B$3)</f>
        <v>1.6856047242351572E-2</v>
      </c>
      <c r="S2" s="4">
        <f>S$5/(1-'Other Values'!$B$3)</f>
        <v>1.6856047242351572E-2</v>
      </c>
      <c r="T2" s="4">
        <f>T$5/(1-'Other Values'!$B$3)</f>
        <v>1.6856047242351572E-2</v>
      </c>
      <c r="U2" s="4">
        <f>U$5/(1-'Other Values'!$B$3)</f>
        <v>1.6856047242351572E-2</v>
      </c>
      <c r="V2" s="4">
        <f>V$5/(1-'Other Values'!$B$3)</f>
        <v>1.6856047242351572E-2</v>
      </c>
      <c r="W2" s="4">
        <f>W$5/(1-'Other Values'!$B$3)</f>
        <v>1.6856047242351572E-2</v>
      </c>
      <c r="X2" s="4">
        <f>X$5/(1-'Other Values'!$B$3)</f>
        <v>1.6856047242351572E-2</v>
      </c>
      <c r="Y2" s="4">
        <f>Y$5/(1-'Other Values'!$B$3)</f>
        <v>1.6856047242351572E-2</v>
      </c>
      <c r="Z2" s="4">
        <f>Z$5/(1-'Other Values'!$B$3)</f>
        <v>1.6856047242351572E-2</v>
      </c>
      <c r="AA2" s="4">
        <f>AA$5/(1-'Other Values'!$B$3)</f>
        <v>1.6856047242351572E-2</v>
      </c>
      <c r="AB2" s="4">
        <f>AB$5/(1-'Other Values'!$B$3)</f>
        <v>1.6856047242351572E-2</v>
      </c>
      <c r="AC2" s="4">
        <f>AC$5/(1-'Other Values'!$B$3)</f>
        <v>1.6856047242351572E-2</v>
      </c>
      <c r="AD2" s="4">
        <f>AD$5/(1-'Other Values'!$B$3)</f>
        <v>1.6856047242351572E-2</v>
      </c>
      <c r="AE2" s="4">
        <f>AE$5/(1-'Other Values'!$B$3)</f>
        <v>1.6856047242351572E-2</v>
      </c>
      <c r="AF2" s="4">
        <f t="shared" ref="AF2:AY2" si="0">AE2</f>
        <v>1.6856047242351572E-2</v>
      </c>
      <c r="AG2" s="4">
        <f t="shared" si="0"/>
        <v>1.6856047242351572E-2</v>
      </c>
      <c r="AH2" s="4">
        <f t="shared" si="0"/>
        <v>1.6856047242351572E-2</v>
      </c>
      <c r="AI2" s="4">
        <f t="shared" si="0"/>
        <v>1.6856047242351572E-2</v>
      </c>
      <c r="AJ2" s="4">
        <f t="shared" si="0"/>
        <v>1.6856047242351572E-2</v>
      </c>
      <c r="AK2" s="4">
        <f t="shared" si="0"/>
        <v>1.6856047242351572E-2</v>
      </c>
      <c r="AL2" s="4">
        <f t="shared" si="0"/>
        <v>1.6856047242351572E-2</v>
      </c>
      <c r="AM2" s="4">
        <f t="shared" si="0"/>
        <v>1.6856047242351572E-2</v>
      </c>
      <c r="AN2" s="4">
        <f t="shared" si="0"/>
        <v>1.6856047242351572E-2</v>
      </c>
      <c r="AO2" s="4">
        <f t="shared" si="0"/>
        <v>1.6856047242351572E-2</v>
      </c>
      <c r="AP2" s="4">
        <f t="shared" si="0"/>
        <v>1.6856047242351572E-2</v>
      </c>
      <c r="AQ2" s="4">
        <f t="shared" si="0"/>
        <v>1.6856047242351572E-2</v>
      </c>
      <c r="AR2" s="4">
        <f t="shared" si="0"/>
        <v>1.6856047242351572E-2</v>
      </c>
      <c r="AS2" s="4">
        <f t="shared" si="0"/>
        <v>1.6856047242351572E-2</v>
      </c>
      <c r="AT2" s="4">
        <f t="shared" si="0"/>
        <v>1.6856047242351572E-2</v>
      </c>
      <c r="AU2" s="4">
        <f t="shared" si="0"/>
        <v>1.6856047242351572E-2</v>
      </c>
      <c r="AV2" s="4">
        <f t="shared" si="0"/>
        <v>1.6856047242351572E-2</v>
      </c>
      <c r="AW2" s="4">
        <f t="shared" si="0"/>
        <v>1.6856047242351572E-2</v>
      </c>
      <c r="AX2" s="4">
        <f t="shared" si="0"/>
        <v>1.6856047242351572E-2</v>
      </c>
      <c r="AY2" s="4">
        <f t="shared" si="0"/>
        <v>1.6856047242351572E-2</v>
      </c>
    </row>
    <row r="3" spans="1:51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s="4">
        <f t="shared" ref="AF3:AY3" si="1">AE3</f>
        <v>0</v>
      </c>
      <c r="AG3" s="4">
        <f t="shared" si="1"/>
        <v>0</v>
      </c>
      <c r="AH3" s="4">
        <f t="shared" si="1"/>
        <v>0</v>
      </c>
      <c r="AI3" s="4">
        <f t="shared" si="1"/>
        <v>0</v>
      </c>
      <c r="AJ3" s="4">
        <f t="shared" si="1"/>
        <v>0</v>
      </c>
      <c r="AK3" s="4">
        <f t="shared" si="1"/>
        <v>0</v>
      </c>
      <c r="AL3" s="4">
        <f t="shared" si="1"/>
        <v>0</v>
      </c>
      <c r="AM3" s="4">
        <f t="shared" si="1"/>
        <v>0</v>
      </c>
      <c r="AN3" s="4">
        <f t="shared" si="1"/>
        <v>0</v>
      </c>
      <c r="AO3" s="4">
        <f t="shared" si="1"/>
        <v>0</v>
      </c>
      <c r="AP3" s="4">
        <f t="shared" si="1"/>
        <v>0</v>
      </c>
      <c r="AQ3" s="4">
        <f t="shared" si="1"/>
        <v>0</v>
      </c>
      <c r="AR3" s="4">
        <f t="shared" si="1"/>
        <v>0</v>
      </c>
      <c r="AS3" s="4">
        <f t="shared" si="1"/>
        <v>0</v>
      </c>
      <c r="AT3" s="4">
        <f t="shared" si="1"/>
        <v>0</v>
      </c>
      <c r="AU3" s="4">
        <f t="shared" si="1"/>
        <v>0</v>
      </c>
      <c r="AV3" s="4">
        <f t="shared" si="1"/>
        <v>0</v>
      </c>
      <c r="AW3" s="4">
        <f t="shared" si="1"/>
        <v>0</v>
      </c>
      <c r="AX3" s="4">
        <f t="shared" si="1"/>
        <v>0</v>
      </c>
      <c r="AY3" s="4">
        <f t="shared" si="1"/>
        <v>0</v>
      </c>
    </row>
    <row r="4" spans="1:51">
      <c r="A4" t="s">
        <v>46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s="4">
        <f t="shared" ref="AF4:AY4" si="2">AE4</f>
        <v>0</v>
      </c>
      <c r="AG4" s="4">
        <f t="shared" si="2"/>
        <v>0</v>
      </c>
      <c r="AH4" s="4">
        <f t="shared" si="2"/>
        <v>0</v>
      </c>
      <c r="AI4" s="4">
        <f t="shared" si="2"/>
        <v>0</v>
      </c>
      <c r="AJ4" s="4">
        <f t="shared" si="2"/>
        <v>0</v>
      </c>
      <c r="AK4" s="4">
        <f t="shared" si="2"/>
        <v>0</v>
      </c>
      <c r="AL4" s="4">
        <f t="shared" si="2"/>
        <v>0</v>
      </c>
      <c r="AM4" s="4">
        <f t="shared" si="2"/>
        <v>0</v>
      </c>
      <c r="AN4" s="4">
        <f t="shared" si="2"/>
        <v>0</v>
      </c>
      <c r="AO4" s="4">
        <f t="shared" si="2"/>
        <v>0</v>
      </c>
      <c r="AP4" s="4">
        <f t="shared" si="2"/>
        <v>0</v>
      </c>
      <c r="AQ4" s="4">
        <f t="shared" si="2"/>
        <v>0</v>
      </c>
      <c r="AR4" s="4">
        <f t="shared" si="2"/>
        <v>0</v>
      </c>
      <c r="AS4" s="4">
        <f t="shared" si="2"/>
        <v>0</v>
      </c>
      <c r="AT4" s="4">
        <f t="shared" si="2"/>
        <v>0</v>
      </c>
      <c r="AU4" s="4">
        <f t="shared" si="2"/>
        <v>0</v>
      </c>
      <c r="AV4" s="4">
        <f t="shared" si="2"/>
        <v>0</v>
      </c>
      <c r="AW4" s="4">
        <f t="shared" si="2"/>
        <v>0</v>
      </c>
      <c r="AX4" s="4">
        <f t="shared" si="2"/>
        <v>0</v>
      </c>
      <c r="AY4" s="4">
        <f t="shared" si="2"/>
        <v>0</v>
      </c>
    </row>
    <row r="5" spans="1:51">
      <c r="A5" t="s">
        <v>49</v>
      </c>
      <c r="B5" s="4">
        <f>Extrapolations!H12</f>
        <v>5.2454271866069317E-3</v>
      </c>
      <c r="C5" s="4">
        <f>Extrapolations!I12</f>
        <v>5.2454271866069317E-3</v>
      </c>
      <c r="D5" s="4">
        <f>Extrapolations!J12</f>
        <v>5.2454271866069317E-3</v>
      </c>
      <c r="E5" s="4">
        <f>Extrapolations!K12</f>
        <v>5.2454271866069317E-3</v>
      </c>
      <c r="F5" s="4">
        <f>Extrapolations!L12</f>
        <v>5.2454271866069317E-3</v>
      </c>
      <c r="G5" s="4">
        <f>Extrapolations!M12</f>
        <v>5.2454271866069317E-3</v>
      </c>
      <c r="H5" s="4">
        <f>Extrapolations!N12</f>
        <v>5.2454271866069317E-3</v>
      </c>
      <c r="I5" s="4">
        <f>Extrapolations!O12</f>
        <v>5.2454271866069317E-3</v>
      </c>
      <c r="J5" s="4">
        <f>Extrapolations!P12</f>
        <v>5.2454271866069317E-3</v>
      </c>
      <c r="K5" s="4">
        <f>Extrapolations!Q12</f>
        <v>5.2454271866069317E-3</v>
      </c>
      <c r="L5" s="4">
        <f>Extrapolations!R12</f>
        <v>5.2454271866069317E-3</v>
      </c>
      <c r="M5" s="4">
        <f>Extrapolations!S12</f>
        <v>5.2454271866069317E-3</v>
      </c>
      <c r="N5" s="4">
        <f>Extrapolations!T12</f>
        <v>5.2454271866069317E-3</v>
      </c>
      <c r="O5" s="4">
        <f>Extrapolations!U12</f>
        <v>5.2454271866069317E-3</v>
      </c>
      <c r="P5" s="4">
        <f>Extrapolations!V12</f>
        <v>5.2454271866069317E-3</v>
      </c>
      <c r="Q5" s="4">
        <f>Extrapolations!W12</f>
        <v>5.2454271866069317E-3</v>
      </c>
      <c r="R5" s="4">
        <f>Extrapolations!X12</f>
        <v>5.2454271866069317E-3</v>
      </c>
      <c r="S5" s="4">
        <f>Extrapolations!Y12</f>
        <v>5.2454271866069317E-3</v>
      </c>
      <c r="T5" s="4">
        <f>Extrapolations!Z12</f>
        <v>5.2454271866069317E-3</v>
      </c>
      <c r="U5" s="4">
        <f>Extrapolations!AA12</f>
        <v>5.2454271866069317E-3</v>
      </c>
      <c r="V5" s="4">
        <f>Extrapolations!AB12</f>
        <v>5.2454271866069317E-3</v>
      </c>
      <c r="W5" s="4">
        <f>Extrapolations!AC12</f>
        <v>5.2454271866069317E-3</v>
      </c>
      <c r="X5" s="4">
        <f>Extrapolations!AD12</f>
        <v>5.2454271866069317E-3</v>
      </c>
      <c r="Y5" s="4">
        <f>Extrapolations!AE12</f>
        <v>5.2454271866069317E-3</v>
      </c>
      <c r="Z5" s="4">
        <f>Extrapolations!AF12</f>
        <v>5.2454271866069317E-3</v>
      </c>
      <c r="AA5" s="4">
        <f>Extrapolations!AG12</f>
        <v>5.2454271866069317E-3</v>
      </c>
      <c r="AB5" s="4">
        <f>Extrapolations!AH12</f>
        <v>5.2454271866069317E-3</v>
      </c>
      <c r="AC5" s="4">
        <f>Extrapolations!AI12</f>
        <v>5.2454271866069317E-3</v>
      </c>
      <c r="AD5" s="4">
        <f>Extrapolations!AJ12</f>
        <v>5.2454271866069317E-3</v>
      </c>
      <c r="AE5" s="4">
        <f>Extrapolations!AK12</f>
        <v>5.2454271866069317E-3</v>
      </c>
      <c r="AF5" s="4">
        <f t="shared" ref="AF5:AY5" si="3">AE5</f>
        <v>5.2454271866069317E-3</v>
      </c>
      <c r="AG5" s="4">
        <f t="shared" si="3"/>
        <v>5.2454271866069317E-3</v>
      </c>
      <c r="AH5" s="4">
        <f t="shared" si="3"/>
        <v>5.2454271866069317E-3</v>
      </c>
      <c r="AI5" s="4">
        <f t="shared" si="3"/>
        <v>5.2454271866069317E-3</v>
      </c>
      <c r="AJ5" s="4">
        <f t="shared" si="3"/>
        <v>5.2454271866069317E-3</v>
      </c>
      <c r="AK5" s="4">
        <f t="shared" si="3"/>
        <v>5.2454271866069317E-3</v>
      </c>
      <c r="AL5" s="4">
        <f t="shared" si="3"/>
        <v>5.2454271866069317E-3</v>
      </c>
      <c r="AM5" s="4">
        <f t="shared" si="3"/>
        <v>5.2454271866069317E-3</v>
      </c>
      <c r="AN5" s="4">
        <f t="shared" si="3"/>
        <v>5.2454271866069317E-3</v>
      </c>
      <c r="AO5" s="4">
        <f t="shared" si="3"/>
        <v>5.2454271866069317E-3</v>
      </c>
      <c r="AP5" s="4">
        <f t="shared" si="3"/>
        <v>5.2454271866069317E-3</v>
      </c>
      <c r="AQ5" s="4">
        <f t="shared" si="3"/>
        <v>5.2454271866069317E-3</v>
      </c>
      <c r="AR5" s="4">
        <f t="shared" si="3"/>
        <v>5.2454271866069317E-3</v>
      </c>
      <c r="AS5" s="4">
        <f t="shared" si="3"/>
        <v>5.2454271866069317E-3</v>
      </c>
      <c r="AT5" s="4">
        <f t="shared" si="3"/>
        <v>5.2454271866069317E-3</v>
      </c>
      <c r="AU5" s="4">
        <f t="shared" si="3"/>
        <v>5.2454271866069317E-3</v>
      </c>
      <c r="AV5" s="4">
        <f t="shared" si="3"/>
        <v>5.2454271866069317E-3</v>
      </c>
      <c r="AW5" s="4">
        <f t="shared" si="3"/>
        <v>5.2454271866069317E-3</v>
      </c>
      <c r="AX5" s="4">
        <f t="shared" si="3"/>
        <v>5.2454271866069317E-3</v>
      </c>
      <c r="AY5" s="4">
        <f t="shared" si="3"/>
        <v>5.2454271866069317E-3</v>
      </c>
    </row>
    <row r="6" spans="1:51">
      <c r="A6" t="s">
        <v>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s="4">
        <f t="shared" ref="AF6:AY6" si="4">AE6</f>
        <v>0</v>
      </c>
      <c r="AG6" s="4">
        <f t="shared" si="4"/>
        <v>0</v>
      </c>
      <c r="AH6" s="4">
        <f t="shared" si="4"/>
        <v>0</v>
      </c>
      <c r="AI6" s="4">
        <f t="shared" si="4"/>
        <v>0</v>
      </c>
      <c r="AJ6" s="4">
        <f t="shared" si="4"/>
        <v>0</v>
      </c>
      <c r="AK6" s="4">
        <f t="shared" si="4"/>
        <v>0</v>
      </c>
      <c r="AL6" s="4">
        <f t="shared" si="4"/>
        <v>0</v>
      </c>
      <c r="AM6" s="4">
        <f t="shared" si="4"/>
        <v>0</v>
      </c>
      <c r="AN6" s="4">
        <f t="shared" si="4"/>
        <v>0</v>
      </c>
      <c r="AO6" s="4">
        <f t="shared" si="4"/>
        <v>0</v>
      </c>
      <c r="AP6" s="4">
        <f t="shared" si="4"/>
        <v>0</v>
      </c>
      <c r="AQ6" s="4">
        <f t="shared" si="4"/>
        <v>0</v>
      </c>
      <c r="AR6" s="4">
        <f t="shared" si="4"/>
        <v>0</v>
      </c>
      <c r="AS6" s="4">
        <f t="shared" si="4"/>
        <v>0</v>
      </c>
      <c r="AT6" s="4">
        <f t="shared" si="4"/>
        <v>0</v>
      </c>
      <c r="AU6" s="4">
        <f t="shared" si="4"/>
        <v>0</v>
      </c>
      <c r="AV6" s="4">
        <f t="shared" si="4"/>
        <v>0</v>
      </c>
      <c r="AW6" s="4">
        <f t="shared" si="4"/>
        <v>0</v>
      </c>
      <c r="AX6" s="4">
        <f t="shared" si="4"/>
        <v>0</v>
      </c>
      <c r="AY6" s="4">
        <f t="shared" si="4"/>
        <v>0</v>
      </c>
    </row>
    <row r="7" spans="1:51">
      <c r="A7" t="s">
        <v>59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s="4">
        <f t="shared" ref="AF7:AY7" si="5">AE7</f>
        <v>0</v>
      </c>
      <c r="AG7" s="4">
        <f t="shared" si="5"/>
        <v>0</v>
      </c>
      <c r="AH7" s="4">
        <f t="shared" si="5"/>
        <v>0</v>
      </c>
      <c r="AI7" s="4">
        <f t="shared" si="5"/>
        <v>0</v>
      </c>
      <c r="AJ7" s="4">
        <f t="shared" si="5"/>
        <v>0</v>
      </c>
      <c r="AK7" s="4">
        <f t="shared" si="5"/>
        <v>0</v>
      </c>
      <c r="AL7" s="4">
        <f t="shared" si="5"/>
        <v>0</v>
      </c>
      <c r="AM7" s="4">
        <f t="shared" si="5"/>
        <v>0</v>
      </c>
      <c r="AN7" s="4">
        <f t="shared" si="5"/>
        <v>0</v>
      </c>
      <c r="AO7" s="4">
        <f t="shared" si="5"/>
        <v>0</v>
      </c>
      <c r="AP7" s="4">
        <f t="shared" si="5"/>
        <v>0</v>
      </c>
      <c r="AQ7" s="4">
        <f t="shared" si="5"/>
        <v>0</v>
      </c>
      <c r="AR7" s="4">
        <f t="shared" si="5"/>
        <v>0</v>
      </c>
      <c r="AS7" s="4">
        <f t="shared" si="5"/>
        <v>0</v>
      </c>
      <c r="AT7" s="4">
        <f t="shared" si="5"/>
        <v>0</v>
      </c>
      <c r="AU7" s="4">
        <f t="shared" si="5"/>
        <v>0</v>
      </c>
      <c r="AV7" s="4">
        <f t="shared" si="5"/>
        <v>0</v>
      </c>
      <c r="AW7" s="4">
        <f t="shared" si="5"/>
        <v>0</v>
      </c>
      <c r="AX7" s="4">
        <f t="shared" si="5"/>
        <v>0</v>
      </c>
      <c r="AY7" s="4">
        <f t="shared" si="5"/>
        <v>0</v>
      </c>
    </row>
    <row r="8" spans="1:51">
      <c r="A8" t="s">
        <v>60</v>
      </c>
      <c r="B8" s="4">
        <f>B$5*Calculations!$B$27</f>
        <v>1.5736281559820792E-2</v>
      </c>
      <c r="C8" s="4">
        <f>C$5*Calculations!$B$27</f>
        <v>1.5736281559820792E-2</v>
      </c>
      <c r="D8" s="4">
        <f>D$5*Calculations!$B$27</f>
        <v>1.5736281559820792E-2</v>
      </c>
      <c r="E8" s="4">
        <f>E$5*Calculations!$B$27</f>
        <v>1.5736281559820792E-2</v>
      </c>
      <c r="F8" s="4">
        <f>F$5*Calculations!$B$27</f>
        <v>1.5736281559820792E-2</v>
      </c>
      <c r="G8" s="4">
        <f>G$5*Calculations!$B$27</f>
        <v>1.5736281559820792E-2</v>
      </c>
      <c r="H8" s="4">
        <f>H$5*Calculations!$B$27</f>
        <v>1.5736281559820792E-2</v>
      </c>
      <c r="I8" s="4">
        <f>I$5*Calculations!$B$27</f>
        <v>1.5736281559820792E-2</v>
      </c>
      <c r="J8" s="4">
        <f>J$5*Calculations!$B$27</f>
        <v>1.5736281559820792E-2</v>
      </c>
      <c r="K8" s="4">
        <f>K$5*Calculations!$B$27</f>
        <v>1.5736281559820792E-2</v>
      </c>
      <c r="L8" s="4">
        <f>L$5*Calculations!$B$27</f>
        <v>1.5736281559820792E-2</v>
      </c>
      <c r="M8" s="4">
        <f>M$5*Calculations!$B$27</f>
        <v>1.5736281559820792E-2</v>
      </c>
      <c r="N8" s="4">
        <f>N$5*Calculations!$B$27</f>
        <v>1.5736281559820792E-2</v>
      </c>
      <c r="O8" s="4">
        <f>O$5*Calculations!$B$27</f>
        <v>1.5736281559820792E-2</v>
      </c>
      <c r="P8" s="4">
        <f>P$5*Calculations!$B$27</f>
        <v>1.5736281559820792E-2</v>
      </c>
      <c r="Q8" s="4">
        <f>Q$5*Calculations!$B$27</f>
        <v>1.5736281559820792E-2</v>
      </c>
      <c r="R8" s="4">
        <f>R$5*Calculations!$B$27</f>
        <v>1.5736281559820792E-2</v>
      </c>
      <c r="S8" s="4">
        <f>S$5*Calculations!$B$27</f>
        <v>1.5736281559820792E-2</v>
      </c>
      <c r="T8" s="4">
        <f>T$5*Calculations!$B$27</f>
        <v>1.5736281559820792E-2</v>
      </c>
      <c r="U8" s="4">
        <f>U$5*Calculations!$B$27</f>
        <v>1.5736281559820792E-2</v>
      </c>
      <c r="V8" s="4">
        <f>V$5*Calculations!$B$27</f>
        <v>1.5736281559820792E-2</v>
      </c>
      <c r="W8" s="4">
        <f>W$5*Calculations!$B$27</f>
        <v>1.5736281559820792E-2</v>
      </c>
      <c r="X8" s="4">
        <f>X$5*Calculations!$B$27</f>
        <v>1.5736281559820792E-2</v>
      </c>
      <c r="Y8" s="4">
        <f>Y$5*Calculations!$B$27</f>
        <v>1.5736281559820792E-2</v>
      </c>
      <c r="Z8" s="4">
        <f>Z$5*Calculations!$B$27</f>
        <v>1.5736281559820792E-2</v>
      </c>
      <c r="AA8" s="4">
        <f>AA$5*Calculations!$B$27</f>
        <v>1.5736281559820792E-2</v>
      </c>
      <c r="AB8" s="4">
        <f>AB$5*Calculations!$B$27</f>
        <v>1.5736281559820792E-2</v>
      </c>
      <c r="AC8" s="4">
        <f>AC$5*Calculations!$B$27</f>
        <v>1.5736281559820792E-2</v>
      </c>
      <c r="AD8" s="4">
        <f>AD$5*Calculations!$B$27</f>
        <v>1.5736281559820792E-2</v>
      </c>
      <c r="AE8" s="4">
        <f>AE$5*Calculations!$B$27</f>
        <v>1.5736281559820792E-2</v>
      </c>
      <c r="AF8" s="4">
        <f t="shared" ref="AF8:AY8" si="6">AE8</f>
        <v>1.5736281559820792E-2</v>
      </c>
      <c r="AG8" s="4">
        <f t="shared" si="6"/>
        <v>1.5736281559820792E-2</v>
      </c>
      <c r="AH8" s="4">
        <f t="shared" si="6"/>
        <v>1.5736281559820792E-2</v>
      </c>
      <c r="AI8" s="4">
        <f t="shared" si="6"/>
        <v>1.5736281559820792E-2</v>
      </c>
      <c r="AJ8" s="4">
        <f t="shared" si="6"/>
        <v>1.5736281559820792E-2</v>
      </c>
      <c r="AK8" s="4">
        <f t="shared" si="6"/>
        <v>1.5736281559820792E-2</v>
      </c>
      <c r="AL8" s="4">
        <f t="shared" si="6"/>
        <v>1.5736281559820792E-2</v>
      </c>
      <c r="AM8" s="4">
        <f t="shared" si="6"/>
        <v>1.5736281559820792E-2</v>
      </c>
      <c r="AN8" s="4">
        <f t="shared" si="6"/>
        <v>1.5736281559820792E-2</v>
      </c>
      <c r="AO8" s="4">
        <f t="shared" si="6"/>
        <v>1.5736281559820792E-2</v>
      </c>
      <c r="AP8" s="4">
        <f t="shared" si="6"/>
        <v>1.5736281559820792E-2</v>
      </c>
      <c r="AQ8" s="4">
        <f t="shared" si="6"/>
        <v>1.5736281559820792E-2</v>
      </c>
      <c r="AR8" s="4">
        <f t="shared" si="6"/>
        <v>1.5736281559820792E-2</v>
      </c>
      <c r="AS8" s="4">
        <f t="shared" si="6"/>
        <v>1.5736281559820792E-2</v>
      </c>
      <c r="AT8" s="4">
        <f t="shared" si="6"/>
        <v>1.5736281559820792E-2</v>
      </c>
      <c r="AU8" s="4">
        <f t="shared" si="6"/>
        <v>1.5736281559820792E-2</v>
      </c>
      <c r="AV8" s="4">
        <f t="shared" si="6"/>
        <v>1.5736281559820792E-2</v>
      </c>
      <c r="AW8" s="4">
        <f t="shared" si="6"/>
        <v>1.5736281559820792E-2</v>
      </c>
      <c r="AX8" s="4">
        <f t="shared" si="6"/>
        <v>1.5736281559820792E-2</v>
      </c>
      <c r="AY8" s="4">
        <f t="shared" si="6"/>
        <v>1.5736281559820792E-2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Y8"/>
  <sheetViews>
    <sheetView topLeftCell="V1" workbookViewId="0">
      <selection activeCell="AF2" sqref="AF2:AY8"/>
    </sheetView>
  </sheetViews>
  <sheetFormatPr defaultColWidth="8.85546875" defaultRowHeight="15"/>
  <cols>
    <col min="1" max="1" width="31.140625" customWidth="1"/>
  </cols>
  <sheetData>
    <row r="1" spans="1:51" ht="15.95">
      <c r="A1" s="18" t="s">
        <v>98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52</v>
      </c>
      <c r="B2" s="4">
        <f t="array" ref="B2:B8">TRANSPOSE(SYFAFE!B7:H7)</f>
        <v>4.5678462664228052E-3</v>
      </c>
      <c r="C2" s="4">
        <f>B2</f>
        <v>4.5678462664228052E-3</v>
      </c>
      <c r="D2" s="4">
        <f t="shared" ref="D2:AE8" si="0">C2</f>
        <v>4.5678462664228052E-3</v>
      </c>
      <c r="E2" s="4">
        <f t="shared" si="0"/>
        <v>4.5678462664228052E-3</v>
      </c>
      <c r="F2" s="4">
        <f t="shared" si="0"/>
        <v>4.5678462664228052E-3</v>
      </c>
      <c r="G2" s="4">
        <f t="shared" si="0"/>
        <v>4.5678462664228052E-3</v>
      </c>
      <c r="H2" s="4">
        <f t="shared" si="0"/>
        <v>4.5678462664228052E-3</v>
      </c>
      <c r="I2" s="4">
        <f t="shared" si="0"/>
        <v>4.5678462664228052E-3</v>
      </c>
      <c r="J2" s="4">
        <f t="shared" si="0"/>
        <v>4.5678462664228052E-3</v>
      </c>
      <c r="K2" s="4">
        <f t="shared" si="0"/>
        <v>4.5678462664228052E-3</v>
      </c>
      <c r="L2" s="4">
        <f t="shared" si="0"/>
        <v>4.5678462664228052E-3</v>
      </c>
      <c r="M2" s="4">
        <f t="shared" si="0"/>
        <v>4.5678462664228052E-3</v>
      </c>
      <c r="N2" s="4">
        <f t="shared" si="0"/>
        <v>4.5678462664228052E-3</v>
      </c>
      <c r="O2" s="4">
        <f t="shared" si="0"/>
        <v>4.5678462664228052E-3</v>
      </c>
      <c r="P2" s="4">
        <f t="shared" si="0"/>
        <v>4.5678462664228052E-3</v>
      </c>
      <c r="Q2" s="4">
        <f t="shared" si="0"/>
        <v>4.5678462664228052E-3</v>
      </c>
      <c r="R2" s="4">
        <f t="shared" si="0"/>
        <v>4.5678462664228052E-3</v>
      </c>
      <c r="S2" s="4">
        <f t="shared" si="0"/>
        <v>4.5678462664228052E-3</v>
      </c>
      <c r="T2" s="4">
        <f t="shared" si="0"/>
        <v>4.5678462664228052E-3</v>
      </c>
      <c r="U2" s="4">
        <f t="shared" si="0"/>
        <v>4.5678462664228052E-3</v>
      </c>
      <c r="V2" s="4">
        <f t="shared" si="0"/>
        <v>4.5678462664228052E-3</v>
      </c>
      <c r="W2" s="4">
        <f t="shared" si="0"/>
        <v>4.5678462664228052E-3</v>
      </c>
      <c r="X2" s="4">
        <f t="shared" si="0"/>
        <v>4.5678462664228052E-3</v>
      </c>
      <c r="Y2" s="4">
        <f t="shared" si="0"/>
        <v>4.5678462664228052E-3</v>
      </c>
      <c r="Z2" s="4">
        <f t="shared" si="0"/>
        <v>4.5678462664228052E-3</v>
      </c>
      <c r="AA2" s="4">
        <f t="shared" si="0"/>
        <v>4.5678462664228052E-3</v>
      </c>
      <c r="AB2" s="4">
        <f t="shared" si="0"/>
        <v>4.5678462664228052E-3</v>
      </c>
      <c r="AC2" s="4">
        <f t="shared" si="0"/>
        <v>4.5678462664228052E-3</v>
      </c>
      <c r="AD2" s="4">
        <f t="shared" si="0"/>
        <v>4.5678462664228052E-3</v>
      </c>
      <c r="AE2" s="4">
        <f t="shared" si="0"/>
        <v>4.5678462664228052E-3</v>
      </c>
      <c r="AF2" s="4">
        <f t="shared" ref="AF2:AY2" si="1">AE2</f>
        <v>4.5678462664228052E-3</v>
      </c>
      <c r="AG2" s="4">
        <f t="shared" si="1"/>
        <v>4.5678462664228052E-3</v>
      </c>
      <c r="AH2" s="4">
        <f t="shared" si="1"/>
        <v>4.5678462664228052E-3</v>
      </c>
      <c r="AI2" s="4">
        <f t="shared" si="1"/>
        <v>4.5678462664228052E-3</v>
      </c>
      <c r="AJ2" s="4">
        <f t="shared" si="1"/>
        <v>4.5678462664228052E-3</v>
      </c>
      <c r="AK2" s="4">
        <f t="shared" si="1"/>
        <v>4.5678462664228052E-3</v>
      </c>
      <c r="AL2" s="4">
        <f t="shared" si="1"/>
        <v>4.5678462664228052E-3</v>
      </c>
      <c r="AM2" s="4">
        <f t="shared" si="1"/>
        <v>4.5678462664228052E-3</v>
      </c>
      <c r="AN2" s="4">
        <f t="shared" si="1"/>
        <v>4.5678462664228052E-3</v>
      </c>
      <c r="AO2" s="4">
        <f t="shared" si="1"/>
        <v>4.5678462664228052E-3</v>
      </c>
      <c r="AP2" s="4">
        <f t="shared" si="1"/>
        <v>4.5678462664228052E-3</v>
      </c>
      <c r="AQ2" s="4">
        <f t="shared" si="1"/>
        <v>4.5678462664228052E-3</v>
      </c>
      <c r="AR2" s="4">
        <f t="shared" si="1"/>
        <v>4.5678462664228052E-3</v>
      </c>
      <c r="AS2" s="4">
        <f t="shared" si="1"/>
        <v>4.5678462664228052E-3</v>
      </c>
      <c r="AT2" s="4">
        <f t="shared" si="1"/>
        <v>4.5678462664228052E-3</v>
      </c>
      <c r="AU2" s="4">
        <f t="shared" si="1"/>
        <v>4.5678462664228052E-3</v>
      </c>
      <c r="AV2" s="4">
        <f t="shared" si="1"/>
        <v>4.5678462664228052E-3</v>
      </c>
      <c r="AW2" s="4">
        <f t="shared" si="1"/>
        <v>4.5678462664228052E-3</v>
      </c>
      <c r="AX2" s="4">
        <f t="shared" si="1"/>
        <v>4.5678462664228052E-3</v>
      </c>
      <c r="AY2" s="4">
        <f t="shared" si="1"/>
        <v>4.5678462664228052E-3</v>
      </c>
    </row>
    <row r="3" spans="1:51">
      <c r="A3" t="s">
        <v>57</v>
      </c>
      <c r="B3" s="4">
        <v>1.4345302324303027E-3</v>
      </c>
      <c r="C3" s="4">
        <f t="shared" ref="C3:C8" si="2">B3</f>
        <v>1.4345302324303027E-3</v>
      </c>
      <c r="D3" s="4">
        <f t="shared" ref="D3:Q3" si="3">C3</f>
        <v>1.4345302324303027E-3</v>
      </c>
      <c r="E3" s="4">
        <f t="shared" si="3"/>
        <v>1.4345302324303027E-3</v>
      </c>
      <c r="F3" s="4">
        <f t="shared" si="3"/>
        <v>1.4345302324303027E-3</v>
      </c>
      <c r="G3" s="4">
        <f t="shared" si="3"/>
        <v>1.4345302324303027E-3</v>
      </c>
      <c r="H3" s="4">
        <f t="shared" si="3"/>
        <v>1.4345302324303027E-3</v>
      </c>
      <c r="I3" s="4">
        <f t="shared" si="3"/>
        <v>1.4345302324303027E-3</v>
      </c>
      <c r="J3" s="4">
        <f t="shared" si="3"/>
        <v>1.4345302324303027E-3</v>
      </c>
      <c r="K3" s="4">
        <f t="shared" si="3"/>
        <v>1.4345302324303027E-3</v>
      </c>
      <c r="L3" s="4">
        <f t="shared" si="3"/>
        <v>1.4345302324303027E-3</v>
      </c>
      <c r="M3" s="4">
        <f t="shared" si="3"/>
        <v>1.4345302324303027E-3</v>
      </c>
      <c r="N3" s="4">
        <f t="shared" si="3"/>
        <v>1.4345302324303027E-3</v>
      </c>
      <c r="O3" s="4">
        <f t="shared" si="3"/>
        <v>1.4345302324303027E-3</v>
      </c>
      <c r="P3" s="4">
        <f t="shared" si="3"/>
        <v>1.4345302324303027E-3</v>
      </c>
      <c r="Q3" s="4">
        <f t="shared" si="3"/>
        <v>1.4345302324303027E-3</v>
      </c>
      <c r="R3" s="4">
        <f t="shared" si="0"/>
        <v>1.4345302324303027E-3</v>
      </c>
      <c r="S3" s="4">
        <f t="shared" si="0"/>
        <v>1.4345302324303027E-3</v>
      </c>
      <c r="T3" s="4">
        <f t="shared" si="0"/>
        <v>1.4345302324303027E-3</v>
      </c>
      <c r="U3" s="4">
        <f t="shared" si="0"/>
        <v>1.4345302324303027E-3</v>
      </c>
      <c r="V3" s="4">
        <f t="shared" si="0"/>
        <v>1.4345302324303027E-3</v>
      </c>
      <c r="W3" s="4">
        <f t="shared" si="0"/>
        <v>1.4345302324303027E-3</v>
      </c>
      <c r="X3" s="4">
        <f t="shared" si="0"/>
        <v>1.4345302324303027E-3</v>
      </c>
      <c r="Y3" s="4">
        <f t="shared" si="0"/>
        <v>1.4345302324303027E-3</v>
      </c>
      <c r="Z3" s="4">
        <f t="shared" si="0"/>
        <v>1.4345302324303027E-3</v>
      </c>
      <c r="AA3" s="4">
        <f t="shared" si="0"/>
        <v>1.4345302324303027E-3</v>
      </c>
      <c r="AB3" s="4">
        <f t="shared" si="0"/>
        <v>1.4345302324303027E-3</v>
      </c>
      <c r="AC3" s="4">
        <f t="shared" si="0"/>
        <v>1.4345302324303027E-3</v>
      </c>
      <c r="AD3" s="4">
        <f t="shared" si="0"/>
        <v>1.4345302324303027E-3</v>
      </c>
      <c r="AE3" s="4">
        <f t="shared" si="0"/>
        <v>1.4345302324303027E-3</v>
      </c>
      <c r="AF3" s="4">
        <f t="shared" ref="AF3:AY3" si="4">AE3</f>
        <v>1.4345302324303027E-3</v>
      </c>
      <c r="AG3" s="4">
        <f t="shared" si="4"/>
        <v>1.4345302324303027E-3</v>
      </c>
      <c r="AH3" s="4">
        <f t="shared" si="4"/>
        <v>1.4345302324303027E-3</v>
      </c>
      <c r="AI3" s="4">
        <f t="shared" si="4"/>
        <v>1.4345302324303027E-3</v>
      </c>
      <c r="AJ3" s="4">
        <f t="shared" si="4"/>
        <v>1.4345302324303027E-3</v>
      </c>
      <c r="AK3" s="4">
        <f t="shared" si="4"/>
        <v>1.4345302324303027E-3</v>
      </c>
      <c r="AL3" s="4">
        <f t="shared" si="4"/>
        <v>1.4345302324303027E-3</v>
      </c>
      <c r="AM3" s="4">
        <f t="shared" si="4"/>
        <v>1.4345302324303027E-3</v>
      </c>
      <c r="AN3" s="4">
        <f t="shared" si="4"/>
        <v>1.4345302324303027E-3</v>
      </c>
      <c r="AO3" s="4">
        <f t="shared" si="4"/>
        <v>1.4345302324303027E-3</v>
      </c>
      <c r="AP3" s="4">
        <f t="shared" si="4"/>
        <v>1.4345302324303027E-3</v>
      </c>
      <c r="AQ3" s="4">
        <f t="shared" si="4"/>
        <v>1.4345302324303027E-3</v>
      </c>
      <c r="AR3" s="4">
        <f t="shared" si="4"/>
        <v>1.4345302324303027E-3</v>
      </c>
      <c r="AS3" s="4">
        <f t="shared" si="4"/>
        <v>1.4345302324303027E-3</v>
      </c>
      <c r="AT3" s="4">
        <f t="shared" si="4"/>
        <v>1.4345302324303027E-3</v>
      </c>
      <c r="AU3" s="4">
        <f t="shared" si="4"/>
        <v>1.4345302324303027E-3</v>
      </c>
      <c r="AV3" s="4">
        <f t="shared" si="4"/>
        <v>1.4345302324303027E-3</v>
      </c>
      <c r="AW3" s="4">
        <f t="shared" si="4"/>
        <v>1.4345302324303027E-3</v>
      </c>
      <c r="AX3" s="4">
        <f t="shared" si="4"/>
        <v>1.4345302324303027E-3</v>
      </c>
      <c r="AY3" s="4">
        <f t="shared" si="4"/>
        <v>1.4345302324303027E-3</v>
      </c>
    </row>
    <row r="4" spans="1:51">
      <c r="A4" t="s">
        <v>46</v>
      </c>
      <c r="B4" s="4">
        <v>1.4345302324303027E-3</v>
      </c>
      <c r="C4" s="4">
        <f t="shared" si="2"/>
        <v>1.4345302324303027E-3</v>
      </c>
      <c r="D4" s="4">
        <f t="shared" si="0"/>
        <v>1.4345302324303027E-3</v>
      </c>
      <c r="E4" s="4">
        <f t="shared" si="0"/>
        <v>1.4345302324303027E-3</v>
      </c>
      <c r="F4" s="4">
        <f t="shared" si="0"/>
        <v>1.4345302324303027E-3</v>
      </c>
      <c r="G4" s="4">
        <f t="shared" si="0"/>
        <v>1.4345302324303027E-3</v>
      </c>
      <c r="H4" s="4">
        <f t="shared" si="0"/>
        <v>1.4345302324303027E-3</v>
      </c>
      <c r="I4" s="4">
        <f t="shared" si="0"/>
        <v>1.4345302324303027E-3</v>
      </c>
      <c r="J4" s="4">
        <f t="shared" si="0"/>
        <v>1.4345302324303027E-3</v>
      </c>
      <c r="K4" s="4">
        <f t="shared" si="0"/>
        <v>1.4345302324303027E-3</v>
      </c>
      <c r="L4" s="4">
        <f t="shared" si="0"/>
        <v>1.4345302324303027E-3</v>
      </c>
      <c r="M4" s="4">
        <f t="shared" si="0"/>
        <v>1.4345302324303027E-3</v>
      </c>
      <c r="N4" s="4">
        <f t="shared" si="0"/>
        <v>1.4345302324303027E-3</v>
      </c>
      <c r="O4" s="4">
        <f t="shared" si="0"/>
        <v>1.4345302324303027E-3</v>
      </c>
      <c r="P4" s="4">
        <f t="shared" si="0"/>
        <v>1.4345302324303027E-3</v>
      </c>
      <c r="Q4" s="4">
        <f t="shared" si="0"/>
        <v>1.4345302324303027E-3</v>
      </c>
      <c r="R4" s="4">
        <f t="shared" si="0"/>
        <v>1.4345302324303027E-3</v>
      </c>
      <c r="S4" s="4">
        <f t="shared" si="0"/>
        <v>1.4345302324303027E-3</v>
      </c>
      <c r="T4" s="4">
        <f t="shared" si="0"/>
        <v>1.4345302324303027E-3</v>
      </c>
      <c r="U4" s="4">
        <f t="shared" si="0"/>
        <v>1.4345302324303027E-3</v>
      </c>
      <c r="V4" s="4">
        <f t="shared" si="0"/>
        <v>1.4345302324303027E-3</v>
      </c>
      <c r="W4" s="4">
        <f t="shared" si="0"/>
        <v>1.4345302324303027E-3</v>
      </c>
      <c r="X4" s="4">
        <f t="shared" si="0"/>
        <v>1.4345302324303027E-3</v>
      </c>
      <c r="Y4" s="4">
        <f t="shared" si="0"/>
        <v>1.4345302324303027E-3</v>
      </c>
      <c r="Z4" s="4">
        <f t="shared" si="0"/>
        <v>1.4345302324303027E-3</v>
      </c>
      <c r="AA4" s="4">
        <f t="shared" si="0"/>
        <v>1.4345302324303027E-3</v>
      </c>
      <c r="AB4" s="4">
        <f t="shared" si="0"/>
        <v>1.4345302324303027E-3</v>
      </c>
      <c r="AC4" s="4">
        <f t="shared" si="0"/>
        <v>1.4345302324303027E-3</v>
      </c>
      <c r="AD4" s="4">
        <f t="shared" si="0"/>
        <v>1.4345302324303027E-3</v>
      </c>
      <c r="AE4" s="4">
        <f t="shared" si="0"/>
        <v>1.4345302324303027E-3</v>
      </c>
      <c r="AF4" s="4">
        <f t="shared" ref="AF4:AY4" si="5">AE4</f>
        <v>1.4345302324303027E-3</v>
      </c>
      <c r="AG4" s="4">
        <f t="shared" si="5"/>
        <v>1.4345302324303027E-3</v>
      </c>
      <c r="AH4" s="4">
        <f t="shared" si="5"/>
        <v>1.4345302324303027E-3</v>
      </c>
      <c r="AI4" s="4">
        <f t="shared" si="5"/>
        <v>1.4345302324303027E-3</v>
      </c>
      <c r="AJ4" s="4">
        <f t="shared" si="5"/>
        <v>1.4345302324303027E-3</v>
      </c>
      <c r="AK4" s="4">
        <f t="shared" si="5"/>
        <v>1.4345302324303027E-3</v>
      </c>
      <c r="AL4" s="4">
        <f t="shared" si="5"/>
        <v>1.4345302324303027E-3</v>
      </c>
      <c r="AM4" s="4">
        <f t="shared" si="5"/>
        <v>1.4345302324303027E-3</v>
      </c>
      <c r="AN4" s="4">
        <f t="shared" si="5"/>
        <v>1.4345302324303027E-3</v>
      </c>
      <c r="AO4" s="4">
        <f t="shared" si="5"/>
        <v>1.4345302324303027E-3</v>
      </c>
      <c r="AP4" s="4">
        <f t="shared" si="5"/>
        <v>1.4345302324303027E-3</v>
      </c>
      <c r="AQ4" s="4">
        <f t="shared" si="5"/>
        <v>1.4345302324303027E-3</v>
      </c>
      <c r="AR4" s="4">
        <f t="shared" si="5"/>
        <v>1.4345302324303027E-3</v>
      </c>
      <c r="AS4" s="4">
        <f t="shared" si="5"/>
        <v>1.4345302324303027E-3</v>
      </c>
      <c r="AT4" s="4">
        <f t="shared" si="5"/>
        <v>1.4345302324303027E-3</v>
      </c>
      <c r="AU4" s="4">
        <f t="shared" si="5"/>
        <v>1.4345302324303027E-3</v>
      </c>
      <c r="AV4" s="4">
        <f t="shared" si="5"/>
        <v>1.4345302324303027E-3</v>
      </c>
      <c r="AW4" s="4">
        <f t="shared" si="5"/>
        <v>1.4345302324303027E-3</v>
      </c>
      <c r="AX4" s="4">
        <f t="shared" si="5"/>
        <v>1.4345302324303027E-3</v>
      </c>
      <c r="AY4" s="4">
        <f t="shared" si="5"/>
        <v>1.4345302324303027E-3</v>
      </c>
    </row>
    <row r="5" spans="1:51">
      <c r="A5" t="s">
        <v>49</v>
      </c>
      <c r="B5" s="4">
        <v>1.4345302324303027E-3</v>
      </c>
      <c r="C5" s="4">
        <f t="shared" si="2"/>
        <v>1.4345302324303027E-3</v>
      </c>
      <c r="D5" s="4">
        <f t="shared" si="0"/>
        <v>1.4345302324303027E-3</v>
      </c>
      <c r="E5" s="4">
        <f t="shared" si="0"/>
        <v>1.4345302324303027E-3</v>
      </c>
      <c r="F5" s="4">
        <f t="shared" si="0"/>
        <v>1.4345302324303027E-3</v>
      </c>
      <c r="G5" s="4">
        <f t="shared" si="0"/>
        <v>1.4345302324303027E-3</v>
      </c>
      <c r="H5" s="4">
        <f t="shared" si="0"/>
        <v>1.4345302324303027E-3</v>
      </c>
      <c r="I5" s="4">
        <f t="shared" si="0"/>
        <v>1.4345302324303027E-3</v>
      </c>
      <c r="J5" s="4">
        <f t="shared" si="0"/>
        <v>1.4345302324303027E-3</v>
      </c>
      <c r="K5" s="4">
        <f t="shared" si="0"/>
        <v>1.4345302324303027E-3</v>
      </c>
      <c r="L5" s="4">
        <f t="shared" si="0"/>
        <v>1.4345302324303027E-3</v>
      </c>
      <c r="M5" s="4">
        <f t="shared" si="0"/>
        <v>1.4345302324303027E-3</v>
      </c>
      <c r="N5" s="4">
        <f t="shared" si="0"/>
        <v>1.4345302324303027E-3</v>
      </c>
      <c r="O5" s="4">
        <f t="shared" si="0"/>
        <v>1.4345302324303027E-3</v>
      </c>
      <c r="P5" s="4">
        <f t="shared" si="0"/>
        <v>1.4345302324303027E-3</v>
      </c>
      <c r="Q5" s="4">
        <f t="shared" si="0"/>
        <v>1.4345302324303027E-3</v>
      </c>
      <c r="R5" s="4">
        <f t="shared" si="0"/>
        <v>1.4345302324303027E-3</v>
      </c>
      <c r="S5" s="4">
        <f t="shared" si="0"/>
        <v>1.4345302324303027E-3</v>
      </c>
      <c r="T5" s="4">
        <f t="shared" si="0"/>
        <v>1.4345302324303027E-3</v>
      </c>
      <c r="U5" s="4">
        <f t="shared" si="0"/>
        <v>1.4345302324303027E-3</v>
      </c>
      <c r="V5" s="4">
        <f t="shared" si="0"/>
        <v>1.4345302324303027E-3</v>
      </c>
      <c r="W5" s="4">
        <f t="shared" si="0"/>
        <v>1.4345302324303027E-3</v>
      </c>
      <c r="X5" s="4">
        <f t="shared" si="0"/>
        <v>1.4345302324303027E-3</v>
      </c>
      <c r="Y5" s="4">
        <f t="shared" si="0"/>
        <v>1.4345302324303027E-3</v>
      </c>
      <c r="Z5" s="4">
        <f t="shared" si="0"/>
        <v>1.4345302324303027E-3</v>
      </c>
      <c r="AA5" s="4">
        <f t="shared" si="0"/>
        <v>1.4345302324303027E-3</v>
      </c>
      <c r="AB5" s="4">
        <f t="shared" si="0"/>
        <v>1.4345302324303027E-3</v>
      </c>
      <c r="AC5" s="4">
        <f t="shared" si="0"/>
        <v>1.4345302324303027E-3</v>
      </c>
      <c r="AD5" s="4">
        <f t="shared" si="0"/>
        <v>1.4345302324303027E-3</v>
      </c>
      <c r="AE5" s="4">
        <f t="shared" si="0"/>
        <v>1.4345302324303027E-3</v>
      </c>
      <c r="AF5" s="4">
        <f t="shared" ref="AF5:AY5" si="6">AE5</f>
        <v>1.4345302324303027E-3</v>
      </c>
      <c r="AG5" s="4">
        <f t="shared" si="6"/>
        <v>1.4345302324303027E-3</v>
      </c>
      <c r="AH5" s="4">
        <f t="shared" si="6"/>
        <v>1.4345302324303027E-3</v>
      </c>
      <c r="AI5" s="4">
        <f t="shared" si="6"/>
        <v>1.4345302324303027E-3</v>
      </c>
      <c r="AJ5" s="4">
        <f t="shared" si="6"/>
        <v>1.4345302324303027E-3</v>
      </c>
      <c r="AK5" s="4">
        <f t="shared" si="6"/>
        <v>1.4345302324303027E-3</v>
      </c>
      <c r="AL5" s="4">
        <f t="shared" si="6"/>
        <v>1.4345302324303027E-3</v>
      </c>
      <c r="AM5" s="4">
        <f t="shared" si="6"/>
        <v>1.4345302324303027E-3</v>
      </c>
      <c r="AN5" s="4">
        <f t="shared" si="6"/>
        <v>1.4345302324303027E-3</v>
      </c>
      <c r="AO5" s="4">
        <f t="shared" si="6"/>
        <v>1.4345302324303027E-3</v>
      </c>
      <c r="AP5" s="4">
        <f t="shared" si="6"/>
        <v>1.4345302324303027E-3</v>
      </c>
      <c r="AQ5" s="4">
        <f t="shared" si="6"/>
        <v>1.4345302324303027E-3</v>
      </c>
      <c r="AR5" s="4">
        <f t="shared" si="6"/>
        <v>1.4345302324303027E-3</v>
      </c>
      <c r="AS5" s="4">
        <f t="shared" si="6"/>
        <v>1.4345302324303027E-3</v>
      </c>
      <c r="AT5" s="4">
        <f t="shared" si="6"/>
        <v>1.4345302324303027E-3</v>
      </c>
      <c r="AU5" s="4">
        <f t="shared" si="6"/>
        <v>1.4345302324303027E-3</v>
      </c>
      <c r="AV5" s="4">
        <f t="shared" si="6"/>
        <v>1.4345302324303027E-3</v>
      </c>
      <c r="AW5" s="4">
        <f t="shared" si="6"/>
        <v>1.4345302324303027E-3</v>
      </c>
      <c r="AX5" s="4">
        <f t="shared" si="6"/>
        <v>1.4345302324303027E-3</v>
      </c>
      <c r="AY5" s="4">
        <f t="shared" si="6"/>
        <v>1.4345302324303027E-3</v>
      </c>
    </row>
    <row r="6" spans="1:51">
      <c r="A6" t="s">
        <v>58</v>
      </c>
      <c r="B6" s="4">
        <v>3.1578540511261791E-3</v>
      </c>
      <c r="C6" s="4">
        <f t="shared" si="2"/>
        <v>3.1578540511261791E-3</v>
      </c>
      <c r="D6" s="4">
        <f t="shared" si="0"/>
        <v>3.1578540511261791E-3</v>
      </c>
      <c r="E6" s="4">
        <f t="shared" si="0"/>
        <v>3.1578540511261791E-3</v>
      </c>
      <c r="F6" s="4">
        <f t="shared" si="0"/>
        <v>3.1578540511261791E-3</v>
      </c>
      <c r="G6" s="4">
        <f t="shared" si="0"/>
        <v>3.1578540511261791E-3</v>
      </c>
      <c r="H6" s="4">
        <f t="shared" si="0"/>
        <v>3.1578540511261791E-3</v>
      </c>
      <c r="I6" s="4">
        <f t="shared" si="0"/>
        <v>3.1578540511261791E-3</v>
      </c>
      <c r="J6" s="4">
        <f t="shared" si="0"/>
        <v>3.1578540511261791E-3</v>
      </c>
      <c r="K6" s="4">
        <f t="shared" si="0"/>
        <v>3.1578540511261791E-3</v>
      </c>
      <c r="L6" s="4">
        <f t="shared" si="0"/>
        <v>3.1578540511261791E-3</v>
      </c>
      <c r="M6" s="4">
        <f t="shared" si="0"/>
        <v>3.1578540511261791E-3</v>
      </c>
      <c r="N6" s="4">
        <f t="shared" si="0"/>
        <v>3.1578540511261791E-3</v>
      </c>
      <c r="O6" s="4">
        <f t="shared" si="0"/>
        <v>3.1578540511261791E-3</v>
      </c>
      <c r="P6" s="4">
        <f t="shared" si="0"/>
        <v>3.1578540511261791E-3</v>
      </c>
      <c r="Q6" s="4">
        <f t="shared" si="0"/>
        <v>3.1578540511261791E-3</v>
      </c>
      <c r="R6" s="4">
        <f t="shared" si="0"/>
        <v>3.1578540511261791E-3</v>
      </c>
      <c r="S6" s="4">
        <f t="shared" si="0"/>
        <v>3.1578540511261791E-3</v>
      </c>
      <c r="T6" s="4">
        <f t="shared" si="0"/>
        <v>3.1578540511261791E-3</v>
      </c>
      <c r="U6" s="4">
        <f t="shared" si="0"/>
        <v>3.1578540511261791E-3</v>
      </c>
      <c r="V6" s="4">
        <f t="shared" si="0"/>
        <v>3.1578540511261791E-3</v>
      </c>
      <c r="W6" s="4">
        <f t="shared" si="0"/>
        <v>3.1578540511261791E-3</v>
      </c>
      <c r="X6" s="4">
        <f t="shared" si="0"/>
        <v>3.1578540511261791E-3</v>
      </c>
      <c r="Y6" s="4">
        <f t="shared" si="0"/>
        <v>3.1578540511261791E-3</v>
      </c>
      <c r="Z6" s="4">
        <f t="shared" si="0"/>
        <v>3.1578540511261791E-3</v>
      </c>
      <c r="AA6" s="4">
        <f t="shared" si="0"/>
        <v>3.1578540511261791E-3</v>
      </c>
      <c r="AB6" s="4">
        <f t="shared" si="0"/>
        <v>3.1578540511261791E-3</v>
      </c>
      <c r="AC6" s="4">
        <f t="shared" si="0"/>
        <v>3.1578540511261791E-3</v>
      </c>
      <c r="AD6" s="4">
        <f t="shared" si="0"/>
        <v>3.1578540511261791E-3</v>
      </c>
      <c r="AE6" s="4">
        <f t="shared" si="0"/>
        <v>3.1578540511261791E-3</v>
      </c>
      <c r="AF6" s="4">
        <f t="shared" ref="AF6:AY6" si="7">AE6</f>
        <v>3.1578540511261791E-3</v>
      </c>
      <c r="AG6" s="4">
        <f t="shared" si="7"/>
        <v>3.1578540511261791E-3</v>
      </c>
      <c r="AH6" s="4">
        <f t="shared" si="7"/>
        <v>3.1578540511261791E-3</v>
      </c>
      <c r="AI6" s="4">
        <f t="shared" si="7"/>
        <v>3.1578540511261791E-3</v>
      </c>
      <c r="AJ6" s="4">
        <f t="shared" si="7"/>
        <v>3.1578540511261791E-3</v>
      </c>
      <c r="AK6" s="4">
        <f t="shared" si="7"/>
        <v>3.1578540511261791E-3</v>
      </c>
      <c r="AL6" s="4">
        <f t="shared" si="7"/>
        <v>3.1578540511261791E-3</v>
      </c>
      <c r="AM6" s="4">
        <f t="shared" si="7"/>
        <v>3.1578540511261791E-3</v>
      </c>
      <c r="AN6" s="4">
        <f t="shared" si="7"/>
        <v>3.1578540511261791E-3</v>
      </c>
      <c r="AO6" s="4">
        <f t="shared" si="7"/>
        <v>3.1578540511261791E-3</v>
      </c>
      <c r="AP6" s="4">
        <f t="shared" si="7"/>
        <v>3.1578540511261791E-3</v>
      </c>
      <c r="AQ6" s="4">
        <f t="shared" si="7"/>
        <v>3.1578540511261791E-3</v>
      </c>
      <c r="AR6" s="4">
        <f t="shared" si="7"/>
        <v>3.1578540511261791E-3</v>
      </c>
      <c r="AS6" s="4">
        <f t="shared" si="7"/>
        <v>3.1578540511261791E-3</v>
      </c>
      <c r="AT6" s="4">
        <f t="shared" si="7"/>
        <v>3.1578540511261791E-3</v>
      </c>
      <c r="AU6" s="4">
        <f t="shared" si="7"/>
        <v>3.1578540511261791E-3</v>
      </c>
      <c r="AV6" s="4">
        <f t="shared" si="7"/>
        <v>3.1578540511261791E-3</v>
      </c>
      <c r="AW6" s="4">
        <f t="shared" si="7"/>
        <v>3.1578540511261791E-3</v>
      </c>
      <c r="AX6" s="4">
        <f t="shared" si="7"/>
        <v>3.1578540511261791E-3</v>
      </c>
      <c r="AY6" s="4">
        <f t="shared" si="7"/>
        <v>3.1578540511261791E-3</v>
      </c>
    </row>
    <row r="7" spans="1:51">
      <c r="A7" t="s">
        <v>59</v>
      </c>
      <c r="B7" s="4">
        <v>1.1117609301334846E-3</v>
      </c>
      <c r="C7" s="4">
        <f t="shared" si="2"/>
        <v>1.1117609301334846E-3</v>
      </c>
      <c r="D7" s="4">
        <f t="shared" si="0"/>
        <v>1.1117609301334846E-3</v>
      </c>
      <c r="E7" s="4">
        <f t="shared" si="0"/>
        <v>1.1117609301334846E-3</v>
      </c>
      <c r="F7" s="4">
        <f t="shared" si="0"/>
        <v>1.1117609301334846E-3</v>
      </c>
      <c r="G7" s="4">
        <f t="shared" si="0"/>
        <v>1.1117609301334846E-3</v>
      </c>
      <c r="H7" s="4">
        <f t="shared" si="0"/>
        <v>1.1117609301334846E-3</v>
      </c>
      <c r="I7" s="4">
        <f t="shared" si="0"/>
        <v>1.1117609301334846E-3</v>
      </c>
      <c r="J7" s="4">
        <f t="shared" si="0"/>
        <v>1.1117609301334846E-3</v>
      </c>
      <c r="K7" s="4">
        <f t="shared" si="0"/>
        <v>1.1117609301334846E-3</v>
      </c>
      <c r="L7" s="4">
        <f t="shared" si="0"/>
        <v>1.1117609301334846E-3</v>
      </c>
      <c r="M7" s="4">
        <f t="shared" si="0"/>
        <v>1.1117609301334846E-3</v>
      </c>
      <c r="N7" s="4">
        <f t="shared" si="0"/>
        <v>1.1117609301334846E-3</v>
      </c>
      <c r="O7" s="4">
        <f t="shared" si="0"/>
        <v>1.1117609301334846E-3</v>
      </c>
      <c r="P7" s="4">
        <f t="shared" si="0"/>
        <v>1.1117609301334846E-3</v>
      </c>
      <c r="Q7" s="4">
        <f t="shared" si="0"/>
        <v>1.1117609301334846E-3</v>
      </c>
      <c r="R7" s="4">
        <f t="shared" si="0"/>
        <v>1.1117609301334846E-3</v>
      </c>
      <c r="S7" s="4">
        <f t="shared" si="0"/>
        <v>1.1117609301334846E-3</v>
      </c>
      <c r="T7" s="4">
        <f t="shared" si="0"/>
        <v>1.1117609301334846E-3</v>
      </c>
      <c r="U7" s="4">
        <f t="shared" si="0"/>
        <v>1.1117609301334846E-3</v>
      </c>
      <c r="V7" s="4">
        <f t="shared" si="0"/>
        <v>1.1117609301334846E-3</v>
      </c>
      <c r="W7" s="4">
        <f t="shared" si="0"/>
        <v>1.1117609301334846E-3</v>
      </c>
      <c r="X7" s="4">
        <f t="shared" si="0"/>
        <v>1.1117609301334846E-3</v>
      </c>
      <c r="Y7" s="4">
        <f t="shared" si="0"/>
        <v>1.1117609301334846E-3</v>
      </c>
      <c r="Z7" s="4">
        <f t="shared" si="0"/>
        <v>1.1117609301334846E-3</v>
      </c>
      <c r="AA7" s="4">
        <f t="shared" si="0"/>
        <v>1.1117609301334846E-3</v>
      </c>
      <c r="AB7" s="4">
        <f t="shared" si="0"/>
        <v>1.1117609301334846E-3</v>
      </c>
      <c r="AC7" s="4">
        <f t="shared" si="0"/>
        <v>1.1117609301334846E-3</v>
      </c>
      <c r="AD7" s="4">
        <f t="shared" si="0"/>
        <v>1.1117609301334846E-3</v>
      </c>
      <c r="AE7" s="4">
        <f t="shared" si="0"/>
        <v>1.1117609301334846E-3</v>
      </c>
      <c r="AF7" s="4">
        <f t="shared" ref="AF7:AY7" si="8">AE7</f>
        <v>1.1117609301334846E-3</v>
      </c>
      <c r="AG7" s="4">
        <f t="shared" si="8"/>
        <v>1.1117609301334846E-3</v>
      </c>
      <c r="AH7" s="4">
        <f t="shared" si="8"/>
        <v>1.1117609301334846E-3</v>
      </c>
      <c r="AI7" s="4">
        <f t="shared" si="8"/>
        <v>1.1117609301334846E-3</v>
      </c>
      <c r="AJ7" s="4">
        <f t="shared" si="8"/>
        <v>1.1117609301334846E-3</v>
      </c>
      <c r="AK7" s="4">
        <f t="shared" si="8"/>
        <v>1.1117609301334846E-3</v>
      </c>
      <c r="AL7" s="4">
        <f t="shared" si="8"/>
        <v>1.1117609301334846E-3</v>
      </c>
      <c r="AM7" s="4">
        <f t="shared" si="8"/>
        <v>1.1117609301334846E-3</v>
      </c>
      <c r="AN7" s="4">
        <f t="shared" si="8"/>
        <v>1.1117609301334846E-3</v>
      </c>
      <c r="AO7" s="4">
        <f t="shared" si="8"/>
        <v>1.1117609301334846E-3</v>
      </c>
      <c r="AP7" s="4">
        <f t="shared" si="8"/>
        <v>1.1117609301334846E-3</v>
      </c>
      <c r="AQ7" s="4">
        <f t="shared" si="8"/>
        <v>1.1117609301334846E-3</v>
      </c>
      <c r="AR7" s="4">
        <f t="shared" si="8"/>
        <v>1.1117609301334846E-3</v>
      </c>
      <c r="AS7" s="4">
        <f t="shared" si="8"/>
        <v>1.1117609301334846E-3</v>
      </c>
      <c r="AT7" s="4">
        <f t="shared" si="8"/>
        <v>1.1117609301334846E-3</v>
      </c>
      <c r="AU7" s="4">
        <f t="shared" si="8"/>
        <v>1.1117609301334846E-3</v>
      </c>
      <c r="AV7" s="4">
        <f t="shared" si="8"/>
        <v>1.1117609301334846E-3</v>
      </c>
      <c r="AW7" s="4">
        <f t="shared" si="8"/>
        <v>1.1117609301334846E-3</v>
      </c>
      <c r="AX7" s="4">
        <f t="shared" si="8"/>
        <v>1.1117609301334846E-3</v>
      </c>
      <c r="AY7" s="4">
        <f t="shared" si="8"/>
        <v>1.1117609301334846E-3</v>
      </c>
    </row>
    <row r="8" spans="1:51">
      <c r="A8" t="s">
        <v>60</v>
      </c>
      <c r="B8" s="4">
        <v>4.3035906972909077E-3</v>
      </c>
      <c r="C8" s="4">
        <f t="shared" si="2"/>
        <v>4.3035906972909077E-3</v>
      </c>
      <c r="D8" s="4">
        <f t="shared" si="0"/>
        <v>4.3035906972909077E-3</v>
      </c>
      <c r="E8" s="4">
        <f t="shared" si="0"/>
        <v>4.3035906972909077E-3</v>
      </c>
      <c r="F8" s="4">
        <f t="shared" si="0"/>
        <v>4.3035906972909077E-3</v>
      </c>
      <c r="G8" s="4">
        <f t="shared" si="0"/>
        <v>4.3035906972909077E-3</v>
      </c>
      <c r="H8" s="4">
        <f t="shared" si="0"/>
        <v>4.3035906972909077E-3</v>
      </c>
      <c r="I8" s="4">
        <f t="shared" si="0"/>
        <v>4.3035906972909077E-3</v>
      </c>
      <c r="J8" s="4">
        <f t="shared" si="0"/>
        <v>4.3035906972909077E-3</v>
      </c>
      <c r="K8" s="4">
        <f t="shared" si="0"/>
        <v>4.3035906972909077E-3</v>
      </c>
      <c r="L8" s="4">
        <f t="shared" si="0"/>
        <v>4.3035906972909077E-3</v>
      </c>
      <c r="M8" s="4">
        <f t="shared" si="0"/>
        <v>4.3035906972909077E-3</v>
      </c>
      <c r="N8" s="4">
        <f t="shared" si="0"/>
        <v>4.3035906972909077E-3</v>
      </c>
      <c r="O8" s="4">
        <f t="shared" si="0"/>
        <v>4.3035906972909077E-3</v>
      </c>
      <c r="P8" s="4">
        <f t="shared" si="0"/>
        <v>4.3035906972909077E-3</v>
      </c>
      <c r="Q8" s="4">
        <f t="shared" si="0"/>
        <v>4.3035906972909077E-3</v>
      </c>
      <c r="R8" s="4">
        <f t="shared" si="0"/>
        <v>4.3035906972909077E-3</v>
      </c>
      <c r="S8" s="4">
        <f t="shared" si="0"/>
        <v>4.3035906972909077E-3</v>
      </c>
      <c r="T8" s="4">
        <f t="shared" si="0"/>
        <v>4.3035906972909077E-3</v>
      </c>
      <c r="U8" s="4">
        <f t="shared" si="0"/>
        <v>4.3035906972909077E-3</v>
      </c>
      <c r="V8" s="4">
        <f t="shared" si="0"/>
        <v>4.3035906972909077E-3</v>
      </c>
      <c r="W8" s="4">
        <f t="shared" si="0"/>
        <v>4.3035906972909077E-3</v>
      </c>
      <c r="X8" s="4">
        <f t="shared" si="0"/>
        <v>4.3035906972909077E-3</v>
      </c>
      <c r="Y8" s="4">
        <f t="shared" si="0"/>
        <v>4.3035906972909077E-3</v>
      </c>
      <c r="Z8" s="4">
        <f t="shared" si="0"/>
        <v>4.3035906972909077E-3</v>
      </c>
      <c r="AA8" s="4">
        <f t="shared" si="0"/>
        <v>4.3035906972909077E-3</v>
      </c>
      <c r="AB8" s="4">
        <f t="shared" si="0"/>
        <v>4.3035906972909077E-3</v>
      </c>
      <c r="AC8" s="4">
        <f t="shared" si="0"/>
        <v>4.3035906972909077E-3</v>
      </c>
      <c r="AD8" s="4">
        <f t="shared" si="0"/>
        <v>4.3035906972909077E-3</v>
      </c>
      <c r="AE8" s="4">
        <f t="shared" si="0"/>
        <v>4.3035906972909077E-3</v>
      </c>
      <c r="AF8" s="4">
        <f t="shared" ref="AF8:AY8" si="9">AE8</f>
        <v>4.3035906972909077E-3</v>
      </c>
      <c r="AG8" s="4">
        <f t="shared" si="9"/>
        <v>4.3035906972909077E-3</v>
      </c>
      <c r="AH8" s="4">
        <f t="shared" si="9"/>
        <v>4.3035906972909077E-3</v>
      </c>
      <c r="AI8" s="4">
        <f t="shared" si="9"/>
        <v>4.3035906972909077E-3</v>
      </c>
      <c r="AJ8" s="4">
        <f t="shared" si="9"/>
        <v>4.3035906972909077E-3</v>
      </c>
      <c r="AK8" s="4">
        <f t="shared" si="9"/>
        <v>4.3035906972909077E-3</v>
      </c>
      <c r="AL8" s="4">
        <f t="shared" si="9"/>
        <v>4.3035906972909077E-3</v>
      </c>
      <c r="AM8" s="4">
        <f t="shared" si="9"/>
        <v>4.3035906972909077E-3</v>
      </c>
      <c r="AN8" s="4">
        <f t="shared" si="9"/>
        <v>4.3035906972909077E-3</v>
      </c>
      <c r="AO8" s="4">
        <f t="shared" si="9"/>
        <v>4.3035906972909077E-3</v>
      </c>
      <c r="AP8" s="4">
        <f t="shared" si="9"/>
        <v>4.3035906972909077E-3</v>
      </c>
      <c r="AQ8" s="4">
        <f t="shared" si="9"/>
        <v>4.3035906972909077E-3</v>
      </c>
      <c r="AR8" s="4">
        <f t="shared" si="9"/>
        <v>4.3035906972909077E-3</v>
      </c>
      <c r="AS8" s="4">
        <f t="shared" si="9"/>
        <v>4.3035906972909077E-3</v>
      </c>
      <c r="AT8" s="4">
        <f t="shared" si="9"/>
        <v>4.3035906972909077E-3</v>
      </c>
      <c r="AU8" s="4">
        <f t="shared" si="9"/>
        <v>4.3035906972909077E-3</v>
      </c>
      <c r="AV8" s="4">
        <f t="shared" si="9"/>
        <v>4.3035906972909077E-3</v>
      </c>
      <c r="AW8" s="4">
        <f t="shared" si="9"/>
        <v>4.3035906972909077E-3</v>
      </c>
      <c r="AX8" s="4">
        <f t="shared" si="9"/>
        <v>4.3035906972909077E-3</v>
      </c>
      <c r="AY8" s="4">
        <f t="shared" si="9"/>
        <v>4.3035906972909077E-3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Y8"/>
  <sheetViews>
    <sheetView tabSelected="1" topLeftCell="V1" workbookViewId="0">
      <selection activeCell="AF2" sqref="AF2:AY8"/>
    </sheetView>
  </sheetViews>
  <sheetFormatPr defaultColWidth="8.85546875" defaultRowHeight="15"/>
  <cols>
    <col min="1" max="1" width="31.140625" customWidth="1"/>
  </cols>
  <sheetData>
    <row r="1" spans="1:51" ht="15.95">
      <c r="A1" s="18" t="s">
        <v>98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52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f t="shared" ref="AF2:AY2" si="0">AE2</f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</row>
    <row r="3" spans="1:51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f t="shared" ref="AF3:AY3" si="1">AE3</f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</row>
    <row r="4" spans="1:51">
      <c r="A4" t="s">
        <v>46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f t="shared" ref="AF4:AY4" si="2">AE4</f>
        <v>0</v>
      </c>
      <c r="AG4">
        <f t="shared" si="2"/>
        <v>0</v>
      </c>
      <c r="AH4">
        <f t="shared" si="2"/>
        <v>0</v>
      </c>
      <c r="AI4">
        <f t="shared" si="2"/>
        <v>0</v>
      </c>
      <c r="AJ4">
        <f t="shared" si="2"/>
        <v>0</v>
      </c>
      <c r="AK4">
        <f t="shared" si="2"/>
        <v>0</v>
      </c>
      <c r="AL4">
        <f t="shared" si="2"/>
        <v>0</v>
      </c>
      <c r="AM4">
        <f t="shared" si="2"/>
        <v>0</v>
      </c>
      <c r="AN4">
        <f t="shared" si="2"/>
        <v>0</v>
      </c>
      <c r="AO4">
        <f t="shared" si="2"/>
        <v>0</v>
      </c>
      <c r="AP4">
        <f t="shared" si="2"/>
        <v>0</v>
      </c>
      <c r="AQ4">
        <f t="shared" si="2"/>
        <v>0</v>
      </c>
      <c r="AR4">
        <f t="shared" si="2"/>
        <v>0</v>
      </c>
      <c r="AS4">
        <f t="shared" si="2"/>
        <v>0</v>
      </c>
      <c r="AT4">
        <f t="shared" si="2"/>
        <v>0</v>
      </c>
      <c r="AU4">
        <f t="shared" si="2"/>
        <v>0</v>
      </c>
      <c r="AV4">
        <f t="shared" si="2"/>
        <v>0</v>
      </c>
      <c r="AW4">
        <f t="shared" si="2"/>
        <v>0</v>
      </c>
      <c r="AX4">
        <f t="shared" si="2"/>
        <v>0</v>
      </c>
      <c r="AY4">
        <f t="shared" si="2"/>
        <v>0</v>
      </c>
    </row>
    <row r="5" spans="1:51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f t="shared" ref="AF5:AY5" si="3">AE5</f>
        <v>0</v>
      </c>
      <c r="AG5">
        <f t="shared" si="3"/>
        <v>0</v>
      </c>
      <c r="AH5">
        <f t="shared" si="3"/>
        <v>0</v>
      </c>
      <c r="AI5">
        <f t="shared" si="3"/>
        <v>0</v>
      </c>
      <c r="AJ5">
        <f t="shared" si="3"/>
        <v>0</v>
      </c>
      <c r="AK5">
        <f t="shared" si="3"/>
        <v>0</v>
      </c>
      <c r="AL5">
        <f t="shared" si="3"/>
        <v>0</v>
      </c>
      <c r="AM5">
        <f t="shared" si="3"/>
        <v>0</v>
      </c>
      <c r="AN5">
        <f t="shared" si="3"/>
        <v>0</v>
      </c>
      <c r="AO5">
        <f t="shared" si="3"/>
        <v>0</v>
      </c>
      <c r="AP5">
        <f t="shared" si="3"/>
        <v>0</v>
      </c>
      <c r="AQ5">
        <f t="shared" si="3"/>
        <v>0</v>
      </c>
      <c r="AR5">
        <f t="shared" si="3"/>
        <v>0</v>
      </c>
      <c r="AS5">
        <f t="shared" si="3"/>
        <v>0</v>
      </c>
      <c r="AT5">
        <f t="shared" si="3"/>
        <v>0</v>
      </c>
      <c r="AU5">
        <f t="shared" si="3"/>
        <v>0</v>
      </c>
      <c r="AV5">
        <f t="shared" si="3"/>
        <v>0</v>
      </c>
      <c r="AW5">
        <f t="shared" si="3"/>
        <v>0</v>
      </c>
      <c r="AX5">
        <f t="shared" si="3"/>
        <v>0</v>
      </c>
      <c r="AY5">
        <f t="shared" si="3"/>
        <v>0</v>
      </c>
    </row>
    <row r="6" spans="1:51">
      <c r="A6" t="s">
        <v>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f t="shared" ref="AF6:AY6" si="4">AE6</f>
        <v>0</v>
      </c>
      <c r="AG6">
        <f t="shared" si="4"/>
        <v>0</v>
      </c>
      <c r="AH6">
        <f t="shared" si="4"/>
        <v>0</v>
      </c>
      <c r="AI6">
        <f t="shared" si="4"/>
        <v>0</v>
      </c>
      <c r="AJ6">
        <f t="shared" si="4"/>
        <v>0</v>
      </c>
      <c r="AK6">
        <f t="shared" si="4"/>
        <v>0</v>
      </c>
      <c r="AL6">
        <f t="shared" si="4"/>
        <v>0</v>
      </c>
      <c r="AM6">
        <f t="shared" si="4"/>
        <v>0</v>
      </c>
      <c r="AN6">
        <f t="shared" si="4"/>
        <v>0</v>
      </c>
      <c r="AO6">
        <f t="shared" si="4"/>
        <v>0</v>
      </c>
      <c r="AP6">
        <f t="shared" si="4"/>
        <v>0</v>
      </c>
      <c r="AQ6">
        <f t="shared" si="4"/>
        <v>0</v>
      </c>
      <c r="AR6">
        <f t="shared" si="4"/>
        <v>0</v>
      </c>
      <c r="AS6">
        <f t="shared" si="4"/>
        <v>0</v>
      </c>
      <c r="AT6">
        <f t="shared" si="4"/>
        <v>0</v>
      </c>
      <c r="AU6">
        <f t="shared" si="4"/>
        <v>0</v>
      </c>
      <c r="AV6">
        <f t="shared" si="4"/>
        <v>0</v>
      </c>
      <c r="AW6">
        <f t="shared" si="4"/>
        <v>0</v>
      </c>
      <c r="AX6">
        <f t="shared" si="4"/>
        <v>0</v>
      </c>
      <c r="AY6">
        <f t="shared" si="4"/>
        <v>0</v>
      </c>
    </row>
    <row r="7" spans="1:51">
      <c r="A7" t="s">
        <v>59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f t="shared" ref="AF7:AY7" si="5">AE7</f>
        <v>0</v>
      </c>
      <c r="AG7">
        <f t="shared" si="5"/>
        <v>0</v>
      </c>
      <c r="AH7">
        <f t="shared" si="5"/>
        <v>0</v>
      </c>
      <c r="AI7">
        <f t="shared" si="5"/>
        <v>0</v>
      </c>
      <c r="AJ7">
        <f t="shared" si="5"/>
        <v>0</v>
      </c>
      <c r="AK7">
        <f t="shared" si="5"/>
        <v>0</v>
      </c>
      <c r="AL7">
        <f t="shared" si="5"/>
        <v>0</v>
      </c>
      <c r="AM7">
        <f t="shared" si="5"/>
        <v>0</v>
      </c>
      <c r="AN7">
        <f t="shared" si="5"/>
        <v>0</v>
      </c>
      <c r="AO7">
        <f t="shared" si="5"/>
        <v>0</v>
      </c>
      <c r="AP7">
        <f t="shared" si="5"/>
        <v>0</v>
      </c>
      <c r="AQ7">
        <f t="shared" si="5"/>
        <v>0</v>
      </c>
      <c r="AR7">
        <f t="shared" si="5"/>
        <v>0</v>
      </c>
      <c r="AS7">
        <f t="shared" si="5"/>
        <v>0</v>
      </c>
      <c r="AT7">
        <f t="shared" si="5"/>
        <v>0</v>
      </c>
      <c r="AU7">
        <f t="shared" si="5"/>
        <v>0</v>
      </c>
      <c r="AV7">
        <f t="shared" si="5"/>
        <v>0</v>
      </c>
      <c r="AW7">
        <f t="shared" si="5"/>
        <v>0</v>
      </c>
      <c r="AX7">
        <f t="shared" si="5"/>
        <v>0</v>
      </c>
      <c r="AY7">
        <f t="shared" si="5"/>
        <v>0</v>
      </c>
    </row>
    <row r="8" spans="1:51">
      <c r="A8" t="s">
        <v>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f t="shared" ref="AF8:AY8" si="6">AE8</f>
        <v>0</v>
      </c>
      <c r="AG8">
        <f t="shared" si="6"/>
        <v>0</v>
      </c>
      <c r="AH8">
        <f t="shared" si="6"/>
        <v>0</v>
      </c>
      <c r="AI8">
        <f t="shared" si="6"/>
        <v>0</v>
      </c>
      <c r="AJ8">
        <f t="shared" si="6"/>
        <v>0</v>
      </c>
      <c r="AK8">
        <f t="shared" si="6"/>
        <v>0</v>
      </c>
      <c r="AL8">
        <f t="shared" si="6"/>
        <v>0</v>
      </c>
      <c r="AM8">
        <f t="shared" si="6"/>
        <v>0</v>
      </c>
      <c r="AN8">
        <f t="shared" si="6"/>
        <v>0</v>
      </c>
      <c r="AO8">
        <f t="shared" si="6"/>
        <v>0</v>
      </c>
      <c r="AP8">
        <f t="shared" si="6"/>
        <v>0</v>
      </c>
      <c r="AQ8">
        <f t="shared" si="6"/>
        <v>0</v>
      </c>
      <c r="AR8">
        <f t="shared" si="6"/>
        <v>0</v>
      </c>
      <c r="AS8">
        <f t="shared" si="6"/>
        <v>0</v>
      </c>
      <c r="AT8">
        <f t="shared" si="6"/>
        <v>0</v>
      </c>
      <c r="AU8">
        <f t="shared" si="6"/>
        <v>0</v>
      </c>
      <c r="AV8">
        <f t="shared" si="6"/>
        <v>0</v>
      </c>
      <c r="AW8">
        <f t="shared" si="6"/>
        <v>0</v>
      </c>
      <c r="AX8">
        <f t="shared" si="6"/>
        <v>0</v>
      </c>
      <c r="AY8">
        <f t="shared" si="6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16F21D-DD73-4BB1-81E2-CA7383FA4903}"/>
</file>

<file path=customXml/itemProps2.xml><?xml version="1.0" encoding="utf-8"?>
<ds:datastoreItem xmlns:ds="http://schemas.openxmlformats.org/officeDocument/2006/customXml" ds:itemID="{604C51F1-8714-4E56-8177-E44C8943D038}"/>
</file>

<file path=customXml/itemProps3.xml><?xml version="1.0" encoding="utf-8"?>
<ds:datastoreItem xmlns:ds="http://schemas.openxmlformats.org/officeDocument/2006/customXml" ds:itemID="{F347EADC-057F-41F7-922B-3ECC53AD22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2017-06-26T22:04:22Z</dcterms:created>
  <dcterms:modified xsi:type="dcterms:W3CDTF">2025-04-03T16:39:07Z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