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2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korpius/My Drive/2024/FO local_EPS ICM/Diario/20250317_Trans2/VBDR/"/>
    </mc:Choice>
  </mc:AlternateContent>
  <xr:revisionPtr revIDLastSave="0" documentId="13_ncr:1_{F6FD12E8-5FDE-A14D-95B5-593F58D69086}" xr6:coauthVersionLast="47" xr6:coauthVersionMax="47" xr10:uidLastSave="{00000000-0000-0000-0000-000000000000}"/>
  <bookViews>
    <workbookView xWindow="-340" yWindow="-21100" windowWidth="33600" windowHeight="20500" firstSheet="2" activeTab="2" xr2:uid="{00000000-000D-0000-FFFF-FFFF00000000}"/>
  </bookViews>
  <sheets>
    <sheet name="About" sheetId="1" r:id="rId1"/>
    <sheet name="Cuadros Iniciales" sheetId="3" r:id="rId2"/>
    <sheet name="VBDR" sheetId="2" r:id="rId3"/>
  </sheets>
  <definedNames>
    <definedName name="solver_cvg" localSheetId="1" hidden="1">0.0001</definedName>
    <definedName name="solver_drv" localSheetId="1" hidden="1">1</definedName>
    <definedName name="solver_eng" localSheetId="1" hidden="1">1</definedName>
    <definedName name="solver_est" localSheetId="1" hidden="1">1</definedName>
    <definedName name="solver_itr" localSheetId="1" hidden="1">2147483647</definedName>
    <definedName name="solver_lhs1" localSheetId="1" hidden="1">'Cuadros Iniciales'!$R$63</definedName>
    <definedName name="solver_lhs2" localSheetId="1" hidden="1">'Cuadros Iniciales'!$R$63</definedName>
    <definedName name="solver_mip" localSheetId="1" hidden="1">2147483647</definedName>
    <definedName name="solver_mni" localSheetId="1" hidden="1">30</definedName>
    <definedName name="solver_mrt" localSheetId="1" hidden="1">0.075</definedName>
    <definedName name="solver_msl" localSheetId="1" hidden="1">2</definedName>
    <definedName name="solver_neg" localSheetId="1" hidden="1">1</definedName>
    <definedName name="solver_nod" localSheetId="1" hidden="1">2147483647</definedName>
    <definedName name="solver_num" localSheetId="1" hidden="1">0</definedName>
    <definedName name="solver_nwt" localSheetId="1" hidden="1">1</definedName>
    <definedName name="solver_pre" localSheetId="1" hidden="1">0.000001</definedName>
    <definedName name="solver_rbv" localSheetId="1" hidden="1">1</definedName>
    <definedName name="solver_rel1" localSheetId="1" hidden="1">2</definedName>
    <definedName name="solver_rel2" localSheetId="1" hidden="1">2</definedName>
    <definedName name="solver_rhs1" localSheetId="1" hidden="1">0.16</definedName>
    <definedName name="solver_rhs2" localSheetId="1" hidden="1">0.16</definedName>
    <definedName name="solver_rlx" localSheetId="1" hidden="1">2</definedName>
    <definedName name="solver_rsd" localSheetId="1" hidden="1">0</definedName>
    <definedName name="solver_scl" localSheetId="1" hidden="1">1</definedName>
    <definedName name="solver_sho" localSheetId="1" hidden="1">2</definedName>
    <definedName name="solver_ssz" localSheetId="1" hidden="1">100</definedName>
    <definedName name="solver_tim" localSheetId="1" hidden="1">2147483647</definedName>
    <definedName name="solver_tol" localSheetId="1" hidden="1">0.01</definedName>
    <definedName name="solver_typ" localSheetId="1" hidden="1">1</definedName>
    <definedName name="solver_val" localSheetId="1" hidden="1">0</definedName>
    <definedName name="solver_ver" localSheetId="1" hidden="1">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27" i="3" l="1"/>
  <c r="D205" i="3"/>
  <c r="D204" i="3"/>
  <c r="D203" i="3"/>
  <c r="D202" i="3"/>
  <c r="D201" i="3"/>
  <c r="D200" i="3"/>
  <c r="D199" i="3"/>
  <c r="C23" i="3" s="1"/>
  <c r="D198" i="3"/>
  <c r="D197" i="3"/>
  <c r="D196" i="3"/>
  <c r="D195" i="3"/>
  <c r="D194" i="3"/>
  <c r="D193" i="3"/>
  <c r="D192" i="3"/>
  <c r="D191" i="3"/>
  <c r="C15" i="3" s="1"/>
  <c r="D190" i="3"/>
  <c r="D189" i="3"/>
  <c r="D188" i="3"/>
  <c r="V175" i="3"/>
  <c r="Q175" i="3"/>
  <c r="L175" i="3"/>
  <c r="G175" i="3"/>
  <c r="P173" i="3"/>
  <c r="P171" i="3"/>
  <c r="J160" i="3"/>
  <c r="J159" i="3"/>
  <c r="G144" i="3"/>
  <c r="G145" i="3" s="1"/>
  <c r="F144" i="3"/>
  <c r="F145" i="3" s="1"/>
  <c r="E144" i="3"/>
  <c r="E145" i="3" s="1"/>
  <c r="M131" i="3"/>
  <c r="L131" i="3"/>
  <c r="K131" i="3"/>
  <c r="J131" i="3"/>
  <c r="E131" i="3"/>
  <c r="Q127" i="3"/>
  <c r="N127" i="3"/>
  <c r="H127" i="3"/>
  <c r="N126" i="3"/>
  <c r="N125" i="3"/>
  <c r="G125" i="3"/>
  <c r="Q125" i="3" s="1"/>
  <c r="N159" i="3" s="1"/>
  <c r="N124" i="3"/>
  <c r="G124" i="3"/>
  <c r="Q124" i="3" s="1"/>
  <c r="N158" i="3" s="1"/>
  <c r="N123" i="3"/>
  <c r="G123" i="3"/>
  <c r="Q123" i="3" s="1"/>
  <c r="N157" i="3" s="1"/>
  <c r="N122" i="3"/>
  <c r="G122" i="3"/>
  <c r="Q122" i="3" s="1"/>
  <c r="N156" i="3" s="1"/>
  <c r="N121" i="3"/>
  <c r="G121" i="3"/>
  <c r="Q121" i="3" s="1"/>
  <c r="N155" i="3" s="1"/>
  <c r="N120" i="3"/>
  <c r="G120" i="3"/>
  <c r="Q120" i="3" s="1"/>
  <c r="N154" i="3" s="1"/>
  <c r="N119" i="3"/>
  <c r="G119" i="3"/>
  <c r="Q119" i="3" s="1"/>
  <c r="N153" i="3" s="1"/>
  <c r="N118" i="3"/>
  <c r="G118" i="3"/>
  <c r="Q118" i="3" s="1"/>
  <c r="N152" i="3" s="1"/>
  <c r="N117" i="3"/>
  <c r="G117" i="3"/>
  <c r="Q117" i="3" s="1"/>
  <c r="N151" i="3" s="1"/>
  <c r="Q116" i="3"/>
  <c r="N150" i="3" s="1"/>
  <c r="N116" i="3"/>
  <c r="G116" i="3"/>
  <c r="AK115" i="3"/>
  <c r="AJ115" i="3"/>
  <c r="AI115" i="3"/>
  <c r="AH115" i="3"/>
  <c r="AG115" i="3"/>
  <c r="AF115" i="3"/>
  <c r="AE115" i="3"/>
  <c r="AD115" i="3"/>
  <c r="AC115" i="3"/>
  <c r="AB115" i="3"/>
  <c r="AA115" i="3"/>
  <c r="Z115" i="3"/>
  <c r="Y115" i="3"/>
  <c r="X115" i="3"/>
  <c r="W115" i="3"/>
  <c r="V115" i="3"/>
  <c r="U115" i="3"/>
  <c r="T115" i="3"/>
  <c r="N115" i="3"/>
  <c r="G115" i="3"/>
  <c r="Q115" i="3" s="1"/>
  <c r="N149" i="3" s="1"/>
  <c r="N114" i="3"/>
  <c r="G114" i="3"/>
  <c r="Q114" i="3" s="1"/>
  <c r="N148" i="3" s="1"/>
  <c r="N113" i="3"/>
  <c r="N112" i="3"/>
  <c r="G112" i="3"/>
  <c r="Q112" i="3" s="1"/>
  <c r="N146" i="3" s="1"/>
  <c r="N111" i="3"/>
  <c r="G111" i="3"/>
  <c r="Q111" i="3" s="1"/>
  <c r="N145" i="3" s="1"/>
  <c r="N110" i="3"/>
  <c r="G110" i="3"/>
  <c r="Q110" i="3" s="1"/>
  <c r="N144" i="3" s="1"/>
  <c r="N109" i="3"/>
  <c r="O143" i="3"/>
  <c r="D131" i="3"/>
  <c r="AX61" i="3"/>
  <c r="AW61" i="3"/>
  <c r="AZ61" i="3" s="1"/>
  <c r="AV61" i="3"/>
  <c r="O61" i="3"/>
  <c r="F61" i="3"/>
  <c r="AW60" i="3"/>
  <c r="AV60" i="3"/>
  <c r="AZ60" i="3" s="1"/>
  <c r="AY60" i="3"/>
  <c r="AX60" i="3"/>
  <c r="O60" i="3"/>
  <c r="F60" i="3"/>
  <c r="AV59" i="3"/>
  <c r="AS59" i="3"/>
  <c r="Q59" i="3" s="1"/>
  <c r="S59" i="3" s="1"/>
  <c r="AY59" i="3"/>
  <c r="AX59" i="3"/>
  <c r="O59" i="3"/>
  <c r="N59" i="3"/>
  <c r="K59" i="3"/>
  <c r="F59" i="3"/>
  <c r="BD59" i="3" s="1"/>
  <c r="AY58" i="3"/>
  <c r="AX58" i="3"/>
  <c r="AW58" i="3"/>
  <c r="O58" i="3"/>
  <c r="N58" i="3"/>
  <c r="K58" i="3"/>
  <c r="F58" i="3"/>
  <c r="BD58" i="3" s="1"/>
  <c r="AZ57" i="3"/>
  <c r="AY57" i="3"/>
  <c r="AX57" i="3"/>
  <c r="AW57" i="3"/>
  <c r="AV57" i="3"/>
  <c r="V57" i="3"/>
  <c r="O57" i="3"/>
  <c r="N57" i="3"/>
  <c r="K57" i="3"/>
  <c r="F57" i="3"/>
  <c r="BD57" i="3" s="1"/>
  <c r="V56" i="3"/>
  <c r="O56" i="3"/>
  <c r="N56" i="3"/>
  <c r="K56" i="3"/>
  <c r="F56" i="3"/>
  <c r="BD56" i="3" s="1"/>
  <c r="AX55" i="3"/>
  <c r="V55" i="3"/>
  <c r="N55" i="3"/>
  <c r="O55" i="3"/>
  <c r="F55" i="3"/>
  <c r="BD55" i="3" s="1"/>
  <c r="AU54" i="3"/>
  <c r="V54" i="3"/>
  <c r="O54" i="3"/>
  <c r="F54" i="3"/>
  <c r="BD54" i="3" s="1"/>
  <c r="BD53" i="3"/>
  <c r="V53" i="3"/>
  <c r="O53" i="3"/>
  <c r="F53" i="3"/>
  <c r="AT53" i="3" s="1"/>
  <c r="BA53" i="3" s="1"/>
  <c r="AS52" i="3"/>
  <c r="Q52" i="3" s="1"/>
  <c r="S52" i="3" s="1"/>
  <c r="O52" i="3"/>
  <c r="F52" i="3"/>
  <c r="E52" i="3"/>
  <c r="BD51" i="3"/>
  <c r="AX51" i="3"/>
  <c r="O51" i="3"/>
  <c r="N51" i="3"/>
  <c r="F51" i="3"/>
  <c r="AT51" i="3" s="1"/>
  <c r="BD50" i="3"/>
  <c r="BA50" i="3"/>
  <c r="AT50" i="3"/>
  <c r="O50" i="3"/>
  <c r="F50" i="3"/>
  <c r="AZ49" i="3"/>
  <c r="AY49" i="3"/>
  <c r="AX49" i="3"/>
  <c r="AW49" i="3"/>
  <c r="AV49" i="3"/>
  <c r="V49" i="3"/>
  <c r="O49" i="3"/>
  <c r="F49" i="3"/>
  <c r="BD48" i="3"/>
  <c r="BA48" i="3"/>
  <c r="AZ48" i="3"/>
  <c r="AT48" i="3"/>
  <c r="AW48" i="3"/>
  <c r="AV48" i="3"/>
  <c r="V48" i="3"/>
  <c r="O48" i="3"/>
  <c r="N48" i="3"/>
  <c r="F48" i="3"/>
  <c r="BD47" i="3"/>
  <c r="AT47" i="3"/>
  <c r="BA47" i="3" s="1"/>
  <c r="AS47" i="3"/>
  <c r="Q47" i="3" s="1"/>
  <c r="S47" i="3" s="1"/>
  <c r="AX47" i="3"/>
  <c r="AW47" i="3"/>
  <c r="AV47" i="3"/>
  <c r="AZ47" i="3" s="1"/>
  <c r="O47" i="3"/>
  <c r="N47" i="3"/>
  <c r="K47" i="3"/>
  <c r="F47" i="3"/>
  <c r="AV46" i="3"/>
  <c r="O46" i="3"/>
  <c r="F46" i="3"/>
  <c r="BD46" i="3" s="1"/>
  <c r="BD45" i="3"/>
  <c r="AY45" i="3"/>
  <c r="AX45" i="3"/>
  <c r="AT45" i="3"/>
  <c r="V45" i="3"/>
  <c r="O45" i="3"/>
  <c r="N45" i="3"/>
  <c r="F45" i="3"/>
  <c r="BD44" i="3"/>
  <c r="BE44" i="3" s="1"/>
  <c r="BA44" i="3"/>
  <c r="AT44" i="3"/>
  <c r="V44" i="3"/>
  <c r="O44" i="3"/>
  <c r="L44" i="3"/>
  <c r="K44" i="3"/>
  <c r="N44" i="3"/>
  <c r="F44" i="3"/>
  <c r="B44" i="3"/>
  <c r="M44" i="3" s="1"/>
  <c r="N39" i="3"/>
  <c r="AA39" i="3" s="1"/>
  <c r="AC39" i="3" s="1"/>
  <c r="C39" i="3"/>
  <c r="O39" i="3" s="1"/>
  <c r="AB39" i="3" s="1"/>
  <c r="AD39" i="3" s="1"/>
  <c r="AD44" i="3" s="1"/>
  <c r="AD45" i="3" s="1"/>
  <c r="AD46" i="3" s="1"/>
  <c r="AD47" i="3" s="1"/>
  <c r="AD48" i="3" s="1"/>
  <c r="AD49" i="3" s="1"/>
  <c r="AD50" i="3" s="1"/>
  <c r="AD51" i="3" s="1"/>
  <c r="AD52" i="3" s="1"/>
  <c r="AD53" i="3" s="1"/>
  <c r="AD54" i="3" s="1"/>
  <c r="AD55" i="3" s="1"/>
  <c r="AD56" i="3" s="1"/>
  <c r="AD57" i="3" s="1"/>
  <c r="AD58" i="3" s="1"/>
  <c r="AD59" i="3" s="1"/>
  <c r="AD60" i="3" s="1"/>
  <c r="AD61" i="3" s="1"/>
  <c r="B39" i="3"/>
  <c r="T29" i="3"/>
  <c r="Q29" i="3"/>
  <c r="R29" i="3" s="1"/>
  <c r="M29" i="3"/>
  <c r="H29" i="3"/>
  <c r="G29" i="3"/>
  <c r="P29" i="3" s="1"/>
  <c r="F29" i="3"/>
  <c r="O94" i="3" s="1"/>
  <c r="E29" i="3"/>
  <c r="C29" i="3"/>
  <c r="D29" i="3" s="1"/>
  <c r="K29" i="3" s="1"/>
  <c r="N29" i="3" s="1"/>
  <c r="B29" i="3"/>
  <c r="AY61" i="3" s="1"/>
  <c r="T28" i="3"/>
  <c r="P28" i="3"/>
  <c r="M28" i="3"/>
  <c r="H28" i="3"/>
  <c r="G28" i="3"/>
  <c r="F28" i="3"/>
  <c r="O93" i="3" s="1"/>
  <c r="E28" i="3"/>
  <c r="C28" i="3"/>
  <c r="D28" i="3" s="1"/>
  <c r="K28" i="3" s="1"/>
  <c r="N28" i="3" s="1"/>
  <c r="B28" i="3"/>
  <c r="T27" i="3"/>
  <c r="M27" i="3"/>
  <c r="E59" i="3" s="1"/>
  <c r="K27" i="3"/>
  <c r="N27" i="3" s="1"/>
  <c r="H27" i="3"/>
  <c r="G27" i="3"/>
  <c r="P27" i="3" s="1"/>
  <c r="F27" i="3"/>
  <c r="O92" i="3" s="1"/>
  <c r="E27" i="3"/>
  <c r="AN27" i="3" s="1"/>
  <c r="W27" i="3" s="1"/>
  <c r="X27" i="3" s="1"/>
  <c r="C27" i="3"/>
  <c r="D27" i="3" s="1"/>
  <c r="B27" i="3"/>
  <c r="T26" i="3"/>
  <c r="M26" i="3"/>
  <c r="H26" i="3"/>
  <c r="G26" i="3"/>
  <c r="P26" i="3" s="1"/>
  <c r="F26" i="3"/>
  <c r="O91" i="3" s="1"/>
  <c r="E26" i="3"/>
  <c r="D26" i="3"/>
  <c r="K26" i="3" s="1"/>
  <c r="N26" i="3" s="1"/>
  <c r="C26" i="3"/>
  <c r="B26" i="3"/>
  <c r="T25" i="3"/>
  <c r="M25" i="3"/>
  <c r="K25" i="3"/>
  <c r="N25" i="3" s="1"/>
  <c r="H25" i="3"/>
  <c r="G25" i="3"/>
  <c r="P25" i="3" s="1"/>
  <c r="F25" i="3"/>
  <c r="O90" i="3" s="1"/>
  <c r="E25" i="3"/>
  <c r="D25" i="3"/>
  <c r="C25" i="3"/>
  <c r="B25" i="3"/>
  <c r="T24" i="3"/>
  <c r="P24" i="3"/>
  <c r="M24" i="3"/>
  <c r="H24" i="3"/>
  <c r="G24" i="3"/>
  <c r="F24" i="3"/>
  <c r="O89" i="3" s="1"/>
  <c r="E24" i="3"/>
  <c r="C24" i="3"/>
  <c r="D24" i="3" s="1"/>
  <c r="K24" i="3" s="1"/>
  <c r="N24" i="3" s="1"/>
  <c r="B24" i="3"/>
  <c r="AY56" i="3" s="1"/>
  <c r="T23" i="3"/>
  <c r="P23" i="3"/>
  <c r="M23" i="3"/>
  <c r="H23" i="3"/>
  <c r="G23" i="3"/>
  <c r="F23" i="3"/>
  <c r="O88" i="3" s="1"/>
  <c r="E23" i="3"/>
  <c r="B23" i="3"/>
  <c r="AV55" i="3" s="1"/>
  <c r="W22" i="3"/>
  <c r="T22" i="3"/>
  <c r="M22" i="3"/>
  <c r="H22" i="3"/>
  <c r="G22" i="3"/>
  <c r="P22" i="3" s="1"/>
  <c r="F22" i="3"/>
  <c r="O87" i="3" s="1"/>
  <c r="E22" i="3"/>
  <c r="AN22" i="3" s="1"/>
  <c r="C22" i="3"/>
  <c r="B22" i="3"/>
  <c r="T21" i="3"/>
  <c r="N21" i="3"/>
  <c r="M21" i="3"/>
  <c r="H21" i="3"/>
  <c r="G21" i="3"/>
  <c r="P21" i="3" s="1"/>
  <c r="F21" i="3"/>
  <c r="E21" i="3"/>
  <c r="D21" i="3"/>
  <c r="K21" i="3" s="1"/>
  <c r="C21" i="3"/>
  <c r="B21" i="3"/>
  <c r="T20" i="3"/>
  <c r="P20" i="3"/>
  <c r="N20" i="3"/>
  <c r="O20" i="3" s="1"/>
  <c r="M20" i="3"/>
  <c r="H20" i="3"/>
  <c r="G20" i="3"/>
  <c r="F20" i="3"/>
  <c r="O85" i="3" s="1"/>
  <c r="E20" i="3"/>
  <c r="D20" i="3"/>
  <c r="K20" i="3" s="1"/>
  <c r="C20" i="3"/>
  <c r="B20" i="3"/>
  <c r="AW52" i="3" s="1"/>
  <c r="T19" i="3"/>
  <c r="M19" i="3"/>
  <c r="K19" i="3"/>
  <c r="N19" i="3" s="1"/>
  <c r="H19" i="3"/>
  <c r="G19" i="3"/>
  <c r="P19" i="3" s="1"/>
  <c r="Q19" i="3" s="1"/>
  <c r="F19" i="3"/>
  <c r="O84" i="3" s="1"/>
  <c r="E19" i="3"/>
  <c r="AN19" i="3" s="1"/>
  <c r="W19" i="3" s="1"/>
  <c r="X19" i="3" s="1"/>
  <c r="D19" i="3"/>
  <c r="C19" i="3"/>
  <c r="B19" i="3"/>
  <c r="AV51" i="3" s="1"/>
  <c r="AN18" i="3"/>
  <c r="W18" i="3" s="1"/>
  <c r="T18" i="3"/>
  <c r="M18" i="3"/>
  <c r="AS50" i="3" s="1"/>
  <c r="Q50" i="3" s="1"/>
  <c r="S50" i="3" s="1"/>
  <c r="H18" i="3"/>
  <c r="G18" i="3"/>
  <c r="P18" i="3" s="1"/>
  <c r="F18" i="3"/>
  <c r="E18" i="3"/>
  <c r="C18" i="3"/>
  <c r="B18" i="3"/>
  <c r="D18" i="3" s="1"/>
  <c r="K18" i="3" s="1"/>
  <c r="AN17" i="3"/>
  <c r="W17" i="3" s="1"/>
  <c r="T17" i="3"/>
  <c r="P17" i="3"/>
  <c r="M17" i="3"/>
  <c r="H17" i="3"/>
  <c r="G17" i="3"/>
  <c r="F17" i="3"/>
  <c r="O82" i="3" s="1"/>
  <c r="E17" i="3"/>
  <c r="C17" i="3"/>
  <c r="D17" i="3" s="1"/>
  <c r="K17" i="3" s="1"/>
  <c r="B17" i="3"/>
  <c r="T16" i="3"/>
  <c r="P16" i="3"/>
  <c r="M16" i="3"/>
  <c r="E48" i="3" s="1"/>
  <c r="L48" i="3" s="1"/>
  <c r="H16" i="3"/>
  <c r="G16" i="3"/>
  <c r="F16" i="3"/>
  <c r="O81" i="3" s="1"/>
  <c r="E16" i="3"/>
  <c r="C16" i="3"/>
  <c r="D16" i="3" s="1"/>
  <c r="K16" i="3" s="1"/>
  <c r="N16" i="3" s="1"/>
  <c r="B16" i="3"/>
  <c r="AY48" i="3" s="1"/>
  <c r="T15" i="3"/>
  <c r="M15" i="3"/>
  <c r="E47" i="3" s="1"/>
  <c r="H15" i="3"/>
  <c r="G15" i="3"/>
  <c r="P15" i="3" s="1"/>
  <c r="F15" i="3"/>
  <c r="O80" i="3" s="1"/>
  <c r="E15" i="3"/>
  <c r="B15" i="3"/>
  <c r="AN14" i="3"/>
  <c r="W14" i="3"/>
  <c r="T14" i="3"/>
  <c r="M14" i="3"/>
  <c r="H14" i="3"/>
  <c r="G14" i="3"/>
  <c r="P14" i="3" s="1"/>
  <c r="F14" i="3"/>
  <c r="E14" i="3"/>
  <c r="C14" i="3"/>
  <c r="B14" i="3"/>
  <c r="T13" i="3"/>
  <c r="M13" i="3"/>
  <c r="L13" i="3"/>
  <c r="H13" i="3"/>
  <c r="G13" i="3"/>
  <c r="P13" i="3" s="1"/>
  <c r="Q13" i="3" s="1"/>
  <c r="R13" i="3" s="1"/>
  <c r="F13" i="3"/>
  <c r="O78" i="3" s="1"/>
  <c r="E13" i="3"/>
  <c r="O13" i="3" s="1"/>
  <c r="D13" i="3"/>
  <c r="K13" i="3" s="1"/>
  <c r="N13" i="3" s="1"/>
  <c r="C13" i="3"/>
  <c r="B13" i="3"/>
  <c r="W12" i="3"/>
  <c r="T12" i="3"/>
  <c r="P12" i="3"/>
  <c r="M12" i="3"/>
  <c r="E44" i="3" s="1"/>
  <c r="H12" i="3"/>
  <c r="G12" i="3"/>
  <c r="F12" i="3"/>
  <c r="O77" i="3" s="1"/>
  <c r="E12" i="3"/>
  <c r="AN12" i="3" s="1"/>
  <c r="C12" i="3"/>
  <c r="D12" i="3" s="1"/>
  <c r="K12" i="3" s="1"/>
  <c r="N12" i="3" s="1"/>
  <c r="B12" i="3"/>
  <c r="AW44" i="3" s="1"/>
  <c r="O144" i="3" l="1"/>
  <c r="AC44" i="3"/>
  <c r="AK44" i="3" s="1"/>
  <c r="AO44" i="3" s="1"/>
  <c r="C44" i="3"/>
  <c r="C45" i="3" s="1"/>
  <c r="C46" i="3" s="1"/>
  <c r="C47" i="3" s="1"/>
  <c r="C48" i="3" s="1"/>
  <c r="C49" i="3" s="1"/>
  <c r="C50" i="3" s="1"/>
  <c r="C51" i="3" s="1"/>
  <c r="C52" i="3" s="1"/>
  <c r="C53" i="3" s="1"/>
  <c r="C54" i="3" s="1"/>
  <c r="C55" i="3" s="1"/>
  <c r="C56" i="3" s="1"/>
  <c r="C57" i="3" s="1"/>
  <c r="C58" i="3" s="1"/>
  <c r="C59" i="3" s="1"/>
  <c r="C60" i="3" s="1"/>
  <c r="C61" i="3" s="1"/>
  <c r="N18" i="3"/>
  <c r="L18" i="3"/>
  <c r="Q12" i="3"/>
  <c r="R12" i="3" s="1"/>
  <c r="AI12" i="3" s="1"/>
  <c r="O12" i="3"/>
  <c r="X12" i="3"/>
  <c r="Q16" i="3"/>
  <c r="N54" i="3"/>
  <c r="K54" i="3"/>
  <c r="Q25" i="3"/>
  <c r="R25" i="3" s="1"/>
  <c r="AI25" i="3" s="1"/>
  <c r="O25" i="3"/>
  <c r="Q21" i="3"/>
  <c r="R21" i="3" s="1"/>
  <c r="AI21" i="3" s="1"/>
  <c r="AS49" i="3"/>
  <c r="Q49" i="3" s="1"/>
  <c r="S49" i="3" s="1"/>
  <c r="E49" i="3"/>
  <c r="O21" i="3"/>
  <c r="L52" i="3"/>
  <c r="AS46" i="3"/>
  <c r="Q46" i="3" s="1"/>
  <c r="S46" i="3" s="1"/>
  <c r="E46" i="3"/>
  <c r="X18" i="3"/>
  <c r="V46" i="3"/>
  <c r="AX46" i="3"/>
  <c r="K46" i="3"/>
  <c r="N46" i="3"/>
  <c r="AN16" i="3"/>
  <c r="W16" i="3" s="1"/>
  <c r="X16" i="3" s="1"/>
  <c r="R16" i="3"/>
  <c r="AI16" i="3" s="1"/>
  <c r="L16" i="3"/>
  <c r="N17" i="3"/>
  <c r="Q26" i="3"/>
  <c r="R26" i="3" s="1"/>
  <c r="Q20" i="3"/>
  <c r="O26" i="3"/>
  <c r="BD52" i="3"/>
  <c r="AT52" i="3"/>
  <c r="BA52" i="3" s="1"/>
  <c r="AY46" i="3"/>
  <c r="D14" i="3"/>
  <c r="K14" i="3" s="1"/>
  <c r="AW46" i="3"/>
  <c r="AZ46" i="3" s="1"/>
  <c r="O16" i="3"/>
  <c r="AZ51" i="3"/>
  <c r="O24" i="3"/>
  <c r="AN24" i="3"/>
  <c r="W24" i="3" s="1"/>
  <c r="X24" i="3" s="1"/>
  <c r="L24" i="3"/>
  <c r="AZ55" i="3"/>
  <c r="AN21" i="3"/>
  <c r="W21" i="3" s="1"/>
  <c r="X21" i="3" s="1"/>
  <c r="L21" i="3"/>
  <c r="Q27" i="3"/>
  <c r="R27" i="3" s="1"/>
  <c r="AI27" i="3" s="1"/>
  <c r="L29" i="3"/>
  <c r="AI29" i="3"/>
  <c r="O29" i="3"/>
  <c r="AN29" i="3"/>
  <c r="W29" i="3" s="1"/>
  <c r="X29" i="3" s="1"/>
  <c r="Q28" i="3"/>
  <c r="R28" i="3" s="1"/>
  <c r="AI28" i="3" s="1"/>
  <c r="BE45" i="3"/>
  <c r="BF44" i="3"/>
  <c r="F77" i="3" s="1"/>
  <c r="Q24" i="3"/>
  <c r="R24" i="3" s="1"/>
  <c r="AI24" i="3" s="1"/>
  <c r="L28" i="3"/>
  <c r="AN28" i="3"/>
  <c r="W28" i="3" s="1"/>
  <c r="X28" i="3" s="1"/>
  <c r="O28" i="3"/>
  <c r="V47" i="3"/>
  <c r="U147" i="3"/>
  <c r="B147" i="3" s="1"/>
  <c r="AU48" i="3"/>
  <c r="D44" i="3"/>
  <c r="B45" i="3"/>
  <c r="P45" i="3" s="1"/>
  <c r="R45" i="3" s="1"/>
  <c r="U148" i="3"/>
  <c r="B148" i="3" s="1"/>
  <c r="AU49" i="3"/>
  <c r="N52" i="3"/>
  <c r="K52" i="3"/>
  <c r="AT60" i="3"/>
  <c r="BA60" i="3" s="1"/>
  <c r="BD60" i="3"/>
  <c r="AS54" i="3"/>
  <c r="Q54" i="3" s="1"/>
  <c r="S54" i="3" s="1"/>
  <c r="E54" i="3"/>
  <c r="U143" i="3"/>
  <c r="AW51" i="3"/>
  <c r="V51" i="3"/>
  <c r="AY52" i="3"/>
  <c r="U154" i="3"/>
  <c r="B154" i="3" s="1"/>
  <c r="AU55" i="3"/>
  <c r="N60" i="3"/>
  <c r="K60" i="3"/>
  <c r="AS45" i="3"/>
  <c r="Q45" i="3" s="1"/>
  <c r="S45" i="3" s="1"/>
  <c r="E45" i="3"/>
  <c r="AI13" i="3"/>
  <c r="D15" i="3"/>
  <c r="K15" i="3" s="1"/>
  <c r="AN15" i="3"/>
  <c r="W15" i="3" s="1"/>
  <c r="L19" i="3"/>
  <c r="AI19" i="3"/>
  <c r="R20" i="3"/>
  <c r="AI20" i="3" s="1"/>
  <c r="AX54" i="3"/>
  <c r="AY54" i="3"/>
  <c r="D22" i="3"/>
  <c r="K22" i="3" s="1"/>
  <c r="AW54" i="3"/>
  <c r="AV54" i="3"/>
  <c r="AZ54" i="3" s="1"/>
  <c r="AS57" i="3"/>
  <c r="Q57" i="3" s="1"/>
  <c r="S57" i="3" s="1"/>
  <c r="E57" i="3"/>
  <c r="AN26" i="3"/>
  <c r="W26" i="3" s="1"/>
  <c r="X26" i="3" s="1"/>
  <c r="L59" i="3"/>
  <c r="AA44" i="3"/>
  <c r="AV44" i="3"/>
  <c r="AZ44" i="3" s="1"/>
  <c r="AV45" i="3"/>
  <c r="AZ45" i="3" s="1"/>
  <c r="L47" i="3"/>
  <c r="AY47" i="3"/>
  <c r="K48" i="3"/>
  <c r="AX48" i="3"/>
  <c r="AT49" i="3"/>
  <c r="BA49" i="3" s="1"/>
  <c r="BD49" i="3"/>
  <c r="E50" i="3"/>
  <c r="BA51" i="3"/>
  <c r="AW56" i="3"/>
  <c r="L17" i="3"/>
  <c r="AN23" i="3"/>
  <c r="W23" i="3" s="1"/>
  <c r="X23" i="3" s="1"/>
  <c r="L23" i="3"/>
  <c r="AS58" i="3"/>
  <c r="Q58" i="3" s="1"/>
  <c r="S58" i="3" s="1"/>
  <c r="E58" i="3"/>
  <c r="U144" i="3"/>
  <c r="B144" i="3" s="1"/>
  <c r="AU45" i="3"/>
  <c r="O79" i="3"/>
  <c r="O18" i="3"/>
  <c r="AS51" i="3"/>
  <c r="Q51" i="3" s="1"/>
  <c r="S51" i="3" s="1"/>
  <c r="E51" i="3"/>
  <c r="AN20" i="3"/>
  <c r="W20" i="3" s="1"/>
  <c r="X20" i="3" s="1"/>
  <c r="AS56" i="3"/>
  <c r="Q56" i="3" s="1"/>
  <c r="S56" i="3" s="1"/>
  <c r="E56" i="3"/>
  <c r="E60" i="3"/>
  <c r="AS60" i="3"/>
  <c r="Q60" i="3" s="1"/>
  <c r="S60" i="3" s="1"/>
  <c r="AS44" i="3"/>
  <c r="Q44" i="3" s="1"/>
  <c r="AW45" i="3"/>
  <c r="AS48" i="3"/>
  <c r="Q48" i="3" s="1"/>
  <c r="S48" i="3" s="1"/>
  <c r="K49" i="3"/>
  <c r="N49" i="3"/>
  <c r="AW50" i="3"/>
  <c r="AY51" i="3"/>
  <c r="U152" i="3"/>
  <c r="B152" i="3" s="1"/>
  <c r="AU53" i="3"/>
  <c r="AX56" i="3"/>
  <c r="L12" i="3"/>
  <c r="O83" i="3"/>
  <c r="L20" i="3"/>
  <c r="AW53" i="3"/>
  <c r="AX53" i="3"/>
  <c r="AX44" i="3"/>
  <c r="N50" i="3"/>
  <c r="K50" i="3"/>
  <c r="AV53" i="3"/>
  <c r="AN13" i="3"/>
  <c r="W13" i="3" s="1"/>
  <c r="X13" i="3" s="1"/>
  <c r="R19" i="3"/>
  <c r="O19" i="3"/>
  <c r="AS53" i="3"/>
  <c r="Q53" i="3" s="1"/>
  <c r="S53" i="3" s="1"/>
  <c r="E53" i="3"/>
  <c r="L26" i="3"/>
  <c r="AI26" i="3"/>
  <c r="L27" i="3"/>
  <c r="O27" i="3"/>
  <c r="AB44" i="3"/>
  <c r="AB45" i="3" s="1"/>
  <c r="AB46" i="3" s="1"/>
  <c r="AB47" i="3" s="1"/>
  <c r="AB48" i="3" s="1"/>
  <c r="AB49" i="3" s="1"/>
  <c r="AB50" i="3" s="1"/>
  <c r="AB51" i="3" s="1"/>
  <c r="AB52" i="3" s="1"/>
  <c r="AB53" i="3" s="1"/>
  <c r="AB54" i="3" s="1"/>
  <c r="AB55" i="3" s="1"/>
  <c r="AB56" i="3" s="1"/>
  <c r="AB57" i="3" s="1"/>
  <c r="AB58" i="3" s="1"/>
  <c r="AB59" i="3" s="1"/>
  <c r="AB60" i="3" s="1"/>
  <c r="AB61" i="3" s="1"/>
  <c r="AY44" i="3"/>
  <c r="AU44" i="3"/>
  <c r="K45" i="3"/>
  <c r="AY50" i="3"/>
  <c r="V59" i="3"/>
  <c r="AW59" i="3"/>
  <c r="AZ59" i="3" s="1"/>
  <c r="AT59" i="3"/>
  <c r="BA59" i="3" s="1"/>
  <c r="BA45" i="3"/>
  <c r="V50" i="3"/>
  <c r="AV50" i="3"/>
  <c r="V52" i="3"/>
  <c r="AV52" i="3"/>
  <c r="AZ52" i="3" s="1"/>
  <c r="V58" i="3"/>
  <c r="AV58" i="3"/>
  <c r="AZ58" i="3" s="1"/>
  <c r="N53" i="3"/>
  <c r="K53" i="3"/>
  <c r="U155" i="3"/>
  <c r="B155" i="3" s="1"/>
  <c r="AU56" i="3"/>
  <c r="U156" i="3"/>
  <c r="B156" i="3" s="1"/>
  <c r="AU57" i="3"/>
  <c r="L25" i="3"/>
  <c r="AX50" i="3"/>
  <c r="AX52" i="3"/>
  <c r="K55" i="3"/>
  <c r="AV56" i="3"/>
  <c r="V60" i="3"/>
  <c r="BD61" i="3"/>
  <c r="AT61" i="3"/>
  <c r="BA61" i="3" s="1"/>
  <c r="F146" i="3"/>
  <c r="D23" i="3"/>
  <c r="K23" i="3" s="1"/>
  <c r="N23" i="3" s="1"/>
  <c r="AY55" i="3"/>
  <c r="AS55" i="3"/>
  <c r="Q55" i="3" s="1"/>
  <c r="S55" i="3" s="1"/>
  <c r="E55" i="3"/>
  <c r="AN25" i="3"/>
  <c r="W25" i="3" s="1"/>
  <c r="X25" i="3" s="1"/>
  <c r="E61" i="3"/>
  <c r="AS61" i="3"/>
  <c r="Q61" i="3" s="1"/>
  <c r="S61" i="3" s="1"/>
  <c r="K51" i="3"/>
  <c r="AY53" i="3"/>
  <c r="U153" i="3"/>
  <c r="B153" i="3" s="1"/>
  <c r="AW55" i="3"/>
  <c r="N61" i="3"/>
  <c r="K61" i="3"/>
  <c r="G146" i="3"/>
  <c r="O146" i="3" s="1"/>
  <c r="AT58" i="3"/>
  <c r="BA58" i="3" s="1"/>
  <c r="V61" i="3"/>
  <c r="AT57" i="3"/>
  <c r="BA57" i="3" s="1"/>
  <c r="AT56" i="3"/>
  <c r="BA56" i="3" s="1"/>
  <c r="AT55" i="3"/>
  <c r="BA55" i="3" s="1"/>
  <c r="G109" i="3"/>
  <c r="O145" i="3"/>
  <c r="G113" i="3"/>
  <c r="Q113" i="3" s="1"/>
  <c r="N147" i="3" s="1"/>
  <c r="O86" i="3"/>
  <c r="AT46" i="3"/>
  <c r="BA46" i="3" s="1"/>
  <c r="AT54" i="3"/>
  <c r="BA54" i="3" s="1"/>
  <c r="C131" i="3"/>
  <c r="F131" i="3"/>
  <c r="AH137" i="3" s="1"/>
  <c r="B126" i="3"/>
  <c r="G126" i="3" s="1"/>
  <c r="Q126" i="3" s="1"/>
  <c r="N160" i="3" s="1"/>
  <c r="E146" i="3"/>
  <c r="P44" i="3" l="1"/>
  <c r="AC45" i="3"/>
  <c r="AK45" i="3" s="1"/>
  <c r="U20" i="3"/>
  <c r="Y20" i="3" s="1"/>
  <c r="Z20" i="3" s="1"/>
  <c r="AJ20" i="3"/>
  <c r="V20" i="3" s="1"/>
  <c r="AC20" i="3"/>
  <c r="U24" i="3"/>
  <c r="Y24" i="3" s="1"/>
  <c r="Z24" i="3" s="1"/>
  <c r="AC24" i="3"/>
  <c r="AJ24" i="3"/>
  <c r="V24" i="3" s="1"/>
  <c r="U27" i="3"/>
  <c r="Y27" i="3" s="1"/>
  <c r="Z27" i="3" s="1"/>
  <c r="AC27" i="3"/>
  <c r="AJ27" i="3"/>
  <c r="V27" i="3" s="1"/>
  <c r="AC21" i="3"/>
  <c r="AJ21" i="3"/>
  <c r="V21" i="3" s="1"/>
  <c r="U21" i="3"/>
  <c r="Y21" i="3" s="1"/>
  <c r="Z21" i="3" s="1"/>
  <c r="U12" i="3"/>
  <c r="Y12" i="3" s="1"/>
  <c r="Z12" i="3" s="1"/>
  <c r="AC12" i="3"/>
  <c r="AJ12" i="3"/>
  <c r="V12" i="3" s="1"/>
  <c r="U28" i="3"/>
  <c r="Y28" i="3" s="1"/>
  <c r="Z28" i="3" s="1"/>
  <c r="AC28" i="3"/>
  <c r="AJ28" i="3"/>
  <c r="V28" i="3" s="1"/>
  <c r="AJ16" i="3"/>
  <c r="V16" i="3" s="1"/>
  <c r="U16" i="3"/>
  <c r="Y16" i="3" s="1"/>
  <c r="Z16" i="3" s="1"/>
  <c r="AC16" i="3"/>
  <c r="U25" i="3"/>
  <c r="Y25" i="3" s="1"/>
  <c r="Z25" i="3" s="1"/>
  <c r="AC25" i="3"/>
  <c r="AJ25" i="3"/>
  <c r="V25" i="3" s="1"/>
  <c r="Q63" i="3"/>
  <c r="S44" i="3"/>
  <c r="S63" i="3" s="1"/>
  <c r="U150" i="3"/>
  <c r="B150" i="3" s="1"/>
  <c r="AU51" i="3"/>
  <c r="U29" i="3"/>
  <c r="Y29" i="3" s="1"/>
  <c r="Z29" i="3" s="1"/>
  <c r="AJ29" i="3"/>
  <c r="V29" i="3" s="1"/>
  <c r="AC29" i="3"/>
  <c r="Q109" i="3"/>
  <c r="N143" i="3" s="1"/>
  <c r="N163" i="3" s="1"/>
  <c r="C173" i="3" s="1"/>
  <c r="G131" i="3"/>
  <c r="B143" i="3"/>
  <c r="U146" i="3"/>
  <c r="B146" i="3" s="1"/>
  <c r="S146" i="3" s="1"/>
  <c r="J146" i="3" s="1"/>
  <c r="AU47" i="3"/>
  <c r="L46" i="3"/>
  <c r="L49" i="3"/>
  <c r="O17" i="3"/>
  <c r="Q17" i="3"/>
  <c r="R17" i="3" s="1"/>
  <c r="AI17" i="3" s="1"/>
  <c r="U157" i="3"/>
  <c r="B157" i="3" s="1"/>
  <c r="AU58" i="3"/>
  <c r="L60" i="3"/>
  <c r="AC19" i="3"/>
  <c r="AJ19" i="3"/>
  <c r="V19" i="3" s="1"/>
  <c r="U19" i="3"/>
  <c r="Y19" i="3" s="1"/>
  <c r="Z19" i="3" s="1"/>
  <c r="R44" i="3"/>
  <c r="BE46" i="3"/>
  <c r="BF45" i="3"/>
  <c r="F78" i="3" s="1"/>
  <c r="AC46" i="3"/>
  <c r="U26" i="3"/>
  <c r="Y26" i="3" s="1"/>
  <c r="Z26" i="3" s="1"/>
  <c r="AC26" i="3"/>
  <c r="AJ26" i="3"/>
  <c r="V26" i="3" s="1"/>
  <c r="B131" i="3"/>
  <c r="Q18" i="3"/>
  <c r="R18" i="3" s="1"/>
  <c r="AI18" i="3" s="1"/>
  <c r="U151" i="3"/>
  <c r="B151" i="3" s="1"/>
  <c r="AU52" i="3"/>
  <c r="M45" i="3"/>
  <c r="L45" i="3"/>
  <c r="L53" i="3"/>
  <c r="U159" i="3"/>
  <c r="B159" i="3" s="1"/>
  <c r="AU60" i="3"/>
  <c r="U145" i="3"/>
  <c r="B145" i="3" s="1"/>
  <c r="AU46" i="3"/>
  <c r="AH144" i="3"/>
  <c r="AI137" i="3"/>
  <c r="G147" i="3"/>
  <c r="F147" i="3"/>
  <c r="L61" i="3"/>
  <c r="L57" i="3"/>
  <c r="L54" i="3"/>
  <c r="L55" i="3"/>
  <c r="AZ53" i="3"/>
  <c r="L56" i="3"/>
  <c r="B46" i="3"/>
  <c r="M46" i="3" s="1"/>
  <c r="D45" i="3"/>
  <c r="N14" i="3"/>
  <c r="L14" i="3"/>
  <c r="AZ56" i="3"/>
  <c r="U158" i="3"/>
  <c r="B158" i="3" s="1"/>
  <c r="AU59" i="3"/>
  <c r="S144" i="3"/>
  <c r="AU61" i="3"/>
  <c r="U160" i="3"/>
  <c r="B160" i="3" s="1"/>
  <c r="AZ50" i="3"/>
  <c r="L58" i="3"/>
  <c r="L50" i="3"/>
  <c r="N15" i="3"/>
  <c r="L15" i="3"/>
  <c r="X17" i="3"/>
  <c r="E147" i="3"/>
  <c r="Q23" i="3"/>
  <c r="R23" i="3" s="1"/>
  <c r="AI23" i="3" s="1"/>
  <c r="O23" i="3"/>
  <c r="U149" i="3"/>
  <c r="B149" i="3" s="1"/>
  <c r="AU50" i="3"/>
  <c r="L51" i="3"/>
  <c r="AA45" i="3"/>
  <c r="AJ44" i="3"/>
  <c r="AE44" i="3"/>
  <c r="N22" i="3"/>
  <c r="L22" i="3"/>
  <c r="U13" i="3"/>
  <c r="Y13" i="3" s="1"/>
  <c r="Z13" i="3" s="1"/>
  <c r="AJ13" i="3"/>
  <c r="V13" i="3" s="1"/>
  <c r="AC13" i="3"/>
  <c r="S147" i="3" l="1"/>
  <c r="I147" i="3" s="1"/>
  <c r="H146" i="3"/>
  <c r="J90" i="3"/>
  <c r="AD25" i="3"/>
  <c r="J144" i="3"/>
  <c r="I144" i="3"/>
  <c r="J94" i="3"/>
  <c r="AD29" i="3"/>
  <c r="J91" i="3"/>
  <c r="AD26" i="3"/>
  <c r="J84" i="3"/>
  <c r="AD19" i="3"/>
  <c r="F148" i="3"/>
  <c r="AJ18" i="3"/>
  <c r="V18" i="3" s="1"/>
  <c r="AC18" i="3"/>
  <c r="U18" i="3"/>
  <c r="Y18" i="3" s="1"/>
  <c r="Z18" i="3" s="1"/>
  <c r="U162" i="3"/>
  <c r="J86" i="3"/>
  <c r="AD21" i="3"/>
  <c r="J85" i="3"/>
  <c r="AD20" i="3"/>
  <c r="AJ45" i="3"/>
  <c r="AE45" i="3"/>
  <c r="B78" i="3" s="1"/>
  <c r="AA46" i="3"/>
  <c r="J78" i="3"/>
  <c r="AD13" i="3"/>
  <c r="U17" i="3"/>
  <c r="Y17" i="3" s="1"/>
  <c r="Z17" i="3" s="1"/>
  <c r="AC17" i="3"/>
  <c r="AJ17" i="3"/>
  <c r="V17" i="3" s="1"/>
  <c r="AC47" i="3"/>
  <c r="AK46" i="3"/>
  <c r="S143" i="3"/>
  <c r="Q22" i="3"/>
  <c r="R22" i="3" s="1"/>
  <c r="AI22" i="3" s="1"/>
  <c r="X22" i="3"/>
  <c r="O22" i="3"/>
  <c r="J93" i="3"/>
  <c r="AD28" i="3"/>
  <c r="E148" i="3"/>
  <c r="J92" i="3"/>
  <c r="AD27" i="3"/>
  <c r="AH145" i="3"/>
  <c r="J77" i="3"/>
  <c r="AD12" i="3"/>
  <c r="J81" i="3"/>
  <c r="AD16" i="3"/>
  <c r="S145" i="3"/>
  <c r="H145" i="3" s="1"/>
  <c r="J89" i="3"/>
  <c r="AD24" i="3"/>
  <c r="AO45" i="3"/>
  <c r="Q15" i="3"/>
  <c r="R15" i="3" s="1"/>
  <c r="AI15" i="3" s="1"/>
  <c r="O15" i="3"/>
  <c r="Q14" i="3"/>
  <c r="R14" i="3" s="1"/>
  <c r="AI14" i="3" s="1"/>
  <c r="O14" i="3"/>
  <c r="X14" i="3"/>
  <c r="I146" i="3"/>
  <c r="B77" i="3"/>
  <c r="AM44" i="3"/>
  <c r="X15" i="3"/>
  <c r="BE47" i="3"/>
  <c r="BF46" i="3"/>
  <c r="F79" i="3" s="1"/>
  <c r="AP44" i="3"/>
  <c r="AN44" i="3"/>
  <c r="D77" i="3" s="1"/>
  <c r="E77" i="3" s="1"/>
  <c r="G77" i="3" s="1"/>
  <c r="M77" i="3" s="1"/>
  <c r="AL44" i="3"/>
  <c r="AI44" i="3"/>
  <c r="AJ23" i="3"/>
  <c r="V23" i="3" s="1"/>
  <c r="U23" i="3"/>
  <c r="Y23" i="3" s="1"/>
  <c r="Z23" i="3" s="1"/>
  <c r="AC23" i="3"/>
  <c r="H144" i="3"/>
  <c r="B47" i="3"/>
  <c r="D46" i="3"/>
  <c r="P46" i="3"/>
  <c r="J147" i="3"/>
  <c r="G148" i="3"/>
  <c r="O147" i="3"/>
  <c r="H147" i="3" l="1"/>
  <c r="AM45" i="3"/>
  <c r="J143" i="3"/>
  <c r="I143" i="3"/>
  <c r="AC22" i="3"/>
  <c r="U22" i="3"/>
  <c r="Y22" i="3" s="1"/>
  <c r="Z22" i="3" s="1"/>
  <c r="AJ22" i="3"/>
  <c r="V22" i="3" s="1"/>
  <c r="L86" i="3"/>
  <c r="K86" i="3"/>
  <c r="AF21" i="3"/>
  <c r="AE21" i="3"/>
  <c r="K92" i="3"/>
  <c r="AE27" i="3"/>
  <c r="L92" i="3"/>
  <c r="AF27" i="3"/>
  <c r="J145" i="3"/>
  <c r="I145" i="3"/>
  <c r="L78" i="3"/>
  <c r="K78" i="3"/>
  <c r="AF13" i="3"/>
  <c r="AE13" i="3"/>
  <c r="K84" i="3"/>
  <c r="L84" i="3"/>
  <c r="AE19" i="3"/>
  <c r="AF19" i="3"/>
  <c r="C78" i="3"/>
  <c r="AF45" i="3"/>
  <c r="L90" i="3"/>
  <c r="K90" i="3"/>
  <c r="AE25" i="3"/>
  <c r="AF25" i="3"/>
  <c r="G149" i="3"/>
  <c r="O148" i="3"/>
  <c r="F149" i="3"/>
  <c r="C77" i="3"/>
  <c r="AF44" i="3"/>
  <c r="AC15" i="3"/>
  <c r="AJ15" i="3"/>
  <c r="V15" i="3" s="1"/>
  <c r="U15" i="3"/>
  <c r="Y15" i="3" s="1"/>
  <c r="Z15" i="3" s="1"/>
  <c r="AE29" i="3"/>
  <c r="L94" i="3"/>
  <c r="K94" i="3"/>
  <c r="AF29" i="3"/>
  <c r="R46" i="3"/>
  <c r="L81" i="3"/>
  <c r="K81" i="3"/>
  <c r="AF16" i="3"/>
  <c r="AE16" i="3"/>
  <c r="E149" i="3"/>
  <c r="S148" i="3"/>
  <c r="I148" i="3" s="1"/>
  <c r="H143" i="3"/>
  <c r="L93" i="3"/>
  <c r="AE28" i="3"/>
  <c r="K93" i="3"/>
  <c r="AF28" i="3"/>
  <c r="AO46" i="3"/>
  <c r="AA47" i="3"/>
  <c r="AJ46" i="3"/>
  <c r="AE46" i="3"/>
  <c r="B79" i="3" s="1"/>
  <c r="P47" i="3"/>
  <c r="R47" i="3" s="1"/>
  <c r="D47" i="3"/>
  <c r="B48" i="3"/>
  <c r="M47" i="3"/>
  <c r="L77" i="3"/>
  <c r="N77" i="3" s="1"/>
  <c r="P77" i="3" s="1"/>
  <c r="K77" i="3"/>
  <c r="AF12" i="3"/>
  <c r="AE12" i="3"/>
  <c r="AK47" i="3"/>
  <c r="AC48" i="3"/>
  <c r="J83" i="3"/>
  <c r="AD18" i="3"/>
  <c r="AC14" i="3"/>
  <c r="AJ14" i="3"/>
  <c r="V14" i="3" s="1"/>
  <c r="U14" i="3"/>
  <c r="Y14" i="3" s="1"/>
  <c r="Z14" i="3" s="1"/>
  <c r="AI45" i="3"/>
  <c r="AL45" i="3"/>
  <c r="AP45" i="3"/>
  <c r="AN45" i="3"/>
  <c r="D78" i="3" s="1"/>
  <c r="E78" i="3" s="1"/>
  <c r="G78" i="3" s="1"/>
  <c r="M78" i="3" s="1"/>
  <c r="J88" i="3"/>
  <c r="AD23" i="3"/>
  <c r="BE48" i="3"/>
  <c r="BF47" i="3"/>
  <c r="F80" i="3" s="1"/>
  <c r="L89" i="3"/>
  <c r="K89" i="3"/>
  <c r="AF24" i="3"/>
  <c r="AE24" i="3"/>
  <c r="J82" i="3"/>
  <c r="AD17" i="3"/>
  <c r="L85" i="3"/>
  <c r="AF20" i="3"/>
  <c r="K85" i="3"/>
  <c r="AE20" i="3"/>
  <c r="AE26" i="3"/>
  <c r="L91" i="3"/>
  <c r="K91" i="3"/>
  <c r="AF26" i="3"/>
  <c r="J148" i="3" l="1"/>
  <c r="AM46" i="3"/>
  <c r="G150" i="3"/>
  <c r="O149" i="3"/>
  <c r="L83" i="3"/>
  <c r="K83" i="3"/>
  <c r="AE18" i="3"/>
  <c r="AF18" i="3"/>
  <c r="AP46" i="3"/>
  <c r="AN46" i="3"/>
  <c r="D79" i="3" s="1"/>
  <c r="E79" i="3" s="1"/>
  <c r="G79" i="3" s="1"/>
  <c r="M79" i="3" s="1"/>
  <c r="AL46" i="3"/>
  <c r="AI46" i="3"/>
  <c r="L82" i="3"/>
  <c r="K82" i="3"/>
  <c r="AE17" i="3"/>
  <c r="AF17" i="3"/>
  <c r="AA48" i="3"/>
  <c r="AE47" i="3"/>
  <c r="B80" i="3" s="1"/>
  <c r="AJ47" i="3"/>
  <c r="H148" i="3"/>
  <c r="AC49" i="3"/>
  <c r="AK48" i="3"/>
  <c r="F150" i="3"/>
  <c r="J87" i="3"/>
  <c r="AD22" i="3"/>
  <c r="J79" i="3"/>
  <c r="AD14" i="3"/>
  <c r="J80" i="3"/>
  <c r="AD15" i="3"/>
  <c r="E150" i="3"/>
  <c r="S149" i="3"/>
  <c r="J149" i="3" s="1"/>
  <c r="AO47" i="3"/>
  <c r="BF48" i="3"/>
  <c r="F81" i="3" s="1"/>
  <c r="BE49" i="3"/>
  <c r="L88" i="3"/>
  <c r="K88" i="3"/>
  <c r="AE23" i="3"/>
  <c r="AF23" i="3"/>
  <c r="M143" i="3"/>
  <c r="B49" i="3"/>
  <c r="D48" i="3"/>
  <c r="M48" i="3"/>
  <c r="P48" i="3"/>
  <c r="C79" i="3"/>
  <c r="AF46" i="3"/>
  <c r="N78" i="3"/>
  <c r="P78" i="3" s="1"/>
  <c r="M144" i="3" s="1"/>
  <c r="P144" i="3" s="1"/>
  <c r="H149" i="3" l="1"/>
  <c r="I149" i="3"/>
  <c r="E151" i="3"/>
  <c r="S150" i="3"/>
  <c r="H150" i="3" s="1"/>
  <c r="L87" i="3"/>
  <c r="K87" i="3"/>
  <c r="AF22" i="3"/>
  <c r="AE22" i="3"/>
  <c r="B50" i="3"/>
  <c r="D49" i="3"/>
  <c r="P49" i="3"/>
  <c r="R49" i="3" s="1"/>
  <c r="M49" i="3"/>
  <c r="BF49" i="3"/>
  <c r="F82" i="3" s="1"/>
  <c r="BE50" i="3"/>
  <c r="L80" i="3"/>
  <c r="K80" i="3"/>
  <c r="AF15" i="3"/>
  <c r="AE15" i="3"/>
  <c r="AN47" i="3"/>
  <c r="D80" i="3" s="1"/>
  <c r="E80" i="3" s="1"/>
  <c r="G80" i="3" s="1"/>
  <c r="M80" i="3" s="1"/>
  <c r="AL47" i="3"/>
  <c r="AI47" i="3"/>
  <c r="AP47" i="3"/>
  <c r="C80" i="3"/>
  <c r="AF47" i="3"/>
  <c r="AM47" i="3"/>
  <c r="L79" i="3"/>
  <c r="N79" i="3" s="1"/>
  <c r="P79" i="3" s="1"/>
  <c r="M145" i="3" s="1"/>
  <c r="P145" i="3" s="1"/>
  <c r="K79" i="3"/>
  <c r="AE14" i="3"/>
  <c r="AF14" i="3"/>
  <c r="F151" i="3"/>
  <c r="AJ48" i="3"/>
  <c r="AA49" i="3"/>
  <c r="AE48" i="3"/>
  <c r="B81" i="3" s="1"/>
  <c r="AO48" i="3"/>
  <c r="G151" i="3"/>
  <c r="O150" i="3"/>
  <c r="R48" i="3"/>
  <c r="P143" i="3"/>
  <c r="AK49" i="3"/>
  <c r="AC50" i="3"/>
  <c r="AM48" i="3" l="1"/>
  <c r="AJ49" i="3"/>
  <c r="AE49" i="3"/>
  <c r="B82" i="3" s="1"/>
  <c r="AA50" i="3"/>
  <c r="AL48" i="3"/>
  <c r="AI48" i="3"/>
  <c r="AP48" i="3"/>
  <c r="AN48" i="3"/>
  <c r="D81" i="3" s="1"/>
  <c r="E81" i="3" s="1"/>
  <c r="G81" i="3" s="1"/>
  <c r="M81" i="3" s="1"/>
  <c r="N81" i="3" s="1"/>
  <c r="P81" i="3" s="1"/>
  <c r="M147" i="3" s="1"/>
  <c r="P147" i="3" s="1"/>
  <c r="F152" i="3"/>
  <c r="J150" i="3"/>
  <c r="I150" i="3"/>
  <c r="E152" i="3"/>
  <c r="S151" i="3"/>
  <c r="H151" i="3" s="1"/>
  <c r="G152" i="3"/>
  <c r="O151" i="3"/>
  <c r="N80" i="3"/>
  <c r="P80" i="3" s="1"/>
  <c r="B51" i="3"/>
  <c r="D50" i="3"/>
  <c r="P50" i="3"/>
  <c r="M50" i="3"/>
  <c r="AC51" i="3"/>
  <c r="AK50" i="3"/>
  <c r="AM49" i="3"/>
  <c r="AO49" i="3"/>
  <c r="C81" i="3"/>
  <c r="AF48" i="3"/>
  <c r="BF50" i="3"/>
  <c r="F83" i="3" s="1"/>
  <c r="BE51" i="3"/>
  <c r="I151" i="3" l="1"/>
  <c r="C82" i="3"/>
  <c r="AF49" i="3"/>
  <c r="B52" i="3"/>
  <c r="D51" i="3"/>
  <c r="P51" i="3"/>
  <c r="R51" i="3" s="1"/>
  <c r="M51" i="3"/>
  <c r="AO50" i="3"/>
  <c r="BF51" i="3"/>
  <c r="F84" i="3" s="1"/>
  <c r="BE52" i="3"/>
  <c r="AC52" i="3"/>
  <c r="AK51" i="3"/>
  <c r="J151" i="3"/>
  <c r="AI49" i="3"/>
  <c r="AP49" i="3"/>
  <c r="AN49" i="3"/>
  <c r="D82" i="3" s="1"/>
  <c r="E82" i="3" s="1"/>
  <c r="G82" i="3" s="1"/>
  <c r="M82" i="3" s="1"/>
  <c r="N82" i="3" s="1"/>
  <c r="P82" i="3" s="1"/>
  <c r="M148" i="3" s="1"/>
  <c r="P148" i="3" s="1"/>
  <c r="AL49" i="3"/>
  <c r="E153" i="3"/>
  <c r="S152" i="3"/>
  <c r="I152" i="3" s="1"/>
  <c r="F153" i="3"/>
  <c r="M146" i="3"/>
  <c r="AJ50" i="3"/>
  <c r="AA51" i="3"/>
  <c r="AE50" i="3"/>
  <c r="B83" i="3" s="1"/>
  <c r="G153" i="3"/>
  <c r="O152" i="3"/>
  <c r="R50" i="3"/>
  <c r="G154" i="3" l="1"/>
  <c r="O153" i="3"/>
  <c r="C83" i="3"/>
  <c r="AF50" i="3"/>
  <c r="P146" i="3"/>
  <c r="H152" i="3"/>
  <c r="F154" i="3"/>
  <c r="AE51" i="3"/>
  <c r="B84" i="3" s="1"/>
  <c r="AJ51" i="3"/>
  <c r="AA52" i="3"/>
  <c r="AO51" i="3"/>
  <c r="AN50" i="3"/>
  <c r="D83" i="3" s="1"/>
  <c r="E83" i="3" s="1"/>
  <c r="G83" i="3" s="1"/>
  <c r="M83" i="3" s="1"/>
  <c r="N83" i="3" s="1"/>
  <c r="P83" i="3" s="1"/>
  <c r="AL50" i="3"/>
  <c r="AI50" i="3"/>
  <c r="AP50" i="3"/>
  <c r="AC53" i="3"/>
  <c r="AK52" i="3"/>
  <c r="D52" i="3"/>
  <c r="B53" i="3"/>
  <c r="P52" i="3"/>
  <c r="R52" i="3" s="1"/>
  <c r="M52" i="3"/>
  <c r="E154" i="3"/>
  <c r="S153" i="3"/>
  <c r="J153" i="3" s="1"/>
  <c r="BF52" i="3"/>
  <c r="F85" i="3" s="1"/>
  <c r="BE53" i="3"/>
  <c r="J152" i="3"/>
  <c r="AM50" i="3"/>
  <c r="AJ52" i="3" l="1"/>
  <c r="AE52" i="3"/>
  <c r="B85" i="3" s="1"/>
  <c r="AA53" i="3"/>
  <c r="H153" i="3"/>
  <c r="AC54" i="3"/>
  <c r="AK53" i="3"/>
  <c r="I153" i="3"/>
  <c r="AP51" i="3"/>
  <c r="AN51" i="3"/>
  <c r="D84" i="3" s="1"/>
  <c r="E84" i="3" s="1"/>
  <c r="G84" i="3" s="1"/>
  <c r="M84" i="3" s="1"/>
  <c r="N84" i="3" s="1"/>
  <c r="P84" i="3" s="1"/>
  <c r="M150" i="3" s="1"/>
  <c r="P150" i="3" s="1"/>
  <c r="AI51" i="3"/>
  <c r="AL51" i="3"/>
  <c r="C84" i="3"/>
  <c r="AF51" i="3"/>
  <c r="E155" i="3"/>
  <c r="S154" i="3"/>
  <c r="I154" i="3" s="1"/>
  <c r="F155" i="3"/>
  <c r="M149" i="3"/>
  <c r="G155" i="3"/>
  <c r="O154" i="3"/>
  <c r="BE54" i="3"/>
  <c r="BF53" i="3"/>
  <c r="F86" i="3" s="1"/>
  <c r="AO52" i="3"/>
  <c r="B54" i="3"/>
  <c r="D53" i="3"/>
  <c r="P53" i="3"/>
  <c r="R53" i="3" s="1"/>
  <c r="M53" i="3"/>
  <c r="AM51" i="3"/>
  <c r="H154" i="3" l="1"/>
  <c r="J154" i="3"/>
  <c r="AO53" i="3"/>
  <c r="AM52" i="3"/>
  <c r="AK54" i="3"/>
  <c r="AC55" i="3"/>
  <c r="P149" i="3"/>
  <c r="AE53" i="3"/>
  <c r="B86" i="3" s="1"/>
  <c r="AJ53" i="3"/>
  <c r="AA54" i="3"/>
  <c r="C85" i="3"/>
  <c r="AF52" i="3"/>
  <c r="BE55" i="3"/>
  <c r="BF54" i="3"/>
  <c r="F87" i="3" s="1"/>
  <c r="AP52" i="3"/>
  <c r="AN52" i="3"/>
  <c r="D85" i="3" s="1"/>
  <c r="E85" i="3" s="1"/>
  <c r="G85" i="3" s="1"/>
  <c r="M85" i="3" s="1"/>
  <c r="N85" i="3" s="1"/>
  <c r="P85" i="3" s="1"/>
  <c r="AL52" i="3"/>
  <c r="AI52" i="3"/>
  <c r="G156" i="3"/>
  <c r="O155" i="3"/>
  <c r="E156" i="3"/>
  <c r="S155" i="3"/>
  <c r="H155" i="3" s="1"/>
  <c r="D54" i="3"/>
  <c r="B55" i="3"/>
  <c r="P54" i="3"/>
  <c r="R54" i="3" s="1"/>
  <c r="M54" i="3"/>
  <c r="F156" i="3"/>
  <c r="AM53" i="3" l="1"/>
  <c r="J155" i="3"/>
  <c r="I155" i="3"/>
  <c r="AK55" i="3"/>
  <c r="AC56" i="3"/>
  <c r="F157" i="3"/>
  <c r="AO54" i="3"/>
  <c r="E157" i="3"/>
  <c r="S156" i="3"/>
  <c r="H156" i="3" s="1"/>
  <c r="BE56" i="3"/>
  <c r="BF55" i="3"/>
  <c r="F88" i="3" s="1"/>
  <c r="G157" i="3"/>
  <c r="O156" i="3"/>
  <c r="AI53" i="3"/>
  <c r="AP53" i="3"/>
  <c r="AN53" i="3"/>
  <c r="D86" i="3" s="1"/>
  <c r="E86" i="3" s="1"/>
  <c r="G86" i="3" s="1"/>
  <c r="M86" i="3" s="1"/>
  <c r="N86" i="3" s="1"/>
  <c r="P86" i="3" s="1"/>
  <c r="M152" i="3" s="1"/>
  <c r="P152" i="3" s="1"/>
  <c r="AL53" i="3"/>
  <c r="B56" i="3"/>
  <c r="D55" i="3"/>
  <c r="P55" i="3"/>
  <c r="R55" i="3" s="1"/>
  <c r="M55" i="3"/>
  <c r="AA55" i="3"/>
  <c r="AJ54" i="3"/>
  <c r="AE54" i="3"/>
  <c r="B87" i="3" s="1"/>
  <c r="M151" i="3"/>
  <c r="AF53" i="3"/>
  <c r="C86" i="3"/>
  <c r="I156" i="3" l="1"/>
  <c r="J156" i="3"/>
  <c r="F158" i="3"/>
  <c r="AC57" i="3"/>
  <c r="AK56" i="3"/>
  <c r="AO55" i="3"/>
  <c r="G158" i="3"/>
  <c r="O157" i="3"/>
  <c r="D56" i="3"/>
  <c r="B57" i="3"/>
  <c r="P56" i="3"/>
  <c r="R56" i="3" s="1"/>
  <c r="M56" i="3"/>
  <c r="BF56" i="3"/>
  <c r="F89" i="3" s="1"/>
  <c r="BE57" i="3"/>
  <c r="P151" i="3"/>
  <c r="C87" i="3"/>
  <c r="AF54" i="3"/>
  <c r="AI54" i="3"/>
  <c r="AP54" i="3"/>
  <c r="AN54" i="3"/>
  <c r="D87" i="3" s="1"/>
  <c r="E87" i="3" s="1"/>
  <c r="G87" i="3" s="1"/>
  <c r="M87" i="3" s="1"/>
  <c r="N87" i="3" s="1"/>
  <c r="P87" i="3" s="1"/>
  <c r="M153" i="3" s="1"/>
  <c r="P153" i="3" s="1"/>
  <c r="AL54" i="3"/>
  <c r="AA56" i="3"/>
  <c r="AJ55" i="3"/>
  <c r="AE55" i="3"/>
  <c r="B88" i="3" s="1"/>
  <c r="E158" i="3"/>
  <c r="S157" i="3"/>
  <c r="J157" i="3" s="1"/>
  <c r="AM54" i="3"/>
  <c r="AM55" i="3" l="1"/>
  <c r="BF57" i="3"/>
  <c r="F90" i="3" s="1"/>
  <c r="BE58" i="3"/>
  <c r="AC58" i="3"/>
  <c r="AK57" i="3"/>
  <c r="G159" i="3"/>
  <c r="O158" i="3"/>
  <c r="H157" i="3"/>
  <c r="AO56" i="3"/>
  <c r="I157" i="3"/>
  <c r="C88" i="3"/>
  <c r="AF55" i="3"/>
  <c r="F159" i="3"/>
  <c r="E159" i="3"/>
  <c r="S158" i="3"/>
  <c r="I158" i="3" s="1"/>
  <c r="B58" i="3"/>
  <c r="D57" i="3"/>
  <c r="P57" i="3"/>
  <c r="R57" i="3" s="1"/>
  <c r="M57" i="3"/>
  <c r="AI55" i="3"/>
  <c r="AP55" i="3"/>
  <c r="AN55" i="3"/>
  <c r="D88" i="3" s="1"/>
  <c r="E88" i="3" s="1"/>
  <c r="G88" i="3" s="1"/>
  <c r="M88" i="3" s="1"/>
  <c r="N88" i="3" s="1"/>
  <c r="P88" i="3" s="1"/>
  <c r="M154" i="3" s="1"/>
  <c r="P154" i="3" s="1"/>
  <c r="AL55" i="3"/>
  <c r="AA57" i="3"/>
  <c r="AJ56" i="3"/>
  <c r="AE56" i="3"/>
  <c r="B89" i="3" s="1"/>
  <c r="J158" i="3" l="1"/>
  <c r="J163" i="3" s="1"/>
  <c r="D171" i="3" s="1"/>
  <c r="H158" i="3"/>
  <c r="G160" i="3"/>
  <c r="O160" i="3" s="1"/>
  <c r="O159" i="3"/>
  <c r="AO57" i="3"/>
  <c r="AF56" i="3"/>
  <c r="C89" i="3"/>
  <c r="B59" i="3"/>
  <c r="D58" i="3"/>
  <c r="P58" i="3"/>
  <c r="R58" i="3" s="1"/>
  <c r="M58" i="3"/>
  <c r="AC59" i="3"/>
  <c r="AK58" i="3"/>
  <c r="F160" i="3"/>
  <c r="AA58" i="3"/>
  <c r="AJ57" i="3"/>
  <c r="AE57" i="3"/>
  <c r="B90" i="3" s="1"/>
  <c r="AM56" i="3"/>
  <c r="BF58" i="3"/>
  <c r="F91" i="3" s="1"/>
  <c r="BE59" i="3"/>
  <c r="AL56" i="3"/>
  <c r="AI56" i="3"/>
  <c r="AP56" i="3"/>
  <c r="AN56" i="3"/>
  <c r="D89" i="3" s="1"/>
  <c r="E89" i="3" s="1"/>
  <c r="G89" i="3" s="1"/>
  <c r="M89" i="3" s="1"/>
  <c r="N89" i="3" s="1"/>
  <c r="P89" i="3" s="1"/>
  <c r="M155" i="3" s="1"/>
  <c r="P155" i="3" s="1"/>
  <c r="E160" i="3"/>
  <c r="S159" i="3"/>
  <c r="H159" i="3" s="1"/>
  <c r="I159" i="3" l="1"/>
  <c r="AO58" i="3"/>
  <c r="AC60" i="3"/>
  <c r="AK59" i="3"/>
  <c r="AM57" i="3"/>
  <c r="C90" i="3"/>
  <c r="AF57" i="3"/>
  <c r="BF59" i="3"/>
  <c r="F92" i="3" s="1"/>
  <c r="BE60" i="3"/>
  <c r="O163" i="3"/>
  <c r="D173" i="3" s="1"/>
  <c r="S160" i="3"/>
  <c r="I160" i="3" s="1"/>
  <c r="AL57" i="3"/>
  <c r="AI57" i="3"/>
  <c r="AP57" i="3"/>
  <c r="AN57" i="3"/>
  <c r="D90" i="3" s="1"/>
  <c r="E90" i="3" s="1"/>
  <c r="G90" i="3" s="1"/>
  <c r="M90" i="3" s="1"/>
  <c r="N90" i="3" s="1"/>
  <c r="P90" i="3" s="1"/>
  <c r="M156" i="3" s="1"/>
  <c r="P156" i="3" s="1"/>
  <c r="AA59" i="3"/>
  <c r="AJ58" i="3"/>
  <c r="AE58" i="3"/>
  <c r="B91" i="3" s="1"/>
  <c r="B60" i="3"/>
  <c r="D59" i="3"/>
  <c r="P59" i="3"/>
  <c r="R59" i="3" s="1"/>
  <c r="M59" i="3"/>
  <c r="I163" i="3" l="1"/>
  <c r="C171" i="3" s="1"/>
  <c r="AK60" i="3"/>
  <c r="AC61" i="3"/>
  <c r="AK61" i="3" s="1"/>
  <c r="C91" i="3"/>
  <c r="AF58" i="3"/>
  <c r="AO59" i="3"/>
  <c r="AE59" i="3"/>
  <c r="B92" i="3" s="1"/>
  <c r="AJ59" i="3"/>
  <c r="AA60" i="3"/>
  <c r="D60" i="3"/>
  <c r="B61" i="3"/>
  <c r="P60" i="3"/>
  <c r="R60" i="3" s="1"/>
  <c r="M60" i="3"/>
  <c r="AM58" i="3"/>
  <c r="H160" i="3"/>
  <c r="AN58" i="3"/>
  <c r="D91" i="3" s="1"/>
  <c r="E91" i="3" s="1"/>
  <c r="G91" i="3" s="1"/>
  <c r="M91" i="3" s="1"/>
  <c r="N91" i="3" s="1"/>
  <c r="P91" i="3" s="1"/>
  <c r="M157" i="3" s="1"/>
  <c r="P157" i="3" s="1"/>
  <c r="AL58" i="3"/>
  <c r="AP58" i="3"/>
  <c r="AI58" i="3"/>
  <c r="BE61" i="3"/>
  <c r="BF61" i="3" s="1"/>
  <c r="F94" i="3" s="1"/>
  <c r="BF60" i="3"/>
  <c r="F93" i="3" s="1"/>
  <c r="H163" i="3" l="1"/>
  <c r="B171" i="3" s="1"/>
  <c r="D61" i="3"/>
  <c r="P61" i="3"/>
  <c r="M61" i="3"/>
  <c r="M63" i="3" s="1"/>
  <c r="C92" i="3"/>
  <c r="AF59" i="3"/>
  <c r="AO61" i="3"/>
  <c r="AN59" i="3"/>
  <c r="D92" i="3" s="1"/>
  <c r="E92" i="3" s="1"/>
  <c r="G92" i="3" s="1"/>
  <c r="M92" i="3" s="1"/>
  <c r="N92" i="3" s="1"/>
  <c r="P92" i="3" s="1"/>
  <c r="M158" i="3" s="1"/>
  <c r="P158" i="3" s="1"/>
  <c r="AL59" i="3"/>
  <c r="AI59" i="3"/>
  <c r="AP59" i="3"/>
  <c r="AM59" i="3"/>
  <c r="AE60" i="3"/>
  <c r="B93" i="3" s="1"/>
  <c r="AJ60" i="3"/>
  <c r="AA61" i="3"/>
  <c r="AO60" i="3"/>
  <c r="C93" i="3" l="1"/>
  <c r="AF60" i="3"/>
  <c r="AP60" i="3"/>
  <c r="AN60" i="3"/>
  <c r="D93" i="3" s="1"/>
  <c r="E93" i="3" s="1"/>
  <c r="G93" i="3" s="1"/>
  <c r="M93" i="3" s="1"/>
  <c r="N93" i="3" s="1"/>
  <c r="P93" i="3" s="1"/>
  <c r="M159" i="3" s="1"/>
  <c r="P159" i="3" s="1"/>
  <c r="AL60" i="3"/>
  <c r="AI60" i="3"/>
  <c r="R61" i="3"/>
  <c r="R63" i="3" s="1"/>
  <c r="P63" i="3"/>
  <c r="AM60" i="3"/>
  <c r="AJ61" i="3"/>
  <c r="AE61" i="3"/>
  <c r="AL61" i="3" l="1"/>
  <c r="AI61" i="3"/>
  <c r="AP61" i="3"/>
  <c r="AN61" i="3"/>
  <c r="D94" i="3" s="1"/>
  <c r="E94" i="3" s="1"/>
  <c r="G94" i="3" s="1"/>
  <c r="M94" i="3" s="1"/>
  <c r="N94" i="3" s="1"/>
  <c r="P94" i="3" s="1"/>
  <c r="B94" i="3"/>
  <c r="AM61" i="3"/>
  <c r="C94" i="3" l="1"/>
  <c r="AF61" i="3"/>
  <c r="M160" i="3"/>
  <c r="P96" i="3"/>
  <c r="M163" i="3" l="1"/>
  <c r="B173" i="3" s="1"/>
  <c r="D174" i="3" s="1"/>
  <c r="P160" i="3"/>
  <c r="P163" i="3" s="1"/>
  <c r="B2" i="2" l="1"/>
  <c r="B3" i="2"/>
  <c r="B4" i="2"/>
  <c r="B5" i="2"/>
  <c r="B6" i="2"/>
  <c r="B7" i="2"/>
  <c r="U170" i="3"/>
  <c r="T145" i="3"/>
  <c r="P170" i="3"/>
  <c r="T158" i="3"/>
  <c r="T154" i="3"/>
  <c r="T150" i="3"/>
  <c r="T146" i="3"/>
  <c r="K170" i="3"/>
  <c r="F170" i="3"/>
  <c r="T159" i="3"/>
  <c r="T155" i="3"/>
  <c r="T151" i="3"/>
  <c r="T147" i="3"/>
  <c r="T160" i="3"/>
  <c r="T156" i="3"/>
  <c r="T152" i="3"/>
  <c r="T148" i="3"/>
  <c r="T143" i="3"/>
  <c r="T149" i="3"/>
  <c r="T153" i="3"/>
  <c r="T157" i="3"/>
  <c r="T144" i="3"/>
</calcChain>
</file>

<file path=xl/sharedStrings.xml><?xml version="1.0" encoding="utf-8"?>
<sst xmlns="http://schemas.openxmlformats.org/spreadsheetml/2006/main" count="705" uniqueCount="506">
  <si>
    <t>VBDR Vehicle Buyer Discount Rate</t>
  </si>
  <si>
    <t>Source:</t>
  </si>
  <si>
    <t>Secretaría de Hacienda y Crédito Público</t>
  </si>
  <si>
    <t>Tasa Social de Descuento (TSD)</t>
  </si>
  <si>
    <t>https://www.gob.mx/shcp/documentos/tasa-social-de-descuento-tsd</t>
  </si>
  <si>
    <t>Mexico Notes:</t>
  </si>
  <si>
    <t>We used the official government discount rate for consistency and according to</t>
  </si>
  <si>
    <t xml:space="preserve">the available data. </t>
  </si>
  <si>
    <t>US Notes</t>
  </si>
  <si>
    <t>Vehicle buyer discount rates vary tremendously by study.</t>
  </si>
  <si>
    <t>The implied discount rate is sensitive to numerous assumptions</t>
  </si>
  <si>
    <t>the underlying studies might make, such as what lifetime</t>
  </si>
  <si>
    <t>or future fuel price consumers are expecting.  Accordingly,</t>
  </si>
  <si>
    <t>there is no consensus on what a reasonable discount rate</t>
  </si>
  <si>
    <t>might be.</t>
  </si>
  <si>
    <t xml:space="preserve">We use a value of 15%, as it falls between values of 12% and </t>
  </si>
  <si>
    <t>greater than 17% in the studies cited above.</t>
  </si>
  <si>
    <t>We use this rate for all vehicle types, since uncertainty</t>
  </si>
  <si>
    <t>in the rate itself overwhelms any possible differences</t>
  </si>
  <si>
    <t>in behavior between (say) an individual car-buyer and</t>
  </si>
  <si>
    <t>a company that purchases trucks.</t>
  </si>
  <si>
    <t>Mexico: Tasa Social de Descuento</t>
  </si>
  <si>
    <t>[Estimacion. Fecha: Marzo 8, 2022]</t>
  </si>
  <si>
    <t>Nomenclatura INEGI</t>
  </si>
  <si>
    <t xml:space="preserve"> B.1b - Valor agregado bruto / Producto interno bruto a precios de mercado</t>
  </si>
  <si>
    <t>Impuestos netos sobre la producción (D.21 - Impuestos sobre los productos menos D.31 - Subsidios a los productos)</t>
  </si>
  <si>
    <t>Valor agregado bruto a precios básicos</t>
  </si>
  <si>
    <t>D.1 - Remuneración de los asalariados</t>
  </si>
  <si>
    <t>Otros impuestos netos sobre la producción (D.29 - Otros impuestos sobre la producción menos D.39 - Otros subsidios a la producción)</t>
  </si>
  <si>
    <t>B.3b - Ingreso mixto bruto</t>
  </si>
  <si>
    <t xml:space="preserve"> B.2b - Excedente bruto de operación        </t>
  </si>
  <si>
    <t>D.1 - Remuneración de los asalariados sobre Valor agregado bruto a precios básicos</t>
  </si>
  <si>
    <t xml:space="preserve">          P.51c - Consumo de capital fijo</t>
  </si>
  <si>
    <t>Producto Interno Neto a precios básicos (Valor agregado bruto a precios básicos menos P.51c - Consumo de capital fijo)</t>
  </si>
  <si>
    <t>D.1 - Remuneración de los asalariados  sobre Valor agregado neto a precios básicos</t>
  </si>
  <si>
    <r>
      <t>Valor agregado</t>
    </r>
    <r>
      <rPr>
        <b/>
        <u/>
        <sz val="11"/>
        <rFont val="Times New Roman"/>
        <family val="1"/>
      </rPr>
      <t xml:space="preserve"> neto</t>
    </r>
    <r>
      <rPr>
        <sz val="11"/>
        <rFont val="Times New Roman"/>
        <family val="1"/>
      </rPr>
      <t xml:space="preserve"> a precios básicos menos B.3b - Ingreso mixto bruto</t>
    </r>
  </si>
  <si>
    <t>D.1 - Remuneración de los asalariados sobre Valor agregado bruto a precios básicos menos B.3b - Ingreso mixto bruto</t>
  </si>
  <si>
    <t>D.1 - Remuneración de los asalariados ajustado por  B.3b - Ingreso mixto bruto (método LS4)</t>
  </si>
  <si>
    <t>D.1 - Remuneración de los asalariados ajustado (LS4) sobre Producto Interno Neto a precios básicos</t>
  </si>
  <si>
    <t>D.1 - Remuneración de los asalariados ajustado por  B.3b - Ingreso mixto bruto (método LS5)</t>
  </si>
  <si>
    <t>D.1 - Remuneración de los asalariados ajustado (LS5) sobre Producto Interno Neto a precios básicos</t>
  </si>
  <si>
    <t>D.1 - Remuneración de los asalariados ajustado por  B.3b - Ingreso mixto bruto</t>
  </si>
  <si>
    <t>D.1 - Remuneración de los asalariados promedio ajustado sobre Producto Interno Neto a precios básicos</t>
  </si>
  <si>
    <t>D.1 - Remuneración de los asalariados promedio ajustado por B.3b - Ingreso mixto bruto [Promedio de metodo LS4 y LS5]</t>
  </si>
  <si>
    <t>Ingreso de capital (Producto Interno Neto a precios básicos menos D.1 Remuneración de los asalariados ajustado)</t>
  </si>
  <si>
    <t>Ingresos netos de capital sobre Producto Interno Neto a precios básicos</t>
  </si>
  <si>
    <t>Ingresos netos de capital sobre  B.1b - Producto interno bruto a precios de mercado</t>
  </si>
  <si>
    <t>D.1 - Remuneración de los asalariados ajustado por B.3b - Ingreso mixto bruto (método LS4)</t>
  </si>
  <si>
    <t>Empleadores</t>
  </si>
  <si>
    <t>Trabajadores subordinados y remunerados</t>
  </si>
  <si>
    <t>Trabajadores por cuenta propia</t>
  </si>
  <si>
    <t>D.1 - Remuneración de los asalariados por Trabajadores por cuenta propia e B.3b - Ingreso mixto bruto (LS5)</t>
  </si>
  <si>
    <t>Cuadro 1</t>
  </si>
  <si>
    <t>Cuadro 2.1</t>
  </si>
  <si>
    <t>Cuadro 2.2</t>
  </si>
  <si>
    <t>Cuadro 2.3</t>
  </si>
  <si>
    <t>Cuadro Intermedio A</t>
  </si>
  <si>
    <t>México: Cuentas Nacionales [1000 millones de Pesos Constantes de 2013]</t>
  </si>
  <si>
    <t>México: Remuneracion Asalariados (1000 millones de Pesos) y participación porcentual</t>
  </si>
  <si>
    <t>Remuneracion Asalariados ajustados por participación en ingreso mixto</t>
  </si>
  <si>
    <t>Remuneracion asalariados ajustados e ingresos de capital</t>
  </si>
  <si>
    <t>Ajuste al ingreso laboral [LS4 y LS5]</t>
  </si>
  <si>
    <t>Año</t>
  </si>
  <si>
    <t>PIB a precios de mercado, precios constantes de 2013</t>
  </si>
  <si>
    <t>Impuestos indirectos a la producción netos de subsidios</t>
  </si>
  <si>
    <t>Producto Interno Bruto a precio de factores</t>
  </si>
  <si>
    <t>Remuneración de los asalariados</t>
  </si>
  <si>
    <t>Otros impuestos sobre la producción  - Otros subsidios a la producción</t>
  </si>
  <si>
    <t xml:space="preserve"> Ingreso mixto bruto</t>
  </si>
  <si>
    <t>Excedente Bruto de Operación (PIB P. factores, menos Rem. Asal., menos Ing. Mixto menos otros impuestos)</t>
  </si>
  <si>
    <t>Producto Interno Bruto a precio de factores = PIB a precios de mercado - Impuestos indirectos netos</t>
  </si>
  <si>
    <t>Remuneración de los asalariados    / Valor agregado bruto a precio de factores</t>
  </si>
  <si>
    <t>Consumo de capital fijo</t>
  </si>
  <si>
    <t>Producto Interno Neto a precio de Factores (VBA - Depreciación)</t>
  </si>
  <si>
    <t>Remuneración de los asalariados        / Producto Interno Neto a precio de factores</t>
  </si>
  <si>
    <t>Ingreso mixto bruto</t>
  </si>
  <si>
    <t>Producto Interno Neto a costo de factores - Ingreso mixto bruto</t>
  </si>
  <si>
    <t>Remuneración de los asalariados/Producto Interno Neto a precio de factores menos ingreso mixto</t>
  </si>
  <si>
    <t>Remuneracion asalariados ajustado por ingreso mixto bruto (método LS4)</t>
  </si>
  <si>
    <t>Remuneracion asalariados ajustado (LS4) sobre Producto Iinterno Neto a precio de factores</t>
  </si>
  <si>
    <t>Remuneracion asalariados ajustado por ingresos mixtos (método LS5)</t>
  </si>
  <si>
    <t>Remuneracion asalariados ajustado (LS5) sobre PIN a costos de factores</t>
  </si>
  <si>
    <t>Remuneracion asalariados promedio ajustado por ingresos mixtos [Promedio de metodo LS4 y LS5]</t>
  </si>
  <si>
    <t>Remuneracion asalariados promedio ajustado sobre PIN a costos de factores</t>
  </si>
  <si>
    <t>Ingreso de neto capital (PIN neto - Remuneracion asalariados ajustado)</t>
  </si>
  <si>
    <t>Ingresos netos de capital sobre PIN (precio de factores)</t>
  </si>
  <si>
    <t>Ingresos netos de capital sobre PIB</t>
  </si>
  <si>
    <t>Ingreso laboral ajustado por ingresos mixtos (método LS4)</t>
  </si>
  <si>
    <t>Ingreso laboral ajustado (LS4) sobre PIN a costos de factores</t>
  </si>
  <si>
    <t>Empleadores [Miles]</t>
  </si>
  <si>
    <t>Empleados [miles]</t>
  </si>
  <si>
    <t>Empleados Propios [miles]</t>
  </si>
  <si>
    <t>Ingreso laboral ajustado por empleo propio e ingreso mixto (LS5)</t>
  </si>
  <si>
    <t>[A]</t>
  </si>
  <si>
    <t>[B]</t>
  </si>
  <si>
    <t>[C=A-B]</t>
  </si>
  <si>
    <t>[D]</t>
  </si>
  <si>
    <t>[E]</t>
  </si>
  <si>
    <t>[F]</t>
  </si>
  <si>
    <t>[G]</t>
  </si>
  <si>
    <t>[H=C]</t>
  </si>
  <si>
    <t>[I=E/C]</t>
  </si>
  <si>
    <t>[J]</t>
  </si>
  <si>
    <t>[K=H-J]</t>
  </si>
  <si>
    <t>[L=E/K]</t>
  </si>
  <si>
    <t>[M=F]</t>
  </si>
  <si>
    <t>[N=K-M]</t>
  </si>
  <si>
    <t>[=E/N)]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</si>
  <si>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</si>
  <si>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</si>
  <si>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</si>
  <si>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</si>
  <si>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</si>
  <si>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</si>
  <si>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</si>
  <si>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</si>
  <si>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</si>
  <si>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</si>
  <si>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</si>
  <si>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</si>
  <si>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[=D+E+F+G]</t>
  </si>
  <si>
    <t xml:space="preserve">Valores Reales, Stocks de Capital, Construcción, K Stocks (C) </t>
  </si>
  <si>
    <t xml:space="preserve">Valores Reales, Stocks de Capital, Equipos, K Stocks (E) </t>
  </si>
  <si>
    <t xml:space="preserve">Valores Reales, Stocks de Capital, Total, K Stocks (C+E) </t>
  </si>
  <si>
    <t>P.51c - Consumo de capital fijo</t>
  </si>
  <si>
    <t>P.52/N.12 - Variación de existencias por tipo de activo</t>
  </si>
  <si>
    <t xml:space="preserve">Formación bruta de capital fijo &gt; Total Construcción </t>
  </si>
  <si>
    <t xml:space="preserve">Formación bruta de capital fijo &gt; Total Maquinaria y equipo </t>
  </si>
  <si>
    <t>Formación bruta de capital fijo &gt; Total</t>
  </si>
  <si>
    <t>P.51c - Consumo de capital fijo sobre  B.1b - Producto interno bruto a precios de mercado</t>
  </si>
  <si>
    <t>% de Acervo de Capital</t>
  </si>
  <si>
    <t>Formación bruta de capital fijo &gt; Total Construcción Real</t>
  </si>
  <si>
    <t>ormación bruta de capital fijo &gt; Total Construcción Real sobre Producto interno bruto a precios de mercado</t>
  </si>
  <si>
    <t>P.51c - Consumo de capital fijo sobre Producto interno bruto a precios de mercado</t>
  </si>
  <si>
    <t>Inversión Total</t>
  </si>
  <si>
    <t xml:space="preserve">Formación bruta de capital fijo
&gt; Privada Construcción </t>
  </si>
  <si>
    <t xml:space="preserve">Formación bruta de capital fijo  
 &gt; Privada Maquinaria y equipo </t>
  </si>
  <si>
    <t xml:space="preserve">Formación bruta de capital fijo 
&gt; Pública Construcción </t>
  </si>
  <si>
    <t xml:space="preserve">Formación bruta de capital fijo  
&gt; Pública Maquinaria y equipo </t>
  </si>
  <si>
    <t>Stock Capital Privado-Construcción</t>
  </si>
  <si>
    <t>Stock Capital Privado-Equipos</t>
  </si>
  <si>
    <t>Stock Capital Publico-Construcción</t>
  </si>
  <si>
    <t>Stock Capital Publico-Equipos</t>
  </si>
  <si>
    <t>Total de stocks de capital</t>
  </si>
  <si>
    <t>Stocks de capital total</t>
  </si>
  <si>
    <t>Stocks de capital privados</t>
  </si>
  <si>
    <t>Stocks de capital público</t>
  </si>
  <si>
    <t>Stocks de capital privado sobre Stock de capital total</t>
  </si>
  <si>
    <t>Stocks de capital público sobre Stock de capital total</t>
  </si>
  <si>
    <t>Stocks de capital privado sobre Producto interno bruto a precios de mercado</t>
  </si>
  <si>
    <t>Stocks de capital público sobre Producto interno bruto a precios de mercado</t>
  </si>
  <si>
    <t>Stocks de capital total sobre Producto interno bruto a precios de mercado</t>
  </si>
  <si>
    <t>Inversión total sobre PIB</t>
  </si>
  <si>
    <t>Formación bruta de capital fijo&gt; Privada Construcción sobre Producto interno bruto a precios de mercado</t>
  </si>
  <si>
    <t>Formación bruta de capital fijo &gt; Privada Maquinaria y equipo sobre Producto interno bruto a precios de mercado</t>
  </si>
  <si>
    <t>Formación bruta de capital fijo &gt; Pública Construcción sobre Producto interno bruto a precios de mercado</t>
  </si>
  <si>
    <t xml:space="preserve">Formación bruta de capital fijo&gt; Pública Maquinaria y equipo sobre Producto interno bruto a precios de mercado </t>
  </si>
  <si>
    <t>Formación bruta de capital fijo &gt; Privada Total sobre Producto interno bruto a precios de mercado</t>
  </si>
  <si>
    <t>P.52/N.12 - Variación de existencias por tipo de activo sobre Producto interno bruto a precios de mercado</t>
  </si>
  <si>
    <t>Stock de Inventarios</t>
  </si>
  <si>
    <t>Stock de Inventarios sobre Producto interno bruto a precios de mercado</t>
  </si>
  <si>
    <t>Variable de ajuste</t>
  </si>
  <si>
    <t>Cuadro Intermedio B. Stocks de Capital Construccion Equipos</t>
  </si>
  <si>
    <t xml:space="preserve">Cuadro Intermedio C. </t>
  </si>
  <si>
    <t>Cuadro Intermedio D</t>
  </si>
  <si>
    <t>Cuadro Intermedio E: Participacion Porcentual</t>
  </si>
  <si>
    <t>Cuadro Intermedio F</t>
  </si>
  <si>
    <t>Cuadro Intermedio G</t>
  </si>
  <si>
    <t>Tasas depreciacion</t>
  </si>
  <si>
    <t>Inversion y Consumo de Capital Fijo</t>
  </si>
  <si>
    <t>Inversiones y Stocks de Capital Publico y Privado</t>
  </si>
  <si>
    <t>Valores asumidos y reconciliados con cuentas nacionales</t>
  </si>
  <si>
    <t>Cuentas Nacionales, Depreciación e Inversiones</t>
  </si>
  <si>
    <t>Valoración de inventarios</t>
  </si>
  <si>
    <t>Asumidas y</t>
  </si>
  <si>
    <t>Inversiones (Datos)</t>
  </si>
  <si>
    <t>Tasas de Depreciación</t>
  </si>
  <si>
    <t>Depreciación</t>
  </si>
  <si>
    <t>Participación</t>
  </si>
  <si>
    <t>Valores Reales 2013</t>
  </si>
  <si>
    <t>Inversión % del PIB</t>
  </si>
  <si>
    <t>Tasa Crecimiento Acervo Inventarios</t>
  </si>
  <si>
    <t xml:space="preserve"> reconciliadas</t>
  </si>
  <si>
    <t>Inventarios</t>
  </si>
  <si>
    <t>Total (Real)</t>
  </si>
  <si>
    <t>Inversión</t>
  </si>
  <si>
    <t>Asumida:</t>
  </si>
  <si>
    <t>Construcción</t>
  </si>
  <si>
    <t>Equipos</t>
  </si>
  <si>
    <t>Total</t>
  </si>
  <si>
    <t>Capital</t>
  </si>
  <si>
    <t xml:space="preserve">Cambios en </t>
  </si>
  <si>
    <t>Consumo Capital Fijo</t>
  </si>
  <si>
    <t>Stock Capital Privado</t>
  </si>
  <si>
    <t>Stock Capital Publico</t>
  </si>
  <si>
    <t>Suma</t>
  </si>
  <si>
    <t>en K Total</t>
  </si>
  <si>
    <t>Cambio en Inventarios</t>
  </si>
  <si>
    <t>Inversión Total % del PIB</t>
  </si>
  <si>
    <t>[Incl.perdidas]</t>
  </si>
  <si>
    <t xml:space="preserve">Stocks de Capital </t>
  </si>
  <si>
    <t xml:space="preserve">K Stocks (C) </t>
  </si>
  <si>
    <t xml:space="preserve">K Stocks (E)  </t>
  </si>
  <si>
    <t>K Stocks (C+E)</t>
  </si>
  <si>
    <t>Existencias</t>
  </si>
  <si>
    <t>Precios Reales</t>
  </si>
  <si>
    <t>Estimada</t>
  </si>
  <si>
    <t>Depreciación/PIB</t>
  </si>
  <si>
    <t>Privada</t>
  </si>
  <si>
    <t>Publica</t>
  </si>
  <si>
    <t>K Stocks</t>
  </si>
  <si>
    <t xml:space="preserve">Inversión </t>
  </si>
  <si>
    <t xml:space="preserve">Inverson </t>
  </si>
  <si>
    <t>Inversión en Inventarios</t>
  </si>
  <si>
    <t>Proporción al PIB</t>
  </si>
  <si>
    <t>Depreciación Annual/Datos</t>
  </si>
  <si>
    <t>Cambio Anual</t>
  </si>
  <si>
    <t>%/GDP</t>
  </si>
  <si>
    <t>Real</t>
  </si>
  <si>
    <t>Datos</t>
  </si>
  <si>
    <t>Stocks Iniciales</t>
  </si>
  <si>
    <t>Privados</t>
  </si>
  <si>
    <t>Públicos</t>
  </si>
  <si>
    <t>Kp (Privado)/K</t>
  </si>
  <si>
    <t>Kpu (Publico)/K</t>
  </si>
  <si>
    <t>Kp (Privado)/   PIB</t>
  </si>
  <si>
    <t>Kpu (Publico)/PIB</t>
  </si>
  <si>
    <t>K/PIB</t>
  </si>
  <si>
    <t>Privada Total</t>
  </si>
  <si>
    <t>Inventarios/PIB</t>
  </si>
  <si>
    <t>AA</t>
  </si>
  <si>
    <t>AB</t>
  </si>
  <si>
    <t>AC</t>
  </si>
  <si>
    <t>J</t>
  </si>
  <si>
    <t>AD</t>
  </si>
  <si>
    <t>AG</t>
  </si>
  <si>
    <t>AH</t>
  </si>
  <si>
    <t>AI</t>
  </si>
  <si>
    <t>AJ</t>
  </si>
  <si>
    <t>AK</t>
  </si>
  <si>
    <t>AL</t>
  </si>
  <si>
    <t>AM</t>
  </si>
  <si>
    <t>AN</t>
  </si>
  <si>
    <t>AO</t>
  </si>
  <si>
    <t>AP</t>
  </si>
  <si>
    <t>AQ</t>
  </si>
  <si>
    <t>AR</t>
  </si>
  <si>
    <t>AS</t>
  </si>
  <si>
    <t>AT</t>
  </si>
  <si>
    <t>AU</t>
  </si>
  <si>
    <t>AV</t>
  </si>
  <si>
    <t>AW</t>
  </si>
  <si>
    <t>AX</t>
  </si>
  <si>
    <t>AY</t>
  </si>
  <si>
    <t>AZ</t>
  </si>
  <si>
    <t>BA</t>
  </si>
  <si>
    <t>BB</t>
  </si>
  <si>
    <t>BC</t>
  </si>
  <si>
    <t>BD</t>
  </si>
  <si>
    <t>BE</t>
  </si>
  <si>
    <t>BF</t>
  </si>
  <si>
    <t>BG</t>
  </si>
  <si>
    <t>BH</t>
  </si>
  <si>
    <t>BI</t>
  </si>
  <si>
    <t>BJ</t>
  </si>
  <si>
    <t>BK</t>
  </si>
  <si>
    <t>Promedios:</t>
  </si>
  <si>
    <t>Test: OK</t>
  </si>
  <si>
    <t>Stock de Capital total</t>
  </si>
  <si>
    <t>Stock de Capital total sobre  B.1b - Producto interno bruto a precios de mercado</t>
  </si>
  <si>
    <t>Stock de Capital privado sobre  B.1b - Producto interno bruto a precios de mercado</t>
  </si>
  <si>
    <t>Stock de Capital privado más terrenos sobre  B.1b - Producto interno bruto a precios de mercado</t>
  </si>
  <si>
    <t>Stock de Capital privado más terrenos más inventarios sobre  B.1b - Producto interno bruto a precios de mercado</t>
  </si>
  <si>
    <t>D.1 - Remuneración de los asalariados promedio ajustado por B.3b - Ingreso mixto bruto</t>
  </si>
  <si>
    <t>Ingreso de capital neto (Producto Interno Neto a precios básicos menos  D.1 Remuneración de los asalariados ajustado</t>
  </si>
  <si>
    <t>Ingreso de neto capital sobre B.1b - Producto interno bruto a precios de mercado</t>
  </si>
  <si>
    <t>Tasa de Retorno al capital privado</t>
  </si>
  <si>
    <t>Otros impuestos netos sobre la producción sobre B.1b - Producto interno bruto a precios de mercado</t>
  </si>
  <si>
    <t>Tasa de retorno bruta al capital privado (π)</t>
  </si>
  <si>
    <t>Cuadro 3: Stocks de capital, tierra e inventarios/PIB; precios de mercado</t>
  </si>
  <si>
    <t>Cuadro 4: Ingresos netos de capital y tasa bruta de retorno al capital privado</t>
  </si>
  <si>
    <t>Stocks de capital reproducible, terreno e inventarios como porcentajes del PIB a precios de mercado</t>
  </si>
  <si>
    <t>Ingresos netos de capital y tasa bruta de retorno al capital privado</t>
  </si>
  <si>
    <t>Stock de Capital</t>
  </si>
  <si>
    <t>Stock de Capital (K) sobre PIB</t>
  </si>
  <si>
    <t>Stock de Capital Privado sobre PIB</t>
  </si>
  <si>
    <t>Capital Privado + terreno sobre PIB</t>
  </si>
  <si>
    <t>Inventarios sobre PIB</t>
  </si>
  <si>
    <t>Capital privado, terreno mas inventarios sobre PIB</t>
  </si>
  <si>
    <t>Ingreso neto de capital (PIN - ingreso laboral ajustado)</t>
  </si>
  <si>
    <t>Impuestos indirectos sobre capital privado + tierra + inventarios</t>
  </si>
  <si>
    <t>BM</t>
  </si>
  <si>
    <t>BO</t>
  </si>
  <si>
    <t>BQ</t>
  </si>
  <si>
    <t>BR</t>
  </si>
  <si>
    <t>BS</t>
  </si>
  <si>
    <t>Tasa de retorno:</t>
  </si>
  <si>
    <t>Terrenos constituyen 15% del total (divisor)</t>
  </si>
  <si>
    <t>Asumido (ver referencias)</t>
  </si>
  <si>
    <t>Promedio</t>
  </si>
  <si>
    <t>Siefores (Fondo de Pensiones) Tasas de Retorno Real</t>
  </si>
  <si>
    <t>Acciones en Mercado (Bolsa) Tasas de retorno reales</t>
  </si>
  <si>
    <t>Gobierno Tasa Implicita Total, Tasas reales</t>
  </si>
  <si>
    <t>B R. Fed. St Luis- Bonos Corporativos- Tasas reales</t>
  </si>
  <si>
    <t>Banco Mundial- Deuda Externa- Tasas reales</t>
  </si>
  <si>
    <t>Promedio Ponderado- Tasas de retorno reales</t>
  </si>
  <si>
    <t>B Rfed. St Luis</t>
  </si>
  <si>
    <t>Banco Mundial</t>
  </si>
  <si>
    <t>Cuadro 5. Tasas de retorno reales para fondos de pensiones, acciones, bonos del sector privado y público</t>
  </si>
  <si>
    <t>Cuadro Intermedio H</t>
  </si>
  <si>
    <t>Cuadro Intermedio H1</t>
  </si>
  <si>
    <t>Siefores</t>
  </si>
  <si>
    <t>Gobierno</t>
  </si>
  <si>
    <t>Participacion por instrumento en el ahorro (en base a varios reportes)</t>
  </si>
  <si>
    <t xml:space="preserve">Parametro de Sensibilidad </t>
  </si>
  <si>
    <t>Fondos de Pensiones</t>
  </si>
  <si>
    <t>Acciones en mercado</t>
  </si>
  <si>
    <t xml:space="preserve"> Tasa Implicita Total</t>
  </si>
  <si>
    <t>Bonos Corporativos</t>
  </si>
  <si>
    <t>Deuda Externa</t>
  </si>
  <si>
    <t>Promedio Ponderado*</t>
  </si>
  <si>
    <t>Pensiones</t>
  </si>
  <si>
    <t>Acciones</t>
  </si>
  <si>
    <t>Bonos</t>
  </si>
  <si>
    <t>Tasa Ponderada de Ahorro</t>
  </si>
  <si>
    <t>Tasas de retorno reales</t>
  </si>
  <si>
    <t>Tasas reales</t>
  </si>
  <si>
    <t>Bursatiles</t>
  </si>
  <si>
    <t xml:space="preserve"> Corporativos</t>
  </si>
  <si>
    <t>Factor</t>
  </si>
  <si>
    <t>BT</t>
  </si>
  <si>
    <t>BU</t>
  </si>
  <si>
    <t>BV</t>
  </si>
  <si>
    <t>BW</t>
  </si>
  <si>
    <t>BX</t>
  </si>
  <si>
    <t>BY</t>
  </si>
  <si>
    <r>
      <t>Componentes del ahorro financiero total</t>
    </r>
    <r>
      <rPr>
        <i/>
        <sz val="10"/>
        <rFont val="Montserrat"/>
      </rPr>
      <t xml:space="preserve"> (miles de pesos de junio de 2021)</t>
    </r>
  </si>
  <si>
    <t>Ahorro Considerado</t>
  </si>
  <si>
    <t>Siefores y Retiro</t>
  </si>
  <si>
    <t>Bolsa</t>
  </si>
  <si>
    <t>Corporativo</t>
  </si>
  <si>
    <t>Total Considerado</t>
  </si>
  <si>
    <t>Fuente Banco de Mexico</t>
  </si>
  <si>
    <t>[Ver hoja: Participacion Ahorro]</t>
  </si>
  <si>
    <t>Siefores (B+A)/2</t>
  </si>
  <si>
    <t>Retornos Bolsa</t>
  </si>
  <si>
    <t>P.52/N.12 - Variación de existencias por tipo de activo más Inversión Total sobre  B.1b - Producto interno bruto a precios de mercado</t>
  </si>
  <si>
    <t>Ahorro Interno sobre  B.1b - Producto interno bruto a precios de mercado</t>
  </si>
  <si>
    <t>AhorroExterno sobre  B.1b - Producto interno bruto a precios de mercado</t>
  </si>
  <si>
    <t>Elasticidad (η) inversión</t>
  </si>
  <si>
    <t>Elasticidad (Eds) ahorro interno</t>
  </si>
  <si>
    <t>Elasticidad (Efs) ahorro externo</t>
  </si>
  <si>
    <t>Pesos de ponderación- inversión (f1)</t>
  </si>
  <si>
    <t>Pesos de ponderación- ahorro interno (f2)</t>
  </si>
  <si>
    <t>Pesos de ponderación- ahorro externo (f3)</t>
  </si>
  <si>
    <t>Inversión Interna Tasas de Retorno π</t>
  </si>
  <si>
    <t>Ahorro Interno Neto Agregado rs</t>
  </si>
  <si>
    <t>Ahorro Externo Costo Marginal MCFB</t>
  </si>
  <si>
    <t>TSD Ponderada-Anual</t>
  </si>
  <si>
    <t>Denominador para cálculo de pesos</t>
  </si>
  <si>
    <t>TSD Annual Promedio 2003 - 2020</t>
  </si>
  <si>
    <t>Inversión privada Calculo TSD (INEGI)</t>
  </si>
  <si>
    <t>Cuadro Intermedio I: Denominador Pesos de Ponderacion.</t>
  </si>
  <si>
    <t>Cuadro 6.1 Pesos de Ponderación para el calculo de la TSD</t>
  </si>
  <si>
    <t>Cuadro 6.2 Tasas de Retorno</t>
  </si>
  <si>
    <t>TSD Promedio 2003 2020. Inversiones/PIB</t>
  </si>
  <si>
    <t>Tasas de interes  reales</t>
  </si>
  <si>
    <t>Pesos (f1-f3)</t>
  </si>
  <si>
    <t>TSD: Insumos para el calculo</t>
  </si>
  <si>
    <t>i</t>
  </si>
  <si>
    <t xml:space="preserve">Real </t>
  </si>
  <si>
    <t>Formación Bruta</t>
  </si>
  <si>
    <t>Elasticidades</t>
  </si>
  <si>
    <t>Pesos de Ponderación</t>
  </si>
  <si>
    <t>Tasa de retorno</t>
  </si>
  <si>
    <t>Ahorro</t>
  </si>
  <si>
    <t>Ahorro Externo</t>
  </si>
  <si>
    <t>TSD</t>
  </si>
  <si>
    <t>Denominador</t>
  </si>
  <si>
    <t xml:space="preserve">TSD </t>
  </si>
  <si>
    <t>INEGI</t>
  </si>
  <si>
    <t>de Cap &amp; Invent.</t>
  </si>
  <si>
    <t>Ahorro Interno/PIB</t>
  </si>
  <si>
    <t>Ahorro Externo/PIB</t>
  </si>
  <si>
    <t>η</t>
  </si>
  <si>
    <t>Eds</t>
  </si>
  <si>
    <t>Efs</t>
  </si>
  <si>
    <t>Inversión Interna</t>
  </si>
  <si>
    <t>Ahorro Interno</t>
  </si>
  <si>
    <t>bruta al capital privado</t>
  </si>
  <si>
    <t>Interno Neto</t>
  </si>
  <si>
    <t>Costo Marginal</t>
  </si>
  <si>
    <t>Ponderada</t>
  </si>
  <si>
    <t>Para Calculo</t>
  </si>
  <si>
    <t>Inversion + Inv</t>
  </si>
  <si>
    <t>t</t>
  </si>
  <si>
    <t>Impuesto</t>
  </si>
  <si>
    <t>Sorted</t>
  </si>
  <si>
    <t>sobre el PIB</t>
  </si>
  <si>
    <t>Ahorro Int.</t>
  </si>
  <si>
    <t>Ahorro Ext.</t>
  </si>
  <si>
    <t>f1</t>
  </si>
  <si>
    <t>f2</t>
  </si>
  <si>
    <t>f3</t>
  </si>
  <si>
    <t>π</t>
  </si>
  <si>
    <t>rs</t>
  </si>
  <si>
    <t>CMAE</t>
  </si>
  <si>
    <t>Anual</t>
  </si>
  <si>
    <t>de Pesos</t>
  </si>
  <si>
    <t>2003-2020</t>
  </si>
  <si>
    <t>% del PIB</t>
  </si>
  <si>
    <t>gp (inflación)</t>
  </si>
  <si>
    <t>real values</t>
  </si>
  <si>
    <t>Data</t>
  </si>
  <si>
    <t>CE</t>
  </si>
  <si>
    <t>CF</t>
  </si>
  <si>
    <t>CG</t>
  </si>
  <si>
    <t>CH</t>
  </si>
  <si>
    <t>CI</t>
  </si>
  <si>
    <t>CJ</t>
  </si>
  <si>
    <t>CK</t>
  </si>
  <si>
    <t>CL</t>
  </si>
  <si>
    <t>CM</t>
  </si>
  <si>
    <t>CN</t>
  </si>
  <si>
    <t>CO</t>
  </si>
  <si>
    <t>CP</t>
  </si>
  <si>
    <t>CQ</t>
  </si>
  <si>
    <t>CR</t>
  </si>
  <si>
    <t>k</t>
  </si>
  <si>
    <t>Elasticidad</t>
  </si>
  <si>
    <t>Costo Marginal Ahorro Externo</t>
  </si>
  <si>
    <t>Dist</t>
  </si>
  <si>
    <t>CI-M-2</t>
  </si>
  <si>
    <t xml:space="preserve">• BIE_BIE20211216184141(ahorro_interno-externo).xls </t>
  </si>
  <si>
    <t>Análisis de sensibilidad</t>
  </si>
  <si>
    <t>Cuadro 7: TSD desde las Cuentas Nacionales</t>
  </si>
  <si>
    <t>Cuadro 8.1</t>
  </si>
  <si>
    <t>Cuadro 8.2</t>
  </si>
  <si>
    <t>Cuadro 8.3</t>
  </si>
  <si>
    <t>Cuadro 8.4</t>
  </si>
  <si>
    <t>TSD de las cuentas nacionales</t>
  </si>
  <si>
    <t>Tasa Depreciacion y EfectoTerrenos</t>
  </si>
  <si>
    <t>Tasa Ponderada de Ahorro y Elasticidad Ahorro</t>
  </si>
  <si>
    <t>Inversion Interna</t>
  </si>
  <si>
    <t>Elasticidad de Inversiones &amp; Elasticidad del Ahorro Domestico</t>
  </si>
  <si>
    <t>Elasticidad de Inversiones &amp; Elasticidad del Ahorro Externo</t>
  </si>
  <si>
    <t>Tasa Depreciacion (%) y % Efecto Particpacion Terrenos %</t>
  </si>
  <si>
    <t>Factor Promedio Ponderado Tasa Ahorro y Elasticidad Ahorro</t>
  </si>
  <si>
    <t>Pesos Ponderacion</t>
  </si>
  <si>
    <t>Tasas de retorno</t>
  </si>
  <si>
    <t>Max - Min</t>
  </si>
  <si>
    <t>Serie por sector institucional/ Economía interna/ Precios Constantes de 2013 en millones de pesos/ 2003-2020</t>
  </si>
  <si>
    <t>P.51c1 - Consumo de capital fijo sobre excedente bruto de operación</t>
  </si>
  <si>
    <t>P.51c2 - Consumo de capital fijo sobre ingreso mixto bruto</t>
  </si>
  <si>
    <t>B.2n - Excedente neto de operación</t>
  </si>
  <si>
    <t>B.3n - Ingreso mixto neto</t>
  </si>
  <si>
    <t xml:space="preserve">          D.21 - Impuestos sobre los productos</t>
  </si>
  <si>
    <t xml:space="preserve">          D.31 - Subsidios a los productos</t>
  </si>
  <si>
    <t>Impuestos Ind</t>
  </si>
  <si>
    <t xml:space="preserve">          B.1b - Valor agregado bruto / Producto interno bruto</t>
  </si>
  <si>
    <t xml:space="preserve">          B.1n - Valor agregado neto / Producto interno neto</t>
  </si>
  <si>
    <t xml:space="preserve"> B.2b - Excedente bruto de operación                   </t>
  </si>
  <si>
    <t xml:space="preserve"> P.51c1 - Consumo de capital fijo sobre excedente bruto de operación</t>
  </si>
  <si>
    <t>D.29 - Otros impuestos sobre la producción</t>
  </si>
  <si>
    <t>D.39 - Otros subsidios a la producción</t>
  </si>
  <si>
    <t>Concepto</t>
  </si>
  <si>
    <t>Impuestos sobre los productos</t>
  </si>
  <si>
    <t>- Subsidios a los productos</t>
  </si>
  <si>
    <t>a la Produccion</t>
  </si>
  <si>
    <t>Producto interno bruto</t>
  </si>
  <si>
    <t>Producto interno neto</t>
  </si>
  <si>
    <t>Rem. asalariados</t>
  </si>
  <si>
    <t xml:space="preserve">Ex. bruto operación                   </t>
  </si>
  <si>
    <t>Cons capital fijo sobre excedente bruto de operación</t>
  </si>
  <si>
    <t>Con. KF sobre ingreso mixto bruto</t>
  </si>
  <si>
    <t>Excedente neto de operación</t>
  </si>
  <si>
    <t>Ingreso mixto neto</t>
  </si>
  <si>
    <t>Otros impuestos sobre la producción</t>
  </si>
  <si>
    <t>Otros subsidios a la producción</t>
  </si>
  <si>
    <t>Variación de existencias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</si>
  <si>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</si>
  <si>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</si>
  <si>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</si>
  <si>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</si>
  <si>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</si>
  <si>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</si>
  <si>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</si>
  <si>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</si>
  <si>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</si>
  <si>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</si>
  <si>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</si>
  <si>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</si>
  <si>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</si>
  <si>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</si>
  <si>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</si>
  <si>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</si>
  <si>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</si>
  <si>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</si>
  <si>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B.2b - Excedente bruto de operación</t>
  </si>
  <si>
    <t>Discount Rate (dimensionless)</t>
  </si>
  <si>
    <t>LDVs</t>
  </si>
  <si>
    <t>HDVs</t>
  </si>
  <si>
    <t>aircraft</t>
  </si>
  <si>
    <t>rail</t>
  </si>
  <si>
    <t>ships</t>
  </si>
  <si>
    <t>motorbikes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</si>
</sst>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.0_);_(* \(#,##0.0\);_(* &quot;-&quot;??_);_(@_)"/>
    <numFmt numFmtId="165" formatCode="_(* #,##0_);_(* \(#,##0\);_(* &quot;-&quot;??_);_(@_)"/>
    <numFmt numFmtId="166" formatCode="0.0%"/>
    <numFmt numFmtId="167" formatCode="0_);\(0\)"/>
    <numFmt numFmtId="168" formatCode="0.0"/>
    <numFmt numFmtId="169" formatCode="#,##0.0"/>
  </numFmts>
  <fonts count="37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Times New Roman"/>
      <family val="2"/>
    </font>
    <font>
      <b/>
      <sz val="16"/>
      <color theme="1"/>
      <name val="Times New Roman"/>
      <family val="1"/>
    </font>
    <font>
      <b/>
      <sz val="12"/>
      <color theme="1"/>
      <name val="Times New Roman"/>
      <family val="1"/>
    </font>
    <font>
      <sz val="8"/>
      <name val="Arial"/>
      <family val="2"/>
    </font>
    <font>
      <sz val="11"/>
      <name val="Times New Roman"/>
      <family val="1"/>
    </font>
    <font>
      <b/>
      <u/>
      <sz val="11"/>
      <name val="Times New Roman"/>
      <family val="1"/>
    </font>
    <font>
      <b/>
      <sz val="14"/>
      <color rgb="FF000000"/>
      <name val="Times New Roman"/>
      <family val="1"/>
    </font>
    <font>
      <sz val="11"/>
      <color rgb="FF000000"/>
      <name val="Times New Roman"/>
      <family val="1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rgb="FF000000"/>
      <name val="Times New Roman"/>
      <family val="1"/>
    </font>
    <font>
      <b/>
      <sz val="11"/>
      <color theme="1"/>
      <name val="Times New Roman"/>
      <family val="1"/>
    </font>
    <font>
      <u/>
      <sz val="11"/>
      <name val="Times New Roman"/>
      <family val="1"/>
    </font>
    <font>
      <b/>
      <sz val="11"/>
      <name val="Times New Roman"/>
      <family val="1"/>
    </font>
    <font>
      <b/>
      <sz val="13"/>
      <color theme="1"/>
      <name val="Times New Roman"/>
      <family val="1"/>
    </font>
    <font>
      <sz val="11"/>
      <name val="Calibri"/>
      <family val="2"/>
    </font>
    <font>
      <b/>
      <sz val="11"/>
      <color rgb="FF000000"/>
      <name val="Times New Roman"/>
      <family val="1"/>
    </font>
    <font>
      <b/>
      <sz val="12"/>
      <name val="Times New Roman"/>
      <family val="1"/>
    </font>
    <font>
      <sz val="10"/>
      <name val="Times New Roman"/>
      <family val="1"/>
    </font>
    <font>
      <sz val="12"/>
      <name val="Times New Roman"/>
      <family val="1"/>
    </font>
    <font>
      <sz val="12"/>
      <color rgb="FF000000"/>
      <name val="Times New Roman"/>
      <family val="1"/>
    </font>
    <font>
      <sz val="10"/>
      <name val="Arial"/>
      <family val="2"/>
    </font>
    <font>
      <sz val="12"/>
      <color theme="1"/>
      <name val="Times New Roman"/>
      <family val="1"/>
    </font>
    <font>
      <b/>
      <sz val="10"/>
      <name val="Montserrat"/>
    </font>
    <font>
      <i/>
      <sz val="10"/>
      <name val="Montserrat"/>
    </font>
    <font>
      <b/>
      <sz val="14"/>
      <name val="Times New Roman"/>
      <family val="1"/>
    </font>
    <font>
      <b/>
      <sz val="10"/>
      <name val="Times New Roman"/>
      <family val="1"/>
    </font>
    <font>
      <b/>
      <u/>
      <sz val="12"/>
      <name val="Times New Roman"/>
      <family val="1"/>
    </font>
    <font>
      <b/>
      <u/>
      <sz val="12"/>
      <color theme="1"/>
      <name val="Times New Roman"/>
      <family val="1"/>
    </font>
    <font>
      <b/>
      <i/>
      <sz val="12"/>
      <color theme="1"/>
      <name val="Times New Roman"/>
      <family val="1"/>
    </font>
    <font>
      <b/>
      <u/>
      <sz val="11"/>
      <color rgb="FF000000"/>
      <name val="Times New Roman"/>
      <family val="1"/>
    </font>
    <font>
      <b/>
      <sz val="14"/>
      <color rgb="FF0070C0"/>
      <name val="Arial"/>
      <family val="2"/>
    </font>
    <font>
      <sz val="14"/>
      <color rgb="FF0070C0"/>
      <name val="Calibri"/>
      <family val="2"/>
    </font>
    <font>
      <u/>
      <sz val="11"/>
      <color theme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45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double">
        <color auto="1"/>
      </right>
      <top style="medium">
        <color auto="1"/>
      </top>
      <bottom/>
      <diagonal/>
    </border>
    <border>
      <left style="double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double">
        <color auto="1"/>
      </right>
      <top style="medium">
        <color auto="1"/>
      </top>
      <bottom style="medium">
        <color auto="1"/>
      </bottom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double">
        <color auto="1"/>
      </right>
      <top/>
      <bottom/>
      <diagonal/>
    </border>
    <border>
      <left style="double">
        <color auto="1"/>
      </left>
      <right style="medium">
        <color auto="1"/>
      </right>
      <top/>
      <bottom style="double">
        <color auto="1"/>
      </bottom>
      <diagonal/>
    </border>
    <border>
      <left style="medium">
        <color auto="1"/>
      </left>
      <right style="medium">
        <color auto="1"/>
      </right>
      <top/>
      <bottom style="double">
        <color auto="1"/>
      </bottom>
      <diagonal/>
    </border>
    <border>
      <left style="medium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medium">
        <color auto="1"/>
      </right>
      <top style="double">
        <color auto="1"/>
      </top>
      <bottom/>
      <diagonal/>
    </border>
    <border>
      <left style="medium">
        <color auto="1"/>
      </left>
      <right style="medium">
        <color auto="1"/>
      </right>
      <top style="double">
        <color auto="1"/>
      </top>
      <bottom/>
      <diagonal/>
    </border>
    <border>
      <left style="medium">
        <color auto="1"/>
      </left>
      <right style="double">
        <color auto="1"/>
      </right>
      <top style="double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double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double">
        <color auto="1"/>
      </left>
      <right style="medium">
        <color auto="1"/>
      </right>
      <top/>
      <bottom style="medium">
        <color auto="1"/>
      </bottom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/>
      <top style="double">
        <color auto="1"/>
      </top>
      <bottom style="medium">
        <color auto="1"/>
      </bottom>
      <diagonal/>
    </border>
    <border>
      <left/>
      <right style="double">
        <color auto="1"/>
      </right>
      <top style="double">
        <color auto="1"/>
      </top>
      <bottom style="medium">
        <color auto="1"/>
      </bottom>
      <diagonal/>
    </border>
    <border>
      <left style="double">
        <color auto="1"/>
      </left>
      <right/>
      <top style="medium">
        <color auto="1"/>
      </top>
      <bottom style="medium">
        <color auto="1"/>
      </bottom>
      <diagonal/>
    </border>
    <border>
      <left/>
      <right style="double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double">
        <color auto="1"/>
      </top>
      <bottom style="medium">
        <color auto="1"/>
      </bottom>
      <diagonal/>
    </border>
    <border>
      <left style="medium">
        <color auto="1"/>
      </left>
      <right style="double">
        <color auto="1"/>
      </right>
      <top style="double">
        <color auto="1"/>
      </top>
      <bottom style="medium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/>
      <diagonal/>
    </border>
    <border>
      <left style="double">
        <color auto="1"/>
      </left>
      <right style="double">
        <color auto="1"/>
      </right>
      <top style="medium">
        <color auto="1"/>
      </top>
      <bottom style="medium">
        <color auto="1"/>
      </bottom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/>
      <top style="double">
        <color auto="1"/>
      </top>
      <bottom style="double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/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ck">
        <color auto="1"/>
      </left>
      <right style="thick">
        <color auto="1"/>
      </right>
      <top/>
      <bottom/>
      <diagonal/>
    </border>
  </borders>
  <cellStyleXfs count="8">
    <xf numFmtId="0" fontId="0" fillId="0" borderId="0"/>
    <xf numFmtId="0" fontId="3" fillId="0" borderId="0"/>
    <xf numFmtId="3" fontId="6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8" fillId="0" borderId="0"/>
    <xf numFmtId="9" fontId="24" fillId="0" borderId="0" applyFont="0" applyFill="0" applyBorder="0" applyAlignment="0" applyProtection="0"/>
    <xf numFmtId="0" fontId="36" fillId="0" borderId="0" applyNumberFormat="0" applyFill="0" applyBorder="0" applyAlignment="0" applyProtection="0"/>
  </cellStyleXfs>
  <cellXfs count="455">
    <xf numFmtId="0" fontId="0" fillId="0" borderId="0" xfId="0"/>
    <xf numFmtId="0" fontId="2" fillId="0" borderId="0" xfId="0" applyFont="1"/>
    <xf numFmtId="0" fontId="0" fillId="0" borderId="0" xfId="0" applyAlignment="1">
      <alignment horizontal="left"/>
    </xf>
    <xf numFmtId="0" fontId="4" fillId="0" borderId="0" xfId="1" applyFont="1"/>
    <xf numFmtId="0" fontId="3" fillId="0" borderId="0" xfId="1"/>
    <xf numFmtId="43" fontId="3" fillId="0" borderId="0" xfId="1" applyNumberFormat="1"/>
    <xf numFmtId="0" fontId="5" fillId="0" borderId="1" xfId="1" applyFont="1" applyBorder="1" applyAlignment="1">
      <alignment horizontal="center" vertical="center" wrapText="1"/>
    </xf>
    <xf numFmtId="3" fontId="7" fillId="2" borderId="1" xfId="2" applyFont="1" applyFill="1" applyBorder="1" applyAlignment="1">
      <alignment horizontal="center" vertical="center" wrapText="1"/>
    </xf>
    <xf numFmtId="0" fontId="9" fillId="0" borderId="0" xfId="1" applyFont="1"/>
    <xf numFmtId="0" fontId="10" fillId="0" borderId="0" xfId="1" applyFont="1" applyAlignment="1">
      <alignment horizontal="center" vertical="center" wrapText="1"/>
    </xf>
    <xf numFmtId="0" fontId="11" fillId="0" borderId="0" xfId="1" applyFont="1"/>
    <xf numFmtId="0" fontId="12" fillId="0" borderId="0" xfId="1" applyFont="1"/>
    <xf numFmtId="0" fontId="13" fillId="0" borderId="2" xfId="1" applyFont="1" applyBorder="1"/>
    <xf numFmtId="0" fontId="10" fillId="0" borderId="3" xfId="1" applyFont="1" applyBorder="1"/>
    <xf numFmtId="0" fontId="3" fillId="0" borderId="3" xfId="1" applyBorder="1"/>
    <xf numFmtId="0" fontId="10" fillId="0" borderId="4" xfId="1" applyFont="1" applyBorder="1"/>
    <xf numFmtId="0" fontId="12" fillId="0" borderId="3" xfId="1" applyFont="1" applyBorder="1"/>
    <xf numFmtId="0" fontId="12" fillId="0" borderId="4" xfId="1" applyFont="1" applyBorder="1"/>
    <xf numFmtId="0" fontId="2" fillId="0" borderId="4" xfId="1" applyFont="1" applyBorder="1" applyAlignment="1">
      <alignment wrapText="1"/>
    </xf>
    <xf numFmtId="43" fontId="14" fillId="0" borderId="2" xfId="3" applyFont="1" applyFill="1" applyBorder="1"/>
    <xf numFmtId="43" fontId="12" fillId="0" borderId="3" xfId="3" applyFont="1" applyFill="1" applyBorder="1"/>
    <xf numFmtId="43" fontId="12" fillId="0" borderId="4" xfId="3" applyFont="1" applyFill="1" applyBorder="1"/>
    <xf numFmtId="0" fontId="14" fillId="0" borderId="2" xfId="1" applyFont="1" applyBorder="1"/>
    <xf numFmtId="0" fontId="10" fillId="0" borderId="5" xfId="1" applyFont="1" applyBorder="1" applyAlignment="1">
      <alignment horizontal="center" vertical="center" wrapText="1"/>
    </xf>
    <xf numFmtId="0" fontId="10" fillId="0" borderId="6" xfId="1" applyFont="1" applyBorder="1" applyAlignment="1">
      <alignment horizontal="center" vertical="center" wrapText="1"/>
    </xf>
    <xf numFmtId="0" fontId="10" fillId="0" borderId="7" xfId="1" applyFont="1" applyBorder="1" applyAlignment="1">
      <alignment horizontal="center" vertical="center" wrapText="1"/>
    </xf>
    <xf numFmtId="0" fontId="12" fillId="0" borderId="8" xfId="1" applyFont="1" applyBorder="1" applyAlignment="1">
      <alignment horizontal="center" vertical="center" wrapText="1"/>
    </xf>
    <xf numFmtId="0" fontId="10" fillId="0" borderId="1" xfId="1" applyFont="1" applyBorder="1" applyAlignment="1">
      <alignment horizontal="center" vertical="center" wrapText="1"/>
    </xf>
    <xf numFmtId="0" fontId="12" fillId="0" borderId="1" xfId="1" applyFont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center" wrapText="1"/>
    </xf>
    <xf numFmtId="0" fontId="3" fillId="0" borderId="1" xfId="1" applyBorder="1" applyAlignment="1">
      <alignment vertical="center" wrapText="1"/>
    </xf>
    <xf numFmtId="0" fontId="3" fillId="0" borderId="9" xfId="1" applyBorder="1" applyAlignment="1">
      <alignment vertical="center" wrapText="1"/>
    </xf>
    <xf numFmtId="0" fontId="12" fillId="0" borderId="9" xfId="1" applyFont="1" applyBorder="1" applyAlignment="1">
      <alignment horizontal="center" vertical="center" wrapText="1"/>
    </xf>
    <xf numFmtId="0" fontId="12" fillId="0" borderId="1" xfId="1" applyFont="1" applyBorder="1" applyAlignment="1">
      <alignment vertical="center" wrapText="1"/>
    </xf>
    <xf numFmtId="0" fontId="12" fillId="0" borderId="9" xfId="1" applyFont="1" applyBorder="1" applyAlignment="1">
      <alignment vertical="center" wrapText="1"/>
    </xf>
    <xf numFmtId="0" fontId="14" fillId="0" borderId="0" xfId="1" applyFont="1" applyAlignment="1">
      <alignment vertical="center" wrapText="1"/>
    </xf>
    <xf numFmtId="0" fontId="10" fillId="0" borderId="8" xfId="1" applyFont="1" applyBorder="1" applyAlignment="1">
      <alignment horizontal="center" vertical="center" wrapText="1"/>
    </xf>
    <xf numFmtId="164" fontId="10" fillId="0" borderId="1" xfId="1" applyNumberFormat="1" applyFont="1" applyBorder="1" applyAlignment="1">
      <alignment horizontal="center" vertical="center" wrapText="1"/>
    </xf>
    <xf numFmtId="164" fontId="10" fillId="0" borderId="9" xfId="1" applyNumberFormat="1" applyFont="1" applyBorder="1" applyAlignment="1">
      <alignment horizontal="center" vertical="center" wrapText="1"/>
    </xf>
    <xf numFmtId="0" fontId="12" fillId="0" borderId="1" xfId="1" quotePrefix="1" applyFont="1" applyBorder="1" applyAlignment="1">
      <alignment horizontal="center" vertical="center" wrapText="1"/>
    </xf>
    <xf numFmtId="0" fontId="12" fillId="0" borderId="9" xfId="1" quotePrefix="1" applyFont="1" applyBorder="1" applyAlignment="1">
      <alignment horizontal="center" vertical="center" wrapText="1"/>
    </xf>
    <xf numFmtId="0" fontId="12" fillId="3" borderId="1" xfId="1" applyFont="1" applyFill="1" applyBorder="1" applyAlignment="1">
      <alignment horizontal="center" vertical="center" wrapText="1"/>
    </xf>
    <xf numFmtId="0" fontId="12" fillId="3" borderId="9" xfId="1" applyFont="1" applyFill="1" applyBorder="1" applyAlignment="1">
      <alignment horizontal="center" vertical="center" wrapText="1"/>
    </xf>
    <xf numFmtId="0" fontId="3" fillId="0" borderId="10" xfId="1" applyBorder="1"/>
    <xf numFmtId="0" fontId="12" fillId="3" borderId="6" xfId="1" applyFont="1" applyFill="1" applyBorder="1" applyAlignment="1">
      <alignment horizontal="center" vertical="center" wrapText="1"/>
    </xf>
    <xf numFmtId="0" fontId="3" fillId="3" borderId="7" xfId="1" applyFill="1" applyBorder="1" applyAlignment="1">
      <alignment horizontal="center"/>
    </xf>
    <xf numFmtId="0" fontId="3" fillId="0" borderId="8" xfId="1" applyBorder="1"/>
    <xf numFmtId="0" fontId="3" fillId="0" borderId="1" xfId="1" applyBorder="1" applyAlignment="1">
      <alignment horizontal="center"/>
    </xf>
    <xf numFmtId="0" fontId="3" fillId="0" borderId="9" xfId="1" applyBorder="1" applyAlignment="1">
      <alignment horizontal="center"/>
    </xf>
    <xf numFmtId="0" fontId="10" fillId="0" borderId="10" xfId="1" applyFont="1" applyBorder="1" applyAlignment="1">
      <alignment horizontal="center" vertical="center" wrapText="1"/>
    </xf>
    <xf numFmtId="164" fontId="10" fillId="0" borderId="0" xfId="1" applyNumberFormat="1" applyFont="1" applyAlignment="1">
      <alignment horizontal="center" vertical="center" wrapText="1"/>
    </xf>
    <xf numFmtId="164" fontId="10" fillId="0" borderId="0" xfId="1" applyNumberFormat="1" applyFont="1" applyAlignment="1">
      <alignment horizontal="center" wrapText="1"/>
    </xf>
    <xf numFmtId="164" fontId="10" fillId="0" borderId="11" xfId="1" applyNumberFormat="1" applyFont="1" applyBorder="1" applyAlignment="1">
      <alignment horizontal="center" vertical="center" wrapText="1"/>
    </xf>
    <xf numFmtId="0" fontId="12" fillId="0" borderId="10" xfId="1" applyFont="1" applyBorder="1" applyAlignment="1">
      <alignment horizontal="center" vertical="center" wrapText="1"/>
    </xf>
    <xf numFmtId="0" fontId="12" fillId="0" borderId="0" xfId="1" applyFont="1" applyAlignment="1">
      <alignment horizontal="center" vertical="center" wrapText="1"/>
    </xf>
    <xf numFmtId="0" fontId="7" fillId="0" borderId="0" xfId="1" applyFont="1" applyAlignment="1">
      <alignment horizontal="center" vertical="center" wrapText="1"/>
    </xf>
    <xf numFmtId="0" fontId="12" fillId="0" borderId="11" xfId="1" applyFont="1" applyBorder="1" applyAlignment="1">
      <alignment horizontal="center" vertical="center" wrapText="1"/>
    </xf>
    <xf numFmtId="0" fontId="3" fillId="0" borderId="11" xfId="1" applyBorder="1"/>
    <xf numFmtId="0" fontId="10" fillId="0" borderId="12" xfId="1" applyFont="1" applyBorder="1" applyAlignment="1">
      <alignment horizontal="center" vertical="center" wrapText="1"/>
    </xf>
    <xf numFmtId="164" fontId="10" fillId="0" borderId="13" xfId="1" applyNumberFormat="1" applyFont="1" applyBorder="1" applyAlignment="1">
      <alignment horizontal="center" vertical="center" wrapText="1"/>
    </xf>
    <xf numFmtId="164" fontId="10" fillId="0" borderId="14" xfId="1" applyNumberFormat="1" applyFont="1" applyBorder="1" applyAlignment="1">
      <alignment horizontal="center" vertical="center" wrapText="1"/>
    </xf>
    <xf numFmtId="0" fontId="12" fillId="0" borderId="12" xfId="1" applyFont="1" applyBorder="1" applyAlignment="1">
      <alignment horizontal="center" vertical="center" wrapText="1"/>
    </xf>
    <xf numFmtId="0" fontId="12" fillId="0" borderId="13" xfId="1" applyFont="1" applyBorder="1" applyAlignment="1">
      <alignment horizontal="center" vertical="center" wrapText="1"/>
    </xf>
    <xf numFmtId="0" fontId="10" fillId="0" borderId="13" xfId="1" applyFont="1" applyBorder="1" applyAlignment="1">
      <alignment horizontal="center" vertical="center" wrapText="1"/>
    </xf>
    <xf numFmtId="0" fontId="7" fillId="0" borderId="13" xfId="1" applyFont="1" applyBorder="1" applyAlignment="1">
      <alignment horizontal="center" vertical="center" wrapText="1"/>
    </xf>
    <xf numFmtId="0" fontId="12" fillId="0" borderId="14" xfId="1" applyFont="1" applyBorder="1" applyAlignment="1">
      <alignment horizontal="center" vertical="center" wrapText="1"/>
    </xf>
    <xf numFmtId="0" fontId="3" fillId="0" borderId="5" xfId="1" applyBorder="1"/>
    <xf numFmtId="0" fontId="3" fillId="0" borderId="6" xfId="1" applyBorder="1"/>
    <xf numFmtId="0" fontId="3" fillId="0" borderId="7" xfId="1" applyBorder="1"/>
    <xf numFmtId="0" fontId="10" fillId="0" borderId="12" xfId="1" applyFont="1" applyBorder="1" applyAlignment="1">
      <alignment horizontal="center"/>
    </xf>
    <xf numFmtId="165" fontId="10" fillId="0" borderId="13" xfId="3" applyNumberFormat="1" applyFont="1" applyFill="1" applyBorder="1"/>
    <xf numFmtId="165" fontId="3" fillId="0" borderId="13" xfId="1" applyNumberFormat="1" applyBorder="1"/>
    <xf numFmtId="165" fontId="3" fillId="0" borderId="14" xfId="1" applyNumberFormat="1" applyBorder="1"/>
    <xf numFmtId="0" fontId="12" fillId="0" borderId="12" xfId="1" applyFont="1" applyBorder="1" applyAlignment="1">
      <alignment horizontal="center"/>
    </xf>
    <xf numFmtId="165" fontId="12" fillId="0" borderId="13" xfId="3" applyNumberFormat="1" applyFont="1" applyFill="1" applyBorder="1"/>
    <xf numFmtId="166" fontId="12" fillId="0" borderId="13" xfId="4" applyNumberFormat="1" applyFont="1" applyFill="1" applyBorder="1" applyAlignment="1">
      <alignment horizontal="center"/>
    </xf>
    <xf numFmtId="165" fontId="12" fillId="0" borderId="13" xfId="1" applyNumberFormat="1" applyFont="1" applyBorder="1"/>
    <xf numFmtId="166" fontId="12" fillId="0" borderId="14" xfId="4" applyNumberFormat="1" applyFont="1" applyFill="1" applyBorder="1" applyAlignment="1">
      <alignment horizontal="center"/>
    </xf>
    <xf numFmtId="165" fontId="12" fillId="0" borderId="13" xfId="3" applyNumberFormat="1" applyFont="1" applyFill="1" applyBorder="1" applyAlignment="1">
      <alignment horizontal="center"/>
    </xf>
    <xf numFmtId="166" fontId="0" fillId="0" borderId="13" xfId="4" applyNumberFormat="1" applyFont="1" applyFill="1" applyBorder="1"/>
    <xf numFmtId="166" fontId="0" fillId="0" borderId="14" xfId="4" applyNumberFormat="1" applyFont="1" applyFill="1" applyBorder="1"/>
    <xf numFmtId="0" fontId="12" fillId="0" borderId="12" xfId="1" applyFont="1" applyBorder="1"/>
    <xf numFmtId="166" fontId="12" fillId="0" borderId="13" xfId="4" applyNumberFormat="1" applyFont="1" applyFill="1" applyBorder="1"/>
    <xf numFmtId="165" fontId="0" fillId="0" borderId="0" xfId="3" applyNumberFormat="1" applyFont="1" applyFill="1"/>
    <xf numFmtId="165" fontId="3" fillId="0" borderId="0" xfId="1" applyNumberFormat="1"/>
    <xf numFmtId="164" fontId="3" fillId="0" borderId="0" xfId="1" applyNumberFormat="1"/>
    <xf numFmtId="165" fontId="12" fillId="0" borderId="14" xfId="3" applyNumberFormat="1" applyFont="1" applyFill="1" applyBorder="1"/>
    <xf numFmtId="0" fontId="10" fillId="0" borderId="15" xfId="1" applyFont="1" applyBorder="1" applyAlignment="1">
      <alignment horizontal="center"/>
    </xf>
    <xf numFmtId="164" fontId="10" fillId="0" borderId="16" xfId="3" applyNumberFormat="1" applyFont="1" applyFill="1" applyBorder="1"/>
    <xf numFmtId="0" fontId="3" fillId="0" borderId="16" xfId="1" applyBorder="1"/>
    <xf numFmtId="165" fontId="10" fillId="0" borderId="17" xfId="3" applyNumberFormat="1" applyFont="1" applyFill="1" applyBorder="1"/>
    <xf numFmtId="0" fontId="3" fillId="0" borderId="15" xfId="1" applyBorder="1"/>
    <xf numFmtId="0" fontId="3" fillId="0" borderId="17" xfId="1" applyBorder="1"/>
    <xf numFmtId="165" fontId="3" fillId="0" borderId="16" xfId="1" applyNumberFormat="1" applyBorder="1"/>
    <xf numFmtId="0" fontId="10" fillId="0" borderId="0" xfId="1" applyFont="1" applyAlignment="1">
      <alignment horizontal="center"/>
    </xf>
    <xf numFmtId="164" fontId="10" fillId="0" borderId="0" xfId="3" applyNumberFormat="1" applyFont="1" applyFill="1" applyBorder="1"/>
    <xf numFmtId="165" fontId="10" fillId="0" borderId="0" xfId="3" applyNumberFormat="1" applyFont="1" applyFill="1" applyBorder="1"/>
    <xf numFmtId="10" fontId="10" fillId="0" borderId="0" xfId="4" applyNumberFormat="1" applyFont="1" applyFill="1" applyBorder="1"/>
    <xf numFmtId="3" fontId="7" fillId="2" borderId="1" xfId="2" applyFont="1" applyFill="1" applyBorder="1" applyAlignment="1">
      <alignment horizontal="left" vertical="top" wrapText="1"/>
    </xf>
    <xf numFmtId="3" fontId="7" fillId="2" borderId="1" xfId="2" applyFont="1" applyFill="1" applyBorder="1" applyAlignment="1">
      <alignment vertical="top" wrapText="1"/>
    </xf>
    <xf numFmtId="3" fontId="7" fillId="2" borderId="1" xfId="2" quotePrefix="1" applyFont="1" applyFill="1" applyBorder="1" applyAlignment="1">
      <alignment vertical="top" wrapText="1"/>
    </xf>
    <xf numFmtId="3" fontId="7" fillId="2" borderId="18" xfId="2" applyFont="1" applyFill="1" applyBorder="1" applyAlignment="1">
      <alignment vertical="top" wrapText="1"/>
    </xf>
    <xf numFmtId="0" fontId="12" fillId="2" borderId="1" xfId="1" applyFont="1" applyFill="1" applyBorder="1" applyAlignment="1">
      <alignment vertical="top" wrapText="1"/>
    </xf>
    <xf numFmtId="0" fontId="3" fillId="2" borderId="1" xfId="1" applyFill="1" applyBorder="1" applyAlignment="1">
      <alignment vertical="top" wrapText="1"/>
    </xf>
    <xf numFmtId="166" fontId="14" fillId="0" borderId="0" xfId="1" applyNumberFormat="1" applyFont="1"/>
    <xf numFmtId="0" fontId="14" fillId="0" borderId="0" xfId="1" applyFont="1"/>
    <xf numFmtId="10" fontId="7" fillId="0" borderId="0" xfId="4" applyNumberFormat="1" applyFont="1" applyFill="1" applyBorder="1"/>
    <xf numFmtId="3" fontId="7" fillId="0" borderId="19" xfId="2" applyFont="1" applyBorder="1"/>
    <xf numFmtId="0" fontId="3" fillId="0" borderId="20" xfId="1" applyBorder="1"/>
    <xf numFmtId="3" fontId="7" fillId="0" borderId="20" xfId="2" applyFont="1" applyBorder="1"/>
    <xf numFmtId="3" fontId="7" fillId="0" borderId="21" xfId="2" applyFont="1" applyBorder="1"/>
    <xf numFmtId="0" fontId="3" fillId="0" borderId="19" xfId="1" applyBorder="1"/>
    <xf numFmtId="0" fontId="12" fillId="0" borderId="20" xfId="1" applyFont="1" applyBorder="1"/>
    <xf numFmtId="0" fontId="12" fillId="0" borderId="21" xfId="1" applyFont="1" applyBorder="1"/>
    <xf numFmtId="3" fontId="15" fillId="0" borderId="12" xfId="2" applyFont="1" applyBorder="1"/>
    <xf numFmtId="3" fontId="7" fillId="0" borderId="13" xfId="2" applyFont="1" applyBorder="1"/>
    <xf numFmtId="3" fontId="7" fillId="0" borderId="14" xfId="2" applyFont="1" applyBorder="1"/>
    <xf numFmtId="10" fontId="0" fillId="0" borderId="0" xfId="4" applyNumberFormat="1" applyFont="1" applyFill="1"/>
    <xf numFmtId="3" fontId="7" fillId="0" borderId="8" xfId="2" applyFont="1" applyBorder="1"/>
    <xf numFmtId="3" fontId="16" fillId="0" borderId="22" xfId="2" applyFont="1" applyBorder="1"/>
    <xf numFmtId="3" fontId="16" fillId="0" borderId="23" xfId="2" applyFont="1" applyBorder="1"/>
    <xf numFmtId="3" fontId="7" fillId="0" borderId="23" xfId="2" applyFont="1" applyBorder="1"/>
    <xf numFmtId="3" fontId="7" fillId="0" borderId="24" xfId="2" applyFont="1" applyBorder="1"/>
    <xf numFmtId="3" fontId="7" fillId="0" borderId="12" xfId="2" applyFont="1" applyBorder="1"/>
    <xf numFmtId="0" fontId="3" fillId="0" borderId="12" xfId="1" applyBorder="1"/>
    <xf numFmtId="3" fontId="7" fillId="0" borderId="10" xfId="2" applyFont="1" applyBorder="1"/>
    <xf numFmtId="3" fontId="7" fillId="0" borderId="0" xfId="2" applyFont="1"/>
    <xf numFmtId="0" fontId="12" fillId="0" borderId="11" xfId="1" applyFont="1" applyBorder="1"/>
    <xf numFmtId="166" fontId="14" fillId="0" borderId="13" xfId="1" applyNumberFormat="1" applyFont="1" applyBorder="1"/>
    <xf numFmtId="3" fontId="16" fillId="0" borderId="25" xfId="2" applyFont="1" applyBorder="1"/>
    <xf numFmtId="3" fontId="16" fillId="0" borderId="1" xfId="2" applyFont="1" applyBorder="1"/>
    <xf numFmtId="3" fontId="7" fillId="0" borderId="1" xfId="2" applyFont="1" applyBorder="1"/>
    <xf numFmtId="10" fontId="16" fillId="0" borderId="1" xfId="4" applyNumberFormat="1" applyFont="1" applyFill="1" applyBorder="1"/>
    <xf numFmtId="0" fontId="3" fillId="0" borderId="1" xfId="1" applyBorder="1"/>
    <xf numFmtId="3" fontId="7" fillId="0" borderId="9" xfId="2" applyFont="1" applyBorder="1"/>
    <xf numFmtId="10" fontId="16" fillId="0" borderId="13" xfId="4" applyNumberFormat="1" applyFont="1" applyFill="1" applyBorder="1"/>
    <xf numFmtId="166" fontId="7" fillId="0" borderId="13" xfId="4" applyNumberFormat="1" applyFont="1" applyFill="1" applyBorder="1"/>
    <xf numFmtId="0" fontId="3" fillId="0" borderId="13" xfId="1" applyBorder="1"/>
    <xf numFmtId="0" fontId="12" fillId="0" borderId="13" xfId="1" applyFont="1" applyBorder="1"/>
    <xf numFmtId="0" fontId="12" fillId="0" borderId="14" xfId="1" applyFont="1" applyBorder="1"/>
    <xf numFmtId="9" fontId="3" fillId="0" borderId="13" xfId="1" applyNumberFormat="1" applyBorder="1"/>
    <xf numFmtId="0" fontId="3" fillId="0" borderId="14" xfId="1" applyBorder="1"/>
    <xf numFmtId="3" fontId="7" fillId="0" borderId="25" xfId="2" applyFont="1" applyBorder="1"/>
    <xf numFmtId="3" fontId="7" fillId="0" borderId="9" xfId="2" quotePrefix="1" applyFont="1" applyBorder="1"/>
    <xf numFmtId="3" fontId="7" fillId="0" borderId="13" xfId="2" applyFont="1" applyBorder="1" applyAlignment="1">
      <alignment wrapText="1"/>
    </xf>
    <xf numFmtId="3" fontId="7" fillId="0" borderId="14" xfId="2" applyFont="1" applyBorder="1" applyAlignment="1">
      <alignment horizontal="center" vertical="center" wrapText="1"/>
    </xf>
    <xf numFmtId="0" fontId="12" fillId="0" borderId="26" xfId="1" applyFont="1" applyBorder="1" applyAlignment="1">
      <alignment horizontal="center" vertical="center" wrapText="1"/>
    </xf>
    <xf numFmtId="3" fontId="7" fillId="0" borderId="23" xfId="2" applyFont="1" applyBorder="1" applyAlignment="1">
      <alignment vertical="center"/>
    </xf>
    <xf numFmtId="3" fontId="7" fillId="0" borderId="23" xfId="2" applyFont="1" applyBorder="1" applyAlignment="1">
      <alignment horizontal="center" vertical="center"/>
    </xf>
    <xf numFmtId="3" fontId="7" fillId="0" borderId="23" xfId="2" applyFont="1" applyBorder="1" applyAlignment="1">
      <alignment wrapText="1"/>
    </xf>
    <xf numFmtId="3" fontId="7" fillId="0" borderId="24" xfId="2" applyFont="1" applyBorder="1" applyAlignment="1">
      <alignment wrapText="1"/>
    </xf>
    <xf numFmtId="3" fontId="7" fillId="0" borderId="1" xfId="2" applyFont="1" applyBorder="1" applyAlignment="1">
      <alignment horizontal="center"/>
    </xf>
    <xf numFmtId="3" fontId="7" fillId="0" borderId="1" xfId="2" applyFont="1" applyBorder="1" applyAlignment="1">
      <alignment horizontal="center" wrapText="1"/>
    </xf>
    <xf numFmtId="3" fontId="7" fillId="0" borderId="13" xfId="2" applyFont="1" applyBorder="1" applyAlignment="1">
      <alignment vertical="top"/>
    </xf>
    <xf numFmtId="3" fontId="7" fillId="0" borderId="13" xfId="2" applyFont="1" applyBorder="1" applyAlignment="1">
      <alignment horizontal="center" vertical="center"/>
    </xf>
    <xf numFmtId="0" fontId="12" fillId="0" borderId="13" xfId="1" applyFont="1" applyBorder="1" applyAlignment="1">
      <alignment vertical="center" wrapText="1"/>
    </xf>
    <xf numFmtId="0" fontId="12" fillId="0" borderId="14" xfId="1" applyFont="1" applyBorder="1" applyAlignment="1">
      <alignment vertical="center" wrapText="1"/>
    </xf>
    <xf numFmtId="3" fontId="7" fillId="0" borderId="9" xfId="2" applyFont="1" applyBorder="1" applyAlignment="1">
      <alignment horizontal="center"/>
    </xf>
    <xf numFmtId="0" fontId="12" fillId="0" borderId="1" xfId="1" applyFont="1" applyBorder="1" applyAlignment="1">
      <alignment horizontal="center"/>
    </xf>
    <xf numFmtId="166" fontId="7" fillId="0" borderId="14" xfId="4" applyNumberFormat="1" applyFont="1" applyFill="1" applyBorder="1"/>
    <xf numFmtId="167" fontId="7" fillId="0" borderId="12" xfId="3" applyNumberFormat="1" applyFont="1" applyFill="1" applyBorder="1"/>
    <xf numFmtId="3" fontId="3" fillId="0" borderId="0" xfId="1" applyNumberFormat="1"/>
    <xf numFmtId="4" fontId="7" fillId="0" borderId="13" xfId="2" applyNumberFormat="1" applyFont="1" applyBorder="1"/>
    <xf numFmtId="4" fontId="7" fillId="0" borderId="14" xfId="2" applyNumberFormat="1" applyFont="1" applyBorder="1"/>
    <xf numFmtId="10" fontId="12" fillId="0" borderId="13" xfId="4" applyNumberFormat="1" applyFont="1" applyFill="1" applyBorder="1"/>
    <xf numFmtId="166" fontId="12" fillId="0" borderId="13" xfId="1" applyNumberFormat="1" applyFont="1" applyBorder="1"/>
    <xf numFmtId="166" fontId="12" fillId="0" borderId="14" xfId="4" applyNumberFormat="1" applyFont="1" applyFill="1" applyBorder="1"/>
    <xf numFmtId="43" fontId="12" fillId="0" borderId="14" xfId="1" applyNumberFormat="1" applyFont="1" applyBorder="1"/>
    <xf numFmtId="166" fontId="3" fillId="0" borderId="0" xfId="1" applyNumberFormat="1"/>
    <xf numFmtId="0" fontId="12" fillId="0" borderId="15" xfId="1" applyFont="1" applyBorder="1"/>
    <xf numFmtId="166" fontId="12" fillId="0" borderId="16" xfId="4" applyNumberFormat="1" applyFont="1" applyFill="1" applyBorder="1"/>
    <xf numFmtId="0" fontId="12" fillId="0" borderId="16" xfId="1" applyFont="1" applyBorder="1"/>
    <xf numFmtId="167" fontId="7" fillId="0" borderId="16" xfId="3" applyNumberFormat="1" applyFont="1" applyFill="1" applyBorder="1"/>
    <xf numFmtId="0" fontId="12" fillId="0" borderId="17" xfId="1" applyFont="1" applyBorder="1"/>
    <xf numFmtId="0" fontId="12" fillId="0" borderId="2" xfId="1" applyFont="1" applyBorder="1"/>
    <xf numFmtId="10" fontId="12" fillId="0" borderId="3" xfId="4" applyNumberFormat="1" applyFont="1" applyFill="1" applyBorder="1"/>
    <xf numFmtId="166" fontId="12" fillId="0" borderId="3" xfId="4" applyNumberFormat="1" applyFont="1" applyFill="1" applyBorder="1"/>
    <xf numFmtId="3" fontId="7" fillId="0" borderId="3" xfId="2" applyFont="1" applyBorder="1"/>
    <xf numFmtId="166" fontId="14" fillId="0" borderId="3" xfId="4" applyNumberFormat="1" applyFont="1" applyFill="1" applyBorder="1"/>
    <xf numFmtId="166" fontId="14" fillId="0" borderId="4" xfId="4" applyNumberFormat="1" applyFont="1" applyFill="1" applyBorder="1"/>
    <xf numFmtId="0" fontId="12" fillId="0" borderId="27" xfId="1" applyFont="1" applyBorder="1"/>
    <xf numFmtId="0" fontId="12" fillId="0" borderId="28" xfId="1" applyFont="1" applyBorder="1"/>
    <xf numFmtId="166" fontId="12" fillId="0" borderId="28" xfId="4" applyNumberFormat="1" applyFont="1" applyFill="1" applyBorder="1"/>
    <xf numFmtId="0" fontId="12" fillId="0" borderId="29" xfId="1" applyFont="1" applyBorder="1"/>
    <xf numFmtId="0" fontId="3" fillId="2" borderId="1" xfId="1" applyFill="1" applyBorder="1" applyAlignment="1">
      <alignment horizontal="left" vertical="top" wrapText="1"/>
    </xf>
    <xf numFmtId="0" fontId="17" fillId="0" borderId="0" xfId="1" applyFont="1"/>
    <xf numFmtId="0" fontId="5" fillId="0" borderId="4" xfId="1" applyFont="1" applyBorder="1" applyAlignment="1">
      <alignment horizontal="left"/>
    </xf>
    <xf numFmtId="0" fontId="12" fillId="0" borderId="5" xfId="1" applyFont="1" applyBorder="1" applyAlignment="1">
      <alignment horizontal="center" vertical="center" wrapText="1"/>
    </xf>
    <xf numFmtId="0" fontId="12" fillId="0" borderId="6" xfId="1" applyFont="1" applyBorder="1" applyAlignment="1">
      <alignment horizontal="center" vertical="center" wrapText="1"/>
    </xf>
    <xf numFmtId="0" fontId="12" fillId="0" borderId="7" xfId="1" applyFont="1" applyBorder="1" applyAlignment="1">
      <alignment horizontal="center" vertical="center" wrapText="1"/>
    </xf>
    <xf numFmtId="0" fontId="12" fillId="0" borderId="8" xfId="1" applyFont="1" applyBorder="1" applyAlignment="1">
      <alignment horizontal="center"/>
    </xf>
    <xf numFmtId="0" fontId="12" fillId="0" borderId="5" xfId="1" applyFont="1" applyBorder="1" applyAlignment="1">
      <alignment horizontal="center"/>
    </xf>
    <xf numFmtId="3" fontId="3" fillId="0" borderId="6" xfId="1" applyNumberFormat="1" applyBorder="1"/>
    <xf numFmtId="43" fontId="3" fillId="0" borderId="6" xfId="1" applyNumberFormat="1" applyBorder="1"/>
    <xf numFmtId="3" fontId="3" fillId="0" borderId="13" xfId="1" applyNumberFormat="1" applyBorder="1"/>
    <xf numFmtId="4" fontId="12" fillId="0" borderId="13" xfId="1" applyNumberFormat="1" applyFont="1" applyBorder="1" applyAlignment="1">
      <alignment horizontal="center"/>
    </xf>
    <xf numFmtId="4" fontId="3" fillId="0" borderId="13" xfId="1" applyNumberFormat="1" applyBorder="1"/>
    <xf numFmtId="43" fontId="12" fillId="0" borderId="13" xfId="1" applyNumberFormat="1" applyFont="1" applyBorder="1" applyAlignment="1">
      <alignment horizontal="center"/>
    </xf>
    <xf numFmtId="43" fontId="12" fillId="0" borderId="13" xfId="3" applyFont="1" applyFill="1" applyBorder="1" applyAlignment="1">
      <alignment horizontal="center"/>
    </xf>
    <xf numFmtId="2" fontId="10" fillId="0" borderId="14" xfId="1" applyNumberFormat="1" applyFont="1" applyBorder="1" applyAlignment="1">
      <alignment horizontal="center"/>
    </xf>
    <xf numFmtId="166" fontId="10" fillId="0" borderId="0" xfId="4" applyNumberFormat="1" applyFont="1" applyFill="1" applyBorder="1"/>
    <xf numFmtId="2" fontId="12" fillId="0" borderId="13" xfId="1" applyNumberFormat="1" applyFont="1" applyBorder="1" applyAlignment="1">
      <alignment horizontal="center"/>
    </xf>
    <xf numFmtId="166" fontId="12" fillId="0" borderId="13" xfId="1" applyNumberFormat="1" applyFont="1" applyBorder="1" applyAlignment="1">
      <alignment horizontal="center"/>
    </xf>
    <xf numFmtId="166" fontId="12" fillId="0" borderId="14" xfId="1" applyNumberFormat="1" applyFont="1" applyBorder="1" applyAlignment="1">
      <alignment horizontal="center"/>
    </xf>
    <xf numFmtId="43" fontId="0" fillId="0" borderId="0" xfId="3" applyFont="1" applyFill="1"/>
    <xf numFmtId="2" fontId="3" fillId="0" borderId="0" xfId="1" applyNumberFormat="1"/>
    <xf numFmtId="43" fontId="18" fillId="0" borderId="0" xfId="3" applyFont="1" applyFill="1" applyBorder="1"/>
    <xf numFmtId="0" fontId="10" fillId="0" borderId="2" xfId="1" applyFont="1" applyBorder="1" applyAlignment="1">
      <alignment horizontal="center"/>
    </xf>
    <xf numFmtId="164" fontId="10" fillId="0" borderId="3" xfId="3" applyNumberFormat="1" applyFont="1" applyFill="1" applyBorder="1"/>
    <xf numFmtId="165" fontId="10" fillId="0" borderId="4" xfId="3" applyNumberFormat="1" applyFont="1" applyFill="1" applyBorder="1"/>
    <xf numFmtId="0" fontId="3" fillId="0" borderId="2" xfId="1" applyBorder="1"/>
    <xf numFmtId="0" fontId="5" fillId="0" borderId="3" xfId="1" applyFont="1" applyBorder="1"/>
    <xf numFmtId="166" fontId="5" fillId="0" borderId="4" xfId="1" applyNumberFormat="1" applyFont="1" applyBorder="1"/>
    <xf numFmtId="166" fontId="5" fillId="0" borderId="0" xfId="1" applyNumberFormat="1" applyFont="1"/>
    <xf numFmtId="0" fontId="10" fillId="0" borderId="27" xfId="1" applyFont="1" applyBorder="1" applyAlignment="1">
      <alignment horizontal="center"/>
    </xf>
    <xf numFmtId="164" fontId="10" fillId="0" borderId="28" xfId="3" applyNumberFormat="1" applyFont="1" applyFill="1" applyBorder="1"/>
    <xf numFmtId="43" fontId="19" fillId="0" borderId="28" xfId="3" applyFont="1" applyFill="1" applyBorder="1"/>
    <xf numFmtId="0" fontId="3" fillId="0" borderId="28" xfId="1" applyBorder="1"/>
    <xf numFmtId="165" fontId="10" fillId="0" borderId="29" xfId="3" applyNumberFormat="1" applyFont="1" applyFill="1" applyBorder="1"/>
    <xf numFmtId="165" fontId="10" fillId="0" borderId="27" xfId="3" applyNumberFormat="1" applyFont="1" applyFill="1" applyBorder="1"/>
    <xf numFmtId="10" fontId="3" fillId="0" borderId="28" xfId="1" applyNumberFormat="1" applyBorder="1"/>
    <xf numFmtId="0" fontId="5" fillId="0" borderId="29" xfId="1" applyFont="1" applyBorder="1"/>
    <xf numFmtId="4" fontId="3" fillId="0" borderId="0" xfId="1" applyNumberFormat="1"/>
    <xf numFmtId="0" fontId="7" fillId="2" borderId="1" xfId="5" applyFont="1" applyFill="1" applyBorder="1" applyAlignment="1">
      <alignment horizontal="left" vertical="top" wrapText="1"/>
    </xf>
    <xf numFmtId="0" fontId="7" fillId="4" borderId="1" xfId="5" applyFont="1" applyFill="1" applyBorder="1" applyAlignment="1">
      <alignment horizontal="left" vertical="top" wrapText="1"/>
    </xf>
    <xf numFmtId="0" fontId="12" fillId="0" borderId="0" xfId="1" applyFont="1" applyAlignment="1">
      <alignment horizontal="center"/>
    </xf>
    <xf numFmtId="0" fontId="20" fillId="0" borderId="0" xfId="5" applyFont="1"/>
    <xf numFmtId="0" fontId="21" fillId="0" borderId="0" xfId="5" applyFont="1"/>
    <xf numFmtId="0" fontId="7" fillId="0" borderId="19" xfId="5" applyFont="1" applyBorder="1"/>
    <xf numFmtId="0" fontId="7" fillId="0" borderId="20" xfId="5" applyFont="1" applyBorder="1" applyAlignment="1">
      <alignment horizontal="center"/>
    </xf>
    <xf numFmtId="0" fontId="12" fillId="0" borderId="20" xfId="1" applyFont="1" applyBorder="1" applyAlignment="1">
      <alignment horizontal="center"/>
    </xf>
    <xf numFmtId="0" fontId="12" fillId="0" borderId="21" xfId="1" applyFont="1" applyBorder="1" applyAlignment="1">
      <alignment horizontal="center"/>
    </xf>
    <xf numFmtId="0" fontId="7" fillId="0" borderId="2" xfId="5" applyFont="1" applyBorder="1"/>
    <xf numFmtId="0" fontId="12" fillId="0" borderId="4" xfId="1" applyFont="1" applyBorder="1" applyAlignment="1">
      <alignment horizontal="center"/>
    </xf>
    <xf numFmtId="0" fontId="3" fillId="0" borderId="4" xfId="1" applyBorder="1"/>
    <xf numFmtId="0" fontId="7" fillId="0" borderId="30" xfId="5" applyFont="1" applyBorder="1"/>
    <xf numFmtId="0" fontId="3" fillId="0" borderId="31" xfId="1" applyBorder="1"/>
    <xf numFmtId="0" fontId="7" fillId="0" borderId="12" xfId="5" applyFont="1" applyBorder="1"/>
    <xf numFmtId="0" fontId="7" fillId="0" borderId="13" xfId="5" applyFont="1" applyBorder="1" applyAlignment="1">
      <alignment horizontal="center" vertical="center" wrapText="1"/>
    </xf>
    <xf numFmtId="0" fontId="5" fillId="0" borderId="12" xfId="1" applyFont="1" applyBorder="1"/>
    <xf numFmtId="0" fontId="5" fillId="0" borderId="13" xfId="1" applyFont="1" applyBorder="1"/>
    <xf numFmtId="0" fontId="5" fillId="0" borderId="14" xfId="1" applyFont="1" applyBorder="1"/>
    <xf numFmtId="0" fontId="7" fillId="0" borderId="32" xfId="5" applyFont="1" applyBorder="1"/>
    <xf numFmtId="0" fontId="5" fillId="0" borderId="33" xfId="1" applyFont="1" applyBorder="1"/>
    <xf numFmtId="0" fontId="7" fillId="0" borderId="23" xfId="5" applyFont="1" applyBorder="1" applyAlignment="1">
      <alignment horizontal="center" wrapText="1"/>
    </xf>
    <xf numFmtId="0" fontId="7" fillId="0" borderId="23" xfId="5" applyFont="1" applyBorder="1" applyAlignment="1">
      <alignment horizontal="center" vertical="center" wrapText="1"/>
    </xf>
    <xf numFmtId="0" fontId="7" fillId="0" borderId="24" xfId="5" applyFont="1" applyBorder="1" applyAlignment="1">
      <alignment horizontal="center" wrapText="1"/>
    </xf>
    <xf numFmtId="0" fontId="5" fillId="0" borderId="26" xfId="1" applyFont="1" applyBorder="1"/>
    <xf numFmtId="0" fontId="5" fillId="0" borderId="23" xfId="1" applyFont="1" applyBorder="1"/>
    <xf numFmtId="0" fontId="5" fillId="0" borderId="24" xfId="1" applyFont="1" applyBorder="1"/>
    <xf numFmtId="0" fontId="14" fillId="0" borderId="14" xfId="1" applyFont="1" applyBorder="1" applyAlignment="1">
      <alignment horizontal="center" vertical="center" wrapText="1"/>
    </xf>
    <xf numFmtId="0" fontId="7" fillId="0" borderId="1" xfId="5" applyFont="1" applyBorder="1" applyAlignment="1">
      <alignment horizontal="center" wrapText="1"/>
    </xf>
    <xf numFmtId="0" fontId="7" fillId="0" borderId="1" xfId="5" applyFont="1" applyBorder="1" applyAlignment="1">
      <alignment horizontal="center" vertical="center" wrapText="1"/>
    </xf>
    <xf numFmtId="0" fontId="7" fillId="0" borderId="9" xfId="5" applyFont="1" applyBorder="1" applyAlignment="1">
      <alignment horizontal="center" wrapText="1"/>
    </xf>
    <xf numFmtId="9" fontId="5" fillId="0" borderId="8" xfId="1" applyNumberFormat="1" applyFont="1" applyBorder="1"/>
    <xf numFmtId="9" fontId="5" fillId="0" borderId="1" xfId="1" applyNumberFormat="1" applyFont="1" applyBorder="1"/>
    <xf numFmtId="9" fontId="5" fillId="0" borderId="9" xfId="1" applyNumberFormat="1" applyFont="1" applyBorder="1"/>
    <xf numFmtId="43" fontId="5" fillId="0" borderId="17" xfId="3" applyFont="1" applyBorder="1"/>
    <xf numFmtId="0" fontId="7" fillId="0" borderId="13" xfId="5" applyFont="1" applyBorder="1" applyAlignment="1">
      <alignment horizontal="center" wrapText="1"/>
    </xf>
    <xf numFmtId="0" fontId="7" fillId="0" borderId="14" xfId="5" applyFont="1" applyBorder="1" applyAlignment="1">
      <alignment horizontal="center" wrapText="1"/>
    </xf>
    <xf numFmtId="9" fontId="5" fillId="0" borderId="12" xfId="1" applyNumberFormat="1" applyFont="1" applyBorder="1"/>
    <xf numFmtId="9" fontId="5" fillId="0" borderId="13" xfId="1" applyNumberFormat="1" applyFont="1" applyBorder="1"/>
    <xf numFmtId="9" fontId="5" fillId="0" borderId="14" xfId="1" applyNumberFormat="1" applyFont="1" applyBorder="1"/>
    <xf numFmtId="0" fontId="7" fillId="0" borderId="12" xfId="5" applyFont="1" applyBorder="1" applyAlignment="1">
      <alignment horizontal="center"/>
    </xf>
    <xf numFmtId="166" fontId="22" fillId="0" borderId="13" xfId="4" applyNumberFormat="1" applyFont="1" applyFill="1" applyBorder="1" applyAlignment="1">
      <alignment horizontal="center"/>
    </xf>
    <xf numFmtId="166" fontId="23" fillId="0" borderId="13" xfId="4" applyNumberFormat="1" applyFont="1" applyFill="1" applyBorder="1" applyAlignment="1">
      <alignment horizontal="center"/>
    </xf>
    <xf numFmtId="10" fontId="1" fillId="0" borderId="13" xfId="4" applyNumberFormat="1" applyFont="1" applyBorder="1"/>
    <xf numFmtId="10" fontId="3" fillId="0" borderId="13" xfId="6" applyNumberFormat="1" applyFont="1" applyBorder="1"/>
    <xf numFmtId="10" fontId="22" fillId="0" borderId="13" xfId="4" applyNumberFormat="1" applyFont="1" applyFill="1" applyBorder="1" applyAlignment="1">
      <alignment horizontal="center"/>
    </xf>
    <xf numFmtId="166" fontId="3" fillId="0" borderId="11" xfId="4" applyNumberFormat="1" applyFont="1" applyFill="1" applyBorder="1"/>
    <xf numFmtId="9" fontId="3" fillId="0" borderId="12" xfId="4" applyFont="1" applyFill="1" applyBorder="1"/>
    <xf numFmtId="9" fontId="3" fillId="0" borderId="13" xfId="4" applyFont="1" applyFill="1" applyBorder="1"/>
    <xf numFmtId="9" fontId="25" fillId="0" borderId="14" xfId="1" applyNumberFormat="1" applyFont="1" applyBorder="1"/>
    <xf numFmtId="10" fontId="0" fillId="0" borderId="0" xfId="4" applyNumberFormat="1" applyFont="1"/>
    <xf numFmtId="166" fontId="0" fillId="0" borderId="14" xfId="4" applyNumberFormat="1" applyFont="1" applyBorder="1"/>
    <xf numFmtId="0" fontId="22" fillId="0" borderId="0" xfId="1" applyFont="1" applyAlignment="1">
      <alignment horizontal="left" vertical="center"/>
    </xf>
    <xf numFmtId="9" fontId="0" fillId="0" borderId="0" xfId="4" applyFont="1" applyFill="1"/>
    <xf numFmtId="9" fontId="3" fillId="0" borderId="0" xfId="1" applyNumberFormat="1"/>
    <xf numFmtId="43" fontId="0" fillId="0" borderId="0" xfId="3" applyFont="1" applyFill="1" applyBorder="1"/>
    <xf numFmtId="0" fontId="21" fillId="0" borderId="12" xfId="5" applyFont="1" applyBorder="1"/>
    <xf numFmtId="166" fontId="7" fillId="0" borderId="13" xfId="4" applyNumberFormat="1" applyFont="1" applyFill="1" applyBorder="1" applyAlignment="1">
      <alignment horizontal="center"/>
    </xf>
    <xf numFmtId="10" fontId="3" fillId="0" borderId="13" xfId="1" applyNumberFormat="1" applyBorder="1"/>
    <xf numFmtId="166" fontId="7" fillId="0" borderId="14" xfId="4" applyNumberFormat="1" applyFont="1" applyFill="1" applyBorder="1" applyAlignment="1">
      <alignment horizontal="center"/>
    </xf>
    <xf numFmtId="9" fontId="0" fillId="0" borderId="12" xfId="4" applyFont="1" applyFill="1" applyBorder="1"/>
    <xf numFmtId="9" fontId="0" fillId="0" borderId="13" xfId="4" applyFont="1" applyFill="1" applyBorder="1"/>
    <xf numFmtId="0" fontId="7" fillId="0" borderId="15" xfId="5" applyFont="1" applyBorder="1"/>
    <xf numFmtId="0" fontId="7" fillId="0" borderId="16" xfId="5" applyFont="1" applyBorder="1"/>
    <xf numFmtId="166" fontId="12" fillId="0" borderId="17" xfId="1" applyNumberFormat="1" applyFont="1" applyBorder="1"/>
    <xf numFmtId="9" fontId="0" fillId="0" borderId="15" xfId="4" applyFont="1" applyFill="1" applyBorder="1"/>
    <xf numFmtId="9" fontId="0" fillId="0" borderId="16" xfId="4" applyFont="1" applyFill="1" applyBorder="1"/>
    <xf numFmtId="9" fontId="5" fillId="0" borderId="17" xfId="1" applyNumberFormat="1" applyFont="1" applyBorder="1"/>
    <xf numFmtId="0" fontId="7" fillId="2" borderId="1" xfId="5" quotePrefix="1" applyFont="1" applyFill="1" applyBorder="1" applyAlignment="1">
      <alignment horizontal="left" vertical="top" wrapText="1"/>
    </xf>
    <xf numFmtId="0" fontId="7" fillId="2" borderId="9" xfId="5" applyFont="1" applyFill="1" applyBorder="1" applyAlignment="1">
      <alignment horizontal="left" vertical="top" wrapText="1"/>
    </xf>
    <xf numFmtId="0" fontId="21" fillId="2" borderId="1" xfId="5" applyFont="1" applyFill="1" applyBorder="1" applyAlignment="1">
      <alignment horizontal="left" vertical="top" wrapText="1"/>
    </xf>
    <xf numFmtId="0" fontId="7" fillId="2" borderId="18" xfId="5" applyFont="1" applyFill="1" applyBorder="1" applyAlignment="1">
      <alignment horizontal="left" vertical="top" wrapText="1"/>
    </xf>
    <xf numFmtId="0" fontId="28" fillId="0" borderId="0" xfId="5" applyFont="1"/>
    <xf numFmtId="166" fontId="12" fillId="0" borderId="0" xfId="4" applyNumberFormat="1" applyFont="1" applyFill="1" applyBorder="1" applyAlignment="1">
      <alignment horizontal="center" wrapText="1"/>
    </xf>
    <xf numFmtId="0" fontId="7" fillId="0" borderId="0" xfId="5" applyFont="1"/>
    <xf numFmtId="0" fontId="24" fillId="0" borderId="0" xfId="1" applyFont="1"/>
    <xf numFmtId="0" fontId="7" fillId="0" borderId="20" xfId="5" applyFont="1" applyBorder="1"/>
    <xf numFmtId="0" fontId="16" fillId="0" borderId="19" xfId="5" applyFont="1" applyBorder="1"/>
    <xf numFmtId="0" fontId="21" fillId="0" borderId="20" xfId="5" applyFont="1" applyBorder="1"/>
    <xf numFmtId="0" fontId="21" fillId="0" borderId="21" xfId="5" applyFont="1" applyBorder="1"/>
    <xf numFmtId="0" fontId="12" fillId="0" borderId="19" xfId="1" applyFont="1" applyBorder="1"/>
    <xf numFmtId="0" fontId="3" fillId="0" borderId="21" xfId="1" applyBorder="1"/>
    <xf numFmtId="0" fontId="14" fillId="0" borderId="36" xfId="1" applyFont="1" applyBorder="1"/>
    <xf numFmtId="0" fontId="5" fillId="0" borderId="0" xfId="1" applyFont="1"/>
    <xf numFmtId="0" fontId="25" fillId="0" borderId="2" xfId="1" applyFont="1" applyBorder="1"/>
    <xf numFmtId="0" fontId="25" fillId="0" borderId="3" xfId="1" applyFont="1" applyBorder="1" applyAlignment="1">
      <alignment horizontal="center"/>
    </xf>
    <xf numFmtId="0" fontId="21" fillId="0" borderId="3" xfId="5" applyFont="1" applyBorder="1"/>
    <xf numFmtId="166" fontId="21" fillId="0" borderId="3" xfId="5" applyNumberFormat="1" applyFont="1" applyBorder="1"/>
    <xf numFmtId="0" fontId="21" fillId="0" borderId="4" xfId="5" applyFont="1" applyBorder="1"/>
    <xf numFmtId="0" fontId="7" fillId="0" borderId="13" xfId="5" applyFont="1" applyBorder="1" applyAlignment="1">
      <alignment horizontal="center"/>
    </xf>
    <xf numFmtId="0" fontId="7" fillId="0" borderId="13" xfId="5" applyFont="1" applyBorder="1"/>
    <xf numFmtId="0" fontId="21" fillId="0" borderId="13" xfId="5" applyFont="1" applyBorder="1" applyAlignment="1">
      <alignment horizontal="center"/>
    </xf>
    <xf numFmtId="0" fontId="12" fillId="0" borderId="37" xfId="1" applyFont="1" applyBorder="1"/>
    <xf numFmtId="0" fontId="25" fillId="0" borderId="10" xfId="1" applyFont="1" applyBorder="1"/>
    <xf numFmtId="0" fontId="25" fillId="0" borderId="0" xfId="1" applyFont="1" applyAlignment="1">
      <alignment horizontal="center"/>
    </xf>
    <xf numFmtId="166" fontId="21" fillId="0" borderId="0" xfId="5" applyNumberFormat="1" applyFont="1"/>
    <xf numFmtId="166" fontId="12" fillId="0" borderId="0" xfId="4" applyNumberFormat="1" applyFont="1" applyFill="1" applyBorder="1"/>
    <xf numFmtId="0" fontId="21" fillId="0" borderId="11" xfId="5" applyFont="1" applyBorder="1"/>
    <xf numFmtId="0" fontId="7" fillId="0" borderId="13" xfId="5" quotePrefix="1" applyFont="1" applyBorder="1" applyAlignment="1">
      <alignment horizontal="center"/>
    </xf>
    <xf numFmtId="0" fontId="16" fillId="0" borderId="13" xfId="5" applyFont="1" applyBorder="1" applyAlignment="1">
      <alignment horizontal="center"/>
    </xf>
    <xf numFmtId="0" fontId="7" fillId="0" borderId="14" xfId="5" applyFont="1" applyBorder="1"/>
    <xf numFmtId="0" fontId="22" fillId="0" borderId="10" xfId="5" applyFont="1" applyBorder="1"/>
    <xf numFmtId="0" fontId="22" fillId="0" borderId="0" xfId="5" applyFont="1" applyAlignment="1">
      <alignment horizontal="center"/>
    </xf>
    <xf numFmtId="166" fontId="25" fillId="0" borderId="0" xfId="4" applyNumberFormat="1" applyFont="1" applyFill="1" applyBorder="1" applyAlignment="1">
      <alignment horizontal="center"/>
    </xf>
    <xf numFmtId="166" fontId="22" fillId="0" borderId="0" xfId="5" applyNumberFormat="1" applyFont="1" applyAlignment="1">
      <alignment horizontal="center"/>
    </xf>
    <xf numFmtId="0" fontId="29" fillId="0" borderId="0" xfId="5" applyFont="1"/>
    <xf numFmtId="0" fontId="7" fillId="0" borderId="23" xfId="5" quotePrefix="1" applyFont="1" applyBorder="1" applyAlignment="1">
      <alignment horizontal="center"/>
    </xf>
    <xf numFmtId="0" fontId="7" fillId="0" borderId="23" xfId="5" applyFont="1" applyBorder="1"/>
    <xf numFmtId="0" fontId="16" fillId="0" borderId="23" xfId="5" applyFont="1" applyBorder="1" applyAlignment="1">
      <alignment horizontal="center"/>
    </xf>
    <xf numFmtId="0" fontId="16" fillId="0" borderId="24" xfId="5" applyFont="1" applyBorder="1" applyAlignment="1">
      <alignment horizontal="center"/>
    </xf>
    <xf numFmtId="0" fontId="12" fillId="0" borderId="26" xfId="1" applyFont="1" applyBorder="1"/>
    <xf numFmtId="0" fontId="29" fillId="0" borderId="23" xfId="5" applyFont="1" applyBorder="1" applyAlignment="1">
      <alignment horizontal="center"/>
    </xf>
    <xf numFmtId="0" fontId="21" fillId="0" borderId="23" xfId="5" applyFont="1" applyBorder="1" applyAlignment="1">
      <alignment horizontal="center"/>
    </xf>
    <xf numFmtId="0" fontId="3" fillId="0" borderId="24" xfId="1" applyBorder="1"/>
    <xf numFmtId="9" fontId="22" fillId="0" borderId="0" xfId="5" applyNumberFormat="1" applyFont="1" applyAlignment="1">
      <alignment horizontal="center"/>
    </xf>
    <xf numFmtId="0" fontId="7" fillId="0" borderId="8" xfId="5" applyFont="1" applyBorder="1"/>
    <xf numFmtId="0" fontId="7" fillId="0" borderId="1" xfId="5" quotePrefix="1" applyFont="1" applyBorder="1" applyAlignment="1">
      <alignment horizontal="center"/>
    </xf>
    <xf numFmtId="0" fontId="7" fillId="0" borderId="1" xfId="5" applyFont="1" applyBorder="1" applyAlignment="1">
      <alignment horizontal="center"/>
    </xf>
    <xf numFmtId="0" fontId="16" fillId="0" borderId="1" xfId="5" applyFont="1" applyBorder="1" applyAlignment="1">
      <alignment horizontal="center"/>
    </xf>
    <xf numFmtId="0" fontId="16" fillId="0" borderId="9" xfId="5" applyFont="1" applyBorder="1" applyAlignment="1">
      <alignment horizontal="center"/>
    </xf>
    <xf numFmtId="0" fontId="12" fillId="0" borderId="8" xfId="1" applyFont="1" applyBorder="1"/>
    <xf numFmtId="0" fontId="21" fillId="0" borderId="1" xfId="5" applyFont="1" applyBorder="1" applyAlignment="1">
      <alignment horizontal="center"/>
    </xf>
    <xf numFmtId="0" fontId="12" fillId="0" borderId="9" xfId="1" applyFont="1" applyBorder="1" applyAlignment="1">
      <alignment horizontal="center"/>
    </xf>
    <xf numFmtId="0" fontId="12" fillId="0" borderId="38" xfId="1" applyFont="1" applyBorder="1"/>
    <xf numFmtId="0" fontId="22" fillId="0" borderId="10" xfId="5" applyFont="1" applyBorder="1" applyAlignment="1">
      <alignment wrapText="1"/>
    </xf>
    <xf numFmtId="0" fontId="16" fillId="0" borderId="14" xfId="5" applyFont="1" applyBorder="1" applyAlignment="1">
      <alignment horizontal="center"/>
    </xf>
    <xf numFmtId="0" fontId="29" fillId="0" borderId="13" xfId="5" applyFont="1" applyBorder="1" applyAlignment="1">
      <alignment horizontal="center"/>
    </xf>
    <xf numFmtId="10" fontId="0" fillId="0" borderId="13" xfId="6" applyNumberFormat="1" applyFont="1" applyBorder="1"/>
    <xf numFmtId="1" fontId="7" fillId="0" borderId="13" xfId="5" applyNumberFormat="1" applyFont="1" applyBorder="1" applyAlignment="1">
      <alignment horizontal="center"/>
    </xf>
    <xf numFmtId="166" fontId="0" fillId="0" borderId="0" xfId="4" applyNumberFormat="1" applyFont="1" applyFill="1"/>
    <xf numFmtId="9" fontId="12" fillId="0" borderId="13" xfId="4" applyFont="1" applyFill="1" applyBorder="1"/>
    <xf numFmtId="166" fontId="3" fillId="0" borderId="14" xfId="1" applyNumberFormat="1" applyBorder="1"/>
    <xf numFmtId="10" fontId="12" fillId="0" borderId="37" xfId="4" applyNumberFormat="1" applyFont="1" applyFill="1" applyBorder="1"/>
    <xf numFmtId="168" fontId="12" fillId="0" borderId="0" xfId="1" applyNumberFormat="1" applyFont="1"/>
    <xf numFmtId="166" fontId="7" fillId="0" borderId="0" xfId="5" applyNumberFormat="1" applyFont="1"/>
    <xf numFmtId="43" fontId="7" fillId="0" borderId="0" xfId="3" applyFont="1" applyFill="1" applyBorder="1"/>
    <xf numFmtId="43" fontId="12" fillId="0" borderId="0" xfId="3" applyFont="1" applyFill="1" applyBorder="1"/>
    <xf numFmtId="10" fontId="24" fillId="0" borderId="0" xfId="4" applyNumberFormat="1" applyFont="1" applyFill="1" applyBorder="1"/>
    <xf numFmtId="0" fontId="20" fillId="0" borderId="10" xfId="5" applyFont="1" applyBorder="1"/>
    <xf numFmtId="166" fontId="30" fillId="0" borderId="0" xfId="4" applyNumberFormat="1" applyFont="1" applyFill="1" applyBorder="1" applyAlignment="1">
      <alignment horizontal="center"/>
    </xf>
    <xf numFmtId="0" fontId="21" fillId="0" borderId="27" xfId="5" applyFont="1" applyBorder="1"/>
    <xf numFmtId="0" fontId="21" fillId="0" borderId="28" xfId="5" applyFont="1" applyBorder="1"/>
    <xf numFmtId="166" fontId="21" fillId="0" borderId="28" xfId="5" applyNumberFormat="1" applyFont="1" applyBorder="1"/>
    <xf numFmtId="0" fontId="21" fillId="0" borderId="29" xfId="5" applyFont="1" applyBorder="1"/>
    <xf numFmtId="9" fontId="12" fillId="0" borderId="0" xfId="4" applyFont="1" applyFill="1" applyBorder="1"/>
    <xf numFmtId="10" fontId="21" fillId="0" borderId="0" xfId="4" applyNumberFormat="1" applyFont="1" applyFill="1" applyBorder="1"/>
    <xf numFmtId="166" fontId="21" fillId="0" borderId="0" xfId="4" applyNumberFormat="1" applyFont="1" applyFill="1"/>
    <xf numFmtId="10" fontId="12" fillId="0" borderId="0" xfId="4" applyNumberFormat="1" applyFont="1" applyFill="1" applyBorder="1"/>
    <xf numFmtId="164" fontId="10" fillId="0" borderId="13" xfId="3" applyNumberFormat="1" applyFont="1" applyFill="1" applyBorder="1"/>
    <xf numFmtId="0" fontId="3" fillId="0" borderId="37" xfId="1" applyBorder="1"/>
    <xf numFmtId="165" fontId="10" fillId="0" borderId="3" xfId="3" applyNumberFormat="1" applyFont="1" applyFill="1" applyBorder="1"/>
    <xf numFmtId="166" fontId="3" fillId="0" borderId="19" xfId="1" applyNumberFormat="1" applyBorder="1"/>
    <xf numFmtId="166" fontId="3" fillId="0" borderId="20" xfId="1" applyNumberFormat="1" applyBorder="1"/>
    <xf numFmtId="166" fontId="3" fillId="0" borderId="36" xfId="1" applyNumberFormat="1" applyBorder="1"/>
    <xf numFmtId="0" fontId="10" fillId="0" borderId="10" xfId="1" applyFont="1" applyBorder="1" applyAlignment="1">
      <alignment horizontal="center"/>
    </xf>
    <xf numFmtId="166" fontId="31" fillId="0" borderId="0" xfId="1" applyNumberFormat="1" applyFont="1"/>
    <xf numFmtId="166" fontId="31" fillId="0" borderId="11" xfId="1" applyNumberFormat="1" applyFont="1" applyBorder="1"/>
    <xf numFmtId="166" fontId="3" fillId="0" borderId="15" xfId="1" applyNumberFormat="1" applyBorder="1"/>
    <xf numFmtId="166" fontId="3" fillId="0" borderId="39" xfId="1" applyNumberFormat="1" applyBorder="1"/>
    <xf numFmtId="165" fontId="10" fillId="0" borderId="28" xfId="3" applyNumberFormat="1" applyFont="1" applyFill="1" applyBorder="1"/>
    <xf numFmtId="166" fontId="31" fillId="0" borderId="28" xfId="1" applyNumberFormat="1" applyFont="1" applyBorder="1"/>
    <xf numFmtId="166" fontId="31" fillId="0" borderId="29" xfId="1" applyNumberFormat="1" applyFont="1" applyBorder="1"/>
    <xf numFmtId="0" fontId="3" fillId="0" borderId="27" xfId="1" applyBorder="1"/>
    <xf numFmtId="166" fontId="28" fillId="0" borderId="0" xfId="5" applyNumberFormat="1" applyFont="1"/>
    <xf numFmtId="0" fontId="28" fillId="0" borderId="2" xfId="5" applyFont="1" applyBorder="1"/>
    <xf numFmtId="164" fontId="10" fillId="0" borderId="2" xfId="3" applyNumberFormat="1" applyFont="1" applyFill="1" applyBorder="1"/>
    <xf numFmtId="9" fontId="32" fillId="0" borderId="10" xfId="4" applyFont="1" applyFill="1" applyBorder="1"/>
    <xf numFmtId="0" fontId="22" fillId="0" borderId="0" xfId="5" applyFont="1" applyAlignment="1">
      <alignment horizontal="center" wrapText="1"/>
    </xf>
    <xf numFmtId="0" fontId="22" fillId="0" borderId="11" xfId="5" applyFont="1" applyBorder="1" applyAlignment="1">
      <alignment horizontal="center" wrapText="1"/>
    </xf>
    <xf numFmtId="0" fontId="3" fillId="0" borderId="41" xfId="1" applyBorder="1" applyAlignment="1">
      <alignment wrapText="1"/>
    </xf>
    <xf numFmtId="0" fontId="3" fillId="0" borderId="42" xfId="1" applyBorder="1" applyAlignment="1">
      <alignment wrapText="1"/>
    </xf>
    <xf numFmtId="0" fontId="22" fillId="0" borderId="11" xfId="5" applyFont="1" applyBorder="1" applyAlignment="1">
      <alignment horizontal="center"/>
    </xf>
    <xf numFmtId="166" fontId="10" fillId="0" borderId="10" xfId="4" applyNumberFormat="1" applyFont="1" applyFill="1" applyBorder="1"/>
    <xf numFmtId="43" fontId="10" fillId="0" borderId="0" xfId="3" applyFont="1" applyFill="1" applyBorder="1"/>
    <xf numFmtId="43" fontId="10" fillId="0" borderId="11" xfId="3" applyFont="1" applyFill="1" applyBorder="1"/>
    <xf numFmtId="166" fontId="10" fillId="0" borderId="2" xfId="4" applyNumberFormat="1" applyFont="1" applyFill="1" applyBorder="1"/>
    <xf numFmtId="43" fontId="10" fillId="0" borderId="3" xfId="3" applyFont="1" applyFill="1" applyBorder="1"/>
    <xf numFmtId="43" fontId="10" fillId="0" borderId="4" xfId="3" applyFont="1" applyFill="1" applyBorder="1"/>
    <xf numFmtId="166" fontId="20" fillId="0" borderId="0" xfId="5" applyNumberFormat="1" applyFont="1" applyAlignment="1">
      <alignment horizontal="center"/>
    </xf>
    <xf numFmtId="166" fontId="20" fillId="0" borderId="11" xfId="5" applyNumberFormat="1" applyFont="1" applyBorder="1" applyAlignment="1">
      <alignment horizontal="center"/>
    </xf>
    <xf numFmtId="169" fontId="10" fillId="0" borderId="10" xfId="3" applyNumberFormat="1" applyFont="1" applyFill="1" applyBorder="1"/>
    <xf numFmtId="166" fontId="10" fillId="0" borderId="11" xfId="4" applyNumberFormat="1" applyFont="1" applyFill="1" applyBorder="1"/>
    <xf numFmtId="43" fontId="10" fillId="0" borderId="10" xfId="3" applyFont="1" applyFill="1" applyBorder="1"/>
    <xf numFmtId="0" fontId="20" fillId="0" borderId="0" xfId="5" applyFont="1" applyAlignment="1">
      <alignment horizontal="center"/>
    </xf>
    <xf numFmtId="0" fontId="20" fillId="0" borderId="11" xfId="5" applyFont="1" applyBorder="1" applyAlignment="1">
      <alignment horizontal="center"/>
    </xf>
    <xf numFmtId="166" fontId="33" fillId="0" borderId="0" xfId="4" applyNumberFormat="1" applyFont="1" applyFill="1" applyBorder="1"/>
    <xf numFmtId="169" fontId="10" fillId="0" borderId="27" xfId="3" applyNumberFormat="1" applyFont="1" applyFill="1" applyBorder="1"/>
    <xf numFmtId="166" fontId="10" fillId="0" borderId="28" xfId="4" applyNumberFormat="1" applyFont="1" applyFill="1" applyBorder="1"/>
    <xf numFmtId="166" fontId="10" fillId="0" borderId="29" xfId="4" applyNumberFormat="1" applyFont="1" applyFill="1" applyBorder="1"/>
    <xf numFmtId="166" fontId="10" fillId="0" borderId="27" xfId="4" applyNumberFormat="1" applyFont="1" applyFill="1" applyBorder="1"/>
    <xf numFmtId="43" fontId="10" fillId="0" borderId="27" xfId="3" applyFont="1" applyFill="1" applyBorder="1"/>
    <xf numFmtId="0" fontId="20" fillId="0" borderId="27" xfId="5" applyFont="1" applyBorder="1"/>
    <xf numFmtId="0" fontId="22" fillId="0" borderId="28" xfId="5" applyFont="1" applyBorder="1" applyAlignment="1">
      <alignment horizontal="center"/>
    </xf>
    <xf numFmtId="166" fontId="31" fillId="6" borderId="29" xfId="4" applyNumberFormat="1" applyFont="1" applyFill="1" applyBorder="1" applyAlignment="1">
      <alignment horizontal="center"/>
    </xf>
    <xf numFmtId="0" fontId="10" fillId="0" borderId="0" xfId="1" applyFont="1" applyAlignment="1">
      <alignment horizontal="left"/>
    </xf>
    <xf numFmtId="0" fontId="34" fillId="0" borderId="0" xfId="1" applyFont="1"/>
    <xf numFmtId="0" fontId="18" fillId="0" borderId="0" xfId="1" applyFont="1"/>
    <xf numFmtId="0" fontId="24" fillId="0" borderId="43" xfId="1" applyFont="1" applyBorder="1" applyAlignment="1">
      <alignment horizontal="left"/>
    </xf>
    <xf numFmtId="164" fontId="10" fillId="0" borderId="0" xfId="3" quotePrefix="1" applyNumberFormat="1" applyFont="1" applyFill="1" applyBorder="1"/>
    <xf numFmtId="165" fontId="35" fillId="0" borderId="0" xfId="3" applyNumberFormat="1" applyFont="1" applyFill="1" applyBorder="1"/>
    <xf numFmtId="165" fontId="18" fillId="0" borderId="0" xfId="3" applyNumberFormat="1" applyFont="1" applyFill="1" applyBorder="1"/>
    <xf numFmtId="165" fontId="18" fillId="0" borderId="44" xfId="3" applyNumberFormat="1" applyFont="1" applyFill="1" applyBorder="1"/>
    <xf numFmtId="0" fontId="18" fillId="0" borderId="44" xfId="1" applyFont="1" applyBorder="1"/>
    <xf numFmtId="0" fontId="29" fillId="7" borderId="14" xfId="5" applyFont="1" applyFill="1" applyBorder="1" applyAlignment="1">
      <alignment horizontal="center"/>
    </xf>
    <xf numFmtId="0" fontId="29" fillId="7" borderId="24" xfId="5" applyFont="1" applyFill="1" applyBorder="1" applyAlignment="1">
      <alignment horizontal="center"/>
    </xf>
    <xf numFmtId="0" fontId="21" fillId="7" borderId="9" xfId="5" applyFont="1" applyFill="1" applyBorder="1" applyAlignment="1">
      <alignment horizontal="center"/>
    </xf>
    <xf numFmtId="166" fontId="7" fillId="7" borderId="14" xfId="4" applyNumberFormat="1" applyFont="1" applyFill="1" applyBorder="1"/>
    <xf numFmtId="0" fontId="3" fillId="7" borderId="17" xfId="1" applyFill="1" applyBorder="1"/>
    <xf numFmtId="0" fontId="3" fillId="7" borderId="4" xfId="1" applyFill="1" applyBorder="1"/>
    <xf numFmtId="166" fontId="31" fillId="7" borderId="11" xfId="1" applyNumberFormat="1" applyFont="1" applyFill="1" applyBorder="1"/>
    <xf numFmtId="0" fontId="3" fillId="7" borderId="29" xfId="1" applyFill="1" applyBorder="1"/>
    <xf numFmtId="0" fontId="36" fillId="0" borderId="0" xfId="7"/>
    <xf numFmtId="0" fontId="22" fillId="0" borderId="40" xfId="5" applyFont="1" applyBorder="1" applyAlignment="1">
      <alignment horizontal="center" wrapText="1"/>
    </xf>
    <xf numFmtId="0" fontId="3" fillId="0" borderId="41" xfId="1" applyBorder="1" applyAlignment="1">
      <alignment wrapText="1"/>
    </xf>
    <xf numFmtId="0" fontId="3" fillId="0" borderId="42" xfId="1" applyBorder="1" applyAlignment="1">
      <alignment wrapText="1"/>
    </xf>
    <xf numFmtId="0" fontId="5" fillId="0" borderId="2" xfId="1" applyFont="1" applyBorder="1" applyAlignment="1">
      <alignment vertical="top" wrapText="1"/>
    </xf>
    <xf numFmtId="0" fontId="5" fillId="0" borderId="3" xfId="1" applyFont="1" applyBorder="1" applyAlignment="1">
      <alignment vertical="top" wrapText="1"/>
    </xf>
    <xf numFmtId="0" fontId="5" fillId="0" borderId="4" xfId="1" applyFont="1" applyBorder="1" applyAlignment="1">
      <alignment vertical="top" wrapText="1"/>
    </xf>
    <xf numFmtId="0" fontId="26" fillId="5" borderId="0" xfId="1" applyFont="1" applyFill="1" applyAlignment="1">
      <alignment horizontal="left" vertical="center" wrapText="1"/>
    </xf>
    <xf numFmtId="0" fontId="3" fillId="0" borderId="0" xfId="1" applyAlignment="1">
      <alignment wrapText="1"/>
    </xf>
    <xf numFmtId="0" fontId="7" fillId="0" borderId="34" xfId="5" applyFont="1" applyBorder="1" applyAlignment="1">
      <alignment horizontal="center"/>
    </xf>
    <xf numFmtId="0" fontId="7" fillId="0" borderId="35" xfId="5" applyFont="1" applyBorder="1" applyAlignment="1">
      <alignment horizontal="center"/>
    </xf>
    <xf numFmtId="0" fontId="7" fillId="0" borderId="1" xfId="5" applyFont="1" applyBorder="1" applyAlignment="1">
      <alignment horizontal="center" wrapText="1"/>
    </xf>
    <xf numFmtId="0" fontId="3" fillId="0" borderId="1" xfId="1" applyBorder="1" applyAlignment="1">
      <alignment horizontal="center" wrapText="1"/>
    </xf>
    <xf numFmtId="0" fontId="3" fillId="0" borderId="9" xfId="1" applyBorder="1" applyAlignment="1">
      <alignment horizontal="center" wrapText="1"/>
    </xf>
    <xf numFmtId="0" fontId="7" fillId="0" borderId="13" xfId="5" applyFont="1" applyBorder="1" applyAlignment="1">
      <alignment horizontal="center" wrapText="1"/>
    </xf>
    <xf numFmtId="0" fontId="7" fillId="0" borderId="23" xfId="5" applyFont="1" applyBorder="1" applyAlignment="1">
      <alignment horizontal="center" wrapText="1"/>
    </xf>
    <xf numFmtId="0" fontId="12" fillId="0" borderId="13" xfId="1" applyFont="1" applyBorder="1" applyAlignment="1">
      <alignment horizontal="center" vertical="center" wrapText="1"/>
    </xf>
    <xf numFmtId="0" fontId="3" fillId="0" borderId="13" xfId="1" applyBorder="1" applyAlignment="1">
      <alignment wrapText="1"/>
    </xf>
    <xf numFmtId="0" fontId="3" fillId="0" borderId="13" xfId="1" applyBorder="1" applyAlignment="1">
      <alignment horizontal="center" vertical="center" wrapText="1"/>
    </xf>
    <xf numFmtId="0" fontId="12" fillId="0" borderId="14" xfId="1" applyFont="1" applyBorder="1" applyAlignment="1">
      <alignment horizontal="center" vertical="center" wrapText="1"/>
    </xf>
    <xf numFmtId="0" fontId="3" fillId="0" borderId="14" xfId="1" applyBorder="1" applyAlignment="1">
      <alignment horizontal="center" vertical="center" wrapText="1"/>
    </xf>
  </cellXfs>
  <cellStyles count="8">
    <cellStyle name="Comma 2" xfId="3" xr:uid="{A9641746-5FFF-9645-8E8D-935379A7777B}"/>
    <cellStyle name="Hyperlink" xfId="7" builtinId="8"/>
    <cellStyle name="Normal" xfId="0" builtinId="0"/>
    <cellStyle name="Normal 2" xfId="1" xr:uid="{9EB5373C-2425-B140-89D1-17AB8197D3CC}"/>
    <cellStyle name="Normal 2 2" xfId="5" xr:uid="{2D3FC1EF-D3B9-104A-BF08-E65F312FCC5D}"/>
    <cellStyle name="Normal 5" xfId="2" xr:uid="{131CF4E5-61C6-9947-9ACF-A9AFAFACDCA8}"/>
    <cellStyle name="Per cent 2" xfId="4" xr:uid="{82219C2C-FEC6-FC4F-90FE-C6983D35E86B}"/>
    <cellStyle name="Percent 3" xfId="6" xr:uid="{9C43D398-1EB0-F045-A600-13E334BB5FE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28</xdr:col>
      <xdr:colOff>97358</xdr:colOff>
      <xdr:row>136</xdr:row>
      <xdr:rowOff>179917</xdr:rowOff>
    </xdr:from>
    <xdr:to>
      <xdr:col>31</xdr:col>
      <xdr:colOff>532183</xdr:colOff>
      <xdr:row>138</xdr:row>
      <xdr:rowOff>169337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4B800D5-5197-7643-80C0-DE91CB81C5B3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907058" y="37581417"/>
          <a:ext cx="3559025" cy="43392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gob.mx/shcp/documentos/tasa-social-de-descuento-tsd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6"/>
  <sheetViews>
    <sheetView workbookViewId="0">
      <selection activeCell="A12" sqref="A12"/>
    </sheetView>
  </sheetViews>
  <sheetFormatPr defaultColWidth="8.85546875" defaultRowHeight="15"/>
  <sheetData>
    <row r="1" spans="1:5">
      <c r="A1" s="1" t="s">
        <v>0</v>
      </c>
    </row>
    <row r="3" spans="1:5">
      <c r="A3" s="1" t="s">
        <v>1</v>
      </c>
      <c r="B3" t="s">
        <v>2</v>
      </c>
      <c r="C3" s="1"/>
      <c r="D3" s="1"/>
      <c r="E3" s="1"/>
    </row>
    <row r="4" spans="1:5">
      <c r="B4" s="2">
        <v>2020</v>
      </c>
    </row>
    <row r="5" spans="1:5">
      <c r="B5" t="s">
        <v>3</v>
      </c>
    </row>
    <row r="6" spans="1:5">
      <c r="B6" s="434" t="s">
        <v>4</v>
      </c>
    </row>
    <row r="9" spans="1:5">
      <c r="A9" s="1" t="s">
        <v>5</v>
      </c>
    </row>
    <row r="10" spans="1:5">
      <c r="A10" t="s">
        <v>6</v>
      </c>
    </row>
    <row r="11" spans="1:5">
      <c r="A11" t="s">
        <v>7</v>
      </c>
    </row>
    <row r="12" spans="1:5">
      <c r="A12" s="1" t="s">
        <v>8</v>
      </c>
    </row>
    <row r="13" spans="1:5">
      <c r="A13" t="s">
        <v>9</v>
      </c>
    </row>
    <row r="14" spans="1:5">
      <c r="A14" t="s">
        <v>10</v>
      </c>
    </row>
    <row r="15" spans="1:5">
      <c r="A15" t="s">
        <v>11</v>
      </c>
    </row>
    <row r="16" spans="1:5">
      <c r="A16" t="s">
        <v>12</v>
      </c>
    </row>
    <row r="17" spans="1:1">
      <c r="A17" t="s">
        <v>13</v>
      </c>
    </row>
    <row r="18" spans="1:1">
      <c r="A18" t="s">
        <v>14</v>
      </c>
    </row>
    <row r="20" spans="1:1">
      <c r="A20" t="s">
        <v>15</v>
      </c>
    </row>
    <row r="21" spans="1:1">
      <c r="A21" t="s">
        <v>16</v>
      </c>
    </row>
    <row r="23" spans="1:1">
      <c r="A23" t="s">
        <v>17</v>
      </c>
    </row>
    <row r="24" spans="1:1">
      <c r="A24" t="s">
        <v>18</v>
      </c>
    </row>
    <row r="25" spans="1:1">
      <c r="A25" t="s">
        <v>19</v>
      </c>
    </row>
    <row r="26" spans="1:1">
      <c r="A26" t="s">
        <v>20</v>
      </c>
    </row>
  </sheetData>
  <hyperlinks>
    <hyperlink ref="B6" r:id="rId1" xr:uid="{E41895EA-3624-244E-B80A-F5051F322101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B44C0-12F4-A749-861A-59D065952BD6}">
  <dimension ref="A1:CQ227"/>
  <sheetViews>
    <sheetView topLeftCell="A132" zoomScaleNormal="100" workbookViewId="0">
      <selection activeCell="P138" sqref="P138:P164"/>
    </sheetView>
  </sheetViews>
  <sheetFormatPr defaultColWidth="8.7109375" defaultRowHeight="15.95"/>
  <cols>
    <col min="1" max="1" width="14.140625" style="4" customWidth="1"/>
    <col min="2" max="2" width="13.85546875" style="4" customWidth="1"/>
    <col min="3" max="3" width="12" style="4" customWidth="1"/>
    <col min="4" max="4" width="11" style="4" customWidth="1"/>
    <col min="5" max="5" width="12.28515625" style="4" customWidth="1"/>
    <col min="6" max="6" width="12.140625" style="4" customWidth="1"/>
    <col min="7" max="7" width="11.7109375" style="4" customWidth="1"/>
    <col min="8" max="8" width="13.140625" style="4" customWidth="1"/>
    <col min="9" max="9" width="12.42578125" style="4" customWidth="1"/>
    <col min="10" max="10" width="15.28515625" style="4" customWidth="1"/>
    <col min="11" max="11" width="13" style="4" customWidth="1"/>
    <col min="12" max="12" width="12.28515625" style="4" customWidth="1"/>
    <col min="13" max="13" width="16" style="4" customWidth="1"/>
    <col min="14" max="14" width="12.7109375" style="4" customWidth="1"/>
    <col min="15" max="15" width="19.85546875" style="4" customWidth="1"/>
    <col min="16" max="16" width="11.140625" style="4" customWidth="1"/>
    <col min="17" max="17" width="12.28515625" style="4" customWidth="1"/>
    <col min="18" max="18" width="13.85546875" style="4" customWidth="1"/>
    <col min="19" max="19" width="12.28515625" style="4" customWidth="1"/>
    <col min="20" max="20" width="9.85546875" style="4" customWidth="1"/>
    <col min="21" max="21" width="13.140625" style="4" customWidth="1"/>
    <col min="22" max="22" width="12.7109375" style="4" customWidth="1"/>
    <col min="23" max="23" width="11" style="4" customWidth="1"/>
    <col min="24" max="24" width="11.140625" style="4" customWidth="1"/>
    <col min="25" max="25" width="11.85546875" style="4" customWidth="1"/>
    <col min="26" max="26" width="11.7109375" style="4" customWidth="1"/>
    <col min="27" max="27" width="10.140625" style="4" customWidth="1"/>
    <col min="28" max="28" width="8.7109375" style="4"/>
    <col min="29" max="29" width="15.140625" style="4" customWidth="1"/>
    <col min="30" max="30" width="13.140625" style="4" customWidth="1"/>
    <col min="31" max="31" width="12.7109375" style="4" customWidth="1"/>
    <col min="32" max="33" width="11.140625" style="4" customWidth="1"/>
    <col min="34" max="34" width="15.7109375" style="4" customWidth="1"/>
    <col min="35" max="35" width="10.28515625" style="4" customWidth="1"/>
    <col min="36" max="36" width="8.7109375" style="4"/>
    <col min="37" max="37" width="11.7109375" style="4" customWidth="1"/>
    <col min="38" max="38" width="11" style="4" customWidth="1"/>
    <col min="39" max="40" width="11.140625" style="4" customWidth="1"/>
    <col min="41" max="41" width="10.42578125" style="4" customWidth="1"/>
    <col min="42" max="42" width="8.7109375" style="4"/>
    <col min="43" max="43" width="11.42578125" style="4" customWidth="1"/>
    <col min="44" max="44" width="11" style="4" customWidth="1"/>
    <col min="45" max="45" width="10.140625" style="4" bestFit="1" customWidth="1"/>
    <col min="46" max="47" width="8.7109375" style="4"/>
    <col min="48" max="48" width="10.140625" style="4" customWidth="1"/>
    <col min="49" max="49" width="8.7109375" style="4"/>
    <col min="50" max="50" width="10" style="4" customWidth="1"/>
    <col min="51" max="54" width="8.7109375" style="4"/>
    <col min="55" max="55" width="9.140625" style="4" bestFit="1" customWidth="1"/>
    <col min="56" max="56" width="10.28515625" style="4" customWidth="1"/>
    <col min="57" max="57" width="15.7109375" style="4" bestFit="1" customWidth="1"/>
    <col min="58" max="58" width="13" style="4" customWidth="1"/>
    <col min="59" max="59" width="13.140625" style="4" customWidth="1"/>
    <col min="60" max="60" width="8.7109375" style="4"/>
    <col min="61" max="61" width="10.140625" style="4" customWidth="1"/>
    <col min="62" max="62" width="8.7109375" style="4"/>
    <col min="63" max="63" width="9.140625" style="4" bestFit="1" customWidth="1"/>
    <col min="64" max="68" width="8.7109375" style="4"/>
    <col min="69" max="69" width="9.7109375" style="4" customWidth="1"/>
    <col min="70" max="16384" width="8.7109375" style="4"/>
  </cols>
  <sheetData>
    <row r="1" spans="1:55" ht="20.100000000000001">
      <c r="A1" s="3" t="s">
        <v>21</v>
      </c>
    </row>
    <row r="2" spans="1:55">
      <c r="A2" s="4" t="s">
        <v>22</v>
      </c>
      <c r="AM2" s="5"/>
    </row>
    <row r="3" spans="1:55" ht="17.100000000000001" thickBot="1"/>
    <row r="4" spans="1:55" ht="126.95" customHeight="1" thickBot="1">
      <c r="A4" s="6" t="s">
        <v>23</v>
      </c>
      <c r="B4" s="7" t="s">
        <v>24</v>
      </c>
      <c r="C4" s="7" t="s">
        <v>25</v>
      </c>
      <c r="D4" s="7" t="s">
        <v>26</v>
      </c>
      <c r="E4" s="7" t="s">
        <v>27</v>
      </c>
      <c r="F4" s="7" t="s">
        <v>28</v>
      </c>
      <c r="G4" s="7" t="s">
        <v>29</v>
      </c>
      <c r="H4" s="7" t="s">
        <v>30</v>
      </c>
      <c r="J4" s="6" t="s">
        <v>23</v>
      </c>
      <c r="K4" s="7" t="s">
        <v>26</v>
      </c>
      <c r="L4" s="7" t="s">
        <v>31</v>
      </c>
      <c r="M4" s="7" t="s">
        <v>32</v>
      </c>
      <c r="N4" s="7" t="s">
        <v>33</v>
      </c>
      <c r="O4" s="7" t="s">
        <v>34</v>
      </c>
      <c r="P4" s="7" t="s">
        <v>29</v>
      </c>
      <c r="Q4" s="7" t="s">
        <v>35</v>
      </c>
      <c r="R4" s="7" t="s">
        <v>36</v>
      </c>
      <c r="T4" s="6" t="s">
        <v>23</v>
      </c>
      <c r="U4" s="7" t="s">
        <v>37</v>
      </c>
      <c r="V4" s="7" t="s">
        <v>38</v>
      </c>
      <c r="W4" s="7" t="s">
        <v>39</v>
      </c>
      <c r="X4" s="7" t="s">
        <v>40</v>
      </c>
      <c r="Y4" s="7" t="s">
        <v>41</v>
      </c>
      <c r="Z4" s="7" t="s">
        <v>42</v>
      </c>
      <c r="AB4" s="6" t="s">
        <v>23</v>
      </c>
      <c r="AC4" s="7" t="s">
        <v>43</v>
      </c>
      <c r="AD4" s="7" t="s">
        <v>44</v>
      </c>
      <c r="AE4" s="7" t="s">
        <v>45</v>
      </c>
      <c r="AF4" s="7" t="s">
        <v>46</v>
      </c>
      <c r="AH4" s="6" t="s">
        <v>23</v>
      </c>
      <c r="AI4" s="7" t="s">
        <v>47</v>
      </c>
      <c r="AJ4" s="7" t="s">
        <v>38</v>
      </c>
      <c r="AK4" s="7" t="s">
        <v>48</v>
      </c>
      <c r="AL4" s="7" t="s">
        <v>49</v>
      </c>
      <c r="AM4" s="7" t="s">
        <v>50</v>
      </c>
      <c r="AN4" s="7" t="s">
        <v>51</v>
      </c>
    </row>
    <row r="6" spans="1:55" ht="18.95" thickBot="1">
      <c r="A6" s="8" t="s">
        <v>52</v>
      </c>
      <c r="B6" s="9"/>
      <c r="C6" s="9"/>
      <c r="D6" s="9"/>
      <c r="E6" s="9"/>
      <c r="F6" s="9"/>
      <c r="G6" s="9"/>
      <c r="H6" s="9"/>
      <c r="J6" s="10" t="s">
        <v>53</v>
      </c>
      <c r="T6" s="10" t="s">
        <v>54</v>
      </c>
      <c r="U6" s="11"/>
      <c r="V6" s="11"/>
      <c r="W6" s="11"/>
      <c r="X6" s="11"/>
      <c r="Y6" s="11"/>
      <c r="Z6" s="11"/>
      <c r="AB6" s="10" t="s">
        <v>55</v>
      </c>
      <c r="AC6" s="11"/>
      <c r="AD6" s="11"/>
      <c r="AE6" s="11"/>
      <c r="AF6" s="11"/>
      <c r="AG6" s="11"/>
      <c r="AH6" s="10" t="s">
        <v>56</v>
      </c>
      <c r="AI6" s="11"/>
      <c r="AJ6" s="11"/>
    </row>
    <row r="7" spans="1:55" ht="15.95" customHeight="1" thickTop="1" thickBot="1">
      <c r="A7" s="12" t="s">
        <v>57</v>
      </c>
      <c r="B7" s="13"/>
      <c r="C7" s="13"/>
      <c r="D7" s="13"/>
      <c r="E7" s="13"/>
      <c r="F7" s="14"/>
      <c r="G7" s="13"/>
      <c r="H7" s="15"/>
      <c r="J7" s="12" t="s">
        <v>58</v>
      </c>
      <c r="K7" s="13"/>
      <c r="L7" s="13"/>
      <c r="M7" s="13"/>
      <c r="N7" s="13"/>
      <c r="O7" s="14"/>
      <c r="P7" s="16"/>
      <c r="Q7" s="16"/>
      <c r="R7" s="17"/>
      <c r="T7" s="12" t="s">
        <v>59</v>
      </c>
      <c r="U7" s="13"/>
      <c r="V7" s="13"/>
      <c r="W7" s="13"/>
      <c r="X7" s="13"/>
      <c r="Y7" s="14"/>
      <c r="Z7" s="18"/>
      <c r="AB7" s="19" t="s">
        <v>60</v>
      </c>
      <c r="AC7" s="20"/>
      <c r="AD7" s="20"/>
      <c r="AE7" s="20"/>
      <c r="AF7" s="21"/>
      <c r="AH7" s="22" t="s">
        <v>61</v>
      </c>
      <c r="AI7" s="16"/>
      <c r="AJ7" s="16"/>
      <c r="AK7" s="14"/>
      <c r="AL7" s="16"/>
      <c r="AM7" s="16"/>
      <c r="AN7" s="17"/>
    </row>
    <row r="8" spans="1:55" ht="116.1" customHeight="1" thickBot="1">
      <c r="A8" s="23" t="s">
        <v>62</v>
      </c>
      <c r="B8" s="24" t="s">
        <v>63</v>
      </c>
      <c r="C8" s="24" t="s">
        <v>64</v>
      </c>
      <c r="D8" s="24" t="s">
        <v>65</v>
      </c>
      <c r="E8" s="24" t="s">
        <v>66</v>
      </c>
      <c r="F8" s="24" t="s">
        <v>67</v>
      </c>
      <c r="G8" s="24" t="s">
        <v>68</v>
      </c>
      <c r="H8" s="25" t="s">
        <v>69</v>
      </c>
      <c r="J8" s="26" t="s">
        <v>62</v>
      </c>
      <c r="K8" s="27" t="s">
        <v>70</v>
      </c>
      <c r="L8" s="28" t="s">
        <v>71</v>
      </c>
      <c r="M8" s="27" t="s">
        <v>72</v>
      </c>
      <c r="N8" s="29" t="s">
        <v>73</v>
      </c>
      <c r="O8" s="30" t="s">
        <v>74</v>
      </c>
      <c r="P8" s="30" t="s">
        <v>75</v>
      </c>
      <c r="Q8" s="30" t="s">
        <v>76</v>
      </c>
      <c r="R8" s="31" t="s">
        <v>77</v>
      </c>
      <c r="T8" s="26" t="s">
        <v>62</v>
      </c>
      <c r="U8" s="28" t="s">
        <v>78</v>
      </c>
      <c r="V8" s="28" t="s">
        <v>79</v>
      </c>
      <c r="W8" s="28" t="s">
        <v>80</v>
      </c>
      <c r="X8" s="28" t="s">
        <v>81</v>
      </c>
      <c r="Y8" s="28" t="s">
        <v>82</v>
      </c>
      <c r="Z8" s="32" t="s">
        <v>83</v>
      </c>
      <c r="AB8" s="26" t="s">
        <v>62</v>
      </c>
      <c r="AC8" s="28" t="s">
        <v>82</v>
      </c>
      <c r="AD8" s="28" t="s">
        <v>84</v>
      </c>
      <c r="AE8" s="28" t="s">
        <v>85</v>
      </c>
      <c r="AF8" s="32" t="s">
        <v>86</v>
      </c>
      <c r="AH8" s="26" t="s">
        <v>62</v>
      </c>
      <c r="AI8" s="28" t="s">
        <v>87</v>
      </c>
      <c r="AJ8" s="28" t="s">
        <v>88</v>
      </c>
      <c r="AK8" s="33" t="s">
        <v>89</v>
      </c>
      <c r="AL8" s="33" t="s">
        <v>90</v>
      </c>
      <c r="AM8" s="33" t="s">
        <v>91</v>
      </c>
      <c r="AN8" s="34" t="s">
        <v>92</v>
      </c>
      <c r="AQ8" s="35"/>
    </row>
    <row r="9" spans="1:55" ht="17.100000000000001" thickBot="1">
      <c r="A9" s="36"/>
      <c r="B9" s="37" t="s">
        <v>93</v>
      </c>
      <c r="C9" s="37" t="s">
        <v>94</v>
      </c>
      <c r="D9" s="37" t="s">
        <v>95</v>
      </c>
      <c r="E9" s="37" t="s">
        <v>96</v>
      </c>
      <c r="F9" s="37" t="s">
        <v>97</v>
      </c>
      <c r="G9" s="37" t="s">
        <v>98</v>
      </c>
      <c r="H9" s="38" t="s">
        <v>99</v>
      </c>
      <c r="J9" s="26"/>
      <c r="K9" s="28" t="s">
        <v>100</v>
      </c>
      <c r="L9" s="28" t="s">
        <v>101</v>
      </c>
      <c r="M9" s="27" t="s">
        <v>102</v>
      </c>
      <c r="N9" s="29" t="s">
        <v>103</v>
      </c>
      <c r="O9" s="39" t="s">
        <v>104</v>
      </c>
      <c r="P9" s="28" t="s">
        <v>105</v>
      </c>
      <c r="Q9" s="28" t="s">
        <v>106</v>
      </c>
      <c r="R9" s="40" t="s">
        <v>107</v>
      </c>
      <c r="T9" s="26"/>
      <c r="U9" s="41" t="s">
        <v>108</v>
      </c>
      <c r="V9" s="41" t="s">
        <v>109</v>
      </c>
      <c r="W9" s="41" t="s">
        <v>110</v>
      </c>
      <c r="X9" s="41" t="s">
        <v>111</v>
      </c>
      <c r="Y9" s="41" t="s">
        <v>112</v>
      </c>
      <c r="Z9" s="42" t="s">
        <v>113</v>
      </c>
      <c r="AB9" s="43"/>
      <c r="AC9" s="44" t="s">
        <v>112</v>
      </c>
      <c r="AD9" s="44" t="s">
        <v>114</v>
      </c>
      <c r="AE9" s="44" t="s">
        <v>115</v>
      </c>
      <c r="AF9" s="45" t="s">
        <v>116</v>
      </c>
      <c r="AH9" s="46"/>
      <c r="AI9" s="47" t="s">
        <v>108</v>
      </c>
      <c r="AJ9" s="47" t="s">
        <v>109</v>
      </c>
      <c r="AK9" s="47" t="s">
        <v>117</v>
      </c>
      <c r="AL9" s="47" t="s">
        <v>118</v>
      </c>
      <c r="AM9" s="47" t="s">
        <v>119</v>
      </c>
      <c r="AN9" s="48" t="s">
        <v>110</v>
      </c>
      <c r="BB9" s="5"/>
      <c r="BC9" s="5"/>
    </row>
    <row r="10" spans="1:55" ht="17.100000000000001" hidden="1" customHeight="1" thickBot="1">
      <c r="A10" s="49"/>
      <c r="B10" s="50"/>
      <c r="C10" s="50"/>
      <c r="D10" s="51" t="s">
        <v>120</v>
      </c>
      <c r="E10" s="50"/>
      <c r="F10" s="50"/>
      <c r="G10" s="50"/>
      <c r="H10" s="52"/>
      <c r="J10" s="53"/>
      <c r="K10" s="54"/>
      <c r="L10" s="54"/>
      <c r="M10" s="9"/>
      <c r="N10" s="55"/>
      <c r="O10" s="54"/>
      <c r="P10" s="54"/>
      <c r="Q10" s="54"/>
      <c r="R10" s="56"/>
      <c r="T10" s="53"/>
      <c r="U10" s="54"/>
      <c r="V10" s="54"/>
      <c r="W10" s="54"/>
      <c r="X10" s="54"/>
      <c r="Y10" s="54"/>
      <c r="Z10" s="56"/>
      <c r="AB10" s="43"/>
      <c r="AF10" s="57"/>
      <c r="AH10" s="43"/>
      <c r="AN10" s="57"/>
    </row>
    <row r="11" spans="1:55" ht="17.100000000000001" customHeight="1">
      <c r="A11" s="58"/>
      <c r="B11" s="59"/>
      <c r="C11" s="59"/>
      <c r="D11" s="59"/>
      <c r="E11" s="59"/>
      <c r="F11" s="59"/>
      <c r="G11" s="59"/>
      <c r="H11" s="60"/>
      <c r="J11" s="61"/>
      <c r="K11" s="62"/>
      <c r="L11" s="62"/>
      <c r="M11" s="63"/>
      <c r="N11" s="64"/>
      <c r="O11" s="62"/>
      <c r="P11" s="62"/>
      <c r="Q11" s="62"/>
      <c r="R11" s="65"/>
      <c r="T11" s="61"/>
      <c r="U11" s="62"/>
      <c r="V11" s="62"/>
      <c r="W11" s="62"/>
      <c r="X11" s="62"/>
      <c r="Y11" s="62"/>
      <c r="Z11" s="65"/>
      <c r="AB11" s="66"/>
      <c r="AC11" s="67"/>
      <c r="AD11" s="67"/>
      <c r="AE11" s="67"/>
      <c r="AF11" s="68"/>
      <c r="AH11" s="66"/>
      <c r="AI11" s="67"/>
      <c r="AJ11" s="67"/>
      <c r="AK11" s="67"/>
      <c r="AL11" s="67"/>
      <c r="AM11" s="67"/>
      <c r="AN11" s="68"/>
    </row>
    <row r="12" spans="1:55">
      <c r="A12" s="69">
        <v>2003</v>
      </c>
      <c r="B12" s="70">
        <f>E188/1000</f>
        <v>13061.782369735902</v>
      </c>
      <c r="C12" s="70">
        <f>D188/1000</f>
        <v>652.70312899423993</v>
      </c>
      <c r="D12" s="70">
        <f>B12-C12</f>
        <v>12409.079240741661</v>
      </c>
      <c r="E12" s="70">
        <f>H188/1000</f>
        <v>3904.646996331524</v>
      </c>
      <c r="F12" s="70">
        <f t="shared" ref="F12:F29" si="0">(O188+P188)/1000</f>
        <v>76.609375363112719</v>
      </c>
      <c r="G12" s="71">
        <f t="shared" ref="G12:G29" si="1">J188/1000</f>
        <v>2592.9610510764737</v>
      </c>
      <c r="H12" s="72">
        <f t="shared" ref="H12:H29" si="2">I188/1000</f>
        <v>5834.8618179705527</v>
      </c>
      <c r="J12" s="73">
        <v>2003</v>
      </c>
      <c r="K12" s="74">
        <f t="shared" ref="K12:K29" si="3">D12</f>
        <v>12409.079240741661</v>
      </c>
      <c r="L12" s="75">
        <f t="shared" ref="L12:L29" si="4">E12/K12</f>
        <v>0.31466049338388724</v>
      </c>
      <c r="M12" s="70">
        <f t="shared" ref="M12:M29" si="5">F188/1000</f>
        <v>1905.7806550138605</v>
      </c>
      <c r="N12" s="76">
        <f t="shared" ref="N12:N29" si="6">K12-M12</f>
        <v>10503.2985857278</v>
      </c>
      <c r="O12" s="75">
        <f t="shared" ref="O12:O29" si="7">E12/N12</f>
        <v>0.37175435549716512</v>
      </c>
      <c r="P12" s="74">
        <f t="shared" ref="P12:P29" si="8">G12</f>
        <v>2592.9610510764737</v>
      </c>
      <c r="Q12" s="74">
        <f t="shared" ref="Q12:Q29" si="9">N12-P12</f>
        <v>7910.3375346513258</v>
      </c>
      <c r="R12" s="77">
        <f t="shared" ref="R12:R29" si="10">E12/Q12</f>
        <v>0.49361319655794361</v>
      </c>
      <c r="T12" s="73">
        <f t="shared" ref="T12:T29" si="11">A12</f>
        <v>2003</v>
      </c>
      <c r="U12" s="78">
        <f t="shared" ref="U12:V29" si="12">+AI12</f>
        <v>5184.566789303628</v>
      </c>
      <c r="V12" s="75">
        <f t="shared" si="12"/>
        <v>0.49361319655794361</v>
      </c>
      <c r="W12" s="76">
        <f t="shared" ref="W12:W29" si="13">+AN12</f>
        <v>5343.5147337745466</v>
      </c>
      <c r="X12" s="75">
        <f t="shared" ref="X12:X29" si="14">+W12/N12</f>
        <v>0.50874634193828172</v>
      </c>
      <c r="Y12" s="74">
        <f>+U12/2+W12/2</f>
        <v>5264.0407615390868</v>
      </c>
      <c r="Z12" s="77">
        <f t="shared" ref="Z12:Z29" si="15">+Y12/N12</f>
        <v>0.50117976924811269</v>
      </c>
      <c r="AB12" s="73">
        <v>2003</v>
      </c>
      <c r="AC12" s="74">
        <f t="shared" ref="AC12:AC29" si="16">+AI12/2+AN12/2</f>
        <v>5264.0407615390868</v>
      </c>
      <c r="AD12" s="76">
        <f t="shared" ref="AD12:AD29" si="17">N12-AC12</f>
        <v>5239.2578241887131</v>
      </c>
      <c r="AE12" s="79">
        <f t="shared" ref="AE12:AE29" si="18">AD12/N12</f>
        <v>0.49882023075188736</v>
      </c>
      <c r="AF12" s="80">
        <f t="shared" ref="AF12:AF29" si="19">AD12/B12</f>
        <v>0.40111354452881198</v>
      </c>
      <c r="AH12" s="81">
        <v>2003</v>
      </c>
      <c r="AI12" s="74">
        <f t="shared" ref="AI12:AI29" si="20">+E12+P12*R12</f>
        <v>5184.566789303628</v>
      </c>
      <c r="AJ12" s="82">
        <f t="shared" ref="AJ12:AJ29" si="21">+AI12/N12</f>
        <v>0.49361319655794361</v>
      </c>
      <c r="AK12" s="74">
        <v>2018.0327259326459</v>
      </c>
      <c r="AL12" s="74">
        <v>26795.212545496524</v>
      </c>
      <c r="AM12" s="74">
        <v>9874.0723260940849</v>
      </c>
      <c r="AN12" s="74">
        <f t="shared" ref="AN12:AN29" si="22">+E12/AL12*(AL12+AM12)</f>
        <v>5343.5147337745466</v>
      </c>
      <c r="AQ12" s="83"/>
      <c r="AR12" s="84"/>
      <c r="AS12" s="84"/>
      <c r="AW12" s="5"/>
      <c r="AX12" s="85"/>
      <c r="AY12" s="84"/>
      <c r="BB12" s="5"/>
      <c r="BC12" s="5"/>
    </row>
    <row r="13" spans="1:55">
      <c r="A13" s="69">
        <v>2004</v>
      </c>
      <c r="B13" s="70">
        <f t="shared" ref="B13:B29" si="23">E189/1000</f>
        <v>13573.750667281673</v>
      </c>
      <c r="C13" s="70">
        <f t="shared" ref="C13:C29" si="24">D189/1000</f>
        <v>600.16721863468626</v>
      </c>
      <c r="D13" s="70">
        <f t="shared" ref="D13:D29" si="25">B13-C13</f>
        <v>12973.583448646987</v>
      </c>
      <c r="E13" s="70">
        <f t="shared" ref="E13:E29" si="26">H189/1000</f>
        <v>3892.1199015990155</v>
      </c>
      <c r="F13" s="70">
        <f t="shared" si="0"/>
        <v>62.710278290282901</v>
      </c>
      <c r="G13" s="71">
        <f t="shared" si="1"/>
        <v>2690.8319495694955</v>
      </c>
      <c r="H13" s="72">
        <f t="shared" si="2"/>
        <v>6327.9213191881918</v>
      </c>
      <c r="J13" s="73">
        <v>2004</v>
      </c>
      <c r="K13" s="74">
        <f t="shared" si="3"/>
        <v>12973.583448646987</v>
      </c>
      <c r="L13" s="75">
        <f t="shared" si="4"/>
        <v>0.30000345833555525</v>
      </c>
      <c r="M13" s="70">
        <f t="shared" si="5"/>
        <v>1975.8862376998768</v>
      </c>
      <c r="N13" s="76">
        <f t="shared" si="6"/>
        <v>10997.69721094711</v>
      </c>
      <c r="O13" s="75">
        <f t="shared" si="7"/>
        <v>0.35390316963125684</v>
      </c>
      <c r="P13" s="74">
        <f t="shared" si="8"/>
        <v>2690.8319495694955</v>
      </c>
      <c r="Q13" s="74">
        <f t="shared" si="9"/>
        <v>8306.8652613776139</v>
      </c>
      <c r="R13" s="77">
        <f t="shared" si="10"/>
        <v>0.4685425583697917</v>
      </c>
      <c r="T13" s="73">
        <f t="shared" si="11"/>
        <v>2004</v>
      </c>
      <c r="U13" s="78">
        <f t="shared" si="12"/>
        <v>5152.8891873934808</v>
      </c>
      <c r="V13" s="75">
        <f t="shared" si="12"/>
        <v>0.46854255836979164</v>
      </c>
      <c r="W13" s="76">
        <f t="shared" si="13"/>
        <v>5314.1816072117199</v>
      </c>
      <c r="X13" s="75">
        <f t="shared" si="14"/>
        <v>0.48320857587550081</v>
      </c>
      <c r="Y13" s="74">
        <f t="shared" ref="Y13:Y29" si="27">+U13/2+W13/2</f>
        <v>5233.5353973026004</v>
      </c>
      <c r="Z13" s="77">
        <f t="shared" si="15"/>
        <v>0.47587556712264623</v>
      </c>
      <c r="AB13" s="73">
        <v>2004</v>
      </c>
      <c r="AC13" s="74">
        <f t="shared" si="16"/>
        <v>5233.5353973026004</v>
      </c>
      <c r="AD13" s="76">
        <f t="shared" si="17"/>
        <v>5764.1618136445095</v>
      </c>
      <c r="AE13" s="79">
        <f t="shared" si="18"/>
        <v>0.52412443287735377</v>
      </c>
      <c r="AF13" s="80">
        <f t="shared" si="19"/>
        <v>0.42465505334045311</v>
      </c>
      <c r="AH13" s="81">
        <v>2004</v>
      </c>
      <c r="AI13" s="74">
        <f t="shared" si="20"/>
        <v>5152.8891873934808</v>
      </c>
      <c r="AJ13" s="82">
        <f t="shared" si="21"/>
        <v>0.46854255836979164</v>
      </c>
      <c r="AK13" s="74">
        <v>2022.6695359943485</v>
      </c>
      <c r="AL13" s="74">
        <v>27283.600917919019</v>
      </c>
      <c r="AM13" s="74">
        <v>9968.5942461978921</v>
      </c>
      <c r="AN13" s="74">
        <f t="shared" si="22"/>
        <v>5314.1816072117199</v>
      </c>
      <c r="AQ13" s="83"/>
      <c r="AR13" s="84"/>
      <c r="AS13" s="84"/>
      <c r="AW13" s="5"/>
      <c r="AX13" s="85"/>
      <c r="AY13" s="84"/>
    </row>
    <row r="14" spans="1:55">
      <c r="A14" s="69">
        <v>2005</v>
      </c>
      <c r="B14" s="70">
        <f t="shared" si="23"/>
        <v>13887.087006970665</v>
      </c>
      <c r="C14" s="70">
        <f t="shared" si="24"/>
        <v>574.60831542259666</v>
      </c>
      <c r="D14" s="70">
        <f t="shared" si="25"/>
        <v>13312.478691548069</v>
      </c>
      <c r="E14" s="70">
        <f t="shared" si="26"/>
        <v>3940.9368922451354</v>
      </c>
      <c r="F14" s="70">
        <f t="shared" si="0"/>
        <v>66.770518443218123</v>
      </c>
      <c r="G14" s="71">
        <f t="shared" si="1"/>
        <v>2764.297513796108</v>
      </c>
      <c r="H14" s="72">
        <f t="shared" si="2"/>
        <v>6540.4737670636068</v>
      </c>
      <c r="J14" s="73">
        <v>2005</v>
      </c>
      <c r="K14" s="74">
        <f t="shared" si="3"/>
        <v>13312.478691548069</v>
      </c>
      <c r="L14" s="75">
        <f t="shared" si="4"/>
        <v>0.29603329203803258</v>
      </c>
      <c r="M14" s="70">
        <f t="shared" si="5"/>
        <v>2001.6892361312809</v>
      </c>
      <c r="N14" s="76">
        <f t="shared" si="6"/>
        <v>11310.789455416789</v>
      </c>
      <c r="O14" s="75">
        <f t="shared" si="7"/>
        <v>0.34842279646163893</v>
      </c>
      <c r="P14" s="74">
        <f t="shared" si="8"/>
        <v>2764.297513796108</v>
      </c>
      <c r="Q14" s="74">
        <f t="shared" si="9"/>
        <v>8546.4919416206812</v>
      </c>
      <c r="R14" s="77">
        <f t="shared" si="10"/>
        <v>0.46111748763877158</v>
      </c>
      <c r="T14" s="73">
        <f t="shared" si="11"/>
        <v>2005</v>
      </c>
      <c r="U14" s="78">
        <f t="shared" si="12"/>
        <v>5215.6028168928988</v>
      </c>
      <c r="V14" s="75">
        <f t="shared" si="12"/>
        <v>0.46111748763877158</v>
      </c>
      <c r="W14" s="76">
        <f t="shared" si="13"/>
        <v>5368.5970649598894</v>
      </c>
      <c r="X14" s="75">
        <f t="shared" si="14"/>
        <v>0.47464388636363875</v>
      </c>
      <c r="Y14" s="74">
        <f t="shared" si="27"/>
        <v>5292.0999409263941</v>
      </c>
      <c r="Z14" s="77">
        <f t="shared" si="15"/>
        <v>0.46788068700120516</v>
      </c>
      <c r="AB14" s="73">
        <v>2005</v>
      </c>
      <c r="AC14" s="74">
        <f t="shared" si="16"/>
        <v>5292.0999409263941</v>
      </c>
      <c r="AD14" s="76">
        <f t="shared" si="17"/>
        <v>6018.6895144903947</v>
      </c>
      <c r="AE14" s="79">
        <f t="shared" si="18"/>
        <v>0.53211931299879489</v>
      </c>
      <c r="AF14" s="80">
        <f t="shared" si="19"/>
        <v>0.43340187265113955</v>
      </c>
      <c r="AH14" s="81">
        <v>2005</v>
      </c>
      <c r="AI14" s="74">
        <f t="shared" si="20"/>
        <v>5215.6028168928988</v>
      </c>
      <c r="AJ14" s="82">
        <f t="shared" si="21"/>
        <v>0.46111748763877158</v>
      </c>
      <c r="AK14" s="74">
        <v>2027.317</v>
      </c>
      <c r="AL14" s="74">
        <v>27780.891</v>
      </c>
      <c r="AM14" s="74">
        <v>10064.021000000001</v>
      </c>
      <c r="AN14" s="74">
        <f t="shared" si="22"/>
        <v>5368.5970649598894</v>
      </c>
      <c r="AQ14" s="83"/>
      <c r="AR14" s="84"/>
      <c r="AS14" s="84"/>
      <c r="AW14" s="5"/>
      <c r="AX14" s="85"/>
      <c r="AY14" s="84"/>
      <c r="BB14" s="5"/>
      <c r="BC14" s="5"/>
    </row>
    <row r="15" spans="1:55">
      <c r="A15" s="69">
        <v>2006</v>
      </c>
      <c r="B15" s="70">
        <f t="shared" si="23"/>
        <v>14511.246827736828</v>
      </c>
      <c r="C15" s="70">
        <f t="shared" si="24"/>
        <v>546.00585176085167</v>
      </c>
      <c r="D15" s="70">
        <f t="shared" si="25"/>
        <v>13965.240975975976</v>
      </c>
      <c r="E15" s="70">
        <f t="shared" si="26"/>
        <v>4035.5650873600866</v>
      </c>
      <c r="F15" s="70">
        <f t="shared" si="0"/>
        <v>72.893254163254156</v>
      </c>
      <c r="G15" s="71">
        <f t="shared" si="1"/>
        <v>2842.0095126945125</v>
      </c>
      <c r="H15" s="72">
        <f t="shared" si="2"/>
        <v>7014.7731217581213</v>
      </c>
      <c r="J15" s="73">
        <v>2006</v>
      </c>
      <c r="K15" s="74">
        <f t="shared" si="3"/>
        <v>13965.240975975976</v>
      </c>
      <c r="L15" s="75">
        <f t="shared" si="4"/>
        <v>0.28897210540816015</v>
      </c>
      <c r="M15" s="70">
        <f t="shared" si="5"/>
        <v>2072.7348048048048</v>
      </c>
      <c r="N15" s="76">
        <f t="shared" si="6"/>
        <v>11892.506171171171</v>
      </c>
      <c r="O15" s="75">
        <f t="shared" si="7"/>
        <v>0.33933680834597918</v>
      </c>
      <c r="P15" s="74">
        <f t="shared" si="8"/>
        <v>2842.0095126945125</v>
      </c>
      <c r="Q15" s="74">
        <f t="shared" si="9"/>
        <v>9050.4966584766589</v>
      </c>
      <c r="R15" s="77">
        <f t="shared" si="10"/>
        <v>0.4458943237750817</v>
      </c>
      <c r="T15" s="73">
        <f t="shared" si="11"/>
        <v>2006</v>
      </c>
      <c r="U15" s="78">
        <f t="shared" si="12"/>
        <v>5302.8009971853553</v>
      </c>
      <c r="V15" s="75">
        <f t="shared" si="12"/>
        <v>0.4458943237750817</v>
      </c>
      <c r="W15" s="76">
        <f t="shared" si="13"/>
        <v>5445.8033783100445</v>
      </c>
      <c r="X15" s="75">
        <f t="shared" si="14"/>
        <v>0.45791890287274434</v>
      </c>
      <c r="Y15" s="74">
        <f t="shared" si="27"/>
        <v>5374.3021877477004</v>
      </c>
      <c r="Z15" s="77">
        <f t="shared" si="15"/>
        <v>0.45190661332391308</v>
      </c>
      <c r="AB15" s="73">
        <v>2006</v>
      </c>
      <c r="AC15" s="74">
        <f t="shared" si="16"/>
        <v>5374.3021877477004</v>
      </c>
      <c r="AD15" s="76">
        <f t="shared" si="17"/>
        <v>6518.2039834234711</v>
      </c>
      <c r="AE15" s="79">
        <f t="shared" si="18"/>
        <v>0.54809338667608698</v>
      </c>
      <c r="AF15" s="80">
        <f t="shared" si="19"/>
        <v>0.44918290349555368</v>
      </c>
      <c r="AH15" s="81">
        <v>2006</v>
      </c>
      <c r="AI15" s="74">
        <f t="shared" si="20"/>
        <v>5302.8009971853553</v>
      </c>
      <c r="AJ15" s="82">
        <f t="shared" si="21"/>
        <v>0.4458943237750817</v>
      </c>
      <c r="AK15" s="74">
        <v>2173.431</v>
      </c>
      <c r="AL15" s="74">
        <v>28741.960999999999</v>
      </c>
      <c r="AM15" s="74">
        <v>10043.950000000001</v>
      </c>
      <c r="AN15" s="74">
        <f t="shared" si="22"/>
        <v>5445.8033783100445</v>
      </c>
      <c r="AQ15" s="83"/>
      <c r="AR15" s="84"/>
      <c r="AS15" s="84"/>
      <c r="AW15" s="5"/>
      <c r="AX15" s="85"/>
      <c r="AY15" s="84"/>
      <c r="BB15" s="5"/>
      <c r="BC15" s="5"/>
    </row>
    <row r="16" spans="1:55">
      <c r="A16" s="69">
        <v>2007</v>
      </c>
      <c r="B16" s="70">
        <f t="shared" si="23"/>
        <v>14843.776869975873</v>
      </c>
      <c r="C16" s="70">
        <f t="shared" si="24"/>
        <v>563.73800725151921</v>
      </c>
      <c r="D16" s="70">
        <f t="shared" si="25"/>
        <v>14280.038862724354</v>
      </c>
      <c r="E16" s="70">
        <f t="shared" si="26"/>
        <v>4087.1088592405254</v>
      </c>
      <c r="F16" s="70">
        <f t="shared" si="0"/>
        <v>77.238057573450661</v>
      </c>
      <c r="G16" s="71">
        <f t="shared" si="1"/>
        <v>2924.1226345466507</v>
      </c>
      <c r="H16" s="72">
        <f t="shared" si="2"/>
        <v>7191.5693113637244</v>
      </c>
      <c r="J16" s="73">
        <v>2007</v>
      </c>
      <c r="K16" s="74">
        <f t="shared" si="3"/>
        <v>14280.038862724354</v>
      </c>
      <c r="L16" s="75">
        <f t="shared" si="4"/>
        <v>0.28621132607063399</v>
      </c>
      <c r="M16" s="70">
        <f t="shared" si="5"/>
        <v>2132.2669681681523</v>
      </c>
      <c r="N16" s="76">
        <f t="shared" si="6"/>
        <v>12147.771894556201</v>
      </c>
      <c r="O16" s="75">
        <f t="shared" si="7"/>
        <v>0.33644925956109595</v>
      </c>
      <c r="P16" s="74">
        <f t="shared" si="8"/>
        <v>2924.1226345466507</v>
      </c>
      <c r="Q16" s="74">
        <f t="shared" si="9"/>
        <v>9223.6492600095498</v>
      </c>
      <c r="R16" s="77">
        <f t="shared" si="10"/>
        <v>0.44311191200220179</v>
      </c>
      <c r="T16" s="73">
        <f t="shared" si="11"/>
        <v>2007</v>
      </c>
      <c r="U16" s="78">
        <f t="shared" si="12"/>
        <v>5382.8224307634073</v>
      </c>
      <c r="V16" s="75">
        <f t="shared" si="12"/>
        <v>0.44311191200220179</v>
      </c>
      <c r="W16" s="76">
        <f t="shared" si="13"/>
        <v>5477.2168808131864</v>
      </c>
      <c r="X16" s="75">
        <f t="shared" si="14"/>
        <v>0.45088242752300112</v>
      </c>
      <c r="Y16" s="74">
        <f t="shared" si="27"/>
        <v>5430.0196557882973</v>
      </c>
      <c r="Z16" s="77">
        <f t="shared" si="15"/>
        <v>0.44699716976260151</v>
      </c>
      <c r="AB16" s="73">
        <v>2007</v>
      </c>
      <c r="AC16" s="74">
        <f t="shared" si="16"/>
        <v>5430.0196557882973</v>
      </c>
      <c r="AD16" s="76">
        <f t="shared" si="17"/>
        <v>6717.7522387679037</v>
      </c>
      <c r="AE16" s="79">
        <f t="shared" si="18"/>
        <v>0.55300283023739849</v>
      </c>
      <c r="AF16" s="80">
        <f t="shared" si="19"/>
        <v>0.45256354212355004</v>
      </c>
      <c r="AH16" s="81">
        <v>2007</v>
      </c>
      <c r="AI16" s="74">
        <f t="shared" si="20"/>
        <v>5382.8224307634073</v>
      </c>
      <c r="AJ16" s="82">
        <f t="shared" si="21"/>
        <v>0.44311191200220179</v>
      </c>
      <c r="AK16" s="74">
        <v>2277.6080000000002</v>
      </c>
      <c r="AL16" s="74">
        <v>29738.598000000002</v>
      </c>
      <c r="AM16" s="74">
        <v>10114.696</v>
      </c>
      <c r="AN16" s="74">
        <f t="shared" si="22"/>
        <v>5477.2168808131864</v>
      </c>
      <c r="AQ16" s="83"/>
      <c r="AR16" s="84"/>
      <c r="AS16" s="84"/>
      <c r="AW16" s="5"/>
      <c r="AX16" s="85"/>
      <c r="AY16" s="84"/>
    </row>
    <row r="17" spans="1:51">
      <c r="A17" s="69">
        <v>2008</v>
      </c>
      <c r="B17" s="70">
        <f t="shared" si="23"/>
        <v>15013.666424821349</v>
      </c>
      <c r="C17" s="70">
        <f t="shared" si="24"/>
        <v>384.51701788926152</v>
      </c>
      <c r="D17" s="70">
        <f t="shared" si="25"/>
        <v>14629.149406932087</v>
      </c>
      <c r="E17" s="70">
        <f t="shared" si="26"/>
        <v>4161.8563645423164</v>
      </c>
      <c r="F17" s="70">
        <f t="shared" si="0"/>
        <v>78.952160808905745</v>
      </c>
      <c r="G17" s="71">
        <f t="shared" si="1"/>
        <v>2954.9106521316412</v>
      </c>
      <c r="H17" s="72">
        <f t="shared" si="2"/>
        <v>7433.4302294492236</v>
      </c>
      <c r="J17" s="73">
        <v>2008</v>
      </c>
      <c r="K17" s="74">
        <f t="shared" si="3"/>
        <v>14629.149406932087</v>
      </c>
      <c r="L17" s="75">
        <f t="shared" si="4"/>
        <v>0.28449065962578812</v>
      </c>
      <c r="M17" s="70">
        <f t="shared" si="5"/>
        <v>2228.5748979145396</v>
      </c>
      <c r="N17" s="76">
        <f t="shared" si="6"/>
        <v>12400.574509017548</v>
      </c>
      <c r="O17" s="75">
        <f t="shared" si="7"/>
        <v>0.33561802814183045</v>
      </c>
      <c r="P17" s="74">
        <f t="shared" si="8"/>
        <v>2954.9106521316412</v>
      </c>
      <c r="Q17" s="74">
        <f t="shared" si="9"/>
        <v>9445.6638568859071</v>
      </c>
      <c r="R17" s="77">
        <f t="shared" si="10"/>
        <v>0.44061025541453236</v>
      </c>
      <c r="T17" s="73">
        <f t="shared" si="11"/>
        <v>2008</v>
      </c>
      <c r="U17" s="78">
        <f t="shared" si="12"/>
        <v>5463.820301705161</v>
      </c>
      <c r="V17" s="75">
        <f t="shared" si="12"/>
        <v>0.44061025541453236</v>
      </c>
      <c r="W17" s="76">
        <f t="shared" si="13"/>
        <v>5470.524160469804</v>
      </c>
      <c r="X17" s="75">
        <f t="shared" si="14"/>
        <v>0.44115086413873045</v>
      </c>
      <c r="Y17" s="74">
        <f t="shared" si="27"/>
        <v>5467.1722310874829</v>
      </c>
      <c r="Z17" s="77">
        <f t="shared" si="15"/>
        <v>0.44088055977663143</v>
      </c>
      <c r="AB17" s="73">
        <v>2008</v>
      </c>
      <c r="AC17" s="74">
        <f t="shared" si="16"/>
        <v>5467.1722310874829</v>
      </c>
      <c r="AD17" s="76">
        <f t="shared" si="17"/>
        <v>6933.4022779300649</v>
      </c>
      <c r="AE17" s="79">
        <f t="shared" si="18"/>
        <v>0.55911944022336857</v>
      </c>
      <c r="AF17" s="80">
        <f t="shared" si="19"/>
        <v>0.46180606933343177</v>
      </c>
      <c r="AH17" s="81">
        <v>2008</v>
      </c>
      <c r="AI17" s="74">
        <f t="shared" si="20"/>
        <v>5463.820301705161</v>
      </c>
      <c r="AJ17" s="82">
        <f t="shared" si="21"/>
        <v>0.44061025541453236</v>
      </c>
      <c r="AK17" s="74">
        <v>1824.0039999999999</v>
      </c>
      <c r="AL17" s="74">
        <v>30474.427</v>
      </c>
      <c r="AM17" s="74">
        <v>9582.4789999999994</v>
      </c>
      <c r="AN17" s="74">
        <f t="shared" si="22"/>
        <v>5470.524160469804</v>
      </c>
      <c r="AQ17" s="83"/>
      <c r="AR17" s="84"/>
      <c r="AS17" s="84"/>
      <c r="AW17" s="5"/>
      <c r="AX17" s="85"/>
      <c r="AY17" s="84"/>
    </row>
    <row r="18" spans="1:51">
      <c r="A18" s="69">
        <v>2009</v>
      </c>
      <c r="B18" s="70">
        <f t="shared" si="23"/>
        <v>14219.965213426398</v>
      </c>
      <c r="C18" s="70">
        <f t="shared" si="24"/>
        <v>589.07348625676639</v>
      </c>
      <c r="D18" s="70">
        <f t="shared" si="25"/>
        <v>13630.891727169632</v>
      </c>
      <c r="E18" s="70">
        <f t="shared" si="26"/>
        <v>4106.0384413033562</v>
      </c>
      <c r="F18" s="70">
        <f t="shared" si="0"/>
        <v>77.708987174540837</v>
      </c>
      <c r="G18" s="71">
        <f t="shared" si="1"/>
        <v>3137.344428466206</v>
      </c>
      <c r="H18" s="72">
        <f t="shared" si="2"/>
        <v>6309.7998702255263</v>
      </c>
      <c r="J18" s="73">
        <v>2009</v>
      </c>
      <c r="K18" s="74">
        <f t="shared" si="3"/>
        <v>13630.891727169632</v>
      </c>
      <c r="L18" s="75">
        <f t="shared" si="4"/>
        <v>0.30123036140908066</v>
      </c>
      <c r="M18" s="70">
        <f t="shared" si="5"/>
        <v>2355.8143149427706</v>
      </c>
      <c r="N18" s="76">
        <f t="shared" si="6"/>
        <v>11275.077412226861</v>
      </c>
      <c r="O18" s="75">
        <f t="shared" si="7"/>
        <v>0.36416942351550574</v>
      </c>
      <c r="P18" s="74">
        <f t="shared" si="8"/>
        <v>3137.344428466206</v>
      </c>
      <c r="Q18" s="74">
        <f t="shared" si="9"/>
        <v>8137.7329837606558</v>
      </c>
      <c r="R18" s="77">
        <f t="shared" si="10"/>
        <v>0.50456785071434607</v>
      </c>
      <c r="T18" s="73">
        <f t="shared" si="11"/>
        <v>2009</v>
      </c>
      <c r="U18" s="78">
        <f t="shared" si="12"/>
        <v>5689.0415765251782</v>
      </c>
      <c r="V18" s="75">
        <f t="shared" si="12"/>
        <v>0.50456785071434607</v>
      </c>
      <c r="W18" s="76">
        <f t="shared" si="13"/>
        <v>5587.3096943095288</v>
      </c>
      <c r="X18" s="75">
        <f t="shared" si="14"/>
        <v>0.49554512931774353</v>
      </c>
      <c r="Y18" s="74">
        <f t="shared" si="27"/>
        <v>5638.175635417354</v>
      </c>
      <c r="Z18" s="77">
        <f t="shared" si="15"/>
        <v>0.5000564900160448</v>
      </c>
      <c r="AB18" s="73">
        <v>2009</v>
      </c>
      <c r="AC18" s="74">
        <f t="shared" si="16"/>
        <v>5638.175635417354</v>
      </c>
      <c r="AD18" s="76">
        <f t="shared" si="17"/>
        <v>5636.9017768095073</v>
      </c>
      <c r="AE18" s="79">
        <f t="shared" si="18"/>
        <v>0.49994350998395515</v>
      </c>
      <c r="AF18" s="80">
        <f t="shared" si="19"/>
        <v>0.39640756444939695</v>
      </c>
      <c r="AH18" s="81">
        <v>2009</v>
      </c>
      <c r="AI18" s="74">
        <f t="shared" si="20"/>
        <v>5689.0415765251782</v>
      </c>
      <c r="AJ18" s="82">
        <f t="shared" si="21"/>
        <v>0.50456785071434607</v>
      </c>
      <c r="AK18" s="74">
        <v>2088.232</v>
      </c>
      <c r="AL18" s="74">
        <v>30190.632000000001</v>
      </c>
      <c r="AM18" s="74">
        <v>10891.402</v>
      </c>
      <c r="AN18" s="74">
        <f t="shared" si="22"/>
        <v>5587.3096943095288</v>
      </c>
      <c r="AQ18" s="83"/>
      <c r="AR18" s="84"/>
      <c r="AS18" s="84"/>
      <c r="AW18" s="5"/>
      <c r="AX18" s="85"/>
      <c r="AY18" s="84"/>
    </row>
    <row r="19" spans="1:51">
      <c r="A19" s="69">
        <v>2010</v>
      </c>
      <c r="B19" s="70">
        <f t="shared" si="23"/>
        <v>14947.860848803399</v>
      </c>
      <c r="C19" s="70">
        <f t="shared" si="24"/>
        <v>606.30281480653105</v>
      </c>
      <c r="D19" s="70">
        <f t="shared" si="25"/>
        <v>14341.558033996867</v>
      </c>
      <c r="E19" s="70">
        <f t="shared" si="26"/>
        <v>4161.8252292552006</v>
      </c>
      <c r="F19" s="70">
        <f t="shared" si="0"/>
        <v>81.017158353835839</v>
      </c>
      <c r="G19" s="71">
        <f t="shared" si="1"/>
        <v>3329.7584209349138</v>
      </c>
      <c r="H19" s="72">
        <f t="shared" si="2"/>
        <v>6768.9572254529194</v>
      </c>
      <c r="J19" s="73">
        <v>2010</v>
      </c>
      <c r="K19" s="74">
        <f t="shared" si="3"/>
        <v>14341.558033996867</v>
      </c>
      <c r="L19" s="75">
        <f t="shared" si="4"/>
        <v>0.29019338201536643</v>
      </c>
      <c r="M19" s="70">
        <f t="shared" si="5"/>
        <v>2363.1719134421828</v>
      </c>
      <c r="N19" s="76">
        <f t="shared" si="6"/>
        <v>11978.386120554685</v>
      </c>
      <c r="O19" s="75">
        <f t="shared" si="7"/>
        <v>0.34744457119424349</v>
      </c>
      <c r="P19" s="74">
        <f t="shared" si="8"/>
        <v>3329.7584209349138</v>
      </c>
      <c r="Q19" s="74">
        <f t="shared" si="9"/>
        <v>8648.6276996197721</v>
      </c>
      <c r="R19" s="77">
        <f t="shared" si="10"/>
        <v>0.48121220773998297</v>
      </c>
      <c r="T19" s="73">
        <f t="shared" si="11"/>
        <v>2010</v>
      </c>
      <c r="U19" s="78">
        <f t="shared" si="12"/>
        <v>5764.1456302340903</v>
      </c>
      <c r="V19" s="75">
        <f t="shared" si="12"/>
        <v>0.48121220773998297</v>
      </c>
      <c r="W19" s="76">
        <f t="shared" si="13"/>
        <v>5372.5348377975797</v>
      </c>
      <c r="X19" s="75">
        <f t="shared" si="14"/>
        <v>0.44851908961077913</v>
      </c>
      <c r="Y19" s="74">
        <f t="shared" si="27"/>
        <v>5568.3402340158354</v>
      </c>
      <c r="Z19" s="77">
        <f t="shared" si="15"/>
        <v>0.4648656486753811</v>
      </c>
      <c r="AB19" s="73">
        <v>2010</v>
      </c>
      <c r="AC19" s="74">
        <f t="shared" si="16"/>
        <v>5568.3402340158354</v>
      </c>
      <c r="AD19" s="76">
        <f t="shared" si="17"/>
        <v>6410.04588653885</v>
      </c>
      <c r="AE19" s="79">
        <f t="shared" si="18"/>
        <v>0.53513435132461895</v>
      </c>
      <c r="AF19" s="80">
        <f t="shared" si="19"/>
        <v>0.42882697072016057</v>
      </c>
      <c r="AH19" s="81">
        <v>2010</v>
      </c>
      <c r="AI19" s="74">
        <f t="shared" si="20"/>
        <v>5764.1456302340903</v>
      </c>
      <c r="AJ19" s="82">
        <f t="shared" si="21"/>
        <v>0.48121220773998297</v>
      </c>
      <c r="AK19" s="74">
        <v>1764.154</v>
      </c>
      <c r="AL19" s="74">
        <v>31926.649000000001</v>
      </c>
      <c r="AM19" s="74">
        <v>9287.7279999999992</v>
      </c>
      <c r="AN19" s="86">
        <f t="shared" si="22"/>
        <v>5372.5348377975797</v>
      </c>
      <c r="AQ19" s="83"/>
      <c r="AR19" s="84"/>
      <c r="AS19" s="84"/>
      <c r="AW19" s="5"/>
      <c r="AX19" s="85"/>
      <c r="AY19" s="84"/>
    </row>
    <row r="20" spans="1:51">
      <c r="A20" s="69">
        <v>2011</v>
      </c>
      <c r="B20" s="70">
        <f t="shared" si="23"/>
        <v>15495.352603941043</v>
      </c>
      <c r="C20" s="70">
        <f t="shared" si="24"/>
        <v>533.39175445084265</v>
      </c>
      <c r="D20" s="70">
        <f t="shared" si="25"/>
        <v>14961.9608494902</v>
      </c>
      <c r="E20" s="70">
        <f t="shared" si="26"/>
        <v>4228.9734196206882</v>
      </c>
      <c r="F20" s="70">
        <f t="shared" si="0"/>
        <v>84.389515558138299</v>
      </c>
      <c r="G20" s="71">
        <f t="shared" si="1"/>
        <v>3380.8625643192986</v>
      </c>
      <c r="H20" s="72">
        <f t="shared" si="2"/>
        <v>7267.7353499920755</v>
      </c>
      <c r="J20" s="73">
        <v>2011</v>
      </c>
      <c r="K20" s="74">
        <f t="shared" si="3"/>
        <v>14961.9608494902</v>
      </c>
      <c r="L20" s="75">
        <f t="shared" si="4"/>
        <v>0.282648341494944</v>
      </c>
      <c r="M20" s="70">
        <f t="shared" si="5"/>
        <v>2425.8521379893286</v>
      </c>
      <c r="N20" s="76">
        <f t="shared" si="6"/>
        <v>12536.108711500872</v>
      </c>
      <c r="O20" s="75">
        <f t="shared" si="7"/>
        <v>0.33734339075577296</v>
      </c>
      <c r="P20" s="74">
        <f t="shared" si="8"/>
        <v>3380.8625643192986</v>
      </c>
      <c r="Q20" s="74">
        <f t="shared" si="9"/>
        <v>9155.2461471815732</v>
      </c>
      <c r="R20" s="77">
        <f t="shared" si="10"/>
        <v>0.46191804694651167</v>
      </c>
      <c r="T20" s="73">
        <f t="shared" si="11"/>
        <v>2011</v>
      </c>
      <c r="U20" s="78">
        <f t="shared" si="12"/>
        <v>5790.6548523256333</v>
      </c>
      <c r="V20" s="75">
        <f t="shared" si="12"/>
        <v>0.46191804694651162</v>
      </c>
      <c r="W20" s="76">
        <f t="shared" si="13"/>
        <v>5672.7919672214994</v>
      </c>
      <c r="X20" s="75">
        <f t="shared" si="14"/>
        <v>0.45251617529586102</v>
      </c>
      <c r="Y20" s="74">
        <f t="shared" si="27"/>
        <v>5731.7234097735663</v>
      </c>
      <c r="Z20" s="77">
        <f t="shared" si="15"/>
        <v>0.45721711112118635</v>
      </c>
      <c r="AB20" s="73">
        <v>2011</v>
      </c>
      <c r="AC20" s="74">
        <f t="shared" si="16"/>
        <v>5731.7234097735663</v>
      </c>
      <c r="AD20" s="76">
        <f t="shared" si="17"/>
        <v>6804.3853017273059</v>
      </c>
      <c r="AE20" s="79">
        <f t="shared" si="18"/>
        <v>0.54278288887881365</v>
      </c>
      <c r="AF20" s="80">
        <f t="shared" si="19"/>
        <v>0.43912426361931889</v>
      </c>
      <c r="AH20" s="81">
        <v>2011</v>
      </c>
      <c r="AI20" s="74">
        <f t="shared" si="20"/>
        <v>5790.6548523256333</v>
      </c>
      <c r="AJ20" s="82">
        <f t="shared" si="21"/>
        <v>0.46191804694651162</v>
      </c>
      <c r="AK20" s="74">
        <v>2325.8249999999998</v>
      </c>
      <c r="AL20" s="74">
        <v>31973.036</v>
      </c>
      <c r="AM20" s="74">
        <v>10915.95</v>
      </c>
      <c r="AN20" s="86">
        <f t="shared" si="22"/>
        <v>5672.7919672214994</v>
      </c>
      <c r="AQ20" s="83"/>
      <c r="AR20" s="84"/>
      <c r="AS20" s="84"/>
      <c r="AW20" s="5"/>
      <c r="AX20" s="85"/>
      <c r="AY20" s="84"/>
    </row>
    <row r="21" spans="1:51">
      <c r="A21" s="69">
        <v>2012</v>
      </c>
      <c r="B21" s="70">
        <f t="shared" si="23"/>
        <v>16059.775399266955</v>
      </c>
      <c r="C21" s="70">
        <f t="shared" si="24"/>
        <v>490.20223264597479</v>
      </c>
      <c r="D21" s="70">
        <f t="shared" si="25"/>
        <v>15569.573166620979</v>
      </c>
      <c r="E21" s="70">
        <f t="shared" si="26"/>
        <v>4385.8549196389586</v>
      </c>
      <c r="F21" s="70">
        <f t="shared" si="0"/>
        <v>79.331005249103995</v>
      </c>
      <c r="G21" s="71">
        <f t="shared" si="1"/>
        <v>3366.722113246627</v>
      </c>
      <c r="H21" s="72">
        <f t="shared" si="2"/>
        <v>7737.6651284862874</v>
      </c>
      <c r="J21" s="73">
        <v>2012</v>
      </c>
      <c r="K21" s="74">
        <f t="shared" si="3"/>
        <v>15569.573166620979</v>
      </c>
      <c r="L21" s="75">
        <f t="shared" si="4"/>
        <v>0.28169397277001962</v>
      </c>
      <c r="M21" s="70">
        <f t="shared" si="5"/>
        <v>2547.2475993217795</v>
      </c>
      <c r="N21" s="76">
        <f t="shared" si="6"/>
        <v>13022.3255672992</v>
      </c>
      <c r="O21" s="75">
        <f t="shared" si="7"/>
        <v>0.3367950599125264</v>
      </c>
      <c r="P21" s="74">
        <f t="shared" si="8"/>
        <v>3366.722113246627</v>
      </c>
      <c r="Q21" s="74">
        <f t="shared" si="9"/>
        <v>9655.6034540525725</v>
      </c>
      <c r="R21" s="77">
        <f t="shared" si="10"/>
        <v>0.45422898118275173</v>
      </c>
      <c r="T21" s="73">
        <f t="shared" si="11"/>
        <v>2012</v>
      </c>
      <c r="U21" s="78">
        <f t="shared" si="12"/>
        <v>5915.1176750644154</v>
      </c>
      <c r="V21" s="75">
        <f t="shared" si="12"/>
        <v>0.45422898118275173</v>
      </c>
      <c r="W21" s="76">
        <f t="shared" si="13"/>
        <v>5673.1820465542951</v>
      </c>
      <c r="X21" s="75">
        <f t="shared" si="14"/>
        <v>0.43565045407867958</v>
      </c>
      <c r="Y21" s="74">
        <f t="shared" si="27"/>
        <v>5794.1498608093552</v>
      </c>
      <c r="Z21" s="77">
        <f t="shared" si="15"/>
        <v>0.44493971763071566</v>
      </c>
      <c r="AB21" s="73">
        <v>2012</v>
      </c>
      <c r="AC21" s="74">
        <f t="shared" si="16"/>
        <v>5794.1498608093552</v>
      </c>
      <c r="AD21" s="76">
        <f t="shared" si="17"/>
        <v>7228.1757064898447</v>
      </c>
      <c r="AE21" s="79">
        <f t="shared" si="18"/>
        <v>0.55506028236928429</v>
      </c>
      <c r="AF21" s="80">
        <f t="shared" si="19"/>
        <v>0.45007950153647686</v>
      </c>
      <c r="AH21" s="81">
        <v>2012</v>
      </c>
      <c r="AI21" s="74">
        <f t="shared" si="20"/>
        <v>5915.1176750644154</v>
      </c>
      <c r="AJ21" s="82">
        <f t="shared" si="21"/>
        <v>0.45422898118275173</v>
      </c>
      <c r="AK21" s="74">
        <v>1903.568</v>
      </c>
      <c r="AL21" s="74">
        <v>33962.012000000002</v>
      </c>
      <c r="AM21" s="74">
        <v>9968.4599999999991</v>
      </c>
      <c r="AN21" s="86">
        <f t="shared" si="22"/>
        <v>5673.1820465542951</v>
      </c>
      <c r="AQ21" s="83"/>
      <c r="AR21" s="84"/>
      <c r="AS21" s="84"/>
      <c r="AW21" s="5"/>
      <c r="AX21" s="85"/>
      <c r="AY21" s="84"/>
    </row>
    <row r="22" spans="1:51">
      <c r="A22" s="69">
        <v>2013</v>
      </c>
      <c r="B22" s="70">
        <f t="shared" si="23"/>
        <v>16277.187077999999</v>
      </c>
      <c r="C22" s="70">
        <f t="shared" si="24"/>
        <v>634.56723299999999</v>
      </c>
      <c r="D22" s="70">
        <f t="shared" si="25"/>
        <v>15642.619844999999</v>
      </c>
      <c r="E22" s="70">
        <f t="shared" si="26"/>
        <v>4542.8533649999999</v>
      </c>
      <c r="F22" s="70">
        <f t="shared" si="0"/>
        <v>87.418506000000008</v>
      </c>
      <c r="G22" s="71">
        <f t="shared" si="1"/>
        <v>3477.7760630000007</v>
      </c>
      <c r="H22" s="72">
        <f t="shared" si="2"/>
        <v>7534.571911</v>
      </c>
      <c r="J22" s="73">
        <v>2013</v>
      </c>
      <c r="K22" s="74">
        <f t="shared" si="3"/>
        <v>15642.619844999999</v>
      </c>
      <c r="L22" s="75">
        <f t="shared" si="4"/>
        <v>0.29041512291510913</v>
      </c>
      <c r="M22" s="70">
        <f t="shared" si="5"/>
        <v>2567.2304479999998</v>
      </c>
      <c r="N22" s="76">
        <f t="shared" si="6"/>
        <v>13075.389396999999</v>
      </c>
      <c r="O22" s="75">
        <f t="shared" si="7"/>
        <v>0.34743541680237122</v>
      </c>
      <c r="P22" s="74">
        <f t="shared" si="8"/>
        <v>3477.7760630000007</v>
      </c>
      <c r="Q22" s="74">
        <f t="shared" si="9"/>
        <v>9597.6133339999978</v>
      </c>
      <c r="R22" s="77">
        <f t="shared" si="10"/>
        <v>0.47333156764158518</v>
      </c>
      <c r="T22" s="73">
        <f t="shared" si="11"/>
        <v>2013</v>
      </c>
      <c r="U22" s="78">
        <f t="shared" si="12"/>
        <v>6188.9945608061707</v>
      </c>
      <c r="V22" s="75">
        <f t="shared" si="12"/>
        <v>0.47333156764158518</v>
      </c>
      <c r="W22" s="76">
        <f t="shared" si="13"/>
        <v>6042.450593372836</v>
      </c>
      <c r="X22" s="75">
        <f t="shared" si="14"/>
        <v>0.46212394980444776</v>
      </c>
      <c r="Y22" s="74">
        <f t="shared" si="27"/>
        <v>6115.7225770895038</v>
      </c>
      <c r="Z22" s="77">
        <f t="shared" si="15"/>
        <v>0.46772775872301653</v>
      </c>
      <c r="AB22" s="73">
        <v>2013</v>
      </c>
      <c r="AC22" s="74">
        <f t="shared" si="16"/>
        <v>6115.7225770895038</v>
      </c>
      <c r="AD22" s="76">
        <f t="shared" si="17"/>
        <v>6959.6668199104952</v>
      </c>
      <c r="AE22" s="79">
        <f t="shared" si="18"/>
        <v>0.53227224127698347</v>
      </c>
      <c r="AF22" s="80">
        <f t="shared" si="19"/>
        <v>0.42757183944374982</v>
      </c>
      <c r="AH22" s="81">
        <v>2013</v>
      </c>
      <c r="AI22" s="74">
        <f t="shared" si="20"/>
        <v>6188.9945608061707</v>
      </c>
      <c r="AJ22" s="82">
        <f t="shared" si="21"/>
        <v>0.47333156764158518</v>
      </c>
      <c r="AK22" s="74">
        <v>2292.799</v>
      </c>
      <c r="AL22" s="74">
        <v>33614.595999999998</v>
      </c>
      <c r="AM22" s="74">
        <v>11096.188</v>
      </c>
      <c r="AN22" s="86">
        <f t="shared" si="22"/>
        <v>6042.450593372836</v>
      </c>
      <c r="AQ22" s="83"/>
      <c r="AR22" s="84"/>
      <c r="AS22" s="84"/>
      <c r="AW22" s="5"/>
      <c r="AX22" s="85"/>
      <c r="AY22" s="84"/>
    </row>
    <row r="23" spans="1:51">
      <c r="A23" s="69">
        <v>2014</v>
      </c>
      <c r="B23" s="70">
        <f t="shared" si="23"/>
        <v>16741.00498563769</v>
      </c>
      <c r="C23" s="70">
        <f t="shared" si="24"/>
        <v>865.89917847567983</v>
      </c>
      <c r="D23" s="70">
        <f t="shared" si="25"/>
        <v>15875.10580716201</v>
      </c>
      <c r="E23" s="70">
        <f t="shared" si="26"/>
        <v>4598.6767866717737</v>
      </c>
      <c r="F23" s="70">
        <f t="shared" si="0"/>
        <v>94.057775756415168</v>
      </c>
      <c r="G23" s="71">
        <f t="shared" si="1"/>
        <v>3518.4990176177707</v>
      </c>
      <c r="H23" s="72">
        <f t="shared" si="2"/>
        <v>7663.8722271160486</v>
      </c>
      <c r="J23" s="73">
        <v>2014</v>
      </c>
      <c r="K23" s="74">
        <f t="shared" si="3"/>
        <v>15875.10580716201</v>
      </c>
      <c r="L23" s="75">
        <f t="shared" si="4"/>
        <v>0.28967849679446506</v>
      </c>
      <c r="M23" s="70">
        <f t="shared" si="5"/>
        <v>2607.4836355802377</v>
      </c>
      <c r="N23" s="76">
        <f t="shared" si="6"/>
        <v>13267.622171581772</v>
      </c>
      <c r="O23" s="75">
        <f t="shared" si="7"/>
        <v>0.34660896483182846</v>
      </c>
      <c r="P23" s="74">
        <f t="shared" si="8"/>
        <v>3518.4990176177707</v>
      </c>
      <c r="Q23" s="74">
        <f t="shared" si="9"/>
        <v>9749.1231539640012</v>
      </c>
      <c r="R23" s="77">
        <f t="shared" si="10"/>
        <v>0.47170157911093247</v>
      </c>
      <c r="T23" s="73">
        <f t="shared" si="11"/>
        <v>2014</v>
      </c>
      <c r="U23" s="78">
        <f t="shared" si="12"/>
        <v>6258.3583293823413</v>
      </c>
      <c r="V23" s="75">
        <f t="shared" si="12"/>
        <v>0.47170157911093252</v>
      </c>
      <c r="W23" s="76">
        <f t="shared" si="13"/>
        <v>6117.951477316582</v>
      </c>
      <c r="X23" s="75">
        <f t="shared" si="14"/>
        <v>0.46111891024608498</v>
      </c>
      <c r="Y23" s="74">
        <f t="shared" si="27"/>
        <v>6188.1549033494612</v>
      </c>
      <c r="Z23" s="77">
        <f t="shared" si="15"/>
        <v>0.46641024467850872</v>
      </c>
      <c r="AB23" s="73">
        <v>2014</v>
      </c>
      <c r="AC23" s="74">
        <f t="shared" si="16"/>
        <v>6188.1549033494612</v>
      </c>
      <c r="AD23" s="76">
        <f t="shared" si="17"/>
        <v>7079.4672682323107</v>
      </c>
      <c r="AE23" s="79">
        <f t="shared" si="18"/>
        <v>0.53358975532149133</v>
      </c>
      <c r="AF23" s="80">
        <f t="shared" si="19"/>
        <v>0.42288185651374399</v>
      </c>
      <c r="AH23" s="81">
        <v>2014</v>
      </c>
      <c r="AI23" s="74">
        <f t="shared" si="20"/>
        <v>6258.3583293823413</v>
      </c>
      <c r="AJ23" s="82">
        <f t="shared" si="21"/>
        <v>0.47170157911093252</v>
      </c>
      <c r="AK23" s="74">
        <v>2072.6089999999999</v>
      </c>
      <c r="AL23" s="74">
        <v>33836.47</v>
      </c>
      <c r="AM23" s="74">
        <v>11178.627</v>
      </c>
      <c r="AN23" s="86">
        <f t="shared" si="22"/>
        <v>6117.951477316582</v>
      </c>
      <c r="AQ23" s="83"/>
      <c r="AR23" s="84"/>
      <c r="AS23" s="84"/>
      <c r="AW23" s="5"/>
      <c r="AX23" s="85"/>
      <c r="AY23" s="84"/>
    </row>
    <row r="24" spans="1:51">
      <c r="A24" s="69">
        <v>2015</v>
      </c>
      <c r="B24" s="70">
        <f t="shared" si="23"/>
        <v>17292.305858418451</v>
      </c>
      <c r="C24" s="70">
        <f t="shared" si="24"/>
        <v>999.14819694416258</v>
      </c>
      <c r="D24" s="70">
        <f t="shared" si="25"/>
        <v>16293.157661474288</v>
      </c>
      <c r="E24" s="70">
        <f t="shared" si="26"/>
        <v>4729.8198089403268</v>
      </c>
      <c r="F24" s="70">
        <f t="shared" si="0"/>
        <v>100.87348069384829</v>
      </c>
      <c r="G24" s="71">
        <f t="shared" si="1"/>
        <v>3687.3394865969585</v>
      </c>
      <c r="H24" s="72">
        <f t="shared" si="2"/>
        <v>7775.1248852431545</v>
      </c>
      <c r="J24" s="73">
        <v>2015</v>
      </c>
      <c r="K24" s="74">
        <f t="shared" si="3"/>
        <v>16293.157661474288</v>
      </c>
      <c r="L24" s="75">
        <f t="shared" si="4"/>
        <v>0.29029485304276792</v>
      </c>
      <c r="M24" s="70">
        <f t="shared" si="5"/>
        <v>2831.0293339913037</v>
      </c>
      <c r="N24" s="76">
        <f t="shared" si="6"/>
        <v>13462.128327482984</v>
      </c>
      <c r="O24" s="75">
        <f t="shared" si="7"/>
        <v>0.35134264760233958</v>
      </c>
      <c r="P24" s="74">
        <f t="shared" si="8"/>
        <v>3687.3394865969585</v>
      </c>
      <c r="Q24" s="74">
        <f t="shared" si="9"/>
        <v>9774.7888408860254</v>
      </c>
      <c r="R24" s="77">
        <f t="shared" si="10"/>
        <v>0.48387948690578542</v>
      </c>
      <c r="T24" s="73">
        <f t="shared" si="11"/>
        <v>2015</v>
      </c>
      <c r="U24" s="78">
        <f t="shared" si="12"/>
        <v>6514.0477477623053</v>
      </c>
      <c r="V24" s="75">
        <f t="shared" si="12"/>
        <v>0.48387948690578542</v>
      </c>
      <c r="W24" s="76">
        <f t="shared" si="13"/>
        <v>6267.4473583210956</v>
      </c>
      <c r="X24" s="75">
        <f t="shared" si="14"/>
        <v>0.4655614035060176</v>
      </c>
      <c r="Y24" s="74">
        <f t="shared" si="27"/>
        <v>6390.7475530417005</v>
      </c>
      <c r="Z24" s="77">
        <f t="shared" si="15"/>
        <v>0.47472044520590151</v>
      </c>
      <c r="AB24" s="73">
        <v>2015</v>
      </c>
      <c r="AC24" s="74">
        <f t="shared" si="16"/>
        <v>6390.7475530417005</v>
      </c>
      <c r="AD24" s="76">
        <f t="shared" si="17"/>
        <v>7071.3807744412834</v>
      </c>
      <c r="AE24" s="79">
        <f t="shared" si="18"/>
        <v>0.52527955479409849</v>
      </c>
      <c r="AF24" s="80">
        <f t="shared" si="19"/>
        <v>0.40893220559123455</v>
      </c>
      <c r="AH24" s="81">
        <v>2015</v>
      </c>
      <c r="AI24" s="74">
        <f t="shared" si="20"/>
        <v>6514.0477477623053</v>
      </c>
      <c r="AJ24" s="82">
        <f t="shared" si="21"/>
        <v>0.48387948690578542</v>
      </c>
      <c r="AK24" s="74">
        <v>2266.8429999999998</v>
      </c>
      <c r="AL24" s="74">
        <v>35143.285000000003</v>
      </c>
      <c r="AM24" s="74">
        <v>11424.808000000001</v>
      </c>
      <c r="AN24" s="86">
        <f t="shared" si="22"/>
        <v>6267.4473583210956</v>
      </c>
      <c r="AQ24" s="83"/>
      <c r="AR24" s="84"/>
      <c r="AS24" s="84"/>
      <c r="AW24" s="5"/>
      <c r="AX24" s="85"/>
      <c r="AY24" s="84"/>
    </row>
    <row r="25" spans="1:51">
      <c r="A25" s="69">
        <v>2016</v>
      </c>
      <c r="B25" s="70">
        <f t="shared" si="23"/>
        <v>17747.204989375863</v>
      </c>
      <c r="C25" s="70">
        <f t="shared" si="24"/>
        <v>1109.4656016081676</v>
      </c>
      <c r="D25" s="70">
        <f t="shared" si="25"/>
        <v>16637.739387767695</v>
      </c>
      <c r="E25" s="70">
        <f t="shared" si="26"/>
        <v>4717.5476349176952</v>
      </c>
      <c r="F25" s="70">
        <f t="shared" si="0"/>
        <v>100.81838901085337</v>
      </c>
      <c r="G25" s="71">
        <f t="shared" si="1"/>
        <v>3740.7281667416087</v>
      </c>
      <c r="H25" s="72">
        <f t="shared" si="2"/>
        <v>8078.6451970975377</v>
      </c>
      <c r="J25" s="73">
        <v>2016</v>
      </c>
      <c r="K25" s="74">
        <f t="shared" si="3"/>
        <v>16637.739387767695</v>
      </c>
      <c r="L25" s="75">
        <f t="shared" si="4"/>
        <v>0.28354498919403098</v>
      </c>
      <c r="M25" s="70">
        <f t="shared" si="5"/>
        <v>3019.2188016328546</v>
      </c>
      <c r="N25" s="76">
        <f t="shared" si="6"/>
        <v>13618.52058613484</v>
      </c>
      <c r="O25" s="75">
        <f t="shared" si="7"/>
        <v>0.34640676313407204</v>
      </c>
      <c r="P25" s="74">
        <f t="shared" si="8"/>
        <v>3740.7281667416087</v>
      </c>
      <c r="Q25" s="74">
        <f t="shared" si="9"/>
        <v>9877.7924193932322</v>
      </c>
      <c r="R25" s="77">
        <f t="shared" si="10"/>
        <v>0.47759129111233967</v>
      </c>
      <c r="T25" s="73">
        <f t="shared" si="11"/>
        <v>2016</v>
      </c>
      <c r="U25" s="78">
        <f t="shared" si="12"/>
        <v>6504.0868297721154</v>
      </c>
      <c r="V25" s="75">
        <f t="shared" si="12"/>
        <v>0.47759129111233967</v>
      </c>
      <c r="W25" s="76">
        <f t="shared" si="13"/>
        <v>6249.980689984176</v>
      </c>
      <c r="X25" s="75">
        <f t="shared" si="14"/>
        <v>0.45893242591617089</v>
      </c>
      <c r="Y25" s="74">
        <f t="shared" si="27"/>
        <v>6377.0337598781462</v>
      </c>
      <c r="Z25" s="77">
        <f t="shared" si="15"/>
        <v>0.46826185851425534</v>
      </c>
      <c r="AB25" s="73">
        <v>2016</v>
      </c>
      <c r="AC25" s="74">
        <f t="shared" si="16"/>
        <v>6377.0337598781462</v>
      </c>
      <c r="AD25" s="76">
        <f t="shared" si="17"/>
        <v>7241.4868262566943</v>
      </c>
      <c r="AE25" s="79">
        <f t="shared" si="18"/>
        <v>0.53173814148574472</v>
      </c>
      <c r="AF25" s="80">
        <f t="shared" si="19"/>
        <v>0.40803534024606791</v>
      </c>
      <c r="AH25" s="81">
        <v>2016</v>
      </c>
      <c r="AI25" s="74">
        <f t="shared" si="20"/>
        <v>6504.0868297721154</v>
      </c>
      <c r="AJ25" s="82">
        <f t="shared" si="21"/>
        <v>0.47759129111233967</v>
      </c>
      <c r="AK25" s="74">
        <v>2329.2779999999998</v>
      </c>
      <c r="AL25" s="74">
        <v>35665.624000000003</v>
      </c>
      <c r="AM25" s="74">
        <v>11585.507</v>
      </c>
      <c r="AN25" s="86">
        <f t="shared" si="22"/>
        <v>6249.980689984176</v>
      </c>
      <c r="AQ25" s="83"/>
      <c r="AR25" s="84"/>
      <c r="AS25" s="84"/>
      <c r="AW25" s="5"/>
      <c r="AX25" s="85"/>
      <c r="AY25" s="84"/>
    </row>
    <row r="26" spans="1:51">
      <c r="A26" s="69">
        <v>2017</v>
      </c>
      <c r="B26" s="70">
        <f t="shared" si="23"/>
        <v>18122.318994662659</v>
      </c>
      <c r="C26" s="70">
        <f t="shared" si="24"/>
        <v>1001.4573392600427</v>
      </c>
      <c r="D26" s="70">
        <f t="shared" si="25"/>
        <v>17120.861655402616</v>
      </c>
      <c r="E26" s="70">
        <f t="shared" si="26"/>
        <v>4708.1659252771951</v>
      </c>
      <c r="F26" s="70">
        <f t="shared" si="0"/>
        <v>102.19043409289949</v>
      </c>
      <c r="G26" s="71">
        <f t="shared" si="1"/>
        <v>3776.1745055108477</v>
      </c>
      <c r="H26" s="72">
        <f t="shared" si="2"/>
        <v>8534.3307905216698</v>
      </c>
      <c r="J26" s="73">
        <v>2017</v>
      </c>
      <c r="K26" s="74">
        <f t="shared" si="3"/>
        <v>17120.861655402616</v>
      </c>
      <c r="L26" s="75">
        <f t="shared" si="4"/>
        <v>0.27499585126263187</v>
      </c>
      <c r="M26" s="70">
        <f t="shared" si="5"/>
        <v>3114.1069765520433</v>
      </c>
      <c r="N26" s="76">
        <f t="shared" si="6"/>
        <v>14006.754678850572</v>
      </c>
      <c r="O26" s="75">
        <f t="shared" si="7"/>
        <v>0.3361353884769801</v>
      </c>
      <c r="P26" s="74">
        <f t="shared" si="8"/>
        <v>3776.1745055108477</v>
      </c>
      <c r="Q26" s="74">
        <f t="shared" si="9"/>
        <v>10230.580173339724</v>
      </c>
      <c r="R26" s="77">
        <f t="shared" si="10"/>
        <v>0.46020517365636721</v>
      </c>
      <c r="T26" s="73">
        <f t="shared" si="11"/>
        <v>2017</v>
      </c>
      <c r="U26" s="78">
        <f t="shared" si="12"/>
        <v>6445.9809693425614</v>
      </c>
      <c r="V26" s="75">
        <f t="shared" si="12"/>
        <v>0.46020517365636721</v>
      </c>
      <c r="W26" s="76">
        <f t="shared" si="13"/>
        <v>6227.9283177664211</v>
      </c>
      <c r="X26" s="75">
        <f t="shared" si="14"/>
        <v>0.44463749530576485</v>
      </c>
      <c r="Y26" s="74">
        <f t="shared" si="27"/>
        <v>6336.9546435544908</v>
      </c>
      <c r="Z26" s="77">
        <f t="shared" si="15"/>
        <v>0.45242133448106603</v>
      </c>
      <c r="AB26" s="73">
        <v>2017</v>
      </c>
      <c r="AC26" s="74">
        <f t="shared" si="16"/>
        <v>6336.9546435544908</v>
      </c>
      <c r="AD26" s="76">
        <f t="shared" si="17"/>
        <v>7669.8000352960808</v>
      </c>
      <c r="AE26" s="79">
        <f t="shared" si="18"/>
        <v>0.54757866551893397</v>
      </c>
      <c r="AF26" s="80">
        <f t="shared" si="19"/>
        <v>0.42322398350646911</v>
      </c>
      <c r="AH26" s="81">
        <v>2017</v>
      </c>
      <c r="AI26" s="74">
        <f t="shared" si="20"/>
        <v>6445.9809693425614</v>
      </c>
      <c r="AJ26" s="82">
        <f t="shared" si="21"/>
        <v>0.46020517365636721</v>
      </c>
      <c r="AK26" s="74">
        <v>2422.078</v>
      </c>
      <c r="AL26" s="74">
        <v>36212.165999999997</v>
      </c>
      <c r="AM26" s="74">
        <v>11689.029</v>
      </c>
      <c r="AN26" s="86">
        <f t="shared" si="22"/>
        <v>6227.9283177664211</v>
      </c>
      <c r="AQ26" s="83"/>
      <c r="AR26" s="84"/>
      <c r="AS26" s="84"/>
      <c r="AW26" s="5"/>
      <c r="AX26" s="85"/>
      <c r="AY26" s="84"/>
    </row>
    <row r="27" spans="1:51">
      <c r="A27" s="69">
        <v>2018</v>
      </c>
      <c r="B27" s="70">
        <f t="shared" si="23"/>
        <v>18520.079501027387</v>
      </c>
      <c r="C27" s="70">
        <f t="shared" si="24"/>
        <v>1025.9722589178166</v>
      </c>
      <c r="D27" s="70">
        <f t="shared" si="25"/>
        <v>17494.107242109571</v>
      </c>
      <c r="E27" s="70">
        <f t="shared" si="26"/>
        <v>4827.724325111596</v>
      </c>
      <c r="F27" s="70">
        <f t="shared" si="0"/>
        <v>102.88521740499601</v>
      </c>
      <c r="G27" s="71">
        <f t="shared" si="1"/>
        <v>3878.613676478692</v>
      </c>
      <c r="H27" s="72">
        <f t="shared" si="2"/>
        <v>8684.8840231142876</v>
      </c>
      <c r="J27" s="73">
        <v>2018</v>
      </c>
      <c r="K27" s="74">
        <f t="shared" si="3"/>
        <v>17494.107242109571</v>
      </c>
      <c r="L27" s="75">
        <f t="shared" si="4"/>
        <v>0.27596288614779479</v>
      </c>
      <c r="M27" s="70">
        <f t="shared" si="5"/>
        <v>3222.8440753891091</v>
      </c>
      <c r="N27" s="76">
        <f t="shared" si="6"/>
        <v>14271.263166720462</v>
      </c>
      <c r="O27" s="75">
        <f t="shared" si="7"/>
        <v>0.33828290241115411</v>
      </c>
      <c r="P27" s="74">
        <f t="shared" si="8"/>
        <v>3878.613676478692</v>
      </c>
      <c r="Q27" s="74">
        <f t="shared" si="9"/>
        <v>10392.649490241771</v>
      </c>
      <c r="R27" s="77">
        <f t="shared" si="10"/>
        <v>0.46453258426973904</v>
      </c>
      <c r="T27" s="73">
        <f t="shared" si="11"/>
        <v>2018</v>
      </c>
      <c r="U27" s="78">
        <f t="shared" si="12"/>
        <v>6629.4667596301961</v>
      </c>
      <c r="V27" s="75">
        <f t="shared" si="12"/>
        <v>0.46453258426973904</v>
      </c>
      <c r="W27" s="76">
        <f t="shared" si="13"/>
        <v>6405.4531882005194</v>
      </c>
      <c r="X27" s="75">
        <f t="shared" si="14"/>
        <v>0.44883575569803563</v>
      </c>
      <c r="Y27" s="74">
        <f t="shared" si="27"/>
        <v>6517.4599739153582</v>
      </c>
      <c r="Z27" s="77">
        <f t="shared" si="15"/>
        <v>0.45668416998388733</v>
      </c>
      <c r="AB27" s="73">
        <v>2018</v>
      </c>
      <c r="AC27" s="74">
        <f t="shared" si="16"/>
        <v>6517.4599739153582</v>
      </c>
      <c r="AD27" s="76">
        <f t="shared" si="17"/>
        <v>7753.8031928051041</v>
      </c>
      <c r="AE27" s="79">
        <f t="shared" si="18"/>
        <v>0.54331583001611261</v>
      </c>
      <c r="AF27" s="80">
        <f t="shared" si="19"/>
        <v>0.4186700814310742</v>
      </c>
      <c r="AH27" s="81">
        <v>2018</v>
      </c>
      <c r="AI27" s="74">
        <f t="shared" si="20"/>
        <v>6629.4667596301961</v>
      </c>
      <c r="AJ27" s="82">
        <f t="shared" si="21"/>
        <v>0.46453258426973904</v>
      </c>
      <c r="AK27" s="74">
        <v>2661.3470000000002</v>
      </c>
      <c r="AL27" s="74">
        <v>36935.58</v>
      </c>
      <c r="AM27" s="74">
        <v>12070.766</v>
      </c>
      <c r="AN27" s="86">
        <f t="shared" si="22"/>
        <v>6405.4531882005194</v>
      </c>
      <c r="AQ27" s="83"/>
      <c r="AR27" s="84"/>
      <c r="AS27" s="84"/>
      <c r="AW27" s="5"/>
      <c r="AX27" s="85"/>
      <c r="AY27" s="84"/>
    </row>
    <row r="28" spans="1:51">
      <c r="A28" s="69">
        <v>2019</v>
      </c>
      <c r="B28" s="70">
        <f t="shared" si="23"/>
        <v>18486.850194293664</v>
      </c>
      <c r="C28" s="70">
        <f t="shared" si="24"/>
        <v>1080.8640942286465</v>
      </c>
      <c r="D28" s="70">
        <f t="shared" si="25"/>
        <v>17405.986100065016</v>
      </c>
      <c r="E28" s="70">
        <f t="shared" si="26"/>
        <v>4909.498665648578</v>
      </c>
      <c r="F28" s="70">
        <f t="shared" si="0"/>
        <v>107.41057577452862</v>
      </c>
      <c r="G28" s="71">
        <f t="shared" si="1"/>
        <v>3863.6223377232104</v>
      </c>
      <c r="H28" s="72">
        <f t="shared" si="2"/>
        <v>8525.4545209186981</v>
      </c>
      <c r="J28" s="73">
        <v>2019</v>
      </c>
      <c r="K28" s="74">
        <f t="shared" si="3"/>
        <v>17405.986100065016</v>
      </c>
      <c r="L28" s="75">
        <f t="shared" si="4"/>
        <v>0.28205805964824021</v>
      </c>
      <c r="M28" s="70">
        <f t="shared" si="5"/>
        <v>3233.5032591438976</v>
      </c>
      <c r="N28" s="76">
        <f t="shared" si="6"/>
        <v>14172.482840921119</v>
      </c>
      <c r="O28" s="75">
        <f t="shared" si="7"/>
        <v>0.34641062689968954</v>
      </c>
      <c r="P28" s="74">
        <f t="shared" si="8"/>
        <v>3863.6223377232104</v>
      </c>
      <c r="Q28" s="74">
        <f t="shared" si="9"/>
        <v>10308.860503197908</v>
      </c>
      <c r="R28" s="77">
        <f t="shared" si="10"/>
        <v>0.47624067316902818</v>
      </c>
      <c r="T28" s="73">
        <f t="shared" si="11"/>
        <v>2019</v>
      </c>
      <c r="U28" s="78">
        <f t="shared" si="12"/>
        <v>6749.5127686367741</v>
      </c>
      <c r="V28" s="75">
        <f t="shared" si="12"/>
        <v>0.47624067316902818</v>
      </c>
      <c r="W28" s="76">
        <f t="shared" si="13"/>
        <v>6517.3102312049441</v>
      </c>
      <c r="X28" s="75">
        <f t="shared" si="14"/>
        <v>0.45985663234582275</v>
      </c>
      <c r="Y28" s="74">
        <f t="shared" si="27"/>
        <v>6633.4114999208596</v>
      </c>
      <c r="Z28" s="77">
        <f t="shared" si="15"/>
        <v>0.46804865275742547</v>
      </c>
      <c r="AB28" s="73">
        <v>2019</v>
      </c>
      <c r="AC28" s="74">
        <f t="shared" si="16"/>
        <v>6633.4114999208596</v>
      </c>
      <c r="AD28" s="76">
        <f t="shared" si="17"/>
        <v>7539.0713410002591</v>
      </c>
      <c r="AE28" s="79">
        <f t="shared" si="18"/>
        <v>0.53195134724257453</v>
      </c>
      <c r="AF28" s="80">
        <f t="shared" si="19"/>
        <v>0.40780723929527724</v>
      </c>
      <c r="AH28" s="81">
        <v>2019</v>
      </c>
      <c r="AI28" s="74">
        <f t="shared" si="20"/>
        <v>6749.5127686367741</v>
      </c>
      <c r="AJ28" s="82">
        <f t="shared" si="21"/>
        <v>0.47624067316902818</v>
      </c>
      <c r="AK28" s="74">
        <v>2667.03</v>
      </c>
      <c r="AL28" s="74">
        <v>37798.373</v>
      </c>
      <c r="AM28" s="74">
        <v>12378.588</v>
      </c>
      <c r="AN28" s="86">
        <f t="shared" si="22"/>
        <v>6517.3102312049441</v>
      </c>
      <c r="AQ28" s="83"/>
      <c r="AR28" s="84"/>
      <c r="AS28" s="84"/>
      <c r="AW28" s="5"/>
      <c r="AX28" s="85"/>
      <c r="AY28" s="84"/>
    </row>
    <row r="29" spans="1:51">
      <c r="A29" s="69">
        <v>2020</v>
      </c>
      <c r="B29" s="70">
        <f t="shared" si="23"/>
        <v>17159.654006082957</v>
      </c>
      <c r="C29" s="70">
        <f t="shared" si="24"/>
        <v>1082.4055738403445</v>
      </c>
      <c r="D29" s="70">
        <f t="shared" si="25"/>
        <v>16077.248432242613</v>
      </c>
      <c r="E29" s="70">
        <f t="shared" si="26"/>
        <v>4874.5058272969045</v>
      </c>
      <c r="F29" s="70">
        <f t="shared" si="0"/>
        <v>105.32828354809797</v>
      </c>
      <c r="G29" s="71">
        <f t="shared" si="1"/>
        <v>3443.5928532596713</v>
      </c>
      <c r="H29" s="72">
        <f t="shared" si="2"/>
        <v>7653.8214681379395</v>
      </c>
      <c r="J29" s="73">
        <v>2020</v>
      </c>
      <c r="K29" s="74">
        <f t="shared" si="3"/>
        <v>16077.248432242613</v>
      </c>
      <c r="L29" s="75">
        <f t="shared" si="4"/>
        <v>0.30319279121924725</v>
      </c>
      <c r="M29" s="70">
        <f t="shared" si="5"/>
        <v>3384.7222659751096</v>
      </c>
      <c r="N29" s="76">
        <f t="shared" si="6"/>
        <v>12692.526166267504</v>
      </c>
      <c r="O29" s="75">
        <f t="shared" si="7"/>
        <v>0.38404536366068037</v>
      </c>
      <c r="P29" s="74">
        <f t="shared" si="8"/>
        <v>3443.5928532596713</v>
      </c>
      <c r="Q29" s="74">
        <f t="shared" si="9"/>
        <v>9248.9333130078321</v>
      </c>
      <c r="R29" s="77">
        <f t="shared" si="10"/>
        <v>0.52703437924472107</v>
      </c>
      <c r="T29" s="73">
        <f t="shared" si="11"/>
        <v>2020</v>
      </c>
      <c r="U29" s="78">
        <f t="shared" si="12"/>
        <v>6689.3976490861733</v>
      </c>
      <c r="V29" s="75">
        <f t="shared" si="12"/>
        <v>0.52703437924472107</v>
      </c>
      <c r="W29" s="76">
        <f t="shared" si="13"/>
        <v>6493.6035455893725</v>
      </c>
      <c r="X29" s="75">
        <f t="shared" si="14"/>
        <v>0.51160844267922034</v>
      </c>
      <c r="Y29" s="74">
        <f t="shared" si="27"/>
        <v>6591.5005973377729</v>
      </c>
      <c r="Z29" s="77">
        <f t="shared" si="15"/>
        <v>0.51932141096197071</v>
      </c>
      <c r="AB29" s="73">
        <v>2020</v>
      </c>
      <c r="AC29" s="74">
        <f t="shared" si="16"/>
        <v>6591.5005973377729</v>
      </c>
      <c r="AD29" s="76">
        <f t="shared" si="17"/>
        <v>6101.025568929731</v>
      </c>
      <c r="AE29" s="79">
        <f t="shared" si="18"/>
        <v>0.48067858903802929</v>
      </c>
      <c r="AF29" s="80">
        <f t="shared" si="19"/>
        <v>0.35554478935105377</v>
      </c>
      <c r="AH29" s="81">
        <v>2020</v>
      </c>
      <c r="AI29" s="74">
        <f t="shared" si="20"/>
        <v>6689.3976490861733</v>
      </c>
      <c r="AJ29" s="82">
        <f t="shared" si="21"/>
        <v>0.52703437924472107</v>
      </c>
      <c r="AK29" s="74">
        <v>2427.3130000000001</v>
      </c>
      <c r="AL29" s="74">
        <v>36585.968000000001</v>
      </c>
      <c r="AM29" s="74">
        <v>12152.259</v>
      </c>
      <c r="AN29" s="86">
        <f t="shared" si="22"/>
        <v>6493.6035455893725</v>
      </c>
      <c r="AQ29" s="83"/>
      <c r="AR29" s="84"/>
      <c r="AS29" s="84"/>
      <c r="AW29" s="5"/>
      <c r="AX29" s="85"/>
      <c r="AY29" s="84"/>
    </row>
    <row r="30" spans="1:51" ht="17.100000000000001" thickBot="1">
      <c r="A30" s="87"/>
      <c r="B30" s="88"/>
      <c r="C30" s="88"/>
      <c r="D30" s="88"/>
      <c r="E30" s="88"/>
      <c r="F30" s="88"/>
      <c r="G30" s="89"/>
      <c r="H30" s="90"/>
      <c r="J30" s="91"/>
      <c r="K30" s="89"/>
      <c r="L30" s="89"/>
      <c r="M30" s="89"/>
      <c r="N30" s="89"/>
      <c r="O30" s="89"/>
      <c r="P30" s="89"/>
      <c r="Q30" s="89"/>
      <c r="R30" s="92"/>
      <c r="T30" s="91"/>
      <c r="U30" s="89"/>
      <c r="V30" s="89"/>
      <c r="W30" s="89"/>
      <c r="X30" s="89"/>
      <c r="Y30" s="93"/>
      <c r="Z30" s="92"/>
      <c r="AB30" s="91"/>
      <c r="AC30" s="89"/>
      <c r="AD30" s="89"/>
      <c r="AE30" s="89"/>
      <c r="AF30" s="92"/>
      <c r="AH30" s="91"/>
      <c r="AI30" s="89"/>
      <c r="AJ30" s="89"/>
      <c r="AK30" s="89"/>
      <c r="AL30" s="89"/>
      <c r="AM30" s="89"/>
      <c r="AN30" s="92"/>
    </row>
    <row r="31" spans="1:51" ht="17.100000000000001" thickTop="1">
      <c r="A31" s="94"/>
      <c r="B31" s="95"/>
      <c r="C31" s="95"/>
      <c r="D31" s="95"/>
      <c r="E31" s="95"/>
      <c r="F31" s="95"/>
      <c r="G31" s="96"/>
      <c r="H31" s="96"/>
      <c r="I31" s="96"/>
    </row>
    <row r="32" spans="1:51" ht="17.100000000000001" thickBot="1">
      <c r="A32" s="94"/>
      <c r="B32" s="97"/>
      <c r="C32" s="95"/>
      <c r="D32" s="95"/>
      <c r="E32" s="95"/>
      <c r="F32" s="95"/>
      <c r="G32" s="96"/>
      <c r="H32" s="96"/>
      <c r="I32" s="96"/>
    </row>
    <row r="33" spans="1:62" ht="116.45" customHeight="1" thickTop="1" thickBot="1">
      <c r="A33" s="6" t="s">
        <v>23</v>
      </c>
      <c r="B33" s="98" t="s">
        <v>121</v>
      </c>
      <c r="C33" s="98" t="s">
        <v>122</v>
      </c>
      <c r="D33" s="98" t="s">
        <v>123</v>
      </c>
      <c r="E33" s="98" t="s">
        <v>124</v>
      </c>
      <c r="F33" s="98" t="s">
        <v>125</v>
      </c>
      <c r="G33" s="96"/>
      <c r="H33" s="6" t="s">
        <v>23</v>
      </c>
      <c r="I33" s="99" t="s">
        <v>126</v>
      </c>
      <c r="J33" s="99" t="s">
        <v>127</v>
      </c>
      <c r="K33" s="99" t="s">
        <v>128</v>
      </c>
      <c r="L33" s="99" t="s">
        <v>129</v>
      </c>
      <c r="M33" s="99" t="s">
        <v>130</v>
      </c>
      <c r="N33" s="99" t="s">
        <v>126</v>
      </c>
      <c r="O33" s="99" t="s">
        <v>127</v>
      </c>
      <c r="P33" s="99" t="s">
        <v>131</v>
      </c>
      <c r="Q33" s="99" t="s">
        <v>124</v>
      </c>
      <c r="R33" s="99" t="s">
        <v>132</v>
      </c>
      <c r="S33" s="100" t="s">
        <v>133</v>
      </c>
      <c r="U33" s="6" t="s">
        <v>23</v>
      </c>
      <c r="V33" s="99" t="s">
        <v>134</v>
      </c>
      <c r="W33" s="99" t="s">
        <v>135</v>
      </c>
      <c r="X33" s="99" t="s">
        <v>136</v>
      </c>
      <c r="Y33" s="99" t="s">
        <v>137</v>
      </c>
      <c r="Z33" s="99" t="s">
        <v>138</v>
      </c>
      <c r="AA33" s="99" t="s">
        <v>139</v>
      </c>
      <c r="AB33" s="99" t="s">
        <v>140</v>
      </c>
      <c r="AC33" s="99" t="s">
        <v>141</v>
      </c>
      <c r="AD33" s="99" t="s">
        <v>142</v>
      </c>
      <c r="AE33" s="99" t="s">
        <v>143</v>
      </c>
      <c r="AH33" s="6" t="s">
        <v>23</v>
      </c>
      <c r="AI33" s="101" t="s">
        <v>144</v>
      </c>
      <c r="AJ33" s="101" t="s">
        <v>145</v>
      </c>
      <c r="AK33" s="101" t="s">
        <v>146</v>
      </c>
      <c r="AL33" s="101" t="s">
        <v>147</v>
      </c>
      <c r="AM33" s="101" t="s">
        <v>148</v>
      </c>
      <c r="AN33" s="101" t="s">
        <v>149</v>
      </c>
      <c r="AO33" s="101" t="s">
        <v>150</v>
      </c>
      <c r="AP33" s="101" t="s">
        <v>151</v>
      </c>
      <c r="AR33" s="6" t="s">
        <v>23</v>
      </c>
      <c r="AS33" s="7" t="s">
        <v>32</v>
      </c>
      <c r="AT33" s="99" t="s">
        <v>125</v>
      </c>
      <c r="AU33" s="102" t="s">
        <v>152</v>
      </c>
      <c r="AV33" s="99" t="s">
        <v>153</v>
      </c>
      <c r="AW33" s="99" t="s">
        <v>154</v>
      </c>
      <c r="AX33" s="99" t="s">
        <v>155</v>
      </c>
      <c r="AY33" s="99" t="s">
        <v>156</v>
      </c>
      <c r="AZ33" s="102" t="s">
        <v>157</v>
      </c>
      <c r="BA33" s="102" t="s">
        <v>158</v>
      </c>
      <c r="BC33" s="6" t="s">
        <v>23</v>
      </c>
      <c r="BD33" s="103" t="s">
        <v>125</v>
      </c>
      <c r="BE33" s="103" t="s">
        <v>159</v>
      </c>
      <c r="BF33" s="103" t="s">
        <v>160</v>
      </c>
    </row>
    <row r="34" spans="1:62">
      <c r="A34" s="94"/>
      <c r="B34" s="95"/>
      <c r="C34" s="95"/>
      <c r="D34" s="95"/>
      <c r="E34" s="95"/>
      <c r="F34" s="95"/>
      <c r="G34" s="96"/>
      <c r="H34" s="96"/>
      <c r="I34" s="96"/>
      <c r="AU34" s="11"/>
    </row>
    <row r="35" spans="1:62">
      <c r="A35" s="94" t="s">
        <v>161</v>
      </c>
      <c r="B35" s="104">
        <v>3.9628664296959902E-2</v>
      </c>
      <c r="C35" s="97"/>
      <c r="D35" s="95"/>
      <c r="E35" s="95"/>
      <c r="F35" s="95"/>
      <c r="G35" s="96"/>
      <c r="H35" s="96"/>
      <c r="I35" s="96"/>
      <c r="AU35" s="11"/>
    </row>
    <row r="36" spans="1:62" ht="17.100000000000001" thickBot="1">
      <c r="A36" s="105" t="s">
        <v>162</v>
      </c>
      <c r="B36" s="11"/>
      <c r="C36" s="11"/>
      <c r="D36" s="11"/>
      <c r="E36" s="11"/>
      <c r="F36" s="11"/>
      <c r="G36" s="11"/>
      <c r="H36" s="105" t="s">
        <v>163</v>
      </c>
      <c r="I36" s="11"/>
      <c r="J36" s="11"/>
      <c r="K36" s="11"/>
      <c r="L36" s="11"/>
      <c r="N36" s="11"/>
      <c r="O36" s="11"/>
      <c r="P36" s="11"/>
      <c r="Q36" s="11"/>
      <c r="R36" s="11"/>
      <c r="S36" s="106"/>
      <c r="U36" s="105" t="s">
        <v>164</v>
      </c>
      <c r="V36" s="11"/>
      <c r="X36" s="11"/>
      <c r="Y36" s="11"/>
      <c r="Z36" s="11"/>
      <c r="AA36" s="11"/>
      <c r="AB36" s="11"/>
      <c r="AC36" s="11"/>
      <c r="AD36" s="11"/>
      <c r="AE36" s="11"/>
      <c r="AH36" s="105" t="s">
        <v>165</v>
      </c>
      <c r="AJ36" s="11"/>
      <c r="AK36" s="11"/>
      <c r="AL36" s="11"/>
      <c r="AM36" s="11"/>
      <c r="AN36" s="11"/>
      <c r="AO36" s="11"/>
      <c r="AP36" s="11"/>
      <c r="AR36" s="105" t="s">
        <v>166</v>
      </c>
      <c r="AS36" s="11"/>
      <c r="AT36" s="11"/>
      <c r="AU36" s="11"/>
      <c r="AV36" s="11"/>
      <c r="AW36" s="11"/>
      <c r="BA36" s="105"/>
      <c r="BC36" s="105" t="s">
        <v>167</v>
      </c>
      <c r="BD36" s="11"/>
    </row>
    <row r="37" spans="1:62" ht="18" thickTop="1" thickBot="1">
      <c r="A37" s="107" t="s">
        <v>168</v>
      </c>
      <c r="B37" s="108"/>
      <c r="C37" s="108"/>
      <c r="D37" s="109"/>
      <c r="E37" s="109"/>
      <c r="F37" s="110"/>
      <c r="H37" s="22" t="s">
        <v>169</v>
      </c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7"/>
      <c r="U37" s="22" t="s">
        <v>170</v>
      </c>
      <c r="V37" s="16"/>
      <c r="W37" s="16"/>
      <c r="X37" s="16"/>
      <c r="Y37" s="16"/>
      <c r="Z37" s="16"/>
      <c r="AA37" s="16" t="s">
        <v>171</v>
      </c>
      <c r="AB37" s="16"/>
      <c r="AC37" s="16"/>
      <c r="AD37" s="16"/>
      <c r="AE37" s="17"/>
      <c r="AH37" s="111"/>
      <c r="AI37" s="112"/>
      <c r="AJ37" s="112"/>
      <c r="AK37" s="112"/>
      <c r="AL37" s="112"/>
      <c r="AM37" s="112"/>
      <c r="AN37" s="112"/>
      <c r="AO37" s="112"/>
      <c r="AP37" s="113"/>
      <c r="AR37" s="22" t="s">
        <v>172</v>
      </c>
      <c r="AS37" s="16"/>
      <c r="AT37" s="16"/>
      <c r="AU37" s="16"/>
      <c r="AV37" s="16"/>
      <c r="AW37" s="16"/>
      <c r="AX37" s="16"/>
      <c r="AY37" s="16"/>
      <c r="AZ37" s="16"/>
      <c r="BA37" s="17"/>
      <c r="BC37" s="22" t="s">
        <v>173</v>
      </c>
      <c r="BD37" s="14"/>
      <c r="BE37" s="16"/>
      <c r="BF37" s="17"/>
    </row>
    <row r="38" spans="1:62" ht="17.100000000000001" thickBot="1">
      <c r="A38" s="114" t="s">
        <v>174</v>
      </c>
      <c r="B38" s="115"/>
      <c r="C38" s="115"/>
      <c r="D38" s="115"/>
      <c r="E38" s="115"/>
      <c r="F38" s="116"/>
      <c r="G38" s="117"/>
      <c r="H38" s="118"/>
      <c r="I38" s="119" t="s">
        <v>175</v>
      </c>
      <c r="J38" s="120"/>
      <c r="K38" s="121"/>
      <c r="L38" s="121"/>
      <c r="M38" s="121"/>
      <c r="N38" s="121" t="s">
        <v>176</v>
      </c>
      <c r="O38" s="121"/>
      <c r="P38" s="121"/>
      <c r="Q38" s="121"/>
      <c r="R38" s="121"/>
      <c r="S38" s="122"/>
      <c r="U38" s="123"/>
      <c r="V38" s="115"/>
      <c r="W38" s="115"/>
      <c r="X38" s="115"/>
      <c r="Y38" s="115"/>
      <c r="Z38" s="115"/>
      <c r="AA38" s="115" t="s">
        <v>177</v>
      </c>
      <c r="AB38" s="115"/>
      <c r="AC38" s="115" t="s">
        <v>177</v>
      </c>
      <c r="AD38" s="115"/>
      <c r="AE38" s="116"/>
      <c r="AH38" s="124"/>
      <c r="AI38" s="115"/>
      <c r="AJ38" s="115"/>
      <c r="AK38" s="115"/>
      <c r="AL38" s="115" t="s">
        <v>178</v>
      </c>
      <c r="AM38" s="115"/>
      <c r="AN38" s="115"/>
      <c r="AO38" s="115"/>
      <c r="AP38" s="116"/>
      <c r="AR38" s="125" t="s">
        <v>179</v>
      </c>
      <c r="AS38" s="126"/>
      <c r="AT38" s="126"/>
      <c r="AU38" s="105" t="s">
        <v>180</v>
      </c>
      <c r="AV38" s="126"/>
      <c r="AW38" s="11"/>
      <c r="AX38" s="11"/>
      <c r="AY38" s="11"/>
      <c r="AZ38" s="11"/>
      <c r="BA38" s="127"/>
      <c r="BC38" s="43"/>
      <c r="BD38" s="126" t="s">
        <v>181</v>
      </c>
      <c r="BF38" s="57"/>
    </row>
    <row r="39" spans="1:62" ht="17.100000000000001" thickBot="1">
      <c r="A39" s="114" t="s">
        <v>182</v>
      </c>
      <c r="B39" s="128">
        <f>B35</f>
        <v>3.9628664296959902E-2</v>
      </c>
      <c r="C39" s="128">
        <f>B39+3%</f>
        <v>6.9628664296959908E-2</v>
      </c>
      <c r="D39" s="115"/>
      <c r="E39" s="115" t="s">
        <v>177</v>
      </c>
      <c r="F39" s="116" t="s">
        <v>183</v>
      </c>
      <c r="G39" s="117"/>
      <c r="H39" s="36"/>
      <c r="I39" s="129" t="s">
        <v>184</v>
      </c>
      <c r="J39" s="130"/>
      <c r="K39" s="131"/>
      <c r="L39" s="131"/>
      <c r="M39" s="131"/>
      <c r="N39" s="132">
        <f>B39</f>
        <v>3.9628664296959902E-2</v>
      </c>
      <c r="O39" s="132">
        <f>C39</f>
        <v>6.9628664296959908E-2</v>
      </c>
      <c r="P39" s="133"/>
      <c r="Q39" s="131"/>
      <c r="R39" s="131"/>
      <c r="S39" s="134"/>
      <c r="U39" s="123"/>
      <c r="V39" s="115" t="s">
        <v>185</v>
      </c>
      <c r="W39" s="115" t="s">
        <v>185</v>
      </c>
      <c r="X39" s="115" t="s">
        <v>185</v>
      </c>
      <c r="Y39" s="115" t="s">
        <v>185</v>
      </c>
      <c r="Z39" s="115" t="s">
        <v>185</v>
      </c>
      <c r="AA39" s="135">
        <f>N39</f>
        <v>3.9628664296959902E-2</v>
      </c>
      <c r="AB39" s="135">
        <f>O39</f>
        <v>6.9628664296959908E-2</v>
      </c>
      <c r="AC39" s="135">
        <f>AA39</f>
        <v>3.9628664296959902E-2</v>
      </c>
      <c r="AD39" s="135">
        <f>AB39</f>
        <v>6.9628664296959908E-2</v>
      </c>
      <c r="AE39" s="116"/>
      <c r="AH39" s="124"/>
      <c r="AI39" s="115"/>
      <c r="AJ39" s="136"/>
      <c r="AK39" s="136"/>
      <c r="AL39" s="136"/>
      <c r="AM39" s="136"/>
      <c r="AN39" s="115"/>
      <c r="AO39" s="115"/>
      <c r="AP39" s="116"/>
      <c r="AR39" s="123"/>
      <c r="AS39" s="115"/>
      <c r="AT39" s="115"/>
      <c r="AU39" s="137"/>
      <c r="AV39" s="115" t="s">
        <v>185</v>
      </c>
      <c r="AW39" s="115" t="s">
        <v>185</v>
      </c>
      <c r="AX39" s="115" t="s">
        <v>185</v>
      </c>
      <c r="AY39" s="115" t="s">
        <v>185</v>
      </c>
      <c r="AZ39" s="138"/>
      <c r="BA39" s="139"/>
      <c r="BC39" s="81"/>
      <c r="BD39" s="115" t="s">
        <v>186</v>
      </c>
      <c r="BE39" s="140">
        <v>0.05</v>
      </c>
      <c r="BF39" s="141"/>
    </row>
    <row r="40" spans="1:62" ht="41.45" customHeight="1" thickBot="1">
      <c r="A40" s="123"/>
      <c r="B40" s="115" t="s">
        <v>187</v>
      </c>
      <c r="C40" s="115" t="s">
        <v>188</v>
      </c>
      <c r="D40" s="115" t="s">
        <v>189</v>
      </c>
      <c r="E40" s="115" t="s">
        <v>190</v>
      </c>
      <c r="F40" s="116" t="s">
        <v>191</v>
      </c>
      <c r="H40" s="46"/>
      <c r="I40" s="129" t="s">
        <v>187</v>
      </c>
      <c r="J40" s="130" t="s">
        <v>188</v>
      </c>
      <c r="K40" s="130" t="s">
        <v>189</v>
      </c>
      <c r="L40" s="130" t="s">
        <v>192</v>
      </c>
      <c r="M40" s="131"/>
      <c r="N40" s="131" t="s">
        <v>187</v>
      </c>
      <c r="O40" s="131" t="s">
        <v>188</v>
      </c>
      <c r="P40" s="131" t="s">
        <v>177</v>
      </c>
      <c r="Q40" s="131"/>
      <c r="R40" s="131"/>
      <c r="S40" s="134"/>
      <c r="U40" s="123"/>
      <c r="V40" s="115" t="s">
        <v>189</v>
      </c>
      <c r="W40" s="115" t="s">
        <v>187</v>
      </c>
      <c r="X40" s="115" t="s">
        <v>188</v>
      </c>
      <c r="Y40" s="115" t="s">
        <v>187</v>
      </c>
      <c r="Z40" s="115" t="s">
        <v>188</v>
      </c>
      <c r="AA40" s="62" t="s">
        <v>193</v>
      </c>
      <c r="AB40" s="62" t="s">
        <v>193</v>
      </c>
      <c r="AC40" s="62" t="s">
        <v>194</v>
      </c>
      <c r="AD40" s="62" t="s">
        <v>194</v>
      </c>
      <c r="AE40" s="116" t="s">
        <v>195</v>
      </c>
      <c r="AH40" s="124"/>
      <c r="AI40" s="115"/>
      <c r="AJ40" s="115"/>
      <c r="AK40" s="115"/>
      <c r="AL40" s="115" t="s">
        <v>196</v>
      </c>
      <c r="AM40" s="115"/>
      <c r="AN40" s="115"/>
      <c r="AO40" s="115"/>
      <c r="AP40" s="116"/>
      <c r="AR40" s="123"/>
      <c r="AS40" s="450" t="s">
        <v>192</v>
      </c>
      <c r="AT40" s="450" t="s">
        <v>197</v>
      </c>
      <c r="AU40" s="450" t="s">
        <v>198</v>
      </c>
      <c r="AV40" s="115" t="s">
        <v>187</v>
      </c>
      <c r="AW40" s="115" t="s">
        <v>188</v>
      </c>
      <c r="AX40" s="115" t="s">
        <v>187</v>
      </c>
      <c r="AY40" s="115" t="s">
        <v>188</v>
      </c>
      <c r="AZ40" s="138"/>
      <c r="BA40" s="139"/>
      <c r="BC40" s="81"/>
      <c r="BD40" s="115"/>
      <c r="BE40" s="62" t="s">
        <v>199</v>
      </c>
      <c r="BF40" s="141"/>
    </row>
    <row r="41" spans="1:62" ht="21" customHeight="1" thickBot="1">
      <c r="A41" s="123" t="s">
        <v>200</v>
      </c>
      <c r="B41" s="115" t="s">
        <v>201</v>
      </c>
      <c r="C41" s="115" t="s">
        <v>202</v>
      </c>
      <c r="D41" s="115" t="s">
        <v>203</v>
      </c>
      <c r="E41" s="115"/>
      <c r="F41" s="116" t="s">
        <v>204</v>
      </c>
      <c r="H41" s="46"/>
      <c r="I41" s="142"/>
      <c r="J41" s="131"/>
      <c r="K41" s="131"/>
      <c r="L41" s="131"/>
      <c r="M41" s="131"/>
      <c r="N41" s="131" t="s">
        <v>205</v>
      </c>
      <c r="O41" s="131"/>
      <c r="P41" s="131" t="s">
        <v>206</v>
      </c>
      <c r="Q41" s="131"/>
      <c r="R41" s="131" t="s">
        <v>207</v>
      </c>
      <c r="S41" s="143"/>
      <c r="U41" s="123"/>
      <c r="V41" s="115"/>
      <c r="W41" s="115" t="s">
        <v>208</v>
      </c>
      <c r="X41" s="115" t="s">
        <v>208</v>
      </c>
      <c r="Y41" s="115" t="s">
        <v>209</v>
      </c>
      <c r="Z41" s="115" t="s">
        <v>209</v>
      </c>
      <c r="AA41" s="115" t="s">
        <v>187</v>
      </c>
      <c r="AB41" s="115" t="s">
        <v>188</v>
      </c>
      <c r="AC41" s="115" t="s">
        <v>187</v>
      </c>
      <c r="AD41" s="115" t="s">
        <v>188</v>
      </c>
      <c r="AE41" s="116"/>
      <c r="AH41" s="124"/>
      <c r="AI41" s="115" t="s">
        <v>210</v>
      </c>
      <c r="AJ41" s="115" t="s">
        <v>210</v>
      </c>
      <c r="AK41" s="115" t="s">
        <v>210</v>
      </c>
      <c r="AL41" s="137"/>
      <c r="AM41" s="115"/>
      <c r="AN41" s="115"/>
      <c r="AO41" s="115"/>
      <c r="AP41" s="116"/>
      <c r="AR41" s="123"/>
      <c r="AS41" s="451"/>
      <c r="AT41" s="451"/>
      <c r="AU41" s="451"/>
      <c r="AV41" s="115" t="s">
        <v>208</v>
      </c>
      <c r="AW41" s="115" t="s">
        <v>208</v>
      </c>
      <c r="AX41" s="115" t="s">
        <v>209</v>
      </c>
      <c r="AY41" s="115" t="s">
        <v>209</v>
      </c>
      <c r="AZ41" s="144" t="s">
        <v>211</v>
      </c>
      <c r="BA41" s="145" t="s">
        <v>212</v>
      </c>
      <c r="BC41" s="81"/>
      <c r="BD41" s="450" t="s">
        <v>213</v>
      </c>
      <c r="BE41" s="450" t="s">
        <v>159</v>
      </c>
      <c r="BF41" s="453" t="s">
        <v>214</v>
      </c>
    </row>
    <row r="42" spans="1:62" ht="33" customHeight="1" thickBot="1">
      <c r="A42" s="146" t="s">
        <v>62</v>
      </c>
      <c r="B42" s="147">
        <v>29493.203547082612</v>
      </c>
      <c r="C42" s="147">
        <v>14092.464927787405</v>
      </c>
      <c r="D42" s="148" t="s">
        <v>190</v>
      </c>
      <c r="E42" s="149" t="s">
        <v>215</v>
      </c>
      <c r="F42" s="150" t="s">
        <v>216</v>
      </c>
      <c r="H42" s="36" t="s">
        <v>62</v>
      </c>
      <c r="I42" s="142"/>
      <c r="J42" s="131"/>
      <c r="K42" s="131"/>
      <c r="L42" s="151" t="s">
        <v>217</v>
      </c>
      <c r="M42" s="152" t="s">
        <v>130</v>
      </c>
      <c r="N42" s="131"/>
      <c r="O42" s="131"/>
      <c r="P42" s="131" t="s">
        <v>218</v>
      </c>
      <c r="Q42" s="131" t="s">
        <v>219</v>
      </c>
      <c r="R42" s="131" t="s">
        <v>218</v>
      </c>
      <c r="S42" s="134" t="s">
        <v>219</v>
      </c>
      <c r="U42" s="58" t="s">
        <v>62</v>
      </c>
      <c r="V42" s="115"/>
      <c r="W42" s="115"/>
      <c r="X42" s="115"/>
      <c r="Y42" s="115" t="s">
        <v>220</v>
      </c>
      <c r="Z42" s="115"/>
      <c r="AA42" s="153">
        <v>20927.478850375504</v>
      </c>
      <c r="AB42" s="153">
        <v>12346.028151357599</v>
      </c>
      <c r="AC42" s="153">
        <v>8565.7247024841126</v>
      </c>
      <c r="AD42" s="153">
        <v>1746.4367764298095</v>
      </c>
      <c r="AE42" s="116" t="s">
        <v>210</v>
      </c>
      <c r="AH42" s="58" t="s">
        <v>62</v>
      </c>
      <c r="AI42" s="154" t="s">
        <v>189</v>
      </c>
      <c r="AJ42" s="154" t="s">
        <v>221</v>
      </c>
      <c r="AK42" s="154" t="s">
        <v>222</v>
      </c>
      <c r="AL42" s="155" t="s">
        <v>223</v>
      </c>
      <c r="AM42" s="155" t="s">
        <v>224</v>
      </c>
      <c r="AN42" s="155" t="s">
        <v>225</v>
      </c>
      <c r="AO42" s="155" t="s">
        <v>226</v>
      </c>
      <c r="AP42" s="156" t="s">
        <v>227</v>
      </c>
      <c r="AR42" s="58" t="s">
        <v>62</v>
      </c>
      <c r="AS42" s="62" t="s">
        <v>190</v>
      </c>
      <c r="AT42" s="62" t="s">
        <v>183</v>
      </c>
      <c r="AU42" s="137"/>
      <c r="AV42" s="137"/>
      <c r="AW42" s="137"/>
      <c r="AX42" s="137"/>
      <c r="AY42" s="137"/>
      <c r="AZ42" s="144" t="s">
        <v>228</v>
      </c>
      <c r="BA42" s="145" t="s">
        <v>229</v>
      </c>
      <c r="BC42" s="58" t="s">
        <v>62</v>
      </c>
      <c r="BD42" s="452"/>
      <c r="BE42" s="452"/>
      <c r="BF42" s="454"/>
    </row>
    <row r="43" spans="1:62" ht="16.5" customHeight="1" thickBot="1">
      <c r="A43" s="46"/>
      <c r="B43" s="47" t="s">
        <v>230</v>
      </c>
      <c r="C43" s="47" t="s">
        <v>231</v>
      </c>
      <c r="D43" s="47" t="s">
        <v>232</v>
      </c>
      <c r="E43" s="47" t="s">
        <v>233</v>
      </c>
      <c r="F43" s="48" t="s">
        <v>234</v>
      </c>
      <c r="H43" s="46"/>
      <c r="I43" s="47" t="s">
        <v>235</v>
      </c>
      <c r="J43" s="47" t="s">
        <v>236</v>
      </c>
      <c r="K43" s="47" t="s">
        <v>237</v>
      </c>
      <c r="L43" s="47" t="s">
        <v>238</v>
      </c>
      <c r="M43" s="47" t="s">
        <v>239</v>
      </c>
      <c r="N43" s="47" t="s">
        <v>235</v>
      </c>
      <c r="O43" s="47" t="s">
        <v>236</v>
      </c>
      <c r="P43" s="47" t="s">
        <v>240</v>
      </c>
      <c r="Q43" s="47" t="s">
        <v>233</v>
      </c>
      <c r="R43" s="47" t="s">
        <v>241</v>
      </c>
      <c r="S43" s="48" t="s">
        <v>238</v>
      </c>
      <c r="U43" s="118"/>
      <c r="V43" s="151" t="s">
        <v>237</v>
      </c>
      <c r="W43" s="151" t="s">
        <v>242</v>
      </c>
      <c r="X43" s="151" t="s">
        <v>243</v>
      </c>
      <c r="Y43" s="151" t="s">
        <v>244</v>
      </c>
      <c r="Z43" s="151" t="s">
        <v>245</v>
      </c>
      <c r="AA43" s="47" t="s">
        <v>246</v>
      </c>
      <c r="AB43" s="47" t="s">
        <v>247</v>
      </c>
      <c r="AC43" s="47" t="s">
        <v>248</v>
      </c>
      <c r="AD43" s="47" t="s">
        <v>249</v>
      </c>
      <c r="AE43" s="157" t="s">
        <v>232</v>
      </c>
      <c r="AH43" s="118"/>
      <c r="AI43" s="47" t="s">
        <v>232</v>
      </c>
      <c r="AJ43" s="47" t="s">
        <v>250</v>
      </c>
      <c r="AK43" s="47" t="s">
        <v>251</v>
      </c>
      <c r="AL43" s="47" t="s">
        <v>252</v>
      </c>
      <c r="AM43" s="47" t="s">
        <v>253</v>
      </c>
      <c r="AN43" s="47" t="s">
        <v>254</v>
      </c>
      <c r="AO43" s="47" t="s">
        <v>255</v>
      </c>
      <c r="AP43" s="48" t="s">
        <v>256</v>
      </c>
      <c r="AR43" s="118"/>
      <c r="AS43" s="47" t="s">
        <v>233</v>
      </c>
      <c r="AT43" s="47" t="s">
        <v>234</v>
      </c>
      <c r="AU43" s="47" t="s">
        <v>257</v>
      </c>
      <c r="AV43" s="158" t="s">
        <v>258</v>
      </c>
      <c r="AW43" s="158" t="s">
        <v>259</v>
      </c>
      <c r="AX43" s="158" t="s">
        <v>260</v>
      </c>
      <c r="AY43" s="158" t="s">
        <v>261</v>
      </c>
      <c r="AZ43" s="47" t="s">
        <v>262</v>
      </c>
      <c r="BA43" s="48" t="s">
        <v>263</v>
      </c>
      <c r="BC43" s="46"/>
      <c r="BD43" s="47" t="s">
        <v>234</v>
      </c>
      <c r="BE43" s="47" t="s">
        <v>264</v>
      </c>
      <c r="BF43" s="48" t="s">
        <v>265</v>
      </c>
    </row>
    <row r="44" spans="1:62">
      <c r="A44" s="73">
        <v>2003</v>
      </c>
      <c r="B44" s="115">
        <f>B42+I44-($B$39)*B42</f>
        <v>29996.32908767337</v>
      </c>
      <c r="C44" s="115">
        <f>C42+J44-($C$39)*C42</f>
        <v>13889.918728213815</v>
      </c>
      <c r="D44" s="115">
        <f t="shared" ref="D44:D61" si="28">B44+C44</f>
        <v>43886.247815887182</v>
      </c>
      <c r="E44" s="115">
        <f t="shared" ref="E44:E61" si="29">M12</f>
        <v>1905.7806550138605</v>
      </c>
      <c r="F44" s="116">
        <f t="shared" ref="F44:F61" si="30">Q188/1000</f>
        <v>172.15064654814668</v>
      </c>
      <c r="H44" s="69">
        <v>2003</v>
      </c>
      <c r="I44" s="115">
        <v>1671.901803</v>
      </c>
      <c r="J44" s="115">
        <v>778.69331000000011</v>
      </c>
      <c r="K44" s="115">
        <f t="shared" ref="K44:K61" si="31">SUM(I44:J44)</f>
        <v>2450.5951130000003</v>
      </c>
      <c r="L44" s="136">
        <f t="shared" ref="L44:L61" si="32">E44/B12</f>
        <v>0.14590509940125376</v>
      </c>
      <c r="M44" s="136">
        <f t="shared" ref="M44:M61" si="33">E44/B44</f>
        <v>6.3533796066966672E-2</v>
      </c>
      <c r="N44" s="115">
        <f t="shared" ref="N44:O61" si="34">I44</f>
        <v>1671.901803</v>
      </c>
      <c r="O44" s="115">
        <f t="shared" si="34"/>
        <v>778.69331000000011</v>
      </c>
      <c r="P44" s="115">
        <f t="shared" ref="P44:P61" si="35">$N$39*B44+$O$39*C44</f>
        <v>2155.8509437953976</v>
      </c>
      <c r="Q44" s="115">
        <f t="shared" ref="Q44:Q61" si="36">AS44</f>
        <v>1905.7806550138605</v>
      </c>
      <c r="R44" s="136">
        <f t="shared" ref="R44:R61" si="37">P44/B12</f>
        <v>0.16505028814371428</v>
      </c>
      <c r="S44" s="159">
        <f t="shared" ref="S44:S61" si="38">Q44/B12</f>
        <v>0.14590509940125376</v>
      </c>
      <c r="U44" s="160">
        <v>2003</v>
      </c>
      <c r="V44" s="115">
        <f t="shared" ref="V44:V61" si="39">SUM(W44:Z44)</f>
        <v>2450.5951129999999</v>
      </c>
      <c r="W44" s="115">
        <v>1103.407193</v>
      </c>
      <c r="X44" s="115">
        <v>693.37314700000002</v>
      </c>
      <c r="Y44" s="115">
        <v>568.49460999999997</v>
      </c>
      <c r="Z44" s="115">
        <v>85.320162999999994</v>
      </c>
      <c r="AA44" s="115">
        <f>AA42+W44-$AA$39*AA42</f>
        <v>21201.558009432243</v>
      </c>
      <c r="AB44" s="115">
        <f>AB42+X44-AB$39*AB42</f>
        <v>12179.763848805906</v>
      </c>
      <c r="AC44" s="115">
        <f>AC42+Y44-AC$39*AC42</f>
        <v>8794.7710837891937</v>
      </c>
      <c r="AD44" s="115">
        <f>AD42+Z44-AD$39*AD42</f>
        <v>1710.1548794079135</v>
      </c>
      <c r="AE44" s="116">
        <f t="shared" ref="AE44:AE61" si="40">SUM(AA44:AD44)</f>
        <v>43886.24782143526</v>
      </c>
      <c r="AF44" s="161">
        <f t="shared" ref="AF44:AF61" si="41">B77</f>
        <v>43886.24782143526</v>
      </c>
      <c r="AH44" s="160">
        <v>2003</v>
      </c>
      <c r="AI44" s="115">
        <f t="shared" ref="AI44:AI61" si="42">SUM(AJ44:AK44)</f>
        <v>43886.24782143526</v>
      </c>
      <c r="AJ44" s="115">
        <f t="shared" ref="AJ44:AJ61" si="43">AA44+AB44</f>
        <v>33381.321858238152</v>
      </c>
      <c r="AK44" s="115">
        <f t="shared" ref="AK44:AK61" si="44">AC44+AD44</f>
        <v>10504.925963197107</v>
      </c>
      <c r="AL44" s="162">
        <f t="shared" ref="AL44:AM61" si="45">AJ44/$AE44</f>
        <v>0.76063285232449951</v>
      </c>
      <c r="AM44" s="162">
        <f t="shared" si="45"/>
        <v>0.23936714767550052</v>
      </c>
      <c r="AN44" s="162">
        <f t="shared" ref="AN44:AN61" si="46">AJ44/B12</f>
        <v>2.5556482961760674</v>
      </c>
      <c r="AO44" s="162">
        <f t="shared" ref="AO44:AO61" si="47">AK44/B12</f>
        <v>0.80424904242295292</v>
      </c>
      <c r="AP44" s="163">
        <f t="shared" ref="AP44:AP61" si="48">(AJ44+AK44)/B12</f>
        <v>3.3598973385990201</v>
      </c>
      <c r="AR44" s="160">
        <v>2003</v>
      </c>
      <c r="AS44" s="115">
        <f t="shared" ref="AS44:AS61" si="49">M12</f>
        <v>1905.7806550138605</v>
      </c>
      <c r="AT44" s="115">
        <f t="shared" ref="AT44:AT61" si="50">F44</f>
        <v>172.15064654814668</v>
      </c>
      <c r="AU44" s="164">
        <f t="shared" ref="AU44:AU61" si="51">V44/B12</f>
        <v>0.18761567477023802</v>
      </c>
      <c r="AV44" s="82">
        <f t="shared" ref="AV44:AV61" si="52">W44/B12</f>
        <v>8.4476005017247113E-2</v>
      </c>
      <c r="AW44" s="82">
        <f t="shared" ref="AW44:AW61" si="53">X44/B12</f>
        <v>5.3084114202250288E-2</v>
      </c>
      <c r="AX44" s="82">
        <f t="shared" ref="AX44:AX61" si="54">Y44/B12</f>
        <v>4.3523509572261726E-2</v>
      </c>
      <c r="AY44" s="82">
        <f t="shared" ref="AY44:AY61" si="55">Z44/B12</f>
        <v>6.5320459784788997E-3</v>
      </c>
      <c r="AZ44" s="165">
        <f t="shared" ref="AZ44:AZ61" si="56">AV44+AW44</f>
        <v>0.1375601192194974</v>
      </c>
      <c r="BA44" s="166">
        <f t="shared" ref="BA44:BA61" si="57">AT44/B12</f>
        <v>1.3179720935101403E-2</v>
      </c>
      <c r="BC44" s="81">
        <v>2003</v>
      </c>
      <c r="BD44" s="74">
        <f t="shared" ref="BD44:BD61" si="58">F44</f>
        <v>172.15064654814668</v>
      </c>
      <c r="BE44" s="74">
        <f>BD44/$BE$39</f>
        <v>3443.0129309629333</v>
      </c>
      <c r="BF44" s="167">
        <f t="shared" ref="BF44:BF61" si="59">BE44/B12</f>
        <v>0.26359441870202804</v>
      </c>
    </row>
    <row r="45" spans="1:62">
      <c r="A45" s="73">
        <v>2004</v>
      </c>
      <c r="B45" s="115">
        <f t="shared" ref="B45:B61" si="60">B44+I45-($B$39)*B44</f>
        <v>30608.353275116828</v>
      </c>
      <c r="C45" s="115">
        <f t="shared" ref="C45:C61" si="61">C44+J45-($C$39)*C44</f>
        <v>13822.94358897496</v>
      </c>
      <c r="D45" s="115">
        <f t="shared" si="28"/>
        <v>44431.29686409179</v>
      </c>
      <c r="E45" s="115">
        <f t="shared" si="29"/>
        <v>1975.8862376998768</v>
      </c>
      <c r="F45" s="116">
        <f t="shared" si="30"/>
        <v>222.75864083640838</v>
      </c>
      <c r="G45" s="161"/>
      <c r="H45" s="69">
        <v>2004</v>
      </c>
      <c r="I45" s="115">
        <v>1800.7386429999999</v>
      </c>
      <c r="J45" s="115">
        <v>900.16134900000009</v>
      </c>
      <c r="K45" s="115">
        <f t="shared" si="31"/>
        <v>2700.8999920000001</v>
      </c>
      <c r="L45" s="136">
        <f t="shared" si="32"/>
        <v>0.14556671078853511</v>
      </c>
      <c r="M45" s="136">
        <f t="shared" si="33"/>
        <v>6.455382358992115E-2</v>
      </c>
      <c r="N45" s="115">
        <f t="shared" si="34"/>
        <v>1800.7386429999999</v>
      </c>
      <c r="O45" s="115">
        <f t="shared" si="34"/>
        <v>900.16134900000009</v>
      </c>
      <c r="P45" s="115">
        <f t="shared" si="35"/>
        <v>2175.4412553749094</v>
      </c>
      <c r="Q45" s="115">
        <f t="shared" si="36"/>
        <v>1975.8862376998768</v>
      </c>
      <c r="R45" s="136">
        <f t="shared" si="37"/>
        <v>0.16026824926279354</v>
      </c>
      <c r="S45" s="159">
        <f t="shared" si="38"/>
        <v>0.14556671078853511</v>
      </c>
      <c r="U45" s="160">
        <v>2004</v>
      </c>
      <c r="V45" s="115">
        <f t="shared" si="39"/>
        <v>2700.899993</v>
      </c>
      <c r="W45" s="115">
        <v>1197.3145709999999</v>
      </c>
      <c r="X45" s="115">
        <v>793.26987499999996</v>
      </c>
      <c r="Y45" s="115">
        <v>603.42407300000002</v>
      </c>
      <c r="Z45" s="115">
        <v>106.891474</v>
      </c>
      <c r="AA45" s="115">
        <f t="shared" ref="AA45:AA61" si="62">AA44+W45-$AA$39*AA44</f>
        <v>21558.683155503932</v>
      </c>
      <c r="AB45" s="115">
        <f t="shared" ref="AB45:AD60" si="63">AB44+X45-AB$39*AB44</f>
        <v>12124.97303556115</v>
      </c>
      <c r="AC45" s="115">
        <f t="shared" si="63"/>
        <v>9049.670125941102</v>
      </c>
      <c r="AD45" s="115">
        <f t="shared" si="63"/>
        <v>1697.970553413812</v>
      </c>
      <c r="AE45" s="116">
        <f t="shared" si="40"/>
        <v>44431.296870419996</v>
      </c>
      <c r="AF45" s="161">
        <f t="shared" si="41"/>
        <v>44431.296870419996</v>
      </c>
      <c r="AH45" s="160">
        <v>2004</v>
      </c>
      <c r="AI45" s="115">
        <f t="shared" si="42"/>
        <v>44431.296870419988</v>
      </c>
      <c r="AJ45" s="115">
        <f t="shared" si="43"/>
        <v>33683.656191065078</v>
      </c>
      <c r="AK45" s="115">
        <f t="shared" si="44"/>
        <v>10747.640679354914</v>
      </c>
      <c r="AL45" s="162">
        <f t="shared" si="45"/>
        <v>0.75810652768701592</v>
      </c>
      <c r="AM45" s="162">
        <f t="shared" si="45"/>
        <v>0.24189347231298405</v>
      </c>
      <c r="AN45" s="162">
        <f t="shared" si="46"/>
        <v>2.4815290199971449</v>
      </c>
      <c r="AO45" s="162">
        <f t="shared" si="47"/>
        <v>0.79179594076832083</v>
      </c>
      <c r="AP45" s="163">
        <f t="shared" si="48"/>
        <v>3.2733249607654651</v>
      </c>
      <c r="AR45" s="160">
        <v>2004</v>
      </c>
      <c r="AS45" s="115">
        <f t="shared" si="49"/>
        <v>1975.8862376998768</v>
      </c>
      <c r="AT45" s="115">
        <f t="shared" si="50"/>
        <v>222.75864083640838</v>
      </c>
      <c r="AU45" s="164">
        <f t="shared" si="51"/>
        <v>0.19897963792058454</v>
      </c>
      <c r="AV45" s="82">
        <f t="shared" si="52"/>
        <v>8.8208086353466095E-2</v>
      </c>
      <c r="AW45" s="82">
        <f t="shared" si="53"/>
        <v>5.8441465033839686E-2</v>
      </c>
      <c r="AX45" s="82">
        <f t="shared" si="54"/>
        <v>4.445522006341994E-2</v>
      </c>
      <c r="AY45" s="82">
        <f t="shared" si="55"/>
        <v>7.8748664698588041E-3</v>
      </c>
      <c r="AZ45" s="165">
        <f t="shared" si="56"/>
        <v>0.14664955138730579</v>
      </c>
      <c r="BA45" s="166">
        <f t="shared" si="57"/>
        <v>1.6410986638597129E-2</v>
      </c>
      <c r="BC45" s="81">
        <v>2004</v>
      </c>
      <c r="BD45" s="74">
        <f t="shared" si="58"/>
        <v>222.75864083640838</v>
      </c>
      <c r="BE45" s="74">
        <f t="shared" ref="BE45:BE61" si="64">BE44*(0.98)+BD45</f>
        <v>3596.9113131800827</v>
      </c>
      <c r="BF45" s="167">
        <f t="shared" si="59"/>
        <v>0.26499023013956785</v>
      </c>
      <c r="BJ45" s="168"/>
    </row>
    <row r="46" spans="1:62">
      <c r="A46" s="73">
        <v>2005</v>
      </c>
      <c r="B46" s="115">
        <f t="shared" si="60"/>
        <v>31306.40658349447</v>
      </c>
      <c r="C46" s="115">
        <f t="shared" si="61"/>
        <v>13877.445030222409</v>
      </c>
      <c r="D46" s="115">
        <f t="shared" si="28"/>
        <v>45183.851613716877</v>
      </c>
      <c r="E46" s="115">
        <f t="shared" si="29"/>
        <v>2001.6892361312809</v>
      </c>
      <c r="F46" s="116">
        <f t="shared" si="30"/>
        <v>130.58315567818764</v>
      </c>
      <c r="G46" s="161"/>
      <c r="H46" s="69">
        <v>2005</v>
      </c>
      <c r="I46" s="115">
        <v>1911.021465</v>
      </c>
      <c r="J46" s="115">
        <v>1016.97454</v>
      </c>
      <c r="K46" s="115">
        <f t="shared" si="31"/>
        <v>2927.996005</v>
      </c>
      <c r="L46" s="136">
        <f t="shared" si="32"/>
        <v>0.1441403251183295</v>
      </c>
      <c r="M46" s="136">
        <f t="shared" si="33"/>
        <v>6.3938645618517656E-2</v>
      </c>
      <c r="N46" s="115">
        <f t="shared" si="34"/>
        <v>1911.021465</v>
      </c>
      <c r="O46" s="115">
        <f t="shared" si="34"/>
        <v>1016.97454</v>
      </c>
      <c r="P46" s="115">
        <f t="shared" si="35"/>
        <v>2206.8990381503086</v>
      </c>
      <c r="Q46" s="115">
        <f t="shared" si="36"/>
        <v>2001.6892361312809</v>
      </c>
      <c r="R46" s="136">
        <f t="shared" si="37"/>
        <v>0.15891734796811952</v>
      </c>
      <c r="S46" s="159">
        <f t="shared" si="38"/>
        <v>0.1441403251183295</v>
      </c>
      <c r="U46" s="160">
        <v>2005</v>
      </c>
      <c r="V46" s="115">
        <f t="shared" si="39"/>
        <v>2927.996005</v>
      </c>
      <c r="W46" s="115">
        <v>1283.239992</v>
      </c>
      <c r="X46" s="115">
        <v>864.98360600000001</v>
      </c>
      <c r="Y46" s="115">
        <v>627.78147300000001</v>
      </c>
      <c r="Z46" s="115">
        <v>151.99093400000001</v>
      </c>
      <c r="AA46" s="115">
        <f t="shared" si="62"/>
        <v>21987.581330049939</v>
      </c>
      <c r="AB46" s="115">
        <f t="shared" si="63"/>
        <v>12145.710964458372</v>
      </c>
      <c r="AC46" s="115">
        <f t="shared" si="63"/>
        <v>9318.8252595219546</v>
      </c>
      <c r="AD46" s="115">
        <f t="shared" si="63"/>
        <v>1731.7340657640384</v>
      </c>
      <c r="AE46" s="116">
        <f t="shared" si="40"/>
        <v>45183.851619794303</v>
      </c>
      <c r="AF46" s="161">
        <f t="shared" si="41"/>
        <v>45183.851619794303</v>
      </c>
      <c r="AH46" s="160">
        <v>2005</v>
      </c>
      <c r="AI46" s="115">
        <f t="shared" si="42"/>
        <v>45183.851619794303</v>
      </c>
      <c r="AJ46" s="115">
        <f t="shared" si="43"/>
        <v>34133.292294508312</v>
      </c>
      <c r="AK46" s="115">
        <f t="shared" si="44"/>
        <v>11050.559325285993</v>
      </c>
      <c r="AL46" s="162">
        <f t="shared" si="45"/>
        <v>0.75543122312209166</v>
      </c>
      <c r="AM46" s="162">
        <f t="shared" si="45"/>
        <v>0.2445687768779084</v>
      </c>
      <c r="AN46" s="162">
        <f t="shared" si="46"/>
        <v>2.4579159241513358</v>
      </c>
      <c r="AO46" s="162">
        <f t="shared" si="47"/>
        <v>0.7957435076009195</v>
      </c>
      <c r="AP46" s="163">
        <f t="shared" si="48"/>
        <v>3.2536594317522551</v>
      </c>
      <c r="AR46" s="160">
        <v>2005</v>
      </c>
      <c r="AS46" s="115">
        <f t="shared" si="49"/>
        <v>2001.6892361312809</v>
      </c>
      <c r="AT46" s="115">
        <f t="shared" si="50"/>
        <v>130.58315567818764</v>
      </c>
      <c r="AU46" s="164">
        <f t="shared" si="51"/>
        <v>0.21084306619021567</v>
      </c>
      <c r="AV46" s="82">
        <f t="shared" si="52"/>
        <v>9.2405267667429014E-2</v>
      </c>
      <c r="AW46" s="82">
        <f t="shared" si="53"/>
        <v>6.2286900454056264E-2</v>
      </c>
      <c r="AX46" s="82">
        <f t="shared" si="54"/>
        <v>4.5206130895909503E-2</v>
      </c>
      <c r="AY46" s="82">
        <f t="shared" si="55"/>
        <v>1.0944767172820887E-2</v>
      </c>
      <c r="AZ46" s="165">
        <f t="shared" si="56"/>
        <v>0.15469216812148529</v>
      </c>
      <c r="BA46" s="166">
        <f t="shared" si="57"/>
        <v>9.4032071385914857E-3</v>
      </c>
      <c r="BC46" s="81">
        <v>2005</v>
      </c>
      <c r="BD46" s="74">
        <f t="shared" si="58"/>
        <v>130.58315567818764</v>
      </c>
      <c r="BE46" s="74">
        <f t="shared" si="64"/>
        <v>3655.5562425946687</v>
      </c>
      <c r="BF46" s="167">
        <f t="shared" si="59"/>
        <v>0.26323420028691052</v>
      </c>
      <c r="BJ46" s="168"/>
    </row>
    <row r="47" spans="1:62">
      <c r="A47" s="73">
        <v>2006</v>
      </c>
      <c r="B47" s="115">
        <f t="shared" si="60"/>
        <v>32161.68067265303</v>
      </c>
      <c r="C47" s="115">
        <f t="shared" si="61"/>
        <v>13993.811597913538</v>
      </c>
      <c r="D47" s="115">
        <f t="shared" si="28"/>
        <v>46155.492270566567</v>
      </c>
      <c r="E47" s="115">
        <f t="shared" si="29"/>
        <v>2072.7348048048048</v>
      </c>
      <c r="F47" s="116">
        <f t="shared" si="30"/>
        <v>185.68285831285826</v>
      </c>
      <c r="G47" s="161"/>
      <c r="H47" s="69">
        <v>2006</v>
      </c>
      <c r="I47" s="115">
        <v>2095.905166</v>
      </c>
      <c r="J47" s="115">
        <v>1082.6345290000002</v>
      </c>
      <c r="K47" s="115">
        <f t="shared" si="31"/>
        <v>3178.5396950000004</v>
      </c>
      <c r="L47" s="136">
        <f t="shared" si="32"/>
        <v>0.14283643779271779</v>
      </c>
      <c r="M47" s="136">
        <f t="shared" si="33"/>
        <v>6.4447341104510253E-2</v>
      </c>
      <c r="N47" s="115">
        <f t="shared" si="34"/>
        <v>2095.905166</v>
      </c>
      <c r="O47" s="115">
        <f t="shared" si="34"/>
        <v>1082.6345290000002</v>
      </c>
      <c r="P47" s="115">
        <f t="shared" si="35"/>
        <v>2248.8948565886162</v>
      </c>
      <c r="Q47" s="115">
        <f t="shared" si="36"/>
        <v>2072.7348048048048</v>
      </c>
      <c r="R47" s="136">
        <f t="shared" si="37"/>
        <v>0.15497599091830441</v>
      </c>
      <c r="S47" s="159">
        <f t="shared" si="38"/>
        <v>0.14283643779271779</v>
      </c>
      <c r="U47" s="160">
        <v>2006</v>
      </c>
      <c r="V47" s="115">
        <f t="shared" si="39"/>
        <v>3178.5396940000001</v>
      </c>
      <c r="W47" s="115">
        <v>1475.5385240000001</v>
      </c>
      <c r="X47" s="115">
        <v>902.96272400000009</v>
      </c>
      <c r="Y47" s="115">
        <v>620.36664199999996</v>
      </c>
      <c r="Z47" s="115">
        <v>179.67180400000001</v>
      </c>
      <c r="AA47" s="115">
        <f t="shared" si="62"/>
        <v>22591.781374819286</v>
      </c>
      <c r="AB47" s="115">
        <f t="shared" si="63"/>
        <v>12202.984057066196</v>
      </c>
      <c r="AC47" s="115">
        <f t="shared" si="63"/>
        <v>9569.8993036703287</v>
      </c>
      <c r="AD47" s="115">
        <f t="shared" si="63"/>
        <v>1790.8275398473447</v>
      </c>
      <c r="AE47" s="116">
        <f t="shared" si="40"/>
        <v>46155.49227540315</v>
      </c>
      <c r="AF47" s="161">
        <f t="shared" si="41"/>
        <v>46155.49227540315</v>
      </c>
      <c r="AH47" s="160">
        <v>2006</v>
      </c>
      <c r="AI47" s="115">
        <f t="shared" si="42"/>
        <v>46155.492275403158</v>
      </c>
      <c r="AJ47" s="115">
        <f t="shared" si="43"/>
        <v>34794.765431885484</v>
      </c>
      <c r="AK47" s="115">
        <f t="shared" si="44"/>
        <v>11360.726843517674</v>
      </c>
      <c r="AL47" s="162">
        <f t="shared" si="45"/>
        <v>0.75385969722238355</v>
      </c>
      <c r="AM47" s="162">
        <f t="shared" si="45"/>
        <v>0.24614030277761656</v>
      </c>
      <c r="AN47" s="162">
        <f t="shared" si="46"/>
        <v>2.3977791739699925</v>
      </c>
      <c r="AO47" s="162">
        <f t="shared" si="47"/>
        <v>0.78289115872543469</v>
      </c>
      <c r="AP47" s="163">
        <f t="shared" si="48"/>
        <v>3.1806703326954273</v>
      </c>
      <c r="AR47" s="160">
        <v>2006</v>
      </c>
      <c r="AS47" s="115">
        <f t="shared" si="49"/>
        <v>2072.7348048048048</v>
      </c>
      <c r="AT47" s="115">
        <f t="shared" si="50"/>
        <v>185.68285831285826</v>
      </c>
      <c r="AU47" s="164">
        <f t="shared" si="51"/>
        <v>0.21903973736595345</v>
      </c>
      <c r="AV47" s="82">
        <f t="shared" si="52"/>
        <v>0.10168240823935629</v>
      </c>
      <c r="AW47" s="82">
        <f t="shared" si="53"/>
        <v>6.2225026885634339E-2</v>
      </c>
      <c r="AX47" s="82">
        <f t="shared" si="54"/>
        <v>4.2750747014669327E-2</v>
      </c>
      <c r="AY47" s="82">
        <f t="shared" si="55"/>
        <v>1.2381555226293507E-2</v>
      </c>
      <c r="AZ47" s="165">
        <f t="shared" si="56"/>
        <v>0.16390743512499062</v>
      </c>
      <c r="BA47" s="166">
        <f t="shared" si="57"/>
        <v>1.2795789398188972E-2</v>
      </c>
      <c r="BC47" s="81">
        <v>2006</v>
      </c>
      <c r="BD47" s="74">
        <f t="shared" si="58"/>
        <v>185.68285831285826</v>
      </c>
      <c r="BE47" s="74">
        <f t="shared" si="64"/>
        <v>3768.1279760556336</v>
      </c>
      <c r="BF47" s="167">
        <f t="shared" si="59"/>
        <v>0.2596694840069308</v>
      </c>
      <c r="BJ47" s="168"/>
    </row>
    <row r="48" spans="1:62">
      <c r="A48" s="73">
        <v>2007</v>
      </c>
      <c r="B48" s="115">
        <f t="shared" si="60"/>
        <v>33208.625781050439</v>
      </c>
      <c r="C48" s="115">
        <f t="shared" si="61"/>
        <v>14176.876183927512</v>
      </c>
      <c r="D48" s="115">
        <f t="shared" si="28"/>
        <v>47385.50196497795</v>
      </c>
      <c r="E48" s="115">
        <f t="shared" si="29"/>
        <v>2132.2669681681523</v>
      </c>
      <c r="F48" s="116">
        <f t="shared" si="30"/>
        <v>174.6971406820557</v>
      </c>
      <c r="G48" s="161"/>
      <c r="H48" s="69">
        <v>2007</v>
      </c>
      <c r="I48" s="115">
        <v>2321.4695550000001</v>
      </c>
      <c r="J48" s="115">
        <v>1157.434996</v>
      </c>
      <c r="K48" s="115">
        <f t="shared" si="31"/>
        <v>3478.9045510000001</v>
      </c>
      <c r="L48" s="136">
        <f t="shared" si="32"/>
        <v>0.14364719887975641</v>
      </c>
      <c r="M48" s="136">
        <f t="shared" si="33"/>
        <v>6.4208226568196927E-2</v>
      </c>
      <c r="N48" s="115">
        <f t="shared" si="34"/>
        <v>2321.4695550000001</v>
      </c>
      <c r="O48" s="115">
        <f t="shared" si="34"/>
        <v>1157.434996</v>
      </c>
      <c r="P48" s="115">
        <f t="shared" si="35"/>
        <v>2303.1304354308704</v>
      </c>
      <c r="Q48" s="115">
        <f t="shared" si="36"/>
        <v>2132.2669681681523</v>
      </c>
      <c r="R48" s="136">
        <f t="shared" si="37"/>
        <v>0.15515798004814754</v>
      </c>
      <c r="S48" s="159">
        <f t="shared" si="38"/>
        <v>0.14364719887975641</v>
      </c>
      <c r="U48" s="160">
        <v>2007</v>
      </c>
      <c r="V48" s="115">
        <f t="shared" si="39"/>
        <v>3478.9045510000001</v>
      </c>
      <c r="W48" s="115">
        <v>1576.216126</v>
      </c>
      <c r="X48" s="115">
        <v>1028.4778180000001</v>
      </c>
      <c r="Y48" s="115">
        <v>745.25342899999998</v>
      </c>
      <c r="Z48" s="115">
        <v>128.957178</v>
      </c>
      <c r="AA48" s="115">
        <f t="shared" si="62"/>
        <v>23272.715380846261</v>
      </c>
      <c r="AB48" s="115">
        <f t="shared" si="63"/>
        <v>12381.78439473558</v>
      </c>
      <c r="AC48" s="115">
        <f t="shared" si="63"/>
        <v>9935.9104058094672</v>
      </c>
      <c r="AD48" s="115">
        <f t="shared" si="63"/>
        <v>1795.0917882615636</v>
      </c>
      <c r="AE48" s="116">
        <f t="shared" si="40"/>
        <v>47385.501969652869</v>
      </c>
      <c r="AF48" s="161">
        <f t="shared" si="41"/>
        <v>47385.501969652869</v>
      </c>
      <c r="AH48" s="160">
        <v>2007</v>
      </c>
      <c r="AI48" s="115">
        <f t="shared" si="42"/>
        <v>47385.501969652869</v>
      </c>
      <c r="AJ48" s="115">
        <f t="shared" si="43"/>
        <v>35654.49977558184</v>
      </c>
      <c r="AK48" s="115">
        <f t="shared" si="44"/>
        <v>11731.00219407103</v>
      </c>
      <c r="AL48" s="162">
        <f t="shared" si="45"/>
        <v>0.75243478054566304</v>
      </c>
      <c r="AM48" s="162">
        <f t="shared" si="45"/>
        <v>0.24756521945433699</v>
      </c>
      <c r="AN48" s="162">
        <f t="shared" si="46"/>
        <v>2.4019830052619078</v>
      </c>
      <c r="AO48" s="162">
        <f t="shared" si="47"/>
        <v>0.79029766459229311</v>
      </c>
      <c r="AP48" s="163">
        <f t="shared" si="48"/>
        <v>3.1922806698542008</v>
      </c>
      <c r="AR48" s="160">
        <v>2007</v>
      </c>
      <c r="AS48" s="115">
        <f t="shared" si="49"/>
        <v>2132.2669681681523</v>
      </c>
      <c r="AT48" s="115">
        <f t="shared" si="50"/>
        <v>174.6971406820557</v>
      </c>
      <c r="AU48" s="164">
        <f t="shared" si="51"/>
        <v>0.23436788234379158</v>
      </c>
      <c r="AV48" s="82">
        <f t="shared" si="52"/>
        <v>0.10618699942789979</v>
      </c>
      <c r="AW48" s="82">
        <f t="shared" si="53"/>
        <v>6.9286801264190095E-2</v>
      </c>
      <c r="AX48" s="82">
        <f t="shared" si="54"/>
        <v>5.0206455912673073E-2</v>
      </c>
      <c r="AY48" s="82">
        <f t="shared" si="55"/>
        <v>8.6876257390286152E-3</v>
      </c>
      <c r="AZ48" s="165">
        <f t="shared" si="56"/>
        <v>0.1754738006920899</v>
      </c>
      <c r="BA48" s="166">
        <f t="shared" si="57"/>
        <v>1.1769049225969648E-2</v>
      </c>
      <c r="BC48" s="81">
        <v>2007</v>
      </c>
      <c r="BD48" s="74">
        <f t="shared" si="58"/>
        <v>174.6971406820557</v>
      </c>
      <c r="BE48" s="74">
        <f t="shared" si="64"/>
        <v>3867.4625572165764</v>
      </c>
      <c r="BF48" s="167">
        <f t="shared" si="59"/>
        <v>0.26054437432559324</v>
      </c>
      <c r="BJ48" s="168"/>
    </row>
    <row r="49" spans="1:62">
      <c r="A49" s="73">
        <v>2008</v>
      </c>
      <c r="B49" s="115">
        <f t="shared" si="60"/>
        <v>34188.942825209822</v>
      </c>
      <c r="C49" s="115">
        <f t="shared" si="61"/>
        <v>14346.578784337256</v>
      </c>
      <c r="D49" s="115">
        <f t="shared" si="28"/>
        <v>48535.521609547082</v>
      </c>
      <c r="E49" s="115">
        <f t="shared" si="29"/>
        <v>2228.5748979145396</v>
      </c>
      <c r="F49" s="116">
        <f t="shared" si="30"/>
        <v>141.49669680618345</v>
      </c>
      <c r="G49" s="161"/>
      <c r="H49" s="69">
        <v>2008</v>
      </c>
      <c r="I49" s="115">
        <v>2296.3305269999996</v>
      </c>
      <c r="J49" s="115">
        <v>1156.819553</v>
      </c>
      <c r="K49" s="115">
        <f t="shared" si="31"/>
        <v>3453.1500799999994</v>
      </c>
      <c r="L49" s="136">
        <f t="shared" si="32"/>
        <v>0.14843642018249104</v>
      </c>
      <c r="M49" s="136">
        <f t="shared" si="33"/>
        <v>6.5184083325070252E-2</v>
      </c>
      <c r="N49" s="115">
        <f t="shared" si="34"/>
        <v>2296.3305269999996</v>
      </c>
      <c r="O49" s="115">
        <f t="shared" si="34"/>
        <v>1156.819553</v>
      </c>
      <c r="P49" s="115">
        <f t="shared" si="35"/>
        <v>2353.795255872702</v>
      </c>
      <c r="Q49" s="115">
        <f t="shared" si="36"/>
        <v>2228.5748979145396</v>
      </c>
      <c r="R49" s="136">
        <f t="shared" si="37"/>
        <v>0.15677684512700304</v>
      </c>
      <c r="S49" s="159">
        <f t="shared" si="38"/>
        <v>0.14843642018249104</v>
      </c>
      <c r="U49" s="160">
        <v>2008</v>
      </c>
      <c r="V49" s="115">
        <f t="shared" si="39"/>
        <v>3453.1500809999998</v>
      </c>
      <c r="W49" s="115">
        <v>1475.43532</v>
      </c>
      <c r="X49" s="115">
        <v>979.12861199999998</v>
      </c>
      <c r="Y49" s="115">
        <v>820.89520800000003</v>
      </c>
      <c r="Z49" s="115">
        <v>177.69094099999998</v>
      </c>
      <c r="AA49" s="115">
        <f t="shared" si="62"/>
        <v>23825.88407574001</v>
      </c>
      <c r="AB49" s="115">
        <f t="shared" si="63"/>
        <v>12498.7858977172</v>
      </c>
      <c r="AC49" s="115">
        <f t="shared" si="63"/>
        <v>10363.058755852973</v>
      </c>
      <c r="AD49" s="115">
        <f t="shared" si="63"/>
        <v>1847.7928857544698</v>
      </c>
      <c r="AE49" s="116">
        <f t="shared" si="40"/>
        <v>48535.521615064652</v>
      </c>
      <c r="AF49" s="161">
        <f t="shared" si="41"/>
        <v>48535.521615064652</v>
      </c>
      <c r="AH49" s="160">
        <v>2008</v>
      </c>
      <c r="AI49" s="115">
        <f t="shared" si="42"/>
        <v>48535.521615064652</v>
      </c>
      <c r="AJ49" s="115">
        <f t="shared" si="43"/>
        <v>36324.66997345721</v>
      </c>
      <c r="AK49" s="115">
        <f t="shared" si="44"/>
        <v>12210.851641607444</v>
      </c>
      <c r="AL49" s="162">
        <f t="shared" si="45"/>
        <v>0.74841412566961296</v>
      </c>
      <c r="AM49" s="162">
        <f t="shared" si="45"/>
        <v>0.25158587433038715</v>
      </c>
      <c r="AN49" s="162">
        <f t="shared" si="46"/>
        <v>2.4194403249431091</v>
      </c>
      <c r="AO49" s="162">
        <f t="shared" si="47"/>
        <v>0.81331576818703322</v>
      </c>
      <c r="AP49" s="163">
        <f t="shared" si="48"/>
        <v>3.232756093130142</v>
      </c>
      <c r="AR49" s="160">
        <v>2008</v>
      </c>
      <c r="AS49" s="115">
        <f t="shared" si="49"/>
        <v>2228.5748979145396</v>
      </c>
      <c r="AT49" s="115">
        <f t="shared" si="50"/>
        <v>141.49669680618345</v>
      </c>
      <c r="AU49" s="164">
        <f t="shared" si="51"/>
        <v>0.23000045313988582</v>
      </c>
      <c r="AV49" s="82">
        <f t="shared" si="52"/>
        <v>9.827281879399799E-2</v>
      </c>
      <c r="AW49" s="82">
        <f t="shared" si="53"/>
        <v>6.5215822990529165E-2</v>
      </c>
      <c r="AX49" s="82">
        <f t="shared" si="54"/>
        <v>5.4676531686014732E-2</v>
      </c>
      <c r="AY49" s="82">
        <f t="shared" si="55"/>
        <v>1.1835279669343951E-2</v>
      </c>
      <c r="AZ49" s="165">
        <f t="shared" si="56"/>
        <v>0.16348864178452716</v>
      </c>
      <c r="BA49" s="166">
        <f t="shared" si="57"/>
        <v>9.4245264815697501E-3</v>
      </c>
      <c r="BC49" s="81">
        <v>2008</v>
      </c>
      <c r="BD49" s="74">
        <f t="shared" si="58"/>
        <v>141.49669680618345</v>
      </c>
      <c r="BE49" s="74">
        <f t="shared" si="64"/>
        <v>3931.6100028784285</v>
      </c>
      <c r="BF49" s="167">
        <f t="shared" si="59"/>
        <v>0.26186874622300738</v>
      </c>
      <c r="BJ49" s="168"/>
    </row>
    <row r="50" spans="1:62">
      <c r="A50" s="73">
        <v>2009</v>
      </c>
      <c r="B50" s="115">
        <f t="shared" si="60"/>
        <v>34958.308542321625</v>
      </c>
      <c r="C50" s="115">
        <f t="shared" si="61"/>
        <v>14368.67949035275</v>
      </c>
      <c r="D50" s="115">
        <f t="shared" si="28"/>
        <v>49326.988032674373</v>
      </c>
      <c r="E50" s="115">
        <f t="shared" si="29"/>
        <v>2355.8143149427706</v>
      </c>
      <c r="F50" s="116">
        <f t="shared" si="30"/>
        <v>108.41904995732641</v>
      </c>
      <c r="G50" s="161"/>
      <c r="H50" s="69">
        <v>2009</v>
      </c>
      <c r="I50" s="115">
        <v>2124.2278550000001</v>
      </c>
      <c r="J50" s="115">
        <v>1021.033824</v>
      </c>
      <c r="K50" s="115">
        <f t="shared" si="31"/>
        <v>3145.2616790000002</v>
      </c>
      <c r="L50" s="136">
        <f t="shared" si="32"/>
        <v>0.16566948509258139</v>
      </c>
      <c r="M50" s="136">
        <f t="shared" si="33"/>
        <v>6.7389253461469623E-2</v>
      </c>
      <c r="N50" s="115">
        <f t="shared" si="34"/>
        <v>2124.2278550000001</v>
      </c>
      <c r="O50" s="115">
        <f t="shared" si="34"/>
        <v>1021.033824</v>
      </c>
      <c r="P50" s="115">
        <f t="shared" si="35"/>
        <v>2385.8230342375937</v>
      </c>
      <c r="Q50" s="115">
        <f t="shared" si="36"/>
        <v>2355.8143149427706</v>
      </c>
      <c r="R50" s="136">
        <f t="shared" si="37"/>
        <v>0.16777980806766779</v>
      </c>
      <c r="S50" s="159">
        <f t="shared" si="38"/>
        <v>0.16566948509258139</v>
      </c>
      <c r="U50" s="160">
        <v>2009</v>
      </c>
      <c r="V50" s="115">
        <f t="shared" si="39"/>
        <v>3145.2616800000005</v>
      </c>
      <c r="W50" s="115">
        <v>1346.9413589999999</v>
      </c>
      <c r="X50" s="115">
        <v>890.52569900000003</v>
      </c>
      <c r="Y50" s="115">
        <v>777.28649600000006</v>
      </c>
      <c r="Z50" s="115">
        <v>130.508126</v>
      </c>
      <c r="AA50" s="115">
        <f t="shared" si="62"/>
        <v>24228.637473124229</v>
      </c>
      <c r="AB50" s="115">
        <f t="shared" si="63"/>
        <v>12519.037829325473</v>
      </c>
      <c r="AC50" s="115">
        <f t="shared" si="63"/>
        <v>10729.671075327606</v>
      </c>
      <c r="AD50" s="115">
        <f t="shared" si="63"/>
        <v>1849.6416612219609</v>
      </c>
      <c r="AE50" s="116">
        <f t="shared" si="40"/>
        <v>49326.988038999269</v>
      </c>
      <c r="AF50" s="161">
        <f t="shared" si="41"/>
        <v>49326.988038999269</v>
      </c>
      <c r="AH50" s="160">
        <v>2009</v>
      </c>
      <c r="AI50" s="115">
        <f t="shared" si="42"/>
        <v>49326.988038999269</v>
      </c>
      <c r="AJ50" s="115">
        <f t="shared" si="43"/>
        <v>36747.675302449701</v>
      </c>
      <c r="AK50" s="115">
        <f t="shared" si="44"/>
        <v>12579.312736549567</v>
      </c>
      <c r="AL50" s="162">
        <f t="shared" si="45"/>
        <v>0.74498113027691826</v>
      </c>
      <c r="AM50" s="162">
        <f t="shared" si="45"/>
        <v>0.2550188697230818</v>
      </c>
      <c r="AN50" s="162">
        <f t="shared" si="46"/>
        <v>2.5842310266520756</v>
      </c>
      <c r="AO50" s="162">
        <f t="shared" si="47"/>
        <v>0.88462331290882923</v>
      </c>
      <c r="AP50" s="163">
        <f t="shared" si="48"/>
        <v>3.4688543395609051</v>
      </c>
      <c r="AR50" s="160">
        <v>2009</v>
      </c>
      <c r="AS50" s="115">
        <f t="shared" si="49"/>
        <v>2355.8143149427706</v>
      </c>
      <c r="AT50" s="115">
        <f t="shared" si="50"/>
        <v>108.41904995732641</v>
      </c>
      <c r="AU50" s="164">
        <f t="shared" si="51"/>
        <v>0.22118631324289492</v>
      </c>
      <c r="AV50" s="82">
        <f t="shared" si="52"/>
        <v>9.4721846276264218E-2</v>
      </c>
      <c r="AW50" s="82">
        <f t="shared" si="53"/>
        <v>6.2625026547826673E-2</v>
      </c>
      <c r="AX50" s="82">
        <f t="shared" si="54"/>
        <v>5.4661631328471273E-2</v>
      </c>
      <c r="AY50" s="82">
        <f t="shared" si="55"/>
        <v>9.1778090903327312E-3</v>
      </c>
      <c r="AZ50" s="165">
        <f t="shared" si="56"/>
        <v>0.15734687282409088</v>
      </c>
      <c r="BA50" s="166">
        <f t="shared" si="57"/>
        <v>7.6244244152550988E-3</v>
      </c>
      <c r="BC50" s="81">
        <v>2009</v>
      </c>
      <c r="BD50" s="74">
        <f t="shared" si="58"/>
        <v>108.41904995732641</v>
      </c>
      <c r="BE50" s="74">
        <f t="shared" si="64"/>
        <v>3961.3968527781863</v>
      </c>
      <c r="BF50" s="167">
        <f t="shared" si="59"/>
        <v>0.27857992571162277</v>
      </c>
      <c r="BJ50" s="168"/>
    </row>
    <row r="51" spans="1:62">
      <c r="A51" s="73">
        <v>2010</v>
      </c>
      <c r="B51" s="115">
        <f t="shared" si="60"/>
        <v>35715.886323708415</v>
      </c>
      <c r="C51" s="115">
        <f t="shared" si="61"/>
        <v>14577.719681728364</v>
      </c>
      <c r="D51" s="115">
        <f t="shared" si="28"/>
        <v>50293.606005436777</v>
      </c>
      <c r="E51" s="115">
        <f t="shared" si="29"/>
        <v>2363.1719134421828</v>
      </c>
      <c r="F51" s="116">
        <f t="shared" si="30"/>
        <v>180.92807425631847</v>
      </c>
      <c r="G51" s="161"/>
      <c r="H51" s="69">
        <v>2010</v>
      </c>
      <c r="I51" s="115">
        <v>2142.9288550000001</v>
      </c>
      <c r="J51" s="115">
        <v>1209.512152</v>
      </c>
      <c r="K51" s="115">
        <f t="shared" si="31"/>
        <v>3352.4410070000004</v>
      </c>
      <c r="L51" s="136">
        <f t="shared" si="32"/>
        <v>0.15809432114370792</v>
      </c>
      <c r="M51" s="136">
        <f t="shared" si="33"/>
        <v>6.6165848217337828E-2</v>
      </c>
      <c r="N51" s="115">
        <f t="shared" si="34"/>
        <v>2142.9288550000001</v>
      </c>
      <c r="O51" s="115">
        <f t="shared" si="34"/>
        <v>1209.512152</v>
      </c>
      <c r="P51" s="115">
        <f t="shared" si="35"/>
        <v>2430.4000191248715</v>
      </c>
      <c r="Q51" s="115">
        <f t="shared" si="36"/>
        <v>2363.1719134421828</v>
      </c>
      <c r="R51" s="136">
        <f t="shared" si="37"/>
        <v>0.16259182793499372</v>
      </c>
      <c r="S51" s="159">
        <f t="shared" si="38"/>
        <v>0.15809432114370792</v>
      </c>
      <c r="U51" s="160">
        <v>2010</v>
      </c>
      <c r="V51" s="115">
        <f t="shared" si="39"/>
        <v>3352.4410070000004</v>
      </c>
      <c r="W51" s="115">
        <v>1300.7348330000002</v>
      </c>
      <c r="X51" s="115">
        <v>1030.998887</v>
      </c>
      <c r="Y51" s="115">
        <v>842.19402200000002</v>
      </c>
      <c r="Z51" s="115">
        <v>178.51326500000002</v>
      </c>
      <c r="AA51" s="115">
        <f t="shared" si="62"/>
        <v>24569.223765329043</v>
      </c>
      <c r="AB51" s="115">
        <f t="shared" si="63"/>
        <v>12678.352833986428</v>
      </c>
      <c r="AC51" s="115">
        <f t="shared" si="63"/>
        <v>11146.662564266648</v>
      </c>
      <c r="AD51" s="115">
        <f t="shared" si="63"/>
        <v>1899.3668479230657</v>
      </c>
      <c r="AE51" s="116">
        <f t="shared" si="40"/>
        <v>50293.606011505188</v>
      </c>
      <c r="AF51" s="161">
        <f t="shared" si="41"/>
        <v>50293.606011505188</v>
      </c>
      <c r="AH51" s="160">
        <v>2010</v>
      </c>
      <c r="AI51" s="115">
        <f t="shared" si="42"/>
        <v>50293.606011505181</v>
      </c>
      <c r="AJ51" s="115">
        <f t="shared" si="43"/>
        <v>37247.576599315471</v>
      </c>
      <c r="AK51" s="115">
        <f t="shared" si="44"/>
        <v>13046.029412189713</v>
      </c>
      <c r="AL51" s="162">
        <f t="shared" si="45"/>
        <v>0.74060262433349278</v>
      </c>
      <c r="AM51" s="162">
        <f t="shared" si="45"/>
        <v>0.25939737566650717</v>
      </c>
      <c r="AN51" s="162">
        <f t="shared" si="46"/>
        <v>2.4918332446409681</v>
      </c>
      <c r="AO51" s="162">
        <f t="shared" si="47"/>
        <v>0.8727689897671258</v>
      </c>
      <c r="AP51" s="163">
        <f t="shared" si="48"/>
        <v>3.3646022344080939</v>
      </c>
      <c r="AR51" s="160">
        <v>2010</v>
      </c>
      <c r="AS51" s="115">
        <f t="shared" si="49"/>
        <v>2363.1719134421828</v>
      </c>
      <c r="AT51" s="115">
        <f t="shared" si="50"/>
        <v>180.92807425631847</v>
      </c>
      <c r="AU51" s="164">
        <f t="shared" si="51"/>
        <v>0.22427563655493682</v>
      </c>
      <c r="AV51" s="82">
        <f t="shared" si="52"/>
        <v>8.7018125613881822E-2</v>
      </c>
      <c r="AW51" s="82">
        <f t="shared" si="53"/>
        <v>6.8973005397125642E-2</v>
      </c>
      <c r="AX51" s="82">
        <f t="shared" si="54"/>
        <v>5.6342110119885082E-2</v>
      </c>
      <c r="AY51" s="82">
        <f t="shared" si="55"/>
        <v>1.1942395424044258E-2</v>
      </c>
      <c r="AZ51" s="165">
        <f t="shared" si="56"/>
        <v>0.15599113101100748</v>
      </c>
      <c r="BA51" s="166">
        <f t="shared" si="57"/>
        <v>1.2103944242349705E-2</v>
      </c>
      <c r="BC51" s="81">
        <v>2010</v>
      </c>
      <c r="BD51" s="74">
        <f t="shared" si="58"/>
        <v>180.92807425631847</v>
      </c>
      <c r="BE51" s="74">
        <f t="shared" si="64"/>
        <v>4063.0969899789407</v>
      </c>
      <c r="BF51" s="167">
        <f t="shared" si="59"/>
        <v>0.27181795650072554</v>
      </c>
      <c r="BJ51" s="168"/>
    </row>
    <row r="52" spans="1:62">
      <c r="A52" s="73">
        <v>2011</v>
      </c>
      <c r="B52" s="115">
        <f t="shared" si="60"/>
        <v>36683.490735517793</v>
      </c>
      <c r="C52" s="115">
        <f t="shared" si="61"/>
        <v>14901.003751794115</v>
      </c>
      <c r="D52" s="115">
        <f t="shared" si="28"/>
        <v>51584.494487311909</v>
      </c>
      <c r="E52" s="115">
        <f t="shared" si="29"/>
        <v>2425.8521379893286</v>
      </c>
      <c r="F52" s="116">
        <f t="shared" si="30"/>
        <v>156.08373712293309</v>
      </c>
      <c r="G52" s="161"/>
      <c r="H52" s="69">
        <v>2011</v>
      </c>
      <c r="I52" s="115">
        <v>2382.9772809999999</v>
      </c>
      <c r="J52" s="115">
        <v>1338.31122</v>
      </c>
      <c r="K52" s="115">
        <f t="shared" si="31"/>
        <v>3721.288501</v>
      </c>
      <c r="L52" s="136">
        <f t="shared" si="32"/>
        <v>0.15655352930609301</v>
      </c>
      <c r="M52" s="136">
        <f t="shared" si="33"/>
        <v>6.6129261129463976E-2</v>
      </c>
      <c r="N52" s="115">
        <f t="shared" si="34"/>
        <v>2382.9772809999999</v>
      </c>
      <c r="O52" s="115">
        <f t="shared" si="34"/>
        <v>1338.31122</v>
      </c>
      <c r="P52" s="115">
        <f t="shared" si="35"/>
        <v>2491.2547275198858</v>
      </c>
      <c r="Q52" s="115">
        <f t="shared" si="36"/>
        <v>2425.8521379893286</v>
      </c>
      <c r="R52" s="136">
        <f t="shared" si="37"/>
        <v>0.16077431673844372</v>
      </c>
      <c r="S52" s="159">
        <f t="shared" si="38"/>
        <v>0.15655352930609301</v>
      </c>
      <c r="U52" s="160">
        <v>2011</v>
      </c>
      <c r="V52" s="115">
        <f t="shared" si="39"/>
        <v>3721.2885000000001</v>
      </c>
      <c r="W52" s="115">
        <v>1635.7448570000001</v>
      </c>
      <c r="X52" s="115">
        <v>1163.18172</v>
      </c>
      <c r="Y52" s="115">
        <v>747.23242299999993</v>
      </c>
      <c r="Z52" s="115">
        <v>175.12950000000001</v>
      </c>
      <c r="AA52" s="115">
        <f t="shared" si="62"/>
        <v>25231.323101695933</v>
      </c>
      <c r="AB52" s="115">
        <f t="shared" si="63"/>
        <v>12958.757780670378</v>
      </c>
      <c r="AC52" s="115">
        <f t="shared" si="63"/>
        <v>11452.167638475834</v>
      </c>
      <c r="AD52" s="115">
        <f t="shared" si="63"/>
        <v>1942.2459712922555</v>
      </c>
      <c r="AE52" s="116">
        <f t="shared" si="40"/>
        <v>51584.494492134399</v>
      </c>
      <c r="AF52" s="161">
        <f t="shared" si="41"/>
        <v>51584.494492134399</v>
      </c>
      <c r="AH52" s="160">
        <v>2011</v>
      </c>
      <c r="AI52" s="115">
        <f t="shared" si="42"/>
        <v>51584.494492134399</v>
      </c>
      <c r="AJ52" s="115">
        <f t="shared" si="43"/>
        <v>38190.08088236631</v>
      </c>
      <c r="AK52" s="115">
        <f t="shared" si="44"/>
        <v>13394.413609768089</v>
      </c>
      <c r="AL52" s="162">
        <f t="shared" si="45"/>
        <v>0.74034031463058214</v>
      </c>
      <c r="AM52" s="162">
        <f t="shared" si="45"/>
        <v>0.25965968536941791</v>
      </c>
      <c r="AN52" s="162">
        <f t="shared" si="46"/>
        <v>2.4646151564600833</v>
      </c>
      <c r="AO52" s="162">
        <f t="shared" si="47"/>
        <v>0.86441489600961996</v>
      </c>
      <c r="AP52" s="163">
        <f t="shared" si="48"/>
        <v>3.3290300524697032</v>
      </c>
      <c r="AR52" s="160">
        <v>2011</v>
      </c>
      <c r="AS52" s="115">
        <f t="shared" si="49"/>
        <v>2425.8521379893286</v>
      </c>
      <c r="AT52" s="115">
        <f t="shared" si="50"/>
        <v>156.08373712293309</v>
      </c>
      <c r="AU52" s="164">
        <f t="shared" si="51"/>
        <v>0.24015513522767715</v>
      </c>
      <c r="AV52" s="82">
        <f t="shared" si="52"/>
        <v>0.10556357759706414</v>
      </c>
      <c r="AW52" s="82">
        <f t="shared" si="53"/>
        <v>7.5066489271380626E-2</v>
      </c>
      <c r="AX52" s="82">
        <f t="shared" si="54"/>
        <v>4.8223002218739507E-2</v>
      </c>
      <c r="AY52" s="82">
        <f t="shared" si="55"/>
        <v>1.1302066140492865E-2</v>
      </c>
      <c r="AZ52" s="165">
        <f t="shared" si="56"/>
        <v>0.18063006686844477</v>
      </c>
      <c r="BA52" s="166">
        <f t="shared" si="57"/>
        <v>1.0072938713458848E-2</v>
      </c>
      <c r="BC52" s="81">
        <v>2011</v>
      </c>
      <c r="BD52" s="74">
        <f t="shared" si="58"/>
        <v>156.08373712293309</v>
      </c>
      <c r="BE52" s="74">
        <f t="shared" si="64"/>
        <v>4137.9187873022947</v>
      </c>
      <c r="BF52" s="167">
        <f t="shared" si="59"/>
        <v>0.26704257031555828</v>
      </c>
      <c r="BJ52" s="168"/>
    </row>
    <row r="53" spans="1:62">
      <c r="A53" s="73">
        <v>2012</v>
      </c>
      <c r="B53" s="115">
        <f t="shared" si="60"/>
        <v>37536.601355919316</v>
      </c>
      <c r="C53" s="115">
        <f t="shared" si="61"/>
        <v>15287.424204872703</v>
      </c>
      <c r="D53" s="115">
        <f t="shared" si="28"/>
        <v>52824.025560792019</v>
      </c>
      <c r="E53" s="115">
        <f t="shared" si="29"/>
        <v>2547.2475993217795</v>
      </c>
      <c r="F53" s="116">
        <f t="shared" si="30"/>
        <v>168.00420232909954</v>
      </c>
      <c r="G53" s="161"/>
      <c r="H53" s="69">
        <v>2012</v>
      </c>
      <c r="I53" s="115">
        <v>2306.82836</v>
      </c>
      <c r="J53" s="115">
        <v>1423.957441</v>
      </c>
      <c r="K53" s="115">
        <f t="shared" si="31"/>
        <v>3730.785801</v>
      </c>
      <c r="L53" s="136">
        <f t="shared" si="32"/>
        <v>0.15861041241199725</v>
      </c>
      <c r="M53" s="136">
        <f t="shared" si="33"/>
        <v>6.7860368475264013E-2</v>
      </c>
      <c r="N53" s="115">
        <f t="shared" si="34"/>
        <v>2306.82836</v>
      </c>
      <c r="O53" s="115">
        <f t="shared" si="34"/>
        <v>1423.957441</v>
      </c>
      <c r="P53" s="115">
        <f t="shared" si="35"/>
        <v>2551.968301908837</v>
      </c>
      <c r="Q53" s="115">
        <f t="shared" si="36"/>
        <v>2547.2475993217795</v>
      </c>
      <c r="R53" s="136">
        <f t="shared" si="37"/>
        <v>0.15890435815343476</v>
      </c>
      <c r="S53" s="159">
        <f t="shared" si="38"/>
        <v>0.15861041241199725</v>
      </c>
      <c r="U53" s="160">
        <v>2012</v>
      </c>
      <c r="V53" s="115">
        <f t="shared" si="39"/>
        <v>3730.785801</v>
      </c>
      <c r="W53" s="115">
        <v>1599.0754509999999</v>
      </c>
      <c r="X53" s="115">
        <v>1273.062048</v>
      </c>
      <c r="Y53" s="115">
        <v>707.75290899999993</v>
      </c>
      <c r="Z53" s="115">
        <v>150.89539300000001</v>
      </c>
      <c r="AA53" s="115">
        <f t="shared" si="62"/>
        <v>25830.514919730696</v>
      </c>
      <c r="AB53" s="115">
        <f t="shared" si="63"/>
        <v>13329.518833454462</v>
      </c>
      <c r="AC53" s="115">
        <f t="shared" si="63"/>
        <v>11706.086440658168</v>
      </c>
      <c r="AD53" s="115">
        <f t="shared" si="63"/>
        <v>1957.905371575024</v>
      </c>
      <c r="AE53" s="116">
        <f t="shared" si="40"/>
        <v>52824.025565418349</v>
      </c>
      <c r="AF53" s="161">
        <f t="shared" si="41"/>
        <v>52824.025565418349</v>
      </c>
      <c r="AH53" s="160">
        <v>2012</v>
      </c>
      <c r="AI53" s="115">
        <f t="shared" si="42"/>
        <v>52824.025565418342</v>
      </c>
      <c r="AJ53" s="115">
        <f t="shared" si="43"/>
        <v>39160.033753185155</v>
      </c>
      <c r="AK53" s="115">
        <f t="shared" si="44"/>
        <v>13663.991812233191</v>
      </c>
      <c r="AL53" s="162">
        <f t="shared" si="45"/>
        <v>0.74132997881217078</v>
      </c>
      <c r="AM53" s="162">
        <f t="shared" si="45"/>
        <v>0.25867002118782911</v>
      </c>
      <c r="AN53" s="162">
        <f t="shared" si="46"/>
        <v>2.4383923672414873</v>
      </c>
      <c r="AO53" s="162">
        <f t="shared" si="47"/>
        <v>0.85082085350065861</v>
      </c>
      <c r="AP53" s="163">
        <f t="shared" si="48"/>
        <v>3.2892132207421456</v>
      </c>
      <c r="AR53" s="160">
        <v>2012</v>
      </c>
      <c r="AS53" s="115">
        <f t="shared" si="49"/>
        <v>2547.2475993217795</v>
      </c>
      <c r="AT53" s="115">
        <f t="shared" si="50"/>
        <v>168.00420232909954</v>
      </c>
      <c r="AU53" s="164">
        <f t="shared" si="51"/>
        <v>0.23230622522717789</v>
      </c>
      <c r="AV53" s="82">
        <f t="shared" si="52"/>
        <v>9.9570225065102061E-2</v>
      </c>
      <c r="AW53" s="82">
        <f t="shared" si="53"/>
        <v>7.9270227406673985E-2</v>
      </c>
      <c r="AX53" s="82">
        <f t="shared" si="54"/>
        <v>4.406991327115977E-2</v>
      </c>
      <c r="AY53" s="82">
        <f t="shared" si="55"/>
        <v>9.3958594842420765E-3</v>
      </c>
      <c r="AZ53" s="165">
        <f t="shared" si="56"/>
        <v>0.17884045247177605</v>
      </c>
      <c r="BA53" s="166">
        <f t="shared" si="57"/>
        <v>1.0461180069602222E-2</v>
      </c>
      <c r="BC53" s="81">
        <v>2012</v>
      </c>
      <c r="BD53" s="74">
        <f t="shared" si="58"/>
        <v>168.00420232909954</v>
      </c>
      <c r="BE53" s="74">
        <f t="shared" si="64"/>
        <v>4223.1646138853484</v>
      </c>
      <c r="BF53" s="167">
        <f t="shared" si="59"/>
        <v>0.26296535965740303</v>
      </c>
      <c r="BJ53" s="168"/>
    </row>
    <row r="54" spans="1:62">
      <c r="A54" s="73">
        <v>2013</v>
      </c>
      <c r="B54" s="115">
        <f t="shared" si="60"/>
        <v>38264.255819936785</v>
      </c>
      <c r="C54" s="115">
        <f t="shared" si="61"/>
        <v>15622.666612946401</v>
      </c>
      <c r="D54" s="115">
        <f t="shared" si="28"/>
        <v>53886.922432883184</v>
      </c>
      <c r="E54" s="115">
        <f t="shared" si="29"/>
        <v>2567.2304479999998</v>
      </c>
      <c r="F54" s="116">
        <f t="shared" si="30"/>
        <v>201.98656</v>
      </c>
      <c r="G54" s="161"/>
      <c r="H54" s="69">
        <v>2013</v>
      </c>
      <c r="I54" s="115">
        <v>2215.179838</v>
      </c>
      <c r="J54" s="115">
        <v>1399.685336</v>
      </c>
      <c r="K54" s="115">
        <f t="shared" si="31"/>
        <v>3614.865174</v>
      </c>
      <c r="L54" s="136">
        <f t="shared" si="32"/>
        <v>0.15771953935885089</v>
      </c>
      <c r="M54" s="136">
        <f t="shared" si="33"/>
        <v>6.7092130579536807E-2</v>
      </c>
      <c r="N54" s="115">
        <f t="shared" si="34"/>
        <v>2215.179838</v>
      </c>
      <c r="O54" s="115">
        <f t="shared" si="34"/>
        <v>1399.685336</v>
      </c>
      <c r="P54" s="115">
        <f t="shared" si="35"/>
        <v>2604.1467574774379</v>
      </c>
      <c r="Q54" s="115">
        <f t="shared" si="36"/>
        <v>2567.2304479999998</v>
      </c>
      <c r="R54" s="136">
        <f t="shared" si="37"/>
        <v>0.15998751780626538</v>
      </c>
      <c r="S54" s="159">
        <f t="shared" si="38"/>
        <v>0.15771953935885089</v>
      </c>
      <c r="U54" s="160">
        <v>2013</v>
      </c>
      <c r="V54" s="115">
        <f t="shared" si="39"/>
        <v>3614.8651730000001</v>
      </c>
      <c r="W54" s="115">
        <v>1483.7887430000001</v>
      </c>
      <c r="X54" s="115">
        <v>1279.790751</v>
      </c>
      <c r="Y54" s="115">
        <v>731.39109400000007</v>
      </c>
      <c r="Z54" s="115">
        <v>119.89458500000001</v>
      </c>
      <c r="AA54" s="115">
        <f t="shared" si="62"/>
        <v>26290.674858359074</v>
      </c>
      <c r="AB54" s="115">
        <f t="shared" si="63"/>
        <v>13681.192992359856</v>
      </c>
      <c r="AC54" s="115">
        <f t="shared" si="63"/>
        <v>11973.580964870131</v>
      </c>
      <c r="AD54" s="115">
        <f t="shared" si="63"/>
        <v>1941.4736207324124</v>
      </c>
      <c r="AE54" s="116">
        <f t="shared" si="40"/>
        <v>53886.922436321474</v>
      </c>
      <c r="AF54" s="161">
        <f t="shared" si="41"/>
        <v>53886.922436321474</v>
      </c>
      <c r="AH54" s="160">
        <v>2013</v>
      </c>
      <c r="AI54" s="115">
        <f t="shared" si="42"/>
        <v>53886.922436321474</v>
      </c>
      <c r="AJ54" s="115">
        <f t="shared" si="43"/>
        <v>39971.867850718932</v>
      </c>
      <c r="AK54" s="115">
        <f t="shared" si="44"/>
        <v>13915.054585602544</v>
      </c>
      <c r="AL54" s="162">
        <f t="shared" si="45"/>
        <v>0.74177306929995768</v>
      </c>
      <c r="AM54" s="162">
        <f t="shared" si="45"/>
        <v>0.25822693070004238</v>
      </c>
      <c r="AN54" s="162">
        <f t="shared" si="46"/>
        <v>2.4556987432272193</v>
      </c>
      <c r="AO54" s="162">
        <f t="shared" si="47"/>
        <v>0.85488079229671832</v>
      </c>
      <c r="AP54" s="163">
        <f t="shared" si="48"/>
        <v>3.3105795355239374</v>
      </c>
      <c r="AR54" s="160">
        <v>2013</v>
      </c>
      <c r="AS54" s="115">
        <f t="shared" si="49"/>
        <v>2567.2304479999998</v>
      </c>
      <c r="AT54" s="115">
        <f t="shared" si="50"/>
        <v>201.98656</v>
      </c>
      <c r="AU54" s="164">
        <f t="shared" si="51"/>
        <v>0.22208168743638743</v>
      </c>
      <c r="AV54" s="82">
        <f t="shared" si="52"/>
        <v>9.115756524083124E-2</v>
      </c>
      <c r="AW54" s="82">
        <f t="shared" si="53"/>
        <v>7.8624810593333164E-2</v>
      </c>
      <c r="AX54" s="82">
        <f t="shared" si="54"/>
        <v>4.4933506661512621E-2</v>
      </c>
      <c r="AY54" s="82">
        <f t="shared" si="55"/>
        <v>7.3658049407104081E-3</v>
      </c>
      <c r="AZ54" s="165">
        <f t="shared" si="56"/>
        <v>0.16978237583416439</v>
      </c>
      <c r="BA54" s="166">
        <f t="shared" si="57"/>
        <v>1.2409180961801563E-2</v>
      </c>
      <c r="BC54" s="81">
        <v>2013</v>
      </c>
      <c r="BD54" s="74">
        <f t="shared" si="58"/>
        <v>201.98656</v>
      </c>
      <c r="BE54" s="74">
        <f t="shared" si="64"/>
        <v>4340.6878816076414</v>
      </c>
      <c r="BF54" s="167">
        <f t="shared" si="59"/>
        <v>0.26667309657418942</v>
      </c>
      <c r="BJ54" s="168"/>
    </row>
    <row r="55" spans="1:62">
      <c r="A55" s="73">
        <v>2014</v>
      </c>
      <c r="B55" s="115">
        <f t="shared" si="60"/>
        <v>39048.947425475511</v>
      </c>
      <c r="C55" s="115">
        <f t="shared" si="61"/>
        <v>16079.497706930231</v>
      </c>
      <c r="D55" s="115">
        <f t="shared" si="28"/>
        <v>55128.445132405745</v>
      </c>
      <c r="E55" s="115">
        <f t="shared" si="29"/>
        <v>2607.4836355802377</v>
      </c>
      <c r="F55" s="116">
        <f t="shared" si="30"/>
        <v>146.25684890846418</v>
      </c>
      <c r="G55" s="161"/>
      <c r="H55" s="69">
        <v>2014</v>
      </c>
      <c r="I55" s="115">
        <v>2301.0529539999998</v>
      </c>
      <c r="J55" s="115">
        <v>1544.616503</v>
      </c>
      <c r="K55" s="115">
        <f t="shared" si="31"/>
        <v>3845.669457</v>
      </c>
      <c r="L55" s="136">
        <f t="shared" si="32"/>
        <v>0.15575430733204065</v>
      </c>
      <c r="M55" s="136">
        <f t="shared" si="33"/>
        <v>6.6774748296521733E-2</v>
      </c>
      <c r="N55" s="115">
        <f t="shared" si="34"/>
        <v>2301.0529539999998</v>
      </c>
      <c r="O55" s="115">
        <f t="shared" si="34"/>
        <v>1544.616503</v>
      </c>
      <c r="P55" s="115">
        <f t="shared" si="35"/>
        <v>2667.0515765733871</v>
      </c>
      <c r="Q55" s="115">
        <f t="shared" si="36"/>
        <v>2607.4836355802377</v>
      </c>
      <c r="R55" s="136">
        <f t="shared" si="37"/>
        <v>0.159312513129378</v>
      </c>
      <c r="S55" s="159">
        <f t="shared" si="38"/>
        <v>0.15575430733204065</v>
      </c>
      <c r="U55" s="160">
        <v>2014</v>
      </c>
      <c r="V55" s="115">
        <f t="shared" si="39"/>
        <v>3845.6694560000001</v>
      </c>
      <c r="W55" s="115">
        <v>1638.7706580000001</v>
      </c>
      <c r="X55" s="115">
        <v>1409.085151</v>
      </c>
      <c r="Y55" s="115">
        <v>662.28229599999997</v>
      </c>
      <c r="Z55" s="115">
        <v>135.531351</v>
      </c>
      <c r="AA55" s="115">
        <f t="shared" si="62"/>
        <v>26887.581188256641</v>
      </c>
      <c r="AB55" s="115">
        <f t="shared" si="63"/>
        <v>14137.67494931291</v>
      </c>
      <c r="AC55" s="115">
        <f t="shared" si="63"/>
        <v>12161.366240380823</v>
      </c>
      <c r="AD55" s="115">
        <f t="shared" si="63"/>
        <v>1941.8227567530319</v>
      </c>
      <c r="AE55" s="116">
        <f t="shared" si="40"/>
        <v>55128.445134703412</v>
      </c>
      <c r="AF55" s="161">
        <f t="shared" si="41"/>
        <v>55128.445134703412</v>
      </c>
      <c r="AH55" s="160">
        <v>2014</v>
      </c>
      <c r="AI55" s="115">
        <f t="shared" si="42"/>
        <v>55128.445134703405</v>
      </c>
      <c r="AJ55" s="115">
        <f t="shared" si="43"/>
        <v>41025.256137569551</v>
      </c>
      <c r="AK55" s="115">
        <f t="shared" si="44"/>
        <v>14103.188997133855</v>
      </c>
      <c r="AL55" s="162">
        <f t="shared" si="45"/>
        <v>0.74417582497250789</v>
      </c>
      <c r="AM55" s="162">
        <f t="shared" si="45"/>
        <v>0.255824175027492</v>
      </c>
      <c r="AN55" s="162">
        <f t="shared" si="46"/>
        <v>2.4505850259745823</v>
      </c>
      <c r="AO55" s="162">
        <f t="shared" si="47"/>
        <v>0.842433832928976</v>
      </c>
      <c r="AP55" s="163">
        <f t="shared" si="48"/>
        <v>3.2930188589035581</v>
      </c>
      <c r="AR55" s="160">
        <v>2014</v>
      </c>
      <c r="AS55" s="115">
        <f t="shared" si="49"/>
        <v>2607.4836355802377</v>
      </c>
      <c r="AT55" s="115">
        <f t="shared" si="50"/>
        <v>146.25684890846418</v>
      </c>
      <c r="AU55" s="164">
        <f t="shared" si="51"/>
        <v>0.22971556721351236</v>
      </c>
      <c r="AV55" s="82">
        <f t="shared" si="52"/>
        <v>9.7889622481202365E-2</v>
      </c>
      <c r="AW55" s="82">
        <f t="shared" si="53"/>
        <v>8.4169687077261565E-2</v>
      </c>
      <c r="AX55" s="82">
        <f t="shared" si="54"/>
        <v>3.9560486157681686E-2</v>
      </c>
      <c r="AY55" s="82">
        <f t="shared" si="55"/>
        <v>8.0957714973667345E-3</v>
      </c>
      <c r="AZ55" s="165">
        <f t="shared" si="56"/>
        <v>0.18205930955846394</v>
      </c>
      <c r="BA55" s="166">
        <f t="shared" si="57"/>
        <v>8.7364437818362572E-3</v>
      </c>
      <c r="BC55" s="81">
        <v>2014</v>
      </c>
      <c r="BD55" s="74">
        <f t="shared" si="58"/>
        <v>146.25684890846418</v>
      </c>
      <c r="BE55" s="74">
        <f t="shared" si="64"/>
        <v>4400.1309728839524</v>
      </c>
      <c r="BF55" s="167">
        <f t="shared" si="59"/>
        <v>0.26283553327048631</v>
      </c>
      <c r="BJ55" s="168"/>
    </row>
    <row r="56" spans="1:62">
      <c r="A56" s="73">
        <v>2015</v>
      </c>
      <c r="B56" s="115">
        <f t="shared" si="60"/>
        <v>39700.7739818017</v>
      </c>
      <c r="C56" s="115">
        <f t="shared" si="61"/>
        <v>16635.951982030649</v>
      </c>
      <c r="D56" s="115">
        <f t="shared" si="28"/>
        <v>56336.725963832345</v>
      </c>
      <c r="E56" s="115">
        <f t="shared" si="29"/>
        <v>2831.0293339913037</v>
      </c>
      <c r="F56" s="116">
        <f t="shared" si="30"/>
        <v>152.5794424632918</v>
      </c>
      <c r="G56" s="161"/>
      <c r="H56" s="69">
        <v>2015</v>
      </c>
      <c r="I56" s="115">
        <v>2199.284185</v>
      </c>
      <c r="J56" s="115">
        <v>1676.048223</v>
      </c>
      <c r="K56" s="115">
        <f t="shared" si="31"/>
        <v>3875.3324080000002</v>
      </c>
      <c r="L56" s="136">
        <f t="shared" si="32"/>
        <v>0.16371612653456899</v>
      </c>
      <c r="M56" s="136">
        <f t="shared" si="33"/>
        <v>7.1309172342307714E-2</v>
      </c>
      <c r="N56" s="115">
        <f t="shared" si="34"/>
        <v>2199.284185</v>
      </c>
      <c r="O56" s="115">
        <f t="shared" si="34"/>
        <v>1676.048223</v>
      </c>
      <c r="P56" s="115">
        <f t="shared" si="35"/>
        <v>2731.6277602714563</v>
      </c>
      <c r="Q56" s="115">
        <f t="shared" si="36"/>
        <v>2831.0293339913037</v>
      </c>
      <c r="R56" s="136">
        <f t="shared" si="37"/>
        <v>0.15796781427744711</v>
      </c>
      <c r="S56" s="159">
        <f t="shared" si="38"/>
        <v>0.16371612653456899</v>
      </c>
      <c r="U56" s="160">
        <v>2015</v>
      </c>
      <c r="V56" s="115">
        <f t="shared" si="39"/>
        <v>3875.3324079999998</v>
      </c>
      <c r="W56" s="115">
        <v>1631.8124069999999</v>
      </c>
      <c r="X56" s="115">
        <v>1556.800414</v>
      </c>
      <c r="Y56" s="115">
        <v>567.47177800000009</v>
      </c>
      <c r="Z56" s="115">
        <v>119.24780899999999</v>
      </c>
      <c r="AA56" s="115">
        <f t="shared" si="62"/>
        <v>27453.874666589967</v>
      </c>
      <c r="AB56" s="115">
        <f t="shared" si="63"/>
        <v>14710.087940327661</v>
      </c>
      <c r="AC56" s="115">
        <f t="shared" si="63"/>
        <v>12246.89931824839</v>
      </c>
      <c r="AD56" s="115">
        <f t="shared" si="63"/>
        <v>1925.8640408988779</v>
      </c>
      <c r="AE56" s="116">
        <f t="shared" si="40"/>
        <v>56336.7259660649</v>
      </c>
      <c r="AF56" s="161">
        <f t="shared" si="41"/>
        <v>56336.7259660649</v>
      </c>
      <c r="AH56" s="160">
        <v>2015</v>
      </c>
      <c r="AI56" s="115">
        <f t="shared" si="42"/>
        <v>56336.7259660649</v>
      </c>
      <c r="AJ56" s="115">
        <f t="shared" si="43"/>
        <v>42163.96260691763</v>
      </c>
      <c r="AK56" s="115">
        <f t="shared" si="44"/>
        <v>14172.763359147268</v>
      </c>
      <c r="AL56" s="162">
        <f t="shared" si="45"/>
        <v>0.74842763550575508</v>
      </c>
      <c r="AM56" s="162">
        <f t="shared" si="45"/>
        <v>0.25157236449424486</v>
      </c>
      <c r="AN56" s="162">
        <f t="shared" si="46"/>
        <v>2.4383077047177522</v>
      </c>
      <c r="AO56" s="162">
        <f t="shared" si="47"/>
        <v>0.81959939149743355</v>
      </c>
      <c r="AP56" s="163">
        <f t="shared" si="48"/>
        <v>3.2579070962151855</v>
      </c>
      <c r="AR56" s="160">
        <v>2015</v>
      </c>
      <c r="AS56" s="115">
        <f t="shared" si="49"/>
        <v>2831.0293339913037</v>
      </c>
      <c r="AT56" s="115">
        <f t="shared" si="50"/>
        <v>152.5794424632918</v>
      </c>
      <c r="AU56" s="164">
        <f t="shared" si="51"/>
        <v>0.22410732494147756</v>
      </c>
      <c r="AV56" s="82">
        <f t="shared" si="52"/>
        <v>9.4366385857417689E-2</v>
      </c>
      <c r="AW56" s="82">
        <f t="shared" si="53"/>
        <v>9.00285032399019E-2</v>
      </c>
      <c r="AX56" s="82">
        <f t="shared" si="54"/>
        <v>3.2816431923319039E-2</v>
      </c>
      <c r="AY56" s="82">
        <f t="shared" si="55"/>
        <v>6.8960039208389506E-3</v>
      </c>
      <c r="AZ56" s="165">
        <f t="shared" si="56"/>
        <v>0.1843948890973196</v>
      </c>
      <c r="BA56" s="166">
        <f t="shared" si="57"/>
        <v>8.8235452063214117E-3</v>
      </c>
      <c r="BC56" s="81">
        <v>2015</v>
      </c>
      <c r="BD56" s="74">
        <f t="shared" si="58"/>
        <v>152.5794424632918</v>
      </c>
      <c r="BE56" s="74">
        <f t="shared" si="64"/>
        <v>4464.7077958895643</v>
      </c>
      <c r="BF56" s="167">
        <f t="shared" si="59"/>
        <v>0.25819042483082155</v>
      </c>
      <c r="BJ56" s="168"/>
    </row>
    <row r="57" spans="1:62">
      <c r="A57" s="73">
        <v>2016</v>
      </c>
      <c r="B57" s="115">
        <f t="shared" si="60"/>
        <v>40368.742343347403</v>
      </c>
      <c r="C57" s="115">
        <f t="shared" si="61"/>
        <v>17180.39613521349</v>
      </c>
      <c r="D57" s="115">
        <f t="shared" si="28"/>
        <v>57549.138478560897</v>
      </c>
      <c r="E57" s="115">
        <f t="shared" si="29"/>
        <v>3019.2188016328546</v>
      </c>
      <c r="F57" s="116">
        <f t="shared" si="30"/>
        <v>145.35930912264922</v>
      </c>
      <c r="G57" s="161"/>
      <c r="H57" s="69">
        <v>2016</v>
      </c>
      <c r="I57" s="115">
        <v>2241.2570060000003</v>
      </c>
      <c r="J57" s="115">
        <v>1702.783269</v>
      </c>
      <c r="K57" s="115">
        <f t="shared" si="31"/>
        <v>3944.0402750000003</v>
      </c>
      <c r="L57" s="136">
        <f t="shared" si="32"/>
        <v>0.17012362247690671</v>
      </c>
      <c r="M57" s="136">
        <f t="shared" si="33"/>
        <v>7.4791004781708512E-2</v>
      </c>
      <c r="N57" s="115">
        <f t="shared" si="34"/>
        <v>2241.2570060000003</v>
      </c>
      <c r="O57" s="115">
        <f t="shared" si="34"/>
        <v>1702.783269</v>
      </c>
      <c r="P57" s="115">
        <f t="shared" si="35"/>
        <v>2796.0073734025518</v>
      </c>
      <c r="Q57" s="115">
        <f t="shared" si="36"/>
        <v>3019.2188016328546</v>
      </c>
      <c r="R57" s="136">
        <f t="shared" si="37"/>
        <v>0.15754635026058164</v>
      </c>
      <c r="S57" s="159">
        <f t="shared" si="38"/>
        <v>0.17012362247690671</v>
      </c>
      <c r="U57" s="160">
        <v>2016</v>
      </c>
      <c r="V57" s="115">
        <f t="shared" si="39"/>
        <v>3944.0402749999998</v>
      </c>
      <c r="W57" s="115">
        <v>1653.537701</v>
      </c>
      <c r="X57" s="115">
        <v>1568.8539040000001</v>
      </c>
      <c r="Y57" s="115">
        <v>587.71930500000008</v>
      </c>
      <c r="Z57" s="115">
        <v>133.92936499999999</v>
      </c>
      <c r="AA57" s="115">
        <f t="shared" si="62"/>
        <v>28019.451984776861</v>
      </c>
      <c r="AB57" s="115">
        <f t="shared" si="63"/>
        <v>15254.698069351827</v>
      </c>
      <c r="AC57" s="115">
        <f t="shared" si="63"/>
        <v>12349.290361486857</v>
      </c>
      <c r="AD57" s="115">
        <f t="shared" si="63"/>
        <v>1925.6980651135434</v>
      </c>
      <c r="AE57" s="116">
        <f t="shared" si="40"/>
        <v>57549.138480729089</v>
      </c>
      <c r="AF57" s="161">
        <f t="shared" si="41"/>
        <v>57549.138480729089</v>
      </c>
      <c r="AH57" s="160">
        <v>2016</v>
      </c>
      <c r="AI57" s="115">
        <f t="shared" si="42"/>
        <v>57549.138480729089</v>
      </c>
      <c r="AJ57" s="115">
        <f t="shared" si="43"/>
        <v>43274.150054128688</v>
      </c>
      <c r="AK57" s="115">
        <f t="shared" si="44"/>
        <v>14274.988426600401</v>
      </c>
      <c r="AL57" s="162">
        <f t="shared" si="45"/>
        <v>0.75195130972498359</v>
      </c>
      <c r="AM57" s="162">
        <f t="shared" si="45"/>
        <v>0.24804869027501647</v>
      </c>
      <c r="AN57" s="162">
        <f t="shared" si="46"/>
        <v>2.438364242709441</v>
      </c>
      <c r="AO57" s="162">
        <f t="shared" si="47"/>
        <v>0.80435135758819154</v>
      </c>
      <c r="AP57" s="163">
        <f t="shared" si="48"/>
        <v>3.2427156002976325</v>
      </c>
      <c r="AR57" s="160">
        <v>2016</v>
      </c>
      <c r="AS57" s="115">
        <f t="shared" si="49"/>
        <v>3019.2188016328546</v>
      </c>
      <c r="AT57" s="115">
        <f t="shared" si="50"/>
        <v>145.35930912264922</v>
      </c>
      <c r="AU57" s="164">
        <f t="shared" si="51"/>
        <v>0.22223444634583581</v>
      </c>
      <c r="AV57" s="82">
        <f t="shared" si="52"/>
        <v>9.3171724899209149E-2</v>
      </c>
      <c r="AW57" s="82">
        <f t="shared" si="53"/>
        <v>8.8400055385576173E-2</v>
      </c>
      <c r="AX57" s="82">
        <f t="shared" si="54"/>
        <v>3.311616140974484E-2</v>
      </c>
      <c r="AY57" s="82">
        <f t="shared" si="55"/>
        <v>7.5465046513056612E-3</v>
      </c>
      <c r="AZ57" s="165">
        <f t="shared" si="56"/>
        <v>0.18157178028478532</v>
      </c>
      <c r="BA57" s="166">
        <f t="shared" si="57"/>
        <v>8.1905465795693855E-3</v>
      </c>
      <c r="BC57" s="81">
        <v>2016</v>
      </c>
      <c r="BD57" s="74">
        <f t="shared" si="58"/>
        <v>145.35930912264922</v>
      </c>
      <c r="BE57" s="74">
        <f t="shared" si="64"/>
        <v>4520.7729490944221</v>
      </c>
      <c r="BF57" s="167">
        <f t="shared" si="59"/>
        <v>0.25473154515320723</v>
      </c>
      <c r="BJ57" s="168"/>
    </row>
    <row r="58" spans="1:62">
      <c r="A58" s="73">
        <v>2017</v>
      </c>
      <c r="B58" s="115">
        <f t="shared" si="60"/>
        <v>40969.093465932419</v>
      </c>
      <c r="C58" s="115">
        <f t="shared" si="61"/>
        <v>17627.787821225924</v>
      </c>
      <c r="D58" s="115">
        <f t="shared" si="28"/>
        <v>58596.881287158343</v>
      </c>
      <c r="E58" s="115">
        <f t="shared" si="29"/>
        <v>3114.1069765520433</v>
      </c>
      <c r="F58" s="116">
        <f t="shared" si="30"/>
        <v>147.29880859923657</v>
      </c>
      <c r="G58" s="161"/>
      <c r="H58" s="69">
        <v>2017</v>
      </c>
      <c r="I58" s="115">
        <v>2200.1104610000002</v>
      </c>
      <c r="J58" s="115">
        <v>1643.639721</v>
      </c>
      <c r="K58" s="115">
        <f t="shared" si="31"/>
        <v>3843.7501820000002</v>
      </c>
      <c r="L58" s="136">
        <f t="shared" si="32"/>
        <v>0.17183821659188334</v>
      </c>
      <c r="M58" s="136">
        <f t="shared" si="33"/>
        <v>7.6011127245018462E-2</v>
      </c>
      <c r="N58" s="115">
        <f t="shared" si="34"/>
        <v>2200.1104610000002</v>
      </c>
      <c r="O58" s="115">
        <f t="shared" si="34"/>
        <v>1643.639721</v>
      </c>
      <c r="P58" s="115">
        <f t="shared" si="35"/>
        <v>2850.9497720143872</v>
      </c>
      <c r="Q58" s="115">
        <f t="shared" si="36"/>
        <v>3114.1069765520433</v>
      </c>
      <c r="R58" s="136">
        <f t="shared" si="37"/>
        <v>0.15731705047538574</v>
      </c>
      <c r="S58" s="159">
        <f t="shared" si="38"/>
        <v>0.17183821659188334</v>
      </c>
      <c r="U58" s="160">
        <v>2017</v>
      </c>
      <c r="V58" s="115">
        <f t="shared" si="39"/>
        <v>3843.7501820000002</v>
      </c>
      <c r="W58" s="115">
        <v>1689.5636499999998</v>
      </c>
      <c r="X58" s="115">
        <v>1519.080121</v>
      </c>
      <c r="Y58" s="115">
        <v>510.54681099999999</v>
      </c>
      <c r="Z58" s="115">
        <v>124.5596</v>
      </c>
      <c r="AA58" s="115">
        <f t="shared" si="62"/>
        <v>28598.642178287351</v>
      </c>
      <c r="AB58" s="115">
        <f t="shared" si="63"/>
        <v>15711.613939529445</v>
      </c>
      <c r="AC58" s="115">
        <f t="shared" si="63"/>
        <v>12370.451290445812</v>
      </c>
      <c r="AD58" s="115">
        <f t="shared" si="63"/>
        <v>1916.1738810004472</v>
      </c>
      <c r="AE58" s="116">
        <f t="shared" si="40"/>
        <v>58596.881289263052</v>
      </c>
      <c r="AF58" s="161">
        <f t="shared" si="41"/>
        <v>58596.881289263052</v>
      </c>
      <c r="AH58" s="160">
        <v>2017</v>
      </c>
      <c r="AI58" s="115">
        <f t="shared" si="42"/>
        <v>58596.881289263052</v>
      </c>
      <c r="AJ58" s="115">
        <f t="shared" si="43"/>
        <v>44310.256117816796</v>
      </c>
      <c r="AK58" s="115">
        <f t="shared" si="44"/>
        <v>14286.62517144626</v>
      </c>
      <c r="AL58" s="162">
        <f t="shared" si="45"/>
        <v>0.75618795988611676</v>
      </c>
      <c r="AM58" s="162">
        <f t="shared" si="45"/>
        <v>0.24381204011388327</v>
      </c>
      <c r="AN58" s="162">
        <f t="shared" si="46"/>
        <v>2.4450654538675178</v>
      </c>
      <c r="AO58" s="162">
        <f t="shared" si="47"/>
        <v>0.78834420559829688</v>
      </c>
      <c r="AP58" s="163">
        <f t="shared" si="48"/>
        <v>3.2334096594658148</v>
      </c>
      <c r="AR58" s="160">
        <v>2017</v>
      </c>
      <c r="AS58" s="115">
        <f t="shared" si="49"/>
        <v>3114.1069765520433</v>
      </c>
      <c r="AT58" s="115">
        <f t="shared" si="50"/>
        <v>147.29880859923657</v>
      </c>
      <c r="AU58" s="164">
        <f t="shared" si="51"/>
        <v>0.21210034891958651</v>
      </c>
      <c r="AV58" s="82">
        <f t="shared" si="52"/>
        <v>9.3231095341474016E-2</v>
      </c>
      <c r="AW58" s="82">
        <f t="shared" si="53"/>
        <v>8.3823716018209135E-2</v>
      </c>
      <c r="AX58" s="82">
        <f t="shared" si="54"/>
        <v>2.8172267089568669E-2</v>
      </c>
      <c r="AY58" s="82">
        <f t="shared" si="55"/>
        <v>6.8732704703346739E-3</v>
      </c>
      <c r="AZ58" s="165">
        <f t="shared" si="56"/>
        <v>0.17705481135968315</v>
      </c>
      <c r="BA58" s="166">
        <f t="shared" si="57"/>
        <v>8.1280330978953999E-3</v>
      </c>
      <c r="BC58" s="81">
        <v>2017</v>
      </c>
      <c r="BD58" s="74">
        <f t="shared" si="58"/>
        <v>147.29880859923657</v>
      </c>
      <c r="BE58" s="74">
        <f t="shared" si="64"/>
        <v>4577.6562987117704</v>
      </c>
      <c r="BF58" s="167">
        <f t="shared" si="59"/>
        <v>0.25259771114612706</v>
      </c>
      <c r="BJ58" s="168"/>
    </row>
    <row r="59" spans="1:62">
      <c r="A59" s="73">
        <v>2018</v>
      </c>
      <c r="B59" s="115">
        <f t="shared" si="60"/>
        <v>41425.793391420208</v>
      </c>
      <c r="C59" s="115">
        <f t="shared" si="61"/>
        <v>18045.395592723744</v>
      </c>
      <c r="D59" s="115">
        <f t="shared" si="28"/>
        <v>59471.188984143955</v>
      </c>
      <c r="E59" s="115">
        <f t="shared" si="29"/>
        <v>3222.8440753891091</v>
      </c>
      <c r="F59" s="116">
        <f t="shared" si="30"/>
        <v>128.86913502491714</v>
      </c>
      <c r="G59" s="161"/>
      <c r="H59" s="69">
        <v>2018</v>
      </c>
      <c r="I59" s="115">
        <v>2080.2503770000003</v>
      </c>
      <c r="J59" s="115">
        <v>1645.0070920000001</v>
      </c>
      <c r="K59" s="115">
        <f t="shared" si="31"/>
        <v>3725.2574690000001</v>
      </c>
      <c r="L59" s="136">
        <f t="shared" si="32"/>
        <v>0.1740189114852517</v>
      </c>
      <c r="M59" s="136">
        <f t="shared" si="33"/>
        <v>7.7798004855028316E-2</v>
      </c>
      <c r="N59" s="115">
        <f t="shared" si="34"/>
        <v>2080.2503770000003</v>
      </c>
      <c r="O59" s="115">
        <f t="shared" si="34"/>
        <v>1645.0070920000001</v>
      </c>
      <c r="P59" s="115">
        <f t="shared" si="35"/>
        <v>2898.1256513754129</v>
      </c>
      <c r="Q59" s="115">
        <f t="shared" si="36"/>
        <v>3222.8440753891091</v>
      </c>
      <c r="R59" s="136">
        <f t="shared" si="37"/>
        <v>0.15648559452537131</v>
      </c>
      <c r="S59" s="159">
        <f t="shared" si="38"/>
        <v>0.1740189114852517</v>
      </c>
      <c r="U59" s="160">
        <v>2018</v>
      </c>
      <c r="V59" s="115">
        <f t="shared" si="39"/>
        <v>3725.2574690000001</v>
      </c>
      <c r="W59" s="115">
        <v>1633.1786589999999</v>
      </c>
      <c r="X59" s="115">
        <v>1493.103069</v>
      </c>
      <c r="Y59" s="115">
        <v>447.07171799999998</v>
      </c>
      <c r="Z59" s="115">
        <v>151.904023</v>
      </c>
      <c r="AA59" s="115">
        <f t="shared" si="62"/>
        <v>29098.494847055124</v>
      </c>
      <c r="AB59" s="115">
        <f t="shared" si="63"/>
        <v>16110.738315970513</v>
      </c>
      <c r="AC59" s="115">
        <f t="shared" si="63"/>
        <v>12327.298547054839</v>
      </c>
      <c r="AD59" s="115">
        <f t="shared" si="63"/>
        <v>1934.6572761056643</v>
      </c>
      <c r="AE59" s="116">
        <f t="shared" si="40"/>
        <v>59471.188986186142</v>
      </c>
      <c r="AF59" s="161">
        <f t="shared" si="41"/>
        <v>59471.188986186142</v>
      </c>
      <c r="AH59" s="160">
        <v>2018</v>
      </c>
      <c r="AI59" s="115">
        <f t="shared" si="42"/>
        <v>59471.188986186142</v>
      </c>
      <c r="AJ59" s="115">
        <f t="shared" si="43"/>
        <v>45209.233163025638</v>
      </c>
      <c r="AK59" s="115">
        <f t="shared" si="44"/>
        <v>14261.955823160504</v>
      </c>
      <c r="AL59" s="162">
        <f t="shared" si="45"/>
        <v>0.76018714160106593</v>
      </c>
      <c r="AM59" s="162">
        <f t="shared" si="45"/>
        <v>0.23981285839893407</v>
      </c>
      <c r="AN59" s="162">
        <f t="shared" si="46"/>
        <v>2.4410928236305729</v>
      </c>
      <c r="AO59" s="162">
        <f t="shared" si="47"/>
        <v>0.77008070199533074</v>
      </c>
      <c r="AP59" s="163">
        <f t="shared" si="48"/>
        <v>3.2111735256259037</v>
      </c>
      <c r="AR59" s="160">
        <v>2018</v>
      </c>
      <c r="AS59" s="115">
        <f t="shared" si="49"/>
        <v>3222.8440753891091</v>
      </c>
      <c r="AT59" s="115">
        <f t="shared" si="50"/>
        <v>128.86913502491714</v>
      </c>
      <c r="AU59" s="164">
        <f t="shared" si="51"/>
        <v>0.20114694803514988</v>
      </c>
      <c r="AV59" s="82">
        <f t="shared" si="52"/>
        <v>8.818421426913424E-2</v>
      </c>
      <c r="AW59" s="82">
        <f t="shared" si="53"/>
        <v>8.0620769954965435E-2</v>
      </c>
      <c r="AX59" s="82">
        <f t="shared" si="54"/>
        <v>2.4139837951300317E-2</v>
      </c>
      <c r="AY59" s="82">
        <f t="shared" si="55"/>
        <v>8.2021258597498592E-3</v>
      </c>
      <c r="AZ59" s="165">
        <f t="shared" si="56"/>
        <v>0.16880498422409967</v>
      </c>
      <c r="BA59" s="166">
        <f t="shared" si="57"/>
        <v>6.9583467510367994E-3</v>
      </c>
      <c r="BC59" s="81">
        <v>2018</v>
      </c>
      <c r="BD59" s="74">
        <f t="shared" si="58"/>
        <v>128.86913502491714</v>
      </c>
      <c r="BE59" s="74">
        <f t="shared" si="64"/>
        <v>4614.9723077624521</v>
      </c>
      <c r="BF59" s="167">
        <f t="shared" si="59"/>
        <v>0.24918749984342348</v>
      </c>
      <c r="BJ59" s="168"/>
    </row>
    <row r="60" spans="1:62">
      <c r="A60" s="73">
        <v>2019</v>
      </c>
      <c r="B60" s="115">
        <f t="shared" si="60"/>
        <v>41755.282745876393</v>
      </c>
      <c r="C60" s="115">
        <f t="shared" si="61"/>
        <v>18363.258643892143</v>
      </c>
      <c r="D60" s="115">
        <f t="shared" si="28"/>
        <v>60118.541389768536</v>
      </c>
      <c r="E60" s="115">
        <f t="shared" si="29"/>
        <v>3233.5032591438976</v>
      </c>
      <c r="F60" s="116">
        <f t="shared" si="30"/>
        <v>102.26728230793655</v>
      </c>
      <c r="G60" s="161"/>
      <c r="H60" s="69">
        <v>2019</v>
      </c>
      <c r="I60" s="115">
        <v>1971.1382139999998</v>
      </c>
      <c r="J60" s="115">
        <v>1574.3398430000002</v>
      </c>
      <c r="K60" s="115">
        <f t="shared" si="31"/>
        <v>3545.4780570000003</v>
      </c>
      <c r="L60" s="136">
        <f t="shared" si="32"/>
        <v>0.17490828481652235</v>
      </c>
      <c r="M60" s="136">
        <f t="shared" si="33"/>
        <v>7.7439381235257648E-2</v>
      </c>
      <c r="N60" s="115">
        <f t="shared" si="34"/>
        <v>1971.1382139999998</v>
      </c>
      <c r="O60" s="115">
        <f t="shared" si="34"/>
        <v>1574.3398430000002</v>
      </c>
      <c r="P60" s="115">
        <f t="shared" si="35"/>
        <v>2933.3152540747906</v>
      </c>
      <c r="Q60" s="115">
        <f t="shared" si="36"/>
        <v>3233.5032591438976</v>
      </c>
      <c r="R60" s="136">
        <f t="shared" si="37"/>
        <v>0.15867036424518749</v>
      </c>
      <c r="S60" s="159">
        <f t="shared" si="38"/>
        <v>0.17490828481652235</v>
      </c>
      <c r="U60" s="160">
        <v>2019</v>
      </c>
      <c r="V60" s="115">
        <f t="shared" si="39"/>
        <v>3545.4780570000003</v>
      </c>
      <c r="W60" s="115">
        <v>1602.0212530000001</v>
      </c>
      <c r="X60" s="115">
        <v>1417.731264</v>
      </c>
      <c r="Y60" s="115">
        <v>369.116961</v>
      </c>
      <c r="Z60" s="115">
        <v>156.60857899999999</v>
      </c>
      <c r="AA60" s="115">
        <f t="shared" si="62"/>
        <v>29547.381616214359</v>
      </c>
      <c r="AB60" s="115">
        <f t="shared" si="63"/>
        <v>16406.700390191636</v>
      </c>
      <c r="AC60" s="115">
        <f t="shared" si="63"/>
        <v>12207.901132245201</v>
      </c>
      <c r="AD60" s="115">
        <f t="shared" si="63"/>
        <v>1956.5582530980321</v>
      </c>
      <c r="AE60" s="116">
        <f t="shared" si="40"/>
        <v>60118.541391749226</v>
      </c>
      <c r="AF60" s="161">
        <f t="shared" si="41"/>
        <v>60118.541391749226</v>
      </c>
      <c r="AH60" s="160">
        <v>2019</v>
      </c>
      <c r="AI60" s="115">
        <f t="shared" si="42"/>
        <v>60118.541391749226</v>
      </c>
      <c r="AJ60" s="115">
        <f t="shared" si="43"/>
        <v>45954.082006405995</v>
      </c>
      <c r="AK60" s="115">
        <f t="shared" si="44"/>
        <v>14164.459385343232</v>
      </c>
      <c r="AL60" s="162">
        <f t="shared" si="45"/>
        <v>0.76439116689402609</v>
      </c>
      <c r="AM60" s="162">
        <f t="shared" si="45"/>
        <v>0.235608833105974</v>
      </c>
      <c r="AN60" s="162">
        <f t="shared" si="46"/>
        <v>2.4857713197995537</v>
      </c>
      <c r="AO60" s="162">
        <f t="shared" si="47"/>
        <v>0.76619106210507271</v>
      </c>
      <c r="AP60" s="163">
        <f t="shared" si="48"/>
        <v>3.2519623819046264</v>
      </c>
      <c r="AR60" s="160">
        <v>2019</v>
      </c>
      <c r="AS60" s="115">
        <f t="shared" si="49"/>
        <v>3233.5032591438976</v>
      </c>
      <c r="AT60" s="115">
        <f t="shared" si="50"/>
        <v>102.26728230793655</v>
      </c>
      <c r="AU60" s="164">
        <f t="shared" si="51"/>
        <v>0.19178378251230613</v>
      </c>
      <c r="AV60" s="82">
        <f t="shared" si="52"/>
        <v>8.665733946902951E-2</v>
      </c>
      <c r="AW60" s="82">
        <f t="shared" si="53"/>
        <v>7.6688632682143501E-2</v>
      </c>
      <c r="AX60" s="82">
        <f t="shared" si="54"/>
        <v>1.9966460328322201E-2</v>
      </c>
      <c r="AY60" s="82">
        <f t="shared" si="55"/>
        <v>8.4713500328109093E-3</v>
      </c>
      <c r="AZ60" s="165">
        <f t="shared" si="56"/>
        <v>0.16334597215117302</v>
      </c>
      <c r="BA60" s="166">
        <f t="shared" si="57"/>
        <v>5.5318932772822167E-3</v>
      </c>
      <c r="BC60" s="81">
        <v>2019</v>
      </c>
      <c r="BD60" s="74">
        <f t="shared" si="58"/>
        <v>102.26728230793655</v>
      </c>
      <c r="BE60" s="74">
        <f t="shared" si="64"/>
        <v>4624.9401439151397</v>
      </c>
      <c r="BF60" s="167">
        <f t="shared" si="59"/>
        <v>0.25017458871077564</v>
      </c>
      <c r="BJ60" s="168"/>
    </row>
    <row r="61" spans="1:62">
      <c r="A61" s="73">
        <v>2020</v>
      </c>
      <c r="B61" s="115">
        <f t="shared" si="60"/>
        <v>41823.92234031541</v>
      </c>
      <c r="C61" s="115">
        <f t="shared" si="61"/>
        <v>18449.008051378329</v>
      </c>
      <c r="D61" s="115">
        <f t="shared" si="28"/>
        <v>60272.930391693735</v>
      </c>
      <c r="E61" s="115">
        <f t="shared" si="29"/>
        <v>3384.7222659751096</v>
      </c>
      <c r="F61" s="116">
        <f t="shared" si="30"/>
        <v>40.170314726928112</v>
      </c>
      <c r="G61" s="161"/>
      <c r="H61" s="69">
        <v>2020</v>
      </c>
      <c r="I61" s="115">
        <v>1723.3456769999998</v>
      </c>
      <c r="J61" s="115">
        <v>1364.358579</v>
      </c>
      <c r="K61" s="115">
        <f t="shared" si="31"/>
        <v>3087.704256</v>
      </c>
      <c r="L61" s="136">
        <f t="shared" si="32"/>
        <v>0.19724886438708222</v>
      </c>
      <c r="M61" s="136">
        <f t="shared" si="33"/>
        <v>8.0927901463523619E-2</v>
      </c>
      <c r="N61" s="115">
        <f t="shared" si="34"/>
        <v>1723.3456769999998</v>
      </c>
      <c r="O61" s="115">
        <f t="shared" si="34"/>
        <v>1364.358579</v>
      </c>
      <c r="P61" s="115">
        <f t="shared" si="35"/>
        <v>2942.0059662278131</v>
      </c>
      <c r="Q61" s="115">
        <f t="shared" si="36"/>
        <v>3384.7222659751096</v>
      </c>
      <c r="R61" s="136">
        <f t="shared" si="37"/>
        <v>0.17144902602260489</v>
      </c>
      <c r="S61" s="159">
        <f t="shared" si="38"/>
        <v>0.19724886438708222</v>
      </c>
      <c r="U61" s="160">
        <v>2020</v>
      </c>
      <c r="V61" s="115">
        <f t="shared" si="39"/>
        <v>3087.7042569999999</v>
      </c>
      <c r="W61" s="115">
        <v>1404.0648209999999</v>
      </c>
      <c r="X61" s="115">
        <v>1182.7023840000002</v>
      </c>
      <c r="Y61" s="115">
        <v>319.28085600000003</v>
      </c>
      <c r="Z61" s="115">
        <v>181.65619599999999</v>
      </c>
      <c r="AA61" s="115">
        <f t="shared" si="62"/>
        <v>29780.523170291235</v>
      </c>
      <c r="AB61" s="115">
        <f t="shared" ref="AB61:AD61" si="65">AB60+X61-AB$39*AB60</f>
        <v>16447.026140502181</v>
      </c>
      <c r="AC61" s="115">
        <f t="shared" si="65"/>
        <v>12043.399172504978</v>
      </c>
      <c r="AD61" s="115">
        <f t="shared" si="65"/>
        <v>2001.9819113156229</v>
      </c>
      <c r="AE61" s="116">
        <f t="shared" si="40"/>
        <v>60272.930394614021</v>
      </c>
      <c r="AF61" s="161">
        <f t="shared" si="41"/>
        <v>60272.930394614021</v>
      </c>
      <c r="AH61" s="160">
        <v>2020</v>
      </c>
      <c r="AI61" s="115">
        <f t="shared" si="42"/>
        <v>60272.930394614013</v>
      </c>
      <c r="AJ61" s="115">
        <f t="shared" si="43"/>
        <v>46227.549310793416</v>
      </c>
      <c r="AK61" s="115">
        <f t="shared" si="44"/>
        <v>14045.381083820601</v>
      </c>
      <c r="AL61" s="162">
        <f t="shared" si="45"/>
        <v>0.76697032993312542</v>
      </c>
      <c r="AM61" s="162">
        <f t="shared" si="45"/>
        <v>0.23302967006687456</v>
      </c>
      <c r="AN61" s="162">
        <f t="shared" si="46"/>
        <v>2.6939674479687135</v>
      </c>
      <c r="AO61" s="162">
        <f t="shared" si="47"/>
        <v>0.81851190465971091</v>
      </c>
      <c r="AP61" s="163">
        <f t="shared" si="48"/>
        <v>3.5124793526284241</v>
      </c>
      <c r="AR61" s="160">
        <v>2020</v>
      </c>
      <c r="AS61" s="115">
        <f t="shared" si="49"/>
        <v>3384.7222659751096</v>
      </c>
      <c r="AT61" s="115">
        <f t="shared" si="50"/>
        <v>40.170314726928112</v>
      </c>
      <c r="AU61" s="164">
        <f t="shared" si="51"/>
        <v>0.17993977360530894</v>
      </c>
      <c r="AV61" s="82">
        <f t="shared" si="52"/>
        <v>8.1823609060081889E-2</v>
      </c>
      <c r="AW61" s="82">
        <f t="shared" si="53"/>
        <v>6.8923440040267819E-2</v>
      </c>
      <c r="AX61" s="82">
        <f t="shared" si="54"/>
        <v>1.8606485648651049E-2</v>
      </c>
      <c r="AY61" s="82">
        <f t="shared" si="55"/>
        <v>1.0586238856308196E-2</v>
      </c>
      <c r="AZ61" s="165">
        <f t="shared" si="56"/>
        <v>0.15074704910034969</v>
      </c>
      <c r="BA61" s="166">
        <f t="shared" si="57"/>
        <v>2.340974632279186E-3</v>
      </c>
      <c r="BC61" s="81">
        <v>2020</v>
      </c>
      <c r="BD61" s="74">
        <f t="shared" si="58"/>
        <v>40.170314726928112</v>
      </c>
      <c r="BE61" s="74">
        <f t="shared" si="64"/>
        <v>4572.6116557637652</v>
      </c>
      <c r="BF61" s="167">
        <f t="shared" si="59"/>
        <v>0.26647458358675596</v>
      </c>
      <c r="BJ61" s="168"/>
    </row>
    <row r="62" spans="1:62" ht="17.100000000000001" thickBot="1">
      <c r="A62" s="169"/>
      <c r="B62" s="170"/>
      <c r="C62" s="170"/>
      <c r="D62" s="171"/>
      <c r="E62" s="172"/>
      <c r="F62" s="173"/>
      <c r="G62" s="161"/>
      <c r="H62" s="87"/>
      <c r="I62" s="171"/>
      <c r="J62" s="171"/>
      <c r="K62" s="171"/>
      <c r="L62" s="171"/>
      <c r="M62" s="171"/>
      <c r="N62" s="171"/>
      <c r="O62" s="171"/>
      <c r="P62" s="171"/>
      <c r="Q62" s="171"/>
      <c r="R62" s="171"/>
      <c r="S62" s="173"/>
      <c r="U62" s="169"/>
      <c r="V62" s="171"/>
      <c r="W62" s="171"/>
      <c r="X62" s="171"/>
      <c r="Y62" s="171"/>
      <c r="Z62" s="171"/>
      <c r="AA62" s="171"/>
      <c r="AB62" s="171"/>
      <c r="AC62" s="171"/>
      <c r="AD62" s="171"/>
      <c r="AE62" s="173"/>
      <c r="AH62" s="169"/>
      <c r="AI62" s="171"/>
      <c r="AJ62" s="171"/>
      <c r="AK62" s="171"/>
      <c r="AL62" s="171"/>
      <c r="AM62" s="171"/>
      <c r="AN62" s="171"/>
      <c r="AO62" s="171"/>
      <c r="AP62" s="173"/>
      <c r="AR62" s="169"/>
      <c r="AS62" s="171"/>
      <c r="AT62" s="171"/>
      <c r="AU62" s="171"/>
      <c r="AV62" s="171"/>
      <c r="AW62" s="171"/>
      <c r="AX62" s="171"/>
      <c r="AY62" s="171"/>
      <c r="AZ62" s="171"/>
      <c r="BA62" s="173"/>
      <c r="BC62" s="91"/>
      <c r="BD62" s="89"/>
      <c r="BE62" s="89"/>
      <c r="BF62" s="92"/>
      <c r="BJ62" s="168"/>
    </row>
    <row r="63" spans="1:62" ht="17.100000000000001" thickTop="1">
      <c r="H63" s="174"/>
      <c r="I63" s="16"/>
      <c r="J63" s="16"/>
      <c r="K63" s="16"/>
      <c r="L63" s="16"/>
      <c r="M63" s="175">
        <f>AVERAGE(M44:M61)</f>
        <v>6.9197451019756717E-2</v>
      </c>
      <c r="N63" s="176"/>
      <c r="O63" s="176" t="s">
        <v>266</v>
      </c>
      <c r="P63" s="177">
        <f>AVERAGE(P44:P61)</f>
        <v>2540.3715544122902</v>
      </c>
      <c r="Q63" s="177">
        <f>AVERAGE(Q44:Q61)</f>
        <v>2554.953197871841</v>
      </c>
      <c r="R63" s="178">
        <f>AVERAGE(R44:R61)</f>
        <v>0.15999629128360246</v>
      </c>
      <c r="S63" s="179">
        <f>AVERAGE(S44:S61)</f>
        <v>0.15971043406114274</v>
      </c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11"/>
      <c r="AL63" s="11"/>
      <c r="AM63" s="11"/>
      <c r="AN63" s="11"/>
      <c r="AO63" s="11"/>
      <c r="AP63" s="11"/>
      <c r="AQ63" s="11"/>
      <c r="AR63" s="11"/>
      <c r="AS63" s="11"/>
      <c r="AT63" s="11"/>
      <c r="AU63" s="11"/>
      <c r="AV63" s="11"/>
      <c r="AW63" s="11"/>
      <c r="AX63" s="11"/>
      <c r="AY63" s="11"/>
      <c r="AZ63" s="11"/>
      <c r="BA63" s="11"/>
      <c r="BB63" s="11"/>
      <c r="BC63" s="11"/>
      <c r="BD63" s="11"/>
      <c r="BE63" s="11"/>
      <c r="BF63" s="11"/>
      <c r="BG63" s="11"/>
      <c r="BH63" s="11"/>
      <c r="BI63" s="11"/>
    </row>
    <row r="64" spans="1:62" ht="17.100000000000001" thickBot="1">
      <c r="H64" s="180"/>
      <c r="I64" s="181"/>
      <c r="J64" s="181"/>
      <c r="K64" s="181"/>
      <c r="L64" s="181"/>
      <c r="M64" s="181"/>
      <c r="N64" s="181"/>
      <c r="O64" s="181"/>
      <c r="P64" s="181"/>
      <c r="Q64" s="181"/>
      <c r="R64" s="182" t="s">
        <v>267</v>
      </c>
      <c r="S64" s="183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11"/>
      <c r="AJ64" s="11"/>
      <c r="AK64" s="11"/>
      <c r="AL64" s="11"/>
      <c r="AM64" s="11"/>
      <c r="AN64" s="11"/>
      <c r="AO64" s="11"/>
      <c r="AP64" s="11"/>
      <c r="AQ64" s="11"/>
      <c r="AR64" s="11"/>
      <c r="AS64" s="11"/>
      <c r="AT64" s="11"/>
      <c r="AU64" s="11"/>
      <c r="AV64" s="11"/>
      <c r="AW64" s="11"/>
      <c r="AX64" s="11"/>
      <c r="AY64" s="11"/>
      <c r="AZ64" s="11"/>
      <c r="BA64" s="11"/>
      <c r="BB64" s="11"/>
      <c r="BC64" s="11"/>
      <c r="BD64" s="11"/>
      <c r="BE64" s="11"/>
      <c r="BF64" s="11"/>
      <c r="BG64" s="11"/>
      <c r="BH64" s="11"/>
      <c r="BI64" s="11"/>
    </row>
    <row r="65" spans="1:95" ht="17.100000000000001" thickTop="1">
      <c r="AE65" s="11"/>
      <c r="AF65" s="11"/>
      <c r="AG65" s="11"/>
      <c r="AH65" s="11"/>
      <c r="AI65" s="11"/>
      <c r="AJ65" s="11"/>
      <c r="AK65" s="11"/>
      <c r="AL65" s="11"/>
      <c r="AM65" s="11"/>
      <c r="AN65" s="11"/>
      <c r="AO65" s="11"/>
      <c r="AP65" s="11"/>
      <c r="AQ65" s="11"/>
      <c r="AR65" s="11"/>
      <c r="AS65" s="11"/>
      <c r="AT65" s="11"/>
      <c r="AU65" s="11"/>
      <c r="AV65" s="11"/>
      <c r="AW65" s="11"/>
      <c r="AX65" s="11"/>
      <c r="AY65" s="11"/>
      <c r="AZ65" s="11"/>
      <c r="BA65" s="11"/>
      <c r="BB65" s="11"/>
      <c r="BC65" s="11"/>
      <c r="BD65" s="11"/>
      <c r="BE65" s="11"/>
      <c r="BF65" s="11"/>
      <c r="BG65" s="11"/>
      <c r="BH65" s="11"/>
      <c r="BI65" s="11"/>
    </row>
    <row r="66" spans="1:95">
      <c r="H66" s="96"/>
      <c r="I66" s="96"/>
      <c r="AU66" s="11"/>
      <c r="CK66" s="94"/>
      <c r="CL66" s="97"/>
      <c r="CM66" s="95"/>
      <c r="CN66" s="95"/>
      <c r="CO66" s="95"/>
      <c r="CP66" s="95"/>
      <c r="CQ66" s="96"/>
    </row>
    <row r="67" spans="1:95" ht="17.100000000000001" thickBot="1">
      <c r="A67" s="94"/>
      <c r="B67" s="97"/>
      <c r="C67" s="95"/>
      <c r="D67" s="95"/>
      <c r="E67" s="95"/>
      <c r="F67" s="95"/>
      <c r="G67" s="96"/>
      <c r="H67" s="96"/>
      <c r="I67" s="96"/>
      <c r="AU67" s="11"/>
    </row>
    <row r="68" spans="1:95" ht="126" customHeight="1" thickBot="1">
      <c r="A68" s="6" t="s">
        <v>23</v>
      </c>
      <c r="B68" s="184" t="s">
        <v>268</v>
      </c>
      <c r="C68" s="184" t="s">
        <v>269</v>
      </c>
      <c r="D68" s="184" t="s">
        <v>270</v>
      </c>
      <c r="E68" s="184" t="s">
        <v>271</v>
      </c>
      <c r="F68" s="184" t="s">
        <v>160</v>
      </c>
      <c r="G68" s="184" t="s">
        <v>272</v>
      </c>
      <c r="H68" s="96"/>
      <c r="I68" s="6" t="s">
        <v>23</v>
      </c>
      <c r="J68" s="184" t="s">
        <v>273</v>
      </c>
      <c r="K68" s="184" t="s">
        <v>274</v>
      </c>
      <c r="L68" s="184" t="s">
        <v>275</v>
      </c>
      <c r="M68" s="184" t="s">
        <v>272</v>
      </c>
      <c r="N68" s="184" t="s">
        <v>276</v>
      </c>
      <c r="O68" s="184" t="s">
        <v>277</v>
      </c>
      <c r="P68" s="184" t="s">
        <v>278</v>
      </c>
      <c r="AU68" s="11"/>
    </row>
    <row r="69" spans="1:95">
      <c r="A69" s="94"/>
      <c r="B69" s="97"/>
      <c r="C69" s="95"/>
      <c r="D69" s="95"/>
      <c r="E69" s="95"/>
      <c r="F69" s="95"/>
      <c r="G69" s="96"/>
      <c r="H69" s="96"/>
      <c r="I69" s="96"/>
      <c r="AU69" s="11"/>
    </row>
    <row r="70" spans="1:95">
      <c r="A70" s="94"/>
      <c r="B70" s="97"/>
      <c r="C70" s="95"/>
      <c r="D70" s="95"/>
      <c r="E70" s="95"/>
      <c r="F70" s="95"/>
      <c r="G70" s="96"/>
      <c r="H70" s="96"/>
      <c r="I70" s="96"/>
      <c r="AU70" s="11"/>
    </row>
    <row r="71" spans="1:95" ht="18.95" thickBot="1">
      <c r="A71" s="185" t="s">
        <v>279</v>
      </c>
      <c r="B71" s="11"/>
      <c r="C71" s="11"/>
      <c r="D71" s="11"/>
      <c r="E71" s="11"/>
      <c r="F71" s="11"/>
      <c r="G71" s="96"/>
      <c r="H71" s="96"/>
      <c r="I71" s="10" t="s">
        <v>280</v>
      </c>
      <c r="J71" s="11"/>
      <c r="K71" s="11"/>
      <c r="L71" s="11"/>
      <c r="M71" s="11"/>
      <c r="N71" s="11"/>
      <c r="O71" s="11"/>
      <c r="P71" s="11"/>
    </row>
    <row r="72" spans="1:95" ht="18.600000000000001" customHeight="1" thickTop="1">
      <c r="A72" s="438" t="s">
        <v>281</v>
      </c>
      <c r="B72" s="439"/>
      <c r="C72" s="439"/>
      <c r="D72" s="439"/>
      <c r="E72" s="439"/>
      <c r="F72" s="439"/>
      <c r="G72" s="440"/>
      <c r="H72" s="96"/>
      <c r="I72" s="438" t="s">
        <v>282</v>
      </c>
      <c r="J72" s="439"/>
      <c r="K72" s="439"/>
      <c r="L72" s="439"/>
      <c r="M72" s="439"/>
      <c r="N72" s="439"/>
      <c r="O72" s="439"/>
      <c r="P72" s="186"/>
    </row>
    <row r="73" spans="1:95" ht="17.100000000000001" thickBot="1">
      <c r="A73" s="43"/>
      <c r="G73" s="57"/>
      <c r="I73" s="43"/>
      <c r="P73" s="57"/>
    </row>
    <row r="74" spans="1:95" ht="118.5" customHeight="1" thickBot="1">
      <c r="A74" s="187" t="s">
        <v>62</v>
      </c>
      <c r="B74" s="188" t="s">
        <v>283</v>
      </c>
      <c r="C74" s="188" t="s">
        <v>284</v>
      </c>
      <c r="D74" s="188" t="s">
        <v>285</v>
      </c>
      <c r="E74" s="188" t="s">
        <v>286</v>
      </c>
      <c r="F74" s="188" t="s">
        <v>287</v>
      </c>
      <c r="G74" s="189" t="s">
        <v>288</v>
      </c>
      <c r="H74" s="96"/>
      <c r="I74" s="187" t="s">
        <v>62</v>
      </c>
      <c r="J74" s="188" t="s">
        <v>82</v>
      </c>
      <c r="K74" s="188" t="s">
        <v>289</v>
      </c>
      <c r="L74" s="188" t="s">
        <v>86</v>
      </c>
      <c r="M74" s="188" t="s">
        <v>288</v>
      </c>
      <c r="N74" s="188" t="s">
        <v>276</v>
      </c>
      <c r="O74" s="188" t="s">
        <v>290</v>
      </c>
      <c r="P74" s="189" t="s">
        <v>278</v>
      </c>
    </row>
    <row r="75" spans="1:95" ht="17.100000000000001" thickBot="1">
      <c r="A75" s="190"/>
      <c r="B75" s="47" t="s">
        <v>234</v>
      </c>
      <c r="C75" s="47" t="s">
        <v>256</v>
      </c>
      <c r="D75" s="47" t="s">
        <v>254</v>
      </c>
      <c r="E75" s="47" t="s">
        <v>291</v>
      </c>
      <c r="F75" s="47" t="s">
        <v>265</v>
      </c>
      <c r="G75" s="48" t="s">
        <v>292</v>
      </c>
      <c r="H75" s="96"/>
      <c r="I75" s="46"/>
      <c r="J75" s="47" t="s">
        <v>112</v>
      </c>
      <c r="K75" s="47" t="s">
        <v>114</v>
      </c>
      <c r="L75" s="47" t="s">
        <v>116</v>
      </c>
      <c r="M75" s="47" t="s">
        <v>292</v>
      </c>
      <c r="N75" s="47" t="s">
        <v>293</v>
      </c>
      <c r="O75" s="47" t="s">
        <v>294</v>
      </c>
      <c r="P75" s="48" t="s">
        <v>295</v>
      </c>
    </row>
    <row r="76" spans="1:95">
      <c r="A76" s="191"/>
      <c r="B76" s="192"/>
      <c r="C76" s="67"/>
      <c r="D76" s="67"/>
      <c r="E76" s="67"/>
      <c r="F76" s="193"/>
      <c r="G76" s="68"/>
      <c r="H76" s="96"/>
      <c r="I76" s="66"/>
      <c r="J76" s="67"/>
      <c r="K76" s="67"/>
      <c r="L76" s="67"/>
      <c r="M76" s="67"/>
      <c r="N76" s="67"/>
      <c r="O76" s="67"/>
      <c r="P76" s="68"/>
    </row>
    <row r="77" spans="1:95">
      <c r="A77" s="73">
        <v>2003</v>
      </c>
      <c r="B77" s="194">
        <f t="shared" ref="B77:B94" si="66">AE44</f>
        <v>43886.24782143526</v>
      </c>
      <c r="C77" s="195">
        <f t="shared" ref="C77:C94" si="67">B77/B12</f>
        <v>3.3598973385990201</v>
      </c>
      <c r="D77" s="196">
        <f t="shared" ref="D77:D94" si="68">AN44</f>
        <v>2.5556482961760674</v>
      </c>
      <c r="E77" s="197">
        <f>D77/$E$97</f>
        <v>3.0066450543247853</v>
      </c>
      <c r="F77" s="198">
        <f t="shared" ref="F77:F94" si="69">BF44</f>
        <v>0.26359441870202804</v>
      </c>
      <c r="G77" s="199">
        <f>E77+F77</f>
        <v>3.2702394730268134</v>
      </c>
      <c r="H77" s="200"/>
      <c r="I77" s="73">
        <v>2003</v>
      </c>
      <c r="J77" s="74">
        <f t="shared" ref="J77:K94" si="70">AC12</f>
        <v>5264.0407615390868</v>
      </c>
      <c r="K77" s="76">
        <f t="shared" si="70"/>
        <v>5239.2578241887131</v>
      </c>
      <c r="L77" s="75">
        <f t="shared" ref="L77:L94" si="71">+AD12/B12</f>
        <v>0.40111354452881198</v>
      </c>
      <c r="M77" s="201">
        <f t="shared" ref="M77:M94" si="72">+G77</f>
        <v>3.2702394730268134</v>
      </c>
      <c r="N77" s="75">
        <f>L77/M77</f>
        <v>0.12265571002895272</v>
      </c>
      <c r="O77" s="202">
        <f t="shared" ref="O77:O94" si="73">F12/B12</f>
        <v>5.865154784741808E-3</v>
      </c>
      <c r="P77" s="203">
        <f>N77+O77</f>
        <v>0.12852086481369451</v>
      </c>
      <c r="R77" s="204"/>
      <c r="S77" s="205"/>
      <c r="T77" s="206"/>
    </row>
    <row r="78" spans="1:95">
      <c r="A78" s="73">
        <v>2004</v>
      </c>
      <c r="B78" s="194">
        <f t="shared" si="66"/>
        <v>44431.296870419996</v>
      </c>
      <c r="C78" s="195">
        <f t="shared" si="67"/>
        <v>3.273324960765466</v>
      </c>
      <c r="D78" s="196">
        <f t="shared" si="68"/>
        <v>2.4815290199971449</v>
      </c>
      <c r="E78" s="197">
        <f t="shared" ref="E78:E94" si="74">D78/$E$97</f>
        <v>2.9194459058789941</v>
      </c>
      <c r="F78" s="198">
        <f t="shared" si="69"/>
        <v>0.26499023013956785</v>
      </c>
      <c r="G78" s="199">
        <f t="shared" ref="G78:G94" si="75">E78+F78</f>
        <v>3.184436136018562</v>
      </c>
      <c r="H78" s="96"/>
      <c r="I78" s="73">
        <v>2004</v>
      </c>
      <c r="J78" s="74">
        <f t="shared" si="70"/>
        <v>5233.5353973026004</v>
      </c>
      <c r="K78" s="76">
        <f t="shared" si="70"/>
        <v>5764.1618136445095</v>
      </c>
      <c r="L78" s="75">
        <f t="shared" si="71"/>
        <v>0.42465505334045311</v>
      </c>
      <c r="M78" s="201">
        <f t="shared" si="72"/>
        <v>3.184436136018562</v>
      </c>
      <c r="N78" s="75">
        <f t="shared" ref="N78:N94" si="76">L78/M78</f>
        <v>0.13335329559203879</v>
      </c>
      <c r="O78" s="202">
        <f t="shared" si="73"/>
        <v>4.6199668630602219E-3</v>
      </c>
      <c r="P78" s="203">
        <f t="shared" ref="P78:P94" si="77">N78+O78</f>
        <v>0.137973262455099</v>
      </c>
      <c r="R78" s="204"/>
      <c r="S78" s="205"/>
      <c r="T78" s="206"/>
    </row>
    <row r="79" spans="1:95">
      <c r="A79" s="73">
        <v>2005</v>
      </c>
      <c r="B79" s="194">
        <f t="shared" si="66"/>
        <v>45183.851619794303</v>
      </c>
      <c r="C79" s="195">
        <f t="shared" si="67"/>
        <v>3.2536594317522551</v>
      </c>
      <c r="D79" s="196">
        <f t="shared" si="68"/>
        <v>2.4579159241513358</v>
      </c>
      <c r="E79" s="197">
        <f t="shared" si="74"/>
        <v>2.8916657931192185</v>
      </c>
      <c r="F79" s="198">
        <f t="shared" si="69"/>
        <v>0.26323420028691052</v>
      </c>
      <c r="G79" s="199">
        <f t="shared" si="75"/>
        <v>3.1548999934061288</v>
      </c>
      <c r="H79" s="96"/>
      <c r="I79" s="73">
        <v>2005</v>
      </c>
      <c r="J79" s="74">
        <f t="shared" si="70"/>
        <v>5292.0999409263941</v>
      </c>
      <c r="K79" s="76">
        <f t="shared" si="70"/>
        <v>6018.6895144903947</v>
      </c>
      <c r="L79" s="75">
        <f t="shared" si="71"/>
        <v>0.43340187265113955</v>
      </c>
      <c r="M79" s="201">
        <f t="shared" si="72"/>
        <v>3.1548999934061288</v>
      </c>
      <c r="N79" s="75">
        <f t="shared" si="76"/>
        <v>0.13737420316237198</v>
      </c>
      <c r="O79" s="202">
        <f t="shared" si="73"/>
        <v>4.8081011093040939E-3</v>
      </c>
      <c r="P79" s="203">
        <f t="shared" si="77"/>
        <v>0.14218230427167608</v>
      </c>
      <c r="R79" s="204"/>
      <c r="S79" s="205"/>
      <c r="T79" s="206"/>
    </row>
    <row r="80" spans="1:95">
      <c r="A80" s="73">
        <v>2006</v>
      </c>
      <c r="B80" s="194">
        <f t="shared" si="66"/>
        <v>46155.49227540315</v>
      </c>
      <c r="C80" s="195">
        <f t="shared" si="67"/>
        <v>3.1806703326954264</v>
      </c>
      <c r="D80" s="196">
        <f t="shared" si="68"/>
        <v>2.3977791739699925</v>
      </c>
      <c r="E80" s="197">
        <f t="shared" si="74"/>
        <v>2.8209166752588146</v>
      </c>
      <c r="F80" s="198">
        <f t="shared" si="69"/>
        <v>0.2596694840069308</v>
      </c>
      <c r="G80" s="199">
        <f t="shared" si="75"/>
        <v>3.0805861592657453</v>
      </c>
      <c r="H80" s="96"/>
      <c r="I80" s="73">
        <v>2006</v>
      </c>
      <c r="J80" s="74">
        <f t="shared" si="70"/>
        <v>5374.3021877477004</v>
      </c>
      <c r="K80" s="76">
        <f t="shared" si="70"/>
        <v>6518.2039834234711</v>
      </c>
      <c r="L80" s="75">
        <f t="shared" si="71"/>
        <v>0.44918290349555368</v>
      </c>
      <c r="M80" s="201">
        <f t="shared" si="72"/>
        <v>3.0805861592657453</v>
      </c>
      <c r="N80" s="75">
        <f t="shared" si="76"/>
        <v>0.14581085555568943</v>
      </c>
      <c r="O80" s="202">
        <f t="shared" si="73"/>
        <v>5.023224746196573E-3</v>
      </c>
      <c r="P80" s="203">
        <f t="shared" si="77"/>
        <v>0.150834080301886</v>
      </c>
      <c r="R80" s="204"/>
      <c r="S80" s="205"/>
      <c r="T80" s="206"/>
    </row>
    <row r="81" spans="1:20">
      <c r="A81" s="73">
        <v>2007</v>
      </c>
      <c r="B81" s="194">
        <f t="shared" si="66"/>
        <v>47385.501969652869</v>
      </c>
      <c r="C81" s="195">
        <f t="shared" si="67"/>
        <v>3.1922806698542008</v>
      </c>
      <c r="D81" s="196">
        <f t="shared" si="68"/>
        <v>2.4019830052619078</v>
      </c>
      <c r="E81" s="197">
        <f t="shared" si="74"/>
        <v>2.8258623591316563</v>
      </c>
      <c r="F81" s="198">
        <f t="shared" si="69"/>
        <v>0.26054437432559324</v>
      </c>
      <c r="G81" s="199">
        <f t="shared" si="75"/>
        <v>3.0864067334572494</v>
      </c>
      <c r="H81" s="96"/>
      <c r="I81" s="73">
        <v>2007</v>
      </c>
      <c r="J81" s="74">
        <f t="shared" si="70"/>
        <v>5430.0196557882973</v>
      </c>
      <c r="K81" s="76">
        <f t="shared" si="70"/>
        <v>6717.7522387679037</v>
      </c>
      <c r="L81" s="75">
        <f t="shared" si="71"/>
        <v>0.45256354212355004</v>
      </c>
      <c r="M81" s="201">
        <f t="shared" si="72"/>
        <v>3.0864067334572494</v>
      </c>
      <c r="N81" s="75">
        <f t="shared" si="76"/>
        <v>0.14663120619122336</v>
      </c>
      <c r="O81" s="202">
        <f t="shared" si="73"/>
        <v>5.2033965647703918E-3</v>
      </c>
      <c r="P81" s="203">
        <f t="shared" si="77"/>
        <v>0.15183460275599375</v>
      </c>
      <c r="R81" s="204"/>
      <c r="S81" s="205"/>
      <c r="T81" s="206"/>
    </row>
    <row r="82" spans="1:20">
      <c r="A82" s="73">
        <v>2008</v>
      </c>
      <c r="B82" s="194">
        <f t="shared" si="66"/>
        <v>48535.521615064652</v>
      </c>
      <c r="C82" s="195">
        <f t="shared" si="67"/>
        <v>3.232756093130142</v>
      </c>
      <c r="D82" s="196">
        <f t="shared" si="68"/>
        <v>2.4194403249431091</v>
      </c>
      <c r="E82" s="197">
        <f t="shared" si="74"/>
        <v>2.8464003822860109</v>
      </c>
      <c r="F82" s="198">
        <f t="shared" si="69"/>
        <v>0.26186874622300738</v>
      </c>
      <c r="G82" s="199">
        <f t="shared" si="75"/>
        <v>3.1082691285090185</v>
      </c>
      <c r="H82" s="96"/>
      <c r="I82" s="73">
        <v>2008</v>
      </c>
      <c r="J82" s="74">
        <f t="shared" si="70"/>
        <v>5467.1722310874829</v>
      </c>
      <c r="K82" s="76">
        <f t="shared" si="70"/>
        <v>6933.4022779300649</v>
      </c>
      <c r="L82" s="75">
        <f t="shared" si="71"/>
        <v>0.46180606933343177</v>
      </c>
      <c r="M82" s="201">
        <f t="shared" si="72"/>
        <v>3.1082691285090185</v>
      </c>
      <c r="N82" s="75">
        <f t="shared" si="76"/>
        <v>0.14857338610024157</v>
      </c>
      <c r="O82" s="202">
        <f t="shared" si="73"/>
        <v>5.2586862245972152E-3</v>
      </c>
      <c r="P82" s="203">
        <f t="shared" si="77"/>
        <v>0.15383207232483878</v>
      </c>
      <c r="R82" s="204"/>
      <c r="S82" s="205"/>
      <c r="T82" s="206"/>
    </row>
    <row r="83" spans="1:20">
      <c r="A83" s="73">
        <v>2009</v>
      </c>
      <c r="B83" s="194">
        <f t="shared" si="66"/>
        <v>49326.988038999269</v>
      </c>
      <c r="C83" s="195">
        <f t="shared" si="67"/>
        <v>3.4688543395609051</v>
      </c>
      <c r="D83" s="196">
        <f t="shared" si="68"/>
        <v>2.5842310266520756</v>
      </c>
      <c r="E83" s="197">
        <f t="shared" si="74"/>
        <v>3.0402717960612655</v>
      </c>
      <c r="F83" s="198">
        <f t="shared" si="69"/>
        <v>0.27857992571162277</v>
      </c>
      <c r="G83" s="199">
        <f t="shared" si="75"/>
        <v>3.3188517217728881</v>
      </c>
      <c r="H83" s="96"/>
      <c r="I83" s="73">
        <v>2009</v>
      </c>
      <c r="J83" s="74">
        <f t="shared" si="70"/>
        <v>5638.175635417354</v>
      </c>
      <c r="K83" s="76">
        <f t="shared" si="70"/>
        <v>5636.9017768095073</v>
      </c>
      <c r="L83" s="75">
        <f t="shared" si="71"/>
        <v>0.39640756444939695</v>
      </c>
      <c r="M83" s="201">
        <f t="shared" si="72"/>
        <v>3.3188517217728881</v>
      </c>
      <c r="N83" s="75">
        <f t="shared" si="76"/>
        <v>0.11944117956485296</v>
      </c>
      <c r="O83" s="202">
        <f t="shared" si="73"/>
        <v>5.4647803991228136E-3</v>
      </c>
      <c r="P83" s="203">
        <f t="shared" si="77"/>
        <v>0.12490595996397577</v>
      </c>
      <c r="R83" s="204"/>
      <c r="S83" s="205"/>
      <c r="T83" s="206"/>
    </row>
    <row r="84" spans="1:20">
      <c r="A84" s="73">
        <v>2010</v>
      </c>
      <c r="B84" s="194">
        <f t="shared" si="66"/>
        <v>50293.606011505188</v>
      </c>
      <c r="C84" s="195">
        <f t="shared" si="67"/>
        <v>3.3646022344080944</v>
      </c>
      <c r="D84" s="196">
        <f t="shared" si="68"/>
        <v>2.4918332446409681</v>
      </c>
      <c r="E84" s="197">
        <f t="shared" si="74"/>
        <v>2.9315685231070212</v>
      </c>
      <c r="F84" s="198">
        <f t="shared" si="69"/>
        <v>0.27181795650072554</v>
      </c>
      <c r="G84" s="199">
        <f t="shared" si="75"/>
        <v>3.2033864796077469</v>
      </c>
      <c r="H84" s="96"/>
      <c r="I84" s="73">
        <v>2010</v>
      </c>
      <c r="J84" s="74">
        <f t="shared" si="70"/>
        <v>5568.3402340158354</v>
      </c>
      <c r="K84" s="76">
        <f t="shared" si="70"/>
        <v>6410.04588653885</v>
      </c>
      <c r="L84" s="75">
        <f t="shared" si="71"/>
        <v>0.42882697072016057</v>
      </c>
      <c r="M84" s="201">
        <f t="shared" si="72"/>
        <v>3.2033864796077469</v>
      </c>
      <c r="N84" s="75">
        <f t="shared" si="76"/>
        <v>0.13386676052046964</v>
      </c>
      <c r="O84" s="202">
        <f t="shared" si="73"/>
        <v>5.4199834460140432E-3</v>
      </c>
      <c r="P84" s="203">
        <f t="shared" si="77"/>
        <v>0.13928674396648369</v>
      </c>
      <c r="R84" s="204"/>
      <c r="S84" s="205"/>
      <c r="T84" s="206"/>
    </row>
    <row r="85" spans="1:20">
      <c r="A85" s="73">
        <v>2011</v>
      </c>
      <c r="B85" s="194">
        <f t="shared" si="66"/>
        <v>51584.494492134399</v>
      </c>
      <c r="C85" s="195">
        <f t="shared" si="67"/>
        <v>3.3290300524697032</v>
      </c>
      <c r="D85" s="196">
        <f t="shared" si="68"/>
        <v>2.4646151564600833</v>
      </c>
      <c r="E85" s="197">
        <f t="shared" si="74"/>
        <v>2.8995472428942159</v>
      </c>
      <c r="F85" s="198">
        <f t="shared" si="69"/>
        <v>0.26704257031555828</v>
      </c>
      <c r="G85" s="199">
        <f t="shared" si="75"/>
        <v>3.1665898132097743</v>
      </c>
      <c r="H85" s="96"/>
      <c r="I85" s="73">
        <v>2011</v>
      </c>
      <c r="J85" s="74">
        <f t="shared" si="70"/>
        <v>5731.7234097735663</v>
      </c>
      <c r="K85" s="76">
        <f t="shared" si="70"/>
        <v>6804.3853017273059</v>
      </c>
      <c r="L85" s="75">
        <f t="shared" si="71"/>
        <v>0.43912426361931889</v>
      </c>
      <c r="M85" s="201">
        <f t="shared" si="72"/>
        <v>3.1665898132097743</v>
      </c>
      <c r="N85" s="75">
        <f t="shared" si="76"/>
        <v>0.1386741856452213</v>
      </c>
      <c r="O85" s="202">
        <f t="shared" si="73"/>
        <v>5.4461177951300645E-3</v>
      </c>
      <c r="P85" s="203">
        <f t="shared" si="77"/>
        <v>0.14412030344035137</v>
      </c>
      <c r="R85" s="204"/>
      <c r="S85" s="205"/>
      <c r="T85" s="206"/>
    </row>
    <row r="86" spans="1:20">
      <c r="A86" s="73">
        <v>2012</v>
      </c>
      <c r="B86" s="194">
        <f t="shared" si="66"/>
        <v>52824.025565418349</v>
      </c>
      <c r="C86" s="195">
        <f t="shared" si="67"/>
        <v>3.2892132207421465</v>
      </c>
      <c r="D86" s="196">
        <f t="shared" si="68"/>
        <v>2.4383923672414873</v>
      </c>
      <c r="E86" s="197">
        <f t="shared" si="74"/>
        <v>2.8686969026370441</v>
      </c>
      <c r="F86" s="198">
        <f t="shared" si="69"/>
        <v>0.26296535965740303</v>
      </c>
      <c r="G86" s="199">
        <f t="shared" si="75"/>
        <v>3.131662262294447</v>
      </c>
      <c r="H86" s="96"/>
      <c r="I86" s="73">
        <v>2012</v>
      </c>
      <c r="J86" s="74">
        <f t="shared" si="70"/>
        <v>5794.1498608093552</v>
      </c>
      <c r="K86" s="76">
        <f t="shared" si="70"/>
        <v>7228.1757064898447</v>
      </c>
      <c r="L86" s="75">
        <f t="shared" si="71"/>
        <v>0.45007950153647686</v>
      </c>
      <c r="M86" s="201">
        <f t="shared" si="72"/>
        <v>3.131662262294447</v>
      </c>
      <c r="N86" s="75">
        <f t="shared" si="76"/>
        <v>0.14371904242532244</v>
      </c>
      <c r="O86" s="202">
        <f t="shared" si="73"/>
        <v>4.9397331704106552E-3</v>
      </c>
      <c r="P86" s="203">
        <f t="shared" si="77"/>
        <v>0.14865877559573309</v>
      </c>
    </row>
    <row r="87" spans="1:20">
      <c r="A87" s="73">
        <v>2013</v>
      </c>
      <c r="B87" s="194">
        <f t="shared" si="66"/>
        <v>53886.922436321474</v>
      </c>
      <c r="C87" s="195">
        <f t="shared" si="67"/>
        <v>3.3105795355239374</v>
      </c>
      <c r="D87" s="196">
        <f t="shared" si="68"/>
        <v>2.4556987432272193</v>
      </c>
      <c r="E87" s="197">
        <f t="shared" si="74"/>
        <v>2.8890573449731991</v>
      </c>
      <c r="F87" s="198">
        <f t="shared" si="69"/>
        <v>0.26667309657418942</v>
      </c>
      <c r="G87" s="199">
        <f t="shared" si="75"/>
        <v>3.1557304415473886</v>
      </c>
      <c r="H87" s="96"/>
      <c r="I87" s="73">
        <v>2013</v>
      </c>
      <c r="J87" s="74">
        <f t="shared" si="70"/>
        <v>6115.7225770895038</v>
      </c>
      <c r="K87" s="76">
        <f t="shared" si="70"/>
        <v>6959.6668199104952</v>
      </c>
      <c r="L87" s="75">
        <f t="shared" si="71"/>
        <v>0.42757183944374982</v>
      </c>
      <c r="M87" s="201">
        <f t="shared" si="72"/>
        <v>3.1557304415473886</v>
      </c>
      <c r="N87" s="75">
        <f t="shared" si="76"/>
        <v>0.13549060902492457</v>
      </c>
      <c r="O87" s="202">
        <f t="shared" si="73"/>
        <v>5.3706150565876057E-3</v>
      </c>
      <c r="P87" s="203">
        <f t="shared" si="77"/>
        <v>0.14086122408151219</v>
      </c>
    </row>
    <row r="88" spans="1:20">
      <c r="A88" s="73">
        <v>2014</v>
      </c>
      <c r="B88" s="194">
        <f t="shared" si="66"/>
        <v>55128.445134703412</v>
      </c>
      <c r="C88" s="195">
        <f t="shared" si="67"/>
        <v>3.2930188589035585</v>
      </c>
      <c r="D88" s="196">
        <f t="shared" si="68"/>
        <v>2.4505850259745823</v>
      </c>
      <c r="E88" s="197">
        <f t="shared" si="74"/>
        <v>2.8830412070289202</v>
      </c>
      <c r="F88" s="198">
        <f t="shared" si="69"/>
        <v>0.26283553327048631</v>
      </c>
      <c r="G88" s="199">
        <f t="shared" si="75"/>
        <v>3.1458767402994066</v>
      </c>
      <c r="H88" s="96"/>
      <c r="I88" s="73">
        <v>2014</v>
      </c>
      <c r="J88" s="74">
        <f t="shared" si="70"/>
        <v>6188.1549033494612</v>
      </c>
      <c r="K88" s="76">
        <f t="shared" si="70"/>
        <v>7079.4672682323107</v>
      </c>
      <c r="L88" s="75">
        <f t="shared" si="71"/>
        <v>0.42288185651374399</v>
      </c>
      <c r="M88" s="201">
        <f t="shared" si="72"/>
        <v>3.1458767402994066</v>
      </c>
      <c r="N88" s="75">
        <f t="shared" si="76"/>
        <v>0.13442416579662195</v>
      </c>
      <c r="O88" s="202">
        <f t="shared" si="73"/>
        <v>5.618406770508011E-3</v>
      </c>
      <c r="P88" s="203">
        <f t="shared" si="77"/>
        <v>0.14004257256712996</v>
      </c>
    </row>
    <row r="89" spans="1:20">
      <c r="A89" s="73">
        <v>2015</v>
      </c>
      <c r="B89" s="194">
        <f t="shared" si="66"/>
        <v>56336.7259660649</v>
      </c>
      <c r="C89" s="195">
        <f t="shared" si="67"/>
        <v>3.2579070962151855</v>
      </c>
      <c r="D89" s="196">
        <f t="shared" si="68"/>
        <v>2.4383077047177522</v>
      </c>
      <c r="E89" s="197">
        <f t="shared" si="74"/>
        <v>2.8685972996679436</v>
      </c>
      <c r="F89" s="198">
        <f t="shared" si="69"/>
        <v>0.25819042483082155</v>
      </c>
      <c r="G89" s="199">
        <f t="shared" si="75"/>
        <v>3.1267877244987652</v>
      </c>
      <c r="H89" s="96"/>
      <c r="I89" s="73">
        <v>2015</v>
      </c>
      <c r="J89" s="74">
        <f t="shared" si="70"/>
        <v>6390.7475530417005</v>
      </c>
      <c r="K89" s="76">
        <f t="shared" si="70"/>
        <v>7071.3807744412834</v>
      </c>
      <c r="L89" s="75">
        <f t="shared" si="71"/>
        <v>0.40893220559123455</v>
      </c>
      <c r="M89" s="201">
        <f t="shared" si="72"/>
        <v>3.1267877244987652</v>
      </c>
      <c r="N89" s="75">
        <f t="shared" si="76"/>
        <v>0.13078348823848854</v>
      </c>
      <c r="O89" s="202">
        <f t="shared" si="73"/>
        <v>5.8334314416917301E-3</v>
      </c>
      <c r="P89" s="203">
        <f t="shared" si="77"/>
        <v>0.13661691968018028</v>
      </c>
    </row>
    <row r="90" spans="1:20">
      <c r="A90" s="73">
        <v>2016</v>
      </c>
      <c r="B90" s="194">
        <f t="shared" si="66"/>
        <v>57549.138480729089</v>
      </c>
      <c r="C90" s="195">
        <f t="shared" si="67"/>
        <v>3.2427156002976325</v>
      </c>
      <c r="D90" s="196">
        <f t="shared" si="68"/>
        <v>2.438364242709441</v>
      </c>
      <c r="E90" s="197">
        <f t="shared" si="74"/>
        <v>2.8686638149522836</v>
      </c>
      <c r="F90" s="198">
        <f t="shared" si="69"/>
        <v>0.25473154515320723</v>
      </c>
      <c r="G90" s="199">
        <f t="shared" si="75"/>
        <v>3.1233953601054907</v>
      </c>
      <c r="H90" s="96"/>
      <c r="I90" s="73">
        <v>2016</v>
      </c>
      <c r="J90" s="74">
        <f t="shared" si="70"/>
        <v>6377.0337598781462</v>
      </c>
      <c r="K90" s="76">
        <f t="shared" si="70"/>
        <v>7241.4868262566943</v>
      </c>
      <c r="L90" s="75">
        <f t="shared" si="71"/>
        <v>0.40803534024606791</v>
      </c>
      <c r="M90" s="201">
        <f t="shared" si="72"/>
        <v>3.1233953601054907</v>
      </c>
      <c r="N90" s="75">
        <f t="shared" si="76"/>
        <v>0.13063838970174008</v>
      </c>
      <c r="O90" s="202">
        <f t="shared" si="73"/>
        <v>5.6808037700137575E-3</v>
      </c>
      <c r="P90" s="203">
        <f t="shared" si="77"/>
        <v>0.13631919347175384</v>
      </c>
    </row>
    <row r="91" spans="1:20">
      <c r="A91" s="73">
        <v>2017</v>
      </c>
      <c r="B91" s="194">
        <f t="shared" si="66"/>
        <v>58596.881289263052</v>
      </c>
      <c r="C91" s="195">
        <f t="shared" si="67"/>
        <v>3.2334096594658148</v>
      </c>
      <c r="D91" s="196">
        <f t="shared" si="68"/>
        <v>2.4450654538675178</v>
      </c>
      <c r="E91" s="197">
        <f t="shared" si="74"/>
        <v>2.876547592785315</v>
      </c>
      <c r="F91" s="198">
        <f t="shared" si="69"/>
        <v>0.25259771114612706</v>
      </c>
      <c r="G91" s="199">
        <f t="shared" si="75"/>
        <v>3.1291453039314421</v>
      </c>
      <c r="H91" s="96"/>
      <c r="I91" s="73">
        <v>2017</v>
      </c>
      <c r="J91" s="74">
        <f t="shared" si="70"/>
        <v>6336.9546435544908</v>
      </c>
      <c r="K91" s="76">
        <f t="shared" si="70"/>
        <v>7669.8000352960808</v>
      </c>
      <c r="L91" s="75">
        <f t="shared" si="71"/>
        <v>0.42322398350646911</v>
      </c>
      <c r="M91" s="201">
        <f t="shared" si="72"/>
        <v>3.1291453039314421</v>
      </c>
      <c r="N91" s="75">
        <f t="shared" si="76"/>
        <v>0.13525226296609899</v>
      </c>
      <c r="O91" s="202">
        <f t="shared" si="73"/>
        <v>5.6389270116587384E-3</v>
      </c>
      <c r="P91" s="203">
        <f t="shared" si="77"/>
        <v>0.14089118997775774</v>
      </c>
    </row>
    <row r="92" spans="1:20">
      <c r="A92" s="73">
        <v>2018</v>
      </c>
      <c r="B92" s="194">
        <f t="shared" si="66"/>
        <v>59471.188986186142</v>
      </c>
      <c r="C92" s="195">
        <f t="shared" si="67"/>
        <v>3.2111735256259037</v>
      </c>
      <c r="D92" s="196">
        <f t="shared" si="68"/>
        <v>2.4410928236305729</v>
      </c>
      <c r="E92" s="197">
        <f t="shared" si="74"/>
        <v>2.871873910153615</v>
      </c>
      <c r="F92" s="198">
        <f t="shared" si="69"/>
        <v>0.24918749984342348</v>
      </c>
      <c r="G92" s="199">
        <f t="shared" si="75"/>
        <v>3.1210614099970386</v>
      </c>
      <c r="H92" s="96"/>
      <c r="I92" s="73">
        <v>2018</v>
      </c>
      <c r="J92" s="74">
        <f t="shared" si="70"/>
        <v>6517.4599739153582</v>
      </c>
      <c r="K92" s="76">
        <f t="shared" si="70"/>
        <v>7753.8031928051041</v>
      </c>
      <c r="L92" s="75">
        <f t="shared" si="71"/>
        <v>0.4186700814310742</v>
      </c>
      <c r="M92" s="201">
        <f t="shared" si="72"/>
        <v>3.1210614099970386</v>
      </c>
      <c r="N92" s="75">
        <f t="shared" si="76"/>
        <v>0.1341434936493196</v>
      </c>
      <c r="O92" s="202">
        <f t="shared" si="73"/>
        <v>5.5553334638379134E-3</v>
      </c>
      <c r="P92" s="203">
        <f t="shared" si="77"/>
        <v>0.13969882711315751</v>
      </c>
    </row>
    <row r="93" spans="1:20">
      <c r="A93" s="73">
        <v>2019</v>
      </c>
      <c r="B93" s="194">
        <f t="shared" si="66"/>
        <v>60118.541391749226</v>
      </c>
      <c r="C93" s="195">
        <f t="shared" si="67"/>
        <v>3.2519623819046264</v>
      </c>
      <c r="D93" s="196">
        <f t="shared" si="68"/>
        <v>2.4857713197995537</v>
      </c>
      <c r="E93" s="197">
        <f t="shared" si="74"/>
        <v>2.9244368468230042</v>
      </c>
      <c r="F93" s="198">
        <f t="shared" si="69"/>
        <v>0.25017458871077564</v>
      </c>
      <c r="G93" s="199">
        <f t="shared" si="75"/>
        <v>3.1746114355337798</v>
      </c>
      <c r="H93" s="96"/>
      <c r="I93" s="73">
        <v>2019</v>
      </c>
      <c r="J93" s="74">
        <f t="shared" si="70"/>
        <v>6633.4114999208596</v>
      </c>
      <c r="K93" s="76">
        <f t="shared" si="70"/>
        <v>7539.0713410002591</v>
      </c>
      <c r="L93" s="75">
        <f t="shared" si="71"/>
        <v>0.40780723929527724</v>
      </c>
      <c r="M93" s="201">
        <f t="shared" si="72"/>
        <v>3.1746114355337798</v>
      </c>
      <c r="N93" s="75">
        <f t="shared" si="76"/>
        <v>0.12845894610302394</v>
      </c>
      <c r="O93" s="202">
        <f t="shared" si="73"/>
        <v>5.8101068946662992E-3</v>
      </c>
      <c r="P93" s="203">
        <f t="shared" si="77"/>
        <v>0.13426905299769024</v>
      </c>
    </row>
    <row r="94" spans="1:20">
      <c r="A94" s="73">
        <v>2020</v>
      </c>
      <c r="B94" s="194">
        <f t="shared" si="66"/>
        <v>60272.930394614021</v>
      </c>
      <c r="C94" s="195">
        <f t="shared" si="67"/>
        <v>3.5124793526284246</v>
      </c>
      <c r="D94" s="196">
        <f t="shared" si="68"/>
        <v>2.6939674479687135</v>
      </c>
      <c r="E94" s="197">
        <f t="shared" si="74"/>
        <v>3.1693734681984864</v>
      </c>
      <c r="F94" s="198">
        <f t="shared" si="69"/>
        <v>0.26647458358675596</v>
      </c>
      <c r="G94" s="199">
        <f t="shared" si="75"/>
        <v>3.4358480517852423</v>
      </c>
      <c r="H94" s="96"/>
      <c r="I94" s="73">
        <v>2020</v>
      </c>
      <c r="J94" s="74">
        <f t="shared" si="70"/>
        <v>6591.5005973377729</v>
      </c>
      <c r="K94" s="76">
        <f t="shared" si="70"/>
        <v>6101.025568929731</v>
      </c>
      <c r="L94" s="75">
        <f t="shared" si="71"/>
        <v>0.35554478935105377</v>
      </c>
      <c r="M94" s="201">
        <f t="shared" si="72"/>
        <v>3.4358480517852423</v>
      </c>
      <c r="N94" s="75">
        <f t="shared" si="76"/>
        <v>0.10348094094740751</v>
      </c>
      <c r="O94" s="202">
        <f t="shared" si="73"/>
        <v>6.1381356238744645E-3</v>
      </c>
      <c r="P94" s="203">
        <f t="shared" si="77"/>
        <v>0.10961907657128198</v>
      </c>
    </row>
    <row r="95" spans="1:20" ht="17.100000000000001" thickBot="1">
      <c r="A95" s="91"/>
      <c r="B95" s="89"/>
      <c r="C95" s="89"/>
      <c r="D95" s="89"/>
      <c r="E95" s="89"/>
      <c r="F95" s="89"/>
      <c r="G95" s="92"/>
      <c r="H95" s="96"/>
      <c r="I95" s="91"/>
      <c r="J95" s="89"/>
      <c r="K95" s="89"/>
      <c r="L95" s="89"/>
      <c r="M95" s="89"/>
      <c r="N95" s="89"/>
      <c r="O95" s="89"/>
      <c r="P95" s="92"/>
    </row>
    <row r="96" spans="1:20" ht="17.100000000000001" thickTop="1">
      <c r="A96" s="207"/>
      <c r="B96" s="208"/>
      <c r="C96" s="208"/>
      <c r="D96" s="208"/>
      <c r="E96" s="208"/>
      <c r="F96" s="208"/>
      <c r="G96" s="209"/>
      <c r="H96" s="96"/>
      <c r="I96" s="210"/>
      <c r="J96" s="14"/>
      <c r="K96" s="14"/>
      <c r="L96" s="14"/>
      <c r="M96" s="14"/>
      <c r="N96" s="211" t="s">
        <v>296</v>
      </c>
      <c r="O96" s="14"/>
      <c r="P96" s="212">
        <f>AVERAGE(P77:P94)</f>
        <v>0.13891483479723313</v>
      </c>
      <c r="R96" s="213"/>
      <c r="S96" s="205"/>
      <c r="T96" s="205"/>
    </row>
    <row r="97" spans="1:37" ht="17.100000000000001" thickBot="1">
      <c r="A97" s="214"/>
      <c r="B97" s="215" t="s">
        <v>297</v>
      </c>
      <c r="C97" s="215"/>
      <c r="D97" s="215"/>
      <c r="E97" s="216">
        <v>0.85</v>
      </c>
      <c r="F97" s="217" t="s">
        <v>298</v>
      </c>
      <c r="G97" s="218"/>
      <c r="H97" s="96"/>
      <c r="I97" s="219"/>
      <c r="J97" s="217"/>
      <c r="K97" s="217"/>
      <c r="L97" s="217"/>
      <c r="M97" s="217"/>
      <c r="N97" s="217"/>
      <c r="O97" s="220"/>
      <c r="P97" s="221" t="s">
        <v>299</v>
      </c>
    </row>
    <row r="98" spans="1:37" ht="17.100000000000001" thickTop="1">
      <c r="C98" s="222"/>
    </row>
    <row r="99" spans="1:37" ht="17.100000000000001" thickBot="1"/>
    <row r="100" spans="1:37" ht="75.95" thickBot="1">
      <c r="A100" s="6" t="s">
        <v>23</v>
      </c>
      <c r="B100" s="223" t="s">
        <v>300</v>
      </c>
      <c r="C100" s="223" t="s">
        <v>301</v>
      </c>
      <c r="D100" s="223" t="s">
        <v>302</v>
      </c>
      <c r="E100" s="224" t="s">
        <v>303</v>
      </c>
      <c r="F100" s="224" t="s">
        <v>304</v>
      </c>
      <c r="G100" s="223" t="s">
        <v>305</v>
      </c>
    </row>
    <row r="101" spans="1:37">
      <c r="E101" s="225" t="s">
        <v>306</v>
      </c>
      <c r="F101" s="225" t="s">
        <v>307</v>
      </c>
    </row>
    <row r="103" spans="1:37" ht="17.100000000000001" thickBot="1">
      <c r="A103" s="226" t="s">
        <v>308</v>
      </c>
      <c r="B103" s="227"/>
      <c r="C103" s="227"/>
      <c r="D103" s="227"/>
      <c r="E103" s="227"/>
      <c r="F103" s="227"/>
      <c r="G103" s="227"/>
      <c r="I103" s="226" t="s">
        <v>309</v>
      </c>
      <c r="P103" s="226" t="s">
        <v>310</v>
      </c>
    </row>
    <row r="104" spans="1:37" ht="18" thickTop="1" thickBot="1">
      <c r="A104" s="228"/>
      <c r="B104" s="229" t="s">
        <v>311</v>
      </c>
      <c r="C104" s="229"/>
      <c r="D104" s="230" t="s">
        <v>312</v>
      </c>
      <c r="E104" s="108"/>
      <c r="F104" s="108"/>
      <c r="G104" s="231"/>
      <c r="I104" s="232" t="s">
        <v>313</v>
      </c>
      <c r="J104" s="14"/>
      <c r="K104" s="14"/>
      <c r="L104" s="14"/>
      <c r="M104" s="233"/>
      <c r="N104" s="234"/>
      <c r="P104" s="235" t="s">
        <v>314</v>
      </c>
      <c r="Q104" s="236"/>
    </row>
    <row r="105" spans="1:37" ht="39.6" customHeight="1" thickBot="1">
      <c r="A105" s="237"/>
      <c r="B105" s="238" t="s">
        <v>315</v>
      </c>
      <c r="C105" s="238" t="s">
        <v>316</v>
      </c>
      <c r="D105" s="62" t="s">
        <v>317</v>
      </c>
      <c r="E105" s="62" t="s">
        <v>318</v>
      </c>
      <c r="F105" s="62" t="s">
        <v>319</v>
      </c>
      <c r="G105" s="65" t="s">
        <v>320</v>
      </c>
      <c r="I105" s="237"/>
      <c r="J105" s="239" t="s">
        <v>321</v>
      </c>
      <c r="K105" s="240" t="s">
        <v>322</v>
      </c>
      <c r="L105" s="240" t="s">
        <v>312</v>
      </c>
      <c r="M105" s="240" t="s">
        <v>323</v>
      </c>
      <c r="N105" s="241" t="s">
        <v>189</v>
      </c>
      <c r="P105" s="242" t="s">
        <v>324</v>
      </c>
      <c r="Q105" s="243"/>
    </row>
    <row r="106" spans="1:37" ht="32.1" thickBot="1">
      <c r="A106" s="146" t="s">
        <v>62</v>
      </c>
      <c r="B106" s="244" t="s">
        <v>325</v>
      </c>
      <c r="C106" s="244" t="s">
        <v>325</v>
      </c>
      <c r="D106" s="245" t="s">
        <v>326</v>
      </c>
      <c r="E106" s="245" t="s">
        <v>326</v>
      </c>
      <c r="F106" s="245" t="s">
        <v>326</v>
      </c>
      <c r="G106" s="246" t="s">
        <v>325</v>
      </c>
      <c r="I106" s="146" t="s">
        <v>62</v>
      </c>
      <c r="J106" s="247" t="s">
        <v>311</v>
      </c>
      <c r="K106" s="248" t="s">
        <v>327</v>
      </c>
      <c r="L106" s="248"/>
      <c r="M106" s="248" t="s">
        <v>328</v>
      </c>
      <c r="N106" s="249"/>
      <c r="P106" s="61"/>
      <c r="Q106" s="250" t="s">
        <v>329</v>
      </c>
    </row>
    <row r="107" spans="1:37" ht="17.100000000000001" thickBot="1">
      <c r="A107" s="26"/>
      <c r="B107" s="251" t="s">
        <v>330</v>
      </c>
      <c r="C107" s="251" t="s">
        <v>331</v>
      </c>
      <c r="D107" s="252" t="s">
        <v>332</v>
      </c>
      <c r="E107" s="252" t="s">
        <v>333</v>
      </c>
      <c r="F107" s="252" t="s">
        <v>334</v>
      </c>
      <c r="G107" s="253" t="s">
        <v>335</v>
      </c>
      <c r="I107" s="26"/>
      <c r="J107" s="254"/>
      <c r="K107" s="255"/>
      <c r="L107" s="255"/>
      <c r="M107" s="255"/>
      <c r="N107" s="256"/>
      <c r="P107" s="146" t="s">
        <v>62</v>
      </c>
      <c r="Q107" s="257">
        <v>1</v>
      </c>
    </row>
    <row r="108" spans="1:37">
      <c r="A108" s="61"/>
      <c r="B108" s="258"/>
      <c r="C108" s="258"/>
      <c r="D108" s="238"/>
      <c r="E108" s="238"/>
      <c r="F108" s="238"/>
      <c r="G108" s="259"/>
      <c r="I108" s="61"/>
      <c r="J108" s="260"/>
      <c r="K108" s="261"/>
      <c r="L108" s="261"/>
      <c r="M108" s="261"/>
      <c r="N108" s="262"/>
      <c r="P108" s="61"/>
      <c r="Q108" s="141"/>
    </row>
    <row r="109" spans="1:37">
      <c r="A109" s="263">
        <v>2003</v>
      </c>
      <c r="B109" s="264">
        <v>0.14315434269991528</v>
      </c>
      <c r="C109" s="265">
        <v>0.13122893533312263</v>
      </c>
      <c r="D109" s="266">
        <v>5.6473848526703188E-2</v>
      </c>
      <c r="E109" s="267">
        <v>8.4719464683741599E-2</v>
      </c>
      <c r="F109" s="268">
        <v>4.4218631977529274E-2</v>
      </c>
      <c r="G109" s="269">
        <f t="shared" ref="G109:G126" si="78">B109*J109+C109*K109+D109*L109+E109*M109</f>
        <v>9.4738170146480116E-2</v>
      </c>
      <c r="H109" s="168"/>
      <c r="I109" s="263">
        <v>2003</v>
      </c>
      <c r="J109" s="270">
        <v>0.13201836735487854</v>
      </c>
      <c r="K109" s="271">
        <v>0.26944426192051496</v>
      </c>
      <c r="L109" s="271">
        <v>0.3620909405591422</v>
      </c>
      <c r="M109" s="271">
        <v>0.23644643016546427</v>
      </c>
      <c r="N109" s="272">
        <f t="shared" ref="N109:N127" si="79">SUM(J109:M109)</f>
        <v>1</v>
      </c>
      <c r="O109" s="273"/>
      <c r="P109" s="263">
        <v>2003</v>
      </c>
      <c r="Q109" s="274">
        <f>G109*$Q$107</f>
        <v>9.4738170146480116E-2</v>
      </c>
      <c r="S109" s="441" t="s">
        <v>336</v>
      </c>
      <c r="T109" s="441"/>
      <c r="U109" s="441"/>
      <c r="V109" s="442"/>
      <c r="W109" s="442"/>
      <c r="X109" s="442"/>
      <c r="Y109" s="442"/>
    </row>
    <row r="110" spans="1:37">
      <c r="A110" s="263">
        <v>2004</v>
      </c>
      <c r="B110" s="264">
        <v>0.10050031645177619</v>
      </c>
      <c r="C110" s="265">
        <v>0.11176661014393074</v>
      </c>
      <c r="D110" s="266">
        <v>2.0152154307039205E-2</v>
      </c>
      <c r="E110" s="267">
        <v>3.6627390064636584E-2</v>
      </c>
      <c r="F110" s="268">
        <v>3.8914839707035326E-2</v>
      </c>
      <c r="G110" s="269">
        <f t="shared" si="78"/>
        <v>6.1103144021660893E-2</v>
      </c>
      <c r="H110" s="168"/>
      <c r="I110" s="263">
        <v>2004</v>
      </c>
      <c r="J110" s="270">
        <v>0.14126610268454892</v>
      </c>
      <c r="K110" s="271">
        <v>0.28128690145052676</v>
      </c>
      <c r="L110" s="271">
        <v>0.34494218461409187</v>
      </c>
      <c r="M110" s="271">
        <v>0.23250481125083236</v>
      </c>
      <c r="N110" s="272">
        <f t="shared" si="79"/>
        <v>0.99999999999999989</v>
      </c>
      <c r="O110" s="273"/>
      <c r="P110" s="263">
        <v>2004</v>
      </c>
      <c r="Q110" s="274">
        <f t="shared" ref="Q110:Q127" si="80">G110*$Q$107</f>
        <v>6.1103144021660893E-2</v>
      </c>
      <c r="S110" s="275" t="s">
        <v>337</v>
      </c>
      <c r="T110" s="4">
        <v>2003</v>
      </c>
      <c r="U110" s="4">
        <v>2004</v>
      </c>
      <c r="V110" s="4">
        <v>2005</v>
      </c>
      <c r="W110" s="4">
        <v>2006</v>
      </c>
      <c r="X110" s="4">
        <v>2007</v>
      </c>
      <c r="Y110" s="4">
        <v>2008</v>
      </c>
      <c r="Z110" s="4">
        <v>2009</v>
      </c>
      <c r="AA110" s="4">
        <v>2010</v>
      </c>
      <c r="AB110" s="4">
        <v>2011</v>
      </c>
      <c r="AC110" s="4">
        <v>2012</v>
      </c>
      <c r="AD110" s="4">
        <v>2013</v>
      </c>
      <c r="AE110" s="4">
        <v>2014</v>
      </c>
      <c r="AF110" s="4">
        <v>2015</v>
      </c>
      <c r="AG110" s="4">
        <v>2016</v>
      </c>
      <c r="AH110" s="4">
        <v>2017</v>
      </c>
      <c r="AI110" s="4">
        <v>2018</v>
      </c>
      <c r="AJ110" s="4">
        <v>2019</v>
      </c>
      <c r="AK110" s="4">
        <v>2020</v>
      </c>
    </row>
    <row r="111" spans="1:37">
      <c r="A111" s="263">
        <v>2005</v>
      </c>
      <c r="B111" s="264">
        <v>0.10427079456854552</v>
      </c>
      <c r="C111" s="265">
        <v>9.7957870666245256E-2</v>
      </c>
      <c r="D111" s="266">
        <v>4.0822105996363281E-2</v>
      </c>
      <c r="E111" s="267">
        <v>5.4212392555845083E-2</v>
      </c>
      <c r="F111" s="268">
        <v>4.2932139951393444E-2</v>
      </c>
      <c r="G111" s="269">
        <f t="shared" si="78"/>
        <v>6.9695529010101495E-2</v>
      </c>
      <c r="H111" s="168"/>
      <c r="I111" s="263">
        <v>2005</v>
      </c>
      <c r="J111" s="270">
        <v>0.14478640828909642</v>
      </c>
      <c r="K111" s="271">
        <v>0.29265361865542011</v>
      </c>
      <c r="L111" s="271">
        <v>0.34106157671736853</v>
      </c>
      <c r="M111" s="271">
        <v>0.22149839633811499</v>
      </c>
      <c r="N111" s="272">
        <f t="shared" si="79"/>
        <v>1</v>
      </c>
      <c r="O111" s="273"/>
      <c r="P111" s="263">
        <v>2005</v>
      </c>
      <c r="Q111" s="274">
        <f t="shared" si="80"/>
        <v>6.9695529010101495E-2</v>
      </c>
      <c r="S111" s="275" t="s">
        <v>338</v>
      </c>
      <c r="T111" s="276">
        <v>0.13201836735487854</v>
      </c>
      <c r="U111" s="276">
        <v>0.14126610268454892</v>
      </c>
      <c r="V111" s="276">
        <v>0.14478640828909642</v>
      </c>
      <c r="W111" s="276">
        <v>0.13346006968025897</v>
      </c>
      <c r="X111" s="276">
        <v>0.13774106638991437</v>
      </c>
      <c r="Y111" s="276">
        <v>0.14577072821136219</v>
      </c>
      <c r="Z111" s="276">
        <v>0.16079056247981657</v>
      </c>
      <c r="AA111" s="276">
        <v>0.16667080892274325</v>
      </c>
      <c r="AB111" s="276">
        <v>0.16481886151182948</v>
      </c>
      <c r="AC111" s="276">
        <v>0.16970828923005293</v>
      </c>
      <c r="AD111" s="276">
        <v>0.16365103286455104</v>
      </c>
      <c r="AE111" s="276">
        <v>0.17560705688761635</v>
      </c>
      <c r="AF111" s="276">
        <v>0.18678116910098211</v>
      </c>
      <c r="AG111" s="276">
        <v>0.19375373932250073</v>
      </c>
      <c r="AH111" s="276">
        <v>0.19955504483340211</v>
      </c>
      <c r="AI111" s="276">
        <v>0.20376545896547829</v>
      </c>
      <c r="AJ111" s="276">
        <v>0.21356283916630261</v>
      </c>
      <c r="AK111" s="276">
        <v>0.21696241040113304</v>
      </c>
    </row>
    <row r="112" spans="1:37">
      <c r="A112" s="263">
        <v>2006</v>
      </c>
      <c r="B112" s="264">
        <v>8.7760327705956376E-2</v>
      </c>
      <c r="C112" s="265">
        <v>8.7246980203163196E-2</v>
      </c>
      <c r="D112" s="266">
        <v>4.3109561307062699E-2</v>
      </c>
      <c r="E112" s="267">
        <v>4.3685605424827113E-2</v>
      </c>
      <c r="F112" s="268">
        <v>5.2797035235314774E-2</v>
      </c>
      <c r="G112" s="269">
        <f t="shared" si="78"/>
        <v>6.185463803060727E-2</v>
      </c>
      <c r="H112" s="168"/>
      <c r="I112" s="263">
        <v>2006</v>
      </c>
      <c r="J112" s="270">
        <v>0.13346006968025897</v>
      </c>
      <c r="K112" s="271">
        <v>0.28682153022819989</v>
      </c>
      <c r="L112" s="271">
        <v>0.36025552099944447</v>
      </c>
      <c r="M112" s="271">
        <v>0.21946287909209669</v>
      </c>
      <c r="N112" s="272">
        <f t="shared" si="79"/>
        <v>1</v>
      </c>
      <c r="O112" s="273"/>
      <c r="P112" s="263">
        <v>2006</v>
      </c>
      <c r="Q112" s="274">
        <f t="shared" si="80"/>
        <v>6.185463803060727E-2</v>
      </c>
      <c r="S112" s="275" t="s">
        <v>339</v>
      </c>
      <c r="T112" s="276">
        <v>0.26944426192051496</v>
      </c>
      <c r="U112" s="276">
        <v>0.28128690145052676</v>
      </c>
      <c r="V112" s="276">
        <v>0.29265361865542011</v>
      </c>
      <c r="W112" s="276">
        <v>0.28682153022819989</v>
      </c>
      <c r="X112" s="276">
        <v>0.30872507578988911</v>
      </c>
      <c r="Y112" s="276">
        <v>0.30719364690001455</v>
      </c>
      <c r="Z112" s="276">
        <v>0.33156028187014119</v>
      </c>
      <c r="AA112" s="276">
        <v>0.3402560543398741</v>
      </c>
      <c r="AB112" s="276">
        <v>0.33428846755273733</v>
      </c>
      <c r="AC112" s="276">
        <v>0.34803567617602971</v>
      </c>
      <c r="AD112" s="276">
        <v>0.33228432641791705</v>
      </c>
      <c r="AE112" s="276">
        <v>0.3466041228547917</v>
      </c>
      <c r="AF112" s="276">
        <v>0.35460328254161028</v>
      </c>
      <c r="AG112" s="276">
        <v>0.35722643992263703</v>
      </c>
      <c r="AH112" s="276">
        <v>0.35363820788629219</v>
      </c>
      <c r="AI112" s="276">
        <v>0.360471198087147</v>
      </c>
      <c r="AJ112" s="276">
        <v>0.3710976425892723</v>
      </c>
      <c r="AK112" s="276">
        <v>0.37119460004817695</v>
      </c>
    </row>
    <row r="113" spans="1:37">
      <c r="A113" s="263">
        <v>2007</v>
      </c>
      <c r="B113" s="264">
        <v>8.7820676818980592E-2</v>
      </c>
      <c r="C113" s="265">
        <v>7.8495545477053369E-2</v>
      </c>
      <c r="D113" s="266">
        <v>3.5478290549460917E-2</v>
      </c>
      <c r="E113" s="267">
        <v>4.3406555020427069E-2</v>
      </c>
      <c r="F113" s="268">
        <v>5.33467779483979E-2</v>
      </c>
      <c r="G113" s="269">
        <f t="shared" si="78"/>
        <v>5.7580114067750057E-2</v>
      </c>
      <c r="H113" s="168"/>
      <c r="I113" s="263">
        <v>2007</v>
      </c>
      <c r="J113" s="270">
        <v>0.13774106638991437</v>
      </c>
      <c r="K113" s="271">
        <v>0.30872507578988911</v>
      </c>
      <c r="L113" s="271">
        <v>0.35025833210576057</v>
      </c>
      <c r="M113" s="271">
        <v>0.20327552571443586</v>
      </c>
      <c r="N113" s="272">
        <f t="shared" si="79"/>
        <v>1</v>
      </c>
      <c r="O113" s="273"/>
      <c r="P113" s="263">
        <v>2007</v>
      </c>
      <c r="Q113" s="274">
        <f t="shared" si="80"/>
        <v>5.7580114067750057E-2</v>
      </c>
      <c r="S113" s="275" t="s">
        <v>312</v>
      </c>
      <c r="T113" s="276">
        <v>0.3620909405591422</v>
      </c>
      <c r="U113" s="276">
        <v>0.34494218461409187</v>
      </c>
      <c r="V113" s="276">
        <v>0.34106157671736853</v>
      </c>
      <c r="W113" s="276">
        <v>0.36025552099944447</v>
      </c>
      <c r="X113" s="276">
        <v>0.35025833210576057</v>
      </c>
      <c r="Y113" s="276">
        <v>0.32985746744373123</v>
      </c>
      <c r="Z113" s="276">
        <v>0.31330414655127203</v>
      </c>
      <c r="AA113" s="276">
        <v>0.29053297654475779</v>
      </c>
      <c r="AB113" s="276">
        <v>0.29236809258165669</v>
      </c>
      <c r="AC113" s="276">
        <v>0.28469528358912449</v>
      </c>
      <c r="AD113" s="276">
        <v>0.29913634496277974</v>
      </c>
      <c r="AE113" s="276">
        <v>0.2910416921064799</v>
      </c>
      <c r="AF113" s="276">
        <v>0.2800915840977618</v>
      </c>
      <c r="AG113" s="276">
        <v>0.26828371492292347</v>
      </c>
      <c r="AH113" s="276">
        <v>0.26720359346149009</v>
      </c>
      <c r="AI113" s="276">
        <v>0.26149786911574335</v>
      </c>
      <c r="AJ113" s="276">
        <v>0.24295356624729025</v>
      </c>
      <c r="AK113" s="276">
        <v>0.23735759903140211</v>
      </c>
    </row>
    <row r="114" spans="1:37">
      <c r="A114" s="263">
        <v>2008</v>
      </c>
      <c r="B114" s="264">
        <v>4.4686035738505513E-2</v>
      </c>
      <c r="C114" s="265">
        <v>7.1096312845344969E-2</v>
      </c>
      <c r="D114" s="266">
        <v>7.7438277455513932E-3</v>
      </c>
      <c r="E114" s="267">
        <v>3.8717063852549014E-2</v>
      </c>
      <c r="F114" s="268">
        <v>3.6649783054278358E-2</v>
      </c>
      <c r="G114" s="269">
        <f t="shared" si="78"/>
        <v>3.9317111592227685E-2</v>
      </c>
      <c r="H114" s="168"/>
      <c r="I114" s="263">
        <v>2008</v>
      </c>
      <c r="J114" s="270">
        <v>0.14577072821136219</v>
      </c>
      <c r="K114" s="271">
        <v>0.30719364690001455</v>
      </c>
      <c r="L114" s="271">
        <v>0.32985746744373123</v>
      </c>
      <c r="M114" s="271">
        <v>0.21717815744489205</v>
      </c>
      <c r="N114" s="272">
        <f t="shared" si="79"/>
        <v>1</v>
      </c>
      <c r="O114" s="273"/>
      <c r="P114" s="263">
        <v>2008</v>
      </c>
      <c r="Q114" s="274">
        <f t="shared" si="80"/>
        <v>3.9317111592227685E-2</v>
      </c>
      <c r="S114" s="275" t="s">
        <v>340</v>
      </c>
      <c r="T114" s="276">
        <v>0.23644643016546427</v>
      </c>
      <c r="U114" s="276">
        <v>0.23250481125083236</v>
      </c>
      <c r="V114" s="276">
        <v>0.22149839633811499</v>
      </c>
      <c r="W114" s="276">
        <v>0.21946287909209669</v>
      </c>
      <c r="X114" s="276">
        <v>0.20327552571443586</v>
      </c>
      <c r="Y114" s="276">
        <v>0.21717815744489205</v>
      </c>
      <c r="Z114" s="276">
        <v>0.19434500909877017</v>
      </c>
      <c r="AA114" s="276">
        <v>0.20254016019262497</v>
      </c>
      <c r="AB114" s="276">
        <v>0.20852457835377644</v>
      </c>
      <c r="AC114" s="276">
        <v>0.19756075100479301</v>
      </c>
      <c r="AD114" s="276">
        <v>0.20492829575475205</v>
      </c>
      <c r="AE114" s="276">
        <v>0.18674712815111197</v>
      </c>
      <c r="AF114" s="276">
        <v>0.17852396425964578</v>
      </c>
      <c r="AG114" s="276">
        <v>0.1807361058319388</v>
      </c>
      <c r="AH114" s="276">
        <v>0.17960315381881567</v>
      </c>
      <c r="AI114" s="276">
        <v>0.17426547383163127</v>
      </c>
      <c r="AJ114" s="276">
        <v>0.17238595199713483</v>
      </c>
      <c r="AK114" s="276">
        <v>0.17448539051928783</v>
      </c>
    </row>
    <row r="115" spans="1:37">
      <c r="A115" s="263">
        <v>2009</v>
      </c>
      <c r="B115" s="264">
        <v>7.1107811367191145E-2</v>
      </c>
      <c r="C115" s="265">
        <v>6.4686805999367894E-2</v>
      </c>
      <c r="D115" s="266">
        <v>2.3913953540473237E-2</v>
      </c>
      <c r="E115" s="267">
        <v>3.649910925665218E-2</v>
      </c>
      <c r="F115" s="268">
        <v>4.6210125313229801E-2</v>
      </c>
      <c r="G115" s="269">
        <f t="shared" si="78"/>
        <v>4.7466801142114733E-2</v>
      </c>
      <c r="H115" s="168"/>
      <c r="I115" s="263">
        <v>2009</v>
      </c>
      <c r="J115" s="270">
        <v>0.16079056247981657</v>
      </c>
      <c r="K115" s="271">
        <v>0.33156028187014119</v>
      </c>
      <c r="L115" s="271">
        <v>0.31330414655127203</v>
      </c>
      <c r="M115" s="271">
        <v>0.19434500909877017</v>
      </c>
      <c r="N115" s="272">
        <f t="shared" si="79"/>
        <v>1</v>
      </c>
      <c r="O115" s="273"/>
      <c r="P115" s="263">
        <v>2009</v>
      </c>
      <c r="Q115" s="274">
        <f t="shared" si="80"/>
        <v>4.7466801142114733E-2</v>
      </c>
      <c r="S115" s="275" t="s">
        <v>341</v>
      </c>
      <c r="T115" s="277">
        <f>SUM(T111:T114)</f>
        <v>1</v>
      </c>
      <c r="U115" s="277">
        <f t="shared" ref="U115:AK115" si="81">SUM(U111:U114)</f>
        <v>0.99999999999999989</v>
      </c>
      <c r="V115" s="277">
        <f t="shared" si="81"/>
        <v>1</v>
      </c>
      <c r="W115" s="277">
        <f t="shared" si="81"/>
        <v>1</v>
      </c>
      <c r="X115" s="277">
        <f t="shared" si="81"/>
        <v>1</v>
      </c>
      <c r="Y115" s="277">
        <f t="shared" si="81"/>
        <v>1</v>
      </c>
      <c r="Z115" s="277">
        <f t="shared" si="81"/>
        <v>1</v>
      </c>
      <c r="AA115" s="277">
        <f t="shared" si="81"/>
        <v>1</v>
      </c>
      <c r="AB115" s="277">
        <f t="shared" si="81"/>
        <v>0.99999999999999989</v>
      </c>
      <c r="AC115" s="277">
        <f t="shared" si="81"/>
        <v>1.0000000000000002</v>
      </c>
      <c r="AD115" s="277">
        <f t="shared" si="81"/>
        <v>0.99999999999999989</v>
      </c>
      <c r="AE115" s="277">
        <f t="shared" si="81"/>
        <v>0.99999999999999989</v>
      </c>
      <c r="AF115" s="277">
        <f t="shared" si="81"/>
        <v>1</v>
      </c>
      <c r="AG115" s="277">
        <f t="shared" si="81"/>
        <v>1</v>
      </c>
      <c r="AH115" s="277">
        <f t="shared" si="81"/>
        <v>1</v>
      </c>
      <c r="AI115" s="277">
        <f t="shared" si="81"/>
        <v>0.99999999999999989</v>
      </c>
      <c r="AJ115" s="277">
        <f t="shared" si="81"/>
        <v>1</v>
      </c>
      <c r="AK115" s="277">
        <f t="shared" si="81"/>
        <v>0.99999999999999989</v>
      </c>
    </row>
    <row r="116" spans="1:37">
      <c r="A116" s="263">
        <v>2010</v>
      </c>
      <c r="B116" s="264">
        <v>6.7972570913247349E-2</v>
      </c>
      <c r="C116" s="265">
        <v>5.9033220287861468E-2</v>
      </c>
      <c r="D116" s="266">
        <v>1.2081492349730133E-2</v>
      </c>
      <c r="E116" s="267">
        <v>3.5075454150433533E-2</v>
      </c>
      <c r="F116" s="268">
        <v>3.0397329538696408E-2</v>
      </c>
      <c r="G116" s="269">
        <f t="shared" si="78"/>
        <v>4.2029714024721505E-2</v>
      </c>
      <c r="H116" s="168"/>
      <c r="I116" s="263">
        <v>2010</v>
      </c>
      <c r="J116" s="270">
        <v>0.16667080892274325</v>
      </c>
      <c r="K116" s="271">
        <v>0.3402560543398741</v>
      </c>
      <c r="L116" s="271">
        <v>0.29053297654475779</v>
      </c>
      <c r="M116" s="271">
        <v>0.20254016019262497</v>
      </c>
      <c r="N116" s="272">
        <f t="shared" si="79"/>
        <v>1</v>
      </c>
      <c r="O116" s="273"/>
      <c r="P116" s="263">
        <v>2010</v>
      </c>
      <c r="Q116" s="274">
        <f t="shared" si="80"/>
        <v>4.2029714024721505E-2</v>
      </c>
    </row>
    <row r="117" spans="1:37">
      <c r="A117" s="263">
        <v>2011</v>
      </c>
      <c r="B117" s="264">
        <v>6.8160499756715287E-2</v>
      </c>
      <c r="C117" s="265">
        <v>5.3975915536285807E-2</v>
      </c>
      <c r="D117" s="266">
        <v>-4.4582199704405051E-3</v>
      </c>
      <c r="E117" s="267">
        <v>2.1902719902087923E-2</v>
      </c>
      <c r="F117" s="268">
        <v>2.3734569656894827E-2</v>
      </c>
      <c r="G117" s="269">
        <f t="shared" si="78"/>
        <v>3.2541476222676724E-2</v>
      </c>
      <c r="H117" s="168"/>
      <c r="I117" s="263">
        <v>2011</v>
      </c>
      <c r="J117" s="270">
        <v>0.16481886151182948</v>
      </c>
      <c r="K117" s="271">
        <v>0.33428846755273733</v>
      </c>
      <c r="L117" s="271">
        <v>0.29236809258165669</v>
      </c>
      <c r="M117" s="271">
        <v>0.20852457835377644</v>
      </c>
      <c r="N117" s="272">
        <f t="shared" si="79"/>
        <v>0.99999999999999989</v>
      </c>
      <c r="O117" s="273"/>
      <c r="P117" s="263">
        <v>2011</v>
      </c>
      <c r="Q117" s="274">
        <f t="shared" si="80"/>
        <v>3.2541476222676724E-2</v>
      </c>
      <c r="S117" s="275" t="s">
        <v>342</v>
      </c>
    </row>
    <row r="118" spans="1:37">
      <c r="A118" s="263">
        <v>2012</v>
      </c>
      <c r="B118" s="264">
        <v>7.131963731045976E-2</v>
      </c>
      <c r="C118" s="265">
        <v>4.9401026905678214E-2</v>
      </c>
      <c r="D118" s="266">
        <v>1.4849122845355757E-2</v>
      </c>
      <c r="E118" s="267">
        <v>3.6049676784616562E-2</v>
      </c>
      <c r="F118" s="268">
        <v>0.100555896203149</v>
      </c>
      <c r="G118" s="269">
        <f t="shared" si="78"/>
        <v>4.0646329897931141E-2</v>
      </c>
      <c r="H118" s="168"/>
      <c r="I118" s="263">
        <v>2012</v>
      </c>
      <c r="J118" s="270">
        <v>0.16970828923005293</v>
      </c>
      <c r="K118" s="271">
        <v>0.34803567617602971</v>
      </c>
      <c r="L118" s="271">
        <v>0.28469528358912449</v>
      </c>
      <c r="M118" s="271">
        <v>0.19756075100479301</v>
      </c>
      <c r="N118" s="272">
        <f t="shared" si="79"/>
        <v>1.0000000000000002</v>
      </c>
      <c r="O118" s="273"/>
      <c r="P118" s="263">
        <v>2012</v>
      </c>
      <c r="Q118" s="274">
        <f t="shared" si="80"/>
        <v>4.0646329897931141E-2</v>
      </c>
      <c r="S118" s="278" t="s">
        <v>343</v>
      </c>
      <c r="T118" s="117"/>
    </row>
    <row r="119" spans="1:37">
      <c r="A119" s="263">
        <v>2013</v>
      </c>
      <c r="B119" s="264">
        <v>7.1996338974020885E-2</v>
      </c>
      <c r="C119" s="265">
        <v>4.5224480810175993E-2</v>
      </c>
      <c r="D119" s="266">
        <v>3.5756969755284168E-2</v>
      </c>
      <c r="E119" s="267">
        <v>6.2821787547717639E-2</v>
      </c>
      <c r="F119" s="268">
        <v>3.6310051719107179E-2</v>
      </c>
      <c r="G119" s="269">
        <f t="shared" si="78"/>
        <v>5.0379832477135442E-2</v>
      </c>
      <c r="H119" s="168"/>
      <c r="I119" s="263">
        <v>2013</v>
      </c>
      <c r="J119" s="270">
        <v>0.16365103286455104</v>
      </c>
      <c r="K119" s="271">
        <v>0.33228432641791705</v>
      </c>
      <c r="L119" s="271">
        <v>0.29913634496277974</v>
      </c>
      <c r="M119" s="271">
        <v>0.20492829575475205</v>
      </c>
      <c r="N119" s="272">
        <f t="shared" si="79"/>
        <v>0.99999999999999989</v>
      </c>
      <c r="O119" s="273"/>
      <c r="P119" s="263">
        <v>2013</v>
      </c>
      <c r="Q119" s="274">
        <f t="shared" si="80"/>
        <v>5.0379832477135442E-2</v>
      </c>
    </row>
    <row r="120" spans="1:37">
      <c r="A120" s="263">
        <v>2014</v>
      </c>
      <c r="B120" s="264">
        <v>6.9633677645586617E-2</v>
      </c>
      <c r="C120" s="265">
        <v>4.1382430841846243E-2</v>
      </c>
      <c r="D120" s="266">
        <v>3.5514315727254234E-3</v>
      </c>
      <c r="E120" s="267">
        <v>3.0923013419070191E-2</v>
      </c>
      <c r="F120" s="268">
        <v>2.5627738558539455E-2</v>
      </c>
      <c r="G120" s="269">
        <f t="shared" si="78"/>
        <v>3.3379884939255706E-2</v>
      </c>
      <c r="H120" s="168"/>
      <c r="I120" s="263">
        <v>2014</v>
      </c>
      <c r="J120" s="270">
        <v>0.17560705688761635</v>
      </c>
      <c r="K120" s="271">
        <v>0.3466041228547917</v>
      </c>
      <c r="L120" s="271">
        <v>0.2910416921064799</v>
      </c>
      <c r="M120" s="271">
        <v>0.18674712815111197</v>
      </c>
      <c r="N120" s="272">
        <f t="shared" si="79"/>
        <v>0.99999999999999989</v>
      </c>
      <c r="O120" s="273"/>
      <c r="P120" s="263">
        <v>2014</v>
      </c>
      <c r="Q120" s="274">
        <f t="shared" si="80"/>
        <v>3.3379884939255706E-2</v>
      </c>
    </row>
    <row r="121" spans="1:37">
      <c r="A121" s="263">
        <v>2015</v>
      </c>
      <c r="B121" s="264">
        <v>7.8638519957879391E-2</v>
      </c>
      <c r="C121" s="265">
        <v>3.7825248178467608E-2</v>
      </c>
      <c r="D121" s="266">
        <v>2.0096921472157095E-2</v>
      </c>
      <c r="E121" s="267">
        <v>5.1215338803679025E-2</v>
      </c>
      <c r="F121" s="268">
        <v>4.3748214050429161E-2</v>
      </c>
      <c r="G121" s="269">
        <f t="shared" si="78"/>
        <v>4.2873295745897752E-2</v>
      </c>
      <c r="H121" s="168"/>
      <c r="I121" s="263">
        <v>2015</v>
      </c>
      <c r="J121" s="270">
        <v>0.18678116910098211</v>
      </c>
      <c r="K121" s="271">
        <v>0.35460328254161028</v>
      </c>
      <c r="L121" s="271">
        <v>0.2800915840977618</v>
      </c>
      <c r="M121" s="271">
        <v>0.17852396425964578</v>
      </c>
      <c r="N121" s="272">
        <f t="shared" si="79"/>
        <v>1</v>
      </c>
      <c r="O121" s="273"/>
      <c r="P121" s="263">
        <v>2015</v>
      </c>
      <c r="Q121" s="274">
        <f t="shared" si="80"/>
        <v>4.2873295745897752E-2</v>
      </c>
    </row>
    <row r="122" spans="1:37">
      <c r="A122" s="263">
        <v>2016</v>
      </c>
      <c r="B122" s="264">
        <v>6.0634726229008361E-2</v>
      </c>
      <c r="C122" s="265">
        <v>3.451359034709392E-2</v>
      </c>
      <c r="D122" s="266">
        <v>-8.4187231764170506E-3</v>
      </c>
      <c r="E122" s="267">
        <v>2.223707510104667E-2</v>
      </c>
      <c r="F122" s="268">
        <v>3.6913513011395879E-2</v>
      </c>
      <c r="G122" s="269">
        <f t="shared" si="78"/>
        <v>2.5837807978485797E-2</v>
      </c>
      <c r="H122" s="168"/>
      <c r="I122" s="263">
        <v>2016</v>
      </c>
      <c r="J122" s="270">
        <v>0.19375373932250073</v>
      </c>
      <c r="K122" s="271">
        <v>0.35722643992263703</v>
      </c>
      <c r="L122" s="271">
        <v>0.26828371492292347</v>
      </c>
      <c r="M122" s="271">
        <v>0.1807361058319388</v>
      </c>
      <c r="N122" s="272">
        <f t="shared" si="79"/>
        <v>1</v>
      </c>
      <c r="O122" s="273"/>
      <c r="P122" s="263">
        <v>2016</v>
      </c>
      <c r="Q122" s="274">
        <f t="shared" si="80"/>
        <v>2.5837807978485797E-2</v>
      </c>
    </row>
    <row r="123" spans="1:37">
      <c r="A123" s="263">
        <v>2017</v>
      </c>
      <c r="B123" s="264">
        <v>1.9387349372457962E-2</v>
      </c>
      <c r="C123" s="265">
        <v>3.1415741332490504E-2</v>
      </c>
      <c r="D123" s="266">
        <v>-1.5278866055478575E-2</v>
      </c>
      <c r="E123" s="267">
        <v>1.1216973218478629E-2</v>
      </c>
      <c r="F123" s="268">
        <v>4.5886674391581603E-2</v>
      </c>
      <c r="G123" s="269">
        <f t="shared" si="78"/>
        <v>1.2910685689762233E-2</v>
      </c>
      <c r="H123" s="168"/>
      <c r="I123" s="263">
        <v>2017</v>
      </c>
      <c r="J123" s="270">
        <v>0.19955504483340211</v>
      </c>
      <c r="K123" s="271">
        <v>0.35363820788629219</v>
      </c>
      <c r="L123" s="271">
        <v>0.26720359346149009</v>
      </c>
      <c r="M123" s="271">
        <v>0.17960315381881567</v>
      </c>
      <c r="N123" s="272">
        <f t="shared" si="79"/>
        <v>1</v>
      </c>
      <c r="O123" s="273"/>
      <c r="P123" s="263">
        <v>2017</v>
      </c>
      <c r="Q123" s="274">
        <f t="shared" si="80"/>
        <v>1.2910685689762233E-2</v>
      </c>
    </row>
    <row r="124" spans="1:37">
      <c r="A124" s="263">
        <v>2018</v>
      </c>
      <c r="B124" s="264">
        <v>3.4545518862538621E-2</v>
      </c>
      <c r="C124" s="265">
        <v>2.8505759485301624E-2</v>
      </c>
      <c r="D124" s="266">
        <v>6.3713146263288875E-3</v>
      </c>
      <c r="E124" s="267">
        <v>1.9704030813426043E-2</v>
      </c>
      <c r="F124" s="268">
        <v>3.493953751685739E-2</v>
      </c>
      <c r="G124" s="269">
        <f t="shared" si="78"/>
        <v>2.2414506244622226E-2</v>
      </c>
      <c r="H124" s="168"/>
      <c r="I124" s="263">
        <v>2018</v>
      </c>
      <c r="J124" s="270">
        <v>0.20376545896547829</v>
      </c>
      <c r="K124" s="271">
        <v>0.360471198087147</v>
      </c>
      <c r="L124" s="271">
        <v>0.26149786911574335</v>
      </c>
      <c r="M124" s="271">
        <v>0.17426547383163127</v>
      </c>
      <c r="N124" s="272">
        <f t="shared" si="79"/>
        <v>0.99999999999999989</v>
      </c>
      <c r="O124" s="273"/>
      <c r="P124" s="263">
        <v>2018</v>
      </c>
      <c r="Q124" s="274">
        <f t="shared" si="80"/>
        <v>2.2414506244622226E-2</v>
      </c>
    </row>
    <row r="125" spans="1:37">
      <c r="A125" s="263">
        <v>2019</v>
      </c>
      <c r="B125" s="264">
        <v>5.2920178739485575E-2</v>
      </c>
      <c r="C125" s="265">
        <v>2.5762155620984106E-2</v>
      </c>
      <c r="D125" s="266">
        <v>1.6978898761358309E-2</v>
      </c>
      <c r="E125" s="267">
        <v>2.5957161337252625E-2</v>
      </c>
      <c r="F125" s="268">
        <v>3.8279451921025609E-2</v>
      </c>
      <c r="G125" s="269">
        <f t="shared" si="78"/>
        <v>2.9461792813047137E-2</v>
      </c>
      <c r="H125" s="168"/>
      <c r="I125" s="263">
        <v>2019</v>
      </c>
      <c r="J125" s="270">
        <v>0.21356283916630261</v>
      </c>
      <c r="K125" s="271">
        <v>0.3710976425892723</v>
      </c>
      <c r="L125" s="271">
        <v>0.24295356624729025</v>
      </c>
      <c r="M125" s="271">
        <v>0.17238595199713483</v>
      </c>
      <c r="N125" s="272">
        <f t="shared" si="79"/>
        <v>1</v>
      </c>
      <c r="O125" s="273"/>
      <c r="P125" s="263">
        <v>2019</v>
      </c>
      <c r="Q125" s="274">
        <f t="shared" si="80"/>
        <v>2.9461792813047137E-2</v>
      </c>
    </row>
    <row r="126" spans="1:37">
      <c r="A126" s="263">
        <v>2020</v>
      </c>
      <c r="B126" s="264">
        <f>B125</f>
        <v>5.2920178739485575E-2</v>
      </c>
      <c r="C126" s="265">
        <v>2.3166929000010883E-2</v>
      </c>
      <c r="D126" s="266">
        <v>2.6087165972014305E-2</v>
      </c>
      <c r="E126" s="267">
        <v>3.6578849349691224E-2</v>
      </c>
      <c r="F126" s="268">
        <v>4.065313735636103E-2</v>
      </c>
      <c r="G126" s="269">
        <f t="shared" si="78"/>
        <v>3.2655590376859216E-2</v>
      </c>
      <c r="H126" s="168"/>
      <c r="I126" s="263">
        <v>2020</v>
      </c>
      <c r="J126" s="270">
        <v>0.21696241040113304</v>
      </c>
      <c r="K126" s="271">
        <v>0.37119460004817695</v>
      </c>
      <c r="L126" s="271">
        <v>0.23735759903140211</v>
      </c>
      <c r="M126" s="271">
        <v>0.17448539051928783</v>
      </c>
      <c r="N126" s="272">
        <f t="shared" si="79"/>
        <v>0.99999999999999989</v>
      </c>
      <c r="O126" s="273"/>
      <c r="P126" s="263">
        <v>2020</v>
      </c>
      <c r="Q126" s="274">
        <f t="shared" si="80"/>
        <v>3.2655590376859216E-2</v>
      </c>
    </row>
    <row r="127" spans="1:37" ht="15.6" hidden="1" customHeight="1">
      <c r="A127" s="279"/>
      <c r="B127" s="280"/>
      <c r="C127" s="280"/>
      <c r="D127" s="281"/>
      <c r="E127" s="280"/>
      <c r="F127" s="280"/>
      <c r="G127" s="282"/>
      <c r="H127" s="168" t="e">
        <f t="shared" ref="H127" si="82">AVERAGE(B127:E127)</f>
        <v>#DIV/0!</v>
      </c>
      <c r="I127" s="279"/>
      <c r="J127" s="283">
        <v>0.20376545896547829</v>
      </c>
      <c r="K127" s="284">
        <v>0.360471198087147</v>
      </c>
      <c r="L127" s="284">
        <v>0.26149786911574335</v>
      </c>
      <c r="M127" s="284">
        <v>0.17426547383163127</v>
      </c>
      <c r="N127" s="262">
        <f t="shared" si="79"/>
        <v>0.99999999999999989</v>
      </c>
      <c r="P127" s="279"/>
      <c r="Q127" s="274">
        <f t="shared" si="80"/>
        <v>0</v>
      </c>
    </row>
    <row r="128" spans="1:37" ht="17.100000000000001" thickBot="1">
      <c r="A128" s="285"/>
      <c r="B128" s="286"/>
      <c r="C128" s="286"/>
      <c r="D128" s="286"/>
      <c r="E128" s="171"/>
      <c r="F128" s="286"/>
      <c r="G128" s="287"/>
      <c r="I128" s="285"/>
      <c r="J128" s="288"/>
      <c r="K128" s="289"/>
      <c r="L128" s="289"/>
      <c r="M128" s="289"/>
      <c r="N128" s="290"/>
      <c r="P128" s="285"/>
      <c r="Q128" s="92"/>
    </row>
    <row r="129" spans="1:61" ht="49.5" customHeight="1" thickTop="1">
      <c r="G129" s="168"/>
      <c r="H129" s="168"/>
      <c r="I129" s="168"/>
      <c r="J129" s="168"/>
      <c r="K129" s="168"/>
      <c r="L129" s="168"/>
      <c r="O129" s="168"/>
    </row>
    <row r="130" spans="1:61">
      <c r="B130" s="4" t="s">
        <v>344</v>
      </c>
      <c r="C130" s="4" t="s">
        <v>345</v>
      </c>
    </row>
    <row r="131" spans="1:61">
      <c r="A131" s="4" t="s">
        <v>299</v>
      </c>
      <c r="B131" s="168">
        <f>AVERAGE(B109:B126)</f>
        <v>7.152386121398642E-2</v>
      </c>
      <c r="C131" s="168">
        <f>AVERAGE(C109:C126)</f>
        <v>5.9593642167468021E-2</v>
      </c>
      <c r="D131" s="168">
        <f t="shared" ref="D131:F131" si="83">AVERAGE(D109:D126)</f>
        <v>1.8628402784737329E-2</v>
      </c>
      <c r="E131" s="168">
        <f t="shared" si="83"/>
        <v>3.841942562700993E-2</v>
      </c>
      <c r="F131" s="168">
        <f t="shared" si="83"/>
        <v>4.2895302617289799E-2</v>
      </c>
      <c r="G131" s="168">
        <f>AVERAGE(G109:G126)</f>
        <v>4.4271468023407617E-2</v>
      </c>
      <c r="H131" s="168"/>
      <c r="J131" s="168">
        <f t="shared" ref="J131:M131" si="84">AVERAGE(J109:J126)</f>
        <v>0.16948166757202598</v>
      </c>
      <c r="K131" s="168">
        <f t="shared" si="84"/>
        <v>0.33041029640173292</v>
      </c>
      <c r="L131" s="168">
        <f t="shared" si="84"/>
        <v>0.3009406936473456</v>
      </c>
      <c r="M131" s="168">
        <f t="shared" si="84"/>
        <v>0.19916734237889547</v>
      </c>
      <c r="N131" s="168"/>
    </row>
    <row r="132" spans="1:61" ht="17.100000000000001" thickBot="1">
      <c r="B132" s="168"/>
      <c r="C132" s="168"/>
      <c r="D132" s="168"/>
      <c r="E132" s="168"/>
      <c r="F132" s="168"/>
      <c r="G132" s="168"/>
      <c r="K132" s="168"/>
    </row>
    <row r="133" spans="1:61" ht="71.099999999999994" customHeight="1" thickTop="1" thickBot="1">
      <c r="A133" s="6" t="s">
        <v>23</v>
      </c>
      <c r="B133" s="291" t="s">
        <v>346</v>
      </c>
      <c r="C133" s="291" t="s">
        <v>347</v>
      </c>
      <c r="D133" s="291" t="s">
        <v>348</v>
      </c>
      <c r="E133" s="223" t="s">
        <v>349</v>
      </c>
      <c r="F133" s="223" t="s">
        <v>350</v>
      </c>
      <c r="G133" s="223" t="s">
        <v>351</v>
      </c>
      <c r="H133" s="223" t="s">
        <v>352</v>
      </c>
      <c r="I133" s="223" t="s">
        <v>353</v>
      </c>
      <c r="J133" s="292" t="s">
        <v>354</v>
      </c>
      <c r="L133" s="6" t="s">
        <v>23</v>
      </c>
      <c r="M133" s="293" t="s">
        <v>355</v>
      </c>
      <c r="N133" s="293" t="s">
        <v>356</v>
      </c>
      <c r="O133" s="293" t="s">
        <v>357</v>
      </c>
      <c r="P133" s="293" t="s">
        <v>358</v>
      </c>
      <c r="R133" s="6" t="s">
        <v>23</v>
      </c>
      <c r="S133" s="294" t="s">
        <v>359</v>
      </c>
      <c r="T133" s="294" t="s">
        <v>360</v>
      </c>
      <c r="U133" s="223" t="s">
        <v>361</v>
      </c>
    </row>
    <row r="134" spans="1:61">
      <c r="B134" s="168"/>
      <c r="C134" s="168"/>
      <c r="D134" s="168"/>
      <c r="E134" s="168"/>
      <c r="F134" s="168"/>
      <c r="G134" s="168"/>
      <c r="K134" s="168"/>
    </row>
    <row r="135" spans="1:61">
      <c r="R135" s="105" t="s">
        <v>362</v>
      </c>
    </row>
    <row r="136" spans="1:61" ht="18.95" thickBot="1">
      <c r="A136" s="295" t="s">
        <v>363</v>
      </c>
      <c r="B136" s="296"/>
      <c r="C136" s="296"/>
      <c r="D136" s="296"/>
      <c r="E136" s="227"/>
      <c r="F136" s="227"/>
      <c r="G136" s="227"/>
      <c r="H136" s="227"/>
      <c r="I136" s="227"/>
      <c r="J136" s="227"/>
      <c r="K136" s="227"/>
      <c r="L136" s="295" t="s">
        <v>364</v>
      </c>
      <c r="M136" s="227"/>
      <c r="N136" s="227"/>
      <c r="O136" s="227"/>
      <c r="P136" s="227"/>
      <c r="Q136" s="227"/>
      <c r="R136" s="105" t="s">
        <v>365</v>
      </c>
      <c r="S136" s="227"/>
      <c r="U136" s="105"/>
      <c r="V136" s="11"/>
      <c r="W136" s="297"/>
      <c r="X136" s="297"/>
      <c r="Y136" s="297"/>
      <c r="Z136" s="297"/>
      <c r="AA136" s="11"/>
      <c r="AB136" s="297"/>
      <c r="AC136" s="105" t="s">
        <v>366</v>
      </c>
      <c r="AD136" s="298"/>
      <c r="AE136" s="298"/>
      <c r="AF136" s="298"/>
      <c r="AG136" s="298"/>
      <c r="AH136" s="298"/>
      <c r="AI136" s="298"/>
      <c r="AJ136" s="298"/>
      <c r="AT136" s="11"/>
      <c r="AU136" s="11"/>
      <c r="AV136" s="11"/>
      <c r="AW136" s="11"/>
      <c r="AX136" s="11"/>
      <c r="AY136" s="11"/>
      <c r="AZ136" s="11"/>
      <c r="BA136" s="11"/>
      <c r="BB136" s="11"/>
      <c r="BC136" s="11"/>
      <c r="BD136" s="11"/>
      <c r="BE136" s="11"/>
      <c r="BF136" s="11"/>
      <c r="BG136" s="11"/>
      <c r="BH136" s="11"/>
      <c r="BI136" s="11"/>
    </row>
    <row r="137" spans="1:61" ht="18" thickTop="1" thickBot="1">
      <c r="A137" s="228"/>
      <c r="B137" s="299"/>
      <c r="C137" s="299"/>
      <c r="D137" s="299"/>
      <c r="E137" s="299"/>
      <c r="F137" s="299"/>
      <c r="G137" s="299"/>
      <c r="H137" s="443" t="s">
        <v>367</v>
      </c>
      <c r="I137" s="443"/>
      <c r="J137" s="444"/>
      <c r="K137" s="11"/>
      <c r="L137" s="300" t="s">
        <v>368</v>
      </c>
      <c r="M137" s="112"/>
      <c r="N137" s="301"/>
      <c r="O137" s="301"/>
      <c r="P137" s="302"/>
      <c r="Q137" s="227"/>
      <c r="R137" s="303"/>
      <c r="S137" s="301"/>
      <c r="T137" s="304"/>
      <c r="U137" s="305"/>
      <c r="V137" s="306"/>
      <c r="W137" s="297"/>
      <c r="X137" s="297"/>
      <c r="Y137" s="297"/>
      <c r="AB137" s="297"/>
      <c r="AC137" s="307"/>
      <c r="AD137" s="308"/>
      <c r="AE137" s="308"/>
      <c r="AF137" s="308"/>
      <c r="AG137" s="309" t="s">
        <v>369</v>
      </c>
      <c r="AH137" s="310">
        <f>F131</f>
        <v>4.2895302617289799E-2</v>
      </c>
      <c r="AI137" s="176">
        <f>+(1+AH137)/(1+AH140)-1</f>
        <v>4.2895302617289799E-2</v>
      </c>
      <c r="AJ137" s="311" t="s">
        <v>370</v>
      </c>
      <c r="AT137" s="11"/>
      <c r="AU137" s="11"/>
      <c r="AV137" s="11"/>
      <c r="AW137" s="11"/>
      <c r="AX137" s="11"/>
      <c r="AY137" s="11"/>
      <c r="AZ137" s="11"/>
      <c r="BA137" s="11"/>
      <c r="BB137" s="11"/>
      <c r="BC137" s="11"/>
      <c r="BD137" s="11"/>
      <c r="BE137" s="11"/>
      <c r="BF137" s="11"/>
      <c r="BG137" s="11"/>
      <c r="BH137" s="11"/>
      <c r="BI137" s="11"/>
    </row>
    <row r="138" spans="1:61" ht="17.100000000000001" thickBot="1">
      <c r="A138" s="237"/>
      <c r="B138" s="312" t="s">
        <v>371</v>
      </c>
      <c r="C138" s="313"/>
      <c r="D138" s="313"/>
      <c r="E138" s="313" t="s">
        <v>372</v>
      </c>
      <c r="F138" s="313"/>
      <c r="G138" s="313"/>
      <c r="H138" s="445" t="s">
        <v>373</v>
      </c>
      <c r="I138" s="446"/>
      <c r="J138" s="447"/>
      <c r="K138" s="11"/>
      <c r="L138" s="81"/>
      <c r="M138" s="314" t="s">
        <v>374</v>
      </c>
      <c r="N138" s="314" t="s">
        <v>375</v>
      </c>
      <c r="O138" s="314" t="s">
        <v>376</v>
      </c>
      <c r="P138" s="426" t="s">
        <v>377</v>
      </c>
      <c r="Q138" s="227"/>
      <c r="R138" s="81"/>
      <c r="S138" s="313" t="s">
        <v>378</v>
      </c>
      <c r="T138" s="141" t="s">
        <v>379</v>
      </c>
      <c r="U138" s="315" t="s">
        <v>380</v>
      </c>
      <c r="V138" s="11"/>
      <c r="W138" s="297"/>
      <c r="X138" s="297"/>
      <c r="Y138" s="297"/>
      <c r="AB138" s="11"/>
      <c r="AC138" s="316"/>
      <c r="AD138" s="317"/>
      <c r="AE138" s="317"/>
      <c r="AF138" s="317"/>
      <c r="AG138" s="227"/>
      <c r="AH138" s="318"/>
      <c r="AI138" s="319"/>
      <c r="AJ138" s="320"/>
      <c r="AT138" s="11"/>
      <c r="BC138" s="11"/>
      <c r="BD138" s="11"/>
      <c r="BE138" s="11"/>
      <c r="BF138" s="11"/>
      <c r="BG138" s="11"/>
      <c r="BH138" s="11"/>
      <c r="BI138" s="11"/>
    </row>
    <row r="139" spans="1:61">
      <c r="A139" s="237"/>
      <c r="B139" s="321" t="s">
        <v>381</v>
      </c>
      <c r="C139" s="448" t="s">
        <v>382</v>
      </c>
      <c r="D139" s="448" t="s">
        <v>383</v>
      </c>
      <c r="E139" s="322" t="s">
        <v>384</v>
      </c>
      <c r="F139" s="322" t="s">
        <v>385</v>
      </c>
      <c r="G139" s="322" t="s">
        <v>386</v>
      </c>
      <c r="H139" s="313" t="s">
        <v>387</v>
      </c>
      <c r="I139" s="313" t="s">
        <v>388</v>
      </c>
      <c r="J139" s="323" t="s">
        <v>376</v>
      </c>
      <c r="K139" s="11"/>
      <c r="L139" s="81"/>
      <c r="M139" s="314" t="s">
        <v>389</v>
      </c>
      <c r="N139" s="314" t="s">
        <v>390</v>
      </c>
      <c r="O139" s="314" t="s">
        <v>391</v>
      </c>
      <c r="P139" s="426" t="s">
        <v>392</v>
      </c>
      <c r="Q139" s="227"/>
      <c r="R139" s="81"/>
      <c r="S139" s="313" t="s">
        <v>393</v>
      </c>
      <c r="T139" s="141" t="s">
        <v>299</v>
      </c>
      <c r="U139" s="315" t="s">
        <v>394</v>
      </c>
      <c r="W139" s="297"/>
      <c r="X139" s="297"/>
      <c r="Y139" s="297"/>
      <c r="AB139" s="297"/>
      <c r="AC139" s="324"/>
      <c r="AD139" s="325"/>
      <c r="AE139" s="326"/>
      <c r="AF139" s="327"/>
      <c r="AG139" s="227" t="s">
        <v>395</v>
      </c>
      <c r="AH139" s="318">
        <v>0.1</v>
      </c>
      <c r="AI139" s="328" t="s">
        <v>396</v>
      </c>
      <c r="AJ139" s="320"/>
      <c r="AT139" s="11"/>
      <c r="BC139" s="11"/>
      <c r="BD139" s="298" t="s">
        <v>397</v>
      </c>
      <c r="BE139" s="298"/>
      <c r="BF139" s="11"/>
      <c r="BG139" s="11"/>
      <c r="BH139" s="11"/>
      <c r="BI139" s="11"/>
    </row>
    <row r="140" spans="1:61" ht="17.100000000000001" thickBot="1">
      <c r="A140" s="146" t="s">
        <v>62</v>
      </c>
      <c r="B140" s="329" t="s">
        <v>398</v>
      </c>
      <c r="C140" s="449"/>
      <c r="D140" s="449"/>
      <c r="E140" s="330" t="s">
        <v>185</v>
      </c>
      <c r="F140" s="330" t="s">
        <v>399</v>
      </c>
      <c r="G140" s="330" t="s">
        <v>400</v>
      </c>
      <c r="H140" s="331" t="s">
        <v>401</v>
      </c>
      <c r="I140" s="331" t="s">
        <v>402</v>
      </c>
      <c r="J140" s="332" t="s">
        <v>403</v>
      </c>
      <c r="K140" s="11"/>
      <c r="L140" s="333"/>
      <c r="M140" s="334" t="s">
        <v>404</v>
      </c>
      <c r="N140" s="335" t="s">
        <v>405</v>
      </c>
      <c r="O140" s="335" t="s">
        <v>406</v>
      </c>
      <c r="P140" s="427" t="s">
        <v>407</v>
      </c>
      <c r="Q140" s="227"/>
      <c r="R140" s="61" t="s">
        <v>62</v>
      </c>
      <c r="S140" s="313" t="s">
        <v>408</v>
      </c>
      <c r="T140" s="336" t="s">
        <v>409</v>
      </c>
      <c r="U140" s="315" t="s">
        <v>410</v>
      </c>
      <c r="W140" s="297"/>
      <c r="X140" s="297"/>
      <c r="Y140" s="297"/>
      <c r="AB140" s="297"/>
      <c r="AC140" s="324"/>
      <c r="AD140" s="325"/>
      <c r="AE140" s="337"/>
      <c r="AF140" s="337"/>
      <c r="AG140" s="227" t="s">
        <v>411</v>
      </c>
      <c r="AH140" s="318">
        <v>0</v>
      </c>
      <c r="AI140" s="227" t="s">
        <v>412</v>
      </c>
      <c r="AJ140" s="320"/>
      <c r="AT140" s="11"/>
      <c r="BC140" s="11"/>
      <c r="BD140" s="298" t="s">
        <v>413</v>
      </c>
      <c r="BE140" s="298"/>
      <c r="BF140" s="11"/>
      <c r="BG140" s="11"/>
      <c r="BH140" s="11"/>
      <c r="BI140" s="11"/>
    </row>
    <row r="141" spans="1:61" ht="17.100000000000001" thickBot="1">
      <c r="A141" s="338"/>
      <c r="B141" s="339" t="s">
        <v>414</v>
      </c>
      <c r="C141" s="251" t="s">
        <v>415</v>
      </c>
      <c r="D141" s="251" t="s">
        <v>416</v>
      </c>
      <c r="E141" s="340" t="s">
        <v>417</v>
      </c>
      <c r="F141" s="340" t="s">
        <v>418</v>
      </c>
      <c r="G141" s="340" t="s">
        <v>419</v>
      </c>
      <c r="H141" s="341" t="s">
        <v>420</v>
      </c>
      <c r="I141" s="341" t="s">
        <v>421</v>
      </c>
      <c r="J141" s="342" t="s">
        <v>422</v>
      </c>
      <c r="K141" s="11"/>
      <c r="L141" s="343"/>
      <c r="M141" s="344" t="s">
        <v>295</v>
      </c>
      <c r="N141" s="344" t="s">
        <v>423</v>
      </c>
      <c r="O141" s="344" t="s">
        <v>424</v>
      </c>
      <c r="P141" s="428" t="s">
        <v>425</v>
      </c>
      <c r="Q141" s="227"/>
      <c r="R141" s="26"/>
      <c r="S141" s="340" t="s">
        <v>426</v>
      </c>
      <c r="T141" s="345" t="s">
        <v>427</v>
      </c>
      <c r="U141" s="346"/>
      <c r="W141" s="297"/>
      <c r="X141" s="297"/>
      <c r="Y141" s="297"/>
      <c r="AB141" s="297"/>
      <c r="AC141" s="347"/>
      <c r="AD141" s="326"/>
      <c r="AE141" s="326"/>
      <c r="AF141" s="327"/>
      <c r="AG141" s="227" t="s">
        <v>428</v>
      </c>
      <c r="AH141" s="318">
        <v>0.9</v>
      </c>
      <c r="AI141" s="227"/>
      <c r="AJ141" s="320"/>
      <c r="AT141" s="11"/>
      <c r="BC141" s="11"/>
      <c r="BD141" s="298"/>
      <c r="BE141" s="298"/>
      <c r="BF141" s="11"/>
      <c r="BG141" s="11"/>
      <c r="BH141" s="11"/>
      <c r="BI141" s="11"/>
    </row>
    <row r="142" spans="1:61">
      <c r="A142" s="237"/>
      <c r="B142" s="321"/>
      <c r="C142" s="258"/>
      <c r="D142" s="258"/>
      <c r="E142" s="313"/>
      <c r="F142" s="313"/>
      <c r="G142" s="313"/>
      <c r="H142" s="322"/>
      <c r="I142" s="322"/>
      <c r="J142" s="348"/>
      <c r="K142" s="11"/>
      <c r="L142" s="81"/>
      <c r="M142" s="349"/>
      <c r="N142" s="314"/>
      <c r="O142" s="314"/>
      <c r="P142" s="426"/>
      <c r="Q142" s="227"/>
      <c r="R142" s="61"/>
      <c r="S142" s="313"/>
      <c r="T142" s="139"/>
      <c r="U142" s="315"/>
      <c r="W142" s="297"/>
      <c r="X142" s="297"/>
      <c r="Y142" s="297"/>
      <c r="AB142" s="297"/>
      <c r="AC142" s="347"/>
      <c r="AD142" s="326"/>
      <c r="AE142" s="326"/>
      <c r="AF142" s="327"/>
      <c r="AG142" s="227"/>
      <c r="AH142" s="318"/>
      <c r="AI142" s="227"/>
      <c r="AJ142" s="320"/>
      <c r="AT142" s="11"/>
      <c r="BC142" s="11"/>
      <c r="BD142" s="298"/>
      <c r="BE142" s="298"/>
      <c r="BF142" s="11"/>
      <c r="BG142" s="11"/>
      <c r="BH142" s="11"/>
      <c r="BI142" s="11"/>
    </row>
    <row r="143" spans="1:61">
      <c r="A143" s="237">
        <v>2003</v>
      </c>
      <c r="B143" s="82">
        <f t="shared" ref="B143:B160" si="85">U143</f>
        <v>0.20079539570533941</v>
      </c>
      <c r="C143" s="350">
        <v>0.19563312387035001</v>
      </c>
      <c r="D143" s="350">
        <v>1.2493131483590001E-2</v>
      </c>
      <c r="E143" s="312">
        <v>-1</v>
      </c>
      <c r="F143" s="312">
        <v>0.3</v>
      </c>
      <c r="G143" s="351">
        <v>3</v>
      </c>
      <c r="H143" s="75">
        <f t="shared" ref="H143:H160" si="86">-E143*B143/S143</f>
        <v>0.67615907626245453</v>
      </c>
      <c r="I143" s="75">
        <f t="shared" ref="I143:I160" si="87">+F143*C143/S143</f>
        <v>0.19763268752929386</v>
      </c>
      <c r="J143" s="77">
        <f t="shared" ref="J143:J160" si="88">IF(D143&gt;0,G143*D143/S143,0)</f>
        <v>0.12620823620825153</v>
      </c>
      <c r="K143" s="352"/>
      <c r="L143" s="263">
        <v>2003</v>
      </c>
      <c r="M143" s="280">
        <f t="shared" ref="M143:M160" si="89">P77</f>
        <v>0.12852086481369451</v>
      </c>
      <c r="N143" s="280">
        <f>Q109*(1-$AH$139)</f>
        <v>8.5264353131832102E-2</v>
      </c>
      <c r="O143" s="280">
        <f t="shared" ref="O143:O160" si="90">F109*(1-$AH$139)*(1+$AH$141/G143)</f>
        <v>5.173579941370926E-2</v>
      </c>
      <c r="P143" s="429">
        <f>H143*M143+I143*N143+J143*O143</f>
        <v>0.11028105648559836</v>
      </c>
      <c r="Q143" s="227"/>
      <c r="R143" s="81">
        <v>2003</v>
      </c>
      <c r="S143" s="353">
        <f t="shared" ref="S143:S160" si="91">MAX(-B143*E143+C143*F143+IF(D143&gt;0,D143*G143,0))</f>
        <v>0.29696472731721446</v>
      </c>
      <c r="T143" s="354">
        <f>$D$174</f>
        <v>0.10907448266526333</v>
      </c>
      <c r="U143" s="355">
        <f t="shared" ref="U143:U160" si="92">(V44+BD44)/B12</f>
        <v>0.20079539570533941</v>
      </c>
      <c r="V143" s="356"/>
      <c r="W143" s="357"/>
      <c r="X143" s="357"/>
      <c r="Y143" s="358"/>
      <c r="AB143" s="106"/>
      <c r="AC143" s="324"/>
      <c r="AD143" s="325"/>
      <c r="AE143" s="327"/>
      <c r="AF143" s="325"/>
      <c r="AG143" s="227" t="s">
        <v>429</v>
      </c>
      <c r="AH143" s="359">
        <v>3</v>
      </c>
      <c r="AI143" s="227"/>
      <c r="AJ143" s="320"/>
      <c r="AT143" s="11"/>
      <c r="BC143" s="11"/>
      <c r="BD143" s="360">
        <v>1.2493131483590001E-2</v>
      </c>
      <c r="BE143" s="298">
        <v>2003</v>
      </c>
      <c r="BF143" s="11"/>
      <c r="BG143" s="11"/>
      <c r="BH143" s="11"/>
      <c r="BI143" s="11"/>
    </row>
    <row r="144" spans="1:61">
      <c r="A144" s="237">
        <v>2004</v>
      </c>
      <c r="B144" s="82">
        <f t="shared" si="85"/>
        <v>0.21539062455918165</v>
      </c>
      <c r="C144" s="350">
        <v>0.19886452151812001</v>
      </c>
      <c r="D144" s="350">
        <v>1.967826886814E-2</v>
      </c>
      <c r="E144" s="312">
        <f>E143</f>
        <v>-1</v>
      </c>
      <c r="F144" s="312">
        <f>F143</f>
        <v>0.3</v>
      </c>
      <c r="G144" s="351">
        <f>G143</f>
        <v>3</v>
      </c>
      <c r="H144" s="75">
        <f t="shared" si="86"/>
        <v>0.64471844436327674</v>
      </c>
      <c r="I144" s="75">
        <f t="shared" si="87"/>
        <v>0.17857549540228254</v>
      </c>
      <c r="J144" s="77">
        <f t="shared" si="88"/>
        <v>0.17670606023444069</v>
      </c>
      <c r="K144" s="352"/>
      <c r="L144" s="263">
        <v>2004</v>
      </c>
      <c r="M144" s="280">
        <f t="shared" si="89"/>
        <v>0.137973262455099</v>
      </c>
      <c r="N144" s="280">
        <f t="shared" ref="N144:N160" si="93">Q110*(1-$AH$139)</f>
        <v>5.4992829619494803E-2</v>
      </c>
      <c r="O144" s="280">
        <f t="shared" si="90"/>
        <v>4.5530362457231334E-2</v>
      </c>
      <c r="P144" s="429">
        <f t="shared" ref="P144:P160" si="94">H144*M144+I144*N144+J144*O144</f>
        <v>0.10681976989751557</v>
      </c>
      <c r="Q144" s="227"/>
      <c r="R144" s="81">
        <v>2004</v>
      </c>
      <c r="S144" s="353">
        <f t="shared" si="91"/>
        <v>0.33408478761903765</v>
      </c>
      <c r="T144" s="354">
        <f t="shared" ref="T144:T160" si="95">$D$174</f>
        <v>0.10907448266526333</v>
      </c>
      <c r="U144" s="355">
        <f t="shared" si="92"/>
        <v>0.21539062455918165</v>
      </c>
      <c r="V144" s="356"/>
      <c r="W144" s="357"/>
      <c r="X144" s="357"/>
      <c r="Y144" s="358"/>
      <c r="AB144" s="106"/>
      <c r="AC144" s="361" t="s">
        <v>430</v>
      </c>
      <c r="AD144" s="225"/>
      <c r="AE144" s="325"/>
      <c r="AF144" s="362"/>
      <c r="AG144" s="328" t="s">
        <v>406</v>
      </c>
      <c r="AH144" s="319">
        <f>(AH137*(1-AH139)-AH140)/(1+AH140)*(1+AH141/AH143)</f>
        <v>5.018750406222907E-2</v>
      </c>
      <c r="AI144" s="227" t="s">
        <v>218</v>
      </c>
      <c r="AJ144" s="320"/>
      <c r="AT144" s="11"/>
      <c r="BC144" s="11"/>
      <c r="BD144" s="360">
        <v>1.967826886814E-2</v>
      </c>
      <c r="BE144" s="298">
        <v>2004</v>
      </c>
      <c r="BF144" s="11"/>
      <c r="BG144" s="11"/>
      <c r="BH144" s="11"/>
      <c r="BI144" s="11"/>
    </row>
    <row r="145" spans="1:61" ht="17.100000000000001" thickBot="1">
      <c r="A145" s="237">
        <v>2005</v>
      </c>
      <c r="B145" s="82">
        <f t="shared" si="85"/>
        <v>0.22024627332880717</v>
      </c>
      <c r="C145" s="350">
        <v>0.20856918390120999</v>
      </c>
      <c r="D145" s="350">
        <v>1.08649227251E-2</v>
      </c>
      <c r="E145" s="312">
        <f t="shared" ref="E145:G160" si="96">E144</f>
        <v>-1</v>
      </c>
      <c r="F145" s="312">
        <f t="shared" si="96"/>
        <v>0.3</v>
      </c>
      <c r="G145" s="351">
        <f t="shared" si="96"/>
        <v>3</v>
      </c>
      <c r="H145" s="75">
        <f t="shared" si="86"/>
        <v>0.69828166115206747</v>
      </c>
      <c r="I145" s="75">
        <f t="shared" si="87"/>
        <v>0.19837798024701322</v>
      </c>
      <c r="J145" s="77">
        <f t="shared" si="88"/>
        <v>0.10334035860091932</v>
      </c>
      <c r="K145" s="352"/>
      <c r="L145" s="263">
        <v>2005</v>
      </c>
      <c r="M145" s="280">
        <f t="shared" si="89"/>
        <v>0.14218230427167608</v>
      </c>
      <c r="N145" s="280">
        <f t="shared" si="93"/>
        <v>6.272597610909135E-2</v>
      </c>
      <c r="O145" s="280">
        <f t="shared" si="90"/>
        <v>5.0230603743130334E-2</v>
      </c>
      <c r="P145" s="429">
        <f t="shared" si="94"/>
        <v>0.1169175966663544</v>
      </c>
      <c r="Q145" s="227"/>
      <c r="R145" s="81">
        <v>2005</v>
      </c>
      <c r="S145" s="353">
        <f t="shared" si="91"/>
        <v>0.31541179667447017</v>
      </c>
      <c r="T145" s="354">
        <f t="shared" si="95"/>
        <v>0.10907448266526333</v>
      </c>
      <c r="U145" s="355">
        <f t="shared" si="92"/>
        <v>0.22024627332880717</v>
      </c>
      <c r="V145" s="356"/>
      <c r="W145" s="357"/>
      <c r="X145" s="357"/>
      <c r="Y145" s="358"/>
      <c r="AB145" s="106"/>
      <c r="AC145" s="363"/>
      <c r="AD145" s="364"/>
      <c r="AE145" s="364"/>
      <c r="AF145" s="364"/>
      <c r="AG145" s="364" t="s">
        <v>431</v>
      </c>
      <c r="AH145" s="365">
        <f>+AH144-AI137</f>
        <v>7.2922014449392711E-3</v>
      </c>
      <c r="AI145" s="364"/>
      <c r="AJ145" s="366"/>
      <c r="AT145" s="11"/>
      <c r="BC145" s="11"/>
      <c r="BD145" s="360">
        <v>1.08649227251E-2</v>
      </c>
      <c r="BE145" s="298">
        <v>2005</v>
      </c>
      <c r="BF145" s="11"/>
      <c r="BG145" s="11"/>
      <c r="BH145" s="11"/>
      <c r="BI145" s="11"/>
    </row>
    <row r="146" spans="1:61" ht="17.100000000000001" thickTop="1">
      <c r="A146" s="237">
        <v>2006</v>
      </c>
      <c r="B146" s="82">
        <f t="shared" si="85"/>
        <v>0.23183552676414243</v>
      </c>
      <c r="C146" s="350">
        <v>0.22178936506614999</v>
      </c>
      <c r="D146" s="350">
        <v>6.95952869592E-3</v>
      </c>
      <c r="E146" s="312">
        <f t="shared" si="96"/>
        <v>-1</v>
      </c>
      <c r="F146" s="312">
        <f t="shared" si="96"/>
        <v>0.3</v>
      </c>
      <c r="G146" s="351">
        <f t="shared" si="96"/>
        <v>3</v>
      </c>
      <c r="H146" s="75">
        <f t="shared" si="86"/>
        <v>0.72618592623574219</v>
      </c>
      <c r="I146" s="75">
        <f t="shared" si="87"/>
        <v>0.20841540261038652</v>
      </c>
      <c r="J146" s="77">
        <f t="shared" si="88"/>
        <v>6.5398671153871282E-2</v>
      </c>
      <c r="K146" s="352"/>
      <c r="L146" s="263">
        <v>2006</v>
      </c>
      <c r="M146" s="280">
        <f t="shared" si="89"/>
        <v>0.150834080301886</v>
      </c>
      <c r="N146" s="280">
        <f t="shared" si="93"/>
        <v>5.5669174227546546E-2</v>
      </c>
      <c r="O146" s="280">
        <f t="shared" si="90"/>
        <v>6.1772531225318283E-2</v>
      </c>
      <c r="P146" s="429">
        <f t="shared" si="94"/>
        <v>0.12517574112751009</v>
      </c>
      <c r="Q146" s="227"/>
      <c r="R146" s="81">
        <v>2006</v>
      </c>
      <c r="S146" s="353">
        <f t="shared" si="91"/>
        <v>0.3192509223717474</v>
      </c>
      <c r="T146" s="354">
        <f t="shared" si="95"/>
        <v>0.10907448266526333</v>
      </c>
      <c r="U146" s="355">
        <f t="shared" si="92"/>
        <v>0.23183552676414243</v>
      </c>
      <c r="V146" s="356"/>
      <c r="W146" s="357"/>
      <c r="X146" s="357"/>
      <c r="Y146" s="358"/>
      <c r="AB146" s="106"/>
      <c r="AT146" s="11"/>
      <c r="BC146" s="11"/>
      <c r="BD146" s="360">
        <v>6.95952869592E-3</v>
      </c>
      <c r="BE146" s="298">
        <v>2006</v>
      </c>
      <c r="BF146" s="11"/>
      <c r="BG146" s="11"/>
      <c r="BH146" s="11"/>
      <c r="BI146" s="11"/>
    </row>
    <row r="147" spans="1:61">
      <c r="A147" s="237">
        <v>2007</v>
      </c>
      <c r="B147" s="82">
        <f t="shared" si="85"/>
        <v>0.24613693156976121</v>
      </c>
      <c r="C147" s="350">
        <v>0.22951235892069</v>
      </c>
      <c r="D147" s="350">
        <v>8.1813600722300001E-3</v>
      </c>
      <c r="E147" s="312">
        <f t="shared" si="96"/>
        <v>-1</v>
      </c>
      <c r="F147" s="312">
        <f t="shared" si="96"/>
        <v>0.3</v>
      </c>
      <c r="G147" s="351">
        <f t="shared" si="96"/>
        <v>3</v>
      </c>
      <c r="H147" s="75">
        <f t="shared" si="86"/>
        <v>0.72492419025451438</v>
      </c>
      <c r="I147" s="75">
        <f t="shared" si="87"/>
        <v>0.20278841523239119</v>
      </c>
      <c r="J147" s="77">
        <f t="shared" si="88"/>
        <v>7.2287394513094391E-2</v>
      </c>
      <c r="K147" s="352"/>
      <c r="L147" s="263">
        <v>2007</v>
      </c>
      <c r="M147" s="280">
        <f t="shared" si="89"/>
        <v>0.15183460275599375</v>
      </c>
      <c r="N147" s="280">
        <f t="shared" si="93"/>
        <v>5.1822102660975054E-2</v>
      </c>
      <c r="O147" s="280">
        <f t="shared" si="90"/>
        <v>6.2415730199625548E-2</v>
      </c>
      <c r="P147" s="429">
        <f t="shared" si="94"/>
        <v>0.12508936904089724</v>
      </c>
      <c r="Q147" s="227"/>
      <c r="R147" s="81">
        <v>2007</v>
      </c>
      <c r="S147" s="353">
        <f t="shared" si="91"/>
        <v>0.33953471946265823</v>
      </c>
      <c r="T147" s="354">
        <f t="shared" si="95"/>
        <v>0.10907448266526333</v>
      </c>
      <c r="U147" s="355">
        <f t="shared" si="92"/>
        <v>0.24613693156976121</v>
      </c>
      <c r="V147" s="356"/>
      <c r="W147" s="357"/>
      <c r="X147" s="357"/>
      <c r="Y147" s="358"/>
      <c r="AB147" s="106"/>
      <c r="AC147" s="227"/>
      <c r="AD147" s="227"/>
      <c r="AE147" s="227"/>
      <c r="AF147" s="227"/>
      <c r="AG147" s="227"/>
      <c r="AH147" s="227"/>
      <c r="AI147" s="227"/>
      <c r="AJ147" s="227"/>
      <c r="AT147" s="11"/>
      <c r="BC147" s="11"/>
      <c r="BD147" s="360">
        <v>8.1813600722300001E-3</v>
      </c>
      <c r="BE147" s="298">
        <v>2007</v>
      </c>
      <c r="BF147" s="11"/>
      <c r="BG147" s="11"/>
      <c r="BH147" s="11"/>
      <c r="BI147" s="11"/>
    </row>
    <row r="148" spans="1:61">
      <c r="A148" s="237">
        <v>2008</v>
      </c>
      <c r="B148" s="82">
        <f t="shared" si="85"/>
        <v>0.23942497962145556</v>
      </c>
      <c r="C148" s="350">
        <v>0.23117847950998999</v>
      </c>
      <c r="D148" s="350">
        <v>2.7883492029760003E-2</v>
      </c>
      <c r="E148" s="312">
        <f t="shared" si="96"/>
        <v>-1</v>
      </c>
      <c r="F148" s="312">
        <f t="shared" si="96"/>
        <v>0.3</v>
      </c>
      <c r="G148" s="351">
        <f t="shared" si="96"/>
        <v>3</v>
      </c>
      <c r="H148" s="75">
        <f t="shared" si="86"/>
        <v>0.61011031266197668</v>
      </c>
      <c r="I148" s="75">
        <f t="shared" si="87"/>
        <v>0.17672889600436781</v>
      </c>
      <c r="J148" s="77">
        <f t="shared" si="88"/>
        <v>0.21316079133365556</v>
      </c>
      <c r="K148" s="352"/>
      <c r="L148" s="263">
        <v>2008</v>
      </c>
      <c r="M148" s="280">
        <f t="shared" si="89"/>
        <v>0.15383207232483878</v>
      </c>
      <c r="N148" s="280">
        <f t="shared" si="93"/>
        <v>3.5385400433004921E-2</v>
      </c>
      <c r="O148" s="280">
        <f t="shared" si="90"/>
        <v>4.2880246173505679E-2</v>
      </c>
      <c r="P148" s="429">
        <f t="shared" si="94"/>
        <v>0.10924854370367107</v>
      </c>
      <c r="Q148" s="227"/>
      <c r="R148" s="81">
        <v>2008</v>
      </c>
      <c r="S148" s="353">
        <f t="shared" si="91"/>
        <v>0.39242899956373256</v>
      </c>
      <c r="T148" s="354">
        <f t="shared" si="95"/>
        <v>0.10907448266526333</v>
      </c>
      <c r="U148" s="355">
        <f t="shared" si="92"/>
        <v>0.23942497962145556</v>
      </c>
      <c r="V148" s="356"/>
      <c r="W148" s="357"/>
      <c r="X148" s="357"/>
      <c r="Y148" s="358"/>
      <c r="AB148" s="106"/>
      <c r="AC148" s="11"/>
      <c r="AD148" s="11"/>
      <c r="AE148" s="11"/>
      <c r="AF148" s="11"/>
      <c r="AG148" s="11"/>
      <c r="AH148" s="367" t="s">
        <v>432</v>
      </c>
      <c r="AI148" s="11"/>
      <c r="AJ148" s="11"/>
      <c r="AT148" s="11"/>
      <c r="BC148" s="11"/>
      <c r="BD148" s="360">
        <v>2.7883492029760003E-2</v>
      </c>
      <c r="BE148" s="298">
        <v>2008</v>
      </c>
      <c r="BF148" s="11"/>
      <c r="BG148" s="11"/>
      <c r="BH148" s="11"/>
      <c r="BI148" s="11"/>
    </row>
    <row r="149" spans="1:61">
      <c r="A149" s="237">
        <v>2009</v>
      </c>
      <c r="B149" s="82">
        <f t="shared" si="85"/>
        <v>0.22881073765815005</v>
      </c>
      <c r="C149" s="350">
        <v>0.22574071348100999</v>
      </c>
      <c r="D149" s="350">
        <v>5.7879177013500007E-3</v>
      </c>
      <c r="E149" s="312">
        <f t="shared" si="96"/>
        <v>-1</v>
      </c>
      <c r="F149" s="312">
        <f t="shared" si="96"/>
        <v>0.3</v>
      </c>
      <c r="G149" s="351">
        <f t="shared" si="96"/>
        <v>3</v>
      </c>
      <c r="H149" s="75">
        <f t="shared" si="86"/>
        <v>0.7289364117383681</v>
      </c>
      <c r="I149" s="75">
        <f t="shared" si="87"/>
        <v>0.2157468141822303</v>
      </c>
      <c r="J149" s="77">
        <f t="shared" si="88"/>
        <v>5.531677407940179E-2</v>
      </c>
      <c r="K149" s="352"/>
      <c r="L149" s="263">
        <v>2009</v>
      </c>
      <c r="M149" s="280">
        <f t="shared" si="89"/>
        <v>0.12490595996397577</v>
      </c>
      <c r="N149" s="280">
        <f t="shared" si="93"/>
        <v>4.2720121027903263E-2</v>
      </c>
      <c r="O149" s="280">
        <f t="shared" si="90"/>
        <v>5.4065846616478869E-2</v>
      </c>
      <c r="P149" s="429">
        <f t="shared" si="94"/>
        <v>0.10325598049682155</v>
      </c>
      <c r="Q149" s="227"/>
      <c r="R149" s="81">
        <v>2009</v>
      </c>
      <c r="S149" s="353">
        <f t="shared" si="91"/>
        <v>0.313896704806503</v>
      </c>
      <c r="T149" s="354">
        <f t="shared" si="95"/>
        <v>0.10907448266526333</v>
      </c>
      <c r="U149" s="355">
        <f t="shared" si="92"/>
        <v>0.22881073765815005</v>
      </c>
      <c r="V149" s="356"/>
      <c r="W149" s="357"/>
      <c r="X149" s="357"/>
      <c r="Y149" s="358"/>
      <c r="AB149" s="368"/>
      <c r="AD149" s="369"/>
      <c r="AT149" s="11"/>
      <c r="BC149" s="11"/>
      <c r="BD149" s="360">
        <v>5.7879177013500007E-3</v>
      </c>
      <c r="BE149" s="298">
        <v>2009</v>
      </c>
      <c r="BF149" s="11"/>
      <c r="BG149" s="11"/>
      <c r="BH149" s="11"/>
      <c r="BI149" s="11"/>
    </row>
    <row r="150" spans="1:61">
      <c r="A150" s="237">
        <v>2010</v>
      </c>
      <c r="B150" s="82">
        <f t="shared" si="85"/>
        <v>0.23637958079728649</v>
      </c>
      <c r="C150" s="350">
        <v>0.21326771343583001</v>
      </c>
      <c r="D150" s="350">
        <v>1.762321739673E-2</v>
      </c>
      <c r="E150" s="312">
        <f t="shared" si="96"/>
        <v>-1</v>
      </c>
      <c r="F150" s="312">
        <f t="shared" si="96"/>
        <v>0.3</v>
      </c>
      <c r="G150" s="351">
        <f t="shared" si="96"/>
        <v>3</v>
      </c>
      <c r="H150" s="75">
        <f t="shared" si="86"/>
        <v>0.66919537958439834</v>
      </c>
      <c r="I150" s="75">
        <f t="shared" si="87"/>
        <v>0.1811295645305907</v>
      </c>
      <c r="J150" s="77">
        <f t="shared" si="88"/>
        <v>0.14967505588501093</v>
      </c>
      <c r="K150" s="352"/>
      <c r="L150" s="263">
        <v>2010</v>
      </c>
      <c r="M150" s="280">
        <f t="shared" si="89"/>
        <v>0.13928674396648369</v>
      </c>
      <c r="N150" s="280">
        <f t="shared" si="93"/>
        <v>3.7826742622249353E-2</v>
      </c>
      <c r="O150" s="280">
        <f t="shared" si="90"/>
        <v>3.5564875560274802E-2</v>
      </c>
      <c r="P150" s="429">
        <f t="shared" si="94"/>
        <v>0.10538476165553232</v>
      </c>
      <c r="Q150" s="227"/>
      <c r="R150" s="81">
        <v>2010</v>
      </c>
      <c r="S150" s="353">
        <f t="shared" si="91"/>
        <v>0.35322954701822551</v>
      </c>
      <c r="T150" s="354">
        <f t="shared" si="95"/>
        <v>0.10907448266526333</v>
      </c>
      <c r="U150" s="355">
        <f t="shared" si="92"/>
        <v>0.23637958079728649</v>
      </c>
      <c r="V150" s="356"/>
      <c r="W150" s="357"/>
      <c r="X150" s="357"/>
      <c r="Y150" s="358"/>
      <c r="AB150" s="370"/>
      <c r="AD150" s="369"/>
      <c r="AT150" s="11"/>
      <c r="BC150" s="11"/>
      <c r="BD150" s="360">
        <v>1.762321739673E-2</v>
      </c>
      <c r="BE150" s="298">
        <v>2010</v>
      </c>
      <c r="BF150" s="11"/>
      <c r="BG150" s="11"/>
      <c r="BH150" s="11"/>
      <c r="BI150" s="11"/>
    </row>
    <row r="151" spans="1:61">
      <c r="A151" s="237">
        <v>2011</v>
      </c>
      <c r="B151" s="82">
        <f t="shared" si="85"/>
        <v>0.250228073941136</v>
      </c>
      <c r="C151" s="350">
        <v>0.23600752812980999</v>
      </c>
      <c r="D151" s="350">
        <v>1.0111475727929999E-2</v>
      </c>
      <c r="E151" s="312">
        <f t="shared" si="96"/>
        <v>-1</v>
      </c>
      <c r="F151" s="312">
        <f t="shared" si="96"/>
        <v>0.3</v>
      </c>
      <c r="G151" s="351">
        <f t="shared" si="96"/>
        <v>3</v>
      </c>
      <c r="H151" s="75">
        <f t="shared" si="86"/>
        <v>0.71216041771443228</v>
      </c>
      <c r="I151" s="75">
        <f t="shared" si="87"/>
        <v>0.20150643031710466</v>
      </c>
      <c r="J151" s="77">
        <f t="shared" si="88"/>
        <v>8.6333151968463098E-2</v>
      </c>
      <c r="K151" s="352"/>
      <c r="L151" s="263">
        <v>2011</v>
      </c>
      <c r="M151" s="280">
        <f t="shared" si="89"/>
        <v>0.14412030344035137</v>
      </c>
      <c r="N151" s="280">
        <f t="shared" si="93"/>
        <v>2.9287328600409054E-2</v>
      </c>
      <c r="O151" s="280">
        <f t="shared" si="90"/>
        <v>2.7769446498566948E-2</v>
      </c>
      <c r="P151" s="429">
        <f t="shared" si="94"/>
        <v>0.11093578438364472</v>
      </c>
      <c r="Q151" s="227"/>
      <c r="R151" s="81">
        <v>2011</v>
      </c>
      <c r="S151" s="353">
        <f t="shared" si="91"/>
        <v>0.35136475956386898</v>
      </c>
      <c r="T151" s="354">
        <f t="shared" si="95"/>
        <v>0.10907448266526333</v>
      </c>
      <c r="U151" s="355">
        <f t="shared" si="92"/>
        <v>0.250228073941136</v>
      </c>
      <c r="V151" s="356"/>
      <c r="W151" s="357"/>
      <c r="X151" s="357"/>
      <c r="Y151" s="358"/>
      <c r="AB151" s="370"/>
      <c r="AD151" s="369"/>
      <c r="AT151" s="11"/>
      <c r="AU151" s="11"/>
      <c r="AV151" s="11"/>
      <c r="AW151" s="11"/>
      <c r="AX151" s="11"/>
      <c r="AY151" s="11"/>
      <c r="AZ151" s="11"/>
      <c r="BA151" s="11"/>
      <c r="BB151" s="11"/>
      <c r="BC151" s="11"/>
      <c r="BD151" s="360">
        <v>1.0111475727929999E-2</v>
      </c>
      <c r="BE151" s="298">
        <v>2011</v>
      </c>
      <c r="BF151" s="11"/>
      <c r="BG151" s="11"/>
      <c r="BH151" s="11"/>
      <c r="BI151" s="11"/>
    </row>
    <row r="152" spans="1:61">
      <c r="A152" s="237">
        <v>2012</v>
      </c>
      <c r="B152" s="82">
        <f t="shared" si="85"/>
        <v>0.24276740529678009</v>
      </c>
      <c r="C152" s="350">
        <v>0.21283702264828</v>
      </c>
      <c r="D152" s="350">
        <v>2.575682035103E-2</v>
      </c>
      <c r="E152" s="312">
        <f t="shared" si="96"/>
        <v>-1</v>
      </c>
      <c r="F152" s="312">
        <f t="shared" si="96"/>
        <v>0.3</v>
      </c>
      <c r="G152" s="351">
        <f t="shared" si="96"/>
        <v>3</v>
      </c>
      <c r="H152" s="75">
        <f t="shared" si="86"/>
        <v>0.63238962898132545</v>
      </c>
      <c r="I152" s="75">
        <f t="shared" si="87"/>
        <v>0.16632701447893375</v>
      </c>
      <c r="J152" s="77">
        <f t="shared" si="88"/>
        <v>0.20128335653974078</v>
      </c>
      <c r="K152" s="352"/>
      <c r="L152" s="263">
        <v>2012</v>
      </c>
      <c r="M152" s="280">
        <f t="shared" si="89"/>
        <v>0.14865877559573309</v>
      </c>
      <c r="N152" s="280">
        <f t="shared" si="93"/>
        <v>3.6581696908138027E-2</v>
      </c>
      <c r="O152" s="280">
        <f t="shared" si="90"/>
        <v>0.11765039855768433</v>
      </c>
      <c r="P152" s="429">
        <f t="shared" si="94"/>
        <v>0.12377585949503658</v>
      </c>
      <c r="Q152" s="227"/>
      <c r="R152" s="81">
        <v>2012</v>
      </c>
      <c r="S152" s="353">
        <f t="shared" si="91"/>
        <v>0.38388897314435411</v>
      </c>
      <c r="T152" s="354">
        <f t="shared" si="95"/>
        <v>0.10907448266526333</v>
      </c>
      <c r="U152" s="355">
        <f t="shared" si="92"/>
        <v>0.24276740529678009</v>
      </c>
      <c r="V152" s="356"/>
      <c r="W152" s="357"/>
      <c r="X152" s="357"/>
      <c r="Y152" s="358"/>
      <c r="AB152" s="370"/>
      <c r="AD152" s="369"/>
      <c r="AT152" s="11"/>
      <c r="AU152" s="11"/>
      <c r="AV152" s="11"/>
      <c r="AW152" s="11"/>
      <c r="AX152" s="11"/>
      <c r="AY152" s="11"/>
      <c r="AZ152" s="11"/>
      <c r="BA152" s="11"/>
      <c r="BB152" s="11"/>
      <c r="BC152" s="11"/>
      <c r="BD152" s="360">
        <v>2.575682035103E-2</v>
      </c>
      <c r="BE152" s="298">
        <v>2012</v>
      </c>
      <c r="BF152" s="11"/>
      <c r="BG152" s="11"/>
      <c r="BH152" s="11"/>
      <c r="BI152" s="11"/>
    </row>
    <row r="153" spans="1:61">
      <c r="A153" s="237">
        <v>2013</v>
      </c>
      <c r="B153" s="82">
        <f t="shared" si="85"/>
        <v>0.23449086839818897</v>
      </c>
      <c r="C153" s="350">
        <v>0.19826454745246</v>
      </c>
      <c r="D153" s="350">
        <v>2.4841045250340001E-2</v>
      </c>
      <c r="E153" s="312">
        <f t="shared" si="96"/>
        <v>-1</v>
      </c>
      <c r="F153" s="312">
        <f t="shared" si="96"/>
        <v>0.3</v>
      </c>
      <c r="G153" s="351">
        <f t="shared" si="96"/>
        <v>3</v>
      </c>
      <c r="H153" s="75">
        <f t="shared" si="86"/>
        <v>0.63635030781131419</v>
      </c>
      <c r="I153" s="75">
        <f t="shared" si="87"/>
        <v>0.16141230572595494</v>
      </c>
      <c r="J153" s="77">
        <f t="shared" si="88"/>
        <v>0.20223738646273096</v>
      </c>
      <c r="K153" s="352"/>
      <c r="L153" s="263">
        <v>2013</v>
      </c>
      <c r="M153" s="280">
        <f t="shared" si="89"/>
        <v>0.14086122408151219</v>
      </c>
      <c r="N153" s="280">
        <f t="shared" si="93"/>
        <v>4.5341849229421902E-2</v>
      </c>
      <c r="O153" s="280">
        <f t="shared" si="90"/>
        <v>4.2482760511355404E-2</v>
      </c>
      <c r="P153" s="429">
        <f t="shared" si="94"/>
        <v>0.10554741818848701</v>
      </c>
      <c r="Q153" s="227"/>
      <c r="R153" s="81">
        <v>2013</v>
      </c>
      <c r="S153" s="353">
        <f t="shared" si="91"/>
        <v>0.36849336838494695</v>
      </c>
      <c r="T153" s="354">
        <f t="shared" si="95"/>
        <v>0.10907448266526333</v>
      </c>
      <c r="U153" s="355">
        <f t="shared" si="92"/>
        <v>0.23449086839818897</v>
      </c>
      <c r="V153" s="356"/>
      <c r="W153" s="357"/>
      <c r="X153" s="357"/>
      <c r="Y153" s="358"/>
      <c r="AB153" s="370"/>
      <c r="AD153" s="369"/>
      <c r="AT153" s="11"/>
      <c r="AU153" s="11"/>
      <c r="AV153" s="11"/>
      <c r="AW153" s="11"/>
      <c r="AX153" s="11"/>
      <c r="AY153" s="11"/>
      <c r="AZ153" s="11"/>
      <c r="BA153" s="11"/>
      <c r="BB153" s="11"/>
      <c r="BC153" s="11"/>
      <c r="BD153" s="360">
        <v>2.4841045250340001E-2</v>
      </c>
      <c r="BE153" s="298">
        <v>2013</v>
      </c>
      <c r="BF153" s="11"/>
      <c r="BG153" s="11"/>
      <c r="BH153" s="11"/>
      <c r="BI153" s="11"/>
    </row>
    <row r="154" spans="1:61">
      <c r="A154" s="237">
        <v>2014</v>
      </c>
      <c r="B154" s="82">
        <f t="shared" si="85"/>
        <v>0.2384520109953486</v>
      </c>
      <c r="C154" s="350">
        <v>0.19557467866667999</v>
      </c>
      <c r="D154" s="350">
        <v>1.545095110333E-2</v>
      </c>
      <c r="E154" s="312">
        <f t="shared" si="96"/>
        <v>-1</v>
      </c>
      <c r="F154" s="312">
        <f t="shared" si="96"/>
        <v>0.3</v>
      </c>
      <c r="G154" s="351">
        <f t="shared" si="96"/>
        <v>3</v>
      </c>
      <c r="H154" s="75">
        <f t="shared" si="86"/>
        <v>0.69422938073754137</v>
      </c>
      <c r="I154" s="75">
        <f t="shared" si="87"/>
        <v>0.17081888404962295</v>
      </c>
      <c r="J154" s="77">
        <f t="shared" si="88"/>
        <v>0.13495173521283563</v>
      </c>
      <c r="K154" s="352"/>
      <c r="L154" s="263">
        <v>2014</v>
      </c>
      <c r="M154" s="280">
        <f t="shared" si="89"/>
        <v>0.14004257256712996</v>
      </c>
      <c r="N154" s="280">
        <f t="shared" si="93"/>
        <v>3.0041896445330136E-2</v>
      </c>
      <c r="O154" s="280">
        <f t="shared" si="90"/>
        <v>2.9984454113491165E-2</v>
      </c>
      <c r="P154" s="429">
        <f t="shared" si="94"/>
        <v>0.10639984576772174</v>
      </c>
      <c r="Q154" s="227"/>
      <c r="R154" s="81">
        <v>2014</v>
      </c>
      <c r="S154" s="353">
        <f t="shared" si="91"/>
        <v>0.34347726790534261</v>
      </c>
      <c r="T154" s="354">
        <f t="shared" si="95"/>
        <v>0.10907448266526333</v>
      </c>
      <c r="U154" s="355">
        <f t="shared" si="92"/>
        <v>0.2384520109953486</v>
      </c>
      <c r="V154" s="356"/>
      <c r="W154" s="357"/>
      <c r="X154" s="357"/>
      <c r="Y154" s="358"/>
      <c r="AB154" s="370"/>
      <c r="AD154" s="369"/>
      <c r="AT154" s="11"/>
      <c r="AU154" s="11"/>
      <c r="AV154" s="11"/>
      <c r="AW154" s="11"/>
      <c r="AX154" s="11"/>
      <c r="AY154" s="11"/>
      <c r="AZ154" s="11"/>
      <c r="BA154" s="11"/>
      <c r="BB154" s="11"/>
      <c r="BC154" s="11"/>
      <c r="BD154" s="360">
        <v>1.545095110333E-2</v>
      </c>
      <c r="BE154" s="298">
        <v>2014</v>
      </c>
      <c r="BF154" s="11"/>
      <c r="BG154" s="11"/>
      <c r="BH154" s="11"/>
      <c r="BI154" s="11"/>
    </row>
    <row r="155" spans="1:61">
      <c r="A155" s="237">
        <v>2015</v>
      </c>
      <c r="B155" s="82">
        <f t="shared" si="85"/>
        <v>0.23293087014779898</v>
      </c>
      <c r="C155" s="350">
        <v>0.21149752426030999</v>
      </c>
      <c r="D155" s="350">
        <v>2.1918540805490001E-2</v>
      </c>
      <c r="E155" s="312">
        <f t="shared" si="96"/>
        <v>-1</v>
      </c>
      <c r="F155" s="312">
        <f t="shared" si="96"/>
        <v>0.3</v>
      </c>
      <c r="G155" s="351">
        <f t="shared" si="96"/>
        <v>3</v>
      </c>
      <c r="H155" s="75">
        <f t="shared" si="86"/>
        <v>0.64321423733832961</v>
      </c>
      <c r="I155" s="75">
        <f t="shared" si="87"/>
        <v>0.17520848826914356</v>
      </c>
      <c r="J155" s="77">
        <f t="shared" si="88"/>
        <v>0.18157727439252683</v>
      </c>
      <c r="K155" s="352"/>
      <c r="L155" s="263">
        <v>2015</v>
      </c>
      <c r="M155" s="280">
        <f t="shared" si="89"/>
        <v>0.13661691968018028</v>
      </c>
      <c r="N155" s="280">
        <f t="shared" si="93"/>
        <v>3.8585966171307981E-2</v>
      </c>
      <c r="O155" s="280">
        <f t="shared" si="90"/>
        <v>5.118541043900212E-2</v>
      </c>
      <c r="P155" s="429">
        <f t="shared" si="94"/>
        <v>0.10392864391705496</v>
      </c>
      <c r="Q155" s="227"/>
      <c r="R155" s="81">
        <v>2015</v>
      </c>
      <c r="S155" s="353">
        <f t="shared" si="91"/>
        <v>0.36213574984236196</v>
      </c>
      <c r="T155" s="354">
        <f t="shared" si="95"/>
        <v>0.10907448266526333</v>
      </c>
      <c r="U155" s="355">
        <f t="shared" si="92"/>
        <v>0.23293087014779898</v>
      </c>
      <c r="V155" s="356"/>
      <c r="W155" s="357"/>
      <c r="X155" s="357"/>
      <c r="Y155" s="358"/>
      <c r="AB155" s="370"/>
      <c r="AD155" s="369"/>
      <c r="AT155" s="11"/>
      <c r="AU155" s="11"/>
      <c r="AV155" s="11"/>
      <c r="AW155" s="11"/>
      <c r="AX155" s="11"/>
      <c r="AY155" s="11"/>
      <c r="AZ155" s="11"/>
      <c r="BA155" s="11"/>
      <c r="BB155" s="11"/>
      <c r="BC155" s="11"/>
      <c r="BD155" s="360">
        <v>2.1918540805490001E-2</v>
      </c>
      <c r="BE155" s="298">
        <v>2015</v>
      </c>
      <c r="BF155" s="11"/>
      <c r="BG155" s="11"/>
      <c r="BH155" s="11"/>
      <c r="BI155" s="11"/>
    </row>
    <row r="156" spans="1:61">
      <c r="A156" s="237">
        <v>2016</v>
      </c>
      <c r="B156" s="82">
        <f t="shared" si="85"/>
        <v>0.23042499292540522</v>
      </c>
      <c r="C156" s="350">
        <v>0.22537426783503001</v>
      </c>
      <c r="D156" s="350">
        <v>1.121218935873E-2</v>
      </c>
      <c r="E156" s="312">
        <f t="shared" si="96"/>
        <v>-1</v>
      </c>
      <c r="F156" s="312">
        <f t="shared" si="96"/>
        <v>0.3</v>
      </c>
      <c r="G156" s="351">
        <f t="shared" si="96"/>
        <v>3</v>
      </c>
      <c r="H156" s="75">
        <f t="shared" si="86"/>
        <v>0.69473369375785821</v>
      </c>
      <c r="I156" s="75">
        <f t="shared" si="87"/>
        <v>0.20385171189527712</v>
      </c>
      <c r="J156" s="77">
        <f t="shared" si="88"/>
        <v>0.10141459434686467</v>
      </c>
      <c r="K156" s="352"/>
      <c r="L156" s="263">
        <v>2016</v>
      </c>
      <c r="M156" s="280">
        <f t="shared" si="89"/>
        <v>0.13631919347175384</v>
      </c>
      <c r="N156" s="280">
        <f t="shared" si="93"/>
        <v>2.3254027180637217E-2</v>
      </c>
      <c r="O156" s="280">
        <f t="shared" si="90"/>
        <v>4.3188810223333179E-2</v>
      </c>
      <c r="P156" s="429">
        <f t="shared" si="94"/>
        <v>0.1038258857290789</v>
      </c>
      <c r="Q156" s="227"/>
      <c r="R156" s="81">
        <v>2016</v>
      </c>
      <c r="S156" s="353">
        <f t="shared" si="91"/>
        <v>0.3316738413521042</v>
      </c>
      <c r="T156" s="354">
        <f t="shared" si="95"/>
        <v>0.10907448266526333</v>
      </c>
      <c r="U156" s="355">
        <f t="shared" si="92"/>
        <v>0.23042499292540522</v>
      </c>
      <c r="V156" s="356"/>
      <c r="W156" s="357"/>
      <c r="X156" s="357"/>
      <c r="Y156" s="358"/>
      <c r="AB156" s="297"/>
      <c r="AD156" s="369"/>
      <c r="AT156" s="11"/>
      <c r="AU156" s="11"/>
      <c r="AV156" s="11"/>
      <c r="AW156" s="11"/>
      <c r="AX156" s="11"/>
      <c r="AY156" s="11"/>
      <c r="AZ156" s="11"/>
      <c r="BA156" s="11"/>
      <c r="BB156" s="11"/>
      <c r="BC156" s="11"/>
      <c r="BD156" s="360">
        <v>1.121218935873E-2</v>
      </c>
      <c r="BE156" s="298">
        <v>2016</v>
      </c>
      <c r="BF156" s="11"/>
      <c r="BG156" s="11"/>
      <c r="BH156" s="11"/>
      <c r="BI156" s="11"/>
    </row>
    <row r="157" spans="1:61">
      <c r="A157" s="237">
        <v>2017</v>
      </c>
      <c r="B157" s="82">
        <f t="shared" si="85"/>
        <v>0.22022838201748191</v>
      </c>
      <c r="C157" s="350">
        <v>0.21976466325518998</v>
      </c>
      <c r="D157" s="350">
        <v>5.7158984415100001E-3</v>
      </c>
      <c r="E157" s="312">
        <f t="shared" si="96"/>
        <v>-1</v>
      </c>
      <c r="F157" s="312">
        <f t="shared" si="96"/>
        <v>0.3</v>
      </c>
      <c r="G157" s="351">
        <f t="shared" si="96"/>
        <v>3</v>
      </c>
      <c r="H157" s="75">
        <f t="shared" si="86"/>
        <v>0.72609431484900344</v>
      </c>
      <c r="I157" s="75">
        <f t="shared" si="87"/>
        <v>0.21736962938087473</v>
      </c>
      <c r="J157" s="77">
        <f t="shared" si="88"/>
        <v>5.6536055770121919E-2</v>
      </c>
      <c r="K157" s="352"/>
      <c r="L157" s="263">
        <v>2017</v>
      </c>
      <c r="M157" s="280">
        <f t="shared" si="89"/>
        <v>0.14089118997775774</v>
      </c>
      <c r="N157" s="280">
        <f t="shared" si="93"/>
        <v>1.161961712078601E-2</v>
      </c>
      <c r="O157" s="280">
        <f t="shared" si="90"/>
        <v>5.3687409038150481E-2</v>
      </c>
      <c r="P157" s="429">
        <f t="shared" si="94"/>
        <v>0.10786131827378792</v>
      </c>
      <c r="Q157" s="227"/>
      <c r="R157" s="81">
        <v>2017</v>
      </c>
      <c r="S157" s="353">
        <f t="shared" si="91"/>
        <v>0.30330547631856886</v>
      </c>
      <c r="T157" s="354">
        <f t="shared" si="95"/>
        <v>0.10907448266526333</v>
      </c>
      <c r="U157" s="355">
        <f t="shared" si="92"/>
        <v>0.22022838201748191</v>
      </c>
      <c r="V157" s="356"/>
      <c r="W157" s="357"/>
      <c r="X157" s="357"/>
      <c r="Y157" s="358"/>
      <c r="AB157" s="297"/>
      <c r="AD157" s="369"/>
      <c r="AT157" s="11"/>
      <c r="AU157" s="11"/>
      <c r="AV157" s="11"/>
      <c r="AW157" s="11"/>
      <c r="AX157" s="11"/>
      <c r="AY157" s="11"/>
      <c r="AZ157" s="11"/>
      <c r="BA157" s="11"/>
      <c r="BB157" s="11"/>
      <c r="BC157" s="11"/>
      <c r="BD157" s="360">
        <v>5.7158984415100001E-3</v>
      </c>
      <c r="BE157" s="298">
        <v>2017</v>
      </c>
      <c r="BF157" s="11"/>
      <c r="BG157" s="11"/>
      <c r="BH157" s="11"/>
      <c r="BI157" s="11"/>
    </row>
    <row r="158" spans="1:61">
      <c r="A158" s="237">
        <v>2018</v>
      </c>
      <c r="B158" s="82">
        <f t="shared" si="85"/>
        <v>0.20810529478618667</v>
      </c>
      <c r="C158" s="350">
        <v>0.20992929576605998</v>
      </c>
      <c r="D158" s="350">
        <v>1.141435724004E-2</v>
      </c>
      <c r="E158" s="312">
        <f t="shared" si="96"/>
        <v>-1</v>
      </c>
      <c r="F158" s="312">
        <f t="shared" si="96"/>
        <v>0.3</v>
      </c>
      <c r="G158" s="351">
        <f t="shared" si="96"/>
        <v>3</v>
      </c>
      <c r="H158" s="75">
        <f t="shared" si="86"/>
        <v>0.68158135042147994</v>
      </c>
      <c r="I158" s="75">
        <f t="shared" si="87"/>
        <v>0.20626658208999907</v>
      </c>
      <c r="J158" s="77">
        <f t="shared" si="88"/>
        <v>0.11215206748852106</v>
      </c>
      <c r="K158" s="352"/>
      <c r="L158" s="263">
        <v>2018</v>
      </c>
      <c r="M158" s="280">
        <f t="shared" si="89"/>
        <v>0.13969882711315751</v>
      </c>
      <c r="N158" s="280">
        <f t="shared" si="93"/>
        <v>2.0173055620160005E-2</v>
      </c>
      <c r="O158" s="280">
        <f t="shared" si="90"/>
        <v>4.0879258894723151E-2</v>
      </c>
      <c r="P158" s="429">
        <f t="shared" si="94"/>
        <v>0.10396183587160633</v>
      </c>
      <c r="Q158" s="227"/>
      <c r="R158" s="81">
        <v>2018</v>
      </c>
      <c r="S158" s="353">
        <f t="shared" si="91"/>
        <v>0.30532715523612464</v>
      </c>
      <c r="T158" s="354">
        <f t="shared" si="95"/>
        <v>0.10907448266526333</v>
      </c>
      <c r="U158" s="355">
        <f t="shared" si="92"/>
        <v>0.20810529478618667</v>
      </c>
      <c r="V158" s="356"/>
      <c r="W158" s="357"/>
      <c r="X158" s="357"/>
      <c r="Y158" s="358"/>
      <c r="AB158" s="367"/>
      <c r="AD158" s="369"/>
      <c r="AT158" s="11"/>
      <c r="AU158" s="11"/>
      <c r="AV158" s="11"/>
      <c r="AW158" s="11"/>
      <c r="AX158" s="11"/>
      <c r="AY158" s="11"/>
      <c r="AZ158" s="11"/>
      <c r="BA158" s="11"/>
      <c r="BB158" s="11"/>
      <c r="BC158" s="11"/>
      <c r="BD158" s="360">
        <v>1.141435724004E-2</v>
      </c>
      <c r="BE158" s="298">
        <v>2018</v>
      </c>
      <c r="BF158" s="11"/>
      <c r="BG158" s="11"/>
      <c r="BH158" s="11"/>
      <c r="BI158" s="11"/>
    </row>
    <row r="159" spans="1:61">
      <c r="A159" s="237">
        <v>2019</v>
      </c>
      <c r="B159" s="82">
        <f t="shared" si="85"/>
        <v>0.19731567578958834</v>
      </c>
      <c r="C159" s="350">
        <v>0.21470424780106001</v>
      </c>
      <c r="D159" s="350">
        <v>-1.004020226726E-2</v>
      </c>
      <c r="E159" s="312">
        <f t="shared" si="96"/>
        <v>-1</v>
      </c>
      <c r="F159" s="312">
        <f t="shared" si="96"/>
        <v>0.3</v>
      </c>
      <c r="G159" s="351">
        <f t="shared" si="96"/>
        <v>3</v>
      </c>
      <c r="H159" s="75">
        <f t="shared" si="86"/>
        <v>0.75389896108005727</v>
      </c>
      <c r="I159" s="75">
        <f t="shared" si="87"/>
        <v>0.24610103891994278</v>
      </c>
      <c r="J159" s="77">
        <f t="shared" si="88"/>
        <v>0</v>
      </c>
      <c r="K159" s="352"/>
      <c r="L159" s="263">
        <v>2019</v>
      </c>
      <c r="M159" s="280">
        <f t="shared" si="89"/>
        <v>0.13426905299769024</v>
      </c>
      <c r="N159" s="280">
        <f t="shared" si="93"/>
        <v>2.6515613531742425E-2</v>
      </c>
      <c r="O159" s="280">
        <f t="shared" si="90"/>
        <v>4.4786958747599963E-2</v>
      </c>
      <c r="P159" s="429">
        <f t="shared" si="94"/>
        <v>0.10775081959792333</v>
      </c>
      <c r="Q159" s="227"/>
      <c r="R159" s="81">
        <v>2019</v>
      </c>
      <c r="S159" s="353">
        <f t="shared" si="91"/>
        <v>0.26172695012990632</v>
      </c>
      <c r="T159" s="354">
        <f t="shared" si="95"/>
        <v>0.10907448266526333</v>
      </c>
      <c r="U159" s="355">
        <f t="shared" si="92"/>
        <v>0.19731567578958834</v>
      </c>
      <c r="V159" s="356"/>
      <c r="W159" s="357"/>
      <c r="X159" s="357"/>
      <c r="Y159" s="358"/>
      <c r="AB159" s="297"/>
      <c r="AD159" s="369"/>
      <c r="AT159" s="11"/>
      <c r="AU159" s="11"/>
      <c r="AV159" s="11"/>
      <c r="AW159" s="11"/>
      <c r="AX159" s="11"/>
      <c r="AY159" s="11"/>
      <c r="AZ159" s="11"/>
      <c r="BA159" s="11"/>
      <c r="BB159" s="11"/>
      <c r="BC159" s="11"/>
      <c r="BD159" s="360">
        <v>-1.004020226726E-2</v>
      </c>
      <c r="BE159" s="298">
        <v>2019</v>
      </c>
      <c r="BF159" s="11"/>
      <c r="BG159" s="11"/>
      <c r="BH159" s="11"/>
      <c r="BI159" s="11"/>
    </row>
    <row r="160" spans="1:61">
      <c r="A160" s="237">
        <v>2020</v>
      </c>
      <c r="B160" s="82">
        <f t="shared" si="85"/>
        <v>0.18228074823758814</v>
      </c>
      <c r="C160" s="350">
        <v>0.24535590625613998</v>
      </c>
      <c r="D160" s="350">
        <v>-5.6191938601499999E-2</v>
      </c>
      <c r="E160" s="312">
        <f t="shared" si="96"/>
        <v>-1</v>
      </c>
      <c r="F160" s="312">
        <f t="shared" si="96"/>
        <v>0.3</v>
      </c>
      <c r="G160" s="351">
        <f t="shared" si="96"/>
        <v>3</v>
      </c>
      <c r="H160" s="75">
        <f t="shared" si="86"/>
        <v>0.71234716001809772</v>
      </c>
      <c r="I160" s="75">
        <f t="shared" si="87"/>
        <v>0.28765283998190239</v>
      </c>
      <c r="J160" s="77">
        <f t="shared" si="88"/>
        <v>0</v>
      </c>
      <c r="K160" s="352"/>
      <c r="L160" s="263">
        <v>2020</v>
      </c>
      <c r="M160" s="280">
        <f t="shared" si="89"/>
        <v>0.10961907657128198</v>
      </c>
      <c r="N160" s="280">
        <f t="shared" si="93"/>
        <v>2.9390031339173294E-2</v>
      </c>
      <c r="O160" s="280">
        <f t="shared" si="90"/>
        <v>4.756417070694241E-2</v>
      </c>
      <c r="P160" s="429">
        <f t="shared" si="94"/>
        <v>8.654096386122942E-2</v>
      </c>
      <c r="Q160" s="227"/>
      <c r="R160" s="81">
        <v>2020</v>
      </c>
      <c r="S160" s="353">
        <f t="shared" si="91"/>
        <v>0.25588752011443011</v>
      </c>
      <c r="T160" s="354">
        <f t="shared" si="95"/>
        <v>0.10907448266526333</v>
      </c>
      <c r="U160" s="355">
        <f t="shared" si="92"/>
        <v>0.18228074823758814</v>
      </c>
      <c r="V160" s="356"/>
      <c r="W160" s="357"/>
      <c r="X160" s="357"/>
      <c r="Y160" s="358"/>
      <c r="AD160" s="369"/>
      <c r="AU160" s="11"/>
      <c r="AV160" s="11"/>
      <c r="AW160" s="11"/>
      <c r="BD160" s="360">
        <v>-5.6191938601499999E-2</v>
      </c>
      <c r="BE160" s="298">
        <v>2020</v>
      </c>
    </row>
    <row r="161" spans="1:56" ht="17.100000000000001" thickBot="1">
      <c r="A161" s="69"/>
      <c r="B161" s="371"/>
      <c r="C161" s="371"/>
      <c r="D161" s="371"/>
      <c r="E161" s="371"/>
      <c r="F161" s="371"/>
      <c r="G161" s="70"/>
      <c r="H161" s="70"/>
      <c r="I161" s="70"/>
      <c r="J161" s="141"/>
      <c r="L161" s="91"/>
      <c r="M161" s="89"/>
      <c r="N161" s="89"/>
      <c r="O161" s="89"/>
      <c r="P161" s="430"/>
      <c r="R161" s="124"/>
      <c r="S161" s="137"/>
      <c r="T161" s="354"/>
      <c r="U161" s="372"/>
      <c r="X161" s="357"/>
      <c r="AU161" s="11"/>
      <c r="AV161" s="11"/>
      <c r="AW161" s="11"/>
    </row>
    <row r="162" spans="1:56" ht="17.100000000000001" thickTop="1">
      <c r="A162" s="207"/>
      <c r="B162" s="208"/>
      <c r="C162" s="208"/>
      <c r="D162" s="208"/>
      <c r="E162" s="208"/>
      <c r="F162" s="208"/>
      <c r="G162" s="373"/>
      <c r="H162" s="373"/>
      <c r="I162" s="373"/>
      <c r="J162" s="234"/>
      <c r="L162" s="210"/>
      <c r="M162" s="14"/>
      <c r="N162" s="14"/>
      <c r="O162" s="14"/>
      <c r="P162" s="431"/>
      <c r="R162" s="374"/>
      <c r="S162" s="375"/>
      <c r="T162" s="304"/>
      <c r="U162" s="376">
        <f t="shared" ref="U162" si="97">AVERAGE(U143:U160)</f>
        <v>0.22534690958553483</v>
      </c>
      <c r="V162" s="278"/>
      <c r="W162" s="168"/>
      <c r="X162" s="168"/>
      <c r="Y162" s="278"/>
      <c r="AU162" s="11"/>
      <c r="AV162" s="11"/>
      <c r="AW162" s="11"/>
      <c r="BD162" s="4" t="s">
        <v>433</v>
      </c>
    </row>
    <row r="163" spans="1:56" ht="17.100000000000001" thickBot="1">
      <c r="A163" s="377"/>
      <c r="B163" s="95"/>
      <c r="C163" s="95"/>
      <c r="D163" s="95"/>
      <c r="E163" s="95"/>
      <c r="F163" s="95" t="s">
        <v>299</v>
      </c>
      <c r="G163" s="96"/>
      <c r="H163" s="378">
        <f t="shared" ref="H163:J163" si="98">AVERAGE(H143:H160)</f>
        <v>0.68697282527567982</v>
      </c>
      <c r="I163" s="378">
        <f t="shared" si="98"/>
        <v>0.19977278782485064</v>
      </c>
      <c r="J163" s="379">
        <f t="shared" si="98"/>
        <v>0.11325438689946947</v>
      </c>
      <c r="K163" s="352"/>
      <c r="L163" s="43" t="s">
        <v>299</v>
      </c>
      <c r="M163" s="378">
        <f>AVERAGE(M143:M160)</f>
        <v>0.13891483479723313</v>
      </c>
      <c r="N163" s="378">
        <f t="shared" ref="N163:P163" si="99">AVERAGE(N143:N160)</f>
        <v>3.9844321221066847E-2</v>
      </c>
      <c r="O163" s="378">
        <f t="shared" si="99"/>
        <v>5.018750406222907E-2</v>
      </c>
      <c r="P163" s="432">
        <f t="shared" si="99"/>
        <v>0.10903895523108176</v>
      </c>
      <c r="R163" s="380"/>
      <c r="S163" s="89"/>
      <c r="T163" s="92"/>
      <c r="U163" s="381"/>
      <c r="AU163" s="11"/>
      <c r="AV163" s="11"/>
      <c r="AW163" s="11"/>
    </row>
    <row r="164" spans="1:56" ht="18" thickTop="1" thickBot="1">
      <c r="A164" s="214"/>
      <c r="B164" s="215"/>
      <c r="C164" s="215"/>
      <c r="D164" s="215"/>
      <c r="E164" s="215"/>
      <c r="F164" s="215"/>
      <c r="G164" s="382"/>
      <c r="H164" s="383"/>
      <c r="I164" s="383"/>
      <c r="J164" s="384"/>
      <c r="L164" s="385"/>
      <c r="M164" s="383"/>
      <c r="N164" s="383"/>
      <c r="O164" s="383"/>
      <c r="P164" s="433"/>
      <c r="AU164" s="11"/>
      <c r="AV164" s="11"/>
      <c r="AW164" s="11"/>
    </row>
    <row r="165" spans="1:56" ht="17.100000000000001" thickTop="1">
      <c r="A165" s="94"/>
      <c r="B165" s="95"/>
      <c r="C165" s="95"/>
      <c r="D165" s="95"/>
      <c r="E165" s="95"/>
      <c r="F165" s="95"/>
      <c r="G165" s="96"/>
      <c r="H165" s="378"/>
      <c r="I165" s="378"/>
      <c r="J165" s="378"/>
      <c r="M165" s="378"/>
      <c r="N165" s="378"/>
      <c r="O165" s="378"/>
      <c r="U165" s="168"/>
      <c r="V165" s="168"/>
      <c r="AU165" s="11"/>
      <c r="AV165" s="11"/>
      <c r="AW165" s="11"/>
    </row>
    <row r="166" spans="1:56" ht="18">
      <c r="A166" s="94"/>
      <c r="B166" s="95"/>
      <c r="C166" s="95"/>
      <c r="D166" s="95"/>
      <c r="E166" s="95"/>
      <c r="F166" s="386" t="s">
        <v>434</v>
      </c>
      <c r="G166" s="96"/>
      <c r="H166" s="378"/>
      <c r="I166" s="378"/>
      <c r="J166" s="378"/>
      <c r="K166" s="386" t="s">
        <v>434</v>
      </c>
      <c r="L166" s="96"/>
      <c r="M166" s="378"/>
      <c r="N166" s="378"/>
      <c r="O166" s="378"/>
      <c r="P166" s="386" t="s">
        <v>434</v>
      </c>
      <c r="U166" s="386" t="s">
        <v>434</v>
      </c>
      <c r="AU166" s="11"/>
      <c r="AV166" s="11"/>
      <c r="AW166" s="11"/>
    </row>
    <row r="167" spans="1:56" ht="18.95" thickBot="1">
      <c r="A167" s="386" t="s">
        <v>435</v>
      </c>
      <c r="B167" s="227"/>
      <c r="C167" s="227"/>
      <c r="D167" s="227"/>
      <c r="E167" s="95"/>
      <c r="F167" s="386" t="s">
        <v>436</v>
      </c>
      <c r="G167" s="96"/>
      <c r="H167" s="96"/>
      <c r="I167" s="96"/>
      <c r="K167" s="386" t="s">
        <v>437</v>
      </c>
      <c r="L167" s="96"/>
      <c r="M167" s="96"/>
      <c r="N167" s="96"/>
      <c r="P167" s="386" t="s">
        <v>438</v>
      </c>
      <c r="U167" s="386" t="s">
        <v>439</v>
      </c>
      <c r="AU167" s="11"/>
      <c r="AV167" s="11"/>
      <c r="AW167" s="11"/>
    </row>
    <row r="168" spans="1:56" ht="20.100000000000001" thickTop="1" thickBot="1">
      <c r="A168" s="387" t="s">
        <v>440</v>
      </c>
      <c r="B168" s="16"/>
      <c r="C168" s="16"/>
      <c r="D168" s="17"/>
      <c r="E168" s="95"/>
      <c r="F168" s="388" t="s">
        <v>372</v>
      </c>
      <c r="G168" s="373"/>
      <c r="H168" s="373"/>
      <c r="I168" s="209"/>
      <c r="K168" s="388" t="s">
        <v>372</v>
      </c>
      <c r="L168" s="373"/>
      <c r="M168" s="373"/>
      <c r="N168" s="209"/>
      <c r="P168" s="388" t="s">
        <v>441</v>
      </c>
      <c r="Q168" s="373"/>
      <c r="R168" s="373"/>
      <c r="S168" s="209"/>
      <c r="U168" s="388" t="s">
        <v>442</v>
      </c>
      <c r="V168" s="373"/>
      <c r="W168" s="373"/>
      <c r="X168" s="209"/>
      <c r="AU168" s="11"/>
      <c r="AV168" s="11"/>
      <c r="AW168" s="11"/>
    </row>
    <row r="169" spans="1:56" ht="32.1" customHeight="1" thickTop="1" thickBot="1">
      <c r="A169" s="389"/>
      <c r="B169" s="390" t="s">
        <v>443</v>
      </c>
      <c r="C169" s="390" t="s">
        <v>388</v>
      </c>
      <c r="D169" s="391" t="s">
        <v>376</v>
      </c>
      <c r="E169" s="95"/>
      <c r="F169" s="435" t="s">
        <v>444</v>
      </c>
      <c r="G169" s="436"/>
      <c r="H169" s="436"/>
      <c r="I169" s="437"/>
      <c r="K169" s="435" t="s">
        <v>445</v>
      </c>
      <c r="L169" s="436"/>
      <c r="M169" s="436"/>
      <c r="N169" s="437"/>
      <c r="P169" s="435" t="s">
        <v>446</v>
      </c>
      <c r="Q169" s="436"/>
      <c r="R169" s="436"/>
      <c r="S169" s="437"/>
      <c r="U169" s="388" t="s">
        <v>447</v>
      </c>
      <c r="V169" s="392"/>
      <c r="W169" s="392"/>
      <c r="X169" s="393"/>
      <c r="AU169" s="11"/>
      <c r="AV169" s="11"/>
      <c r="AW169" s="11"/>
    </row>
    <row r="170" spans="1:56" ht="17.100000000000001" thickTop="1">
      <c r="A170" s="324" t="s">
        <v>299</v>
      </c>
      <c r="B170" s="325" t="s">
        <v>401</v>
      </c>
      <c r="C170" s="325" t="s">
        <v>402</v>
      </c>
      <c r="D170" s="394" t="s">
        <v>403</v>
      </c>
      <c r="E170" s="95"/>
      <c r="F170" s="395">
        <f>D174</f>
        <v>0.10907448266526333</v>
      </c>
      <c r="G170" s="396">
        <v>0.2</v>
      </c>
      <c r="H170" s="396">
        <v>0.3</v>
      </c>
      <c r="I170" s="397">
        <v>0.4</v>
      </c>
      <c r="K170" s="395">
        <f>D174</f>
        <v>0.10907448266526333</v>
      </c>
      <c r="L170" s="396">
        <v>2.8</v>
      </c>
      <c r="M170" s="396">
        <v>3</v>
      </c>
      <c r="N170" s="397">
        <v>3.2</v>
      </c>
      <c r="P170" s="398">
        <f>D174</f>
        <v>0.10907448266526333</v>
      </c>
      <c r="Q170" s="399">
        <v>0.8</v>
      </c>
      <c r="R170" s="399">
        <v>0.85</v>
      </c>
      <c r="S170" s="400">
        <v>0.9</v>
      </c>
      <c r="U170" s="398">
        <f>D174</f>
        <v>0.10907448266526333</v>
      </c>
      <c r="V170" s="399">
        <v>0.2</v>
      </c>
      <c r="W170" s="399">
        <v>0.3</v>
      </c>
      <c r="X170" s="400">
        <v>0.4</v>
      </c>
      <c r="AU170" s="11"/>
      <c r="AV170" s="11"/>
      <c r="AW170" s="11"/>
    </row>
    <row r="171" spans="1:56">
      <c r="A171" s="324" t="s">
        <v>448</v>
      </c>
      <c r="B171" s="401">
        <f>H163</f>
        <v>0.68697282527567982</v>
      </c>
      <c r="C171" s="401">
        <f t="shared" ref="C171:D171" si="100">I163</f>
        <v>0.19977278782485064</v>
      </c>
      <c r="D171" s="402">
        <f t="shared" si="100"/>
        <v>0.11325438689946947</v>
      </c>
      <c r="E171" s="95"/>
      <c r="F171" s="403">
        <v>-0.8</v>
      </c>
      <c r="G171" s="200">
        <f t="dataTable" ref="G171:I173" dt2D="1" dtr="1" r1="F143" r2="E143" ca="1"/>
        <v>0.10980136092397066</v>
      </c>
      <c r="H171" s="200">
        <v>0.10435323808733142</v>
      </c>
      <c r="I171" s="404">
        <v>9.9708663674558023E-2</v>
      </c>
      <c r="K171" s="403">
        <v>-0.8</v>
      </c>
      <c r="L171" s="200">
        <f t="dataTable" ref="L171:N173" dt2D="1" dtr="1" r1="G143" r2="E143"/>
        <v>0.10491686276261883</v>
      </c>
      <c r="M171" s="200">
        <v>0.10435323808733142</v>
      </c>
      <c r="N171" s="404">
        <v>0.10380213417353587</v>
      </c>
      <c r="P171" s="395">
        <f>P172-0.005</f>
        <v>3.5000000000000003E-2</v>
      </c>
      <c r="Q171" s="200">
        <f t="dataTable" ref="Q171:S173" dt2D="1" dtr="1" r1="E97" r2="B39" ca="1"/>
        <v>0.10174146748577675</v>
      </c>
      <c r="R171" s="200">
        <v>0.10659013091886028</v>
      </c>
      <c r="S171" s="404">
        <v>0.1113931032227828</v>
      </c>
      <c r="U171" s="405">
        <v>0.9</v>
      </c>
      <c r="V171" s="200">
        <f t="dataTable" ref="V171:X173" dt2D="1" dtr="1" r1="F143" r2="Q107" ca="1"/>
        <v>0.11347698535855319</v>
      </c>
      <c r="W171" s="200">
        <v>0.10827850155233119</v>
      </c>
      <c r="X171" s="404">
        <v>0.10374529344785255</v>
      </c>
      <c r="AU171" s="11"/>
      <c r="AV171" s="11"/>
      <c r="AW171" s="11"/>
    </row>
    <row r="172" spans="1:56">
      <c r="A172" s="389"/>
      <c r="B172" s="406" t="s">
        <v>404</v>
      </c>
      <c r="C172" s="406" t="s">
        <v>405</v>
      </c>
      <c r="D172" s="407" t="s">
        <v>406</v>
      </c>
      <c r="E172" s="95"/>
      <c r="F172" s="403">
        <v>-1</v>
      </c>
      <c r="G172" s="200">
        <v>0.11404647579824231</v>
      </c>
      <c r="H172" s="408">
        <v>0.10907448266526333</v>
      </c>
      <c r="I172" s="404">
        <v>0.10473906294327635</v>
      </c>
      <c r="K172" s="403">
        <v>-1</v>
      </c>
      <c r="L172" s="200">
        <v>0.10959883633575047</v>
      </c>
      <c r="M172" s="408">
        <v>0.10907448266526333</v>
      </c>
      <c r="N172" s="404">
        <v>0.10856031302383579</v>
      </c>
      <c r="P172" s="395">
        <v>0.04</v>
      </c>
      <c r="Q172" s="200">
        <v>0.10429382691652649</v>
      </c>
      <c r="R172" s="408">
        <v>0.10927620946202314</v>
      </c>
      <c r="S172" s="404">
        <v>0.1142102536916841</v>
      </c>
      <c r="U172" s="405">
        <v>1</v>
      </c>
      <c r="V172" s="200">
        <v>0.11404647579824231</v>
      </c>
      <c r="W172" s="408">
        <v>0.10907448266526333</v>
      </c>
      <c r="X172" s="404">
        <v>0.10473906294327635</v>
      </c>
      <c r="AU172" s="11"/>
      <c r="AV172" s="11"/>
      <c r="AW172" s="11"/>
    </row>
    <row r="173" spans="1:56" ht="17.100000000000001" thickBot="1">
      <c r="A173" s="316" t="s">
        <v>449</v>
      </c>
      <c r="B173" s="401">
        <f>M163</f>
        <v>0.13891483479723313</v>
      </c>
      <c r="C173" s="401">
        <f t="shared" ref="C173:D173" si="101">N163</f>
        <v>3.9844321221066847E-2</v>
      </c>
      <c r="D173" s="402">
        <f t="shared" si="101"/>
        <v>5.018750406222907E-2</v>
      </c>
      <c r="E173" s="95"/>
      <c r="F173" s="409">
        <v>-1.2</v>
      </c>
      <c r="G173" s="410">
        <v>0.11720755260306404</v>
      </c>
      <c r="H173" s="410">
        <v>0.11265789295009811</v>
      </c>
      <c r="I173" s="411">
        <v>0.108622958617472</v>
      </c>
      <c r="K173" s="409">
        <v>-1.2</v>
      </c>
      <c r="L173" s="410">
        <v>0.11314478669818417</v>
      </c>
      <c r="M173" s="410">
        <v>0.11265789295009811</v>
      </c>
      <c r="N173" s="411">
        <v>0.11217940149334935</v>
      </c>
      <c r="P173" s="412">
        <f>P172+0.005</f>
        <v>4.4999999999999998E-2</v>
      </c>
      <c r="Q173" s="410">
        <v>0.10690867292082219</v>
      </c>
      <c r="R173" s="410">
        <v>0.11202711583016368</v>
      </c>
      <c r="S173" s="411">
        <v>0.11709442707090774</v>
      </c>
      <c r="U173" s="413">
        <v>1.1000000000000001</v>
      </c>
      <c r="V173" s="410">
        <v>0.11461596623793147</v>
      </c>
      <c r="W173" s="410">
        <v>0.10987046377819547</v>
      </c>
      <c r="X173" s="411">
        <v>0.10573283243870017</v>
      </c>
      <c r="AU173" s="11"/>
      <c r="AV173" s="11"/>
      <c r="AW173" s="11"/>
    </row>
    <row r="174" spans="1:56" ht="18" thickTop="1" thickBot="1">
      <c r="A174" s="414" t="s">
        <v>377</v>
      </c>
      <c r="B174" s="415"/>
      <c r="C174" s="415"/>
      <c r="D174" s="416">
        <f>B171*B173+C171*C173+D171*D173</f>
        <v>0.10907448266526333</v>
      </c>
      <c r="E174" s="95"/>
      <c r="F174" s="95"/>
      <c r="G174" s="96"/>
      <c r="H174" s="96"/>
      <c r="I174" s="96"/>
      <c r="AF174" s="11"/>
      <c r="AG174" s="11"/>
      <c r="AH174" s="11"/>
    </row>
    <row r="175" spans="1:56" ht="17.100000000000001" thickTop="1">
      <c r="A175" s="94"/>
      <c r="B175" s="95"/>
      <c r="C175" s="95"/>
      <c r="D175" s="95"/>
      <c r="E175" s="95"/>
      <c r="F175" s="95" t="s">
        <v>450</v>
      </c>
      <c r="G175" s="200">
        <f>MAX(G171:I173)-MIN(G171:I173)</f>
        <v>1.7498888928506012E-2</v>
      </c>
      <c r="H175" s="96"/>
      <c r="I175" s="96"/>
      <c r="K175" s="95" t="s">
        <v>450</v>
      </c>
      <c r="L175" s="200">
        <f>MAX(L171:N173)-MIN(L171:N173)</f>
        <v>9.3426525246483039E-3</v>
      </c>
      <c r="P175" s="95" t="s">
        <v>450</v>
      </c>
      <c r="Q175" s="200">
        <f>MAX(Q171:S173)-MIN(Q171:S173)</f>
        <v>1.5352959585130985E-2</v>
      </c>
      <c r="U175" s="95" t="s">
        <v>450</v>
      </c>
      <c r="V175" s="200">
        <f>MAX(V171:X173)-MIN(V171:X173)</f>
        <v>1.0870672790078917E-2</v>
      </c>
      <c r="AF175" s="11"/>
      <c r="AG175" s="11"/>
      <c r="AH175" s="11"/>
    </row>
    <row r="176" spans="1:56">
      <c r="A176" s="417"/>
      <c r="B176" s="95"/>
      <c r="C176" s="95"/>
      <c r="D176" s="95"/>
      <c r="E176" s="95"/>
      <c r="F176" s="95"/>
      <c r="G176" s="96"/>
      <c r="H176" s="96"/>
      <c r="I176" s="96"/>
      <c r="U176" s="168"/>
      <c r="V176" s="168"/>
      <c r="AF176" s="11"/>
      <c r="AG176" s="11"/>
      <c r="AH176" s="11"/>
    </row>
    <row r="177" spans="1:34">
      <c r="A177" s="94"/>
      <c r="B177" s="95"/>
      <c r="C177" s="95"/>
      <c r="D177" s="95"/>
      <c r="E177" s="95"/>
      <c r="F177" s="95"/>
      <c r="G177" s="96"/>
      <c r="H177" s="96"/>
      <c r="I177" s="96"/>
      <c r="U177" s="168"/>
      <c r="V177" s="168"/>
      <c r="AF177" s="11"/>
      <c r="AG177" s="11"/>
      <c r="AH177" s="11"/>
    </row>
    <row r="178" spans="1:34">
      <c r="A178" s="94"/>
      <c r="B178" s="95"/>
      <c r="C178" s="95"/>
      <c r="D178" s="95"/>
      <c r="E178" s="95"/>
      <c r="F178" s="95"/>
      <c r="G178" s="96"/>
      <c r="H178" s="96"/>
      <c r="I178" s="96"/>
      <c r="U178" s="168"/>
      <c r="V178" s="168"/>
      <c r="AF178" s="11"/>
      <c r="AG178" s="11"/>
      <c r="AH178" s="11"/>
    </row>
    <row r="179" spans="1:34">
      <c r="A179" s="94"/>
      <c r="B179" s="95"/>
      <c r="C179" s="95"/>
      <c r="H179" s="96"/>
      <c r="I179" s="96"/>
      <c r="U179" s="168"/>
      <c r="V179" s="168"/>
      <c r="AF179" s="11"/>
      <c r="AG179" s="11"/>
      <c r="AH179" s="11"/>
    </row>
    <row r="180" spans="1:34">
      <c r="A180" s="94"/>
      <c r="B180" s="95"/>
      <c r="C180" s="95"/>
      <c r="H180" s="96"/>
      <c r="I180" s="96"/>
      <c r="V180" s="357"/>
      <c r="AF180" s="11"/>
      <c r="AG180" s="11"/>
      <c r="AH180" s="11"/>
    </row>
    <row r="181" spans="1:34">
      <c r="A181" s="94"/>
      <c r="B181" s="95"/>
      <c r="C181" s="95"/>
      <c r="H181" s="96"/>
      <c r="I181" s="96"/>
      <c r="AF181" s="11"/>
      <c r="AG181" s="11"/>
      <c r="AH181" s="11"/>
    </row>
    <row r="182" spans="1:34">
      <c r="A182" s="94"/>
      <c r="B182" s="95"/>
      <c r="C182" s="95"/>
      <c r="H182" s="96"/>
      <c r="I182" s="96"/>
      <c r="AF182" s="11"/>
      <c r="AG182" s="11"/>
      <c r="AH182" s="11"/>
    </row>
    <row r="183" spans="1:34">
      <c r="A183" s="94"/>
      <c r="B183" s="95"/>
      <c r="C183" s="95"/>
      <c r="D183" s="95"/>
      <c r="E183" s="95"/>
      <c r="F183" s="95"/>
      <c r="G183" s="96"/>
      <c r="H183" s="96"/>
      <c r="I183" s="96"/>
      <c r="AF183" s="11"/>
      <c r="AG183" s="11"/>
      <c r="AH183" s="11"/>
    </row>
    <row r="184" spans="1:34" ht="18">
      <c r="A184" s="418" t="s">
        <v>451</v>
      </c>
      <c r="B184" s="95"/>
      <c r="C184" s="95"/>
      <c r="D184" s="95"/>
      <c r="E184" s="95"/>
      <c r="F184" s="95"/>
      <c r="G184" s="96"/>
      <c r="H184" s="96"/>
      <c r="I184" s="96"/>
      <c r="L184" s="419" t="s">
        <v>452</v>
      </c>
      <c r="M184" s="419" t="s">
        <v>453</v>
      </c>
      <c r="N184" s="419" t="s">
        <v>454</v>
      </c>
      <c r="O184" s="419" t="s">
        <v>455</v>
      </c>
      <c r="AF184" s="11"/>
      <c r="AG184" s="11"/>
      <c r="AH184" s="11"/>
    </row>
    <row r="185" spans="1:34">
      <c r="A185" s="94"/>
      <c r="B185" s="95"/>
      <c r="C185" s="95"/>
      <c r="D185" s="95"/>
      <c r="E185" s="95"/>
      <c r="F185" s="95"/>
      <c r="G185" s="96"/>
      <c r="H185" s="96"/>
      <c r="I185" s="96"/>
      <c r="AF185" s="11"/>
      <c r="AG185" s="11"/>
      <c r="AH185" s="11"/>
    </row>
    <row r="186" spans="1:34">
      <c r="A186" s="94"/>
      <c r="B186" s="95" t="s">
        <v>456</v>
      </c>
      <c r="C186" s="95" t="s">
        <v>457</v>
      </c>
      <c r="D186" s="4" t="s">
        <v>458</v>
      </c>
      <c r="E186" s="95" t="s">
        <v>459</v>
      </c>
      <c r="F186" s="95" t="s">
        <v>32</v>
      </c>
      <c r="G186" s="95" t="s">
        <v>460</v>
      </c>
      <c r="H186" s="96" t="s">
        <v>27</v>
      </c>
      <c r="I186" s="96" t="s">
        <v>461</v>
      </c>
      <c r="J186" s="96" t="s">
        <v>29</v>
      </c>
      <c r="K186" s="4" t="s">
        <v>462</v>
      </c>
      <c r="L186" s="419" t="s">
        <v>453</v>
      </c>
      <c r="M186" s="419" t="s">
        <v>454</v>
      </c>
      <c r="N186" s="4" t="s">
        <v>455</v>
      </c>
      <c r="O186" s="4" t="s">
        <v>463</v>
      </c>
      <c r="P186" s="420" t="s">
        <v>464</v>
      </c>
      <c r="Q186" s="4" t="s">
        <v>125</v>
      </c>
      <c r="AF186" s="11"/>
      <c r="AG186" s="11"/>
      <c r="AH186" s="11"/>
    </row>
    <row r="187" spans="1:34">
      <c r="A187" s="94" t="s">
        <v>465</v>
      </c>
      <c r="B187" s="95" t="s">
        <v>466</v>
      </c>
      <c r="C187" s="421" t="s">
        <v>467</v>
      </c>
      <c r="D187" s="4" t="s">
        <v>468</v>
      </c>
      <c r="E187" s="95" t="s">
        <v>469</v>
      </c>
      <c r="F187" s="95" t="s">
        <v>72</v>
      </c>
      <c r="G187" s="95" t="s">
        <v>470</v>
      </c>
      <c r="H187" s="96" t="s">
        <v>471</v>
      </c>
      <c r="I187" s="96" t="s">
        <v>472</v>
      </c>
      <c r="J187" s="96" t="s">
        <v>75</v>
      </c>
      <c r="K187" s="4" t="s">
        <v>473</v>
      </c>
      <c r="L187" s="419" t="s">
        <v>474</v>
      </c>
      <c r="M187" s="419" t="s">
        <v>475</v>
      </c>
      <c r="N187" s="4" t="s">
        <v>476</v>
      </c>
      <c r="O187" s="4" t="s">
        <v>477</v>
      </c>
      <c r="P187" s="420" t="s">
        <v>478</v>
      </c>
      <c r="Q187" s="4" t="s">
        <v>479</v>
      </c>
      <c r="AF187" s="11"/>
      <c r="AG187" s="11"/>
      <c r="AH187" s="11"/>
    </row>
    <row r="188" spans="1:34">
      <c r="A188" s="94" t="s">
        <v>480</v>
      </c>
      <c r="B188" s="95">
        <v>695287.62511827098</v>
      </c>
      <c r="C188" s="95">
        <v>-42584.496124031008</v>
      </c>
      <c r="D188" s="85">
        <f>B188+C188</f>
        <v>652703.12899423996</v>
      </c>
      <c r="E188" s="95">
        <v>13061782.369735902</v>
      </c>
      <c r="F188" s="95">
        <v>1905780.6550138604</v>
      </c>
      <c r="G188" s="96">
        <v>11156001.714722043</v>
      </c>
      <c r="H188" s="96">
        <v>3904646.9963315241</v>
      </c>
      <c r="I188" s="96">
        <v>5834861.8179705525</v>
      </c>
      <c r="J188" s="96">
        <v>2592961.0510764737</v>
      </c>
      <c r="K188" s="4">
        <v>1766875.4892684624</v>
      </c>
      <c r="L188" s="4">
        <v>138905.1657453978</v>
      </c>
      <c r="M188" s="4">
        <v>4067986.3287020903</v>
      </c>
      <c r="N188" s="4">
        <v>2454055.8853310756</v>
      </c>
      <c r="O188" s="83">
        <v>79081.601181880047</v>
      </c>
      <c r="P188" s="83">
        <v>-2472.225818767326</v>
      </c>
      <c r="Q188" s="4">
        <v>172150.64654814667</v>
      </c>
    </row>
    <row r="189" spans="1:34">
      <c r="A189" s="94" t="s">
        <v>481</v>
      </c>
      <c r="B189" s="95">
        <v>648929.74630996305</v>
      </c>
      <c r="C189" s="95">
        <v>-48762.527675276746</v>
      </c>
      <c r="D189" s="85">
        <f t="shared" ref="D189:D205" si="102">B189+C189</f>
        <v>600167.21863468632</v>
      </c>
      <c r="E189" s="95">
        <v>13573750.667281672</v>
      </c>
      <c r="F189" s="95">
        <v>1975886.2376998768</v>
      </c>
      <c r="G189" s="96">
        <v>11597864.429581795</v>
      </c>
      <c r="H189" s="96">
        <v>3892119.9015990156</v>
      </c>
      <c r="I189" s="96">
        <v>6327921.3191881916</v>
      </c>
      <c r="J189" s="96">
        <v>2690831.9495694954</v>
      </c>
      <c r="K189" s="4">
        <v>1830734.5971709713</v>
      </c>
      <c r="L189" s="4">
        <v>145151.64052890526</v>
      </c>
      <c r="M189" s="4">
        <v>4497186.7220172202</v>
      </c>
      <c r="N189" s="4">
        <v>2545680.3090405902</v>
      </c>
      <c r="O189" s="83">
        <v>65379.692496924967</v>
      </c>
      <c r="P189" s="83">
        <v>-2669.4142066420659</v>
      </c>
      <c r="Q189" s="4">
        <v>222758.64083640836</v>
      </c>
    </row>
    <row r="190" spans="1:34">
      <c r="A190" s="94" t="s">
        <v>482</v>
      </c>
      <c r="B190" s="95">
        <v>618807.67063607322</v>
      </c>
      <c r="C190" s="95">
        <v>-44199.355213476614</v>
      </c>
      <c r="D190" s="85">
        <f t="shared" si="102"/>
        <v>574608.31542259664</v>
      </c>
      <c r="E190" s="95">
        <v>13887087.006970664</v>
      </c>
      <c r="F190" s="95">
        <v>2001689.2361312809</v>
      </c>
      <c r="G190" s="96">
        <v>11885397.770839386</v>
      </c>
      <c r="H190" s="96">
        <v>3940936.8922451353</v>
      </c>
      <c r="I190" s="96">
        <v>6540473.7670636065</v>
      </c>
      <c r="J190" s="96">
        <v>2764297.5137961078</v>
      </c>
      <c r="K190" s="4">
        <v>1853724.7734533837</v>
      </c>
      <c r="L190" s="4">
        <v>147964.46267789719</v>
      </c>
      <c r="M190" s="4">
        <v>4686748.9936102228</v>
      </c>
      <c r="N190" s="4">
        <v>2616333.0511182109</v>
      </c>
      <c r="O190" s="83">
        <v>69623.899215800178</v>
      </c>
      <c r="P190" s="83">
        <v>-2853.3807725820507</v>
      </c>
      <c r="Q190" s="4">
        <v>130583.15567818763</v>
      </c>
    </row>
    <row r="191" spans="1:34">
      <c r="A191" s="94" t="s">
        <v>483</v>
      </c>
      <c r="B191" s="95">
        <v>658714.25880425877</v>
      </c>
      <c r="C191" s="95">
        <v>-112708.40704340703</v>
      </c>
      <c r="D191" s="85">
        <f t="shared" si="102"/>
        <v>546005.85176085168</v>
      </c>
      <c r="E191" s="95">
        <v>14511246.827736828</v>
      </c>
      <c r="F191" s="95">
        <v>2072734.8048048047</v>
      </c>
      <c r="G191" s="96">
        <v>12438512.022932023</v>
      </c>
      <c r="H191" s="96">
        <v>4035565.0873600869</v>
      </c>
      <c r="I191" s="96">
        <v>7014773.1217581211</v>
      </c>
      <c r="J191" s="96">
        <v>2842009.5126945125</v>
      </c>
      <c r="K191" s="4">
        <v>1918901.5670215667</v>
      </c>
      <c r="L191" s="4">
        <v>153833.23778323777</v>
      </c>
      <c r="M191" s="4">
        <v>5095871.5547365546</v>
      </c>
      <c r="N191" s="4">
        <v>2688176.2749112747</v>
      </c>
      <c r="O191" s="83">
        <v>76741.546546546539</v>
      </c>
      <c r="P191" s="83">
        <v>-3848.292383292383</v>
      </c>
      <c r="Q191" s="4">
        <v>185682.85831285827</v>
      </c>
    </row>
    <row r="192" spans="1:34">
      <c r="A192" s="94" t="s">
        <v>484</v>
      </c>
      <c r="B192" s="95">
        <v>675952.67802996084</v>
      </c>
      <c r="C192" s="95">
        <v>-112214.67077844156</v>
      </c>
      <c r="D192" s="85">
        <f t="shared" si="102"/>
        <v>563738.00725151924</v>
      </c>
      <c r="E192" s="95">
        <v>14843776.869975872</v>
      </c>
      <c r="F192" s="95">
        <v>2132266.9681681525</v>
      </c>
      <c r="G192" s="96">
        <v>12711509.90180772</v>
      </c>
      <c r="H192" s="96">
        <v>4087108.8592405254</v>
      </c>
      <c r="I192" s="96">
        <v>7191569.3113637241</v>
      </c>
      <c r="J192" s="96">
        <v>2924122.6345466506</v>
      </c>
      <c r="K192" s="4">
        <v>1974232.209906969</v>
      </c>
      <c r="L192" s="4">
        <v>158034.75826118371</v>
      </c>
      <c r="M192" s="4">
        <v>5217337.1014567548</v>
      </c>
      <c r="N192" s="4">
        <v>2766087.8762854673</v>
      </c>
      <c r="O192" s="83">
        <v>81517.966219790702</v>
      </c>
      <c r="P192" s="83">
        <v>-4279.9086463400472</v>
      </c>
      <c r="Q192" s="4">
        <v>174697.1406820557</v>
      </c>
    </row>
    <row r="193" spans="1:17">
      <c r="A193" s="94" t="s">
        <v>485</v>
      </c>
      <c r="B193" s="95">
        <v>717601.25176218944</v>
      </c>
      <c r="C193" s="95">
        <v>-333084.2338729279</v>
      </c>
      <c r="D193" s="85">
        <f t="shared" si="102"/>
        <v>384517.01788926154</v>
      </c>
      <c r="E193" s="95">
        <v>15013666.424821349</v>
      </c>
      <c r="F193" s="95">
        <v>2228574.8979145396</v>
      </c>
      <c r="G193" s="96">
        <v>12785091.526906809</v>
      </c>
      <c r="H193" s="96">
        <v>4161856.3645423166</v>
      </c>
      <c r="I193" s="96">
        <v>7433430.2294492237</v>
      </c>
      <c r="J193" s="96">
        <v>2954910.6521316413</v>
      </c>
      <c r="K193" s="4">
        <v>2061947.9874580717</v>
      </c>
      <c r="L193" s="4">
        <v>166626.91045646783</v>
      </c>
      <c r="M193" s="4">
        <v>5371482.2419911521</v>
      </c>
      <c r="N193" s="4">
        <v>2788283.7416751734</v>
      </c>
      <c r="O193" s="83">
        <v>83756.037625783865</v>
      </c>
      <c r="P193" s="83">
        <v>-4803.8768168781289</v>
      </c>
      <c r="Q193" s="4">
        <v>141496.69680618346</v>
      </c>
    </row>
    <row r="194" spans="1:17">
      <c r="A194" s="94" t="s">
        <v>486</v>
      </c>
      <c r="B194" s="95">
        <v>644470.29801363219</v>
      </c>
      <c r="C194" s="95">
        <v>-55396.811756865769</v>
      </c>
      <c r="D194" s="85">
        <f t="shared" si="102"/>
        <v>589073.48625676637</v>
      </c>
      <c r="E194" s="95">
        <v>14219965.213426398</v>
      </c>
      <c r="F194" s="95">
        <v>2355814.3149427706</v>
      </c>
      <c r="G194" s="96">
        <v>11864150.898483625</v>
      </c>
      <c r="H194" s="96">
        <v>4106038.4413033566</v>
      </c>
      <c r="I194" s="96">
        <v>6309799.8702255264</v>
      </c>
      <c r="J194" s="96">
        <v>3137344.428466206</v>
      </c>
      <c r="K194" s="4">
        <v>2185456.765225118</v>
      </c>
      <c r="L194" s="4">
        <v>170357.54971765284</v>
      </c>
      <c r="M194" s="4">
        <v>4124343.1050004088</v>
      </c>
      <c r="N194" s="4">
        <v>2966986.8787485533</v>
      </c>
      <c r="O194" s="83">
        <v>82746.661522453331</v>
      </c>
      <c r="P194" s="83">
        <v>-5037.6743479125007</v>
      </c>
      <c r="Q194" s="4">
        <v>108419.04995732641</v>
      </c>
    </row>
    <row r="195" spans="1:17">
      <c r="A195" s="94" t="s">
        <v>487</v>
      </c>
      <c r="B195" s="95">
        <v>741017.3003802282</v>
      </c>
      <c r="C195" s="95">
        <v>-134714.48557369717</v>
      </c>
      <c r="D195" s="85">
        <f t="shared" si="102"/>
        <v>606302.81480653107</v>
      </c>
      <c r="E195" s="95">
        <v>14947860.848803399</v>
      </c>
      <c r="F195" s="95">
        <v>2363171.9134421828</v>
      </c>
      <c r="G195" s="96">
        <v>12584688.935361218</v>
      </c>
      <c r="H195" s="96">
        <v>4161825.2292552004</v>
      </c>
      <c r="I195" s="96">
        <v>6768957.2254529195</v>
      </c>
      <c r="J195" s="96">
        <v>3329758.4209349137</v>
      </c>
      <c r="K195" s="4">
        <v>2188302.595616193</v>
      </c>
      <c r="L195" s="4">
        <v>174869.31782598971</v>
      </c>
      <c r="M195" s="4">
        <v>4580654.6298367251</v>
      </c>
      <c r="N195" s="4">
        <v>3154889.1031089243</v>
      </c>
      <c r="O195" s="83">
        <v>85205.870051442645</v>
      </c>
      <c r="P195" s="83">
        <v>-4188.7116976067991</v>
      </c>
      <c r="Q195" s="4">
        <v>180928.07425631848</v>
      </c>
    </row>
    <row r="196" spans="1:17">
      <c r="A196" s="94" t="s">
        <v>488</v>
      </c>
      <c r="B196" s="95">
        <v>747006.4102699561</v>
      </c>
      <c r="C196" s="95">
        <v>-213614.65581911351</v>
      </c>
      <c r="D196" s="85">
        <f t="shared" si="102"/>
        <v>533391.75445084262</v>
      </c>
      <c r="E196" s="95">
        <v>15495352.603941042</v>
      </c>
      <c r="F196" s="95">
        <v>2425852.1379893287</v>
      </c>
      <c r="G196" s="96">
        <v>13069500.465951715</v>
      </c>
      <c r="H196" s="96">
        <v>4228973.4196206881</v>
      </c>
      <c r="I196" s="96">
        <v>7267735.3499920759</v>
      </c>
      <c r="J196" s="96">
        <v>3380862.5643192986</v>
      </c>
      <c r="K196" s="4">
        <v>2245654.056738338</v>
      </c>
      <c r="L196" s="4">
        <v>180198.08125099054</v>
      </c>
      <c r="M196" s="4">
        <v>5022081.2932537375</v>
      </c>
      <c r="N196" s="4">
        <v>3200664.4830683079</v>
      </c>
      <c r="O196" s="83">
        <v>89206.642717523369</v>
      </c>
      <c r="P196" s="83">
        <v>-4817.1271593850706</v>
      </c>
      <c r="Q196" s="4">
        <v>156083.73712293309</v>
      </c>
    </row>
    <row r="197" spans="1:17">
      <c r="A197" s="94" t="s">
        <v>489</v>
      </c>
      <c r="B197" s="95">
        <v>775586.50665529526</v>
      </c>
      <c r="C197" s="95">
        <v>-285384.27400932048</v>
      </c>
      <c r="D197" s="85">
        <f t="shared" si="102"/>
        <v>490202.23264597479</v>
      </c>
      <c r="E197" s="95">
        <v>16059775.399266955</v>
      </c>
      <c r="F197" s="95">
        <v>2547247.5993217793</v>
      </c>
      <c r="G197" s="96">
        <v>13512527.799945174</v>
      </c>
      <c r="H197" s="96">
        <v>4385854.9196389588</v>
      </c>
      <c r="I197" s="96">
        <v>7737665.1284862878</v>
      </c>
      <c r="J197" s="96">
        <v>3366722.1132466272</v>
      </c>
      <c r="K197" s="4">
        <v>2360478.7040703404</v>
      </c>
      <c r="L197" s="4">
        <v>186768.89525143919</v>
      </c>
      <c r="M197" s="4">
        <v>5377186.4244159488</v>
      </c>
      <c r="N197" s="4">
        <v>3179953.2179951877</v>
      </c>
      <c r="O197" s="83">
        <v>84132.185028377644</v>
      </c>
      <c r="P197" s="83">
        <v>-4801.1797792736543</v>
      </c>
      <c r="Q197" s="4">
        <v>168004.20232909953</v>
      </c>
    </row>
    <row r="198" spans="1:17">
      <c r="A198" s="94" t="s">
        <v>490</v>
      </c>
      <c r="B198" s="95">
        <v>807818.62</v>
      </c>
      <c r="C198" s="95">
        <v>-173251.38699999999</v>
      </c>
      <c r="D198" s="85">
        <f t="shared" si="102"/>
        <v>634567.23300000001</v>
      </c>
      <c r="E198" s="95">
        <v>16277187.078</v>
      </c>
      <c r="F198" s="95">
        <v>2567230.4479999999</v>
      </c>
      <c r="G198" s="96">
        <v>13709956.630000001</v>
      </c>
      <c r="H198" s="96">
        <v>4542853.3650000002</v>
      </c>
      <c r="I198" s="96">
        <v>7534571.9110000003</v>
      </c>
      <c r="J198" s="96">
        <v>3477776.0630000005</v>
      </c>
      <c r="K198" s="4">
        <v>2375654.9780000001</v>
      </c>
      <c r="L198" s="4">
        <v>191575.47</v>
      </c>
      <c r="M198" s="4">
        <v>5158916.9330000002</v>
      </c>
      <c r="N198" s="4">
        <v>3286200.5929999999</v>
      </c>
      <c r="O198" s="83">
        <v>92937.729000000007</v>
      </c>
      <c r="P198" s="83">
        <v>-5519.223</v>
      </c>
      <c r="Q198" s="4">
        <v>201986.56</v>
      </c>
    </row>
    <row r="199" spans="1:17">
      <c r="A199" s="94" t="s">
        <v>491</v>
      </c>
      <c r="B199" s="95">
        <v>970521.1748372271</v>
      </c>
      <c r="C199" s="95">
        <v>-104621.99636154731</v>
      </c>
      <c r="D199" s="85">
        <f t="shared" si="102"/>
        <v>865899.17847567983</v>
      </c>
      <c r="E199" s="95">
        <v>16741004.985637689</v>
      </c>
      <c r="F199" s="95">
        <v>2607483.6355802375</v>
      </c>
      <c r="G199" s="96">
        <v>14133521.350057449</v>
      </c>
      <c r="H199" s="96">
        <v>4598676.7866717735</v>
      </c>
      <c r="I199" s="96">
        <v>7663872.2271160483</v>
      </c>
      <c r="J199" s="96">
        <v>3518499.0176177709</v>
      </c>
      <c r="K199" s="4">
        <v>2418229.7108387589</v>
      </c>
      <c r="L199" s="4">
        <v>189253.92474147837</v>
      </c>
      <c r="M199" s="4">
        <v>5245642.5162772881</v>
      </c>
      <c r="N199" s="4">
        <v>3329245.0928762928</v>
      </c>
      <c r="O199" s="83">
        <v>99510.409804672541</v>
      </c>
      <c r="P199" s="83">
        <v>-5452.6340482573723</v>
      </c>
      <c r="Q199" s="4">
        <v>146256.84890846419</v>
      </c>
    </row>
    <row r="200" spans="1:17">
      <c r="A200" s="94" t="s">
        <v>492</v>
      </c>
      <c r="B200" s="95">
        <v>1067213.2754816064</v>
      </c>
      <c r="C200" s="95">
        <v>-68065.078537443784</v>
      </c>
      <c r="D200" s="85">
        <f t="shared" si="102"/>
        <v>999148.1969441626</v>
      </c>
      <c r="E200" s="95">
        <v>17292305.85841845</v>
      </c>
      <c r="F200" s="95">
        <v>2831029.3339913036</v>
      </c>
      <c r="G200" s="96">
        <v>14461276.524427146</v>
      </c>
      <c r="H200" s="96">
        <v>4729819.8089403268</v>
      </c>
      <c r="I200" s="96">
        <v>7775124.8852431541</v>
      </c>
      <c r="J200" s="96">
        <v>3687339.4865969587</v>
      </c>
      <c r="K200" s="4">
        <v>2628015.6879358669</v>
      </c>
      <c r="L200" s="4">
        <v>203013.64605543707</v>
      </c>
      <c r="M200" s="4">
        <v>5147109.1973072877</v>
      </c>
      <c r="N200" s="4">
        <v>3484325.8405415225</v>
      </c>
      <c r="O200" s="83">
        <v>105992.14532453143</v>
      </c>
      <c r="P200" s="83">
        <v>-5118.6646306831417</v>
      </c>
      <c r="Q200" s="4">
        <v>152579.44246329181</v>
      </c>
    </row>
    <row r="201" spans="1:17">
      <c r="A201" s="94" t="s">
        <v>493</v>
      </c>
      <c r="B201" s="95">
        <v>1144850.6299538885</v>
      </c>
      <c r="C201" s="95">
        <v>-35385.028345720806</v>
      </c>
      <c r="D201" s="85">
        <f t="shared" si="102"/>
        <v>1109465.6016081676</v>
      </c>
      <c r="E201" s="95">
        <v>17747204.989375863</v>
      </c>
      <c r="F201" s="95">
        <v>3019218.8016328546</v>
      </c>
      <c r="G201" s="96">
        <v>14727986.187743008</v>
      </c>
      <c r="H201" s="96">
        <v>4717547.6349176951</v>
      </c>
      <c r="I201" s="96">
        <v>8078645.197097538</v>
      </c>
      <c r="J201" s="96">
        <v>3740728.1667416086</v>
      </c>
      <c r="K201" s="4">
        <v>2802264.3487537578</v>
      </c>
      <c r="L201" s="4">
        <v>216954.45287909647</v>
      </c>
      <c r="M201" s="4">
        <v>5276380.8483437812</v>
      </c>
      <c r="N201" s="4">
        <v>3523773.7138625118</v>
      </c>
      <c r="O201" s="83">
        <v>106953.04749561369</v>
      </c>
      <c r="P201" s="83">
        <v>-6134.6584847603172</v>
      </c>
      <c r="Q201" s="4">
        <v>145359.30912264923</v>
      </c>
    </row>
    <row r="202" spans="1:17">
      <c r="A202" s="94" t="s">
        <v>494</v>
      </c>
      <c r="B202" s="95">
        <v>1062879.1124807906</v>
      </c>
      <c r="C202" s="95">
        <v>-61421.773220747891</v>
      </c>
      <c r="D202" s="85">
        <f t="shared" si="102"/>
        <v>1001457.3392600426</v>
      </c>
      <c r="E202" s="95">
        <v>18122318.994662657</v>
      </c>
      <c r="F202" s="95">
        <v>3114106.9765520431</v>
      </c>
      <c r="G202" s="96">
        <v>15008212.018110612</v>
      </c>
      <c r="H202" s="96">
        <v>4708165.9252771949</v>
      </c>
      <c r="I202" s="96">
        <v>8534330.7905216701</v>
      </c>
      <c r="J202" s="96">
        <v>3776174.5055108475</v>
      </c>
      <c r="K202" s="4">
        <v>2883937.4663317744</v>
      </c>
      <c r="L202" s="4">
        <v>230169.51022026865</v>
      </c>
      <c r="M202" s="4">
        <v>5650393.3241898967</v>
      </c>
      <c r="N202" s="4">
        <v>3546004.9952905793</v>
      </c>
      <c r="O202" s="83">
        <v>108319.48212898853</v>
      </c>
      <c r="P202" s="83">
        <v>-6129.0480360890324</v>
      </c>
      <c r="Q202" s="4">
        <v>147298.80859923657</v>
      </c>
    </row>
    <row r="203" spans="1:17">
      <c r="A203" s="94" t="s">
        <v>495</v>
      </c>
      <c r="B203" s="95">
        <v>1097313.6937986631</v>
      </c>
      <c r="C203" s="95">
        <v>-71341.434880846471</v>
      </c>
      <c r="D203" s="85">
        <f t="shared" si="102"/>
        <v>1025972.2589178167</v>
      </c>
      <c r="E203" s="95">
        <v>18520079.501027387</v>
      </c>
      <c r="F203" s="95">
        <v>3222844.0753891091</v>
      </c>
      <c r="G203" s="96">
        <v>15297235.425638279</v>
      </c>
      <c r="H203" s="96">
        <v>4827724.3251115959</v>
      </c>
      <c r="I203" s="96">
        <v>8684884.0231142882</v>
      </c>
      <c r="J203" s="96">
        <v>3878613.6764786919</v>
      </c>
      <c r="K203" s="4">
        <v>2979136.371151227</v>
      </c>
      <c r="L203" s="4">
        <v>243707.7042378819</v>
      </c>
      <c r="M203" s="4">
        <v>5705747.6519630607</v>
      </c>
      <c r="N203" s="4">
        <v>3634905.9722408107</v>
      </c>
      <c r="O203" s="83">
        <v>109206.04152069343</v>
      </c>
      <c r="P203" s="83">
        <v>-6320.8241156974045</v>
      </c>
      <c r="Q203" s="4">
        <v>128869.13502491714</v>
      </c>
    </row>
    <row r="204" spans="1:17">
      <c r="A204" s="94" t="s">
        <v>496</v>
      </c>
      <c r="B204" s="95">
        <v>1146583.6332159003</v>
      </c>
      <c r="C204" s="95">
        <v>-65719.53898725372</v>
      </c>
      <c r="D204" s="85">
        <f t="shared" si="102"/>
        <v>1080864.0942286465</v>
      </c>
      <c r="E204" s="95">
        <v>18486850.194293663</v>
      </c>
      <c r="F204" s="95">
        <v>3233503.2591438978</v>
      </c>
      <c r="G204" s="96">
        <v>15253346.935149765</v>
      </c>
      <c r="H204" s="96">
        <v>4909498.6656485777</v>
      </c>
      <c r="I204" s="96">
        <v>8525454.520918699</v>
      </c>
      <c r="J204" s="96">
        <v>3863622.3377232105</v>
      </c>
      <c r="K204" s="4">
        <v>2984130.4965450503</v>
      </c>
      <c r="L204" s="4">
        <v>249372.76259884785</v>
      </c>
      <c r="M204" s="4">
        <v>5541324.0243736487</v>
      </c>
      <c r="N204" s="4">
        <v>3614249.5751243629</v>
      </c>
      <c r="O204" s="83">
        <v>114005.7705973963</v>
      </c>
      <c r="P204" s="83">
        <v>-6595.1948228676829</v>
      </c>
      <c r="Q204" s="4">
        <v>102267.28230793655</v>
      </c>
    </row>
    <row r="205" spans="1:17">
      <c r="A205" s="94" t="s">
        <v>497</v>
      </c>
      <c r="B205" s="95">
        <v>1141067.4150369533</v>
      </c>
      <c r="C205" s="95">
        <v>-58661.841196608824</v>
      </c>
      <c r="D205" s="85">
        <f t="shared" si="102"/>
        <v>1082405.5738403446</v>
      </c>
      <c r="E205" s="95">
        <v>17159654.006082956</v>
      </c>
      <c r="F205" s="95">
        <v>3384722.2659751098</v>
      </c>
      <c r="G205" s="96">
        <v>13774931.740107847</v>
      </c>
      <c r="H205" s="96">
        <v>4874505.8272969043</v>
      </c>
      <c r="I205" s="96">
        <v>7653821.4681379395</v>
      </c>
      <c r="J205" s="96">
        <v>3443592.8532596715</v>
      </c>
      <c r="K205" s="4">
        <v>3122333.6994372527</v>
      </c>
      <c r="L205" s="4">
        <v>262388.56653785688</v>
      </c>
      <c r="M205" s="4">
        <v>4531487.7687006863</v>
      </c>
      <c r="N205" s="4">
        <v>3181204.2867218149</v>
      </c>
      <c r="O205" s="83">
        <v>112679.8733451858</v>
      </c>
      <c r="P205" s="83">
        <v>-7351.5897970878214</v>
      </c>
      <c r="Q205" s="4">
        <v>40170.314726928111</v>
      </c>
    </row>
    <row r="206" spans="1:17">
      <c r="A206" s="94"/>
      <c r="B206" s="95"/>
      <c r="C206" s="95"/>
      <c r="E206" s="95"/>
      <c r="F206" s="95"/>
      <c r="G206" s="95"/>
      <c r="H206" s="96"/>
      <c r="I206" s="96"/>
      <c r="J206" s="96"/>
      <c r="O206" s="83"/>
      <c r="P206" s="83"/>
    </row>
    <row r="207" spans="1:17">
      <c r="A207" s="94"/>
      <c r="B207" s="95"/>
      <c r="C207" s="95"/>
      <c r="E207" s="95"/>
      <c r="F207" s="95"/>
      <c r="G207" s="95"/>
      <c r="H207" s="96"/>
      <c r="I207" s="96"/>
      <c r="J207" s="96"/>
      <c r="O207" s="83"/>
      <c r="P207" s="83"/>
    </row>
    <row r="208" spans="1:17">
      <c r="O208" s="83"/>
      <c r="P208" s="83"/>
    </row>
    <row r="209" spans="1:37" ht="18.95">
      <c r="A209" s="418" t="s">
        <v>451</v>
      </c>
      <c r="B209" s="422"/>
      <c r="C209" s="422"/>
      <c r="D209" s="422"/>
      <c r="E209" s="423"/>
      <c r="F209" s="423"/>
      <c r="G209" s="423"/>
      <c r="H209" s="423"/>
      <c r="I209" s="423"/>
      <c r="J209" s="423"/>
      <c r="K209" s="423"/>
      <c r="L209" s="424"/>
      <c r="M209" s="423"/>
      <c r="N209" s="423"/>
      <c r="O209" s="83"/>
      <c r="P209" s="83"/>
      <c r="Q209" s="423"/>
      <c r="R209" s="423"/>
      <c r="S209" s="423"/>
    </row>
    <row r="210" spans="1:37">
      <c r="A210" s="419"/>
      <c r="B210" s="423"/>
      <c r="C210" s="423"/>
      <c r="D210" s="423"/>
      <c r="E210" s="423"/>
      <c r="F210" s="423"/>
      <c r="G210" s="423"/>
      <c r="H210" s="423"/>
      <c r="I210" s="423"/>
      <c r="J210" s="423"/>
      <c r="K210" s="423"/>
      <c r="L210" s="424"/>
      <c r="M210" s="423"/>
      <c r="N210" s="423"/>
      <c r="O210" s="83"/>
      <c r="P210" s="83"/>
      <c r="Q210" s="423"/>
      <c r="R210" s="423"/>
      <c r="S210" s="423"/>
    </row>
    <row r="211" spans="1:37">
      <c r="A211" s="419" t="s">
        <v>465</v>
      </c>
      <c r="B211" s="419" t="s">
        <v>480</v>
      </c>
      <c r="C211" s="419" t="s">
        <v>481</v>
      </c>
      <c r="D211" s="419" t="s">
        <v>482</v>
      </c>
      <c r="E211" s="419" t="s">
        <v>483</v>
      </c>
      <c r="F211" s="419" t="s">
        <v>484</v>
      </c>
      <c r="G211" s="419" t="s">
        <v>485</v>
      </c>
      <c r="H211" s="419" t="s">
        <v>486</v>
      </c>
      <c r="I211" s="419" t="s">
        <v>487</v>
      </c>
      <c r="J211" s="419" t="s">
        <v>488</v>
      </c>
      <c r="K211" s="419" t="s">
        <v>489</v>
      </c>
      <c r="L211" s="425" t="s">
        <v>490</v>
      </c>
      <c r="M211" s="419" t="s">
        <v>491</v>
      </c>
      <c r="N211" s="419" t="s">
        <v>492</v>
      </c>
      <c r="O211" s="419" t="s">
        <v>493</v>
      </c>
      <c r="P211" s="419" t="s">
        <v>494</v>
      </c>
      <c r="Q211" s="419" t="s">
        <v>495</v>
      </c>
      <c r="R211" s="419" t="s">
        <v>496</v>
      </c>
      <c r="S211" s="419" t="s">
        <v>497</v>
      </c>
    </row>
    <row r="212" spans="1:37">
      <c r="A212" s="419" t="s">
        <v>456</v>
      </c>
      <c r="B212" s="423">
        <v>695287.62511827098</v>
      </c>
      <c r="C212" s="423">
        <v>648929.74630996305</v>
      </c>
      <c r="D212" s="423">
        <v>618807.67063607322</v>
      </c>
      <c r="E212" s="423">
        <v>658714.25880425877</v>
      </c>
      <c r="F212" s="423">
        <v>675952.67802996084</v>
      </c>
      <c r="G212" s="423">
        <v>717601.25176218944</v>
      </c>
      <c r="H212" s="423">
        <v>644470.29801363219</v>
      </c>
      <c r="I212" s="423">
        <v>741017.3003802282</v>
      </c>
      <c r="J212" s="423">
        <v>747006.4102699561</v>
      </c>
      <c r="K212" s="423">
        <v>775586.50665529526</v>
      </c>
      <c r="L212" s="424">
        <v>807818.62</v>
      </c>
      <c r="M212" s="423">
        <v>970521.1748372271</v>
      </c>
      <c r="N212" s="423">
        <v>1067213.2754816064</v>
      </c>
      <c r="O212" s="423">
        <v>1144850.6299538885</v>
      </c>
      <c r="P212" s="423">
        <v>1062879.1124807906</v>
      </c>
      <c r="Q212" s="423">
        <v>1097313.6937986631</v>
      </c>
      <c r="R212" s="423">
        <v>1146583.6332159003</v>
      </c>
      <c r="S212" s="423">
        <v>1141067.4150369533</v>
      </c>
    </row>
    <row r="213" spans="1:37">
      <c r="A213" s="419" t="s">
        <v>457</v>
      </c>
      <c r="B213" s="423">
        <v>-42584.496124031008</v>
      </c>
      <c r="C213" s="423">
        <v>-48762.527675276746</v>
      </c>
      <c r="D213" s="423">
        <v>-44199.355213476614</v>
      </c>
      <c r="E213" s="423">
        <v>-112708.40704340703</v>
      </c>
      <c r="F213" s="423">
        <v>-112214.67077844156</v>
      </c>
      <c r="G213" s="423">
        <v>-333084.2338729279</v>
      </c>
      <c r="H213" s="423">
        <v>-55396.811756865769</v>
      </c>
      <c r="I213" s="423">
        <v>-134714.48557369717</v>
      </c>
      <c r="J213" s="423">
        <v>-213614.65581911351</v>
      </c>
      <c r="K213" s="423">
        <v>-285384.27400932048</v>
      </c>
      <c r="L213" s="424">
        <v>-173251.38699999999</v>
      </c>
      <c r="M213" s="423">
        <v>-104621.99636154731</v>
      </c>
      <c r="N213" s="423">
        <v>-68065.078537443784</v>
      </c>
      <c r="O213" s="423">
        <v>-35385.028345720806</v>
      </c>
      <c r="P213" s="423">
        <v>-61421.773220747891</v>
      </c>
      <c r="Q213" s="423">
        <v>-71341.434880846471</v>
      </c>
      <c r="R213" s="423">
        <v>-65719.53898725372</v>
      </c>
      <c r="S213" s="423">
        <v>-58661.841196608824</v>
      </c>
    </row>
    <row r="214" spans="1:37">
      <c r="A214" s="419" t="s">
        <v>459</v>
      </c>
      <c r="B214" s="423">
        <v>13061782.369735902</v>
      </c>
      <c r="C214" s="423">
        <v>13573750.667281672</v>
      </c>
      <c r="D214" s="423">
        <v>13887087.006970664</v>
      </c>
      <c r="E214" s="423">
        <v>14511246.827736828</v>
      </c>
      <c r="F214" s="423">
        <v>14843776.869975872</v>
      </c>
      <c r="G214" s="423">
        <v>15013666.424821349</v>
      </c>
      <c r="H214" s="423">
        <v>14219965.213426398</v>
      </c>
      <c r="I214" s="423">
        <v>14947860.848803399</v>
      </c>
      <c r="J214" s="423">
        <v>15495352.603941042</v>
      </c>
      <c r="K214" s="423">
        <v>16059775.399266955</v>
      </c>
      <c r="L214" s="424">
        <v>16277187.078</v>
      </c>
      <c r="M214" s="423">
        <v>16741004.985637689</v>
      </c>
      <c r="N214" s="423">
        <v>17292305.85841845</v>
      </c>
      <c r="O214" s="423">
        <v>17747204.989375863</v>
      </c>
      <c r="P214" s="423">
        <v>18122318.994662657</v>
      </c>
      <c r="Q214" s="423">
        <v>18520079.501027387</v>
      </c>
      <c r="R214" s="423">
        <v>18486850.194293663</v>
      </c>
      <c r="S214" s="423">
        <v>17159654.006082956</v>
      </c>
    </row>
    <row r="215" spans="1:37">
      <c r="A215" s="419" t="s">
        <v>32</v>
      </c>
      <c r="B215" s="423">
        <v>1905780.6550138604</v>
      </c>
      <c r="C215" s="423">
        <v>1975886.2376998768</v>
      </c>
      <c r="D215" s="423">
        <v>2001689.2361312809</v>
      </c>
      <c r="E215" s="423">
        <v>2072734.8048048047</v>
      </c>
      <c r="F215" s="423">
        <v>2132266.9681681525</v>
      </c>
      <c r="G215" s="423">
        <v>2228574.8979145396</v>
      </c>
      <c r="H215" s="423">
        <v>2355814.3149427706</v>
      </c>
      <c r="I215" s="423">
        <v>2363171.9134421828</v>
      </c>
      <c r="J215" s="423">
        <v>2425852.1379893287</v>
      </c>
      <c r="K215" s="423">
        <v>2547247.5993217793</v>
      </c>
      <c r="L215" s="424">
        <v>2567230.4479999999</v>
      </c>
      <c r="M215" s="423">
        <v>2607483.6355802375</v>
      </c>
      <c r="N215" s="423">
        <v>2831029.3339913036</v>
      </c>
      <c r="O215" s="423">
        <v>3019218.8016328546</v>
      </c>
      <c r="P215" s="423">
        <v>3114106.9765520431</v>
      </c>
      <c r="Q215" s="423">
        <v>3222844.0753891091</v>
      </c>
      <c r="R215" s="423">
        <v>3233503.2591438978</v>
      </c>
      <c r="S215" s="423">
        <v>3384722.2659751098</v>
      </c>
    </row>
    <row r="216" spans="1:37">
      <c r="A216" s="419" t="s">
        <v>460</v>
      </c>
      <c r="B216" s="423">
        <v>11156001.714722043</v>
      </c>
      <c r="C216" s="423">
        <v>11597864.429581795</v>
      </c>
      <c r="D216" s="423">
        <v>11885397.770839386</v>
      </c>
      <c r="E216" s="423">
        <v>12438512.022932023</v>
      </c>
      <c r="F216" s="423">
        <v>12711509.90180772</v>
      </c>
      <c r="G216" s="423">
        <v>12785091.526906809</v>
      </c>
      <c r="H216" s="423">
        <v>11864150.898483625</v>
      </c>
      <c r="I216" s="423">
        <v>12584688.935361218</v>
      </c>
      <c r="J216" s="423">
        <v>13069500.465951715</v>
      </c>
      <c r="K216" s="423">
        <v>13512527.799945174</v>
      </c>
      <c r="L216" s="424">
        <v>13709956.630000001</v>
      </c>
      <c r="M216" s="423">
        <v>14133521.350057449</v>
      </c>
      <c r="N216" s="423">
        <v>14461276.524427146</v>
      </c>
      <c r="O216" s="423">
        <v>14727986.187743008</v>
      </c>
      <c r="P216" s="423">
        <v>15008212.018110612</v>
      </c>
      <c r="Q216" s="423">
        <v>15297235.425638279</v>
      </c>
      <c r="R216" s="423">
        <v>15253346.935149765</v>
      </c>
      <c r="S216" s="423">
        <v>13774931.740107847</v>
      </c>
    </row>
    <row r="217" spans="1:37">
      <c r="A217" s="419" t="s">
        <v>27</v>
      </c>
      <c r="B217" s="423">
        <v>3904646.9963315241</v>
      </c>
      <c r="C217" s="423">
        <v>3892119.9015990156</v>
      </c>
      <c r="D217" s="423">
        <v>3940936.8922451353</v>
      </c>
      <c r="E217" s="423">
        <v>4035565.0873600869</v>
      </c>
      <c r="F217" s="423">
        <v>4087108.8592405254</v>
      </c>
      <c r="G217" s="423">
        <v>4161856.3645423166</v>
      </c>
      <c r="H217" s="423">
        <v>4106038.4413033566</v>
      </c>
      <c r="I217" s="423">
        <v>4161825.2292552004</v>
      </c>
      <c r="J217" s="423">
        <v>4228973.4196206881</v>
      </c>
      <c r="K217" s="423">
        <v>4385854.9196389588</v>
      </c>
      <c r="L217" s="424">
        <v>4542853.3650000002</v>
      </c>
      <c r="M217" s="423">
        <v>4598676.7866717735</v>
      </c>
      <c r="N217" s="423">
        <v>4729819.8089403268</v>
      </c>
      <c r="O217" s="423">
        <v>4717547.6349176951</v>
      </c>
      <c r="P217" s="423">
        <v>4708165.9252771949</v>
      </c>
      <c r="Q217" s="423">
        <v>4827724.3251115959</v>
      </c>
      <c r="R217" s="423">
        <v>4909498.6656485777</v>
      </c>
      <c r="S217" s="423">
        <v>4874505.8272969043</v>
      </c>
    </row>
    <row r="218" spans="1:37">
      <c r="A218" s="419" t="s">
        <v>498</v>
      </c>
      <c r="B218" s="423">
        <v>5834861.8179705525</v>
      </c>
      <c r="C218" s="423">
        <v>6327921.3191881916</v>
      </c>
      <c r="D218" s="423">
        <v>6540473.7670636065</v>
      </c>
      <c r="E218" s="423">
        <v>7014773.1217581211</v>
      </c>
      <c r="F218" s="423">
        <v>7191569.3113637241</v>
      </c>
      <c r="G218" s="423">
        <v>7433430.2294492237</v>
      </c>
      <c r="H218" s="423">
        <v>6309799.8702255264</v>
      </c>
      <c r="I218" s="423">
        <v>6768957.2254529195</v>
      </c>
      <c r="J218" s="423">
        <v>7267735.3499920759</v>
      </c>
      <c r="K218" s="423">
        <v>7737665.1284862878</v>
      </c>
      <c r="L218" s="424">
        <v>7534571.9110000003</v>
      </c>
      <c r="M218" s="423">
        <v>7663872.2271160483</v>
      </c>
      <c r="N218" s="423">
        <v>7775124.8852431541</v>
      </c>
      <c r="O218" s="423">
        <v>8078645.197097538</v>
      </c>
      <c r="P218" s="423">
        <v>8534330.7905216701</v>
      </c>
      <c r="Q218" s="423">
        <v>8684884.0231142882</v>
      </c>
      <c r="R218" s="423">
        <v>8525454.520918699</v>
      </c>
      <c r="S218" s="423">
        <v>7653821.4681379395</v>
      </c>
    </row>
    <row r="219" spans="1:37">
      <c r="A219" s="419" t="s">
        <v>29</v>
      </c>
      <c r="B219" s="423">
        <v>2592961.0510764737</v>
      </c>
      <c r="C219" s="423">
        <v>2690831.9495694954</v>
      </c>
      <c r="D219" s="423">
        <v>2764297.5137961078</v>
      </c>
      <c r="E219" s="423">
        <v>2842009.5126945125</v>
      </c>
      <c r="F219" s="423">
        <v>2924122.6345466506</v>
      </c>
      <c r="G219" s="423">
        <v>2954910.6521316413</v>
      </c>
      <c r="H219" s="423">
        <v>3137344.428466206</v>
      </c>
      <c r="I219" s="423">
        <v>3329758.4209349137</v>
      </c>
      <c r="J219" s="423">
        <v>3380862.5643192986</v>
      </c>
      <c r="K219" s="423">
        <v>3366722.1132466272</v>
      </c>
      <c r="L219" s="424">
        <v>3477776.0630000005</v>
      </c>
      <c r="M219" s="423">
        <v>3518499.0176177709</v>
      </c>
      <c r="N219" s="423">
        <v>3687339.4865969587</v>
      </c>
      <c r="O219" s="423">
        <v>3740728.1667416086</v>
      </c>
      <c r="P219" s="423">
        <v>3776174.5055108475</v>
      </c>
      <c r="Q219" s="423">
        <v>3878613.6764786919</v>
      </c>
      <c r="R219" s="423">
        <v>3863622.3377232105</v>
      </c>
      <c r="S219" s="423">
        <v>3443592.8532596715</v>
      </c>
    </row>
    <row r="220" spans="1:37">
      <c r="A220" s="419" t="s">
        <v>452</v>
      </c>
      <c r="B220" s="423">
        <v>1766875.4892684624</v>
      </c>
      <c r="C220" s="423">
        <v>1830734.5971709713</v>
      </c>
      <c r="D220" s="423">
        <v>1853724.7734533837</v>
      </c>
      <c r="E220" s="423">
        <v>1918901.5670215667</v>
      </c>
      <c r="F220" s="423">
        <v>1974232.209906969</v>
      </c>
      <c r="G220" s="423">
        <v>2061947.9874580717</v>
      </c>
      <c r="H220" s="423">
        <v>2185456.765225118</v>
      </c>
      <c r="I220" s="423">
        <v>2188302.595616193</v>
      </c>
      <c r="J220" s="423">
        <v>2245654.056738338</v>
      </c>
      <c r="K220" s="423">
        <v>2360478.7040703404</v>
      </c>
      <c r="L220" s="424">
        <v>2375654.9780000001</v>
      </c>
      <c r="M220" s="423">
        <v>2418229.7108387589</v>
      </c>
      <c r="N220" s="423">
        <v>2628015.6879358669</v>
      </c>
      <c r="O220" s="423">
        <v>2802264.3487537578</v>
      </c>
      <c r="P220" s="423">
        <v>2883937.4663317744</v>
      </c>
      <c r="Q220" s="423">
        <v>2979136.371151227</v>
      </c>
      <c r="R220" s="423">
        <v>2984130.4965450503</v>
      </c>
      <c r="S220" s="423">
        <v>3122333.6994372527</v>
      </c>
    </row>
    <row r="221" spans="1:37">
      <c r="A221" s="419" t="s">
        <v>453</v>
      </c>
      <c r="B221" s="423">
        <v>138905.1657453978</v>
      </c>
      <c r="C221" s="423">
        <v>145151.64052890526</v>
      </c>
      <c r="D221" s="423">
        <v>147964.46267789719</v>
      </c>
      <c r="E221" s="423">
        <v>153833.23778323777</v>
      </c>
      <c r="F221" s="423">
        <v>158034.75826118371</v>
      </c>
      <c r="G221" s="423">
        <v>166626.91045646783</v>
      </c>
      <c r="H221" s="423">
        <v>170357.54971765284</v>
      </c>
      <c r="I221" s="423">
        <v>174869.31782598971</v>
      </c>
      <c r="J221" s="423">
        <v>180198.08125099054</v>
      </c>
      <c r="K221" s="423">
        <v>186768.89525143919</v>
      </c>
      <c r="L221" s="424">
        <v>191575.47</v>
      </c>
      <c r="M221" s="423">
        <v>189253.92474147837</v>
      </c>
      <c r="N221" s="423">
        <v>203013.64605543707</v>
      </c>
      <c r="O221" s="423">
        <v>216954.45287909647</v>
      </c>
      <c r="P221" s="423">
        <v>230169.51022026865</v>
      </c>
      <c r="Q221" s="423">
        <v>243707.7042378819</v>
      </c>
      <c r="R221" s="423">
        <v>249372.76259884785</v>
      </c>
      <c r="S221" s="423">
        <v>262388.56653785688</v>
      </c>
    </row>
    <row r="222" spans="1:37">
      <c r="A222" s="419" t="s">
        <v>454</v>
      </c>
      <c r="B222" s="423">
        <v>4067986.3287020903</v>
      </c>
      <c r="C222" s="423">
        <v>4497186.7220172202</v>
      </c>
      <c r="D222" s="423">
        <v>4686748.9936102228</v>
      </c>
      <c r="E222" s="423">
        <v>5095871.5547365546</v>
      </c>
      <c r="F222" s="423">
        <v>5217337.1014567548</v>
      </c>
      <c r="G222" s="423">
        <v>5371482.2419911521</v>
      </c>
      <c r="H222" s="423">
        <v>4124343.1050004088</v>
      </c>
      <c r="I222" s="423">
        <v>4580654.6298367251</v>
      </c>
      <c r="J222" s="423">
        <v>5022081.2932537375</v>
      </c>
      <c r="K222" s="423">
        <v>5377186.4244159488</v>
      </c>
      <c r="L222" s="424">
        <v>5158916.9330000002</v>
      </c>
      <c r="M222" s="423">
        <v>5245642.5162772881</v>
      </c>
      <c r="N222" s="423">
        <v>5147109.1973072877</v>
      </c>
      <c r="O222" s="423">
        <v>5276380.8483437812</v>
      </c>
      <c r="P222" s="423">
        <v>5650393.3241898967</v>
      </c>
      <c r="Q222" s="423">
        <v>5705747.6519630607</v>
      </c>
      <c r="R222" s="423">
        <v>5541324.0243736487</v>
      </c>
      <c r="S222" s="423">
        <v>4531487.7687006863</v>
      </c>
    </row>
    <row r="223" spans="1:37">
      <c r="A223" s="419" t="s">
        <v>455</v>
      </c>
      <c r="B223" s="423">
        <v>2454055.8853310756</v>
      </c>
      <c r="C223" s="423">
        <v>2545680.3090405902</v>
      </c>
      <c r="D223" s="423">
        <v>2616333.0511182109</v>
      </c>
      <c r="E223" s="423">
        <v>2688176.2749112747</v>
      </c>
      <c r="F223" s="423">
        <v>2766087.8762854673</v>
      </c>
      <c r="G223" s="423">
        <v>2788283.7416751734</v>
      </c>
      <c r="H223" s="423">
        <v>2966986.8787485533</v>
      </c>
      <c r="I223" s="423">
        <v>3154889.1031089243</v>
      </c>
      <c r="J223" s="423">
        <v>3200664.4830683079</v>
      </c>
      <c r="K223" s="423">
        <v>3179953.2179951877</v>
      </c>
      <c r="L223" s="424">
        <v>3286200.5929999999</v>
      </c>
      <c r="M223" s="423">
        <v>3329245.0928762928</v>
      </c>
      <c r="N223" s="423">
        <v>3484325.8405415225</v>
      </c>
      <c r="O223" s="423">
        <v>3523773.7138625118</v>
      </c>
      <c r="P223" s="423">
        <v>3546004.9952905793</v>
      </c>
      <c r="Q223" s="423">
        <v>3634905.9722408107</v>
      </c>
      <c r="R223" s="423">
        <v>3614249.5751243629</v>
      </c>
      <c r="S223" s="423">
        <v>3181204.2867218149</v>
      </c>
    </row>
    <row r="224" spans="1:37">
      <c r="A224" s="4" t="s">
        <v>463</v>
      </c>
      <c r="B224" s="83">
        <v>79081.601181880047</v>
      </c>
      <c r="C224" s="83">
        <v>65379.692496924967</v>
      </c>
      <c r="D224" s="83">
        <v>69623.899215800178</v>
      </c>
      <c r="E224" s="83">
        <v>76741.546546546539</v>
      </c>
      <c r="F224" s="83">
        <v>81517.966219790702</v>
      </c>
      <c r="G224" s="83">
        <v>83756.037625783865</v>
      </c>
      <c r="H224" s="83">
        <v>82746.661522453331</v>
      </c>
      <c r="I224" s="83">
        <v>85205.870051442645</v>
      </c>
      <c r="J224" s="83">
        <v>89206.642717523369</v>
      </c>
      <c r="K224" s="83">
        <v>84132.185028377644</v>
      </c>
      <c r="L224" s="83">
        <v>92937.729000000007</v>
      </c>
      <c r="M224" s="83">
        <v>99510.409804672541</v>
      </c>
      <c r="N224" s="83">
        <v>105992.14532453143</v>
      </c>
      <c r="O224" s="83">
        <v>106953.04749561369</v>
      </c>
      <c r="P224" s="83">
        <v>108319.48212898853</v>
      </c>
      <c r="Q224" s="83">
        <v>109206.04152069343</v>
      </c>
      <c r="R224" s="83">
        <v>114005.7705973963</v>
      </c>
      <c r="S224" s="83">
        <v>112679.8733451858</v>
      </c>
      <c r="T224" s="83"/>
      <c r="U224" s="83"/>
      <c r="V224" s="83"/>
      <c r="W224" s="83"/>
      <c r="X224" s="83"/>
      <c r="Y224" s="83"/>
      <c r="Z224" s="83"/>
      <c r="AA224" s="83"/>
      <c r="AB224" s="83"/>
      <c r="AC224" s="83"/>
      <c r="AD224" s="83"/>
      <c r="AE224" s="83"/>
      <c r="AF224" s="83"/>
      <c r="AG224" s="83"/>
      <c r="AH224" s="83"/>
      <c r="AI224" s="83"/>
      <c r="AJ224" s="83"/>
      <c r="AK224" s="83"/>
    </row>
    <row r="225" spans="1:37">
      <c r="A225" s="420" t="s">
        <v>464</v>
      </c>
      <c r="B225" s="83">
        <v>-2472.225818767326</v>
      </c>
      <c r="C225" s="83">
        <v>-2669.4142066420659</v>
      </c>
      <c r="D225" s="83">
        <v>-2853.3807725820507</v>
      </c>
      <c r="E225" s="83">
        <v>-3848.292383292383</v>
      </c>
      <c r="F225" s="83">
        <v>-4279.9086463400472</v>
      </c>
      <c r="G225" s="83">
        <v>-4803.8768168781289</v>
      </c>
      <c r="H225" s="83">
        <v>-5037.6743479125007</v>
      </c>
      <c r="I225" s="83">
        <v>-4188.7116976067991</v>
      </c>
      <c r="J225" s="83">
        <v>-4817.1271593850706</v>
      </c>
      <c r="K225" s="83">
        <v>-4801.1797792736543</v>
      </c>
      <c r="L225" s="83">
        <v>-5519.223</v>
      </c>
      <c r="M225" s="83">
        <v>-5452.6340482573723</v>
      </c>
      <c r="N225" s="83">
        <v>-5118.6646306831417</v>
      </c>
      <c r="O225" s="83">
        <v>-6134.6584847603172</v>
      </c>
      <c r="P225" s="83">
        <v>-6129.0480360890324</v>
      </c>
      <c r="Q225" s="83">
        <v>-6320.8241156974045</v>
      </c>
      <c r="R225" s="83">
        <v>-6595.1948228676829</v>
      </c>
      <c r="S225" s="83">
        <v>-7351.5897970878214</v>
      </c>
      <c r="T225" s="83"/>
      <c r="U225" s="83"/>
      <c r="V225" s="83"/>
      <c r="W225" s="83"/>
      <c r="X225" s="83"/>
      <c r="Y225" s="83"/>
      <c r="Z225" s="83"/>
      <c r="AA225" s="83"/>
      <c r="AB225" s="83"/>
      <c r="AC225" s="83"/>
      <c r="AD225" s="83"/>
      <c r="AE225" s="83"/>
      <c r="AF225" s="83"/>
      <c r="AG225" s="83"/>
      <c r="AH225" s="83"/>
      <c r="AI225" s="83"/>
      <c r="AJ225" s="83"/>
      <c r="AK225" s="83"/>
    </row>
    <row r="226" spans="1:37">
      <c r="A226" s="4" t="s">
        <v>125</v>
      </c>
      <c r="B226" s="83">
        <v>172150.64654814667</v>
      </c>
      <c r="C226" s="4">
        <v>222758.64083640836</v>
      </c>
      <c r="D226" s="4">
        <v>130583.15567818763</v>
      </c>
      <c r="E226" s="4">
        <v>185682.85831285827</v>
      </c>
      <c r="F226" s="4">
        <v>174697.1406820557</v>
      </c>
      <c r="G226" s="4">
        <v>141496.69680618346</v>
      </c>
      <c r="H226" s="4">
        <v>108419.04995732641</v>
      </c>
      <c r="I226" s="4">
        <v>180928.07425631848</v>
      </c>
      <c r="J226" s="4">
        <v>156083.73712293309</v>
      </c>
      <c r="K226" s="4">
        <v>168004.20232909953</v>
      </c>
      <c r="L226" s="4">
        <v>201986.56</v>
      </c>
      <c r="M226" s="4">
        <v>146256.84890846419</v>
      </c>
      <c r="N226" s="4">
        <v>152579.44246329181</v>
      </c>
      <c r="O226" s="4">
        <v>145359.30912264923</v>
      </c>
      <c r="P226" s="4">
        <v>147298.80859923657</v>
      </c>
      <c r="Q226" s="4">
        <v>128869.13502491714</v>
      </c>
      <c r="R226" s="4">
        <v>102267.28230793655</v>
      </c>
      <c r="S226" s="4">
        <v>40170.314726928111</v>
      </c>
    </row>
    <row r="227" spans="1:37">
      <c r="B227" s="117">
        <f>B226/B214</f>
        <v>1.3179720935101401E-2</v>
      </c>
    </row>
  </sheetData>
  <mergeCells count="16">
    <mergeCell ref="BF41:BF42"/>
    <mergeCell ref="AS40:AS41"/>
    <mergeCell ref="AT40:AT41"/>
    <mergeCell ref="AU40:AU41"/>
    <mergeCell ref="BD41:BD42"/>
    <mergeCell ref="BE41:BE42"/>
    <mergeCell ref="F169:I169"/>
    <mergeCell ref="K169:N169"/>
    <mergeCell ref="P169:S169"/>
    <mergeCell ref="A72:G72"/>
    <mergeCell ref="I72:O72"/>
    <mergeCell ref="S109:Y109"/>
    <mergeCell ref="H137:J137"/>
    <mergeCell ref="H138:J138"/>
    <mergeCell ref="C139:C140"/>
    <mergeCell ref="D139:D140"/>
  </mergeCells>
  <pageMargins left="0.7" right="0.7" top="0.75" bottom="0.75" header="0.3" footer="0.3"/>
  <pageSetup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B7"/>
  <sheetViews>
    <sheetView tabSelected="1" workbookViewId="0">
      <selection activeCell="B2" sqref="B2:B7"/>
    </sheetView>
  </sheetViews>
  <sheetFormatPr defaultColWidth="8.85546875" defaultRowHeight="15"/>
  <cols>
    <col min="1" max="1" width="13" customWidth="1"/>
  </cols>
  <sheetData>
    <row r="1" spans="1:2">
      <c r="B1" t="s">
        <v>499</v>
      </c>
    </row>
    <row r="2" spans="1:2">
      <c r="A2" t="s">
        <v>500</v>
      </c>
      <c r="B2">
        <f>'Cuadros Iniciales'!$P$163</f>
        <v>0.10903895523108176</v>
      </c>
    </row>
    <row r="3" spans="1:2">
      <c r="A3" t="s">
        <v>501</v>
      </c>
      <c r="B3">
        <f>'Cuadros Iniciales'!$P$163</f>
        <v>0.10903895523108176</v>
      </c>
    </row>
    <row r="4" spans="1:2">
      <c r="A4" t="s">
        <v>502</v>
      </c>
      <c r="B4">
        <f>'Cuadros Iniciales'!$P$163</f>
        <v>0.10903895523108176</v>
      </c>
    </row>
    <row r="5" spans="1:2">
      <c r="A5" t="s">
        <v>503</v>
      </c>
      <c r="B5">
        <f>'Cuadros Iniciales'!$P$163</f>
        <v>0.10903895523108176</v>
      </c>
    </row>
    <row r="6" spans="1:2">
      <c r="A6" t="s">
        <v>504</v>
      </c>
      <c r="B6">
        <f>'Cuadros Iniciales'!$P$163</f>
        <v>0.10903895523108176</v>
      </c>
    </row>
    <row r="7" spans="1:2">
      <c r="A7" t="s">
        <v>505</v>
      </c>
      <c r="B7">
        <f>'Cuadros Iniciales'!$P$163</f>
        <v>0.10903895523108176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A9DAB439B36DB4795F39C4E722C7BC4" ma:contentTypeVersion="4" ma:contentTypeDescription="Create a new document." ma:contentTypeScope="" ma:versionID="44674c89fa9bc5e97a878a6680c46188">
  <xsd:schema xmlns:xsd="http://www.w3.org/2001/XMLSchema" xmlns:xs="http://www.w3.org/2001/XMLSchema" xmlns:p="http://schemas.microsoft.com/office/2006/metadata/properties" xmlns:ns2="79748b23-d81a-423e-9112-21109dc864e6" targetNamespace="http://schemas.microsoft.com/office/2006/metadata/properties" ma:root="true" ma:fieldsID="447839a363ea5a12024b5bf1ab53ed90" ns2:_="">
    <xsd:import namespace="79748b23-d81a-423e-9112-21109dc864e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748b23-d81a-423e-9112-21109dc864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653EC00-3F10-42AA-9F57-9E9B4F059912}"/>
</file>

<file path=customXml/itemProps2.xml><?xml version="1.0" encoding="utf-8"?>
<ds:datastoreItem xmlns:ds="http://schemas.openxmlformats.org/officeDocument/2006/customXml" ds:itemID="{16C0E555-F986-49C3-BE53-4001787EC748}"/>
</file>

<file path=customXml/itemProps3.xml><?xml version="1.0" encoding="utf-8"?>
<ds:datastoreItem xmlns:ds="http://schemas.openxmlformats.org/officeDocument/2006/customXml" ds:itemID="{63DCCB08-F177-4015-98FA-9E18CEA8B1F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Jeffrey Rissman</dc:creator>
  <cp:keywords/>
  <dc:description/>
  <cp:lastModifiedBy>Rachel Goldstein</cp:lastModifiedBy>
  <cp:revision/>
  <dcterms:created xsi:type="dcterms:W3CDTF">2017-06-17T01:56:05Z</dcterms:created>
  <dcterms:modified xsi:type="dcterms:W3CDTF">2025-04-03T16:43:06Z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0x0101009A9DAB439B36DB4795F39C4E722C7BC4</vt:lpwstr>
  </property>
</Properties>
</file>