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TTS\"/>
    </mc:Choice>
  </mc:AlternateContent>
  <xr:revisionPtr revIDLastSave="0" documentId="13_ncr:1_{BF3C1DB2-83FB-483A-8BBB-AA3B32BA08F1}" xr6:coauthVersionLast="47" xr6:coauthVersionMax="47" xr10:uidLastSave="{00000000-0000-0000-0000-000000000000}"/>
  <bookViews>
    <workbookView xWindow="-270" yWindow="-270" windowWidth="29340" windowHeight="17820" firstSheet="8" activeTab="14" xr2:uid="{00000000-000D-0000-FFFF-FFFF00000000}"/>
  </bookViews>
  <sheets>
    <sheet name="About" sheetId="1" r:id="rId1"/>
    <sheet name="SYVbT-passenger" sheetId="6" r:id="rId2"/>
    <sheet name="Data" sheetId="3" r:id="rId3"/>
    <sheet name="TTS-LDVs-psgr" sheetId="2" r:id="rId4"/>
    <sheet name="TTS-LDVs-frgt" sheetId="8" r:id="rId5"/>
    <sheet name="TTS-HDVs-psgr" sheetId="9" r:id="rId6"/>
    <sheet name="TTS-HDVs-frgt" sheetId="10" r:id="rId7"/>
    <sheet name="TTS-aircraft-psgr" sheetId="11" r:id="rId8"/>
    <sheet name="TTS-aircraft-frgt" sheetId="12" r:id="rId9"/>
    <sheet name="TTS-rail-psgr" sheetId="13" r:id="rId10"/>
    <sheet name="TTS-rail-frgt" sheetId="14" r:id="rId11"/>
    <sheet name="TTS-ships-psgr" sheetId="15" r:id="rId12"/>
    <sheet name="TTS-ships-frgt" sheetId="16" r:id="rId13"/>
    <sheet name="TTS-motorbikes-psgr" sheetId="17" r:id="rId14"/>
    <sheet name="TTS-motorbikes-frgt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7" l="1"/>
  <c r="D2" i="17"/>
  <c r="E2" i="17"/>
  <c r="F2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AY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D88" i="3" l="1"/>
  <c r="D89" i="3"/>
  <c r="D90" i="3"/>
  <c r="D91" i="3"/>
  <c r="D92" i="3"/>
  <c r="D93" i="3"/>
  <c r="D8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3" i="3"/>
  <c r="D54" i="3"/>
  <c r="D55" i="3"/>
  <c r="D56" i="3"/>
  <c r="D57" i="3"/>
  <c r="D58" i="3"/>
  <c r="D52" i="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B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B2" i="2"/>
  <c r="C2" i="2"/>
  <c r="D2" i="2"/>
  <c r="E2" i="2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J52" i="3"/>
  <c r="C2" i="13" l="1"/>
  <c r="N10" i="3"/>
  <c r="M10" i="3"/>
  <c r="I9" i="3"/>
  <c r="I10" i="3"/>
  <c r="J11" i="3"/>
  <c r="L13" i="3"/>
  <c r="K16" i="3"/>
  <c r="J19" i="3"/>
  <c r="L21" i="3"/>
  <c r="K24" i="3"/>
  <c r="J27" i="3"/>
  <c r="L29" i="3"/>
  <c r="K32" i="3"/>
  <c r="J35" i="3"/>
  <c r="L37" i="3"/>
  <c r="K40" i="3"/>
  <c r="J43" i="3"/>
  <c r="L45" i="3"/>
  <c r="K48" i="3"/>
  <c r="J51" i="3"/>
  <c r="L53" i="3"/>
  <c r="K56" i="3"/>
  <c r="J59" i="3"/>
  <c r="L61" i="3"/>
  <c r="K64" i="3"/>
  <c r="J67" i="3"/>
  <c r="L69" i="3"/>
  <c r="K72" i="3"/>
  <c r="J75" i="3"/>
  <c r="L77" i="3"/>
  <c r="K80" i="3"/>
  <c r="J83" i="3"/>
  <c r="L85" i="3"/>
  <c r="K88" i="3"/>
  <c r="J91" i="3"/>
  <c r="L93" i="3"/>
  <c r="L70" i="3"/>
  <c r="J84" i="3"/>
  <c r="J15" i="3"/>
  <c r="J23" i="3"/>
  <c r="L33" i="3"/>
  <c r="K44" i="3"/>
  <c r="K52" i="3"/>
  <c r="L57" i="3"/>
  <c r="L65" i="3"/>
  <c r="L73" i="3"/>
  <c r="L81" i="3"/>
  <c r="L89" i="3"/>
  <c r="K61" i="3"/>
  <c r="L74" i="3"/>
  <c r="J88" i="3"/>
  <c r="K11" i="3"/>
  <c r="J14" i="3"/>
  <c r="L16" i="3"/>
  <c r="K19" i="3"/>
  <c r="J22" i="3"/>
  <c r="L24" i="3"/>
  <c r="K27" i="3"/>
  <c r="J30" i="3"/>
  <c r="L32" i="3"/>
  <c r="K35" i="3"/>
  <c r="J38" i="3"/>
  <c r="L40" i="3"/>
  <c r="K43" i="3"/>
  <c r="J46" i="3"/>
  <c r="L48" i="3"/>
  <c r="K51" i="3"/>
  <c r="J54" i="3"/>
  <c r="L56" i="3"/>
  <c r="K59" i="3"/>
  <c r="J62" i="3"/>
  <c r="L64" i="3"/>
  <c r="K67" i="3"/>
  <c r="J70" i="3"/>
  <c r="L72" i="3"/>
  <c r="K75" i="3"/>
  <c r="J78" i="3"/>
  <c r="L80" i="3"/>
  <c r="K83" i="3"/>
  <c r="J86" i="3"/>
  <c r="L88" i="3"/>
  <c r="K91" i="3"/>
  <c r="K65" i="3"/>
  <c r="J76" i="3"/>
  <c r="L86" i="3"/>
  <c r="K12" i="3"/>
  <c r="K28" i="3"/>
  <c r="J39" i="3"/>
  <c r="L11" i="3"/>
  <c r="K14" i="3"/>
  <c r="J17" i="3"/>
  <c r="L19" i="3"/>
  <c r="K22" i="3"/>
  <c r="J25" i="3"/>
  <c r="L27" i="3"/>
  <c r="K30" i="3"/>
  <c r="J33" i="3"/>
  <c r="L35" i="3"/>
  <c r="K38" i="3"/>
  <c r="J41" i="3"/>
  <c r="L43" i="3"/>
  <c r="K46" i="3"/>
  <c r="J49" i="3"/>
  <c r="L51" i="3"/>
  <c r="K54" i="3"/>
  <c r="J57" i="3"/>
  <c r="L59" i="3"/>
  <c r="K62" i="3"/>
  <c r="J65" i="3"/>
  <c r="L67" i="3"/>
  <c r="K70" i="3"/>
  <c r="J73" i="3"/>
  <c r="L75" i="3"/>
  <c r="K78" i="3"/>
  <c r="J81" i="3"/>
  <c r="L83" i="3"/>
  <c r="K86" i="3"/>
  <c r="J89" i="3"/>
  <c r="L91" i="3"/>
  <c r="L62" i="3"/>
  <c r="L78" i="3"/>
  <c r="K89" i="3"/>
  <c r="L17" i="3"/>
  <c r="L25" i="3"/>
  <c r="K36" i="3"/>
  <c r="J47" i="3"/>
  <c r="J55" i="3"/>
  <c r="J63" i="3"/>
  <c r="J71" i="3"/>
  <c r="J79" i="3"/>
  <c r="J87" i="3"/>
  <c r="K92" i="3"/>
  <c r="K53" i="3"/>
  <c r="K69" i="3"/>
  <c r="L82" i="3"/>
  <c r="J12" i="3"/>
  <c r="L14" i="3"/>
  <c r="K17" i="3"/>
  <c r="J20" i="3"/>
  <c r="L22" i="3"/>
  <c r="K25" i="3"/>
  <c r="J28" i="3"/>
  <c r="L30" i="3"/>
  <c r="K33" i="3"/>
  <c r="J36" i="3"/>
  <c r="L38" i="3"/>
  <c r="K41" i="3"/>
  <c r="J44" i="3"/>
  <c r="L46" i="3"/>
  <c r="K49" i="3"/>
  <c r="L54" i="3"/>
  <c r="K57" i="3"/>
  <c r="J60" i="3"/>
  <c r="J68" i="3"/>
  <c r="K73" i="3"/>
  <c r="K81" i="3"/>
  <c r="J92" i="3"/>
  <c r="K20" i="3"/>
  <c r="J31" i="3"/>
  <c r="L41" i="3"/>
  <c r="L49" i="3"/>
  <c r="K60" i="3"/>
  <c r="K68" i="3"/>
  <c r="K76" i="3"/>
  <c r="K84" i="3"/>
  <c r="L50" i="3"/>
  <c r="J72" i="3"/>
  <c r="L90" i="3"/>
  <c r="L12" i="3"/>
  <c r="K15" i="3"/>
  <c r="J18" i="3"/>
  <c r="L20" i="3"/>
  <c r="K23" i="3"/>
  <c r="J26" i="3"/>
  <c r="L28" i="3"/>
  <c r="K31" i="3"/>
  <c r="J34" i="3"/>
  <c r="L36" i="3"/>
  <c r="K39" i="3"/>
  <c r="J42" i="3"/>
  <c r="L44" i="3"/>
  <c r="K47" i="3"/>
  <c r="J50" i="3"/>
  <c r="L52" i="3"/>
  <c r="K55" i="3"/>
  <c r="J58" i="3"/>
  <c r="L60" i="3"/>
  <c r="K63" i="3"/>
  <c r="J66" i="3"/>
  <c r="L68" i="3"/>
  <c r="K71" i="3"/>
  <c r="J74" i="3"/>
  <c r="L76" i="3"/>
  <c r="K79" i="3"/>
  <c r="J82" i="3"/>
  <c r="L84" i="3"/>
  <c r="K87" i="3"/>
  <c r="J90" i="3"/>
  <c r="L92" i="3"/>
  <c r="K13" i="3"/>
  <c r="K21" i="3"/>
  <c r="L26" i="3"/>
  <c r="J32" i="3"/>
  <c r="K37" i="3"/>
  <c r="L42" i="3"/>
  <c r="J48" i="3"/>
  <c r="L58" i="3"/>
  <c r="L66" i="3"/>
  <c r="J80" i="3"/>
  <c r="K85" i="3"/>
  <c r="J13" i="3"/>
  <c r="L15" i="3"/>
  <c r="K18" i="3"/>
  <c r="J21" i="3"/>
  <c r="L23" i="3"/>
  <c r="K26" i="3"/>
  <c r="J29" i="3"/>
  <c r="L31" i="3"/>
  <c r="K34" i="3"/>
  <c r="J37" i="3"/>
  <c r="L39" i="3"/>
  <c r="K42" i="3"/>
  <c r="J45" i="3"/>
  <c r="L47" i="3"/>
  <c r="K50" i="3"/>
  <c r="J53" i="3"/>
  <c r="L55" i="3"/>
  <c r="K58" i="3"/>
  <c r="J61" i="3"/>
  <c r="L63" i="3"/>
  <c r="K66" i="3"/>
  <c r="J69" i="3"/>
  <c r="L71" i="3"/>
  <c r="K74" i="3"/>
  <c r="J77" i="3"/>
  <c r="L79" i="3"/>
  <c r="K82" i="3"/>
  <c r="J85" i="3"/>
  <c r="L87" i="3"/>
  <c r="K90" i="3"/>
  <c r="J93" i="3"/>
  <c r="J16" i="3"/>
  <c r="L18" i="3"/>
  <c r="J24" i="3"/>
  <c r="K29" i="3"/>
  <c r="L34" i="3"/>
  <c r="J40" i="3"/>
  <c r="K45" i="3"/>
  <c r="J56" i="3"/>
  <c r="J64" i="3"/>
  <c r="K77" i="3"/>
  <c r="K93" i="3"/>
  <c r="K10" i="3"/>
  <c r="L10" i="3"/>
  <c r="J10" i="3"/>
  <c r="D2" i="12" l="1"/>
  <c r="C4" i="11"/>
  <c r="D7" i="12"/>
  <c r="E4" i="12"/>
  <c r="C2" i="12"/>
  <c r="D6" i="11"/>
  <c r="E3" i="11"/>
  <c r="C5" i="12"/>
  <c r="E6" i="11"/>
  <c r="C7" i="12"/>
  <c r="D4" i="12"/>
  <c r="E8" i="11"/>
  <c r="C6" i="11"/>
  <c r="D3" i="11"/>
  <c r="E7" i="12"/>
  <c r="E6" i="12"/>
  <c r="E5" i="11"/>
  <c r="D6" i="12"/>
  <c r="E3" i="12"/>
  <c r="C8" i="11"/>
  <c r="D5" i="11"/>
  <c r="E2" i="11"/>
  <c r="C4" i="12"/>
  <c r="E8" i="12"/>
  <c r="C6" i="12"/>
  <c r="D3" i="12"/>
  <c r="E7" i="11"/>
  <c r="C5" i="11"/>
  <c r="D2" i="11"/>
  <c r="C3" i="11"/>
  <c r="D8" i="12"/>
  <c r="E5" i="12"/>
  <c r="C3" i="12"/>
  <c r="D7" i="11"/>
  <c r="E4" i="11"/>
  <c r="C2" i="11"/>
  <c r="D8" i="11"/>
  <c r="C8" i="12"/>
  <c r="D5" i="12"/>
  <c r="E2" i="12"/>
  <c r="C7" i="11"/>
  <c r="D4" i="11"/>
  <c r="C6" i="13"/>
  <c r="D8" i="13"/>
  <c r="E5" i="13"/>
  <c r="C3" i="13"/>
  <c r="E8" i="13"/>
  <c r="C8" i="13"/>
  <c r="D5" i="13"/>
  <c r="D7" i="13"/>
  <c r="E4" i="13"/>
  <c r="D3" i="13"/>
  <c r="C5" i="13"/>
  <c r="C7" i="13"/>
  <c r="D4" i="13"/>
  <c r="E6" i="13"/>
  <c r="C4" i="13"/>
  <c r="E7" i="13"/>
  <c r="D6" i="13"/>
  <c r="E3" i="13"/>
  <c r="E2" i="13"/>
  <c r="D2" i="13"/>
  <c r="I32" i="3"/>
  <c r="M32" i="3"/>
  <c r="I33" i="3"/>
  <c r="M33" i="3"/>
  <c r="I34" i="3"/>
  <c r="M34" i="3"/>
  <c r="I35" i="3"/>
  <c r="M35" i="3"/>
  <c r="I36" i="3"/>
  <c r="M36" i="3"/>
  <c r="I37" i="3"/>
  <c r="M37" i="3"/>
  <c r="M31" i="3"/>
  <c r="I31" i="3"/>
  <c r="I25" i="3"/>
  <c r="M25" i="3"/>
  <c r="I26" i="3"/>
  <c r="M26" i="3"/>
  <c r="I27" i="3"/>
  <c r="M27" i="3"/>
  <c r="I28" i="3"/>
  <c r="M28" i="3"/>
  <c r="I29" i="3"/>
  <c r="M29" i="3"/>
  <c r="I30" i="3"/>
  <c r="M30" i="3"/>
  <c r="M24" i="3"/>
  <c r="F21" i="3"/>
  <c r="I18" i="3"/>
  <c r="M18" i="3"/>
  <c r="I19" i="3"/>
  <c r="M19" i="3"/>
  <c r="I20" i="3"/>
  <c r="M20" i="3"/>
  <c r="I21" i="3"/>
  <c r="M21" i="3"/>
  <c r="I22" i="3"/>
  <c r="M22" i="3"/>
  <c r="I23" i="3"/>
  <c r="M23" i="3"/>
  <c r="I17" i="3"/>
  <c r="F14" i="3"/>
  <c r="F84" i="3" s="1"/>
  <c r="F80" i="3"/>
  <c r="F82" i="3"/>
  <c r="F37" i="3"/>
  <c r="F36" i="3"/>
  <c r="F35" i="3"/>
  <c r="F33" i="3"/>
  <c r="F32" i="3"/>
  <c r="F30" i="3"/>
  <c r="F29" i="3"/>
  <c r="F28" i="3"/>
  <c r="F26" i="3"/>
  <c r="F25" i="3"/>
  <c r="F23" i="3"/>
  <c r="F22" i="3"/>
  <c r="F19" i="3"/>
  <c r="F18" i="3"/>
  <c r="F16" i="3"/>
  <c r="F86" i="3" s="1"/>
  <c r="F15" i="3"/>
  <c r="F85" i="3" s="1"/>
  <c r="F13" i="3"/>
  <c r="F83" i="3" s="1"/>
  <c r="F11" i="3"/>
  <c r="F81" i="3" s="1"/>
  <c r="D81" i="3" l="1"/>
  <c r="E81" i="3"/>
  <c r="D82" i="3"/>
  <c r="E82" i="3"/>
  <c r="D83" i="3"/>
  <c r="E83" i="3"/>
  <c r="D84" i="3"/>
  <c r="E84" i="3"/>
  <c r="D85" i="3"/>
  <c r="E85" i="3"/>
  <c r="D86" i="3"/>
  <c r="E86" i="3"/>
  <c r="E80" i="3"/>
  <c r="D80" i="3"/>
  <c r="M9" i="3"/>
  <c r="I24" i="3" l="1"/>
  <c r="M14" i="3" l="1"/>
  <c r="I14" i="3"/>
  <c r="N9" i="3" l="1"/>
  <c r="N21" i="3" l="1"/>
  <c r="E52" i="3"/>
  <c r="E55" i="3" l="1"/>
  <c r="G29" i="3" l="1"/>
  <c r="G30" i="3"/>
  <c r="G93" i="3"/>
  <c r="G92" i="3"/>
  <c r="G86" i="3"/>
  <c r="G85" i="3"/>
  <c r="G79" i="3"/>
  <c r="G78" i="3"/>
  <c r="G72" i="3"/>
  <c r="G71" i="3"/>
  <c r="G65" i="3"/>
  <c r="G64" i="3"/>
  <c r="G58" i="3"/>
  <c r="G57" i="3"/>
  <c r="G51" i="3"/>
  <c r="G50" i="3"/>
  <c r="G44" i="3"/>
  <c r="G43" i="3"/>
  <c r="G37" i="3"/>
  <c r="G36" i="3"/>
  <c r="G23" i="3"/>
  <c r="G22" i="3"/>
  <c r="B7" i="9"/>
  <c r="B8" i="9"/>
  <c r="B7" i="10"/>
  <c r="B8" i="10"/>
  <c r="I38" i="3"/>
  <c r="I39" i="3"/>
  <c r="I40" i="3"/>
  <c r="I41" i="3"/>
  <c r="B5" i="11" s="1"/>
  <c r="I42" i="3"/>
  <c r="I43" i="3"/>
  <c r="B7" i="11" s="1"/>
  <c r="I44" i="3"/>
  <c r="B8" i="11" s="1"/>
  <c r="I45" i="3"/>
  <c r="I46" i="3"/>
  <c r="I47" i="3"/>
  <c r="I48" i="3"/>
  <c r="I49" i="3"/>
  <c r="I50" i="3"/>
  <c r="B7" i="12" s="1"/>
  <c r="I51" i="3"/>
  <c r="B8" i="12" s="1"/>
  <c r="I52" i="3"/>
  <c r="B2" i="13" s="1"/>
  <c r="I53" i="3"/>
  <c r="I54" i="3"/>
  <c r="I55" i="3"/>
  <c r="I56" i="3"/>
  <c r="I57" i="3"/>
  <c r="B7" i="13" s="1"/>
  <c r="I58" i="3"/>
  <c r="B8" i="13" s="1"/>
  <c r="I59" i="3"/>
  <c r="I60" i="3"/>
  <c r="I61" i="3"/>
  <c r="I62" i="3"/>
  <c r="I63" i="3"/>
  <c r="I64" i="3"/>
  <c r="B7" i="14" s="1"/>
  <c r="I65" i="3"/>
  <c r="B8" i="14" s="1"/>
  <c r="I66" i="3"/>
  <c r="I67" i="3"/>
  <c r="I68" i="3"/>
  <c r="I69" i="3"/>
  <c r="I70" i="3"/>
  <c r="I71" i="3"/>
  <c r="B7" i="15" s="1"/>
  <c r="I72" i="3"/>
  <c r="B8" i="15" s="1"/>
  <c r="I73" i="3"/>
  <c r="I74" i="3"/>
  <c r="I75" i="3"/>
  <c r="I76" i="3"/>
  <c r="I77" i="3"/>
  <c r="I78" i="3"/>
  <c r="B7" i="16" s="1"/>
  <c r="I79" i="3"/>
  <c r="B8" i="16" s="1"/>
  <c r="I82" i="3"/>
  <c r="I85" i="3"/>
  <c r="B7" i="17" s="1"/>
  <c r="I86" i="3"/>
  <c r="B8" i="17" s="1"/>
  <c r="I87" i="3"/>
  <c r="I88" i="3"/>
  <c r="I89" i="3"/>
  <c r="I90" i="3"/>
  <c r="I91" i="3"/>
  <c r="I92" i="3"/>
  <c r="I93" i="3"/>
  <c r="B7" i="8"/>
  <c r="B8" i="8"/>
  <c r="I15" i="3"/>
  <c r="G16" i="3" l="1"/>
  <c r="I16" i="3"/>
  <c r="G15" i="3"/>
  <c r="M44" i="3" l="1"/>
  <c r="M50" i="3"/>
  <c r="M58" i="3"/>
  <c r="M64" i="3"/>
  <c r="M43" i="3"/>
  <c r="M51" i="3"/>
  <c r="M57" i="3"/>
  <c r="M65" i="3"/>
  <c r="M71" i="3"/>
  <c r="M79" i="3"/>
  <c r="M85" i="3"/>
  <c r="M72" i="3"/>
  <c r="M78" i="3"/>
  <c r="M92" i="3"/>
  <c r="M93" i="3"/>
  <c r="M15" i="3"/>
  <c r="F7" i="2" s="1"/>
  <c r="M86" i="3"/>
  <c r="M16" i="3"/>
  <c r="F8" i="2" s="1"/>
  <c r="G14" i="3"/>
  <c r="N14" i="3" l="1"/>
  <c r="F6" i="2"/>
  <c r="N36" i="3"/>
  <c r="N37" i="3"/>
  <c r="N23" i="3"/>
  <c r="N16" i="3"/>
  <c r="G8" i="2" s="1"/>
  <c r="N57" i="3"/>
  <c r="N44" i="3"/>
  <c r="N50" i="3"/>
  <c r="N58" i="3"/>
  <c r="N64" i="3"/>
  <c r="N43" i="3"/>
  <c r="N51" i="3"/>
  <c r="N65" i="3"/>
  <c r="N71" i="3"/>
  <c r="N79" i="3"/>
  <c r="N85" i="3"/>
  <c r="N72" i="3"/>
  <c r="N78" i="3"/>
  <c r="N93" i="3"/>
  <c r="N92" i="3"/>
  <c r="N15" i="3"/>
  <c r="G7" i="2" s="1"/>
  <c r="N29" i="3"/>
  <c r="N22" i="3"/>
  <c r="N86" i="3"/>
  <c r="N30" i="3"/>
  <c r="N18" i="3"/>
  <c r="O9" i="3"/>
  <c r="I12" i="3"/>
  <c r="I81" i="3"/>
  <c r="O21" i="3" l="1"/>
  <c r="O14" i="3"/>
  <c r="O36" i="3"/>
  <c r="O37" i="3"/>
  <c r="O43" i="3"/>
  <c r="O51" i="3"/>
  <c r="O57" i="3"/>
  <c r="O44" i="3"/>
  <c r="O50" i="3"/>
  <c r="O58" i="3"/>
  <c r="O64" i="3"/>
  <c r="O72" i="3"/>
  <c r="O78" i="3"/>
  <c r="O65" i="3"/>
  <c r="O71" i="3"/>
  <c r="O79" i="3"/>
  <c r="O85" i="3"/>
  <c r="O86" i="3"/>
  <c r="O93" i="3"/>
  <c r="O92" i="3"/>
  <c r="O22" i="3"/>
  <c r="O30" i="3"/>
  <c r="O29" i="3"/>
  <c r="O15" i="3"/>
  <c r="H7" i="2" s="1"/>
  <c r="O18" i="3"/>
  <c r="O23" i="3"/>
  <c r="O16" i="3"/>
  <c r="H8" i="2" s="1"/>
  <c r="P9" i="3"/>
  <c r="P21" i="3" l="1"/>
  <c r="P14" i="3"/>
  <c r="P36" i="3"/>
  <c r="P37" i="3"/>
  <c r="P58" i="3"/>
  <c r="P64" i="3"/>
  <c r="P43" i="3"/>
  <c r="P51" i="3"/>
  <c r="P57" i="3"/>
  <c r="P44" i="3"/>
  <c r="P50" i="3"/>
  <c r="P85" i="3"/>
  <c r="P72" i="3"/>
  <c r="P78" i="3"/>
  <c r="P65" i="3"/>
  <c r="P71" i="3"/>
  <c r="P79" i="3"/>
  <c r="P92" i="3"/>
  <c r="P93" i="3"/>
  <c r="P86" i="3"/>
  <c r="P22" i="3"/>
  <c r="P29" i="3"/>
  <c r="P30" i="3"/>
  <c r="P15" i="3"/>
  <c r="I7" i="2" s="1"/>
  <c r="P18" i="3"/>
  <c r="P23" i="3"/>
  <c r="P16" i="3"/>
  <c r="I8" i="2" s="1"/>
  <c r="Q9" i="3"/>
  <c r="I13" i="3"/>
  <c r="I11" i="3"/>
  <c r="Q14" i="3" l="1"/>
  <c r="Q21" i="3"/>
  <c r="Q23" i="3"/>
  <c r="Q36" i="3"/>
  <c r="Q37" i="3"/>
  <c r="Q44" i="3"/>
  <c r="Q50" i="3"/>
  <c r="Q58" i="3"/>
  <c r="Q64" i="3"/>
  <c r="Q43" i="3"/>
  <c r="Q51" i="3"/>
  <c r="Q57" i="3"/>
  <c r="Q65" i="3"/>
  <c r="Q71" i="3"/>
  <c r="Q79" i="3"/>
  <c r="Q85" i="3"/>
  <c r="Q72" i="3"/>
  <c r="Q78" i="3"/>
  <c r="Q92" i="3"/>
  <c r="Q93" i="3"/>
  <c r="Q22" i="3"/>
  <c r="Q29" i="3"/>
  <c r="Q30" i="3"/>
  <c r="Q86" i="3"/>
  <c r="Q15" i="3"/>
  <c r="J7" i="2" s="1"/>
  <c r="Q18" i="3"/>
  <c r="Q16" i="3"/>
  <c r="J8" i="2" s="1"/>
  <c r="R9" i="3"/>
  <c r="G53" i="3"/>
  <c r="G54" i="3"/>
  <c r="G55" i="3"/>
  <c r="G56" i="3"/>
  <c r="G59" i="3"/>
  <c r="G60" i="3"/>
  <c r="G61" i="3"/>
  <c r="G62" i="3"/>
  <c r="G63" i="3"/>
  <c r="G66" i="3"/>
  <c r="G67" i="3"/>
  <c r="G68" i="3"/>
  <c r="G69" i="3"/>
  <c r="G70" i="3"/>
  <c r="G73" i="3"/>
  <c r="G74" i="3"/>
  <c r="G75" i="3"/>
  <c r="G76" i="3"/>
  <c r="G77" i="3"/>
  <c r="G82" i="3"/>
  <c r="G87" i="3"/>
  <c r="G88" i="3"/>
  <c r="G89" i="3"/>
  <c r="G90" i="3"/>
  <c r="G91" i="3"/>
  <c r="G38" i="3"/>
  <c r="G39" i="3"/>
  <c r="G40" i="3"/>
  <c r="G41" i="3"/>
  <c r="G42" i="3"/>
  <c r="G45" i="3"/>
  <c r="G46" i="3"/>
  <c r="G47" i="3"/>
  <c r="G48" i="3"/>
  <c r="G49" i="3"/>
  <c r="G52" i="3"/>
  <c r="G19" i="3"/>
  <c r="G20" i="3"/>
  <c r="G27" i="3"/>
  <c r="G34" i="3"/>
  <c r="G12" i="3"/>
  <c r="B5" i="9"/>
  <c r="B5" i="10"/>
  <c r="B2" i="11"/>
  <c r="B3" i="11"/>
  <c r="B4" i="11"/>
  <c r="B6" i="11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M12" i="3" l="1"/>
  <c r="R14" i="3"/>
  <c r="R21" i="3"/>
  <c r="R36" i="3"/>
  <c r="R37" i="3"/>
  <c r="N91" i="3"/>
  <c r="R91" i="3"/>
  <c r="O91" i="3"/>
  <c r="P91" i="3"/>
  <c r="M91" i="3"/>
  <c r="Q91" i="3"/>
  <c r="P90" i="3"/>
  <c r="M90" i="3"/>
  <c r="Q90" i="3"/>
  <c r="N90" i="3"/>
  <c r="R90" i="3"/>
  <c r="O90" i="3"/>
  <c r="O53" i="3"/>
  <c r="P53" i="3"/>
  <c r="M53" i="3"/>
  <c r="Q53" i="3"/>
  <c r="N53" i="3"/>
  <c r="R53" i="3"/>
  <c r="N89" i="3"/>
  <c r="R89" i="3"/>
  <c r="O89" i="3"/>
  <c r="P89" i="3"/>
  <c r="M89" i="3"/>
  <c r="Q89" i="3"/>
  <c r="P88" i="3"/>
  <c r="M88" i="3"/>
  <c r="R88" i="3"/>
  <c r="N88" i="3"/>
  <c r="O88" i="3"/>
  <c r="Q88" i="3"/>
  <c r="N87" i="3"/>
  <c r="R87" i="3"/>
  <c r="P87" i="3"/>
  <c r="Q87" i="3"/>
  <c r="M87" i="3"/>
  <c r="O87" i="3"/>
  <c r="R57" i="3"/>
  <c r="R44" i="3"/>
  <c r="R50" i="3"/>
  <c r="R58" i="3"/>
  <c r="R64" i="3"/>
  <c r="R43" i="3"/>
  <c r="R51" i="3"/>
  <c r="R65" i="3"/>
  <c r="R71" i="3"/>
  <c r="R79" i="3"/>
  <c r="R85" i="3"/>
  <c r="R72" i="3"/>
  <c r="R78" i="3"/>
  <c r="R93" i="3"/>
  <c r="R92" i="3"/>
  <c r="R86" i="3"/>
  <c r="R15" i="3"/>
  <c r="K7" i="2" s="1"/>
  <c r="R22" i="3"/>
  <c r="R30" i="3"/>
  <c r="R29" i="3"/>
  <c r="R18" i="3"/>
  <c r="R16" i="3"/>
  <c r="K8" i="2" s="1"/>
  <c r="R23" i="3"/>
  <c r="M42" i="3"/>
  <c r="Q42" i="3"/>
  <c r="N42" i="3"/>
  <c r="R42" i="3"/>
  <c r="O42" i="3"/>
  <c r="P42" i="3"/>
  <c r="N52" i="3"/>
  <c r="R52" i="3"/>
  <c r="O52" i="3"/>
  <c r="M52" i="3"/>
  <c r="P52" i="3"/>
  <c r="Q52" i="3"/>
  <c r="N76" i="3"/>
  <c r="R76" i="3"/>
  <c r="O76" i="3"/>
  <c r="P76" i="3"/>
  <c r="M76" i="3"/>
  <c r="Q76" i="3"/>
  <c r="M62" i="3"/>
  <c r="Q62" i="3"/>
  <c r="N62" i="3"/>
  <c r="R62" i="3"/>
  <c r="O62" i="3"/>
  <c r="P62" i="3"/>
  <c r="F4" i="2"/>
  <c r="N12" i="3"/>
  <c r="G4" i="2" s="1"/>
  <c r="O12" i="3"/>
  <c r="H4" i="2" s="1"/>
  <c r="P12" i="3"/>
  <c r="I4" i="2" s="1"/>
  <c r="O46" i="3"/>
  <c r="M46" i="3"/>
  <c r="Q46" i="3"/>
  <c r="P46" i="3"/>
  <c r="R46" i="3"/>
  <c r="N46" i="3"/>
  <c r="O41" i="3"/>
  <c r="P41" i="3"/>
  <c r="M41" i="3"/>
  <c r="Q41" i="3"/>
  <c r="N41" i="3"/>
  <c r="R41" i="3"/>
  <c r="P82" i="3"/>
  <c r="M82" i="3"/>
  <c r="Q82" i="3"/>
  <c r="O82" i="3"/>
  <c r="N82" i="3"/>
  <c r="R82" i="3"/>
  <c r="O75" i="3"/>
  <c r="P75" i="3"/>
  <c r="Q75" i="3"/>
  <c r="R75" i="3"/>
  <c r="M75" i="3"/>
  <c r="N75" i="3"/>
  <c r="O70" i="3"/>
  <c r="P70" i="3"/>
  <c r="M70" i="3"/>
  <c r="N70" i="3"/>
  <c r="Q70" i="3"/>
  <c r="R70" i="3"/>
  <c r="O66" i="3"/>
  <c r="P66" i="3"/>
  <c r="M66" i="3"/>
  <c r="Q66" i="3"/>
  <c r="N66" i="3"/>
  <c r="R66" i="3"/>
  <c r="O61" i="3"/>
  <c r="P61" i="3"/>
  <c r="M61" i="3"/>
  <c r="Q61" i="3"/>
  <c r="N61" i="3"/>
  <c r="R61" i="3"/>
  <c r="N56" i="3"/>
  <c r="R56" i="3"/>
  <c r="O56" i="3"/>
  <c r="M56" i="3"/>
  <c r="P56" i="3"/>
  <c r="Q56" i="3"/>
  <c r="M47" i="3"/>
  <c r="Q47" i="3"/>
  <c r="O47" i="3"/>
  <c r="N47" i="3"/>
  <c r="P47" i="3"/>
  <c r="R47" i="3"/>
  <c r="M38" i="3"/>
  <c r="Q38" i="3"/>
  <c r="N38" i="3"/>
  <c r="R38" i="3"/>
  <c r="O38" i="3"/>
  <c r="P38" i="3"/>
  <c r="M67" i="3"/>
  <c r="Q67" i="3"/>
  <c r="N67" i="3"/>
  <c r="R67" i="3"/>
  <c r="O67" i="3"/>
  <c r="P67" i="3"/>
  <c r="Q34" i="3"/>
  <c r="N34" i="3"/>
  <c r="R34" i="3"/>
  <c r="O34" i="3"/>
  <c r="P34" i="3"/>
  <c r="N49" i="3"/>
  <c r="R49" i="3"/>
  <c r="O49" i="3"/>
  <c r="P49" i="3"/>
  <c r="Q49" i="3"/>
  <c r="M49" i="3"/>
  <c r="M45" i="3"/>
  <c r="Q45" i="3"/>
  <c r="O45" i="3"/>
  <c r="R45" i="3"/>
  <c r="N45" i="3"/>
  <c r="P45" i="3"/>
  <c r="M40" i="3"/>
  <c r="Q40" i="3"/>
  <c r="N40" i="3"/>
  <c r="R40" i="3"/>
  <c r="O40" i="3"/>
  <c r="P40" i="3"/>
  <c r="M74" i="3"/>
  <c r="Q74" i="3"/>
  <c r="N74" i="3"/>
  <c r="R74" i="3"/>
  <c r="O74" i="3"/>
  <c r="P74" i="3"/>
  <c r="M69" i="3"/>
  <c r="Q69" i="3"/>
  <c r="N69" i="3"/>
  <c r="R69" i="3"/>
  <c r="O69" i="3"/>
  <c r="P69" i="3"/>
  <c r="M60" i="3"/>
  <c r="Q60" i="3"/>
  <c r="N60" i="3"/>
  <c r="R60" i="3"/>
  <c r="O60" i="3"/>
  <c r="P60" i="3"/>
  <c r="P55" i="3"/>
  <c r="M55" i="3"/>
  <c r="Q55" i="3"/>
  <c r="O55" i="3"/>
  <c r="R55" i="3"/>
  <c r="N55" i="3"/>
  <c r="Q12" i="3"/>
  <c r="J4" i="2" s="1"/>
  <c r="Q27" i="3"/>
  <c r="N27" i="3"/>
  <c r="R27" i="3"/>
  <c r="O27" i="3"/>
  <c r="P27" i="3"/>
  <c r="B4" i="8"/>
  <c r="P19" i="3"/>
  <c r="Q19" i="3"/>
  <c r="O19" i="3"/>
  <c r="N19" i="3"/>
  <c r="R19" i="3"/>
  <c r="O48" i="3"/>
  <c r="M48" i="3"/>
  <c r="Q48" i="3"/>
  <c r="N48" i="3"/>
  <c r="P48" i="3"/>
  <c r="R48" i="3"/>
  <c r="O39" i="3"/>
  <c r="P39" i="3"/>
  <c r="N39" i="3"/>
  <c r="Q39" i="3"/>
  <c r="R39" i="3"/>
  <c r="M39" i="3"/>
  <c r="P77" i="3"/>
  <c r="M77" i="3"/>
  <c r="Q77" i="3"/>
  <c r="N77" i="3"/>
  <c r="R77" i="3"/>
  <c r="O77" i="3"/>
  <c r="O73" i="3"/>
  <c r="P73" i="3"/>
  <c r="N73" i="3"/>
  <c r="Q73" i="3"/>
  <c r="R73" i="3"/>
  <c r="M73" i="3"/>
  <c r="O68" i="3"/>
  <c r="P68" i="3"/>
  <c r="M68" i="3"/>
  <c r="Q68" i="3"/>
  <c r="N68" i="3"/>
  <c r="R68" i="3"/>
  <c r="O63" i="3"/>
  <c r="P63" i="3"/>
  <c r="M63" i="3"/>
  <c r="Q63" i="3"/>
  <c r="N63" i="3"/>
  <c r="R63" i="3"/>
  <c r="N59" i="3"/>
  <c r="O59" i="3"/>
  <c r="P59" i="3"/>
  <c r="Q59" i="3"/>
  <c r="M59" i="3"/>
  <c r="R59" i="3"/>
  <c r="N54" i="3"/>
  <c r="R54" i="3"/>
  <c r="O54" i="3"/>
  <c r="M54" i="3"/>
  <c r="P54" i="3"/>
  <c r="Q54" i="3"/>
  <c r="Q20" i="3"/>
  <c r="N20" i="3"/>
  <c r="R20" i="3"/>
  <c r="O20" i="3"/>
  <c r="P20" i="3"/>
  <c r="S9" i="3"/>
  <c r="R12" i="3"/>
  <c r="K4" i="2" s="1"/>
  <c r="B5" i="8"/>
  <c r="S14" i="3" l="1"/>
  <c r="S21" i="3"/>
  <c r="S36" i="3"/>
  <c r="S37" i="3"/>
  <c r="S43" i="3"/>
  <c r="S51" i="3"/>
  <c r="S57" i="3"/>
  <c r="S44" i="3"/>
  <c r="S50" i="3"/>
  <c r="S58" i="3"/>
  <c r="S64" i="3"/>
  <c r="S72" i="3"/>
  <c r="S78" i="3"/>
  <c r="S65" i="3"/>
  <c r="S71" i="3"/>
  <c r="S79" i="3"/>
  <c r="S85" i="3"/>
  <c r="S86" i="3"/>
  <c r="S93" i="3"/>
  <c r="S92" i="3"/>
  <c r="S29" i="3"/>
  <c r="S30" i="3"/>
  <c r="S22" i="3"/>
  <c r="S15" i="3"/>
  <c r="L7" i="2" s="1"/>
  <c r="S18" i="3"/>
  <c r="S16" i="3"/>
  <c r="L8" i="2" s="1"/>
  <c r="S53" i="3"/>
  <c r="S88" i="3"/>
  <c r="S87" i="3"/>
  <c r="S91" i="3"/>
  <c r="S89" i="3"/>
  <c r="S42" i="3"/>
  <c r="S52" i="3"/>
  <c r="S90" i="3"/>
  <c r="S23" i="3"/>
  <c r="S46" i="3"/>
  <c r="S75" i="3"/>
  <c r="S62" i="3"/>
  <c r="S41" i="3"/>
  <c r="S70" i="3"/>
  <c r="S82" i="3"/>
  <c r="S66" i="3"/>
  <c r="S76" i="3"/>
  <c r="S61" i="3"/>
  <c r="S47" i="3"/>
  <c r="S38" i="3"/>
  <c r="S69" i="3"/>
  <c r="S73" i="3"/>
  <c r="S59" i="3"/>
  <c r="S54" i="3"/>
  <c r="S45" i="3"/>
  <c r="S27" i="3"/>
  <c r="S68" i="3"/>
  <c r="S56" i="3"/>
  <c r="S67" i="3"/>
  <c r="S74" i="3"/>
  <c r="S60" i="3"/>
  <c r="S55" i="3"/>
  <c r="S39" i="3"/>
  <c r="S77" i="3"/>
  <c r="S63" i="3"/>
  <c r="S34" i="3"/>
  <c r="S49" i="3"/>
  <c r="S40" i="3"/>
  <c r="S19" i="3"/>
  <c r="S48" i="3"/>
  <c r="S20" i="3"/>
  <c r="T9" i="3"/>
  <c r="S12" i="3"/>
  <c r="L4" i="2" s="1"/>
  <c r="I84" i="3"/>
  <c r="I83" i="3"/>
  <c r="I80" i="3"/>
  <c r="T21" i="3" l="1"/>
  <c r="T14" i="3"/>
  <c r="T36" i="3"/>
  <c r="T37" i="3"/>
  <c r="T58" i="3"/>
  <c r="T64" i="3"/>
  <c r="T43" i="3"/>
  <c r="T51" i="3"/>
  <c r="T57" i="3"/>
  <c r="T44" i="3"/>
  <c r="T50" i="3"/>
  <c r="T85" i="3"/>
  <c r="T72" i="3"/>
  <c r="T78" i="3"/>
  <c r="T65" i="3"/>
  <c r="T71" i="3"/>
  <c r="T79" i="3"/>
  <c r="T92" i="3"/>
  <c r="T93" i="3"/>
  <c r="T22" i="3"/>
  <c r="T29" i="3"/>
  <c r="T15" i="3"/>
  <c r="M7" i="2" s="1"/>
  <c r="T30" i="3"/>
  <c r="T86" i="3"/>
  <c r="T18" i="3"/>
  <c r="T16" i="3"/>
  <c r="M8" i="2" s="1"/>
  <c r="T53" i="3"/>
  <c r="T91" i="3"/>
  <c r="T89" i="3"/>
  <c r="T23" i="3"/>
  <c r="T90" i="3"/>
  <c r="T88" i="3"/>
  <c r="T87" i="3"/>
  <c r="T42" i="3"/>
  <c r="T52" i="3"/>
  <c r="T46" i="3"/>
  <c r="T62" i="3"/>
  <c r="T41" i="3"/>
  <c r="T70" i="3"/>
  <c r="T66" i="3"/>
  <c r="T76" i="3"/>
  <c r="T82" i="3"/>
  <c r="T75" i="3"/>
  <c r="T61" i="3"/>
  <c r="T38" i="3"/>
  <c r="T34" i="3"/>
  <c r="T45" i="3"/>
  <c r="T27" i="3"/>
  <c r="T73" i="3"/>
  <c r="T59" i="3"/>
  <c r="T67" i="3"/>
  <c r="T40" i="3"/>
  <c r="T68" i="3"/>
  <c r="T56" i="3"/>
  <c r="T47" i="3"/>
  <c r="T74" i="3"/>
  <c r="T60" i="3"/>
  <c r="T55" i="3"/>
  <c r="T48" i="3"/>
  <c r="T39" i="3"/>
  <c r="T63" i="3"/>
  <c r="T49" i="3"/>
  <c r="T69" i="3"/>
  <c r="T19" i="3"/>
  <c r="T77" i="3"/>
  <c r="T54" i="3"/>
  <c r="T20" i="3"/>
  <c r="B2" i="9"/>
  <c r="U9" i="3"/>
  <c r="T12" i="3"/>
  <c r="M4" i="2" s="1"/>
  <c r="G25" i="3"/>
  <c r="G26" i="3"/>
  <c r="G28" i="3"/>
  <c r="G31" i="3"/>
  <c r="G32" i="3"/>
  <c r="G81" i="3"/>
  <c r="G24" i="3"/>
  <c r="G33" i="3"/>
  <c r="G83" i="3"/>
  <c r="G80" i="3"/>
  <c r="G35" i="3"/>
  <c r="G84" i="3"/>
  <c r="U21" i="3" l="1"/>
  <c r="U14" i="3"/>
  <c r="N31" i="3"/>
  <c r="N24" i="3"/>
  <c r="P24" i="3"/>
  <c r="O24" i="3"/>
  <c r="Q24" i="3"/>
  <c r="R24" i="3"/>
  <c r="S24" i="3"/>
  <c r="T24" i="3"/>
  <c r="U24" i="3"/>
  <c r="O31" i="3"/>
  <c r="P31" i="3"/>
  <c r="Q31" i="3"/>
  <c r="R31" i="3"/>
  <c r="S31" i="3"/>
  <c r="T31" i="3"/>
  <c r="U31" i="3"/>
  <c r="N80" i="3"/>
  <c r="O80" i="3"/>
  <c r="U80" i="3"/>
  <c r="P80" i="3"/>
  <c r="S80" i="3"/>
  <c r="M80" i="3"/>
  <c r="T80" i="3"/>
  <c r="Q80" i="3"/>
  <c r="R80" i="3"/>
  <c r="U36" i="3"/>
  <c r="U37" i="3"/>
  <c r="N35" i="3"/>
  <c r="R35" i="3"/>
  <c r="O35" i="3"/>
  <c r="S35" i="3"/>
  <c r="P35" i="3"/>
  <c r="T35" i="3"/>
  <c r="Q35" i="3"/>
  <c r="U35" i="3"/>
  <c r="U44" i="3"/>
  <c r="U50" i="3"/>
  <c r="U58" i="3"/>
  <c r="U64" i="3"/>
  <c r="U43" i="3"/>
  <c r="U51" i="3"/>
  <c r="U57" i="3"/>
  <c r="U65" i="3"/>
  <c r="U71" i="3"/>
  <c r="U79" i="3"/>
  <c r="U85" i="3"/>
  <c r="U72" i="3"/>
  <c r="U78" i="3"/>
  <c r="U92" i="3"/>
  <c r="U93" i="3"/>
  <c r="U22" i="3"/>
  <c r="U30" i="3"/>
  <c r="U86" i="3"/>
  <c r="U29" i="3"/>
  <c r="U15" i="3"/>
  <c r="N7" i="2" s="1"/>
  <c r="U18" i="3"/>
  <c r="U16" i="3"/>
  <c r="N8" i="2" s="1"/>
  <c r="U23" i="3"/>
  <c r="U87" i="3"/>
  <c r="U53" i="3"/>
  <c r="U52" i="3"/>
  <c r="U91" i="3"/>
  <c r="U89" i="3"/>
  <c r="U90" i="3"/>
  <c r="U88" i="3"/>
  <c r="U42" i="3"/>
  <c r="U61" i="3"/>
  <c r="U76" i="3"/>
  <c r="U62" i="3"/>
  <c r="U46" i="3"/>
  <c r="U70" i="3"/>
  <c r="U41" i="3"/>
  <c r="U82" i="3"/>
  <c r="U75" i="3"/>
  <c r="U66" i="3"/>
  <c r="U47" i="3"/>
  <c r="U69" i="3"/>
  <c r="U73" i="3"/>
  <c r="U59" i="3"/>
  <c r="U54" i="3"/>
  <c r="U38" i="3"/>
  <c r="U45" i="3"/>
  <c r="U27" i="3"/>
  <c r="U39" i="3"/>
  <c r="U77" i="3"/>
  <c r="U56" i="3"/>
  <c r="U67" i="3"/>
  <c r="U40" i="3"/>
  <c r="U60" i="3"/>
  <c r="U48" i="3"/>
  <c r="U68" i="3"/>
  <c r="U34" i="3"/>
  <c r="U49" i="3"/>
  <c r="U74" i="3"/>
  <c r="U55" i="3"/>
  <c r="U19" i="3"/>
  <c r="U63" i="3"/>
  <c r="U20" i="3"/>
  <c r="Q32" i="3"/>
  <c r="U32" i="3"/>
  <c r="N32" i="3"/>
  <c r="R32" i="3"/>
  <c r="O32" i="3"/>
  <c r="S32" i="3"/>
  <c r="P32" i="3"/>
  <c r="T32" i="3"/>
  <c r="O33" i="3"/>
  <c r="S33" i="3"/>
  <c r="P33" i="3"/>
  <c r="T33" i="3"/>
  <c r="Q33" i="3"/>
  <c r="U33" i="3"/>
  <c r="N33" i="3"/>
  <c r="R33" i="3"/>
  <c r="P84" i="3"/>
  <c r="T84" i="3"/>
  <c r="M84" i="3"/>
  <c r="Q84" i="3"/>
  <c r="U84" i="3"/>
  <c r="N84" i="3"/>
  <c r="R84" i="3"/>
  <c r="O84" i="3"/>
  <c r="S84" i="3"/>
  <c r="Q28" i="3"/>
  <c r="U28" i="3"/>
  <c r="N28" i="3"/>
  <c r="R28" i="3"/>
  <c r="O28" i="3"/>
  <c r="S28" i="3"/>
  <c r="P28" i="3"/>
  <c r="T28" i="3"/>
  <c r="N81" i="3"/>
  <c r="R81" i="3"/>
  <c r="O81" i="3"/>
  <c r="S81" i="3"/>
  <c r="P81" i="3"/>
  <c r="T81" i="3"/>
  <c r="M81" i="3"/>
  <c r="Q81" i="3"/>
  <c r="U81" i="3"/>
  <c r="Q26" i="3"/>
  <c r="U26" i="3"/>
  <c r="N26" i="3"/>
  <c r="R26" i="3"/>
  <c r="O26" i="3"/>
  <c r="S26" i="3"/>
  <c r="P26" i="3"/>
  <c r="T26" i="3"/>
  <c r="N83" i="3"/>
  <c r="R83" i="3"/>
  <c r="O83" i="3"/>
  <c r="S83" i="3"/>
  <c r="P83" i="3"/>
  <c r="T83" i="3"/>
  <c r="M83" i="3"/>
  <c r="Q83" i="3"/>
  <c r="U83" i="3"/>
  <c r="O25" i="3"/>
  <c r="S25" i="3"/>
  <c r="P25" i="3"/>
  <c r="T25" i="3"/>
  <c r="Q25" i="3"/>
  <c r="U25" i="3"/>
  <c r="N25" i="3"/>
  <c r="R25" i="3"/>
  <c r="V9" i="3"/>
  <c r="U12" i="3"/>
  <c r="N4" i="2" s="1"/>
  <c r="B4" i="10"/>
  <c r="B2" i="10"/>
  <c r="G13" i="3"/>
  <c r="B6" i="9"/>
  <c r="B4" i="9"/>
  <c r="B2" i="17"/>
  <c r="B3" i="17"/>
  <c r="B6" i="17"/>
  <c r="G11" i="3"/>
  <c r="B5" i="17"/>
  <c r="B3" i="10"/>
  <c r="G10" i="3"/>
  <c r="B6" i="10"/>
  <c r="G17" i="3"/>
  <c r="B3" i="9"/>
  <c r="M11" i="3" l="1"/>
  <c r="T17" i="3"/>
  <c r="U17" i="3"/>
  <c r="O17" i="3"/>
  <c r="P17" i="3"/>
  <c r="R17" i="3"/>
  <c r="V17" i="3"/>
  <c r="N17" i="3"/>
  <c r="Q17" i="3"/>
  <c r="S17" i="3"/>
  <c r="V24" i="3"/>
  <c r="V21" i="3"/>
  <c r="V14" i="3"/>
  <c r="O6" i="2" s="1"/>
  <c r="M17" i="3"/>
  <c r="G2" i="2"/>
  <c r="O10" i="3"/>
  <c r="Q10" i="3"/>
  <c r="R10" i="3"/>
  <c r="S10" i="3"/>
  <c r="T10" i="3"/>
  <c r="P10" i="3"/>
  <c r="U10" i="3"/>
  <c r="V10" i="3"/>
  <c r="V31" i="3"/>
  <c r="V80" i="3"/>
  <c r="F2" i="2"/>
  <c r="V35" i="3"/>
  <c r="V36" i="3"/>
  <c r="V37" i="3"/>
  <c r="V28" i="3"/>
  <c r="V83" i="3"/>
  <c r="V26" i="3"/>
  <c r="V32" i="3"/>
  <c r="V57" i="3"/>
  <c r="V44" i="3"/>
  <c r="V50" i="3"/>
  <c r="V58" i="3"/>
  <c r="V43" i="3"/>
  <c r="V51" i="3"/>
  <c r="V65" i="3"/>
  <c r="V71" i="3"/>
  <c r="V79" i="3"/>
  <c r="V85" i="3"/>
  <c r="V64" i="3"/>
  <c r="V72" i="3"/>
  <c r="V78" i="3"/>
  <c r="V93" i="3"/>
  <c r="V92" i="3"/>
  <c r="V22" i="3"/>
  <c r="V86" i="3"/>
  <c r="V30" i="3"/>
  <c r="V29" i="3"/>
  <c r="V15" i="3"/>
  <c r="O7" i="2" s="1"/>
  <c r="V18" i="3"/>
  <c r="V16" i="3"/>
  <c r="O8" i="2" s="1"/>
  <c r="V23" i="3"/>
  <c r="V90" i="3"/>
  <c r="V42" i="3"/>
  <c r="V88" i="3"/>
  <c r="V87" i="3"/>
  <c r="V91" i="3"/>
  <c r="V53" i="3"/>
  <c r="V89" i="3"/>
  <c r="V76" i="3"/>
  <c r="V52" i="3"/>
  <c r="V61" i="3"/>
  <c r="V56" i="3"/>
  <c r="V62" i="3"/>
  <c r="V82" i="3"/>
  <c r="V75" i="3"/>
  <c r="V70" i="3"/>
  <c r="V66" i="3"/>
  <c r="V46" i="3"/>
  <c r="V41" i="3"/>
  <c r="V47" i="3"/>
  <c r="V34" i="3"/>
  <c r="V49" i="3"/>
  <c r="V74" i="3"/>
  <c r="V73" i="3"/>
  <c r="V63" i="3"/>
  <c r="V45" i="3"/>
  <c r="V40" i="3"/>
  <c r="V69" i="3"/>
  <c r="V48" i="3"/>
  <c r="V68" i="3"/>
  <c r="V59" i="3"/>
  <c r="V54" i="3"/>
  <c r="V38" i="3"/>
  <c r="V27" i="3"/>
  <c r="V19" i="3"/>
  <c r="V39" i="3"/>
  <c r="V67" i="3"/>
  <c r="V60" i="3"/>
  <c r="V55" i="3"/>
  <c r="V77" i="3"/>
  <c r="V20" i="3"/>
  <c r="V84" i="3"/>
  <c r="V25" i="3"/>
  <c r="V81" i="3"/>
  <c r="V33" i="3"/>
  <c r="W9" i="3"/>
  <c r="V12" i="3"/>
  <c r="O4" i="2" s="1"/>
  <c r="N11" i="3"/>
  <c r="G3" i="2" s="1"/>
  <c r="V11" i="3"/>
  <c r="O3" i="2" s="1"/>
  <c r="O11" i="3"/>
  <c r="H3" i="2" s="1"/>
  <c r="P11" i="3"/>
  <c r="I3" i="2" s="1"/>
  <c r="Q11" i="3"/>
  <c r="J3" i="2" s="1"/>
  <c r="R11" i="3"/>
  <c r="K3" i="2" s="1"/>
  <c r="F3" i="2"/>
  <c r="S11" i="3"/>
  <c r="L3" i="2" s="1"/>
  <c r="T11" i="3"/>
  <c r="M3" i="2" s="1"/>
  <c r="U11" i="3"/>
  <c r="N3" i="2" s="1"/>
  <c r="S13" i="3"/>
  <c r="L5" i="2" s="1"/>
  <c r="T13" i="3"/>
  <c r="M5" i="2" s="1"/>
  <c r="M13" i="3"/>
  <c r="F5" i="2" s="1"/>
  <c r="U13" i="3"/>
  <c r="N5" i="2" s="1"/>
  <c r="N13" i="3"/>
  <c r="G5" i="2" s="1"/>
  <c r="V13" i="3"/>
  <c r="O5" i="2" s="1"/>
  <c r="O13" i="3"/>
  <c r="H5" i="2" s="1"/>
  <c r="P13" i="3"/>
  <c r="I5" i="2" s="1"/>
  <c r="R13" i="3"/>
  <c r="K5" i="2" s="1"/>
  <c r="Q13" i="3"/>
  <c r="J5" i="2" s="1"/>
  <c r="L6" i="2"/>
  <c r="M6" i="2"/>
  <c r="N6" i="2"/>
  <c r="G6" i="2"/>
  <c r="H6" i="2"/>
  <c r="J6" i="2"/>
  <c r="K6" i="2"/>
  <c r="I6" i="2"/>
  <c r="B3" i="8"/>
  <c r="B6" i="8"/>
  <c r="B2" i="8"/>
  <c r="I2" i="2" l="1"/>
  <c r="W17" i="3"/>
  <c r="M2" i="2"/>
  <c r="K2" i="2"/>
  <c r="N2" i="2"/>
  <c r="L2" i="2"/>
  <c r="W21" i="3"/>
  <c r="W14" i="3"/>
  <c r="P6" i="2" s="1"/>
  <c r="J2" i="2"/>
  <c r="H2" i="2"/>
  <c r="O2" i="2"/>
  <c r="W24" i="3"/>
  <c r="W10" i="3"/>
  <c r="W31" i="3"/>
  <c r="W13" i="3"/>
  <c r="P5" i="2" s="1"/>
  <c r="W80" i="3"/>
  <c r="W36" i="3"/>
  <c r="W37" i="3"/>
  <c r="W11" i="3"/>
  <c r="P3" i="2" s="1"/>
  <c r="W35" i="3"/>
  <c r="W32" i="3"/>
  <c r="W28" i="3"/>
  <c r="W25" i="3"/>
  <c r="W29" i="3"/>
  <c r="W43" i="3"/>
  <c r="W51" i="3"/>
  <c r="W57" i="3"/>
  <c r="W44" i="3"/>
  <c r="W50" i="3"/>
  <c r="W58" i="3"/>
  <c r="W64" i="3"/>
  <c r="W72" i="3"/>
  <c r="W78" i="3"/>
  <c r="W86" i="3"/>
  <c r="W65" i="3"/>
  <c r="W71" i="3"/>
  <c r="W79" i="3"/>
  <c r="W85" i="3"/>
  <c r="W93" i="3"/>
  <c r="W92" i="3"/>
  <c r="W22" i="3"/>
  <c r="W30" i="3"/>
  <c r="W15" i="3"/>
  <c r="P7" i="2" s="1"/>
  <c r="W18" i="3"/>
  <c r="W16" i="3"/>
  <c r="P8" i="2" s="1"/>
  <c r="W23" i="3"/>
  <c r="W90" i="3"/>
  <c r="W53" i="3"/>
  <c r="W91" i="3"/>
  <c r="W89" i="3"/>
  <c r="W88" i="3"/>
  <c r="W87" i="3"/>
  <c r="W42" i="3"/>
  <c r="W76" i="3"/>
  <c r="W61" i="3"/>
  <c r="W52" i="3"/>
  <c r="W46" i="3"/>
  <c r="W75" i="3"/>
  <c r="W62" i="3"/>
  <c r="W41" i="3"/>
  <c r="W82" i="3"/>
  <c r="W70" i="3"/>
  <c r="W66" i="3"/>
  <c r="W34" i="3"/>
  <c r="W49" i="3"/>
  <c r="W40" i="3"/>
  <c r="W19" i="3"/>
  <c r="W48" i="3"/>
  <c r="W47" i="3"/>
  <c r="W38" i="3"/>
  <c r="W69" i="3"/>
  <c r="W73" i="3"/>
  <c r="W59" i="3"/>
  <c r="W54" i="3"/>
  <c r="W45" i="3"/>
  <c r="W27" i="3"/>
  <c r="W77" i="3"/>
  <c r="W68" i="3"/>
  <c r="W56" i="3"/>
  <c r="W67" i="3"/>
  <c r="W74" i="3"/>
  <c r="W60" i="3"/>
  <c r="W55" i="3"/>
  <c r="W39" i="3"/>
  <c r="W63" i="3"/>
  <c r="W20" i="3"/>
  <c r="W81" i="3"/>
  <c r="W84" i="3"/>
  <c r="W33" i="3"/>
  <c r="W26" i="3"/>
  <c r="W83" i="3"/>
  <c r="X9" i="3"/>
  <c r="W12" i="3"/>
  <c r="P4" i="2" s="1"/>
  <c r="X17" i="3" l="1"/>
  <c r="X21" i="3"/>
  <c r="X14" i="3"/>
  <c r="Q6" i="2" s="1"/>
  <c r="X24" i="3"/>
  <c r="P2" i="2"/>
  <c r="X10" i="3"/>
  <c r="X31" i="3"/>
  <c r="X80" i="3"/>
  <c r="X36" i="3"/>
  <c r="X37" i="3"/>
  <c r="X58" i="3"/>
  <c r="X64" i="3"/>
  <c r="X43" i="3"/>
  <c r="X51" i="3"/>
  <c r="X57" i="3"/>
  <c r="X44" i="3"/>
  <c r="X50" i="3"/>
  <c r="X85" i="3"/>
  <c r="X72" i="3"/>
  <c r="X78" i="3"/>
  <c r="X65" i="3"/>
  <c r="X71" i="3"/>
  <c r="X79" i="3"/>
  <c r="X92" i="3"/>
  <c r="X22" i="3"/>
  <c r="X93" i="3"/>
  <c r="X29" i="3"/>
  <c r="X30" i="3"/>
  <c r="X86" i="3"/>
  <c r="X15" i="3"/>
  <c r="Q7" i="2" s="1"/>
  <c r="X18" i="3"/>
  <c r="X23" i="3"/>
  <c r="X16" i="3"/>
  <c r="Q8" i="2" s="1"/>
  <c r="X42" i="3"/>
  <c r="X53" i="3"/>
  <c r="X87" i="3"/>
  <c r="X91" i="3"/>
  <c r="X89" i="3"/>
  <c r="X90" i="3"/>
  <c r="X88" i="3"/>
  <c r="X76" i="3"/>
  <c r="X82" i="3"/>
  <c r="X61" i="3"/>
  <c r="X46" i="3"/>
  <c r="X75" i="3"/>
  <c r="X62" i="3"/>
  <c r="X41" i="3"/>
  <c r="X70" i="3"/>
  <c r="X52" i="3"/>
  <c r="X66" i="3"/>
  <c r="X47" i="3"/>
  <c r="X49" i="3"/>
  <c r="X19" i="3"/>
  <c r="X48" i="3"/>
  <c r="X77" i="3"/>
  <c r="X40" i="3"/>
  <c r="X69" i="3"/>
  <c r="X73" i="3"/>
  <c r="X59" i="3"/>
  <c r="X34" i="3"/>
  <c r="X45" i="3"/>
  <c r="X27" i="3"/>
  <c r="X68" i="3"/>
  <c r="X56" i="3"/>
  <c r="X38" i="3"/>
  <c r="X67" i="3"/>
  <c r="X74" i="3"/>
  <c r="X60" i="3"/>
  <c r="X55" i="3"/>
  <c r="X39" i="3"/>
  <c r="X63" i="3"/>
  <c r="X20" i="3"/>
  <c r="X54" i="3"/>
  <c r="X84" i="3"/>
  <c r="X81" i="3"/>
  <c r="X33" i="3"/>
  <c r="X26" i="3"/>
  <c r="X83" i="3"/>
  <c r="X28" i="3"/>
  <c r="X32" i="3"/>
  <c r="X35" i="3"/>
  <c r="X25" i="3"/>
  <c r="Y9" i="3"/>
  <c r="X12" i="3"/>
  <c r="Q4" i="2" s="1"/>
  <c r="X13" i="3"/>
  <c r="Q5" i="2" s="1"/>
  <c r="X11" i="3"/>
  <c r="Q3" i="2" s="1"/>
  <c r="Y21" i="3" l="1"/>
  <c r="Y14" i="3"/>
  <c r="Y17" i="3"/>
  <c r="Q2" i="2"/>
  <c r="Y24" i="3"/>
  <c r="Y31" i="3"/>
  <c r="R6" i="2"/>
  <c r="Y10" i="3"/>
  <c r="Y80" i="3"/>
  <c r="Y25" i="3"/>
  <c r="Y32" i="3"/>
  <c r="Y11" i="3"/>
  <c r="R3" i="2" s="1"/>
  <c r="Y35" i="3"/>
  <c r="Y36" i="3"/>
  <c r="Y37" i="3"/>
  <c r="Y44" i="3"/>
  <c r="Y50" i="3"/>
  <c r="Y58" i="3"/>
  <c r="Y64" i="3"/>
  <c r="Y43" i="3"/>
  <c r="Y51" i="3"/>
  <c r="Y57" i="3"/>
  <c r="Y65" i="3"/>
  <c r="Y71" i="3"/>
  <c r="Y79" i="3"/>
  <c r="Y85" i="3"/>
  <c r="Y72" i="3"/>
  <c r="Y78" i="3"/>
  <c r="Y92" i="3"/>
  <c r="Y93" i="3"/>
  <c r="Y30" i="3"/>
  <c r="Y86" i="3"/>
  <c r="Y22" i="3"/>
  <c r="Y29" i="3"/>
  <c r="Y15" i="3"/>
  <c r="R7" i="2" s="1"/>
  <c r="Y18" i="3"/>
  <c r="Y23" i="3"/>
  <c r="Y16" i="3"/>
  <c r="R8" i="2" s="1"/>
  <c r="Y90" i="3"/>
  <c r="Y87" i="3"/>
  <c r="Y42" i="3"/>
  <c r="Y88" i="3"/>
  <c r="Y53" i="3"/>
  <c r="Y91" i="3"/>
  <c r="Y89" i="3"/>
  <c r="Y82" i="3"/>
  <c r="Y75" i="3"/>
  <c r="Y66" i="3"/>
  <c r="Y61" i="3"/>
  <c r="Y76" i="3"/>
  <c r="Y62" i="3"/>
  <c r="Y46" i="3"/>
  <c r="Y70" i="3"/>
  <c r="Y52" i="3"/>
  <c r="Y41" i="3"/>
  <c r="Y34" i="3"/>
  <c r="Y49" i="3"/>
  <c r="Y74" i="3"/>
  <c r="Y55" i="3"/>
  <c r="Y73" i="3"/>
  <c r="Y63" i="3"/>
  <c r="Y47" i="3"/>
  <c r="Y69" i="3"/>
  <c r="Y59" i="3"/>
  <c r="Y38" i="3"/>
  <c r="Y45" i="3"/>
  <c r="Y40" i="3"/>
  <c r="Y27" i="3"/>
  <c r="Y39" i="3"/>
  <c r="Y77" i="3"/>
  <c r="Y56" i="3"/>
  <c r="Y67" i="3"/>
  <c r="Y60" i="3"/>
  <c r="Y19" i="3"/>
  <c r="Y48" i="3"/>
  <c r="Y68" i="3"/>
  <c r="Y20" i="3"/>
  <c r="Y54" i="3"/>
  <c r="Y84" i="3"/>
  <c r="Y81" i="3"/>
  <c r="Y26" i="3"/>
  <c r="Y33" i="3"/>
  <c r="Y83" i="3"/>
  <c r="Y28" i="3"/>
  <c r="Z9" i="3"/>
  <c r="Y12" i="3"/>
  <c r="R4" i="2" s="1"/>
  <c r="Y13" i="3"/>
  <c r="R5" i="2" s="1"/>
  <c r="R2" i="2" l="1"/>
  <c r="Z17" i="3"/>
  <c r="Z24" i="3"/>
  <c r="Z21" i="3"/>
  <c r="Z14" i="3"/>
  <c r="S6" i="2" s="1"/>
  <c r="Z10" i="3"/>
  <c r="Z31" i="3"/>
  <c r="Z80" i="3"/>
  <c r="Z36" i="3"/>
  <c r="Z37" i="3"/>
  <c r="Z57" i="3"/>
  <c r="Z44" i="3"/>
  <c r="Z50" i="3"/>
  <c r="Z58" i="3"/>
  <c r="Z43" i="3"/>
  <c r="Z51" i="3"/>
  <c r="Z64" i="3"/>
  <c r="Z65" i="3"/>
  <c r="Z71" i="3"/>
  <c r="Z79" i="3"/>
  <c r="Z85" i="3"/>
  <c r="Z72" i="3"/>
  <c r="Z78" i="3"/>
  <c r="Z93" i="3"/>
  <c r="Z92" i="3"/>
  <c r="Z22" i="3"/>
  <c r="Z30" i="3"/>
  <c r="Z29" i="3"/>
  <c r="Z86" i="3"/>
  <c r="Z15" i="3"/>
  <c r="S7" i="2" s="1"/>
  <c r="Z18" i="3"/>
  <c r="Z16" i="3"/>
  <c r="S8" i="2" s="1"/>
  <c r="Z23" i="3"/>
  <c r="Z88" i="3"/>
  <c r="Z90" i="3"/>
  <c r="Z42" i="3"/>
  <c r="Z87" i="3"/>
  <c r="Z91" i="3"/>
  <c r="Z53" i="3"/>
  <c r="Z89" i="3"/>
  <c r="Z52" i="3"/>
  <c r="Z75" i="3"/>
  <c r="Z66" i="3"/>
  <c r="Z76" i="3"/>
  <c r="Z46" i="3"/>
  <c r="Z41" i="3"/>
  <c r="Z70" i="3"/>
  <c r="Z61" i="3"/>
  <c r="Z62" i="3"/>
  <c r="Z82" i="3"/>
  <c r="Z47" i="3"/>
  <c r="Z67" i="3"/>
  <c r="Z60" i="3"/>
  <c r="Z77" i="3"/>
  <c r="Z73" i="3"/>
  <c r="Z56" i="3"/>
  <c r="Z34" i="3"/>
  <c r="Z49" i="3"/>
  <c r="Z45" i="3"/>
  <c r="Z74" i="3"/>
  <c r="Z63" i="3"/>
  <c r="Z40" i="3"/>
  <c r="Z69" i="3"/>
  <c r="Z39" i="3"/>
  <c r="Z59" i="3"/>
  <c r="Z54" i="3"/>
  <c r="Z38" i="3"/>
  <c r="Z55" i="3"/>
  <c r="Z27" i="3"/>
  <c r="Z19" i="3"/>
  <c r="Z48" i="3"/>
  <c r="Z68" i="3"/>
  <c r="Z20" i="3"/>
  <c r="Z33" i="3"/>
  <c r="Z81" i="3"/>
  <c r="Z84" i="3"/>
  <c r="Z26" i="3"/>
  <c r="Z83" i="3"/>
  <c r="Z28" i="3"/>
  <c r="Z25" i="3"/>
  <c r="Z32" i="3"/>
  <c r="Z35" i="3"/>
  <c r="AA9" i="3"/>
  <c r="Z12" i="3"/>
  <c r="S4" i="2" s="1"/>
  <c r="Z13" i="3"/>
  <c r="S5" i="2" s="1"/>
  <c r="Z11" i="3"/>
  <c r="S3" i="2" s="1"/>
  <c r="AA14" i="3" l="1"/>
  <c r="T6" i="2" s="1"/>
  <c r="AA21" i="3"/>
  <c r="S2" i="2"/>
  <c r="AA24" i="3"/>
  <c r="AA17" i="3"/>
  <c r="AA31" i="3"/>
  <c r="AA10" i="3"/>
  <c r="AA80" i="3"/>
  <c r="AA11" i="3"/>
  <c r="T3" i="2" s="1"/>
  <c r="AA36" i="3"/>
  <c r="AA37" i="3"/>
  <c r="AA25" i="3"/>
  <c r="AA28" i="3"/>
  <c r="AA32" i="3"/>
  <c r="AA43" i="3"/>
  <c r="AA51" i="3"/>
  <c r="AA57" i="3"/>
  <c r="AA44" i="3"/>
  <c r="AA50" i="3"/>
  <c r="AA58" i="3"/>
  <c r="AA72" i="3"/>
  <c r="AA78" i="3"/>
  <c r="AA64" i="3"/>
  <c r="AA65" i="3"/>
  <c r="AA71" i="3"/>
  <c r="AA79" i="3"/>
  <c r="AA85" i="3"/>
  <c r="AA86" i="3"/>
  <c r="AA93" i="3"/>
  <c r="AA92" i="3"/>
  <c r="AA22" i="3"/>
  <c r="AA30" i="3"/>
  <c r="AA29" i="3"/>
  <c r="AA15" i="3"/>
  <c r="T7" i="2" s="1"/>
  <c r="AA18" i="3"/>
  <c r="AA16" i="3"/>
  <c r="T8" i="2" s="1"/>
  <c r="AA23" i="3"/>
  <c r="AA90" i="3"/>
  <c r="AA87" i="3"/>
  <c r="AA53" i="3"/>
  <c r="AA88" i="3"/>
  <c r="AA91" i="3"/>
  <c r="AA89" i="3"/>
  <c r="AA42" i="3"/>
  <c r="AA52" i="3"/>
  <c r="AA82" i="3"/>
  <c r="AA66" i="3"/>
  <c r="AA76" i="3"/>
  <c r="AA61" i="3"/>
  <c r="AA46" i="3"/>
  <c r="AA62" i="3"/>
  <c r="AA41" i="3"/>
  <c r="AA75" i="3"/>
  <c r="AA70" i="3"/>
  <c r="AA56" i="3"/>
  <c r="AA67" i="3"/>
  <c r="AA60" i="3"/>
  <c r="AA19" i="3"/>
  <c r="AA39" i="3"/>
  <c r="AA63" i="3"/>
  <c r="AA38" i="3"/>
  <c r="AA34" i="3"/>
  <c r="AA49" i="3"/>
  <c r="AA40" i="3"/>
  <c r="AA47" i="3"/>
  <c r="AA69" i="3"/>
  <c r="AA48" i="3"/>
  <c r="AA73" i="3"/>
  <c r="AA59" i="3"/>
  <c r="AA45" i="3"/>
  <c r="AA74" i="3"/>
  <c r="AA55" i="3"/>
  <c r="AA27" i="3"/>
  <c r="AA77" i="3"/>
  <c r="AA68" i="3"/>
  <c r="AA54" i="3"/>
  <c r="AA20" i="3"/>
  <c r="AA81" i="3"/>
  <c r="AA84" i="3"/>
  <c r="AA33" i="3"/>
  <c r="AA26" i="3"/>
  <c r="AA83" i="3"/>
  <c r="AA35" i="3"/>
  <c r="AB9" i="3"/>
  <c r="AA12" i="3"/>
  <c r="T4" i="2" s="1"/>
  <c r="AA13" i="3"/>
  <c r="T5" i="2" s="1"/>
  <c r="AB21" i="3" l="1"/>
  <c r="AB14" i="3"/>
  <c r="U6" i="2" s="1"/>
  <c r="AB24" i="3"/>
  <c r="AB17" i="3"/>
  <c r="AB31" i="3"/>
  <c r="T2" i="2"/>
  <c r="AB10" i="3"/>
  <c r="AB80" i="3"/>
  <c r="AB36" i="3"/>
  <c r="AB37" i="3"/>
  <c r="AB58" i="3"/>
  <c r="AB43" i="3"/>
  <c r="AB51" i="3"/>
  <c r="AB57" i="3"/>
  <c r="AB44" i="3"/>
  <c r="AB50" i="3"/>
  <c r="AB85" i="3"/>
  <c r="AB72" i="3"/>
  <c r="AB78" i="3"/>
  <c r="AB64" i="3"/>
  <c r="AB65" i="3"/>
  <c r="AB71" i="3"/>
  <c r="AB79" i="3"/>
  <c r="AB92" i="3"/>
  <c r="AB93" i="3"/>
  <c r="AB22" i="3"/>
  <c r="AB30" i="3"/>
  <c r="AB86" i="3"/>
  <c r="AB29" i="3"/>
  <c r="AB15" i="3"/>
  <c r="U7" i="2" s="1"/>
  <c r="AB18" i="3"/>
  <c r="AB23" i="3"/>
  <c r="AB16" i="3"/>
  <c r="U8" i="2" s="1"/>
  <c r="AB90" i="3"/>
  <c r="AB88" i="3"/>
  <c r="AB52" i="3"/>
  <c r="AB53" i="3"/>
  <c r="AB42" i="3"/>
  <c r="AB91" i="3"/>
  <c r="AB89" i="3"/>
  <c r="AB87" i="3"/>
  <c r="AB66" i="3"/>
  <c r="AB76" i="3"/>
  <c r="AB46" i="3"/>
  <c r="AB82" i="3"/>
  <c r="AB61" i="3"/>
  <c r="AB75" i="3"/>
  <c r="AB62" i="3"/>
  <c r="AB41" i="3"/>
  <c r="AB70" i="3"/>
  <c r="AB34" i="3"/>
  <c r="AB49" i="3"/>
  <c r="AB60" i="3"/>
  <c r="AB55" i="3"/>
  <c r="AB27" i="3"/>
  <c r="AB39" i="3"/>
  <c r="AB63" i="3"/>
  <c r="AB54" i="3"/>
  <c r="AB38" i="3"/>
  <c r="AB67" i="3"/>
  <c r="AB45" i="3"/>
  <c r="AB19" i="3"/>
  <c r="AB77" i="3"/>
  <c r="AB48" i="3"/>
  <c r="AB73" i="3"/>
  <c r="AB59" i="3"/>
  <c r="AB56" i="3"/>
  <c r="AB47" i="3"/>
  <c r="AB40" i="3"/>
  <c r="AB74" i="3"/>
  <c r="AB69" i="3"/>
  <c r="AB68" i="3"/>
  <c r="AB20" i="3"/>
  <c r="AB84" i="3"/>
  <c r="AB81" i="3"/>
  <c r="AB33" i="3"/>
  <c r="AB26" i="3"/>
  <c r="AB83" i="3"/>
  <c r="AB35" i="3"/>
  <c r="AB28" i="3"/>
  <c r="AB25" i="3"/>
  <c r="AB32" i="3"/>
  <c r="AC9" i="3"/>
  <c r="AB12" i="3"/>
  <c r="U4" i="2" s="1"/>
  <c r="AB13" i="3"/>
  <c r="U5" i="2" s="1"/>
  <c r="AB11" i="3"/>
  <c r="U3" i="2" s="1"/>
  <c r="AC21" i="3" l="1"/>
  <c r="AC14" i="3"/>
  <c r="AC17" i="3"/>
  <c r="AC24" i="3"/>
  <c r="U2" i="2"/>
  <c r="AC10" i="3"/>
  <c r="AC31" i="3"/>
  <c r="AC80" i="3"/>
  <c r="V6" i="2"/>
  <c r="AC11" i="3"/>
  <c r="V3" i="2" s="1"/>
  <c r="AC36" i="3"/>
  <c r="AC37" i="3"/>
  <c r="AC44" i="3"/>
  <c r="AC50" i="3"/>
  <c r="AC58" i="3"/>
  <c r="AC64" i="3"/>
  <c r="AC43" i="3"/>
  <c r="AC51" i="3"/>
  <c r="AC57" i="3"/>
  <c r="AC65" i="3"/>
  <c r="AC71" i="3"/>
  <c r="AC79" i="3"/>
  <c r="AC85" i="3"/>
  <c r="AC72" i="3"/>
  <c r="AC78" i="3"/>
  <c r="AC92" i="3"/>
  <c r="AC93" i="3"/>
  <c r="AC30" i="3"/>
  <c r="AC86" i="3"/>
  <c r="AC29" i="3"/>
  <c r="AC22" i="3"/>
  <c r="AC15" i="3"/>
  <c r="V7" i="2" s="1"/>
  <c r="AC18" i="3"/>
  <c r="AC16" i="3"/>
  <c r="V8" i="2" s="1"/>
  <c r="AC23" i="3"/>
  <c r="AC91" i="3"/>
  <c r="AC89" i="3"/>
  <c r="AC90" i="3"/>
  <c r="AC42" i="3"/>
  <c r="AC87" i="3"/>
  <c r="AC53" i="3"/>
  <c r="AC88" i="3"/>
  <c r="AC41" i="3"/>
  <c r="AC82" i="3"/>
  <c r="AC75" i="3"/>
  <c r="AC66" i="3"/>
  <c r="AC70" i="3"/>
  <c r="AC61" i="3"/>
  <c r="AC52" i="3"/>
  <c r="AC76" i="3"/>
  <c r="AC62" i="3"/>
  <c r="AC46" i="3"/>
  <c r="AC67" i="3"/>
  <c r="AC49" i="3"/>
  <c r="AC60" i="3"/>
  <c r="AC19" i="3"/>
  <c r="AC48" i="3"/>
  <c r="AC68" i="3"/>
  <c r="AC34" i="3"/>
  <c r="AC74" i="3"/>
  <c r="AC55" i="3"/>
  <c r="AC73" i="3"/>
  <c r="AC63" i="3"/>
  <c r="AC54" i="3"/>
  <c r="AC47" i="3"/>
  <c r="AC69" i="3"/>
  <c r="AC39" i="3"/>
  <c r="AC59" i="3"/>
  <c r="AC56" i="3"/>
  <c r="AC38" i="3"/>
  <c r="AC45" i="3"/>
  <c r="AC40" i="3"/>
  <c r="AC27" i="3"/>
  <c r="AC77" i="3"/>
  <c r="AC20" i="3"/>
  <c r="AC33" i="3"/>
  <c r="AC83" i="3"/>
  <c r="AC84" i="3"/>
  <c r="AC81" i="3"/>
  <c r="AC26" i="3"/>
  <c r="AC35" i="3"/>
  <c r="AC25" i="3"/>
  <c r="AC28" i="3"/>
  <c r="AC32" i="3"/>
  <c r="AD9" i="3"/>
  <c r="AC12" i="3"/>
  <c r="V4" i="2" s="1"/>
  <c r="AC13" i="3"/>
  <c r="V5" i="2" s="1"/>
  <c r="AD21" i="3" l="1"/>
  <c r="AD14" i="3"/>
  <c r="AD24" i="3"/>
  <c r="AD17" i="3"/>
  <c r="V2" i="2"/>
  <c r="W6" i="2"/>
  <c r="AD31" i="3"/>
  <c r="AD10" i="3"/>
  <c r="AD80" i="3"/>
  <c r="AD36" i="3"/>
  <c r="AD37" i="3"/>
  <c r="AD57" i="3"/>
  <c r="AD44" i="3"/>
  <c r="AD50" i="3"/>
  <c r="AD58" i="3"/>
  <c r="AD43" i="3"/>
  <c r="AD51" i="3"/>
  <c r="AD65" i="3"/>
  <c r="AD71" i="3"/>
  <c r="AD79" i="3"/>
  <c r="AD85" i="3"/>
  <c r="AD64" i="3"/>
  <c r="AD72" i="3"/>
  <c r="AD78" i="3"/>
  <c r="AD93" i="3"/>
  <c r="AD92" i="3"/>
  <c r="AD30" i="3"/>
  <c r="AD29" i="3"/>
  <c r="AD22" i="3"/>
  <c r="AD86" i="3"/>
  <c r="AD15" i="3"/>
  <c r="W7" i="2" s="1"/>
  <c r="AD18" i="3"/>
  <c r="AD23" i="3"/>
  <c r="AD16" i="3"/>
  <c r="W8" i="2" s="1"/>
  <c r="AD91" i="3"/>
  <c r="AD53" i="3"/>
  <c r="AD89" i="3"/>
  <c r="AD90" i="3"/>
  <c r="AD88" i="3"/>
  <c r="AD42" i="3"/>
  <c r="AD87" i="3"/>
  <c r="AD62" i="3"/>
  <c r="AD46" i="3"/>
  <c r="AD41" i="3"/>
  <c r="AD82" i="3"/>
  <c r="AD66" i="3"/>
  <c r="AD75" i="3"/>
  <c r="AD52" i="3"/>
  <c r="AD76" i="3"/>
  <c r="AD70" i="3"/>
  <c r="AD61" i="3"/>
  <c r="AD38" i="3"/>
  <c r="AD55" i="3"/>
  <c r="AD27" i="3"/>
  <c r="AD19" i="3"/>
  <c r="AD47" i="3"/>
  <c r="AD67" i="3"/>
  <c r="AD60" i="3"/>
  <c r="AD48" i="3"/>
  <c r="AD77" i="3"/>
  <c r="AD73" i="3"/>
  <c r="AD56" i="3"/>
  <c r="AD34" i="3"/>
  <c r="AD49" i="3"/>
  <c r="AD45" i="3"/>
  <c r="AD74" i="3"/>
  <c r="AD68" i="3"/>
  <c r="AD63" i="3"/>
  <c r="AD40" i="3"/>
  <c r="AD69" i="3"/>
  <c r="AD39" i="3"/>
  <c r="AD59" i="3"/>
  <c r="AD54" i="3"/>
  <c r="AD20" i="3"/>
  <c r="AD33" i="3"/>
  <c r="AD26" i="3"/>
  <c r="AD83" i="3"/>
  <c r="AD81" i="3"/>
  <c r="AD84" i="3"/>
  <c r="AD35" i="3"/>
  <c r="AD32" i="3"/>
  <c r="AD28" i="3"/>
  <c r="AD25" i="3"/>
  <c r="AE9" i="3"/>
  <c r="AD12" i="3"/>
  <c r="W4" i="2" s="1"/>
  <c r="AD13" i="3"/>
  <c r="W5" i="2" s="1"/>
  <c r="AD11" i="3"/>
  <c r="W3" i="2" s="1"/>
  <c r="AE21" i="3" l="1"/>
  <c r="AE14" i="3"/>
  <c r="X6" i="2" s="1"/>
  <c r="AE24" i="3"/>
  <c r="AE17" i="3"/>
  <c r="W2" i="2"/>
  <c r="AE10" i="3"/>
  <c r="AE31" i="3"/>
  <c r="AE80" i="3"/>
  <c r="AE11" i="3"/>
  <c r="X3" i="2" s="1"/>
  <c r="AE36" i="3"/>
  <c r="AE37" i="3"/>
  <c r="AE43" i="3"/>
  <c r="AE51" i="3"/>
  <c r="AE57" i="3"/>
  <c r="AE44" i="3"/>
  <c r="AE50" i="3"/>
  <c r="AE58" i="3"/>
  <c r="AE64" i="3"/>
  <c r="AE72" i="3"/>
  <c r="AE78" i="3"/>
  <c r="AE65" i="3"/>
  <c r="AE71" i="3"/>
  <c r="AE79" i="3"/>
  <c r="AE85" i="3"/>
  <c r="AE86" i="3"/>
  <c r="AE93" i="3"/>
  <c r="AE92" i="3"/>
  <c r="AE22" i="3"/>
  <c r="AE29" i="3"/>
  <c r="AE30" i="3"/>
  <c r="AE15" i="3"/>
  <c r="X7" i="2" s="1"/>
  <c r="AE18" i="3"/>
  <c r="AE16" i="3"/>
  <c r="X8" i="2" s="1"/>
  <c r="AE23" i="3"/>
  <c r="AE91" i="3"/>
  <c r="AE89" i="3"/>
  <c r="AE42" i="3"/>
  <c r="AE88" i="3"/>
  <c r="AE87" i="3"/>
  <c r="AE90" i="3"/>
  <c r="AE53" i="3"/>
  <c r="AE62" i="3"/>
  <c r="AE41" i="3"/>
  <c r="AE75" i="3"/>
  <c r="AE70" i="3"/>
  <c r="AE66" i="3"/>
  <c r="AE52" i="3"/>
  <c r="AE76" i="3"/>
  <c r="AE61" i="3"/>
  <c r="AE46" i="3"/>
  <c r="AE82" i="3"/>
  <c r="AE45" i="3"/>
  <c r="AE74" i="3"/>
  <c r="AE55" i="3"/>
  <c r="AE27" i="3"/>
  <c r="AE48" i="3"/>
  <c r="AE77" i="3"/>
  <c r="AE68" i="3"/>
  <c r="AE56" i="3"/>
  <c r="AE67" i="3"/>
  <c r="AE60" i="3"/>
  <c r="AE39" i="3"/>
  <c r="AE63" i="3"/>
  <c r="AE38" i="3"/>
  <c r="AE34" i="3"/>
  <c r="AE49" i="3"/>
  <c r="AE40" i="3"/>
  <c r="AE19" i="3"/>
  <c r="AE47" i="3"/>
  <c r="AE69" i="3"/>
  <c r="AE73" i="3"/>
  <c r="AE59" i="3"/>
  <c r="AE54" i="3"/>
  <c r="AE20" i="3"/>
  <c r="AE33" i="3"/>
  <c r="AE26" i="3"/>
  <c r="AE83" i="3"/>
  <c r="AE81" i="3"/>
  <c r="AE84" i="3"/>
  <c r="AE28" i="3"/>
  <c r="AE35" i="3"/>
  <c r="AE32" i="3"/>
  <c r="AE25" i="3"/>
  <c r="AF9" i="3"/>
  <c r="AE12" i="3"/>
  <c r="X4" i="2" s="1"/>
  <c r="AE13" i="3"/>
  <c r="X5" i="2" s="1"/>
  <c r="AF21" i="3" l="1"/>
  <c r="AF14" i="3"/>
  <c r="Y6" i="2" s="1"/>
  <c r="AF24" i="3"/>
  <c r="AF17" i="3"/>
  <c r="X2" i="2"/>
  <c r="AF10" i="3"/>
  <c r="AF31" i="3"/>
  <c r="AF80" i="3"/>
  <c r="AF36" i="3"/>
  <c r="AF37" i="3"/>
  <c r="AF58" i="3"/>
  <c r="AF43" i="3"/>
  <c r="AF51" i="3"/>
  <c r="AF57" i="3"/>
  <c r="AF44" i="3"/>
  <c r="AF50" i="3"/>
  <c r="AF85" i="3"/>
  <c r="AF64" i="3"/>
  <c r="AF72" i="3"/>
  <c r="AF78" i="3"/>
  <c r="AF65" i="3"/>
  <c r="AF71" i="3"/>
  <c r="AF79" i="3"/>
  <c r="AF92" i="3"/>
  <c r="AF93" i="3"/>
  <c r="AF22" i="3"/>
  <c r="AF29" i="3"/>
  <c r="AF30" i="3"/>
  <c r="AF86" i="3"/>
  <c r="AF15" i="3"/>
  <c r="Y7" i="2" s="1"/>
  <c r="AF18" i="3"/>
  <c r="AF16" i="3"/>
  <c r="Y8" i="2" s="1"/>
  <c r="AF91" i="3"/>
  <c r="AF89" i="3"/>
  <c r="AF90" i="3"/>
  <c r="AF88" i="3"/>
  <c r="AF42" i="3"/>
  <c r="AF87" i="3"/>
  <c r="AF23" i="3"/>
  <c r="AF53" i="3"/>
  <c r="AF52" i="3"/>
  <c r="AF62" i="3"/>
  <c r="AF41" i="3"/>
  <c r="AF70" i="3"/>
  <c r="AF66" i="3"/>
  <c r="AF76" i="3"/>
  <c r="AF46" i="3"/>
  <c r="AF82" i="3"/>
  <c r="AF61" i="3"/>
  <c r="AF75" i="3"/>
  <c r="AF56" i="3"/>
  <c r="AF38" i="3"/>
  <c r="AF67" i="3"/>
  <c r="AF74" i="3"/>
  <c r="AF68" i="3"/>
  <c r="AF47" i="3"/>
  <c r="AF49" i="3"/>
  <c r="AF60" i="3"/>
  <c r="AF55" i="3"/>
  <c r="AF39" i="3"/>
  <c r="AF63" i="3"/>
  <c r="AF40" i="3"/>
  <c r="AF69" i="3"/>
  <c r="AF19" i="3"/>
  <c r="AF77" i="3"/>
  <c r="AF34" i="3"/>
  <c r="AF45" i="3"/>
  <c r="AF27" i="3"/>
  <c r="AF48" i="3"/>
  <c r="AF73" i="3"/>
  <c r="AF59" i="3"/>
  <c r="AF54" i="3"/>
  <c r="AF20" i="3"/>
  <c r="AF33" i="3"/>
  <c r="AF26" i="3"/>
  <c r="AF83" i="3"/>
  <c r="AF84" i="3"/>
  <c r="AF81" i="3"/>
  <c r="AF35" i="3"/>
  <c r="AF32" i="3"/>
  <c r="AF25" i="3"/>
  <c r="AF28" i="3"/>
  <c r="AG9" i="3"/>
  <c r="AF12" i="3"/>
  <c r="Y4" i="2" s="1"/>
  <c r="AF13" i="3"/>
  <c r="Y5" i="2" s="1"/>
  <c r="AF11" i="3"/>
  <c r="Y3" i="2" s="1"/>
  <c r="AG21" i="3" l="1"/>
  <c r="AG14" i="3"/>
  <c r="Z6" i="2" s="1"/>
  <c r="AG17" i="3"/>
  <c r="AG24" i="3"/>
  <c r="Y2" i="2"/>
  <c r="AG10" i="3"/>
  <c r="AG31" i="3"/>
  <c r="AG80" i="3"/>
  <c r="AG11" i="3"/>
  <c r="Z3" i="2" s="1"/>
  <c r="AG36" i="3"/>
  <c r="AG37" i="3"/>
  <c r="AG44" i="3"/>
  <c r="AG50" i="3"/>
  <c r="AG58" i="3"/>
  <c r="AG64" i="3"/>
  <c r="AG43" i="3"/>
  <c r="AG51" i="3"/>
  <c r="AG57" i="3"/>
  <c r="AG65" i="3"/>
  <c r="AG71" i="3"/>
  <c r="AG79" i="3"/>
  <c r="AG85" i="3"/>
  <c r="AG72" i="3"/>
  <c r="AG78" i="3"/>
  <c r="AG92" i="3"/>
  <c r="AG93" i="3"/>
  <c r="AG22" i="3"/>
  <c r="AG86" i="3"/>
  <c r="AG29" i="3"/>
  <c r="AG30" i="3"/>
  <c r="AG15" i="3"/>
  <c r="Z7" i="2" s="1"/>
  <c r="AG18" i="3"/>
  <c r="AG16" i="3"/>
  <c r="Z8" i="2" s="1"/>
  <c r="AG23" i="3"/>
  <c r="AG53" i="3"/>
  <c r="AG87" i="3"/>
  <c r="AG91" i="3"/>
  <c r="AG89" i="3"/>
  <c r="AG90" i="3"/>
  <c r="AG42" i="3"/>
  <c r="AG88" i="3"/>
  <c r="AG52" i="3"/>
  <c r="AG76" i="3"/>
  <c r="AG62" i="3"/>
  <c r="AG46" i="3"/>
  <c r="AG41" i="3"/>
  <c r="AG82" i="3"/>
  <c r="AG75" i="3"/>
  <c r="AG66" i="3"/>
  <c r="AG70" i="3"/>
  <c r="AG61" i="3"/>
  <c r="AG56" i="3"/>
  <c r="AG38" i="3"/>
  <c r="AG45" i="3"/>
  <c r="AG40" i="3"/>
  <c r="AG27" i="3"/>
  <c r="AG77" i="3"/>
  <c r="AG67" i="3"/>
  <c r="AG49" i="3"/>
  <c r="AG60" i="3"/>
  <c r="AG19" i="3"/>
  <c r="AG48" i="3"/>
  <c r="AG73" i="3"/>
  <c r="AG68" i="3"/>
  <c r="AG34" i="3"/>
  <c r="AG74" i="3"/>
  <c r="AG55" i="3"/>
  <c r="AG63" i="3"/>
  <c r="AG47" i="3"/>
  <c r="AG69" i="3"/>
  <c r="AG39" i="3"/>
  <c r="AG59" i="3"/>
  <c r="AG54" i="3"/>
  <c r="AG20" i="3"/>
  <c r="AG26" i="3"/>
  <c r="AG33" i="3"/>
  <c r="AG83" i="3"/>
  <c r="AG84" i="3"/>
  <c r="AG81" i="3"/>
  <c r="AG35" i="3"/>
  <c r="AG28" i="3"/>
  <c r="AG32" i="3"/>
  <c r="AG25" i="3"/>
  <c r="AH9" i="3"/>
  <c r="AG12" i="3"/>
  <c r="Z4" i="2" s="1"/>
  <c r="AG13" i="3"/>
  <c r="Z5" i="2" s="1"/>
  <c r="AH21" i="3" l="1"/>
  <c r="AH14" i="3"/>
  <c r="AA6" i="2" s="1"/>
  <c r="AH17" i="3"/>
  <c r="AH24" i="3"/>
  <c r="Z2" i="2"/>
  <c r="AH10" i="3"/>
  <c r="AH31" i="3"/>
  <c r="AH80" i="3"/>
  <c r="AH36" i="3"/>
  <c r="AH37" i="3"/>
  <c r="AH57" i="3"/>
  <c r="AH44" i="3"/>
  <c r="AH50" i="3"/>
  <c r="AH58" i="3"/>
  <c r="AH43" i="3"/>
  <c r="AH51" i="3"/>
  <c r="AH65" i="3"/>
  <c r="AH71" i="3"/>
  <c r="AH79" i="3"/>
  <c r="AH64" i="3"/>
  <c r="AH85" i="3"/>
  <c r="AH72" i="3"/>
  <c r="AH78" i="3"/>
  <c r="AH93" i="3"/>
  <c r="AH92" i="3"/>
  <c r="AH29" i="3"/>
  <c r="AH86" i="3"/>
  <c r="AH22" i="3"/>
  <c r="AH30" i="3"/>
  <c r="AH15" i="3"/>
  <c r="AA7" i="2" s="1"/>
  <c r="AH18" i="3"/>
  <c r="AH16" i="3"/>
  <c r="AA8" i="2" s="1"/>
  <c r="AH23" i="3"/>
  <c r="AH88" i="3"/>
  <c r="AH87" i="3"/>
  <c r="AH91" i="3"/>
  <c r="AH53" i="3"/>
  <c r="AH89" i="3"/>
  <c r="AH52" i="3"/>
  <c r="AH90" i="3"/>
  <c r="AH42" i="3"/>
  <c r="AH61" i="3"/>
  <c r="AH56" i="3"/>
  <c r="AH62" i="3"/>
  <c r="AH82" i="3"/>
  <c r="AH66" i="3"/>
  <c r="AH46" i="3"/>
  <c r="AH41" i="3"/>
  <c r="AH75" i="3"/>
  <c r="AH76" i="3"/>
  <c r="AH70" i="3"/>
  <c r="AH40" i="3"/>
  <c r="AH69" i="3"/>
  <c r="AH55" i="3"/>
  <c r="AH68" i="3"/>
  <c r="AH59" i="3"/>
  <c r="AH54" i="3"/>
  <c r="AH47" i="3"/>
  <c r="AH38" i="3"/>
  <c r="AH27" i="3"/>
  <c r="AH19" i="3"/>
  <c r="AH73" i="3"/>
  <c r="AH67" i="3"/>
  <c r="AH45" i="3"/>
  <c r="AH60" i="3"/>
  <c r="AH77" i="3"/>
  <c r="AH34" i="3"/>
  <c r="AH49" i="3"/>
  <c r="AH74" i="3"/>
  <c r="AH48" i="3"/>
  <c r="AH39" i="3"/>
  <c r="AH63" i="3"/>
  <c r="AH20" i="3"/>
  <c r="AH84" i="3"/>
  <c r="AH26" i="3"/>
  <c r="AH83" i="3"/>
  <c r="AH33" i="3"/>
  <c r="AH81" i="3"/>
  <c r="AH35" i="3"/>
  <c r="AH28" i="3"/>
  <c r="AH25" i="3"/>
  <c r="AH32" i="3"/>
  <c r="AI9" i="3"/>
  <c r="AH12" i="3"/>
  <c r="AA4" i="2" s="1"/>
  <c r="AH13" i="3"/>
  <c r="AA5" i="2" s="1"/>
  <c r="AH11" i="3"/>
  <c r="AA3" i="2" s="1"/>
  <c r="AI21" i="3" l="1"/>
  <c r="AI14" i="3"/>
  <c r="AB6" i="2" s="1"/>
  <c r="AI24" i="3"/>
  <c r="AI17" i="3"/>
  <c r="AA2" i="2"/>
  <c r="AI10" i="3"/>
  <c r="AI31" i="3"/>
  <c r="AI80" i="3"/>
  <c r="AI36" i="3"/>
  <c r="AI37" i="3"/>
  <c r="AI43" i="3"/>
  <c r="AI51" i="3"/>
  <c r="AI57" i="3"/>
  <c r="AI44" i="3"/>
  <c r="AI50" i="3"/>
  <c r="AI58" i="3"/>
  <c r="AI72" i="3"/>
  <c r="AI78" i="3"/>
  <c r="AI65" i="3"/>
  <c r="AI71" i="3"/>
  <c r="AI79" i="3"/>
  <c r="AI64" i="3"/>
  <c r="AI85" i="3"/>
  <c r="AI93" i="3"/>
  <c r="AI86" i="3"/>
  <c r="AI92" i="3"/>
  <c r="AI29" i="3"/>
  <c r="AI22" i="3"/>
  <c r="AI30" i="3"/>
  <c r="AI15" i="3"/>
  <c r="AB7" i="2" s="1"/>
  <c r="AI18" i="3"/>
  <c r="AI23" i="3"/>
  <c r="AI16" i="3"/>
  <c r="AB8" i="2" s="1"/>
  <c r="AI53" i="3"/>
  <c r="AI91" i="3"/>
  <c r="AI89" i="3"/>
  <c r="AI42" i="3"/>
  <c r="AI52" i="3"/>
  <c r="AI90" i="3"/>
  <c r="AI88" i="3"/>
  <c r="AI87" i="3"/>
  <c r="AI46" i="3"/>
  <c r="AI62" i="3"/>
  <c r="AI41" i="3"/>
  <c r="AI75" i="3"/>
  <c r="AI70" i="3"/>
  <c r="AI66" i="3"/>
  <c r="AI76" i="3"/>
  <c r="AI82" i="3"/>
  <c r="AI61" i="3"/>
  <c r="AI47" i="3"/>
  <c r="AI74" i="3"/>
  <c r="AI69" i="3"/>
  <c r="AI55" i="3"/>
  <c r="AI77" i="3"/>
  <c r="AI73" i="3"/>
  <c r="AI59" i="3"/>
  <c r="AI54" i="3"/>
  <c r="AI45" i="3"/>
  <c r="AI27" i="3"/>
  <c r="AI68" i="3"/>
  <c r="AI56" i="3"/>
  <c r="AI38" i="3"/>
  <c r="AI67" i="3"/>
  <c r="AI60" i="3"/>
  <c r="AI48" i="3"/>
  <c r="AI39" i="3"/>
  <c r="AI63" i="3"/>
  <c r="AI34" i="3"/>
  <c r="AI49" i="3"/>
  <c r="AI40" i="3"/>
  <c r="AI19" i="3"/>
  <c r="AI20" i="3"/>
  <c r="AI84" i="3"/>
  <c r="AI33" i="3"/>
  <c r="AI26" i="3"/>
  <c r="AI83" i="3"/>
  <c r="AI81" i="3"/>
  <c r="AI35" i="3"/>
  <c r="AI25" i="3"/>
  <c r="AI32" i="3"/>
  <c r="AI28" i="3"/>
  <c r="AJ9" i="3"/>
  <c r="AI12" i="3"/>
  <c r="AB4" i="2" s="1"/>
  <c r="AI13" i="3"/>
  <c r="AB5" i="2" s="1"/>
  <c r="AI11" i="3"/>
  <c r="AB3" i="2" s="1"/>
  <c r="AJ21" i="3" l="1"/>
  <c r="AJ14" i="3"/>
  <c r="AC6" i="2" s="1"/>
  <c r="AJ17" i="3"/>
  <c r="AJ24" i="3"/>
  <c r="AB2" i="2"/>
  <c r="AJ10" i="3"/>
  <c r="AJ31" i="3"/>
  <c r="AJ80" i="3"/>
  <c r="AJ36" i="3"/>
  <c r="AJ37" i="3"/>
  <c r="AJ58" i="3"/>
  <c r="AJ43" i="3"/>
  <c r="AJ51" i="3"/>
  <c r="AJ57" i="3"/>
  <c r="AJ44" i="3"/>
  <c r="AJ50" i="3"/>
  <c r="AJ64" i="3"/>
  <c r="AJ72" i="3"/>
  <c r="AJ78" i="3"/>
  <c r="AJ65" i="3"/>
  <c r="AJ71" i="3"/>
  <c r="AJ79" i="3"/>
  <c r="AJ92" i="3"/>
  <c r="AJ93" i="3"/>
  <c r="AJ85" i="3"/>
  <c r="AJ22" i="3"/>
  <c r="AJ29" i="3"/>
  <c r="AJ30" i="3"/>
  <c r="AJ86" i="3"/>
  <c r="AJ15" i="3"/>
  <c r="AC7" i="2" s="1"/>
  <c r="AJ18" i="3"/>
  <c r="AJ23" i="3"/>
  <c r="AJ16" i="3"/>
  <c r="AC8" i="2" s="1"/>
  <c r="AJ53" i="3"/>
  <c r="AJ42" i="3"/>
  <c r="AJ91" i="3"/>
  <c r="AJ89" i="3"/>
  <c r="AJ90" i="3"/>
  <c r="AJ88" i="3"/>
  <c r="AJ87" i="3"/>
  <c r="AJ75" i="3"/>
  <c r="AJ52" i="3"/>
  <c r="AJ62" i="3"/>
  <c r="AJ41" i="3"/>
  <c r="AJ70" i="3"/>
  <c r="AJ46" i="3"/>
  <c r="AJ66" i="3"/>
  <c r="AJ76" i="3"/>
  <c r="AJ82" i="3"/>
  <c r="AJ61" i="3"/>
  <c r="AJ56" i="3"/>
  <c r="AJ47" i="3"/>
  <c r="AJ40" i="3"/>
  <c r="AJ74" i="3"/>
  <c r="AJ69" i="3"/>
  <c r="AJ73" i="3"/>
  <c r="AJ59" i="3"/>
  <c r="AJ34" i="3"/>
  <c r="AJ49" i="3"/>
  <c r="AJ27" i="3"/>
  <c r="AJ48" i="3"/>
  <c r="AJ68" i="3"/>
  <c r="AJ54" i="3"/>
  <c r="AJ38" i="3"/>
  <c r="AJ67" i="3"/>
  <c r="AJ45" i="3"/>
  <c r="AJ60" i="3"/>
  <c r="AJ55" i="3"/>
  <c r="AJ39" i="3"/>
  <c r="AJ63" i="3"/>
  <c r="AJ19" i="3"/>
  <c r="AJ77" i="3"/>
  <c r="AJ20" i="3"/>
  <c r="AJ33" i="3"/>
  <c r="AJ26" i="3"/>
  <c r="AJ83" i="3"/>
  <c r="AJ84" i="3"/>
  <c r="AJ81" i="3"/>
  <c r="AJ35" i="3"/>
  <c r="AJ32" i="3"/>
  <c r="AJ28" i="3"/>
  <c r="AJ25" i="3"/>
  <c r="AK9" i="3"/>
  <c r="AJ12" i="3"/>
  <c r="AC4" i="2" s="1"/>
  <c r="AJ13" i="3"/>
  <c r="AC5" i="2" s="1"/>
  <c r="AJ11" i="3"/>
  <c r="AC3" i="2" s="1"/>
  <c r="AC2" i="2" l="1"/>
  <c r="AK21" i="3"/>
  <c r="AK14" i="3"/>
  <c r="AD6" i="2" s="1"/>
  <c r="AK17" i="3"/>
  <c r="AK24" i="3"/>
  <c r="AK10" i="3"/>
  <c r="AK31" i="3"/>
  <c r="AK80" i="3"/>
  <c r="AK36" i="3"/>
  <c r="AK37" i="3"/>
  <c r="AK44" i="3"/>
  <c r="AK50" i="3"/>
  <c r="AK58" i="3"/>
  <c r="AK64" i="3"/>
  <c r="AK43" i="3"/>
  <c r="AK51" i="3"/>
  <c r="AK57" i="3"/>
  <c r="AK65" i="3"/>
  <c r="AK71" i="3"/>
  <c r="AK79" i="3"/>
  <c r="AK85" i="3"/>
  <c r="AK72" i="3"/>
  <c r="AK78" i="3"/>
  <c r="AK92" i="3"/>
  <c r="AK93" i="3"/>
  <c r="AK22" i="3"/>
  <c r="AK30" i="3"/>
  <c r="AK86" i="3"/>
  <c r="AK29" i="3"/>
  <c r="AK15" i="3"/>
  <c r="AD7" i="2" s="1"/>
  <c r="AK18" i="3"/>
  <c r="AK23" i="3"/>
  <c r="AK16" i="3"/>
  <c r="AD8" i="2" s="1"/>
  <c r="AK53" i="3"/>
  <c r="AK91" i="3"/>
  <c r="AK89" i="3"/>
  <c r="AK88" i="3"/>
  <c r="AK90" i="3"/>
  <c r="AK87" i="3"/>
  <c r="AK42" i="3"/>
  <c r="AK52" i="3"/>
  <c r="AK61" i="3"/>
  <c r="AK62" i="3"/>
  <c r="AK46" i="3"/>
  <c r="AK76" i="3"/>
  <c r="AK41" i="3"/>
  <c r="AK82" i="3"/>
  <c r="AK75" i="3"/>
  <c r="AK70" i="3"/>
  <c r="AK66" i="3"/>
  <c r="AK56" i="3"/>
  <c r="AK47" i="3"/>
  <c r="AK69" i="3"/>
  <c r="AK19" i="3"/>
  <c r="AK59" i="3"/>
  <c r="AK38" i="3"/>
  <c r="AK49" i="3"/>
  <c r="AK45" i="3"/>
  <c r="AK40" i="3"/>
  <c r="AK27" i="3"/>
  <c r="AK77" i="3"/>
  <c r="AK67" i="3"/>
  <c r="AK60" i="3"/>
  <c r="AK48" i="3"/>
  <c r="AK73" i="3"/>
  <c r="AK68" i="3"/>
  <c r="AK34" i="3"/>
  <c r="AK74" i="3"/>
  <c r="AK55" i="3"/>
  <c r="AK39" i="3"/>
  <c r="AK63" i="3"/>
  <c r="AK54" i="3"/>
  <c r="AK20" i="3"/>
  <c r="AK84" i="3"/>
  <c r="AK81" i="3"/>
  <c r="AK26" i="3"/>
  <c r="AK33" i="3"/>
  <c r="AK83" i="3"/>
  <c r="AK25" i="3"/>
  <c r="AK35" i="3"/>
  <c r="AK28" i="3"/>
  <c r="AK32" i="3"/>
  <c r="AL9" i="3"/>
  <c r="AM9" i="3" s="1"/>
  <c r="AK12" i="3"/>
  <c r="AD4" i="2" s="1"/>
  <c r="AK13" i="3"/>
  <c r="AD5" i="2" s="1"/>
  <c r="AK11" i="3"/>
  <c r="AD3" i="2" s="1"/>
  <c r="AN9" i="3" l="1"/>
  <c r="AM18" i="3"/>
  <c r="AM85" i="3"/>
  <c r="AM23" i="3"/>
  <c r="AM92" i="3"/>
  <c r="AM29" i="3"/>
  <c r="AM78" i="3"/>
  <c r="AM37" i="3"/>
  <c r="AM93" i="3"/>
  <c r="AM50" i="3"/>
  <c r="AM57" i="3"/>
  <c r="AM43" i="3"/>
  <c r="AM51" i="3"/>
  <c r="AM36" i="3"/>
  <c r="AM30" i="3"/>
  <c r="AM72" i="3"/>
  <c r="AM86" i="3"/>
  <c r="AM71" i="3"/>
  <c r="AM65" i="3"/>
  <c r="AM79" i="3"/>
  <c r="AM22" i="3"/>
  <c r="AM64" i="3"/>
  <c r="AM58" i="3"/>
  <c r="AM44" i="3"/>
  <c r="AM16" i="3"/>
  <c r="AM15" i="3"/>
  <c r="AM21" i="3"/>
  <c r="AM89" i="3"/>
  <c r="AM20" i="3"/>
  <c r="AM60" i="3"/>
  <c r="AM53" i="3"/>
  <c r="AM40" i="3"/>
  <c r="AM49" i="3"/>
  <c r="AM76" i="3"/>
  <c r="AM87" i="3"/>
  <c r="AM69" i="3"/>
  <c r="AM56" i="3"/>
  <c r="AM61" i="3"/>
  <c r="AM63" i="3"/>
  <c r="AM46" i="3"/>
  <c r="AM41" i="3"/>
  <c r="AM68" i="3"/>
  <c r="AM12" i="3"/>
  <c r="AM77" i="3"/>
  <c r="AM38" i="3"/>
  <c r="AM66" i="3"/>
  <c r="AM27" i="3"/>
  <c r="AM70" i="3"/>
  <c r="AM73" i="3"/>
  <c r="AM59" i="3"/>
  <c r="AM90" i="3"/>
  <c r="AM74" i="3"/>
  <c r="AM88" i="3"/>
  <c r="AM91" i="3"/>
  <c r="AM48" i="3"/>
  <c r="AM54" i="3"/>
  <c r="AM34" i="3"/>
  <c r="AM75" i="3"/>
  <c r="AM47" i="3"/>
  <c r="AM45" i="3"/>
  <c r="AM19" i="3"/>
  <c r="AM82" i="3"/>
  <c r="AM39" i="3"/>
  <c r="AM42" i="3"/>
  <c r="AM62" i="3"/>
  <c r="AM67" i="3"/>
  <c r="AM14" i="3"/>
  <c r="AM83" i="3"/>
  <c r="AM35" i="3"/>
  <c r="AM32" i="3"/>
  <c r="AM81" i="3"/>
  <c r="AM25" i="3"/>
  <c r="AM33" i="3"/>
  <c r="AM28" i="3"/>
  <c r="AM26" i="3"/>
  <c r="AM13" i="3"/>
  <c r="AM11" i="3"/>
  <c r="AM52" i="3"/>
  <c r="AM17" i="3"/>
  <c r="AM31" i="3"/>
  <c r="AM24" i="3"/>
  <c r="AM80" i="3"/>
  <c r="AM10" i="3"/>
  <c r="AM84" i="3"/>
  <c r="AL21" i="3"/>
  <c r="AL14" i="3"/>
  <c r="AE6" i="2" s="1"/>
  <c r="AL17" i="3"/>
  <c r="AL24" i="3"/>
  <c r="AD2" i="2"/>
  <c r="AL10" i="3"/>
  <c r="AL31" i="3"/>
  <c r="AL80" i="3"/>
  <c r="AL36" i="3"/>
  <c r="AL37" i="3"/>
  <c r="AL57" i="3"/>
  <c r="AL44" i="3"/>
  <c r="AL50" i="3"/>
  <c r="AL58" i="3"/>
  <c r="AL43" i="3"/>
  <c r="AL51" i="3"/>
  <c r="AL64" i="3"/>
  <c r="AL65" i="3"/>
  <c r="AL71" i="3"/>
  <c r="AL79" i="3"/>
  <c r="AL85" i="3"/>
  <c r="AL72" i="3"/>
  <c r="AL78" i="3"/>
  <c r="AL93" i="3"/>
  <c r="AL92" i="3"/>
  <c r="AL22" i="3"/>
  <c r="AL86" i="3"/>
  <c r="AL29" i="3"/>
  <c r="AL30" i="3"/>
  <c r="AL15" i="3"/>
  <c r="AE7" i="2" s="1"/>
  <c r="AL18" i="3"/>
  <c r="AL23" i="3"/>
  <c r="AL90" i="3"/>
  <c r="AL88" i="3"/>
  <c r="AL87" i="3"/>
  <c r="AL42" i="3"/>
  <c r="AL91" i="3"/>
  <c r="AL53" i="3"/>
  <c r="AL89" i="3"/>
  <c r="AL16" i="3"/>
  <c r="AE8" i="2" s="1"/>
  <c r="AL76" i="3"/>
  <c r="AL41" i="3"/>
  <c r="AL70" i="3"/>
  <c r="AL46" i="3"/>
  <c r="AL61" i="3"/>
  <c r="AL62" i="3"/>
  <c r="AL82" i="3"/>
  <c r="AL52" i="3"/>
  <c r="AL75" i="3"/>
  <c r="AL66" i="3"/>
  <c r="AL34" i="3"/>
  <c r="AL49" i="3"/>
  <c r="AL74" i="3"/>
  <c r="AL48" i="3"/>
  <c r="AL39" i="3"/>
  <c r="AL63" i="3"/>
  <c r="AL40" i="3"/>
  <c r="AL69" i="3"/>
  <c r="AL55" i="3"/>
  <c r="AL59" i="3"/>
  <c r="AL54" i="3"/>
  <c r="AL47" i="3"/>
  <c r="AL38" i="3"/>
  <c r="AL27" i="3"/>
  <c r="AL19" i="3"/>
  <c r="AL73" i="3"/>
  <c r="AL68" i="3"/>
  <c r="AL56" i="3"/>
  <c r="AL67" i="3"/>
  <c r="AL45" i="3"/>
  <c r="AL60" i="3"/>
  <c r="AL77" i="3"/>
  <c r="AL20" i="3"/>
  <c r="AL81" i="3"/>
  <c r="AL84" i="3"/>
  <c r="AL26" i="3"/>
  <c r="AL83" i="3"/>
  <c r="AL33" i="3"/>
  <c r="AL35" i="3"/>
  <c r="AL28" i="3"/>
  <c r="AL32" i="3"/>
  <c r="AL25" i="3"/>
  <c r="AL12" i="3"/>
  <c r="AE4" i="2" s="1"/>
  <c r="AL13" i="3"/>
  <c r="AE5" i="2" s="1"/>
  <c r="AL11" i="3"/>
  <c r="AE3" i="2" s="1"/>
  <c r="AO9" i="3" l="1"/>
  <c r="AN18" i="3"/>
  <c r="AN37" i="3"/>
  <c r="AN65" i="3"/>
  <c r="AN79" i="3"/>
  <c r="AN71" i="3"/>
  <c r="AN57" i="3"/>
  <c r="AN36" i="3"/>
  <c r="AN64" i="3"/>
  <c r="AN58" i="3"/>
  <c r="AN29" i="3"/>
  <c r="AN92" i="3"/>
  <c r="AN86" i="3"/>
  <c r="AN50" i="3"/>
  <c r="AN44" i="3"/>
  <c r="AN85" i="3"/>
  <c r="AN51" i="3"/>
  <c r="AN22" i="3"/>
  <c r="AN78" i="3"/>
  <c r="AN23" i="3"/>
  <c r="AN93" i="3"/>
  <c r="AN30" i="3"/>
  <c r="AN72" i="3"/>
  <c r="AN43" i="3"/>
  <c r="AN16" i="3"/>
  <c r="AN15" i="3"/>
  <c r="AN21" i="3"/>
  <c r="AN90" i="3"/>
  <c r="AN59" i="3"/>
  <c r="AN70" i="3"/>
  <c r="AN48" i="3"/>
  <c r="AN82" i="3"/>
  <c r="AN75" i="3"/>
  <c r="AN47" i="3"/>
  <c r="AN45" i="3"/>
  <c r="AN67" i="3"/>
  <c r="AN63" i="3"/>
  <c r="AN38" i="3"/>
  <c r="AN76" i="3"/>
  <c r="AN46" i="3"/>
  <c r="AN62" i="3"/>
  <c r="AN88" i="3"/>
  <c r="AN73" i="3"/>
  <c r="AN60" i="3"/>
  <c r="AN19" i="3"/>
  <c r="AN53" i="3"/>
  <c r="AN12" i="3"/>
  <c r="AN49" i="3"/>
  <c r="AN39" i="3"/>
  <c r="AN42" i="3"/>
  <c r="AN54" i="3"/>
  <c r="AN61" i="3"/>
  <c r="AN41" i="3"/>
  <c r="AN66" i="3"/>
  <c r="AN74" i="3"/>
  <c r="AN68" i="3"/>
  <c r="AN27" i="3"/>
  <c r="AN87" i="3"/>
  <c r="AN69" i="3"/>
  <c r="AN91" i="3"/>
  <c r="AN77" i="3"/>
  <c r="AN34" i="3"/>
  <c r="AN89" i="3"/>
  <c r="AN20" i="3"/>
  <c r="AN40" i="3"/>
  <c r="AN56" i="3"/>
  <c r="AN14" i="3"/>
  <c r="AN52" i="3"/>
  <c r="AN25" i="3"/>
  <c r="AN81" i="3"/>
  <c r="AN28" i="3"/>
  <c r="AN33" i="3"/>
  <c r="AN26" i="3"/>
  <c r="AN32" i="3"/>
  <c r="AN35" i="3"/>
  <c r="AN83" i="3"/>
  <c r="AN13" i="3"/>
  <c r="AN11" i="3"/>
  <c r="AN24" i="3"/>
  <c r="AN80" i="3"/>
  <c r="AN31" i="3"/>
  <c r="AN17" i="3"/>
  <c r="AN10" i="3"/>
  <c r="AN84" i="3"/>
  <c r="AE2" i="2"/>
  <c r="AP9" i="3" l="1"/>
  <c r="AO18" i="3"/>
  <c r="AO51" i="3"/>
  <c r="AO79" i="3"/>
  <c r="AO36" i="3"/>
  <c r="AO93" i="3"/>
  <c r="AO30" i="3"/>
  <c r="AO50" i="3"/>
  <c r="AO23" i="3"/>
  <c r="AO92" i="3"/>
  <c r="AO37" i="3"/>
  <c r="AO71" i="3"/>
  <c r="AO44" i="3"/>
  <c r="AO43" i="3"/>
  <c r="AO85" i="3"/>
  <c r="AO29" i="3"/>
  <c r="AO58" i="3"/>
  <c r="AO22" i="3"/>
  <c r="AO64" i="3"/>
  <c r="AO72" i="3"/>
  <c r="AO65" i="3"/>
  <c r="AO86" i="3"/>
  <c r="AO57" i="3"/>
  <c r="AO78" i="3"/>
  <c r="AO16" i="3"/>
  <c r="AO15" i="3"/>
  <c r="AO21" i="3"/>
  <c r="AO75" i="3"/>
  <c r="AO74" i="3"/>
  <c r="AO41" i="3"/>
  <c r="AO38" i="3"/>
  <c r="AO66" i="3"/>
  <c r="AO82" i="3"/>
  <c r="AO47" i="3"/>
  <c r="AO45" i="3"/>
  <c r="AO73" i="3"/>
  <c r="AO12" i="3"/>
  <c r="AO89" i="3"/>
  <c r="AO87" i="3"/>
  <c r="AO56" i="3"/>
  <c r="AO91" i="3"/>
  <c r="AO39" i="3"/>
  <c r="AO67" i="3"/>
  <c r="AO77" i="3"/>
  <c r="AO42" i="3"/>
  <c r="AO54" i="3"/>
  <c r="AO59" i="3"/>
  <c r="AO76" i="3"/>
  <c r="AO34" i="3"/>
  <c r="AO62" i="3"/>
  <c r="AO19" i="3"/>
  <c r="AO68" i="3"/>
  <c r="AO63" i="3"/>
  <c r="AO27" i="3"/>
  <c r="AO88" i="3"/>
  <c r="AO69" i="3"/>
  <c r="AO70" i="3"/>
  <c r="AO48" i="3"/>
  <c r="AO46" i="3"/>
  <c r="AO90" i="3"/>
  <c r="AO61" i="3"/>
  <c r="AO20" i="3"/>
  <c r="AO60" i="3"/>
  <c r="AO53" i="3"/>
  <c r="AO40" i="3"/>
  <c r="AO49" i="3"/>
  <c r="AO14" i="3"/>
  <c r="AO25" i="3"/>
  <c r="AO32" i="3"/>
  <c r="AO81" i="3"/>
  <c r="AO83" i="3"/>
  <c r="AO28" i="3"/>
  <c r="AO26" i="3"/>
  <c r="AO33" i="3"/>
  <c r="AO35" i="3"/>
  <c r="AO13" i="3"/>
  <c r="AO52" i="3"/>
  <c r="AO11" i="3"/>
  <c r="AO80" i="3"/>
  <c r="AO10" i="3"/>
  <c r="AO24" i="3"/>
  <c r="AO31" i="3"/>
  <c r="AO17" i="3"/>
  <c r="AO84" i="3"/>
  <c r="AQ9" i="3" l="1"/>
  <c r="AP18" i="3"/>
  <c r="AP50" i="3"/>
  <c r="AP57" i="3"/>
  <c r="AP93" i="3"/>
  <c r="AP44" i="3"/>
  <c r="AP51" i="3"/>
  <c r="AP78" i="3"/>
  <c r="AP72" i="3"/>
  <c r="AP65" i="3"/>
  <c r="AP37" i="3"/>
  <c r="AP71" i="3"/>
  <c r="AP85" i="3"/>
  <c r="AP23" i="3"/>
  <c r="AP36" i="3"/>
  <c r="AP30" i="3"/>
  <c r="AP29" i="3"/>
  <c r="AP86" i="3"/>
  <c r="AP64" i="3"/>
  <c r="AP92" i="3"/>
  <c r="AP79" i="3"/>
  <c r="AP58" i="3"/>
  <c r="AP43" i="3"/>
  <c r="AP22" i="3"/>
  <c r="AP15" i="3"/>
  <c r="AP16" i="3"/>
  <c r="AP21" i="3"/>
  <c r="AP34" i="3"/>
  <c r="AP61" i="3"/>
  <c r="AP68" i="3"/>
  <c r="AP63" i="3"/>
  <c r="AP89" i="3"/>
  <c r="AP46" i="3"/>
  <c r="AP20" i="3"/>
  <c r="AP19" i="3"/>
  <c r="AP69" i="3"/>
  <c r="AP40" i="3"/>
  <c r="AP91" i="3"/>
  <c r="AP39" i="3"/>
  <c r="AP77" i="3"/>
  <c r="AP75" i="3"/>
  <c r="AP54" i="3"/>
  <c r="AP90" i="3"/>
  <c r="AP45" i="3"/>
  <c r="AP59" i="3"/>
  <c r="AP56" i="3"/>
  <c r="AP67" i="3"/>
  <c r="AP70" i="3"/>
  <c r="AP60" i="3"/>
  <c r="AP82" i="3"/>
  <c r="AP48" i="3"/>
  <c r="AP74" i="3"/>
  <c r="AP62" i="3"/>
  <c r="AP49" i="3"/>
  <c r="AP38" i="3"/>
  <c r="AP47" i="3"/>
  <c r="AP88" i="3"/>
  <c r="AP41" i="3"/>
  <c r="AP87" i="3"/>
  <c r="AP12" i="3"/>
  <c r="AP66" i="3"/>
  <c r="AP73" i="3"/>
  <c r="AP53" i="3"/>
  <c r="AP76" i="3"/>
  <c r="AP27" i="3"/>
  <c r="AP42" i="3"/>
  <c r="AP14" i="3"/>
  <c r="AP25" i="3"/>
  <c r="AP28" i="3"/>
  <c r="AP26" i="3"/>
  <c r="AP32" i="3"/>
  <c r="AP83" i="3"/>
  <c r="AP33" i="3"/>
  <c r="AP81" i="3"/>
  <c r="AP35" i="3"/>
  <c r="AP11" i="3"/>
  <c r="AP52" i="3"/>
  <c r="AP13" i="3"/>
  <c r="AP24" i="3"/>
  <c r="AP31" i="3"/>
  <c r="AP80" i="3"/>
  <c r="AP10" i="3"/>
  <c r="AP17" i="3"/>
  <c r="AP84" i="3"/>
  <c r="AR9" i="3" l="1"/>
  <c r="AQ18" i="3"/>
  <c r="AQ93" i="3"/>
  <c r="AQ86" i="3"/>
  <c r="AQ72" i="3"/>
  <c r="AQ65" i="3"/>
  <c r="AQ79" i="3"/>
  <c r="AQ22" i="3"/>
  <c r="AQ37" i="3"/>
  <c r="AQ43" i="3"/>
  <c r="AQ71" i="3"/>
  <c r="AQ44" i="3"/>
  <c r="AQ51" i="3"/>
  <c r="AQ50" i="3"/>
  <c r="AQ57" i="3"/>
  <c r="AQ85" i="3"/>
  <c r="AQ78" i="3"/>
  <c r="AQ23" i="3"/>
  <c r="AQ36" i="3"/>
  <c r="AQ92" i="3"/>
  <c r="AQ30" i="3"/>
  <c r="AQ29" i="3"/>
  <c r="AQ64" i="3"/>
  <c r="AQ58" i="3"/>
  <c r="AQ15" i="3"/>
  <c r="AQ16" i="3"/>
  <c r="AQ21" i="3"/>
  <c r="AQ62" i="3"/>
  <c r="AQ41" i="3"/>
  <c r="AQ12" i="3"/>
  <c r="AQ46" i="3"/>
  <c r="AQ19" i="3"/>
  <c r="AQ74" i="3"/>
  <c r="AQ60" i="3"/>
  <c r="AQ53" i="3"/>
  <c r="AQ68" i="3"/>
  <c r="AQ49" i="3"/>
  <c r="AQ70" i="3"/>
  <c r="AQ40" i="3"/>
  <c r="AQ77" i="3"/>
  <c r="AQ27" i="3"/>
  <c r="AQ73" i="3"/>
  <c r="AQ88" i="3"/>
  <c r="AQ91" i="3"/>
  <c r="AQ42" i="3"/>
  <c r="AQ76" i="3"/>
  <c r="AQ20" i="3"/>
  <c r="AQ69" i="3"/>
  <c r="AQ39" i="3"/>
  <c r="AQ34" i="3"/>
  <c r="AQ61" i="3"/>
  <c r="AQ67" i="3"/>
  <c r="AQ63" i="3"/>
  <c r="AQ66" i="3"/>
  <c r="AQ90" i="3"/>
  <c r="AQ59" i="3"/>
  <c r="AQ82" i="3"/>
  <c r="AQ56" i="3"/>
  <c r="AQ75" i="3"/>
  <c r="AQ45" i="3"/>
  <c r="AQ89" i="3"/>
  <c r="AQ48" i="3"/>
  <c r="AQ54" i="3"/>
  <c r="AQ38" i="3"/>
  <c r="AQ47" i="3"/>
  <c r="AQ87" i="3"/>
  <c r="AQ14" i="3"/>
  <c r="AQ28" i="3"/>
  <c r="AQ26" i="3"/>
  <c r="AQ25" i="3"/>
  <c r="AQ83" i="3"/>
  <c r="AQ33" i="3"/>
  <c r="AQ32" i="3"/>
  <c r="AQ81" i="3"/>
  <c r="AQ35" i="3"/>
  <c r="AQ13" i="3"/>
  <c r="AQ11" i="3"/>
  <c r="AQ52" i="3"/>
  <c r="AQ10" i="3"/>
  <c r="AQ17" i="3"/>
  <c r="AQ24" i="3"/>
  <c r="AQ31" i="3"/>
  <c r="AQ80" i="3"/>
  <c r="AQ84" i="3"/>
  <c r="AS9" i="3" l="1"/>
  <c r="AR18" i="3"/>
  <c r="AR78" i="3"/>
  <c r="AR72" i="3"/>
  <c r="AR79" i="3"/>
  <c r="AR64" i="3"/>
  <c r="AR65" i="3"/>
  <c r="AR85" i="3"/>
  <c r="AR93" i="3"/>
  <c r="AR86" i="3"/>
  <c r="AR36" i="3"/>
  <c r="AR58" i="3"/>
  <c r="AR37" i="3"/>
  <c r="AR43" i="3"/>
  <c r="AR44" i="3"/>
  <c r="AR29" i="3"/>
  <c r="AR51" i="3"/>
  <c r="AR50" i="3"/>
  <c r="AR57" i="3"/>
  <c r="AR71" i="3"/>
  <c r="AR92" i="3"/>
  <c r="AR30" i="3"/>
  <c r="AR22" i="3"/>
  <c r="AR23" i="3"/>
  <c r="AR16" i="3"/>
  <c r="AR15" i="3"/>
  <c r="AR21" i="3"/>
  <c r="AR89" i="3"/>
  <c r="AR69" i="3"/>
  <c r="AR91" i="3"/>
  <c r="AR49" i="3"/>
  <c r="AR70" i="3"/>
  <c r="AR62" i="3"/>
  <c r="AR76" i="3"/>
  <c r="AR75" i="3"/>
  <c r="AR74" i="3"/>
  <c r="AR47" i="3"/>
  <c r="AR73" i="3"/>
  <c r="AR20" i="3"/>
  <c r="AR48" i="3"/>
  <c r="AR54" i="3"/>
  <c r="AR34" i="3"/>
  <c r="AR27" i="3"/>
  <c r="AR87" i="3"/>
  <c r="AR82" i="3"/>
  <c r="AR38" i="3"/>
  <c r="AR66" i="3"/>
  <c r="AR88" i="3"/>
  <c r="AR45" i="3"/>
  <c r="AR56" i="3"/>
  <c r="AR90" i="3"/>
  <c r="AR61" i="3"/>
  <c r="AR12" i="3"/>
  <c r="AR39" i="3"/>
  <c r="AR77" i="3"/>
  <c r="AR67" i="3"/>
  <c r="AR63" i="3"/>
  <c r="AR60" i="3"/>
  <c r="AR46" i="3"/>
  <c r="AR19" i="3"/>
  <c r="AR41" i="3"/>
  <c r="AR40" i="3"/>
  <c r="AR68" i="3"/>
  <c r="AR59" i="3"/>
  <c r="AR53" i="3"/>
  <c r="AR42" i="3"/>
  <c r="AR14" i="3"/>
  <c r="AR33" i="3"/>
  <c r="AR26" i="3"/>
  <c r="AR25" i="3"/>
  <c r="AR83" i="3"/>
  <c r="AR35" i="3"/>
  <c r="AR28" i="3"/>
  <c r="AR81" i="3"/>
  <c r="AR32" i="3"/>
  <c r="AR13" i="3"/>
  <c r="AR11" i="3"/>
  <c r="AR52" i="3"/>
  <c r="AR24" i="3"/>
  <c r="AR80" i="3"/>
  <c r="AR31" i="3"/>
  <c r="AR17" i="3"/>
  <c r="AR10" i="3"/>
  <c r="AR84" i="3"/>
  <c r="AT9" i="3" l="1"/>
  <c r="AS18" i="3"/>
  <c r="AS78" i="3"/>
  <c r="AS37" i="3"/>
  <c r="AS43" i="3"/>
  <c r="AS86" i="3"/>
  <c r="AS29" i="3"/>
  <c r="AS72" i="3"/>
  <c r="AS58" i="3"/>
  <c r="AS71" i="3"/>
  <c r="AS64" i="3"/>
  <c r="AS92" i="3"/>
  <c r="AS79" i="3"/>
  <c r="AS23" i="3"/>
  <c r="AS51" i="3"/>
  <c r="AS65" i="3"/>
  <c r="AS36" i="3"/>
  <c r="AS57" i="3"/>
  <c r="AS85" i="3"/>
  <c r="AS22" i="3"/>
  <c r="AS93" i="3"/>
  <c r="AS44" i="3"/>
  <c r="AS50" i="3"/>
  <c r="AS30" i="3"/>
  <c r="AS15" i="3"/>
  <c r="AS16" i="3"/>
  <c r="AS21" i="3"/>
  <c r="AS46" i="3"/>
  <c r="AS74" i="3"/>
  <c r="AS62" i="3"/>
  <c r="AS27" i="3"/>
  <c r="AS68" i="3"/>
  <c r="AS73" i="3"/>
  <c r="AS49" i="3"/>
  <c r="AS75" i="3"/>
  <c r="AS59" i="3"/>
  <c r="AS40" i="3"/>
  <c r="AS91" i="3"/>
  <c r="AS42" i="3"/>
  <c r="AS47" i="3"/>
  <c r="AS89" i="3"/>
  <c r="AS19" i="3"/>
  <c r="AS39" i="3"/>
  <c r="AS56" i="3"/>
  <c r="AS34" i="3"/>
  <c r="AS20" i="3"/>
  <c r="AS87" i="3"/>
  <c r="AS53" i="3"/>
  <c r="AS67" i="3"/>
  <c r="AS70" i="3"/>
  <c r="AS48" i="3"/>
  <c r="AS38" i="3"/>
  <c r="AS76" i="3"/>
  <c r="AS54" i="3"/>
  <c r="AS60" i="3"/>
  <c r="AS90" i="3"/>
  <c r="AS45" i="3"/>
  <c r="AS41" i="3"/>
  <c r="AS69" i="3"/>
  <c r="AS12" i="3"/>
  <c r="AS77" i="3"/>
  <c r="AS66" i="3"/>
  <c r="AS61" i="3"/>
  <c r="AS88" i="3"/>
  <c r="AS82" i="3"/>
  <c r="AS63" i="3"/>
  <c r="AS14" i="3"/>
  <c r="AS32" i="3"/>
  <c r="AS33" i="3"/>
  <c r="AS25" i="3"/>
  <c r="AS81" i="3"/>
  <c r="AS35" i="3"/>
  <c r="AS26" i="3"/>
  <c r="AS28" i="3"/>
  <c r="AS83" i="3"/>
  <c r="AS13" i="3"/>
  <c r="AS11" i="3"/>
  <c r="AS52" i="3"/>
  <c r="AS31" i="3"/>
  <c r="AS84" i="3"/>
  <c r="AS80" i="3"/>
  <c r="AS24" i="3"/>
  <c r="AS17" i="3"/>
  <c r="AS10" i="3"/>
  <c r="AU9" i="3" l="1"/>
  <c r="AT18" i="3"/>
  <c r="AT51" i="3"/>
  <c r="AT57" i="3"/>
  <c r="AT36" i="3"/>
  <c r="AT92" i="3"/>
  <c r="AT30" i="3"/>
  <c r="AT64" i="3"/>
  <c r="AT44" i="3"/>
  <c r="AT50" i="3"/>
  <c r="AT65" i="3"/>
  <c r="AT78" i="3"/>
  <c r="AT37" i="3"/>
  <c r="AT93" i="3"/>
  <c r="AT43" i="3"/>
  <c r="AT72" i="3"/>
  <c r="AT22" i="3"/>
  <c r="AT58" i="3"/>
  <c r="AT79" i="3"/>
  <c r="AT85" i="3"/>
  <c r="AT23" i="3"/>
  <c r="AT86" i="3"/>
  <c r="AT71" i="3"/>
  <c r="AT29" i="3"/>
  <c r="AT15" i="3"/>
  <c r="AT16" i="3"/>
  <c r="AT21" i="3"/>
  <c r="AT41" i="3"/>
  <c r="AT69" i="3"/>
  <c r="AT68" i="3"/>
  <c r="AT12" i="3"/>
  <c r="AT77" i="3"/>
  <c r="AT38" i="3"/>
  <c r="AT66" i="3"/>
  <c r="AT45" i="3"/>
  <c r="AT82" i="3"/>
  <c r="AT42" i="3"/>
  <c r="AT90" i="3"/>
  <c r="AT61" i="3"/>
  <c r="AT88" i="3"/>
  <c r="AT59" i="3"/>
  <c r="AT48" i="3"/>
  <c r="AT89" i="3"/>
  <c r="AT19" i="3"/>
  <c r="AT39" i="3"/>
  <c r="AT67" i="3"/>
  <c r="AT27" i="3"/>
  <c r="AT56" i="3"/>
  <c r="AT70" i="3"/>
  <c r="AT47" i="3"/>
  <c r="AT87" i="3"/>
  <c r="AT75" i="3"/>
  <c r="AT74" i="3"/>
  <c r="AT91" i="3"/>
  <c r="AT34" i="3"/>
  <c r="AT62" i="3"/>
  <c r="AT54" i="3"/>
  <c r="AT73" i="3"/>
  <c r="AT20" i="3"/>
  <c r="AT60" i="3"/>
  <c r="AT53" i="3"/>
  <c r="AT40" i="3"/>
  <c r="AT49" i="3"/>
  <c r="AT63" i="3"/>
  <c r="AT76" i="3"/>
  <c r="AT46" i="3"/>
  <c r="AT14" i="3"/>
  <c r="AT25" i="3"/>
  <c r="AT83" i="3"/>
  <c r="AT32" i="3"/>
  <c r="AT81" i="3"/>
  <c r="AT33" i="3"/>
  <c r="AT28" i="3"/>
  <c r="AT26" i="3"/>
  <c r="AT35" i="3"/>
  <c r="AT52" i="3"/>
  <c r="AT13" i="3"/>
  <c r="AT11" i="3"/>
  <c r="AT17" i="3"/>
  <c r="AT24" i="3"/>
  <c r="AT31" i="3"/>
  <c r="AT80" i="3"/>
  <c r="AT84" i="3"/>
  <c r="AT10" i="3"/>
  <c r="AV9" i="3" l="1"/>
  <c r="AU18" i="3"/>
  <c r="AU85" i="3"/>
  <c r="AU23" i="3"/>
  <c r="AU92" i="3"/>
  <c r="AU29" i="3"/>
  <c r="AU58" i="3"/>
  <c r="AU79" i="3"/>
  <c r="AU50" i="3"/>
  <c r="AU57" i="3"/>
  <c r="AU44" i="3"/>
  <c r="AU51" i="3"/>
  <c r="AU36" i="3"/>
  <c r="AU93" i="3"/>
  <c r="AU86" i="3"/>
  <c r="AU30" i="3"/>
  <c r="AU78" i="3"/>
  <c r="AU37" i="3"/>
  <c r="AU43" i="3"/>
  <c r="AU72" i="3"/>
  <c r="AU22" i="3"/>
  <c r="AU64" i="3"/>
  <c r="AU65" i="3"/>
  <c r="AU71" i="3"/>
  <c r="AU16" i="3"/>
  <c r="AU15" i="3"/>
  <c r="AU21" i="3"/>
  <c r="AU34" i="3"/>
  <c r="AU62" i="3"/>
  <c r="AU67" i="3"/>
  <c r="AU20" i="3"/>
  <c r="AU60" i="3"/>
  <c r="AU87" i="3"/>
  <c r="AU69" i="3"/>
  <c r="AU53" i="3"/>
  <c r="AU40" i="3"/>
  <c r="AU49" i="3"/>
  <c r="AU76" i="3"/>
  <c r="AU61" i="3"/>
  <c r="AU88" i="3"/>
  <c r="AU63" i="3"/>
  <c r="AU59" i="3"/>
  <c r="AU46" i="3"/>
  <c r="AU41" i="3"/>
  <c r="AU68" i="3"/>
  <c r="AU12" i="3"/>
  <c r="AU38" i="3"/>
  <c r="AU66" i="3"/>
  <c r="AU27" i="3"/>
  <c r="AU89" i="3"/>
  <c r="AU73" i="3"/>
  <c r="AU56" i="3"/>
  <c r="AU70" i="3"/>
  <c r="AU47" i="3"/>
  <c r="AU82" i="3"/>
  <c r="AU39" i="3"/>
  <c r="AU42" i="3"/>
  <c r="AU90" i="3"/>
  <c r="AU74" i="3"/>
  <c r="AU91" i="3"/>
  <c r="AU77" i="3"/>
  <c r="AU48" i="3"/>
  <c r="AU54" i="3"/>
  <c r="AU75" i="3"/>
  <c r="AU45" i="3"/>
  <c r="AU19" i="3"/>
  <c r="AU14" i="3"/>
  <c r="AU33" i="3"/>
  <c r="AU28" i="3"/>
  <c r="AU26" i="3"/>
  <c r="AU35" i="3"/>
  <c r="AU83" i="3"/>
  <c r="AU32" i="3"/>
  <c r="AU25" i="3"/>
  <c r="AU81" i="3"/>
  <c r="AU11" i="3"/>
  <c r="AU13" i="3"/>
  <c r="AU80" i="3"/>
  <c r="AU52" i="3"/>
  <c r="AU24" i="3"/>
  <c r="AU31" i="3"/>
  <c r="AU17" i="3"/>
  <c r="AU10" i="3"/>
  <c r="AU84" i="3"/>
  <c r="AW9" i="3" l="1"/>
  <c r="AV18" i="3"/>
  <c r="AV43" i="3"/>
  <c r="AV22" i="3"/>
  <c r="AV78" i="3"/>
  <c r="AV30" i="3"/>
  <c r="AV57" i="3"/>
  <c r="AV64" i="3"/>
  <c r="AV58" i="3"/>
  <c r="AV65" i="3"/>
  <c r="AV85" i="3"/>
  <c r="AV92" i="3"/>
  <c r="AV72" i="3"/>
  <c r="AV37" i="3"/>
  <c r="AV44" i="3"/>
  <c r="AV79" i="3"/>
  <c r="AV50" i="3"/>
  <c r="AV86" i="3"/>
  <c r="AV71" i="3"/>
  <c r="AV29" i="3"/>
  <c r="AV51" i="3"/>
  <c r="AV23" i="3"/>
  <c r="AV36" i="3"/>
  <c r="AV93" i="3"/>
  <c r="AV16" i="3"/>
  <c r="AV15" i="3"/>
  <c r="AV21" i="3"/>
  <c r="AV27" i="3"/>
  <c r="AV40" i="3"/>
  <c r="AV56" i="3"/>
  <c r="AV54" i="3"/>
  <c r="AV60" i="3"/>
  <c r="AV39" i="3"/>
  <c r="AV89" i="3"/>
  <c r="AV41" i="3"/>
  <c r="AV82" i="3"/>
  <c r="AV34" i="3"/>
  <c r="AV20" i="3"/>
  <c r="AV87" i="3"/>
  <c r="AV53" i="3"/>
  <c r="AV76" i="3"/>
  <c r="AV75" i="3"/>
  <c r="AV74" i="3"/>
  <c r="AV47" i="3"/>
  <c r="AV45" i="3"/>
  <c r="AV59" i="3"/>
  <c r="AV70" i="3"/>
  <c r="AV48" i="3"/>
  <c r="AV49" i="3"/>
  <c r="AV46" i="3"/>
  <c r="AV90" i="3"/>
  <c r="AV62" i="3"/>
  <c r="AV88" i="3"/>
  <c r="AV68" i="3"/>
  <c r="AV63" i="3"/>
  <c r="AV73" i="3"/>
  <c r="AV42" i="3"/>
  <c r="AV38" i="3"/>
  <c r="AV61" i="3"/>
  <c r="AV19" i="3"/>
  <c r="AV69" i="3"/>
  <c r="AV12" i="3"/>
  <c r="AV91" i="3"/>
  <c r="AV77" i="3"/>
  <c r="AV67" i="3"/>
  <c r="AV66" i="3"/>
  <c r="AV14" i="3"/>
  <c r="AV83" i="3"/>
  <c r="AV33" i="3"/>
  <c r="AV32" i="3"/>
  <c r="AV25" i="3"/>
  <c r="AV81" i="3"/>
  <c r="AV35" i="3"/>
  <c r="AV28" i="3"/>
  <c r="AV26" i="3"/>
  <c r="AV13" i="3"/>
  <c r="AV11" i="3"/>
  <c r="AV52" i="3"/>
  <c r="AV24" i="3"/>
  <c r="AV31" i="3"/>
  <c r="AV84" i="3"/>
  <c r="AV80" i="3"/>
  <c r="AV10" i="3"/>
  <c r="AV17" i="3"/>
  <c r="AX9" i="3" l="1"/>
  <c r="AW18" i="3"/>
  <c r="AW85" i="3"/>
  <c r="AW78" i="3"/>
  <c r="AW23" i="3"/>
  <c r="AW72" i="3"/>
  <c r="AW71" i="3"/>
  <c r="AW51" i="3"/>
  <c r="AW36" i="3"/>
  <c r="AW93" i="3"/>
  <c r="AW43" i="3"/>
  <c r="AW30" i="3"/>
  <c r="AW92" i="3"/>
  <c r="AW86" i="3"/>
  <c r="AW29" i="3"/>
  <c r="AW79" i="3"/>
  <c r="AW57" i="3"/>
  <c r="AW22" i="3"/>
  <c r="AW64" i="3"/>
  <c r="AW58" i="3"/>
  <c r="AW37" i="3"/>
  <c r="AW44" i="3"/>
  <c r="AW50" i="3"/>
  <c r="AW65" i="3"/>
  <c r="AW15" i="3"/>
  <c r="AW16" i="3"/>
  <c r="AW21" i="3"/>
  <c r="AW46" i="3"/>
  <c r="AW61" i="3"/>
  <c r="AW19" i="3"/>
  <c r="AW70" i="3"/>
  <c r="AW59" i="3"/>
  <c r="AW74" i="3"/>
  <c r="AW27" i="3"/>
  <c r="AW38" i="3"/>
  <c r="AW66" i="3"/>
  <c r="AW88" i="3"/>
  <c r="AW75" i="3"/>
  <c r="AW69" i="3"/>
  <c r="AW82" i="3"/>
  <c r="AW67" i="3"/>
  <c r="AW76" i="3"/>
  <c r="AW89" i="3"/>
  <c r="AW87" i="3"/>
  <c r="AW56" i="3"/>
  <c r="AW91" i="3"/>
  <c r="AW77" i="3"/>
  <c r="AW47" i="3"/>
  <c r="AW45" i="3"/>
  <c r="AW42" i="3"/>
  <c r="AW54" i="3"/>
  <c r="AW53" i="3"/>
  <c r="AW49" i="3"/>
  <c r="AW63" i="3"/>
  <c r="AW34" i="3"/>
  <c r="AW62" i="3"/>
  <c r="AW73" i="3"/>
  <c r="AW68" i="3"/>
  <c r="AW12" i="3"/>
  <c r="AW39" i="3"/>
  <c r="AW48" i="3"/>
  <c r="AW90" i="3"/>
  <c r="AW20" i="3"/>
  <c r="AW60" i="3"/>
  <c r="AW41" i="3"/>
  <c r="AW40" i="3"/>
  <c r="AW14" i="3"/>
  <c r="AW81" i="3"/>
  <c r="AW25" i="3"/>
  <c r="AW33" i="3"/>
  <c r="AW32" i="3"/>
  <c r="AW35" i="3"/>
  <c r="AW83" i="3"/>
  <c r="AW28" i="3"/>
  <c r="AW26" i="3"/>
  <c r="AW13" i="3"/>
  <c r="AW11" i="3"/>
  <c r="AW52" i="3"/>
  <c r="AW31" i="3"/>
  <c r="AW84" i="3"/>
  <c r="AW80" i="3"/>
  <c r="AW10" i="3"/>
  <c r="AW17" i="3"/>
  <c r="AW24" i="3"/>
  <c r="AY9" i="3" l="1"/>
  <c r="AX18" i="3"/>
  <c r="AX79" i="3"/>
  <c r="AX22" i="3"/>
  <c r="AX37" i="3"/>
  <c r="AX86" i="3"/>
  <c r="AX43" i="3"/>
  <c r="AX71" i="3"/>
  <c r="AX44" i="3"/>
  <c r="AX30" i="3"/>
  <c r="AX50" i="3"/>
  <c r="AX57" i="3"/>
  <c r="AX85" i="3"/>
  <c r="AX36" i="3"/>
  <c r="AX93" i="3"/>
  <c r="AX78" i="3"/>
  <c r="AX72" i="3"/>
  <c r="AX23" i="3"/>
  <c r="AX29" i="3"/>
  <c r="AX58" i="3"/>
  <c r="AX65" i="3"/>
  <c r="AX51" i="3"/>
  <c r="AX64" i="3"/>
  <c r="AX92" i="3"/>
  <c r="AX15" i="3"/>
  <c r="AX16" i="3"/>
  <c r="AX21" i="3"/>
  <c r="AX27" i="3"/>
  <c r="AX73" i="3"/>
  <c r="AX53" i="3"/>
  <c r="AX42" i="3"/>
  <c r="AX74" i="3"/>
  <c r="AX34" i="3"/>
  <c r="AX61" i="3"/>
  <c r="AX68" i="3"/>
  <c r="AX63" i="3"/>
  <c r="AX46" i="3"/>
  <c r="AX20" i="3"/>
  <c r="AX19" i="3"/>
  <c r="AX69" i="3"/>
  <c r="AX40" i="3"/>
  <c r="AX39" i="3"/>
  <c r="AX77" i="3"/>
  <c r="AX45" i="3"/>
  <c r="AX38" i="3"/>
  <c r="AX90" i="3"/>
  <c r="AX89" i="3"/>
  <c r="AX59" i="3"/>
  <c r="AX70" i="3"/>
  <c r="AX75" i="3"/>
  <c r="AX62" i="3"/>
  <c r="AX82" i="3"/>
  <c r="AX49" i="3"/>
  <c r="AX48" i="3"/>
  <c r="AX54" i="3"/>
  <c r="AX87" i="3"/>
  <c r="AX56" i="3"/>
  <c r="AX67" i="3"/>
  <c r="AX76" i="3"/>
  <c r="AX47" i="3"/>
  <c r="AX88" i="3"/>
  <c r="AX60" i="3"/>
  <c r="AX41" i="3"/>
  <c r="AX12" i="3"/>
  <c r="AX91" i="3"/>
  <c r="AX66" i="3"/>
  <c r="AX14" i="3"/>
  <c r="AX25" i="3"/>
  <c r="AX28" i="3"/>
  <c r="AX26" i="3"/>
  <c r="AX83" i="3"/>
  <c r="AX33" i="3"/>
  <c r="AX32" i="3"/>
  <c r="AX81" i="3"/>
  <c r="AX35" i="3"/>
  <c r="AX11" i="3"/>
  <c r="AX52" i="3"/>
  <c r="AX13" i="3"/>
  <c r="AX80" i="3"/>
  <c r="AX24" i="3"/>
  <c r="AX31" i="3"/>
  <c r="AX10" i="3"/>
  <c r="AX17" i="3"/>
  <c r="AX84" i="3"/>
  <c r="AZ9" i="3" l="1"/>
  <c r="AY18" i="3"/>
  <c r="AY64" i="3"/>
  <c r="AY58" i="3"/>
  <c r="AY65" i="3"/>
  <c r="AY57" i="3"/>
  <c r="AY93" i="3"/>
  <c r="AY51" i="3"/>
  <c r="AY50" i="3"/>
  <c r="AY29" i="3"/>
  <c r="AY85" i="3"/>
  <c r="AY72" i="3"/>
  <c r="AY79" i="3"/>
  <c r="AY22" i="3"/>
  <c r="AY37" i="3"/>
  <c r="AY43" i="3"/>
  <c r="AY71" i="3"/>
  <c r="AY44" i="3"/>
  <c r="AY86" i="3"/>
  <c r="AY23" i="3"/>
  <c r="AY36" i="3"/>
  <c r="AY30" i="3"/>
  <c r="AY78" i="3"/>
  <c r="AY92" i="3"/>
  <c r="AY15" i="3"/>
  <c r="AY16" i="3"/>
  <c r="AY21" i="3"/>
  <c r="AY75" i="3"/>
  <c r="AY47" i="3"/>
  <c r="AY45" i="3"/>
  <c r="AY87" i="3"/>
  <c r="AY48" i="3"/>
  <c r="AY54" i="3"/>
  <c r="AY67" i="3"/>
  <c r="AY63" i="3"/>
  <c r="AY62" i="3"/>
  <c r="AY41" i="3"/>
  <c r="AY12" i="3"/>
  <c r="AY90" i="3"/>
  <c r="AY60" i="3"/>
  <c r="AY53" i="3"/>
  <c r="AY82" i="3"/>
  <c r="AY49" i="3"/>
  <c r="AY34" i="3"/>
  <c r="AY74" i="3"/>
  <c r="AY61" i="3"/>
  <c r="AY68" i="3"/>
  <c r="AY66" i="3"/>
  <c r="AY27" i="3"/>
  <c r="AY73" i="3"/>
  <c r="AY91" i="3"/>
  <c r="AY42" i="3"/>
  <c r="AY46" i="3"/>
  <c r="AY89" i="3"/>
  <c r="AY20" i="3"/>
  <c r="AY19" i="3"/>
  <c r="AY69" i="3"/>
  <c r="AY40" i="3"/>
  <c r="AY39" i="3"/>
  <c r="AY77" i="3"/>
  <c r="AY70" i="3"/>
  <c r="AY76" i="3"/>
  <c r="AY88" i="3"/>
  <c r="AY59" i="3"/>
  <c r="AY56" i="3"/>
  <c r="AY38" i="3"/>
  <c r="AY14" i="3"/>
  <c r="AY32" i="3"/>
  <c r="AY81" i="3"/>
  <c r="AY35" i="3"/>
  <c r="AY28" i="3"/>
  <c r="AY25" i="3"/>
  <c r="AY26" i="3"/>
  <c r="AY83" i="3"/>
  <c r="AY33" i="3"/>
  <c r="AY13" i="3"/>
  <c r="AY11" i="3"/>
  <c r="AY52" i="3"/>
  <c r="AY31" i="3"/>
  <c r="AY80" i="3"/>
  <c r="AY84" i="3"/>
  <c r="AY24" i="3"/>
  <c r="AY10" i="3"/>
  <c r="AY17" i="3"/>
  <c r="BA9" i="3" l="1"/>
  <c r="AZ18" i="3"/>
  <c r="AZ92" i="3"/>
  <c r="AZ71" i="3"/>
  <c r="AZ30" i="3"/>
  <c r="AZ78" i="3"/>
  <c r="AZ23" i="3"/>
  <c r="AZ58" i="3"/>
  <c r="AZ72" i="3"/>
  <c r="AZ22" i="3"/>
  <c r="AZ65" i="3"/>
  <c r="AZ43" i="3"/>
  <c r="AZ79" i="3"/>
  <c r="AZ64" i="3"/>
  <c r="AZ85" i="3"/>
  <c r="AZ93" i="3"/>
  <c r="AZ44" i="3"/>
  <c r="AZ50" i="3"/>
  <c r="AZ57" i="3"/>
  <c r="AZ37" i="3"/>
  <c r="AZ86" i="3"/>
  <c r="AZ29" i="3"/>
  <c r="AZ51" i="3"/>
  <c r="AZ36" i="3"/>
  <c r="AZ15" i="3"/>
  <c r="AZ16" i="3"/>
  <c r="AZ21" i="3"/>
  <c r="AZ88" i="3"/>
  <c r="AZ60" i="3"/>
  <c r="AZ59" i="3"/>
  <c r="AZ89" i="3"/>
  <c r="AZ19" i="3"/>
  <c r="AZ12" i="3"/>
  <c r="AZ49" i="3"/>
  <c r="AZ70" i="3"/>
  <c r="AZ74" i="3"/>
  <c r="AZ41" i="3"/>
  <c r="AZ48" i="3"/>
  <c r="AZ54" i="3"/>
  <c r="AZ53" i="3"/>
  <c r="AZ91" i="3"/>
  <c r="AZ75" i="3"/>
  <c r="AZ47" i="3"/>
  <c r="AZ27" i="3"/>
  <c r="AZ87" i="3"/>
  <c r="AZ69" i="3"/>
  <c r="AZ40" i="3"/>
  <c r="AZ82" i="3"/>
  <c r="AZ66" i="3"/>
  <c r="AZ34" i="3"/>
  <c r="AZ45" i="3"/>
  <c r="AZ20" i="3"/>
  <c r="AZ56" i="3"/>
  <c r="AZ76" i="3"/>
  <c r="AZ46" i="3"/>
  <c r="AZ73" i="3"/>
  <c r="AZ68" i="3"/>
  <c r="AZ77" i="3"/>
  <c r="AZ90" i="3"/>
  <c r="AZ62" i="3"/>
  <c r="AZ61" i="3"/>
  <c r="AZ67" i="3"/>
  <c r="AZ63" i="3"/>
  <c r="AZ42" i="3"/>
  <c r="AZ38" i="3"/>
  <c r="AZ39" i="3"/>
  <c r="AZ14" i="3"/>
  <c r="AZ35" i="3"/>
  <c r="AZ81" i="3"/>
  <c r="AZ32" i="3"/>
  <c r="AZ25" i="3"/>
  <c r="AZ83" i="3"/>
  <c r="AZ33" i="3"/>
  <c r="AZ28" i="3"/>
  <c r="AZ26" i="3"/>
  <c r="AZ11" i="3"/>
  <c r="AZ13" i="3"/>
  <c r="AZ52" i="3"/>
  <c r="AZ80" i="3"/>
  <c r="AZ17" i="3"/>
  <c r="AZ24" i="3"/>
  <c r="AZ10" i="3"/>
  <c r="AZ31" i="3"/>
  <c r="AZ84" i="3"/>
  <c r="BB9" i="3" l="1"/>
  <c r="BA18" i="3"/>
  <c r="BA50" i="3"/>
  <c r="BA57" i="3"/>
  <c r="BA36" i="3"/>
  <c r="BA44" i="3"/>
  <c r="BA51" i="3"/>
  <c r="BA37" i="3"/>
  <c r="BA86" i="3"/>
  <c r="BA43" i="3"/>
  <c r="BA65" i="3"/>
  <c r="BA93" i="3"/>
  <c r="BA78" i="3"/>
  <c r="BA64" i="3"/>
  <c r="BA22" i="3"/>
  <c r="BA92" i="3"/>
  <c r="BA30" i="3"/>
  <c r="BA79" i="3"/>
  <c r="BA23" i="3"/>
  <c r="BA71" i="3"/>
  <c r="BA72" i="3"/>
  <c r="BA29" i="3"/>
  <c r="BA85" i="3"/>
  <c r="BA58" i="3"/>
  <c r="BA15" i="3"/>
  <c r="BA16" i="3"/>
  <c r="BA21" i="3"/>
  <c r="BA34" i="3"/>
  <c r="BA90" i="3"/>
  <c r="BA89" i="3"/>
  <c r="BA61" i="3"/>
  <c r="BA56" i="3"/>
  <c r="BA67" i="3"/>
  <c r="BA63" i="3"/>
  <c r="BA66" i="3"/>
  <c r="BA47" i="3"/>
  <c r="BA54" i="3"/>
  <c r="BA46" i="3"/>
  <c r="BA27" i="3"/>
  <c r="BA42" i="3"/>
  <c r="BA48" i="3"/>
  <c r="BA75" i="3"/>
  <c r="BA59" i="3"/>
  <c r="BA91" i="3"/>
  <c r="BA40" i="3"/>
  <c r="BA74" i="3"/>
  <c r="BA88" i="3"/>
  <c r="BA60" i="3"/>
  <c r="BA19" i="3"/>
  <c r="BA82" i="3"/>
  <c r="BA39" i="3"/>
  <c r="BA73" i="3"/>
  <c r="BA53" i="3"/>
  <c r="BA68" i="3"/>
  <c r="BA12" i="3"/>
  <c r="BA38" i="3"/>
  <c r="BA20" i="3"/>
  <c r="BA87" i="3"/>
  <c r="BA49" i="3"/>
  <c r="BA70" i="3"/>
  <c r="BA62" i="3"/>
  <c r="BA45" i="3"/>
  <c r="BA41" i="3"/>
  <c r="BA69" i="3"/>
  <c r="BA77" i="3"/>
  <c r="BA76" i="3"/>
  <c r="BA14" i="3"/>
  <c r="BA83" i="3"/>
  <c r="BA28" i="3"/>
  <c r="BA33" i="3"/>
  <c r="BA25" i="3"/>
  <c r="BA32" i="3"/>
  <c r="BA81" i="3"/>
  <c r="BA26" i="3"/>
  <c r="BA35" i="3"/>
  <c r="BA11" i="3"/>
  <c r="BA13" i="3"/>
  <c r="BA52" i="3"/>
  <c r="BA80" i="3"/>
  <c r="BA84" i="3"/>
  <c r="BA24" i="3"/>
  <c r="BA17" i="3"/>
  <c r="BA31" i="3"/>
  <c r="BA10" i="3"/>
  <c r="BC9" i="3" l="1"/>
  <c r="BB18" i="3"/>
  <c r="BB86" i="3"/>
  <c r="BB51" i="3"/>
  <c r="BB36" i="3"/>
  <c r="BB92" i="3"/>
  <c r="BB30" i="3"/>
  <c r="BB50" i="3"/>
  <c r="BB57" i="3"/>
  <c r="BB78" i="3"/>
  <c r="BB37" i="3"/>
  <c r="BB65" i="3"/>
  <c r="BB93" i="3"/>
  <c r="BB43" i="3"/>
  <c r="BB72" i="3"/>
  <c r="BB71" i="3"/>
  <c r="BB22" i="3"/>
  <c r="BB64" i="3"/>
  <c r="BB58" i="3"/>
  <c r="BB44" i="3"/>
  <c r="BB85" i="3"/>
  <c r="BB79" i="3"/>
  <c r="BB23" i="3"/>
  <c r="BB29" i="3"/>
  <c r="BB15" i="3"/>
  <c r="BB16" i="3"/>
  <c r="BB14" i="3"/>
  <c r="BB63" i="3"/>
  <c r="BB46" i="3"/>
  <c r="BB41" i="3"/>
  <c r="BB69" i="3"/>
  <c r="BB68" i="3"/>
  <c r="BB12" i="3"/>
  <c r="BB77" i="3"/>
  <c r="BB38" i="3"/>
  <c r="BB66" i="3"/>
  <c r="BB54" i="3"/>
  <c r="BB74" i="3"/>
  <c r="BB61" i="3"/>
  <c r="BB75" i="3"/>
  <c r="BB90" i="3"/>
  <c r="BB27" i="3"/>
  <c r="BB89" i="3"/>
  <c r="BB56" i="3"/>
  <c r="BB70" i="3"/>
  <c r="BB48" i="3"/>
  <c r="BB47" i="3"/>
  <c r="BB45" i="3"/>
  <c r="BB88" i="3"/>
  <c r="BB19" i="3"/>
  <c r="BB87" i="3"/>
  <c r="BB82" i="3"/>
  <c r="BB91" i="3"/>
  <c r="BB39" i="3"/>
  <c r="BB67" i="3"/>
  <c r="BB42" i="3"/>
  <c r="BB20" i="3"/>
  <c r="BB60" i="3"/>
  <c r="BB40" i="3"/>
  <c r="BB34" i="3"/>
  <c r="BB62" i="3"/>
  <c r="BB59" i="3"/>
  <c r="BB21" i="3"/>
  <c r="BB73" i="3"/>
  <c r="BB53" i="3"/>
  <c r="BB49" i="3"/>
  <c r="BB76" i="3"/>
  <c r="BB35" i="3"/>
  <c r="BB81" i="3"/>
  <c r="BB83" i="3"/>
  <c r="BB32" i="3"/>
  <c r="BB25" i="3"/>
  <c r="BB33" i="3"/>
  <c r="BB28" i="3"/>
  <c r="BB26" i="3"/>
  <c r="BB52" i="3"/>
  <c r="BB13" i="3"/>
  <c r="BB11" i="3"/>
  <c r="BB31" i="3"/>
  <c r="BB24" i="3"/>
  <c r="BB80" i="3"/>
  <c r="BB84" i="3"/>
  <c r="BB17" i="3"/>
  <c r="BB10" i="3"/>
  <c r="BD9" i="3" l="1"/>
  <c r="BC18" i="3"/>
  <c r="BC22" i="3"/>
  <c r="BC64" i="3"/>
  <c r="BC58" i="3"/>
  <c r="BC93" i="3"/>
  <c r="BC44" i="3"/>
  <c r="BC23" i="3"/>
  <c r="BC92" i="3"/>
  <c r="BC71" i="3"/>
  <c r="BC29" i="3"/>
  <c r="BC36" i="3"/>
  <c r="BC30" i="3"/>
  <c r="BC50" i="3"/>
  <c r="BC57" i="3"/>
  <c r="BC51" i="3"/>
  <c r="BC85" i="3"/>
  <c r="BC79" i="3"/>
  <c r="BC86" i="3"/>
  <c r="BC65" i="3"/>
  <c r="BC78" i="3"/>
  <c r="BC37" i="3"/>
  <c r="BC43" i="3"/>
  <c r="BC72" i="3"/>
  <c r="BC16" i="3"/>
  <c r="BC15" i="3"/>
  <c r="BC21" i="3"/>
  <c r="BC47" i="3"/>
  <c r="BC45" i="3"/>
  <c r="BC73" i="3"/>
  <c r="BC88" i="3"/>
  <c r="BC19" i="3"/>
  <c r="BC87" i="3"/>
  <c r="BC82" i="3"/>
  <c r="BC39" i="3"/>
  <c r="BC77" i="3"/>
  <c r="BC42" i="3"/>
  <c r="BC75" i="3"/>
  <c r="BC12" i="3"/>
  <c r="BC91" i="3"/>
  <c r="BC66" i="3"/>
  <c r="BC34" i="3"/>
  <c r="BC62" i="3"/>
  <c r="BC89" i="3"/>
  <c r="BC67" i="3"/>
  <c r="BC41" i="3"/>
  <c r="BC68" i="3"/>
  <c r="BC38" i="3"/>
  <c r="BC20" i="3"/>
  <c r="BC60" i="3"/>
  <c r="BC53" i="3"/>
  <c r="BC40" i="3"/>
  <c r="BC49" i="3"/>
  <c r="BC76" i="3"/>
  <c r="BC46" i="3"/>
  <c r="BC61" i="3"/>
  <c r="BC63" i="3"/>
  <c r="BC69" i="3"/>
  <c r="BC59" i="3"/>
  <c r="BC90" i="3"/>
  <c r="BC27" i="3"/>
  <c r="BC56" i="3"/>
  <c r="BC70" i="3"/>
  <c r="BC74" i="3"/>
  <c r="BC48" i="3"/>
  <c r="BC54" i="3"/>
  <c r="BC35" i="3"/>
  <c r="BC33" i="3"/>
  <c r="BC28" i="3"/>
  <c r="BC26" i="3"/>
  <c r="BC14" i="3"/>
  <c r="BC32" i="3"/>
  <c r="BC83" i="3"/>
  <c r="BC25" i="3"/>
  <c r="BC81" i="3"/>
  <c r="BC11" i="3"/>
  <c r="BC52" i="3"/>
  <c r="BC13" i="3"/>
  <c r="BC24" i="3"/>
  <c r="BC31" i="3"/>
  <c r="BC80" i="3"/>
  <c r="BC10" i="3"/>
  <c r="BC84" i="3"/>
  <c r="BC17" i="3"/>
  <c r="BE9" i="3" l="1"/>
  <c r="BD18" i="3"/>
  <c r="BD44" i="3"/>
  <c r="BD22" i="3"/>
  <c r="BD23" i="3"/>
  <c r="BD36" i="3"/>
  <c r="BD30" i="3"/>
  <c r="BD93" i="3"/>
  <c r="BD29" i="3"/>
  <c r="BD78" i="3"/>
  <c r="BD64" i="3"/>
  <c r="BD58" i="3"/>
  <c r="BD65" i="3"/>
  <c r="BD43" i="3"/>
  <c r="BD37" i="3"/>
  <c r="BD57" i="3"/>
  <c r="BD92" i="3"/>
  <c r="BD51" i="3"/>
  <c r="BD50" i="3"/>
  <c r="BD79" i="3"/>
  <c r="BD85" i="3"/>
  <c r="BD86" i="3"/>
  <c r="BD71" i="3"/>
  <c r="BD72" i="3"/>
  <c r="BD15" i="3"/>
  <c r="BD16" i="3"/>
  <c r="BD21" i="3"/>
  <c r="BD20" i="3"/>
  <c r="BD69" i="3"/>
  <c r="BD82" i="3"/>
  <c r="BD12" i="3"/>
  <c r="BD91" i="3"/>
  <c r="BD39" i="3"/>
  <c r="BD77" i="3"/>
  <c r="BD38" i="3"/>
  <c r="BD61" i="3"/>
  <c r="BD88" i="3"/>
  <c r="BD48" i="3"/>
  <c r="BD90" i="3"/>
  <c r="BD87" i="3"/>
  <c r="BD56" i="3"/>
  <c r="BD46" i="3"/>
  <c r="BD62" i="3"/>
  <c r="BD27" i="3"/>
  <c r="BD63" i="3"/>
  <c r="BD42" i="3"/>
  <c r="BD54" i="3"/>
  <c r="BD19" i="3"/>
  <c r="BD75" i="3"/>
  <c r="BD47" i="3"/>
  <c r="BD45" i="3"/>
  <c r="BD41" i="3"/>
  <c r="BD67" i="3"/>
  <c r="BD60" i="3"/>
  <c r="BD59" i="3"/>
  <c r="BD53" i="3"/>
  <c r="BD40" i="3"/>
  <c r="BD49" i="3"/>
  <c r="BD66" i="3"/>
  <c r="BD34" i="3"/>
  <c r="BD74" i="3"/>
  <c r="BD89" i="3"/>
  <c r="BD73" i="3"/>
  <c r="BD68" i="3"/>
  <c r="BD76" i="3"/>
  <c r="BD70" i="3"/>
  <c r="BD14" i="3"/>
  <c r="BD35" i="3"/>
  <c r="BD81" i="3"/>
  <c r="BD83" i="3"/>
  <c r="BD32" i="3"/>
  <c r="BD28" i="3"/>
  <c r="BD33" i="3"/>
  <c r="BD26" i="3"/>
  <c r="BD25" i="3"/>
  <c r="BD13" i="3"/>
  <c r="BD11" i="3"/>
  <c r="BD52" i="3"/>
  <c r="BD84" i="3"/>
  <c r="BD80" i="3"/>
  <c r="BD24" i="3"/>
  <c r="BD10" i="3"/>
  <c r="BD17" i="3"/>
  <c r="BD31" i="3"/>
  <c r="BF9" i="3" l="1"/>
  <c r="BE18" i="3"/>
  <c r="BE50" i="3"/>
  <c r="BE29" i="3"/>
  <c r="BE78" i="3"/>
  <c r="BE72" i="3"/>
  <c r="BE51" i="3"/>
  <c r="BE36" i="3"/>
  <c r="BE37" i="3"/>
  <c r="BE93" i="3"/>
  <c r="BE30" i="3"/>
  <c r="BE23" i="3"/>
  <c r="BE92" i="3"/>
  <c r="BE71" i="3"/>
  <c r="BE43" i="3"/>
  <c r="BE79" i="3"/>
  <c r="BE22" i="3"/>
  <c r="BE57" i="3"/>
  <c r="BE64" i="3"/>
  <c r="BE58" i="3"/>
  <c r="BE44" i="3"/>
  <c r="BE85" i="3"/>
  <c r="BE65" i="3"/>
  <c r="BE86" i="3"/>
  <c r="BE15" i="3"/>
  <c r="BE16" i="3"/>
  <c r="BE21" i="3"/>
  <c r="BE14" i="3"/>
  <c r="BE90" i="3"/>
  <c r="BE20" i="3"/>
  <c r="BE60" i="3"/>
  <c r="BE53" i="3"/>
  <c r="BE40" i="3"/>
  <c r="BE49" i="3"/>
  <c r="BE41" i="3"/>
  <c r="BE88" i="3"/>
  <c r="BE39" i="3"/>
  <c r="BE77" i="3"/>
  <c r="BE70" i="3"/>
  <c r="BE56" i="3"/>
  <c r="BE91" i="3"/>
  <c r="BE63" i="3"/>
  <c r="BE74" i="3"/>
  <c r="BE89" i="3"/>
  <c r="BE73" i="3"/>
  <c r="BE19" i="3"/>
  <c r="BE87" i="3"/>
  <c r="BE12" i="3"/>
  <c r="BE67" i="3"/>
  <c r="BE38" i="3"/>
  <c r="BE66" i="3"/>
  <c r="BE61" i="3"/>
  <c r="BE82" i="3"/>
  <c r="BE75" i="3"/>
  <c r="BE46" i="3"/>
  <c r="BE27" i="3"/>
  <c r="BE48" i="3"/>
  <c r="BE76" i="3"/>
  <c r="BE62" i="3"/>
  <c r="BE59" i="3"/>
  <c r="BE47" i="3"/>
  <c r="BE45" i="3"/>
  <c r="BE69" i="3"/>
  <c r="BE42" i="3"/>
  <c r="BE54" i="3"/>
  <c r="BE34" i="3"/>
  <c r="BE68" i="3"/>
  <c r="BE32" i="3"/>
  <c r="BE81" i="3"/>
  <c r="BE33" i="3"/>
  <c r="BE35" i="3"/>
  <c r="BE25" i="3"/>
  <c r="BE83" i="3"/>
  <c r="BE28" i="3"/>
  <c r="BE26" i="3"/>
  <c r="BE13" i="3"/>
  <c r="BE11" i="3"/>
  <c r="BE24" i="3"/>
  <c r="BE52" i="3"/>
  <c r="BE80" i="3"/>
  <c r="BE17" i="3"/>
  <c r="BE31" i="3"/>
  <c r="BE84" i="3"/>
  <c r="BE10" i="3"/>
  <c r="BF18" i="3" l="1"/>
  <c r="BF51" i="3"/>
  <c r="BF92" i="3"/>
  <c r="BF79" i="3"/>
  <c r="BF22" i="3"/>
  <c r="BF37" i="3"/>
  <c r="BF86" i="3"/>
  <c r="BF43" i="3"/>
  <c r="BF71" i="3"/>
  <c r="BF44" i="3"/>
  <c r="BF78" i="3"/>
  <c r="BF72" i="3"/>
  <c r="BF50" i="3"/>
  <c r="BF57" i="3"/>
  <c r="BF58" i="3"/>
  <c r="BF93" i="3"/>
  <c r="BF85" i="3"/>
  <c r="BF23" i="3"/>
  <c r="BF36" i="3"/>
  <c r="BF30" i="3"/>
  <c r="BF29" i="3"/>
  <c r="BF64" i="3"/>
  <c r="BF65" i="3"/>
  <c r="BF15" i="3"/>
  <c r="BF16" i="3"/>
  <c r="BF21" i="3"/>
  <c r="BF76" i="3"/>
  <c r="BF90" i="3"/>
  <c r="BF70" i="3"/>
  <c r="BF27" i="3"/>
  <c r="BF45" i="3"/>
  <c r="BF73" i="3"/>
  <c r="BF60" i="3"/>
  <c r="BF53" i="3"/>
  <c r="BF56" i="3"/>
  <c r="BF42" i="3"/>
  <c r="BF66" i="3"/>
  <c r="BF59" i="3"/>
  <c r="BF34" i="3"/>
  <c r="BF62" i="3"/>
  <c r="BF61" i="3"/>
  <c r="BF68" i="3"/>
  <c r="BF63" i="3"/>
  <c r="BF46" i="3"/>
  <c r="BF20" i="3"/>
  <c r="BF88" i="3"/>
  <c r="BF19" i="3"/>
  <c r="BF69" i="3"/>
  <c r="BF40" i="3"/>
  <c r="BF39" i="3"/>
  <c r="BF77" i="3"/>
  <c r="BF74" i="3"/>
  <c r="BF87" i="3"/>
  <c r="BF91" i="3"/>
  <c r="BF67" i="3"/>
  <c r="BF38" i="3"/>
  <c r="BF47" i="3"/>
  <c r="BF41" i="3"/>
  <c r="BF75" i="3"/>
  <c r="BF89" i="3"/>
  <c r="BF82" i="3"/>
  <c r="BF48" i="3"/>
  <c r="BF54" i="3"/>
  <c r="BF12" i="3"/>
  <c r="BF49" i="3"/>
  <c r="BF14" i="3"/>
  <c r="BF83" i="3"/>
  <c r="BF25" i="3"/>
  <c r="BF28" i="3"/>
  <c r="BF26" i="3"/>
  <c r="BF33" i="3"/>
  <c r="BF32" i="3"/>
  <c r="BF81" i="3"/>
  <c r="BF35" i="3"/>
  <c r="BF13" i="3"/>
  <c r="BF11" i="3"/>
  <c r="BF52" i="3"/>
  <c r="BF84" i="3"/>
  <c r="BF10" i="3"/>
  <c r="BF31" i="3"/>
  <c r="BF80" i="3"/>
  <c r="BF24" i="3"/>
  <c r="BF17" i="3"/>
</calcChain>
</file>

<file path=xl/sharedStrings.xml><?xml version="1.0" encoding="utf-8"?>
<sst xmlns="http://schemas.openxmlformats.org/spreadsheetml/2006/main" count="292" uniqueCount="77">
  <si>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</si>
  <si>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</si>
  <si>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</si>
  <si>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</si>
  <si>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</si>
  <si>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</si>
  <si>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</si>
  <si>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</si>
  <si>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</si>
  <si>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</si>
  <si>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</si>
  <si>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</si>
  <si>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</si>
  <si>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</si>
  <si>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</si>
  <si>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</si>
  <si>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</si>
  <si>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</si>
  <si>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</si>
  <si>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</si>
  <si>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</si>
  <si>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</si>
  <si>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</si>
  <si>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</si>
  <si>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</si>
  <si>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</si>
  <si>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</si>
  <si>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</si>
  <si>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</si>
  <si>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</si>
  <si>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linear</t>
  </si>
  <si>
    <t>LPG vehicle</t>
  </si>
  <si>
    <t>hydrogen vehicle</t>
  </si>
  <si>
    <t>Max Fraction of Production (dimensionless)</t>
  </si>
  <si>
    <t>Number of Vehicles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</si>
  <si>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</si>
  <si>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</si>
  <si>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</si>
  <si>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TTS Transportation Technology Shareweights</t>
  </si>
  <si>
    <t>This variable provides the shareweights used in the modified logit equation for vehicle</t>
  </si>
  <si>
    <t>technology selection.  We base them on estimated potential maximum sales shares in each year.</t>
  </si>
  <si>
    <t>https://jgcri.github.io/gcam-doc/choice.html</t>
  </si>
  <si>
    <t>Psgr LDVs only</t>
  </si>
  <si>
    <t>Sigmoidal Curve Values for PHEV passenger LDV Technologies</t>
  </si>
  <si>
    <t>Onroad modes</t>
  </si>
  <si>
    <t>See supporting Python calibration file and excel/csv files in this folder.</t>
  </si>
  <si>
    <t>Given logit exponents from the GCAM model, we use a solver to solve</t>
  </si>
  <si>
    <t>for historical shareweights given recent sales data. We then allow the</t>
  </si>
  <si>
    <t>shareweights for BEV and PHEV technologies to grow, as explained below.</t>
  </si>
  <si>
    <t>For more on this, see the "Unmodified Logit" equation description at:</t>
  </si>
  <si>
    <t>passenger LDVs</t>
  </si>
  <si>
    <t>The historical data we use for calibration is for states that do not have</t>
  </si>
  <si>
    <t>their own vehicle standards (ACCI) that put an additional constraint on sales</t>
  </si>
  <si>
    <t>that is not purely cost-based. This gives us our 2024 and 2025 shareweights.</t>
  </si>
  <si>
    <t>The solver we used is saved as transport_calibration.py in the TTS folder. It is set up</t>
  </si>
  <si>
    <t>to take in data on the cost per thing*mile for each vehicle type (taken from Vensim),</t>
  </si>
  <si>
    <t>the observed sales share (from historical data sets), the exponent (trans/TTLE), and</t>
  </si>
  <si>
    <t xml:space="preserve">the number of vehicles of that type demanded each year (taken from Vensim). </t>
  </si>
  <si>
    <t>The file calibration_parameters specifies all those pieces of input data. Sources for the</t>
  </si>
  <si>
    <t>historical sales shares are noted in that file.</t>
  </si>
  <si>
    <t>2024 and 2025 shareweights for onroad vehicle types copied/pasted from the Python solver outputs, explained on the About page</t>
  </si>
  <si>
    <t>s-curve</t>
  </si>
  <si>
    <t>Sigmoidal Curve Values for battery electric/PHEV passenger HDV and freight LDV Technologies</t>
  </si>
  <si>
    <t>Sigmoidal Curve Values for battery electric freight HDV Technologies</t>
  </si>
  <si>
    <t>passenger rail</t>
  </si>
  <si>
    <t>See data from EPS file trans/SYVbT</t>
  </si>
  <si>
    <t>Script instructions: set up the needed input parameters in calibration_parameters.xlsx</t>
  </si>
  <si>
    <t>and export the first sheet as calibration_parameters.csv (you may change the years</t>
  </si>
  <si>
    <t>and vehicle types/technologies in that sheet according to your model start year and</t>
  </si>
  <si>
    <t>data needs). Run the transport.calibration.py script (you may need to adjust the specified</t>
  </si>
  <si>
    <t xml:space="preserve"> "target years" if your model adaptation has different years of historical data.</t>
  </si>
  <si>
    <t>Your outputs will be formatted by vehicle type in the output file shareweights_formatted.csv</t>
  </si>
  <si>
    <t xml:space="preserve"> after running the script. You can copy/paste those values into the Data tab of this file.</t>
  </si>
  <si>
    <t>2050 shareweights and s-curve parameters are calibrated based on other external projections</t>
  </si>
  <si>
    <t>such as those from ICCT.</t>
  </si>
  <si>
    <t>We use calculated data from SYVbT to calculate the historical sales shares.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</si>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</sst>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15" applyNumberFormat="0" applyAlignment="0" applyProtection="0"/>
    <xf numFmtId="0" fontId="17" fillId="8" borderId="16" applyNumberFormat="0" applyAlignment="0" applyProtection="0"/>
    <xf numFmtId="0" fontId="18" fillId="8" borderId="15" applyNumberFormat="0" applyAlignment="0" applyProtection="0"/>
    <xf numFmtId="0" fontId="19" fillId="0" borderId="17" applyNumberFormat="0" applyFill="0" applyAlignment="0" applyProtection="0"/>
    <xf numFmtId="0" fontId="20" fillId="9" borderId="1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5" fillId="0" borderId="0"/>
    <xf numFmtId="43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7" fillId="0" borderId="0"/>
    <xf numFmtId="0" fontId="7" fillId="10" borderId="19" applyNumberFormat="0" applyFont="0" applyAlignment="0" applyProtection="0"/>
    <xf numFmtId="0" fontId="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9" fillId="0" borderId="0"/>
    <xf numFmtId="0" fontId="7" fillId="0" borderId="0"/>
    <xf numFmtId="0" fontId="7" fillId="0" borderId="0"/>
    <xf numFmtId="0" fontId="30" fillId="0" borderId="0"/>
    <xf numFmtId="9" fontId="30" fillId="0" borderId="0" applyFont="0" applyFill="0" applyBorder="0" applyAlignment="0" applyProtection="0"/>
    <xf numFmtId="0" fontId="26" fillId="0" borderId="0"/>
    <xf numFmtId="0" fontId="27" fillId="0" borderId="0"/>
    <xf numFmtId="43" fontId="2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7" fillId="0" borderId="0"/>
    <xf numFmtId="0" fontId="6" fillId="0" borderId="0" applyNumberForma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7" fillId="0" borderId="0"/>
    <xf numFmtId="0" fontId="30" fillId="0" borderId="0"/>
    <xf numFmtId="9" fontId="7" fillId="0" borderId="0" applyFont="0" applyFill="0" applyBorder="0" applyAlignment="0" applyProtection="0"/>
    <xf numFmtId="0" fontId="34" fillId="0" borderId="0"/>
    <xf numFmtId="0" fontId="24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2" borderId="0" xfId="0" applyFont="1" applyFill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0" borderId="9" xfId="0" applyBorder="1"/>
    <xf numFmtId="0" fontId="0" fillId="0" borderId="11" xfId="0" applyBorder="1"/>
    <xf numFmtId="0" fontId="1" fillId="3" borderId="0" xfId="0" applyFont="1" applyFill="1"/>
    <xf numFmtId="164" fontId="0" fillId="0" borderId="0" xfId="0" applyNumberFormat="1"/>
    <xf numFmtId="0" fontId="0" fillId="0" borderId="5" xfId="0" applyBorder="1"/>
    <xf numFmtId="165" fontId="0" fillId="0" borderId="0" xfId="9" applyNumberFormat="1" applyFont="1"/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right" wrapText="1"/>
    </xf>
    <xf numFmtId="0" fontId="6" fillId="0" borderId="0" xfId="8" applyAlignment="1"/>
    <xf numFmtId="0" fontId="0" fillId="35" borderId="0" xfId="0" applyFill="1"/>
    <xf numFmtId="0" fontId="1" fillId="35" borderId="0" xfId="0" applyFont="1" applyFill="1" applyAlignment="1">
      <alignment horizontal="center" wrapText="1"/>
    </xf>
    <xf numFmtId="9" fontId="0" fillId="0" borderId="0" xfId="87" applyFont="1"/>
    <xf numFmtId="0" fontId="0" fillId="3" borderId="0" xfId="0" applyFill="1" applyBorder="1"/>
    <xf numFmtId="0" fontId="0" fillId="0" borderId="0" xfId="0" applyBorder="1"/>
    <xf numFmtId="0" fontId="0" fillId="0" borderId="0" xfId="0" applyNumberFormat="1"/>
    <xf numFmtId="0" fontId="0" fillId="0" borderId="0" xfId="9" applyNumberFormat="1" applyFont="1"/>
    <xf numFmtId="0" fontId="0" fillId="35" borderId="0" xfId="9" applyNumberFormat="1" applyFont="1" applyFill="1"/>
    <xf numFmtId="0" fontId="0" fillId="0" borderId="0" xfId="0" applyNumberFormat="1" applyAlignment="1">
      <alignment horizontal="right"/>
    </xf>
    <xf numFmtId="0" fontId="5" fillId="0" borderId="0" xfId="0" applyNumberFormat="1" applyFont="1"/>
    <xf numFmtId="0" fontId="0" fillId="0" borderId="5" xfId="0" applyNumberFormat="1" applyBorder="1"/>
    <xf numFmtId="0" fontId="0" fillId="0" borderId="5" xfId="0" applyNumberFormat="1" applyBorder="1" applyAlignment="1">
      <alignment horizontal="right"/>
    </xf>
  </cellXfs>
  <cellStyles count="88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Body: normal cell" xfId="4" xr:uid="{00000000-0005-0000-0000-000000000000}"/>
    <cellStyle name="Calculation" xfId="20" builtinId="22" customBuiltin="1"/>
    <cellStyle name="Check Cell" xfId="22" builtinId="23" customBuiltin="1"/>
    <cellStyle name="Comma" xfId="9" builtinId="3"/>
    <cellStyle name="Comma 2" xfId="51" xr:uid="{6F65080C-C1AC-4620-AA99-94DA5BEEB964}"/>
    <cellStyle name="Comma 2 2" xfId="78" xr:uid="{D5B39188-90F5-4ADB-8ACA-AAD8848E708A}"/>
    <cellStyle name="Comma 3" xfId="74" xr:uid="{3CEA55C4-06D9-4B72-A5A4-A7604845EDCF}"/>
    <cellStyle name="Comma 4" xfId="69" xr:uid="{199D751F-6E02-4DF6-A7DB-679F5B464009}"/>
    <cellStyle name="Explanatory Text" xfId="24" builtinId="53" customBuiltin="1"/>
    <cellStyle name="Font: Calibri, 9pt regular" xfId="6" xr:uid="{00000000-0005-0000-0000-000002000000}"/>
    <cellStyle name="Footnotes: top row" xfId="2" xr:uid="{00000000-0005-0000-0000-000003000000}"/>
    <cellStyle name="Good" xfId="15" builtinId="26" customBuiltin="1"/>
    <cellStyle name="Header: bottom row" xfId="5" xr:uid="{00000000-0005-0000-0000-000004000000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8" builtinId="8"/>
    <cellStyle name="Hyperlink 2" xfId="79" xr:uid="{E283E47E-2F86-4A89-8D02-E2992DD3D2DE}"/>
    <cellStyle name="Hyperlink 2 2" xfId="86" xr:uid="{2D4E116A-493D-4045-B7BA-CEF4D3AE7A96}"/>
    <cellStyle name="Hyperlink 3" xfId="76" xr:uid="{912A9BAB-AD28-435A-B4EA-160F8BFE9A24}"/>
    <cellStyle name="Hyperlink 4" xfId="72" xr:uid="{F70A993D-C790-430F-8A37-A6F6D3A5820C}"/>
    <cellStyle name="Hyperlink 5" xfId="70" xr:uid="{FE25137E-35B4-42FE-8802-EDA0661C01E7}"/>
    <cellStyle name="Hyperlink 6" xfId="58" xr:uid="{758D2937-BB75-4B7C-94E3-4011FD0F4F78}"/>
    <cellStyle name="Hyperlink 7" xfId="55" xr:uid="{81029831-8FA8-4358-A0E7-CF39F13F6BBC}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10" xfId="68" xr:uid="{CBED278D-9E5C-4670-B850-DDCBC2542DEE}"/>
    <cellStyle name="Normal 11" xfId="56" xr:uid="{11401745-7986-46E6-A476-4CA84A391386}"/>
    <cellStyle name="Normal 12" xfId="50" xr:uid="{D9B0348C-2998-4F7A-9111-D0BF9D68C865}"/>
    <cellStyle name="Normal 2" xfId="1" xr:uid="{00000000-0005-0000-0000-000007000000}"/>
    <cellStyle name="Normal 2 2" xfId="59" xr:uid="{4F83FB5E-AC1A-4247-8A9B-F183F0A90AA1}"/>
    <cellStyle name="Normal 2 2 2" xfId="64" xr:uid="{3D8AFD81-9C62-4EAF-80AD-754054215A7B}"/>
    <cellStyle name="Normal 2 3" xfId="67" xr:uid="{250ED834-62D7-4E03-A856-50B6458093FB}"/>
    <cellStyle name="Normal 2 4" xfId="65" xr:uid="{A9D10983-6E0F-4DC0-BC0C-FE9E1F1FA491}"/>
    <cellStyle name="Normal 2 5" xfId="62" xr:uid="{61A1E525-17EC-4B9E-9537-46F38EF74A06}"/>
    <cellStyle name="Normal 2 6" xfId="52" xr:uid="{71110F49-7B38-444F-87AA-074E8A6B0AA4}"/>
    <cellStyle name="Normal 3" xfId="60" xr:uid="{7F9D0187-955B-4D94-A170-DD001CDB973C}"/>
    <cellStyle name="Normal 3 2" xfId="63" xr:uid="{9933440A-F171-4FB3-8A9E-BFB2FDB1E9BF}"/>
    <cellStyle name="Normal 3 3" xfId="83" xr:uid="{31C98142-703F-47D3-B8B5-8732D61D4868}"/>
    <cellStyle name="Normal 4" xfId="61" xr:uid="{05E6F89D-04F0-4DAA-8727-8929D3AB43E2}"/>
    <cellStyle name="Normal 4 2" xfId="85" xr:uid="{0E7F3F90-0FFE-44BC-8F4D-2EBBE6C4EB10}"/>
    <cellStyle name="Normal 4 3" xfId="82" xr:uid="{364F9F3C-E4FD-4C72-8D4D-AD727CC2A2AA}"/>
    <cellStyle name="Normal 5" xfId="80" xr:uid="{5C6B498C-5FEE-448F-A2F9-A370460AC146}"/>
    <cellStyle name="Normal 6" xfId="77" xr:uid="{77EFCDC4-12DE-468F-A226-886687266895}"/>
    <cellStyle name="Normal 7" xfId="75" xr:uid="{E18F7B94-BBC5-4B8A-8343-36975B46E837}"/>
    <cellStyle name="Normal 8" xfId="73" xr:uid="{4573BB7B-6A47-4961-BAC4-FC0B07870AB0}"/>
    <cellStyle name="Normal 9" xfId="71" xr:uid="{12937480-E4A3-4563-9A8E-C5CBA34E28EC}"/>
    <cellStyle name="Note 2" xfId="57" xr:uid="{636BD9CE-D635-43C3-997F-ED224B968A09}"/>
    <cellStyle name="Output" xfId="19" builtinId="21" customBuiltin="1"/>
    <cellStyle name="Parent row" xfId="3" xr:uid="{00000000-0005-0000-0000-000008000000}"/>
    <cellStyle name="Percent" xfId="87" builtinId="5"/>
    <cellStyle name="Percent 2" xfId="53" xr:uid="{F28A5997-39DB-4992-8FE0-811DC2849511}"/>
    <cellStyle name="Percent 2 2" xfId="84" xr:uid="{4BA75E2B-0C17-4696-A461-35EC8C0A18A1}"/>
    <cellStyle name="Percent 2 3" xfId="66" xr:uid="{F2F0F2BA-C854-4ED5-AF93-47A67A75F51F}"/>
    <cellStyle name="Percent 3" xfId="81" xr:uid="{FFBFB99B-BA29-4F26-A261-7CA17BF4559B}"/>
    <cellStyle name="Percent 4" xfId="54" xr:uid="{54CE03A3-0D44-46CD-B021-8B88453C06E1}"/>
    <cellStyle name="Table title" xfId="7" xr:uid="{00000000-0005-0000-0000-00000A000000}"/>
    <cellStyle name="Title" xfId="10" builtinId="15" customBuiltin="1"/>
    <cellStyle name="Total" xfId="25" builtinId="25" customBuiltin="1"/>
    <cellStyle name="Warning Text" xfId="23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B46" sqref="B46"/>
    </sheetView>
  </sheetViews>
  <sheetFormatPr defaultColWidth="9.08984375" defaultRowHeight="14.75" x14ac:dyDescent="0.75"/>
  <cols>
    <col min="2" max="2" width="63.453125" customWidth="1"/>
  </cols>
  <sheetData>
    <row r="1" spans="1:2" x14ac:dyDescent="0.75">
      <c r="A1" s="1" t="s">
        <v>38</v>
      </c>
    </row>
    <row r="3" spans="1:2" x14ac:dyDescent="0.75">
      <c r="A3" s="1" t="s">
        <v>0</v>
      </c>
      <c r="B3" s="8" t="s">
        <v>44</v>
      </c>
    </row>
    <row r="4" spans="1:2" x14ac:dyDescent="0.75">
      <c r="A4" s="1"/>
      <c r="B4" t="s">
        <v>45</v>
      </c>
    </row>
    <row r="5" spans="1:2" x14ac:dyDescent="0.75">
      <c r="A5" s="1"/>
      <c r="B5" t="s">
        <v>46</v>
      </c>
    </row>
    <row r="6" spans="1:2" x14ac:dyDescent="0.75">
      <c r="A6" s="1"/>
      <c r="B6" t="s">
        <v>47</v>
      </c>
    </row>
    <row r="7" spans="1:2" x14ac:dyDescent="0.75">
      <c r="A7" s="1"/>
      <c r="B7" t="s">
        <v>48</v>
      </c>
    </row>
    <row r="8" spans="1:2" x14ac:dyDescent="0.75">
      <c r="A8" s="1"/>
    </row>
    <row r="9" spans="1:2" x14ac:dyDescent="0.75">
      <c r="A9" s="1"/>
      <c r="B9" s="8" t="s">
        <v>64</v>
      </c>
    </row>
    <row r="10" spans="1:2" x14ac:dyDescent="0.75">
      <c r="A10" s="1"/>
      <c r="B10" t="s">
        <v>65</v>
      </c>
    </row>
    <row r="12" spans="1:2" x14ac:dyDescent="0.75">
      <c r="A12" s="1" t="s">
        <v>6</v>
      </c>
    </row>
    <row r="13" spans="1:2" x14ac:dyDescent="0.75">
      <c r="A13" t="s">
        <v>39</v>
      </c>
    </row>
    <row r="14" spans="1:2" x14ac:dyDescent="0.75">
      <c r="A14" t="s">
        <v>40</v>
      </c>
    </row>
    <row r="15" spans="1:2" x14ac:dyDescent="0.75">
      <c r="A15" t="s">
        <v>49</v>
      </c>
    </row>
    <row r="16" spans="1:2" x14ac:dyDescent="0.75">
      <c r="A16" s="20" t="s">
        <v>41</v>
      </c>
    </row>
    <row r="17" spans="1:1" x14ac:dyDescent="0.75">
      <c r="A17" s="1"/>
    </row>
    <row r="18" spans="1:1" x14ac:dyDescent="0.75">
      <c r="A18" t="s">
        <v>7</v>
      </c>
    </row>
    <row r="19" spans="1:1" x14ac:dyDescent="0.75">
      <c r="A19" t="s">
        <v>8</v>
      </c>
    </row>
    <row r="21" spans="1:1" x14ac:dyDescent="0.75">
      <c r="A21" t="s">
        <v>54</v>
      </c>
    </row>
    <row r="22" spans="1:1" x14ac:dyDescent="0.75">
      <c r="A22" t="s">
        <v>55</v>
      </c>
    </row>
    <row r="23" spans="1:1" x14ac:dyDescent="0.75">
      <c r="A23" t="s">
        <v>56</v>
      </c>
    </row>
    <row r="24" spans="1:1" x14ac:dyDescent="0.75">
      <c r="A24" t="s">
        <v>57</v>
      </c>
    </row>
    <row r="25" spans="1:1" x14ac:dyDescent="0.75">
      <c r="A25" t="s">
        <v>58</v>
      </c>
    </row>
    <row r="26" spans="1:1" x14ac:dyDescent="0.75">
      <c r="A26" t="s">
        <v>59</v>
      </c>
    </row>
    <row r="28" spans="1:1" x14ac:dyDescent="0.75">
      <c r="A28" t="s">
        <v>66</v>
      </c>
    </row>
    <row r="29" spans="1:1" x14ac:dyDescent="0.75">
      <c r="A29" t="s">
        <v>67</v>
      </c>
    </row>
    <row r="30" spans="1:1" x14ac:dyDescent="0.75">
      <c r="A30" t="s">
        <v>68</v>
      </c>
    </row>
    <row r="31" spans="1:1" x14ac:dyDescent="0.75">
      <c r="A31" t="s">
        <v>69</v>
      </c>
    </row>
    <row r="32" spans="1:1" x14ac:dyDescent="0.75">
      <c r="A32" t="s">
        <v>70</v>
      </c>
    </row>
    <row r="33" spans="1:2" x14ac:dyDescent="0.75">
      <c r="A33" t="s">
        <v>71</v>
      </c>
    </row>
    <row r="34" spans="1:2" x14ac:dyDescent="0.75">
      <c r="A34" t="s">
        <v>72</v>
      </c>
    </row>
    <row r="36" spans="1:2" x14ac:dyDescent="0.75">
      <c r="A36" t="s">
        <v>73</v>
      </c>
    </row>
    <row r="37" spans="1:2" x14ac:dyDescent="0.75">
      <c r="A37" t="s">
        <v>74</v>
      </c>
    </row>
    <row r="39" spans="1:2" x14ac:dyDescent="0.75">
      <c r="B39" s="1" t="s">
        <v>50</v>
      </c>
    </row>
    <row r="40" spans="1:2" x14ac:dyDescent="0.75">
      <c r="B40" t="s">
        <v>51</v>
      </c>
    </row>
    <row r="41" spans="1:2" x14ac:dyDescent="0.75">
      <c r="B41" t="s">
        <v>52</v>
      </c>
    </row>
    <row r="42" spans="1:2" x14ac:dyDescent="0.75">
      <c r="B42" t="s">
        <v>53</v>
      </c>
    </row>
    <row r="44" spans="1:2" x14ac:dyDescent="0.75">
      <c r="B44" s="1" t="s">
        <v>64</v>
      </c>
    </row>
    <row r="45" spans="1:2" x14ac:dyDescent="0.75">
      <c r="B45" t="s">
        <v>75</v>
      </c>
    </row>
    <row r="47" spans="1:2" x14ac:dyDescent="0.75">
      <c r="B47" s="1"/>
    </row>
    <row r="53" spans="2:2" x14ac:dyDescent="0.75">
      <c r="B53" s="1"/>
    </row>
  </sheetData>
  <hyperlinks>
    <hyperlink ref="A1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sqref="A1:H7"/>
    </sheetView>
  </sheetViews>
  <sheetFormatPr defaultRowHeight="14.75" x14ac:dyDescent="0.75"/>
  <cols>
    <col min="1" max="1" width="16.81640625" customWidth="1"/>
    <col min="2" max="2" width="24.54296875" customWidth="1"/>
    <col min="3" max="3" width="20.81640625" customWidth="1"/>
    <col min="4" max="4" width="18.26953125" customWidth="1"/>
    <col min="5" max="5" width="17.08984375" customWidth="1"/>
    <col min="6" max="8" width="23.26953125" customWidth="1"/>
    <col min="10" max="10" width="14.36328125" bestFit="1" customWidth="1"/>
  </cols>
  <sheetData>
    <row r="1" spans="1:10" x14ac:dyDescent="0.7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</row>
    <row r="2" spans="1:10" x14ac:dyDescent="0.75">
      <c r="A2" t="s">
        <v>12</v>
      </c>
      <c r="B2">
        <v>2799214</v>
      </c>
      <c r="C2">
        <v>16648</v>
      </c>
      <c r="D2">
        <v>256819978</v>
      </c>
      <c r="E2">
        <v>1348635</v>
      </c>
      <c r="F2">
        <v>1130472</v>
      </c>
      <c r="G2">
        <v>16384</v>
      </c>
      <c r="H2">
        <v>15809</v>
      </c>
      <c r="J2" s="3"/>
    </row>
    <row r="3" spans="1:10" x14ac:dyDescent="0.75">
      <c r="A3" t="s">
        <v>13</v>
      </c>
      <c r="B3">
        <v>300</v>
      </c>
      <c r="C3">
        <v>123405.86320000001</v>
      </c>
      <c r="D3">
        <v>98369.804889999999</v>
      </c>
      <c r="E3">
        <v>703911.92879999999</v>
      </c>
      <c r="F3">
        <v>0</v>
      </c>
      <c r="G3">
        <v>41837.429479999999</v>
      </c>
      <c r="H3">
        <v>105.315567</v>
      </c>
      <c r="I3" s="3"/>
      <c r="J3" s="17"/>
    </row>
    <row r="4" spans="1:10" x14ac:dyDescent="0.75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0" x14ac:dyDescent="0.75">
      <c r="A5" t="s">
        <v>15</v>
      </c>
      <c r="B5">
        <v>2563.6060360000001</v>
      </c>
      <c r="C5">
        <v>0</v>
      </c>
      <c r="D5">
        <v>0</v>
      </c>
      <c r="E5">
        <v>173.39396389999999</v>
      </c>
      <c r="F5">
        <v>0</v>
      </c>
      <c r="G5">
        <v>0</v>
      </c>
      <c r="H5">
        <v>0</v>
      </c>
    </row>
    <row r="6" spans="1:10" x14ac:dyDescent="0.75">
      <c r="A6" t="s">
        <v>16</v>
      </c>
      <c r="B6">
        <v>0</v>
      </c>
      <c r="C6">
        <v>0</v>
      </c>
      <c r="D6">
        <v>10231405.02</v>
      </c>
      <c r="E6">
        <v>2473594.5350000001</v>
      </c>
      <c r="F6">
        <v>0</v>
      </c>
      <c r="G6">
        <v>0</v>
      </c>
      <c r="H6">
        <v>0</v>
      </c>
    </row>
    <row r="7" spans="1:10" x14ac:dyDescent="0.75">
      <c r="A7" t="s">
        <v>17</v>
      </c>
      <c r="B7">
        <v>0</v>
      </c>
      <c r="C7">
        <v>0</v>
      </c>
      <c r="D7">
        <v>9516910</v>
      </c>
      <c r="E7">
        <v>0</v>
      </c>
      <c r="F7">
        <v>0</v>
      </c>
      <c r="G7">
        <v>0</v>
      </c>
      <c r="H7">
        <v>0</v>
      </c>
    </row>
    <row r="9" spans="1:10" x14ac:dyDescent="0.75">
      <c r="B9" s="3"/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K93"/>
  <sheetViews>
    <sheetView zoomScale="90" zoomScaleNormal="90" workbookViewId="0">
      <selection activeCell="K8" sqref="K8"/>
    </sheetView>
  </sheetViews>
  <sheetFormatPr defaultColWidth="9.08984375" defaultRowHeight="14.75" x14ac:dyDescent="0.75"/>
  <cols>
    <col min="1" max="1" width="23.26953125" customWidth="1"/>
    <col min="2" max="2" width="18.81640625" customWidth="1"/>
    <col min="3" max="3" width="24.08984375" customWidth="1"/>
    <col min="4" max="4" width="14.7265625" customWidth="1"/>
    <col min="5" max="5" width="16.26953125" customWidth="1"/>
    <col min="6" max="6" width="18" style="5" customWidth="1"/>
    <col min="7" max="7" width="13.08984375" customWidth="1"/>
    <col min="8" max="12" width="9.08984375" customWidth="1"/>
    <col min="17" max="17" width="11.08984375" customWidth="1"/>
  </cols>
  <sheetData>
    <row r="1" spans="1:60" x14ac:dyDescent="0.75">
      <c r="A1" t="s">
        <v>25</v>
      </c>
      <c r="H1" s="9" t="s">
        <v>37</v>
      </c>
      <c r="I1" s="10"/>
      <c r="J1" s="24"/>
      <c r="K1" s="24"/>
      <c r="L1" s="24"/>
      <c r="M1" s="11"/>
      <c r="N1" s="11"/>
      <c r="O1" s="11"/>
      <c r="Q1" s="9" t="s">
        <v>36</v>
      </c>
      <c r="R1" s="10"/>
      <c r="S1" s="11"/>
      <c r="T1" s="9" t="s">
        <v>63</v>
      </c>
      <c r="U1" s="10"/>
      <c r="W1" s="9" t="s">
        <v>43</v>
      </c>
      <c r="X1" s="10"/>
      <c r="Z1" s="9" t="s">
        <v>62</v>
      </c>
      <c r="AA1" s="10"/>
    </row>
    <row r="2" spans="1:60" x14ac:dyDescent="0.75">
      <c r="A2" t="s">
        <v>26</v>
      </c>
      <c r="H2" s="6" t="s">
        <v>21</v>
      </c>
      <c r="I2" s="12">
        <v>1</v>
      </c>
      <c r="J2" s="25"/>
      <c r="K2" s="25"/>
      <c r="L2" s="25"/>
      <c r="Q2" s="6" t="s">
        <v>21</v>
      </c>
      <c r="R2" s="12">
        <v>1</v>
      </c>
      <c r="T2" s="6" t="s">
        <v>21</v>
      </c>
      <c r="U2" s="12">
        <v>1</v>
      </c>
      <c r="W2" s="6" t="s">
        <v>21</v>
      </c>
      <c r="X2" s="12">
        <v>1</v>
      </c>
      <c r="Z2" s="6" t="s">
        <v>21</v>
      </c>
      <c r="AA2" s="12">
        <v>1</v>
      </c>
    </row>
    <row r="3" spans="1:60" x14ac:dyDescent="0.75">
      <c r="A3" t="s">
        <v>27</v>
      </c>
      <c r="H3" s="6" t="s">
        <v>22</v>
      </c>
      <c r="I3" s="12">
        <v>-0.3</v>
      </c>
      <c r="J3" s="25"/>
      <c r="K3" s="25"/>
      <c r="L3" s="25"/>
      <c r="Q3" s="6" t="s">
        <v>22</v>
      </c>
      <c r="R3" s="12">
        <v>-0.3</v>
      </c>
      <c r="S3">
        <v>-0.35</v>
      </c>
      <c r="T3" s="6" t="s">
        <v>22</v>
      </c>
      <c r="U3" s="12">
        <v>-0.3</v>
      </c>
      <c r="W3" s="6" t="s">
        <v>22</v>
      </c>
      <c r="X3" s="12">
        <v>-0.4</v>
      </c>
      <c r="Z3" s="6" t="s">
        <v>22</v>
      </c>
      <c r="AA3" s="12">
        <v>-0.3</v>
      </c>
    </row>
    <row r="4" spans="1:60" ht="15.5" thickBot="1" x14ac:dyDescent="0.9">
      <c r="A4" t="s">
        <v>28</v>
      </c>
      <c r="H4" s="7" t="s">
        <v>23</v>
      </c>
      <c r="I4" s="13">
        <v>-16</v>
      </c>
      <c r="J4" s="25"/>
      <c r="K4" s="25"/>
      <c r="L4" s="25"/>
      <c r="Q4" s="7" t="s">
        <v>23</v>
      </c>
      <c r="R4" s="13">
        <v>-11</v>
      </c>
      <c r="S4">
        <v>-10</v>
      </c>
      <c r="T4" s="7" t="s">
        <v>23</v>
      </c>
      <c r="U4" s="13">
        <v>-12</v>
      </c>
      <c r="W4" s="7" t="s">
        <v>23</v>
      </c>
      <c r="X4" s="13">
        <v>-11</v>
      </c>
      <c r="Z4" s="7" t="s">
        <v>23</v>
      </c>
      <c r="AA4" s="13">
        <v>-14</v>
      </c>
    </row>
    <row r="5" spans="1:60" x14ac:dyDescent="0.75">
      <c r="A5" t="s">
        <v>29</v>
      </c>
    </row>
    <row r="6" spans="1:60" ht="29.5" x14ac:dyDescent="0.75">
      <c r="A6" s="8"/>
      <c r="B6" s="8"/>
      <c r="C6" s="8"/>
      <c r="D6" s="8"/>
      <c r="E6" s="2" t="s">
        <v>20</v>
      </c>
      <c r="F6" s="2" t="s">
        <v>20</v>
      </c>
      <c r="G6" s="2" t="s">
        <v>24</v>
      </c>
      <c r="Q6" s="18"/>
      <c r="R6" s="15"/>
      <c r="U6" s="18"/>
    </row>
    <row r="7" spans="1:60" x14ac:dyDescent="0.75">
      <c r="A7" s="8"/>
      <c r="B7" s="8"/>
      <c r="C7" s="8" t="s">
        <v>42</v>
      </c>
      <c r="D7" s="8"/>
      <c r="E7" s="2">
        <v>2020</v>
      </c>
      <c r="F7" s="2">
        <v>2050</v>
      </c>
      <c r="G7" s="2"/>
      <c r="Q7" s="18"/>
    </row>
    <row r="8" spans="1:60" ht="88.5" x14ac:dyDescent="0.75">
      <c r="A8" s="8"/>
      <c r="B8" s="8"/>
      <c r="C8" s="8"/>
      <c r="D8" s="22" t="s">
        <v>60</v>
      </c>
      <c r="E8" s="22"/>
      <c r="F8" s="19"/>
      <c r="G8" s="19" t="s">
        <v>35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spans="1:60" x14ac:dyDescent="0.75">
      <c r="A9" s="8" t="s">
        <v>9</v>
      </c>
      <c r="B9" s="8" t="s">
        <v>10</v>
      </c>
      <c r="C9" s="8" t="s">
        <v>11</v>
      </c>
      <c r="D9" s="8">
        <v>2021</v>
      </c>
      <c r="E9" s="8">
        <v>2025</v>
      </c>
      <c r="F9" s="8">
        <v>2050</v>
      </c>
      <c r="G9" s="4"/>
      <c r="H9" t="s">
        <v>76</v>
      </c>
      <c r="I9" s="14">
        <f>D9</f>
        <v>2021</v>
      </c>
      <c r="J9" s="14">
        <v>2022</v>
      </c>
      <c r="K9" s="14">
        <v>2023</v>
      </c>
      <c r="L9" s="14">
        <v>2024</v>
      </c>
      <c r="M9" s="14">
        <f>E9</f>
        <v>2025</v>
      </c>
      <c r="N9" s="14">
        <f t="shared" ref="N9:AL9" si="0">M9+1</f>
        <v>2026</v>
      </c>
      <c r="O9" s="14">
        <f t="shared" si="0"/>
        <v>2027</v>
      </c>
      <c r="P9" s="14">
        <f t="shared" si="0"/>
        <v>2028</v>
      </c>
      <c r="Q9" s="14">
        <f t="shared" si="0"/>
        <v>2029</v>
      </c>
      <c r="R9" s="14">
        <f t="shared" si="0"/>
        <v>2030</v>
      </c>
      <c r="S9" s="14">
        <f t="shared" si="0"/>
        <v>2031</v>
      </c>
      <c r="T9" s="14">
        <f t="shared" si="0"/>
        <v>2032</v>
      </c>
      <c r="U9" s="14">
        <f t="shared" si="0"/>
        <v>2033</v>
      </c>
      <c r="V9" s="14">
        <f t="shared" si="0"/>
        <v>2034</v>
      </c>
      <c r="W9" s="14">
        <f t="shared" si="0"/>
        <v>2035</v>
      </c>
      <c r="X9" s="14">
        <f t="shared" si="0"/>
        <v>2036</v>
      </c>
      <c r="Y9" s="14">
        <f t="shared" si="0"/>
        <v>2037</v>
      </c>
      <c r="Z9" s="14">
        <f t="shared" si="0"/>
        <v>2038</v>
      </c>
      <c r="AA9" s="14">
        <f t="shared" si="0"/>
        <v>2039</v>
      </c>
      <c r="AB9" s="14">
        <f t="shared" si="0"/>
        <v>2040</v>
      </c>
      <c r="AC9" s="14">
        <f t="shared" si="0"/>
        <v>2041</v>
      </c>
      <c r="AD9" s="14">
        <f t="shared" si="0"/>
        <v>2042</v>
      </c>
      <c r="AE9" s="14">
        <f t="shared" si="0"/>
        <v>2043</v>
      </c>
      <c r="AF9" s="14">
        <f t="shared" si="0"/>
        <v>2044</v>
      </c>
      <c r="AG9" s="14">
        <f t="shared" si="0"/>
        <v>2045</v>
      </c>
      <c r="AH9" s="14">
        <f t="shared" si="0"/>
        <v>2046</v>
      </c>
      <c r="AI9" s="14">
        <f t="shared" si="0"/>
        <v>2047</v>
      </c>
      <c r="AJ9" s="14">
        <f t="shared" si="0"/>
        <v>2048</v>
      </c>
      <c r="AK9" s="14">
        <f t="shared" si="0"/>
        <v>2049</v>
      </c>
      <c r="AL9" s="14">
        <f>AK9+1</f>
        <v>2050</v>
      </c>
      <c r="AM9" s="14">
        <f t="shared" ref="AM9:BF9" si="1">AL9+1</f>
        <v>2051</v>
      </c>
      <c r="AN9" s="14">
        <f t="shared" si="1"/>
        <v>2052</v>
      </c>
      <c r="AO9" s="14">
        <f t="shared" si="1"/>
        <v>2053</v>
      </c>
      <c r="AP9" s="14">
        <f t="shared" si="1"/>
        <v>2054</v>
      </c>
      <c r="AQ9" s="14">
        <f t="shared" si="1"/>
        <v>2055</v>
      </c>
      <c r="AR9" s="14">
        <f t="shared" si="1"/>
        <v>2056</v>
      </c>
      <c r="AS9" s="14">
        <f t="shared" si="1"/>
        <v>2057</v>
      </c>
      <c r="AT9" s="14">
        <f t="shared" si="1"/>
        <v>2058</v>
      </c>
      <c r="AU9" s="14">
        <f t="shared" si="1"/>
        <v>2059</v>
      </c>
      <c r="AV9" s="14">
        <f t="shared" si="1"/>
        <v>2060</v>
      </c>
      <c r="AW9" s="14">
        <f t="shared" si="1"/>
        <v>2061</v>
      </c>
      <c r="AX9" s="14">
        <f t="shared" si="1"/>
        <v>2062</v>
      </c>
      <c r="AY9" s="14">
        <f>AX9+1</f>
        <v>2063</v>
      </c>
      <c r="AZ9" s="14">
        <f t="shared" si="1"/>
        <v>2064</v>
      </c>
      <c r="BA9" s="14">
        <f t="shared" si="1"/>
        <v>2065</v>
      </c>
      <c r="BB9" s="14">
        <f t="shared" si="1"/>
        <v>2066</v>
      </c>
      <c r="BC9" s="14">
        <f t="shared" si="1"/>
        <v>2067</v>
      </c>
      <c r="BD9" s="14">
        <f t="shared" si="1"/>
        <v>2068</v>
      </c>
      <c r="BE9" s="14">
        <f t="shared" si="1"/>
        <v>2069</v>
      </c>
      <c r="BF9" s="14">
        <f t="shared" si="1"/>
        <v>2070</v>
      </c>
      <c r="BG9" s="14"/>
      <c r="BH9" s="14"/>
    </row>
    <row r="10" spans="1:60" x14ac:dyDescent="0.75">
      <c r="A10" t="s">
        <v>12</v>
      </c>
      <c r="B10" t="s">
        <v>19</v>
      </c>
      <c r="C10" t="s">
        <v>1</v>
      </c>
      <c r="D10" s="26">
        <v>0.01</v>
      </c>
      <c r="E10" s="26">
        <v>0.05</v>
      </c>
      <c r="F10" s="26">
        <v>1</v>
      </c>
      <c r="G10" s="29" t="str">
        <f>IF(E10=F10,"n/a",IF(OR(C10="battery electric vehicle",C10="natural gas vehicle",C10="plugin hybrid vehicle"),"s-curve","linear"))</f>
        <v>s-curve</v>
      </c>
      <c r="I10" s="27">
        <f>D10</f>
        <v>0.01</v>
      </c>
      <c r="J10" s="27">
        <f>IFERROR(_xlfn.FORECAST.ETS(J$9,$D10:$E10,$D$9:$E$9,1),0)</f>
        <v>2.0000000000000018E-2</v>
      </c>
      <c r="K10" s="27">
        <f t="shared" ref="K10:L25" si="2">IFERROR(_xlfn.FORECAST.ETS(K$9,$D10:$E10,$D$9:$E$9,1),0)</f>
        <v>3.0000000000000009E-2</v>
      </c>
      <c r="L10" s="27">
        <f t="shared" si="2"/>
        <v>0.04</v>
      </c>
      <c r="M10" s="27">
        <f>E10</f>
        <v>0.05</v>
      </c>
      <c r="N10" s="27">
        <f>IF($G10="s-curve",$E10+($F10-$E10)*$R$2/(1+EXP($R$3*(COUNT($N$9:N$9)+$R$4))),TREND($E10:$F10,$E$9:$F$9,N$9))</f>
        <v>9.505457951868844E-2</v>
      </c>
      <c r="O10" s="27">
        <f>IF($G10="s-curve",$E10+($F10-$E10)*$R$2/(1+EXP($R$3*(COUNT($N$9:O$9)+$R$4))),TREND($E10:$F10,$E$9:$F$9,O$9))</f>
        <v>0.10982468825414668</v>
      </c>
      <c r="P10" s="27">
        <f>IF($G10="s-curve",$E10+($F10-$E10)*$R$2/(1+EXP($R$3*(COUNT($N$9:P$9)+$R$4))),TREND($E10:$F10,$E$9:$F$9,P$9))</f>
        <v>0.12901406166922624</v>
      </c>
      <c r="Q10" s="27">
        <f>IF($G10="s-curve",$E10+($F10-$E10)*$R$2/(1+EXP($R$3*(COUNT($N$9:Q$9)+$R$4))),TREND($E10:$F10,$E$9:$F$9,Q$9))</f>
        <v>0.15364198013583227</v>
      </c>
      <c r="R10" s="27">
        <f>IF($G10="s-curve",$E10+($F10-$E10)*$R$2/(1+EXP($R$3*(COUNT($N$9:R$9)+$R$4))),TREND($E10:$F10,$E$9:$F$9,R$9))</f>
        <v>0.18475851165546342</v>
      </c>
      <c r="S10" s="27">
        <f>IF($G10="s-curve",$E10+($F10-$E10)*$R$2/(1+EXP($R$3*(COUNT($N$9:S$9)+$R$4))),TREND($E10:$F10,$E$9:$F$9,S$9))</f>
        <v>0.22330424761603851</v>
      </c>
      <c r="T10" s="27">
        <f>IF($G10="s-curve",$E10+($F10-$E10)*$R$2/(1+EXP($R$3*(COUNT($N$9:T$9)+$R$4))),TREND($E10:$F10,$E$9:$F$9,T$9))</f>
        <v>0.26990145567593327</v>
      </c>
      <c r="U10" s="27">
        <f>IF($G10="s-curve",$E10+($F10-$E10)*$R$2/(1+EXP($R$3*(COUNT($N$9:U$9)+$R$4))),TREND($E10:$F10,$E$9:$F$9,U$9))</f>
        <v>0.32459797250624622</v>
      </c>
      <c r="V10" s="27">
        <f>IF($G10="s-curve",$E10+($F10-$E10)*$R$2/(1+EXP($R$3*(COUNT($N$9:V$9)+$R$4))),TREND($E10:$F10,$E$9:$F$9,V$9))</f>
        <v>0.38662650908549429</v>
      </c>
      <c r="W10" s="27">
        <f>IF($G10="s-curve",$E10+($F10-$E10)*$R$2/(1+EXP($R$3*(COUNT($N$9:W$9)+$R$4))),TREND($E10:$F10,$E$9:$F$9,W$9))</f>
        <v>0.45427960902892389</v>
      </c>
      <c r="X10" s="27">
        <f>IF($G10="s-curve",$E10+($F10-$E10)*$R$2/(1+EXP($R$3*(COUNT($N$9:X$9)+$R$4))),TREND($E10:$F10,$E$9:$F$9,X$9))</f>
        <v>0.52500000000000002</v>
      </c>
      <c r="Y10" s="27">
        <f>IF($G10="s-curve",$E10+($F10-$E10)*$R$2/(1+EXP($R$3*(COUNT($N$9:Y$9)+$R$4))),TREND($E10:$F10,$E$9:$F$9,Y$9))</f>
        <v>0.5957203909710761</v>
      </c>
      <c r="Z10" s="27">
        <f>IF($G10="s-curve",$E10+($F10-$E10)*$R$2/(1+EXP($R$3*(COUNT($N$9:Z$9)+$R$4))),TREND($E10:$F10,$E$9:$F$9,Z$9))</f>
        <v>0.6633734909145057</v>
      </c>
      <c r="AA10" s="27">
        <f>IF($G10="s-curve",$E10+($F10-$E10)*$R$2/(1+EXP($R$3*(COUNT($N$9:AA$9)+$R$4))),TREND($E10:$F10,$E$9:$F$9,AA$9))</f>
        <v>0.72540202749375371</v>
      </c>
      <c r="AB10" s="27">
        <f>IF($G10="s-curve",$E10+($F10-$E10)*$R$2/(1+EXP($R$3*(COUNT($N$9:AB$9)+$R$4))),TREND($E10:$F10,$E$9:$F$9,AB$9))</f>
        <v>0.78009854432406667</v>
      </c>
      <c r="AC10" s="27">
        <f>IF($G10="s-curve",$E10+($F10-$E10)*$R$2/(1+EXP($R$3*(COUNT($N$9:AC$9)+$R$4))),TREND($E10:$F10,$E$9:$F$9,AC$9))</f>
        <v>0.82669575238396142</v>
      </c>
      <c r="AD10" s="27">
        <f>IF($G10="s-curve",$E10+($F10-$E10)*$R$2/(1+EXP($R$3*(COUNT($N$9:AD$9)+$R$4))),TREND($E10:$F10,$E$9:$F$9,AD$9))</f>
        <v>0.86524148834453662</v>
      </c>
      <c r="AE10" s="27">
        <f>IF($G10="s-curve",$E10+($F10-$E10)*$R$2/(1+EXP($R$3*(COUNT($N$9:AE$9)+$R$4))),TREND($E10:$F10,$E$9:$F$9,AE$9))</f>
        <v>0.89635801986416774</v>
      </c>
      <c r="AF10" s="27">
        <f>IF($G10="s-curve",$E10+($F10-$E10)*$R$2/(1+EXP($R$3*(COUNT($N$9:AF$9)+$R$4))),TREND($E10:$F10,$E$9:$F$9,AF$9))</f>
        <v>0.9209859383307738</v>
      </c>
      <c r="AG10" s="27">
        <f>IF($G10="s-curve",$E10+($F10-$E10)*$R$2/(1+EXP($R$3*(COUNT($N$9:AG$9)+$R$4))),TREND($E10:$F10,$E$9:$F$9,AG$9))</f>
        <v>0.94017531174585334</v>
      </c>
      <c r="AH10" s="27">
        <f>IF($G10="s-curve",$E10+($F10-$E10)*$R$2/(1+EXP($R$3*(COUNT($N$9:AH$9)+$R$4))),TREND($E10:$F10,$E$9:$F$9,AH$9))</f>
        <v>0.9549454204813117</v>
      </c>
      <c r="AI10" s="27">
        <f>IF($G10="s-curve",$E10+($F10-$E10)*$R$2/(1+EXP($R$3*(COUNT($N$9:AI$9)+$R$4))),TREND($E10:$F10,$E$9:$F$9,AI$9))</f>
        <v>0.96620737019099567</v>
      </c>
      <c r="AJ10" s="27">
        <f>IF($G10="s-curve",$E10+($F10-$E10)*$R$2/(1+EXP($R$3*(COUNT($N$9:AJ$9)+$R$4))),TREND($E10:$F10,$E$9:$F$9,AJ$9))</f>
        <v>0.97473285610197735</v>
      </c>
      <c r="AK10" s="27">
        <f>IF($G10="s-curve",$E10+($F10-$E10)*$R$2/(1+EXP($R$3*(COUNT($N$9:AK$9)+$R$4))),TREND($E10:$F10,$E$9:$F$9,AK$9))</f>
        <v>0.98115170955262643</v>
      </c>
      <c r="AL10" s="27">
        <f>IF($G10="s-curve",$E10+($F10-$E10)*$R$2/(1+EXP($R$3*(COUNT($N$9:AL$9)+$R$4))),TREND($E10:$F10,$E$9:$F$9,AL$9))</f>
        <v>0.98596466989139064</v>
      </c>
      <c r="AM10" s="27">
        <f>IF($G10="s-curve",$E10+($F10-$E10)*$R$2/(1+EXP($R$3*(COUNT($N$9:AM$9)+$R$4))),TREND($E10:$F10,$E$9:$F$9,AM$9))</f>
        <v>0.98956240450093647</v>
      </c>
      <c r="AN10" s="27">
        <f>IF($G10="s-curve",$E10+($F10-$E10)*$R$2/(1+EXP($R$3*(COUNT($N$9:AN$9)+$R$4))),TREND($E10:$F10,$E$9:$F$9,AN$9))</f>
        <v>0.99224555740449816</v>
      </c>
      <c r="AO10" s="27">
        <f>IF($G10="s-curve",$E10+($F10-$E10)*$R$2/(1+EXP($R$3*(COUNT($N$9:AO$9)+$R$4))),TREND($E10:$F10,$E$9:$F$9,AO$9))</f>
        <v>0.99424318858299499</v>
      </c>
      <c r="AP10" s="27">
        <f>IF($G10="s-curve",$E10+($F10-$E10)*$R$2/(1+EXP($R$3*(COUNT($N$9:AP$9)+$R$4))),TREND($E10:$F10,$E$9:$F$9,AP$9))</f>
        <v>0.99572854049710591</v>
      </c>
      <c r="AQ10" s="27">
        <f>IF($G10="s-curve",$E10+($F10-$E10)*$R$2/(1+EXP($R$3*(COUNT($N$9:AQ$9)+$R$4))),TREND($E10:$F10,$E$9:$F$9,AQ$9))</f>
        <v>0.99683193305795736</v>
      </c>
      <c r="AR10" s="27">
        <f>IF($G10="s-curve",$E10+($F10-$E10)*$R$2/(1+EXP($R$3*(COUNT($N$9:AR$9)+$R$4))),TREND($E10:$F10,$E$9:$F$9,AR$9))</f>
        <v>0.9976510080011971</v>
      </c>
      <c r="AS10" s="27">
        <f>IF($G10="s-curve",$E10+($F10-$E10)*$R$2/(1+EXP($R$3*(COUNT($N$9:AS$9)+$R$4))),TREND($E10:$F10,$E$9:$F$9,AS$9))</f>
        <v>0.9982587080046319</v>
      </c>
      <c r="AT10" s="27">
        <f>IF($G10="s-curve",$E10+($F10-$E10)*$R$2/(1+EXP($R$3*(COUNT($N$9:AT$9)+$R$4))),TREND($E10:$F10,$E$9:$F$9,AT$9))</f>
        <v>0.99870940604709257</v>
      </c>
      <c r="AU10" s="27">
        <f>IF($G10="s-curve",$E10+($F10-$E10)*$R$2/(1+EXP($R$3*(COUNT($N$9:AU$9)+$R$4))),TREND($E10:$F10,$E$9:$F$9,AU$9))</f>
        <v>0.99904356772091873</v>
      </c>
      <c r="AV10" s="27">
        <f>IF($G10="s-curve",$E10+($F10-$E10)*$R$2/(1+EXP($R$3*(COUNT($N$9:AV$9)+$R$4))),TREND($E10:$F10,$E$9:$F$9,AV$9))</f>
        <v>0.99929127260785522</v>
      </c>
      <c r="AW10" s="27">
        <f>IF($G10="s-curve",$E10+($F10-$E10)*$R$2/(1+EXP($R$3*(COUNT($N$9:AW$9)+$R$4))),TREND($E10:$F10,$E$9:$F$9,AW$9))</f>
        <v>0.99947486029492261</v>
      </c>
      <c r="AX10" s="27">
        <f>IF($G10="s-curve",$E10+($F10-$E10)*$R$2/(1+EXP($R$3*(COUNT($N$9:AX$9)+$R$4))),TREND($E10:$F10,$E$9:$F$9,AX$9))</f>
        <v>0.99961091119326329</v>
      </c>
      <c r="AY10" s="27">
        <f>IF($G10="s-curve",$E10+($F10-$E10)*$R$2/(1+EXP($R$3*(COUNT($N$9:AY$9)+$R$4))),TREND($E10:$F10,$E$9:$F$9,AY$9))</f>
        <v>0.99971172532147257</v>
      </c>
      <c r="AZ10" s="27">
        <f>IF($G10="s-curve",$E10+($F10-$E10)*$R$2/(1+EXP($R$3*(COUNT($N$9:AZ$9)+$R$4))),TREND($E10:$F10,$E$9:$F$9,AZ$9))</f>
        <v>0.99978642406827833</v>
      </c>
      <c r="BA10" s="27">
        <f>IF($G10="s-curve",$E10+($F10-$E10)*$R$2/(1+EXP($R$3*(COUNT($N$9:BA$9)+$R$4))),TREND($E10:$F10,$E$9:$F$9,BA$9))</f>
        <v>0.99984176983846151</v>
      </c>
      <c r="BB10" s="27">
        <f>IF($G10="s-curve",$E10+($F10-$E10)*$R$2/(1+EXP($R$3*(COUNT($N$9:BB$9)+$R$4))),TREND($E10:$F10,$E$9:$F$9,BB$9))</f>
        <v>0.99988277515281299</v>
      </c>
      <c r="BC10" s="27">
        <f>IF($G10="s-curve",$E10+($F10-$E10)*$R$2/(1+EXP($R$3*(COUNT($N$9:BC$9)+$R$4))),TREND($E10:$F10,$E$9:$F$9,BC$9))</f>
        <v>0.99991315491984034</v>
      </c>
      <c r="BD10" s="27">
        <f>IF($G10="s-curve",$E10+($F10-$E10)*$R$2/(1+EXP($R$3*(COUNT($N$9:BD$9)+$R$4))),TREND($E10:$F10,$E$9:$F$9,BD$9))</f>
        <v>0.99993566205786133</v>
      </c>
      <c r="BE10" s="27">
        <f>IF($G10="s-curve",$E10+($F10-$E10)*$R$2/(1+EXP($R$3*(COUNT($N$9:BE$9)+$R$4))),TREND($E10:$F10,$E$9:$F$9,BE$9))</f>
        <v>0.9999523364435503</v>
      </c>
      <c r="BF10" s="27">
        <f>IF($G10="s-curve",$E10+($F10-$E10)*$R$2/(1+EXP($R$3*(COUNT($N$9:BF$9)+$R$4))),TREND($E10:$F10,$E$9:$F$9,BF$9))</f>
        <v>0.99996468950975226</v>
      </c>
    </row>
    <row r="11" spans="1:60" x14ac:dyDescent="0.75">
      <c r="C11" t="s">
        <v>2</v>
      </c>
      <c r="D11" s="26">
        <v>1.0005073039100001E-4</v>
      </c>
      <c r="E11" s="26">
        <v>9.1114481822700006E-5</v>
      </c>
      <c r="F11" s="26">
        <f>E11</f>
        <v>9.1114481822700006E-5</v>
      </c>
      <c r="G11" s="29" t="str">
        <f>IF(E11=F11,"n/a",IF(OR(C11="battery electric vehicle",C11="natural gas vehicle",C11="plugin hybrid vehicle"),"s-curve","linear"))</f>
        <v>n/a</v>
      </c>
      <c r="I11" s="27">
        <f t="shared" ref="I11:I40" si="3">E11</f>
        <v>9.1114481822700006E-5</v>
      </c>
      <c r="J11" s="27">
        <f t="shared" ref="J11:L42" si="4">IFERROR(_xlfn.FORECAST.ETS(J$9,$D11:$E11,$D$9:$E$9,1),0)</f>
        <v>9.7816668248925013E-5</v>
      </c>
      <c r="K11" s="27">
        <f t="shared" si="2"/>
        <v>9.5582606106850033E-5</v>
      </c>
      <c r="L11" s="27">
        <f t="shared" si="2"/>
        <v>9.3348543964775054E-5</v>
      </c>
      <c r="M11" s="27">
        <f>IF($G11="s-curve",$E11+($F11-$E11)*$I$2/(1+EXP($I$3*(COUNT($I$9:M$9)+$I$4))),TREND($E11:$F11,$E$9:$F$9,M$9))</f>
        <v>9.1114481822700006E-5</v>
      </c>
      <c r="N11" s="27">
        <f>IF($G11="s-curve",$E11+($F11-$E11)*$I$2/(1+EXP($I$3*(COUNT($I$9:N$9)+$I$4))),TREND($E11:$F11,$E$9:$F$9,N$9))</f>
        <v>9.1114481822700006E-5</v>
      </c>
      <c r="O11" s="27">
        <f>IF($G11="s-curve",$E11+($F11-$E11)*$I$2/(1+EXP($I$3*(COUNT($I$9:O$9)+$I$4))),TREND($E11:$F11,$E$9:$F$9,O$9))</f>
        <v>9.1114481822700006E-5</v>
      </c>
      <c r="P11" s="27">
        <f>IF($G11="s-curve",$E11+($F11-$E11)*$I$2/(1+EXP($I$3*(COUNT($I$9:P$9)+$I$4))),TREND($E11:$F11,$E$9:$F$9,P$9))</f>
        <v>9.1114481822700006E-5</v>
      </c>
      <c r="Q11" s="27">
        <f>IF($G11="s-curve",$E11+($F11-$E11)*$I$2/(1+EXP($I$3*(COUNT($I$9:Q$9)+$I$4))),TREND($E11:$F11,$E$9:$F$9,Q$9))</f>
        <v>9.1114481822700006E-5</v>
      </c>
      <c r="R11" s="27">
        <f>IF($G11="s-curve",$E11+($F11-$E11)*$I$2/(1+EXP($I$3*(COUNT($I$9:R$9)+$I$4))),TREND($E11:$F11,$E$9:$F$9,R$9))</f>
        <v>9.1114481822700006E-5</v>
      </c>
      <c r="S11" s="27">
        <f>IF($G11="s-curve",$E11+($F11-$E11)*$I$2/(1+EXP($I$3*(COUNT($I$9:S$9)+$I$4))),TREND($E11:$F11,$E$9:$F$9,S$9))</f>
        <v>9.1114481822700006E-5</v>
      </c>
      <c r="T11" s="27">
        <f>IF($G11="s-curve",$E11+($F11-$E11)*$I$2/(1+EXP($I$3*(COUNT($I$9:T$9)+$I$4))),TREND($E11:$F11,$E$9:$F$9,T$9))</f>
        <v>9.1114481822700006E-5</v>
      </c>
      <c r="U11" s="27">
        <f>IF($G11="s-curve",$E11+($F11-$E11)*$I$2/(1+EXP($I$3*(COUNT($I$9:U$9)+$I$4))),TREND($E11:$F11,$E$9:$F$9,U$9))</f>
        <v>9.1114481822700006E-5</v>
      </c>
      <c r="V11" s="27">
        <f>IF($G11="s-curve",$E11+($F11-$E11)*$I$2/(1+EXP($I$3*(COUNT($I$9:V$9)+$I$4))),TREND($E11:$F11,$E$9:$F$9,V$9))</f>
        <v>9.1114481822700006E-5</v>
      </c>
      <c r="W11" s="27">
        <f>IF($G11="s-curve",$E11+($F11-$E11)*$I$2/(1+EXP($I$3*(COUNT($I$9:W$9)+$I$4))),TREND($E11:$F11,$E$9:$F$9,W$9))</f>
        <v>9.1114481822700006E-5</v>
      </c>
      <c r="X11" s="27">
        <f>IF($G11="s-curve",$E11+($F11-$E11)*$I$2/(1+EXP($I$3*(COUNT($I$9:X$9)+$I$4))),TREND($E11:$F11,$E$9:$F$9,X$9))</f>
        <v>9.1114481822700006E-5</v>
      </c>
      <c r="Y11" s="27">
        <f>IF($G11="s-curve",$E11+($F11-$E11)*$I$2/(1+EXP($I$3*(COUNT($I$9:Y$9)+$I$4))),TREND($E11:$F11,$E$9:$F$9,Y$9))</f>
        <v>9.1114481822700006E-5</v>
      </c>
      <c r="Z11" s="27">
        <f>IF($G11="s-curve",$E11+($F11-$E11)*$I$2/(1+EXP($I$3*(COUNT($I$9:Z$9)+$I$4))),TREND($E11:$F11,$E$9:$F$9,Z$9))</f>
        <v>9.1114481822700006E-5</v>
      </c>
      <c r="AA11" s="27">
        <f>IF($G11="s-curve",$E11+($F11-$E11)*$I$2/(1+EXP($I$3*(COUNT($I$9:AA$9)+$I$4))),TREND($E11:$F11,$E$9:$F$9,AA$9))</f>
        <v>9.1114481822700006E-5</v>
      </c>
      <c r="AB11" s="27">
        <f>IF($G11="s-curve",$E11+($F11-$E11)*$I$2/(1+EXP($I$3*(COUNT($I$9:AB$9)+$I$4))),TREND($E11:$F11,$E$9:$F$9,AB$9))</f>
        <v>9.1114481822700006E-5</v>
      </c>
      <c r="AC11" s="27">
        <f>IF($G11="s-curve",$E11+($F11-$E11)*$I$2/(1+EXP($I$3*(COUNT($I$9:AC$9)+$I$4))),TREND($E11:$F11,$E$9:$F$9,AC$9))</f>
        <v>9.1114481822700006E-5</v>
      </c>
      <c r="AD11" s="27">
        <f>IF($G11="s-curve",$E11+($F11-$E11)*$I$2/(1+EXP($I$3*(COUNT($I$9:AD$9)+$I$4))),TREND($E11:$F11,$E$9:$F$9,AD$9))</f>
        <v>9.1114481822700006E-5</v>
      </c>
      <c r="AE11" s="27">
        <f>IF($G11="s-curve",$E11+($F11-$E11)*$I$2/(1+EXP($I$3*(COUNT($I$9:AE$9)+$I$4))),TREND($E11:$F11,$E$9:$F$9,AE$9))</f>
        <v>9.1114481822700006E-5</v>
      </c>
      <c r="AF11" s="27">
        <f>IF($G11="s-curve",$E11+($F11-$E11)*$I$2/(1+EXP($I$3*(COUNT($I$9:AF$9)+$I$4))),TREND($E11:$F11,$E$9:$F$9,AF$9))</f>
        <v>9.1114481822700006E-5</v>
      </c>
      <c r="AG11" s="27">
        <f>IF($G11="s-curve",$E11+($F11-$E11)*$I$2/(1+EXP($I$3*(COUNT($I$9:AG$9)+$I$4))),TREND($E11:$F11,$E$9:$F$9,AG$9))</f>
        <v>9.1114481822700006E-5</v>
      </c>
      <c r="AH11" s="27">
        <f>IF($G11="s-curve",$E11+($F11-$E11)*$I$2/(1+EXP($I$3*(COUNT($I$9:AH$9)+$I$4))),TREND($E11:$F11,$E$9:$F$9,AH$9))</f>
        <v>9.1114481822700006E-5</v>
      </c>
      <c r="AI11" s="27">
        <f>IF($G11="s-curve",$E11+($F11-$E11)*$I$2/(1+EXP($I$3*(COUNT($I$9:AI$9)+$I$4))),TREND($E11:$F11,$E$9:$F$9,AI$9))</f>
        <v>9.1114481822700006E-5</v>
      </c>
      <c r="AJ11" s="27">
        <f>IF($G11="s-curve",$E11+($F11-$E11)*$I$2/(1+EXP($I$3*(COUNT($I$9:AJ$9)+$I$4))),TREND($E11:$F11,$E$9:$F$9,AJ$9))</f>
        <v>9.1114481822700006E-5</v>
      </c>
      <c r="AK11" s="27">
        <f>IF($G11="s-curve",$E11+($F11-$E11)*$I$2/(1+EXP($I$3*(COUNT($I$9:AK$9)+$I$4))),TREND($E11:$F11,$E$9:$F$9,AK$9))</f>
        <v>9.1114481822700006E-5</v>
      </c>
      <c r="AL11" s="27">
        <f>IF($G11="s-curve",$E11+($F11-$E11)*$I$2/(1+EXP($I$3*(COUNT($I$9:AL$9)+$I$4))),TREND($E11:$F11,$E$9:$F$9,AL$9))</f>
        <v>9.1114481822700006E-5</v>
      </c>
      <c r="AM11" s="27">
        <f>IF($G11="s-curve",$E11+($F11-$E11)*$I$2/(1+EXP($I$3*(COUNT($I$9:AM$9)+$I$4))),TREND($E11:$F11,$E$9:$F$9,AM$9))</f>
        <v>9.1114481822700006E-5</v>
      </c>
      <c r="AN11" s="27">
        <f>IF($G11="s-curve",$E11+($F11-$E11)*$I$2/(1+EXP($I$3*(COUNT($I$9:AN$9)+$I$4))),TREND($E11:$F11,$E$9:$F$9,AN$9))</f>
        <v>9.1114481822700006E-5</v>
      </c>
      <c r="AO11" s="27">
        <f>IF($G11="s-curve",$E11+($F11-$E11)*$I$2/(1+EXP($I$3*(COUNT($I$9:AO$9)+$I$4))),TREND($E11:$F11,$E$9:$F$9,AO$9))</f>
        <v>9.1114481822700006E-5</v>
      </c>
      <c r="AP11" s="27">
        <f>IF($G11="s-curve",$E11+($F11-$E11)*$I$2/(1+EXP($I$3*(COUNT($I$9:AP$9)+$I$4))),TREND($E11:$F11,$E$9:$F$9,AP$9))</f>
        <v>9.1114481822700006E-5</v>
      </c>
      <c r="AQ11" s="27">
        <f>IF($G11="s-curve",$E11+($F11-$E11)*$I$2/(1+EXP($I$3*(COUNT($I$9:AQ$9)+$I$4))),TREND($E11:$F11,$E$9:$F$9,AQ$9))</f>
        <v>9.1114481822700006E-5</v>
      </c>
      <c r="AR11" s="27">
        <f>IF($G11="s-curve",$E11+($F11-$E11)*$I$2/(1+EXP($I$3*(COUNT($I$9:AR$9)+$I$4))),TREND($E11:$F11,$E$9:$F$9,AR$9))</f>
        <v>9.1114481822700006E-5</v>
      </c>
      <c r="AS11" s="27">
        <f>IF($G11="s-curve",$E11+($F11-$E11)*$I$2/(1+EXP($I$3*(COUNT($I$9:AS$9)+$I$4))),TREND($E11:$F11,$E$9:$F$9,AS$9))</f>
        <v>9.1114481822700006E-5</v>
      </c>
      <c r="AT11" s="27">
        <f>IF($G11="s-curve",$E11+($F11-$E11)*$I$2/(1+EXP($I$3*(COUNT($I$9:AT$9)+$I$4))),TREND($E11:$F11,$E$9:$F$9,AT$9))</f>
        <v>9.1114481822700006E-5</v>
      </c>
      <c r="AU11" s="27">
        <f>IF($G11="s-curve",$E11+($F11-$E11)*$I$2/(1+EXP($I$3*(COUNT($I$9:AU$9)+$I$4))),TREND($E11:$F11,$E$9:$F$9,AU$9))</f>
        <v>9.1114481822700006E-5</v>
      </c>
      <c r="AV11" s="27">
        <f>IF($G11="s-curve",$E11+($F11-$E11)*$I$2/(1+EXP($I$3*(COUNT($I$9:AV$9)+$I$4))),TREND($E11:$F11,$E$9:$F$9,AV$9))</f>
        <v>9.1114481822700006E-5</v>
      </c>
      <c r="AW11" s="27">
        <f>IF($G11="s-curve",$E11+($F11-$E11)*$I$2/(1+EXP($I$3*(COUNT($I$9:AW$9)+$I$4))),TREND($E11:$F11,$E$9:$F$9,AW$9))</f>
        <v>9.1114481822700006E-5</v>
      </c>
      <c r="AX11" s="27">
        <f>IF($G11="s-curve",$E11+($F11-$E11)*$I$2/(1+EXP($I$3*(COUNT($I$9:AX$9)+$I$4))),TREND($E11:$F11,$E$9:$F$9,AX$9))</f>
        <v>9.1114481822700006E-5</v>
      </c>
      <c r="AY11" s="27">
        <f>IF($G11="s-curve",$E11+($F11-$E11)*$I$2/(1+EXP($I$3*(COUNT($I$9:AY$9)+$I$4))),TREND($E11:$F11,$E$9:$F$9,AY$9))</f>
        <v>9.1114481822700006E-5</v>
      </c>
      <c r="AZ11" s="27">
        <f>IF($G11="s-curve",$E11+($F11-$E11)*$I$2/(1+EXP($I$3*(COUNT($I$9:AZ$9)+$I$4))),TREND($E11:$F11,$E$9:$F$9,AZ$9))</f>
        <v>9.1114481822700006E-5</v>
      </c>
      <c r="BA11" s="27">
        <f>IF($G11="s-curve",$E11+($F11-$E11)*$I$2/(1+EXP($I$3*(COUNT($I$9:BA$9)+$I$4))),TREND($E11:$F11,$E$9:$F$9,BA$9))</f>
        <v>9.1114481822700006E-5</v>
      </c>
      <c r="BB11" s="27">
        <f>IF($G11="s-curve",$E11+($F11-$E11)*$I$2/(1+EXP($I$3*(COUNT($I$9:BB$9)+$I$4))),TREND($E11:$F11,$E$9:$F$9,BB$9))</f>
        <v>9.1114481822700006E-5</v>
      </c>
      <c r="BC11" s="27">
        <f>IF($G11="s-curve",$E11+($F11-$E11)*$I$2/(1+EXP($I$3*(COUNT($I$9:BC$9)+$I$4))),TREND($E11:$F11,$E$9:$F$9,BC$9))</f>
        <v>9.1114481822700006E-5</v>
      </c>
      <c r="BD11" s="27">
        <f>IF($G11="s-curve",$E11+($F11-$E11)*$I$2/(1+EXP($I$3*(COUNT($I$9:BD$9)+$I$4))),TREND($E11:$F11,$E$9:$F$9,BD$9))</f>
        <v>9.1114481822700006E-5</v>
      </c>
      <c r="BE11" s="27">
        <f>IF($G11="s-curve",$E11+($F11-$E11)*$I$2/(1+EXP($I$3*(COUNT($I$9:BE$9)+$I$4))),TREND($E11:$F11,$E$9:$F$9,BE$9))</f>
        <v>9.1114481822700006E-5</v>
      </c>
      <c r="BF11" s="27">
        <f>IF($G11="s-curve",$E11+($F11-$E11)*$I$2/(1+EXP($I$3*(COUNT($I$9:BF$9)+$I$4))),TREND($E11:$F11,$E$9:$F$9,BF$9))</f>
        <v>9.1114481822700006E-5</v>
      </c>
    </row>
    <row r="12" spans="1:60" x14ac:dyDescent="0.75">
      <c r="C12" t="s">
        <v>3</v>
      </c>
      <c r="D12" s="26">
        <v>1</v>
      </c>
      <c r="E12" s="26">
        <v>1</v>
      </c>
      <c r="F12" s="26">
        <v>1</v>
      </c>
      <c r="G12" s="29" t="str">
        <f>IF(E12=F12,"n/a",IF(OR(C12="battery electric vehicle",C12="natural gas vehicle",C12="plugin hybrid vehicle"),"s-curve","linear"))</f>
        <v>n/a</v>
      </c>
      <c r="I12" s="27">
        <f t="shared" si="3"/>
        <v>1</v>
      </c>
      <c r="J12" s="27">
        <f t="shared" si="4"/>
        <v>1</v>
      </c>
      <c r="K12" s="27">
        <f t="shared" si="2"/>
        <v>1</v>
      </c>
      <c r="L12" s="27">
        <f t="shared" si="2"/>
        <v>1</v>
      </c>
      <c r="M12" s="27">
        <f>IF($G12="s-curve",$E12+($F12-$E12)*$I$2/(1+EXP($I$3*(COUNT($I$9:M$9)+$I$4))),TREND($E12:$F12,$E$9:$F$9,M$9))</f>
        <v>1</v>
      </c>
      <c r="N12" s="27">
        <f>IF($G12="s-curve",$E12+($F12-$E12)*$I$2/(1+EXP($I$3*(COUNT($I$9:N$9)+$I$4))),TREND($E12:$F12,$E$9:$F$9,N$9))</f>
        <v>1</v>
      </c>
      <c r="O12" s="27">
        <f>IF($G12="s-curve",$E12+($F12-$E12)*$I$2/(1+EXP($I$3*(COUNT($I$9:O$9)+$I$4))),TREND($E12:$F12,$E$9:$F$9,O$9))</f>
        <v>1</v>
      </c>
      <c r="P12" s="27">
        <f>IF($G12="s-curve",$E12+($F12-$E12)*$I$2/(1+EXP($I$3*(COUNT($I$9:P$9)+$I$4))),TREND($E12:$F12,$E$9:$F$9,P$9))</f>
        <v>1</v>
      </c>
      <c r="Q12" s="27">
        <f>IF($G12="s-curve",$E12+($F12-$E12)*$I$2/(1+EXP($I$3*(COUNT($I$9:Q$9)+$I$4))),TREND($E12:$F12,$E$9:$F$9,Q$9))</f>
        <v>1</v>
      </c>
      <c r="R12" s="27">
        <f>IF($G12="s-curve",$E12+($F12-$E12)*$I$2/(1+EXP($I$3*(COUNT($I$9:R$9)+$I$4))),TREND($E12:$F12,$E$9:$F$9,R$9))</f>
        <v>1</v>
      </c>
      <c r="S12" s="27">
        <f>IF($G12="s-curve",$E12+($F12-$E12)*$I$2/(1+EXP($I$3*(COUNT($I$9:S$9)+$I$4))),TREND($E12:$F12,$E$9:$F$9,S$9))</f>
        <v>1</v>
      </c>
      <c r="T12" s="27">
        <f>IF($G12="s-curve",$E12+($F12-$E12)*$I$2/(1+EXP($I$3*(COUNT($I$9:T$9)+$I$4))),TREND($E12:$F12,$E$9:$F$9,T$9))</f>
        <v>1</v>
      </c>
      <c r="U12" s="27">
        <f>IF($G12="s-curve",$E12+($F12-$E12)*$I$2/(1+EXP($I$3*(COUNT($I$9:U$9)+$I$4))),TREND($E12:$F12,$E$9:$F$9,U$9))</f>
        <v>1</v>
      </c>
      <c r="V12" s="27">
        <f>IF($G12="s-curve",$E12+($F12-$E12)*$I$2/(1+EXP($I$3*(COUNT($I$9:V$9)+$I$4))),TREND($E12:$F12,$E$9:$F$9,V$9))</f>
        <v>1</v>
      </c>
      <c r="W12" s="27">
        <f>IF($G12="s-curve",$E12+($F12-$E12)*$I$2/(1+EXP($I$3*(COUNT($I$9:W$9)+$I$4))),TREND($E12:$F12,$E$9:$F$9,W$9))</f>
        <v>1</v>
      </c>
      <c r="X12" s="27">
        <f>IF($G12="s-curve",$E12+($F12-$E12)*$I$2/(1+EXP($I$3*(COUNT($I$9:X$9)+$I$4))),TREND($E12:$F12,$E$9:$F$9,X$9))</f>
        <v>1</v>
      </c>
      <c r="Y12" s="27">
        <f>IF($G12="s-curve",$E12+($F12-$E12)*$I$2/(1+EXP($I$3*(COUNT($I$9:Y$9)+$I$4))),TREND($E12:$F12,$E$9:$F$9,Y$9))</f>
        <v>1</v>
      </c>
      <c r="Z12" s="27">
        <f>IF($G12="s-curve",$E12+($F12-$E12)*$I$2/(1+EXP($I$3*(COUNT($I$9:Z$9)+$I$4))),TREND($E12:$F12,$E$9:$F$9,Z$9))</f>
        <v>1</v>
      </c>
      <c r="AA12" s="27">
        <f>IF($G12="s-curve",$E12+($F12-$E12)*$I$2/(1+EXP($I$3*(COUNT($I$9:AA$9)+$I$4))),TREND($E12:$F12,$E$9:$F$9,AA$9))</f>
        <v>1</v>
      </c>
      <c r="AB12" s="27">
        <f>IF($G12="s-curve",$E12+($F12-$E12)*$I$2/(1+EXP($I$3*(COUNT($I$9:AB$9)+$I$4))),TREND($E12:$F12,$E$9:$F$9,AB$9))</f>
        <v>1</v>
      </c>
      <c r="AC12" s="27">
        <f>IF($G12="s-curve",$E12+($F12-$E12)*$I$2/(1+EXP($I$3*(COUNT($I$9:AC$9)+$I$4))),TREND($E12:$F12,$E$9:$F$9,AC$9))</f>
        <v>1</v>
      </c>
      <c r="AD12" s="27">
        <f>IF($G12="s-curve",$E12+($F12-$E12)*$I$2/(1+EXP($I$3*(COUNT($I$9:AD$9)+$I$4))),TREND($E12:$F12,$E$9:$F$9,AD$9))</f>
        <v>1</v>
      </c>
      <c r="AE12" s="27">
        <f>IF($G12="s-curve",$E12+($F12-$E12)*$I$2/(1+EXP($I$3*(COUNT($I$9:AE$9)+$I$4))),TREND($E12:$F12,$E$9:$F$9,AE$9))</f>
        <v>1</v>
      </c>
      <c r="AF12" s="27">
        <f>IF($G12="s-curve",$E12+($F12-$E12)*$I$2/(1+EXP($I$3*(COUNT($I$9:AF$9)+$I$4))),TREND($E12:$F12,$E$9:$F$9,AF$9))</f>
        <v>1</v>
      </c>
      <c r="AG12" s="27">
        <f>IF($G12="s-curve",$E12+($F12-$E12)*$I$2/(1+EXP($I$3*(COUNT($I$9:AG$9)+$I$4))),TREND($E12:$F12,$E$9:$F$9,AG$9))</f>
        <v>1</v>
      </c>
      <c r="AH12" s="27">
        <f>IF($G12="s-curve",$E12+($F12-$E12)*$I$2/(1+EXP($I$3*(COUNT($I$9:AH$9)+$I$4))),TREND($E12:$F12,$E$9:$F$9,AH$9))</f>
        <v>1</v>
      </c>
      <c r="AI12" s="27">
        <f>IF($G12="s-curve",$E12+($F12-$E12)*$I$2/(1+EXP($I$3*(COUNT($I$9:AI$9)+$I$4))),TREND($E12:$F12,$E$9:$F$9,AI$9))</f>
        <v>1</v>
      </c>
      <c r="AJ12" s="27">
        <f>IF($G12="s-curve",$E12+($F12-$E12)*$I$2/(1+EXP($I$3*(COUNT($I$9:AJ$9)+$I$4))),TREND($E12:$F12,$E$9:$F$9,AJ$9))</f>
        <v>1</v>
      </c>
      <c r="AK12" s="27">
        <f>IF($G12="s-curve",$E12+($F12-$E12)*$I$2/(1+EXP($I$3*(COUNT($I$9:AK$9)+$I$4))),TREND($E12:$F12,$E$9:$F$9,AK$9))</f>
        <v>1</v>
      </c>
      <c r="AL12" s="27">
        <f>IF($G12="s-curve",$E12+($F12-$E12)*$I$2/(1+EXP($I$3*(COUNT($I$9:AL$9)+$I$4))),TREND($E12:$F12,$E$9:$F$9,AL$9))</f>
        <v>1</v>
      </c>
      <c r="AM12" s="27">
        <f>IF($G12="s-curve",$E12+($F12-$E12)*$I$2/(1+EXP($I$3*(COUNT($I$9:AM$9)+$I$4))),TREND($E12:$F12,$E$9:$F$9,AM$9))</f>
        <v>1</v>
      </c>
      <c r="AN12" s="27">
        <f>IF($G12="s-curve",$E12+($F12-$E12)*$I$2/(1+EXP($I$3*(COUNT($I$9:AN$9)+$I$4))),TREND($E12:$F12,$E$9:$F$9,AN$9))</f>
        <v>1</v>
      </c>
      <c r="AO12" s="27">
        <f>IF($G12="s-curve",$E12+($F12-$E12)*$I$2/(1+EXP($I$3*(COUNT($I$9:AO$9)+$I$4))),TREND($E12:$F12,$E$9:$F$9,AO$9))</f>
        <v>1</v>
      </c>
      <c r="AP12" s="27">
        <f>IF($G12="s-curve",$E12+($F12-$E12)*$I$2/(1+EXP($I$3*(COUNT($I$9:AP$9)+$I$4))),TREND($E12:$F12,$E$9:$F$9,AP$9))</f>
        <v>1</v>
      </c>
      <c r="AQ12" s="27">
        <f>IF($G12="s-curve",$E12+($F12-$E12)*$I$2/(1+EXP($I$3*(COUNT($I$9:AQ$9)+$I$4))),TREND($E12:$F12,$E$9:$F$9,AQ$9))</f>
        <v>1</v>
      </c>
      <c r="AR12" s="27">
        <f>IF($G12="s-curve",$E12+($F12-$E12)*$I$2/(1+EXP($I$3*(COUNT($I$9:AR$9)+$I$4))),TREND($E12:$F12,$E$9:$F$9,AR$9))</f>
        <v>1</v>
      </c>
      <c r="AS12" s="27">
        <f>IF($G12="s-curve",$E12+($F12-$E12)*$I$2/(1+EXP($I$3*(COUNT($I$9:AS$9)+$I$4))),TREND($E12:$F12,$E$9:$F$9,AS$9))</f>
        <v>1</v>
      </c>
      <c r="AT12" s="27">
        <f>IF($G12="s-curve",$E12+($F12-$E12)*$I$2/(1+EXP($I$3*(COUNT($I$9:AT$9)+$I$4))),TREND($E12:$F12,$E$9:$F$9,AT$9))</f>
        <v>1</v>
      </c>
      <c r="AU12" s="27">
        <f>IF($G12="s-curve",$E12+($F12-$E12)*$I$2/(1+EXP($I$3*(COUNT($I$9:AU$9)+$I$4))),TREND($E12:$F12,$E$9:$F$9,AU$9))</f>
        <v>1</v>
      </c>
      <c r="AV12" s="27">
        <f>IF($G12="s-curve",$E12+($F12-$E12)*$I$2/(1+EXP($I$3*(COUNT($I$9:AV$9)+$I$4))),TREND($E12:$F12,$E$9:$F$9,AV$9))</f>
        <v>1</v>
      </c>
      <c r="AW12" s="27">
        <f>IF($G12="s-curve",$E12+($F12-$E12)*$I$2/(1+EXP($I$3*(COUNT($I$9:AW$9)+$I$4))),TREND($E12:$F12,$E$9:$F$9,AW$9))</f>
        <v>1</v>
      </c>
      <c r="AX12" s="27">
        <f>IF($G12="s-curve",$E12+($F12-$E12)*$I$2/(1+EXP($I$3*(COUNT($I$9:AX$9)+$I$4))),TREND($E12:$F12,$E$9:$F$9,AX$9))</f>
        <v>1</v>
      </c>
      <c r="AY12" s="27">
        <f>IF($G12="s-curve",$E12+($F12-$E12)*$I$2/(1+EXP($I$3*(COUNT($I$9:AY$9)+$I$4))),TREND($E12:$F12,$E$9:$F$9,AY$9))</f>
        <v>1</v>
      </c>
      <c r="AZ12" s="27">
        <f>IF($G12="s-curve",$E12+($F12-$E12)*$I$2/(1+EXP($I$3*(COUNT($I$9:AZ$9)+$I$4))),TREND($E12:$F12,$E$9:$F$9,AZ$9))</f>
        <v>1</v>
      </c>
      <c r="BA12" s="27">
        <f>IF($G12="s-curve",$E12+($F12-$E12)*$I$2/(1+EXP($I$3*(COUNT($I$9:BA$9)+$I$4))),TREND($E12:$F12,$E$9:$F$9,BA$9))</f>
        <v>1</v>
      </c>
      <c r="BB12" s="27">
        <f>IF($G12="s-curve",$E12+($F12-$E12)*$I$2/(1+EXP($I$3*(COUNT($I$9:BB$9)+$I$4))),TREND($E12:$F12,$E$9:$F$9,BB$9))</f>
        <v>1</v>
      </c>
      <c r="BC12" s="27">
        <f>IF($G12="s-curve",$E12+($F12-$E12)*$I$2/(1+EXP($I$3*(COUNT($I$9:BC$9)+$I$4))),TREND($E12:$F12,$E$9:$F$9,BC$9))</f>
        <v>1</v>
      </c>
      <c r="BD12" s="27">
        <f>IF($G12="s-curve",$E12+($F12-$E12)*$I$2/(1+EXP($I$3*(COUNT($I$9:BD$9)+$I$4))),TREND($E12:$F12,$E$9:$F$9,BD$9))</f>
        <v>1</v>
      </c>
      <c r="BE12" s="27">
        <f>IF($G12="s-curve",$E12+($F12-$E12)*$I$2/(1+EXP($I$3*(COUNT($I$9:BE$9)+$I$4))),TREND($E12:$F12,$E$9:$F$9,BE$9))</f>
        <v>1</v>
      </c>
      <c r="BF12" s="27">
        <f>IF($G12="s-curve",$E12+($F12-$E12)*$I$2/(1+EXP($I$3*(COUNT($I$9:BF$9)+$I$4))),TREND($E12:$F12,$E$9:$F$9,BF$9))</f>
        <v>1</v>
      </c>
    </row>
    <row r="13" spans="1:60" x14ac:dyDescent="0.75">
      <c r="C13" t="s">
        <v>4</v>
      </c>
      <c r="D13" s="26">
        <v>6.6777915503600002E-2</v>
      </c>
      <c r="E13" s="26">
        <v>6.08023121013E-2</v>
      </c>
      <c r="F13" s="26">
        <f>E13</f>
        <v>6.08023121013E-2</v>
      </c>
      <c r="G13" s="29" t="str">
        <f>IF(E13=F13,"n/a",IF(OR(C13="battery electric vehicle",C13="natural gas vehicle",C13="plugin hybrid vehicle"),"s-curve","linear"))</f>
        <v>n/a</v>
      </c>
      <c r="I13" s="27">
        <f t="shared" si="3"/>
        <v>6.08023121013E-2</v>
      </c>
      <c r="J13" s="27">
        <f t="shared" si="4"/>
        <v>6.5284014653024997E-2</v>
      </c>
      <c r="K13" s="27">
        <f t="shared" si="2"/>
        <v>6.3790113802450005E-2</v>
      </c>
      <c r="L13" s="27">
        <f t="shared" si="2"/>
        <v>6.2296212951874992E-2</v>
      </c>
      <c r="M13" s="27">
        <f>IF($G13="s-curve",$E13+($F13-$E13)*$I$2/(1+EXP($I$3*(COUNT($I$9:M$9)+$I$4))),TREND($E13:$F13,$E$9:$F$9,M$9))</f>
        <v>6.08023121013E-2</v>
      </c>
      <c r="N13" s="27">
        <f>IF($G13="s-curve",$E13+($F13-$E13)*$I$2/(1+EXP($I$3*(COUNT($I$9:N$9)+$I$4))),TREND($E13:$F13,$E$9:$F$9,N$9))</f>
        <v>6.08023121013E-2</v>
      </c>
      <c r="O13" s="27">
        <f>IF($G13="s-curve",$E13+($F13-$E13)*$I$2/(1+EXP($I$3*(COUNT($I$9:O$9)+$I$4))),TREND($E13:$F13,$E$9:$F$9,O$9))</f>
        <v>6.08023121013E-2</v>
      </c>
      <c r="P13" s="27">
        <f>IF($G13="s-curve",$E13+($F13-$E13)*$I$2/(1+EXP($I$3*(COUNT($I$9:P$9)+$I$4))),TREND($E13:$F13,$E$9:$F$9,P$9))</f>
        <v>6.08023121013E-2</v>
      </c>
      <c r="Q13" s="27">
        <f>IF($G13="s-curve",$E13+($F13-$E13)*$I$2/(1+EXP($I$3*(COUNT($I$9:Q$9)+$I$4))),TREND($E13:$F13,$E$9:$F$9,Q$9))</f>
        <v>6.08023121013E-2</v>
      </c>
      <c r="R13" s="27">
        <f>IF($G13="s-curve",$E13+($F13-$E13)*$I$2/(1+EXP($I$3*(COUNT($I$9:R$9)+$I$4))),TREND($E13:$F13,$E$9:$F$9,R$9))</f>
        <v>6.08023121013E-2</v>
      </c>
      <c r="S13" s="27">
        <f>IF($G13="s-curve",$E13+($F13-$E13)*$I$2/(1+EXP($I$3*(COUNT($I$9:S$9)+$I$4))),TREND($E13:$F13,$E$9:$F$9,S$9))</f>
        <v>6.08023121013E-2</v>
      </c>
      <c r="T13" s="27">
        <f>IF($G13="s-curve",$E13+($F13-$E13)*$I$2/(1+EXP($I$3*(COUNT($I$9:T$9)+$I$4))),TREND($E13:$F13,$E$9:$F$9,T$9))</f>
        <v>6.08023121013E-2</v>
      </c>
      <c r="U13" s="27">
        <f>IF($G13="s-curve",$E13+($F13-$E13)*$I$2/(1+EXP($I$3*(COUNT($I$9:U$9)+$I$4))),TREND($E13:$F13,$E$9:$F$9,U$9))</f>
        <v>6.08023121013E-2</v>
      </c>
      <c r="V13" s="27">
        <f>IF($G13="s-curve",$E13+($F13-$E13)*$I$2/(1+EXP($I$3*(COUNT($I$9:V$9)+$I$4))),TREND($E13:$F13,$E$9:$F$9,V$9))</f>
        <v>6.08023121013E-2</v>
      </c>
      <c r="W13" s="27">
        <f>IF($G13="s-curve",$E13+($F13-$E13)*$I$2/(1+EXP($I$3*(COUNT($I$9:W$9)+$I$4))),TREND($E13:$F13,$E$9:$F$9,W$9))</f>
        <v>6.08023121013E-2</v>
      </c>
      <c r="X13" s="27">
        <f>IF($G13="s-curve",$E13+($F13-$E13)*$I$2/(1+EXP($I$3*(COUNT($I$9:X$9)+$I$4))),TREND($E13:$F13,$E$9:$F$9,X$9))</f>
        <v>6.08023121013E-2</v>
      </c>
      <c r="Y13" s="27">
        <f>IF($G13="s-curve",$E13+($F13-$E13)*$I$2/(1+EXP($I$3*(COUNT($I$9:Y$9)+$I$4))),TREND($E13:$F13,$E$9:$F$9,Y$9))</f>
        <v>6.08023121013E-2</v>
      </c>
      <c r="Z13" s="27">
        <f>IF($G13="s-curve",$E13+($F13-$E13)*$I$2/(1+EXP($I$3*(COUNT($I$9:Z$9)+$I$4))),TREND($E13:$F13,$E$9:$F$9,Z$9))</f>
        <v>6.08023121013E-2</v>
      </c>
      <c r="AA13" s="27">
        <f>IF($G13="s-curve",$E13+($F13-$E13)*$I$2/(1+EXP($I$3*(COUNT($I$9:AA$9)+$I$4))),TREND($E13:$F13,$E$9:$F$9,AA$9))</f>
        <v>6.08023121013E-2</v>
      </c>
      <c r="AB13" s="27">
        <f>IF($G13="s-curve",$E13+($F13-$E13)*$I$2/(1+EXP($I$3*(COUNT($I$9:AB$9)+$I$4))),TREND($E13:$F13,$E$9:$F$9,AB$9))</f>
        <v>6.08023121013E-2</v>
      </c>
      <c r="AC13" s="27">
        <f>IF($G13="s-curve",$E13+($F13-$E13)*$I$2/(1+EXP($I$3*(COUNT($I$9:AC$9)+$I$4))),TREND($E13:$F13,$E$9:$F$9,AC$9))</f>
        <v>6.08023121013E-2</v>
      </c>
      <c r="AD13" s="27">
        <f>IF($G13="s-curve",$E13+($F13-$E13)*$I$2/(1+EXP($I$3*(COUNT($I$9:AD$9)+$I$4))),TREND($E13:$F13,$E$9:$F$9,AD$9))</f>
        <v>6.08023121013E-2</v>
      </c>
      <c r="AE13" s="27">
        <f>IF($G13="s-curve",$E13+($F13-$E13)*$I$2/(1+EXP($I$3*(COUNT($I$9:AE$9)+$I$4))),TREND($E13:$F13,$E$9:$F$9,AE$9))</f>
        <v>6.08023121013E-2</v>
      </c>
      <c r="AF13" s="27">
        <f>IF($G13="s-curve",$E13+($F13-$E13)*$I$2/(1+EXP($I$3*(COUNT($I$9:AF$9)+$I$4))),TREND($E13:$F13,$E$9:$F$9,AF$9))</f>
        <v>6.08023121013E-2</v>
      </c>
      <c r="AG13" s="27">
        <f>IF($G13="s-curve",$E13+($F13-$E13)*$I$2/(1+EXP($I$3*(COUNT($I$9:AG$9)+$I$4))),TREND($E13:$F13,$E$9:$F$9,AG$9))</f>
        <v>6.08023121013E-2</v>
      </c>
      <c r="AH13" s="27">
        <f>IF($G13="s-curve",$E13+($F13-$E13)*$I$2/(1+EXP($I$3*(COUNT($I$9:AH$9)+$I$4))),TREND($E13:$F13,$E$9:$F$9,AH$9))</f>
        <v>6.08023121013E-2</v>
      </c>
      <c r="AI13" s="27">
        <f>IF($G13="s-curve",$E13+($F13-$E13)*$I$2/(1+EXP($I$3*(COUNT($I$9:AI$9)+$I$4))),TREND($E13:$F13,$E$9:$F$9,AI$9))</f>
        <v>6.08023121013E-2</v>
      </c>
      <c r="AJ13" s="27">
        <f>IF($G13="s-curve",$E13+($F13-$E13)*$I$2/(1+EXP($I$3*(COUNT($I$9:AJ$9)+$I$4))),TREND($E13:$F13,$E$9:$F$9,AJ$9))</f>
        <v>6.08023121013E-2</v>
      </c>
      <c r="AK13" s="27">
        <f>IF($G13="s-curve",$E13+($F13-$E13)*$I$2/(1+EXP($I$3*(COUNT($I$9:AK$9)+$I$4))),TREND($E13:$F13,$E$9:$F$9,AK$9))</f>
        <v>6.08023121013E-2</v>
      </c>
      <c r="AL13" s="27">
        <f>IF($G13="s-curve",$E13+($F13-$E13)*$I$2/(1+EXP($I$3*(COUNT($I$9:AL$9)+$I$4))),TREND($E13:$F13,$E$9:$F$9,AL$9))</f>
        <v>6.08023121013E-2</v>
      </c>
      <c r="AM13" s="27">
        <f>IF($G13="s-curve",$E13+($F13-$E13)*$I$2/(1+EXP($I$3*(COUNT($I$9:AM$9)+$I$4))),TREND($E13:$F13,$E$9:$F$9,AM$9))</f>
        <v>6.08023121013E-2</v>
      </c>
      <c r="AN13" s="27">
        <f>IF($G13="s-curve",$E13+($F13-$E13)*$I$2/(1+EXP($I$3*(COUNT($I$9:AN$9)+$I$4))),TREND($E13:$F13,$E$9:$F$9,AN$9))</f>
        <v>6.08023121013E-2</v>
      </c>
      <c r="AO13" s="27">
        <f>IF($G13="s-curve",$E13+($F13-$E13)*$I$2/(1+EXP($I$3*(COUNT($I$9:AO$9)+$I$4))),TREND($E13:$F13,$E$9:$F$9,AO$9))</f>
        <v>6.08023121013E-2</v>
      </c>
      <c r="AP13" s="27">
        <f>IF($G13="s-curve",$E13+($F13-$E13)*$I$2/(1+EXP($I$3*(COUNT($I$9:AP$9)+$I$4))),TREND($E13:$F13,$E$9:$F$9,AP$9))</f>
        <v>6.08023121013E-2</v>
      </c>
      <c r="AQ13" s="27">
        <f>IF($G13="s-curve",$E13+($F13-$E13)*$I$2/(1+EXP($I$3*(COUNT($I$9:AQ$9)+$I$4))),TREND($E13:$F13,$E$9:$F$9,AQ$9))</f>
        <v>6.08023121013E-2</v>
      </c>
      <c r="AR13" s="27">
        <f>IF($G13="s-curve",$E13+($F13-$E13)*$I$2/(1+EXP($I$3*(COUNT($I$9:AR$9)+$I$4))),TREND($E13:$F13,$E$9:$F$9,AR$9))</f>
        <v>6.08023121013E-2</v>
      </c>
      <c r="AS13" s="27">
        <f>IF($G13="s-curve",$E13+($F13-$E13)*$I$2/(1+EXP($I$3*(COUNT($I$9:AS$9)+$I$4))),TREND($E13:$F13,$E$9:$F$9,AS$9))</f>
        <v>6.08023121013E-2</v>
      </c>
      <c r="AT13" s="27">
        <f>IF($G13="s-curve",$E13+($F13-$E13)*$I$2/(1+EXP($I$3*(COUNT($I$9:AT$9)+$I$4))),TREND($E13:$F13,$E$9:$F$9,AT$9))</f>
        <v>6.08023121013E-2</v>
      </c>
      <c r="AU13" s="27">
        <f>IF($G13="s-curve",$E13+($F13-$E13)*$I$2/(1+EXP($I$3*(COUNT($I$9:AU$9)+$I$4))),TREND($E13:$F13,$E$9:$F$9,AU$9))</f>
        <v>6.08023121013E-2</v>
      </c>
      <c r="AV13" s="27">
        <f>IF($G13="s-curve",$E13+($F13-$E13)*$I$2/(1+EXP($I$3*(COUNT($I$9:AV$9)+$I$4))),TREND($E13:$F13,$E$9:$F$9,AV$9))</f>
        <v>6.08023121013E-2</v>
      </c>
      <c r="AW13" s="27">
        <f>IF($G13="s-curve",$E13+($F13-$E13)*$I$2/(1+EXP($I$3*(COUNT($I$9:AW$9)+$I$4))),TREND($E13:$F13,$E$9:$F$9,AW$9))</f>
        <v>6.08023121013E-2</v>
      </c>
      <c r="AX13" s="27">
        <f>IF($G13="s-curve",$E13+($F13-$E13)*$I$2/(1+EXP($I$3*(COUNT($I$9:AX$9)+$I$4))),TREND($E13:$F13,$E$9:$F$9,AX$9))</f>
        <v>6.08023121013E-2</v>
      </c>
      <c r="AY13" s="27">
        <f>IF($G13="s-curve",$E13+($F13-$E13)*$I$2/(1+EXP($I$3*(COUNT($I$9:AY$9)+$I$4))),TREND($E13:$F13,$E$9:$F$9,AY$9))</f>
        <v>6.08023121013E-2</v>
      </c>
      <c r="AZ13" s="27">
        <f>IF($G13="s-curve",$E13+($F13-$E13)*$I$2/(1+EXP($I$3*(COUNT($I$9:AZ$9)+$I$4))),TREND($E13:$F13,$E$9:$F$9,AZ$9))</f>
        <v>6.08023121013E-2</v>
      </c>
      <c r="BA13" s="27">
        <f>IF($G13="s-curve",$E13+($F13-$E13)*$I$2/(1+EXP($I$3*(COUNT($I$9:BA$9)+$I$4))),TREND($E13:$F13,$E$9:$F$9,BA$9))</f>
        <v>6.08023121013E-2</v>
      </c>
      <c r="BB13" s="27">
        <f>IF($G13="s-curve",$E13+($F13-$E13)*$I$2/(1+EXP($I$3*(COUNT($I$9:BB$9)+$I$4))),TREND($E13:$F13,$E$9:$F$9,BB$9))</f>
        <v>6.08023121013E-2</v>
      </c>
      <c r="BC13" s="27">
        <f>IF($G13="s-curve",$E13+($F13-$E13)*$I$2/(1+EXP($I$3*(COUNT($I$9:BC$9)+$I$4))),TREND($E13:$F13,$E$9:$F$9,BC$9))</f>
        <v>6.08023121013E-2</v>
      </c>
      <c r="BD13" s="27">
        <f>IF($G13="s-curve",$E13+($F13-$E13)*$I$2/(1+EXP($I$3*(COUNT($I$9:BD$9)+$I$4))),TREND($E13:$F13,$E$9:$F$9,BD$9))</f>
        <v>6.08023121013E-2</v>
      </c>
      <c r="BE13" s="27">
        <f>IF($G13="s-curve",$E13+($F13-$E13)*$I$2/(1+EXP($I$3*(COUNT($I$9:BE$9)+$I$4))),TREND($E13:$F13,$E$9:$F$9,BE$9))</f>
        <v>6.08023121013E-2</v>
      </c>
      <c r="BF13" s="27">
        <f>IF($G13="s-curve",$E13+($F13-$E13)*$I$2/(1+EXP($I$3*(COUNT($I$9:BF$9)+$I$4))),TREND($E13:$F13,$E$9:$F$9,BF$9))</f>
        <v>6.08023121013E-2</v>
      </c>
    </row>
    <row r="14" spans="1:60" x14ac:dyDescent="0.75">
      <c r="C14" t="s">
        <v>5</v>
      </c>
      <c r="D14" s="26">
        <v>1.5463740197399999E-2</v>
      </c>
      <c r="E14" s="26">
        <v>0</v>
      </c>
      <c r="F14" s="30">
        <f>D14/D10*F10</f>
        <v>1.54637401974</v>
      </c>
      <c r="G14" s="29" t="str">
        <f>IF(E14=F14,"n/a",IF(OR(C14="battery electric vehicle",C14="natural gas vehicle",C14="plugin hybrid vehicle",C14="hydrogen vehicle"),"s-curve","linear"))</f>
        <v>s-curve</v>
      </c>
      <c r="I14" s="27">
        <f>D14</f>
        <v>1.5463740197399999E-2</v>
      </c>
      <c r="J14" s="27">
        <f t="shared" si="4"/>
        <v>1.159780514805E-2</v>
      </c>
      <c r="K14" s="27">
        <f t="shared" si="2"/>
        <v>7.7318700987000014E-3</v>
      </c>
      <c r="L14" s="27">
        <f t="shared" si="2"/>
        <v>3.8659350493500024E-3</v>
      </c>
      <c r="M14" s="27">
        <f>E14</f>
        <v>0</v>
      </c>
      <c r="N14" s="27">
        <f>IF($G14="s-curve",$E14+($F14-$E14)*$X$2/(1+EXP($X$3*(COUNT($I$9:N$9)+$X$4))),TREND($E14:$F14,$E$9:$F$9,N$9))</f>
        <v>0.18433230169209569</v>
      </c>
      <c r="O14" s="27">
        <f>IF($G14="s-curve",$E14+($F14-$E14)*$X$2/(1+EXP($X$3*(COUNT($I$9:O$9)+$X$4))),TREND($E14:$F14,$E$9:$F$9,O$9))</f>
        <v>0.25976240502286974</v>
      </c>
      <c r="P14" s="27">
        <f>IF($G14="s-curve",$E14+($F14-$E14)*$X$2/(1+EXP($X$3*(COUNT($I$9:P$9)+$X$4))),TREND($E14:$F14,$E$9:$F$9,P$9))</f>
        <v>0.35794726101081081</v>
      </c>
      <c r="Q14" s="27">
        <f>IF($G14="s-curve",$E14+($F14-$E14)*$X$2/(1+EXP($X$3*(COUNT($I$9:Q$9)+$X$4))),TREND($E14:$F14,$E$9:$F$9,Q$9))</f>
        <v>0.47941540784067316</v>
      </c>
      <c r="R14" s="27">
        <f>IF($G14="s-curve",$E14+($F14-$E14)*$X$2/(1+EXP($X$3*(COUNT($I$9:R$9)+$X$4))),TREND($E14:$F14,$E$9:$F$9,R$9))</f>
        <v>0.62057897620317271</v>
      </c>
      <c r="S14" s="27">
        <f>IF($G14="s-curve",$E14+($F14-$E14)*$X$2/(1+EXP($X$3*(COUNT($I$9:S$9)+$X$4))),TREND($E14:$F14,$E$9:$F$9,S$9))</f>
        <v>0.77318700987</v>
      </c>
      <c r="T14" s="27">
        <f>IF($G14="s-curve",$E14+($F14-$E14)*$X$2/(1+EXP($X$3*(COUNT($I$9:T$9)+$X$4))),TREND($E14:$F14,$E$9:$F$9,T$9))</f>
        <v>0.92579504353682729</v>
      </c>
      <c r="U14" s="27">
        <f>IF($G14="s-curve",$E14+($F14-$E14)*$X$2/(1+EXP($X$3*(COUNT($I$9:U$9)+$X$4))),TREND($E14:$F14,$E$9:$F$9,U$9))</f>
        <v>1.0669586118993268</v>
      </c>
      <c r="V14" s="27">
        <f>IF($G14="s-curve",$E14+($F14-$E14)*$X$2/(1+EXP($X$3*(COUNT($I$9:V$9)+$X$4))),TREND($E14:$F14,$E$9:$F$9,V$9))</f>
        <v>1.1884267587291892</v>
      </c>
      <c r="W14" s="27">
        <f>IF($G14="s-curve",$E14+($F14-$E14)*$X$2/(1+EXP($X$3*(COUNT($I$9:W$9)+$X$4))),TREND($E14:$F14,$E$9:$F$9,W$9))</f>
        <v>1.2866116147171303</v>
      </c>
      <c r="X14" s="27">
        <f>IF($G14="s-curve",$E14+($F14-$E14)*$X$2/(1+EXP($X$3*(COUNT($I$9:X$9)+$X$4))),TREND($E14:$F14,$E$9:$F$9,X$9))</f>
        <v>1.3620417180479041</v>
      </c>
      <c r="Y14" s="27">
        <f>IF($G14="s-curve",$E14+($F14-$E14)*$X$2/(1+EXP($X$3*(COUNT($I$9:Y$9)+$X$4))),TREND($E14:$F14,$E$9:$F$9,Y$9))</f>
        <v>1.4177579227300783</v>
      </c>
      <c r="Z14" s="27">
        <f>IF($G14="s-curve",$E14+($F14-$E14)*$X$2/(1+EXP($X$3*(COUNT($I$9:Z$9)+$X$4))),TREND($E14:$F14,$E$9:$F$9,Z$9))</f>
        <v>1.4577294034269836</v>
      </c>
      <c r="AA14" s="27">
        <f>IF($G14="s-curve",$E14+($F14-$E14)*$X$2/(1+EXP($X$3*(COUNT($I$9:AA$9)+$X$4))),TREND($E14:$F14,$E$9:$F$9,AA$9))</f>
        <v>1.4858091635427451</v>
      </c>
      <c r="AB14" s="27">
        <f>IF($G14="s-curve",$E14+($F14-$E14)*$X$2/(1+EXP($X$3*(COUNT($I$9:AB$9)+$X$4))),TREND($E14:$F14,$E$9:$F$9,AB$9))</f>
        <v>1.5052451198695429</v>
      </c>
      <c r="AC14" s="27">
        <f>IF($G14="s-curve",$E14+($F14-$E14)*$X$2/(1+EXP($X$3*(COUNT($I$9:AC$9)+$X$4))),TREND($E14:$F14,$E$9:$F$9,AC$9))</f>
        <v>1.5185606119410329</v>
      </c>
      <c r="AD14" s="27">
        <f>IF($G14="s-curve",$E14+($F14-$E14)*$X$2/(1+EXP($X$3*(COUNT($I$9:AD$9)+$X$4))),TREND($E14:$F14,$E$9:$F$9,AD$9))</f>
        <v>1.5276189229802126</v>
      </c>
      <c r="AE14" s="27">
        <f>IF($G14="s-curve",$E14+($F14-$E14)*$X$2/(1+EXP($X$3*(COUNT($I$9:AE$9)+$X$4))),TREND($E14:$F14,$E$9:$F$9,AE$9))</f>
        <v>1.5337516317744744</v>
      </c>
      <c r="AF14" s="27">
        <f>IF($G14="s-curve",$E14+($F14-$E14)*$X$2/(1+EXP($X$3*(COUNT($I$9:AF$9)+$X$4))),TREND($E14:$F14,$E$9:$F$9,AF$9))</f>
        <v>1.5378901496573616</v>
      </c>
      <c r="AG14" s="27">
        <f>IF($G14="s-curve",$E14+($F14-$E14)*$X$2/(1+EXP($X$3*(COUNT($I$9:AG$9)+$X$4))),TREND($E14:$F14,$E$9:$F$9,AG$9))</f>
        <v>1.5406768068770229</v>
      </c>
      <c r="AH14" s="27">
        <f>IF($G14="s-curve",$E14+($F14-$E14)*$X$2/(1+EXP($X$3*(COUNT($I$9:AH$9)+$X$4))),TREND($E14:$F14,$E$9:$F$9,AH$9))</f>
        <v>1.5425504195299726</v>
      </c>
      <c r="AI14" s="27">
        <f>IF($G14="s-curve",$E14+($F14-$E14)*$X$2/(1+EXP($X$3*(COUNT($I$9:AI$9)+$X$4))),TREND($E14:$F14,$E$9:$F$9,AI$9))</f>
        <v>1.5438088928457017</v>
      </c>
      <c r="AJ14" s="27">
        <f>IF($G14="s-curve",$E14+($F14-$E14)*$X$2/(1+EXP($X$3*(COUNT($I$9:AJ$9)+$X$4))),TREND($E14:$F14,$E$9:$F$9,AJ$9))</f>
        <v>1.5446536229227603</v>
      </c>
      <c r="AK14" s="27">
        <f>IF($G14="s-curve",$E14+($F14-$E14)*$X$2/(1+EXP($X$3*(COUNT($I$9:AK$9)+$X$4))),TREND($E14:$F14,$E$9:$F$9,AK$9))</f>
        <v>1.5452203801333781</v>
      </c>
      <c r="AL14" s="27">
        <f>IF($G14="s-curve",$E14+($F14-$E14)*$X$2/(1+EXP($X$3*(COUNT($I$9:AL$9)+$X$4))),TREND($E14:$F14,$E$9:$F$9,AL$9))</f>
        <v>1.545600521743367</v>
      </c>
      <c r="AM14" s="27">
        <f>IF($G14="s-curve",$E14+($F14-$E14)*$X$2/(1+EXP($X$3*(COUNT($I$9:AM$9)+$X$4))),TREND($E14:$F14,$E$9:$F$9,AM$9))</f>
        <v>1.5458554430107303</v>
      </c>
      <c r="AN14" s="27">
        <f>IF($G14="s-curve",$E14+($F14-$E14)*$X$2/(1+EXP($X$3*(COUNT($I$9:AN$9)+$X$4))),TREND($E14:$F14,$E$9:$F$9,AN$9))</f>
        <v>1.5460263689273093</v>
      </c>
      <c r="AO14" s="27">
        <f>IF($G14="s-curve",$E14+($F14-$E14)*$X$2/(1+EXP($X$3*(COUNT($I$9:AO$9)+$X$4))),TREND($E14:$F14,$E$9:$F$9,AO$9))</f>
        <v>1.5461409651577909</v>
      </c>
      <c r="AP14" s="27">
        <f>IF($G14="s-curve",$E14+($F14-$E14)*$X$2/(1+EXP($X$3*(COUNT($I$9:AP$9)+$X$4))),TREND($E14:$F14,$E$9:$F$9,AP$9))</f>
        <v>1.5462177908193058</v>
      </c>
      <c r="AQ14" s="27">
        <f>IF($G14="s-curve",$E14+($F14-$E14)*$X$2/(1+EXP($X$3*(COUNT($I$9:AQ$9)+$X$4))),TREND($E14:$F14,$E$9:$F$9,AQ$9))</f>
        <v>1.5462692928745192</v>
      </c>
      <c r="AR14" s="27">
        <f>IF($G14="s-curve",$E14+($F14-$E14)*$X$2/(1+EXP($X$3*(COUNT($I$9:AR$9)+$X$4))),TREND($E14:$F14,$E$9:$F$9,AR$9))</f>
        <v>1.546303817655287</v>
      </c>
      <c r="AS14" s="27">
        <f>IF($G14="s-curve",$E14+($F14-$E14)*$X$2/(1+EXP($X$3*(COUNT($I$9:AS$9)+$X$4))),TREND($E14:$F14,$E$9:$F$9,AS$9))</f>
        <v>1.5463269611710286</v>
      </c>
      <c r="AT14" s="27">
        <f>IF($G14="s-curve",$E14+($F14-$E14)*$X$2/(1+EXP($X$3*(COUNT($I$9:AT$9)+$X$4))),TREND($E14:$F14,$E$9:$F$9,AT$9))</f>
        <v>1.5463424751214039</v>
      </c>
      <c r="AU14" s="27">
        <f>IF($G14="s-curve",$E14+($F14-$E14)*$X$2/(1+EXP($X$3*(COUNT($I$9:AU$9)+$X$4))),TREND($E14:$F14,$E$9:$F$9,AU$9))</f>
        <v>1.5463528746076058</v>
      </c>
      <c r="AV14" s="27">
        <f>IF($G14="s-curve",$E14+($F14-$E14)*$X$2/(1+EXP($X$3*(COUNT($I$9:AV$9)+$X$4))),TREND($E14:$F14,$E$9:$F$9,AV$9))</f>
        <v>1.546359845669983</v>
      </c>
      <c r="AW14" s="27">
        <f>IF($G14="s-curve",$E14+($F14-$E14)*$X$2/(1+EXP($X$3*(COUNT($I$9:AW$9)+$X$4))),TREND($E14:$F14,$E$9:$F$9,AW$9))</f>
        <v>1.5463645185480224</v>
      </c>
      <c r="AX14" s="27">
        <f>IF($G14="s-curve",$E14+($F14-$E14)*$X$2/(1+EXP($X$3*(COUNT($I$9:AX$9)+$X$4))),TREND($E14:$F14,$E$9:$F$9,AX$9))</f>
        <v>1.5463676508876552</v>
      </c>
      <c r="AY14" s="27">
        <f>IF($G14="s-curve",$E14+($F14-$E14)*$X$2/(1+EXP($X$3*(COUNT($I$9:AY$9)+$X$4))),TREND($E14:$F14,$E$9:$F$9,AY$9))</f>
        <v>1.5463697505648062</v>
      </c>
      <c r="AZ14" s="27">
        <f>IF($G14="s-curve",$E14+($F14-$E14)*$X$2/(1+EXP($X$3*(COUNT($I$9:AZ$9)+$X$4))),TREND($E14:$F14,$E$9:$F$9,AZ$9))</f>
        <v>1.546371158023683</v>
      </c>
      <c r="BA14" s="27">
        <f>IF($G14="s-curve",$E14+($F14-$E14)*$X$2/(1+EXP($X$3*(COUNT($I$9:BA$9)+$X$4))),TREND($E14:$F14,$E$9:$F$9,BA$9))</f>
        <v>1.5463721014730163</v>
      </c>
      <c r="BB14" s="27">
        <f>IF($G14="s-curve",$E14+($F14-$E14)*$X$2/(1+EXP($X$3*(COUNT($I$9:BB$9)+$X$4))),TREND($E14:$F14,$E$9:$F$9,BB$9))</f>
        <v>1.5463727338866611</v>
      </c>
      <c r="BC14" s="27">
        <f>IF($G14="s-curve",$E14+($F14-$E14)*$X$2/(1+EXP($X$3*(COUNT($I$9:BC$9)+$X$4))),TREND($E14:$F14,$E$9:$F$9,BC$9))</f>
        <v>1.5463731578064948</v>
      </c>
      <c r="BD14" s="27">
        <f>IF($G14="s-curve",$E14+($F14-$E14)*$X$2/(1+EXP($X$3*(COUNT($I$9:BD$9)+$X$4))),TREND($E14:$F14,$E$9:$F$9,BD$9))</f>
        <v>1.5463734419685868</v>
      </c>
      <c r="BE14" s="27">
        <f>IF($G14="s-curve",$E14+($F14-$E14)*$X$2/(1+EXP($X$3*(COUNT($I$9:BE$9)+$X$4))),TREND($E14:$F14,$E$9:$F$9,BE$9))</f>
        <v>1.546373632448192</v>
      </c>
      <c r="BF14" s="27">
        <f>IF($G14="s-curve",$E14+($F14-$E14)*$X$2/(1+EXP($X$3*(COUNT($I$9:BF$9)+$X$4))),TREND($E14:$F14,$E$9:$F$9,BF$9))</f>
        <v>1.5463737601305159</v>
      </c>
    </row>
    <row r="15" spans="1:60" x14ac:dyDescent="0.75">
      <c r="C15" t="s">
        <v>31</v>
      </c>
      <c r="D15" s="26">
        <v>0</v>
      </c>
      <c r="E15" s="26">
        <v>0</v>
      </c>
      <c r="F15" s="26">
        <f>E15</f>
        <v>0</v>
      </c>
      <c r="G15" s="29" t="str">
        <f>IF(E15=F15,"n/a",IF(OR(C15="battery electric vehicle",C15="natural gas vehicle",C15="plugin hybrid vehicle",C15="hydrogen vehicle"),"s-curve","linear"))</f>
        <v>n/a</v>
      </c>
      <c r="I15" s="27">
        <f t="shared" si="3"/>
        <v>0</v>
      </c>
      <c r="J15" s="27">
        <f t="shared" si="4"/>
        <v>0</v>
      </c>
      <c r="K15" s="27">
        <f t="shared" si="2"/>
        <v>0</v>
      </c>
      <c r="L15" s="27">
        <f t="shared" si="2"/>
        <v>0</v>
      </c>
      <c r="M15" s="27">
        <f>IF($G15="s-curve",$E15+($F15-$E15)*$I$2/(1+EXP($I$3*(COUNT($I$9:M$9)+$I$4))),TREND($E15:$F15,$E$9:$F$9,M$9))</f>
        <v>0</v>
      </c>
      <c r="N15" s="27">
        <f>IF($G15="s-curve",$E15+($F15-$E15)*$I$2/(1+EXP($I$3*(COUNT($I$9:N$9)+$I$4))),TREND($E15:$F15,$E$9:$F$9,N$9))</f>
        <v>0</v>
      </c>
      <c r="O15" s="27">
        <f>IF($G15="s-curve",$E15+($F15-$E15)*$I$2/(1+EXP($I$3*(COUNT($I$9:O$9)+$I$4))),TREND($E15:$F15,$E$9:$F$9,O$9))</f>
        <v>0</v>
      </c>
      <c r="P15" s="27">
        <f>IF($G15="s-curve",$E15+($F15-$E15)*$I$2/(1+EXP($I$3*(COUNT($I$9:P$9)+$I$4))),TREND($E15:$F15,$E$9:$F$9,P$9))</f>
        <v>0</v>
      </c>
      <c r="Q15" s="27">
        <f>IF($G15="s-curve",$E15+($F15-$E15)*$I$2/(1+EXP($I$3*(COUNT($I$9:Q$9)+$I$4))),TREND($E15:$F15,$E$9:$F$9,Q$9))</f>
        <v>0</v>
      </c>
      <c r="R15" s="27">
        <f>IF($G15="s-curve",$E15+($F15-$E15)*$I$2/(1+EXP($I$3*(COUNT($I$9:R$9)+$I$4))),TREND($E15:$F15,$E$9:$F$9,R$9))</f>
        <v>0</v>
      </c>
      <c r="S15" s="27">
        <f>IF($G15="s-curve",$E15+($F15-$E15)*$I$2/(1+EXP($I$3*(COUNT($I$9:S$9)+$I$4))),TREND($E15:$F15,$E$9:$F$9,S$9))</f>
        <v>0</v>
      </c>
      <c r="T15" s="27">
        <f>IF($G15="s-curve",$E15+($F15-$E15)*$I$2/(1+EXP($I$3*(COUNT($I$9:T$9)+$I$4))),TREND($E15:$F15,$E$9:$F$9,T$9))</f>
        <v>0</v>
      </c>
      <c r="U15" s="27">
        <f>IF($G15="s-curve",$E15+($F15-$E15)*$I$2/(1+EXP($I$3*(COUNT($I$9:U$9)+$I$4))),TREND($E15:$F15,$E$9:$F$9,U$9))</f>
        <v>0</v>
      </c>
      <c r="V15" s="27">
        <f>IF($G15="s-curve",$E15+($F15-$E15)*$I$2/(1+EXP($I$3*(COUNT($I$9:V$9)+$I$4))),TREND($E15:$F15,$E$9:$F$9,V$9))</f>
        <v>0</v>
      </c>
      <c r="W15" s="27">
        <f>IF($G15="s-curve",$E15+($F15-$E15)*$I$2/(1+EXP($I$3*(COUNT($I$9:W$9)+$I$4))),TREND($E15:$F15,$E$9:$F$9,W$9))</f>
        <v>0</v>
      </c>
      <c r="X15" s="27">
        <f>IF($G15="s-curve",$E15+($F15-$E15)*$I$2/(1+EXP($I$3*(COUNT($I$9:X$9)+$I$4))),TREND($E15:$F15,$E$9:$F$9,X$9))</f>
        <v>0</v>
      </c>
      <c r="Y15" s="27">
        <f>IF($G15="s-curve",$E15+($F15-$E15)*$I$2/(1+EXP($I$3*(COUNT($I$9:Y$9)+$I$4))),TREND($E15:$F15,$E$9:$F$9,Y$9))</f>
        <v>0</v>
      </c>
      <c r="Z15" s="27">
        <f>IF($G15="s-curve",$E15+($F15-$E15)*$I$2/(1+EXP($I$3*(COUNT($I$9:Z$9)+$I$4))),TREND($E15:$F15,$E$9:$F$9,Z$9))</f>
        <v>0</v>
      </c>
      <c r="AA15" s="27">
        <f>IF($G15="s-curve",$E15+($F15-$E15)*$I$2/(1+EXP($I$3*(COUNT($I$9:AA$9)+$I$4))),TREND($E15:$F15,$E$9:$F$9,AA$9))</f>
        <v>0</v>
      </c>
      <c r="AB15" s="27">
        <f>IF($G15="s-curve",$E15+($F15-$E15)*$I$2/(1+EXP($I$3*(COUNT($I$9:AB$9)+$I$4))),TREND($E15:$F15,$E$9:$F$9,AB$9))</f>
        <v>0</v>
      </c>
      <c r="AC15" s="27">
        <f>IF($G15="s-curve",$E15+($F15-$E15)*$I$2/(1+EXP($I$3*(COUNT($I$9:AC$9)+$I$4))),TREND($E15:$F15,$E$9:$F$9,AC$9))</f>
        <v>0</v>
      </c>
      <c r="AD15" s="27">
        <f>IF($G15="s-curve",$E15+($F15-$E15)*$I$2/(1+EXP($I$3*(COUNT($I$9:AD$9)+$I$4))),TREND($E15:$F15,$E$9:$F$9,AD$9))</f>
        <v>0</v>
      </c>
      <c r="AE15" s="27">
        <f>IF($G15="s-curve",$E15+($F15-$E15)*$I$2/(1+EXP($I$3*(COUNT($I$9:AE$9)+$I$4))),TREND($E15:$F15,$E$9:$F$9,AE$9))</f>
        <v>0</v>
      </c>
      <c r="AF15" s="27">
        <f>IF($G15="s-curve",$E15+($F15-$E15)*$I$2/(1+EXP($I$3*(COUNT($I$9:AF$9)+$I$4))),TREND($E15:$F15,$E$9:$F$9,AF$9))</f>
        <v>0</v>
      </c>
      <c r="AG15" s="27">
        <f>IF($G15="s-curve",$E15+($F15-$E15)*$I$2/(1+EXP($I$3*(COUNT($I$9:AG$9)+$I$4))),TREND($E15:$F15,$E$9:$F$9,AG$9))</f>
        <v>0</v>
      </c>
      <c r="AH15" s="27">
        <f>IF($G15="s-curve",$E15+($F15-$E15)*$I$2/(1+EXP($I$3*(COUNT($I$9:AH$9)+$I$4))),TREND($E15:$F15,$E$9:$F$9,AH$9))</f>
        <v>0</v>
      </c>
      <c r="AI15" s="27">
        <f>IF($G15="s-curve",$E15+($F15-$E15)*$I$2/(1+EXP($I$3*(COUNT($I$9:AI$9)+$I$4))),TREND($E15:$F15,$E$9:$F$9,AI$9))</f>
        <v>0</v>
      </c>
      <c r="AJ15" s="27">
        <f>IF($G15="s-curve",$E15+($F15-$E15)*$I$2/(1+EXP($I$3*(COUNT($I$9:AJ$9)+$I$4))),TREND($E15:$F15,$E$9:$F$9,AJ$9))</f>
        <v>0</v>
      </c>
      <c r="AK15" s="27">
        <f>IF($G15="s-curve",$E15+($F15-$E15)*$I$2/(1+EXP($I$3*(COUNT($I$9:AK$9)+$I$4))),TREND($E15:$F15,$E$9:$F$9,AK$9))</f>
        <v>0</v>
      </c>
      <c r="AL15" s="27">
        <f>IF($G15="s-curve",$E15+($F15-$E15)*$I$2/(1+EXP($I$3*(COUNT($I$9:AL$9)+$I$4))),TREND($E15:$F15,$E$9:$F$9,AL$9))</f>
        <v>0</v>
      </c>
      <c r="AM15" s="27">
        <f>IF($G15="s-curve",$E15+($F15-$E15)*$I$2/(1+EXP($I$3*(COUNT($I$9:AM$9)+$I$4))),TREND($E15:$F15,$E$9:$F$9,AM$9))</f>
        <v>0</v>
      </c>
      <c r="AN15" s="27">
        <f>IF($G15="s-curve",$E15+($F15-$E15)*$I$2/(1+EXP($I$3*(COUNT($I$9:AN$9)+$I$4))),TREND($E15:$F15,$E$9:$F$9,AN$9))</f>
        <v>0</v>
      </c>
      <c r="AO15" s="27">
        <f>IF($G15="s-curve",$E15+($F15-$E15)*$I$2/(1+EXP($I$3*(COUNT($I$9:AO$9)+$I$4))),TREND($E15:$F15,$E$9:$F$9,AO$9))</f>
        <v>0</v>
      </c>
      <c r="AP15" s="27">
        <f>IF($G15="s-curve",$E15+($F15-$E15)*$I$2/(1+EXP($I$3*(COUNT($I$9:AP$9)+$I$4))),TREND($E15:$F15,$E$9:$F$9,AP$9))</f>
        <v>0</v>
      </c>
      <c r="AQ15" s="27">
        <f>IF($G15="s-curve",$E15+($F15-$E15)*$I$2/(1+EXP($I$3*(COUNT($I$9:AQ$9)+$I$4))),TREND($E15:$F15,$E$9:$F$9,AQ$9))</f>
        <v>0</v>
      </c>
      <c r="AR15" s="27">
        <f>IF($G15="s-curve",$E15+($F15-$E15)*$I$2/(1+EXP($I$3*(COUNT($I$9:AR$9)+$I$4))),TREND($E15:$F15,$E$9:$F$9,AR$9))</f>
        <v>0</v>
      </c>
      <c r="AS15" s="27">
        <f>IF($G15="s-curve",$E15+($F15-$E15)*$I$2/(1+EXP($I$3*(COUNT($I$9:AS$9)+$I$4))),TREND($E15:$F15,$E$9:$F$9,AS$9))</f>
        <v>0</v>
      </c>
      <c r="AT15" s="27">
        <f>IF($G15="s-curve",$E15+($F15-$E15)*$I$2/(1+EXP($I$3*(COUNT($I$9:AT$9)+$I$4))),TREND($E15:$F15,$E$9:$F$9,AT$9))</f>
        <v>0</v>
      </c>
      <c r="AU15" s="27">
        <f>IF($G15="s-curve",$E15+($F15-$E15)*$I$2/(1+EXP($I$3*(COUNT($I$9:AU$9)+$I$4))),TREND($E15:$F15,$E$9:$F$9,AU$9))</f>
        <v>0</v>
      </c>
      <c r="AV15" s="27">
        <f>IF($G15="s-curve",$E15+($F15-$E15)*$I$2/(1+EXP($I$3*(COUNT($I$9:AV$9)+$I$4))),TREND($E15:$F15,$E$9:$F$9,AV$9))</f>
        <v>0</v>
      </c>
      <c r="AW15" s="27">
        <f>IF($G15="s-curve",$E15+($F15-$E15)*$I$2/(1+EXP($I$3*(COUNT($I$9:AW$9)+$I$4))),TREND($E15:$F15,$E$9:$F$9,AW$9))</f>
        <v>0</v>
      </c>
      <c r="AX15" s="27">
        <f>IF($G15="s-curve",$E15+($F15-$E15)*$I$2/(1+EXP($I$3*(COUNT($I$9:AX$9)+$I$4))),TREND($E15:$F15,$E$9:$F$9,AX$9))</f>
        <v>0</v>
      </c>
      <c r="AY15" s="27">
        <f>IF($G15="s-curve",$E15+($F15-$E15)*$I$2/(1+EXP($I$3*(COUNT($I$9:AY$9)+$I$4))),TREND($E15:$F15,$E$9:$F$9,AY$9))</f>
        <v>0</v>
      </c>
      <c r="AZ15" s="27">
        <f>IF($G15="s-curve",$E15+($F15-$E15)*$I$2/(1+EXP($I$3*(COUNT($I$9:AZ$9)+$I$4))),TREND($E15:$F15,$E$9:$F$9,AZ$9))</f>
        <v>0</v>
      </c>
      <c r="BA15" s="27">
        <f>IF($G15="s-curve",$E15+($F15-$E15)*$I$2/(1+EXP($I$3*(COUNT($I$9:BA$9)+$I$4))),TREND($E15:$F15,$E$9:$F$9,BA$9))</f>
        <v>0</v>
      </c>
      <c r="BB15" s="27">
        <f>IF($G15="s-curve",$E15+($F15-$E15)*$I$2/(1+EXP($I$3*(COUNT($I$9:BB$9)+$I$4))),TREND($E15:$F15,$E$9:$F$9,BB$9))</f>
        <v>0</v>
      </c>
      <c r="BC15" s="27">
        <f>IF($G15="s-curve",$E15+($F15-$E15)*$I$2/(1+EXP($I$3*(COUNT($I$9:BC$9)+$I$4))),TREND($E15:$F15,$E$9:$F$9,BC$9))</f>
        <v>0</v>
      </c>
      <c r="BD15" s="27">
        <f>IF($G15="s-curve",$E15+($F15-$E15)*$I$2/(1+EXP($I$3*(COUNT($I$9:BD$9)+$I$4))),TREND($E15:$F15,$E$9:$F$9,BD$9))</f>
        <v>0</v>
      </c>
      <c r="BE15" s="27">
        <f>IF($G15="s-curve",$E15+($F15-$E15)*$I$2/(1+EXP($I$3*(COUNT($I$9:BE$9)+$I$4))),TREND($E15:$F15,$E$9:$F$9,BE$9))</f>
        <v>0</v>
      </c>
      <c r="BF15" s="27">
        <f>IF($G15="s-curve",$E15+($F15-$E15)*$I$2/(1+EXP($I$3*(COUNT($I$9:BF$9)+$I$4))),TREND($E15:$F15,$E$9:$F$9,BF$9))</f>
        <v>0</v>
      </c>
    </row>
    <row r="16" spans="1:60" ht="15.5" thickBot="1" x14ac:dyDescent="0.9">
      <c r="A16" s="16"/>
      <c r="B16" s="16"/>
      <c r="C16" s="16" t="s">
        <v>32</v>
      </c>
      <c r="D16" s="31">
        <v>0</v>
      </c>
      <c r="E16" s="31">
        <v>0</v>
      </c>
      <c r="F16" s="31">
        <f>E16</f>
        <v>0</v>
      </c>
      <c r="G16" s="32" t="str">
        <f>IF(E16=F16,"n/a",IF(OR(C16="battery electric vehicle",C16="natural gas vehicle",C16="plugin hybrid vehicle",C16="hydrogen vehicle"),"s-curve","linear"))</f>
        <v>n/a</v>
      </c>
      <c r="I16" s="27">
        <f t="shared" si="3"/>
        <v>0</v>
      </c>
      <c r="J16" s="27">
        <f t="shared" si="4"/>
        <v>0</v>
      </c>
      <c r="K16" s="27">
        <f t="shared" si="2"/>
        <v>0</v>
      </c>
      <c r="L16" s="27">
        <f t="shared" si="2"/>
        <v>0</v>
      </c>
      <c r="M16" s="27">
        <f>IF($G16="s-curve",$E16+($F16-$E16)*$I$2/(1+EXP($I$3*(COUNT($I$9:M$9)+$I$4))),TREND($E16:$F16,$E$9:$F$9,M$9))</f>
        <v>0</v>
      </c>
      <c r="N16" s="27">
        <f>IF($G16="s-curve",$E16+($F16-$E16)*$I$2/(1+EXP($I$3*(COUNT($I$9:N$9)+$I$4))),TREND($E16:$F16,$E$9:$F$9,N$9))</f>
        <v>0</v>
      </c>
      <c r="O16" s="27">
        <f>IF($G16="s-curve",$E16+($F16-$E16)*$I$2/(1+EXP($I$3*(COUNT($I$9:O$9)+$I$4))),TREND($E16:$F16,$E$9:$F$9,O$9))</f>
        <v>0</v>
      </c>
      <c r="P16" s="27">
        <f>IF($G16="s-curve",$E16+($F16-$E16)*$I$2/(1+EXP($I$3*(COUNT($I$9:P$9)+$I$4))),TREND($E16:$F16,$E$9:$F$9,P$9))</f>
        <v>0</v>
      </c>
      <c r="Q16" s="27">
        <f>IF($G16="s-curve",$E16+($F16-$E16)*$I$2/(1+EXP($I$3*(COUNT($I$9:Q$9)+$I$4))),TREND($E16:$F16,$E$9:$F$9,Q$9))</f>
        <v>0</v>
      </c>
      <c r="R16" s="27">
        <f>IF($G16="s-curve",$E16+($F16-$E16)*$I$2/(1+EXP($I$3*(COUNT($I$9:R$9)+$I$4))),TREND($E16:$F16,$E$9:$F$9,R$9))</f>
        <v>0</v>
      </c>
      <c r="S16" s="27">
        <f>IF($G16="s-curve",$E16+($F16-$E16)*$I$2/(1+EXP($I$3*(COUNT($I$9:S$9)+$I$4))),TREND($E16:$F16,$E$9:$F$9,S$9))</f>
        <v>0</v>
      </c>
      <c r="T16" s="27">
        <f>IF($G16="s-curve",$E16+($F16-$E16)*$I$2/(1+EXP($I$3*(COUNT($I$9:T$9)+$I$4))),TREND($E16:$F16,$E$9:$F$9,T$9))</f>
        <v>0</v>
      </c>
      <c r="U16" s="27">
        <f>IF($G16="s-curve",$E16+($F16-$E16)*$I$2/(1+EXP($I$3*(COUNT($I$9:U$9)+$I$4))),TREND($E16:$F16,$E$9:$F$9,U$9))</f>
        <v>0</v>
      </c>
      <c r="V16" s="27">
        <f>IF($G16="s-curve",$E16+($F16-$E16)*$I$2/(1+EXP($I$3*(COUNT($I$9:V$9)+$I$4))),TREND($E16:$F16,$E$9:$F$9,V$9))</f>
        <v>0</v>
      </c>
      <c r="W16" s="27">
        <f>IF($G16="s-curve",$E16+($F16-$E16)*$I$2/(1+EXP($I$3*(COUNT($I$9:W$9)+$I$4))),TREND($E16:$F16,$E$9:$F$9,W$9))</f>
        <v>0</v>
      </c>
      <c r="X16" s="27">
        <f>IF($G16="s-curve",$E16+($F16-$E16)*$I$2/(1+EXP($I$3*(COUNT($I$9:X$9)+$I$4))),TREND($E16:$F16,$E$9:$F$9,X$9))</f>
        <v>0</v>
      </c>
      <c r="Y16" s="27">
        <f>IF($G16="s-curve",$E16+($F16-$E16)*$I$2/(1+EXP($I$3*(COUNT($I$9:Y$9)+$I$4))),TREND($E16:$F16,$E$9:$F$9,Y$9))</f>
        <v>0</v>
      </c>
      <c r="Z16" s="27">
        <f>IF($G16="s-curve",$E16+($F16-$E16)*$I$2/(1+EXP($I$3*(COUNT($I$9:Z$9)+$I$4))),TREND($E16:$F16,$E$9:$F$9,Z$9))</f>
        <v>0</v>
      </c>
      <c r="AA16" s="27">
        <f>IF($G16="s-curve",$E16+($F16-$E16)*$I$2/(1+EXP($I$3*(COUNT($I$9:AA$9)+$I$4))),TREND($E16:$F16,$E$9:$F$9,AA$9))</f>
        <v>0</v>
      </c>
      <c r="AB16" s="27">
        <f>IF($G16="s-curve",$E16+($F16-$E16)*$I$2/(1+EXP($I$3*(COUNT($I$9:AB$9)+$I$4))),TREND($E16:$F16,$E$9:$F$9,AB$9))</f>
        <v>0</v>
      </c>
      <c r="AC16" s="27">
        <f>IF($G16="s-curve",$E16+($F16-$E16)*$I$2/(1+EXP($I$3*(COUNT($I$9:AC$9)+$I$4))),TREND($E16:$F16,$E$9:$F$9,AC$9))</f>
        <v>0</v>
      </c>
      <c r="AD16" s="27">
        <f>IF($G16="s-curve",$E16+($F16-$E16)*$I$2/(1+EXP($I$3*(COUNT($I$9:AD$9)+$I$4))),TREND($E16:$F16,$E$9:$F$9,AD$9))</f>
        <v>0</v>
      </c>
      <c r="AE16" s="27">
        <f>IF($G16="s-curve",$E16+($F16-$E16)*$I$2/(1+EXP($I$3*(COUNT($I$9:AE$9)+$I$4))),TREND($E16:$F16,$E$9:$F$9,AE$9))</f>
        <v>0</v>
      </c>
      <c r="AF16" s="27">
        <f>IF($G16="s-curve",$E16+($F16-$E16)*$I$2/(1+EXP($I$3*(COUNT($I$9:AF$9)+$I$4))),TREND($E16:$F16,$E$9:$F$9,AF$9))</f>
        <v>0</v>
      </c>
      <c r="AG16" s="27">
        <f>IF($G16="s-curve",$E16+($F16-$E16)*$I$2/(1+EXP($I$3*(COUNT($I$9:AG$9)+$I$4))),TREND($E16:$F16,$E$9:$F$9,AG$9))</f>
        <v>0</v>
      </c>
      <c r="AH16" s="27">
        <f>IF($G16="s-curve",$E16+($F16-$E16)*$I$2/(1+EXP($I$3*(COUNT($I$9:AH$9)+$I$4))),TREND($E16:$F16,$E$9:$F$9,AH$9))</f>
        <v>0</v>
      </c>
      <c r="AI16" s="27">
        <f>IF($G16="s-curve",$E16+($F16-$E16)*$I$2/(1+EXP($I$3*(COUNT($I$9:AI$9)+$I$4))),TREND($E16:$F16,$E$9:$F$9,AI$9))</f>
        <v>0</v>
      </c>
      <c r="AJ16" s="27">
        <f>IF($G16="s-curve",$E16+($F16-$E16)*$I$2/(1+EXP($I$3*(COUNT($I$9:AJ$9)+$I$4))),TREND($E16:$F16,$E$9:$F$9,AJ$9))</f>
        <v>0</v>
      </c>
      <c r="AK16" s="27">
        <f>IF($G16="s-curve",$E16+($F16-$E16)*$I$2/(1+EXP($I$3*(COUNT($I$9:AK$9)+$I$4))),TREND($E16:$F16,$E$9:$F$9,AK$9))</f>
        <v>0</v>
      </c>
      <c r="AL16" s="27">
        <f>IF($G16="s-curve",$E16+($F16-$E16)*$I$2/(1+EXP($I$3*(COUNT($I$9:AL$9)+$I$4))),TREND($E16:$F16,$E$9:$F$9,AL$9))</f>
        <v>0</v>
      </c>
      <c r="AM16" s="27">
        <f>IF($G16="s-curve",$E16+($F16-$E16)*$I$2/(1+EXP($I$3*(COUNT($I$9:AM$9)+$I$4))),TREND($E16:$F16,$E$9:$F$9,AM$9))</f>
        <v>0</v>
      </c>
      <c r="AN16" s="27">
        <f>IF($G16="s-curve",$E16+($F16-$E16)*$I$2/(1+EXP($I$3*(COUNT($I$9:AN$9)+$I$4))),TREND($E16:$F16,$E$9:$F$9,AN$9))</f>
        <v>0</v>
      </c>
      <c r="AO16" s="27">
        <f>IF($G16="s-curve",$E16+($F16-$E16)*$I$2/(1+EXP($I$3*(COUNT($I$9:AO$9)+$I$4))),TREND($E16:$F16,$E$9:$F$9,AO$9))</f>
        <v>0</v>
      </c>
      <c r="AP16" s="27">
        <f>IF($G16="s-curve",$E16+($F16-$E16)*$I$2/(1+EXP($I$3*(COUNT($I$9:AP$9)+$I$4))),TREND($E16:$F16,$E$9:$F$9,AP$9))</f>
        <v>0</v>
      </c>
      <c r="AQ16" s="27">
        <f>IF($G16="s-curve",$E16+($F16-$E16)*$I$2/(1+EXP($I$3*(COUNT($I$9:AQ$9)+$I$4))),TREND($E16:$F16,$E$9:$F$9,AQ$9))</f>
        <v>0</v>
      </c>
      <c r="AR16" s="27">
        <f>IF($G16="s-curve",$E16+($F16-$E16)*$I$2/(1+EXP($I$3*(COUNT($I$9:AR$9)+$I$4))),TREND($E16:$F16,$E$9:$F$9,AR$9))</f>
        <v>0</v>
      </c>
      <c r="AS16" s="27">
        <f>IF($G16="s-curve",$E16+($F16-$E16)*$I$2/(1+EXP($I$3*(COUNT($I$9:AS$9)+$I$4))),TREND($E16:$F16,$E$9:$F$9,AS$9))</f>
        <v>0</v>
      </c>
      <c r="AT16" s="27">
        <f>IF($G16="s-curve",$E16+($F16-$E16)*$I$2/(1+EXP($I$3*(COUNT($I$9:AT$9)+$I$4))),TREND($E16:$F16,$E$9:$F$9,AT$9))</f>
        <v>0</v>
      </c>
      <c r="AU16" s="27">
        <f>IF($G16="s-curve",$E16+($F16-$E16)*$I$2/(1+EXP($I$3*(COUNT($I$9:AU$9)+$I$4))),TREND($E16:$F16,$E$9:$F$9,AU$9))</f>
        <v>0</v>
      </c>
      <c r="AV16" s="27">
        <f>IF($G16="s-curve",$E16+($F16-$E16)*$I$2/(1+EXP($I$3*(COUNT($I$9:AV$9)+$I$4))),TREND($E16:$F16,$E$9:$F$9,AV$9))</f>
        <v>0</v>
      </c>
      <c r="AW16" s="27">
        <f>IF($G16="s-curve",$E16+($F16-$E16)*$I$2/(1+EXP($I$3*(COUNT($I$9:AW$9)+$I$4))),TREND($E16:$F16,$E$9:$F$9,AW$9))</f>
        <v>0</v>
      </c>
      <c r="AX16" s="27">
        <f>IF($G16="s-curve",$E16+($F16-$E16)*$I$2/(1+EXP($I$3*(COUNT($I$9:AX$9)+$I$4))),TREND($E16:$F16,$E$9:$F$9,AX$9))</f>
        <v>0</v>
      </c>
      <c r="AY16" s="27">
        <f>IF($G16="s-curve",$E16+($F16-$E16)*$I$2/(1+EXP($I$3*(COUNT($I$9:AY$9)+$I$4))),TREND($E16:$F16,$E$9:$F$9,AY$9))</f>
        <v>0</v>
      </c>
      <c r="AZ16" s="27">
        <f>IF($G16="s-curve",$E16+($F16-$E16)*$I$2/(1+EXP($I$3*(COUNT($I$9:AZ$9)+$I$4))),TREND($E16:$F16,$E$9:$F$9,AZ$9))</f>
        <v>0</v>
      </c>
      <c r="BA16" s="27">
        <f>IF($G16="s-curve",$E16+($F16-$E16)*$I$2/(1+EXP($I$3*(COUNT($I$9:BA$9)+$I$4))),TREND($E16:$F16,$E$9:$F$9,BA$9))</f>
        <v>0</v>
      </c>
      <c r="BB16" s="27">
        <f>IF($G16="s-curve",$E16+($F16-$E16)*$I$2/(1+EXP($I$3*(COUNT($I$9:BB$9)+$I$4))),TREND($E16:$F16,$E$9:$F$9,BB$9))</f>
        <v>0</v>
      </c>
      <c r="BC16" s="27">
        <f>IF($G16="s-curve",$E16+($F16-$E16)*$I$2/(1+EXP($I$3*(COUNT($I$9:BC$9)+$I$4))),TREND($E16:$F16,$E$9:$F$9,BC$9))</f>
        <v>0</v>
      </c>
      <c r="BD16" s="27">
        <f>IF($G16="s-curve",$E16+($F16-$E16)*$I$2/(1+EXP($I$3*(COUNT($I$9:BD$9)+$I$4))),TREND($E16:$F16,$E$9:$F$9,BD$9))</f>
        <v>0</v>
      </c>
      <c r="BE16" s="27">
        <f>IF($G16="s-curve",$E16+($F16-$E16)*$I$2/(1+EXP($I$3*(COUNT($I$9:BE$9)+$I$4))),TREND($E16:$F16,$E$9:$F$9,BE$9))</f>
        <v>0</v>
      </c>
      <c r="BF16" s="27">
        <f>IF($G16="s-curve",$E16+($F16-$E16)*$I$2/(1+EXP($I$3*(COUNT($I$9:BF$9)+$I$4))),TREND($E16:$F16,$E$9:$F$9,BF$9))</f>
        <v>0</v>
      </c>
    </row>
    <row r="17" spans="1:63" x14ac:dyDescent="0.75">
      <c r="A17" t="s">
        <v>12</v>
      </c>
      <c r="B17" t="s">
        <v>18</v>
      </c>
      <c r="C17" t="s">
        <v>1</v>
      </c>
      <c r="D17" s="26">
        <v>0.26000976646599999</v>
      </c>
      <c r="E17" s="26">
        <v>0.111097601666</v>
      </c>
      <c r="F17" s="26">
        <v>0.3</v>
      </c>
      <c r="G17" s="29" t="str">
        <f>IF(E17=F17,"n/a",IF(OR(C17="battery electric vehicle",C17="natural gas vehicle",C17="plugin hybrid vehicle"),"s-curve","linear"))</f>
        <v>s-curve</v>
      </c>
      <c r="I17" s="27">
        <f>D17</f>
        <v>0.26000976646599999</v>
      </c>
      <c r="J17" s="27">
        <f t="shared" si="4"/>
        <v>0.22278172526599993</v>
      </c>
      <c r="K17" s="27">
        <f t="shared" si="2"/>
        <v>0.18555368406599992</v>
      </c>
      <c r="L17" s="27">
        <f t="shared" si="2"/>
        <v>0.14832564286599995</v>
      </c>
      <c r="M17" s="27">
        <f>IF($G17="s-curve",$E17+($F17-$E17)*$AA$2/(1+EXP($AA$3*(COUNT($I$9:M$9)+$AA$4))),TREND($E17:$F17,$E$9:$F$9,M$9))</f>
        <v>0.12299341965630756</v>
      </c>
      <c r="N17" s="28">
        <f>IF($G17="s-curve",$D17+($F17-$D17)*$AA$2/(1+EXP($AA$3*(COUNT($I$9:N$9)+$AA$4))),TREND($D17:$F17,$E$9:$F$9,N$9))</f>
        <v>0.26333586202244447</v>
      </c>
      <c r="O17" s="28">
        <f>IF($G17="s-curve",$D17+($F17-$D17)*$AA$2/(1+EXP($AA$3*(COUNT($I$9:O$9)+$AA$4))),TREND($D17:$F17,$E$9:$F$9,O$9))</f>
        <v>0.2643725738234296</v>
      </c>
      <c r="P17" s="28">
        <f>IF($G17="s-curve",$D17+($F17-$D17)*$AA$2/(1+EXP($AA$3*(COUNT($I$9:P$9)+$AA$4))),TREND($D17:$F17,$E$9:$F$9,P$9))</f>
        <v>0.2656824236784171</v>
      </c>
      <c r="Q17" s="28">
        <f>IF($G17="s-curve",$D17+($F17-$D17)*$AA$2/(1+EXP($AA$3*(COUNT($I$9:Q$9)+$AA$4))),TREND($D17:$F17,$E$9:$F$9,Q$9))</f>
        <v>0.26730500576557847</v>
      </c>
      <c r="R17" s="28">
        <f>IF($G17="s-curve",$D17+($F17-$D17)*$AA$2/(1+EXP($AA$3*(COUNT($I$9:R$9)+$AA$4))),TREND($D17:$F17,$E$9:$F$9,R$9))</f>
        <v>0.26926651443120747</v>
      </c>
      <c r="S17" s="28">
        <f>IF($G17="s-curve",$D17+($F17-$D17)*$AA$2/(1+EXP($AA$3*(COUNT($I$9:S$9)+$AA$4))),TREND($D17:$F17,$E$9:$F$9,S$9))</f>
        <v>0.27156896335914493</v>
      </c>
      <c r="T17" s="28">
        <f>IF($G17="s-curve",$D17+($F17-$D17)*$AA$2/(1+EXP($AA$3*(COUNT($I$9:T$9)+$AA$4))),TREND($D17:$F17,$E$9:$F$9,T$9))</f>
        <v>0.27418005353133063</v>
      </c>
      <c r="U17" s="28">
        <f>IF($G17="s-curve",$D17+($F17-$D17)*$AA$2/(1+EXP($AA$3*(COUNT($I$9:U$9)+$AA$4))),TREND($D17:$F17,$E$9:$F$9,U$9))</f>
        <v>0.277027909600843</v>
      </c>
      <c r="V17" s="28">
        <f>IF($G17="s-curve",$D17+($F17-$D17)*$AA$2/(1+EXP($AA$3*(COUNT($I$9:V$9)+$AA$4))),TREND($D17:$F17,$E$9:$F$9,V$9))</f>
        <v>0.28000488323299999</v>
      </c>
      <c r="W17" s="28">
        <f>IF($G17="s-curve",$D17+($F17-$D17)*$AA$2/(1+EXP($AA$3*(COUNT($I$9:W$9)+$AA$4))),TREND($D17:$F17,$E$9:$F$9,W$9))</f>
        <v>0.28298185686515698</v>
      </c>
      <c r="X17" s="28">
        <f>IF($G17="s-curve",$D17+($F17-$D17)*$AA$2/(1+EXP($AA$3*(COUNT($I$9:X$9)+$AA$4))),TREND($D17:$F17,$E$9:$F$9,X$9))</f>
        <v>0.28582971293466936</v>
      </c>
      <c r="Y17" s="28">
        <f>IF($G17="s-curve",$D17+($F17-$D17)*$AA$2/(1+EXP($AA$3*(COUNT($I$9:Y$9)+$AA$4))),TREND($D17:$F17,$E$9:$F$9,Y$9))</f>
        <v>0.28844080310685505</v>
      </c>
      <c r="Z17" s="28">
        <f>IF($G17="s-curve",$D17+($F17-$D17)*$AA$2/(1+EXP($AA$3*(COUNT($I$9:Z$9)+$AA$4))),TREND($D17:$F17,$E$9:$F$9,Z$9))</f>
        <v>0.29074325203479251</v>
      </c>
      <c r="AA17" s="28">
        <f>IF($G17="s-curve",$D17+($F17-$D17)*$AA$2/(1+EXP($AA$3*(COUNT($I$9:AA$9)+$AA$4))),TREND($D17:$F17,$E$9:$F$9,AA$9))</f>
        <v>0.29270476070042151</v>
      </c>
      <c r="AB17" s="28">
        <f>IF($G17="s-curve",$D17+($F17-$D17)*$AA$2/(1+EXP($AA$3*(COUNT($I$9:AB$9)+$AA$4))),TREND($D17:$F17,$E$9:$F$9,AB$9))</f>
        <v>0.29432734278758288</v>
      </c>
      <c r="AC17" s="28">
        <f>IF($G17="s-curve",$D17+($F17-$D17)*$AA$2/(1+EXP($AA$3*(COUNT($I$9:AC$9)+$AA$4))),TREND($D17:$F17,$E$9:$F$9,AC$9))</f>
        <v>0.29563719264257038</v>
      </c>
      <c r="AD17" s="28">
        <f>IF($G17="s-curve",$D17+($F17-$D17)*$AA$2/(1+EXP($AA$3*(COUNT($I$9:AD$9)+$AA$4))),TREND($D17:$F17,$E$9:$F$9,AD$9))</f>
        <v>0.29667390444355551</v>
      </c>
      <c r="AE17" s="28">
        <f>IF($G17="s-curve",$D17+($F17-$D17)*$AA$2/(1+EXP($AA$3*(COUNT($I$9:AE$9)+$AA$4))),TREND($D17:$F17,$E$9:$F$9,AE$9))</f>
        <v>0.29748168078486098</v>
      </c>
      <c r="AF17" s="28">
        <f>IF($G17="s-curve",$D17+($F17-$D17)*$AA$2/(1+EXP($AA$3*(COUNT($I$9:AF$9)+$AA$4))),TREND($D17:$F17,$E$9:$F$9,AF$9))</f>
        <v>0.29810342825607522</v>
      </c>
      <c r="AG17" s="28">
        <f>IF($G17="s-curve",$D17+($F17-$D17)*$AA$2/(1+EXP($AA$3*(COUNT($I$9:AG$9)+$AA$4))),TREND($D17:$F17,$E$9:$F$9,AG$9))</f>
        <v>0.29857749983390514</v>
      </c>
      <c r="AH17" s="28">
        <f>IF($G17="s-curve",$D17+($F17-$D17)*$AA$2/(1+EXP($AA$3*(COUNT($I$9:AH$9)+$AA$4))),TREND($D17:$F17,$E$9:$F$9,AH$9))</f>
        <v>0.29893638001555883</v>
      </c>
      <c r="AI17" s="28">
        <f>IF($G17="s-curve",$D17+($F17-$D17)*$AA$2/(1+EXP($AA$3*(COUNT($I$9:AI$9)+$AA$4))),TREND($D17:$F17,$E$9:$F$9,AI$9))</f>
        <v>0.29920658154030827</v>
      </c>
      <c r="AJ17" s="28">
        <f>IF($G17="s-curve",$D17+($F17-$D17)*$AA$2/(1+EXP($AA$3*(COUNT($I$9:AJ$9)+$AA$4))),TREND($D17:$F17,$E$9:$F$9,AJ$9))</f>
        <v>0.29940918302234726</v>
      </c>
      <c r="AK17" s="28">
        <f>IF($G17="s-curve",$D17+($F17-$D17)*$AA$2/(1+EXP($AA$3*(COUNT($I$9:AK$9)+$AA$4))),TREND($D17:$F17,$E$9:$F$9,AK$9))</f>
        <v>0.29956062959837793</v>
      </c>
      <c r="AL17" s="28">
        <f>IF($G17="s-curve",$D17+($F17-$D17)*$AA$2/(1+EXP($AA$3*(COUNT($I$9:AL$9)+$AA$4))),TREND($D17:$F17,$E$9:$F$9,AL$9))</f>
        <v>0.29967357687334722</v>
      </c>
      <c r="AM17" s="28">
        <f>IF($G17="s-curve",$D17+($F17-$D17)*$AA$2/(1+EXP($AA$3*(COUNT($I$9:AM$9)+$AA$4))),TREND($D17:$F17,$E$9:$F$9,AM$9))</f>
        <v>0.29975766712318186</v>
      </c>
      <c r="AN17" s="28">
        <f>IF($G17="s-curve",$D17+($F17-$D17)*$AA$2/(1+EXP($AA$3*(COUNT($I$9:AN$9)+$AA$4))),TREND($D17:$F17,$E$9:$F$9,AN$9))</f>
        <v>0.29982019298626128</v>
      </c>
      <c r="AO17" s="28">
        <f>IF($G17="s-curve",$D17+($F17-$D17)*$AA$2/(1+EXP($AA$3*(COUNT($I$9:AO$9)+$AA$4))),TREND($D17:$F17,$E$9:$F$9,AO$9))</f>
        <v>0.29986664027698562</v>
      </c>
      <c r="AP17" s="28">
        <f>IF($G17="s-curve",$D17+($F17-$D17)*$AA$2/(1+EXP($AA$3*(COUNT($I$9:AP$9)+$AA$4))),TREND($D17:$F17,$E$9:$F$9,AP$9))</f>
        <v>0.2999011192225246</v>
      </c>
      <c r="AQ17" s="28">
        <f>IF($G17="s-curve",$D17+($F17-$D17)*$AA$2/(1+EXP($AA$3*(COUNT($I$9:AQ$9)+$AA$4))),TREND($D17:$F17,$E$9:$F$9,AQ$9))</f>
        <v>0.29992670034363611</v>
      </c>
      <c r="AR17" s="28">
        <f>IF($G17="s-curve",$D17+($F17-$D17)*$AA$2/(1+EXP($AA$3*(COUNT($I$9:AR$9)+$AA$4))),TREND($D17:$F17,$E$9:$F$9,AR$9))</f>
        <v>0.29994567246992176</v>
      </c>
      <c r="AS17" s="28">
        <f>IF($G17="s-curve",$D17+($F17-$D17)*$AA$2/(1+EXP($AA$3*(COUNT($I$9:AS$9)+$AA$4))),TREND($D17:$F17,$E$9:$F$9,AS$9))</f>
        <v>0.29995973899978956</v>
      </c>
      <c r="AT17" s="28">
        <f>IF($G17="s-curve",$D17+($F17-$D17)*$AA$2/(1+EXP($AA$3*(COUNT($I$9:AT$9)+$AA$4))),TREND($D17:$F17,$E$9:$F$9,AT$9))</f>
        <v>0.29997016613271177</v>
      </c>
      <c r="AU17" s="28">
        <f>IF($G17="s-curve",$D17+($F17-$D17)*$AA$2/(1+EXP($AA$3*(COUNT($I$9:AU$9)+$AA$4))),TREND($D17:$F17,$E$9:$F$9,AU$9))</f>
        <v>0.2999778942532168</v>
      </c>
      <c r="AV17" s="28">
        <f>IF($G17="s-curve",$D17+($F17-$D17)*$AA$2/(1+EXP($AA$3*(COUNT($I$9:AV$9)+$AA$4))),TREND($D17:$F17,$E$9:$F$9,AV$9))</f>
        <v>0.29998362131342432</v>
      </c>
      <c r="AW17" s="28">
        <f>IF($G17="s-curve",$D17+($F17-$D17)*$AA$2/(1+EXP($AA$3*(COUNT($I$9:AW$9)+$AA$4))),TREND($D17:$F17,$E$9:$F$9,AW$9))</f>
        <v>0.29998786508240394</v>
      </c>
      <c r="AX17" s="28">
        <f>IF($G17="s-curve",$D17+($F17-$D17)*$AA$2/(1+EXP($AA$3*(COUNT($I$9:AX$9)+$AA$4))),TREND($D17:$F17,$E$9:$F$9,AX$9))</f>
        <v>0.29999100952485602</v>
      </c>
      <c r="AY17" s="28">
        <f>IF($G17="s-curve",$D17+($F17-$D17)*$AA$2/(1+EXP($AA$3*(COUNT($I$9:AY$9)+$AA$4))),TREND($D17:$F17,$E$9:$F$9,AY$9))</f>
        <v>0.29999333930409255</v>
      </c>
      <c r="AZ17" s="28">
        <f>IF($G17="s-curve",$D17+($F17-$D17)*$AA$2/(1+EXP($AA$3*(COUNT($I$9:AZ$9)+$AA$4))),TREND($D17:$F17,$E$9:$F$9,AZ$9))</f>
        <v>0.29999506542208948</v>
      </c>
      <c r="BA17" s="28">
        <f>IF($G17="s-curve",$D17+($F17-$D17)*$AA$2/(1+EXP($AA$3*(COUNT($I$9:BA$9)+$AA$4))),TREND($D17:$F17,$E$9:$F$9,BA$9))</f>
        <v>0.29999634425785593</v>
      </c>
      <c r="BB17" s="28">
        <f>IF($G17="s-curve",$D17+($F17-$D17)*$AA$2/(1+EXP($AA$3*(COUNT($I$9:BB$9)+$AA$4))),TREND($D17:$F17,$E$9:$F$9,BB$9))</f>
        <v>0.29999729169544082</v>
      </c>
      <c r="BC17" s="28">
        <f>IF($G17="s-curve",$D17+($F17-$D17)*$AA$2/(1+EXP($AA$3*(COUNT($I$9:BC$9)+$AA$4))),TREND($D17:$F17,$E$9:$F$9,BC$9))</f>
        <v>0.29999799360341739</v>
      </c>
      <c r="BD17" s="28">
        <f>IF($G17="s-curve",$D17+($F17-$D17)*$AA$2/(1+EXP($AA$3*(COUNT($I$9:BD$9)+$AA$4))),TREND($D17:$F17,$E$9:$F$9,BD$9))</f>
        <v>0.29999851360552504</v>
      </c>
      <c r="BE17" s="28">
        <f>IF($G17="s-curve",$D17+($F17-$D17)*$AA$2/(1+EXP($AA$3*(COUNT($I$9:BE$9)+$AA$4))),TREND($D17:$F17,$E$9:$F$9,BE$9))</f>
        <v>0.29999889884128178</v>
      </c>
      <c r="BF17" s="28">
        <f>IF($G17="s-curve",$D17+($F17-$D17)*$AA$2/(1+EXP($AA$3*(COUNT($I$9:BF$9)+$AA$4))),TREND($D17:$F17,$E$9:$F$9,BF$9))</f>
        <v>0.29999918423573579</v>
      </c>
      <c r="BG17" s="21"/>
      <c r="BH17" s="21"/>
      <c r="BI17" s="21"/>
      <c r="BJ17" s="21"/>
      <c r="BK17" s="21"/>
    </row>
    <row r="18" spans="1:63" x14ac:dyDescent="0.75">
      <c r="C18" t="s">
        <v>2</v>
      </c>
      <c r="D18" s="26">
        <v>0</v>
      </c>
      <c r="E18" s="26">
        <v>0</v>
      </c>
      <c r="F18" s="26">
        <f>E18</f>
        <v>0</v>
      </c>
      <c r="G18" s="29" t="s">
        <v>30</v>
      </c>
      <c r="I18" s="27">
        <f t="shared" ref="I18:I23" si="5">D18</f>
        <v>0</v>
      </c>
      <c r="J18" s="27">
        <f t="shared" si="4"/>
        <v>0</v>
      </c>
      <c r="K18" s="27">
        <f t="shared" si="2"/>
        <v>0</v>
      </c>
      <c r="L18" s="27">
        <f t="shared" si="2"/>
        <v>0</v>
      </c>
      <c r="M18" s="27">
        <f t="shared" ref="M18:M23" si="6">E18</f>
        <v>0</v>
      </c>
      <c r="N18" s="27">
        <f>IF($G18="s-curve",$E18+($F18-$E18)*$I$2/(1+EXP($I$3*(COUNT($I$9:N$9)+$I$4))),TREND($E18:$F18,$E$9:$F$9,N$9))</f>
        <v>0</v>
      </c>
      <c r="O18" s="27">
        <f>IF($G18="s-curve",$E18+($F18-$E18)*$I$2/(1+EXP($I$3*(COUNT($I$9:O$9)+$I$4))),TREND($E18:$F18,$E$9:$F$9,O$9))</f>
        <v>0</v>
      </c>
      <c r="P18" s="27">
        <f>IF($G18="s-curve",$E18+($F18-$E18)*$I$2/(1+EXP($I$3*(COUNT($I$9:P$9)+$I$4))),TREND($E18:$F18,$E$9:$F$9,P$9))</f>
        <v>0</v>
      </c>
      <c r="Q18" s="27">
        <f>IF($G18="s-curve",$E18+($F18-$E18)*$I$2/(1+EXP($I$3*(COUNT($I$9:Q$9)+$I$4))),TREND($E18:$F18,$E$9:$F$9,Q$9))</f>
        <v>0</v>
      </c>
      <c r="R18" s="27">
        <f>IF($G18="s-curve",$E18+($F18-$E18)*$I$2/(1+EXP($I$3*(COUNT($I$9:R$9)+$I$4))),TREND($E18:$F18,$E$9:$F$9,R$9))</f>
        <v>0</v>
      </c>
      <c r="S18" s="27">
        <f>IF($G18="s-curve",$E18+($F18-$E18)*$I$2/(1+EXP($I$3*(COUNT($I$9:S$9)+$I$4))),TREND($E18:$F18,$E$9:$F$9,S$9))</f>
        <v>0</v>
      </c>
      <c r="T18" s="27">
        <f>IF($G18="s-curve",$E18+($F18-$E18)*$I$2/(1+EXP($I$3*(COUNT($I$9:T$9)+$I$4))),TREND($E18:$F18,$E$9:$F$9,T$9))</f>
        <v>0</v>
      </c>
      <c r="U18" s="27">
        <f>IF($G18="s-curve",$E18+($F18-$E18)*$I$2/(1+EXP($I$3*(COUNT($I$9:U$9)+$I$4))),TREND($E18:$F18,$E$9:$F$9,U$9))</f>
        <v>0</v>
      </c>
      <c r="V18" s="27">
        <f>IF($G18="s-curve",$E18+($F18-$E18)*$I$2/(1+EXP($I$3*(COUNT($I$9:V$9)+$I$4))),TREND($E18:$F18,$E$9:$F$9,V$9))</f>
        <v>0</v>
      </c>
      <c r="W18" s="27">
        <f>IF($G18="s-curve",$E18+($F18-$E18)*$I$2/(1+EXP($I$3*(COUNT($I$9:W$9)+$I$4))),TREND($E18:$F18,$E$9:$F$9,W$9))</f>
        <v>0</v>
      </c>
      <c r="X18" s="27">
        <f>IF($G18="s-curve",$E18+($F18-$E18)*$I$2/(1+EXP($I$3*(COUNT($I$9:X$9)+$I$4))),TREND($E18:$F18,$E$9:$F$9,X$9))</f>
        <v>0</v>
      </c>
      <c r="Y18" s="27">
        <f>IF($G18="s-curve",$E18+($F18-$E18)*$I$2/(1+EXP($I$3*(COUNT($I$9:Y$9)+$I$4))),TREND($E18:$F18,$E$9:$F$9,Y$9))</f>
        <v>0</v>
      </c>
      <c r="Z18" s="27">
        <f>IF($G18="s-curve",$E18+($F18-$E18)*$I$2/(1+EXP($I$3*(COUNT($I$9:Z$9)+$I$4))),TREND($E18:$F18,$E$9:$F$9,Z$9))</f>
        <v>0</v>
      </c>
      <c r="AA18" s="27">
        <f>IF($G18="s-curve",$E18+($F18-$E18)*$I$2/(1+EXP($I$3*(COUNT($I$9:AA$9)+$I$4))),TREND($E18:$F18,$E$9:$F$9,AA$9))</f>
        <v>0</v>
      </c>
      <c r="AB18" s="27">
        <f>IF($G18="s-curve",$E18+($F18-$E18)*$I$2/(1+EXP($I$3*(COUNT($I$9:AB$9)+$I$4))),TREND($E18:$F18,$E$9:$F$9,AB$9))</f>
        <v>0</v>
      </c>
      <c r="AC18" s="27">
        <f>IF($G18="s-curve",$E18+($F18-$E18)*$I$2/(1+EXP($I$3*(COUNT($I$9:AC$9)+$I$4))),TREND($E18:$F18,$E$9:$F$9,AC$9))</f>
        <v>0</v>
      </c>
      <c r="AD18" s="27">
        <f>IF($G18="s-curve",$E18+($F18-$E18)*$I$2/(1+EXP($I$3*(COUNT($I$9:AD$9)+$I$4))),TREND($E18:$F18,$E$9:$F$9,AD$9))</f>
        <v>0</v>
      </c>
      <c r="AE18" s="27">
        <f>IF($G18="s-curve",$E18+($F18-$E18)*$I$2/(1+EXP($I$3*(COUNT($I$9:AE$9)+$I$4))),TREND($E18:$F18,$E$9:$F$9,AE$9))</f>
        <v>0</v>
      </c>
      <c r="AF18" s="27">
        <f>IF($G18="s-curve",$E18+($F18-$E18)*$I$2/(1+EXP($I$3*(COUNT($I$9:AF$9)+$I$4))),TREND($E18:$F18,$E$9:$F$9,AF$9))</f>
        <v>0</v>
      </c>
      <c r="AG18" s="27">
        <f>IF($G18="s-curve",$E18+($F18-$E18)*$I$2/(1+EXP($I$3*(COUNT($I$9:AG$9)+$I$4))),TREND($E18:$F18,$E$9:$F$9,AG$9))</f>
        <v>0</v>
      </c>
      <c r="AH18" s="27">
        <f>IF($G18="s-curve",$E18+($F18-$E18)*$I$2/(1+EXP($I$3*(COUNT($I$9:AH$9)+$I$4))),TREND($E18:$F18,$E$9:$F$9,AH$9))</f>
        <v>0</v>
      </c>
      <c r="AI18" s="27">
        <f>IF($G18="s-curve",$E18+($F18-$E18)*$I$2/(1+EXP($I$3*(COUNT($I$9:AI$9)+$I$4))),TREND($E18:$F18,$E$9:$F$9,AI$9))</f>
        <v>0</v>
      </c>
      <c r="AJ18" s="27">
        <f>IF($G18="s-curve",$E18+($F18-$E18)*$I$2/(1+EXP($I$3*(COUNT($I$9:AJ$9)+$I$4))),TREND($E18:$F18,$E$9:$F$9,AJ$9))</f>
        <v>0</v>
      </c>
      <c r="AK18" s="27">
        <f>IF($G18="s-curve",$E18+($F18-$E18)*$I$2/(1+EXP($I$3*(COUNT($I$9:AK$9)+$I$4))),TREND($E18:$F18,$E$9:$F$9,AK$9))</f>
        <v>0</v>
      </c>
      <c r="AL18" s="27">
        <f>IF($G18="s-curve",$E18+($F18-$E18)*$I$2/(1+EXP($I$3*(COUNT($I$9:AL$9)+$I$4))),TREND($E18:$F18,$E$9:$F$9,AL$9))</f>
        <v>0</v>
      </c>
      <c r="AM18" s="27">
        <f>IF($G18="s-curve",$E18+($F18-$E18)*$I$2/(1+EXP($I$3*(COUNT($I$9:AM$9)+$I$4))),TREND($E18:$F18,$E$9:$F$9,AM$9))</f>
        <v>0</v>
      </c>
      <c r="AN18" s="27">
        <f>IF($G18="s-curve",$E18+($F18-$E18)*$I$2/(1+EXP($I$3*(COUNT($I$9:AN$9)+$I$4))),TREND($E18:$F18,$E$9:$F$9,AN$9))</f>
        <v>0</v>
      </c>
      <c r="AO18" s="27">
        <f>IF($G18="s-curve",$E18+($F18-$E18)*$I$2/(1+EXP($I$3*(COUNT($I$9:AO$9)+$I$4))),TREND($E18:$F18,$E$9:$F$9,AO$9))</f>
        <v>0</v>
      </c>
      <c r="AP18" s="27">
        <f>IF($G18="s-curve",$E18+($F18-$E18)*$I$2/(1+EXP($I$3*(COUNT($I$9:AP$9)+$I$4))),TREND($E18:$F18,$E$9:$F$9,AP$9))</f>
        <v>0</v>
      </c>
      <c r="AQ18" s="27">
        <f>IF($G18="s-curve",$E18+($F18-$E18)*$I$2/(1+EXP($I$3*(COUNT($I$9:AQ$9)+$I$4))),TREND($E18:$F18,$E$9:$F$9,AQ$9))</f>
        <v>0</v>
      </c>
      <c r="AR18" s="27">
        <f>IF($G18="s-curve",$E18+($F18-$E18)*$I$2/(1+EXP($I$3*(COUNT($I$9:AR$9)+$I$4))),TREND($E18:$F18,$E$9:$F$9,AR$9))</f>
        <v>0</v>
      </c>
      <c r="AS18" s="27">
        <f>IF($G18="s-curve",$E18+($F18-$E18)*$I$2/(1+EXP($I$3*(COUNT($I$9:AS$9)+$I$4))),TREND($E18:$F18,$E$9:$F$9,AS$9))</f>
        <v>0</v>
      </c>
      <c r="AT18" s="27">
        <f>IF($G18="s-curve",$E18+($F18-$E18)*$I$2/(1+EXP($I$3*(COUNT($I$9:AT$9)+$I$4))),TREND($E18:$F18,$E$9:$F$9,AT$9))</f>
        <v>0</v>
      </c>
      <c r="AU18" s="27">
        <f>IF($G18="s-curve",$E18+($F18-$E18)*$I$2/(1+EXP($I$3*(COUNT($I$9:AU$9)+$I$4))),TREND($E18:$F18,$E$9:$F$9,AU$9))</f>
        <v>0</v>
      </c>
      <c r="AV18" s="27">
        <f>IF($G18="s-curve",$E18+($F18-$E18)*$I$2/(1+EXP($I$3*(COUNT($I$9:AV$9)+$I$4))),TREND($E18:$F18,$E$9:$F$9,AV$9))</f>
        <v>0</v>
      </c>
      <c r="AW18" s="27">
        <f>IF($G18="s-curve",$E18+($F18-$E18)*$I$2/(1+EXP($I$3*(COUNT($I$9:AW$9)+$I$4))),TREND($E18:$F18,$E$9:$F$9,AW$9))</f>
        <v>0</v>
      </c>
      <c r="AX18" s="27">
        <f>IF($G18="s-curve",$E18+($F18-$E18)*$I$2/(1+EXP($I$3*(COUNT($I$9:AX$9)+$I$4))),TREND($E18:$F18,$E$9:$F$9,AX$9))</f>
        <v>0</v>
      </c>
      <c r="AY18" s="27">
        <f>IF($G18="s-curve",$E18+($F18-$E18)*$I$2/(1+EXP($I$3*(COUNT($I$9:AY$9)+$I$4))),TREND($E18:$F18,$E$9:$F$9,AY$9))</f>
        <v>0</v>
      </c>
      <c r="AZ18" s="27">
        <f>IF($G18="s-curve",$E18+($F18-$E18)*$I$2/(1+EXP($I$3*(COUNT($I$9:AZ$9)+$I$4))),TREND($E18:$F18,$E$9:$F$9,AZ$9))</f>
        <v>0</v>
      </c>
      <c r="BA18" s="27">
        <f>IF($G18="s-curve",$E18+($F18-$E18)*$I$2/(1+EXP($I$3*(COUNT($I$9:BA$9)+$I$4))),TREND($E18:$F18,$E$9:$F$9,BA$9))</f>
        <v>0</v>
      </c>
      <c r="BB18" s="27">
        <f>IF($G18="s-curve",$E18+($F18-$E18)*$I$2/(1+EXP($I$3*(COUNT($I$9:BB$9)+$I$4))),TREND($E18:$F18,$E$9:$F$9,BB$9))</f>
        <v>0</v>
      </c>
      <c r="BC18" s="27">
        <f>IF($G18="s-curve",$E18+($F18-$E18)*$I$2/(1+EXP($I$3*(COUNT($I$9:BC$9)+$I$4))),TREND($E18:$F18,$E$9:$F$9,BC$9))</f>
        <v>0</v>
      </c>
      <c r="BD18" s="27">
        <f>IF($G18="s-curve",$E18+($F18-$E18)*$I$2/(1+EXP($I$3*(COUNT($I$9:BD$9)+$I$4))),TREND($E18:$F18,$E$9:$F$9,BD$9))</f>
        <v>0</v>
      </c>
      <c r="BE18" s="27">
        <f>IF($G18="s-curve",$E18+($F18-$E18)*$I$2/(1+EXP($I$3*(COUNT($I$9:BE$9)+$I$4))),TREND($E18:$F18,$E$9:$F$9,BE$9))</f>
        <v>0</v>
      </c>
      <c r="BF18" s="27">
        <f>IF($G18="s-curve",$E18+($F18-$E18)*$I$2/(1+EXP($I$3*(COUNT($I$9:BF$9)+$I$4))),TREND($E18:$F18,$E$9:$F$9,BF$9))</f>
        <v>0</v>
      </c>
    </row>
    <row r="19" spans="1:63" x14ac:dyDescent="0.75">
      <c r="C19" t="s">
        <v>3</v>
      </c>
      <c r="D19" s="26">
        <v>0.90083809500199996</v>
      </c>
      <c r="E19" s="26">
        <v>0.83821626774799995</v>
      </c>
      <c r="F19" s="26">
        <f>E19</f>
        <v>0.83821626774799995</v>
      </c>
      <c r="G19" s="29" t="str">
        <f>IF(E19=F19,"n/a",IF(OR(C19="battery electric vehicle",C19="natural gas vehicle",C19="plugin hybrid vehicle"),"s-curve","linear"))</f>
        <v>n/a</v>
      </c>
      <c r="I19" s="27">
        <f t="shared" si="5"/>
        <v>0.90083809500199996</v>
      </c>
      <c r="J19" s="27">
        <f t="shared" si="4"/>
        <v>0.88518263818849996</v>
      </c>
      <c r="K19" s="27">
        <f t="shared" si="2"/>
        <v>0.86952718137500007</v>
      </c>
      <c r="L19" s="27">
        <f t="shared" si="2"/>
        <v>0.85387172456150018</v>
      </c>
      <c r="M19" s="27">
        <f t="shared" si="6"/>
        <v>0.83821626774799995</v>
      </c>
      <c r="N19" s="27">
        <f>IF($G19="s-curve",$E19+($F19-$E19)*$I$2/(1+EXP($I$3*(COUNT($I$9:N$9)+$I$4))),TREND($E19:$F19,$E$9:$F$9,N$9))</f>
        <v>0.83821626774799995</v>
      </c>
      <c r="O19" s="27">
        <f>IF($G19="s-curve",$E19+($F19-$E19)*$I$2/(1+EXP($I$3*(COUNT($I$9:O$9)+$I$4))),TREND($E19:$F19,$E$9:$F$9,O$9))</f>
        <v>0.83821626774799995</v>
      </c>
      <c r="P19" s="27">
        <f>IF($G19="s-curve",$E19+($F19-$E19)*$I$2/(1+EXP($I$3*(COUNT($I$9:P$9)+$I$4))),TREND($E19:$F19,$E$9:$F$9,P$9))</f>
        <v>0.83821626774799995</v>
      </c>
      <c r="Q19" s="27">
        <f>IF($G19="s-curve",$E19+($F19-$E19)*$I$2/(1+EXP($I$3*(COUNT($I$9:Q$9)+$I$4))),TREND($E19:$F19,$E$9:$F$9,Q$9))</f>
        <v>0.83821626774799995</v>
      </c>
      <c r="R19" s="27">
        <f>IF($G19="s-curve",$E19+($F19-$E19)*$I$2/(1+EXP($I$3*(COUNT($I$9:R$9)+$I$4))),TREND($E19:$F19,$E$9:$F$9,R$9))</f>
        <v>0.83821626774799995</v>
      </c>
      <c r="S19" s="27">
        <f>IF($G19="s-curve",$E19+($F19-$E19)*$I$2/(1+EXP($I$3*(COUNT($I$9:S$9)+$I$4))),TREND($E19:$F19,$E$9:$F$9,S$9))</f>
        <v>0.83821626774799995</v>
      </c>
      <c r="T19" s="27">
        <f>IF($G19="s-curve",$E19+($F19-$E19)*$I$2/(1+EXP($I$3*(COUNT($I$9:T$9)+$I$4))),TREND($E19:$F19,$E$9:$F$9,T$9))</f>
        <v>0.83821626774799995</v>
      </c>
      <c r="U19" s="27">
        <f>IF($G19="s-curve",$E19+($F19-$E19)*$I$2/(1+EXP($I$3*(COUNT($I$9:U$9)+$I$4))),TREND($E19:$F19,$E$9:$F$9,U$9))</f>
        <v>0.83821626774799995</v>
      </c>
      <c r="V19" s="27">
        <f>IF($G19="s-curve",$E19+($F19-$E19)*$I$2/(1+EXP($I$3*(COUNT($I$9:V$9)+$I$4))),TREND($E19:$F19,$E$9:$F$9,V$9))</f>
        <v>0.83821626774799995</v>
      </c>
      <c r="W19" s="27">
        <f>IF($G19="s-curve",$E19+($F19-$E19)*$I$2/(1+EXP($I$3*(COUNT($I$9:W$9)+$I$4))),TREND($E19:$F19,$E$9:$F$9,W$9))</f>
        <v>0.83821626774799995</v>
      </c>
      <c r="X19" s="27">
        <f>IF($G19="s-curve",$E19+($F19-$E19)*$I$2/(1+EXP($I$3*(COUNT($I$9:X$9)+$I$4))),TREND($E19:$F19,$E$9:$F$9,X$9))</f>
        <v>0.83821626774799995</v>
      </c>
      <c r="Y19" s="27">
        <f>IF($G19="s-curve",$E19+($F19-$E19)*$I$2/(1+EXP($I$3*(COUNT($I$9:Y$9)+$I$4))),TREND($E19:$F19,$E$9:$F$9,Y$9))</f>
        <v>0.83821626774799995</v>
      </c>
      <c r="Z19" s="27">
        <f>IF($G19="s-curve",$E19+($F19-$E19)*$I$2/(1+EXP($I$3*(COUNT($I$9:Z$9)+$I$4))),TREND($E19:$F19,$E$9:$F$9,Z$9))</f>
        <v>0.83821626774799995</v>
      </c>
      <c r="AA19" s="27">
        <f>IF($G19="s-curve",$E19+($F19-$E19)*$I$2/(1+EXP($I$3*(COUNT($I$9:AA$9)+$I$4))),TREND($E19:$F19,$E$9:$F$9,AA$9))</f>
        <v>0.83821626774799995</v>
      </c>
      <c r="AB19" s="27">
        <f>IF($G19="s-curve",$E19+($F19-$E19)*$I$2/(1+EXP($I$3*(COUNT($I$9:AB$9)+$I$4))),TREND($E19:$F19,$E$9:$F$9,AB$9))</f>
        <v>0.83821626774799995</v>
      </c>
      <c r="AC19" s="27">
        <f>IF($G19="s-curve",$E19+($F19-$E19)*$I$2/(1+EXP($I$3*(COUNT($I$9:AC$9)+$I$4))),TREND($E19:$F19,$E$9:$F$9,AC$9))</f>
        <v>0.83821626774799995</v>
      </c>
      <c r="AD19" s="27">
        <f>IF($G19="s-curve",$E19+($F19-$E19)*$I$2/(1+EXP($I$3*(COUNT($I$9:AD$9)+$I$4))),TREND($E19:$F19,$E$9:$F$9,AD$9))</f>
        <v>0.83821626774799995</v>
      </c>
      <c r="AE19" s="27">
        <f>IF($G19="s-curve",$E19+($F19-$E19)*$I$2/(1+EXP($I$3*(COUNT($I$9:AE$9)+$I$4))),TREND($E19:$F19,$E$9:$F$9,AE$9))</f>
        <v>0.83821626774799995</v>
      </c>
      <c r="AF19" s="27">
        <f>IF($G19="s-curve",$E19+($F19-$E19)*$I$2/(1+EXP($I$3*(COUNT($I$9:AF$9)+$I$4))),TREND($E19:$F19,$E$9:$F$9,AF$9))</f>
        <v>0.83821626774799995</v>
      </c>
      <c r="AG19" s="27">
        <f>IF($G19="s-curve",$E19+($F19-$E19)*$I$2/(1+EXP($I$3*(COUNT($I$9:AG$9)+$I$4))),TREND($E19:$F19,$E$9:$F$9,AG$9))</f>
        <v>0.83821626774799995</v>
      </c>
      <c r="AH19" s="27">
        <f>IF($G19="s-curve",$E19+($F19-$E19)*$I$2/(1+EXP($I$3*(COUNT($I$9:AH$9)+$I$4))),TREND($E19:$F19,$E$9:$F$9,AH$9))</f>
        <v>0.83821626774799995</v>
      </c>
      <c r="AI19" s="27">
        <f>IF($G19="s-curve",$E19+($F19-$E19)*$I$2/(1+EXP($I$3*(COUNT($I$9:AI$9)+$I$4))),TREND($E19:$F19,$E$9:$F$9,AI$9))</f>
        <v>0.83821626774799995</v>
      </c>
      <c r="AJ19" s="27">
        <f>IF($G19="s-curve",$E19+($F19-$E19)*$I$2/(1+EXP($I$3*(COUNT($I$9:AJ$9)+$I$4))),TREND($E19:$F19,$E$9:$F$9,AJ$9))</f>
        <v>0.83821626774799995</v>
      </c>
      <c r="AK19" s="27">
        <f>IF($G19="s-curve",$E19+($F19-$E19)*$I$2/(1+EXP($I$3*(COUNT($I$9:AK$9)+$I$4))),TREND($E19:$F19,$E$9:$F$9,AK$9))</f>
        <v>0.83821626774799995</v>
      </c>
      <c r="AL19" s="27">
        <f>IF($G19="s-curve",$E19+($F19-$E19)*$I$2/(1+EXP($I$3*(COUNT($I$9:AL$9)+$I$4))),TREND($E19:$F19,$E$9:$F$9,AL$9))</f>
        <v>0.83821626774799995</v>
      </c>
      <c r="AM19" s="27">
        <f>IF($G19="s-curve",$E19+($F19-$E19)*$I$2/(1+EXP($I$3*(COUNT($I$9:AM$9)+$I$4))),TREND($E19:$F19,$E$9:$F$9,AM$9))</f>
        <v>0.83821626774799995</v>
      </c>
      <c r="AN19" s="27">
        <f>IF($G19="s-curve",$E19+($F19-$E19)*$I$2/(1+EXP($I$3*(COUNT($I$9:AN$9)+$I$4))),TREND($E19:$F19,$E$9:$F$9,AN$9))</f>
        <v>0.83821626774799995</v>
      </c>
      <c r="AO19" s="27">
        <f>IF($G19="s-curve",$E19+($F19-$E19)*$I$2/(1+EXP($I$3*(COUNT($I$9:AO$9)+$I$4))),TREND($E19:$F19,$E$9:$F$9,AO$9))</f>
        <v>0.83821626774799995</v>
      </c>
      <c r="AP19" s="27">
        <f>IF($G19="s-curve",$E19+($F19-$E19)*$I$2/(1+EXP($I$3*(COUNT($I$9:AP$9)+$I$4))),TREND($E19:$F19,$E$9:$F$9,AP$9))</f>
        <v>0.83821626774799995</v>
      </c>
      <c r="AQ19" s="27">
        <f>IF($G19="s-curve",$E19+($F19-$E19)*$I$2/(1+EXP($I$3*(COUNT($I$9:AQ$9)+$I$4))),TREND($E19:$F19,$E$9:$F$9,AQ$9))</f>
        <v>0.83821626774799995</v>
      </c>
      <c r="AR19" s="27">
        <f>IF($G19="s-curve",$E19+($F19-$E19)*$I$2/(1+EXP($I$3*(COUNT($I$9:AR$9)+$I$4))),TREND($E19:$F19,$E$9:$F$9,AR$9))</f>
        <v>0.83821626774799995</v>
      </c>
      <c r="AS19" s="27">
        <f>IF($G19="s-curve",$E19+($F19-$E19)*$I$2/(1+EXP($I$3*(COUNT($I$9:AS$9)+$I$4))),TREND($E19:$F19,$E$9:$F$9,AS$9))</f>
        <v>0.83821626774799995</v>
      </c>
      <c r="AT19" s="27">
        <f>IF($G19="s-curve",$E19+($F19-$E19)*$I$2/(1+EXP($I$3*(COUNT($I$9:AT$9)+$I$4))),TREND($E19:$F19,$E$9:$F$9,AT$9))</f>
        <v>0.83821626774799995</v>
      </c>
      <c r="AU19" s="27">
        <f>IF($G19="s-curve",$E19+($F19-$E19)*$I$2/(1+EXP($I$3*(COUNT($I$9:AU$9)+$I$4))),TREND($E19:$F19,$E$9:$F$9,AU$9))</f>
        <v>0.83821626774799995</v>
      </c>
      <c r="AV19" s="27">
        <f>IF($G19="s-curve",$E19+($F19-$E19)*$I$2/(1+EXP($I$3*(COUNT($I$9:AV$9)+$I$4))),TREND($E19:$F19,$E$9:$F$9,AV$9))</f>
        <v>0.83821626774799995</v>
      </c>
      <c r="AW19" s="27">
        <f>IF($G19="s-curve",$E19+($F19-$E19)*$I$2/(1+EXP($I$3*(COUNT($I$9:AW$9)+$I$4))),TREND($E19:$F19,$E$9:$F$9,AW$9))</f>
        <v>0.83821626774799995</v>
      </c>
      <c r="AX19" s="27">
        <f>IF($G19="s-curve",$E19+($F19-$E19)*$I$2/(1+EXP($I$3*(COUNT($I$9:AX$9)+$I$4))),TREND($E19:$F19,$E$9:$F$9,AX$9))</f>
        <v>0.83821626774799995</v>
      </c>
      <c r="AY19" s="27">
        <f>IF($G19="s-curve",$E19+($F19-$E19)*$I$2/(1+EXP($I$3*(COUNT($I$9:AY$9)+$I$4))),TREND($E19:$F19,$E$9:$F$9,AY$9))</f>
        <v>0.83821626774799995</v>
      </c>
      <c r="AZ19" s="27">
        <f>IF($G19="s-curve",$E19+($F19-$E19)*$I$2/(1+EXP($I$3*(COUNT($I$9:AZ$9)+$I$4))),TREND($E19:$F19,$E$9:$F$9,AZ$9))</f>
        <v>0.83821626774799995</v>
      </c>
      <c r="BA19" s="27">
        <f>IF($G19="s-curve",$E19+($F19-$E19)*$I$2/(1+EXP($I$3*(COUNT($I$9:BA$9)+$I$4))),TREND($E19:$F19,$E$9:$F$9,BA$9))</f>
        <v>0.83821626774799995</v>
      </c>
      <c r="BB19" s="27">
        <f>IF($G19="s-curve",$E19+($F19-$E19)*$I$2/(1+EXP($I$3*(COUNT($I$9:BB$9)+$I$4))),TREND($E19:$F19,$E$9:$F$9,BB$9))</f>
        <v>0.83821626774799995</v>
      </c>
      <c r="BC19" s="27">
        <f>IF($G19="s-curve",$E19+($F19-$E19)*$I$2/(1+EXP($I$3*(COUNT($I$9:BC$9)+$I$4))),TREND($E19:$F19,$E$9:$F$9,BC$9))</f>
        <v>0.83821626774799995</v>
      </c>
      <c r="BD19" s="27">
        <f>IF($G19="s-curve",$E19+($F19-$E19)*$I$2/(1+EXP($I$3*(COUNT($I$9:BD$9)+$I$4))),TREND($E19:$F19,$E$9:$F$9,BD$9))</f>
        <v>0.83821626774799995</v>
      </c>
      <c r="BE19" s="27">
        <f>IF($G19="s-curve",$E19+($F19-$E19)*$I$2/(1+EXP($I$3*(COUNT($I$9:BE$9)+$I$4))),TREND($E19:$F19,$E$9:$F$9,BE$9))</f>
        <v>0.83821626774799995</v>
      </c>
      <c r="BF19" s="27">
        <f>IF($G19="s-curve",$E19+($F19-$E19)*$I$2/(1+EXP($I$3*(COUNT($I$9:BF$9)+$I$4))),TREND($E19:$F19,$E$9:$F$9,BF$9))</f>
        <v>0.83821626774799995</v>
      </c>
    </row>
    <row r="20" spans="1:63" x14ac:dyDescent="0.75">
      <c r="C20" t="s">
        <v>4</v>
      </c>
      <c r="D20" s="26">
        <v>1</v>
      </c>
      <c r="E20" s="26">
        <v>1</v>
      </c>
      <c r="F20" s="26">
        <v>1</v>
      </c>
      <c r="G20" s="29" t="str">
        <f>IF(E20=F20,"n/a",IF(OR(C20="battery electric vehicle",C20="natural gas vehicle",C20="plugin hybrid vehicle"),"s-curve","linear"))</f>
        <v>n/a</v>
      </c>
      <c r="I20" s="27">
        <f t="shared" si="5"/>
        <v>1</v>
      </c>
      <c r="J20" s="27">
        <f t="shared" si="4"/>
        <v>1</v>
      </c>
      <c r="K20" s="27">
        <f t="shared" si="2"/>
        <v>1</v>
      </c>
      <c r="L20" s="27">
        <f t="shared" si="2"/>
        <v>1</v>
      </c>
      <c r="M20" s="27">
        <f t="shared" si="6"/>
        <v>1</v>
      </c>
      <c r="N20" s="27">
        <f>IF($G20="s-curve",$E20+($F20-$E20)*$I$2/(1+EXP($I$3*(COUNT($I$9:N$9)+$I$4))),TREND($E20:$F20,$E$9:$F$9,N$9))</f>
        <v>1</v>
      </c>
      <c r="O20" s="27">
        <f>IF($G20="s-curve",$E20+($F20-$E20)*$I$2/(1+EXP($I$3*(COUNT($I$9:O$9)+$I$4))),TREND($E20:$F20,$E$9:$F$9,O$9))</f>
        <v>1</v>
      </c>
      <c r="P20" s="27">
        <f>IF($G20="s-curve",$E20+($F20-$E20)*$I$2/(1+EXP($I$3*(COUNT($I$9:P$9)+$I$4))),TREND($E20:$F20,$E$9:$F$9,P$9))</f>
        <v>1</v>
      </c>
      <c r="Q20" s="27">
        <f>IF($G20="s-curve",$E20+($F20-$E20)*$I$2/(1+EXP($I$3*(COUNT($I$9:Q$9)+$I$4))),TREND($E20:$F20,$E$9:$F$9,Q$9))</f>
        <v>1</v>
      </c>
      <c r="R20" s="27">
        <f>IF($G20="s-curve",$E20+($F20-$E20)*$I$2/(1+EXP($I$3*(COUNT($I$9:R$9)+$I$4))),TREND($E20:$F20,$E$9:$F$9,R$9))</f>
        <v>1</v>
      </c>
      <c r="S20" s="27">
        <f>IF($G20="s-curve",$E20+($F20-$E20)*$I$2/(1+EXP($I$3*(COUNT($I$9:S$9)+$I$4))),TREND($E20:$F20,$E$9:$F$9,S$9))</f>
        <v>1</v>
      </c>
      <c r="T20" s="27">
        <f>IF($G20="s-curve",$E20+($F20-$E20)*$I$2/(1+EXP($I$3*(COUNT($I$9:T$9)+$I$4))),TREND($E20:$F20,$E$9:$F$9,T$9))</f>
        <v>1</v>
      </c>
      <c r="U20" s="27">
        <f>IF($G20="s-curve",$E20+($F20-$E20)*$I$2/(1+EXP($I$3*(COUNT($I$9:U$9)+$I$4))),TREND($E20:$F20,$E$9:$F$9,U$9))</f>
        <v>1</v>
      </c>
      <c r="V20" s="27">
        <f>IF($G20="s-curve",$E20+($F20-$E20)*$I$2/(1+EXP($I$3*(COUNT($I$9:V$9)+$I$4))),TREND($E20:$F20,$E$9:$F$9,V$9))</f>
        <v>1</v>
      </c>
      <c r="W20" s="27">
        <f>IF($G20="s-curve",$E20+($F20-$E20)*$I$2/(1+EXP($I$3*(COUNT($I$9:W$9)+$I$4))),TREND($E20:$F20,$E$9:$F$9,W$9))</f>
        <v>1</v>
      </c>
      <c r="X20" s="27">
        <f>IF($G20="s-curve",$E20+($F20-$E20)*$I$2/(1+EXP($I$3*(COUNT($I$9:X$9)+$I$4))),TREND($E20:$F20,$E$9:$F$9,X$9))</f>
        <v>1</v>
      </c>
      <c r="Y20" s="27">
        <f>IF($G20="s-curve",$E20+($F20-$E20)*$I$2/(1+EXP($I$3*(COUNT($I$9:Y$9)+$I$4))),TREND($E20:$F20,$E$9:$F$9,Y$9))</f>
        <v>1</v>
      </c>
      <c r="Z20" s="27">
        <f>IF($G20="s-curve",$E20+($F20-$E20)*$I$2/(1+EXP($I$3*(COUNT($I$9:Z$9)+$I$4))),TREND($E20:$F20,$E$9:$F$9,Z$9))</f>
        <v>1</v>
      </c>
      <c r="AA20" s="27">
        <f>IF($G20="s-curve",$E20+($F20-$E20)*$I$2/(1+EXP($I$3*(COUNT($I$9:AA$9)+$I$4))),TREND($E20:$F20,$E$9:$F$9,AA$9))</f>
        <v>1</v>
      </c>
      <c r="AB20" s="27">
        <f>IF($G20="s-curve",$E20+($F20-$E20)*$I$2/(1+EXP($I$3*(COUNT($I$9:AB$9)+$I$4))),TREND($E20:$F20,$E$9:$F$9,AB$9))</f>
        <v>1</v>
      </c>
      <c r="AC20" s="27">
        <f>IF($G20="s-curve",$E20+($F20-$E20)*$I$2/(1+EXP($I$3*(COUNT($I$9:AC$9)+$I$4))),TREND($E20:$F20,$E$9:$F$9,AC$9))</f>
        <v>1</v>
      </c>
      <c r="AD20" s="27">
        <f>IF($G20="s-curve",$E20+($F20-$E20)*$I$2/(1+EXP($I$3*(COUNT($I$9:AD$9)+$I$4))),TREND($E20:$F20,$E$9:$F$9,AD$9))</f>
        <v>1</v>
      </c>
      <c r="AE20" s="27">
        <f>IF($G20="s-curve",$E20+($F20-$E20)*$I$2/(1+EXP($I$3*(COUNT($I$9:AE$9)+$I$4))),TREND($E20:$F20,$E$9:$F$9,AE$9))</f>
        <v>1</v>
      </c>
      <c r="AF20" s="27">
        <f>IF($G20="s-curve",$E20+($F20-$E20)*$I$2/(1+EXP($I$3*(COUNT($I$9:AF$9)+$I$4))),TREND($E20:$F20,$E$9:$F$9,AF$9))</f>
        <v>1</v>
      </c>
      <c r="AG20" s="27">
        <f>IF($G20="s-curve",$E20+($F20-$E20)*$I$2/(1+EXP($I$3*(COUNT($I$9:AG$9)+$I$4))),TREND($E20:$F20,$E$9:$F$9,AG$9))</f>
        <v>1</v>
      </c>
      <c r="AH20" s="27">
        <f>IF($G20="s-curve",$E20+($F20-$E20)*$I$2/(1+EXP($I$3*(COUNT($I$9:AH$9)+$I$4))),TREND($E20:$F20,$E$9:$F$9,AH$9))</f>
        <v>1</v>
      </c>
      <c r="AI20" s="27">
        <f>IF($G20="s-curve",$E20+($F20-$E20)*$I$2/(1+EXP($I$3*(COUNT($I$9:AI$9)+$I$4))),TREND($E20:$F20,$E$9:$F$9,AI$9))</f>
        <v>1</v>
      </c>
      <c r="AJ20" s="27">
        <f>IF($G20="s-curve",$E20+($F20-$E20)*$I$2/(1+EXP($I$3*(COUNT($I$9:AJ$9)+$I$4))),TREND($E20:$F20,$E$9:$F$9,AJ$9))</f>
        <v>1</v>
      </c>
      <c r="AK20" s="27">
        <f>IF($G20="s-curve",$E20+($F20-$E20)*$I$2/(1+EXP($I$3*(COUNT($I$9:AK$9)+$I$4))),TREND($E20:$F20,$E$9:$F$9,AK$9))</f>
        <v>1</v>
      </c>
      <c r="AL20" s="27">
        <f>IF($G20="s-curve",$E20+($F20-$E20)*$I$2/(1+EXP($I$3*(COUNT($I$9:AL$9)+$I$4))),TREND($E20:$F20,$E$9:$F$9,AL$9))</f>
        <v>1</v>
      </c>
      <c r="AM20" s="27">
        <f>IF($G20="s-curve",$E20+($F20-$E20)*$I$2/(1+EXP($I$3*(COUNT($I$9:AM$9)+$I$4))),TREND($E20:$F20,$E$9:$F$9,AM$9))</f>
        <v>1</v>
      </c>
      <c r="AN20" s="27">
        <f>IF($G20="s-curve",$E20+($F20-$E20)*$I$2/(1+EXP($I$3*(COUNT($I$9:AN$9)+$I$4))),TREND($E20:$F20,$E$9:$F$9,AN$9))</f>
        <v>1</v>
      </c>
      <c r="AO20" s="27">
        <f>IF($G20="s-curve",$E20+($F20-$E20)*$I$2/(1+EXP($I$3*(COUNT($I$9:AO$9)+$I$4))),TREND($E20:$F20,$E$9:$F$9,AO$9))</f>
        <v>1</v>
      </c>
      <c r="AP20" s="27">
        <f>IF($G20="s-curve",$E20+($F20-$E20)*$I$2/(1+EXP($I$3*(COUNT($I$9:AP$9)+$I$4))),TREND($E20:$F20,$E$9:$F$9,AP$9))</f>
        <v>1</v>
      </c>
      <c r="AQ20" s="27">
        <f>IF($G20="s-curve",$E20+($F20-$E20)*$I$2/(1+EXP($I$3*(COUNT($I$9:AQ$9)+$I$4))),TREND($E20:$F20,$E$9:$F$9,AQ$9))</f>
        <v>1</v>
      </c>
      <c r="AR20" s="27">
        <f>IF($G20="s-curve",$E20+($F20-$E20)*$I$2/(1+EXP($I$3*(COUNT($I$9:AR$9)+$I$4))),TREND($E20:$F20,$E$9:$F$9,AR$9))</f>
        <v>1</v>
      </c>
      <c r="AS20" s="27">
        <f>IF($G20="s-curve",$E20+($F20-$E20)*$I$2/(1+EXP($I$3*(COUNT($I$9:AS$9)+$I$4))),TREND($E20:$F20,$E$9:$F$9,AS$9))</f>
        <v>1</v>
      </c>
      <c r="AT20" s="27">
        <f>IF($G20="s-curve",$E20+($F20-$E20)*$I$2/(1+EXP($I$3*(COUNT($I$9:AT$9)+$I$4))),TREND($E20:$F20,$E$9:$F$9,AT$9))</f>
        <v>1</v>
      </c>
      <c r="AU20" s="27">
        <f>IF($G20="s-curve",$E20+($F20-$E20)*$I$2/(1+EXP($I$3*(COUNT($I$9:AU$9)+$I$4))),TREND($E20:$F20,$E$9:$F$9,AU$9))</f>
        <v>1</v>
      </c>
      <c r="AV20" s="27">
        <f>IF($G20="s-curve",$E20+($F20-$E20)*$I$2/(1+EXP($I$3*(COUNT($I$9:AV$9)+$I$4))),TREND($E20:$F20,$E$9:$F$9,AV$9))</f>
        <v>1</v>
      </c>
      <c r="AW20" s="27">
        <f>IF($G20="s-curve",$E20+($F20-$E20)*$I$2/(1+EXP($I$3*(COUNT($I$9:AW$9)+$I$4))),TREND($E20:$F20,$E$9:$F$9,AW$9))</f>
        <v>1</v>
      </c>
      <c r="AX20" s="27">
        <f>IF($G20="s-curve",$E20+($F20-$E20)*$I$2/(1+EXP($I$3*(COUNT($I$9:AX$9)+$I$4))),TREND($E20:$F20,$E$9:$F$9,AX$9))</f>
        <v>1</v>
      </c>
      <c r="AY20" s="27">
        <f>IF($G20="s-curve",$E20+($F20-$E20)*$I$2/(1+EXP($I$3*(COUNT($I$9:AY$9)+$I$4))),TREND($E20:$F20,$E$9:$F$9,AY$9))</f>
        <v>1</v>
      </c>
      <c r="AZ20" s="27">
        <f>IF($G20="s-curve",$E20+($F20-$E20)*$I$2/(1+EXP($I$3*(COUNT($I$9:AZ$9)+$I$4))),TREND($E20:$F20,$E$9:$F$9,AZ$9))</f>
        <v>1</v>
      </c>
      <c r="BA20" s="27">
        <f>IF($G20="s-curve",$E20+($F20-$E20)*$I$2/(1+EXP($I$3*(COUNT($I$9:BA$9)+$I$4))),TREND($E20:$F20,$E$9:$F$9,BA$9))</f>
        <v>1</v>
      </c>
      <c r="BB20" s="27">
        <f>IF($G20="s-curve",$E20+($F20-$E20)*$I$2/(1+EXP($I$3*(COUNT($I$9:BB$9)+$I$4))),TREND($E20:$F20,$E$9:$F$9,BB$9))</f>
        <v>1</v>
      </c>
      <c r="BC20" s="27">
        <f>IF($G20="s-curve",$E20+($F20-$E20)*$I$2/(1+EXP($I$3*(COUNT($I$9:BC$9)+$I$4))),TREND($E20:$F20,$E$9:$F$9,BC$9))</f>
        <v>1</v>
      </c>
      <c r="BD20" s="27">
        <f>IF($G20="s-curve",$E20+($F20-$E20)*$I$2/(1+EXP($I$3*(COUNT($I$9:BD$9)+$I$4))),TREND($E20:$F20,$E$9:$F$9,BD$9))</f>
        <v>1</v>
      </c>
      <c r="BE20" s="27">
        <f>IF($G20="s-curve",$E20+($F20-$E20)*$I$2/(1+EXP($I$3*(COUNT($I$9:BE$9)+$I$4))),TREND($E20:$F20,$E$9:$F$9,BE$9))</f>
        <v>1</v>
      </c>
      <c r="BF20" s="27">
        <f>IF($G20="s-curve",$E20+($F20-$E20)*$I$2/(1+EXP($I$3*(COUNT($I$9:BF$9)+$I$4))),TREND($E20:$F20,$E$9:$F$9,BF$9))</f>
        <v>1</v>
      </c>
    </row>
    <row r="21" spans="1:63" x14ac:dyDescent="0.75">
      <c r="C21" t="s">
        <v>5</v>
      </c>
      <c r="D21" s="26">
        <v>0</v>
      </c>
      <c r="E21" s="26">
        <v>6.7529269312300005E-4</v>
      </c>
      <c r="F21" s="26">
        <f>E21/E17*F17</f>
        <v>1.8235119831475121E-3</v>
      </c>
      <c r="G21" s="29" t="s">
        <v>61</v>
      </c>
      <c r="I21" s="27">
        <f t="shared" si="5"/>
        <v>0</v>
      </c>
      <c r="J21" s="27">
        <f t="shared" si="4"/>
        <v>1.6882317328075001E-4</v>
      </c>
      <c r="K21" s="27">
        <f t="shared" si="2"/>
        <v>3.3764634656150002E-4</v>
      </c>
      <c r="L21" s="27">
        <f t="shared" si="2"/>
        <v>5.0646951984225004E-4</v>
      </c>
      <c r="M21" s="27">
        <f t="shared" si="6"/>
        <v>6.7529269312300005E-4</v>
      </c>
      <c r="N21" s="27">
        <f>IF($G21="s-curve",$E21+($F21-$E21)*$AA$2/(1+EXP($AA$3*(COUNT($I$9:N$9)+$AA$4))),TREND($E21:$F21,$E$9:$F$9,N$9))</f>
        <v>7.7079318764067587E-4</v>
      </c>
      <c r="O21" s="27">
        <f>IF($G21="s-curve",$E21+($F21-$E21)*$AA$2/(1+EXP($AA$3*(COUNT($I$9:O$9)+$AA$4))),TREND($E21:$F21,$E$9:$F$9,O$9))</f>
        <v>8.0055976770015784E-4</v>
      </c>
      <c r="P21" s="27">
        <f>IF($G21="s-curve",$E21+($F21-$E21)*$AA$2/(1+EXP($AA$3*(COUNT($I$9:P$9)+$AA$4))),TREND($E21:$F21,$E$9:$F$9,P$9))</f>
        <v>8.3816882215225917E-4</v>
      </c>
      <c r="Q21" s="27">
        <f>IF($G21="s-curve",$E21+($F21-$E21)*$AA$2/(1+EXP($AA$3*(COUNT($I$9:Q$9)+$AA$4))),TREND($E21:$F21,$E$9:$F$9,Q$9))</f>
        <v>8.8475719855028419E-4</v>
      </c>
      <c r="R21" s="27">
        <f>IF($G21="s-curve",$E21+($F21-$E21)*$AA$2/(1+EXP($AA$3*(COUNT($I$9:R$9)+$AA$4))),TREND($E21:$F21,$E$9:$F$9,R$9))</f>
        <v>9.4107700187202816E-4</v>
      </c>
      <c r="S21" s="27">
        <f>IF($G21="s-curve",$E21+($F21-$E21)*$AA$2/(1+EXP($AA$3*(COUNT($I$9:S$9)+$AA$4))),TREND($E21:$F21,$E$9:$F$9,S$9))</f>
        <v>1.00718605000015E-3</v>
      </c>
      <c r="T21" s="27">
        <f>IF($G21="s-curve",$E21+($F21-$E21)*$AA$2/(1+EXP($AA$3*(COUNT($I$9:T$9)+$AA$4))),TREND($E21:$F21,$E$9:$F$9,T$9))</f>
        <v>1.0821569576130803E-3</v>
      </c>
      <c r="U21" s="27">
        <f>IF($G21="s-curve",$E21+($F21-$E21)*$AA$2/(1+EXP($AA$3*(COUNT($I$9:U$9)+$AA$4))),TREND($E21:$F21,$E$9:$F$9,U$9))</f>
        <v>1.1639260043341351E-3</v>
      </c>
      <c r="V21" s="27">
        <f>IF($G21="s-curve",$E21+($F21-$E21)*$AA$2/(1+EXP($AA$3*(COUNT($I$9:V$9)+$AA$4))),TREND($E21:$F21,$E$9:$F$9,V$9))</f>
        <v>1.2494023381352561E-3</v>
      </c>
      <c r="W21" s="27">
        <f>IF($G21="s-curve",$E21+($F21-$E21)*$AA$2/(1+EXP($AA$3*(COUNT($I$9:W$9)+$AA$4))),TREND($E21:$F21,$E$9:$F$9,W$9))</f>
        <v>1.334878671936377E-3</v>
      </c>
      <c r="X21" s="27">
        <f>IF($G21="s-curve",$E21+($F21-$E21)*$AA$2/(1+EXP($AA$3*(COUNT($I$9:X$9)+$AA$4))),TREND($E21:$F21,$E$9:$F$9,X$9))</f>
        <v>1.4166477186574318E-3</v>
      </c>
      <c r="Y21" s="27">
        <f>IF($G21="s-curve",$E21+($F21-$E21)*$AA$2/(1+EXP($AA$3*(COUNT($I$9:Y$9)+$AA$4))),TREND($E21:$F21,$E$9:$F$9,Y$9))</f>
        <v>1.4916186262703621E-3</v>
      </c>
      <c r="Z21" s="27">
        <f>IF($G21="s-curve",$E21+($F21-$E21)*$AA$2/(1+EXP($AA$3*(COUNT($I$9:Z$9)+$AA$4))),TREND($E21:$F21,$E$9:$F$9,Z$9))</f>
        <v>1.5577276743984837E-3</v>
      </c>
      <c r="AA21" s="27">
        <f>IF($G21="s-curve",$E21+($F21-$E21)*$AA$2/(1+EXP($AA$3*(COUNT($I$9:AA$9)+$AA$4))),TREND($E21:$F21,$E$9:$F$9,AA$9))</f>
        <v>1.6140474777202279E-3</v>
      </c>
      <c r="AB21" s="27">
        <f>IF($G21="s-curve",$E21+($F21-$E21)*$AA$2/(1+EXP($AA$3*(COUNT($I$9:AB$9)+$AA$4))),TREND($E21:$F21,$E$9:$F$9,AB$9))</f>
        <v>1.6606358541182531E-3</v>
      </c>
      <c r="AC21" s="27">
        <f>IF($G21="s-curve",$E21+($F21-$E21)*$AA$2/(1+EXP($AA$3*(COUNT($I$9:AC$9)+$AA$4))),TREND($E21:$F21,$E$9:$F$9,AC$9))</f>
        <v>1.6982449085703544E-3</v>
      </c>
      <c r="AD21" s="27">
        <f>IF($G21="s-curve",$E21+($F21-$E21)*$AA$2/(1+EXP($AA$3*(COUNT($I$9:AD$9)+$AA$4))),TREND($E21:$F21,$E$9:$F$9,AD$9))</f>
        <v>1.7280114886298362E-3</v>
      </c>
      <c r="AE21" s="27">
        <f>IF($G21="s-curve",$E21+($F21-$E21)*$AA$2/(1+EXP($AA$3*(COUNT($I$9:AE$9)+$AA$4))),TREND($E21:$F21,$E$9:$F$9,AE$9))</f>
        <v>1.7512047609652868E-3</v>
      </c>
      <c r="AF21" s="27">
        <f>IF($G21="s-curve",$E21+($F21-$E21)*$AA$2/(1+EXP($AA$3*(COUNT($I$9:AF$9)+$AA$4))),TREND($E21:$F21,$E$9:$F$9,AF$9))</f>
        <v>1.7690566807187739E-3</v>
      </c>
      <c r="AG21" s="27">
        <f>IF($G21="s-curve",$E21+($F21-$E21)*$AA$2/(1+EXP($AA$3*(COUNT($I$9:AG$9)+$AA$4))),TREND($E21:$F21,$E$9:$F$9,AG$9))</f>
        <v>1.7826684574555583E-3</v>
      </c>
      <c r="AH21" s="27">
        <f>IF($G21="s-curve",$E21+($F21-$E21)*$AA$2/(1+EXP($AA$3*(COUNT($I$9:AH$9)+$AA$4))),TREND($E21:$F21,$E$9:$F$9,AH$9))</f>
        <v>1.7929728020658967E-3</v>
      </c>
      <c r="AI21" s="27">
        <f>IF($G21="s-curve",$E21+($F21-$E21)*$AA$2/(1+EXP($AA$3*(COUNT($I$9:AI$9)+$AA$4))),TREND($E21:$F21,$E$9:$F$9,AI$9))</f>
        <v>1.8007309613836603E-3</v>
      </c>
      <c r="AJ21" s="27">
        <f>IF($G21="s-curve",$E21+($F21-$E21)*$AA$2/(1+EXP($AA$3*(COUNT($I$9:AJ$9)+$AA$4))),TREND($E21:$F21,$E$9:$F$9,AJ$9))</f>
        <v>1.8065481549658625E-3</v>
      </c>
      <c r="AK21" s="27">
        <f>IF($G21="s-curve",$E21+($F21-$E21)*$AA$2/(1+EXP($AA$3*(COUNT($I$9:AK$9)+$AA$4))),TREND($E21:$F21,$E$9:$F$9,AK$9))</f>
        <v>1.8108965636806724E-3</v>
      </c>
      <c r="AL21" s="27">
        <f>IF($G21="s-curve",$E21+($F21-$E21)*$AA$2/(1+EXP($AA$3*(COUNT($I$9:AL$9)+$AA$4))),TREND($E21:$F21,$E$9:$F$9,AL$9))</f>
        <v>1.8141395614932562E-3</v>
      </c>
      <c r="AM21" s="27">
        <f>IF($G21="s-curve",$E21+($F21-$E21)*$AA$2/(1+EXP($AA$3*(COUNT($I$9:AM$9)+$AA$4))),TREND($E21:$F21,$E$9:$F$9,AM$9))</f>
        <v>1.8165540021811558E-3</v>
      </c>
      <c r="AN21" s="27">
        <f>IF($G21="s-curve",$E21+($F21-$E21)*$AA$2/(1+EXP($AA$3*(COUNT($I$9:AN$9)+$AA$4))),TREND($E21:$F21,$E$9:$F$9,AN$9))</f>
        <v>1.8183492755709E-3</v>
      </c>
      <c r="AO21" s="27">
        <f>IF($G21="s-curve",$E21+($F21-$E21)*$AA$2/(1+EXP($AA$3*(COUNT($I$9:AO$9)+$AA$4))),TREND($E21:$F21,$E$9:$F$9,AO$9))</f>
        <v>1.8196828930686253E-3</v>
      </c>
      <c r="AP21" s="27">
        <f>IF($G21="s-curve",$E21+($F21-$E21)*$AA$2/(1+EXP($AA$3*(COUNT($I$9:AP$9)+$AA$4))),TREND($E21:$F21,$E$9:$F$9,AP$9))</f>
        <v>1.8206728695421028E-3</v>
      </c>
      <c r="AQ21" s="27">
        <f>IF($G21="s-curve",$E21+($F21-$E21)*$AA$2/(1+EXP($AA$3*(COUNT($I$9:AQ$9)+$AA$4))),TREND($E21:$F21,$E$9:$F$9,AQ$9))</f>
        <v>1.8214073672963046E-3</v>
      </c>
      <c r="AR21" s="27">
        <f>IF($G21="s-curve",$E21+($F21-$E21)*$AA$2/(1+EXP($AA$3*(COUNT($I$9:AR$9)+$AA$4))),TREND($E21:$F21,$E$9:$F$9,AR$9))</f>
        <v>1.8219521043345466E-3</v>
      </c>
      <c r="AS21" s="27">
        <f>IF($G21="s-curve",$E21+($F21-$E21)*$AA$2/(1+EXP($AA$3*(COUNT($I$9:AS$9)+$AA$4))),TREND($E21:$F21,$E$9:$F$9,AS$9))</f>
        <v>1.8223559894712559E-3</v>
      </c>
      <c r="AT21" s="27">
        <f>IF($G21="s-curve",$E21+($F21-$E21)*$AA$2/(1+EXP($AA$3*(COUNT($I$9:AT$9)+$AA$4))),TREND($E21:$F21,$E$9:$F$9,AT$9))</f>
        <v>1.8226553784495864E-3</v>
      </c>
      <c r="AU21" s="27">
        <f>IF($G21="s-curve",$E21+($F21-$E21)*$AA$2/(1+EXP($AA$3*(COUNT($I$9:AU$9)+$AA$4))),TREND($E21:$F21,$E$9:$F$9,AU$9))</f>
        <v>1.8228772720534829E-3</v>
      </c>
      <c r="AV21" s="27">
        <f>IF($G21="s-curve",$E21+($F21-$E21)*$AA$2/(1+EXP($AA$3*(COUNT($I$9:AV$9)+$AA$4))),TREND($E21:$F21,$E$9:$F$9,AV$9))</f>
        <v>1.8230417102281145E-3</v>
      </c>
      <c r="AW21" s="27">
        <f>IF($G21="s-curve",$E21+($F21-$E21)*$AA$2/(1+EXP($AA$3*(COUNT($I$9:AW$9)+$AA$4))),TREND($E21:$F21,$E$9:$F$9,AW$9))</f>
        <v>1.8231635594141322E-3</v>
      </c>
      <c r="AX21" s="27">
        <f>IF($G21="s-curve",$E21+($F21-$E21)*$AA$2/(1+EXP($AA$3*(COUNT($I$9:AX$9)+$AA$4))),TREND($E21:$F21,$E$9:$F$9,AX$9))</f>
        <v>1.8232538441952091E-3</v>
      </c>
      <c r="AY21" s="27">
        <f>IF($G21="s-curve",$E21+($F21-$E21)*$AA$2/(1+EXP($AA$3*(COUNT($I$9:AY$9)+$AA$4))),TREND($E21:$F21,$E$9:$F$9,AY$9))</f>
        <v>1.8233207379646256E-3</v>
      </c>
      <c r="AZ21" s="27">
        <f>IF($G21="s-curve",$E21+($F21-$E21)*$AA$2/(1+EXP($AA$3*(COUNT($I$9:AZ$9)+$AA$4))),TREND($E21:$F21,$E$9:$F$9,AZ$9))</f>
        <v>1.8233702991150801E-3</v>
      </c>
      <c r="BA21" s="27">
        <f>IF($G21="s-curve",$E21+($F21-$E21)*$AA$2/(1+EXP($AA$3*(COUNT($I$9:BA$9)+$AA$4))),TREND($E21:$F21,$E$9:$F$9,BA$9))</f>
        <v>1.8234070176777405E-3</v>
      </c>
      <c r="BB21" s="27">
        <f>IF($G21="s-curve",$E21+($F21-$E21)*$AA$2/(1+EXP($AA$3*(COUNT($I$9:BB$9)+$AA$4))),TREND($E21:$F21,$E$9:$F$9,BB$9))</f>
        <v>1.8234342209725184E-3</v>
      </c>
      <c r="BC21" s="27">
        <f>IF($G21="s-curve",$E21+($F21-$E21)*$AA$2/(1+EXP($AA$3*(COUNT($I$9:BC$9)+$AA$4))),TREND($E21:$F21,$E$9:$F$9,BC$9))</f>
        <v>1.8234543745001997E-3</v>
      </c>
      <c r="BD21" s="27">
        <f>IF($G21="s-curve",$E21+($F21-$E21)*$AA$2/(1+EXP($AA$3*(COUNT($I$9:BD$9)+$AA$4))),TREND($E21:$F21,$E$9:$F$9,BD$9))</f>
        <v>1.8234693050569407E-3</v>
      </c>
      <c r="BE21" s="27">
        <f>IF($G21="s-curve",$E21+($F21-$E21)*$AA$2/(1+EXP($AA$3*(COUNT($I$9:BE$9)+$AA$4))),TREND($E21:$F21,$E$9:$F$9,BE$9))</f>
        <v>1.82348036613581E-3</v>
      </c>
      <c r="BF21" s="27">
        <f>IF($G21="s-curve",$E21+($F21-$E21)*$AA$2/(1+EXP($AA$3*(COUNT($I$9:BF$9)+$AA$4))),TREND($E21:$F21,$E$9:$F$9,BF$9))</f>
        <v>1.8234885605219985E-3</v>
      </c>
    </row>
    <row r="22" spans="1:63" x14ac:dyDescent="0.75">
      <c r="C22" t="s">
        <v>31</v>
      </c>
      <c r="D22" s="26">
        <v>0</v>
      </c>
      <c r="E22" s="26">
        <v>0</v>
      </c>
      <c r="F22" s="26">
        <f>E22</f>
        <v>0</v>
      </c>
      <c r="G22" s="29" t="str">
        <f>IF(E22=F22,"n/a",IF(OR(C22="battery electric vehicle",C22="natural gas vehicle",C22="plugin hybrid vehicle",C22="hydrogen vehicle"),"s-curve","linear"))</f>
        <v>n/a</v>
      </c>
      <c r="I22" s="27">
        <f t="shared" si="5"/>
        <v>0</v>
      </c>
      <c r="J22" s="27">
        <f t="shared" si="4"/>
        <v>0</v>
      </c>
      <c r="K22" s="27">
        <f t="shared" si="2"/>
        <v>0</v>
      </c>
      <c r="L22" s="27">
        <f t="shared" si="2"/>
        <v>0</v>
      </c>
      <c r="M22" s="27">
        <f t="shared" si="6"/>
        <v>0</v>
      </c>
      <c r="N22" s="27">
        <f>IF($G22="s-curve",$E22+($F22-$E22)*$I$2/(1+EXP($I$3*(COUNT($I$9:N$9)+$I$4))),TREND($E22:$F22,$E$9:$F$9,N$9))</f>
        <v>0</v>
      </c>
      <c r="O22" s="27">
        <f>IF($G22="s-curve",$E22+($F22-$E22)*$I$2/(1+EXP($I$3*(COUNT($I$9:O$9)+$I$4))),TREND($E22:$F22,$E$9:$F$9,O$9))</f>
        <v>0</v>
      </c>
      <c r="P22" s="27">
        <f>IF($G22="s-curve",$E22+($F22-$E22)*$I$2/(1+EXP($I$3*(COUNT($I$9:P$9)+$I$4))),TREND($E22:$F22,$E$9:$F$9,P$9))</f>
        <v>0</v>
      </c>
      <c r="Q22" s="27">
        <f>IF($G22="s-curve",$E22+($F22-$E22)*$I$2/(1+EXP($I$3*(COUNT($I$9:Q$9)+$I$4))),TREND($E22:$F22,$E$9:$F$9,Q$9))</f>
        <v>0</v>
      </c>
      <c r="R22" s="27">
        <f>IF($G22="s-curve",$E22+($F22-$E22)*$I$2/(1+EXP($I$3*(COUNT($I$9:R$9)+$I$4))),TREND($E22:$F22,$E$9:$F$9,R$9))</f>
        <v>0</v>
      </c>
      <c r="S22" s="27">
        <f>IF($G22="s-curve",$E22+($F22-$E22)*$I$2/(1+EXP($I$3*(COUNT($I$9:S$9)+$I$4))),TREND($E22:$F22,$E$9:$F$9,S$9))</f>
        <v>0</v>
      </c>
      <c r="T22" s="27">
        <f>IF($G22="s-curve",$E22+($F22-$E22)*$I$2/(1+EXP($I$3*(COUNT($I$9:T$9)+$I$4))),TREND($E22:$F22,$E$9:$F$9,T$9))</f>
        <v>0</v>
      </c>
      <c r="U22" s="27">
        <f>IF($G22="s-curve",$E22+($F22-$E22)*$I$2/(1+EXP($I$3*(COUNT($I$9:U$9)+$I$4))),TREND($E22:$F22,$E$9:$F$9,U$9))</f>
        <v>0</v>
      </c>
      <c r="V22" s="27">
        <f>IF($G22="s-curve",$E22+($F22-$E22)*$I$2/(1+EXP($I$3*(COUNT($I$9:V$9)+$I$4))),TREND($E22:$F22,$E$9:$F$9,V$9))</f>
        <v>0</v>
      </c>
      <c r="W22" s="27">
        <f>IF($G22="s-curve",$E22+($F22-$E22)*$I$2/(1+EXP($I$3*(COUNT($I$9:W$9)+$I$4))),TREND($E22:$F22,$E$9:$F$9,W$9))</f>
        <v>0</v>
      </c>
      <c r="X22" s="27">
        <f>IF($G22="s-curve",$E22+($F22-$E22)*$I$2/(1+EXP($I$3*(COUNT($I$9:X$9)+$I$4))),TREND($E22:$F22,$E$9:$F$9,X$9))</f>
        <v>0</v>
      </c>
      <c r="Y22" s="27">
        <f>IF($G22="s-curve",$E22+($F22-$E22)*$I$2/(1+EXP($I$3*(COUNT($I$9:Y$9)+$I$4))),TREND($E22:$F22,$E$9:$F$9,Y$9))</f>
        <v>0</v>
      </c>
      <c r="Z22" s="27">
        <f>IF($G22="s-curve",$E22+($F22-$E22)*$I$2/(1+EXP($I$3*(COUNT($I$9:Z$9)+$I$4))),TREND($E22:$F22,$E$9:$F$9,Z$9))</f>
        <v>0</v>
      </c>
      <c r="AA22" s="27">
        <f>IF($G22="s-curve",$E22+($F22-$E22)*$I$2/(1+EXP($I$3*(COUNT($I$9:AA$9)+$I$4))),TREND($E22:$F22,$E$9:$F$9,AA$9))</f>
        <v>0</v>
      </c>
      <c r="AB22" s="27">
        <f>IF($G22="s-curve",$E22+($F22-$E22)*$I$2/(1+EXP($I$3*(COUNT($I$9:AB$9)+$I$4))),TREND($E22:$F22,$E$9:$F$9,AB$9))</f>
        <v>0</v>
      </c>
      <c r="AC22" s="27">
        <f>IF($G22="s-curve",$E22+($F22-$E22)*$I$2/(1+EXP($I$3*(COUNT($I$9:AC$9)+$I$4))),TREND($E22:$F22,$E$9:$F$9,AC$9))</f>
        <v>0</v>
      </c>
      <c r="AD22" s="27">
        <f>IF($G22="s-curve",$E22+($F22-$E22)*$I$2/(1+EXP($I$3*(COUNT($I$9:AD$9)+$I$4))),TREND($E22:$F22,$E$9:$F$9,AD$9))</f>
        <v>0</v>
      </c>
      <c r="AE22" s="27">
        <f>IF($G22="s-curve",$E22+($F22-$E22)*$I$2/(1+EXP($I$3*(COUNT($I$9:AE$9)+$I$4))),TREND($E22:$F22,$E$9:$F$9,AE$9))</f>
        <v>0</v>
      </c>
      <c r="AF22" s="27">
        <f>IF($G22="s-curve",$E22+($F22-$E22)*$I$2/(1+EXP($I$3*(COUNT($I$9:AF$9)+$I$4))),TREND($E22:$F22,$E$9:$F$9,AF$9))</f>
        <v>0</v>
      </c>
      <c r="AG22" s="27">
        <f>IF($G22="s-curve",$E22+($F22-$E22)*$I$2/(1+EXP($I$3*(COUNT($I$9:AG$9)+$I$4))),TREND($E22:$F22,$E$9:$F$9,AG$9))</f>
        <v>0</v>
      </c>
      <c r="AH22" s="27">
        <f>IF($G22="s-curve",$E22+($F22-$E22)*$I$2/(1+EXP($I$3*(COUNT($I$9:AH$9)+$I$4))),TREND($E22:$F22,$E$9:$F$9,AH$9))</f>
        <v>0</v>
      </c>
      <c r="AI22" s="27">
        <f>IF($G22="s-curve",$E22+($F22-$E22)*$I$2/(1+EXP($I$3*(COUNT($I$9:AI$9)+$I$4))),TREND($E22:$F22,$E$9:$F$9,AI$9))</f>
        <v>0</v>
      </c>
      <c r="AJ22" s="27">
        <f>IF($G22="s-curve",$E22+($F22-$E22)*$I$2/(1+EXP($I$3*(COUNT($I$9:AJ$9)+$I$4))),TREND($E22:$F22,$E$9:$F$9,AJ$9))</f>
        <v>0</v>
      </c>
      <c r="AK22" s="27">
        <f>IF($G22="s-curve",$E22+($F22-$E22)*$I$2/(1+EXP($I$3*(COUNT($I$9:AK$9)+$I$4))),TREND($E22:$F22,$E$9:$F$9,AK$9))</f>
        <v>0</v>
      </c>
      <c r="AL22" s="27">
        <f>IF($G22="s-curve",$E22+($F22-$E22)*$I$2/(1+EXP($I$3*(COUNT($I$9:AL$9)+$I$4))),TREND($E22:$F22,$E$9:$F$9,AL$9))</f>
        <v>0</v>
      </c>
      <c r="AM22" s="27">
        <f>IF($G22="s-curve",$E22+($F22-$E22)*$I$2/(1+EXP($I$3*(COUNT($I$9:AM$9)+$I$4))),TREND($E22:$F22,$E$9:$F$9,AM$9))</f>
        <v>0</v>
      </c>
      <c r="AN22" s="27">
        <f>IF($G22="s-curve",$E22+($F22-$E22)*$I$2/(1+EXP($I$3*(COUNT($I$9:AN$9)+$I$4))),TREND($E22:$F22,$E$9:$F$9,AN$9))</f>
        <v>0</v>
      </c>
      <c r="AO22" s="27">
        <f>IF($G22="s-curve",$E22+($F22-$E22)*$I$2/(1+EXP($I$3*(COUNT($I$9:AO$9)+$I$4))),TREND($E22:$F22,$E$9:$F$9,AO$9))</f>
        <v>0</v>
      </c>
      <c r="AP22" s="27">
        <f>IF($G22="s-curve",$E22+($F22-$E22)*$I$2/(1+EXP($I$3*(COUNT($I$9:AP$9)+$I$4))),TREND($E22:$F22,$E$9:$F$9,AP$9))</f>
        <v>0</v>
      </c>
      <c r="AQ22" s="27">
        <f>IF($G22="s-curve",$E22+($F22-$E22)*$I$2/(1+EXP($I$3*(COUNT($I$9:AQ$9)+$I$4))),TREND($E22:$F22,$E$9:$F$9,AQ$9))</f>
        <v>0</v>
      </c>
      <c r="AR22" s="27">
        <f>IF($G22="s-curve",$E22+($F22-$E22)*$I$2/(1+EXP($I$3*(COUNT($I$9:AR$9)+$I$4))),TREND($E22:$F22,$E$9:$F$9,AR$9))</f>
        <v>0</v>
      </c>
      <c r="AS22" s="27">
        <f>IF($G22="s-curve",$E22+($F22-$E22)*$I$2/(1+EXP($I$3*(COUNT($I$9:AS$9)+$I$4))),TREND($E22:$F22,$E$9:$F$9,AS$9))</f>
        <v>0</v>
      </c>
      <c r="AT22" s="27">
        <f>IF($G22="s-curve",$E22+($F22-$E22)*$I$2/(1+EXP($I$3*(COUNT($I$9:AT$9)+$I$4))),TREND($E22:$F22,$E$9:$F$9,AT$9))</f>
        <v>0</v>
      </c>
      <c r="AU22" s="27">
        <f>IF($G22="s-curve",$E22+($F22-$E22)*$I$2/(1+EXP($I$3*(COUNT($I$9:AU$9)+$I$4))),TREND($E22:$F22,$E$9:$F$9,AU$9))</f>
        <v>0</v>
      </c>
      <c r="AV22" s="27">
        <f>IF($G22="s-curve",$E22+($F22-$E22)*$I$2/(1+EXP($I$3*(COUNT($I$9:AV$9)+$I$4))),TREND($E22:$F22,$E$9:$F$9,AV$9))</f>
        <v>0</v>
      </c>
      <c r="AW22" s="27">
        <f>IF($G22="s-curve",$E22+($F22-$E22)*$I$2/(1+EXP($I$3*(COUNT($I$9:AW$9)+$I$4))),TREND($E22:$F22,$E$9:$F$9,AW$9))</f>
        <v>0</v>
      </c>
      <c r="AX22" s="27">
        <f>IF($G22="s-curve",$E22+($F22-$E22)*$I$2/(1+EXP($I$3*(COUNT($I$9:AX$9)+$I$4))),TREND($E22:$F22,$E$9:$F$9,AX$9))</f>
        <v>0</v>
      </c>
      <c r="AY22" s="27">
        <f>IF($G22="s-curve",$E22+($F22-$E22)*$I$2/(1+EXP($I$3*(COUNT($I$9:AY$9)+$I$4))),TREND($E22:$F22,$E$9:$F$9,AY$9))</f>
        <v>0</v>
      </c>
      <c r="AZ22" s="27">
        <f>IF($G22="s-curve",$E22+($F22-$E22)*$I$2/(1+EXP($I$3*(COUNT($I$9:AZ$9)+$I$4))),TREND($E22:$F22,$E$9:$F$9,AZ$9))</f>
        <v>0</v>
      </c>
      <c r="BA22" s="27">
        <f>IF($G22="s-curve",$E22+($F22-$E22)*$I$2/(1+EXP($I$3*(COUNT($I$9:BA$9)+$I$4))),TREND($E22:$F22,$E$9:$F$9,BA$9))</f>
        <v>0</v>
      </c>
      <c r="BB22" s="27">
        <f>IF($G22="s-curve",$E22+($F22-$E22)*$I$2/(1+EXP($I$3*(COUNT($I$9:BB$9)+$I$4))),TREND($E22:$F22,$E$9:$F$9,BB$9))</f>
        <v>0</v>
      </c>
      <c r="BC22" s="27">
        <f>IF($G22="s-curve",$E22+($F22-$E22)*$I$2/(1+EXP($I$3*(COUNT($I$9:BC$9)+$I$4))),TREND($E22:$F22,$E$9:$F$9,BC$9))</f>
        <v>0</v>
      </c>
      <c r="BD22" s="27">
        <f>IF($G22="s-curve",$E22+($F22-$E22)*$I$2/(1+EXP($I$3*(COUNT($I$9:BD$9)+$I$4))),TREND($E22:$F22,$E$9:$F$9,BD$9))</f>
        <v>0</v>
      </c>
      <c r="BE22" s="27">
        <f>IF($G22="s-curve",$E22+($F22-$E22)*$I$2/(1+EXP($I$3*(COUNT($I$9:BE$9)+$I$4))),TREND($E22:$F22,$E$9:$F$9,BE$9))</f>
        <v>0</v>
      </c>
      <c r="BF22" s="27">
        <f>IF($G22="s-curve",$E22+($F22-$E22)*$I$2/(1+EXP($I$3*(COUNT($I$9:BF$9)+$I$4))),TREND($E22:$F22,$E$9:$F$9,BF$9))</f>
        <v>0</v>
      </c>
    </row>
    <row r="23" spans="1:63" ht="15.5" thickBot="1" x14ac:dyDescent="0.9">
      <c r="A23" s="16"/>
      <c r="B23" s="16"/>
      <c r="C23" s="16" t="s">
        <v>32</v>
      </c>
      <c r="D23" s="31">
        <v>0</v>
      </c>
      <c r="E23" s="32">
        <v>0</v>
      </c>
      <c r="F23" s="31">
        <f>E23</f>
        <v>0</v>
      </c>
      <c r="G23" s="32" t="str">
        <f>IF(E23=F23,"n/a",IF(OR(C23="battery electric vehicle",C23="natural gas vehicle",C23="plugin hybrid vehicle",C23="hydrogen vehicle"),"s-curve","linear"))</f>
        <v>n/a</v>
      </c>
      <c r="I23" s="27">
        <f t="shared" si="5"/>
        <v>0</v>
      </c>
      <c r="J23" s="27">
        <f t="shared" si="4"/>
        <v>0</v>
      </c>
      <c r="K23" s="27">
        <f t="shared" si="2"/>
        <v>0</v>
      </c>
      <c r="L23" s="27">
        <f t="shared" si="2"/>
        <v>0</v>
      </c>
      <c r="M23" s="27">
        <f t="shared" si="6"/>
        <v>0</v>
      </c>
      <c r="N23" s="27">
        <f>IF($G23="s-curve",$E23+($F23-$E23)*$I$2/(1+EXP($I$3*(COUNT($I$9:N$9)+$I$4))),TREND($E23:$F23,$E$9:$F$9,N$9))</f>
        <v>0</v>
      </c>
      <c r="O23" s="27">
        <f>IF($G23="s-curve",$E23+($F23-$E23)*$I$2/(1+EXP($I$3*(COUNT($I$9:O$9)+$I$4))),TREND($E23:$F23,$E$9:$F$9,O$9))</f>
        <v>0</v>
      </c>
      <c r="P23" s="27">
        <f>IF($G23="s-curve",$E23+($F23-$E23)*$I$2/(1+EXP($I$3*(COUNT($I$9:P$9)+$I$4))),TREND($E23:$F23,$E$9:$F$9,P$9))</f>
        <v>0</v>
      </c>
      <c r="Q23" s="27">
        <f>IF($G23="s-curve",$E23+($F23-$E23)*$I$2/(1+EXP($I$3*(COUNT($I$9:Q$9)+$I$4))),TREND($E23:$F23,$E$9:$F$9,Q$9))</f>
        <v>0</v>
      </c>
      <c r="R23" s="27">
        <f>IF($G23="s-curve",$E23+($F23-$E23)*$I$2/(1+EXP($I$3*(COUNT($I$9:R$9)+$I$4))),TREND($E23:$F23,$E$9:$F$9,R$9))</f>
        <v>0</v>
      </c>
      <c r="S23" s="27">
        <f>IF($G23="s-curve",$E23+($F23-$E23)*$I$2/(1+EXP($I$3*(COUNT($I$9:S$9)+$I$4))),TREND($E23:$F23,$E$9:$F$9,S$9))</f>
        <v>0</v>
      </c>
      <c r="T23" s="27">
        <f>IF($G23="s-curve",$E23+($F23-$E23)*$I$2/(1+EXP($I$3*(COUNT($I$9:T$9)+$I$4))),TREND($E23:$F23,$E$9:$F$9,T$9))</f>
        <v>0</v>
      </c>
      <c r="U23" s="27">
        <f>IF($G23="s-curve",$E23+($F23-$E23)*$I$2/(1+EXP($I$3*(COUNT($I$9:U$9)+$I$4))),TREND($E23:$F23,$E$9:$F$9,U$9))</f>
        <v>0</v>
      </c>
      <c r="V23" s="27">
        <f>IF($G23="s-curve",$E23+($F23-$E23)*$I$2/(1+EXP($I$3*(COUNT($I$9:V$9)+$I$4))),TREND($E23:$F23,$E$9:$F$9,V$9))</f>
        <v>0</v>
      </c>
      <c r="W23" s="27">
        <f>IF($G23="s-curve",$E23+($F23-$E23)*$I$2/(1+EXP($I$3*(COUNT($I$9:W$9)+$I$4))),TREND($E23:$F23,$E$9:$F$9,W$9))</f>
        <v>0</v>
      </c>
      <c r="X23" s="27">
        <f>IF($G23="s-curve",$E23+($F23-$E23)*$I$2/(1+EXP($I$3*(COUNT($I$9:X$9)+$I$4))),TREND($E23:$F23,$E$9:$F$9,X$9))</f>
        <v>0</v>
      </c>
      <c r="Y23" s="27">
        <f>IF($G23="s-curve",$E23+($F23-$E23)*$I$2/(1+EXP($I$3*(COUNT($I$9:Y$9)+$I$4))),TREND($E23:$F23,$E$9:$F$9,Y$9))</f>
        <v>0</v>
      </c>
      <c r="Z23" s="27">
        <f>IF($G23="s-curve",$E23+($F23-$E23)*$I$2/(1+EXP($I$3*(COUNT($I$9:Z$9)+$I$4))),TREND($E23:$F23,$E$9:$F$9,Z$9))</f>
        <v>0</v>
      </c>
      <c r="AA23" s="27">
        <f>IF($G23="s-curve",$E23+($F23-$E23)*$I$2/(1+EXP($I$3*(COUNT($I$9:AA$9)+$I$4))),TREND($E23:$F23,$E$9:$F$9,AA$9))</f>
        <v>0</v>
      </c>
      <c r="AB23" s="27">
        <f>IF($G23="s-curve",$E23+($F23-$E23)*$I$2/(1+EXP($I$3*(COUNT($I$9:AB$9)+$I$4))),TREND($E23:$F23,$E$9:$F$9,AB$9))</f>
        <v>0</v>
      </c>
      <c r="AC23" s="27">
        <f>IF($G23="s-curve",$E23+($F23-$E23)*$I$2/(1+EXP($I$3*(COUNT($I$9:AC$9)+$I$4))),TREND($E23:$F23,$E$9:$F$9,AC$9))</f>
        <v>0</v>
      </c>
      <c r="AD23" s="27">
        <f>IF($G23="s-curve",$E23+($F23-$E23)*$I$2/(1+EXP($I$3*(COUNT($I$9:AD$9)+$I$4))),TREND($E23:$F23,$E$9:$F$9,AD$9))</f>
        <v>0</v>
      </c>
      <c r="AE23" s="27">
        <f>IF($G23="s-curve",$E23+($F23-$E23)*$I$2/(1+EXP($I$3*(COUNT($I$9:AE$9)+$I$4))),TREND($E23:$F23,$E$9:$F$9,AE$9))</f>
        <v>0</v>
      </c>
      <c r="AF23" s="27">
        <f>IF($G23="s-curve",$E23+($F23-$E23)*$I$2/(1+EXP($I$3*(COUNT($I$9:AF$9)+$I$4))),TREND($E23:$F23,$E$9:$F$9,AF$9))</f>
        <v>0</v>
      </c>
      <c r="AG23" s="27">
        <f>IF($G23="s-curve",$E23+($F23-$E23)*$I$2/(1+EXP($I$3*(COUNT($I$9:AG$9)+$I$4))),TREND($E23:$F23,$E$9:$F$9,AG$9))</f>
        <v>0</v>
      </c>
      <c r="AH23" s="27">
        <f>IF($G23="s-curve",$E23+($F23-$E23)*$I$2/(1+EXP($I$3*(COUNT($I$9:AH$9)+$I$4))),TREND($E23:$F23,$E$9:$F$9,AH$9))</f>
        <v>0</v>
      </c>
      <c r="AI23" s="27">
        <f>IF($G23="s-curve",$E23+($F23-$E23)*$I$2/(1+EXP($I$3*(COUNT($I$9:AI$9)+$I$4))),TREND($E23:$F23,$E$9:$F$9,AI$9))</f>
        <v>0</v>
      </c>
      <c r="AJ23" s="27">
        <f>IF($G23="s-curve",$E23+($F23-$E23)*$I$2/(1+EXP($I$3*(COUNT($I$9:AJ$9)+$I$4))),TREND($E23:$F23,$E$9:$F$9,AJ$9))</f>
        <v>0</v>
      </c>
      <c r="AK23" s="27">
        <f>IF($G23="s-curve",$E23+($F23-$E23)*$I$2/(1+EXP($I$3*(COUNT($I$9:AK$9)+$I$4))),TREND($E23:$F23,$E$9:$F$9,AK$9))</f>
        <v>0</v>
      </c>
      <c r="AL23" s="27">
        <f>IF($G23="s-curve",$E23+($F23-$E23)*$I$2/(1+EXP($I$3*(COUNT($I$9:AL$9)+$I$4))),TREND($E23:$F23,$E$9:$F$9,AL$9))</f>
        <v>0</v>
      </c>
      <c r="AM23" s="27">
        <f>IF($G23="s-curve",$E23+($F23-$E23)*$I$2/(1+EXP($I$3*(COUNT($I$9:AM$9)+$I$4))),TREND($E23:$F23,$E$9:$F$9,AM$9))</f>
        <v>0</v>
      </c>
      <c r="AN23" s="27">
        <f>IF($G23="s-curve",$E23+($F23-$E23)*$I$2/(1+EXP($I$3*(COUNT($I$9:AN$9)+$I$4))),TREND($E23:$F23,$E$9:$F$9,AN$9))</f>
        <v>0</v>
      </c>
      <c r="AO23" s="27">
        <f>IF($G23="s-curve",$E23+($F23-$E23)*$I$2/(1+EXP($I$3*(COUNT($I$9:AO$9)+$I$4))),TREND($E23:$F23,$E$9:$F$9,AO$9))</f>
        <v>0</v>
      </c>
      <c r="AP23" s="27">
        <f>IF($G23="s-curve",$E23+($F23-$E23)*$I$2/(1+EXP($I$3*(COUNT($I$9:AP$9)+$I$4))),TREND($E23:$F23,$E$9:$F$9,AP$9))</f>
        <v>0</v>
      </c>
      <c r="AQ23" s="27">
        <f>IF($G23="s-curve",$E23+($F23-$E23)*$I$2/(1+EXP($I$3*(COUNT($I$9:AQ$9)+$I$4))),TREND($E23:$F23,$E$9:$F$9,AQ$9))</f>
        <v>0</v>
      </c>
      <c r="AR23" s="27">
        <f>IF($G23="s-curve",$E23+($F23-$E23)*$I$2/(1+EXP($I$3*(COUNT($I$9:AR$9)+$I$4))),TREND($E23:$F23,$E$9:$F$9,AR$9))</f>
        <v>0</v>
      </c>
      <c r="AS23" s="27">
        <f>IF($G23="s-curve",$E23+($F23-$E23)*$I$2/(1+EXP($I$3*(COUNT($I$9:AS$9)+$I$4))),TREND($E23:$F23,$E$9:$F$9,AS$9))</f>
        <v>0</v>
      </c>
      <c r="AT23" s="27">
        <f>IF($G23="s-curve",$E23+($F23-$E23)*$I$2/(1+EXP($I$3*(COUNT($I$9:AT$9)+$I$4))),TREND($E23:$F23,$E$9:$F$9,AT$9))</f>
        <v>0</v>
      </c>
      <c r="AU23" s="27">
        <f>IF($G23="s-curve",$E23+($F23-$E23)*$I$2/(1+EXP($I$3*(COUNT($I$9:AU$9)+$I$4))),TREND($E23:$F23,$E$9:$F$9,AU$9))</f>
        <v>0</v>
      </c>
      <c r="AV23" s="27">
        <f>IF($G23="s-curve",$E23+($F23-$E23)*$I$2/(1+EXP($I$3*(COUNT($I$9:AV$9)+$I$4))),TREND($E23:$F23,$E$9:$F$9,AV$9))</f>
        <v>0</v>
      </c>
      <c r="AW23" s="27">
        <f>IF($G23="s-curve",$E23+($F23-$E23)*$I$2/(1+EXP($I$3*(COUNT($I$9:AW$9)+$I$4))),TREND($E23:$F23,$E$9:$F$9,AW$9))</f>
        <v>0</v>
      </c>
      <c r="AX23" s="27">
        <f>IF($G23="s-curve",$E23+($F23-$E23)*$I$2/(1+EXP($I$3*(COUNT($I$9:AX$9)+$I$4))),TREND($E23:$F23,$E$9:$F$9,AX$9))</f>
        <v>0</v>
      </c>
      <c r="AY23" s="27">
        <f>IF($G23="s-curve",$E23+($F23-$E23)*$I$2/(1+EXP($I$3*(COUNT($I$9:AY$9)+$I$4))),TREND($E23:$F23,$E$9:$F$9,AY$9))</f>
        <v>0</v>
      </c>
      <c r="AZ23" s="27">
        <f>IF($G23="s-curve",$E23+($F23-$E23)*$I$2/(1+EXP($I$3*(COUNT($I$9:AZ$9)+$I$4))),TREND($E23:$F23,$E$9:$F$9,AZ$9))</f>
        <v>0</v>
      </c>
      <c r="BA23" s="27">
        <f>IF($G23="s-curve",$E23+($F23-$E23)*$I$2/(1+EXP($I$3*(COUNT($I$9:BA$9)+$I$4))),TREND($E23:$F23,$E$9:$F$9,BA$9))</f>
        <v>0</v>
      </c>
      <c r="BB23" s="27">
        <f>IF($G23="s-curve",$E23+($F23-$E23)*$I$2/(1+EXP($I$3*(COUNT($I$9:BB$9)+$I$4))),TREND($E23:$F23,$E$9:$F$9,BB$9))</f>
        <v>0</v>
      </c>
      <c r="BC23" s="27">
        <f>IF($G23="s-curve",$E23+($F23-$E23)*$I$2/(1+EXP($I$3*(COUNT($I$9:BC$9)+$I$4))),TREND($E23:$F23,$E$9:$F$9,BC$9))</f>
        <v>0</v>
      </c>
      <c r="BD23" s="27">
        <f>IF($G23="s-curve",$E23+($F23-$E23)*$I$2/(1+EXP($I$3*(COUNT($I$9:BD$9)+$I$4))),TREND($E23:$F23,$E$9:$F$9,BD$9))</f>
        <v>0</v>
      </c>
      <c r="BE23" s="27">
        <f>IF($G23="s-curve",$E23+($F23-$E23)*$I$2/(1+EXP($I$3*(COUNT($I$9:BE$9)+$I$4))),TREND($E23:$F23,$E$9:$F$9,BE$9))</f>
        <v>0</v>
      </c>
      <c r="BF23" s="27">
        <f>IF($G23="s-curve",$E23+($F23-$E23)*$I$2/(1+EXP($I$3*(COUNT($I$9:BF$9)+$I$4))),TREND($E23:$F23,$E$9:$F$9,BF$9))</f>
        <v>0</v>
      </c>
    </row>
    <row r="24" spans="1:63" x14ac:dyDescent="0.75">
      <c r="A24" t="s">
        <v>13</v>
      </c>
      <c r="B24" t="s">
        <v>19</v>
      </c>
      <c r="C24" t="s">
        <v>1</v>
      </c>
      <c r="D24" s="26">
        <v>3.0938506857799999E-2</v>
      </c>
      <c r="E24" s="26">
        <v>3.0392777097300001E-2</v>
      </c>
      <c r="F24" s="26">
        <v>0.75</v>
      </c>
      <c r="G24" s="29" t="str">
        <f>IF(E24=F24,"n/a",IF(OR(C24="battery electric vehicle",C24="natural gas vehicle",C24="plugin hybrid vehicle"),"s-curve","linear"))</f>
        <v>s-curve</v>
      </c>
      <c r="I24" s="27">
        <f>D24</f>
        <v>3.0938506857799999E-2</v>
      </c>
      <c r="J24" s="27">
        <f t="shared" si="4"/>
        <v>3.0802074417674997E-2</v>
      </c>
      <c r="K24" s="27">
        <f t="shared" si="2"/>
        <v>3.066564197755E-2</v>
      </c>
      <c r="L24" s="27">
        <f t="shared" si="2"/>
        <v>3.0529209537425002E-2</v>
      </c>
      <c r="M24" s="27">
        <f>E24</f>
        <v>3.0392777097300001E-2</v>
      </c>
      <c r="N24" s="27">
        <f>IF($G24="s-curve",$E24+($F24-$E24)*$AA$2/(1+EXP($AA$3*(COUNT($I$9:N$9)+$AA$4))),TREND($E24:$F24,$E$9:$F$9,N$9))</f>
        <v>9.0244450242620608E-2</v>
      </c>
      <c r="O24" s="27">
        <f>IF($G24="s-curve",$E24+($F24-$E24)*$AA$2/(1+EXP($AA$3*(COUNT($I$9:O$9)+$AA$4))),TREND($E24:$F24,$E$9:$F$9,O$9))</f>
        <v>0.10889963762538743</v>
      </c>
      <c r="P24" s="27">
        <f>IF($G24="s-curve",$E24+($F24-$E24)*$AA$2/(1+EXP($AA$3*(COUNT($I$9:P$9)+$AA$4))),TREND($E24:$F24,$E$9:$F$9,P$9))</f>
        <v>0.13246982797613069</v>
      </c>
      <c r="Q24" s="27">
        <f>IF($G24="s-curve",$E24+($F24-$E24)*$AA$2/(1+EXP($AA$3*(COUNT($I$9:Q$9)+$AA$4))),TREND($E24:$F24,$E$9:$F$9,Q$9))</f>
        <v>0.16166750167016247</v>
      </c>
      <c r="R24" s="27">
        <f>IF($G24="s-curve",$E24+($F24-$E24)*$AA$2/(1+EXP($AA$3*(COUNT($I$9:R$9)+$AA$4))),TREND($E24:$F24,$E$9:$F$9,R$9))</f>
        <v>0.19696401481437317</v>
      </c>
      <c r="S24" s="27">
        <f>IF($G24="s-curve",$E24+($F24-$E24)*$AA$2/(1+EXP($AA$3*(COUNT($I$9:S$9)+$AA$4))),TREND($E24:$F24,$E$9:$F$9,S$9))</f>
        <v>0.23839560279196509</v>
      </c>
      <c r="T24" s="27">
        <f>IF($G24="s-curve",$E24+($F24-$E24)*$AA$2/(1+EXP($AA$3*(COUNT($I$9:T$9)+$AA$4))),TREND($E24:$F24,$E$9:$F$9,T$9))</f>
        <v>0.28538105852724005</v>
      </c>
      <c r="U24" s="27">
        <f>IF($G24="s-curve",$E24+($F24-$E24)*$AA$2/(1+EXP($AA$3*(COUNT($I$9:U$9)+$AA$4))),TREND($E24:$F24,$E$9:$F$9,U$9))</f>
        <v>0.33662701575992449</v>
      </c>
      <c r="V24" s="27">
        <f>IF($G24="s-curve",$E24+($F24-$E24)*$AA$2/(1+EXP($AA$3*(COUNT($I$9:V$9)+$AA$4))),TREND($E24:$F24,$E$9:$F$9,V$9))</f>
        <v>0.39019638854864996</v>
      </c>
      <c r="W24" s="27">
        <f>IF($G24="s-curve",$E24+($F24-$E24)*$AA$2/(1+EXP($AA$3*(COUNT($I$9:W$9)+$AA$4))),TREND($E24:$F24,$E$9:$F$9,W$9))</f>
        <v>0.44376576133737544</v>
      </c>
      <c r="X24" s="27">
        <f>IF($G24="s-curve",$E24+($F24-$E24)*$AA$2/(1+EXP($AA$3*(COUNT($I$9:X$9)+$AA$4))),TREND($E24:$F24,$E$9:$F$9,X$9))</f>
        <v>0.49501171857005988</v>
      </c>
      <c r="Y24" s="27">
        <f>IF($G24="s-curve",$E24+($F24-$E24)*$AA$2/(1+EXP($AA$3*(COUNT($I$9:Y$9)+$AA$4))),TREND($E24:$F24,$E$9:$F$9,Y$9))</f>
        <v>0.54199717430533489</v>
      </c>
      <c r="Z24" s="27">
        <f>IF($G24="s-curve",$E24+($F24-$E24)*$AA$2/(1+EXP($AA$3*(COUNT($I$9:Z$9)+$AA$4))),TREND($E24:$F24,$E$9:$F$9,Z$9))</f>
        <v>0.58342876228292684</v>
      </c>
      <c r="AA24" s="27">
        <f>IF($G24="s-curve",$E24+($F24-$E24)*$AA$2/(1+EXP($AA$3*(COUNT($I$9:AA$9)+$AA$4))),TREND($E24:$F24,$E$9:$F$9,AA$9))</f>
        <v>0.61872527542713751</v>
      </c>
      <c r="AB24" s="27">
        <f>IF($G24="s-curve",$E24+($F24-$E24)*$AA$2/(1+EXP($AA$3*(COUNT($I$9:AB$9)+$AA$4))),TREND($E24:$F24,$E$9:$F$9,AB$9))</f>
        <v>0.64792294912116932</v>
      </c>
      <c r="AC24" s="27">
        <f>IF($G24="s-curve",$E24+($F24-$E24)*$AA$2/(1+EXP($AA$3*(COUNT($I$9:AC$9)+$AA$4))),TREND($E24:$F24,$E$9:$F$9,AC$9))</f>
        <v>0.67149313947191258</v>
      </c>
      <c r="AD24" s="27">
        <f>IF($G24="s-curve",$E24+($F24-$E24)*$AA$2/(1+EXP($AA$3*(COUNT($I$9:AD$9)+$AA$4))),TREND($E24:$F24,$E$9:$F$9,AD$9))</f>
        <v>0.69014832685467942</v>
      </c>
      <c r="AE24" s="27">
        <f>IF($G24="s-curve",$E24+($F24-$E24)*$AA$2/(1+EXP($AA$3*(COUNT($I$9:AE$9)+$AA$4))),TREND($E24:$F24,$E$9:$F$9,AE$9))</f>
        <v>0.70468391813096187</v>
      </c>
      <c r="AF24" s="27">
        <f>IF($G24="s-curve",$E24+($F24-$E24)*$AA$2/(1+EXP($AA$3*(COUNT($I$9:AF$9)+$AA$4))),TREND($E24:$F24,$E$9:$F$9,AF$9))</f>
        <v>0.7158719991089556</v>
      </c>
      <c r="AG24" s="27">
        <f>IF($G24="s-curve",$E24+($F24-$E24)*$AA$2/(1+EXP($AA$3*(COUNT($I$9:AG$9)+$AA$4))),TREND($E24:$F24,$E$9:$F$9,AG$9))</f>
        <v>0.72440271527217204</v>
      </c>
      <c r="AH24" s="27">
        <f>IF($G24="s-curve",$E24+($F24-$E24)*$AA$2/(1+EXP($AA$3*(COUNT($I$9:AH$9)+$AA$4))),TREND($E24:$F24,$E$9:$F$9,AH$9))</f>
        <v>0.73086061131459057</v>
      </c>
      <c r="AI24" s="27">
        <f>IF($G24="s-curve",$E24+($F24-$E24)*$AA$2/(1+EXP($AA$3*(COUNT($I$9:AI$9)+$AA$4))),TREND($E24:$F24,$E$9:$F$9,AI$9))</f>
        <v>0.73572277268915998</v>
      </c>
      <c r="AJ24" s="27">
        <f>IF($G24="s-curve",$E24+($F24-$E24)*$AA$2/(1+EXP($AA$3*(COUNT($I$9:AJ$9)+$AA$4))),TREND($E24:$F24,$E$9:$F$9,AJ$9))</f>
        <v>0.73936850008212729</v>
      </c>
      <c r="AK24" s="27">
        <f>IF($G24="s-curve",$E24+($F24-$E24)*$AA$2/(1+EXP($AA$3*(COUNT($I$9:AK$9)+$AA$4))),TREND($E24:$F24,$E$9:$F$9,AK$9))</f>
        <v>0.74209371672540758</v>
      </c>
      <c r="AL24" s="27">
        <f>IF($G24="s-curve",$E24+($F24-$E24)*$AA$2/(1+EXP($AA$3*(COUNT($I$9:AL$9)+$AA$4))),TREND($E24:$F24,$E$9:$F$9,AL$9))</f>
        <v>0.74412615484072897</v>
      </c>
      <c r="AM24" s="27">
        <f>IF($G24="s-curve",$E24+($F24-$E24)*$AA$2/(1+EXP($AA$3*(COUNT($I$9:AM$9)+$AA$4))),TREND($E24:$F24,$E$9:$F$9,AM$9))</f>
        <v>0.74563932307729941</v>
      </c>
      <c r="AN24" s="27">
        <f>IF($G24="s-curve",$E24+($F24-$E24)*$AA$2/(1+EXP($AA$3*(COUNT($I$9:AN$9)+$AA$4))),TREND($E24:$F24,$E$9:$F$9,AN$9))</f>
        <v>0.74676444935724318</v>
      </c>
      <c r="AO24" s="27">
        <f>IF($G24="s-curve",$E24+($F24-$E24)*$AA$2/(1+EXP($AA$3*(COUNT($I$9:AO$9)+$AA$4))),TREND($E24:$F24,$E$9:$F$9,AO$9))</f>
        <v>0.74760024857459673</v>
      </c>
      <c r="AP24" s="27">
        <f>IF($G24="s-curve",$E24+($F24-$E24)*$AA$2/(1+EXP($AA$3*(COUNT($I$9:AP$9)+$AA$4))),TREND($E24:$F24,$E$9:$F$9,AP$9))</f>
        <v>0.74822068251696916</v>
      </c>
      <c r="AQ24" s="27">
        <f>IF($G24="s-curve",$E24+($F24-$E24)*$AA$2/(1+EXP($AA$3*(COUNT($I$9:AQ$9)+$AA$4))),TREND($E24:$F24,$E$9:$F$9,AQ$9))</f>
        <v>0.74868100389784253</v>
      </c>
      <c r="AR24" s="27">
        <f>IF($G24="s-curve",$E24+($F24-$E24)*$AA$2/(1+EXP($AA$3*(COUNT($I$9:AR$9)+$AA$4))),TREND($E24:$F24,$E$9:$F$9,AR$9))</f>
        <v>0.74902239923121394</v>
      </c>
      <c r="AS24" s="27">
        <f>IF($G24="s-curve",$E24+($F24-$E24)*$AA$2/(1+EXP($AA$3*(COUNT($I$9:AS$9)+$AA$4))),TREND($E24:$F24,$E$9:$F$9,AS$9))</f>
        <v>0.74927552044605872</v>
      </c>
      <c r="AT24" s="27">
        <f>IF($G24="s-curve",$E24+($F24-$E24)*$AA$2/(1+EXP($AA$3*(COUNT($I$9:AT$9)+$AA$4))),TREND($E24:$F24,$E$9:$F$9,AT$9))</f>
        <v>0.74946315226267746</v>
      </c>
      <c r="AU24" s="27">
        <f>IF($G24="s-curve",$E24+($F24-$E24)*$AA$2/(1+EXP($AA$3*(COUNT($I$9:AU$9)+$AA$4))),TREND($E24:$F24,$E$9:$F$9,AU$9))</f>
        <v>0.74960221650020353</v>
      </c>
      <c r="AV24" s="27">
        <f>IF($G24="s-curve",$E24+($F24-$E24)*$AA$2/(1+EXP($AA$3*(COUNT($I$9:AV$9)+$AA$4))),TREND($E24:$F24,$E$9:$F$9,AV$9))</f>
        <v>0.74970527250981223</v>
      </c>
      <c r="AW24" s="27">
        <f>IF($G24="s-curve",$E24+($F24-$E24)*$AA$2/(1+EXP($AA$3*(COUNT($I$9:AW$9)+$AA$4))),TREND($E24:$F24,$E$9:$F$9,AW$9))</f>
        <v>0.74978163732542291</v>
      </c>
      <c r="AX24" s="27">
        <f>IF($G24="s-curve",$E24+($F24-$E24)*$AA$2/(1+EXP($AA$3*(COUNT($I$9:AX$9)+$AA$4))),TREND($E24:$F24,$E$9:$F$9,AX$9))</f>
        <v>0.74983822022831037</v>
      </c>
      <c r="AY24" s="27">
        <f>IF($G24="s-curve",$E24+($F24-$E24)*$AA$2/(1+EXP($AA$3*(COUNT($I$9:AY$9)+$AA$4))),TREND($E24:$F24,$E$9:$F$9,AY$9))</f>
        <v>0.7498801436135536</v>
      </c>
      <c r="AZ24" s="27">
        <f>IF($G24="s-curve",$E24+($F24-$E24)*$AA$2/(1+EXP($AA$3*(COUNT($I$9:AZ$9)+$AA$4))),TREND($E24:$F24,$E$9:$F$9,AZ$9))</f>
        <v>0.74991120437185321</v>
      </c>
      <c r="BA24" s="27">
        <f>IF($G24="s-curve",$E24+($F24-$E24)*$AA$2/(1+EXP($AA$3*(COUNT($I$9:BA$9)+$AA$4))),TREND($E24:$F24,$E$9:$F$9,BA$9))</f>
        <v>0.74993421647688796</v>
      </c>
      <c r="BB24" s="27">
        <f>IF($G24="s-curve",$E24+($F24-$E24)*$AA$2/(1+EXP($AA$3*(COUNT($I$9:BB$9)+$AA$4))),TREND($E24:$F24,$E$9:$F$9,BB$9))</f>
        <v>0.74995126521276878</v>
      </c>
      <c r="BC24" s="27">
        <f>IF($G24="s-curve",$E24+($F24-$E24)*$AA$2/(1+EXP($AA$3*(COUNT($I$9:BC$9)+$AA$4))),TREND($E24:$F24,$E$9:$F$9,BC$9))</f>
        <v>0.74996389574790479</v>
      </c>
      <c r="BD24" s="27">
        <f>IF($G24="s-curve",$E24+($F24-$E24)*$AA$2/(1+EXP($AA$3*(COUNT($I$9:BD$9)+$AA$4))),TREND($E24:$F24,$E$9:$F$9,BD$9))</f>
        <v>0.74997325296439321</v>
      </c>
      <c r="BE24" s="27">
        <f>IF($G24="s-curve",$E24+($F24-$E24)*$AA$2/(1+EXP($AA$3*(COUNT($I$9:BE$9)+$AA$4))),TREND($E24:$F24,$E$9:$F$9,BE$9))</f>
        <v>0.7499801851177863</v>
      </c>
      <c r="BF24" s="27">
        <f>IF($G24="s-curve",$E24+($F24-$E24)*$AA$2/(1+EXP($AA$3*(COUNT($I$9:BF$9)+$AA$4))),TREND($E24:$F24,$E$9:$F$9,BF$9))</f>
        <v>0.74998532066945278</v>
      </c>
    </row>
    <row r="25" spans="1:63" x14ac:dyDescent="0.75">
      <c r="C25" t="s">
        <v>2</v>
      </c>
      <c r="D25" s="26">
        <v>0</v>
      </c>
      <c r="E25" s="26">
        <v>0</v>
      </c>
      <c r="F25" s="26">
        <f>E25</f>
        <v>0</v>
      </c>
      <c r="G25" s="29" t="str">
        <f>IF(E25=F25,"n/a",IF(OR(C25="battery electric vehicle",C25="natural gas vehicle",C25="plugin hybrid vehicle"),"s-curve","linear"))</f>
        <v>n/a</v>
      </c>
      <c r="I25" s="27">
        <f t="shared" ref="I25:I30" si="7">D25</f>
        <v>0</v>
      </c>
      <c r="J25" s="27">
        <f t="shared" si="4"/>
        <v>0</v>
      </c>
      <c r="K25" s="27">
        <f t="shared" si="2"/>
        <v>0</v>
      </c>
      <c r="L25" s="27">
        <f t="shared" si="2"/>
        <v>0</v>
      </c>
      <c r="M25" s="27">
        <f t="shared" ref="M25:M30" si="8">E25</f>
        <v>0</v>
      </c>
      <c r="N25" s="27">
        <f>IF($G25="s-curve",$E25+($F25-$E25)*$I$2/(1+EXP($I$3*(COUNT($I$9:N$9)+$I$4))),TREND($E25:$F25,$E$9:$F$9,N$9))</f>
        <v>0</v>
      </c>
      <c r="O25" s="27">
        <f>IF($G25="s-curve",$E25+($F25-$E25)*$I$2/(1+EXP($I$3*(COUNT($I$9:O$9)+$I$4))),TREND($E25:$F25,$E$9:$F$9,O$9))</f>
        <v>0</v>
      </c>
      <c r="P25" s="27">
        <f>IF($G25="s-curve",$E25+($F25-$E25)*$I$2/(1+EXP($I$3*(COUNT($I$9:P$9)+$I$4))),TREND($E25:$F25,$E$9:$F$9,P$9))</f>
        <v>0</v>
      </c>
      <c r="Q25" s="27">
        <f>IF($G25="s-curve",$E25+($F25-$E25)*$I$2/(1+EXP($I$3*(COUNT($I$9:Q$9)+$I$4))),TREND($E25:$F25,$E$9:$F$9,Q$9))</f>
        <v>0</v>
      </c>
      <c r="R25" s="27">
        <f>IF($G25="s-curve",$E25+($F25-$E25)*$I$2/(1+EXP($I$3*(COUNT($I$9:R$9)+$I$4))),TREND($E25:$F25,$E$9:$F$9,R$9))</f>
        <v>0</v>
      </c>
      <c r="S25" s="27">
        <f>IF($G25="s-curve",$E25+($F25-$E25)*$I$2/(1+EXP($I$3*(COUNT($I$9:S$9)+$I$4))),TREND($E25:$F25,$E$9:$F$9,S$9))</f>
        <v>0</v>
      </c>
      <c r="T25" s="27">
        <f>IF($G25="s-curve",$E25+($F25-$E25)*$I$2/(1+EXP($I$3*(COUNT($I$9:T$9)+$I$4))),TREND($E25:$F25,$E$9:$F$9,T$9))</f>
        <v>0</v>
      </c>
      <c r="U25" s="27">
        <f>IF($G25="s-curve",$E25+($F25-$E25)*$I$2/(1+EXP($I$3*(COUNT($I$9:U$9)+$I$4))),TREND($E25:$F25,$E$9:$F$9,U$9))</f>
        <v>0</v>
      </c>
      <c r="V25" s="27">
        <f>IF($G25="s-curve",$E25+($F25-$E25)*$I$2/(1+EXP($I$3*(COUNT($I$9:V$9)+$I$4))),TREND($E25:$F25,$E$9:$F$9,V$9))</f>
        <v>0</v>
      </c>
      <c r="W25" s="27">
        <f>IF($G25="s-curve",$E25+($F25-$E25)*$I$2/(1+EXP($I$3*(COUNT($I$9:W$9)+$I$4))),TREND($E25:$F25,$E$9:$F$9,W$9))</f>
        <v>0</v>
      </c>
      <c r="X25" s="27">
        <f>IF($G25="s-curve",$E25+($F25-$E25)*$I$2/(1+EXP($I$3*(COUNT($I$9:X$9)+$I$4))),TREND($E25:$F25,$E$9:$F$9,X$9))</f>
        <v>0</v>
      </c>
      <c r="Y25" s="27">
        <f>IF($G25="s-curve",$E25+($F25-$E25)*$I$2/(1+EXP($I$3*(COUNT($I$9:Y$9)+$I$4))),TREND($E25:$F25,$E$9:$F$9,Y$9))</f>
        <v>0</v>
      </c>
      <c r="Z25" s="27">
        <f>IF($G25="s-curve",$E25+($F25-$E25)*$I$2/(1+EXP($I$3*(COUNT($I$9:Z$9)+$I$4))),TREND($E25:$F25,$E$9:$F$9,Z$9))</f>
        <v>0</v>
      </c>
      <c r="AA25" s="27">
        <f>IF($G25="s-curve",$E25+($F25-$E25)*$I$2/(1+EXP($I$3*(COUNT($I$9:AA$9)+$I$4))),TREND($E25:$F25,$E$9:$F$9,AA$9))</f>
        <v>0</v>
      </c>
      <c r="AB25" s="27">
        <f>IF($G25="s-curve",$E25+($F25-$E25)*$I$2/(1+EXP($I$3*(COUNT($I$9:AB$9)+$I$4))),TREND($E25:$F25,$E$9:$F$9,AB$9))</f>
        <v>0</v>
      </c>
      <c r="AC25" s="27">
        <f>IF($G25="s-curve",$E25+($F25-$E25)*$I$2/(1+EXP($I$3*(COUNT($I$9:AC$9)+$I$4))),TREND($E25:$F25,$E$9:$F$9,AC$9))</f>
        <v>0</v>
      </c>
      <c r="AD25" s="27">
        <f>IF($G25="s-curve",$E25+($F25-$E25)*$I$2/(1+EXP($I$3*(COUNT($I$9:AD$9)+$I$4))),TREND($E25:$F25,$E$9:$F$9,AD$9))</f>
        <v>0</v>
      </c>
      <c r="AE25" s="27">
        <f>IF($G25="s-curve",$E25+($F25-$E25)*$I$2/(1+EXP($I$3*(COUNT($I$9:AE$9)+$I$4))),TREND($E25:$F25,$E$9:$F$9,AE$9))</f>
        <v>0</v>
      </c>
      <c r="AF25" s="27">
        <f>IF($G25="s-curve",$E25+($F25-$E25)*$I$2/(1+EXP($I$3*(COUNT($I$9:AF$9)+$I$4))),TREND($E25:$F25,$E$9:$F$9,AF$9))</f>
        <v>0</v>
      </c>
      <c r="AG25" s="27">
        <f>IF($G25="s-curve",$E25+($F25-$E25)*$I$2/(1+EXP($I$3*(COUNT($I$9:AG$9)+$I$4))),TREND($E25:$F25,$E$9:$F$9,AG$9))</f>
        <v>0</v>
      </c>
      <c r="AH25" s="27">
        <f>IF($G25="s-curve",$E25+($F25-$E25)*$I$2/(1+EXP($I$3*(COUNT($I$9:AH$9)+$I$4))),TREND($E25:$F25,$E$9:$F$9,AH$9))</f>
        <v>0</v>
      </c>
      <c r="AI25" s="27">
        <f>IF($G25="s-curve",$E25+($F25-$E25)*$I$2/(1+EXP($I$3*(COUNT($I$9:AI$9)+$I$4))),TREND($E25:$F25,$E$9:$F$9,AI$9))</f>
        <v>0</v>
      </c>
      <c r="AJ25" s="27">
        <f>IF($G25="s-curve",$E25+($F25-$E25)*$I$2/(1+EXP($I$3*(COUNT($I$9:AJ$9)+$I$4))),TREND($E25:$F25,$E$9:$F$9,AJ$9))</f>
        <v>0</v>
      </c>
      <c r="AK25" s="27">
        <f>IF($G25="s-curve",$E25+($F25-$E25)*$I$2/(1+EXP($I$3*(COUNT($I$9:AK$9)+$I$4))),TREND($E25:$F25,$E$9:$F$9,AK$9))</f>
        <v>0</v>
      </c>
      <c r="AL25" s="27">
        <f>IF($G25="s-curve",$E25+($F25-$E25)*$I$2/(1+EXP($I$3*(COUNT($I$9:AL$9)+$I$4))),TREND($E25:$F25,$E$9:$F$9,AL$9))</f>
        <v>0</v>
      </c>
      <c r="AM25" s="27">
        <f>IF($G25="s-curve",$E25+($F25-$E25)*$I$2/(1+EXP($I$3*(COUNT($I$9:AM$9)+$I$4))),TREND($E25:$F25,$E$9:$F$9,AM$9))</f>
        <v>0</v>
      </c>
      <c r="AN25" s="27">
        <f>IF($G25="s-curve",$E25+($F25-$E25)*$I$2/(1+EXP($I$3*(COUNT($I$9:AN$9)+$I$4))),TREND($E25:$F25,$E$9:$F$9,AN$9))</f>
        <v>0</v>
      </c>
      <c r="AO25" s="27">
        <f>IF($G25="s-curve",$E25+($F25-$E25)*$I$2/(1+EXP($I$3*(COUNT($I$9:AO$9)+$I$4))),TREND($E25:$F25,$E$9:$F$9,AO$9))</f>
        <v>0</v>
      </c>
      <c r="AP25" s="27">
        <f>IF($G25="s-curve",$E25+($F25-$E25)*$I$2/(1+EXP($I$3*(COUNT($I$9:AP$9)+$I$4))),TREND($E25:$F25,$E$9:$F$9,AP$9))</f>
        <v>0</v>
      </c>
      <c r="AQ25" s="27">
        <f>IF($G25="s-curve",$E25+($F25-$E25)*$I$2/(1+EXP($I$3*(COUNT($I$9:AQ$9)+$I$4))),TREND($E25:$F25,$E$9:$F$9,AQ$9))</f>
        <v>0</v>
      </c>
      <c r="AR25" s="27">
        <f>IF($G25="s-curve",$E25+($F25-$E25)*$I$2/(1+EXP($I$3*(COUNT($I$9:AR$9)+$I$4))),TREND($E25:$F25,$E$9:$F$9,AR$9))</f>
        <v>0</v>
      </c>
      <c r="AS25" s="27">
        <f>IF($G25="s-curve",$E25+($F25-$E25)*$I$2/(1+EXP($I$3*(COUNT($I$9:AS$9)+$I$4))),TREND($E25:$F25,$E$9:$F$9,AS$9))</f>
        <v>0</v>
      </c>
      <c r="AT25" s="27">
        <f>IF($G25="s-curve",$E25+($F25-$E25)*$I$2/(1+EXP($I$3*(COUNT($I$9:AT$9)+$I$4))),TREND($E25:$F25,$E$9:$F$9,AT$9))</f>
        <v>0</v>
      </c>
      <c r="AU25" s="27">
        <f>IF($G25="s-curve",$E25+($F25-$E25)*$I$2/(1+EXP($I$3*(COUNT($I$9:AU$9)+$I$4))),TREND($E25:$F25,$E$9:$F$9,AU$9))</f>
        <v>0</v>
      </c>
      <c r="AV25" s="27">
        <f>IF($G25="s-curve",$E25+($F25-$E25)*$I$2/(1+EXP($I$3*(COUNT($I$9:AV$9)+$I$4))),TREND($E25:$F25,$E$9:$F$9,AV$9))</f>
        <v>0</v>
      </c>
      <c r="AW25" s="27">
        <f>IF($G25="s-curve",$E25+($F25-$E25)*$I$2/(1+EXP($I$3*(COUNT($I$9:AW$9)+$I$4))),TREND($E25:$F25,$E$9:$F$9,AW$9))</f>
        <v>0</v>
      </c>
      <c r="AX25" s="27">
        <f>IF($G25="s-curve",$E25+($F25-$E25)*$I$2/(1+EXP($I$3*(COUNT($I$9:AX$9)+$I$4))),TREND($E25:$F25,$E$9:$F$9,AX$9))</f>
        <v>0</v>
      </c>
      <c r="AY25" s="27">
        <f>IF($G25="s-curve",$E25+($F25-$E25)*$I$2/(1+EXP($I$3*(COUNT($I$9:AY$9)+$I$4))),TREND($E25:$F25,$E$9:$F$9,AY$9))</f>
        <v>0</v>
      </c>
      <c r="AZ25" s="27">
        <f>IF($G25="s-curve",$E25+($F25-$E25)*$I$2/(1+EXP($I$3*(COUNT($I$9:AZ$9)+$I$4))),TREND($E25:$F25,$E$9:$F$9,AZ$9))</f>
        <v>0</v>
      </c>
      <c r="BA25" s="27">
        <f>IF($G25="s-curve",$E25+($F25-$E25)*$I$2/(1+EXP($I$3*(COUNT($I$9:BA$9)+$I$4))),TREND($E25:$F25,$E$9:$F$9,BA$9))</f>
        <v>0</v>
      </c>
      <c r="BB25" s="27">
        <f>IF($G25="s-curve",$E25+($F25-$E25)*$I$2/(1+EXP($I$3*(COUNT($I$9:BB$9)+$I$4))),TREND($E25:$F25,$E$9:$F$9,BB$9))</f>
        <v>0</v>
      </c>
      <c r="BC25" s="27">
        <f>IF($G25="s-curve",$E25+($F25-$E25)*$I$2/(1+EXP($I$3*(COUNT($I$9:BC$9)+$I$4))),TREND($E25:$F25,$E$9:$F$9,BC$9))</f>
        <v>0</v>
      </c>
      <c r="BD25" s="27">
        <f>IF($G25="s-curve",$E25+($F25-$E25)*$I$2/(1+EXP($I$3*(COUNT($I$9:BD$9)+$I$4))),TREND($E25:$F25,$E$9:$F$9,BD$9))</f>
        <v>0</v>
      </c>
      <c r="BE25" s="27">
        <f>IF($G25="s-curve",$E25+($F25-$E25)*$I$2/(1+EXP($I$3*(COUNT($I$9:BE$9)+$I$4))),TREND($E25:$F25,$E$9:$F$9,BE$9))</f>
        <v>0</v>
      </c>
      <c r="BF25" s="27">
        <f>IF($G25="s-curve",$E25+($F25-$E25)*$I$2/(1+EXP($I$3*(COUNT($I$9:BF$9)+$I$4))),TREND($E25:$F25,$E$9:$F$9,BF$9))</f>
        <v>0</v>
      </c>
    </row>
    <row r="26" spans="1:63" x14ac:dyDescent="0.75">
      <c r="C26" t="s">
        <v>3</v>
      </c>
      <c r="D26" s="26">
        <v>0</v>
      </c>
      <c r="E26" s="26">
        <v>0</v>
      </c>
      <c r="F26" s="26">
        <f>E26</f>
        <v>0</v>
      </c>
      <c r="G26" s="29" t="str">
        <f>IF(E26=F26,"n/a",IF(OR(C26="battery electric vehicle",C26="natural gas vehicle",C26="plugin hybrid vehicle"),"s-curve","linear"))</f>
        <v>n/a</v>
      </c>
      <c r="I26" s="27">
        <f t="shared" si="7"/>
        <v>0</v>
      </c>
      <c r="J26" s="27">
        <f t="shared" si="4"/>
        <v>0</v>
      </c>
      <c r="K26" s="27">
        <f t="shared" si="4"/>
        <v>0</v>
      </c>
      <c r="L26" s="27">
        <f t="shared" si="4"/>
        <v>0</v>
      </c>
      <c r="M26" s="27">
        <f t="shared" si="8"/>
        <v>0</v>
      </c>
      <c r="N26" s="27">
        <f>IF($G26="s-curve",$E26+($F26-$E26)*$I$2/(1+EXP($I$3*(COUNT($I$9:N$9)+$I$4))),TREND($E26:$F26,$E$9:$F$9,N$9))</f>
        <v>0</v>
      </c>
      <c r="O26" s="27">
        <f>IF($G26="s-curve",$E26+($F26-$E26)*$I$2/(1+EXP($I$3*(COUNT($I$9:O$9)+$I$4))),TREND($E26:$F26,$E$9:$F$9,O$9))</f>
        <v>0</v>
      </c>
      <c r="P26" s="27">
        <f>IF($G26="s-curve",$E26+($F26-$E26)*$I$2/(1+EXP($I$3*(COUNT($I$9:P$9)+$I$4))),TREND($E26:$F26,$E$9:$F$9,P$9))</f>
        <v>0</v>
      </c>
      <c r="Q26" s="27">
        <f>IF($G26="s-curve",$E26+($F26-$E26)*$I$2/(1+EXP($I$3*(COUNT($I$9:Q$9)+$I$4))),TREND($E26:$F26,$E$9:$F$9,Q$9))</f>
        <v>0</v>
      </c>
      <c r="R26" s="27">
        <f>IF($G26="s-curve",$E26+($F26-$E26)*$I$2/(1+EXP($I$3*(COUNT($I$9:R$9)+$I$4))),TREND($E26:$F26,$E$9:$F$9,R$9))</f>
        <v>0</v>
      </c>
      <c r="S26" s="27">
        <f>IF($G26="s-curve",$E26+($F26-$E26)*$I$2/(1+EXP($I$3*(COUNT($I$9:S$9)+$I$4))),TREND($E26:$F26,$E$9:$F$9,S$9))</f>
        <v>0</v>
      </c>
      <c r="T26" s="27">
        <f>IF($G26="s-curve",$E26+($F26-$E26)*$I$2/(1+EXP($I$3*(COUNT($I$9:T$9)+$I$4))),TREND($E26:$F26,$E$9:$F$9,T$9))</f>
        <v>0</v>
      </c>
      <c r="U26" s="27">
        <f>IF($G26="s-curve",$E26+($F26-$E26)*$I$2/(1+EXP($I$3*(COUNT($I$9:U$9)+$I$4))),TREND($E26:$F26,$E$9:$F$9,U$9))</f>
        <v>0</v>
      </c>
      <c r="V26" s="27">
        <f>IF($G26="s-curve",$E26+($F26-$E26)*$I$2/(1+EXP($I$3*(COUNT($I$9:V$9)+$I$4))),TREND($E26:$F26,$E$9:$F$9,V$9))</f>
        <v>0</v>
      </c>
      <c r="W26" s="27">
        <f>IF($G26="s-curve",$E26+($F26-$E26)*$I$2/(1+EXP($I$3*(COUNT($I$9:W$9)+$I$4))),TREND($E26:$F26,$E$9:$F$9,W$9))</f>
        <v>0</v>
      </c>
      <c r="X26" s="27">
        <f>IF($G26="s-curve",$E26+($F26-$E26)*$I$2/(1+EXP($I$3*(COUNT($I$9:X$9)+$I$4))),TREND($E26:$F26,$E$9:$F$9,X$9))</f>
        <v>0</v>
      </c>
      <c r="Y26" s="27">
        <f>IF($G26="s-curve",$E26+($F26-$E26)*$I$2/(1+EXP($I$3*(COUNT($I$9:Y$9)+$I$4))),TREND($E26:$F26,$E$9:$F$9,Y$9))</f>
        <v>0</v>
      </c>
      <c r="Z26" s="27">
        <f>IF($G26="s-curve",$E26+($F26-$E26)*$I$2/(1+EXP($I$3*(COUNT($I$9:Z$9)+$I$4))),TREND($E26:$F26,$E$9:$F$9,Z$9))</f>
        <v>0</v>
      </c>
      <c r="AA26" s="27">
        <f>IF($G26="s-curve",$E26+($F26-$E26)*$I$2/(1+EXP($I$3*(COUNT($I$9:AA$9)+$I$4))),TREND($E26:$F26,$E$9:$F$9,AA$9))</f>
        <v>0</v>
      </c>
      <c r="AB26" s="27">
        <f>IF($G26="s-curve",$E26+($F26-$E26)*$I$2/(1+EXP($I$3*(COUNT($I$9:AB$9)+$I$4))),TREND($E26:$F26,$E$9:$F$9,AB$9))</f>
        <v>0</v>
      </c>
      <c r="AC26" s="27">
        <f>IF($G26="s-curve",$E26+($F26-$E26)*$I$2/(1+EXP($I$3*(COUNT($I$9:AC$9)+$I$4))),TREND($E26:$F26,$E$9:$F$9,AC$9))</f>
        <v>0</v>
      </c>
      <c r="AD26" s="27">
        <f>IF($G26="s-curve",$E26+($F26-$E26)*$I$2/(1+EXP($I$3*(COUNT($I$9:AD$9)+$I$4))),TREND($E26:$F26,$E$9:$F$9,AD$9))</f>
        <v>0</v>
      </c>
      <c r="AE26" s="27">
        <f>IF($G26="s-curve",$E26+($F26-$E26)*$I$2/(1+EXP($I$3*(COUNT($I$9:AE$9)+$I$4))),TREND($E26:$F26,$E$9:$F$9,AE$9))</f>
        <v>0</v>
      </c>
      <c r="AF26" s="27">
        <f>IF($G26="s-curve",$E26+($F26-$E26)*$I$2/(1+EXP($I$3*(COUNT($I$9:AF$9)+$I$4))),TREND($E26:$F26,$E$9:$F$9,AF$9))</f>
        <v>0</v>
      </c>
      <c r="AG26" s="27">
        <f>IF($G26="s-curve",$E26+($F26-$E26)*$I$2/(1+EXP($I$3*(COUNT($I$9:AG$9)+$I$4))),TREND($E26:$F26,$E$9:$F$9,AG$9))</f>
        <v>0</v>
      </c>
      <c r="AH26" s="27">
        <f>IF($G26="s-curve",$E26+($F26-$E26)*$I$2/(1+EXP($I$3*(COUNT($I$9:AH$9)+$I$4))),TREND($E26:$F26,$E$9:$F$9,AH$9))</f>
        <v>0</v>
      </c>
      <c r="AI26" s="27">
        <f>IF($G26="s-curve",$E26+($F26-$E26)*$I$2/(1+EXP($I$3*(COUNT($I$9:AI$9)+$I$4))),TREND($E26:$F26,$E$9:$F$9,AI$9))</f>
        <v>0</v>
      </c>
      <c r="AJ26" s="27">
        <f>IF($G26="s-curve",$E26+($F26-$E26)*$I$2/(1+EXP($I$3*(COUNT($I$9:AJ$9)+$I$4))),TREND($E26:$F26,$E$9:$F$9,AJ$9))</f>
        <v>0</v>
      </c>
      <c r="AK26" s="27">
        <f>IF($G26="s-curve",$E26+($F26-$E26)*$I$2/(1+EXP($I$3*(COUNT($I$9:AK$9)+$I$4))),TREND($E26:$F26,$E$9:$F$9,AK$9))</f>
        <v>0</v>
      </c>
      <c r="AL26" s="27">
        <f>IF($G26="s-curve",$E26+($F26-$E26)*$I$2/(1+EXP($I$3*(COUNT($I$9:AL$9)+$I$4))),TREND($E26:$F26,$E$9:$F$9,AL$9))</f>
        <v>0</v>
      </c>
      <c r="AM26" s="27">
        <f>IF($G26="s-curve",$E26+($F26-$E26)*$I$2/(1+EXP($I$3*(COUNT($I$9:AM$9)+$I$4))),TREND($E26:$F26,$E$9:$F$9,AM$9))</f>
        <v>0</v>
      </c>
      <c r="AN26" s="27">
        <f>IF($G26="s-curve",$E26+($F26-$E26)*$I$2/(1+EXP($I$3*(COUNT($I$9:AN$9)+$I$4))),TREND($E26:$F26,$E$9:$F$9,AN$9))</f>
        <v>0</v>
      </c>
      <c r="AO26" s="27">
        <f>IF($G26="s-curve",$E26+($F26-$E26)*$I$2/(1+EXP($I$3*(COUNT($I$9:AO$9)+$I$4))),TREND($E26:$F26,$E$9:$F$9,AO$9))</f>
        <v>0</v>
      </c>
      <c r="AP26" s="27">
        <f>IF($G26="s-curve",$E26+($F26-$E26)*$I$2/(1+EXP($I$3*(COUNT($I$9:AP$9)+$I$4))),TREND($E26:$F26,$E$9:$F$9,AP$9))</f>
        <v>0</v>
      </c>
      <c r="AQ26" s="27">
        <f>IF($G26="s-curve",$E26+($F26-$E26)*$I$2/(1+EXP($I$3*(COUNT($I$9:AQ$9)+$I$4))),TREND($E26:$F26,$E$9:$F$9,AQ$9))</f>
        <v>0</v>
      </c>
      <c r="AR26" s="27">
        <f>IF($G26="s-curve",$E26+($F26-$E26)*$I$2/(1+EXP($I$3*(COUNT($I$9:AR$9)+$I$4))),TREND($E26:$F26,$E$9:$F$9,AR$9))</f>
        <v>0</v>
      </c>
      <c r="AS26" s="27">
        <f>IF($G26="s-curve",$E26+($F26-$E26)*$I$2/(1+EXP($I$3*(COUNT($I$9:AS$9)+$I$4))),TREND($E26:$F26,$E$9:$F$9,AS$9))</f>
        <v>0</v>
      </c>
      <c r="AT26" s="27">
        <f>IF($G26="s-curve",$E26+($F26-$E26)*$I$2/(1+EXP($I$3*(COUNT($I$9:AT$9)+$I$4))),TREND($E26:$F26,$E$9:$F$9,AT$9))</f>
        <v>0</v>
      </c>
      <c r="AU26" s="27">
        <f>IF($G26="s-curve",$E26+($F26-$E26)*$I$2/(1+EXP($I$3*(COUNT($I$9:AU$9)+$I$4))),TREND($E26:$F26,$E$9:$F$9,AU$9))</f>
        <v>0</v>
      </c>
      <c r="AV26" s="27">
        <f>IF($G26="s-curve",$E26+($F26-$E26)*$I$2/(1+EXP($I$3*(COUNT($I$9:AV$9)+$I$4))),TREND($E26:$F26,$E$9:$F$9,AV$9))</f>
        <v>0</v>
      </c>
      <c r="AW26" s="27">
        <f>IF($G26="s-curve",$E26+($F26-$E26)*$I$2/(1+EXP($I$3*(COUNT($I$9:AW$9)+$I$4))),TREND($E26:$F26,$E$9:$F$9,AW$9))</f>
        <v>0</v>
      </c>
      <c r="AX26" s="27">
        <f>IF($G26="s-curve",$E26+($F26-$E26)*$I$2/(1+EXP($I$3*(COUNT($I$9:AX$9)+$I$4))),TREND($E26:$F26,$E$9:$F$9,AX$9))</f>
        <v>0</v>
      </c>
      <c r="AY26" s="27">
        <f>IF($G26="s-curve",$E26+($F26-$E26)*$I$2/(1+EXP($I$3*(COUNT($I$9:AY$9)+$I$4))),TREND($E26:$F26,$E$9:$F$9,AY$9))</f>
        <v>0</v>
      </c>
      <c r="AZ26" s="27">
        <f>IF($G26="s-curve",$E26+($F26-$E26)*$I$2/(1+EXP($I$3*(COUNT($I$9:AZ$9)+$I$4))),TREND($E26:$F26,$E$9:$F$9,AZ$9))</f>
        <v>0</v>
      </c>
      <c r="BA26" s="27">
        <f>IF($G26="s-curve",$E26+($F26-$E26)*$I$2/(1+EXP($I$3*(COUNT($I$9:BA$9)+$I$4))),TREND($E26:$F26,$E$9:$F$9,BA$9))</f>
        <v>0</v>
      </c>
      <c r="BB26" s="27">
        <f>IF($G26="s-curve",$E26+($F26-$E26)*$I$2/(1+EXP($I$3*(COUNT($I$9:BB$9)+$I$4))),TREND($E26:$F26,$E$9:$F$9,BB$9))</f>
        <v>0</v>
      </c>
      <c r="BC26" s="27">
        <f>IF($G26="s-curve",$E26+($F26-$E26)*$I$2/(1+EXP($I$3*(COUNT($I$9:BC$9)+$I$4))),TREND($E26:$F26,$E$9:$F$9,BC$9))</f>
        <v>0</v>
      </c>
      <c r="BD26" s="27">
        <f>IF($G26="s-curve",$E26+($F26-$E26)*$I$2/(1+EXP($I$3*(COUNT($I$9:BD$9)+$I$4))),TREND($E26:$F26,$E$9:$F$9,BD$9))</f>
        <v>0</v>
      </c>
      <c r="BE26" s="27">
        <f>IF($G26="s-curve",$E26+($F26-$E26)*$I$2/(1+EXP($I$3*(COUNT($I$9:BE$9)+$I$4))),TREND($E26:$F26,$E$9:$F$9,BE$9))</f>
        <v>0</v>
      </c>
      <c r="BF26" s="27">
        <f>IF($G26="s-curve",$E26+($F26-$E26)*$I$2/(1+EXP($I$3*(COUNT($I$9:BF$9)+$I$4))),TREND($E26:$F26,$E$9:$F$9,BF$9))</f>
        <v>0</v>
      </c>
    </row>
    <row r="27" spans="1:63" x14ac:dyDescent="0.75">
      <c r="C27" t="s">
        <v>4</v>
      </c>
      <c r="D27" s="26">
        <v>1</v>
      </c>
      <c r="E27" s="26">
        <v>1</v>
      </c>
      <c r="F27" s="26">
        <v>1</v>
      </c>
      <c r="G27" s="29" t="str">
        <f>IF(E27=F27,"n/a",IF(OR(C27="battery electric vehicle",C27="natural gas vehicle",C27="plugin hybrid vehicle"),"s-curve","linear"))</f>
        <v>n/a</v>
      </c>
      <c r="I27" s="27">
        <f t="shared" si="7"/>
        <v>1</v>
      </c>
      <c r="J27" s="27">
        <f t="shared" si="4"/>
        <v>1</v>
      </c>
      <c r="K27" s="27">
        <f t="shared" si="4"/>
        <v>1</v>
      </c>
      <c r="L27" s="27">
        <f t="shared" si="4"/>
        <v>1</v>
      </c>
      <c r="M27" s="27">
        <f t="shared" si="8"/>
        <v>1</v>
      </c>
      <c r="N27" s="27">
        <f>IF($G27="s-curve",$E27+($F27-$E27)*$I$2/(1+EXP($I$3*(COUNT($I$9:N$9)+$I$4))),TREND($E27:$F27,$E$9:$F$9,N$9))</f>
        <v>1</v>
      </c>
      <c r="O27" s="27">
        <f>IF($G27="s-curve",$E27+($F27-$E27)*$I$2/(1+EXP($I$3*(COUNT($I$9:O$9)+$I$4))),TREND($E27:$F27,$E$9:$F$9,O$9))</f>
        <v>1</v>
      </c>
      <c r="P27" s="27">
        <f>IF($G27="s-curve",$E27+($F27-$E27)*$I$2/(1+EXP($I$3*(COUNT($I$9:P$9)+$I$4))),TREND($E27:$F27,$E$9:$F$9,P$9))</f>
        <v>1</v>
      </c>
      <c r="Q27" s="27">
        <f>IF($G27="s-curve",$E27+($F27-$E27)*$I$2/(1+EXP($I$3*(COUNT($I$9:Q$9)+$I$4))),TREND($E27:$F27,$E$9:$F$9,Q$9))</f>
        <v>1</v>
      </c>
      <c r="R27" s="27">
        <f>IF($G27="s-curve",$E27+($F27-$E27)*$I$2/(1+EXP($I$3*(COUNT($I$9:R$9)+$I$4))),TREND($E27:$F27,$E$9:$F$9,R$9))</f>
        <v>1</v>
      </c>
      <c r="S27" s="27">
        <f>IF($G27="s-curve",$E27+($F27-$E27)*$I$2/(1+EXP($I$3*(COUNT($I$9:S$9)+$I$4))),TREND($E27:$F27,$E$9:$F$9,S$9))</f>
        <v>1</v>
      </c>
      <c r="T27" s="27">
        <f>IF($G27="s-curve",$E27+($F27-$E27)*$I$2/(1+EXP($I$3*(COUNT($I$9:T$9)+$I$4))),TREND($E27:$F27,$E$9:$F$9,T$9))</f>
        <v>1</v>
      </c>
      <c r="U27" s="27">
        <f>IF($G27="s-curve",$E27+($F27-$E27)*$I$2/(1+EXP($I$3*(COUNT($I$9:U$9)+$I$4))),TREND($E27:$F27,$E$9:$F$9,U$9))</f>
        <v>1</v>
      </c>
      <c r="V27" s="27">
        <f>IF($G27="s-curve",$E27+($F27-$E27)*$I$2/(1+EXP($I$3*(COUNT($I$9:V$9)+$I$4))),TREND($E27:$F27,$E$9:$F$9,V$9))</f>
        <v>1</v>
      </c>
      <c r="W27" s="27">
        <f>IF($G27="s-curve",$E27+($F27-$E27)*$I$2/(1+EXP($I$3*(COUNT($I$9:W$9)+$I$4))),TREND($E27:$F27,$E$9:$F$9,W$9))</f>
        <v>1</v>
      </c>
      <c r="X27" s="27">
        <f>IF($G27="s-curve",$E27+($F27-$E27)*$I$2/(1+EXP($I$3*(COUNT($I$9:X$9)+$I$4))),TREND($E27:$F27,$E$9:$F$9,X$9))</f>
        <v>1</v>
      </c>
      <c r="Y27" s="27">
        <f>IF($G27="s-curve",$E27+($F27-$E27)*$I$2/(1+EXP($I$3*(COUNT($I$9:Y$9)+$I$4))),TREND($E27:$F27,$E$9:$F$9,Y$9))</f>
        <v>1</v>
      </c>
      <c r="Z27" s="27">
        <f>IF($G27="s-curve",$E27+($F27-$E27)*$I$2/(1+EXP($I$3*(COUNT($I$9:Z$9)+$I$4))),TREND($E27:$F27,$E$9:$F$9,Z$9))</f>
        <v>1</v>
      </c>
      <c r="AA27" s="27">
        <f>IF($G27="s-curve",$E27+($F27-$E27)*$I$2/(1+EXP($I$3*(COUNT($I$9:AA$9)+$I$4))),TREND($E27:$F27,$E$9:$F$9,AA$9))</f>
        <v>1</v>
      </c>
      <c r="AB27" s="27">
        <f>IF($G27="s-curve",$E27+($F27-$E27)*$I$2/(1+EXP($I$3*(COUNT($I$9:AB$9)+$I$4))),TREND($E27:$F27,$E$9:$F$9,AB$9))</f>
        <v>1</v>
      </c>
      <c r="AC27" s="27">
        <f>IF($G27="s-curve",$E27+($F27-$E27)*$I$2/(1+EXP($I$3*(COUNT($I$9:AC$9)+$I$4))),TREND($E27:$F27,$E$9:$F$9,AC$9))</f>
        <v>1</v>
      </c>
      <c r="AD27" s="27">
        <f>IF($G27="s-curve",$E27+($F27-$E27)*$I$2/(1+EXP($I$3*(COUNT($I$9:AD$9)+$I$4))),TREND($E27:$F27,$E$9:$F$9,AD$9))</f>
        <v>1</v>
      </c>
      <c r="AE27" s="27">
        <f>IF($G27="s-curve",$E27+($F27-$E27)*$I$2/(1+EXP($I$3*(COUNT($I$9:AE$9)+$I$4))),TREND($E27:$F27,$E$9:$F$9,AE$9))</f>
        <v>1</v>
      </c>
      <c r="AF27" s="27">
        <f>IF($G27="s-curve",$E27+($F27-$E27)*$I$2/(1+EXP($I$3*(COUNT($I$9:AF$9)+$I$4))),TREND($E27:$F27,$E$9:$F$9,AF$9))</f>
        <v>1</v>
      </c>
      <c r="AG27" s="27">
        <f>IF($G27="s-curve",$E27+($F27-$E27)*$I$2/(1+EXP($I$3*(COUNT($I$9:AG$9)+$I$4))),TREND($E27:$F27,$E$9:$F$9,AG$9))</f>
        <v>1</v>
      </c>
      <c r="AH27" s="27">
        <f>IF($G27="s-curve",$E27+($F27-$E27)*$I$2/(1+EXP($I$3*(COUNT($I$9:AH$9)+$I$4))),TREND($E27:$F27,$E$9:$F$9,AH$9))</f>
        <v>1</v>
      </c>
      <c r="AI27" s="27">
        <f>IF($G27="s-curve",$E27+($F27-$E27)*$I$2/(1+EXP($I$3*(COUNT($I$9:AI$9)+$I$4))),TREND($E27:$F27,$E$9:$F$9,AI$9))</f>
        <v>1</v>
      </c>
      <c r="AJ27" s="27">
        <f>IF($G27="s-curve",$E27+($F27-$E27)*$I$2/(1+EXP($I$3*(COUNT($I$9:AJ$9)+$I$4))),TREND($E27:$F27,$E$9:$F$9,AJ$9))</f>
        <v>1</v>
      </c>
      <c r="AK27" s="27">
        <f>IF($G27="s-curve",$E27+($F27-$E27)*$I$2/(1+EXP($I$3*(COUNT($I$9:AK$9)+$I$4))),TREND($E27:$F27,$E$9:$F$9,AK$9))</f>
        <v>1</v>
      </c>
      <c r="AL27" s="27">
        <f>IF($G27="s-curve",$E27+($F27-$E27)*$I$2/(1+EXP($I$3*(COUNT($I$9:AL$9)+$I$4))),TREND($E27:$F27,$E$9:$F$9,AL$9))</f>
        <v>1</v>
      </c>
      <c r="AM27" s="27">
        <f>IF($G27="s-curve",$E27+($F27-$E27)*$I$2/(1+EXP($I$3*(COUNT($I$9:AM$9)+$I$4))),TREND($E27:$F27,$E$9:$F$9,AM$9))</f>
        <v>1</v>
      </c>
      <c r="AN27" s="27">
        <f>IF($G27="s-curve",$E27+($F27-$E27)*$I$2/(1+EXP($I$3*(COUNT($I$9:AN$9)+$I$4))),TREND($E27:$F27,$E$9:$F$9,AN$9))</f>
        <v>1</v>
      </c>
      <c r="AO27" s="27">
        <f>IF($G27="s-curve",$E27+($F27-$E27)*$I$2/(1+EXP($I$3*(COUNT($I$9:AO$9)+$I$4))),TREND($E27:$F27,$E$9:$F$9,AO$9))</f>
        <v>1</v>
      </c>
      <c r="AP27" s="27">
        <f>IF($G27="s-curve",$E27+($F27-$E27)*$I$2/(1+EXP($I$3*(COUNT($I$9:AP$9)+$I$4))),TREND($E27:$F27,$E$9:$F$9,AP$9))</f>
        <v>1</v>
      </c>
      <c r="AQ27" s="27">
        <f>IF($G27="s-curve",$E27+($F27-$E27)*$I$2/(1+EXP($I$3*(COUNT($I$9:AQ$9)+$I$4))),TREND($E27:$F27,$E$9:$F$9,AQ$9))</f>
        <v>1</v>
      </c>
      <c r="AR27" s="27">
        <f>IF($G27="s-curve",$E27+($F27-$E27)*$I$2/(1+EXP($I$3*(COUNT($I$9:AR$9)+$I$4))),TREND($E27:$F27,$E$9:$F$9,AR$9))</f>
        <v>1</v>
      </c>
      <c r="AS27" s="27">
        <f>IF($G27="s-curve",$E27+($F27-$E27)*$I$2/(1+EXP($I$3*(COUNT($I$9:AS$9)+$I$4))),TREND($E27:$F27,$E$9:$F$9,AS$9))</f>
        <v>1</v>
      </c>
      <c r="AT27" s="27">
        <f>IF($G27="s-curve",$E27+($F27-$E27)*$I$2/(1+EXP($I$3*(COUNT($I$9:AT$9)+$I$4))),TREND($E27:$F27,$E$9:$F$9,AT$9))</f>
        <v>1</v>
      </c>
      <c r="AU27" s="27">
        <f>IF($G27="s-curve",$E27+($F27-$E27)*$I$2/(1+EXP($I$3*(COUNT($I$9:AU$9)+$I$4))),TREND($E27:$F27,$E$9:$F$9,AU$9))</f>
        <v>1</v>
      </c>
      <c r="AV27" s="27">
        <f>IF($G27="s-curve",$E27+($F27-$E27)*$I$2/(1+EXP($I$3*(COUNT($I$9:AV$9)+$I$4))),TREND($E27:$F27,$E$9:$F$9,AV$9))</f>
        <v>1</v>
      </c>
      <c r="AW27" s="27">
        <f>IF($G27="s-curve",$E27+($F27-$E27)*$I$2/(1+EXP($I$3*(COUNT($I$9:AW$9)+$I$4))),TREND($E27:$F27,$E$9:$F$9,AW$9))</f>
        <v>1</v>
      </c>
      <c r="AX27" s="27">
        <f>IF($G27="s-curve",$E27+($F27-$E27)*$I$2/(1+EXP($I$3*(COUNT($I$9:AX$9)+$I$4))),TREND($E27:$F27,$E$9:$F$9,AX$9))</f>
        <v>1</v>
      </c>
      <c r="AY27" s="27">
        <f>IF($G27="s-curve",$E27+($F27-$E27)*$I$2/(1+EXP($I$3*(COUNT($I$9:AY$9)+$I$4))),TREND($E27:$F27,$E$9:$F$9,AY$9))</f>
        <v>1</v>
      </c>
      <c r="AZ27" s="27">
        <f>IF($G27="s-curve",$E27+($F27-$E27)*$I$2/(1+EXP($I$3*(COUNT($I$9:AZ$9)+$I$4))),TREND($E27:$F27,$E$9:$F$9,AZ$9))</f>
        <v>1</v>
      </c>
      <c r="BA27" s="27">
        <f>IF($G27="s-curve",$E27+($F27-$E27)*$I$2/(1+EXP($I$3*(COUNT($I$9:BA$9)+$I$4))),TREND($E27:$F27,$E$9:$F$9,BA$9))</f>
        <v>1</v>
      </c>
      <c r="BB27" s="27">
        <f>IF($G27="s-curve",$E27+($F27-$E27)*$I$2/(1+EXP($I$3*(COUNT($I$9:BB$9)+$I$4))),TREND($E27:$F27,$E$9:$F$9,BB$9))</f>
        <v>1</v>
      </c>
      <c r="BC27" s="27">
        <f>IF($G27="s-curve",$E27+($F27-$E27)*$I$2/(1+EXP($I$3*(COUNT($I$9:BC$9)+$I$4))),TREND($E27:$F27,$E$9:$F$9,BC$9))</f>
        <v>1</v>
      </c>
      <c r="BD27" s="27">
        <f>IF($G27="s-curve",$E27+($F27-$E27)*$I$2/(1+EXP($I$3*(COUNT($I$9:BD$9)+$I$4))),TREND($E27:$F27,$E$9:$F$9,BD$9))</f>
        <v>1</v>
      </c>
      <c r="BE27" s="27">
        <f>IF($G27="s-curve",$E27+($F27-$E27)*$I$2/(1+EXP($I$3*(COUNT($I$9:BE$9)+$I$4))),TREND($E27:$F27,$E$9:$F$9,BE$9))</f>
        <v>1</v>
      </c>
      <c r="BF27" s="27">
        <f>IF($G27="s-curve",$E27+($F27-$E27)*$I$2/(1+EXP($I$3*(COUNT($I$9:BF$9)+$I$4))),TREND($E27:$F27,$E$9:$F$9,BF$9))</f>
        <v>1</v>
      </c>
    </row>
    <row r="28" spans="1:63" x14ac:dyDescent="0.75">
      <c r="C28" t="s">
        <v>5</v>
      </c>
      <c r="D28" s="26">
        <v>0</v>
      </c>
      <c r="E28" s="26">
        <v>0</v>
      </c>
      <c r="F28" s="26">
        <f>E28</f>
        <v>0</v>
      </c>
      <c r="G28" s="29" t="str">
        <f>IF(E28=F28,"n/a",IF(OR(C28="battery electric vehicle",C28="natural gas vehicle",C28="plugin hybrid vehicle"),"s-curve","linear"))</f>
        <v>n/a</v>
      </c>
      <c r="I28" s="27">
        <f t="shared" si="7"/>
        <v>0</v>
      </c>
      <c r="J28" s="27">
        <f t="shared" si="4"/>
        <v>0</v>
      </c>
      <c r="K28" s="27">
        <f t="shared" si="4"/>
        <v>0</v>
      </c>
      <c r="L28" s="27">
        <f t="shared" si="4"/>
        <v>0</v>
      </c>
      <c r="M28" s="27">
        <f t="shared" si="8"/>
        <v>0</v>
      </c>
      <c r="N28" s="27">
        <f>IF($G28="s-curve",$E28+($F28-$E28)*$I$2/(1+EXP($I$3*(COUNT($I$9:N$9)+$I$4))),TREND($E28:$F28,$E$9:$F$9,N$9))</f>
        <v>0</v>
      </c>
      <c r="O28" s="27">
        <f>IF($G28="s-curve",$E28+($F28-$E28)*$I$2/(1+EXP($I$3*(COUNT($I$9:O$9)+$I$4))),TREND($E28:$F28,$E$9:$F$9,O$9))</f>
        <v>0</v>
      </c>
      <c r="P28" s="27">
        <f>IF($G28="s-curve",$E28+($F28-$E28)*$I$2/(1+EXP($I$3*(COUNT($I$9:P$9)+$I$4))),TREND($E28:$F28,$E$9:$F$9,P$9))</f>
        <v>0</v>
      </c>
      <c r="Q28" s="27">
        <f>IF($G28="s-curve",$E28+($F28-$E28)*$I$2/(1+EXP($I$3*(COUNT($I$9:Q$9)+$I$4))),TREND($E28:$F28,$E$9:$F$9,Q$9))</f>
        <v>0</v>
      </c>
      <c r="R28" s="27">
        <f>IF($G28="s-curve",$E28+($F28-$E28)*$I$2/(1+EXP($I$3*(COUNT($I$9:R$9)+$I$4))),TREND($E28:$F28,$E$9:$F$9,R$9))</f>
        <v>0</v>
      </c>
      <c r="S28" s="27">
        <f>IF($G28="s-curve",$E28+($F28-$E28)*$I$2/(1+EXP($I$3*(COUNT($I$9:S$9)+$I$4))),TREND($E28:$F28,$E$9:$F$9,S$9))</f>
        <v>0</v>
      </c>
      <c r="T28" s="27">
        <f>IF($G28="s-curve",$E28+($F28-$E28)*$I$2/(1+EXP($I$3*(COUNT($I$9:T$9)+$I$4))),TREND($E28:$F28,$E$9:$F$9,T$9))</f>
        <v>0</v>
      </c>
      <c r="U28" s="27">
        <f>IF($G28="s-curve",$E28+($F28-$E28)*$I$2/(1+EXP($I$3*(COUNT($I$9:U$9)+$I$4))),TREND($E28:$F28,$E$9:$F$9,U$9))</f>
        <v>0</v>
      </c>
      <c r="V28" s="27">
        <f>IF($G28="s-curve",$E28+($F28-$E28)*$I$2/(1+EXP($I$3*(COUNT($I$9:V$9)+$I$4))),TREND($E28:$F28,$E$9:$F$9,V$9))</f>
        <v>0</v>
      </c>
      <c r="W28" s="27">
        <f>IF($G28="s-curve",$E28+($F28-$E28)*$I$2/(1+EXP($I$3*(COUNT($I$9:W$9)+$I$4))),TREND($E28:$F28,$E$9:$F$9,W$9))</f>
        <v>0</v>
      </c>
      <c r="X28" s="27">
        <f>IF($G28="s-curve",$E28+($F28-$E28)*$I$2/(1+EXP($I$3*(COUNT($I$9:X$9)+$I$4))),TREND($E28:$F28,$E$9:$F$9,X$9))</f>
        <v>0</v>
      </c>
      <c r="Y28" s="27">
        <f>IF($G28="s-curve",$E28+($F28-$E28)*$I$2/(1+EXP($I$3*(COUNT($I$9:Y$9)+$I$4))),TREND($E28:$F28,$E$9:$F$9,Y$9))</f>
        <v>0</v>
      </c>
      <c r="Z28" s="27">
        <f>IF($G28="s-curve",$E28+($F28-$E28)*$I$2/(1+EXP($I$3*(COUNT($I$9:Z$9)+$I$4))),TREND($E28:$F28,$E$9:$F$9,Z$9))</f>
        <v>0</v>
      </c>
      <c r="AA28" s="27">
        <f>IF($G28="s-curve",$E28+($F28-$E28)*$I$2/(1+EXP($I$3*(COUNT($I$9:AA$9)+$I$4))),TREND($E28:$F28,$E$9:$F$9,AA$9))</f>
        <v>0</v>
      </c>
      <c r="AB28" s="27">
        <f>IF($G28="s-curve",$E28+($F28-$E28)*$I$2/(1+EXP($I$3*(COUNT($I$9:AB$9)+$I$4))),TREND($E28:$F28,$E$9:$F$9,AB$9))</f>
        <v>0</v>
      </c>
      <c r="AC28" s="27">
        <f>IF($G28="s-curve",$E28+($F28-$E28)*$I$2/(1+EXP($I$3*(COUNT($I$9:AC$9)+$I$4))),TREND($E28:$F28,$E$9:$F$9,AC$9))</f>
        <v>0</v>
      </c>
      <c r="AD28" s="27">
        <f>IF($G28="s-curve",$E28+($F28-$E28)*$I$2/(1+EXP($I$3*(COUNT($I$9:AD$9)+$I$4))),TREND($E28:$F28,$E$9:$F$9,AD$9))</f>
        <v>0</v>
      </c>
      <c r="AE28" s="27">
        <f>IF($G28="s-curve",$E28+($F28-$E28)*$I$2/(1+EXP($I$3*(COUNT($I$9:AE$9)+$I$4))),TREND($E28:$F28,$E$9:$F$9,AE$9))</f>
        <v>0</v>
      </c>
      <c r="AF28" s="27">
        <f>IF($G28="s-curve",$E28+($F28-$E28)*$I$2/(1+EXP($I$3*(COUNT($I$9:AF$9)+$I$4))),TREND($E28:$F28,$E$9:$F$9,AF$9))</f>
        <v>0</v>
      </c>
      <c r="AG28" s="27">
        <f>IF($G28="s-curve",$E28+($F28-$E28)*$I$2/(1+EXP($I$3*(COUNT($I$9:AG$9)+$I$4))),TREND($E28:$F28,$E$9:$F$9,AG$9))</f>
        <v>0</v>
      </c>
      <c r="AH28" s="27">
        <f>IF($G28="s-curve",$E28+($F28-$E28)*$I$2/(1+EXP($I$3*(COUNT($I$9:AH$9)+$I$4))),TREND($E28:$F28,$E$9:$F$9,AH$9))</f>
        <v>0</v>
      </c>
      <c r="AI28" s="27">
        <f>IF($G28="s-curve",$E28+($F28-$E28)*$I$2/(1+EXP($I$3*(COUNT($I$9:AI$9)+$I$4))),TREND($E28:$F28,$E$9:$F$9,AI$9))</f>
        <v>0</v>
      </c>
      <c r="AJ28" s="27">
        <f>IF($G28="s-curve",$E28+($F28-$E28)*$I$2/(1+EXP($I$3*(COUNT($I$9:AJ$9)+$I$4))),TREND($E28:$F28,$E$9:$F$9,AJ$9))</f>
        <v>0</v>
      </c>
      <c r="AK28" s="27">
        <f>IF($G28="s-curve",$E28+($F28-$E28)*$I$2/(1+EXP($I$3*(COUNT($I$9:AK$9)+$I$4))),TREND($E28:$F28,$E$9:$F$9,AK$9))</f>
        <v>0</v>
      </c>
      <c r="AL28" s="27">
        <f>IF($G28="s-curve",$E28+($F28-$E28)*$I$2/(1+EXP($I$3*(COUNT($I$9:AL$9)+$I$4))),TREND($E28:$F28,$E$9:$F$9,AL$9))</f>
        <v>0</v>
      </c>
      <c r="AM28" s="27">
        <f>IF($G28="s-curve",$E28+($F28-$E28)*$I$2/(1+EXP($I$3*(COUNT($I$9:AM$9)+$I$4))),TREND($E28:$F28,$E$9:$F$9,AM$9))</f>
        <v>0</v>
      </c>
      <c r="AN28" s="27">
        <f>IF($G28="s-curve",$E28+($F28-$E28)*$I$2/(1+EXP($I$3*(COUNT($I$9:AN$9)+$I$4))),TREND($E28:$F28,$E$9:$F$9,AN$9))</f>
        <v>0</v>
      </c>
      <c r="AO28" s="27">
        <f>IF($G28="s-curve",$E28+($F28-$E28)*$I$2/(1+EXP($I$3*(COUNT($I$9:AO$9)+$I$4))),TREND($E28:$F28,$E$9:$F$9,AO$9))</f>
        <v>0</v>
      </c>
      <c r="AP28" s="27">
        <f>IF($G28="s-curve",$E28+($F28-$E28)*$I$2/(1+EXP($I$3*(COUNT($I$9:AP$9)+$I$4))),TREND($E28:$F28,$E$9:$F$9,AP$9))</f>
        <v>0</v>
      </c>
      <c r="AQ28" s="27">
        <f>IF($G28="s-curve",$E28+($F28-$E28)*$I$2/(1+EXP($I$3*(COUNT($I$9:AQ$9)+$I$4))),TREND($E28:$F28,$E$9:$F$9,AQ$9))</f>
        <v>0</v>
      </c>
      <c r="AR28" s="27">
        <f>IF($G28="s-curve",$E28+($F28-$E28)*$I$2/(1+EXP($I$3*(COUNT($I$9:AR$9)+$I$4))),TREND($E28:$F28,$E$9:$F$9,AR$9))</f>
        <v>0</v>
      </c>
      <c r="AS28" s="27">
        <f>IF($G28="s-curve",$E28+($F28-$E28)*$I$2/(1+EXP($I$3*(COUNT($I$9:AS$9)+$I$4))),TREND($E28:$F28,$E$9:$F$9,AS$9))</f>
        <v>0</v>
      </c>
      <c r="AT28" s="27">
        <f>IF($G28="s-curve",$E28+($F28-$E28)*$I$2/(1+EXP($I$3*(COUNT($I$9:AT$9)+$I$4))),TREND($E28:$F28,$E$9:$F$9,AT$9))</f>
        <v>0</v>
      </c>
      <c r="AU28" s="27">
        <f>IF($G28="s-curve",$E28+($F28-$E28)*$I$2/(1+EXP($I$3*(COUNT($I$9:AU$9)+$I$4))),TREND($E28:$F28,$E$9:$F$9,AU$9))</f>
        <v>0</v>
      </c>
      <c r="AV28" s="27">
        <f>IF($G28="s-curve",$E28+($F28-$E28)*$I$2/(1+EXP($I$3*(COUNT($I$9:AV$9)+$I$4))),TREND($E28:$F28,$E$9:$F$9,AV$9))</f>
        <v>0</v>
      </c>
      <c r="AW28" s="27">
        <f>IF($G28="s-curve",$E28+($F28-$E28)*$I$2/(1+EXP($I$3*(COUNT($I$9:AW$9)+$I$4))),TREND($E28:$F28,$E$9:$F$9,AW$9))</f>
        <v>0</v>
      </c>
      <c r="AX28" s="27">
        <f>IF($G28="s-curve",$E28+($F28-$E28)*$I$2/(1+EXP($I$3*(COUNT($I$9:AX$9)+$I$4))),TREND($E28:$F28,$E$9:$F$9,AX$9))</f>
        <v>0</v>
      </c>
      <c r="AY28" s="27">
        <f>IF($G28="s-curve",$E28+($F28-$E28)*$I$2/(1+EXP($I$3*(COUNT($I$9:AY$9)+$I$4))),TREND($E28:$F28,$E$9:$F$9,AY$9))</f>
        <v>0</v>
      </c>
      <c r="AZ28" s="27">
        <f>IF($G28="s-curve",$E28+($F28-$E28)*$I$2/(1+EXP($I$3*(COUNT($I$9:AZ$9)+$I$4))),TREND($E28:$F28,$E$9:$F$9,AZ$9))</f>
        <v>0</v>
      </c>
      <c r="BA28" s="27">
        <f>IF($G28="s-curve",$E28+($F28-$E28)*$I$2/(1+EXP($I$3*(COUNT($I$9:BA$9)+$I$4))),TREND($E28:$F28,$E$9:$F$9,BA$9))</f>
        <v>0</v>
      </c>
      <c r="BB28" s="27">
        <f>IF($G28="s-curve",$E28+($F28-$E28)*$I$2/(1+EXP($I$3*(COUNT($I$9:BB$9)+$I$4))),TREND($E28:$F28,$E$9:$F$9,BB$9))</f>
        <v>0</v>
      </c>
      <c r="BC28" s="27">
        <f>IF($G28="s-curve",$E28+($F28-$E28)*$I$2/(1+EXP($I$3*(COUNT($I$9:BC$9)+$I$4))),TREND($E28:$F28,$E$9:$F$9,BC$9))</f>
        <v>0</v>
      </c>
      <c r="BD28" s="27">
        <f>IF($G28="s-curve",$E28+($F28-$E28)*$I$2/(1+EXP($I$3*(COUNT($I$9:BD$9)+$I$4))),TREND($E28:$F28,$E$9:$F$9,BD$9))</f>
        <v>0</v>
      </c>
      <c r="BE28" s="27">
        <f>IF($G28="s-curve",$E28+($F28-$E28)*$I$2/(1+EXP($I$3*(COUNT($I$9:BE$9)+$I$4))),TREND($E28:$F28,$E$9:$F$9,BE$9))</f>
        <v>0</v>
      </c>
      <c r="BF28" s="27">
        <f>IF($G28="s-curve",$E28+($F28-$E28)*$I$2/(1+EXP($I$3*(COUNT($I$9:BF$9)+$I$4))),TREND($E28:$F28,$E$9:$F$9,BF$9))</f>
        <v>0</v>
      </c>
    </row>
    <row r="29" spans="1:63" x14ac:dyDescent="0.75">
      <c r="C29" t="s">
        <v>31</v>
      </c>
      <c r="D29" s="26">
        <v>0</v>
      </c>
      <c r="E29" s="26">
        <v>0</v>
      </c>
      <c r="F29" s="26">
        <f>E29</f>
        <v>0</v>
      </c>
      <c r="G29" s="29" t="str">
        <f>IF(E29=F29,"n/a",IF(OR(C29="battery electric vehicle",C29="natural gas vehicle",C29="plugin hybrid vehicle",C29="hydrogen vehicle"),"s-curve","linear"))</f>
        <v>n/a</v>
      </c>
      <c r="I29" s="27">
        <f t="shared" si="7"/>
        <v>0</v>
      </c>
      <c r="J29" s="27">
        <f t="shared" si="4"/>
        <v>0</v>
      </c>
      <c r="K29" s="27">
        <f t="shared" si="4"/>
        <v>0</v>
      </c>
      <c r="L29" s="27">
        <f t="shared" si="4"/>
        <v>0</v>
      </c>
      <c r="M29" s="27">
        <f t="shared" si="8"/>
        <v>0</v>
      </c>
      <c r="N29" s="27">
        <f>IF($G29="s-curve",$E29+($F29-$E29)*$I$2/(1+EXP($I$3*(COUNT($I$9:N$9)+$I$4))),TREND($E29:$F29,$E$9:$F$9,N$9))</f>
        <v>0</v>
      </c>
      <c r="O29" s="27">
        <f>IF($G29="s-curve",$E29+($F29-$E29)*$I$2/(1+EXP($I$3*(COUNT($I$9:O$9)+$I$4))),TREND($E29:$F29,$E$9:$F$9,O$9))</f>
        <v>0</v>
      </c>
      <c r="P29" s="27">
        <f>IF($G29="s-curve",$E29+($F29-$E29)*$I$2/(1+EXP($I$3*(COUNT($I$9:P$9)+$I$4))),TREND($E29:$F29,$E$9:$F$9,P$9))</f>
        <v>0</v>
      </c>
      <c r="Q29" s="27">
        <f>IF($G29="s-curve",$E29+($F29-$E29)*$I$2/(1+EXP($I$3*(COUNT($I$9:Q$9)+$I$4))),TREND($E29:$F29,$E$9:$F$9,Q$9))</f>
        <v>0</v>
      </c>
      <c r="R29" s="27">
        <f>IF($G29="s-curve",$E29+($F29-$E29)*$I$2/(1+EXP($I$3*(COUNT($I$9:R$9)+$I$4))),TREND($E29:$F29,$E$9:$F$9,R$9))</f>
        <v>0</v>
      </c>
      <c r="S29" s="27">
        <f>IF($G29="s-curve",$E29+($F29-$E29)*$I$2/(1+EXP($I$3*(COUNT($I$9:S$9)+$I$4))),TREND($E29:$F29,$E$9:$F$9,S$9))</f>
        <v>0</v>
      </c>
      <c r="T29" s="27">
        <f>IF($G29="s-curve",$E29+($F29-$E29)*$I$2/(1+EXP($I$3*(COUNT($I$9:T$9)+$I$4))),TREND($E29:$F29,$E$9:$F$9,T$9))</f>
        <v>0</v>
      </c>
      <c r="U29" s="27">
        <f>IF($G29="s-curve",$E29+($F29-$E29)*$I$2/(1+EXP($I$3*(COUNT($I$9:U$9)+$I$4))),TREND($E29:$F29,$E$9:$F$9,U$9))</f>
        <v>0</v>
      </c>
      <c r="V29" s="27">
        <f>IF($G29="s-curve",$E29+($F29-$E29)*$I$2/(1+EXP($I$3*(COUNT($I$9:V$9)+$I$4))),TREND($E29:$F29,$E$9:$F$9,V$9))</f>
        <v>0</v>
      </c>
      <c r="W29" s="27">
        <f>IF($G29="s-curve",$E29+($F29-$E29)*$I$2/(1+EXP($I$3*(COUNT($I$9:W$9)+$I$4))),TREND($E29:$F29,$E$9:$F$9,W$9))</f>
        <v>0</v>
      </c>
      <c r="X29" s="27">
        <f>IF($G29="s-curve",$E29+($F29-$E29)*$I$2/(1+EXP($I$3*(COUNT($I$9:X$9)+$I$4))),TREND($E29:$F29,$E$9:$F$9,X$9))</f>
        <v>0</v>
      </c>
      <c r="Y29" s="27">
        <f>IF($G29="s-curve",$E29+($F29-$E29)*$I$2/(1+EXP($I$3*(COUNT($I$9:Y$9)+$I$4))),TREND($E29:$F29,$E$9:$F$9,Y$9))</f>
        <v>0</v>
      </c>
      <c r="Z29" s="27">
        <f>IF($G29="s-curve",$E29+($F29-$E29)*$I$2/(1+EXP($I$3*(COUNT($I$9:Z$9)+$I$4))),TREND($E29:$F29,$E$9:$F$9,Z$9))</f>
        <v>0</v>
      </c>
      <c r="AA29" s="27">
        <f>IF($G29="s-curve",$E29+($F29-$E29)*$I$2/(1+EXP($I$3*(COUNT($I$9:AA$9)+$I$4))),TREND($E29:$F29,$E$9:$F$9,AA$9))</f>
        <v>0</v>
      </c>
      <c r="AB29" s="27">
        <f>IF($G29="s-curve",$E29+($F29-$E29)*$I$2/(1+EXP($I$3*(COUNT($I$9:AB$9)+$I$4))),TREND($E29:$F29,$E$9:$F$9,AB$9))</f>
        <v>0</v>
      </c>
      <c r="AC29" s="27">
        <f>IF($G29="s-curve",$E29+($F29-$E29)*$I$2/(1+EXP($I$3*(COUNT($I$9:AC$9)+$I$4))),TREND($E29:$F29,$E$9:$F$9,AC$9))</f>
        <v>0</v>
      </c>
      <c r="AD29" s="27">
        <f>IF($G29="s-curve",$E29+($F29-$E29)*$I$2/(1+EXP($I$3*(COUNT($I$9:AD$9)+$I$4))),TREND($E29:$F29,$E$9:$F$9,AD$9))</f>
        <v>0</v>
      </c>
      <c r="AE29" s="27">
        <f>IF($G29="s-curve",$E29+($F29-$E29)*$I$2/(1+EXP($I$3*(COUNT($I$9:AE$9)+$I$4))),TREND($E29:$F29,$E$9:$F$9,AE$9))</f>
        <v>0</v>
      </c>
      <c r="AF29" s="27">
        <f>IF($G29="s-curve",$E29+($F29-$E29)*$I$2/(1+EXP($I$3*(COUNT($I$9:AF$9)+$I$4))),TREND($E29:$F29,$E$9:$F$9,AF$9))</f>
        <v>0</v>
      </c>
      <c r="AG29" s="27">
        <f>IF($G29="s-curve",$E29+($F29-$E29)*$I$2/(1+EXP($I$3*(COUNT($I$9:AG$9)+$I$4))),TREND($E29:$F29,$E$9:$F$9,AG$9))</f>
        <v>0</v>
      </c>
      <c r="AH29" s="27">
        <f>IF($G29="s-curve",$E29+($F29-$E29)*$I$2/(1+EXP($I$3*(COUNT($I$9:AH$9)+$I$4))),TREND($E29:$F29,$E$9:$F$9,AH$9))</f>
        <v>0</v>
      </c>
      <c r="AI29" s="27">
        <f>IF($G29="s-curve",$E29+($F29-$E29)*$I$2/(1+EXP($I$3*(COUNT($I$9:AI$9)+$I$4))),TREND($E29:$F29,$E$9:$F$9,AI$9))</f>
        <v>0</v>
      </c>
      <c r="AJ29" s="27">
        <f>IF($G29="s-curve",$E29+($F29-$E29)*$I$2/(1+EXP($I$3*(COUNT($I$9:AJ$9)+$I$4))),TREND($E29:$F29,$E$9:$F$9,AJ$9))</f>
        <v>0</v>
      </c>
      <c r="AK29" s="27">
        <f>IF($G29="s-curve",$E29+($F29-$E29)*$I$2/(1+EXP($I$3*(COUNT($I$9:AK$9)+$I$4))),TREND($E29:$F29,$E$9:$F$9,AK$9))</f>
        <v>0</v>
      </c>
      <c r="AL29" s="27">
        <f>IF($G29="s-curve",$E29+($F29-$E29)*$I$2/(1+EXP($I$3*(COUNT($I$9:AL$9)+$I$4))),TREND($E29:$F29,$E$9:$F$9,AL$9))</f>
        <v>0</v>
      </c>
      <c r="AM29" s="27">
        <f>IF($G29="s-curve",$E29+($F29-$E29)*$I$2/(1+EXP($I$3*(COUNT($I$9:AM$9)+$I$4))),TREND($E29:$F29,$E$9:$F$9,AM$9))</f>
        <v>0</v>
      </c>
      <c r="AN29" s="27">
        <f>IF($G29="s-curve",$E29+($F29-$E29)*$I$2/(1+EXP($I$3*(COUNT($I$9:AN$9)+$I$4))),TREND($E29:$F29,$E$9:$F$9,AN$9))</f>
        <v>0</v>
      </c>
      <c r="AO29" s="27">
        <f>IF($G29="s-curve",$E29+($F29-$E29)*$I$2/(1+EXP($I$3*(COUNT($I$9:AO$9)+$I$4))),TREND($E29:$F29,$E$9:$F$9,AO$9))</f>
        <v>0</v>
      </c>
      <c r="AP29" s="27">
        <f>IF($G29="s-curve",$E29+($F29-$E29)*$I$2/(1+EXP($I$3*(COUNT($I$9:AP$9)+$I$4))),TREND($E29:$F29,$E$9:$F$9,AP$9))</f>
        <v>0</v>
      </c>
      <c r="AQ29" s="27">
        <f>IF($G29="s-curve",$E29+($F29-$E29)*$I$2/(1+EXP($I$3*(COUNT($I$9:AQ$9)+$I$4))),TREND($E29:$F29,$E$9:$F$9,AQ$9))</f>
        <v>0</v>
      </c>
      <c r="AR29" s="27">
        <f>IF($G29="s-curve",$E29+($F29-$E29)*$I$2/(1+EXP($I$3*(COUNT($I$9:AR$9)+$I$4))),TREND($E29:$F29,$E$9:$F$9,AR$9))</f>
        <v>0</v>
      </c>
      <c r="AS29" s="27">
        <f>IF($G29="s-curve",$E29+($F29-$E29)*$I$2/(1+EXP($I$3*(COUNT($I$9:AS$9)+$I$4))),TREND($E29:$F29,$E$9:$F$9,AS$9))</f>
        <v>0</v>
      </c>
      <c r="AT29" s="27">
        <f>IF($G29="s-curve",$E29+($F29-$E29)*$I$2/(1+EXP($I$3*(COUNT($I$9:AT$9)+$I$4))),TREND($E29:$F29,$E$9:$F$9,AT$9))</f>
        <v>0</v>
      </c>
      <c r="AU29" s="27">
        <f>IF($G29="s-curve",$E29+($F29-$E29)*$I$2/(1+EXP($I$3*(COUNT($I$9:AU$9)+$I$4))),TREND($E29:$F29,$E$9:$F$9,AU$9))</f>
        <v>0</v>
      </c>
      <c r="AV29" s="27">
        <f>IF($G29="s-curve",$E29+($F29-$E29)*$I$2/(1+EXP($I$3*(COUNT($I$9:AV$9)+$I$4))),TREND($E29:$F29,$E$9:$F$9,AV$9))</f>
        <v>0</v>
      </c>
      <c r="AW29" s="27">
        <f>IF($G29="s-curve",$E29+($F29-$E29)*$I$2/(1+EXP($I$3*(COUNT($I$9:AW$9)+$I$4))),TREND($E29:$F29,$E$9:$F$9,AW$9))</f>
        <v>0</v>
      </c>
      <c r="AX29" s="27">
        <f>IF($G29="s-curve",$E29+($F29-$E29)*$I$2/(1+EXP($I$3*(COUNT($I$9:AX$9)+$I$4))),TREND($E29:$F29,$E$9:$F$9,AX$9))</f>
        <v>0</v>
      </c>
      <c r="AY29" s="27">
        <f>IF($G29="s-curve",$E29+($F29-$E29)*$I$2/(1+EXP($I$3*(COUNT($I$9:AY$9)+$I$4))),TREND($E29:$F29,$E$9:$F$9,AY$9))</f>
        <v>0</v>
      </c>
      <c r="AZ29" s="27">
        <f>IF($G29="s-curve",$E29+($F29-$E29)*$I$2/(1+EXP($I$3*(COUNT($I$9:AZ$9)+$I$4))),TREND($E29:$F29,$E$9:$F$9,AZ$9))</f>
        <v>0</v>
      </c>
      <c r="BA29" s="27">
        <f>IF($G29="s-curve",$E29+($F29-$E29)*$I$2/(1+EXP($I$3*(COUNT($I$9:BA$9)+$I$4))),TREND($E29:$F29,$E$9:$F$9,BA$9))</f>
        <v>0</v>
      </c>
      <c r="BB29" s="27">
        <f>IF($G29="s-curve",$E29+($F29-$E29)*$I$2/(1+EXP($I$3*(COUNT($I$9:BB$9)+$I$4))),TREND($E29:$F29,$E$9:$F$9,BB$9))</f>
        <v>0</v>
      </c>
      <c r="BC29" s="27">
        <f>IF($G29="s-curve",$E29+($F29-$E29)*$I$2/(1+EXP($I$3*(COUNT($I$9:BC$9)+$I$4))),TREND($E29:$F29,$E$9:$F$9,BC$9))</f>
        <v>0</v>
      </c>
      <c r="BD29" s="27">
        <f>IF($G29="s-curve",$E29+($F29-$E29)*$I$2/(1+EXP($I$3*(COUNT($I$9:BD$9)+$I$4))),TREND($E29:$F29,$E$9:$F$9,BD$9))</f>
        <v>0</v>
      </c>
      <c r="BE29" s="27">
        <f>IF($G29="s-curve",$E29+($F29-$E29)*$I$2/(1+EXP($I$3*(COUNT($I$9:BE$9)+$I$4))),TREND($E29:$F29,$E$9:$F$9,BE$9))</f>
        <v>0</v>
      </c>
      <c r="BF29" s="27">
        <f>IF($G29="s-curve",$E29+($F29-$E29)*$I$2/(1+EXP($I$3*(COUNT($I$9:BF$9)+$I$4))),TREND($E29:$F29,$E$9:$F$9,BF$9))</f>
        <v>0</v>
      </c>
    </row>
    <row r="30" spans="1:63" ht="15.5" thickBot="1" x14ac:dyDescent="0.9">
      <c r="A30" s="16"/>
      <c r="B30" s="16"/>
      <c r="C30" s="16" t="s">
        <v>32</v>
      </c>
      <c r="D30" s="31">
        <v>0</v>
      </c>
      <c r="E30" s="32">
        <v>0</v>
      </c>
      <c r="F30" s="31">
        <f>E30</f>
        <v>0</v>
      </c>
      <c r="G30" s="32" t="str">
        <f>IF(E30=F30,"n/a",IF(OR(C30="battery electric vehicle",C30="natural gas vehicle",C30="plugin hybrid vehicle",C30="hydrogen vehicle"),"s-curve","linear"))</f>
        <v>n/a</v>
      </c>
      <c r="I30" s="27">
        <f t="shared" si="7"/>
        <v>0</v>
      </c>
      <c r="J30" s="27">
        <f t="shared" si="4"/>
        <v>0</v>
      </c>
      <c r="K30" s="27">
        <f t="shared" si="4"/>
        <v>0</v>
      </c>
      <c r="L30" s="27">
        <f t="shared" si="4"/>
        <v>0</v>
      </c>
      <c r="M30" s="27">
        <f t="shared" si="8"/>
        <v>0</v>
      </c>
      <c r="N30" s="27">
        <f>IF($G30="s-curve",$E30+($F30-$E30)*$I$2/(1+EXP($I$3*(COUNT($I$9:N$9)+$I$4))),TREND($E30:$F30,$E$9:$F$9,N$9))</f>
        <v>0</v>
      </c>
      <c r="O30" s="27">
        <f>IF($G30="s-curve",$E30+($F30-$E30)*$I$2/(1+EXP($I$3*(COUNT($I$9:O$9)+$I$4))),TREND($E30:$F30,$E$9:$F$9,O$9))</f>
        <v>0</v>
      </c>
      <c r="P30" s="27">
        <f>IF($G30="s-curve",$E30+($F30-$E30)*$I$2/(1+EXP($I$3*(COUNT($I$9:P$9)+$I$4))),TREND($E30:$F30,$E$9:$F$9,P$9))</f>
        <v>0</v>
      </c>
      <c r="Q30" s="27">
        <f>IF($G30="s-curve",$E30+($F30-$E30)*$I$2/(1+EXP($I$3*(COUNT($I$9:Q$9)+$I$4))),TREND($E30:$F30,$E$9:$F$9,Q$9))</f>
        <v>0</v>
      </c>
      <c r="R30" s="27">
        <f>IF($G30="s-curve",$E30+($F30-$E30)*$I$2/(1+EXP($I$3*(COUNT($I$9:R$9)+$I$4))),TREND($E30:$F30,$E$9:$F$9,R$9))</f>
        <v>0</v>
      </c>
      <c r="S30" s="27">
        <f>IF($G30="s-curve",$E30+($F30-$E30)*$I$2/(1+EXP($I$3*(COUNT($I$9:S$9)+$I$4))),TREND($E30:$F30,$E$9:$F$9,S$9))</f>
        <v>0</v>
      </c>
      <c r="T30" s="27">
        <f>IF($G30="s-curve",$E30+($F30-$E30)*$I$2/(1+EXP($I$3*(COUNT($I$9:T$9)+$I$4))),TREND($E30:$F30,$E$9:$F$9,T$9))</f>
        <v>0</v>
      </c>
      <c r="U30" s="27">
        <f>IF($G30="s-curve",$E30+($F30-$E30)*$I$2/(1+EXP($I$3*(COUNT($I$9:U$9)+$I$4))),TREND($E30:$F30,$E$9:$F$9,U$9))</f>
        <v>0</v>
      </c>
      <c r="V30" s="27">
        <f>IF($G30="s-curve",$E30+($F30-$E30)*$I$2/(1+EXP($I$3*(COUNT($I$9:V$9)+$I$4))),TREND($E30:$F30,$E$9:$F$9,V$9))</f>
        <v>0</v>
      </c>
      <c r="W30" s="27">
        <f>IF($G30="s-curve",$E30+($F30-$E30)*$I$2/(1+EXP($I$3*(COUNT($I$9:W$9)+$I$4))),TREND($E30:$F30,$E$9:$F$9,W$9))</f>
        <v>0</v>
      </c>
      <c r="X30" s="27">
        <f>IF($G30="s-curve",$E30+($F30-$E30)*$I$2/(1+EXP($I$3*(COUNT($I$9:X$9)+$I$4))),TREND($E30:$F30,$E$9:$F$9,X$9))</f>
        <v>0</v>
      </c>
      <c r="Y30" s="27">
        <f>IF($G30="s-curve",$E30+($F30-$E30)*$I$2/(1+EXP($I$3*(COUNT($I$9:Y$9)+$I$4))),TREND($E30:$F30,$E$9:$F$9,Y$9))</f>
        <v>0</v>
      </c>
      <c r="Z30" s="27">
        <f>IF($G30="s-curve",$E30+($F30-$E30)*$I$2/(1+EXP($I$3*(COUNT($I$9:Z$9)+$I$4))),TREND($E30:$F30,$E$9:$F$9,Z$9))</f>
        <v>0</v>
      </c>
      <c r="AA30" s="27">
        <f>IF($G30="s-curve",$E30+($F30-$E30)*$I$2/(1+EXP($I$3*(COUNT($I$9:AA$9)+$I$4))),TREND($E30:$F30,$E$9:$F$9,AA$9))</f>
        <v>0</v>
      </c>
      <c r="AB30" s="27">
        <f>IF($G30="s-curve",$E30+($F30-$E30)*$I$2/(1+EXP($I$3*(COUNT($I$9:AB$9)+$I$4))),TREND($E30:$F30,$E$9:$F$9,AB$9))</f>
        <v>0</v>
      </c>
      <c r="AC30" s="27">
        <f>IF($G30="s-curve",$E30+($F30-$E30)*$I$2/(1+EXP($I$3*(COUNT($I$9:AC$9)+$I$4))),TREND($E30:$F30,$E$9:$F$9,AC$9))</f>
        <v>0</v>
      </c>
      <c r="AD30" s="27">
        <f>IF($G30="s-curve",$E30+($F30-$E30)*$I$2/(1+EXP($I$3*(COUNT($I$9:AD$9)+$I$4))),TREND($E30:$F30,$E$9:$F$9,AD$9))</f>
        <v>0</v>
      </c>
      <c r="AE30" s="27">
        <f>IF($G30="s-curve",$E30+($F30-$E30)*$I$2/(1+EXP($I$3*(COUNT($I$9:AE$9)+$I$4))),TREND($E30:$F30,$E$9:$F$9,AE$9))</f>
        <v>0</v>
      </c>
      <c r="AF30" s="27">
        <f>IF($G30="s-curve",$E30+($F30-$E30)*$I$2/(1+EXP($I$3*(COUNT($I$9:AF$9)+$I$4))),TREND($E30:$F30,$E$9:$F$9,AF$9))</f>
        <v>0</v>
      </c>
      <c r="AG30" s="27">
        <f>IF($G30="s-curve",$E30+($F30-$E30)*$I$2/(1+EXP($I$3*(COUNT($I$9:AG$9)+$I$4))),TREND($E30:$F30,$E$9:$F$9,AG$9))</f>
        <v>0</v>
      </c>
      <c r="AH30" s="27">
        <f>IF($G30="s-curve",$E30+($F30-$E30)*$I$2/(1+EXP($I$3*(COUNT($I$9:AH$9)+$I$4))),TREND($E30:$F30,$E$9:$F$9,AH$9))</f>
        <v>0</v>
      </c>
      <c r="AI30" s="27">
        <f>IF($G30="s-curve",$E30+($F30-$E30)*$I$2/(1+EXP($I$3*(COUNT($I$9:AI$9)+$I$4))),TREND($E30:$F30,$E$9:$F$9,AI$9))</f>
        <v>0</v>
      </c>
      <c r="AJ30" s="27">
        <f>IF($G30="s-curve",$E30+($F30-$E30)*$I$2/(1+EXP($I$3*(COUNT($I$9:AJ$9)+$I$4))),TREND($E30:$F30,$E$9:$F$9,AJ$9))</f>
        <v>0</v>
      </c>
      <c r="AK30" s="27">
        <f>IF($G30="s-curve",$E30+($F30-$E30)*$I$2/(1+EXP($I$3*(COUNT($I$9:AK$9)+$I$4))),TREND($E30:$F30,$E$9:$F$9,AK$9))</f>
        <v>0</v>
      </c>
      <c r="AL30" s="27">
        <f>IF($G30="s-curve",$E30+($F30-$E30)*$I$2/(1+EXP($I$3*(COUNT($I$9:AL$9)+$I$4))),TREND($E30:$F30,$E$9:$F$9,AL$9))</f>
        <v>0</v>
      </c>
      <c r="AM30" s="27">
        <f>IF($G30="s-curve",$E30+($F30-$E30)*$I$2/(1+EXP($I$3*(COUNT($I$9:AM$9)+$I$4))),TREND($E30:$F30,$E$9:$F$9,AM$9))</f>
        <v>0</v>
      </c>
      <c r="AN30" s="27">
        <f>IF($G30="s-curve",$E30+($F30-$E30)*$I$2/(1+EXP($I$3*(COUNT($I$9:AN$9)+$I$4))),TREND($E30:$F30,$E$9:$F$9,AN$9))</f>
        <v>0</v>
      </c>
      <c r="AO30" s="27">
        <f>IF($G30="s-curve",$E30+($F30-$E30)*$I$2/(1+EXP($I$3*(COUNT($I$9:AO$9)+$I$4))),TREND($E30:$F30,$E$9:$F$9,AO$9))</f>
        <v>0</v>
      </c>
      <c r="AP30" s="27">
        <f>IF($G30="s-curve",$E30+($F30-$E30)*$I$2/(1+EXP($I$3*(COUNT($I$9:AP$9)+$I$4))),TREND($E30:$F30,$E$9:$F$9,AP$9))</f>
        <v>0</v>
      </c>
      <c r="AQ30" s="27">
        <f>IF($G30="s-curve",$E30+($F30-$E30)*$I$2/(1+EXP($I$3*(COUNT($I$9:AQ$9)+$I$4))),TREND($E30:$F30,$E$9:$F$9,AQ$9))</f>
        <v>0</v>
      </c>
      <c r="AR30" s="27">
        <f>IF($G30="s-curve",$E30+($F30-$E30)*$I$2/(1+EXP($I$3*(COUNT($I$9:AR$9)+$I$4))),TREND($E30:$F30,$E$9:$F$9,AR$9))</f>
        <v>0</v>
      </c>
      <c r="AS30" s="27">
        <f>IF($G30="s-curve",$E30+($F30-$E30)*$I$2/(1+EXP($I$3*(COUNT($I$9:AS$9)+$I$4))),TREND($E30:$F30,$E$9:$F$9,AS$9))</f>
        <v>0</v>
      </c>
      <c r="AT30" s="27">
        <f>IF($G30="s-curve",$E30+($F30-$E30)*$I$2/(1+EXP($I$3*(COUNT($I$9:AT$9)+$I$4))),TREND($E30:$F30,$E$9:$F$9,AT$9))</f>
        <v>0</v>
      </c>
      <c r="AU30" s="27">
        <f>IF($G30="s-curve",$E30+($F30-$E30)*$I$2/(1+EXP($I$3*(COUNT($I$9:AU$9)+$I$4))),TREND($E30:$F30,$E$9:$F$9,AU$9))</f>
        <v>0</v>
      </c>
      <c r="AV30" s="27">
        <f>IF($G30="s-curve",$E30+($F30-$E30)*$I$2/(1+EXP($I$3*(COUNT($I$9:AV$9)+$I$4))),TREND($E30:$F30,$E$9:$F$9,AV$9))</f>
        <v>0</v>
      </c>
      <c r="AW30" s="27">
        <f>IF($G30="s-curve",$E30+($F30-$E30)*$I$2/(1+EXP($I$3*(COUNT($I$9:AW$9)+$I$4))),TREND($E30:$F30,$E$9:$F$9,AW$9))</f>
        <v>0</v>
      </c>
      <c r="AX30" s="27">
        <f>IF($G30="s-curve",$E30+($F30-$E30)*$I$2/(1+EXP($I$3*(COUNT($I$9:AX$9)+$I$4))),TREND($E30:$F30,$E$9:$F$9,AX$9))</f>
        <v>0</v>
      </c>
      <c r="AY30" s="27">
        <f>IF($G30="s-curve",$E30+($F30-$E30)*$I$2/(1+EXP($I$3*(COUNT($I$9:AY$9)+$I$4))),TREND($E30:$F30,$E$9:$F$9,AY$9))</f>
        <v>0</v>
      </c>
      <c r="AZ30" s="27">
        <f>IF($G30="s-curve",$E30+($F30-$E30)*$I$2/(1+EXP($I$3*(COUNT($I$9:AZ$9)+$I$4))),TREND($E30:$F30,$E$9:$F$9,AZ$9))</f>
        <v>0</v>
      </c>
      <c r="BA30" s="27">
        <f>IF($G30="s-curve",$E30+($F30-$E30)*$I$2/(1+EXP($I$3*(COUNT($I$9:BA$9)+$I$4))),TREND($E30:$F30,$E$9:$F$9,BA$9))</f>
        <v>0</v>
      </c>
      <c r="BB30" s="27">
        <f>IF($G30="s-curve",$E30+($F30-$E30)*$I$2/(1+EXP($I$3*(COUNT($I$9:BB$9)+$I$4))),TREND($E30:$F30,$E$9:$F$9,BB$9))</f>
        <v>0</v>
      </c>
      <c r="BC30" s="27">
        <f>IF($G30="s-curve",$E30+($F30-$E30)*$I$2/(1+EXP($I$3*(COUNT($I$9:BC$9)+$I$4))),TREND($E30:$F30,$E$9:$F$9,BC$9))</f>
        <v>0</v>
      </c>
      <c r="BD30" s="27">
        <f>IF($G30="s-curve",$E30+($F30-$E30)*$I$2/(1+EXP($I$3*(COUNT($I$9:BD$9)+$I$4))),TREND($E30:$F30,$E$9:$F$9,BD$9))</f>
        <v>0</v>
      </c>
      <c r="BE30" s="27">
        <f>IF($G30="s-curve",$E30+($F30-$E30)*$I$2/(1+EXP($I$3*(COUNT($I$9:BE$9)+$I$4))),TREND($E30:$F30,$E$9:$F$9,BE$9))</f>
        <v>0</v>
      </c>
      <c r="BF30" s="27">
        <f>IF($G30="s-curve",$E30+($F30-$E30)*$I$2/(1+EXP($I$3*(COUNT($I$9:BF$9)+$I$4))),TREND($E30:$F30,$E$9:$F$9,BF$9))</f>
        <v>0</v>
      </c>
    </row>
    <row r="31" spans="1:63" x14ac:dyDescent="0.75">
      <c r="A31" t="s">
        <v>13</v>
      </c>
      <c r="B31" t="s">
        <v>18</v>
      </c>
      <c r="C31" t="s">
        <v>1</v>
      </c>
      <c r="D31" s="26">
        <v>4.0521955492299998E-3</v>
      </c>
      <c r="E31" s="26">
        <v>5.1262373158299998E-3</v>
      </c>
      <c r="F31" s="26">
        <v>0.25</v>
      </c>
      <c r="G31" s="29" t="str">
        <f>IF(E31=F31,"n/a",IF(OR(C31="battery electric vehicle",C31="natural gas vehicle",C31="plugin hybrid vehicle"),"s-curve","linear"))</f>
        <v>s-curve</v>
      </c>
      <c r="I31" s="27">
        <f>D31</f>
        <v>4.0521955492299998E-3</v>
      </c>
      <c r="J31" s="27">
        <f t="shared" si="4"/>
        <v>4.3207059908799998E-3</v>
      </c>
      <c r="K31" s="27">
        <f t="shared" si="4"/>
        <v>4.5892164325299998E-3</v>
      </c>
      <c r="L31" s="27">
        <f t="shared" si="4"/>
        <v>4.8577268741799998E-3</v>
      </c>
      <c r="M31" s="27">
        <f>E31</f>
        <v>5.1262373158299998E-3</v>
      </c>
      <c r="N31" s="27">
        <f>IF($G31="s-curve",$E31+($F31-$E31)*$U$2/(1+EXP($U$3*(COUNT($N$9:N$9)+$U$4))),TREND($E31:$F31,$E$9:$F$9,N$9))</f>
        <v>1.3836688276171205E-2</v>
      </c>
      <c r="O31" s="27">
        <f>IF($G31="s-curve",$E31+($F31-$E31)*$U$2/(1+EXP($U$3*(COUNT($N$9:O$9)+$U$4))),TREND($E31:$F31,$E$9:$F$9,O$9))</f>
        <v>1.6739589329403032E-2</v>
      </c>
      <c r="P31" s="27">
        <f>IF($G31="s-curve",$E31+($F31-$E31)*$U$2/(1+EXP($U$3*(COUNT($N$9:P$9)+$U$4))),TREND($E31:$F31,$E$9:$F$9,P$9))</f>
        <v>2.0546759962356699E-2</v>
      </c>
      <c r="Q31" s="27">
        <f>IF($G31="s-curve",$E31+($F31-$E31)*$U$2/(1+EXP($U$3*(COUNT($N$9:Q$9)+$U$4))),TREND($E31:$F31,$E$9:$F$9,Q$9))</f>
        <v>2.5493048458885243E-2</v>
      </c>
      <c r="R31" s="27">
        <f>IF($G31="s-curve",$E31+($F31-$E31)*$U$2/(1+EXP($U$3*(COUNT($N$9:R$9)+$U$4))),TREND($E31:$F31,$E$9:$F$9,R$9))</f>
        <v>3.1841186418881846E-2</v>
      </c>
      <c r="S31" s="27">
        <f>IF($G31="s-curve",$E31+($F31-$E31)*$U$2/(1+EXP($U$3*(COUNT($N$9:S$9)+$U$4))),TREND($E31:$F31,$E$9:$F$9,S$9))</f>
        <v>3.9861841318768847E-2</v>
      </c>
      <c r="T31" s="27">
        <f>IF($G31="s-curve",$E31+($F31-$E31)*$U$2/(1+EXP($U$3*(COUNT($N$9:T$9)+$U$4))),TREND($E31:$F31,$E$9:$F$9,T$9))</f>
        <v>4.979746173992311E-2</v>
      </c>
      <c r="U31" s="27">
        <f>IF($G31="s-curve",$E31+($F31-$E31)*$U$2/(1+EXP($U$3*(COUNT($N$9:U$9)+$U$4))),TREND($E31:$F31,$E$9:$F$9,U$9))</f>
        <v>6.1808444548558425E-2</v>
      </c>
      <c r="V31" s="27">
        <f>IF($G31="s-curve",$E31+($F31-$E31)*$U$2/(1+EXP($U$3*(COUNT($N$9:V$9)+$U$4))),TREND($E31:$F31,$E$9:$F$9,V$9))</f>
        <v>7.5907120213776075E-2</v>
      </c>
      <c r="W31" s="27">
        <f>IF($G31="s-curve",$E31+($F31-$E31)*$U$2/(1+EXP($U$3*(COUNT($N$9:W$9)+$U$4))),TREND($E31:$F31,$E$9:$F$9,W$9))</f>
        <v>9.1895710893726751E-2</v>
      </c>
      <c r="X31" s="27">
        <f>IF($G31="s-curve",$E31+($F31-$E31)*$U$2/(1+EXP($U$3*(COUNT($N$9:X$9)+$U$4))),TREND($E31:$F31,$E$9:$F$9,X$9))</f>
        <v>0.10933409946256448</v>
      </c>
      <c r="Y31" s="27">
        <f>IF($G31="s-curve",$E31+($F31-$E31)*$U$2/(1+EXP($U$3*(COUNT($N$9:Y$9)+$U$4))),TREND($E31:$F31,$E$9:$F$9,Y$9))</f>
        <v>0.127563118657915</v>
      </c>
      <c r="Z31" s="27">
        <f>IF($G31="s-curve",$E31+($F31-$E31)*$U$2/(1+EXP($U$3*(COUNT($N$9:Z$9)+$U$4))),TREND($E31:$F31,$E$9:$F$9,Z$9))</f>
        <v>0.14579213785326553</v>
      </c>
      <c r="AA31" s="27">
        <f>IF($G31="s-curve",$E31+($F31-$E31)*$U$2/(1+EXP($U$3*(COUNT($N$9:AA$9)+$U$4))),TREND($E31:$F31,$E$9:$F$9,AA$9))</f>
        <v>0.16323052642210323</v>
      </c>
      <c r="AB31" s="27">
        <f>IF($G31="s-curve",$E31+($F31-$E31)*$U$2/(1+EXP($U$3*(COUNT($N$9:AB$9)+$U$4))),TREND($E31:$F31,$E$9:$F$9,AB$9))</f>
        <v>0.1792191171020539</v>
      </c>
      <c r="AC31" s="27">
        <f>IF($G31="s-curve",$E31+($F31-$E31)*$U$2/(1+EXP($U$3*(COUNT($N$9:AC$9)+$U$4))),TREND($E31:$F31,$E$9:$F$9,AC$9))</f>
        <v>0.19331779276727157</v>
      </c>
      <c r="AD31" s="27">
        <f>IF($G31="s-curve",$E31+($F31-$E31)*$U$2/(1+EXP($U$3*(COUNT($N$9:AD$9)+$U$4))),TREND($E31:$F31,$E$9:$F$9,AD$9))</f>
        <v>0.20532877557590687</v>
      </c>
      <c r="AE31" s="27">
        <f>IF($G31="s-curve",$E31+($F31-$E31)*$U$2/(1+EXP($U$3*(COUNT($N$9:AE$9)+$U$4))),TREND($E31:$F31,$E$9:$F$9,AE$9))</f>
        <v>0.21526439599706118</v>
      </c>
      <c r="AF31" s="27">
        <f>IF($G31="s-curve",$E31+($F31-$E31)*$U$2/(1+EXP($U$3*(COUNT($N$9:AF$9)+$U$4))),TREND($E31:$F31,$E$9:$F$9,AF$9))</f>
        <v>0.22328505089694817</v>
      </c>
      <c r="AG31" s="27">
        <f>IF($G31="s-curve",$E31+($F31-$E31)*$U$2/(1+EXP($U$3*(COUNT($N$9:AG$9)+$U$4))),TREND($E31:$F31,$E$9:$F$9,AG$9))</f>
        <v>0.22963318885694475</v>
      </c>
      <c r="AH31" s="27">
        <f>IF($G31="s-curve",$E31+($F31-$E31)*$U$2/(1+EXP($U$3*(COUNT($N$9:AH$9)+$U$4))),TREND($E31:$F31,$E$9:$F$9,AH$9))</f>
        <v>0.23457947735347331</v>
      </c>
      <c r="AI31" s="27">
        <f>IF($G31="s-curve",$E31+($F31-$E31)*$U$2/(1+EXP($U$3*(COUNT($N$9:AI$9)+$U$4))),TREND($E31:$F31,$E$9:$F$9,AI$9))</f>
        <v>0.238386647986427</v>
      </c>
      <c r="AJ31" s="27">
        <f>IF($G31="s-curve",$E31+($F31-$E31)*$U$2/(1+EXP($U$3*(COUNT($N$9:AJ$9)+$U$4))),TREND($E31:$F31,$E$9:$F$9,AJ$9))</f>
        <v>0.2412895490396588</v>
      </c>
      <c r="AK31" s="27">
        <f>IF($G31="s-curve",$E31+($F31-$E31)*$U$2/(1+EXP($U$3*(COUNT($N$9:AK$9)+$U$4))),TREND($E31:$F31,$E$9:$F$9,AK$9))</f>
        <v>0.24348709410674613</v>
      </c>
      <c r="AL31" s="27">
        <f>IF($G31="s-curve",$E31+($F31-$E31)*$U$2/(1+EXP($U$3*(COUNT($N$9:AL$9)+$U$4))),TREND($E31:$F31,$E$9:$F$9,AL$9))</f>
        <v>0.24514162968209213</v>
      </c>
      <c r="AM31" s="27">
        <f>IF($G31="s-curve",$E31+($F31-$E31)*$U$2/(1+EXP($U$3*(COUNT($N$9:AM$9)+$U$4))),TREND($E31:$F31,$E$9:$F$9,AM$9))</f>
        <v>0.24638222726925305</v>
      </c>
      <c r="AN31" s="27">
        <f>IF($G31="s-curve",$E31+($F31-$E31)*$U$2/(1+EXP($U$3*(COUNT($N$9:AN$9)+$U$4))),TREND($E31:$F31,$E$9:$F$9,AN$9))</f>
        <v>0.24730958601765154</v>
      </c>
      <c r="AO31" s="27">
        <f>IF($G31="s-curve",$E31+($F31-$E31)*$U$2/(1+EXP($U$3*(COUNT($N$9:AO$9)+$U$4))),TREND($E31:$F31,$E$9:$F$9,AO$9))</f>
        <v>0.24800120048854848</v>
      </c>
      <c r="AP31" s="27">
        <f>IF($G31="s-curve",$E31+($F31-$E31)*$U$2/(1+EXP($U$3*(COUNT($N$9:AP$9)+$U$4))),TREND($E31:$F31,$E$9:$F$9,AP$9))</f>
        <v>0.24851611360763662</v>
      </c>
      <c r="AQ31" s="27">
        <f>IF($G31="s-curve",$E31+($F31-$E31)*$U$2/(1+EXP($U$3*(COUNT($N$9:AQ$9)+$U$4))),TREND($E31:$F31,$E$9:$F$9,AQ$9))</f>
        <v>0.24889898067302449</v>
      </c>
      <c r="AR31" s="27">
        <f>IF($G31="s-curve",$E31+($F31-$E31)*$U$2/(1+EXP($U$3*(COUNT($N$9:AR$9)+$U$4))),TREND($E31:$F31,$E$9:$F$9,AR$9))</f>
        <v>0.24918339318680705</v>
      </c>
      <c r="AS31" s="27">
        <f>IF($G31="s-curve",$E31+($F31-$E31)*$U$2/(1+EXP($U$3*(COUNT($N$9:AS$9)+$U$4))),TREND($E31:$F31,$E$9:$F$9,AS$9))</f>
        <v>0.24939451946393484</v>
      </c>
      <c r="AT31" s="27">
        <f>IF($G31="s-curve",$E31+($F31-$E31)*$U$2/(1+EXP($U$3*(COUNT($N$9:AT$9)+$U$4))),TREND($E31:$F31,$E$9:$F$9,AT$9))</f>
        <v>0.24955116134438143</v>
      </c>
      <c r="AU31" s="27">
        <f>IF($G31="s-curve",$E31+($F31-$E31)*$U$2/(1+EXP($U$3*(COUNT($N$9:AU$9)+$U$4))),TREND($E31:$F31,$E$9:$F$9,AU$9))</f>
        <v>0.24966733410805697</v>
      </c>
      <c r="AV31" s="27">
        <f>IF($G31="s-curve",$E31+($F31-$E31)*$U$2/(1+EXP($U$3*(COUNT($N$9:AV$9)+$U$4))),TREND($E31:$F31,$E$9:$F$9,AV$9))</f>
        <v>0.24975346824112502</v>
      </c>
      <c r="AW31" s="27">
        <f>IF($G31="s-curve",$E31+($F31-$E31)*$U$2/(1+EXP($U$3*(COUNT($N$9:AW$9)+$U$4))),TREND($E31:$F31,$E$9:$F$9,AW$9))</f>
        <v>0.24981731711238755</v>
      </c>
      <c r="AX31" s="27">
        <f>IF($G31="s-curve",$E31+($F31-$E31)*$U$2/(1+EXP($U$3*(COUNT($N$9:AX$9)+$U$4))),TREND($E31:$F31,$E$9:$F$9,AX$9))</f>
        <v>0.24986463901524511</v>
      </c>
      <c r="AY31" s="27">
        <f>IF($G31="s-curve",$E31+($F31-$E31)*$U$2/(1+EXP($U$3*(COUNT($N$9:AY$9)+$U$4))),TREND($E31:$F31,$E$9:$F$9,AY$9))</f>
        <v>0.24989970774723799</v>
      </c>
      <c r="AZ31" s="27">
        <f>IF($G31="s-curve",$E31+($F31-$E31)*$U$2/(1+EXP($U$3*(COUNT($N$9:AZ$9)+$U$4))),TREND($E31:$F31,$E$9:$F$9,AZ$9))</f>
        <v>0.2499256937839815</v>
      </c>
      <c r="BA31" s="27">
        <f>IF($G31="s-curve",$E31+($F31-$E31)*$U$2/(1+EXP($U$3*(COUNT($N$9:BA$9)+$U$4))),TREND($E31:$F31,$E$9:$F$9,BA$9))</f>
        <v>0.24994494827155844</v>
      </c>
      <c r="BB31" s="27">
        <f>IF($G31="s-curve",$E31+($F31-$E31)*$U$2/(1+EXP($U$3*(COUNT($N$9:BB$9)+$U$4))),TREND($E31:$F31,$E$9:$F$9,BB$9))</f>
        <v>0.24995921429997259</v>
      </c>
      <c r="BC31" s="27">
        <f>IF($G31="s-curve",$E31+($F31-$E31)*$U$2/(1+EXP($U$3*(COUNT($N$9:BC$9)+$U$4))),TREND($E31:$F31,$E$9:$F$9,BC$9))</f>
        <v>0.24996978390588342</v>
      </c>
      <c r="BD31" s="27">
        <f>IF($G31="s-curve",$E31+($F31-$E31)*$U$2/(1+EXP($U$3*(COUNT($N$9:BD$9)+$U$4))),TREND($E31:$F31,$E$9:$F$9,BD$9))</f>
        <v>0.24997761465100074</v>
      </c>
      <c r="BE31" s="27">
        <f>IF($G31="s-curve",$E31+($F31-$E31)*$U$2/(1+EXP($U$3*(COUNT($N$9:BE$9)+$U$4))),TREND($E31:$F31,$E$9:$F$9,BE$9))</f>
        <v>0.24998341613265804</v>
      </c>
      <c r="BF31" s="27">
        <f>IF($G31="s-curve",$E31+($F31-$E31)*$U$2/(1+EXP($U$3*(COUNT($N$9:BF$9)+$U$4))),TREND($E31:$F31,$E$9:$F$9,BF$9))</f>
        <v>0.24998771415325186</v>
      </c>
    </row>
    <row r="32" spans="1:63" x14ac:dyDescent="0.75">
      <c r="C32" t="s">
        <v>2</v>
      </c>
      <c r="D32" s="26">
        <v>0</v>
      </c>
      <c r="E32" s="26">
        <v>0</v>
      </c>
      <c r="F32" s="26">
        <f>E32</f>
        <v>0</v>
      </c>
      <c r="G32" s="29" t="str">
        <f>IF(E32=F32,"n/a",IF(OR(C32="battery electric vehicle",C32="natural gas vehicle",C32="plugin hybrid vehicle"),"s-curve","linear"))</f>
        <v>n/a</v>
      </c>
      <c r="I32" s="27">
        <f t="shared" ref="I32:I37" si="9">D32</f>
        <v>0</v>
      </c>
      <c r="J32" s="27">
        <f t="shared" si="4"/>
        <v>0</v>
      </c>
      <c r="K32" s="27">
        <f t="shared" si="4"/>
        <v>0</v>
      </c>
      <c r="L32" s="27">
        <f t="shared" si="4"/>
        <v>0</v>
      </c>
      <c r="M32" s="27">
        <f t="shared" ref="M32:M37" si="10">E32</f>
        <v>0</v>
      </c>
      <c r="N32" s="27">
        <f>IF($G32="s-curve",$E32+($F32-$E32)*$I$2/(1+EXP($I$3*(COUNT($I$9:N$9)+$I$4))),TREND($E32:$F32,$E$9:$F$9,N$9))</f>
        <v>0</v>
      </c>
      <c r="O32" s="27">
        <f>IF($G32="s-curve",$E32+($F32-$E32)*$I$2/(1+EXP($I$3*(COUNT($I$9:O$9)+$I$4))),TREND($E32:$F32,$E$9:$F$9,O$9))</f>
        <v>0</v>
      </c>
      <c r="P32" s="27">
        <f>IF($G32="s-curve",$E32+($F32-$E32)*$I$2/(1+EXP($I$3*(COUNT($I$9:P$9)+$I$4))),TREND($E32:$F32,$E$9:$F$9,P$9))</f>
        <v>0</v>
      </c>
      <c r="Q32" s="27">
        <f>IF($G32="s-curve",$E32+($F32-$E32)*$I$2/(1+EXP($I$3*(COUNT($I$9:Q$9)+$I$4))),TREND($E32:$F32,$E$9:$F$9,Q$9))</f>
        <v>0</v>
      </c>
      <c r="R32" s="27">
        <f>IF($G32="s-curve",$E32+($F32-$E32)*$I$2/(1+EXP($I$3*(COUNT($I$9:R$9)+$I$4))),TREND($E32:$F32,$E$9:$F$9,R$9))</f>
        <v>0</v>
      </c>
      <c r="S32" s="27">
        <f>IF($G32="s-curve",$E32+($F32-$E32)*$I$2/(1+EXP($I$3*(COUNT($I$9:S$9)+$I$4))),TREND($E32:$F32,$E$9:$F$9,S$9))</f>
        <v>0</v>
      </c>
      <c r="T32" s="27">
        <f>IF($G32="s-curve",$E32+($F32-$E32)*$I$2/(1+EXP($I$3*(COUNT($I$9:T$9)+$I$4))),TREND($E32:$F32,$E$9:$F$9,T$9))</f>
        <v>0</v>
      </c>
      <c r="U32" s="27">
        <f>IF($G32="s-curve",$E32+($F32-$E32)*$I$2/(1+EXP($I$3*(COUNT($I$9:U$9)+$I$4))),TREND($E32:$F32,$E$9:$F$9,U$9))</f>
        <v>0</v>
      </c>
      <c r="V32" s="27">
        <f>IF($G32="s-curve",$E32+($F32-$E32)*$I$2/(1+EXP($I$3*(COUNT($I$9:V$9)+$I$4))),TREND($E32:$F32,$E$9:$F$9,V$9))</f>
        <v>0</v>
      </c>
      <c r="W32" s="27">
        <f>IF($G32="s-curve",$E32+($F32-$E32)*$I$2/(1+EXP($I$3*(COUNT($I$9:W$9)+$I$4))),TREND($E32:$F32,$E$9:$F$9,W$9))</f>
        <v>0</v>
      </c>
      <c r="X32" s="27">
        <f>IF($G32="s-curve",$E32+($F32-$E32)*$I$2/(1+EXP($I$3*(COUNT($I$9:X$9)+$I$4))),TREND($E32:$F32,$E$9:$F$9,X$9))</f>
        <v>0</v>
      </c>
      <c r="Y32" s="27">
        <f>IF($G32="s-curve",$E32+($F32-$E32)*$I$2/(1+EXP($I$3*(COUNT($I$9:Y$9)+$I$4))),TREND($E32:$F32,$E$9:$F$9,Y$9))</f>
        <v>0</v>
      </c>
      <c r="Z32" s="27">
        <f>IF($G32="s-curve",$E32+($F32-$E32)*$I$2/(1+EXP($I$3*(COUNT($I$9:Z$9)+$I$4))),TREND($E32:$F32,$E$9:$F$9,Z$9))</f>
        <v>0</v>
      </c>
      <c r="AA32" s="27">
        <f>IF($G32="s-curve",$E32+($F32-$E32)*$I$2/(1+EXP($I$3*(COUNT($I$9:AA$9)+$I$4))),TREND($E32:$F32,$E$9:$F$9,AA$9))</f>
        <v>0</v>
      </c>
      <c r="AB32" s="27">
        <f>IF($G32="s-curve",$E32+($F32-$E32)*$I$2/(1+EXP($I$3*(COUNT($I$9:AB$9)+$I$4))),TREND($E32:$F32,$E$9:$F$9,AB$9))</f>
        <v>0</v>
      </c>
      <c r="AC32" s="27">
        <f>IF($G32="s-curve",$E32+($F32-$E32)*$I$2/(1+EXP($I$3*(COUNT($I$9:AC$9)+$I$4))),TREND($E32:$F32,$E$9:$F$9,AC$9))</f>
        <v>0</v>
      </c>
      <c r="AD32" s="27">
        <f>IF($G32="s-curve",$E32+($F32-$E32)*$I$2/(1+EXP($I$3*(COUNT($I$9:AD$9)+$I$4))),TREND($E32:$F32,$E$9:$F$9,AD$9))</f>
        <v>0</v>
      </c>
      <c r="AE32" s="27">
        <f>IF($G32="s-curve",$E32+($F32-$E32)*$I$2/(1+EXP($I$3*(COUNT($I$9:AE$9)+$I$4))),TREND($E32:$F32,$E$9:$F$9,AE$9))</f>
        <v>0</v>
      </c>
      <c r="AF32" s="27">
        <f>IF($G32="s-curve",$E32+($F32-$E32)*$I$2/(1+EXP($I$3*(COUNT($I$9:AF$9)+$I$4))),TREND($E32:$F32,$E$9:$F$9,AF$9))</f>
        <v>0</v>
      </c>
      <c r="AG32" s="27">
        <f>IF($G32="s-curve",$E32+($F32-$E32)*$I$2/(1+EXP($I$3*(COUNT($I$9:AG$9)+$I$4))),TREND($E32:$F32,$E$9:$F$9,AG$9))</f>
        <v>0</v>
      </c>
      <c r="AH32" s="27">
        <f>IF($G32="s-curve",$E32+($F32-$E32)*$I$2/(1+EXP($I$3*(COUNT($I$9:AH$9)+$I$4))),TREND($E32:$F32,$E$9:$F$9,AH$9))</f>
        <v>0</v>
      </c>
      <c r="AI32" s="27">
        <f>IF($G32="s-curve",$E32+($F32-$E32)*$I$2/(1+EXP($I$3*(COUNT($I$9:AI$9)+$I$4))),TREND($E32:$F32,$E$9:$F$9,AI$9))</f>
        <v>0</v>
      </c>
      <c r="AJ32" s="27">
        <f>IF($G32="s-curve",$E32+($F32-$E32)*$I$2/(1+EXP($I$3*(COUNT($I$9:AJ$9)+$I$4))),TREND($E32:$F32,$E$9:$F$9,AJ$9))</f>
        <v>0</v>
      </c>
      <c r="AK32" s="27">
        <f>IF($G32="s-curve",$E32+($F32-$E32)*$I$2/(1+EXP($I$3*(COUNT($I$9:AK$9)+$I$4))),TREND($E32:$F32,$E$9:$F$9,AK$9))</f>
        <v>0</v>
      </c>
      <c r="AL32" s="27">
        <f>IF($G32="s-curve",$E32+($F32-$E32)*$I$2/(1+EXP($I$3*(COUNT($I$9:AL$9)+$I$4))),TREND($E32:$F32,$E$9:$F$9,AL$9))</f>
        <v>0</v>
      </c>
      <c r="AM32" s="27">
        <f>IF($G32="s-curve",$E32+($F32-$E32)*$I$2/(1+EXP($I$3*(COUNT($I$9:AM$9)+$I$4))),TREND($E32:$F32,$E$9:$F$9,AM$9))</f>
        <v>0</v>
      </c>
      <c r="AN32" s="27">
        <f>IF($G32="s-curve",$E32+($F32-$E32)*$I$2/(1+EXP($I$3*(COUNT($I$9:AN$9)+$I$4))),TREND($E32:$F32,$E$9:$F$9,AN$9))</f>
        <v>0</v>
      </c>
      <c r="AO32" s="27">
        <f>IF($G32="s-curve",$E32+($F32-$E32)*$I$2/(1+EXP($I$3*(COUNT($I$9:AO$9)+$I$4))),TREND($E32:$F32,$E$9:$F$9,AO$9))</f>
        <v>0</v>
      </c>
      <c r="AP32" s="27">
        <f>IF($G32="s-curve",$E32+($F32-$E32)*$I$2/(1+EXP($I$3*(COUNT($I$9:AP$9)+$I$4))),TREND($E32:$F32,$E$9:$F$9,AP$9))</f>
        <v>0</v>
      </c>
      <c r="AQ32" s="27">
        <f>IF($G32="s-curve",$E32+($F32-$E32)*$I$2/(1+EXP($I$3*(COUNT($I$9:AQ$9)+$I$4))),TREND($E32:$F32,$E$9:$F$9,AQ$9))</f>
        <v>0</v>
      </c>
      <c r="AR32" s="27">
        <f>IF($G32="s-curve",$E32+($F32-$E32)*$I$2/(1+EXP($I$3*(COUNT($I$9:AR$9)+$I$4))),TREND($E32:$F32,$E$9:$F$9,AR$9))</f>
        <v>0</v>
      </c>
      <c r="AS32" s="27">
        <f>IF($G32="s-curve",$E32+($F32-$E32)*$I$2/(1+EXP($I$3*(COUNT($I$9:AS$9)+$I$4))),TREND($E32:$F32,$E$9:$F$9,AS$9))</f>
        <v>0</v>
      </c>
      <c r="AT32" s="27">
        <f>IF($G32="s-curve",$E32+($F32-$E32)*$I$2/(1+EXP($I$3*(COUNT($I$9:AT$9)+$I$4))),TREND($E32:$F32,$E$9:$F$9,AT$9))</f>
        <v>0</v>
      </c>
      <c r="AU32" s="27">
        <f>IF($G32="s-curve",$E32+($F32-$E32)*$I$2/(1+EXP($I$3*(COUNT($I$9:AU$9)+$I$4))),TREND($E32:$F32,$E$9:$F$9,AU$9))</f>
        <v>0</v>
      </c>
      <c r="AV32" s="27">
        <f>IF($G32="s-curve",$E32+($F32-$E32)*$I$2/(1+EXP($I$3*(COUNT($I$9:AV$9)+$I$4))),TREND($E32:$F32,$E$9:$F$9,AV$9))</f>
        <v>0</v>
      </c>
      <c r="AW32" s="27">
        <f>IF($G32="s-curve",$E32+($F32-$E32)*$I$2/(1+EXP($I$3*(COUNT($I$9:AW$9)+$I$4))),TREND($E32:$F32,$E$9:$F$9,AW$9))</f>
        <v>0</v>
      </c>
      <c r="AX32" s="27">
        <f>IF($G32="s-curve",$E32+($F32-$E32)*$I$2/(1+EXP($I$3*(COUNT($I$9:AX$9)+$I$4))),TREND($E32:$F32,$E$9:$F$9,AX$9))</f>
        <v>0</v>
      </c>
      <c r="AY32" s="27">
        <f>IF($G32="s-curve",$E32+($F32-$E32)*$I$2/(1+EXP($I$3*(COUNT($I$9:AY$9)+$I$4))),TREND($E32:$F32,$E$9:$F$9,AY$9))</f>
        <v>0</v>
      </c>
      <c r="AZ32" s="27">
        <f>IF($G32="s-curve",$E32+($F32-$E32)*$I$2/(1+EXP($I$3*(COUNT($I$9:AZ$9)+$I$4))),TREND($E32:$F32,$E$9:$F$9,AZ$9))</f>
        <v>0</v>
      </c>
      <c r="BA32" s="27">
        <f>IF($G32="s-curve",$E32+($F32-$E32)*$I$2/(1+EXP($I$3*(COUNT($I$9:BA$9)+$I$4))),TREND($E32:$F32,$E$9:$F$9,BA$9))</f>
        <v>0</v>
      </c>
      <c r="BB32" s="27">
        <f>IF($G32="s-curve",$E32+($F32-$E32)*$I$2/(1+EXP($I$3*(COUNT($I$9:BB$9)+$I$4))),TREND($E32:$F32,$E$9:$F$9,BB$9))</f>
        <v>0</v>
      </c>
      <c r="BC32" s="27">
        <f>IF($G32="s-curve",$E32+($F32-$E32)*$I$2/(1+EXP($I$3*(COUNT($I$9:BC$9)+$I$4))),TREND($E32:$F32,$E$9:$F$9,BC$9))</f>
        <v>0</v>
      </c>
      <c r="BD32" s="27">
        <f>IF($G32="s-curve",$E32+($F32-$E32)*$I$2/(1+EXP($I$3*(COUNT($I$9:BD$9)+$I$4))),TREND($E32:$F32,$E$9:$F$9,BD$9))</f>
        <v>0</v>
      </c>
      <c r="BE32" s="27">
        <f>IF($G32="s-curve",$E32+($F32-$E32)*$I$2/(1+EXP($I$3*(COUNT($I$9:BE$9)+$I$4))),TREND($E32:$F32,$E$9:$F$9,BE$9))</f>
        <v>0</v>
      </c>
      <c r="BF32" s="27">
        <f>IF($G32="s-curve",$E32+($F32-$E32)*$I$2/(1+EXP($I$3*(COUNT($I$9:BF$9)+$I$4))),TREND($E32:$F32,$E$9:$F$9,BF$9))</f>
        <v>0</v>
      </c>
    </row>
    <row r="33" spans="1:58" x14ac:dyDescent="0.75">
      <c r="C33" t="s">
        <v>3</v>
      </c>
      <c r="D33" s="26">
        <v>0</v>
      </c>
      <c r="E33" s="26">
        <v>0</v>
      </c>
      <c r="F33" s="26">
        <f>E33</f>
        <v>0</v>
      </c>
      <c r="G33" s="29" t="str">
        <f>IF(E33=F33,"n/a",IF(OR(C33="battery electric vehicle",C33="natural gas vehicle",C33="plugin hybrid vehicle"),"s-curve","linear"))</f>
        <v>n/a</v>
      </c>
      <c r="I33" s="27">
        <f t="shared" si="9"/>
        <v>0</v>
      </c>
      <c r="J33" s="27">
        <f t="shared" si="4"/>
        <v>0</v>
      </c>
      <c r="K33" s="27">
        <f t="shared" si="4"/>
        <v>0</v>
      </c>
      <c r="L33" s="27">
        <f t="shared" si="4"/>
        <v>0</v>
      </c>
      <c r="M33" s="27">
        <f t="shared" si="10"/>
        <v>0</v>
      </c>
      <c r="N33" s="27">
        <f>IF($G33="s-curve",$E33+($F33-$E33)*$I$2/(1+EXP($I$3*(COUNT($I$9:N$9)+$I$4))),TREND($E33:$F33,$E$9:$F$9,N$9))</f>
        <v>0</v>
      </c>
      <c r="O33" s="27">
        <f>IF($G33="s-curve",$E33+($F33-$E33)*$I$2/(1+EXP($I$3*(COUNT($I$9:O$9)+$I$4))),TREND($E33:$F33,$E$9:$F$9,O$9))</f>
        <v>0</v>
      </c>
      <c r="P33" s="27">
        <f>IF($G33="s-curve",$E33+($F33-$E33)*$I$2/(1+EXP($I$3*(COUNT($I$9:P$9)+$I$4))),TREND($E33:$F33,$E$9:$F$9,P$9))</f>
        <v>0</v>
      </c>
      <c r="Q33" s="27">
        <f>IF($G33="s-curve",$E33+($F33-$E33)*$I$2/(1+EXP($I$3*(COUNT($I$9:Q$9)+$I$4))),TREND($E33:$F33,$E$9:$F$9,Q$9))</f>
        <v>0</v>
      </c>
      <c r="R33" s="27">
        <f>IF($G33="s-curve",$E33+($F33-$E33)*$I$2/(1+EXP($I$3*(COUNT($I$9:R$9)+$I$4))),TREND($E33:$F33,$E$9:$F$9,R$9))</f>
        <v>0</v>
      </c>
      <c r="S33" s="27">
        <f>IF($G33="s-curve",$E33+($F33-$E33)*$I$2/(1+EXP($I$3*(COUNT($I$9:S$9)+$I$4))),TREND($E33:$F33,$E$9:$F$9,S$9))</f>
        <v>0</v>
      </c>
      <c r="T33" s="27">
        <f>IF($G33="s-curve",$E33+($F33-$E33)*$I$2/(1+EXP($I$3*(COUNT($I$9:T$9)+$I$4))),TREND($E33:$F33,$E$9:$F$9,T$9))</f>
        <v>0</v>
      </c>
      <c r="U33" s="27">
        <f>IF($G33="s-curve",$E33+($F33-$E33)*$I$2/(1+EXP($I$3*(COUNT($I$9:U$9)+$I$4))),TREND($E33:$F33,$E$9:$F$9,U$9))</f>
        <v>0</v>
      </c>
      <c r="V33" s="27">
        <f>IF($G33="s-curve",$E33+($F33-$E33)*$I$2/(1+EXP($I$3*(COUNT($I$9:V$9)+$I$4))),TREND($E33:$F33,$E$9:$F$9,V$9))</f>
        <v>0</v>
      </c>
      <c r="W33" s="27">
        <f>IF($G33="s-curve",$E33+($F33-$E33)*$I$2/(1+EXP($I$3*(COUNT($I$9:W$9)+$I$4))),TREND($E33:$F33,$E$9:$F$9,W$9))</f>
        <v>0</v>
      </c>
      <c r="X33" s="27">
        <f>IF($G33="s-curve",$E33+($F33-$E33)*$I$2/(1+EXP($I$3*(COUNT($I$9:X$9)+$I$4))),TREND($E33:$F33,$E$9:$F$9,X$9))</f>
        <v>0</v>
      </c>
      <c r="Y33" s="27">
        <f>IF($G33="s-curve",$E33+($F33-$E33)*$I$2/(1+EXP($I$3*(COUNT($I$9:Y$9)+$I$4))),TREND($E33:$F33,$E$9:$F$9,Y$9))</f>
        <v>0</v>
      </c>
      <c r="Z33" s="27">
        <f>IF($G33="s-curve",$E33+($F33-$E33)*$I$2/(1+EXP($I$3*(COUNT($I$9:Z$9)+$I$4))),TREND($E33:$F33,$E$9:$F$9,Z$9))</f>
        <v>0</v>
      </c>
      <c r="AA33" s="27">
        <f>IF($G33="s-curve",$E33+($F33-$E33)*$I$2/(1+EXP($I$3*(COUNT($I$9:AA$9)+$I$4))),TREND($E33:$F33,$E$9:$F$9,AA$9))</f>
        <v>0</v>
      </c>
      <c r="AB33" s="27">
        <f>IF($G33="s-curve",$E33+($F33-$E33)*$I$2/(1+EXP($I$3*(COUNT($I$9:AB$9)+$I$4))),TREND($E33:$F33,$E$9:$F$9,AB$9))</f>
        <v>0</v>
      </c>
      <c r="AC33" s="27">
        <f>IF($G33="s-curve",$E33+($F33-$E33)*$I$2/(1+EXP($I$3*(COUNT($I$9:AC$9)+$I$4))),TREND($E33:$F33,$E$9:$F$9,AC$9))</f>
        <v>0</v>
      </c>
      <c r="AD33" s="27">
        <f>IF($G33="s-curve",$E33+($F33-$E33)*$I$2/(1+EXP($I$3*(COUNT($I$9:AD$9)+$I$4))),TREND($E33:$F33,$E$9:$F$9,AD$9))</f>
        <v>0</v>
      </c>
      <c r="AE33" s="27">
        <f>IF($G33="s-curve",$E33+($F33-$E33)*$I$2/(1+EXP($I$3*(COUNT($I$9:AE$9)+$I$4))),TREND($E33:$F33,$E$9:$F$9,AE$9))</f>
        <v>0</v>
      </c>
      <c r="AF33" s="27">
        <f>IF($G33="s-curve",$E33+($F33-$E33)*$I$2/(1+EXP($I$3*(COUNT($I$9:AF$9)+$I$4))),TREND($E33:$F33,$E$9:$F$9,AF$9))</f>
        <v>0</v>
      </c>
      <c r="AG33" s="27">
        <f>IF($G33="s-curve",$E33+($F33-$E33)*$I$2/(1+EXP($I$3*(COUNT($I$9:AG$9)+$I$4))),TREND($E33:$F33,$E$9:$F$9,AG$9))</f>
        <v>0</v>
      </c>
      <c r="AH33" s="27">
        <f>IF($G33="s-curve",$E33+($F33-$E33)*$I$2/(1+EXP($I$3*(COUNT($I$9:AH$9)+$I$4))),TREND($E33:$F33,$E$9:$F$9,AH$9))</f>
        <v>0</v>
      </c>
      <c r="AI33" s="27">
        <f>IF($G33="s-curve",$E33+($F33-$E33)*$I$2/(1+EXP($I$3*(COUNT($I$9:AI$9)+$I$4))),TREND($E33:$F33,$E$9:$F$9,AI$9))</f>
        <v>0</v>
      </c>
      <c r="AJ33" s="27">
        <f>IF($G33="s-curve",$E33+($F33-$E33)*$I$2/(1+EXP($I$3*(COUNT($I$9:AJ$9)+$I$4))),TREND($E33:$F33,$E$9:$F$9,AJ$9))</f>
        <v>0</v>
      </c>
      <c r="AK33" s="27">
        <f>IF($G33="s-curve",$E33+($F33-$E33)*$I$2/(1+EXP($I$3*(COUNT($I$9:AK$9)+$I$4))),TREND($E33:$F33,$E$9:$F$9,AK$9))</f>
        <v>0</v>
      </c>
      <c r="AL33" s="27">
        <f>IF($G33="s-curve",$E33+($F33-$E33)*$I$2/(1+EXP($I$3*(COUNT($I$9:AL$9)+$I$4))),TREND($E33:$F33,$E$9:$F$9,AL$9))</f>
        <v>0</v>
      </c>
      <c r="AM33" s="27">
        <f>IF($G33="s-curve",$E33+($F33-$E33)*$I$2/(1+EXP($I$3*(COUNT($I$9:AM$9)+$I$4))),TREND($E33:$F33,$E$9:$F$9,AM$9))</f>
        <v>0</v>
      </c>
      <c r="AN33" s="27">
        <f>IF($G33="s-curve",$E33+($F33-$E33)*$I$2/(1+EXP($I$3*(COUNT($I$9:AN$9)+$I$4))),TREND($E33:$F33,$E$9:$F$9,AN$9))</f>
        <v>0</v>
      </c>
      <c r="AO33" s="27">
        <f>IF($G33="s-curve",$E33+($F33-$E33)*$I$2/(1+EXP($I$3*(COUNT($I$9:AO$9)+$I$4))),TREND($E33:$F33,$E$9:$F$9,AO$9))</f>
        <v>0</v>
      </c>
      <c r="AP33" s="27">
        <f>IF($G33="s-curve",$E33+($F33-$E33)*$I$2/(1+EXP($I$3*(COUNT($I$9:AP$9)+$I$4))),TREND($E33:$F33,$E$9:$F$9,AP$9))</f>
        <v>0</v>
      </c>
      <c r="AQ33" s="27">
        <f>IF($G33="s-curve",$E33+($F33-$E33)*$I$2/(1+EXP($I$3*(COUNT($I$9:AQ$9)+$I$4))),TREND($E33:$F33,$E$9:$F$9,AQ$9))</f>
        <v>0</v>
      </c>
      <c r="AR33" s="27">
        <f>IF($G33="s-curve",$E33+($F33-$E33)*$I$2/(1+EXP($I$3*(COUNT($I$9:AR$9)+$I$4))),TREND($E33:$F33,$E$9:$F$9,AR$9))</f>
        <v>0</v>
      </c>
      <c r="AS33" s="27">
        <f>IF($G33="s-curve",$E33+($F33-$E33)*$I$2/(1+EXP($I$3*(COUNT($I$9:AS$9)+$I$4))),TREND($E33:$F33,$E$9:$F$9,AS$9))</f>
        <v>0</v>
      </c>
      <c r="AT33" s="27">
        <f>IF($G33="s-curve",$E33+($F33-$E33)*$I$2/(1+EXP($I$3*(COUNT($I$9:AT$9)+$I$4))),TREND($E33:$F33,$E$9:$F$9,AT$9))</f>
        <v>0</v>
      </c>
      <c r="AU33" s="27">
        <f>IF($G33="s-curve",$E33+($F33-$E33)*$I$2/(1+EXP($I$3*(COUNT($I$9:AU$9)+$I$4))),TREND($E33:$F33,$E$9:$F$9,AU$9))</f>
        <v>0</v>
      </c>
      <c r="AV33" s="27">
        <f>IF($G33="s-curve",$E33+($F33-$E33)*$I$2/(1+EXP($I$3*(COUNT($I$9:AV$9)+$I$4))),TREND($E33:$F33,$E$9:$F$9,AV$9))</f>
        <v>0</v>
      </c>
      <c r="AW33" s="27">
        <f>IF($G33="s-curve",$E33+($F33-$E33)*$I$2/(1+EXP($I$3*(COUNT($I$9:AW$9)+$I$4))),TREND($E33:$F33,$E$9:$F$9,AW$9))</f>
        <v>0</v>
      </c>
      <c r="AX33" s="27">
        <f>IF($G33="s-curve",$E33+($F33-$E33)*$I$2/(1+EXP($I$3*(COUNT($I$9:AX$9)+$I$4))),TREND($E33:$F33,$E$9:$F$9,AX$9))</f>
        <v>0</v>
      </c>
      <c r="AY33" s="27">
        <f>IF($G33="s-curve",$E33+($F33-$E33)*$I$2/(1+EXP($I$3*(COUNT($I$9:AY$9)+$I$4))),TREND($E33:$F33,$E$9:$F$9,AY$9))</f>
        <v>0</v>
      </c>
      <c r="AZ33" s="27">
        <f>IF($G33="s-curve",$E33+($F33-$E33)*$I$2/(1+EXP($I$3*(COUNT($I$9:AZ$9)+$I$4))),TREND($E33:$F33,$E$9:$F$9,AZ$9))</f>
        <v>0</v>
      </c>
      <c r="BA33" s="27">
        <f>IF($G33="s-curve",$E33+($F33-$E33)*$I$2/(1+EXP($I$3*(COUNT($I$9:BA$9)+$I$4))),TREND($E33:$F33,$E$9:$F$9,BA$9))</f>
        <v>0</v>
      </c>
      <c r="BB33" s="27">
        <f>IF($G33="s-curve",$E33+($F33-$E33)*$I$2/(1+EXP($I$3*(COUNT($I$9:BB$9)+$I$4))),TREND($E33:$F33,$E$9:$F$9,BB$9))</f>
        <v>0</v>
      </c>
      <c r="BC33" s="27">
        <f>IF($G33="s-curve",$E33+($F33-$E33)*$I$2/(1+EXP($I$3*(COUNT($I$9:BC$9)+$I$4))),TREND($E33:$F33,$E$9:$F$9,BC$9))</f>
        <v>0</v>
      </c>
      <c r="BD33" s="27">
        <f>IF($G33="s-curve",$E33+($F33-$E33)*$I$2/(1+EXP($I$3*(COUNT($I$9:BD$9)+$I$4))),TREND($E33:$F33,$E$9:$F$9,BD$9))</f>
        <v>0</v>
      </c>
      <c r="BE33" s="27">
        <f>IF($G33="s-curve",$E33+($F33-$E33)*$I$2/(1+EXP($I$3*(COUNT($I$9:BE$9)+$I$4))),TREND($E33:$F33,$E$9:$F$9,BE$9))</f>
        <v>0</v>
      </c>
      <c r="BF33" s="27">
        <f>IF($G33="s-curve",$E33+($F33-$E33)*$I$2/(1+EXP($I$3*(COUNT($I$9:BF$9)+$I$4))),TREND($E33:$F33,$E$9:$F$9,BF$9))</f>
        <v>0</v>
      </c>
    </row>
    <row r="34" spans="1:58" x14ac:dyDescent="0.75">
      <c r="C34" t="s">
        <v>4</v>
      </c>
      <c r="D34" s="26">
        <v>1</v>
      </c>
      <c r="E34" s="26">
        <v>1</v>
      </c>
      <c r="F34" s="26">
        <v>1</v>
      </c>
      <c r="G34" s="29" t="str">
        <f>IF(E34=F34,"n/a",IF(OR(C34="battery electric vehicle",C34="natural gas vehicle",C34="plugin hybrid vehicle"),"s-curve","linear"))</f>
        <v>n/a</v>
      </c>
      <c r="I34" s="27">
        <f t="shared" si="9"/>
        <v>1</v>
      </c>
      <c r="J34" s="27">
        <f t="shared" si="4"/>
        <v>1</v>
      </c>
      <c r="K34" s="27">
        <f t="shared" si="4"/>
        <v>1</v>
      </c>
      <c r="L34" s="27">
        <f t="shared" si="4"/>
        <v>1</v>
      </c>
      <c r="M34" s="27">
        <f t="shared" si="10"/>
        <v>1</v>
      </c>
      <c r="N34" s="27">
        <f>IF($G34="s-curve",$E34+($F34-$E34)*$I$2/(1+EXP($I$3*(COUNT($I$9:N$9)+$I$4))),TREND($E34:$F34,$E$9:$F$9,N$9))</f>
        <v>1</v>
      </c>
      <c r="O34" s="27">
        <f>IF($G34="s-curve",$E34+($F34-$E34)*$I$2/(1+EXP($I$3*(COUNT($I$9:O$9)+$I$4))),TREND($E34:$F34,$E$9:$F$9,O$9))</f>
        <v>1</v>
      </c>
      <c r="P34" s="27">
        <f>IF($G34="s-curve",$E34+($F34-$E34)*$I$2/(1+EXP($I$3*(COUNT($I$9:P$9)+$I$4))),TREND($E34:$F34,$E$9:$F$9,P$9))</f>
        <v>1</v>
      </c>
      <c r="Q34" s="27">
        <f>IF($G34="s-curve",$E34+($F34-$E34)*$I$2/(1+EXP($I$3*(COUNT($I$9:Q$9)+$I$4))),TREND($E34:$F34,$E$9:$F$9,Q$9))</f>
        <v>1</v>
      </c>
      <c r="R34" s="27">
        <f>IF($G34="s-curve",$E34+($F34-$E34)*$I$2/(1+EXP($I$3*(COUNT($I$9:R$9)+$I$4))),TREND($E34:$F34,$E$9:$F$9,R$9))</f>
        <v>1</v>
      </c>
      <c r="S34" s="27">
        <f>IF($G34="s-curve",$E34+($F34-$E34)*$I$2/(1+EXP($I$3*(COUNT($I$9:S$9)+$I$4))),TREND($E34:$F34,$E$9:$F$9,S$9))</f>
        <v>1</v>
      </c>
      <c r="T34" s="27">
        <f>IF($G34="s-curve",$E34+($F34-$E34)*$I$2/(1+EXP($I$3*(COUNT($I$9:T$9)+$I$4))),TREND($E34:$F34,$E$9:$F$9,T$9))</f>
        <v>1</v>
      </c>
      <c r="U34" s="27">
        <f>IF($G34="s-curve",$E34+($F34-$E34)*$I$2/(1+EXP($I$3*(COUNT($I$9:U$9)+$I$4))),TREND($E34:$F34,$E$9:$F$9,U$9))</f>
        <v>1</v>
      </c>
      <c r="V34" s="27">
        <f>IF($G34="s-curve",$E34+($F34-$E34)*$I$2/(1+EXP($I$3*(COUNT($I$9:V$9)+$I$4))),TREND($E34:$F34,$E$9:$F$9,V$9))</f>
        <v>1</v>
      </c>
      <c r="W34" s="27">
        <f>IF($G34="s-curve",$E34+($F34-$E34)*$I$2/(1+EXP($I$3*(COUNT($I$9:W$9)+$I$4))),TREND($E34:$F34,$E$9:$F$9,W$9))</f>
        <v>1</v>
      </c>
      <c r="X34" s="27">
        <f>IF($G34="s-curve",$E34+($F34-$E34)*$I$2/(1+EXP($I$3*(COUNT($I$9:X$9)+$I$4))),TREND($E34:$F34,$E$9:$F$9,X$9))</f>
        <v>1</v>
      </c>
      <c r="Y34" s="27">
        <f>IF($G34="s-curve",$E34+($F34-$E34)*$I$2/(1+EXP($I$3*(COUNT($I$9:Y$9)+$I$4))),TREND($E34:$F34,$E$9:$F$9,Y$9))</f>
        <v>1</v>
      </c>
      <c r="Z34" s="27">
        <f>IF($G34="s-curve",$E34+($F34-$E34)*$I$2/(1+EXP($I$3*(COUNT($I$9:Z$9)+$I$4))),TREND($E34:$F34,$E$9:$F$9,Z$9))</f>
        <v>1</v>
      </c>
      <c r="AA34" s="27">
        <f>IF($G34="s-curve",$E34+($F34-$E34)*$I$2/(1+EXP($I$3*(COUNT($I$9:AA$9)+$I$4))),TREND($E34:$F34,$E$9:$F$9,AA$9))</f>
        <v>1</v>
      </c>
      <c r="AB34" s="27">
        <f>IF($G34="s-curve",$E34+($F34-$E34)*$I$2/(1+EXP($I$3*(COUNT($I$9:AB$9)+$I$4))),TREND($E34:$F34,$E$9:$F$9,AB$9))</f>
        <v>1</v>
      </c>
      <c r="AC34" s="27">
        <f>IF($G34="s-curve",$E34+($F34-$E34)*$I$2/(1+EXP($I$3*(COUNT($I$9:AC$9)+$I$4))),TREND($E34:$F34,$E$9:$F$9,AC$9))</f>
        <v>1</v>
      </c>
      <c r="AD34" s="27">
        <f>IF($G34="s-curve",$E34+($F34-$E34)*$I$2/(1+EXP($I$3*(COUNT($I$9:AD$9)+$I$4))),TREND($E34:$F34,$E$9:$F$9,AD$9))</f>
        <v>1</v>
      </c>
      <c r="AE34" s="27">
        <f>IF($G34="s-curve",$E34+($F34-$E34)*$I$2/(1+EXP($I$3*(COUNT($I$9:AE$9)+$I$4))),TREND($E34:$F34,$E$9:$F$9,AE$9))</f>
        <v>1</v>
      </c>
      <c r="AF34" s="27">
        <f>IF($G34="s-curve",$E34+($F34-$E34)*$I$2/(1+EXP($I$3*(COUNT($I$9:AF$9)+$I$4))),TREND($E34:$F34,$E$9:$F$9,AF$9))</f>
        <v>1</v>
      </c>
      <c r="AG34" s="27">
        <f>IF($G34="s-curve",$E34+($F34-$E34)*$I$2/(1+EXP($I$3*(COUNT($I$9:AG$9)+$I$4))),TREND($E34:$F34,$E$9:$F$9,AG$9))</f>
        <v>1</v>
      </c>
      <c r="AH34" s="27">
        <f>IF($G34="s-curve",$E34+($F34-$E34)*$I$2/(1+EXP($I$3*(COUNT($I$9:AH$9)+$I$4))),TREND($E34:$F34,$E$9:$F$9,AH$9))</f>
        <v>1</v>
      </c>
      <c r="AI34" s="27">
        <f>IF($G34="s-curve",$E34+($F34-$E34)*$I$2/(1+EXP($I$3*(COUNT($I$9:AI$9)+$I$4))),TREND($E34:$F34,$E$9:$F$9,AI$9))</f>
        <v>1</v>
      </c>
      <c r="AJ34" s="27">
        <f>IF($G34="s-curve",$E34+($F34-$E34)*$I$2/(1+EXP($I$3*(COUNT($I$9:AJ$9)+$I$4))),TREND($E34:$F34,$E$9:$F$9,AJ$9))</f>
        <v>1</v>
      </c>
      <c r="AK34" s="27">
        <f>IF($G34="s-curve",$E34+($F34-$E34)*$I$2/(1+EXP($I$3*(COUNT($I$9:AK$9)+$I$4))),TREND($E34:$F34,$E$9:$F$9,AK$9))</f>
        <v>1</v>
      </c>
      <c r="AL34" s="27">
        <f>IF($G34="s-curve",$E34+($F34-$E34)*$I$2/(1+EXP($I$3*(COUNT($I$9:AL$9)+$I$4))),TREND($E34:$F34,$E$9:$F$9,AL$9))</f>
        <v>1</v>
      </c>
      <c r="AM34" s="27">
        <f>IF($G34="s-curve",$E34+($F34-$E34)*$I$2/(1+EXP($I$3*(COUNT($I$9:AM$9)+$I$4))),TREND($E34:$F34,$E$9:$F$9,AM$9))</f>
        <v>1</v>
      </c>
      <c r="AN34" s="27">
        <f>IF($G34="s-curve",$E34+($F34-$E34)*$I$2/(1+EXP($I$3*(COUNT($I$9:AN$9)+$I$4))),TREND($E34:$F34,$E$9:$F$9,AN$9))</f>
        <v>1</v>
      </c>
      <c r="AO34" s="27">
        <f>IF($G34="s-curve",$E34+($F34-$E34)*$I$2/(1+EXP($I$3*(COUNT($I$9:AO$9)+$I$4))),TREND($E34:$F34,$E$9:$F$9,AO$9))</f>
        <v>1</v>
      </c>
      <c r="AP34" s="27">
        <f>IF($G34="s-curve",$E34+($F34-$E34)*$I$2/(1+EXP($I$3*(COUNT($I$9:AP$9)+$I$4))),TREND($E34:$F34,$E$9:$F$9,AP$9))</f>
        <v>1</v>
      </c>
      <c r="AQ34" s="27">
        <f>IF($G34="s-curve",$E34+($F34-$E34)*$I$2/(1+EXP($I$3*(COUNT($I$9:AQ$9)+$I$4))),TREND($E34:$F34,$E$9:$F$9,AQ$9))</f>
        <v>1</v>
      </c>
      <c r="AR34" s="27">
        <f>IF($G34="s-curve",$E34+($F34-$E34)*$I$2/(1+EXP($I$3*(COUNT($I$9:AR$9)+$I$4))),TREND($E34:$F34,$E$9:$F$9,AR$9))</f>
        <v>1</v>
      </c>
      <c r="AS34" s="27">
        <f>IF($G34="s-curve",$E34+($F34-$E34)*$I$2/(1+EXP($I$3*(COUNT($I$9:AS$9)+$I$4))),TREND($E34:$F34,$E$9:$F$9,AS$9))</f>
        <v>1</v>
      </c>
      <c r="AT34" s="27">
        <f>IF($G34="s-curve",$E34+($F34-$E34)*$I$2/(1+EXP($I$3*(COUNT($I$9:AT$9)+$I$4))),TREND($E34:$F34,$E$9:$F$9,AT$9))</f>
        <v>1</v>
      </c>
      <c r="AU34" s="27">
        <f>IF($G34="s-curve",$E34+($F34-$E34)*$I$2/(1+EXP($I$3*(COUNT($I$9:AU$9)+$I$4))),TREND($E34:$F34,$E$9:$F$9,AU$9))</f>
        <v>1</v>
      </c>
      <c r="AV34" s="27">
        <f>IF($G34="s-curve",$E34+($F34-$E34)*$I$2/(1+EXP($I$3*(COUNT($I$9:AV$9)+$I$4))),TREND($E34:$F34,$E$9:$F$9,AV$9))</f>
        <v>1</v>
      </c>
      <c r="AW34" s="27">
        <f>IF($G34="s-curve",$E34+($F34-$E34)*$I$2/(1+EXP($I$3*(COUNT($I$9:AW$9)+$I$4))),TREND($E34:$F34,$E$9:$F$9,AW$9))</f>
        <v>1</v>
      </c>
      <c r="AX34" s="27">
        <f>IF($G34="s-curve",$E34+($F34-$E34)*$I$2/(1+EXP($I$3*(COUNT($I$9:AX$9)+$I$4))),TREND($E34:$F34,$E$9:$F$9,AX$9))</f>
        <v>1</v>
      </c>
      <c r="AY34" s="27">
        <f>IF($G34="s-curve",$E34+($F34-$E34)*$I$2/(1+EXP($I$3*(COUNT($I$9:AY$9)+$I$4))),TREND($E34:$F34,$E$9:$F$9,AY$9))</f>
        <v>1</v>
      </c>
      <c r="AZ34" s="27">
        <f>IF($G34="s-curve",$E34+($F34-$E34)*$I$2/(1+EXP($I$3*(COUNT($I$9:AZ$9)+$I$4))),TREND($E34:$F34,$E$9:$F$9,AZ$9))</f>
        <v>1</v>
      </c>
      <c r="BA34" s="27">
        <f>IF($G34="s-curve",$E34+($F34-$E34)*$I$2/(1+EXP($I$3*(COUNT($I$9:BA$9)+$I$4))),TREND($E34:$F34,$E$9:$F$9,BA$9))</f>
        <v>1</v>
      </c>
      <c r="BB34" s="27">
        <f>IF($G34="s-curve",$E34+($F34-$E34)*$I$2/(1+EXP($I$3*(COUNT($I$9:BB$9)+$I$4))),TREND($E34:$F34,$E$9:$F$9,BB$9))</f>
        <v>1</v>
      </c>
      <c r="BC34" s="27">
        <f>IF($G34="s-curve",$E34+($F34-$E34)*$I$2/(1+EXP($I$3*(COUNT($I$9:BC$9)+$I$4))),TREND($E34:$F34,$E$9:$F$9,BC$9))</f>
        <v>1</v>
      </c>
      <c r="BD34" s="27">
        <f>IF($G34="s-curve",$E34+($F34-$E34)*$I$2/(1+EXP($I$3*(COUNT($I$9:BD$9)+$I$4))),TREND($E34:$F34,$E$9:$F$9,BD$9))</f>
        <v>1</v>
      </c>
      <c r="BE34" s="27">
        <f>IF($G34="s-curve",$E34+($F34-$E34)*$I$2/(1+EXP($I$3*(COUNT($I$9:BE$9)+$I$4))),TREND($E34:$F34,$E$9:$F$9,BE$9))</f>
        <v>1</v>
      </c>
      <c r="BF34" s="27">
        <f>IF($G34="s-curve",$E34+($F34-$E34)*$I$2/(1+EXP($I$3*(COUNT($I$9:BF$9)+$I$4))),TREND($E34:$F34,$E$9:$F$9,BF$9))</f>
        <v>1</v>
      </c>
    </row>
    <row r="35" spans="1:58" x14ac:dyDescent="0.75">
      <c r="C35" t="s">
        <v>5</v>
      </c>
      <c r="D35" s="26">
        <v>0</v>
      </c>
      <c r="E35" s="26">
        <v>0</v>
      </c>
      <c r="F35" s="26">
        <f>E35</f>
        <v>0</v>
      </c>
      <c r="G35" s="29" t="str">
        <f>IF(E35=F35,"n/a",IF(OR(C35="battery electric vehicle",C35="natural gas vehicle",C35="plugin hybrid vehicle"),"s-curve","linear"))</f>
        <v>n/a</v>
      </c>
      <c r="I35" s="27">
        <f t="shared" si="9"/>
        <v>0</v>
      </c>
      <c r="J35" s="27">
        <f t="shared" si="4"/>
        <v>0</v>
      </c>
      <c r="K35" s="27">
        <f t="shared" si="4"/>
        <v>0</v>
      </c>
      <c r="L35" s="27">
        <f t="shared" si="4"/>
        <v>0</v>
      </c>
      <c r="M35" s="27">
        <f t="shared" si="10"/>
        <v>0</v>
      </c>
      <c r="N35" s="27">
        <f>IF($G35="s-curve",$E35+($F35-$E35)*$I$2/(1+EXP($I$3*(COUNT($I$9:N$9)+$I$4))),TREND($E35:$F35,$E$9:$F$9,N$9))</f>
        <v>0</v>
      </c>
      <c r="O35" s="27">
        <f>IF($G35="s-curve",$E35+($F35-$E35)*$I$2/(1+EXP($I$3*(COUNT($I$9:O$9)+$I$4))),TREND($E35:$F35,$E$9:$F$9,O$9))</f>
        <v>0</v>
      </c>
      <c r="P35" s="27">
        <f>IF($G35="s-curve",$E35+($F35-$E35)*$I$2/(1+EXP($I$3*(COUNT($I$9:P$9)+$I$4))),TREND($E35:$F35,$E$9:$F$9,P$9))</f>
        <v>0</v>
      </c>
      <c r="Q35" s="27">
        <f>IF($G35="s-curve",$E35+($F35-$E35)*$I$2/(1+EXP($I$3*(COUNT($I$9:Q$9)+$I$4))),TREND($E35:$F35,$E$9:$F$9,Q$9))</f>
        <v>0</v>
      </c>
      <c r="R35" s="27">
        <f>IF($G35="s-curve",$E35+($F35-$E35)*$I$2/(1+EXP($I$3*(COUNT($I$9:R$9)+$I$4))),TREND($E35:$F35,$E$9:$F$9,R$9))</f>
        <v>0</v>
      </c>
      <c r="S35" s="27">
        <f>IF($G35="s-curve",$E35+($F35-$E35)*$I$2/(1+EXP($I$3*(COUNT($I$9:S$9)+$I$4))),TREND($E35:$F35,$E$9:$F$9,S$9))</f>
        <v>0</v>
      </c>
      <c r="T35" s="27">
        <f>IF($G35="s-curve",$E35+($F35-$E35)*$I$2/(1+EXP($I$3*(COUNT($I$9:T$9)+$I$4))),TREND($E35:$F35,$E$9:$F$9,T$9))</f>
        <v>0</v>
      </c>
      <c r="U35" s="27">
        <f>IF($G35="s-curve",$E35+($F35-$E35)*$I$2/(1+EXP($I$3*(COUNT($I$9:U$9)+$I$4))),TREND($E35:$F35,$E$9:$F$9,U$9))</f>
        <v>0</v>
      </c>
      <c r="V35" s="27">
        <f>IF($G35="s-curve",$E35+($F35-$E35)*$I$2/(1+EXP($I$3*(COUNT($I$9:V$9)+$I$4))),TREND($E35:$F35,$E$9:$F$9,V$9))</f>
        <v>0</v>
      </c>
      <c r="W35" s="27">
        <f>IF($G35="s-curve",$E35+($F35-$E35)*$I$2/(1+EXP($I$3*(COUNT($I$9:W$9)+$I$4))),TREND($E35:$F35,$E$9:$F$9,W$9))</f>
        <v>0</v>
      </c>
      <c r="X35" s="27">
        <f>IF($G35="s-curve",$E35+($F35-$E35)*$I$2/(1+EXP($I$3*(COUNT($I$9:X$9)+$I$4))),TREND($E35:$F35,$E$9:$F$9,X$9))</f>
        <v>0</v>
      </c>
      <c r="Y35" s="27">
        <f>IF($G35="s-curve",$E35+($F35-$E35)*$I$2/(1+EXP($I$3*(COUNT($I$9:Y$9)+$I$4))),TREND($E35:$F35,$E$9:$F$9,Y$9))</f>
        <v>0</v>
      </c>
      <c r="Z35" s="27">
        <f>IF($G35="s-curve",$E35+($F35-$E35)*$I$2/(1+EXP($I$3*(COUNT($I$9:Z$9)+$I$4))),TREND($E35:$F35,$E$9:$F$9,Z$9))</f>
        <v>0</v>
      </c>
      <c r="AA35" s="27">
        <f>IF($G35="s-curve",$E35+($F35-$E35)*$I$2/(1+EXP($I$3*(COUNT($I$9:AA$9)+$I$4))),TREND($E35:$F35,$E$9:$F$9,AA$9))</f>
        <v>0</v>
      </c>
      <c r="AB35" s="27">
        <f>IF($G35="s-curve",$E35+($F35-$E35)*$I$2/(1+EXP($I$3*(COUNT($I$9:AB$9)+$I$4))),TREND($E35:$F35,$E$9:$F$9,AB$9))</f>
        <v>0</v>
      </c>
      <c r="AC35" s="27">
        <f>IF($G35="s-curve",$E35+($F35-$E35)*$I$2/(1+EXP($I$3*(COUNT($I$9:AC$9)+$I$4))),TREND($E35:$F35,$E$9:$F$9,AC$9))</f>
        <v>0</v>
      </c>
      <c r="AD35" s="27">
        <f>IF($G35="s-curve",$E35+($F35-$E35)*$I$2/(1+EXP($I$3*(COUNT($I$9:AD$9)+$I$4))),TREND($E35:$F35,$E$9:$F$9,AD$9))</f>
        <v>0</v>
      </c>
      <c r="AE35" s="27">
        <f>IF($G35="s-curve",$E35+($F35-$E35)*$I$2/(1+EXP($I$3*(COUNT($I$9:AE$9)+$I$4))),TREND($E35:$F35,$E$9:$F$9,AE$9))</f>
        <v>0</v>
      </c>
      <c r="AF35" s="27">
        <f>IF($G35="s-curve",$E35+($F35-$E35)*$I$2/(1+EXP($I$3*(COUNT($I$9:AF$9)+$I$4))),TREND($E35:$F35,$E$9:$F$9,AF$9))</f>
        <v>0</v>
      </c>
      <c r="AG35" s="27">
        <f>IF($G35="s-curve",$E35+($F35-$E35)*$I$2/(1+EXP($I$3*(COUNT($I$9:AG$9)+$I$4))),TREND($E35:$F35,$E$9:$F$9,AG$9))</f>
        <v>0</v>
      </c>
      <c r="AH35" s="27">
        <f>IF($G35="s-curve",$E35+($F35-$E35)*$I$2/(1+EXP($I$3*(COUNT($I$9:AH$9)+$I$4))),TREND($E35:$F35,$E$9:$F$9,AH$9))</f>
        <v>0</v>
      </c>
      <c r="AI35" s="27">
        <f>IF($G35="s-curve",$E35+($F35-$E35)*$I$2/(1+EXP($I$3*(COUNT($I$9:AI$9)+$I$4))),TREND($E35:$F35,$E$9:$F$9,AI$9))</f>
        <v>0</v>
      </c>
      <c r="AJ35" s="27">
        <f>IF($G35="s-curve",$E35+($F35-$E35)*$I$2/(1+EXP($I$3*(COUNT($I$9:AJ$9)+$I$4))),TREND($E35:$F35,$E$9:$F$9,AJ$9))</f>
        <v>0</v>
      </c>
      <c r="AK35" s="27">
        <f>IF($G35="s-curve",$E35+($F35-$E35)*$I$2/(1+EXP($I$3*(COUNT($I$9:AK$9)+$I$4))),TREND($E35:$F35,$E$9:$F$9,AK$9))</f>
        <v>0</v>
      </c>
      <c r="AL35" s="27">
        <f>IF($G35="s-curve",$E35+($F35-$E35)*$I$2/(1+EXP($I$3*(COUNT($I$9:AL$9)+$I$4))),TREND($E35:$F35,$E$9:$F$9,AL$9))</f>
        <v>0</v>
      </c>
      <c r="AM35" s="27">
        <f>IF($G35="s-curve",$E35+($F35-$E35)*$I$2/(1+EXP($I$3*(COUNT($I$9:AM$9)+$I$4))),TREND($E35:$F35,$E$9:$F$9,AM$9))</f>
        <v>0</v>
      </c>
      <c r="AN35" s="27">
        <f>IF($G35="s-curve",$E35+($F35-$E35)*$I$2/(1+EXP($I$3*(COUNT($I$9:AN$9)+$I$4))),TREND($E35:$F35,$E$9:$F$9,AN$9))</f>
        <v>0</v>
      </c>
      <c r="AO35" s="27">
        <f>IF($G35="s-curve",$E35+($F35-$E35)*$I$2/(1+EXP($I$3*(COUNT($I$9:AO$9)+$I$4))),TREND($E35:$F35,$E$9:$F$9,AO$9))</f>
        <v>0</v>
      </c>
      <c r="AP35" s="27">
        <f>IF($G35="s-curve",$E35+($F35-$E35)*$I$2/(1+EXP($I$3*(COUNT($I$9:AP$9)+$I$4))),TREND($E35:$F35,$E$9:$F$9,AP$9))</f>
        <v>0</v>
      </c>
      <c r="AQ35" s="27">
        <f>IF($G35="s-curve",$E35+($F35-$E35)*$I$2/(1+EXP($I$3*(COUNT($I$9:AQ$9)+$I$4))),TREND($E35:$F35,$E$9:$F$9,AQ$9))</f>
        <v>0</v>
      </c>
      <c r="AR35" s="27">
        <f>IF($G35="s-curve",$E35+($F35-$E35)*$I$2/(1+EXP($I$3*(COUNT($I$9:AR$9)+$I$4))),TREND($E35:$F35,$E$9:$F$9,AR$9))</f>
        <v>0</v>
      </c>
      <c r="AS35" s="27">
        <f>IF($G35="s-curve",$E35+($F35-$E35)*$I$2/(1+EXP($I$3*(COUNT($I$9:AS$9)+$I$4))),TREND($E35:$F35,$E$9:$F$9,AS$9))</f>
        <v>0</v>
      </c>
      <c r="AT35" s="27">
        <f>IF($G35="s-curve",$E35+($F35-$E35)*$I$2/(1+EXP($I$3*(COUNT($I$9:AT$9)+$I$4))),TREND($E35:$F35,$E$9:$F$9,AT$9))</f>
        <v>0</v>
      </c>
      <c r="AU35" s="27">
        <f>IF($G35="s-curve",$E35+($F35-$E35)*$I$2/(1+EXP($I$3*(COUNT($I$9:AU$9)+$I$4))),TREND($E35:$F35,$E$9:$F$9,AU$9))</f>
        <v>0</v>
      </c>
      <c r="AV35" s="27">
        <f>IF($G35="s-curve",$E35+($F35-$E35)*$I$2/(1+EXP($I$3*(COUNT($I$9:AV$9)+$I$4))),TREND($E35:$F35,$E$9:$F$9,AV$9))</f>
        <v>0</v>
      </c>
      <c r="AW35" s="27">
        <f>IF($G35="s-curve",$E35+($F35-$E35)*$I$2/(1+EXP($I$3*(COUNT($I$9:AW$9)+$I$4))),TREND($E35:$F35,$E$9:$F$9,AW$9))</f>
        <v>0</v>
      </c>
      <c r="AX35" s="27">
        <f>IF($G35="s-curve",$E35+($F35-$E35)*$I$2/(1+EXP($I$3*(COUNT($I$9:AX$9)+$I$4))),TREND($E35:$F35,$E$9:$F$9,AX$9))</f>
        <v>0</v>
      </c>
      <c r="AY35" s="27">
        <f>IF($G35="s-curve",$E35+($F35-$E35)*$I$2/(1+EXP($I$3*(COUNT($I$9:AY$9)+$I$4))),TREND($E35:$F35,$E$9:$F$9,AY$9))</f>
        <v>0</v>
      </c>
      <c r="AZ35" s="27">
        <f>IF($G35="s-curve",$E35+($F35-$E35)*$I$2/(1+EXP($I$3*(COUNT($I$9:AZ$9)+$I$4))),TREND($E35:$F35,$E$9:$F$9,AZ$9))</f>
        <v>0</v>
      </c>
      <c r="BA35" s="27">
        <f>IF($G35="s-curve",$E35+($F35-$E35)*$I$2/(1+EXP($I$3*(COUNT($I$9:BA$9)+$I$4))),TREND($E35:$F35,$E$9:$F$9,BA$9))</f>
        <v>0</v>
      </c>
      <c r="BB35" s="27">
        <f>IF($G35="s-curve",$E35+($F35-$E35)*$I$2/(1+EXP($I$3*(COUNT($I$9:BB$9)+$I$4))),TREND($E35:$F35,$E$9:$F$9,BB$9))</f>
        <v>0</v>
      </c>
      <c r="BC35" s="27">
        <f>IF($G35="s-curve",$E35+($F35-$E35)*$I$2/(1+EXP($I$3*(COUNT($I$9:BC$9)+$I$4))),TREND($E35:$F35,$E$9:$F$9,BC$9))</f>
        <v>0</v>
      </c>
      <c r="BD35" s="27">
        <f>IF($G35="s-curve",$E35+($F35-$E35)*$I$2/(1+EXP($I$3*(COUNT($I$9:BD$9)+$I$4))),TREND($E35:$F35,$E$9:$F$9,BD$9))</f>
        <v>0</v>
      </c>
      <c r="BE35" s="27">
        <f>IF($G35="s-curve",$E35+($F35-$E35)*$I$2/(1+EXP($I$3*(COUNT($I$9:BE$9)+$I$4))),TREND($E35:$F35,$E$9:$F$9,BE$9))</f>
        <v>0</v>
      </c>
      <c r="BF35" s="27">
        <f>IF($G35="s-curve",$E35+($F35-$E35)*$I$2/(1+EXP($I$3*(COUNT($I$9:BF$9)+$I$4))),TREND($E35:$F35,$E$9:$F$9,BF$9))</f>
        <v>0</v>
      </c>
    </row>
    <row r="36" spans="1:58" x14ac:dyDescent="0.75">
      <c r="C36" t="s">
        <v>31</v>
      </c>
      <c r="D36" s="26">
        <v>0</v>
      </c>
      <c r="E36" s="26">
        <v>0</v>
      </c>
      <c r="F36" s="26">
        <f>E36</f>
        <v>0</v>
      </c>
      <c r="G36" s="29" t="str">
        <f>IF(E36=F36,"n/a",IF(OR(C36="battery electric vehicle",C36="natural gas vehicle",C36="plugin hybrid vehicle",C36="hydrogen vehicle"),"s-curve","linear"))</f>
        <v>n/a</v>
      </c>
      <c r="I36" s="27">
        <f t="shared" si="9"/>
        <v>0</v>
      </c>
      <c r="J36" s="27">
        <f t="shared" si="4"/>
        <v>0</v>
      </c>
      <c r="K36" s="27">
        <f t="shared" si="4"/>
        <v>0</v>
      </c>
      <c r="L36" s="27">
        <f t="shared" si="4"/>
        <v>0</v>
      </c>
      <c r="M36" s="27">
        <f t="shared" si="10"/>
        <v>0</v>
      </c>
      <c r="N36" s="27">
        <f>IF($G36="s-curve",$E36+($F36-$E36)*$I$2/(1+EXP($I$3*(COUNT($I$9:N$9)+$I$4))),TREND($E36:$F36,$E$9:$F$9,N$9))</f>
        <v>0</v>
      </c>
      <c r="O36" s="27">
        <f>IF($G36="s-curve",$E36+($F36-$E36)*$I$2/(1+EXP($I$3*(COUNT($I$9:O$9)+$I$4))),TREND($E36:$F36,$E$9:$F$9,O$9))</f>
        <v>0</v>
      </c>
      <c r="P36" s="27">
        <f>IF($G36="s-curve",$E36+($F36-$E36)*$I$2/(1+EXP($I$3*(COUNT($I$9:P$9)+$I$4))),TREND($E36:$F36,$E$9:$F$9,P$9))</f>
        <v>0</v>
      </c>
      <c r="Q36" s="27">
        <f>IF($G36="s-curve",$E36+($F36-$E36)*$I$2/(1+EXP($I$3*(COUNT($I$9:Q$9)+$I$4))),TREND($E36:$F36,$E$9:$F$9,Q$9))</f>
        <v>0</v>
      </c>
      <c r="R36" s="27">
        <f>IF($G36="s-curve",$E36+($F36-$E36)*$I$2/(1+EXP($I$3*(COUNT($I$9:R$9)+$I$4))),TREND($E36:$F36,$E$9:$F$9,R$9))</f>
        <v>0</v>
      </c>
      <c r="S36" s="27">
        <f>IF($G36="s-curve",$E36+($F36-$E36)*$I$2/(1+EXP($I$3*(COUNT($I$9:S$9)+$I$4))),TREND($E36:$F36,$E$9:$F$9,S$9))</f>
        <v>0</v>
      </c>
      <c r="T36" s="27">
        <f>IF($G36="s-curve",$E36+($F36-$E36)*$I$2/(1+EXP($I$3*(COUNT($I$9:T$9)+$I$4))),TREND($E36:$F36,$E$9:$F$9,T$9))</f>
        <v>0</v>
      </c>
      <c r="U36" s="27">
        <f>IF($G36="s-curve",$E36+($F36-$E36)*$I$2/(1+EXP($I$3*(COUNT($I$9:U$9)+$I$4))),TREND($E36:$F36,$E$9:$F$9,U$9))</f>
        <v>0</v>
      </c>
      <c r="V36" s="27">
        <f>IF($G36="s-curve",$E36+($F36-$E36)*$I$2/(1+EXP($I$3*(COUNT($I$9:V$9)+$I$4))),TREND($E36:$F36,$E$9:$F$9,V$9))</f>
        <v>0</v>
      </c>
      <c r="W36" s="27">
        <f>IF($G36="s-curve",$E36+($F36-$E36)*$I$2/(1+EXP($I$3*(COUNT($I$9:W$9)+$I$4))),TREND($E36:$F36,$E$9:$F$9,W$9))</f>
        <v>0</v>
      </c>
      <c r="X36" s="27">
        <f>IF($G36="s-curve",$E36+($F36-$E36)*$I$2/(1+EXP($I$3*(COUNT($I$9:X$9)+$I$4))),TREND($E36:$F36,$E$9:$F$9,X$9))</f>
        <v>0</v>
      </c>
      <c r="Y36" s="27">
        <f>IF($G36="s-curve",$E36+($F36-$E36)*$I$2/(1+EXP($I$3*(COUNT($I$9:Y$9)+$I$4))),TREND($E36:$F36,$E$9:$F$9,Y$9))</f>
        <v>0</v>
      </c>
      <c r="Z36" s="27">
        <f>IF($G36="s-curve",$E36+($F36-$E36)*$I$2/(1+EXP($I$3*(COUNT($I$9:Z$9)+$I$4))),TREND($E36:$F36,$E$9:$F$9,Z$9))</f>
        <v>0</v>
      </c>
      <c r="AA36" s="27">
        <f>IF($G36="s-curve",$E36+($F36-$E36)*$I$2/(1+EXP($I$3*(COUNT($I$9:AA$9)+$I$4))),TREND($E36:$F36,$E$9:$F$9,AA$9))</f>
        <v>0</v>
      </c>
      <c r="AB36" s="27">
        <f>IF($G36="s-curve",$E36+($F36-$E36)*$I$2/(1+EXP($I$3*(COUNT($I$9:AB$9)+$I$4))),TREND($E36:$F36,$E$9:$F$9,AB$9))</f>
        <v>0</v>
      </c>
      <c r="AC36" s="27">
        <f>IF($G36="s-curve",$E36+($F36-$E36)*$I$2/(1+EXP($I$3*(COUNT($I$9:AC$9)+$I$4))),TREND($E36:$F36,$E$9:$F$9,AC$9))</f>
        <v>0</v>
      </c>
      <c r="AD36" s="27">
        <f>IF($G36="s-curve",$E36+($F36-$E36)*$I$2/(1+EXP($I$3*(COUNT($I$9:AD$9)+$I$4))),TREND($E36:$F36,$E$9:$F$9,AD$9))</f>
        <v>0</v>
      </c>
      <c r="AE36" s="27">
        <f>IF($G36="s-curve",$E36+($F36-$E36)*$I$2/(1+EXP($I$3*(COUNT($I$9:AE$9)+$I$4))),TREND($E36:$F36,$E$9:$F$9,AE$9))</f>
        <v>0</v>
      </c>
      <c r="AF36" s="27">
        <f>IF($G36="s-curve",$E36+($F36-$E36)*$I$2/(1+EXP($I$3*(COUNT($I$9:AF$9)+$I$4))),TREND($E36:$F36,$E$9:$F$9,AF$9))</f>
        <v>0</v>
      </c>
      <c r="AG36" s="27">
        <f>IF($G36="s-curve",$E36+($F36-$E36)*$I$2/(1+EXP($I$3*(COUNT($I$9:AG$9)+$I$4))),TREND($E36:$F36,$E$9:$F$9,AG$9))</f>
        <v>0</v>
      </c>
      <c r="AH36" s="27">
        <f>IF($G36="s-curve",$E36+($F36-$E36)*$I$2/(1+EXP($I$3*(COUNT($I$9:AH$9)+$I$4))),TREND($E36:$F36,$E$9:$F$9,AH$9))</f>
        <v>0</v>
      </c>
      <c r="AI36" s="27">
        <f>IF($G36="s-curve",$E36+($F36-$E36)*$I$2/(1+EXP($I$3*(COUNT($I$9:AI$9)+$I$4))),TREND($E36:$F36,$E$9:$F$9,AI$9))</f>
        <v>0</v>
      </c>
      <c r="AJ36" s="27">
        <f>IF($G36="s-curve",$E36+($F36-$E36)*$I$2/(1+EXP($I$3*(COUNT($I$9:AJ$9)+$I$4))),TREND($E36:$F36,$E$9:$F$9,AJ$9))</f>
        <v>0</v>
      </c>
      <c r="AK36" s="27">
        <f>IF($G36="s-curve",$E36+($F36-$E36)*$I$2/(1+EXP($I$3*(COUNT($I$9:AK$9)+$I$4))),TREND($E36:$F36,$E$9:$F$9,AK$9))</f>
        <v>0</v>
      </c>
      <c r="AL36" s="27">
        <f>IF($G36="s-curve",$E36+($F36-$E36)*$I$2/(1+EXP($I$3*(COUNT($I$9:AL$9)+$I$4))),TREND($E36:$F36,$E$9:$F$9,AL$9))</f>
        <v>0</v>
      </c>
      <c r="AM36" s="27">
        <f>IF($G36="s-curve",$E36+($F36-$E36)*$I$2/(1+EXP($I$3*(COUNT($I$9:AM$9)+$I$4))),TREND($E36:$F36,$E$9:$F$9,AM$9))</f>
        <v>0</v>
      </c>
      <c r="AN36" s="27">
        <f>IF($G36="s-curve",$E36+($F36-$E36)*$I$2/(1+EXP($I$3*(COUNT($I$9:AN$9)+$I$4))),TREND($E36:$F36,$E$9:$F$9,AN$9))</f>
        <v>0</v>
      </c>
      <c r="AO36" s="27">
        <f>IF($G36="s-curve",$E36+($F36-$E36)*$I$2/(1+EXP($I$3*(COUNT($I$9:AO$9)+$I$4))),TREND($E36:$F36,$E$9:$F$9,AO$9))</f>
        <v>0</v>
      </c>
      <c r="AP36" s="27">
        <f>IF($G36="s-curve",$E36+($F36-$E36)*$I$2/(1+EXP($I$3*(COUNT($I$9:AP$9)+$I$4))),TREND($E36:$F36,$E$9:$F$9,AP$9))</f>
        <v>0</v>
      </c>
      <c r="AQ36" s="27">
        <f>IF($G36="s-curve",$E36+($F36-$E36)*$I$2/(1+EXP($I$3*(COUNT($I$9:AQ$9)+$I$4))),TREND($E36:$F36,$E$9:$F$9,AQ$9))</f>
        <v>0</v>
      </c>
      <c r="AR36" s="27">
        <f>IF($G36="s-curve",$E36+($F36-$E36)*$I$2/(1+EXP($I$3*(COUNT($I$9:AR$9)+$I$4))),TREND($E36:$F36,$E$9:$F$9,AR$9))</f>
        <v>0</v>
      </c>
      <c r="AS36" s="27">
        <f>IF($G36="s-curve",$E36+($F36-$E36)*$I$2/(1+EXP($I$3*(COUNT($I$9:AS$9)+$I$4))),TREND($E36:$F36,$E$9:$F$9,AS$9))</f>
        <v>0</v>
      </c>
      <c r="AT36" s="27">
        <f>IF($G36="s-curve",$E36+($F36-$E36)*$I$2/(1+EXP($I$3*(COUNT($I$9:AT$9)+$I$4))),TREND($E36:$F36,$E$9:$F$9,AT$9))</f>
        <v>0</v>
      </c>
      <c r="AU36" s="27">
        <f>IF($G36="s-curve",$E36+($F36-$E36)*$I$2/(1+EXP($I$3*(COUNT($I$9:AU$9)+$I$4))),TREND($E36:$F36,$E$9:$F$9,AU$9))</f>
        <v>0</v>
      </c>
      <c r="AV36" s="27">
        <f>IF($G36="s-curve",$E36+($F36-$E36)*$I$2/(1+EXP($I$3*(COUNT($I$9:AV$9)+$I$4))),TREND($E36:$F36,$E$9:$F$9,AV$9))</f>
        <v>0</v>
      </c>
      <c r="AW36" s="27">
        <f>IF($G36="s-curve",$E36+($F36-$E36)*$I$2/(1+EXP($I$3*(COUNT($I$9:AW$9)+$I$4))),TREND($E36:$F36,$E$9:$F$9,AW$9))</f>
        <v>0</v>
      </c>
      <c r="AX36" s="27">
        <f>IF($G36="s-curve",$E36+($F36-$E36)*$I$2/(1+EXP($I$3*(COUNT($I$9:AX$9)+$I$4))),TREND($E36:$F36,$E$9:$F$9,AX$9))</f>
        <v>0</v>
      </c>
      <c r="AY36" s="27">
        <f>IF($G36="s-curve",$E36+($F36-$E36)*$I$2/(1+EXP($I$3*(COUNT($I$9:AY$9)+$I$4))),TREND($E36:$F36,$E$9:$F$9,AY$9))</f>
        <v>0</v>
      </c>
      <c r="AZ36" s="27">
        <f>IF($G36="s-curve",$E36+($F36-$E36)*$I$2/(1+EXP($I$3*(COUNT($I$9:AZ$9)+$I$4))),TREND($E36:$F36,$E$9:$F$9,AZ$9))</f>
        <v>0</v>
      </c>
      <c r="BA36" s="27">
        <f>IF($G36="s-curve",$E36+($F36-$E36)*$I$2/(1+EXP($I$3*(COUNT($I$9:BA$9)+$I$4))),TREND($E36:$F36,$E$9:$F$9,BA$9))</f>
        <v>0</v>
      </c>
      <c r="BB36" s="27">
        <f>IF($G36="s-curve",$E36+($F36-$E36)*$I$2/(1+EXP($I$3*(COUNT($I$9:BB$9)+$I$4))),TREND($E36:$F36,$E$9:$F$9,BB$9))</f>
        <v>0</v>
      </c>
      <c r="BC36" s="27">
        <f>IF($G36="s-curve",$E36+($F36-$E36)*$I$2/(1+EXP($I$3*(COUNT($I$9:BC$9)+$I$4))),TREND($E36:$F36,$E$9:$F$9,BC$9))</f>
        <v>0</v>
      </c>
      <c r="BD36" s="27">
        <f>IF($G36="s-curve",$E36+($F36-$E36)*$I$2/(1+EXP($I$3*(COUNT($I$9:BD$9)+$I$4))),TREND($E36:$F36,$E$9:$F$9,BD$9))</f>
        <v>0</v>
      </c>
      <c r="BE36" s="27">
        <f>IF($G36="s-curve",$E36+($F36-$E36)*$I$2/(1+EXP($I$3*(COUNT($I$9:BE$9)+$I$4))),TREND($E36:$F36,$E$9:$F$9,BE$9))</f>
        <v>0</v>
      </c>
      <c r="BF36" s="27">
        <f>IF($G36="s-curve",$E36+($F36-$E36)*$I$2/(1+EXP($I$3*(COUNT($I$9:BF$9)+$I$4))),TREND($E36:$F36,$E$9:$F$9,BF$9))</f>
        <v>0</v>
      </c>
    </row>
    <row r="37" spans="1:58" ht="15.5" thickBot="1" x14ac:dyDescent="0.9">
      <c r="A37" s="16"/>
      <c r="B37" s="16"/>
      <c r="C37" s="16" t="s">
        <v>32</v>
      </c>
      <c r="D37" s="31">
        <v>0</v>
      </c>
      <c r="E37" s="32">
        <v>0</v>
      </c>
      <c r="F37" s="31">
        <f>E37</f>
        <v>0</v>
      </c>
      <c r="G37" s="32" t="str">
        <f>IF(E37=F37,"n/a",IF(OR(C37="battery electric vehicle",C37="natural gas vehicle",C37="plugin hybrid vehicle",C37="hydrogen vehicle"),"s-curve","linear"))</f>
        <v>n/a</v>
      </c>
      <c r="I37" s="27">
        <f t="shared" si="9"/>
        <v>0</v>
      </c>
      <c r="J37" s="27">
        <f t="shared" si="4"/>
        <v>0</v>
      </c>
      <c r="K37" s="27">
        <f t="shared" si="4"/>
        <v>0</v>
      </c>
      <c r="L37" s="27">
        <f t="shared" si="4"/>
        <v>0</v>
      </c>
      <c r="M37" s="27">
        <f t="shared" si="10"/>
        <v>0</v>
      </c>
      <c r="N37" s="27">
        <f>IF($G37="s-curve",$E37+($F37-$E37)*$I$2/(1+EXP($I$3*(COUNT($I$9:N$9)+$I$4))),TREND($E37:$F37,$E$9:$F$9,N$9))</f>
        <v>0</v>
      </c>
      <c r="O37" s="27">
        <f>IF($G37="s-curve",$E37+($F37-$E37)*$I$2/(1+EXP($I$3*(COUNT($I$9:O$9)+$I$4))),TREND($E37:$F37,$E$9:$F$9,O$9))</f>
        <v>0</v>
      </c>
      <c r="P37" s="27">
        <f>IF($G37="s-curve",$E37+($F37-$E37)*$I$2/(1+EXP($I$3*(COUNT($I$9:P$9)+$I$4))),TREND($E37:$F37,$E$9:$F$9,P$9))</f>
        <v>0</v>
      </c>
      <c r="Q37" s="27">
        <f>IF($G37="s-curve",$E37+($F37-$E37)*$I$2/(1+EXP($I$3*(COUNT($I$9:Q$9)+$I$4))),TREND($E37:$F37,$E$9:$F$9,Q$9))</f>
        <v>0</v>
      </c>
      <c r="R37" s="27">
        <f>IF($G37="s-curve",$E37+($F37-$E37)*$I$2/(1+EXP($I$3*(COUNT($I$9:R$9)+$I$4))),TREND($E37:$F37,$E$9:$F$9,R$9))</f>
        <v>0</v>
      </c>
      <c r="S37" s="27">
        <f>IF($G37="s-curve",$E37+($F37-$E37)*$I$2/(1+EXP($I$3*(COUNT($I$9:S$9)+$I$4))),TREND($E37:$F37,$E$9:$F$9,S$9))</f>
        <v>0</v>
      </c>
      <c r="T37" s="27">
        <f>IF($G37="s-curve",$E37+($F37-$E37)*$I$2/(1+EXP($I$3*(COUNT($I$9:T$9)+$I$4))),TREND($E37:$F37,$E$9:$F$9,T$9))</f>
        <v>0</v>
      </c>
      <c r="U37" s="27">
        <f>IF($G37="s-curve",$E37+($F37-$E37)*$I$2/(1+EXP($I$3*(COUNT($I$9:U$9)+$I$4))),TREND($E37:$F37,$E$9:$F$9,U$9))</f>
        <v>0</v>
      </c>
      <c r="V37" s="27">
        <f>IF($G37="s-curve",$E37+($F37-$E37)*$I$2/(1+EXP($I$3*(COUNT($I$9:V$9)+$I$4))),TREND($E37:$F37,$E$9:$F$9,V$9))</f>
        <v>0</v>
      </c>
      <c r="W37" s="27">
        <f>IF($G37="s-curve",$E37+($F37-$E37)*$I$2/(1+EXP($I$3*(COUNT($I$9:W$9)+$I$4))),TREND($E37:$F37,$E$9:$F$9,W$9))</f>
        <v>0</v>
      </c>
      <c r="X37" s="27">
        <f>IF($G37="s-curve",$E37+($F37-$E37)*$I$2/(1+EXP($I$3*(COUNT($I$9:X$9)+$I$4))),TREND($E37:$F37,$E$9:$F$9,X$9))</f>
        <v>0</v>
      </c>
      <c r="Y37" s="27">
        <f>IF($G37="s-curve",$E37+($F37-$E37)*$I$2/(1+EXP($I$3*(COUNT($I$9:Y$9)+$I$4))),TREND($E37:$F37,$E$9:$F$9,Y$9))</f>
        <v>0</v>
      </c>
      <c r="Z37" s="27">
        <f>IF($G37="s-curve",$E37+($F37-$E37)*$I$2/(1+EXP($I$3*(COUNT($I$9:Z$9)+$I$4))),TREND($E37:$F37,$E$9:$F$9,Z$9))</f>
        <v>0</v>
      </c>
      <c r="AA37" s="27">
        <f>IF($G37="s-curve",$E37+($F37-$E37)*$I$2/(1+EXP($I$3*(COUNT($I$9:AA$9)+$I$4))),TREND($E37:$F37,$E$9:$F$9,AA$9))</f>
        <v>0</v>
      </c>
      <c r="AB37" s="27">
        <f>IF($G37="s-curve",$E37+($F37-$E37)*$I$2/(1+EXP($I$3*(COUNT($I$9:AB$9)+$I$4))),TREND($E37:$F37,$E$9:$F$9,AB$9))</f>
        <v>0</v>
      </c>
      <c r="AC37" s="27">
        <f>IF($G37="s-curve",$E37+($F37-$E37)*$I$2/(1+EXP($I$3*(COUNT($I$9:AC$9)+$I$4))),TREND($E37:$F37,$E$9:$F$9,AC$9))</f>
        <v>0</v>
      </c>
      <c r="AD37" s="27">
        <f>IF($G37="s-curve",$E37+($F37-$E37)*$I$2/(1+EXP($I$3*(COUNT($I$9:AD$9)+$I$4))),TREND($E37:$F37,$E$9:$F$9,AD$9))</f>
        <v>0</v>
      </c>
      <c r="AE37" s="27">
        <f>IF($G37="s-curve",$E37+($F37-$E37)*$I$2/(1+EXP($I$3*(COUNT($I$9:AE$9)+$I$4))),TREND($E37:$F37,$E$9:$F$9,AE$9))</f>
        <v>0</v>
      </c>
      <c r="AF37" s="27">
        <f>IF($G37="s-curve",$E37+($F37-$E37)*$I$2/(1+EXP($I$3*(COUNT($I$9:AF$9)+$I$4))),TREND($E37:$F37,$E$9:$F$9,AF$9))</f>
        <v>0</v>
      </c>
      <c r="AG37" s="27">
        <f>IF($G37="s-curve",$E37+($F37-$E37)*$I$2/(1+EXP($I$3*(COUNT($I$9:AG$9)+$I$4))),TREND($E37:$F37,$E$9:$F$9,AG$9))</f>
        <v>0</v>
      </c>
      <c r="AH37" s="27">
        <f>IF($G37="s-curve",$E37+($F37-$E37)*$I$2/(1+EXP($I$3*(COUNT($I$9:AH$9)+$I$4))),TREND($E37:$F37,$E$9:$F$9,AH$9))</f>
        <v>0</v>
      </c>
      <c r="AI37" s="27">
        <f>IF($G37="s-curve",$E37+($F37-$E37)*$I$2/(1+EXP($I$3*(COUNT($I$9:AI$9)+$I$4))),TREND($E37:$F37,$E$9:$F$9,AI$9))</f>
        <v>0</v>
      </c>
      <c r="AJ37" s="27">
        <f>IF($G37="s-curve",$E37+($F37-$E37)*$I$2/(1+EXP($I$3*(COUNT($I$9:AJ$9)+$I$4))),TREND($E37:$F37,$E$9:$F$9,AJ$9))</f>
        <v>0</v>
      </c>
      <c r="AK37" s="27">
        <f>IF($G37="s-curve",$E37+($F37-$E37)*$I$2/(1+EXP($I$3*(COUNT($I$9:AK$9)+$I$4))),TREND($E37:$F37,$E$9:$F$9,AK$9))</f>
        <v>0</v>
      </c>
      <c r="AL37" s="27">
        <f>IF($G37="s-curve",$E37+($F37-$E37)*$I$2/(1+EXP($I$3*(COUNT($I$9:AL$9)+$I$4))),TREND($E37:$F37,$E$9:$F$9,AL$9))</f>
        <v>0</v>
      </c>
      <c r="AM37" s="27">
        <f>IF($G37="s-curve",$E37+($F37-$E37)*$I$2/(1+EXP($I$3*(COUNT($I$9:AM$9)+$I$4))),TREND($E37:$F37,$E$9:$F$9,AM$9))</f>
        <v>0</v>
      </c>
      <c r="AN37" s="27">
        <f>IF($G37="s-curve",$E37+($F37-$E37)*$I$2/(1+EXP($I$3*(COUNT($I$9:AN$9)+$I$4))),TREND($E37:$F37,$E$9:$F$9,AN$9))</f>
        <v>0</v>
      </c>
      <c r="AO37" s="27">
        <f>IF($G37="s-curve",$E37+($F37-$E37)*$I$2/(1+EXP($I$3*(COUNT($I$9:AO$9)+$I$4))),TREND($E37:$F37,$E$9:$F$9,AO$9))</f>
        <v>0</v>
      </c>
      <c r="AP37" s="27">
        <f>IF($G37="s-curve",$E37+($F37-$E37)*$I$2/(1+EXP($I$3*(COUNT($I$9:AP$9)+$I$4))),TREND($E37:$F37,$E$9:$F$9,AP$9))</f>
        <v>0</v>
      </c>
      <c r="AQ37" s="27">
        <f>IF($G37="s-curve",$E37+($F37-$E37)*$I$2/(1+EXP($I$3*(COUNT($I$9:AQ$9)+$I$4))),TREND($E37:$F37,$E$9:$F$9,AQ$9))</f>
        <v>0</v>
      </c>
      <c r="AR37" s="27">
        <f>IF($G37="s-curve",$E37+($F37-$E37)*$I$2/(1+EXP($I$3*(COUNT($I$9:AR$9)+$I$4))),TREND($E37:$F37,$E$9:$F$9,AR$9))</f>
        <v>0</v>
      </c>
      <c r="AS37" s="27">
        <f>IF($G37="s-curve",$E37+($F37-$E37)*$I$2/(1+EXP($I$3*(COUNT($I$9:AS$9)+$I$4))),TREND($E37:$F37,$E$9:$F$9,AS$9))</f>
        <v>0</v>
      </c>
      <c r="AT37" s="27">
        <f>IF($G37="s-curve",$E37+($F37-$E37)*$I$2/(1+EXP($I$3*(COUNT($I$9:AT$9)+$I$4))),TREND($E37:$F37,$E$9:$F$9,AT$9))</f>
        <v>0</v>
      </c>
      <c r="AU37" s="27">
        <f>IF($G37="s-curve",$E37+($F37-$E37)*$I$2/(1+EXP($I$3*(COUNT($I$9:AU$9)+$I$4))),TREND($E37:$F37,$E$9:$F$9,AU$9))</f>
        <v>0</v>
      </c>
      <c r="AV37" s="27">
        <f>IF($G37="s-curve",$E37+($F37-$E37)*$I$2/(1+EXP($I$3*(COUNT($I$9:AV$9)+$I$4))),TREND($E37:$F37,$E$9:$F$9,AV$9))</f>
        <v>0</v>
      </c>
      <c r="AW37" s="27">
        <f>IF($G37="s-curve",$E37+($F37-$E37)*$I$2/(1+EXP($I$3*(COUNT($I$9:AW$9)+$I$4))),TREND($E37:$F37,$E$9:$F$9,AW$9))</f>
        <v>0</v>
      </c>
      <c r="AX37" s="27">
        <f>IF($G37="s-curve",$E37+($F37-$E37)*$I$2/(1+EXP($I$3*(COUNT($I$9:AX$9)+$I$4))),TREND($E37:$F37,$E$9:$F$9,AX$9))</f>
        <v>0</v>
      </c>
      <c r="AY37" s="27">
        <f>IF($G37="s-curve",$E37+($F37-$E37)*$I$2/(1+EXP($I$3*(COUNT($I$9:AY$9)+$I$4))),TREND($E37:$F37,$E$9:$F$9,AY$9))</f>
        <v>0</v>
      </c>
      <c r="AZ37" s="27">
        <f>IF($G37="s-curve",$E37+($F37-$E37)*$I$2/(1+EXP($I$3*(COUNT($I$9:AZ$9)+$I$4))),TREND($E37:$F37,$E$9:$F$9,AZ$9))</f>
        <v>0</v>
      </c>
      <c r="BA37" s="27">
        <f>IF($G37="s-curve",$E37+($F37-$E37)*$I$2/(1+EXP($I$3*(COUNT($I$9:BA$9)+$I$4))),TREND($E37:$F37,$E$9:$F$9,BA$9))</f>
        <v>0</v>
      </c>
      <c r="BB37" s="27">
        <f>IF($G37="s-curve",$E37+($F37-$E37)*$I$2/(1+EXP($I$3*(COUNT($I$9:BB$9)+$I$4))),TREND($E37:$F37,$E$9:$F$9,BB$9))</f>
        <v>0</v>
      </c>
      <c r="BC37" s="27">
        <f>IF($G37="s-curve",$E37+($F37-$E37)*$I$2/(1+EXP($I$3*(COUNT($I$9:BC$9)+$I$4))),TREND($E37:$F37,$E$9:$F$9,BC$9))</f>
        <v>0</v>
      </c>
      <c r="BD37" s="27">
        <f>IF($G37="s-curve",$E37+($F37-$E37)*$I$2/(1+EXP($I$3*(COUNT($I$9:BD$9)+$I$4))),TREND($E37:$F37,$E$9:$F$9,BD$9))</f>
        <v>0</v>
      </c>
      <c r="BE37" s="27">
        <f>IF($G37="s-curve",$E37+($F37-$E37)*$I$2/(1+EXP($I$3*(COUNT($I$9:BE$9)+$I$4))),TREND($E37:$F37,$E$9:$F$9,BE$9))</f>
        <v>0</v>
      </c>
      <c r="BF37" s="27">
        <f>IF($G37="s-curve",$E37+($F37-$E37)*$I$2/(1+EXP($I$3*(COUNT($I$9:BF$9)+$I$4))),TREND($E37:$F37,$E$9:$F$9,BF$9))</f>
        <v>0</v>
      </c>
    </row>
    <row r="38" spans="1:58" x14ac:dyDescent="0.75">
      <c r="A38" t="s">
        <v>14</v>
      </c>
      <c r="B38" t="s">
        <v>19</v>
      </c>
      <c r="C38" t="s">
        <v>1</v>
      </c>
      <c r="D38" s="26">
        <f t="shared" ref="D38:D51" si="11">E38</f>
        <v>0</v>
      </c>
      <c r="E38" s="26">
        <v>0</v>
      </c>
      <c r="F38" s="26">
        <v>0</v>
      </c>
      <c r="G38" s="29" t="str">
        <f>IF(E38=F38,"n/a",IF(OR(C38="battery electric vehicle",C38="natural gas vehicle",C38="plugin hybrid vehicle"),"s-curve","linear"))</f>
        <v>n/a</v>
      </c>
      <c r="I38" s="27">
        <f t="shared" si="3"/>
        <v>0</v>
      </c>
      <c r="J38" s="27">
        <f t="shared" si="4"/>
        <v>0</v>
      </c>
      <c r="K38" s="27">
        <f t="shared" si="4"/>
        <v>0</v>
      </c>
      <c r="L38" s="27">
        <f t="shared" si="4"/>
        <v>0</v>
      </c>
      <c r="M38" s="27">
        <f>IF($G38="s-curve",$E38+($F38-$E38)*$I$2/(1+EXP($I$3*(COUNT($I$9:M$9)+$I$4))),TREND($E38:$F38,$E$9:$F$9,M$9))</f>
        <v>0</v>
      </c>
      <c r="N38" s="27">
        <f>IF($G38="s-curve",$E38+($F38-$E38)*$I$2/(1+EXP($I$3*(COUNT($I$9:N$9)+$I$4))),TREND($E38:$F38,$E$9:$F$9,N$9))</f>
        <v>0</v>
      </c>
      <c r="O38" s="27">
        <f>IF($G38="s-curve",$E38+($F38-$E38)*$I$2/(1+EXP($I$3*(COUNT($I$9:O$9)+$I$4))),TREND($E38:$F38,$E$9:$F$9,O$9))</f>
        <v>0</v>
      </c>
      <c r="P38" s="27">
        <f>IF($G38="s-curve",$E38+($F38-$E38)*$I$2/(1+EXP($I$3*(COUNT($I$9:P$9)+$I$4))),TREND($E38:$F38,$E$9:$F$9,P$9))</f>
        <v>0</v>
      </c>
      <c r="Q38" s="27">
        <f>IF($G38="s-curve",$E38+($F38-$E38)*$I$2/(1+EXP($I$3*(COUNT($I$9:Q$9)+$I$4))),TREND($E38:$F38,$E$9:$F$9,Q$9))</f>
        <v>0</v>
      </c>
      <c r="R38" s="27">
        <f>IF($G38="s-curve",$E38+($F38-$E38)*$I$2/(1+EXP($I$3*(COUNT($I$9:R$9)+$I$4))),TREND($E38:$F38,$E$9:$F$9,R$9))</f>
        <v>0</v>
      </c>
      <c r="S38" s="27">
        <f>IF($G38="s-curve",$E38+($F38-$E38)*$I$2/(1+EXP($I$3*(COUNT($I$9:S$9)+$I$4))),TREND($E38:$F38,$E$9:$F$9,S$9))</f>
        <v>0</v>
      </c>
      <c r="T38" s="27">
        <f>IF($G38="s-curve",$E38+($F38-$E38)*$I$2/(1+EXP($I$3*(COUNT($I$9:T$9)+$I$4))),TREND($E38:$F38,$E$9:$F$9,T$9))</f>
        <v>0</v>
      </c>
      <c r="U38" s="27">
        <f>IF($G38="s-curve",$E38+($F38-$E38)*$I$2/(1+EXP($I$3*(COUNT($I$9:U$9)+$I$4))),TREND($E38:$F38,$E$9:$F$9,U$9))</f>
        <v>0</v>
      </c>
      <c r="V38" s="27">
        <f>IF($G38="s-curve",$E38+($F38-$E38)*$I$2/(1+EXP($I$3*(COUNT($I$9:V$9)+$I$4))),TREND($E38:$F38,$E$9:$F$9,V$9))</f>
        <v>0</v>
      </c>
      <c r="W38" s="27">
        <f>IF($G38="s-curve",$E38+($F38-$E38)*$I$2/(1+EXP($I$3*(COUNT($I$9:W$9)+$I$4))),TREND($E38:$F38,$E$9:$F$9,W$9))</f>
        <v>0</v>
      </c>
      <c r="X38" s="27">
        <f>IF($G38="s-curve",$E38+($F38-$E38)*$I$2/(1+EXP($I$3*(COUNT($I$9:X$9)+$I$4))),TREND($E38:$F38,$E$9:$F$9,X$9))</f>
        <v>0</v>
      </c>
      <c r="Y38" s="27">
        <f>IF($G38="s-curve",$E38+($F38-$E38)*$I$2/(1+EXP($I$3*(COUNT($I$9:Y$9)+$I$4))),TREND($E38:$F38,$E$9:$F$9,Y$9))</f>
        <v>0</v>
      </c>
      <c r="Z38" s="27">
        <f>IF($G38="s-curve",$E38+($F38-$E38)*$I$2/(1+EXP($I$3*(COUNT($I$9:Z$9)+$I$4))),TREND($E38:$F38,$E$9:$F$9,Z$9))</f>
        <v>0</v>
      </c>
      <c r="AA38" s="27">
        <f>IF($G38="s-curve",$E38+($F38-$E38)*$I$2/(1+EXP($I$3*(COUNT($I$9:AA$9)+$I$4))),TREND($E38:$F38,$E$9:$F$9,AA$9))</f>
        <v>0</v>
      </c>
      <c r="AB38" s="27">
        <f>IF($G38="s-curve",$E38+($F38-$E38)*$I$2/(1+EXP($I$3*(COUNT($I$9:AB$9)+$I$4))),TREND($E38:$F38,$E$9:$F$9,AB$9))</f>
        <v>0</v>
      </c>
      <c r="AC38" s="27">
        <f>IF($G38="s-curve",$E38+($F38-$E38)*$I$2/(1+EXP($I$3*(COUNT($I$9:AC$9)+$I$4))),TREND($E38:$F38,$E$9:$F$9,AC$9))</f>
        <v>0</v>
      </c>
      <c r="AD38" s="27">
        <f>IF($G38="s-curve",$E38+($F38-$E38)*$I$2/(1+EXP($I$3*(COUNT($I$9:AD$9)+$I$4))),TREND($E38:$F38,$E$9:$F$9,AD$9))</f>
        <v>0</v>
      </c>
      <c r="AE38" s="27">
        <f>IF($G38="s-curve",$E38+($F38-$E38)*$I$2/(1+EXP($I$3*(COUNT($I$9:AE$9)+$I$4))),TREND($E38:$F38,$E$9:$F$9,AE$9))</f>
        <v>0</v>
      </c>
      <c r="AF38" s="27">
        <f>IF($G38="s-curve",$E38+($F38-$E38)*$I$2/(1+EXP($I$3*(COUNT($I$9:AF$9)+$I$4))),TREND($E38:$F38,$E$9:$F$9,AF$9))</f>
        <v>0</v>
      </c>
      <c r="AG38" s="27">
        <f>IF($G38="s-curve",$E38+($F38-$E38)*$I$2/(1+EXP($I$3*(COUNT($I$9:AG$9)+$I$4))),TREND($E38:$F38,$E$9:$F$9,AG$9))</f>
        <v>0</v>
      </c>
      <c r="AH38" s="27">
        <f>IF($G38="s-curve",$E38+($F38-$E38)*$I$2/(1+EXP($I$3*(COUNT($I$9:AH$9)+$I$4))),TREND($E38:$F38,$E$9:$F$9,AH$9))</f>
        <v>0</v>
      </c>
      <c r="AI38" s="27">
        <f>IF($G38="s-curve",$E38+($F38-$E38)*$I$2/(1+EXP($I$3*(COUNT($I$9:AI$9)+$I$4))),TREND($E38:$F38,$E$9:$F$9,AI$9))</f>
        <v>0</v>
      </c>
      <c r="AJ38" s="27">
        <f>IF($G38="s-curve",$E38+($F38-$E38)*$I$2/(1+EXP($I$3*(COUNT($I$9:AJ$9)+$I$4))),TREND($E38:$F38,$E$9:$F$9,AJ$9))</f>
        <v>0</v>
      </c>
      <c r="AK38" s="27">
        <f>IF($G38="s-curve",$E38+($F38-$E38)*$I$2/(1+EXP($I$3*(COUNT($I$9:AK$9)+$I$4))),TREND($E38:$F38,$E$9:$F$9,AK$9))</f>
        <v>0</v>
      </c>
      <c r="AL38" s="27">
        <f>IF($G38="s-curve",$E38+($F38-$E38)*$I$2/(1+EXP($I$3*(COUNT($I$9:AL$9)+$I$4))),TREND($E38:$F38,$E$9:$F$9,AL$9))</f>
        <v>0</v>
      </c>
      <c r="AM38" s="27">
        <f>IF($G38="s-curve",$E38+($F38-$E38)*$I$2/(1+EXP($I$3*(COUNT($I$9:AM$9)+$I$4))),TREND($E38:$F38,$E$9:$F$9,AM$9))</f>
        <v>0</v>
      </c>
      <c r="AN38" s="27">
        <f>IF($G38="s-curve",$E38+($F38-$E38)*$I$2/(1+EXP($I$3*(COUNT($I$9:AN$9)+$I$4))),TREND($E38:$F38,$E$9:$F$9,AN$9))</f>
        <v>0</v>
      </c>
      <c r="AO38" s="27">
        <f>IF($G38="s-curve",$E38+($F38-$E38)*$I$2/(1+EXP($I$3*(COUNT($I$9:AO$9)+$I$4))),TREND($E38:$F38,$E$9:$F$9,AO$9))</f>
        <v>0</v>
      </c>
      <c r="AP38" s="27">
        <f>IF($G38="s-curve",$E38+($F38-$E38)*$I$2/(1+EXP($I$3*(COUNT($I$9:AP$9)+$I$4))),TREND($E38:$F38,$E$9:$F$9,AP$9))</f>
        <v>0</v>
      </c>
      <c r="AQ38" s="27">
        <f>IF($G38="s-curve",$E38+($F38-$E38)*$I$2/(1+EXP($I$3*(COUNT($I$9:AQ$9)+$I$4))),TREND($E38:$F38,$E$9:$F$9,AQ$9))</f>
        <v>0</v>
      </c>
      <c r="AR38" s="27">
        <f>IF($G38="s-curve",$E38+($F38-$E38)*$I$2/(1+EXP($I$3*(COUNT($I$9:AR$9)+$I$4))),TREND($E38:$F38,$E$9:$F$9,AR$9))</f>
        <v>0</v>
      </c>
      <c r="AS38" s="27">
        <f>IF($G38="s-curve",$E38+($F38-$E38)*$I$2/(1+EXP($I$3*(COUNT($I$9:AS$9)+$I$4))),TREND($E38:$F38,$E$9:$F$9,AS$9))</f>
        <v>0</v>
      </c>
      <c r="AT38" s="27">
        <f>IF($G38="s-curve",$E38+($F38-$E38)*$I$2/(1+EXP($I$3*(COUNT($I$9:AT$9)+$I$4))),TREND($E38:$F38,$E$9:$F$9,AT$9))</f>
        <v>0</v>
      </c>
      <c r="AU38" s="27">
        <f>IF($G38="s-curve",$E38+($F38-$E38)*$I$2/(1+EXP($I$3*(COUNT($I$9:AU$9)+$I$4))),TREND($E38:$F38,$E$9:$F$9,AU$9))</f>
        <v>0</v>
      </c>
      <c r="AV38" s="27">
        <f>IF($G38="s-curve",$E38+($F38-$E38)*$I$2/(1+EXP($I$3*(COUNT($I$9:AV$9)+$I$4))),TREND($E38:$F38,$E$9:$F$9,AV$9))</f>
        <v>0</v>
      </c>
      <c r="AW38" s="27">
        <f>IF($G38="s-curve",$E38+($F38-$E38)*$I$2/(1+EXP($I$3*(COUNT($I$9:AW$9)+$I$4))),TREND($E38:$F38,$E$9:$F$9,AW$9))</f>
        <v>0</v>
      </c>
      <c r="AX38" s="27">
        <f>IF($G38="s-curve",$E38+($F38-$E38)*$I$2/(1+EXP($I$3*(COUNT($I$9:AX$9)+$I$4))),TREND($E38:$F38,$E$9:$F$9,AX$9))</f>
        <v>0</v>
      </c>
      <c r="AY38" s="27">
        <f>IF($G38="s-curve",$E38+($F38-$E38)*$I$2/(1+EXP($I$3*(COUNT($I$9:AY$9)+$I$4))),TREND($E38:$F38,$E$9:$F$9,AY$9))</f>
        <v>0</v>
      </c>
      <c r="AZ38" s="27">
        <f>IF($G38="s-curve",$E38+($F38-$E38)*$I$2/(1+EXP($I$3*(COUNT($I$9:AZ$9)+$I$4))),TREND($E38:$F38,$E$9:$F$9,AZ$9))</f>
        <v>0</v>
      </c>
      <c r="BA38" s="27">
        <f>IF($G38="s-curve",$E38+($F38-$E38)*$I$2/(1+EXP($I$3*(COUNT($I$9:BA$9)+$I$4))),TREND($E38:$F38,$E$9:$F$9,BA$9))</f>
        <v>0</v>
      </c>
      <c r="BB38" s="27">
        <f>IF($G38="s-curve",$E38+($F38-$E38)*$I$2/(1+EXP($I$3*(COUNT($I$9:BB$9)+$I$4))),TREND($E38:$F38,$E$9:$F$9,BB$9))</f>
        <v>0</v>
      </c>
      <c r="BC38" s="27">
        <f>IF($G38="s-curve",$E38+($F38-$E38)*$I$2/(1+EXP($I$3*(COUNT($I$9:BC$9)+$I$4))),TREND($E38:$F38,$E$9:$F$9,BC$9))</f>
        <v>0</v>
      </c>
      <c r="BD38" s="27">
        <f>IF($G38="s-curve",$E38+($F38-$E38)*$I$2/(1+EXP($I$3*(COUNT($I$9:BD$9)+$I$4))),TREND($E38:$F38,$E$9:$F$9,BD$9))</f>
        <v>0</v>
      </c>
      <c r="BE38" s="27">
        <f>IF($G38="s-curve",$E38+($F38-$E38)*$I$2/(1+EXP($I$3*(COUNT($I$9:BE$9)+$I$4))),TREND($E38:$F38,$E$9:$F$9,BE$9))</f>
        <v>0</v>
      </c>
      <c r="BF38" s="27">
        <f>IF($G38="s-curve",$E38+($F38-$E38)*$I$2/(1+EXP($I$3*(COUNT($I$9:BF$9)+$I$4))),TREND($E38:$F38,$E$9:$F$9,BF$9))</f>
        <v>0</v>
      </c>
    </row>
    <row r="39" spans="1:58" x14ac:dyDescent="0.75">
      <c r="C39" t="s">
        <v>2</v>
      </c>
      <c r="D39" s="26">
        <f t="shared" si="11"/>
        <v>0</v>
      </c>
      <c r="E39" s="26">
        <v>0</v>
      </c>
      <c r="F39" s="26">
        <v>0</v>
      </c>
      <c r="G39" s="29" t="str">
        <f>IF(E39=F39,"n/a",IF(OR(C39="battery electric vehicle",C39="natural gas vehicle",C39="plugin hybrid vehicle"),"s-curve","linear"))</f>
        <v>n/a</v>
      </c>
      <c r="I39" s="27">
        <f t="shared" si="3"/>
        <v>0</v>
      </c>
      <c r="J39" s="27">
        <f t="shared" si="4"/>
        <v>0</v>
      </c>
      <c r="K39" s="27">
        <f t="shared" si="4"/>
        <v>0</v>
      </c>
      <c r="L39" s="27">
        <f t="shared" si="4"/>
        <v>0</v>
      </c>
      <c r="M39" s="27">
        <f>IF($G39="s-curve",$E39+($F39-$E39)*$I$2/(1+EXP($I$3*(COUNT($I$9:M$9)+$I$4))),TREND($E39:$F39,$E$9:$F$9,M$9))</f>
        <v>0</v>
      </c>
      <c r="N39" s="27">
        <f>IF($G39="s-curve",$E39+($F39-$E39)*$I$2/(1+EXP($I$3*(COUNT($I$9:N$9)+$I$4))),TREND($E39:$F39,$E$9:$F$9,N$9))</f>
        <v>0</v>
      </c>
      <c r="O39" s="27">
        <f>IF($G39="s-curve",$E39+($F39-$E39)*$I$2/(1+EXP($I$3*(COUNT($I$9:O$9)+$I$4))),TREND($E39:$F39,$E$9:$F$9,O$9))</f>
        <v>0</v>
      </c>
      <c r="P39" s="27">
        <f>IF($G39="s-curve",$E39+($F39-$E39)*$I$2/(1+EXP($I$3*(COUNT($I$9:P$9)+$I$4))),TREND($E39:$F39,$E$9:$F$9,P$9))</f>
        <v>0</v>
      </c>
      <c r="Q39" s="27">
        <f>IF($G39="s-curve",$E39+($F39-$E39)*$I$2/(1+EXP($I$3*(COUNT($I$9:Q$9)+$I$4))),TREND($E39:$F39,$E$9:$F$9,Q$9))</f>
        <v>0</v>
      </c>
      <c r="R39" s="27">
        <f>IF($G39="s-curve",$E39+($F39-$E39)*$I$2/(1+EXP($I$3*(COUNT($I$9:R$9)+$I$4))),TREND($E39:$F39,$E$9:$F$9,R$9))</f>
        <v>0</v>
      </c>
      <c r="S39" s="27">
        <f>IF($G39="s-curve",$E39+($F39-$E39)*$I$2/(1+EXP($I$3*(COUNT($I$9:S$9)+$I$4))),TREND($E39:$F39,$E$9:$F$9,S$9))</f>
        <v>0</v>
      </c>
      <c r="T39" s="27">
        <f>IF($G39="s-curve",$E39+($F39-$E39)*$I$2/(1+EXP($I$3*(COUNT($I$9:T$9)+$I$4))),TREND($E39:$F39,$E$9:$F$9,T$9))</f>
        <v>0</v>
      </c>
      <c r="U39" s="27">
        <f>IF($G39="s-curve",$E39+($F39-$E39)*$I$2/(1+EXP($I$3*(COUNT($I$9:U$9)+$I$4))),TREND($E39:$F39,$E$9:$F$9,U$9))</f>
        <v>0</v>
      </c>
      <c r="V39" s="27">
        <f>IF($G39="s-curve",$E39+($F39-$E39)*$I$2/(1+EXP($I$3*(COUNT($I$9:V$9)+$I$4))),TREND($E39:$F39,$E$9:$F$9,V$9))</f>
        <v>0</v>
      </c>
      <c r="W39" s="27">
        <f>IF($G39="s-curve",$E39+($F39-$E39)*$I$2/(1+EXP($I$3*(COUNT($I$9:W$9)+$I$4))),TREND($E39:$F39,$E$9:$F$9,W$9))</f>
        <v>0</v>
      </c>
      <c r="X39" s="27">
        <f>IF($G39="s-curve",$E39+($F39-$E39)*$I$2/(1+EXP($I$3*(COUNT($I$9:X$9)+$I$4))),TREND($E39:$F39,$E$9:$F$9,X$9))</f>
        <v>0</v>
      </c>
      <c r="Y39" s="27">
        <f>IF($G39="s-curve",$E39+($F39-$E39)*$I$2/(1+EXP($I$3*(COUNT($I$9:Y$9)+$I$4))),TREND($E39:$F39,$E$9:$F$9,Y$9))</f>
        <v>0</v>
      </c>
      <c r="Z39" s="27">
        <f>IF($G39="s-curve",$E39+($F39-$E39)*$I$2/(1+EXP($I$3*(COUNT($I$9:Z$9)+$I$4))),TREND($E39:$F39,$E$9:$F$9,Z$9))</f>
        <v>0</v>
      </c>
      <c r="AA39" s="27">
        <f>IF($G39="s-curve",$E39+($F39-$E39)*$I$2/(1+EXP($I$3*(COUNT($I$9:AA$9)+$I$4))),TREND($E39:$F39,$E$9:$F$9,AA$9))</f>
        <v>0</v>
      </c>
      <c r="AB39" s="27">
        <f>IF($G39="s-curve",$E39+($F39-$E39)*$I$2/(1+EXP($I$3*(COUNT($I$9:AB$9)+$I$4))),TREND($E39:$F39,$E$9:$F$9,AB$9))</f>
        <v>0</v>
      </c>
      <c r="AC39" s="27">
        <f>IF($G39="s-curve",$E39+($F39-$E39)*$I$2/(1+EXP($I$3*(COUNT($I$9:AC$9)+$I$4))),TREND($E39:$F39,$E$9:$F$9,AC$9))</f>
        <v>0</v>
      </c>
      <c r="AD39" s="27">
        <f>IF($G39="s-curve",$E39+($F39-$E39)*$I$2/(1+EXP($I$3*(COUNT($I$9:AD$9)+$I$4))),TREND($E39:$F39,$E$9:$F$9,AD$9))</f>
        <v>0</v>
      </c>
      <c r="AE39" s="27">
        <f>IF($G39="s-curve",$E39+($F39-$E39)*$I$2/(1+EXP($I$3*(COUNT($I$9:AE$9)+$I$4))),TREND($E39:$F39,$E$9:$F$9,AE$9))</f>
        <v>0</v>
      </c>
      <c r="AF39" s="27">
        <f>IF($G39="s-curve",$E39+($F39-$E39)*$I$2/(1+EXP($I$3*(COUNT($I$9:AF$9)+$I$4))),TREND($E39:$F39,$E$9:$F$9,AF$9))</f>
        <v>0</v>
      </c>
      <c r="AG39" s="27">
        <f>IF($G39="s-curve",$E39+($F39-$E39)*$I$2/(1+EXP($I$3*(COUNT($I$9:AG$9)+$I$4))),TREND($E39:$F39,$E$9:$F$9,AG$9))</f>
        <v>0</v>
      </c>
      <c r="AH39" s="27">
        <f>IF($G39="s-curve",$E39+($F39-$E39)*$I$2/(1+EXP($I$3*(COUNT($I$9:AH$9)+$I$4))),TREND($E39:$F39,$E$9:$F$9,AH$9))</f>
        <v>0</v>
      </c>
      <c r="AI39" s="27">
        <f>IF($G39="s-curve",$E39+($F39-$E39)*$I$2/(1+EXP($I$3*(COUNT($I$9:AI$9)+$I$4))),TREND($E39:$F39,$E$9:$F$9,AI$9))</f>
        <v>0</v>
      </c>
      <c r="AJ39" s="27">
        <f>IF($G39="s-curve",$E39+($F39-$E39)*$I$2/(1+EXP($I$3*(COUNT($I$9:AJ$9)+$I$4))),TREND($E39:$F39,$E$9:$F$9,AJ$9))</f>
        <v>0</v>
      </c>
      <c r="AK39" s="27">
        <f>IF($G39="s-curve",$E39+($F39-$E39)*$I$2/(1+EXP($I$3*(COUNT($I$9:AK$9)+$I$4))),TREND($E39:$F39,$E$9:$F$9,AK$9))</f>
        <v>0</v>
      </c>
      <c r="AL39" s="27">
        <f>IF($G39="s-curve",$E39+($F39-$E39)*$I$2/(1+EXP($I$3*(COUNT($I$9:AL$9)+$I$4))),TREND($E39:$F39,$E$9:$F$9,AL$9))</f>
        <v>0</v>
      </c>
      <c r="AM39" s="27">
        <f>IF($G39="s-curve",$E39+($F39-$E39)*$I$2/(1+EXP($I$3*(COUNT($I$9:AM$9)+$I$4))),TREND($E39:$F39,$E$9:$F$9,AM$9))</f>
        <v>0</v>
      </c>
      <c r="AN39" s="27">
        <f>IF($G39="s-curve",$E39+($F39-$E39)*$I$2/(1+EXP($I$3*(COUNT($I$9:AN$9)+$I$4))),TREND($E39:$F39,$E$9:$F$9,AN$9))</f>
        <v>0</v>
      </c>
      <c r="AO39" s="27">
        <f>IF($G39="s-curve",$E39+($F39-$E39)*$I$2/(1+EXP($I$3*(COUNT($I$9:AO$9)+$I$4))),TREND($E39:$F39,$E$9:$F$9,AO$9))</f>
        <v>0</v>
      </c>
      <c r="AP39" s="27">
        <f>IF($G39="s-curve",$E39+($F39-$E39)*$I$2/(1+EXP($I$3*(COUNT($I$9:AP$9)+$I$4))),TREND($E39:$F39,$E$9:$F$9,AP$9))</f>
        <v>0</v>
      </c>
      <c r="AQ39" s="27">
        <f>IF($G39="s-curve",$E39+($F39-$E39)*$I$2/(1+EXP($I$3*(COUNT($I$9:AQ$9)+$I$4))),TREND($E39:$F39,$E$9:$F$9,AQ$9))</f>
        <v>0</v>
      </c>
      <c r="AR39" s="27">
        <f>IF($G39="s-curve",$E39+($F39-$E39)*$I$2/(1+EXP($I$3*(COUNT($I$9:AR$9)+$I$4))),TREND($E39:$F39,$E$9:$F$9,AR$9))</f>
        <v>0</v>
      </c>
      <c r="AS39" s="27">
        <f>IF($G39="s-curve",$E39+($F39-$E39)*$I$2/(1+EXP($I$3*(COUNT($I$9:AS$9)+$I$4))),TREND($E39:$F39,$E$9:$F$9,AS$9))</f>
        <v>0</v>
      </c>
      <c r="AT39" s="27">
        <f>IF($G39="s-curve",$E39+($F39-$E39)*$I$2/(1+EXP($I$3*(COUNT($I$9:AT$9)+$I$4))),TREND($E39:$F39,$E$9:$F$9,AT$9))</f>
        <v>0</v>
      </c>
      <c r="AU39" s="27">
        <f>IF($G39="s-curve",$E39+($F39-$E39)*$I$2/(1+EXP($I$3*(COUNT($I$9:AU$9)+$I$4))),TREND($E39:$F39,$E$9:$F$9,AU$9))</f>
        <v>0</v>
      </c>
      <c r="AV39" s="27">
        <f>IF($G39="s-curve",$E39+($F39-$E39)*$I$2/(1+EXP($I$3*(COUNT($I$9:AV$9)+$I$4))),TREND($E39:$F39,$E$9:$F$9,AV$9))</f>
        <v>0</v>
      </c>
      <c r="AW39" s="27">
        <f>IF($G39="s-curve",$E39+($F39-$E39)*$I$2/(1+EXP($I$3*(COUNT($I$9:AW$9)+$I$4))),TREND($E39:$F39,$E$9:$F$9,AW$9))</f>
        <v>0</v>
      </c>
      <c r="AX39" s="27">
        <f>IF($G39="s-curve",$E39+($F39-$E39)*$I$2/(1+EXP($I$3*(COUNT($I$9:AX$9)+$I$4))),TREND($E39:$F39,$E$9:$F$9,AX$9))</f>
        <v>0</v>
      </c>
      <c r="AY39" s="27">
        <f>IF($G39="s-curve",$E39+($F39-$E39)*$I$2/(1+EXP($I$3*(COUNT($I$9:AY$9)+$I$4))),TREND($E39:$F39,$E$9:$F$9,AY$9))</f>
        <v>0</v>
      </c>
      <c r="AZ39" s="27">
        <f>IF($G39="s-curve",$E39+($F39-$E39)*$I$2/(1+EXP($I$3*(COUNT($I$9:AZ$9)+$I$4))),TREND($E39:$F39,$E$9:$F$9,AZ$9))</f>
        <v>0</v>
      </c>
      <c r="BA39" s="27">
        <f>IF($G39="s-curve",$E39+($F39-$E39)*$I$2/(1+EXP($I$3*(COUNT($I$9:BA$9)+$I$4))),TREND($E39:$F39,$E$9:$F$9,BA$9))</f>
        <v>0</v>
      </c>
      <c r="BB39" s="27">
        <f>IF($G39="s-curve",$E39+($F39-$E39)*$I$2/(1+EXP($I$3*(COUNT($I$9:BB$9)+$I$4))),TREND($E39:$F39,$E$9:$F$9,BB$9))</f>
        <v>0</v>
      </c>
      <c r="BC39" s="27">
        <f>IF($G39="s-curve",$E39+($F39-$E39)*$I$2/(1+EXP($I$3*(COUNT($I$9:BC$9)+$I$4))),TREND($E39:$F39,$E$9:$F$9,BC$9))</f>
        <v>0</v>
      </c>
      <c r="BD39" s="27">
        <f>IF($G39="s-curve",$E39+($F39-$E39)*$I$2/(1+EXP($I$3*(COUNT($I$9:BD$9)+$I$4))),TREND($E39:$F39,$E$9:$F$9,BD$9))</f>
        <v>0</v>
      </c>
      <c r="BE39" s="27">
        <f>IF($G39="s-curve",$E39+($F39-$E39)*$I$2/(1+EXP($I$3*(COUNT($I$9:BE$9)+$I$4))),TREND($E39:$F39,$E$9:$F$9,BE$9))</f>
        <v>0</v>
      </c>
      <c r="BF39" s="27">
        <f>IF($G39="s-curve",$E39+($F39-$E39)*$I$2/(1+EXP($I$3*(COUNT($I$9:BF$9)+$I$4))),TREND($E39:$F39,$E$9:$F$9,BF$9))</f>
        <v>0</v>
      </c>
    </row>
    <row r="40" spans="1:58" x14ac:dyDescent="0.75">
      <c r="C40" t="s">
        <v>3</v>
      </c>
      <c r="D40" s="26">
        <f t="shared" si="11"/>
        <v>0</v>
      </c>
      <c r="E40" s="26">
        <v>0</v>
      </c>
      <c r="F40" s="26">
        <v>0</v>
      </c>
      <c r="G40" s="29" t="str">
        <f>IF(E40=F40,"n/a",IF(OR(C40="battery electric vehicle",C40="natural gas vehicle",C40="plugin hybrid vehicle"),"s-curve","linear"))</f>
        <v>n/a</v>
      </c>
      <c r="I40" s="27">
        <f t="shared" si="3"/>
        <v>0</v>
      </c>
      <c r="J40" s="27">
        <f t="shared" si="4"/>
        <v>0</v>
      </c>
      <c r="K40" s="27">
        <f t="shared" si="4"/>
        <v>0</v>
      </c>
      <c r="L40" s="27">
        <f t="shared" si="4"/>
        <v>0</v>
      </c>
      <c r="M40" s="27">
        <f>IF($G40="s-curve",$E40+($F40-$E40)*$I$2/(1+EXP($I$3*(COUNT($I$9:M$9)+$I$4))),TREND($E40:$F40,$E$9:$F$9,M$9))</f>
        <v>0</v>
      </c>
      <c r="N40" s="27">
        <f>IF($G40="s-curve",$E40+($F40-$E40)*$I$2/(1+EXP($I$3*(COUNT($I$9:N$9)+$I$4))),TREND($E40:$F40,$E$9:$F$9,N$9))</f>
        <v>0</v>
      </c>
      <c r="O40" s="27">
        <f>IF($G40="s-curve",$E40+($F40-$E40)*$I$2/(1+EXP($I$3*(COUNT($I$9:O$9)+$I$4))),TREND($E40:$F40,$E$9:$F$9,O$9))</f>
        <v>0</v>
      </c>
      <c r="P40" s="27">
        <f>IF($G40="s-curve",$E40+($F40-$E40)*$I$2/(1+EXP($I$3*(COUNT($I$9:P$9)+$I$4))),TREND($E40:$F40,$E$9:$F$9,P$9))</f>
        <v>0</v>
      </c>
      <c r="Q40" s="27">
        <f>IF($G40="s-curve",$E40+($F40-$E40)*$I$2/(1+EXP($I$3*(COUNT($I$9:Q$9)+$I$4))),TREND($E40:$F40,$E$9:$F$9,Q$9))</f>
        <v>0</v>
      </c>
      <c r="R40" s="27">
        <f>IF($G40="s-curve",$E40+($F40-$E40)*$I$2/(1+EXP($I$3*(COUNT($I$9:R$9)+$I$4))),TREND($E40:$F40,$E$9:$F$9,R$9))</f>
        <v>0</v>
      </c>
      <c r="S40" s="27">
        <f>IF($G40="s-curve",$E40+($F40-$E40)*$I$2/(1+EXP($I$3*(COUNT($I$9:S$9)+$I$4))),TREND($E40:$F40,$E$9:$F$9,S$9))</f>
        <v>0</v>
      </c>
      <c r="T40" s="27">
        <f>IF($G40="s-curve",$E40+($F40-$E40)*$I$2/(1+EXP($I$3*(COUNT($I$9:T$9)+$I$4))),TREND($E40:$F40,$E$9:$F$9,T$9))</f>
        <v>0</v>
      </c>
      <c r="U40" s="27">
        <f>IF($G40="s-curve",$E40+($F40-$E40)*$I$2/(1+EXP($I$3*(COUNT($I$9:U$9)+$I$4))),TREND($E40:$F40,$E$9:$F$9,U$9))</f>
        <v>0</v>
      </c>
      <c r="V40" s="27">
        <f>IF($G40="s-curve",$E40+($F40-$E40)*$I$2/(1+EXP($I$3*(COUNT($I$9:V$9)+$I$4))),TREND($E40:$F40,$E$9:$F$9,V$9))</f>
        <v>0</v>
      </c>
      <c r="W40" s="27">
        <f>IF($G40="s-curve",$E40+($F40-$E40)*$I$2/(1+EXP($I$3*(COUNT($I$9:W$9)+$I$4))),TREND($E40:$F40,$E$9:$F$9,W$9))</f>
        <v>0</v>
      </c>
      <c r="X40" s="27">
        <f>IF($G40="s-curve",$E40+($F40-$E40)*$I$2/(1+EXP($I$3*(COUNT($I$9:X$9)+$I$4))),TREND($E40:$F40,$E$9:$F$9,X$9))</f>
        <v>0</v>
      </c>
      <c r="Y40" s="27">
        <f>IF($G40="s-curve",$E40+($F40-$E40)*$I$2/(1+EXP($I$3*(COUNT($I$9:Y$9)+$I$4))),TREND($E40:$F40,$E$9:$F$9,Y$9))</f>
        <v>0</v>
      </c>
      <c r="Z40" s="27">
        <f>IF($G40="s-curve",$E40+($F40-$E40)*$I$2/(1+EXP($I$3*(COUNT($I$9:Z$9)+$I$4))),TREND($E40:$F40,$E$9:$F$9,Z$9))</f>
        <v>0</v>
      </c>
      <c r="AA40" s="27">
        <f>IF($G40="s-curve",$E40+($F40-$E40)*$I$2/(1+EXP($I$3*(COUNT($I$9:AA$9)+$I$4))),TREND($E40:$F40,$E$9:$F$9,AA$9))</f>
        <v>0</v>
      </c>
      <c r="AB40" s="27">
        <f>IF($G40="s-curve",$E40+($F40-$E40)*$I$2/(1+EXP($I$3*(COUNT($I$9:AB$9)+$I$4))),TREND($E40:$F40,$E$9:$F$9,AB$9))</f>
        <v>0</v>
      </c>
      <c r="AC40" s="27">
        <f>IF($G40="s-curve",$E40+($F40-$E40)*$I$2/(1+EXP($I$3*(COUNT($I$9:AC$9)+$I$4))),TREND($E40:$F40,$E$9:$F$9,AC$9))</f>
        <v>0</v>
      </c>
      <c r="AD40" s="27">
        <f>IF($G40="s-curve",$E40+($F40-$E40)*$I$2/(1+EXP($I$3*(COUNT($I$9:AD$9)+$I$4))),TREND($E40:$F40,$E$9:$F$9,AD$9))</f>
        <v>0</v>
      </c>
      <c r="AE40" s="27">
        <f>IF($G40="s-curve",$E40+($F40-$E40)*$I$2/(1+EXP($I$3*(COUNT($I$9:AE$9)+$I$4))),TREND($E40:$F40,$E$9:$F$9,AE$9))</f>
        <v>0</v>
      </c>
      <c r="AF40" s="27">
        <f>IF($G40="s-curve",$E40+($F40-$E40)*$I$2/(1+EXP($I$3*(COUNT($I$9:AF$9)+$I$4))),TREND($E40:$F40,$E$9:$F$9,AF$9))</f>
        <v>0</v>
      </c>
      <c r="AG40" s="27">
        <f>IF($G40="s-curve",$E40+($F40-$E40)*$I$2/(1+EXP($I$3*(COUNT($I$9:AG$9)+$I$4))),TREND($E40:$F40,$E$9:$F$9,AG$9))</f>
        <v>0</v>
      </c>
      <c r="AH40" s="27">
        <f>IF($G40="s-curve",$E40+($F40-$E40)*$I$2/(1+EXP($I$3*(COUNT($I$9:AH$9)+$I$4))),TREND($E40:$F40,$E$9:$F$9,AH$9))</f>
        <v>0</v>
      </c>
      <c r="AI40" s="27">
        <f>IF($G40="s-curve",$E40+($F40-$E40)*$I$2/(1+EXP($I$3*(COUNT($I$9:AI$9)+$I$4))),TREND($E40:$F40,$E$9:$F$9,AI$9))</f>
        <v>0</v>
      </c>
      <c r="AJ40" s="27">
        <f>IF($G40="s-curve",$E40+($F40-$E40)*$I$2/(1+EXP($I$3*(COUNT($I$9:AJ$9)+$I$4))),TREND($E40:$F40,$E$9:$F$9,AJ$9))</f>
        <v>0</v>
      </c>
      <c r="AK40" s="27">
        <f>IF($G40="s-curve",$E40+($F40-$E40)*$I$2/(1+EXP($I$3*(COUNT($I$9:AK$9)+$I$4))),TREND($E40:$F40,$E$9:$F$9,AK$9))</f>
        <v>0</v>
      </c>
      <c r="AL40" s="27">
        <f>IF($G40="s-curve",$E40+($F40-$E40)*$I$2/(1+EXP($I$3*(COUNT($I$9:AL$9)+$I$4))),TREND($E40:$F40,$E$9:$F$9,AL$9))</f>
        <v>0</v>
      </c>
      <c r="AM40" s="27">
        <f>IF($G40="s-curve",$E40+($F40-$E40)*$I$2/(1+EXP($I$3*(COUNT($I$9:AM$9)+$I$4))),TREND($E40:$F40,$E$9:$F$9,AM$9))</f>
        <v>0</v>
      </c>
      <c r="AN40" s="27">
        <f>IF($G40="s-curve",$E40+($F40-$E40)*$I$2/(1+EXP($I$3*(COUNT($I$9:AN$9)+$I$4))),TREND($E40:$F40,$E$9:$F$9,AN$9))</f>
        <v>0</v>
      </c>
      <c r="AO40" s="27">
        <f>IF($G40="s-curve",$E40+($F40-$E40)*$I$2/(1+EXP($I$3*(COUNT($I$9:AO$9)+$I$4))),TREND($E40:$F40,$E$9:$F$9,AO$9))</f>
        <v>0</v>
      </c>
      <c r="AP40" s="27">
        <f>IF($G40="s-curve",$E40+($F40-$E40)*$I$2/(1+EXP($I$3*(COUNT($I$9:AP$9)+$I$4))),TREND($E40:$F40,$E$9:$F$9,AP$9))</f>
        <v>0</v>
      </c>
      <c r="AQ40" s="27">
        <f>IF($G40="s-curve",$E40+($F40-$E40)*$I$2/(1+EXP($I$3*(COUNT($I$9:AQ$9)+$I$4))),TREND($E40:$F40,$E$9:$F$9,AQ$9))</f>
        <v>0</v>
      </c>
      <c r="AR40" s="27">
        <f>IF($G40="s-curve",$E40+($F40-$E40)*$I$2/(1+EXP($I$3*(COUNT($I$9:AR$9)+$I$4))),TREND($E40:$F40,$E$9:$F$9,AR$9))</f>
        <v>0</v>
      </c>
      <c r="AS40" s="27">
        <f>IF($G40="s-curve",$E40+($F40-$E40)*$I$2/(1+EXP($I$3*(COUNT($I$9:AS$9)+$I$4))),TREND($E40:$F40,$E$9:$F$9,AS$9))</f>
        <v>0</v>
      </c>
      <c r="AT40" s="27">
        <f>IF($G40="s-curve",$E40+($F40-$E40)*$I$2/(1+EXP($I$3*(COUNT($I$9:AT$9)+$I$4))),TREND($E40:$F40,$E$9:$F$9,AT$9))</f>
        <v>0</v>
      </c>
      <c r="AU40" s="27">
        <f>IF($G40="s-curve",$E40+($F40-$E40)*$I$2/(1+EXP($I$3*(COUNT($I$9:AU$9)+$I$4))),TREND($E40:$F40,$E$9:$F$9,AU$9))</f>
        <v>0</v>
      </c>
      <c r="AV40" s="27">
        <f>IF($G40="s-curve",$E40+($F40-$E40)*$I$2/(1+EXP($I$3*(COUNT($I$9:AV$9)+$I$4))),TREND($E40:$F40,$E$9:$F$9,AV$9))</f>
        <v>0</v>
      </c>
      <c r="AW40" s="27">
        <f>IF($G40="s-curve",$E40+($F40-$E40)*$I$2/(1+EXP($I$3*(COUNT($I$9:AW$9)+$I$4))),TREND($E40:$F40,$E$9:$F$9,AW$9))</f>
        <v>0</v>
      </c>
      <c r="AX40" s="27">
        <f>IF($G40="s-curve",$E40+($F40-$E40)*$I$2/(1+EXP($I$3*(COUNT($I$9:AX$9)+$I$4))),TREND($E40:$F40,$E$9:$F$9,AX$9))</f>
        <v>0</v>
      </c>
      <c r="AY40" s="27">
        <f>IF($G40="s-curve",$E40+($F40-$E40)*$I$2/(1+EXP($I$3*(COUNT($I$9:AY$9)+$I$4))),TREND($E40:$F40,$E$9:$F$9,AY$9))</f>
        <v>0</v>
      </c>
      <c r="AZ40" s="27">
        <f>IF($G40="s-curve",$E40+($F40-$E40)*$I$2/(1+EXP($I$3*(COUNT($I$9:AZ$9)+$I$4))),TREND($E40:$F40,$E$9:$F$9,AZ$9))</f>
        <v>0</v>
      </c>
      <c r="BA40" s="27">
        <f>IF($G40="s-curve",$E40+($F40-$E40)*$I$2/(1+EXP($I$3*(COUNT($I$9:BA$9)+$I$4))),TREND($E40:$F40,$E$9:$F$9,BA$9))</f>
        <v>0</v>
      </c>
      <c r="BB40" s="27">
        <f>IF($G40="s-curve",$E40+($F40-$E40)*$I$2/(1+EXP($I$3*(COUNT($I$9:BB$9)+$I$4))),TREND($E40:$F40,$E$9:$F$9,BB$9))</f>
        <v>0</v>
      </c>
      <c r="BC40" s="27">
        <f>IF($G40="s-curve",$E40+($F40-$E40)*$I$2/(1+EXP($I$3*(COUNT($I$9:BC$9)+$I$4))),TREND($E40:$F40,$E$9:$F$9,BC$9))</f>
        <v>0</v>
      </c>
      <c r="BD40" s="27">
        <f>IF($G40="s-curve",$E40+($F40-$E40)*$I$2/(1+EXP($I$3*(COUNT($I$9:BD$9)+$I$4))),TREND($E40:$F40,$E$9:$F$9,BD$9))</f>
        <v>0</v>
      </c>
      <c r="BE40" s="27">
        <f>IF($G40="s-curve",$E40+($F40-$E40)*$I$2/(1+EXP($I$3*(COUNT($I$9:BE$9)+$I$4))),TREND($E40:$F40,$E$9:$F$9,BE$9))</f>
        <v>0</v>
      </c>
      <c r="BF40" s="27">
        <f>IF($G40="s-curve",$E40+($F40-$E40)*$I$2/(1+EXP($I$3*(COUNT($I$9:BF$9)+$I$4))),TREND($E40:$F40,$E$9:$F$9,BF$9))</f>
        <v>0</v>
      </c>
    </row>
    <row r="41" spans="1:58" x14ac:dyDescent="0.75">
      <c r="C41" t="s">
        <v>4</v>
      </c>
      <c r="D41" s="26">
        <f t="shared" si="11"/>
        <v>1</v>
      </c>
      <c r="E41" s="26">
        <v>1</v>
      </c>
      <c r="F41" s="26">
        <v>1</v>
      </c>
      <c r="G41" s="29" t="str">
        <f>IF(E41=F41,"n/a",IF(OR(C41="battery electric vehicle",C41="natural gas vehicle",C41="plugin hybrid vehicle"),"s-curve","linear"))</f>
        <v>n/a</v>
      </c>
      <c r="I41" s="27">
        <f t="shared" ref="I41:I72" si="12">E41</f>
        <v>1</v>
      </c>
      <c r="J41" s="27">
        <f t="shared" si="4"/>
        <v>1</v>
      </c>
      <c r="K41" s="27">
        <f t="shared" si="4"/>
        <v>1</v>
      </c>
      <c r="L41" s="27">
        <f t="shared" si="4"/>
        <v>1</v>
      </c>
      <c r="M41" s="27">
        <f>IF($G41="s-curve",$E41+($F41-$E41)*$I$2/(1+EXP($I$3*(COUNT($I$9:M$9)+$I$4))),TREND($E41:$F41,$E$9:$F$9,M$9))</f>
        <v>1</v>
      </c>
      <c r="N41" s="27">
        <f>IF($G41="s-curve",$E41+($F41-$E41)*$I$2/(1+EXP($I$3*(COUNT($I$9:N$9)+$I$4))),TREND($E41:$F41,$E$9:$F$9,N$9))</f>
        <v>1</v>
      </c>
      <c r="O41" s="27">
        <f>IF($G41="s-curve",$E41+($F41-$E41)*$I$2/(1+EXP($I$3*(COUNT($I$9:O$9)+$I$4))),TREND($E41:$F41,$E$9:$F$9,O$9))</f>
        <v>1</v>
      </c>
      <c r="P41" s="27">
        <f>IF($G41="s-curve",$E41+($F41-$E41)*$I$2/(1+EXP($I$3*(COUNT($I$9:P$9)+$I$4))),TREND($E41:$F41,$E$9:$F$9,P$9))</f>
        <v>1</v>
      </c>
      <c r="Q41" s="27">
        <f>IF($G41="s-curve",$E41+($F41-$E41)*$I$2/(1+EXP($I$3*(COUNT($I$9:Q$9)+$I$4))),TREND($E41:$F41,$E$9:$F$9,Q$9))</f>
        <v>1</v>
      </c>
      <c r="R41" s="27">
        <f>IF($G41="s-curve",$E41+($F41-$E41)*$I$2/(1+EXP($I$3*(COUNT($I$9:R$9)+$I$4))),TREND($E41:$F41,$E$9:$F$9,R$9))</f>
        <v>1</v>
      </c>
      <c r="S41" s="27">
        <f>IF($G41="s-curve",$E41+($F41-$E41)*$I$2/(1+EXP($I$3*(COUNT($I$9:S$9)+$I$4))),TREND($E41:$F41,$E$9:$F$9,S$9))</f>
        <v>1</v>
      </c>
      <c r="T41" s="27">
        <f>IF($G41="s-curve",$E41+($F41-$E41)*$I$2/(1+EXP($I$3*(COUNT($I$9:T$9)+$I$4))),TREND($E41:$F41,$E$9:$F$9,T$9))</f>
        <v>1</v>
      </c>
      <c r="U41" s="27">
        <f>IF($G41="s-curve",$E41+($F41-$E41)*$I$2/(1+EXP($I$3*(COUNT($I$9:U$9)+$I$4))),TREND($E41:$F41,$E$9:$F$9,U$9))</f>
        <v>1</v>
      </c>
      <c r="V41" s="27">
        <f>IF($G41="s-curve",$E41+($F41-$E41)*$I$2/(1+EXP($I$3*(COUNT($I$9:V$9)+$I$4))),TREND($E41:$F41,$E$9:$F$9,V$9))</f>
        <v>1</v>
      </c>
      <c r="W41" s="27">
        <f>IF($G41="s-curve",$E41+($F41-$E41)*$I$2/(1+EXP($I$3*(COUNT($I$9:W$9)+$I$4))),TREND($E41:$F41,$E$9:$F$9,W$9))</f>
        <v>1</v>
      </c>
      <c r="X41" s="27">
        <f>IF($G41="s-curve",$E41+($F41-$E41)*$I$2/(1+EXP($I$3*(COUNT($I$9:X$9)+$I$4))),TREND($E41:$F41,$E$9:$F$9,X$9))</f>
        <v>1</v>
      </c>
      <c r="Y41" s="27">
        <f>IF($G41="s-curve",$E41+($F41-$E41)*$I$2/(1+EXP($I$3*(COUNT($I$9:Y$9)+$I$4))),TREND($E41:$F41,$E$9:$F$9,Y$9))</f>
        <v>1</v>
      </c>
      <c r="Z41" s="27">
        <f>IF($G41="s-curve",$E41+($F41-$E41)*$I$2/(1+EXP($I$3*(COUNT($I$9:Z$9)+$I$4))),TREND($E41:$F41,$E$9:$F$9,Z$9))</f>
        <v>1</v>
      </c>
      <c r="AA41" s="27">
        <f>IF($G41="s-curve",$E41+($F41-$E41)*$I$2/(1+EXP($I$3*(COUNT($I$9:AA$9)+$I$4))),TREND($E41:$F41,$E$9:$F$9,AA$9))</f>
        <v>1</v>
      </c>
      <c r="AB41" s="27">
        <f>IF($G41="s-curve",$E41+($F41-$E41)*$I$2/(1+EXP($I$3*(COUNT($I$9:AB$9)+$I$4))),TREND($E41:$F41,$E$9:$F$9,AB$9))</f>
        <v>1</v>
      </c>
      <c r="AC41" s="27">
        <f>IF($G41="s-curve",$E41+($F41-$E41)*$I$2/(1+EXP($I$3*(COUNT($I$9:AC$9)+$I$4))),TREND($E41:$F41,$E$9:$F$9,AC$9))</f>
        <v>1</v>
      </c>
      <c r="AD41" s="27">
        <f>IF($G41="s-curve",$E41+($F41-$E41)*$I$2/(1+EXP($I$3*(COUNT($I$9:AD$9)+$I$4))),TREND($E41:$F41,$E$9:$F$9,AD$9))</f>
        <v>1</v>
      </c>
      <c r="AE41" s="27">
        <f>IF($G41="s-curve",$E41+($F41-$E41)*$I$2/(1+EXP($I$3*(COUNT($I$9:AE$9)+$I$4))),TREND($E41:$F41,$E$9:$F$9,AE$9))</f>
        <v>1</v>
      </c>
      <c r="AF41" s="27">
        <f>IF($G41="s-curve",$E41+($F41-$E41)*$I$2/(1+EXP($I$3*(COUNT($I$9:AF$9)+$I$4))),TREND($E41:$F41,$E$9:$F$9,AF$9))</f>
        <v>1</v>
      </c>
      <c r="AG41" s="27">
        <f>IF($G41="s-curve",$E41+($F41-$E41)*$I$2/(1+EXP($I$3*(COUNT($I$9:AG$9)+$I$4))),TREND($E41:$F41,$E$9:$F$9,AG$9))</f>
        <v>1</v>
      </c>
      <c r="AH41" s="27">
        <f>IF($G41="s-curve",$E41+($F41-$E41)*$I$2/(1+EXP($I$3*(COUNT($I$9:AH$9)+$I$4))),TREND($E41:$F41,$E$9:$F$9,AH$9))</f>
        <v>1</v>
      </c>
      <c r="AI41" s="27">
        <f>IF($G41="s-curve",$E41+($F41-$E41)*$I$2/(1+EXP($I$3*(COUNT($I$9:AI$9)+$I$4))),TREND($E41:$F41,$E$9:$F$9,AI$9))</f>
        <v>1</v>
      </c>
      <c r="AJ41" s="27">
        <f>IF($G41="s-curve",$E41+($F41-$E41)*$I$2/(1+EXP($I$3*(COUNT($I$9:AJ$9)+$I$4))),TREND($E41:$F41,$E$9:$F$9,AJ$9))</f>
        <v>1</v>
      </c>
      <c r="AK41" s="27">
        <f>IF($G41="s-curve",$E41+($F41-$E41)*$I$2/(1+EXP($I$3*(COUNT($I$9:AK$9)+$I$4))),TREND($E41:$F41,$E$9:$F$9,AK$9))</f>
        <v>1</v>
      </c>
      <c r="AL41" s="27">
        <f>IF($G41="s-curve",$E41+($F41-$E41)*$I$2/(1+EXP($I$3*(COUNT($I$9:AL$9)+$I$4))),TREND($E41:$F41,$E$9:$F$9,AL$9))</f>
        <v>1</v>
      </c>
      <c r="AM41" s="27">
        <f>IF($G41="s-curve",$E41+($F41-$E41)*$I$2/(1+EXP($I$3*(COUNT($I$9:AM$9)+$I$4))),TREND($E41:$F41,$E$9:$F$9,AM$9))</f>
        <v>1</v>
      </c>
      <c r="AN41" s="27">
        <f>IF($G41="s-curve",$E41+($F41-$E41)*$I$2/(1+EXP($I$3*(COUNT($I$9:AN$9)+$I$4))),TREND($E41:$F41,$E$9:$F$9,AN$9))</f>
        <v>1</v>
      </c>
      <c r="AO41" s="27">
        <f>IF($G41="s-curve",$E41+($F41-$E41)*$I$2/(1+EXP($I$3*(COUNT($I$9:AO$9)+$I$4))),TREND($E41:$F41,$E$9:$F$9,AO$9))</f>
        <v>1</v>
      </c>
      <c r="AP41" s="27">
        <f>IF($G41="s-curve",$E41+($F41-$E41)*$I$2/(1+EXP($I$3*(COUNT($I$9:AP$9)+$I$4))),TREND($E41:$F41,$E$9:$F$9,AP$9))</f>
        <v>1</v>
      </c>
      <c r="AQ41" s="27">
        <f>IF($G41="s-curve",$E41+($F41-$E41)*$I$2/(1+EXP($I$3*(COUNT($I$9:AQ$9)+$I$4))),TREND($E41:$F41,$E$9:$F$9,AQ$9))</f>
        <v>1</v>
      </c>
      <c r="AR41" s="27">
        <f>IF($G41="s-curve",$E41+($F41-$E41)*$I$2/(1+EXP($I$3*(COUNT($I$9:AR$9)+$I$4))),TREND($E41:$F41,$E$9:$F$9,AR$9))</f>
        <v>1</v>
      </c>
      <c r="AS41" s="27">
        <f>IF($G41="s-curve",$E41+($F41-$E41)*$I$2/(1+EXP($I$3*(COUNT($I$9:AS$9)+$I$4))),TREND($E41:$F41,$E$9:$F$9,AS$9))</f>
        <v>1</v>
      </c>
      <c r="AT41" s="27">
        <f>IF($G41="s-curve",$E41+($F41-$E41)*$I$2/(1+EXP($I$3*(COUNT($I$9:AT$9)+$I$4))),TREND($E41:$F41,$E$9:$F$9,AT$9))</f>
        <v>1</v>
      </c>
      <c r="AU41" s="27">
        <f>IF($G41="s-curve",$E41+($F41-$E41)*$I$2/(1+EXP($I$3*(COUNT($I$9:AU$9)+$I$4))),TREND($E41:$F41,$E$9:$F$9,AU$9))</f>
        <v>1</v>
      </c>
      <c r="AV41" s="27">
        <f>IF($G41="s-curve",$E41+($F41-$E41)*$I$2/(1+EXP($I$3*(COUNT($I$9:AV$9)+$I$4))),TREND($E41:$F41,$E$9:$F$9,AV$9))</f>
        <v>1</v>
      </c>
      <c r="AW41" s="27">
        <f>IF($G41="s-curve",$E41+($F41-$E41)*$I$2/(1+EXP($I$3*(COUNT($I$9:AW$9)+$I$4))),TREND($E41:$F41,$E$9:$F$9,AW$9))</f>
        <v>1</v>
      </c>
      <c r="AX41" s="27">
        <f>IF($G41="s-curve",$E41+($F41-$E41)*$I$2/(1+EXP($I$3*(COUNT($I$9:AX$9)+$I$4))),TREND($E41:$F41,$E$9:$F$9,AX$9))</f>
        <v>1</v>
      </c>
      <c r="AY41" s="27">
        <f>IF($G41="s-curve",$E41+($F41-$E41)*$I$2/(1+EXP($I$3*(COUNT($I$9:AY$9)+$I$4))),TREND($E41:$F41,$E$9:$F$9,AY$9))</f>
        <v>1</v>
      </c>
      <c r="AZ41" s="27">
        <f>IF($G41="s-curve",$E41+($F41-$E41)*$I$2/(1+EXP($I$3*(COUNT($I$9:AZ$9)+$I$4))),TREND($E41:$F41,$E$9:$F$9,AZ$9))</f>
        <v>1</v>
      </c>
      <c r="BA41" s="27">
        <f>IF($G41="s-curve",$E41+($F41-$E41)*$I$2/(1+EXP($I$3*(COUNT($I$9:BA$9)+$I$4))),TREND($E41:$F41,$E$9:$F$9,BA$9))</f>
        <v>1</v>
      </c>
      <c r="BB41" s="27">
        <f>IF($G41="s-curve",$E41+($F41-$E41)*$I$2/(1+EXP($I$3*(COUNT($I$9:BB$9)+$I$4))),TREND($E41:$F41,$E$9:$F$9,BB$9))</f>
        <v>1</v>
      </c>
      <c r="BC41" s="27">
        <f>IF($G41="s-curve",$E41+($F41-$E41)*$I$2/(1+EXP($I$3*(COUNT($I$9:BC$9)+$I$4))),TREND($E41:$F41,$E$9:$F$9,BC$9))</f>
        <v>1</v>
      </c>
      <c r="BD41" s="27">
        <f>IF($G41="s-curve",$E41+($F41-$E41)*$I$2/(1+EXP($I$3*(COUNT($I$9:BD$9)+$I$4))),TREND($E41:$F41,$E$9:$F$9,BD$9))</f>
        <v>1</v>
      </c>
      <c r="BE41" s="27">
        <f>IF($G41="s-curve",$E41+($F41-$E41)*$I$2/(1+EXP($I$3*(COUNT($I$9:BE$9)+$I$4))),TREND($E41:$F41,$E$9:$F$9,BE$9))</f>
        <v>1</v>
      </c>
      <c r="BF41" s="27">
        <f>IF($G41="s-curve",$E41+($F41-$E41)*$I$2/(1+EXP($I$3*(COUNT($I$9:BF$9)+$I$4))),TREND($E41:$F41,$E$9:$F$9,BF$9))</f>
        <v>1</v>
      </c>
    </row>
    <row r="42" spans="1:58" x14ac:dyDescent="0.75">
      <c r="C42" t="s">
        <v>5</v>
      </c>
      <c r="D42" s="26">
        <f t="shared" si="11"/>
        <v>0</v>
      </c>
      <c r="E42" s="26">
        <v>0</v>
      </c>
      <c r="F42" s="26">
        <v>0</v>
      </c>
      <c r="G42" s="29" t="str">
        <f>IF(E42=F42,"n/a",IF(OR(C42="battery electric vehicle",C42="natural gas vehicle",C42="plugin hybrid vehicle"),"s-curve","linear"))</f>
        <v>n/a</v>
      </c>
      <c r="I42" s="27">
        <f t="shared" si="12"/>
        <v>0</v>
      </c>
      <c r="J42" s="27">
        <f t="shared" si="4"/>
        <v>0</v>
      </c>
      <c r="K42" s="27">
        <f t="shared" si="4"/>
        <v>0</v>
      </c>
      <c r="L42" s="27">
        <f t="shared" si="4"/>
        <v>0</v>
      </c>
      <c r="M42" s="27">
        <f>IF($G42="s-curve",$E42+($F42-$E42)*$I$2/(1+EXP($I$3*(COUNT($I$9:M$9)+$I$4))),TREND($E42:$F42,$E$9:$F$9,M$9))</f>
        <v>0</v>
      </c>
      <c r="N42" s="27">
        <f>IF($G42="s-curve",$E42+($F42-$E42)*$I$2/(1+EXP($I$3*(COUNT($I$9:N$9)+$I$4))),TREND($E42:$F42,$E$9:$F$9,N$9))</f>
        <v>0</v>
      </c>
      <c r="O42" s="27">
        <f>IF($G42="s-curve",$E42+($F42-$E42)*$I$2/(1+EXP($I$3*(COUNT($I$9:O$9)+$I$4))),TREND($E42:$F42,$E$9:$F$9,O$9))</f>
        <v>0</v>
      </c>
      <c r="P42" s="27">
        <f>IF($G42="s-curve",$E42+($F42-$E42)*$I$2/(1+EXP($I$3*(COUNT($I$9:P$9)+$I$4))),TREND($E42:$F42,$E$9:$F$9,P$9))</f>
        <v>0</v>
      </c>
      <c r="Q42" s="27">
        <f>IF($G42="s-curve",$E42+($F42-$E42)*$I$2/(1+EXP($I$3*(COUNT($I$9:Q$9)+$I$4))),TREND($E42:$F42,$E$9:$F$9,Q$9))</f>
        <v>0</v>
      </c>
      <c r="R42" s="27">
        <f>IF($G42="s-curve",$E42+($F42-$E42)*$I$2/(1+EXP($I$3*(COUNT($I$9:R$9)+$I$4))),TREND($E42:$F42,$E$9:$F$9,R$9))</f>
        <v>0</v>
      </c>
      <c r="S42" s="27">
        <f>IF($G42="s-curve",$E42+($F42-$E42)*$I$2/(1+EXP($I$3*(COUNT($I$9:S$9)+$I$4))),TREND($E42:$F42,$E$9:$F$9,S$9))</f>
        <v>0</v>
      </c>
      <c r="T42" s="27">
        <f>IF($G42="s-curve",$E42+($F42-$E42)*$I$2/(1+EXP($I$3*(COUNT($I$9:T$9)+$I$4))),TREND($E42:$F42,$E$9:$F$9,T$9))</f>
        <v>0</v>
      </c>
      <c r="U42" s="27">
        <f>IF($G42="s-curve",$E42+($F42-$E42)*$I$2/(1+EXP($I$3*(COUNT($I$9:U$9)+$I$4))),TREND($E42:$F42,$E$9:$F$9,U$9))</f>
        <v>0</v>
      </c>
      <c r="V42" s="27">
        <f>IF($G42="s-curve",$E42+($F42-$E42)*$I$2/(1+EXP($I$3*(COUNT($I$9:V$9)+$I$4))),TREND($E42:$F42,$E$9:$F$9,V$9))</f>
        <v>0</v>
      </c>
      <c r="W42" s="27">
        <f>IF($G42="s-curve",$E42+($F42-$E42)*$I$2/(1+EXP($I$3*(COUNT($I$9:W$9)+$I$4))),TREND($E42:$F42,$E$9:$F$9,W$9))</f>
        <v>0</v>
      </c>
      <c r="X42" s="27">
        <f>IF($G42="s-curve",$E42+($F42-$E42)*$I$2/(1+EXP($I$3*(COUNT($I$9:X$9)+$I$4))),TREND($E42:$F42,$E$9:$F$9,X$9))</f>
        <v>0</v>
      </c>
      <c r="Y42" s="27">
        <f>IF($G42="s-curve",$E42+($F42-$E42)*$I$2/(1+EXP($I$3*(COUNT($I$9:Y$9)+$I$4))),TREND($E42:$F42,$E$9:$F$9,Y$9))</f>
        <v>0</v>
      </c>
      <c r="Z42" s="27">
        <f>IF($G42="s-curve",$E42+($F42-$E42)*$I$2/(1+EXP($I$3*(COUNT($I$9:Z$9)+$I$4))),TREND($E42:$F42,$E$9:$F$9,Z$9))</f>
        <v>0</v>
      </c>
      <c r="AA42" s="27">
        <f>IF($G42="s-curve",$E42+($F42-$E42)*$I$2/(1+EXP($I$3*(COUNT($I$9:AA$9)+$I$4))),TREND($E42:$F42,$E$9:$F$9,AA$9))</f>
        <v>0</v>
      </c>
      <c r="AB42" s="27">
        <f>IF($G42="s-curve",$E42+($F42-$E42)*$I$2/(1+EXP($I$3*(COUNT($I$9:AB$9)+$I$4))),TREND($E42:$F42,$E$9:$F$9,AB$9))</f>
        <v>0</v>
      </c>
      <c r="AC42" s="27">
        <f>IF($G42="s-curve",$E42+($F42-$E42)*$I$2/(1+EXP($I$3*(COUNT($I$9:AC$9)+$I$4))),TREND($E42:$F42,$E$9:$F$9,AC$9))</f>
        <v>0</v>
      </c>
      <c r="AD42" s="27">
        <f>IF($G42="s-curve",$E42+($F42-$E42)*$I$2/(1+EXP($I$3*(COUNT($I$9:AD$9)+$I$4))),TREND($E42:$F42,$E$9:$F$9,AD$9))</f>
        <v>0</v>
      </c>
      <c r="AE42" s="27">
        <f>IF($G42="s-curve",$E42+($F42-$E42)*$I$2/(1+EXP($I$3*(COUNT($I$9:AE$9)+$I$4))),TREND($E42:$F42,$E$9:$F$9,AE$9))</f>
        <v>0</v>
      </c>
      <c r="AF42" s="27">
        <f>IF($G42="s-curve",$E42+($F42-$E42)*$I$2/(1+EXP($I$3*(COUNT($I$9:AF$9)+$I$4))),TREND($E42:$F42,$E$9:$F$9,AF$9))</f>
        <v>0</v>
      </c>
      <c r="AG42" s="27">
        <f>IF($G42="s-curve",$E42+($F42-$E42)*$I$2/(1+EXP($I$3*(COUNT($I$9:AG$9)+$I$4))),TREND($E42:$F42,$E$9:$F$9,AG$9))</f>
        <v>0</v>
      </c>
      <c r="AH42" s="27">
        <f>IF($G42="s-curve",$E42+($F42-$E42)*$I$2/(1+EXP($I$3*(COUNT($I$9:AH$9)+$I$4))),TREND($E42:$F42,$E$9:$F$9,AH$9))</f>
        <v>0</v>
      </c>
      <c r="AI42" s="27">
        <f>IF($G42="s-curve",$E42+($F42-$E42)*$I$2/(1+EXP($I$3*(COUNT($I$9:AI$9)+$I$4))),TREND($E42:$F42,$E$9:$F$9,AI$9))</f>
        <v>0</v>
      </c>
      <c r="AJ42" s="27">
        <f>IF($G42="s-curve",$E42+($F42-$E42)*$I$2/(1+EXP($I$3*(COUNT($I$9:AJ$9)+$I$4))),TREND($E42:$F42,$E$9:$F$9,AJ$9))</f>
        <v>0</v>
      </c>
      <c r="AK42" s="27">
        <f>IF($G42="s-curve",$E42+($F42-$E42)*$I$2/(1+EXP($I$3*(COUNT($I$9:AK$9)+$I$4))),TREND($E42:$F42,$E$9:$F$9,AK$9))</f>
        <v>0</v>
      </c>
      <c r="AL42" s="27">
        <f>IF($G42="s-curve",$E42+($F42-$E42)*$I$2/(1+EXP($I$3*(COUNT($I$9:AL$9)+$I$4))),TREND($E42:$F42,$E$9:$F$9,AL$9))</f>
        <v>0</v>
      </c>
      <c r="AM42" s="27">
        <f>IF($G42="s-curve",$E42+($F42-$E42)*$I$2/(1+EXP($I$3*(COUNT($I$9:AM$9)+$I$4))),TREND($E42:$F42,$E$9:$F$9,AM$9))</f>
        <v>0</v>
      </c>
      <c r="AN42" s="27">
        <f>IF($G42="s-curve",$E42+($F42-$E42)*$I$2/(1+EXP($I$3*(COUNT($I$9:AN$9)+$I$4))),TREND($E42:$F42,$E$9:$F$9,AN$9))</f>
        <v>0</v>
      </c>
      <c r="AO42" s="27">
        <f>IF($G42="s-curve",$E42+($F42-$E42)*$I$2/(1+EXP($I$3*(COUNT($I$9:AO$9)+$I$4))),TREND($E42:$F42,$E$9:$F$9,AO$9))</f>
        <v>0</v>
      </c>
      <c r="AP42" s="27">
        <f>IF($G42="s-curve",$E42+($F42-$E42)*$I$2/(1+EXP($I$3*(COUNT($I$9:AP$9)+$I$4))),TREND($E42:$F42,$E$9:$F$9,AP$9))</f>
        <v>0</v>
      </c>
      <c r="AQ42" s="27">
        <f>IF($G42="s-curve",$E42+($F42-$E42)*$I$2/(1+EXP($I$3*(COUNT($I$9:AQ$9)+$I$4))),TREND($E42:$F42,$E$9:$F$9,AQ$9))</f>
        <v>0</v>
      </c>
      <c r="AR42" s="27">
        <f>IF($G42="s-curve",$E42+($F42-$E42)*$I$2/(1+EXP($I$3*(COUNT($I$9:AR$9)+$I$4))),TREND($E42:$F42,$E$9:$F$9,AR$9))</f>
        <v>0</v>
      </c>
      <c r="AS42" s="27">
        <f>IF($G42="s-curve",$E42+($F42-$E42)*$I$2/(1+EXP($I$3*(COUNT($I$9:AS$9)+$I$4))),TREND($E42:$F42,$E$9:$F$9,AS$9))</f>
        <v>0</v>
      </c>
      <c r="AT42" s="27">
        <f>IF($G42="s-curve",$E42+($F42-$E42)*$I$2/(1+EXP($I$3*(COUNT($I$9:AT$9)+$I$4))),TREND($E42:$F42,$E$9:$F$9,AT$9))</f>
        <v>0</v>
      </c>
      <c r="AU42" s="27">
        <f>IF($G42="s-curve",$E42+($F42-$E42)*$I$2/(1+EXP($I$3*(COUNT($I$9:AU$9)+$I$4))),TREND($E42:$F42,$E$9:$F$9,AU$9))</f>
        <v>0</v>
      </c>
      <c r="AV42" s="27">
        <f>IF($G42="s-curve",$E42+($F42-$E42)*$I$2/(1+EXP($I$3*(COUNT($I$9:AV$9)+$I$4))),TREND($E42:$F42,$E$9:$F$9,AV$9))</f>
        <v>0</v>
      </c>
      <c r="AW42" s="27">
        <f>IF($G42="s-curve",$E42+($F42-$E42)*$I$2/(1+EXP($I$3*(COUNT($I$9:AW$9)+$I$4))),TREND($E42:$F42,$E$9:$F$9,AW$9))</f>
        <v>0</v>
      </c>
      <c r="AX42" s="27">
        <f>IF($G42="s-curve",$E42+($F42-$E42)*$I$2/(1+EXP($I$3*(COUNT($I$9:AX$9)+$I$4))),TREND($E42:$F42,$E$9:$F$9,AX$9))</f>
        <v>0</v>
      </c>
      <c r="AY42" s="27">
        <f>IF($G42="s-curve",$E42+($F42-$E42)*$I$2/(1+EXP($I$3*(COUNT($I$9:AY$9)+$I$4))),TREND($E42:$F42,$E$9:$F$9,AY$9))</f>
        <v>0</v>
      </c>
      <c r="AZ42" s="27">
        <f>IF($G42="s-curve",$E42+($F42-$E42)*$I$2/(1+EXP($I$3*(COUNT($I$9:AZ$9)+$I$4))),TREND($E42:$F42,$E$9:$F$9,AZ$9))</f>
        <v>0</v>
      </c>
      <c r="BA42" s="27">
        <f>IF($G42="s-curve",$E42+($F42-$E42)*$I$2/(1+EXP($I$3*(COUNT($I$9:BA$9)+$I$4))),TREND($E42:$F42,$E$9:$F$9,BA$9))</f>
        <v>0</v>
      </c>
      <c r="BB42" s="27">
        <f>IF($G42="s-curve",$E42+($F42-$E42)*$I$2/(1+EXP($I$3*(COUNT($I$9:BB$9)+$I$4))),TREND($E42:$F42,$E$9:$F$9,BB$9))</f>
        <v>0</v>
      </c>
      <c r="BC42" s="27">
        <f>IF($G42="s-curve",$E42+($F42-$E42)*$I$2/(1+EXP($I$3*(COUNT($I$9:BC$9)+$I$4))),TREND($E42:$F42,$E$9:$F$9,BC$9))</f>
        <v>0</v>
      </c>
      <c r="BD42" s="27">
        <f>IF($G42="s-curve",$E42+($F42-$E42)*$I$2/(1+EXP($I$3*(COUNT($I$9:BD$9)+$I$4))),TREND($E42:$F42,$E$9:$F$9,BD$9))</f>
        <v>0</v>
      </c>
      <c r="BE42" s="27">
        <f>IF($G42="s-curve",$E42+($F42-$E42)*$I$2/(1+EXP($I$3*(COUNT($I$9:BE$9)+$I$4))),TREND($E42:$F42,$E$9:$F$9,BE$9))</f>
        <v>0</v>
      </c>
      <c r="BF42" s="27">
        <f>IF($G42="s-curve",$E42+($F42-$E42)*$I$2/(1+EXP($I$3*(COUNT($I$9:BF$9)+$I$4))),TREND($E42:$F42,$E$9:$F$9,BF$9))</f>
        <v>0</v>
      </c>
    </row>
    <row r="43" spans="1:58" x14ac:dyDescent="0.75">
      <c r="C43" t="s">
        <v>31</v>
      </c>
      <c r="D43" s="26">
        <f t="shared" si="11"/>
        <v>0</v>
      </c>
      <c r="E43" s="26">
        <v>0</v>
      </c>
      <c r="F43" s="26">
        <v>0</v>
      </c>
      <c r="G43" s="29" t="str">
        <f>IF(E43=F43,"n/a",IF(OR(C43="battery electric vehicle",C43="natural gas vehicle",C43="plugin hybrid vehicle",C43="hydrogen vehicle"),"s-curve","linear"))</f>
        <v>n/a</v>
      </c>
      <c r="I43" s="27">
        <f t="shared" si="12"/>
        <v>0</v>
      </c>
      <c r="J43" s="27">
        <f t="shared" ref="J43:L74" si="13">IFERROR(_xlfn.FORECAST.ETS(J$9,$D43:$E43,$D$9:$E$9,1),0)</f>
        <v>0</v>
      </c>
      <c r="K43" s="27">
        <f t="shared" si="13"/>
        <v>0</v>
      </c>
      <c r="L43" s="27">
        <f t="shared" si="13"/>
        <v>0</v>
      </c>
      <c r="M43" s="27">
        <f>IF($G43="s-curve",$E43+($F43-$E43)*$I$2/(1+EXP($I$3*(COUNT($I$9:M$9)+$I$4))),TREND($E43:$F43,$E$9:$F$9,M$9))</f>
        <v>0</v>
      </c>
      <c r="N43" s="27">
        <f>IF($G43="s-curve",$E43+($F43-$E43)*$I$2/(1+EXP($I$3*(COUNT($I$9:N$9)+$I$4))),TREND($E43:$F43,$E$9:$F$9,N$9))</f>
        <v>0</v>
      </c>
      <c r="O43" s="27">
        <f>IF($G43="s-curve",$E43+($F43-$E43)*$I$2/(1+EXP($I$3*(COUNT($I$9:O$9)+$I$4))),TREND($E43:$F43,$E$9:$F$9,O$9))</f>
        <v>0</v>
      </c>
      <c r="P43" s="27">
        <f>IF($G43="s-curve",$E43+($F43-$E43)*$I$2/(1+EXP($I$3*(COUNT($I$9:P$9)+$I$4))),TREND($E43:$F43,$E$9:$F$9,P$9))</f>
        <v>0</v>
      </c>
      <c r="Q43" s="27">
        <f>IF($G43="s-curve",$E43+($F43-$E43)*$I$2/(1+EXP($I$3*(COUNT($I$9:Q$9)+$I$4))),TREND($E43:$F43,$E$9:$F$9,Q$9))</f>
        <v>0</v>
      </c>
      <c r="R43" s="27">
        <f>IF($G43="s-curve",$E43+($F43-$E43)*$I$2/(1+EXP($I$3*(COUNT($I$9:R$9)+$I$4))),TREND($E43:$F43,$E$9:$F$9,R$9))</f>
        <v>0</v>
      </c>
      <c r="S43" s="27">
        <f>IF($G43="s-curve",$E43+($F43-$E43)*$I$2/(1+EXP($I$3*(COUNT($I$9:S$9)+$I$4))),TREND($E43:$F43,$E$9:$F$9,S$9))</f>
        <v>0</v>
      </c>
      <c r="T43" s="27">
        <f>IF($G43="s-curve",$E43+($F43-$E43)*$I$2/(1+EXP($I$3*(COUNT($I$9:T$9)+$I$4))),TREND($E43:$F43,$E$9:$F$9,T$9))</f>
        <v>0</v>
      </c>
      <c r="U43" s="27">
        <f>IF($G43="s-curve",$E43+($F43-$E43)*$I$2/(1+EXP($I$3*(COUNT($I$9:U$9)+$I$4))),TREND($E43:$F43,$E$9:$F$9,U$9))</f>
        <v>0</v>
      </c>
      <c r="V43" s="27">
        <f>IF($G43="s-curve",$E43+($F43-$E43)*$I$2/(1+EXP($I$3*(COUNT($I$9:V$9)+$I$4))),TREND($E43:$F43,$E$9:$F$9,V$9))</f>
        <v>0</v>
      </c>
      <c r="W43" s="27">
        <f>IF($G43="s-curve",$E43+($F43-$E43)*$I$2/(1+EXP($I$3*(COUNT($I$9:W$9)+$I$4))),TREND($E43:$F43,$E$9:$F$9,W$9))</f>
        <v>0</v>
      </c>
      <c r="X43" s="27">
        <f>IF($G43="s-curve",$E43+($F43-$E43)*$I$2/(1+EXP($I$3*(COUNT($I$9:X$9)+$I$4))),TREND($E43:$F43,$E$9:$F$9,X$9))</f>
        <v>0</v>
      </c>
      <c r="Y43" s="27">
        <f>IF($G43="s-curve",$E43+($F43-$E43)*$I$2/(1+EXP($I$3*(COUNT($I$9:Y$9)+$I$4))),TREND($E43:$F43,$E$9:$F$9,Y$9))</f>
        <v>0</v>
      </c>
      <c r="Z43" s="27">
        <f>IF($G43="s-curve",$E43+($F43-$E43)*$I$2/(1+EXP($I$3*(COUNT($I$9:Z$9)+$I$4))),TREND($E43:$F43,$E$9:$F$9,Z$9))</f>
        <v>0</v>
      </c>
      <c r="AA43" s="27">
        <f>IF($G43="s-curve",$E43+($F43-$E43)*$I$2/(1+EXP($I$3*(COUNT($I$9:AA$9)+$I$4))),TREND($E43:$F43,$E$9:$F$9,AA$9))</f>
        <v>0</v>
      </c>
      <c r="AB43" s="27">
        <f>IF($G43="s-curve",$E43+($F43-$E43)*$I$2/(1+EXP($I$3*(COUNT($I$9:AB$9)+$I$4))),TREND($E43:$F43,$E$9:$F$9,AB$9))</f>
        <v>0</v>
      </c>
      <c r="AC43" s="27">
        <f>IF($G43="s-curve",$E43+($F43-$E43)*$I$2/(1+EXP($I$3*(COUNT($I$9:AC$9)+$I$4))),TREND($E43:$F43,$E$9:$F$9,AC$9))</f>
        <v>0</v>
      </c>
      <c r="AD43" s="27">
        <f>IF($G43="s-curve",$E43+($F43-$E43)*$I$2/(1+EXP($I$3*(COUNT($I$9:AD$9)+$I$4))),TREND($E43:$F43,$E$9:$F$9,AD$9))</f>
        <v>0</v>
      </c>
      <c r="AE43" s="27">
        <f>IF($G43="s-curve",$E43+($F43-$E43)*$I$2/(1+EXP($I$3*(COUNT($I$9:AE$9)+$I$4))),TREND($E43:$F43,$E$9:$F$9,AE$9))</f>
        <v>0</v>
      </c>
      <c r="AF43" s="27">
        <f>IF($G43="s-curve",$E43+($F43-$E43)*$I$2/(1+EXP($I$3*(COUNT($I$9:AF$9)+$I$4))),TREND($E43:$F43,$E$9:$F$9,AF$9))</f>
        <v>0</v>
      </c>
      <c r="AG43" s="27">
        <f>IF($G43="s-curve",$E43+($F43-$E43)*$I$2/(1+EXP($I$3*(COUNT($I$9:AG$9)+$I$4))),TREND($E43:$F43,$E$9:$F$9,AG$9))</f>
        <v>0</v>
      </c>
      <c r="AH43" s="27">
        <f>IF($G43="s-curve",$E43+($F43-$E43)*$I$2/(1+EXP($I$3*(COUNT($I$9:AH$9)+$I$4))),TREND($E43:$F43,$E$9:$F$9,AH$9))</f>
        <v>0</v>
      </c>
      <c r="AI43" s="27">
        <f>IF($G43="s-curve",$E43+($F43-$E43)*$I$2/(1+EXP($I$3*(COUNT($I$9:AI$9)+$I$4))),TREND($E43:$F43,$E$9:$F$9,AI$9))</f>
        <v>0</v>
      </c>
      <c r="AJ43" s="27">
        <f>IF($G43="s-curve",$E43+($F43-$E43)*$I$2/(1+EXP($I$3*(COUNT($I$9:AJ$9)+$I$4))),TREND($E43:$F43,$E$9:$F$9,AJ$9))</f>
        <v>0</v>
      </c>
      <c r="AK43" s="27">
        <f>IF($G43="s-curve",$E43+($F43-$E43)*$I$2/(1+EXP($I$3*(COUNT($I$9:AK$9)+$I$4))),TREND($E43:$F43,$E$9:$F$9,AK$9))</f>
        <v>0</v>
      </c>
      <c r="AL43" s="27">
        <f>IF($G43="s-curve",$E43+($F43-$E43)*$I$2/(1+EXP($I$3*(COUNT($I$9:AL$9)+$I$4))),TREND($E43:$F43,$E$9:$F$9,AL$9))</f>
        <v>0</v>
      </c>
      <c r="AM43" s="27">
        <f>IF($G43="s-curve",$E43+($F43-$E43)*$I$2/(1+EXP($I$3*(COUNT($I$9:AM$9)+$I$4))),TREND($E43:$F43,$E$9:$F$9,AM$9))</f>
        <v>0</v>
      </c>
      <c r="AN43" s="27">
        <f>IF($G43="s-curve",$E43+($F43-$E43)*$I$2/(1+EXP($I$3*(COUNT($I$9:AN$9)+$I$4))),TREND($E43:$F43,$E$9:$F$9,AN$9))</f>
        <v>0</v>
      </c>
      <c r="AO43" s="27">
        <f>IF($G43="s-curve",$E43+($F43-$E43)*$I$2/(1+EXP($I$3*(COUNT($I$9:AO$9)+$I$4))),TREND($E43:$F43,$E$9:$F$9,AO$9))</f>
        <v>0</v>
      </c>
      <c r="AP43" s="27">
        <f>IF($G43="s-curve",$E43+($F43-$E43)*$I$2/(1+EXP($I$3*(COUNT($I$9:AP$9)+$I$4))),TREND($E43:$F43,$E$9:$F$9,AP$9))</f>
        <v>0</v>
      </c>
      <c r="AQ43" s="27">
        <f>IF($G43="s-curve",$E43+($F43-$E43)*$I$2/(1+EXP($I$3*(COUNT($I$9:AQ$9)+$I$4))),TREND($E43:$F43,$E$9:$F$9,AQ$9))</f>
        <v>0</v>
      </c>
      <c r="AR43" s="27">
        <f>IF($G43="s-curve",$E43+($F43-$E43)*$I$2/(1+EXP($I$3*(COUNT($I$9:AR$9)+$I$4))),TREND($E43:$F43,$E$9:$F$9,AR$9))</f>
        <v>0</v>
      </c>
      <c r="AS43" s="27">
        <f>IF($G43="s-curve",$E43+($F43-$E43)*$I$2/(1+EXP($I$3*(COUNT($I$9:AS$9)+$I$4))),TREND($E43:$F43,$E$9:$F$9,AS$9))</f>
        <v>0</v>
      </c>
      <c r="AT43" s="27">
        <f>IF($G43="s-curve",$E43+($F43-$E43)*$I$2/(1+EXP($I$3*(COUNT($I$9:AT$9)+$I$4))),TREND($E43:$F43,$E$9:$F$9,AT$9))</f>
        <v>0</v>
      </c>
      <c r="AU43" s="27">
        <f>IF($G43="s-curve",$E43+($F43-$E43)*$I$2/(1+EXP($I$3*(COUNT($I$9:AU$9)+$I$4))),TREND($E43:$F43,$E$9:$F$9,AU$9))</f>
        <v>0</v>
      </c>
      <c r="AV43" s="27">
        <f>IF($G43="s-curve",$E43+($F43-$E43)*$I$2/(1+EXP($I$3*(COUNT($I$9:AV$9)+$I$4))),TREND($E43:$F43,$E$9:$F$9,AV$9))</f>
        <v>0</v>
      </c>
      <c r="AW43" s="27">
        <f>IF($G43="s-curve",$E43+($F43-$E43)*$I$2/(1+EXP($I$3*(COUNT($I$9:AW$9)+$I$4))),TREND($E43:$F43,$E$9:$F$9,AW$9))</f>
        <v>0</v>
      </c>
      <c r="AX43" s="27">
        <f>IF($G43="s-curve",$E43+($F43-$E43)*$I$2/(1+EXP($I$3*(COUNT($I$9:AX$9)+$I$4))),TREND($E43:$F43,$E$9:$F$9,AX$9))</f>
        <v>0</v>
      </c>
      <c r="AY43" s="27">
        <f>IF($G43="s-curve",$E43+($F43-$E43)*$I$2/(1+EXP($I$3*(COUNT($I$9:AY$9)+$I$4))),TREND($E43:$F43,$E$9:$F$9,AY$9))</f>
        <v>0</v>
      </c>
      <c r="AZ43" s="27">
        <f>IF($G43="s-curve",$E43+($F43-$E43)*$I$2/(1+EXP($I$3*(COUNT($I$9:AZ$9)+$I$4))),TREND($E43:$F43,$E$9:$F$9,AZ$9))</f>
        <v>0</v>
      </c>
      <c r="BA43" s="27">
        <f>IF($G43="s-curve",$E43+($F43-$E43)*$I$2/(1+EXP($I$3*(COUNT($I$9:BA$9)+$I$4))),TREND($E43:$F43,$E$9:$F$9,BA$9))</f>
        <v>0</v>
      </c>
      <c r="BB43" s="27">
        <f>IF($G43="s-curve",$E43+($F43-$E43)*$I$2/(1+EXP($I$3*(COUNT($I$9:BB$9)+$I$4))),TREND($E43:$F43,$E$9:$F$9,BB$9))</f>
        <v>0</v>
      </c>
      <c r="BC43" s="27">
        <f>IF($G43="s-curve",$E43+($F43-$E43)*$I$2/(1+EXP($I$3*(COUNT($I$9:BC$9)+$I$4))),TREND($E43:$F43,$E$9:$F$9,BC$9))</f>
        <v>0</v>
      </c>
      <c r="BD43" s="27">
        <f>IF($G43="s-curve",$E43+($F43-$E43)*$I$2/(1+EXP($I$3*(COUNT($I$9:BD$9)+$I$4))),TREND($E43:$F43,$E$9:$F$9,BD$9))</f>
        <v>0</v>
      </c>
      <c r="BE43" s="27">
        <f>IF($G43="s-curve",$E43+($F43-$E43)*$I$2/(1+EXP($I$3*(COUNT($I$9:BE$9)+$I$4))),TREND($E43:$F43,$E$9:$F$9,BE$9))</f>
        <v>0</v>
      </c>
      <c r="BF43" s="27">
        <f>IF($G43="s-curve",$E43+($F43-$E43)*$I$2/(1+EXP($I$3*(COUNT($I$9:BF$9)+$I$4))),TREND($E43:$F43,$E$9:$F$9,BF$9))</f>
        <v>0</v>
      </c>
    </row>
    <row r="44" spans="1:58" ht="15.5" thickBot="1" x14ac:dyDescent="0.9">
      <c r="A44" s="16"/>
      <c r="B44" s="16"/>
      <c r="C44" s="16" t="s">
        <v>32</v>
      </c>
      <c r="D44" s="26">
        <f t="shared" si="11"/>
        <v>0</v>
      </c>
      <c r="E44" s="31">
        <v>0</v>
      </c>
      <c r="F44" s="31">
        <v>0</v>
      </c>
      <c r="G44" s="32" t="str">
        <f>IF(E44=F44,"n/a",IF(OR(C44="battery electric vehicle",C44="natural gas vehicle",C44="plugin hybrid vehicle",C44="hydrogen vehicle"),"s-curve","linear"))</f>
        <v>n/a</v>
      </c>
      <c r="I44" s="27">
        <f t="shared" si="12"/>
        <v>0</v>
      </c>
      <c r="J44" s="27">
        <f t="shared" si="13"/>
        <v>0</v>
      </c>
      <c r="K44" s="27">
        <f t="shared" si="13"/>
        <v>0</v>
      </c>
      <c r="L44" s="27">
        <f t="shared" si="13"/>
        <v>0</v>
      </c>
      <c r="M44" s="27">
        <f>IF($G44="s-curve",$E44+($F44-$E44)*$I$2/(1+EXP($I$3*(COUNT($I$9:M$9)+$I$4))),TREND($E44:$F44,$E$9:$F$9,M$9))</f>
        <v>0</v>
      </c>
      <c r="N44" s="27">
        <f>IF($G44="s-curve",$E44+($F44-$E44)*$I$2/(1+EXP($I$3*(COUNT($I$9:N$9)+$I$4))),TREND($E44:$F44,$E$9:$F$9,N$9))</f>
        <v>0</v>
      </c>
      <c r="O44" s="27">
        <f>IF($G44="s-curve",$E44+($F44-$E44)*$I$2/(1+EXP($I$3*(COUNT($I$9:O$9)+$I$4))),TREND($E44:$F44,$E$9:$F$9,O$9))</f>
        <v>0</v>
      </c>
      <c r="P44" s="27">
        <f>IF($G44="s-curve",$E44+($F44-$E44)*$I$2/(1+EXP($I$3*(COUNT($I$9:P$9)+$I$4))),TREND($E44:$F44,$E$9:$F$9,P$9))</f>
        <v>0</v>
      </c>
      <c r="Q44" s="27">
        <f>IF($G44="s-curve",$E44+($F44-$E44)*$I$2/(1+EXP($I$3*(COUNT($I$9:Q$9)+$I$4))),TREND($E44:$F44,$E$9:$F$9,Q$9))</f>
        <v>0</v>
      </c>
      <c r="R44" s="27">
        <f>IF($G44="s-curve",$E44+($F44-$E44)*$I$2/(1+EXP($I$3*(COUNT($I$9:R$9)+$I$4))),TREND($E44:$F44,$E$9:$F$9,R$9))</f>
        <v>0</v>
      </c>
      <c r="S44" s="27">
        <f>IF($G44="s-curve",$E44+($F44-$E44)*$I$2/(1+EXP($I$3*(COUNT($I$9:S$9)+$I$4))),TREND($E44:$F44,$E$9:$F$9,S$9))</f>
        <v>0</v>
      </c>
      <c r="T44" s="27">
        <f>IF($G44="s-curve",$E44+($F44-$E44)*$I$2/(1+EXP($I$3*(COUNT($I$9:T$9)+$I$4))),TREND($E44:$F44,$E$9:$F$9,T$9))</f>
        <v>0</v>
      </c>
      <c r="U44" s="27">
        <f>IF($G44="s-curve",$E44+($F44-$E44)*$I$2/(1+EXP($I$3*(COUNT($I$9:U$9)+$I$4))),TREND($E44:$F44,$E$9:$F$9,U$9))</f>
        <v>0</v>
      </c>
      <c r="V44" s="27">
        <f>IF($G44="s-curve",$E44+($F44-$E44)*$I$2/(1+EXP($I$3*(COUNT($I$9:V$9)+$I$4))),TREND($E44:$F44,$E$9:$F$9,V$9))</f>
        <v>0</v>
      </c>
      <c r="W44" s="27">
        <f>IF($G44="s-curve",$E44+($F44-$E44)*$I$2/(1+EXP($I$3*(COUNT($I$9:W$9)+$I$4))),TREND($E44:$F44,$E$9:$F$9,W$9))</f>
        <v>0</v>
      </c>
      <c r="X44" s="27">
        <f>IF($G44="s-curve",$E44+($F44-$E44)*$I$2/(1+EXP($I$3*(COUNT($I$9:X$9)+$I$4))),TREND($E44:$F44,$E$9:$F$9,X$9))</f>
        <v>0</v>
      </c>
      <c r="Y44" s="27">
        <f>IF($G44="s-curve",$E44+($F44-$E44)*$I$2/(1+EXP($I$3*(COUNT($I$9:Y$9)+$I$4))),TREND($E44:$F44,$E$9:$F$9,Y$9))</f>
        <v>0</v>
      </c>
      <c r="Z44" s="27">
        <f>IF($G44="s-curve",$E44+($F44-$E44)*$I$2/(1+EXP($I$3*(COUNT($I$9:Z$9)+$I$4))),TREND($E44:$F44,$E$9:$F$9,Z$9))</f>
        <v>0</v>
      </c>
      <c r="AA44" s="27">
        <f>IF($G44="s-curve",$E44+($F44-$E44)*$I$2/(1+EXP($I$3*(COUNT($I$9:AA$9)+$I$4))),TREND($E44:$F44,$E$9:$F$9,AA$9))</f>
        <v>0</v>
      </c>
      <c r="AB44" s="27">
        <f>IF($G44="s-curve",$E44+($F44-$E44)*$I$2/(1+EXP($I$3*(COUNT($I$9:AB$9)+$I$4))),TREND($E44:$F44,$E$9:$F$9,AB$9))</f>
        <v>0</v>
      </c>
      <c r="AC44" s="27">
        <f>IF($G44="s-curve",$E44+($F44-$E44)*$I$2/(1+EXP($I$3*(COUNT($I$9:AC$9)+$I$4))),TREND($E44:$F44,$E$9:$F$9,AC$9))</f>
        <v>0</v>
      </c>
      <c r="AD44" s="27">
        <f>IF($G44="s-curve",$E44+($F44-$E44)*$I$2/(1+EXP($I$3*(COUNT($I$9:AD$9)+$I$4))),TREND($E44:$F44,$E$9:$F$9,AD$9))</f>
        <v>0</v>
      </c>
      <c r="AE44" s="27">
        <f>IF($G44="s-curve",$E44+($F44-$E44)*$I$2/(1+EXP($I$3*(COUNT($I$9:AE$9)+$I$4))),TREND($E44:$F44,$E$9:$F$9,AE$9))</f>
        <v>0</v>
      </c>
      <c r="AF44" s="27">
        <f>IF($G44="s-curve",$E44+($F44-$E44)*$I$2/(1+EXP($I$3*(COUNT($I$9:AF$9)+$I$4))),TREND($E44:$F44,$E$9:$F$9,AF$9))</f>
        <v>0</v>
      </c>
      <c r="AG44" s="27">
        <f>IF($G44="s-curve",$E44+($F44-$E44)*$I$2/(1+EXP($I$3*(COUNT($I$9:AG$9)+$I$4))),TREND($E44:$F44,$E$9:$F$9,AG$9))</f>
        <v>0</v>
      </c>
      <c r="AH44" s="27">
        <f>IF($G44="s-curve",$E44+($F44-$E44)*$I$2/(1+EXP($I$3*(COUNT($I$9:AH$9)+$I$4))),TREND($E44:$F44,$E$9:$F$9,AH$9))</f>
        <v>0</v>
      </c>
      <c r="AI44" s="27">
        <f>IF($G44="s-curve",$E44+($F44-$E44)*$I$2/(1+EXP($I$3*(COUNT($I$9:AI$9)+$I$4))),TREND($E44:$F44,$E$9:$F$9,AI$9))</f>
        <v>0</v>
      </c>
      <c r="AJ44" s="27">
        <f>IF($G44="s-curve",$E44+($F44-$E44)*$I$2/(1+EXP($I$3*(COUNT($I$9:AJ$9)+$I$4))),TREND($E44:$F44,$E$9:$F$9,AJ$9))</f>
        <v>0</v>
      </c>
      <c r="AK44" s="27">
        <f>IF($G44="s-curve",$E44+($F44-$E44)*$I$2/(1+EXP($I$3*(COUNT($I$9:AK$9)+$I$4))),TREND($E44:$F44,$E$9:$F$9,AK$9))</f>
        <v>0</v>
      </c>
      <c r="AL44" s="27">
        <f>IF($G44="s-curve",$E44+($F44-$E44)*$I$2/(1+EXP($I$3*(COUNT($I$9:AL$9)+$I$4))),TREND($E44:$F44,$E$9:$F$9,AL$9))</f>
        <v>0</v>
      </c>
      <c r="AM44" s="27">
        <f>IF($G44="s-curve",$E44+($F44-$E44)*$I$2/(1+EXP($I$3*(COUNT($I$9:AM$9)+$I$4))),TREND($E44:$F44,$E$9:$F$9,AM$9))</f>
        <v>0</v>
      </c>
      <c r="AN44" s="27">
        <f>IF($G44="s-curve",$E44+($F44-$E44)*$I$2/(1+EXP($I$3*(COUNT($I$9:AN$9)+$I$4))),TREND($E44:$F44,$E$9:$F$9,AN$9))</f>
        <v>0</v>
      </c>
      <c r="AO44" s="27">
        <f>IF($G44="s-curve",$E44+($F44-$E44)*$I$2/(1+EXP($I$3*(COUNT($I$9:AO$9)+$I$4))),TREND($E44:$F44,$E$9:$F$9,AO$9))</f>
        <v>0</v>
      </c>
      <c r="AP44" s="27">
        <f>IF($G44="s-curve",$E44+($F44-$E44)*$I$2/(1+EXP($I$3*(COUNT($I$9:AP$9)+$I$4))),TREND($E44:$F44,$E$9:$F$9,AP$9))</f>
        <v>0</v>
      </c>
      <c r="AQ44" s="27">
        <f>IF($G44="s-curve",$E44+($F44-$E44)*$I$2/(1+EXP($I$3*(COUNT($I$9:AQ$9)+$I$4))),TREND($E44:$F44,$E$9:$F$9,AQ$9))</f>
        <v>0</v>
      </c>
      <c r="AR44" s="27">
        <f>IF($G44="s-curve",$E44+($F44-$E44)*$I$2/(1+EXP($I$3*(COUNT($I$9:AR$9)+$I$4))),TREND($E44:$F44,$E$9:$F$9,AR$9))</f>
        <v>0</v>
      </c>
      <c r="AS44" s="27">
        <f>IF($G44="s-curve",$E44+($F44-$E44)*$I$2/(1+EXP($I$3*(COUNT($I$9:AS$9)+$I$4))),TREND($E44:$F44,$E$9:$F$9,AS$9))</f>
        <v>0</v>
      </c>
      <c r="AT44" s="27">
        <f>IF($G44="s-curve",$E44+($F44-$E44)*$I$2/(1+EXP($I$3*(COUNT($I$9:AT$9)+$I$4))),TREND($E44:$F44,$E$9:$F$9,AT$9))</f>
        <v>0</v>
      </c>
      <c r="AU44" s="27">
        <f>IF($G44="s-curve",$E44+($F44-$E44)*$I$2/(1+EXP($I$3*(COUNT($I$9:AU$9)+$I$4))),TREND($E44:$F44,$E$9:$F$9,AU$9))</f>
        <v>0</v>
      </c>
      <c r="AV44" s="27">
        <f>IF($G44="s-curve",$E44+($F44-$E44)*$I$2/(1+EXP($I$3*(COUNT($I$9:AV$9)+$I$4))),TREND($E44:$F44,$E$9:$F$9,AV$9))</f>
        <v>0</v>
      </c>
      <c r="AW44" s="27">
        <f>IF($G44="s-curve",$E44+($F44-$E44)*$I$2/(1+EXP($I$3*(COUNT($I$9:AW$9)+$I$4))),TREND($E44:$F44,$E$9:$F$9,AW$9))</f>
        <v>0</v>
      </c>
      <c r="AX44" s="27">
        <f>IF($G44="s-curve",$E44+($F44-$E44)*$I$2/(1+EXP($I$3*(COUNT($I$9:AX$9)+$I$4))),TREND($E44:$F44,$E$9:$F$9,AX$9))</f>
        <v>0</v>
      </c>
      <c r="AY44" s="27">
        <f>IF($G44="s-curve",$E44+($F44-$E44)*$I$2/(1+EXP($I$3*(COUNT($I$9:AY$9)+$I$4))),TREND($E44:$F44,$E$9:$F$9,AY$9))</f>
        <v>0</v>
      </c>
      <c r="AZ44" s="27">
        <f>IF($G44="s-curve",$E44+($F44-$E44)*$I$2/(1+EXP($I$3*(COUNT($I$9:AZ$9)+$I$4))),TREND($E44:$F44,$E$9:$F$9,AZ$9))</f>
        <v>0</v>
      </c>
      <c r="BA44" s="27">
        <f>IF($G44="s-curve",$E44+($F44-$E44)*$I$2/(1+EXP($I$3*(COUNT($I$9:BA$9)+$I$4))),TREND($E44:$F44,$E$9:$F$9,BA$9))</f>
        <v>0</v>
      </c>
      <c r="BB44" s="27">
        <f>IF($G44="s-curve",$E44+($F44-$E44)*$I$2/(1+EXP($I$3*(COUNT($I$9:BB$9)+$I$4))),TREND($E44:$F44,$E$9:$F$9,BB$9))</f>
        <v>0</v>
      </c>
      <c r="BC44" s="27">
        <f>IF($G44="s-curve",$E44+($F44-$E44)*$I$2/(1+EXP($I$3*(COUNT($I$9:BC$9)+$I$4))),TREND($E44:$F44,$E$9:$F$9,BC$9))</f>
        <v>0</v>
      </c>
      <c r="BD44" s="27">
        <f>IF($G44="s-curve",$E44+($F44-$E44)*$I$2/(1+EXP($I$3*(COUNT($I$9:BD$9)+$I$4))),TREND($E44:$F44,$E$9:$F$9,BD$9))</f>
        <v>0</v>
      </c>
      <c r="BE44" s="27">
        <f>IF($G44="s-curve",$E44+($F44-$E44)*$I$2/(1+EXP($I$3*(COUNT($I$9:BE$9)+$I$4))),TREND($E44:$F44,$E$9:$F$9,BE$9))</f>
        <v>0</v>
      </c>
      <c r="BF44" s="27">
        <f>IF($G44="s-curve",$E44+($F44-$E44)*$I$2/(1+EXP($I$3*(COUNT($I$9:BF$9)+$I$4))),TREND($E44:$F44,$E$9:$F$9,BF$9))</f>
        <v>0</v>
      </c>
    </row>
    <row r="45" spans="1:58" x14ac:dyDescent="0.75">
      <c r="A45" t="s">
        <v>14</v>
      </c>
      <c r="B45" t="s">
        <v>18</v>
      </c>
      <c r="C45" t="s">
        <v>1</v>
      </c>
      <c r="D45" s="26">
        <f t="shared" si="11"/>
        <v>0</v>
      </c>
      <c r="E45" s="26">
        <v>0</v>
      </c>
      <c r="F45" s="26">
        <v>0</v>
      </c>
      <c r="G45" s="29" t="str">
        <f>IF(E45=F45,"n/a",IF(OR(C45="battery electric vehicle",C45="natural gas vehicle",C45="plugin hybrid vehicle"),"s-curve","linear"))</f>
        <v>n/a</v>
      </c>
      <c r="I45" s="27">
        <f t="shared" si="12"/>
        <v>0</v>
      </c>
      <c r="J45" s="27">
        <f t="shared" si="13"/>
        <v>0</v>
      </c>
      <c r="K45" s="27">
        <f t="shared" si="13"/>
        <v>0</v>
      </c>
      <c r="L45" s="27">
        <f t="shared" si="13"/>
        <v>0</v>
      </c>
      <c r="M45" s="27">
        <f>IF($G45="s-curve",$E45+($F45-$E45)*$I$2/(1+EXP($I$3*(COUNT($I$9:M$9)+$I$4))),TREND($E45:$F45,$E$9:$F$9,M$9))</f>
        <v>0</v>
      </c>
      <c r="N45" s="27">
        <f>IF($G45="s-curve",$E45+($F45-$E45)*$I$2/(1+EXP($I$3*(COUNT($I$9:N$9)+$I$4))),TREND($E45:$F45,$E$9:$F$9,N$9))</f>
        <v>0</v>
      </c>
      <c r="O45" s="27">
        <f>IF($G45="s-curve",$E45+($F45-$E45)*$I$2/(1+EXP($I$3*(COUNT($I$9:O$9)+$I$4))),TREND($E45:$F45,$E$9:$F$9,O$9))</f>
        <v>0</v>
      </c>
      <c r="P45" s="27">
        <f>IF($G45="s-curve",$E45+($F45-$E45)*$I$2/(1+EXP($I$3*(COUNT($I$9:P$9)+$I$4))),TREND($E45:$F45,$E$9:$F$9,P$9))</f>
        <v>0</v>
      </c>
      <c r="Q45" s="27">
        <f>IF($G45="s-curve",$E45+($F45-$E45)*$I$2/(1+EXP($I$3*(COUNT($I$9:Q$9)+$I$4))),TREND($E45:$F45,$E$9:$F$9,Q$9))</f>
        <v>0</v>
      </c>
      <c r="R45" s="27">
        <f>IF($G45="s-curve",$E45+($F45-$E45)*$I$2/(1+EXP($I$3*(COUNT($I$9:R$9)+$I$4))),TREND($E45:$F45,$E$9:$F$9,R$9))</f>
        <v>0</v>
      </c>
      <c r="S45" s="27">
        <f>IF($G45="s-curve",$E45+($F45-$E45)*$I$2/(1+EXP($I$3*(COUNT($I$9:S$9)+$I$4))),TREND($E45:$F45,$E$9:$F$9,S$9))</f>
        <v>0</v>
      </c>
      <c r="T45" s="27">
        <f>IF($G45="s-curve",$E45+($F45-$E45)*$I$2/(1+EXP($I$3*(COUNT($I$9:T$9)+$I$4))),TREND($E45:$F45,$E$9:$F$9,T$9))</f>
        <v>0</v>
      </c>
      <c r="U45" s="27">
        <f>IF($G45="s-curve",$E45+($F45-$E45)*$I$2/(1+EXP($I$3*(COUNT($I$9:U$9)+$I$4))),TREND($E45:$F45,$E$9:$F$9,U$9))</f>
        <v>0</v>
      </c>
      <c r="V45" s="27">
        <f>IF($G45="s-curve",$E45+($F45-$E45)*$I$2/(1+EXP($I$3*(COUNT($I$9:V$9)+$I$4))),TREND($E45:$F45,$E$9:$F$9,V$9))</f>
        <v>0</v>
      </c>
      <c r="W45" s="27">
        <f>IF($G45="s-curve",$E45+($F45-$E45)*$I$2/(1+EXP($I$3*(COUNT($I$9:W$9)+$I$4))),TREND($E45:$F45,$E$9:$F$9,W$9))</f>
        <v>0</v>
      </c>
      <c r="X45" s="27">
        <f>IF($G45="s-curve",$E45+($F45-$E45)*$I$2/(1+EXP($I$3*(COUNT($I$9:X$9)+$I$4))),TREND($E45:$F45,$E$9:$F$9,X$9))</f>
        <v>0</v>
      </c>
      <c r="Y45" s="27">
        <f>IF($G45="s-curve",$E45+($F45-$E45)*$I$2/(1+EXP($I$3*(COUNT($I$9:Y$9)+$I$4))),TREND($E45:$F45,$E$9:$F$9,Y$9))</f>
        <v>0</v>
      </c>
      <c r="Z45" s="27">
        <f>IF($G45="s-curve",$E45+($F45-$E45)*$I$2/(1+EXP($I$3*(COUNT($I$9:Z$9)+$I$4))),TREND($E45:$F45,$E$9:$F$9,Z$9))</f>
        <v>0</v>
      </c>
      <c r="AA45" s="27">
        <f>IF($G45="s-curve",$E45+($F45-$E45)*$I$2/(1+EXP($I$3*(COUNT($I$9:AA$9)+$I$4))),TREND($E45:$F45,$E$9:$F$9,AA$9))</f>
        <v>0</v>
      </c>
      <c r="AB45" s="27">
        <f>IF($G45="s-curve",$E45+($F45-$E45)*$I$2/(1+EXP($I$3*(COUNT($I$9:AB$9)+$I$4))),TREND($E45:$F45,$E$9:$F$9,AB$9))</f>
        <v>0</v>
      </c>
      <c r="AC45" s="27">
        <f>IF($G45="s-curve",$E45+($F45-$E45)*$I$2/(1+EXP($I$3*(COUNT($I$9:AC$9)+$I$4))),TREND($E45:$F45,$E$9:$F$9,AC$9))</f>
        <v>0</v>
      </c>
      <c r="AD45" s="27">
        <f>IF($G45="s-curve",$E45+($F45-$E45)*$I$2/(1+EXP($I$3*(COUNT($I$9:AD$9)+$I$4))),TREND($E45:$F45,$E$9:$F$9,AD$9))</f>
        <v>0</v>
      </c>
      <c r="AE45" s="27">
        <f>IF($G45="s-curve",$E45+($F45-$E45)*$I$2/(1+EXP($I$3*(COUNT($I$9:AE$9)+$I$4))),TREND($E45:$F45,$E$9:$F$9,AE$9))</f>
        <v>0</v>
      </c>
      <c r="AF45" s="27">
        <f>IF($G45="s-curve",$E45+($F45-$E45)*$I$2/(1+EXP($I$3*(COUNT($I$9:AF$9)+$I$4))),TREND($E45:$F45,$E$9:$F$9,AF$9))</f>
        <v>0</v>
      </c>
      <c r="AG45" s="27">
        <f>IF($G45="s-curve",$E45+($F45-$E45)*$I$2/(1+EXP($I$3*(COUNT($I$9:AG$9)+$I$4))),TREND($E45:$F45,$E$9:$F$9,AG$9))</f>
        <v>0</v>
      </c>
      <c r="AH45" s="27">
        <f>IF($G45="s-curve",$E45+($F45-$E45)*$I$2/(1+EXP($I$3*(COUNT($I$9:AH$9)+$I$4))),TREND($E45:$F45,$E$9:$F$9,AH$9))</f>
        <v>0</v>
      </c>
      <c r="AI45" s="27">
        <f>IF($G45="s-curve",$E45+($F45-$E45)*$I$2/(1+EXP($I$3*(COUNT($I$9:AI$9)+$I$4))),TREND($E45:$F45,$E$9:$F$9,AI$9))</f>
        <v>0</v>
      </c>
      <c r="AJ45" s="27">
        <f>IF($G45="s-curve",$E45+($F45-$E45)*$I$2/(1+EXP($I$3*(COUNT($I$9:AJ$9)+$I$4))),TREND($E45:$F45,$E$9:$F$9,AJ$9))</f>
        <v>0</v>
      </c>
      <c r="AK45" s="27">
        <f>IF($G45="s-curve",$E45+($F45-$E45)*$I$2/(1+EXP($I$3*(COUNT($I$9:AK$9)+$I$4))),TREND($E45:$F45,$E$9:$F$9,AK$9))</f>
        <v>0</v>
      </c>
      <c r="AL45" s="27">
        <f>IF($G45="s-curve",$E45+($F45-$E45)*$I$2/(1+EXP($I$3*(COUNT($I$9:AL$9)+$I$4))),TREND($E45:$F45,$E$9:$F$9,AL$9))</f>
        <v>0</v>
      </c>
      <c r="AM45" s="27">
        <f>IF($G45="s-curve",$E45+($F45-$E45)*$I$2/(1+EXP($I$3*(COUNT($I$9:AM$9)+$I$4))),TREND($E45:$F45,$E$9:$F$9,AM$9))</f>
        <v>0</v>
      </c>
      <c r="AN45" s="27">
        <f>IF($G45="s-curve",$E45+($F45-$E45)*$I$2/(1+EXP($I$3*(COUNT($I$9:AN$9)+$I$4))),TREND($E45:$F45,$E$9:$F$9,AN$9))</f>
        <v>0</v>
      </c>
      <c r="AO45" s="27">
        <f>IF($G45="s-curve",$E45+($F45-$E45)*$I$2/(1+EXP($I$3*(COUNT($I$9:AO$9)+$I$4))),TREND($E45:$F45,$E$9:$F$9,AO$9))</f>
        <v>0</v>
      </c>
      <c r="AP45" s="27">
        <f>IF($G45="s-curve",$E45+($F45-$E45)*$I$2/(1+EXP($I$3*(COUNT($I$9:AP$9)+$I$4))),TREND($E45:$F45,$E$9:$F$9,AP$9))</f>
        <v>0</v>
      </c>
      <c r="AQ45" s="27">
        <f>IF($G45="s-curve",$E45+($F45-$E45)*$I$2/(1+EXP($I$3*(COUNT($I$9:AQ$9)+$I$4))),TREND($E45:$F45,$E$9:$F$9,AQ$9))</f>
        <v>0</v>
      </c>
      <c r="AR45" s="27">
        <f>IF($G45="s-curve",$E45+($F45-$E45)*$I$2/(1+EXP($I$3*(COUNT($I$9:AR$9)+$I$4))),TREND($E45:$F45,$E$9:$F$9,AR$9))</f>
        <v>0</v>
      </c>
      <c r="AS45" s="27">
        <f>IF($G45="s-curve",$E45+($F45-$E45)*$I$2/(1+EXP($I$3*(COUNT($I$9:AS$9)+$I$4))),TREND($E45:$F45,$E$9:$F$9,AS$9))</f>
        <v>0</v>
      </c>
      <c r="AT45" s="27">
        <f>IF($G45="s-curve",$E45+($F45-$E45)*$I$2/(1+EXP($I$3*(COUNT($I$9:AT$9)+$I$4))),TREND($E45:$F45,$E$9:$F$9,AT$9))</f>
        <v>0</v>
      </c>
      <c r="AU45" s="27">
        <f>IF($G45="s-curve",$E45+($F45-$E45)*$I$2/(1+EXP($I$3*(COUNT($I$9:AU$9)+$I$4))),TREND($E45:$F45,$E$9:$F$9,AU$9))</f>
        <v>0</v>
      </c>
      <c r="AV45" s="27">
        <f>IF($G45="s-curve",$E45+($F45-$E45)*$I$2/(1+EXP($I$3*(COUNT($I$9:AV$9)+$I$4))),TREND($E45:$F45,$E$9:$F$9,AV$9))</f>
        <v>0</v>
      </c>
      <c r="AW45" s="27">
        <f>IF($G45="s-curve",$E45+($F45-$E45)*$I$2/(1+EXP($I$3*(COUNT($I$9:AW$9)+$I$4))),TREND($E45:$F45,$E$9:$F$9,AW$9))</f>
        <v>0</v>
      </c>
      <c r="AX45" s="27">
        <f>IF($G45="s-curve",$E45+($F45-$E45)*$I$2/(1+EXP($I$3*(COUNT($I$9:AX$9)+$I$4))),TREND($E45:$F45,$E$9:$F$9,AX$9))</f>
        <v>0</v>
      </c>
      <c r="AY45" s="27">
        <f>IF($G45="s-curve",$E45+($F45-$E45)*$I$2/(1+EXP($I$3*(COUNT($I$9:AY$9)+$I$4))),TREND($E45:$F45,$E$9:$F$9,AY$9))</f>
        <v>0</v>
      </c>
      <c r="AZ45" s="27">
        <f>IF($G45="s-curve",$E45+($F45-$E45)*$I$2/(1+EXP($I$3*(COUNT($I$9:AZ$9)+$I$4))),TREND($E45:$F45,$E$9:$F$9,AZ$9))</f>
        <v>0</v>
      </c>
      <c r="BA45" s="27">
        <f>IF($G45="s-curve",$E45+($F45-$E45)*$I$2/(1+EXP($I$3*(COUNT($I$9:BA$9)+$I$4))),TREND($E45:$F45,$E$9:$F$9,BA$9))</f>
        <v>0</v>
      </c>
      <c r="BB45" s="27">
        <f>IF($G45="s-curve",$E45+($F45-$E45)*$I$2/(1+EXP($I$3*(COUNT($I$9:BB$9)+$I$4))),TREND($E45:$F45,$E$9:$F$9,BB$9))</f>
        <v>0</v>
      </c>
      <c r="BC45" s="27">
        <f>IF($G45="s-curve",$E45+($F45-$E45)*$I$2/(1+EXP($I$3*(COUNT($I$9:BC$9)+$I$4))),TREND($E45:$F45,$E$9:$F$9,BC$9))</f>
        <v>0</v>
      </c>
      <c r="BD45" s="27">
        <f>IF($G45="s-curve",$E45+($F45-$E45)*$I$2/(1+EXP($I$3*(COUNT($I$9:BD$9)+$I$4))),TREND($E45:$F45,$E$9:$F$9,BD$9))</f>
        <v>0</v>
      </c>
      <c r="BE45" s="27">
        <f>IF($G45="s-curve",$E45+($F45-$E45)*$I$2/(1+EXP($I$3*(COUNT($I$9:BE$9)+$I$4))),TREND($E45:$F45,$E$9:$F$9,BE$9))</f>
        <v>0</v>
      </c>
      <c r="BF45" s="27">
        <f>IF($G45="s-curve",$E45+($F45-$E45)*$I$2/(1+EXP($I$3*(COUNT($I$9:BF$9)+$I$4))),TREND($E45:$F45,$E$9:$F$9,BF$9))</f>
        <v>0</v>
      </c>
    </row>
    <row r="46" spans="1:58" x14ac:dyDescent="0.75">
      <c r="C46" t="s">
        <v>2</v>
      </c>
      <c r="D46" s="26">
        <f t="shared" si="11"/>
        <v>0</v>
      </c>
      <c r="E46" s="26">
        <v>0</v>
      </c>
      <c r="F46" s="26">
        <v>0</v>
      </c>
      <c r="G46" s="29" t="str">
        <f>IF(E46=F46,"n/a",IF(OR(C46="battery electric vehicle",C46="natural gas vehicle",C46="plugin hybrid vehicle"),"s-curve","linear"))</f>
        <v>n/a</v>
      </c>
      <c r="I46" s="27">
        <f t="shared" si="12"/>
        <v>0</v>
      </c>
      <c r="J46" s="27">
        <f t="shared" si="13"/>
        <v>0</v>
      </c>
      <c r="K46" s="27">
        <f t="shared" si="13"/>
        <v>0</v>
      </c>
      <c r="L46" s="27">
        <f t="shared" si="13"/>
        <v>0</v>
      </c>
      <c r="M46" s="27">
        <f>IF($G46="s-curve",$E46+($F46-$E46)*$I$2/(1+EXP($I$3*(COUNT($I$9:M$9)+$I$4))),TREND($E46:$F46,$E$9:$F$9,M$9))</f>
        <v>0</v>
      </c>
      <c r="N46" s="27">
        <f>IF($G46="s-curve",$E46+($F46-$E46)*$I$2/(1+EXP($I$3*(COUNT($I$9:N$9)+$I$4))),TREND($E46:$F46,$E$9:$F$9,N$9))</f>
        <v>0</v>
      </c>
      <c r="O46" s="27">
        <f>IF($G46="s-curve",$E46+($F46-$E46)*$I$2/(1+EXP($I$3*(COUNT($I$9:O$9)+$I$4))),TREND($E46:$F46,$E$9:$F$9,O$9))</f>
        <v>0</v>
      </c>
      <c r="P46" s="27">
        <f>IF($G46="s-curve",$E46+($F46-$E46)*$I$2/(1+EXP($I$3*(COUNT($I$9:P$9)+$I$4))),TREND($E46:$F46,$E$9:$F$9,P$9))</f>
        <v>0</v>
      </c>
      <c r="Q46" s="27">
        <f>IF($G46="s-curve",$E46+($F46-$E46)*$I$2/(1+EXP($I$3*(COUNT($I$9:Q$9)+$I$4))),TREND($E46:$F46,$E$9:$F$9,Q$9))</f>
        <v>0</v>
      </c>
      <c r="R46" s="27">
        <f>IF($G46="s-curve",$E46+($F46-$E46)*$I$2/(1+EXP($I$3*(COUNT($I$9:R$9)+$I$4))),TREND($E46:$F46,$E$9:$F$9,R$9))</f>
        <v>0</v>
      </c>
      <c r="S46" s="27">
        <f>IF($G46="s-curve",$E46+($F46-$E46)*$I$2/(1+EXP($I$3*(COUNT($I$9:S$9)+$I$4))),TREND($E46:$F46,$E$9:$F$9,S$9))</f>
        <v>0</v>
      </c>
      <c r="T46" s="27">
        <f>IF($G46="s-curve",$E46+($F46-$E46)*$I$2/(1+EXP($I$3*(COUNT($I$9:T$9)+$I$4))),TREND($E46:$F46,$E$9:$F$9,T$9))</f>
        <v>0</v>
      </c>
      <c r="U46" s="27">
        <f>IF($G46="s-curve",$E46+($F46-$E46)*$I$2/(1+EXP($I$3*(COUNT($I$9:U$9)+$I$4))),TREND($E46:$F46,$E$9:$F$9,U$9))</f>
        <v>0</v>
      </c>
      <c r="V46" s="27">
        <f>IF($G46="s-curve",$E46+($F46-$E46)*$I$2/(1+EXP($I$3*(COUNT($I$9:V$9)+$I$4))),TREND($E46:$F46,$E$9:$F$9,V$9))</f>
        <v>0</v>
      </c>
      <c r="W46" s="27">
        <f>IF($G46="s-curve",$E46+($F46-$E46)*$I$2/(1+EXP($I$3*(COUNT($I$9:W$9)+$I$4))),TREND($E46:$F46,$E$9:$F$9,W$9))</f>
        <v>0</v>
      </c>
      <c r="X46" s="27">
        <f>IF($G46="s-curve",$E46+($F46-$E46)*$I$2/(1+EXP($I$3*(COUNT($I$9:X$9)+$I$4))),TREND($E46:$F46,$E$9:$F$9,X$9))</f>
        <v>0</v>
      </c>
      <c r="Y46" s="27">
        <f>IF($G46="s-curve",$E46+($F46-$E46)*$I$2/(1+EXP($I$3*(COUNT($I$9:Y$9)+$I$4))),TREND($E46:$F46,$E$9:$F$9,Y$9))</f>
        <v>0</v>
      </c>
      <c r="Z46" s="27">
        <f>IF($G46="s-curve",$E46+($F46-$E46)*$I$2/(1+EXP($I$3*(COUNT($I$9:Z$9)+$I$4))),TREND($E46:$F46,$E$9:$F$9,Z$9))</f>
        <v>0</v>
      </c>
      <c r="AA46" s="27">
        <f>IF($G46="s-curve",$E46+($F46-$E46)*$I$2/(1+EXP($I$3*(COUNT($I$9:AA$9)+$I$4))),TREND($E46:$F46,$E$9:$F$9,AA$9))</f>
        <v>0</v>
      </c>
      <c r="AB46" s="27">
        <f>IF($G46="s-curve",$E46+($F46-$E46)*$I$2/(1+EXP($I$3*(COUNT($I$9:AB$9)+$I$4))),TREND($E46:$F46,$E$9:$F$9,AB$9))</f>
        <v>0</v>
      </c>
      <c r="AC46" s="27">
        <f>IF($G46="s-curve",$E46+($F46-$E46)*$I$2/(1+EXP($I$3*(COUNT($I$9:AC$9)+$I$4))),TREND($E46:$F46,$E$9:$F$9,AC$9))</f>
        <v>0</v>
      </c>
      <c r="AD46" s="27">
        <f>IF($G46="s-curve",$E46+($F46-$E46)*$I$2/(1+EXP($I$3*(COUNT($I$9:AD$9)+$I$4))),TREND($E46:$F46,$E$9:$F$9,AD$9))</f>
        <v>0</v>
      </c>
      <c r="AE46" s="27">
        <f>IF($G46="s-curve",$E46+($F46-$E46)*$I$2/(1+EXP($I$3*(COUNT($I$9:AE$9)+$I$4))),TREND($E46:$F46,$E$9:$F$9,AE$9))</f>
        <v>0</v>
      </c>
      <c r="AF46" s="27">
        <f>IF($G46="s-curve",$E46+($F46-$E46)*$I$2/(1+EXP($I$3*(COUNT($I$9:AF$9)+$I$4))),TREND($E46:$F46,$E$9:$F$9,AF$9))</f>
        <v>0</v>
      </c>
      <c r="AG46" s="27">
        <f>IF($G46="s-curve",$E46+($F46-$E46)*$I$2/(1+EXP($I$3*(COUNT($I$9:AG$9)+$I$4))),TREND($E46:$F46,$E$9:$F$9,AG$9))</f>
        <v>0</v>
      </c>
      <c r="AH46" s="27">
        <f>IF($G46="s-curve",$E46+($F46-$E46)*$I$2/(1+EXP($I$3*(COUNT($I$9:AH$9)+$I$4))),TREND($E46:$F46,$E$9:$F$9,AH$9))</f>
        <v>0</v>
      </c>
      <c r="AI46" s="27">
        <f>IF($G46="s-curve",$E46+($F46-$E46)*$I$2/(1+EXP($I$3*(COUNT($I$9:AI$9)+$I$4))),TREND($E46:$F46,$E$9:$F$9,AI$9))</f>
        <v>0</v>
      </c>
      <c r="AJ46" s="27">
        <f>IF($G46="s-curve",$E46+($F46-$E46)*$I$2/(1+EXP($I$3*(COUNT($I$9:AJ$9)+$I$4))),TREND($E46:$F46,$E$9:$F$9,AJ$9))</f>
        <v>0</v>
      </c>
      <c r="AK46" s="27">
        <f>IF($G46="s-curve",$E46+($F46-$E46)*$I$2/(1+EXP($I$3*(COUNT($I$9:AK$9)+$I$4))),TREND($E46:$F46,$E$9:$F$9,AK$9))</f>
        <v>0</v>
      </c>
      <c r="AL46" s="27">
        <f>IF($G46="s-curve",$E46+($F46-$E46)*$I$2/(1+EXP($I$3*(COUNT($I$9:AL$9)+$I$4))),TREND($E46:$F46,$E$9:$F$9,AL$9))</f>
        <v>0</v>
      </c>
      <c r="AM46" s="27">
        <f>IF($G46="s-curve",$E46+($F46-$E46)*$I$2/(1+EXP($I$3*(COUNT($I$9:AM$9)+$I$4))),TREND($E46:$F46,$E$9:$F$9,AM$9))</f>
        <v>0</v>
      </c>
      <c r="AN46" s="27">
        <f>IF($G46="s-curve",$E46+($F46-$E46)*$I$2/(1+EXP($I$3*(COUNT($I$9:AN$9)+$I$4))),TREND($E46:$F46,$E$9:$F$9,AN$9))</f>
        <v>0</v>
      </c>
      <c r="AO46" s="27">
        <f>IF($G46="s-curve",$E46+($F46-$E46)*$I$2/(1+EXP($I$3*(COUNT($I$9:AO$9)+$I$4))),TREND($E46:$F46,$E$9:$F$9,AO$9))</f>
        <v>0</v>
      </c>
      <c r="AP46" s="27">
        <f>IF($G46="s-curve",$E46+($F46-$E46)*$I$2/(1+EXP($I$3*(COUNT($I$9:AP$9)+$I$4))),TREND($E46:$F46,$E$9:$F$9,AP$9))</f>
        <v>0</v>
      </c>
      <c r="AQ46" s="27">
        <f>IF($G46="s-curve",$E46+($F46-$E46)*$I$2/(1+EXP($I$3*(COUNT($I$9:AQ$9)+$I$4))),TREND($E46:$F46,$E$9:$F$9,AQ$9))</f>
        <v>0</v>
      </c>
      <c r="AR46" s="27">
        <f>IF($G46="s-curve",$E46+($F46-$E46)*$I$2/(1+EXP($I$3*(COUNT($I$9:AR$9)+$I$4))),TREND($E46:$F46,$E$9:$F$9,AR$9))</f>
        <v>0</v>
      </c>
      <c r="AS46" s="27">
        <f>IF($G46="s-curve",$E46+($F46-$E46)*$I$2/(1+EXP($I$3*(COUNT($I$9:AS$9)+$I$4))),TREND($E46:$F46,$E$9:$F$9,AS$9))</f>
        <v>0</v>
      </c>
      <c r="AT46" s="27">
        <f>IF($G46="s-curve",$E46+($F46-$E46)*$I$2/(1+EXP($I$3*(COUNT($I$9:AT$9)+$I$4))),TREND($E46:$F46,$E$9:$F$9,AT$9))</f>
        <v>0</v>
      </c>
      <c r="AU46" s="27">
        <f>IF($G46="s-curve",$E46+($F46-$E46)*$I$2/(1+EXP($I$3*(COUNT($I$9:AU$9)+$I$4))),TREND($E46:$F46,$E$9:$F$9,AU$9))</f>
        <v>0</v>
      </c>
      <c r="AV46" s="27">
        <f>IF($G46="s-curve",$E46+($F46-$E46)*$I$2/(1+EXP($I$3*(COUNT($I$9:AV$9)+$I$4))),TREND($E46:$F46,$E$9:$F$9,AV$9))</f>
        <v>0</v>
      </c>
      <c r="AW46" s="27">
        <f>IF($G46="s-curve",$E46+($F46-$E46)*$I$2/(1+EXP($I$3*(COUNT($I$9:AW$9)+$I$4))),TREND($E46:$F46,$E$9:$F$9,AW$9))</f>
        <v>0</v>
      </c>
      <c r="AX46" s="27">
        <f>IF($G46="s-curve",$E46+($F46-$E46)*$I$2/(1+EXP($I$3*(COUNT($I$9:AX$9)+$I$4))),TREND($E46:$F46,$E$9:$F$9,AX$9))</f>
        <v>0</v>
      </c>
      <c r="AY46" s="27">
        <f>IF($G46="s-curve",$E46+($F46-$E46)*$I$2/(1+EXP($I$3*(COUNT($I$9:AY$9)+$I$4))),TREND($E46:$F46,$E$9:$F$9,AY$9))</f>
        <v>0</v>
      </c>
      <c r="AZ46" s="27">
        <f>IF($G46="s-curve",$E46+($F46-$E46)*$I$2/(1+EXP($I$3*(COUNT($I$9:AZ$9)+$I$4))),TREND($E46:$F46,$E$9:$F$9,AZ$9))</f>
        <v>0</v>
      </c>
      <c r="BA46" s="27">
        <f>IF($G46="s-curve",$E46+($F46-$E46)*$I$2/(1+EXP($I$3*(COUNT($I$9:BA$9)+$I$4))),TREND($E46:$F46,$E$9:$F$9,BA$9))</f>
        <v>0</v>
      </c>
      <c r="BB46" s="27">
        <f>IF($G46="s-curve",$E46+($F46-$E46)*$I$2/(1+EXP($I$3*(COUNT($I$9:BB$9)+$I$4))),TREND($E46:$F46,$E$9:$F$9,BB$9))</f>
        <v>0</v>
      </c>
      <c r="BC46" s="27">
        <f>IF($G46="s-curve",$E46+($F46-$E46)*$I$2/(1+EXP($I$3*(COUNT($I$9:BC$9)+$I$4))),TREND($E46:$F46,$E$9:$F$9,BC$9))</f>
        <v>0</v>
      </c>
      <c r="BD46" s="27">
        <f>IF($G46="s-curve",$E46+($F46-$E46)*$I$2/(1+EXP($I$3*(COUNT($I$9:BD$9)+$I$4))),TREND($E46:$F46,$E$9:$F$9,BD$9))</f>
        <v>0</v>
      </c>
      <c r="BE46" s="27">
        <f>IF($G46="s-curve",$E46+($F46-$E46)*$I$2/(1+EXP($I$3*(COUNT($I$9:BE$9)+$I$4))),TREND($E46:$F46,$E$9:$F$9,BE$9))</f>
        <v>0</v>
      </c>
      <c r="BF46" s="27">
        <f>IF($G46="s-curve",$E46+($F46-$E46)*$I$2/(1+EXP($I$3*(COUNT($I$9:BF$9)+$I$4))),TREND($E46:$F46,$E$9:$F$9,BF$9))</f>
        <v>0</v>
      </c>
    </row>
    <row r="47" spans="1:58" x14ac:dyDescent="0.75">
      <c r="C47" t="s">
        <v>3</v>
      </c>
      <c r="D47" s="26">
        <f t="shared" si="11"/>
        <v>0</v>
      </c>
      <c r="E47" s="26">
        <v>0</v>
      </c>
      <c r="F47" s="26">
        <v>0</v>
      </c>
      <c r="G47" s="29" t="str">
        <f>IF(E47=F47,"n/a",IF(OR(C47="battery electric vehicle",C47="natural gas vehicle",C47="plugin hybrid vehicle"),"s-curve","linear"))</f>
        <v>n/a</v>
      </c>
      <c r="I47" s="27">
        <f t="shared" si="12"/>
        <v>0</v>
      </c>
      <c r="J47" s="27">
        <f t="shared" si="13"/>
        <v>0</v>
      </c>
      <c r="K47" s="27">
        <f t="shared" si="13"/>
        <v>0</v>
      </c>
      <c r="L47" s="27">
        <f t="shared" si="13"/>
        <v>0</v>
      </c>
      <c r="M47" s="27">
        <f>IF($G47="s-curve",$E47+($F47-$E47)*$I$2/(1+EXP($I$3*(COUNT($I$9:M$9)+$I$4))),TREND($E47:$F47,$E$9:$F$9,M$9))</f>
        <v>0</v>
      </c>
      <c r="N47" s="27">
        <f>IF($G47="s-curve",$E47+($F47-$E47)*$I$2/(1+EXP($I$3*(COUNT($I$9:N$9)+$I$4))),TREND($E47:$F47,$E$9:$F$9,N$9))</f>
        <v>0</v>
      </c>
      <c r="O47" s="27">
        <f>IF($G47="s-curve",$E47+($F47-$E47)*$I$2/(1+EXP($I$3*(COUNT($I$9:O$9)+$I$4))),TREND($E47:$F47,$E$9:$F$9,O$9))</f>
        <v>0</v>
      </c>
      <c r="P47" s="27">
        <f>IF($G47="s-curve",$E47+($F47-$E47)*$I$2/(1+EXP($I$3*(COUNT($I$9:P$9)+$I$4))),TREND($E47:$F47,$E$9:$F$9,P$9))</f>
        <v>0</v>
      </c>
      <c r="Q47" s="27">
        <f>IF($G47="s-curve",$E47+($F47-$E47)*$I$2/(1+EXP($I$3*(COUNT($I$9:Q$9)+$I$4))),TREND($E47:$F47,$E$9:$F$9,Q$9))</f>
        <v>0</v>
      </c>
      <c r="R47" s="27">
        <f>IF($G47="s-curve",$E47+($F47-$E47)*$I$2/(1+EXP($I$3*(COUNT($I$9:R$9)+$I$4))),TREND($E47:$F47,$E$9:$F$9,R$9))</f>
        <v>0</v>
      </c>
      <c r="S47" s="27">
        <f>IF($G47="s-curve",$E47+($F47-$E47)*$I$2/(1+EXP($I$3*(COUNT($I$9:S$9)+$I$4))),TREND($E47:$F47,$E$9:$F$9,S$9))</f>
        <v>0</v>
      </c>
      <c r="T47" s="27">
        <f>IF($G47="s-curve",$E47+($F47-$E47)*$I$2/(1+EXP($I$3*(COUNT($I$9:T$9)+$I$4))),TREND($E47:$F47,$E$9:$F$9,T$9))</f>
        <v>0</v>
      </c>
      <c r="U47" s="27">
        <f>IF($G47="s-curve",$E47+($F47-$E47)*$I$2/(1+EXP($I$3*(COUNT($I$9:U$9)+$I$4))),TREND($E47:$F47,$E$9:$F$9,U$9))</f>
        <v>0</v>
      </c>
      <c r="V47" s="27">
        <f>IF($G47="s-curve",$E47+($F47-$E47)*$I$2/(1+EXP($I$3*(COUNT($I$9:V$9)+$I$4))),TREND($E47:$F47,$E$9:$F$9,V$9))</f>
        <v>0</v>
      </c>
      <c r="W47" s="27">
        <f>IF($G47="s-curve",$E47+($F47-$E47)*$I$2/(1+EXP($I$3*(COUNT($I$9:W$9)+$I$4))),TREND($E47:$F47,$E$9:$F$9,W$9))</f>
        <v>0</v>
      </c>
      <c r="X47" s="27">
        <f>IF($G47="s-curve",$E47+($F47-$E47)*$I$2/(1+EXP($I$3*(COUNT($I$9:X$9)+$I$4))),TREND($E47:$F47,$E$9:$F$9,X$9))</f>
        <v>0</v>
      </c>
      <c r="Y47" s="27">
        <f>IF($G47="s-curve",$E47+($F47-$E47)*$I$2/(1+EXP($I$3*(COUNT($I$9:Y$9)+$I$4))),TREND($E47:$F47,$E$9:$F$9,Y$9))</f>
        <v>0</v>
      </c>
      <c r="Z47" s="27">
        <f>IF($G47="s-curve",$E47+($F47-$E47)*$I$2/(1+EXP($I$3*(COUNT($I$9:Z$9)+$I$4))),TREND($E47:$F47,$E$9:$F$9,Z$9))</f>
        <v>0</v>
      </c>
      <c r="AA47" s="27">
        <f>IF($G47="s-curve",$E47+($F47-$E47)*$I$2/(1+EXP($I$3*(COUNT($I$9:AA$9)+$I$4))),TREND($E47:$F47,$E$9:$F$9,AA$9))</f>
        <v>0</v>
      </c>
      <c r="AB47" s="27">
        <f>IF($G47="s-curve",$E47+($F47-$E47)*$I$2/(1+EXP($I$3*(COUNT($I$9:AB$9)+$I$4))),TREND($E47:$F47,$E$9:$F$9,AB$9))</f>
        <v>0</v>
      </c>
      <c r="AC47" s="27">
        <f>IF($G47="s-curve",$E47+($F47-$E47)*$I$2/(1+EXP($I$3*(COUNT($I$9:AC$9)+$I$4))),TREND($E47:$F47,$E$9:$F$9,AC$9))</f>
        <v>0</v>
      </c>
      <c r="AD47" s="27">
        <f>IF($G47="s-curve",$E47+($F47-$E47)*$I$2/(1+EXP($I$3*(COUNT($I$9:AD$9)+$I$4))),TREND($E47:$F47,$E$9:$F$9,AD$9))</f>
        <v>0</v>
      </c>
      <c r="AE47" s="27">
        <f>IF($G47="s-curve",$E47+($F47-$E47)*$I$2/(1+EXP($I$3*(COUNT($I$9:AE$9)+$I$4))),TREND($E47:$F47,$E$9:$F$9,AE$9))</f>
        <v>0</v>
      </c>
      <c r="AF47" s="27">
        <f>IF($G47="s-curve",$E47+($F47-$E47)*$I$2/(1+EXP($I$3*(COUNT($I$9:AF$9)+$I$4))),TREND($E47:$F47,$E$9:$F$9,AF$9))</f>
        <v>0</v>
      </c>
      <c r="AG47" s="27">
        <f>IF($G47="s-curve",$E47+($F47-$E47)*$I$2/(1+EXP($I$3*(COUNT($I$9:AG$9)+$I$4))),TREND($E47:$F47,$E$9:$F$9,AG$9))</f>
        <v>0</v>
      </c>
      <c r="AH47" s="27">
        <f>IF($G47="s-curve",$E47+($F47-$E47)*$I$2/(1+EXP($I$3*(COUNT($I$9:AH$9)+$I$4))),TREND($E47:$F47,$E$9:$F$9,AH$9))</f>
        <v>0</v>
      </c>
      <c r="AI47" s="27">
        <f>IF($G47="s-curve",$E47+($F47-$E47)*$I$2/(1+EXP($I$3*(COUNT($I$9:AI$9)+$I$4))),TREND($E47:$F47,$E$9:$F$9,AI$9))</f>
        <v>0</v>
      </c>
      <c r="AJ47" s="27">
        <f>IF($G47="s-curve",$E47+($F47-$E47)*$I$2/(1+EXP($I$3*(COUNT($I$9:AJ$9)+$I$4))),TREND($E47:$F47,$E$9:$F$9,AJ$9))</f>
        <v>0</v>
      </c>
      <c r="AK47" s="27">
        <f>IF($G47="s-curve",$E47+($F47-$E47)*$I$2/(1+EXP($I$3*(COUNT($I$9:AK$9)+$I$4))),TREND($E47:$F47,$E$9:$F$9,AK$9))</f>
        <v>0</v>
      </c>
      <c r="AL47" s="27">
        <f>IF($G47="s-curve",$E47+($F47-$E47)*$I$2/(1+EXP($I$3*(COUNT($I$9:AL$9)+$I$4))),TREND($E47:$F47,$E$9:$F$9,AL$9))</f>
        <v>0</v>
      </c>
      <c r="AM47" s="27">
        <f>IF($G47="s-curve",$E47+($F47-$E47)*$I$2/(1+EXP($I$3*(COUNT($I$9:AM$9)+$I$4))),TREND($E47:$F47,$E$9:$F$9,AM$9))</f>
        <v>0</v>
      </c>
      <c r="AN47" s="27">
        <f>IF($G47="s-curve",$E47+($F47-$E47)*$I$2/(1+EXP($I$3*(COUNT($I$9:AN$9)+$I$4))),TREND($E47:$F47,$E$9:$F$9,AN$9))</f>
        <v>0</v>
      </c>
      <c r="AO47" s="27">
        <f>IF($G47="s-curve",$E47+($F47-$E47)*$I$2/(1+EXP($I$3*(COUNT($I$9:AO$9)+$I$4))),TREND($E47:$F47,$E$9:$F$9,AO$9))</f>
        <v>0</v>
      </c>
      <c r="AP47" s="27">
        <f>IF($G47="s-curve",$E47+($F47-$E47)*$I$2/(1+EXP($I$3*(COUNT($I$9:AP$9)+$I$4))),TREND($E47:$F47,$E$9:$F$9,AP$9))</f>
        <v>0</v>
      </c>
      <c r="AQ47" s="27">
        <f>IF($G47="s-curve",$E47+($F47-$E47)*$I$2/(1+EXP($I$3*(COUNT($I$9:AQ$9)+$I$4))),TREND($E47:$F47,$E$9:$F$9,AQ$9))</f>
        <v>0</v>
      </c>
      <c r="AR47" s="27">
        <f>IF($G47="s-curve",$E47+($F47-$E47)*$I$2/(1+EXP($I$3*(COUNT($I$9:AR$9)+$I$4))),TREND($E47:$F47,$E$9:$F$9,AR$9))</f>
        <v>0</v>
      </c>
      <c r="AS47" s="27">
        <f>IF($G47="s-curve",$E47+($F47-$E47)*$I$2/(1+EXP($I$3*(COUNT($I$9:AS$9)+$I$4))),TREND($E47:$F47,$E$9:$F$9,AS$9))</f>
        <v>0</v>
      </c>
      <c r="AT47" s="27">
        <f>IF($G47="s-curve",$E47+($F47-$E47)*$I$2/(1+EXP($I$3*(COUNT($I$9:AT$9)+$I$4))),TREND($E47:$F47,$E$9:$F$9,AT$9))</f>
        <v>0</v>
      </c>
      <c r="AU47" s="27">
        <f>IF($G47="s-curve",$E47+($F47-$E47)*$I$2/(1+EXP($I$3*(COUNT($I$9:AU$9)+$I$4))),TREND($E47:$F47,$E$9:$F$9,AU$9))</f>
        <v>0</v>
      </c>
      <c r="AV47" s="27">
        <f>IF($G47="s-curve",$E47+($F47-$E47)*$I$2/(1+EXP($I$3*(COUNT($I$9:AV$9)+$I$4))),TREND($E47:$F47,$E$9:$F$9,AV$9))</f>
        <v>0</v>
      </c>
      <c r="AW47" s="27">
        <f>IF($G47="s-curve",$E47+($F47-$E47)*$I$2/(1+EXP($I$3*(COUNT($I$9:AW$9)+$I$4))),TREND($E47:$F47,$E$9:$F$9,AW$9))</f>
        <v>0</v>
      </c>
      <c r="AX47" s="27">
        <f>IF($G47="s-curve",$E47+($F47-$E47)*$I$2/(1+EXP($I$3*(COUNT($I$9:AX$9)+$I$4))),TREND($E47:$F47,$E$9:$F$9,AX$9))</f>
        <v>0</v>
      </c>
      <c r="AY47" s="27">
        <f>IF($G47="s-curve",$E47+($F47-$E47)*$I$2/(1+EXP($I$3*(COUNT($I$9:AY$9)+$I$4))),TREND($E47:$F47,$E$9:$F$9,AY$9))</f>
        <v>0</v>
      </c>
      <c r="AZ47" s="27">
        <f>IF($G47="s-curve",$E47+($F47-$E47)*$I$2/(1+EXP($I$3*(COUNT($I$9:AZ$9)+$I$4))),TREND($E47:$F47,$E$9:$F$9,AZ$9))</f>
        <v>0</v>
      </c>
      <c r="BA47" s="27">
        <f>IF($G47="s-curve",$E47+($F47-$E47)*$I$2/(1+EXP($I$3*(COUNT($I$9:BA$9)+$I$4))),TREND($E47:$F47,$E$9:$F$9,BA$9))</f>
        <v>0</v>
      </c>
      <c r="BB47" s="27">
        <f>IF($G47="s-curve",$E47+($F47-$E47)*$I$2/(1+EXP($I$3*(COUNT($I$9:BB$9)+$I$4))),TREND($E47:$F47,$E$9:$F$9,BB$9))</f>
        <v>0</v>
      </c>
      <c r="BC47" s="27">
        <f>IF($G47="s-curve",$E47+($F47-$E47)*$I$2/(1+EXP($I$3*(COUNT($I$9:BC$9)+$I$4))),TREND($E47:$F47,$E$9:$F$9,BC$9))</f>
        <v>0</v>
      </c>
      <c r="BD47" s="27">
        <f>IF($G47="s-curve",$E47+($F47-$E47)*$I$2/(1+EXP($I$3*(COUNT($I$9:BD$9)+$I$4))),TREND($E47:$F47,$E$9:$F$9,BD$9))</f>
        <v>0</v>
      </c>
      <c r="BE47" s="27">
        <f>IF($G47="s-curve",$E47+($F47-$E47)*$I$2/(1+EXP($I$3*(COUNT($I$9:BE$9)+$I$4))),TREND($E47:$F47,$E$9:$F$9,BE$9))</f>
        <v>0</v>
      </c>
      <c r="BF47" s="27">
        <f>IF($G47="s-curve",$E47+($F47-$E47)*$I$2/(1+EXP($I$3*(COUNT($I$9:BF$9)+$I$4))),TREND($E47:$F47,$E$9:$F$9,BF$9))</f>
        <v>0</v>
      </c>
    </row>
    <row r="48" spans="1:58" x14ac:dyDescent="0.75">
      <c r="C48" t="s">
        <v>4</v>
      </c>
      <c r="D48" s="26">
        <f t="shared" si="11"/>
        <v>1</v>
      </c>
      <c r="E48" s="26">
        <v>1</v>
      </c>
      <c r="F48" s="26">
        <v>1</v>
      </c>
      <c r="G48" s="29" t="str">
        <f>IF(E48=F48,"n/a",IF(OR(C48="battery electric vehicle",C48="natural gas vehicle",C48="plugin hybrid vehicle"),"s-curve","linear"))</f>
        <v>n/a</v>
      </c>
      <c r="I48" s="27">
        <f t="shared" si="12"/>
        <v>1</v>
      </c>
      <c r="J48" s="27">
        <f t="shared" si="13"/>
        <v>1</v>
      </c>
      <c r="K48" s="27">
        <f t="shared" si="13"/>
        <v>1</v>
      </c>
      <c r="L48" s="27">
        <f t="shared" si="13"/>
        <v>1</v>
      </c>
      <c r="M48" s="27">
        <f>IF($G48="s-curve",$E48+($F48-$E48)*$I$2/(1+EXP($I$3*(COUNT($I$9:M$9)+$I$4))),TREND($E48:$F48,$E$9:$F$9,M$9))</f>
        <v>1</v>
      </c>
      <c r="N48" s="27">
        <f>IF($G48="s-curve",$E48+($F48-$E48)*$I$2/(1+EXP($I$3*(COUNT($I$9:N$9)+$I$4))),TREND($E48:$F48,$E$9:$F$9,N$9))</f>
        <v>1</v>
      </c>
      <c r="O48" s="27">
        <f>IF($G48="s-curve",$E48+($F48-$E48)*$I$2/(1+EXP($I$3*(COUNT($I$9:O$9)+$I$4))),TREND($E48:$F48,$E$9:$F$9,O$9))</f>
        <v>1</v>
      </c>
      <c r="P48" s="27">
        <f>IF($G48="s-curve",$E48+($F48-$E48)*$I$2/(1+EXP($I$3*(COUNT($I$9:P$9)+$I$4))),TREND($E48:$F48,$E$9:$F$9,P$9))</f>
        <v>1</v>
      </c>
      <c r="Q48" s="27">
        <f>IF($G48="s-curve",$E48+($F48-$E48)*$I$2/(1+EXP($I$3*(COUNT($I$9:Q$9)+$I$4))),TREND($E48:$F48,$E$9:$F$9,Q$9))</f>
        <v>1</v>
      </c>
      <c r="R48" s="27">
        <f>IF($G48="s-curve",$E48+($F48-$E48)*$I$2/(1+EXP($I$3*(COUNT($I$9:R$9)+$I$4))),TREND($E48:$F48,$E$9:$F$9,R$9))</f>
        <v>1</v>
      </c>
      <c r="S48" s="27">
        <f>IF($G48="s-curve",$E48+($F48-$E48)*$I$2/(1+EXP($I$3*(COUNT($I$9:S$9)+$I$4))),TREND($E48:$F48,$E$9:$F$9,S$9))</f>
        <v>1</v>
      </c>
      <c r="T48" s="27">
        <f>IF($G48="s-curve",$E48+($F48-$E48)*$I$2/(1+EXP($I$3*(COUNT($I$9:T$9)+$I$4))),TREND($E48:$F48,$E$9:$F$9,T$9))</f>
        <v>1</v>
      </c>
      <c r="U48" s="27">
        <f>IF($G48="s-curve",$E48+($F48-$E48)*$I$2/(1+EXP($I$3*(COUNT($I$9:U$9)+$I$4))),TREND($E48:$F48,$E$9:$F$9,U$9))</f>
        <v>1</v>
      </c>
      <c r="V48" s="27">
        <f>IF($G48="s-curve",$E48+($F48-$E48)*$I$2/(1+EXP($I$3*(COUNT($I$9:V$9)+$I$4))),TREND($E48:$F48,$E$9:$F$9,V$9))</f>
        <v>1</v>
      </c>
      <c r="W48" s="27">
        <f>IF($G48="s-curve",$E48+($F48-$E48)*$I$2/(1+EXP($I$3*(COUNT($I$9:W$9)+$I$4))),TREND($E48:$F48,$E$9:$F$9,W$9))</f>
        <v>1</v>
      </c>
      <c r="X48" s="27">
        <f>IF($G48="s-curve",$E48+($F48-$E48)*$I$2/(1+EXP($I$3*(COUNT($I$9:X$9)+$I$4))),TREND($E48:$F48,$E$9:$F$9,X$9))</f>
        <v>1</v>
      </c>
      <c r="Y48" s="27">
        <f>IF($G48="s-curve",$E48+($F48-$E48)*$I$2/(1+EXP($I$3*(COUNT($I$9:Y$9)+$I$4))),TREND($E48:$F48,$E$9:$F$9,Y$9))</f>
        <v>1</v>
      </c>
      <c r="Z48" s="27">
        <f>IF($G48="s-curve",$E48+($F48-$E48)*$I$2/(1+EXP($I$3*(COUNT($I$9:Z$9)+$I$4))),TREND($E48:$F48,$E$9:$F$9,Z$9))</f>
        <v>1</v>
      </c>
      <c r="AA48" s="27">
        <f>IF($G48="s-curve",$E48+($F48-$E48)*$I$2/(1+EXP($I$3*(COUNT($I$9:AA$9)+$I$4))),TREND($E48:$F48,$E$9:$F$9,AA$9))</f>
        <v>1</v>
      </c>
      <c r="AB48" s="27">
        <f>IF($G48="s-curve",$E48+($F48-$E48)*$I$2/(1+EXP($I$3*(COUNT($I$9:AB$9)+$I$4))),TREND($E48:$F48,$E$9:$F$9,AB$9))</f>
        <v>1</v>
      </c>
      <c r="AC48" s="27">
        <f>IF($G48="s-curve",$E48+($F48-$E48)*$I$2/(1+EXP($I$3*(COUNT($I$9:AC$9)+$I$4))),TREND($E48:$F48,$E$9:$F$9,AC$9))</f>
        <v>1</v>
      </c>
      <c r="AD48" s="27">
        <f>IF($G48="s-curve",$E48+($F48-$E48)*$I$2/(1+EXP($I$3*(COUNT($I$9:AD$9)+$I$4))),TREND($E48:$F48,$E$9:$F$9,AD$9))</f>
        <v>1</v>
      </c>
      <c r="AE48" s="27">
        <f>IF($G48="s-curve",$E48+($F48-$E48)*$I$2/(1+EXP($I$3*(COUNT($I$9:AE$9)+$I$4))),TREND($E48:$F48,$E$9:$F$9,AE$9))</f>
        <v>1</v>
      </c>
      <c r="AF48" s="27">
        <f>IF($G48="s-curve",$E48+($F48-$E48)*$I$2/(1+EXP($I$3*(COUNT($I$9:AF$9)+$I$4))),TREND($E48:$F48,$E$9:$F$9,AF$9))</f>
        <v>1</v>
      </c>
      <c r="AG48" s="27">
        <f>IF($G48="s-curve",$E48+($F48-$E48)*$I$2/(1+EXP($I$3*(COUNT($I$9:AG$9)+$I$4))),TREND($E48:$F48,$E$9:$F$9,AG$9))</f>
        <v>1</v>
      </c>
      <c r="AH48" s="27">
        <f>IF($G48="s-curve",$E48+($F48-$E48)*$I$2/(1+EXP($I$3*(COUNT($I$9:AH$9)+$I$4))),TREND($E48:$F48,$E$9:$F$9,AH$9))</f>
        <v>1</v>
      </c>
      <c r="AI48" s="27">
        <f>IF($G48="s-curve",$E48+($F48-$E48)*$I$2/(1+EXP($I$3*(COUNT($I$9:AI$9)+$I$4))),TREND($E48:$F48,$E$9:$F$9,AI$9))</f>
        <v>1</v>
      </c>
      <c r="AJ48" s="27">
        <f>IF($G48="s-curve",$E48+($F48-$E48)*$I$2/(1+EXP($I$3*(COUNT($I$9:AJ$9)+$I$4))),TREND($E48:$F48,$E$9:$F$9,AJ$9))</f>
        <v>1</v>
      </c>
      <c r="AK48" s="27">
        <f>IF($G48="s-curve",$E48+($F48-$E48)*$I$2/(1+EXP($I$3*(COUNT($I$9:AK$9)+$I$4))),TREND($E48:$F48,$E$9:$F$9,AK$9))</f>
        <v>1</v>
      </c>
      <c r="AL48" s="27">
        <f>IF($G48="s-curve",$E48+($F48-$E48)*$I$2/(1+EXP($I$3*(COUNT($I$9:AL$9)+$I$4))),TREND($E48:$F48,$E$9:$F$9,AL$9))</f>
        <v>1</v>
      </c>
      <c r="AM48" s="27">
        <f>IF($G48="s-curve",$E48+($F48-$E48)*$I$2/(1+EXP($I$3*(COUNT($I$9:AM$9)+$I$4))),TREND($E48:$F48,$E$9:$F$9,AM$9))</f>
        <v>1</v>
      </c>
      <c r="AN48" s="27">
        <f>IF($G48="s-curve",$E48+($F48-$E48)*$I$2/(1+EXP($I$3*(COUNT($I$9:AN$9)+$I$4))),TREND($E48:$F48,$E$9:$F$9,AN$9))</f>
        <v>1</v>
      </c>
      <c r="AO48" s="27">
        <f>IF($G48="s-curve",$E48+($F48-$E48)*$I$2/(1+EXP($I$3*(COUNT($I$9:AO$9)+$I$4))),TREND($E48:$F48,$E$9:$F$9,AO$9))</f>
        <v>1</v>
      </c>
      <c r="AP48" s="27">
        <f>IF($G48="s-curve",$E48+($F48-$E48)*$I$2/(1+EXP($I$3*(COUNT($I$9:AP$9)+$I$4))),TREND($E48:$F48,$E$9:$F$9,AP$9))</f>
        <v>1</v>
      </c>
      <c r="AQ48" s="27">
        <f>IF($G48="s-curve",$E48+($F48-$E48)*$I$2/(1+EXP($I$3*(COUNT($I$9:AQ$9)+$I$4))),TREND($E48:$F48,$E$9:$F$9,AQ$9))</f>
        <v>1</v>
      </c>
      <c r="AR48" s="27">
        <f>IF($G48="s-curve",$E48+($F48-$E48)*$I$2/(1+EXP($I$3*(COUNT($I$9:AR$9)+$I$4))),TREND($E48:$F48,$E$9:$F$9,AR$9))</f>
        <v>1</v>
      </c>
      <c r="AS48" s="27">
        <f>IF($G48="s-curve",$E48+($F48-$E48)*$I$2/(1+EXP($I$3*(COUNT($I$9:AS$9)+$I$4))),TREND($E48:$F48,$E$9:$F$9,AS$9))</f>
        <v>1</v>
      </c>
      <c r="AT48" s="27">
        <f>IF($G48="s-curve",$E48+($F48-$E48)*$I$2/(1+EXP($I$3*(COUNT($I$9:AT$9)+$I$4))),TREND($E48:$F48,$E$9:$F$9,AT$9))</f>
        <v>1</v>
      </c>
      <c r="AU48" s="27">
        <f>IF($G48="s-curve",$E48+($F48-$E48)*$I$2/(1+EXP($I$3*(COUNT($I$9:AU$9)+$I$4))),TREND($E48:$F48,$E$9:$F$9,AU$9))</f>
        <v>1</v>
      </c>
      <c r="AV48" s="27">
        <f>IF($G48="s-curve",$E48+($F48-$E48)*$I$2/(1+EXP($I$3*(COUNT($I$9:AV$9)+$I$4))),TREND($E48:$F48,$E$9:$F$9,AV$9))</f>
        <v>1</v>
      </c>
      <c r="AW48" s="27">
        <f>IF($G48="s-curve",$E48+($F48-$E48)*$I$2/(1+EXP($I$3*(COUNT($I$9:AW$9)+$I$4))),TREND($E48:$F48,$E$9:$F$9,AW$9))</f>
        <v>1</v>
      </c>
      <c r="AX48" s="27">
        <f>IF($G48="s-curve",$E48+($F48-$E48)*$I$2/(1+EXP($I$3*(COUNT($I$9:AX$9)+$I$4))),TREND($E48:$F48,$E$9:$F$9,AX$9))</f>
        <v>1</v>
      </c>
      <c r="AY48" s="27">
        <f>IF($G48="s-curve",$E48+($F48-$E48)*$I$2/(1+EXP($I$3*(COUNT($I$9:AY$9)+$I$4))),TREND($E48:$F48,$E$9:$F$9,AY$9))</f>
        <v>1</v>
      </c>
      <c r="AZ48" s="27">
        <f>IF($G48="s-curve",$E48+($F48-$E48)*$I$2/(1+EXP($I$3*(COUNT($I$9:AZ$9)+$I$4))),TREND($E48:$F48,$E$9:$F$9,AZ$9))</f>
        <v>1</v>
      </c>
      <c r="BA48" s="27">
        <f>IF($G48="s-curve",$E48+($F48-$E48)*$I$2/(1+EXP($I$3*(COUNT($I$9:BA$9)+$I$4))),TREND($E48:$F48,$E$9:$F$9,BA$9))</f>
        <v>1</v>
      </c>
      <c r="BB48" s="27">
        <f>IF($G48="s-curve",$E48+($F48-$E48)*$I$2/(1+EXP($I$3*(COUNT($I$9:BB$9)+$I$4))),TREND($E48:$F48,$E$9:$F$9,BB$9))</f>
        <v>1</v>
      </c>
      <c r="BC48" s="27">
        <f>IF($G48="s-curve",$E48+($F48-$E48)*$I$2/(1+EXP($I$3*(COUNT($I$9:BC$9)+$I$4))),TREND($E48:$F48,$E$9:$F$9,BC$9))</f>
        <v>1</v>
      </c>
      <c r="BD48" s="27">
        <f>IF($G48="s-curve",$E48+($F48-$E48)*$I$2/(1+EXP($I$3*(COUNT($I$9:BD$9)+$I$4))),TREND($E48:$F48,$E$9:$F$9,BD$9))</f>
        <v>1</v>
      </c>
      <c r="BE48" s="27">
        <f>IF($G48="s-curve",$E48+($F48-$E48)*$I$2/(1+EXP($I$3*(COUNT($I$9:BE$9)+$I$4))),TREND($E48:$F48,$E$9:$F$9,BE$9))</f>
        <v>1</v>
      </c>
      <c r="BF48" s="27">
        <f>IF($G48="s-curve",$E48+($F48-$E48)*$I$2/(1+EXP($I$3*(COUNT($I$9:BF$9)+$I$4))),TREND($E48:$F48,$E$9:$F$9,BF$9))</f>
        <v>1</v>
      </c>
    </row>
    <row r="49" spans="1:58" x14ac:dyDescent="0.75">
      <c r="C49" t="s">
        <v>5</v>
      </c>
      <c r="D49" s="26">
        <f t="shared" si="11"/>
        <v>0</v>
      </c>
      <c r="E49" s="26">
        <v>0</v>
      </c>
      <c r="F49" s="26">
        <v>0</v>
      </c>
      <c r="G49" s="29" t="str">
        <f>IF(E49=F49,"n/a",IF(OR(C49="battery electric vehicle",C49="natural gas vehicle",C49="plugin hybrid vehicle"),"s-curve","linear"))</f>
        <v>n/a</v>
      </c>
      <c r="I49" s="27">
        <f t="shared" si="12"/>
        <v>0</v>
      </c>
      <c r="J49" s="27">
        <f t="shared" si="13"/>
        <v>0</v>
      </c>
      <c r="K49" s="27">
        <f t="shared" si="13"/>
        <v>0</v>
      </c>
      <c r="L49" s="27">
        <f t="shared" si="13"/>
        <v>0</v>
      </c>
      <c r="M49" s="27">
        <f>IF($G49="s-curve",$E49+($F49-$E49)*$I$2/(1+EXP($I$3*(COUNT($I$9:M$9)+$I$4))),TREND($E49:$F49,$E$9:$F$9,M$9))</f>
        <v>0</v>
      </c>
      <c r="N49" s="27">
        <f>IF($G49="s-curve",$E49+($F49-$E49)*$I$2/(1+EXP($I$3*(COUNT($I$9:N$9)+$I$4))),TREND($E49:$F49,$E$9:$F$9,N$9))</f>
        <v>0</v>
      </c>
      <c r="O49" s="27">
        <f>IF($G49="s-curve",$E49+($F49-$E49)*$I$2/(1+EXP($I$3*(COUNT($I$9:O$9)+$I$4))),TREND($E49:$F49,$E$9:$F$9,O$9))</f>
        <v>0</v>
      </c>
      <c r="P49" s="27">
        <f>IF($G49="s-curve",$E49+($F49-$E49)*$I$2/(1+EXP($I$3*(COUNT($I$9:P$9)+$I$4))),TREND($E49:$F49,$E$9:$F$9,P$9))</f>
        <v>0</v>
      </c>
      <c r="Q49" s="27">
        <f>IF($G49="s-curve",$E49+($F49-$E49)*$I$2/(1+EXP($I$3*(COUNT($I$9:Q$9)+$I$4))),TREND($E49:$F49,$E$9:$F$9,Q$9))</f>
        <v>0</v>
      </c>
      <c r="R49" s="27">
        <f>IF($G49="s-curve",$E49+($F49-$E49)*$I$2/(1+EXP($I$3*(COUNT($I$9:R$9)+$I$4))),TREND($E49:$F49,$E$9:$F$9,R$9))</f>
        <v>0</v>
      </c>
      <c r="S49" s="27">
        <f>IF($G49="s-curve",$E49+($F49-$E49)*$I$2/(1+EXP($I$3*(COUNT($I$9:S$9)+$I$4))),TREND($E49:$F49,$E$9:$F$9,S$9))</f>
        <v>0</v>
      </c>
      <c r="T49" s="27">
        <f>IF($G49="s-curve",$E49+($F49-$E49)*$I$2/(1+EXP($I$3*(COUNT($I$9:T$9)+$I$4))),TREND($E49:$F49,$E$9:$F$9,T$9))</f>
        <v>0</v>
      </c>
      <c r="U49" s="27">
        <f>IF($G49="s-curve",$E49+($F49-$E49)*$I$2/(1+EXP($I$3*(COUNT($I$9:U$9)+$I$4))),TREND($E49:$F49,$E$9:$F$9,U$9))</f>
        <v>0</v>
      </c>
      <c r="V49" s="27">
        <f>IF($G49="s-curve",$E49+($F49-$E49)*$I$2/(1+EXP($I$3*(COUNT($I$9:V$9)+$I$4))),TREND($E49:$F49,$E$9:$F$9,V$9))</f>
        <v>0</v>
      </c>
      <c r="W49" s="27">
        <f>IF($G49="s-curve",$E49+($F49-$E49)*$I$2/(1+EXP($I$3*(COUNT($I$9:W$9)+$I$4))),TREND($E49:$F49,$E$9:$F$9,W$9))</f>
        <v>0</v>
      </c>
      <c r="X49" s="27">
        <f>IF($G49="s-curve",$E49+($F49-$E49)*$I$2/(1+EXP($I$3*(COUNT($I$9:X$9)+$I$4))),TREND($E49:$F49,$E$9:$F$9,X$9))</f>
        <v>0</v>
      </c>
      <c r="Y49" s="27">
        <f>IF($G49="s-curve",$E49+($F49-$E49)*$I$2/(1+EXP($I$3*(COUNT($I$9:Y$9)+$I$4))),TREND($E49:$F49,$E$9:$F$9,Y$9))</f>
        <v>0</v>
      </c>
      <c r="Z49" s="27">
        <f>IF($G49="s-curve",$E49+($F49-$E49)*$I$2/(1+EXP($I$3*(COUNT($I$9:Z$9)+$I$4))),TREND($E49:$F49,$E$9:$F$9,Z$9))</f>
        <v>0</v>
      </c>
      <c r="AA49" s="27">
        <f>IF($G49="s-curve",$E49+($F49-$E49)*$I$2/(1+EXP($I$3*(COUNT($I$9:AA$9)+$I$4))),TREND($E49:$F49,$E$9:$F$9,AA$9))</f>
        <v>0</v>
      </c>
      <c r="AB49" s="27">
        <f>IF($G49="s-curve",$E49+($F49-$E49)*$I$2/(1+EXP($I$3*(COUNT($I$9:AB$9)+$I$4))),TREND($E49:$F49,$E$9:$F$9,AB$9))</f>
        <v>0</v>
      </c>
      <c r="AC49" s="27">
        <f>IF($G49="s-curve",$E49+($F49-$E49)*$I$2/(1+EXP($I$3*(COUNT($I$9:AC$9)+$I$4))),TREND($E49:$F49,$E$9:$F$9,AC$9))</f>
        <v>0</v>
      </c>
      <c r="AD49" s="27">
        <f>IF($G49="s-curve",$E49+($F49-$E49)*$I$2/(1+EXP($I$3*(COUNT($I$9:AD$9)+$I$4))),TREND($E49:$F49,$E$9:$F$9,AD$9))</f>
        <v>0</v>
      </c>
      <c r="AE49" s="27">
        <f>IF($G49="s-curve",$E49+($F49-$E49)*$I$2/(1+EXP($I$3*(COUNT($I$9:AE$9)+$I$4))),TREND($E49:$F49,$E$9:$F$9,AE$9))</f>
        <v>0</v>
      </c>
      <c r="AF49" s="27">
        <f>IF($G49="s-curve",$E49+($F49-$E49)*$I$2/(1+EXP($I$3*(COUNT($I$9:AF$9)+$I$4))),TREND($E49:$F49,$E$9:$F$9,AF$9))</f>
        <v>0</v>
      </c>
      <c r="AG49" s="27">
        <f>IF($G49="s-curve",$E49+($F49-$E49)*$I$2/(1+EXP($I$3*(COUNT($I$9:AG$9)+$I$4))),TREND($E49:$F49,$E$9:$F$9,AG$9))</f>
        <v>0</v>
      </c>
      <c r="AH49" s="27">
        <f>IF($G49="s-curve",$E49+($F49-$E49)*$I$2/(1+EXP($I$3*(COUNT($I$9:AH$9)+$I$4))),TREND($E49:$F49,$E$9:$F$9,AH$9))</f>
        <v>0</v>
      </c>
      <c r="AI49" s="27">
        <f>IF($G49="s-curve",$E49+($F49-$E49)*$I$2/(1+EXP($I$3*(COUNT($I$9:AI$9)+$I$4))),TREND($E49:$F49,$E$9:$F$9,AI$9))</f>
        <v>0</v>
      </c>
      <c r="AJ49" s="27">
        <f>IF($G49="s-curve",$E49+($F49-$E49)*$I$2/(1+EXP($I$3*(COUNT($I$9:AJ$9)+$I$4))),TREND($E49:$F49,$E$9:$F$9,AJ$9))</f>
        <v>0</v>
      </c>
      <c r="AK49" s="27">
        <f>IF($G49="s-curve",$E49+($F49-$E49)*$I$2/(1+EXP($I$3*(COUNT($I$9:AK$9)+$I$4))),TREND($E49:$F49,$E$9:$F$9,AK$9))</f>
        <v>0</v>
      </c>
      <c r="AL49" s="27">
        <f>IF($G49="s-curve",$E49+($F49-$E49)*$I$2/(1+EXP($I$3*(COUNT($I$9:AL$9)+$I$4))),TREND($E49:$F49,$E$9:$F$9,AL$9))</f>
        <v>0</v>
      </c>
      <c r="AM49" s="27">
        <f>IF($G49="s-curve",$E49+($F49-$E49)*$I$2/(1+EXP($I$3*(COUNT($I$9:AM$9)+$I$4))),TREND($E49:$F49,$E$9:$F$9,AM$9))</f>
        <v>0</v>
      </c>
      <c r="AN49" s="27">
        <f>IF($G49="s-curve",$E49+($F49-$E49)*$I$2/(1+EXP($I$3*(COUNT($I$9:AN$9)+$I$4))),TREND($E49:$F49,$E$9:$F$9,AN$9))</f>
        <v>0</v>
      </c>
      <c r="AO49" s="27">
        <f>IF($G49="s-curve",$E49+($F49-$E49)*$I$2/(1+EXP($I$3*(COUNT($I$9:AO$9)+$I$4))),TREND($E49:$F49,$E$9:$F$9,AO$9))</f>
        <v>0</v>
      </c>
      <c r="AP49" s="27">
        <f>IF($G49="s-curve",$E49+($F49-$E49)*$I$2/(1+EXP($I$3*(COUNT($I$9:AP$9)+$I$4))),TREND($E49:$F49,$E$9:$F$9,AP$9))</f>
        <v>0</v>
      </c>
      <c r="AQ49" s="27">
        <f>IF($G49="s-curve",$E49+($F49-$E49)*$I$2/(1+EXP($I$3*(COUNT($I$9:AQ$9)+$I$4))),TREND($E49:$F49,$E$9:$F$9,AQ$9))</f>
        <v>0</v>
      </c>
      <c r="AR49" s="27">
        <f>IF($G49="s-curve",$E49+($F49-$E49)*$I$2/(1+EXP($I$3*(COUNT($I$9:AR$9)+$I$4))),TREND($E49:$F49,$E$9:$F$9,AR$9))</f>
        <v>0</v>
      </c>
      <c r="AS49" s="27">
        <f>IF($G49="s-curve",$E49+($F49-$E49)*$I$2/(1+EXP($I$3*(COUNT($I$9:AS$9)+$I$4))),TREND($E49:$F49,$E$9:$F$9,AS$9))</f>
        <v>0</v>
      </c>
      <c r="AT49" s="27">
        <f>IF($G49="s-curve",$E49+($F49-$E49)*$I$2/(1+EXP($I$3*(COUNT($I$9:AT$9)+$I$4))),TREND($E49:$F49,$E$9:$F$9,AT$9))</f>
        <v>0</v>
      </c>
      <c r="AU49" s="27">
        <f>IF($G49="s-curve",$E49+($F49-$E49)*$I$2/(1+EXP($I$3*(COUNT($I$9:AU$9)+$I$4))),TREND($E49:$F49,$E$9:$F$9,AU$9))</f>
        <v>0</v>
      </c>
      <c r="AV49" s="27">
        <f>IF($G49="s-curve",$E49+($F49-$E49)*$I$2/(1+EXP($I$3*(COUNT($I$9:AV$9)+$I$4))),TREND($E49:$F49,$E$9:$F$9,AV$9))</f>
        <v>0</v>
      </c>
      <c r="AW49" s="27">
        <f>IF($G49="s-curve",$E49+($F49-$E49)*$I$2/(1+EXP($I$3*(COUNT($I$9:AW$9)+$I$4))),TREND($E49:$F49,$E$9:$F$9,AW$9))</f>
        <v>0</v>
      </c>
      <c r="AX49" s="27">
        <f>IF($G49="s-curve",$E49+($F49-$E49)*$I$2/(1+EXP($I$3*(COUNT($I$9:AX$9)+$I$4))),TREND($E49:$F49,$E$9:$F$9,AX$9))</f>
        <v>0</v>
      </c>
      <c r="AY49" s="27">
        <f>IF($G49="s-curve",$E49+($F49-$E49)*$I$2/(1+EXP($I$3*(COUNT($I$9:AY$9)+$I$4))),TREND($E49:$F49,$E$9:$F$9,AY$9))</f>
        <v>0</v>
      </c>
      <c r="AZ49" s="27">
        <f>IF($G49="s-curve",$E49+($F49-$E49)*$I$2/(1+EXP($I$3*(COUNT($I$9:AZ$9)+$I$4))),TREND($E49:$F49,$E$9:$F$9,AZ$9))</f>
        <v>0</v>
      </c>
      <c r="BA49" s="27">
        <f>IF($G49="s-curve",$E49+($F49-$E49)*$I$2/(1+EXP($I$3*(COUNT($I$9:BA$9)+$I$4))),TREND($E49:$F49,$E$9:$F$9,BA$9))</f>
        <v>0</v>
      </c>
      <c r="BB49" s="27">
        <f>IF($G49="s-curve",$E49+($F49-$E49)*$I$2/(1+EXP($I$3*(COUNT($I$9:BB$9)+$I$4))),TREND($E49:$F49,$E$9:$F$9,BB$9))</f>
        <v>0</v>
      </c>
      <c r="BC49" s="27">
        <f>IF($G49="s-curve",$E49+($F49-$E49)*$I$2/(1+EXP($I$3*(COUNT($I$9:BC$9)+$I$4))),TREND($E49:$F49,$E$9:$F$9,BC$9))</f>
        <v>0</v>
      </c>
      <c r="BD49" s="27">
        <f>IF($G49="s-curve",$E49+($F49-$E49)*$I$2/(1+EXP($I$3*(COUNT($I$9:BD$9)+$I$4))),TREND($E49:$F49,$E$9:$F$9,BD$9))</f>
        <v>0</v>
      </c>
      <c r="BE49" s="27">
        <f>IF($G49="s-curve",$E49+($F49-$E49)*$I$2/(1+EXP($I$3*(COUNT($I$9:BE$9)+$I$4))),TREND($E49:$F49,$E$9:$F$9,BE$9))</f>
        <v>0</v>
      </c>
      <c r="BF49" s="27">
        <f>IF($G49="s-curve",$E49+($F49-$E49)*$I$2/(1+EXP($I$3*(COUNT($I$9:BF$9)+$I$4))),TREND($E49:$F49,$E$9:$F$9,BF$9))</f>
        <v>0</v>
      </c>
    </row>
    <row r="50" spans="1:58" x14ac:dyDescent="0.75">
      <c r="C50" t="s">
        <v>31</v>
      </c>
      <c r="D50" s="26">
        <f t="shared" si="11"/>
        <v>0</v>
      </c>
      <c r="E50" s="26">
        <v>0</v>
      </c>
      <c r="F50" s="26">
        <v>0</v>
      </c>
      <c r="G50" s="29" t="str">
        <f>IF(E50=F50,"n/a",IF(OR(C50="battery electric vehicle",C50="natural gas vehicle",C50="plugin hybrid vehicle",C50="hydrogen vehicle"),"s-curve","linear"))</f>
        <v>n/a</v>
      </c>
      <c r="I50" s="27">
        <f t="shared" si="12"/>
        <v>0</v>
      </c>
      <c r="J50" s="27">
        <f t="shared" si="13"/>
        <v>0</v>
      </c>
      <c r="K50" s="27">
        <f t="shared" si="13"/>
        <v>0</v>
      </c>
      <c r="L50" s="27">
        <f t="shared" si="13"/>
        <v>0</v>
      </c>
      <c r="M50" s="27">
        <f>IF($G50="s-curve",$E50+($F50-$E50)*$I$2/(1+EXP($I$3*(COUNT($I$9:M$9)+$I$4))),TREND($E50:$F50,$E$9:$F$9,M$9))</f>
        <v>0</v>
      </c>
      <c r="N50" s="27">
        <f>IF($G50="s-curve",$E50+($F50-$E50)*$I$2/(1+EXP($I$3*(COUNT($I$9:N$9)+$I$4))),TREND($E50:$F50,$E$9:$F$9,N$9))</f>
        <v>0</v>
      </c>
      <c r="O50" s="27">
        <f>IF($G50="s-curve",$E50+($F50-$E50)*$I$2/(1+EXP($I$3*(COUNT($I$9:O$9)+$I$4))),TREND($E50:$F50,$E$9:$F$9,O$9))</f>
        <v>0</v>
      </c>
      <c r="P50" s="27">
        <f>IF($G50="s-curve",$E50+($F50-$E50)*$I$2/(1+EXP($I$3*(COUNT($I$9:P$9)+$I$4))),TREND($E50:$F50,$E$9:$F$9,P$9))</f>
        <v>0</v>
      </c>
      <c r="Q50" s="27">
        <f>IF($G50="s-curve",$E50+($F50-$E50)*$I$2/(1+EXP($I$3*(COUNT($I$9:Q$9)+$I$4))),TREND($E50:$F50,$E$9:$F$9,Q$9))</f>
        <v>0</v>
      </c>
      <c r="R50" s="27">
        <f>IF($G50="s-curve",$E50+($F50-$E50)*$I$2/(1+EXP($I$3*(COUNT($I$9:R$9)+$I$4))),TREND($E50:$F50,$E$9:$F$9,R$9))</f>
        <v>0</v>
      </c>
      <c r="S50" s="27">
        <f>IF($G50="s-curve",$E50+($F50-$E50)*$I$2/(1+EXP($I$3*(COUNT($I$9:S$9)+$I$4))),TREND($E50:$F50,$E$9:$F$9,S$9))</f>
        <v>0</v>
      </c>
      <c r="T50" s="27">
        <f>IF($G50="s-curve",$E50+($F50-$E50)*$I$2/(1+EXP($I$3*(COUNT($I$9:T$9)+$I$4))),TREND($E50:$F50,$E$9:$F$9,T$9))</f>
        <v>0</v>
      </c>
      <c r="U50" s="27">
        <f>IF($G50="s-curve",$E50+($F50-$E50)*$I$2/(1+EXP($I$3*(COUNT($I$9:U$9)+$I$4))),TREND($E50:$F50,$E$9:$F$9,U$9))</f>
        <v>0</v>
      </c>
      <c r="V50" s="27">
        <f>IF($G50="s-curve",$E50+($F50-$E50)*$I$2/(1+EXP($I$3*(COUNT($I$9:V$9)+$I$4))),TREND($E50:$F50,$E$9:$F$9,V$9))</f>
        <v>0</v>
      </c>
      <c r="W50" s="27">
        <f>IF($G50="s-curve",$E50+($F50-$E50)*$I$2/(1+EXP($I$3*(COUNT($I$9:W$9)+$I$4))),TREND($E50:$F50,$E$9:$F$9,W$9))</f>
        <v>0</v>
      </c>
      <c r="X50" s="27">
        <f>IF($G50="s-curve",$E50+($F50-$E50)*$I$2/(1+EXP($I$3*(COUNT($I$9:X$9)+$I$4))),TREND($E50:$F50,$E$9:$F$9,X$9))</f>
        <v>0</v>
      </c>
      <c r="Y50" s="27">
        <f>IF($G50="s-curve",$E50+($F50-$E50)*$I$2/(1+EXP($I$3*(COUNT($I$9:Y$9)+$I$4))),TREND($E50:$F50,$E$9:$F$9,Y$9))</f>
        <v>0</v>
      </c>
      <c r="Z50" s="27">
        <f>IF($G50="s-curve",$E50+($F50-$E50)*$I$2/(1+EXP($I$3*(COUNT($I$9:Z$9)+$I$4))),TREND($E50:$F50,$E$9:$F$9,Z$9))</f>
        <v>0</v>
      </c>
      <c r="AA50" s="27">
        <f>IF($G50="s-curve",$E50+($F50-$E50)*$I$2/(1+EXP($I$3*(COUNT($I$9:AA$9)+$I$4))),TREND($E50:$F50,$E$9:$F$9,AA$9))</f>
        <v>0</v>
      </c>
      <c r="AB50" s="27">
        <f>IF($G50="s-curve",$E50+($F50-$E50)*$I$2/(1+EXP($I$3*(COUNT($I$9:AB$9)+$I$4))),TREND($E50:$F50,$E$9:$F$9,AB$9))</f>
        <v>0</v>
      </c>
      <c r="AC50" s="27">
        <f>IF($G50="s-curve",$E50+($F50-$E50)*$I$2/(1+EXP($I$3*(COUNT($I$9:AC$9)+$I$4))),TREND($E50:$F50,$E$9:$F$9,AC$9))</f>
        <v>0</v>
      </c>
      <c r="AD50" s="27">
        <f>IF($G50="s-curve",$E50+($F50-$E50)*$I$2/(1+EXP($I$3*(COUNT($I$9:AD$9)+$I$4))),TREND($E50:$F50,$E$9:$F$9,AD$9))</f>
        <v>0</v>
      </c>
      <c r="AE50" s="27">
        <f>IF($G50="s-curve",$E50+($F50-$E50)*$I$2/(1+EXP($I$3*(COUNT($I$9:AE$9)+$I$4))),TREND($E50:$F50,$E$9:$F$9,AE$9))</f>
        <v>0</v>
      </c>
      <c r="AF50" s="27">
        <f>IF($G50="s-curve",$E50+($F50-$E50)*$I$2/(1+EXP($I$3*(COUNT($I$9:AF$9)+$I$4))),TREND($E50:$F50,$E$9:$F$9,AF$9))</f>
        <v>0</v>
      </c>
      <c r="AG50" s="27">
        <f>IF($G50="s-curve",$E50+($F50-$E50)*$I$2/(1+EXP($I$3*(COUNT($I$9:AG$9)+$I$4))),TREND($E50:$F50,$E$9:$F$9,AG$9))</f>
        <v>0</v>
      </c>
      <c r="AH50" s="27">
        <f>IF($G50="s-curve",$E50+($F50-$E50)*$I$2/(1+EXP($I$3*(COUNT($I$9:AH$9)+$I$4))),TREND($E50:$F50,$E$9:$F$9,AH$9))</f>
        <v>0</v>
      </c>
      <c r="AI50" s="27">
        <f>IF($G50="s-curve",$E50+($F50-$E50)*$I$2/(1+EXP($I$3*(COUNT($I$9:AI$9)+$I$4))),TREND($E50:$F50,$E$9:$F$9,AI$9))</f>
        <v>0</v>
      </c>
      <c r="AJ50" s="27">
        <f>IF($G50="s-curve",$E50+($F50-$E50)*$I$2/(1+EXP($I$3*(COUNT($I$9:AJ$9)+$I$4))),TREND($E50:$F50,$E$9:$F$9,AJ$9))</f>
        <v>0</v>
      </c>
      <c r="AK50" s="27">
        <f>IF($G50="s-curve",$E50+($F50-$E50)*$I$2/(1+EXP($I$3*(COUNT($I$9:AK$9)+$I$4))),TREND($E50:$F50,$E$9:$F$9,AK$9))</f>
        <v>0</v>
      </c>
      <c r="AL50" s="27">
        <f>IF($G50="s-curve",$E50+($F50-$E50)*$I$2/(1+EXP($I$3*(COUNT($I$9:AL$9)+$I$4))),TREND($E50:$F50,$E$9:$F$9,AL$9))</f>
        <v>0</v>
      </c>
      <c r="AM50" s="27">
        <f>IF($G50="s-curve",$E50+($F50-$E50)*$I$2/(1+EXP($I$3*(COUNT($I$9:AM$9)+$I$4))),TREND($E50:$F50,$E$9:$F$9,AM$9))</f>
        <v>0</v>
      </c>
      <c r="AN50" s="27">
        <f>IF($G50="s-curve",$E50+($F50-$E50)*$I$2/(1+EXP($I$3*(COUNT($I$9:AN$9)+$I$4))),TREND($E50:$F50,$E$9:$F$9,AN$9))</f>
        <v>0</v>
      </c>
      <c r="AO50" s="27">
        <f>IF($G50="s-curve",$E50+($F50-$E50)*$I$2/(1+EXP($I$3*(COUNT($I$9:AO$9)+$I$4))),TREND($E50:$F50,$E$9:$F$9,AO$9))</f>
        <v>0</v>
      </c>
      <c r="AP50" s="27">
        <f>IF($G50="s-curve",$E50+($F50-$E50)*$I$2/(1+EXP($I$3*(COUNT($I$9:AP$9)+$I$4))),TREND($E50:$F50,$E$9:$F$9,AP$9))</f>
        <v>0</v>
      </c>
      <c r="AQ50" s="27">
        <f>IF($G50="s-curve",$E50+($F50-$E50)*$I$2/(1+EXP($I$3*(COUNT($I$9:AQ$9)+$I$4))),TREND($E50:$F50,$E$9:$F$9,AQ$9))</f>
        <v>0</v>
      </c>
      <c r="AR50" s="27">
        <f>IF($G50="s-curve",$E50+($F50-$E50)*$I$2/(1+EXP($I$3*(COUNT($I$9:AR$9)+$I$4))),TREND($E50:$F50,$E$9:$F$9,AR$9))</f>
        <v>0</v>
      </c>
      <c r="AS50" s="27">
        <f>IF($G50="s-curve",$E50+($F50-$E50)*$I$2/(1+EXP($I$3*(COUNT($I$9:AS$9)+$I$4))),TREND($E50:$F50,$E$9:$F$9,AS$9))</f>
        <v>0</v>
      </c>
      <c r="AT50" s="27">
        <f>IF($G50="s-curve",$E50+($F50-$E50)*$I$2/(1+EXP($I$3*(COUNT($I$9:AT$9)+$I$4))),TREND($E50:$F50,$E$9:$F$9,AT$9))</f>
        <v>0</v>
      </c>
      <c r="AU50" s="27">
        <f>IF($G50="s-curve",$E50+($F50-$E50)*$I$2/(1+EXP($I$3*(COUNT($I$9:AU$9)+$I$4))),TREND($E50:$F50,$E$9:$F$9,AU$9))</f>
        <v>0</v>
      </c>
      <c r="AV50" s="27">
        <f>IF($G50="s-curve",$E50+($F50-$E50)*$I$2/(1+EXP($I$3*(COUNT($I$9:AV$9)+$I$4))),TREND($E50:$F50,$E$9:$F$9,AV$9))</f>
        <v>0</v>
      </c>
      <c r="AW50" s="27">
        <f>IF($G50="s-curve",$E50+($F50-$E50)*$I$2/(1+EXP($I$3*(COUNT($I$9:AW$9)+$I$4))),TREND($E50:$F50,$E$9:$F$9,AW$9))</f>
        <v>0</v>
      </c>
      <c r="AX50" s="27">
        <f>IF($G50="s-curve",$E50+($F50-$E50)*$I$2/(1+EXP($I$3*(COUNT($I$9:AX$9)+$I$4))),TREND($E50:$F50,$E$9:$F$9,AX$9))</f>
        <v>0</v>
      </c>
      <c r="AY50" s="27">
        <f>IF($G50="s-curve",$E50+($F50-$E50)*$I$2/(1+EXP($I$3*(COUNT($I$9:AY$9)+$I$4))),TREND($E50:$F50,$E$9:$F$9,AY$9))</f>
        <v>0</v>
      </c>
      <c r="AZ50" s="27">
        <f>IF($G50="s-curve",$E50+($F50-$E50)*$I$2/(1+EXP($I$3*(COUNT($I$9:AZ$9)+$I$4))),TREND($E50:$F50,$E$9:$F$9,AZ$9))</f>
        <v>0</v>
      </c>
      <c r="BA50" s="27">
        <f>IF($G50="s-curve",$E50+($F50-$E50)*$I$2/(1+EXP($I$3*(COUNT($I$9:BA$9)+$I$4))),TREND($E50:$F50,$E$9:$F$9,BA$9))</f>
        <v>0</v>
      </c>
      <c r="BB50" s="27">
        <f>IF($G50="s-curve",$E50+($F50-$E50)*$I$2/(1+EXP($I$3*(COUNT($I$9:BB$9)+$I$4))),TREND($E50:$F50,$E$9:$F$9,BB$9))</f>
        <v>0</v>
      </c>
      <c r="BC50" s="27">
        <f>IF($G50="s-curve",$E50+($F50-$E50)*$I$2/(1+EXP($I$3*(COUNT($I$9:BC$9)+$I$4))),TREND($E50:$F50,$E$9:$F$9,BC$9))</f>
        <v>0</v>
      </c>
      <c r="BD50" s="27">
        <f>IF($G50="s-curve",$E50+($F50-$E50)*$I$2/(1+EXP($I$3*(COUNT($I$9:BD$9)+$I$4))),TREND($E50:$F50,$E$9:$F$9,BD$9))</f>
        <v>0</v>
      </c>
      <c r="BE50" s="27">
        <f>IF($G50="s-curve",$E50+($F50-$E50)*$I$2/(1+EXP($I$3*(COUNT($I$9:BE$9)+$I$4))),TREND($E50:$F50,$E$9:$F$9,BE$9))</f>
        <v>0</v>
      </c>
      <c r="BF50" s="27">
        <f>IF($G50="s-curve",$E50+($F50-$E50)*$I$2/(1+EXP($I$3*(COUNT($I$9:BF$9)+$I$4))),TREND($E50:$F50,$E$9:$F$9,BF$9))</f>
        <v>0</v>
      </c>
    </row>
    <row r="51" spans="1:58" ht="15.5" thickBot="1" x14ac:dyDescent="0.9">
      <c r="A51" s="16"/>
      <c r="B51" s="16"/>
      <c r="C51" s="16" t="s">
        <v>32</v>
      </c>
      <c r="D51" s="26">
        <f t="shared" si="11"/>
        <v>0</v>
      </c>
      <c r="E51" s="31">
        <v>0</v>
      </c>
      <c r="F51" s="31">
        <v>0</v>
      </c>
      <c r="G51" s="32" t="str">
        <f>IF(E51=F51,"n/a",IF(OR(C51="battery electric vehicle",C51="natural gas vehicle",C51="plugin hybrid vehicle",C51="hydrogen vehicle"),"s-curve","linear"))</f>
        <v>n/a</v>
      </c>
      <c r="I51" s="27">
        <f t="shared" si="12"/>
        <v>0</v>
      </c>
      <c r="J51" s="27">
        <f t="shared" si="13"/>
        <v>0</v>
      </c>
      <c r="K51" s="27">
        <f t="shared" si="13"/>
        <v>0</v>
      </c>
      <c r="L51" s="27">
        <f t="shared" si="13"/>
        <v>0</v>
      </c>
      <c r="M51" s="27">
        <f>IF($G51="s-curve",$E51+($F51-$E51)*$I$2/(1+EXP($I$3*(COUNT($I$9:M$9)+$I$4))),TREND($E51:$F51,$E$9:$F$9,M$9))</f>
        <v>0</v>
      </c>
      <c r="N51" s="27">
        <f>IF($G51="s-curve",$E51+($F51-$E51)*$I$2/(1+EXP($I$3*(COUNT($I$9:N$9)+$I$4))),TREND($E51:$F51,$E$9:$F$9,N$9))</f>
        <v>0</v>
      </c>
      <c r="O51" s="27">
        <f>IF($G51="s-curve",$E51+($F51-$E51)*$I$2/(1+EXP($I$3*(COUNT($I$9:O$9)+$I$4))),TREND($E51:$F51,$E$9:$F$9,O$9))</f>
        <v>0</v>
      </c>
      <c r="P51" s="27">
        <f>IF($G51="s-curve",$E51+($F51-$E51)*$I$2/(1+EXP($I$3*(COUNT($I$9:P$9)+$I$4))),TREND($E51:$F51,$E$9:$F$9,P$9))</f>
        <v>0</v>
      </c>
      <c r="Q51" s="27">
        <f>IF($G51="s-curve",$E51+($F51-$E51)*$I$2/(1+EXP($I$3*(COUNT($I$9:Q$9)+$I$4))),TREND($E51:$F51,$E$9:$F$9,Q$9))</f>
        <v>0</v>
      </c>
      <c r="R51" s="27">
        <f>IF($G51="s-curve",$E51+($F51-$E51)*$I$2/(1+EXP($I$3*(COUNT($I$9:R$9)+$I$4))),TREND($E51:$F51,$E$9:$F$9,R$9))</f>
        <v>0</v>
      </c>
      <c r="S51" s="27">
        <f>IF($G51="s-curve",$E51+($F51-$E51)*$I$2/(1+EXP($I$3*(COUNT($I$9:S$9)+$I$4))),TREND($E51:$F51,$E$9:$F$9,S$9))</f>
        <v>0</v>
      </c>
      <c r="T51" s="27">
        <f>IF($G51="s-curve",$E51+($F51-$E51)*$I$2/(1+EXP($I$3*(COUNT($I$9:T$9)+$I$4))),TREND($E51:$F51,$E$9:$F$9,T$9))</f>
        <v>0</v>
      </c>
      <c r="U51" s="27">
        <f>IF($G51="s-curve",$E51+($F51-$E51)*$I$2/(1+EXP($I$3*(COUNT($I$9:U$9)+$I$4))),TREND($E51:$F51,$E$9:$F$9,U$9))</f>
        <v>0</v>
      </c>
      <c r="V51" s="27">
        <f>IF($G51="s-curve",$E51+($F51-$E51)*$I$2/(1+EXP($I$3*(COUNT($I$9:V$9)+$I$4))),TREND($E51:$F51,$E$9:$F$9,V$9))</f>
        <v>0</v>
      </c>
      <c r="W51" s="27">
        <f>IF($G51="s-curve",$E51+($F51-$E51)*$I$2/(1+EXP($I$3*(COUNT($I$9:W$9)+$I$4))),TREND($E51:$F51,$E$9:$F$9,W$9))</f>
        <v>0</v>
      </c>
      <c r="X51" s="27">
        <f>IF($G51="s-curve",$E51+($F51-$E51)*$I$2/(1+EXP($I$3*(COUNT($I$9:X$9)+$I$4))),TREND($E51:$F51,$E$9:$F$9,X$9))</f>
        <v>0</v>
      </c>
      <c r="Y51" s="27">
        <f>IF($G51="s-curve",$E51+($F51-$E51)*$I$2/(1+EXP($I$3*(COUNT($I$9:Y$9)+$I$4))),TREND($E51:$F51,$E$9:$F$9,Y$9))</f>
        <v>0</v>
      </c>
      <c r="Z51" s="27">
        <f>IF($G51="s-curve",$E51+($F51-$E51)*$I$2/(1+EXP($I$3*(COUNT($I$9:Z$9)+$I$4))),TREND($E51:$F51,$E$9:$F$9,Z$9))</f>
        <v>0</v>
      </c>
      <c r="AA51" s="27">
        <f>IF($G51="s-curve",$E51+($F51-$E51)*$I$2/(1+EXP($I$3*(COUNT($I$9:AA$9)+$I$4))),TREND($E51:$F51,$E$9:$F$9,AA$9))</f>
        <v>0</v>
      </c>
      <c r="AB51" s="27">
        <f>IF($G51="s-curve",$E51+($F51-$E51)*$I$2/(1+EXP($I$3*(COUNT($I$9:AB$9)+$I$4))),TREND($E51:$F51,$E$9:$F$9,AB$9))</f>
        <v>0</v>
      </c>
      <c r="AC51" s="27">
        <f>IF($G51="s-curve",$E51+($F51-$E51)*$I$2/(1+EXP($I$3*(COUNT($I$9:AC$9)+$I$4))),TREND($E51:$F51,$E$9:$F$9,AC$9))</f>
        <v>0</v>
      </c>
      <c r="AD51" s="27">
        <f>IF($G51="s-curve",$E51+($F51-$E51)*$I$2/(1+EXP($I$3*(COUNT($I$9:AD$9)+$I$4))),TREND($E51:$F51,$E$9:$F$9,AD$9))</f>
        <v>0</v>
      </c>
      <c r="AE51" s="27">
        <f>IF($G51="s-curve",$E51+($F51-$E51)*$I$2/(1+EXP($I$3*(COUNT($I$9:AE$9)+$I$4))),TREND($E51:$F51,$E$9:$F$9,AE$9))</f>
        <v>0</v>
      </c>
      <c r="AF51" s="27">
        <f>IF($G51="s-curve",$E51+($F51-$E51)*$I$2/(1+EXP($I$3*(COUNT($I$9:AF$9)+$I$4))),TREND($E51:$F51,$E$9:$F$9,AF$9))</f>
        <v>0</v>
      </c>
      <c r="AG51" s="27">
        <f>IF($G51="s-curve",$E51+($F51-$E51)*$I$2/(1+EXP($I$3*(COUNT($I$9:AG$9)+$I$4))),TREND($E51:$F51,$E$9:$F$9,AG$9))</f>
        <v>0</v>
      </c>
      <c r="AH51" s="27">
        <f>IF($G51="s-curve",$E51+($F51-$E51)*$I$2/(1+EXP($I$3*(COUNT($I$9:AH$9)+$I$4))),TREND($E51:$F51,$E$9:$F$9,AH$9))</f>
        <v>0</v>
      </c>
      <c r="AI51" s="27">
        <f>IF($G51="s-curve",$E51+($F51-$E51)*$I$2/(1+EXP($I$3*(COUNT($I$9:AI$9)+$I$4))),TREND($E51:$F51,$E$9:$F$9,AI$9))</f>
        <v>0</v>
      </c>
      <c r="AJ51" s="27">
        <f>IF($G51="s-curve",$E51+($F51-$E51)*$I$2/(1+EXP($I$3*(COUNT($I$9:AJ$9)+$I$4))),TREND($E51:$F51,$E$9:$F$9,AJ$9))</f>
        <v>0</v>
      </c>
      <c r="AK51" s="27">
        <f>IF($G51="s-curve",$E51+($F51-$E51)*$I$2/(1+EXP($I$3*(COUNT($I$9:AK$9)+$I$4))),TREND($E51:$F51,$E$9:$F$9,AK$9))</f>
        <v>0</v>
      </c>
      <c r="AL51" s="27">
        <f>IF($G51="s-curve",$E51+($F51-$E51)*$I$2/(1+EXP($I$3*(COUNT($I$9:AL$9)+$I$4))),TREND($E51:$F51,$E$9:$F$9,AL$9))</f>
        <v>0</v>
      </c>
      <c r="AM51" s="27">
        <f>IF($G51="s-curve",$E51+($F51-$E51)*$I$2/(1+EXP($I$3*(COUNT($I$9:AM$9)+$I$4))),TREND($E51:$F51,$E$9:$F$9,AM$9))</f>
        <v>0</v>
      </c>
      <c r="AN51" s="27">
        <f>IF($G51="s-curve",$E51+($F51-$E51)*$I$2/(1+EXP($I$3*(COUNT($I$9:AN$9)+$I$4))),TREND($E51:$F51,$E$9:$F$9,AN$9))</f>
        <v>0</v>
      </c>
      <c r="AO51" s="27">
        <f>IF($G51="s-curve",$E51+($F51-$E51)*$I$2/(1+EXP($I$3*(COUNT($I$9:AO$9)+$I$4))),TREND($E51:$F51,$E$9:$F$9,AO$9))</f>
        <v>0</v>
      </c>
      <c r="AP51" s="27">
        <f>IF($G51="s-curve",$E51+($F51-$E51)*$I$2/(1+EXP($I$3*(COUNT($I$9:AP$9)+$I$4))),TREND($E51:$F51,$E$9:$F$9,AP$9))</f>
        <v>0</v>
      </c>
      <c r="AQ51" s="27">
        <f>IF($G51="s-curve",$E51+($F51-$E51)*$I$2/(1+EXP($I$3*(COUNT($I$9:AQ$9)+$I$4))),TREND($E51:$F51,$E$9:$F$9,AQ$9))</f>
        <v>0</v>
      </c>
      <c r="AR51" s="27">
        <f>IF($G51="s-curve",$E51+($F51-$E51)*$I$2/(1+EXP($I$3*(COUNT($I$9:AR$9)+$I$4))),TREND($E51:$F51,$E$9:$F$9,AR$9))</f>
        <v>0</v>
      </c>
      <c r="AS51" s="27">
        <f>IF($G51="s-curve",$E51+($F51-$E51)*$I$2/(1+EXP($I$3*(COUNT($I$9:AS$9)+$I$4))),TREND($E51:$F51,$E$9:$F$9,AS$9))</f>
        <v>0</v>
      </c>
      <c r="AT51" s="27">
        <f>IF($G51="s-curve",$E51+($F51-$E51)*$I$2/(1+EXP($I$3*(COUNT($I$9:AT$9)+$I$4))),TREND($E51:$F51,$E$9:$F$9,AT$9))</f>
        <v>0</v>
      </c>
      <c r="AU51" s="27">
        <f>IF($G51="s-curve",$E51+($F51-$E51)*$I$2/(1+EXP($I$3*(COUNT($I$9:AU$9)+$I$4))),TREND($E51:$F51,$E$9:$F$9,AU$9))</f>
        <v>0</v>
      </c>
      <c r="AV51" s="27">
        <f>IF($G51="s-curve",$E51+($F51-$E51)*$I$2/(1+EXP($I$3*(COUNT($I$9:AV$9)+$I$4))),TREND($E51:$F51,$E$9:$F$9,AV$9))</f>
        <v>0</v>
      </c>
      <c r="AW51" s="27">
        <f>IF($G51="s-curve",$E51+($F51-$E51)*$I$2/(1+EXP($I$3*(COUNT($I$9:AW$9)+$I$4))),TREND($E51:$F51,$E$9:$F$9,AW$9))</f>
        <v>0</v>
      </c>
      <c r="AX51" s="27">
        <f>IF($G51="s-curve",$E51+($F51-$E51)*$I$2/(1+EXP($I$3*(COUNT($I$9:AX$9)+$I$4))),TREND($E51:$F51,$E$9:$F$9,AX$9))</f>
        <v>0</v>
      </c>
      <c r="AY51" s="27">
        <f>IF($G51="s-curve",$E51+($F51-$E51)*$I$2/(1+EXP($I$3*(COUNT($I$9:AY$9)+$I$4))),TREND($E51:$F51,$E$9:$F$9,AY$9))</f>
        <v>0</v>
      </c>
      <c r="AZ51" s="27">
        <f>IF($G51="s-curve",$E51+($F51-$E51)*$I$2/(1+EXP($I$3*(COUNT($I$9:AZ$9)+$I$4))),TREND($E51:$F51,$E$9:$F$9,AZ$9))</f>
        <v>0</v>
      </c>
      <c r="BA51" s="27">
        <f>IF($G51="s-curve",$E51+($F51-$E51)*$I$2/(1+EXP($I$3*(COUNT($I$9:BA$9)+$I$4))),TREND($E51:$F51,$E$9:$F$9,BA$9))</f>
        <v>0</v>
      </c>
      <c r="BB51" s="27">
        <f>IF($G51="s-curve",$E51+($F51-$E51)*$I$2/(1+EXP($I$3*(COUNT($I$9:BB$9)+$I$4))),TREND($E51:$F51,$E$9:$F$9,BB$9))</f>
        <v>0</v>
      </c>
      <c r="BC51" s="27">
        <f>IF($G51="s-curve",$E51+($F51-$E51)*$I$2/(1+EXP($I$3*(COUNT($I$9:BC$9)+$I$4))),TREND($E51:$F51,$E$9:$F$9,BC$9))</f>
        <v>0</v>
      </c>
      <c r="BD51" s="27">
        <f>IF($G51="s-curve",$E51+($F51-$E51)*$I$2/(1+EXP($I$3*(COUNT($I$9:BD$9)+$I$4))),TREND($E51:$F51,$E$9:$F$9,BD$9))</f>
        <v>0</v>
      </c>
      <c r="BE51" s="27">
        <f>IF($G51="s-curve",$E51+($F51-$E51)*$I$2/(1+EXP($I$3*(COUNT($I$9:BE$9)+$I$4))),TREND($E51:$F51,$E$9:$F$9,BE$9))</f>
        <v>0</v>
      </c>
      <c r="BF51" s="27">
        <f>IF($G51="s-curve",$E51+($F51-$E51)*$I$2/(1+EXP($I$3*(COUNT($I$9:BF$9)+$I$4))),TREND($E51:$F51,$E$9:$F$9,BF$9))</f>
        <v>0</v>
      </c>
    </row>
    <row r="52" spans="1:58" x14ac:dyDescent="0.75">
      <c r="A52" t="s">
        <v>15</v>
      </c>
      <c r="B52" t="s">
        <v>19</v>
      </c>
      <c r="C52" t="s">
        <v>1</v>
      </c>
      <c r="D52" s="26">
        <f>E52</f>
        <v>0.93664816810144857</v>
      </c>
      <c r="E52" s="26">
        <f>'SYVbT-passenger'!B5/SUM('SYVbT-passenger'!B5:H5)</f>
        <v>0.93664816810144857</v>
      </c>
      <c r="F52" s="26">
        <v>1</v>
      </c>
      <c r="G52" s="29" t="str">
        <f>IF(E52=F52,"n/a",IF(OR(C52="battery electric vehicle",C52="natural gas vehicle",C52="plugin hybrid vehicle"),"s-curve","linear"))</f>
        <v>s-curve</v>
      </c>
      <c r="I52" s="27">
        <f t="shared" si="12"/>
        <v>0.93664816810144857</v>
      </c>
      <c r="J52" s="27">
        <f>IFERROR(_xlfn.FORECAST.ETS(J$9,$D52:$E52,$D$9:$E$9,1),0)</f>
        <v>0.93664816810144857</v>
      </c>
      <c r="K52" s="27">
        <f t="shared" si="13"/>
        <v>0.93664816810144857</v>
      </c>
      <c r="L52" s="27">
        <f t="shared" si="13"/>
        <v>0.93664816810144857</v>
      </c>
      <c r="M52" s="27">
        <f>IF($G52="s-curve",$E52+($F52-$E52)*$I$2/(1+EXP($I$3*(COUNT($I$9:M$9)+$I$4))),TREND($E52:$F52,$E$9:$F$9,M$9))</f>
        <v>0.93890166810468023</v>
      </c>
      <c r="N52" s="27">
        <f>IF($G52="s-curve",$E52+($F52-$E52)*$I$2/(1+EXP($I$3*(COUNT($I$9:N$9)+$I$4))),TREND($E52:$F52,$E$9:$F$9,N$9))</f>
        <v>0.93965268404663582</v>
      </c>
      <c r="O52" s="27">
        <f>IF($G52="s-curve",$E52+($F52-$E52)*$I$2/(1+EXP($I$3*(COUNT($I$9:O$9)+$I$4))),TREND($E52:$F52,$E$9:$F$9,O$9))</f>
        <v>0.94063764556845908</v>
      </c>
      <c r="P52" s="27">
        <f>IF($G52="s-curve",$E52+($F52-$E52)*$I$2/(1+EXP($I$3*(COUNT($I$9:P$9)+$I$4))),TREND($E52:$F52,$E$9:$F$9,P$9))</f>
        <v>0.94191731078828078</v>
      </c>
      <c r="Q52" s="27">
        <f>IF($G52="s-curve",$E52+($F52-$E52)*$I$2/(1+EXP($I$3*(COUNT($I$9:Q$9)+$I$4))),TREND($E52:$F52,$E$9:$F$9,Q$9))</f>
        <v>0.94355965157849941</v>
      </c>
      <c r="R52" s="27">
        <f>IF($G52="s-curve",$E52+($F52-$E52)*$I$2/(1+EXP($I$3*(COUNT($I$9:R$9)+$I$4))),TREND($E52:$F52,$E$9:$F$9,R$9))</f>
        <v>0.94563469291965474</v>
      </c>
      <c r="S52" s="27">
        <f>IF($G52="s-curve",$E52+($F52-$E52)*$I$2/(1+EXP($I$3*(COUNT($I$9:S$9)+$I$4))),TREND($E52:$F52,$E$9:$F$9,S$9))</f>
        <v>0.94820515921963411</v>
      </c>
      <c r="T52" s="27">
        <f>IF($G52="s-curve",$E52+($F52-$E52)*$I$2/(1+EXP($I$3*(COUNT($I$9:T$9)+$I$4))),TREND($E52:$F52,$E$9:$F$9,T$9))</f>
        <v>0.95131254710589963</v>
      </c>
      <c r="U52" s="27">
        <f>IF($G52="s-curve",$E52+($F52-$E52)*$I$2/(1+EXP($I$3*(COUNT($I$9:U$9)+$I$4))),TREND($E52:$F52,$E$9:$F$9,U$9))</f>
        <v>0.95496004662134204</v>
      </c>
      <c r="V52" s="27">
        <f>IF($G52="s-curve",$E52+($F52-$E52)*$I$2/(1+EXP($I$3*(COUNT($I$9:V$9)+$I$4))),TREND($E52:$F52,$E$9:$F$9,V$9))</f>
        <v>0.95909649022374377</v>
      </c>
      <c r="W52" s="27">
        <f>IF($G52="s-curve",$E52+($F52-$E52)*$I$2/(1+EXP($I$3*(COUNT($I$9:W$9)+$I$4))),TREND($E52:$F52,$E$9:$F$9,W$9))</f>
        <v>0.96360801423956699</v>
      </c>
      <c r="X52" s="27">
        <f>IF($G52="s-curve",$E52+($F52-$E52)*$I$2/(1+EXP($I$3*(COUNT($I$9:X$9)+$I$4))),TREND($E52:$F52,$E$9:$F$9,X$9))</f>
        <v>0.96832408405072434</v>
      </c>
      <c r="Y52" s="27">
        <f>IF($G52="s-curve",$E52+($F52-$E52)*$I$2/(1+EXP($I$3*(COUNT($I$9:Y$9)+$I$4))),TREND($E52:$F52,$E$9:$F$9,Y$9))</f>
        <v>0.97304015386188158</v>
      </c>
      <c r="Z52" s="27">
        <f>IF($G52="s-curve",$E52+($F52-$E52)*$I$2/(1+EXP($I$3*(COUNT($I$9:Z$9)+$I$4))),TREND($E52:$F52,$E$9:$F$9,Z$9))</f>
        <v>0.97755167787770481</v>
      </c>
      <c r="AA52" s="27">
        <f>IF($G52="s-curve",$E52+($F52-$E52)*$I$2/(1+EXP($I$3*(COUNT($I$9:AA$9)+$I$4))),TREND($E52:$F52,$E$9:$F$9,AA$9))</f>
        <v>0.98168812148010653</v>
      </c>
      <c r="AB52" s="27">
        <f>IF($G52="s-curve",$E52+($F52-$E52)*$I$2/(1+EXP($I$3*(COUNT($I$9:AB$9)+$I$4))),TREND($E52:$F52,$E$9:$F$9,AB$9))</f>
        <v>0.98533562099554894</v>
      </c>
      <c r="AC52" s="27">
        <f>IF($G52="s-curve",$E52+($F52-$E52)*$I$2/(1+EXP($I$3*(COUNT($I$9:AC$9)+$I$4))),TREND($E52:$F52,$E$9:$F$9,AC$9))</f>
        <v>0.98844300888181458</v>
      </c>
      <c r="AD52" s="27">
        <f>IF($G52="s-curve",$E52+($F52-$E52)*$I$2/(1+EXP($I$3*(COUNT($I$9:AD$9)+$I$4))),TREND($E52:$F52,$E$9:$F$9,AD$9))</f>
        <v>0.99101347518179383</v>
      </c>
      <c r="AE52" s="27">
        <f>IF($G52="s-curve",$E52+($F52-$E52)*$I$2/(1+EXP($I$3*(COUNT($I$9:AE$9)+$I$4))),TREND($E52:$F52,$E$9:$F$9,AE$9))</f>
        <v>0.99308851652294916</v>
      </c>
      <c r="AF52" s="27">
        <f>IF($G52="s-curve",$E52+($F52-$E52)*$I$2/(1+EXP($I$3*(COUNT($I$9:AF$9)+$I$4))),TREND($E52:$F52,$E$9:$F$9,AF$9))</f>
        <v>0.99473085731316779</v>
      </c>
      <c r="AG52" s="27">
        <f>IF($G52="s-curve",$E52+($F52-$E52)*$I$2/(1+EXP($I$3*(COUNT($I$9:AG$9)+$I$4))),TREND($E52:$F52,$E$9:$F$9,AG$9))</f>
        <v>0.9960105225329895</v>
      </c>
      <c r="AH52" s="27">
        <f>IF($G52="s-curve",$E52+($F52-$E52)*$I$2/(1+EXP($I$3*(COUNT($I$9:AH$9)+$I$4))),TREND($E52:$F52,$E$9:$F$9,AH$9))</f>
        <v>0.99699548405481275</v>
      </c>
      <c r="AI52" s="27">
        <f>IF($G52="s-curve",$E52+($F52-$E52)*$I$2/(1+EXP($I$3*(COUNT($I$9:AI$9)+$I$4))),TREND($E52:$F52,$E$9:$F$9,AI$9))</f>
        <v>0.99774649999676845</v>
      </c>
      <c r="AJ52" s="27">
        <f>IF($G52="s-curve",$E52+($F52-$E52)*$I$2/(1+EXP($I$3*(COUNT($I$9:AJ$9)+$I$4))),TREND($E52:$F52,$E$9:$F$9,AJ$9))</f>
        <v>0.99831503173391156</v>
      </c>
      <c r="AK52" s="27">
        <f>IF($G52="s-curve",$E52+($F52-$E52)*$I$2/(1+EXP($I$3*(COUNT($I$9:AK$9)+$I$4))),TREND($E52:$F52,$E$9:$F$9,AK$9))</f>
        <v>0.99874308028631886</v>
      </c>
      <c r="AL52" s="27">
        <f>IF($G52="s-curve",$E52+($F52-$E52)*$I$2/(1+EXP($I$3*(COUNT($I$9:AL$9)+$I$4))),TREND($E52:$F52,$E$9:$F$9,AL$9))</f>
        <v>0.99906403802770394</v>
      </c>
      <c r="AM52" s="27">
        <f>IF($G52="s-curve",$E52+($F52-$E52)*$I$2/(1+EXP($I$3*(COUNT($I$9:AM$9)+$I$4))),TREND($E52:$F52,$E$9:$F$9,AM$9))</f>
        <v>0.99930395705738762</v>
      </c>
      <c r="AN52" s="27">
        <f>IF($G52="s-curve",$E52+($F52-$E52)*$I$2/(1+EXP($I$3*(COUNT($I$9:AN$9)+$I$4))),TREND($E52:$F52,$E$9:$F$9,AN$9))</f>
        <v>0.99948288616444503</v>
      </c>
      <c r="AO52" s="27">
        <f>IF($G52="s-curve",$E52+($F52-$E52)*$I$2/(1+EXP($I$3*(COUNT($I$9:AO$9)+$I$4))),TREND($E52:$F52,$E$9:$F$9,AO$9))</f>
        <v>0.9996161004745665</v>
      </c>
      <c r="AP52" s="27">
        <f>IF($G52="s-curve",$E52+($F52-$E52)*$I$2/(1+EXP($I$3*(COUNT($I$9:AP$9)+$I$4))),TREND($E52:$F52,$E$9:$F$9,AP$9))</f>
        <v>0.99971515285853807</v>
      </c>
      <c r="AQ52" s="27">
        <f>IF($G52="s-curve",$E52+($F52-$E52)*$I$2/(1+EXP($I$3*(COUNT($I$9:AQ$9)+$I$4))),TREND($E52:$F52,$E$9:$F$9,AQ$9))</f>
        <v>0.99978873384804667</v>
      </c>
      <c r="AR52" s="27">
        <f>IF($G52="s-curve",$E52+($F52-$E52)*$I$2/(1+EXP($I$3*(COUNT($I$9:AR$9)+$I$4))),TREND($E52:$F52,$E$9:$F$9,AR$9))</f>
        <v>0.99984335479343245</v>
      </c>
      <c r="AS52" s="27">
        <f>IF($G52="s-curve",$E52+($F52-$E52)*$I$2/(1+EXP($I$3*(COUNT($I$9:AS$9)+$I$4))),TREND($E52:$F52,$E$9:$F$9,AS$9))</f>
        <v>0.99988387996023487</v>
      </c>
      <c r="AT52" s="27">
        <f>IF($G52="s-curve",$E52+($F52-$E52)*$I$2/(1+EXP($I$3*(COUNT($I$9:AT$9)+$I$4))),TREND($E52:$F52,$E$9:$F$9,AT$9))</f>
        <v>0.99991393527246963</v>
      </c>
      <c r="AU52" s="27">
        <f>IF($G52="s-curve",$E52+($F52-$E52)*$I$2/(1+EXP($I$3*(COUNT($I$9:AU$9)+$I$4))),TREND($E52:$F52,$E$9:$F$9,AU$9))</f>
        <v>0.99993621922424558</v>
      </c>
      <c r="AV52" s="27">
        <f>IF($G52="s-curve",$E52+($F52-$E52)*$I$2/(1+EXP($I$3*(COUNT($I$9:AV$9)+$I$4))),TREND($E52:$F52,$E$9:$F$9,AV$9))</f>
        <v>0.99995273770672732</v>
      </c>
      <c r="AW52" s="27">
        <f>IF($G52="s-curve",$E52+($F52-$E52)*$I$2/(1+EXP($I$3*(COUNT($I$9:AW$9)+$I$4))),TREND($E52:$F52,$E$9:$F$9,AW$9))</f>
        <v>0.99996498046071647</v>
      </c>
      <c r="AX52" s="27">
        <f>IF($G52="s-curve",$E52+($F52-$E52)*$I$2/(1+EXP($I$3*(COUNT($I$9:AX$9)+$I$4))),TREND($E52:$F52,$E$9:$F$9,AX$9))</f>
        <v>0.99997405316981269</v>
      </c>
      <c r="AY52" s="27">
        <f>IF($G52="s-curve",$E52+($F52-$E52)*$I$2/(1+EXP($I$3*(COUNT($I$9:AY$9)+$I$4))),TREND($E52:$F52,$E$9:$F$9,AY$9))</f>
        <v>0.99998077607476354</v>
      </c>
      <c r="AZ52" s="27">
        <f>IF($G52="s-curve",$E52+($F52-$E52)*$I$2/(1+EXP($I$3*(COUNT($I$9:AZ$9)+$I$4))),TREND($E52:$F52,$E$9:$F$9,AZ$9))</f>
        <v>0.99998575744576423</v>
      </c>
      <c r="BA52" s="27">
        <f>IF($G52="s-curve",$E52+($F52-$E52)*$I$2/(1+EXP($I$3*(COUNT($I$9:BA$9)+$I$4))),TREND($E52:$F52,$E$9:$F$9,BA$9))</f>
        <v>0.99998944824147884</v>
      </c>
      <c r="BB52" s="27">
        <f>IF($G52="s-curve",$E52+($F52-$E52)*$I$2/(1+EXP($I$3*(COUNT($I$9:BB$9)+$I$4))),TREND($E52:$F52,$E$9:$F$9,BB$9))</f>
        <v>0.99999218272756496</v>
      </c>
      <c r="BC52" s="27">
        <f>IF($G52="s-curve",$E52+($F52-$E52)*$I$2/(1+EXP($I$3*(COUNT($I$9:BC$9)+$I$4))),TREND($E52:$F52,$E$9:$F$9,BC$9))</f>
        <v>0.9999942086369269</v>
      </c>
      <c r="BD52" s="27">
        <f>IF($G52="s-curve",$E52+($F52-$E52)*$I$2/(1+EXP($I$3*(COUNT($I$9:BD$9)+$I$4))),TREND($E52:$F52,$E$9:$F$9,BD$9))</f>
        <v>0.99999570955105788</v>
      </c>
      <c r="BE52" s="27">
        <f>IF($G52="s-curve",$E52+($F52-$E52)*$I$2/(1+EXP($I$3*(COUNT($I$9:BE$9)+$I$4))),TREND($E52:$F52,$E$9:$F$9,BE$9))</f>
        <v>0.99999682150145697</v>
      </c>
      <c r="BF52" s="27">
        <f>IF($G52="s-curve",$E52+($F52-$E52)*$I$2/(1+EXP($I$3*(COUNT($I$9:BF$9)+$I$4))),TREND($E52:$F52,$E$9:$F$9,BF$9))</f>
        <v>0.99999764527974477</v>
      </c>
    </row>
    <row r="53" spans="1:58" x14ac:dyDescent="0.75">
      <c r="C53" t="s">
        <v>2</v>
      </c>
      <c r="D53" s="26">
        <f t="shared" ref="D53:D79" si="14">E53</f>
        <v>0</v>
      </c>
      <c r="E53" s="26">
        <v>0</v>
      </c>
      <c r="F53" s="26">
        <v>0</v>
      </c>
      <c r="G53" s="29" t="str">
        <f>IF(E53=F53,"n/a",IF(OR(C53="battery electric vehicle",C53="natural gas vehicle",C53="plugin hybrid vehicle"),"s-curve","linear"))</f>
        <v>n/a</v>
      </c>
      <c r="I53" s="27">
        <f t="shared" si="12"/>
        <v>0</v>
      </c>
      <c r="J53" s="27">
        <f t="shared" si="13"/>
        <v>0</v>
      </c>
      <c r="K53" s="27">
        <f t="shared" si="13"/>
        <v>0</v>
      </c>
      <c r="L53" s="27">
        <f t="shared" si="13"/>
        <v>0</v>
      </c>
      <c r="M53" s="27">
        <f>IF($G53="s-curve",$E53+($F53-$E53)*$I$2/(1+EXP($I$3*(COUNT($I$9:M$9)+$I$4))),TREND($E53:$F53,$E$9:$F$9,M$9))</f>
        <v>0</v>
      </c>
      <c r="N53" s="27">
        <f>IF($G53="s-curve",$E53+($F53-$E53)*$I$2/(1+EXP($I$3*(COUNT($I$9:N$9)+$I$4))),TREND($E53:$F53,$E$9:$F$9,N$9))</f>
        <v>0</v>
      </c>
      <c r="O53" s="27">
        <f>IF($G53="s-curve",$E53+($F53-$E53)*$I$2/(1+EXP($I$3*(COUNT($I$9:O$9)+$I$4))),TREND($E53:$F53,$E$9:$F$9,O$9))</f>
        <v>0</v>
      </c>
      <c r="P53" s="27">
        <f>IF($G53="s-curve",$E53+($F53-$E53)*$I$2/(1+EXP($I$3*(COUNT($I$9:P$9)+$I$4))),TREND($E53:$F53,$E$9:$F$9,P$9))</f>
        <v>0</v>
      </c>
      <c r="Q53" s="27">
        <f>IF($G53="s-curve",$E53+($F53-$E53)*$I$2/(1+EXP($I$3*(COUNT($I$9:Q$9)+$I$4))),TREND($E53:$F53,$E$9:$F$9,Q$9))</f>
        <v>0</v>
      </c>
      <c r="R53" s="27">
        <f>IF($G53="s-curve",$E53+($F53-$E53)*$I$2/(1+EXP($I$3*(COUNT($I$9:R$9)+$I$4))),TREND($E53:$F53,$E$9:$F$9,R$9))</f>
        <v>0</v>
      </c>
      <c r="S53" s="27">
        <f>IF($G53="s-curve",$E53+($F53-$E53)*$I$2/(1+EXP($I$3*(COUNT($I$9:S$9)+$I$4))),TREND($E53:$F53,$E$9:$F$9,S$9))</f>
        <v>0</v>
      </c>
      <c r="T53" s="27">
        <f>IF($G53="s-curve",$E53+($F53-$E53)*$I$2/(1+EXP($I$3*(COUNT($I$9:T$9)+$I$4))),TREND($E53:$F53,$E$9:$F$9,T$9))</f>
        <v>0</v>
      </c>
      <c r="U53" s="27">
        <f>IF($G53="s-curve",$E53+($F53-$E53)*$I$2/(1+EXP($I$3*(COUNT($I$9:U$9)+$I$4))),TREND($E53:$F53,$E$9:$F$9,U$9))</f>
        <v>0</v>
      </c>
      <c r="V53" s="27">
        <f>IF($G53="s-curve",$E53+($F53-$E53)*$I$2/(1+EXP($I$3*(COUNT($I$9:V$9)+$I$4))),TREND($E53:$F53,$E$9:$F$9,V$9))</f>
        <v>0</v>
      </c>
      <c r="W53" s="27">
        <f>IF($G53="s-curve",$E53+($F53-$E53)*$I$2/(1+EXP($I$3*(COUNT($I$9:W$9)+$I$4))),TREND($E53:$F53,$E$9:$F$9,W$9))</f>
        <v>0</v>
      </c>
      <c r="X53" s="27">
        <f>IF($G53="s-curve",$E53+($F53-$E53)*$I$2/(1+EXP($I$3*(COUNT($I$9:X$9)+$I$4))),TREND($E53:$F53,$E$9:$F$9,X$9))</f>
        <v>0</v>
      </c>
      <c r="Y53" s="27">
        <f>IF($G53="s-curve",$E53+($F53-$E53)*$I$2/(1+EXP($I$3*(COUNT($I$9:Y$9)+$I$4))),TREND($E53:$F53,$E$9:$F$9,Y$9))</f>
        <v>0</v>
      </c>
      <c r="Z53" s="27">
        <f>IF($G53="s-curve",$E53+($F53-$E53)*$I$2/(1+EXP($I$3*(COUNT($I$9:Z$9)+$I$4))),TREND($E53:$F53,$E$9:$F$9,Z$9))</f>
        <v>0</v>
      </c>
      <c r="AA53" s="27">
        <f>IF($G53="s-curve",$E53+($F53-$E53)*$I$2/(1+EXP($I$3*(COUNT($I$9:AA$9)+$I$4))),TREND($E53:$F53,$E$9:$F$9,AA$9))</f>
        <v>0</v>
      </c>
      <c r="AB53" s="27">
        <f>IF($G53="s-curve",$E53+($F53-$E53)*$I$2/(1+EXP($I$3*(COUNT($I$9:AB$9)+$I$4))),TREND($E53:$F53,$E$9:$F$9,AB$9))</f>
        <v>0</v>
      </c>
      <c r="AC53" s="27">
        <f>IF($G53="s-curve",$E53+($F53-$E53)*$I$2/(1+EXP($I$3*(COUNT($I$9:AC$9)+$I$4))),TREND($E53:$F53,$E$9:$F$9,AC$9))</f>
        <v>0</v>
      </c>
      <c r="AD53" s="27">
        <f>IF($G53="s-curve",$E53+($F53-$E53)*$I$2/(1+EXP($I$3*(COUNT($I$9:AD$9)+$I$4))),TREND($E53:$F53,$E$9:$F$9,AD$9))</f>
        <v>0</v>
      </c>
      <c r="AE53" s="27">
        <f>IF($G53="s-curve",$E53+($F53-$E53)*$I$2/(1+EXP($I$3*(COUNT($I$9:AE$9)+$I$4))),TREND($E53:$F53,$E$9:$F$9,AE$9))</f>
        <v>0</v>
      </c>
      <c r="AF53" s="27">
        <f>IF($G53="s-curve",$E53+($F53-$E53)*$I$2/(1+EXP($I$3*(COUNT($I$9:AF$9)+$I$4))),TREND($E53:$F53,$E$9:$F$9,AF$9))</f>
        <v>0</v>
      </c>
      <c r="AG53" s="27">
        <f>IF($G53="s-curve",$E53+($F53-$E53)*$I$2/(1+EXP($I$3*(COUNT($I$9:AG$9)+$I$4))),TREND($E53:$F53,$E$9:$F$9,AG$9))</f>
        <v>0</v>
      </c>
      <c r="AH53" s="27">
        <f>IF($G53="s-curve",$E53+($F53-$E53)*$I$2/(1+EXP($I$3*(COUNT($I$9:AH$9)+$I$4))),TREND($E53:$F53,$E$9:$F$9,AH$9))</f>
        <v>0</v>
      </c>
      <c r="AI53" s="27">
        <f>IF($G53="s-curve",$E53+($F53-$E53)*$I$2/(1+EXP($I$3*(COUNT($I$9:AI$9)+$I$4))),TREND($E53:$F53,$E$9:$F$9,AI$9))</f>
        <v>0</v>
      </c>
      <c r="AJ53" s="27">
        <f>IF($G53="s-curve",$E53+($F53-$E53)*$I$2/(1+EXP($I$3*(COUNT($I$9:AJ$9)+$I$4))),TREND($E53:$F53,$E$9:$F$9,AJ$9))</f>
        <v>0</v>
      </c>
      <c r="AK53" s="27">
        <f>IF($G53="s-curve",$E53+($F53-$E53)*$I$2/(1+EXP($I$3*(COUNT($I$9:AK$9)+$I$4))),TREND($E53:$F53,$E$9:$F$9,AK$9))</f>
        <v>0</v>
      </c>
      <c r="AL53" s="27">
        <f>IF($G53="s-curve",$E53+($F53-$E53)*$I$2/(1+EXP($I$3*(COUNT($I$9:AL$9)+$I$4))),TREND($E53:$F53,$E$9:$F$9,AL$9))</f>
        <v>0</v>
      </c>
      <c r="AM53" s="27">
        <f>IF($G53="s-curve",$E53+($F53-$E53)*$I$2/(1+EXP($I$3*(COUNT($I$9:AM$9)+$I$4))),TREND($E53:$F53,$E$9:$F$9,AM$9))</f>
        <v>0</v>
      </c>
      <c r="AN53" s="27">
        <f>IF($G53="s-curve",$E53+($F53-$E53)*$I$2/(1+EXP($I$3*(COUNT($I$9:AN$9)+$I$4))),TREND($E53:$F53,$E$9:$F$9,AN$9))</f>
        <v>0</v>
      </c>
      <c r="AO53" s="27">
        <f>IF($G53="s-curve",$E53+($F53-$E53)*$I$2/(1+EXP($I$3*(COUNT($I$9:AO$9)+$I$4))),TREND($E53:$F53,$E$9:$F$9,AO$9))</f>
        <v>0</v>
      </c>
      <c r="AP53" s="27">
        <f>IF($G53="s-curve",$E53+($F53-$E53)*$I$2/(1+EXP($I$3*(COUNT($I$9:AP$9)+$I$4))),TREND($E53:$F53,$E$9:$F$9,AP$9))</f>
        <v>0</v>
      </c>
      <c r="AQ53" s="27">
        <f>IF($G53="s-curve",$E53+($F53-$E53)*$I$2/(1+EXP($I$3*(COUNT($I$9:AQ$9)+$I$4))),TREND($E53:$F53,$E$9:$F$9,AQ$9))</f>
        <v>0</v>
      </c>
      <c r="AR53" s="27">
        <f>IF($G53="s-curve",$E53+($F53-$E53)*$I$2/(1+EXP($I$3*(COUNT($I$9:AR$9)+$I$4))),TREND($E53:$F53,$E$9:$F$9,AR$9))</f>
        <v>0</v>
      </c>
      <c r="AS53" s="27">
        <f>IF($G53="s-curve",$E53+($F53-$E53)*$I$2/(1+EXP($I$3*(COUNT($I$9:AS$9)+$I$4))),TREND($E53:$F53,$E$9:$F$9,AS$9))</f>
        <v>0</v>
      </c>
      <c r="AT53" s="27">
        <f>IF($G53="s-curve",$E53+($F53-$E53)*$I$2/(1+EXP($I$3*(COUNT($I$9:AT$9)+$I$4))),TREND($E53:$F53,$E$9:$F$9,AT$9))</f>
        <v>0</v>
      </c>
      <c r="AU53" s="27">
        <f>IF($G53="s-curve",$E53+($F53-$E53)*$I$2/(1+EXP($I$3*(COUNT($I$9:AU$9)+$I$4))),TREND($E53:$F53,$E$9:$F$9,AU$9))</f>
        <v>0</v>
      </c>
      <c r="AV53" s="27">
        <f>IF($G53="s-curve",$E53+($F53-$E53)*$I$2/(1+EXP($I$3*(COUNT($I$9:AV$9)+$I$4))),TREND($E53:$F53,$E$9:$F$9,AV$9))</f>
        <v>0</v>
      </c>
      <c r="AW53" s="27">
        <f>IF($G53="s-curve",$E53+($F53-$E53)*$I$2/(1+EXP($I$3*(COUNT($I$9:AW$9)+$I$4))),TREND($E53:$F53,$E$9:$F$9,AW$9))</f>
        <v>0</v>
      </c>
      <c r="AX53" s="27">
        <f>IF($G53="s-curve",$E53+($F53-$E53)*$I$2/(1+EXP($I$3*(COUNT($I$9:AX$9)+$I$4))),TREND($E53:$F53,$E$9:$F$9,AX$9))</f>
        <v>0</v>
      </c>
      <c r="AY53" s="27">
        <f>IF($G53="s-curve",$E53+($F53-$E53)*$I$2/(1+EXP($I$3*(COUNT($I$9:AY$9)+$I$4))),TREND($E53:$F53,$E$9:$F$9,AY$9))</f>
        <v>0</v>
      </c>
      <c r="AZ53" s="27">
        <f>IF($G53="s-curve",$E53+($F53-$E53)*$I$2/(1+EXP($I$3*(COUNT($I$9:AZ$9)+$I$4))),TREND($E53:$F53,$E$9:$F$9,AZ$9))</f>
        <v>0</v>
      </c>
      <c r="BA53" s="27">
        <f>IF($G53="s-curve",$E53+($F53-$E53)*$I$2/(1+EXP($I$3*(COUNT($I$9:BA$9)+$I$4))),TREND($E53:$F53,$E$9:$F$9,BA$9))</f>
        <v>0</v>
      </c>
      <c r="BB53" s="27">
        <f>IF($G53="s-curve",$E53+($F53-$E53)*$I$2/(1+EXP($I$3*(COUNT($I$9:BB$9)+$I$4))),TREND($E53:$F53,$E$9:$F$9,BB$9))</f>
        <v>0</v>
      </c>
      <c r="BC53" s="27">
        <f>IF($G53="s-curve",$E53+($F53-$E53)*$I$2/(1+EXP($I$3*(COUNT($I$9:BC$9)+$I$4))),TREND($E53:$F53,$E$9:$F$9,BC$9))</f>
        <v>0</v>
      </c>
      <c r="BD53" s="27">
        <f>IF($G53="s-curve",$E53+($F53-$E53)*$I$2/(1+EXP($I$3*(COUNT($I$9:BD$9)+$I$4))),TREND($E53:$F53,$E$9:$F$9,BD$9))</f>
        <v>0</v>
      </c>
      <c r="BE53" s="27">
        <f>IF($G53="s-curve",$E53+($F53-$E53)*$I$2/(1+EXP($I$3*(COUNT($I$9:BE$9)+$I$4))),TREND($E53:$F53,$E$9:$F$9,BE$9))</f>
        <v>0</v>
      </c>
      <c r="BF53" s="27">
        <f>IF($G53="s-curve",$E53+($F53-$E53)*$I$2/(1+EXP($I$3*(COUNT($I$9:BF$9)+$I$4))),TREND($E53:$F53,$E$9:$F$9,BF$9))</f>
        <v>0</v>
      </c>
    </row>
    <row r="54" spans="1:58" x14ac:dyDescent="0.75">
      <c r="C54" t="s">
        <v>3</v>
      </c>
      <c r="D54" s="26">
        <f t="shared" si="14"/>
        <v>0</v>
      </c>
      <c r="E54" s="26">
        <v>0</v>
      </c>
      <c r="F54" s="26">
        <v>0</v>
      </c>
      <c r="G54" s="29" t="str">
        <f>IF(E54=F54,"n/a",IF(OR(C54="battery electric vehicle",C54="natural gas vehicle",C54="plugin hybrid vehicle"),"s-curve","linear"))</f>
        <v>n/a</v>
      </c>
      <c r="I54" s="27">
        <f t="shared" si="12"/>
        <v>0</v>
      </c>
      <c r="J54" s="27">
        <f t="shared" si="13"/>
        <v>0</v>
      </c>
      <c r="K54" s="27">
        <f t="shared" si="13"/>
        <v>0</v>
      </c>
      <c r="L54" s="27">
        <f t="shared" si="13"/>
        <v>0</v>
      </c>
      <c r="M54" s="27">
        <f>IF($G54="s-curve",$E54+($F54-$E54)*$I$2/(1+EXP($I$3*(COUNT($I$9:M$9)+$I$4))),TREND($E54:$F54,$E$9:$F$9,M$9))</f>
        <v>0</v>
      </c>
      <c r="N54" s="27">
        <f>IF($G54="s-curve",$E54+($F54-$E54)*$I$2/(1+EXP($I$3*(COUNT($I$9:N$9)+$I$4))),TREND($E54:$F54,$E$9:$F$9,N$9))</f>
        <v>0</v>
      </c>
      <c r="O54" s="27">
        <f>IF($G54="s-curve",$E54+($F54-$E54)*$I$2/(1+EXP($I$3*(COUNT($I$9:O$9)+$I$4))),TREND($E54:$F54,$E$9:$F$9,O$9))</f>
        <v>0</v>
      </c>
      <c r="P54" s="27">
        <f>IF($G54="s-curve",$E54+($F54-$E54)*$I$2/(1+EXP($I$3*(COUNT($I$9:P$9)+$I$4))),TREND($E54:$F54,$E$9:$F$9,P$9))</f>
        <v>0</v>
      </c>
      <c r="Q54" s="27">
        <f>IF($G54="s-curve",$E54+($F54-$E54)*$I$2/(1+EXP($I$3*(COUNT($I$9:Q$9)+$I$4))),TREND($E54:$F54,$E$9:$F$9,Q$9))</f>
        <v>0</v>
      </c>
      <c r="R54" s="27">
        <f>IF($G54="s-curve",$E54+($F54-$E54)*$I$2/(1+EXP($I$3*(COUNT($I$9:R$9)+$I$4))),TREND($E54:$F54,$E$9:$F$9,R$9))</f>
        <v>0</v>
      </c>
      <c r="S54" s="27">
        <f>IF($G54="s-curve",$E54+($F54-$E54)*$I$2/(1+EXP($I$3*(COUNT($I$9:S$9)+$I$4))),TREND($E54:$F54,$E$9:$F$9,S$9))</f>
        <v>0</v>
      </c>
      <c r="T54" s="27">
        <f>IF($G54="s-curve",$E54+($F54-$E54)*$I$2/(1+EXP($I$3*(COUNT($I$9:T$9)+$I$4))),TREND($E54:$F54,$E$9:$F$9,T$9))</f>
        <v>0</v>
      </c>
      <c r="U54" s="27">
        <f>IF($G54="s-curve",$E54+($F54-$E54)*$I$2/(1+EXP($I$3*(COUNT($I$9:U$9)+$I$4))),TREND($E54:$F54,$E$9:$F$9,U$9))</f>
        <v>0</v>
      </c>
      <c r="V54" s="27">
        <f>IF($G54="s-curve",$E54+($F54-$E54)*$I$2/(1+EXP($I$3*(COUNT($I$9:V$9)+$I$4))),TREND($E54:$F54,$E$9:$F$9,V$9))</f>
        <v>0</v>
      </c>
      <c r="W54" s="27">
        <f>IF($G54="s-curve",$E54+($F54-$E54)*$I$2/(1+EXP($I$3*(COUNT($I$9:W$9)+$I$4))),TREND($E54:$F54,$E$9:$F$9,W$9))</f>
        <v>0</v>
      </c>
      <c r="X54" s="27">
        <f>IF($G54="s-curve",$E54+($F54-$E54)*$I$2/(1+EXP($I$3*(COUNT($I$9:X$9)+$I$4))),TREND($E54:$F54,$E$9:$F$9,X$9))</f>
        <v>0</v>
      </c>
      <c r="Y54" s="27">
        <f>IF($G54="s-curve",$E54+($F54-$E54)*$I$2/(1+EXP($I$3*(COUNT($I$9:Y$9)+$I$4))),TREND($E54:$F54,$E$9:$F$9,Y$9))</f>
        <v>0</v>
      </c>
      <c r="Z54" s="27">
        <f>IF($G54="s-curve",$E54+($F54-$E54)*$I$2/(1+EXP($I$3*(COUNT($I$9:Z$9)+$I$4))),TREND($E54:$F54,$E$9:$F$9,Z$9))</f>
        <v>0</v>
      </c>
      <c r="AA54" s="27">
        <f>IF($G54="s-curve",$E54+($F54-$E54)*$I$2/(1+EXP($I$3*(COUNT($I$9:AA$9)+$I$4))),TREND($E54:$F54,$E$9:$F$9,AA$9))</f>
        <v>0</v>
      </c>
      <c r="AB54" s="27">
        <f>IF($G54="s-curve",$E54+($F54-$E54)*$I$2/(1+EXP($I$3*(COUNT($I$9:AB$9)+$I$4))),TREND($E54:$F54,$E$9:$F$9,AB$9))</f>
        <v>0</v>
      </c>
      <c r="AC54" s="27">
        <f>IF($G54="s-curve",$E54+($F54-$E54)*$I$2/(1+EXP($I$3*(COUNT($I$9:AC$9)+$I$4))),TREND($E54:$F54,$E$9:$F$9,AC$9))</f>
        <v>0</v>
      </c>
      <c r="AD54" s="27">
        <f>IF($G54="s-curve",$E54+($F54-$E54)*$I$2/(1+EXP($I$3*(COUNT($I$9:AD$9)+$I$4))),TREND($E54:$F54,$E$9:$F$9,AD$9))</f>
        <v>0</v>
      </c>
      <c r="AE54" s="27">
        <f>IF($G54="s-curve",$E54+($F54-$E54)*$I$2/(1+EXP($I$3*(COUNT($I$9:AE$9)+$I$4))),TREND($E54:$F54,$E$9:$F$9,AE$9))</f>
        <v>0</v>
      </c>
      <c r="AF54" s="27">
        <f>IF($G54="s-curve",$E54+($F54-$E54)*$I$2/(1+EXP($I$3*(COUNT($I$9:AF$9)+$I$4))),TREND($E54:$F54,$E$9:$F$9,AF$9))</f>
        <v>0</v>
      </c>
      <c r="AG54" s="27">
        <f>IF($G54="s-curve",$E54+($F54-$E54)*$I$2/(1+EXP($I$3*(COUNT($I$9:AG$9)+$I$4))),TREND($E54:$F54,$E$9:$F$9,AG$9))</f>
        <v>0</v>
      </c>
      <c r="AH54" s="27">
        <f>IF($G54="s-curve",$E54+($F54-$E54)*$I$2/(1+EXP($I$3*(COUNT($I$9:AH$9)+$I$4))),TREND($E54:$F54,$E$9:$F$9,AH$9))</f>
        <v>0</v>
      </c>
      <c r="AI54" s="27">
        <f>IF($G54="s-curve",$E54+($F54-$E54)*$I$2/(1+EXP($I$3*(COUNT($I$9:AI$9)+$I$4))),TREND($E54:$F54,$E$9:$F$9,AI$9))</f>
        <v>0</v>
      </c>
      <c r="AJ54" s="27">
        <f>IF($G54="s-curve",$E54+($F54-$E54)*$I$2/(1+EXP($I$3*(COUNT($I$9:AJ$9)+$I$4))),TREND($E54:$F54,$E$9:$F$9,AJ$9))</f>
        <v>0</v>
      </c>
      <c r="AK54" s="27">
        <f>IF($G54="s-curve",$E54+($F54-$E54)*$I$2/(1+EXP($I$3*(COUNT($I$9:AK$9)+$I$4))),TREND($E54:$F54,$E$9:$F$9,AK$9))</f>
        <v>0</v>
      </c>
      <c r="AL54" s="27">
        <f>IF($G54="s-curve",$E54+($F54-$E54)*$I$2/(1+EXP($I$3*(COUNT($I$9:AL$9)+$I$4))),TREND($E54:$F54,$E$9:$F$9,AL$9))</f>
        <v>0</v>
      </c>
      <c r="AM54" s="27">
        <f>IF($G54="s-curve",$E54+($F54-$E54)*$I$2/(1+EXP($I$3*(COUNT($I$9:AM$9)+$I$4))),TREND($E54:$F54,$E$9:$F$9,AM$9))</f>
        <v>0</v>
      </c>
      <c r="AN54" s="27">
        <f>IF($G54="s-curve",$E54+($F54-$E54)*$I$2/(1+EXP($I$3*(COUNT($I$9:AN$9)+$I$4))),TREND($E54:$F54,$E$9:$F$9,AN$9))</f>
        <v>0</v>
      </c>
      <c r="AO54" s="27">
        <f>IF($G54="s-curve",$E54+($F54-$E54)*$I$2/(1+EXP($I$3*(COUNT($I$9:AO$9)+$I$4))),TREND($E54:$F54,$E$9:$F$9,AO$9))</f>
        <v>0</v>
      </c>
      <c r="AP54" s="27">
        <f>IF($G54="s-curve",$E54+($F54-$E54)*$I$2/(1+EXP($I$3*(COUNT($I$9:AP$9)+$I$4))),TREND($E54:$F54,$E$9:$F$9,AP$9))</f>
        <v>0</v>
      </c>
      <c r="AQ54" s="27">
        <f>IF($G54="s-curve",$E54+($F54-$E54)*$I$2/(1+EXP($I$3*(COUNT($I$9:AQ$9)+$I$4))),TREND($E54:$F54,$E$9:$F$9,AQ$9))</f>
        <v>0</v>
      </c>
      <c r="AR54" s="27">
        <f>IF($G54="s-curve",$E54+($F54-$E54)*$I$2/(1+EXP($I$3*(COUNT($I$9:AR$9)+$I$4))),TREND($E54:$F54,$E$9:$F$9,AR$9))</f>
        <v>0</v>
      </c>
      <c r="AS54" s="27">
        <f>IF($G54="s-curve",$E54+($F54-$E54)*$I$2/(1+EXP($I$3*(COUNT($I$9:AS$9)+$I$4))),TREND($E54:$F54,$E$9:$F$9,AS$9))</f>
        <v>0</v>
      </c>
      <c r="AT54" s="27">
        <f>IF($G54="s-curve",$E54+($F54-$E54)*$I$2/(1+EXP($I$3*(COUNT($I$9:AT$9)+$I$4))),TREND($E54:$F54,$E$9:$F$9,AT$9))</f>
        <v>0</v>
      </c>
      <c r="AU54" s="27">
        <f>IF($G54="s-curve",$E54+($F54-$E54)*$I$2/(1+EXP($I$3*(COUNT($I$9:AU$9)+$I$4))),TREND($E54:$F54,$E$9:$F$9,AU$9))</f>
        <v>0</v>
      </c>
      <c r="AV54" s="27">
        <f>IF($G54="s-curve",$E54+($F54-$E54)*$I$2/(1+EXP($I$3*(COUNT($I$9:AV$9)+$I$4))),TREND($E54:$F54,$E$9:$F$9,AV$9))</f>
        <v>0</v>
      </c>
      <c r="AW54" s="27">
        <f>IF($G54="s-curve",$E54+($F54-$E54)*$I$2/(1+EXP($I$3*(COUNT($I$9:AW$9)+$I$4))),TREND($E54:$F54,$E$9:$F$9,AW$9))</f>
        <v>0</v>
      </c>
      <c r="AX54" s="27">
        <f>IF($G54="s-curve",$E54+($F54-$E54)*$I$2/(1+EXP($I$3*(COUNT($I$9:AX$9)+$I$4))),TREND($E54:$F54,$E$9:$F$9,AX$9))</f>
        <v>0</v>
      </c>
      <c r="AY54" s="27">
        <f>IF($G54="s-curve",$E54+($F54-$E54)*$I$2/(1+EXP($I$3*(COUNT($I$9:AY$9)+$I$4))),TREND($E54:$F54,$E$9:$F$9,AY$9))</f>
        <v>0</v>
      </c>
      <c r="AZ54" s="27">
        <f>IF($G54="s-curve",$E54+($F54-$E54)*$I$2/(1+EXP($I$3*(COUNT($I$9:AZ$9)+$I$4))),TREND($E54:$F54,$E$9:$F$9,AZ$9))</f>
        <v>0</v>
      </c>
      <c r="BA54" s="27">
        <f>IF($G54="s-curve",$E54+($F54-$E54)*$I$2/(1+EXP($I$3*(COUNT($I$9:BA$9)+$I$4))),TREND($E54:$F54,$E$9:$F$9,BA$9))</f>
        <v>0</v>
      </c>
      <c r="BB54" s="27">
        <f>IF($G54="s-curve",$E54+($F54-$E54)*$I$2/(1+EXP($I$3*(COUNT($I$9:BB$9)+$I$4))),TREND($E54:$F54,$E$9:$F$9,BB$9))</f>
        <v>0</v>
      </c>
      <c r="BC54" s="27">
        <f>IF($G54="s-curve",$E54+($F54-$E54)*$I$2/(1+EXP($I$3*(COUNT($I$9:BC$9)+$I$4))),TREND($E54:$F54,$E$9:$F$9,BC$9))</f>
        <v>0</v>
      </c>
      <c r="BD54" s="27">
        <f>IF($G54="s-curve",$E54+($F54-$E54)*$I$2/(1+EXP($I$3*(COUNT($I$9:BD$9)+$I$4))),TREND($E54:$F54,$E$9:$F$9,BD$9))</f>
        <v>0</v>
      </c>
      <c r="BE54" s="27">
        <f>IF($G54="s-curve",$E54+($F54-$E54)*$I$2/(1+EXP($I$3*(COUNT($I$9:BE$9)+$I$4))),TREND($E54:$F54,$E$9:$F$9,BE$9))</f>
        <v>0</v>
      </c>
      <c r="BF54" s="27">
        <f>IF($G54="s-curve",$E54+($F54-$E54)*$I$2/(1+EXP($I$3*(COUNT($I$9:BF$9)+$I$4))),TREND($E54:$F54,$E$9:$F$9,BF$9))</f>
        <v>0</v>
      </c>
    </row>
    <row r="55" spans="1:58" x14ac:dyDescent="0.75">
      <c r="C55" t="s">
        <v>4</v>
      </c>
      <c r="D55" s="26">
        <f t="shared" si="14"/>
        <v>6.3351831898551425E-2</v>
      </c>
      <c r="E55" s="26">
        <f>1-E52</f>
        <v>6.3351831898551425E-2</v>
      </c>
      <c r="F55" s="26">
        <v>1</v>
      </c>
      <c r="G55" s="29" t="str">
        <f>IF(E55=F55,"n/a",IF(OR(C55="battery electric vehicle",C55="natural gas vehicle",C55="plugin hybrid vehicle"),"s-curve","linear"))</f>
        <v>linear</v>
      </c>
      <c r="I55" s="27">
        <f t="shared" si="12"/>
        <v>6.3351831898551425E-2</v>
      </c>
      <c r="J55" s="27">
        <f t="shared" si="13"/>
        <v>6.3351831898551425E-2</v>
      </c>
      <c r="K55" s="27">
        <f t="shared" si="13"/>
        <v>6.3351831898551425E-2</v>
      </c>
      <c r="L55" s="27">
        <f t="shared" si="13"/>
        <v>6.3351831898551425E-2</v>
      </c>
      <c r="M55" s="27">
        <f>IF($G55="s-curve",$E55+($F55-$E55)*$I$2/(1+EXP($I$3*(COUNT($I$9:M$9)+$I$4))),TREND($E55:$F55,$E$9:$F$9,M$9))</f>
        <v>6.3351831898557975E-2</v>
      </c>
      <c r="N55" s="27">
        <f>IF($G55="s-curve",$E55+($F55-$E55)*$I$2/(1+EXP($I$3*(COUNT($I$9:N$9)+$I$4))),TREND($E55:$F55,$E$9:$F$9,N$9))</f>
        <v>0.10081775862262532</v>
      </c>
      <c r="O55" s="27">
        <f>IF($G55="s-curve",$E55+($F55-$E55)*$I$2/(1+EXP($I$3*(COUNT($I$9:O$9)+$I$4))),TREND($E55:$F55,$E$9:$F$9,O$9))</f>
        <v>0.13828368534667845</v>
      </c>
      <c r="P55" s="27">
        <f>IF($G55="s-curve",$E55+($F55-$E55)*$I$2/(1+EXP($I$3*(COUNT($I$9:P$9)+$I$4))),TREND($E55:$F55,$E$9:$F$9,P$9))</f>
        <v>0.17574961207073159</v>
      </c>
      <c r="Q55" s="27">
        <f>IF($G55="s-curve",$E55+($F55-$E55)*$I$2/(1+EXP($I$3*(COUNT($I$9:Q$9)+$I$4))),TREND($E55:$F55,$E$9:$F$9,Q$9))</f>
        <v>0.21321553879479893</v>
      </c>
      <c r="R55" s="27">
        <f>IF($G55="s-curve",$E55+($F55-$E55)*$I$2/(1+EXP($I$3*(COUNT($I$9:R$9)+$I$4))),TREND($E55:$F55,$E$9:$F$9,R$9))</f>
        <v>0.25068146551885206</v>
      </c>
      <c r="S55" s="27">
        <f>IF($G55="s-curve",$E55+($F55-$E55)*$I$2/(1+EXP($I$3*(COUNT($I$9:S$9)+$I$4))),TREND($E55:$F55,$E$9:$F$9,S$9))</f>
        <v>0.2881473922429052</v>
      </c>
      <c r="T55" s="27">
        <f>IF($G55="s-curve",$E55+($F55-$E55)*$I$2/(1+EXP($I$3*(COUNT($I$9:T$9)+$I$4))),TREND($E55:$F55,$E$9:$F$9,T$9))</f>
        <v>0.32561331896697254</v>
      </c>
      <c r="U55" s="27">
        <f>IF($G55="s-curve",$E55+($F55-$E55)*$I$2/(1+EXP($I$3*(COUNT($I$9:U$9)+$I$4))),TREND($E55:$F55,$E$9:$F$9,U$9))</f>
        <v>0.36307924569102568</v>
      </c>
      <c r="V55" s="27">
        <f>IF($G55="s-curve",$E55+($F55-$E55)*$I$2/(1+EXP($I$3*(COUNT($I$9:V$9)+$I$4))),TREND($E55:$F55,$E$9:$F$9,V$9))</f>
        <v>0.40054517241507881</v>
      </c>
      <c r="W55" s="27">
        <f>IF($G55="s-curve",$E55+($F55-$E55)*$I$2/(1+EXP($I$3*(COUNT($I$9:W$9)+$I$4))),TREND($E55:$F55,$E$9:$F$9,W$9))</f>
        <v>0.43801109913914615</v>
      </c>
      <c r="X55" s="27">
        <f>IF($G55="s-curve",$E55+($F55-$E55)*$I$2/(1+EXP($I$3*(COUNT($I$9:X$9)+$I$4))),TREND($E55:$F55,$E$9:$F$9,X$9))</f>
        <v>0.47547702586319929</v>
      </c>
      <c r="Y55" s="27">
        <f>IF($G55="s-curve",$E55+($F55-$E55)*$I$2/(1+EXP($I$3*(COUNT($I$9:Y$9)+$I$4))),TREND($E55:$F55,$E$9:$F$9,Y$9))</f>
        <v>0.51294295258725242</v>
      </c>
      <c r="Z55" s="27">
        <f>IF($G55="s-curve",$E55+($F55-$E55)*$I$2/(1+EXP($I$3*(COUNT($I$9:Z$9)+$I$4))),TREND($E55:$F55,$E$9:$F$9,Z$9))</f>
        <v>0.55040887931131977</v>
      </c>
      <c r="AA55" s="27">
        <f>IF($G55="s-curve",$E55+($F55-$E55)*$I$2/(1+EXP($I$3*(COUNT($I$9:AA$9)+$I$4))),TREND($E55:$F55,$E$9:$F$9,AA$9))</f>
        <v>0.5878748060353729</v>
      </c>
      <c r="AB55" s="27">
        <f>IF($G55="s-curve",$E55+($F55-$E55)*$I$2/(1+EXP($I$3*(COUNT($I$9:AB$9)+$I$4))),TREND($E55:$F55,$E$9:$F$9,AB$9))</f>
        <v>0.62534073275942603</v>
      </c>
      <c r="AC55" s="27">
        <f>IF($G55="s-curve",$E55+($F55-$E55)*$I$2/(1+EXP($I$3*(COUNT($I$9:AC$9)+$I$4))),TREND($E55:$F55,$E$9:$F$9,AC$9))</f>
        <v>0.66280665948349338</v>
      </c>
      <c r="AD55" s="27">
        <f>IF($G55="s-curve",$E55+($F55-$E55)*$I$2/(1+EXP($I$3*(COUNT($I$9:AD$9)+$I$4))),TREND($E55:$F55,$E$9:$F$9,AD$9))</f>
        <v>0.70027258620754651</v>
      </c>
      <c r="AE55" s="27">
        <f>IF($G55="s-curve",$E55+($F55-$E55)*$I$2/(1+EXP($I$3*(COUNT($I$9:AE$9)+$I$4))),TREND($E55:$F55,$E$9:$F$9,AE$9))</f>
        <v>0.73773851293159964</v>
      </c>
      <c r="AF55" s="27">
        <f>IF($G55="s-curve",$E55+($F55-$E55)*$I$2/(1+EXP($I$3*(COUNT($I$9:AF$9)+$I$4))),TREND($E55:$F55,$E$9:$F$9,AF$9))</f>
        <v>0.77520443965566699</v>
      </c>
      <c r="AG55" s="27">
        <f>IF($G55="s-curve",$E55+($F55-$E55)*$I$2/(1+EXP($I$3*(COUNT($I$9:AG$9)+$I$4))),TREND($E55:$F55,$E$9:$F$9,AG$9))</f>
        <v>0.81267036637972012</v>
      </c>
      <c r="AH55" s="27">
        <f>IF($G55="s-curve",$E55+($F55-$E55)*$I$2/(1+EXP($I$3*(COUNT($I$9:AH$9)+$I$4))),TREND($E55:$F55,$E$9:$F$9,AH$9))</f>
        <v>0.85013629310377326</v>
      </c>
      <c r="AI55" s="27">
        <f>IF($G55="s-curve",$E55+($F55-$E55)*$I$2/(1+EXP($I$3*(COUNT($I$9:AI$9)+$I$4))),TREND($E55:$F55,$E$9:$F$9,AI$9))</f>
        <v>0.8876022198278406</v>
      </c>
      <c r="AJ55" s="27">
        <f>IF($G55="s-curve",$E55+($F55-$E55)*$I$2/(1+EXP($I$3*(COUNT($I$9:AJ$9)+$I$4))),TREND($E55:$F55,$E$9:$F$9,AJ$9))</f>
        <v>0.92506814655189373</v>
      </c>
      <c r="AK55" s="27">
        <f>IF($G55="s-curve",$E55+($F55-$E55)*$I$2/(1+EXP($I$3*(COUNT($I$9:AK$9)+$I$4))),TREND($E55:$F55,$E$9:$F$9,AK$9))</f>
        <v>0.96253407327594687</v>
      </c>
      <c r="AL55" s="27">
        <f>IF($G55="s-curve",$E55+($F55-$E55)*$I$2/(1+EXP($I$3*(COUNT($I$9:AL$9)+$I$4))),TREND($E55:$F55,$E$9:$F$9,AL$9))</f>
        <v>1.0000000000000142</v>
      </c>
      <c r="AM55" s="27">
        <v>1</v>
      </c>
      <c r="AN55" s="27">
        <v>1</v>
      </c>
      <c r="AO55" s="27">
        <v>1</v>
      </c>
      <c r="AP55" s="27">
        <v>1</v>
      </c>
      <c r="AQ55" s="27">
        <v>1</v>
      </c>
      <c r="AR55" s="27">
        <v>1</v>
      </c>
      <c r="AS55" s="27">
        <v>1</v>
      </c>
      <c r="AT55" s="27">
        <v>1</v>
      </c>
      <c r="AU55" s="27">
        <v>1</v>
      </c>
      <c r="AV55" s="27">
        <v>1</v>
      </c>
      <c r="AW55" s="27">
        <v>1</v>
      </c>
      <c r="AX55" s="27">
        <v>1</v>
      </c>
      <c r="AY55" s="27">
        <v>1</v>
      </c>
      <c r="AZ55" s="27">
        <v>1</v>
      </c>
      <c r="BA55" s="27">
        <v>1</v>
      </c>
      <c r="BB55" s="27">
        <v>1</v>
      </c>
      <c r="BC55" s="27">
        <v>1</v>
      </c>
      <c r="BD55" s="27">
        <v>1</v>
      </c>
      <c r="BE55" s="27">
        <v>1</v>
      </c>
      <c r="BF55" s="27">
        <v>1</v>
      </c>
    </row>
    <row r="56" spans="1:58" x14ac:dyDescent="0.75">
      <c r="C56" t="s">
        <v>5</v>
      </c>
      <c r="D56" s="26">
        <f t="shared" si="14"/>
        <v>0</v>
      </c>
      <c r="E56" s="26">
        <v>0</v>
      </c>
      <c r="F56" s="26">
        <v>0</v>
      </c>
      <c r="G56" s="29" t="str">
        <f>IF(E56=F56,"n/a",IF(OR(C56="battery electric vehicle",C56="natural gas vehicle",C56="plugin hybrid vehicle"),"s-curve","linear"))</f>
        <v>n/a</v>
      </c>
      <c r="I56" s="27">
        <f t="shared" si="12"/>
        <v>0</v>
      </c>
      <c r="J56" s="27">
        <f t="shared" si="13"/>
        <v>0</v>
      </c>
      <c r="K56" s="27">
        <f t="shared" si="13"/>
        <v>0</v>
      </c>
      <c r="L56" s="27">
        <f t="shared" si="13"/>
        <v>0</v>
      </c>
      <c r="M56" s="27">
        <f>IF($G56="s-curve",$E56+($F56-$E56)*$I$2/(1+EXP($I$3*(COUNT($I$9:M$9)+$I$4))),TREND($E56:$F56,$E$9:$F$9,M$9))</f>
        <v>0</v>
      </c>
      <c r="N56" s="27">
        <f>IF($G56="s-curve",$E56+($F56-$E56)*$I$2/(1+EXP($I$3*(COUNT($I$9:N$9)+$I$4))),TREND($E56:$F56,$E$9:$F$9,N$9))</f>
        <v>0</v>
      </c>
      <c r="O56" s="27">
        <f>IF($G56="s-curve",$E56+($F56-$E56)*$I$2/(1+EXP($I$3*(COUNT($I$9:O$9)+$I$4))),TREND($E56:$F56,$E$9:$F$9,O$9))</f>
        <v>0</v>
      </c>
      <c r="P56" s="27">
        <f>IF($G56="s-curve",$E56+($F56-$E56)*$I$2/(1+EXP($I$3*(COUNT($I$9:P$9)+$I$4))),TREND($E56:$F56,$E$9:$F$9,P$9))</f>
        <v>0</v>
      </c>
      <c r="Q56" s="27">
        <f>IF($G56="s-curve",$E56+($F56-$E56)*$I$2/(1+EXP($I$3*(COUNT($I$9:Q$9)+$I$4))),TREND($E56:$F56,$E$9:$F$9,Q$9))</f>
        <v>0</v>
      </c>
      <c r="R56" s="27">
        <f>IF($G56="s-curve",$E56+($F56-$E56)*$I$2/(1+EXP($I$3*(COUNT($I$9:R$9)+$I$4))),TREND($E56:$F56,$E$9:$F$9,R$9))</f>
        <v>0</v>
      </c>
      <c r="S56" s="27">
        <f>IF($G56="s-curve",$E56+($F56-$E56)*$I$2/(1+EXP($I$3*(COUNT($I$9:S$9)+$I$4))),TREND($E56:$F56,$E$9:$F$9,S$9))</f>
        <v>0</v>
      </c>
      <c r="T56" s="27">
        <f>IF($G56="s-curve",$E56+($F56-$E56)*$I$2/(1+EXP($I$3*(COUNT($I$9:T$9)+$I$4))),TREND($E56:$F56,$E$9:$F$9,T$9))</f>
        <v>0</v>
      </c>
      <c r="U56" s="27">
        <f>IF($G56="s-curve",$E56+($F56-$E56)*$I$2/(1+EXP($I$3*(COUNT($I$9:U$9)+$I$4))),TREND($E56:$F56,$E$9:$F$9,U$9))</f>
        <v>0</v>
      </c>
      <c r="V56" s="27">
        <f>IF($G56="s-curve",$E56+($F56-$E56)*$I$2/(1+EXP($I$3*(COUNT($I$9:V$9)+$I$4))),TREND($E56:$F56,$E$9:$F$9,V$9))</f>
        <v>0</v>
      </c>
      <c r="W56" s="27">
        <f>IF($G56="s-curve",$E56+($F56-$E56)*$I$2/(1+EXP($I$3*(COUNT($I$9:W$9)+$I$4))),TREND($E56:$F56,$E$9:$F$9,W$9))</f>
        <v>0</v>
      </c>
      <c r="X56" s="27">
        <f>IF($G56="s-curve",$E56+($F56-$E56)*$I$2/(1+EXP($I$3*(COUNT($I$9:X$9)+$I$4))),TREND($E56:$F56,$E$9:$F$9,X$9))</f>
        <v>0</v>
      </c>
      <c r="Y56" s="27">
        <f>IF($G56="s-curve",$E56+($F56-$E56)*$I$2/(1+EXP($I$3*(COUNT($I$9:Y$9)+$I$4))),TREND($E56:$F56,$E$9:$F$9,Y$9))</f>
        <v>0</v>
      </c>
      <c r="Z56" s="27">
        <f>IF($G56="s-curve",$E56+($F56-$E56)*$I$2/(1+EXP($I$3*(COUNT($I$9:Z$9)+$I$4))),TREND($E56:$F56,$E$9:$F$9,Z$9))</f>
        <v>0</v>
      </c>
      <c r="AA56" s="27">
        <f>IF($G56="s-curve",$E56+($F56-$E56)*$I$2/(1+EXP($I$3*(COUNT($I$9:AA$9)+$I$4))),TREND($E56:$F56,$E$9:$F$9,AA$9))</f>
        <v>0</v>
      </c>
      <c r="AB56" s="27">
        <f>IF($G56="s-curve",$E56+($F56-$E56)*$I$2/(1+EXP($I$3*(COUNT($I$9:AB$9)+$I$4))),TREND($E56:$F56,$E$9:$F$9,AB$9))</f>
        <v>0</v>
      </c>
      <c r="AC56" s="27">
        <f>IF($G56="s-curve",$E56+($F56-$E56)*$I$2/(1+EXP($I$3*(COUNT($I$9:AC$9)+$I$4))),TREND($E56:$F56,$E$9:$F$9,AC$9))</f>
        <v>0</v>
      </c>
      <c r="AD56" s="27">
        <f>IF($G56="s-curve",$E56+($F56-$E56)*$I$2/(1+EXP($I$3*(COUNT($I$9:AD$9)+$I$4))),TREND($E56:$F56,$E$9:$F$9,AD$9))</f>
        <v>0</v>
      </c>
      <c r="AE56" s="27">
        <f>IF($G56="s-curve",$E56+($F56-$E56)*$I$2/(1+EXP($I$3*(COUNT($I$9:AE$9)+$I$4))),TREND($E56:$F56,$E$9:$F$9,AE$9))</f>
        <v>0</v>
      </c>
      <c r="AF56" s="27">
        <f>IF($G56="s-curve",$E56+($F56-$E56)*$I$2/(1+EXP($I$3*(COUNT($I$9:AF$9)+$I$4))),TREND($E56:$F56,$E$9:$F$9,AF$9))</f>
        <v>0</v>
      </c>
      <c r="AG56" s="27">
        <f>IF($G56="s-curve",$E56+($F56-$E56)*$I$2/(1+EXP($I$3*(COUNT($I$9:AG$9)+$I$4))),TREND($E56:$F56,$E$9:$F$9,AG$9))</f>
        <v>0</v>
      </c>
      <c r="AH56" s="27">
        <f>IF($G56="s-curve",$E56+($F56-$E56)*$I$2/(1+EXP($I$3*(COUNT($I$9:AH$9)+$I$4))),TREND($E56:$F56,$E$9:$F$9,AH$9))</f>
        <v>0</v>
      </c>
      <c r="AI56" s="27">
        <f>IF($G56="s-curve",$E56+($F56-$E56)*$I$2/(1+EXP($I$3*(COUNT($I$9:AI$9)+$I$4))),TREND($E56:$F56,$E$9:$F$9,AI$9))</f>
        <v>0</v>
      </c>
      <c r="AJ56" s="27">
        <f>IF($G56="s-curve",$E56+($F56-$E56)*$I$2/(1+EXP($I$3*(COUNT($I$9:AJ$9)+$I$4))),TREND($E56:$F56,$E$9:$F$9,AJ$9))</f>
        <v>0</v>
      </c>
      <c r="AK56" s="27">
        <f>IF($G56="s-curve",$E56+($F56-$E56)*$I$2/(1+EXP($I$3*(COUNT($I$9:AK$9)+$I$4))),TREND($E56:$F56,$E$9:$F$9,AK$9))</f>
        <v>0</v>
      </c>
      <c r="AL56" s="27">
        <f>IF($G56="s-curve",$E56+($F56-$E56)*$I$2/(1+EXP($I$3*(COUNT($I$9:AL$9)+$I$4))),TREND($E56:$F56,$E$9:$F$9,AL$9))</f>
        <v>0</v>
      </c>
      <c r="AM56" s="27">
        <f>IF($G56="s-curve",$E56+($F56-$E56)*$I$2/(1+EXP($I$3*(COUNT($I$9:AM$9)+$I$4))),TREND($E56:$F56,$E$9:$F$9,AM$9))</f>
        <v>0</v>
      </c>
      <c r="AN56" s="27">
        <f>IF($G56="s-curve",$E56+($F56-$E56)*$I$2/(1+EXP($I$3*(COUNT($I$9:AN$9)+$I$4))),TREND($E56:$F56,$E$9:$F$9,AN$9))</f>
        <v>0</v>
      </c>
      <c r="AO56" s="27">
        <f>IF($G56="s-curve",$E56+($F56-$E56)*$I$2/(1+EXP($I$3*(COUNT($I$9:AO$9)+$I$4))),TREND($E56:$F56,$E$9:$F$9,AO$9))</f>
        <v>0</v>
      </c>
      <c r="AP56" s="27">
        <f>IF($G56="s-curve",$E56+($F56-$E56)*$I$2/(1+EXP($I$3*(COUNT($I$9:AP$9)+$I$4))),TREND($E56:$F56,$E$9:$F$9,AP$9))</f>
        <v>0</v>
      </c>
      <c r="AQ56" s="27">
        <f>IF($G56="s-curve",$E56+($F56-$E56)*$I$2/(1+EXP($I$3*(COUNT($I$9:AQ$9)+$I$4))),TREND($E56:$F56,$E$9:$F$9,AQ$9))</f>
        <v>0</v>
      </c>
      <c r="AR56" s="27">
        <f>IF($G56="s-curve",$E56+($F56-$E56)*$I$2/(1+EXP($I$3*(COUNT($I$9:AR$9)+$I$4))),TREND($E56:$F56,$E$9:$F$9,AR$9))</f>
        <v>0</v>
      </c>
      <c r="AS56" s="27">
        <f>IF($G56="s-curve",$E56+($F56-$E56)*$I$2/(1+EXP($I$3*(COUNT($I$9:AS$9)+$I$4))),TREND($E56:$F56,$E$9:$F$9,AS$9))</f>
        <v>0</v>
      </c>
      <c r="AT56" s="27">
        <f>IF($G56="s-curve",$E56+($F56-$E56)*$I$2/(1+EXP($I$3*(COUNT($I$9:AT$9)+$I$4))),TREND($E56:$F56,$E$9:$F$9,AT$9))</f>
        <v>0</v>
      </c>
      <c r="AU56" s="27">
        <f>IF($G56="s-curve",$E56+($F56-$E56)*$I$2/(1+EXP($I$3*(COUNT($I$9:AU$9)+$I$4))),TREND($E56:$F56,$E$9:$F$9,AU$9))</f>
        <v>0</v>
      </c>
      <c r="AV56" s="27">
        <f>IF($G56="s-curve",$E56+($F56-$E56)*$I$2/(1+EXP($I$3*(COUNT($I$9:AV$9)+$I$4))),TREND($E56:$F56,$E$9:$F$9,AV$9))</f>
        <v>0</v>
      </c>
      <c r="AW56" s="27">
        <f>IF($G56="s-curve",$E56+($F56-$E56)*$I$2/(1+EXP($I$3*(COUNT($I$9:AW$9)+$I$4))),TREND($E56:$F56,$E$9:$F$9,AW$9))</f>
        <v>0</v>
      </c>
      <c r="AX56" s="27">
        <f>IF($G56="s-curve",$E56+($F56-$E56)*$I$2/(1+EXP($I$3*(COUNT($I$9:AX$9)+$I$4))),TREND($E56:$F56,$E$9:$F$9,AX$9))</f>
        <v>0</v>
      </c>
      <c r="AY56" s="27">
        <f>IF($G56="s-curve",$E56+($F56-$E56)*$I$2/(1+EXP($I$3*(COUNT($I$9:AY$9)+$I$4))),TREND($E56:$F56,$E$9:$F$9,AY$9))</f>
        <v>0</v>
      </c>
      <c r="AZ56" s="27">
        <f>IF($G56="s-curve",$E56+($F56-$E56)*$I$2/(1+EXP($I$3*(COUNT($I$9:AZ$9)+$I$4))),TREND($E56:$F56,$E$9:$F$9,AZ$9))</f>
        <v>0</v>
      </c>
      <c r="BA56" s="27">
        <f>IF($G56="s-curve",$E56+($F56-$E56)*$I$2/(1+EXP($I$3*(COUNT($I$9:BA$9)+$I$4))),TREND($E56:$F56,$E$9:$F$9,BA$9))</f>
        <v>0</v>
      </c>
      <c r="BB56" s="27">
        <f>IF($G56="s-curve",$E56+($F56-$E56)*$I$2/(1+EXP($I$3*(COUNT($I$9:BB$9)+$I$4))),TREND($E56:$F56,$E$9:$F$9,BB$9))</f>
        <v>0</v>
      </c>
      <c r="BC56" s="27">
        <f>IF($G56="s-curve",$E56+($F56-$E56)*$I$2/(1+EXP($I$3*(COUNT($I$9:BC$9)+$I$4))),TREND($E56:$F56,$E$9:$F$9,BC$9))</f>
        <v>0</v>
      </c>
      <c r="BD56" s="27">
        <f>IF($G56="s-curve",$E56+($F56-$E56)*$I$2/(1+EXP($I$3*(COUNT($I$9:BD$9)+$I$4))),TREND($E56:$F56,$E$9:$F$9,BD$9))</f>
        <v>0</v>
      </c>
      <c r="BE56" s="27">
        <f>IF($G56="s-curve",$E56+($F56-$E56)*$I$2/(1+EXP($I$3*(COUNT($I$9:BE$9)+$I$4))),TREND($E56:$F56,$E$9:$F$9,BE$9))</f>
        <v>0</v>
      </c>
      <c r="BF56" s="27">
        <f>IF($G56="s-curve",$E56+($F56-$E56)*$I$2/(1+EXP($I$3*(COUNT($I$9:BF$9)+$I$4))),TREND($E56:$F56,$E$9:$F$9,BF$9))</f>
        <v>0</v>
      </c>
    </row>
    <row r="57" spans="1:58" x14ac:dyDescent="0.75">
      <c r="C57" t="s">
        <v>31</v>
      </c>
      <c r="D57" s="26">
        <f t="shared" si="14"/>
        <v>0</v>
      </c>
      <c r="E57" s="26">
        <v>0</v>
      </c>
      <c r="F57" s="26">
        <v>0</v>
      </c>
      <c r="G57" s="29" t="str">
        <f>IF(E57=F57,"n/a",IF(OR(C57="battery electric vehicle",C57="natural gas vehicle",C57="plugin hybrid vehicle",C57="hydrogen vehicle"),"s-curve","linear"))</f>
        <v>n/a</v>
      </c>
      <c r="I57" s="27">
        <f t="shared" si="12"/>
        <v>0</v>
      </c>
      <c r="J57" s="27">
        <f t="shared" si="13"/>
        <v>0</v>
      </c>
      <c r="K57" s="27">
        <f t="shared" si="13"/>
        <v>0</v>
      </c>
      <c r="L57" s="27">
        <f t="shared" si="13"/>
        <v>0</v>
      </c>
      <c r="M57" s="27">
        <f>IF($G57="s-curve",$E57+($F57-$E57)*$I$2/(1+EXP($I$3*(COUNT($I$9:M$9)+$I$4))),TREND($E57:$F57,$E$9:$F$9,M$9))</f>
        <v>0</v>
      </c>
      <c r="N57" s="27">
        <f>IF($G57="s-curve",$E57+($F57-$E57)*$I$2/(1+EXP($I$3*(COUNT($I$9:N$9)+$I$4))),TREND($E57:$F57,$E$9:$F$9,N$9))</f>
        <v>0</v>
      </c>
      <c r="O57" s="27">
        <f>IF($G57="s-curve",$E57+($F57-$E57)*$I$2/(1+EXP($I$3*(COUNT($I$9:O$9)+$I$4))),TREND($E57:$F57,$E$9:$F$9,O$9))</f>
        <v>0</v>
      </c>
      <c r="P57" s="27">
        <f>IF($G57="s-curve",$E57+($F57-$E57)*$I$2/(1+EXP($I$3*(COUNT($I$9:P$9)+$I$4))),TREND($E57:$F57,$E$9:$F$9,P$9))</f>
        <v>0</v>
      </c>
      <c r="Q57" s="27">
        <f>IF($G57="s-curve",$E57+($F57-$E57)*$I$2/(1+EXP($I$3*(COUNT($I$9:Q$9)+$I$4))),TREND($E57:$F57,$E$9:$F$9,Q$9))</f>
        <v>0</v>
      </c>
      <c r="R57" s="27">
        <f>IF($G57="s-curve",$E57+($F57-$E57)*$I$2/(1+EXP($I$3*(COUNT($I$9:R$9)+$I$4))),TREND($E57:$F57,$E$9:$F$9,R$9))</f>
        <v>0</v>
      </c>
      <c r="S57" s="27">
        <f>IF($G57="s-curve",$E57+($F57-$E57)*$I$2/(1+EXP($I$3*(COUNT($I$9:S$9)+$I$4))),TREND($E57:$F57,$E$9:$F$9,S$9))</f>
        <v>0</v>
      </c>
      <c r="T57" s="27">
        <f>IF($G57="s-curve",$E57+($F57-$E57)*$I$2/(1+EXP($I$3*(COUNT($I$9:T$9)+$I$4))),TREND($E57:$F57,$E$9:$F$9,T$9))</f>
        <v>0</v>
      </c>
      <c r="U57" s="27">
        <f>IF($G57="s-curve",$E57+($F57-$E57)*$I$2/(1+EXP($I$3*(COUNT($I$9:U$9)+$I$4))),TREND($E57:$F57,$E$9:$F$9,U$9))</f>
        <v>0</v>
      </c>
      <c r="V57" s="27">
        <f>IF($G57="s-curve",$E57+($F57-$E57)*$I$2/(1+EXP($I$3*(COUNT($I$9:V$9)+$I$4))),TREND($E57:$F57,$E$9:$F$9,V$9))</f>
        <v>0</v>
      </c>
      <c r="W57" s="27">
        <f>IF($G57="s-curve",$E57+($F57-$E57)*$I$2/(1+EXP($I$3*(COUNT($I$9:W$9)+$I$4))),TREND($E57:$F57,$E$9:$F$9,W$9))</f>
        <v>0</v>
      </c>
      <c r="X57" s="27">
        <f>IF($G57="s-curve",$E57+($F57-$E57)*$I$2/(1+EXP($I$3*(COUNT($I$9:X$9)+$I$4))),TREND($E57:$F57,$E$9:$F$9,X$9))</f>
        <v>0</v>
      </c>
      <c r="Y57" s="27">
        <f>IF($G57="s-curve",$E57+($F57-$E57)*$I$2/(1+EXP($I$3*(COUNT($I$9:Y$9)+$I$4))),TREND($E57:$F57,$E$9:$F$9,Y$9))</f>
        <v>0</v>
      </c>
      <c r="Z57" s="27">
        <f>IF($G57="s-curve",$E57+($F57-$E57)*$I$2/(1+EXP($I$3*(COUNT($I$9:Z$9)+$I$4))),TREND($E57:$F57,$E$9:$F$9,Z$9))</f>
        <v>0</v>
      </c>
      <c r="AA57" s="27">
        <f>IF($G57="s-curve",$E57+($F57-$E57)*$I$2/(1+EXP($I$3*(COUNT($I$9:AA$9)+$I$4))),TREND($E57:$F57,$E$9:$F$9,AA$9))</f>
        <v>0</v>
      </c>
      <c r="AB57" s="27">
        <f>IF($G57="s-curve",$E57+($F57-$E57)*$I$2/(1+EXP($I$3*(COUNT($I$9:AB$9)+$I$4))),TREND($E57:$F57,$E$9:$F$9,AB$9))</f>
        <v>0</v>
      </c>
      <c r="AC57" s="27">
        <f>IF($G57="s-curve",$E57+($F57-$E57)*$I$2/(1+EXP($I$3*(COUNT($I$9:AC$9)+$I$4))),TREND($E57:$F57,$E$9:$F$9,AC$9))</f>
        <v>0</v>
      </c>
      <c r="AD57" s="27">
        <f>IF($G57="s-curve",$E57+($F57-$E57)*$I$2/(1+EXP($I$3*(COUNT($I$9:AD$9)+$I$4))),TREND($E57:$F57,$E$9:$F$9,AD$9))</f>
        <v>0</v>
      </c>
      <c r="AE57" s="27">
        <f>IF($G57="s-curve",$E57+($F57-$E57)*$I$2/(1+EXP($I$3*(COUNT($I$9:AE$9)+$I$4))),TREND($E57:$F57,$E$9:$F$9,AE$9))</f>
        <v>0</v>
      </c>
      <c r="AF57" s="27">
        <f>IF($G57="s-curve",$E57+($F57-$E57)*$I$2/(1+EXP($I$3*(COUNT($I$9:AF$9)+$I$4))),TREND($E57:$F57,$E$9:$F$9,AF$9))</f>
        <v>0</v>
      </c>
      <c r="AG57" s="27">
        <f>IF($G57="s-curve",$E57+($F57-$E57)*$I$2/(1+EXP($I$3*(COUNT($I$9:AG$9)+$I$4))),TREND($E57:$F57,$E$9:$F$9,AG$9))</f>
        <v>0</v>
      </c>
      <c r="AH57" s="27">
        <f>IF($G57="s-curve",$E57+($F57-$E57)*$I$2/(1+EXP($I$3*(COUNT($I$9:AH$9)+$I$4))),TREND($E57:$F57,$E$9:$F$9,AH$9))</f>
        <v>0</v>
      </c>
      <c r="AI57" s="27">
        <f>IF($G57="s-curve",$E57+($F57-$E57)*$I$2/(1+EXP($I$3*(COUNT($I$9:AI$9)+$I$4))),TREND($E57:$F57,$E$9:$F$9,AI$9))</f>
        <v>0</v>
      </c>
      <c r="AJ57" s="27">
        <f>IF($G57="s-curve",$E57+($F57-$E57)*$I$2/(1+EXP($I$3*(COUNT($I$9:AJ$9)+$I$4))),TREND($E57:$F57,$E$9:$F$9,AJ$9))</f>
        <v>0</v>
      </c>
      <c r="AK57" s="27">
        <f>IF($G57="s-curve",$E57+($F57-$E57)*$I$2/(1+EXP($I$3*(COUNT($I$9:AK$9)+$I$4))),TREND($E57:$F57,$E$9:$F$9,AK$9))</f>
        <v>0</v>
      </c>
      <c r="AL57" s="27">
        <f>IF($G57="s-curve",$E57+($F57-$E57)*$I$2/(1+EXP($I$3*(COUNT($I$9:AL$9)+$I$4))),TREND($E57:$F57,$E$9:$F$9,AL$9))</f>
        <v>0</v>
      </c>
      <c r="AM57" s="27">
        <f>IF($G57="s-curve",$E57+($F57-$E57)*$I$2/(1+EXP($I$3*(COUNT($I$9:AM$9)+$I$4))),TREND($E57:$F57,$E$9:$F$9,AM$9))</f>
        <v>0</v>
      </c>
      <c r="AN57" s="27">
        <f>IF($G57="s-curve",$E57+($F57-$E57)*$I$2/(1+EXP($I$3*(COUNT($I$9:AN$9)+$I$4))),TREND($E57:$F57,$E$9:$F$9,AN$9))</f>
        <v>0</v>
      </c>
      <c r="AO57" s="27">
        <f>IF($G57="s-curve",$E57+($F57-$E57)*$I$2/(1+EXP($I$3*(COUNT($I$9:AO$9)+$I$4))),TREND($E57:$F57,$E$9:$F$9,AO$9))</f>
        <v>0</v>
      </c>
      <c r="AP57" s="27">
        <f>IF($G57="s-curve",$E57+($F57-$E57)*$I$2/(1+EXP($I$3*(COUNT($I$9:AP$9)+$I$4))),TREND($E57:$F57,$E$9:$F$9,AP$9))</f>
        <v>0</v>
      </c>
      <c r="AQ57" s="27">
        <f>IF($G57="s-curve",$E57+($F57-$E57)*$I$2/(1+EXP($I$3*(COUNT($I$9:AQ$9)+$I$4))),TREND($E57:$F57,$E$9:$F$9,AQ$9))</f>
        <v>0</v>
      </c>
      <c r="AR57" s="27">
        <f>IF($G57="s-curve",$E57+($F57-$E57)*$I$2/(1+EXP($I$3*(COUNT($I$9:AR$9)+$I$4))),TREND($E57:$F57,$E$9:$F$9,AR$9))</f>
        <v>0</v>
      </c>
      <c r="AS57" s="27">
        <f>IF($G57="s-curve",$E57+($F57-$E57)*$I$2/(1+EXP($I$3*(COUNT($I$9:AS$9)+$I$4))),TREND($E57:$F57,$E$9:$F$9,AS$9))</f>
        <v>0</v>
      </c>
      <c r="AT57" s="27">
        <f>IF($G57="s-curve",$E57+($F57-$E57)*$I$2/(1+EXP($I$3*(COUNT($I$9:AT$9)+$I$4))),TREND($E57:$F57,$E$9:$F$9,AT$9))</f>
        <v>0</v>
      </c>
      <c r="AU57" s="27">
        <f>IF($G57="s-curve",$E57+($F57-$E57)*$I$2/(1+EXP($I$3*(COUNT($I$9:AU$9)+$I$4))),TREND($E57:$F57,$E$9:$F$9,AU$9))</f>
        <v>0</v>
      </c>
      <c r="AV57" s="27">
        <f>IF($G57="s-curve",$E57+($F57-$E57)*$I$2/(1+EXP($I$3*(COUNT($I$9:AV$9)+$I$4))),TREND($E57:$F57,$E$9:$F$9,AV$9))</f>
        <v>0</v>
      </c>
      <c r="AW57" s="27">
        <f>IF($G57="s-curve",$E57+($F57-$E57)*$I$2/(1+EXP($I$3*(COUNT($I$9:AW$9)+$I$4))),TREND($E57:$F57,$E$9:$F$9,AW$9))</f>
        <v>0</v>
      </c>
      <c r="AX57" s="27">
        <f>IF($G57="s-curve",$E57+($F57-$E57)*$I$2/(1+EXP($I$3*(COUNT($I$9:AX$9)+$I$4))),TREND($E57:$F57,$E$9:$F$9,AX$9))</f>
        <v>0</v>
      </c>
      <c r="AY57" s="27">
        <f>IF($G57="s-curve",$E57+($F57-$E57)*$I$2/(1+EXP($I$3*(COUNT($I$9:AY$9)+$I$4))),TREND($E57:$F57,$E$9:$F$9,AY$9))</f>
        <v>0</v>
      </c>
      <c r="AZ57" s="27">
        <f>IF($G57="s-curve",$E57+($F57-$E57)*$I$2/(1+EXP($I$3*(COUNT($I$9:AZ$9)+$I$4))),TREND($E57:$F57,$E$9:$F$9,AZ$9))</f>
        <v>0</v>
      </c>
      <c r="BA57" s="27">
        <f>IF($G57="s-curve",$E57+($F57-$E57)*$I$2/(1+EXP($I$3*(COUNT($I$9:BA$9)+$I$4))),TREND($E57:$F57,$E$9:$F$9,BA$9))</f>
        <v>0</v>
      </c>
      <c r="BB57" s="27">
        <f>IF($G57="s-curve",$E57+($F57-$E57)*$I$2/(1+EXP($I$3*(COUNT($I$9:BB$9)+$I$4))),TREND($E57:$F57,$E$9:$F$9,BB$9))</f>
        <v>0</v>
      </c>
      <c r="BC57" s="27">
        <f>IF($G57="s-curve",$E57+($F57-$E57)*$I$2/(1+EXP($I$3*(COUNT($I$9:BC$9)+$I$4))),TREND($E57:$F57,$E$9:$F$9,BC$9))</f>
        <v>0</v>
      </c>
      <c r="BD57" s="27">
        <f>IF($G57="s-curve",$E57+($F57-$E57)*$I$2/(1+EXP($I$3*(COUNT($I$9:BD$9)+$I$4))),TREND($E57:$F57,$E$9:$F$9,BD$9))</f>
        <v>0</v>
      </c>
      <c r="BE57" s="27">
        <f>IF($G57="s-curve",$E57+($F57-$E57)*$I$2/(1+EXP($I$3*(COUNT($I$9:BE$9)+$I$4))),TREND($E57:$F57,$E$9:$F$9,BE$9))</f>
        <v>0</v>
      </c>
      <c r="BF57" s="27">
        <f>IF($G57="s-curve",$E57+($F57-$E57)*$I$2/(1+EXP($I$3*(COUNT($I$9:BF$9)+$I$4))),TREND($E57:$F57,$E$9:$F$9,BF$9))</f>
        <v>0</v>
      </c>
    </row>
    <row r="58" spans="1:58" ht="15.5" thickBot="1" x14ac:dyDescent="0.9">
      <c r="A58" s="16"/>
      <c r="B58" s="16"/>
      <c r="C58" s="16" t="s">
        <v>32</v>
      </c>
      <c r="D58" s="26">
        <f t="shared" si="14"/>
        <v>0</v>
      </c>
      <c r="E58" s="31">
        <v>0</v>
      </c>
      <c r="F58" s="31">
        <v>0</v>
      </c>
      <c r="G58" s="32" t="str">
        <f>IF(E58=F58,"n/a",IF(OR(C58="battery electric vehicle",C58="natural gas vehicle",C58="plugin hybrid vehicle",C58="hydrogen vehicle"),"s-curve","linear"))</f>
        <v>n/a</v>
      </c>
      <c r="I58" s="27">
        <f t="shared" si="12"/>
        <v>0</v>
      </c>
      <c r="J58" s="27">
        <f t="shared" si="13"/>
        <v>0</v>
      </c>
      <c r="K58" s="27">
        <f t="shared" si="13"/>
        <v>0</v>
      </c>
      <c r="L58" s="27">
        <f t="shared" si="13"/>
        <v>0</v>
      </c>
      <c r="M58" s="27">
        <f>IF($G58="s-curve",$E58+($F58-$E58)*$I$2/(1+EXP($I$3*(COUNT($I$9:M$9)+$I$4))),TREND($E58:$F58,$E$9:$F$9,M$9))</f>
        <v>0</v>
      </c>
      <c r="N58" s="27">
        <f>IF($G58="s-curve",$E58+($F58-$E58)*$I$2/(1+EXP($I$3*(COUNT($I$9:N$9)+$I$4))),TREND($E58:$F58,$E$9:$F$9,N$9))</f>
        <v>0</v>
      </c>
      <c r="O58" s="27">
        <f>IF($G58="s-curve",$E58+($F58-$E58)*$I$2/(1+EXP($I$3*(COUNT($I$9:O$9)+$I$4))),TREND($E58:$F58,$E$9:$F$9,O$9))</f>
        <v>0</v>
      </c>
      <c r="P58" s="27">
        <f>IF($G58="s-curve",$E58+($F58-$E58)*$I$2/(1+EXP($I$3*(COUNT($I$9:P$9)+$I$4))),TREND($E58:$F58,$E$9:$F$9,P$9))</f>
        <v>0</v>
      </c>
      <c r="Q58" s="27">
        <f>IF($G58="s-curve",$E58+($F58-$E58)*$I$2/(1+EXP($I$3*(COUNT($I$9:Q$9)+$I$4))),TREND($E58:$F58,$E$9:$F$9,Q$9))</f>
        <v>0</v>
      </c>
      <c r="R58" s="27">
        <f>IF($G58="s-curve",$E58+($F58-$E58)*$I$2/(1+EXP($I$3*(COUNT($I$9:R$9)+$I$4))),TREND($E58:$F58,$E$9:$F$9,R$9))</f>
        <v>0</v>
      </c>
      <c r="S58" s="27">
        <f>IF($G58="s-curve",$E58+($F58-$E58)*$I$2/(1+EXP($I$3*(COUNT($I$9:S$9)+$I$4))),TREND($E58:$F58,$E$9:$F$9,S$9))</f>
        <v>0</v>
      </c>
      <c r="T58" s="27">
        <f>IF($G58="s-curve",$E58+($F58-$E58)*$I$2/(1+EXP($I$3*(COUNT($I$9:T$9)+$I$4))),TREND($E58:$F58,$E$9:$F$9,T$9))</f>
        <v>0</v>
      </c>
      <c r="U58" s="27">
        <f>IF($G58="s-curve",$E58+($F58-$E58)*$I$2/(1+EXP($I$3*(COUNT($I$9:U$9)+$I$4))),TREND($E58:$F58,$E$9:$F$9,U$9))</f>
        <v>0</v>
      </c>
      <c r="V58" s="27">
        <f>IF($G58="s-curve",$E58+($F58-$E58)*$I$2/(1+EXP($I$3*(COUNT($I$9:V$9)+$I$4))),TREND($E58:$F58,$E$9:$F$9,V$9))</f>
        <v>0</v>
      </c>
      <c r="W58" s="27">
        <f>IF($G58="s-curve",$E58+($F58-$E58)*$I$2/(1+EXP($I$3*(COUNT($I$9:W$9)+$I$4))),TREND($E58:$F58,$E$9:$F$9,W$9))</f>
        <v>0</v>
      </c>
      <c r="X58" s="27">
        <f>IF($G58="s-curve",$E58+($F58-$E58)*$I$2/(1+EXP($I$3*(COUNT($I$9:X$9)+$I$4))),TREND($E58:$F58,$E$9:$F$9,X$9))</f>
        <v>0</v>
      </c>
      <c r="Y58" s="27">
        <f>IF($G58="s-curve",$E58+($F58-$E58)*$I$2/(1+EXP($I$3*(COUNT($I$9:Y$9)+$I$4))),TREND($E58:$F58,$E$9:$F$9,Y$9))</f>
        <v>0</v>
      </c>
      <c r="Z58" s="27">
        <f>IF($G58="s-curve",$E58+($F58-$E58)*$I$2/(1+EXP($I$3*(COUNT($I$9:Z$9)+$I$4))),TREND($E58:$F58,$E$9:$F$9,Z$9))</f>
        <v>0</v>
      </c>
      <c r="AA58" s="27">
        <f>IF($G58="s-curve",$E58+($F58-$E58)*$I$2/(1+EXP($I$3*(COUNT($I$9:AA$9)+$I$4))),TREND($E58:$F58,$E$9:$F$9,AA$9))</f>
        <v>0</v>
      </c>
      <c r="AB58" s="27">
        <f>IF($G58="s-curve",$E58+($F58-$E58)*$I$2/(1+EXP($I$3*(COUNT($I$9:AB$9)+$I$4))),TREND($E58:$F58,$E$9:$F$9,AB$9))</f>
        <v>0</v>
      </c>
      <c r="AC58" s="27">
        <f>IF($G58="s-curve",$E58+($F58-$E58)*$I$2/(1+EXP($I$3*(COUNT($I$9:AC$9)+$I$4))),TREND($E58:$F58,$E$9:$F$9,AC$9))</f>
        <v>0</v>
      </c>
      <c r="AD58" s="27">
        <f>IF($G58="s-curve",$E58+($F58-$E58)*$I$2/(1+EXP($I$3*(COUNT($I$9:AD$9)+$I$4))),TREND($E58:$F58,$E$9:$F$9,AD$9))</f>
        <v>0</v>
      </c>
      <c r="AE58" s="27">
        <f>IF($G58="s-curve",$E58+($F58-$E58)*$I$2/(1+EXP($I$3*(COUNT($I$9:AE$9)+$I$4))),TREND($E58:$F58,$E$9:$F$9,AE$9))</f>
        <v>0</v>
      </c>
      <c r="AF58" s="27">
        <f>IF($G58="s-curve",$E58+($F58-$E58)*$I$2/(1+EXP($I$3*(COUNT($I$9:AF$9)+$I$4))),TREND($E58:$F58,$E$9:$F$9,AF$9))</f>
        <v>0</v>
      </c>
      <c r="AG58" s="27">
        <f>IF($G58="s-curve",$E58+($F58-$E58)*$I$2/(1+EXP($I$3*(COUNT($I$9:AG$9)+$I$4))),TREND($E58:$F58,$E$9:$F$9,AG$9))</f>
        <v>0</v>
      </c>
      <c r="AH58" s="27">
        <f>IF($G58="s-curve",$E58+($F58-$E58)*$I$2/(1+EXP($I$3*(COUNT($I$9:AH$9)+$I$4))),TREND($E58:$F58,$E$9:$F$9,AH$9))</f>
        <v>0</v>
      </c>
      <c r="AI58" s="27">
        <f>IF($G58="s-curve",$E58+($F58-$E58)*$I$2/(1+EXP($I$3*(COUNT($I$9:AI$9)+$I$4))),TREND($E58:$F58,$E$9:$F$9,AI$9))</f>
        <v>0</v>
      </c>
      <c r="AJ58" s="27">
        <f>IF($G58="s-curve",$E58+($F58-$E58)*$I$2/(1+EXP($I$3*(COUNT($I$9:AJ$9)+$I$4))),TREND($E58:$F58,$E$9:$F$9,AJ$9))</f>
        <v>0</v>
      </c>
      <c r="AK58" s="27">
        <f>IF($G58="s-curve",$E58+($F58-$E58)*$I$2/(1+EXP($I$3*(COUNT($I$9:AK$9)+$I$4))),TREND($E58:$F58,$E$9:$F$9,AK$9))</f>
        <v>0</v>
      </c>
      <c r="AL58" s="27">
        <f>IF($G58="s-curve",$E58+($F58-$E58)*$I$2/(1+EXP($I$3*(COUNT($I$9:AL$9)+$I$4))),TREND($E58:$F58,$E$9:$F$9,AL$9))</f>
        <v>0</v>
      </c>
      <c r="AM58" s="27">
        <f>IF($G58="s-curve",$E58+($F58-$E58)*$I$2/(1+EXP($I$3*(COUNT($I$9:AM$9)+$I$4))),TREND($E58:$F58,$E$9:$F$9,AM$9))</f>
        <v>0</v>
      </c>
      <c r="AN58" s="27">
        <f>IF($G58="s-curve",$E58+($F58-$E58)*$I$2/(1+EXP($I$3*(COUNT($I$9:AN$9)+$I$4))),TREND($E58:$F58,$E$9:$F$9,AN$9))</f>
        <v>0</v>
      </c>
      <c r="AO58" s="27">
        <f>IF($G58="s-curve",$E58+($F58-$E58)*$I$2/(1+EXP($I$3*(COUNT($I$9:AO$9)+$I$4))),TREND($E58:$F58,$E$9:$F$9,AO$9))</f>
        <v>0</v>
      </c>
      <c r="AP58" s="27">
        <f>IF($G58="s-curve",$E58+($F58-$E58)*$I$2/(1+EXP($I$3*(COUNT($I$9:AP$9)+$I$4))),TREND($E58:$F58,$E$9:$F$9,AP$9))</f>
        <v>0</v>
      </c>
      <c r="AQ58" s="27">
        <f>IF($G58="s-curve",$E58+($F58-$E58)*$I$2/(1+EXP($I$3*(COUNT($I$9:AQ$9)+$I$4))),TREND($E58:$F58,$E$9:$F$9,AQ$9))</f>
        <v>0</v>
      </c>
      <c r="AR58" s="27">
        <f>IF($G58="s-curve",$E58+($F58-$E58)*$I$2/(1+EXP($I$3*(COUNT($I$9:AR$9)+$I$4))),TREND($E58:$F58,$E$9:$F$9,AR$9))</f>
        <v>0</v>
      </c>
      <c r="AS58" s="27">
        <f>IF($G58="s-curve",$E58+($F58-$E58)*$I$2/(1+EXP($I$3*(COUNT($I$9:AS$9)+$I$4))),TREND($E58:$F58,$E$9:$F$9,AS$9))</f>
        <v>0</v>
      </c>
      <c r="AT58" s="27">
        <f>IF($G58="s-curve",$E58+($F58-$E58)*$I$2/(1+EXP($I$3*(COUNT($I$9:AT$9)+$I$4))),TREND($E58:$F58,$E$9:$F$9,AT$9))</f>
        <v>0</v>
      </c>
      <c r="AU58" s="27">
        <f>IF($G58="s-curve",$E58+($F58-$E58)*$I$2/(1+EXP($I$3*(COUNT($I$9:AU$9)+$I$4))),TREND($E58:$F58,$E$9:$F$9,AU$9))</f>
        <v>0</v>
      </c>
      <c r="AV58" s="27">
        <f>IF($G58="s-curve",$E58+($F58-$E58)*$I$2/(1+EXP($I$3*(COUNT($I$9:AV$9)+$I$4))),TREND($E58:$F58,$E$9:$F$9,AV$9))</f>
        <v>0</v>
      </c>
      <c r="AW58" s="27">
        <f>IF($G58="s-curve",$E58+($F58-$E58)*$I$2/(1+EXP($I$3*(COUNT($I$9:AW$9)+$I$4))),TREND($E58:$F58,$E$9:$F$9,AW$9))</f>
        <v>0</v>
      </c>
      <c r="AX58" s="27">
        <f>IF($G58="s-curve",$E58+($F58-$E58)*$I$2/(1+EXP($I$3*(COUNT($I$9:AX$9)+$I$4))),TREND($E58:$F58,$E$9:$F$9,AX$9))</f>
        <v>0</v>
      </c>
      <c r="AY58" s="27">
        <f>IF($G58="s-curve",$E58+($F58-$E58)*$I$2/(1+EXP($I$3*(COUNT($I$9:AY$9)+$I$4))),TREND($E58:$F58,$E$9:$F$9,AY$9))</f>
        <v>0</v>
      </c>
      <c r="AZ58" s="27">
        <f>IF($G58="s-curve",$E58+($F58-$E58)*$I$2/(1+EXP($I$3*(COUNT($I$9:AZ$9)+$I$4))),TREND($E58:$F58,$E$9:$F$9,AZ$9))</f>
        <v>0</v>
      </c>
      <c r="BA58" s="27">
        <f>IF($G58="s-curve",$E58+($F58-$E58)*$I$2/(1+EXP($I$3*(COUNT($I$9:BA$9)+$I$4))),TREND($E58:$F58,$E$9:$F$9,BA$9))</f>
        <v>0</v>
      </c>
      <c r="BB58" s="27">
        <f>IF($G58="s-curve",$E58+($F58-$E58)*$I$2/(1+EXP($I$3*(COUNT($I$9:BB$9)+$I$4))),TREND($E58:$F58,$E$9:$F$9,BB$9))</f>
        <v>0</v>
      </c>
      <c r="BC58" s="27">
        <f>IF($G58="s-curve",$E58+($F58-$E58)*$I$2/(1+EXP($I$3*(COUNT($I$9:BC$9)+$I$4))),TREND($E58:$F58,$E$9:$F$9,BC$9))</f>
        <v>0</v>
      </c>
      <c r="BD58" s="27">
        <f>IF($G58="s-curve",$E58+($F58-$E58)*$I$2/(1+EXP($I$3*(COUNT($I$9:BD$9)+$I$4))),TREND($E58:$F58,$E$9:$F$9,BD$9))</f>
        <v>0</v>
      </c>
      <c r="BE58" s="27">
        <f>IF($G58="s-curve",$E58+($F58-$E58)*$I$2/(1+EXP($I$3*(COUNT($I$9:BE$9)+$I$4))),TREND($E58:$F58,$E$9:$F$9,BE$9))</f>
        <v>0</v>
      </c>
      <c r="BF58" s="27">
        <f>IF($G58="s-curve",$E58+($F58-$E58)*$I$2/(1+EXP($I$3*(COUNT($I$9:BF$9)+$I$4))),TREND($E58:$F58,$E$9:$F$9,BF$9))</f>
        <v>0</v>
      </c>
    </row>
    <row r="59" spans="1:58" x14ac:dyDescent="0.75">
      <c r="A59" t="s">
        <v>15</v>
      </c>
      <c r="B59" t="s">
        <v>18</v>
      </c>
      <c r="C59" t="s">
        <v>1</v>
      </c>
      <c r="D59" s="26">
        <f t="shared" si="14"/>
        <v>0</v>
      </c>
      <c r="E59" s="26">
        <v>0</v>
      </c>
      <c r="F59" s="26">
        <v>0</v>
      </c>
      <c r="G59" s="29" t="str">
        <f>IF(E59=F59,"n/a",IF(OR(C59="battery electric vehicle",C59="natural gas vehicle",C59="plugin hybrid vehicle"),"s-curve","linear"))</f>
        <v>n/a</v>
      </c>
      <c r="I59" s="27">
        <f t="shared" si="12"/>
        <v>0</v>
      </c>
      <c r="J59" s="27">
        <f t="shared" si="13"/>
        <v>0</v>
      </c>
      <c r="K59" s="27">
        <f t="shared" si="13"/>
        <v>0</v>
      </c>
      <c r="L59" s="27">
        <f t="shared" si="13"/>
        <v>0</v>
      </c>
      <c r="M59" s="27">
        <f>IF($G59="s-curve",$E59+($F59-$E59)*$I$2/(1+EXP($I$3*(COUNT($I$9:M$9)+$I$4))),TREND($E59:$F59,$E$9:$F$9,M$9))</f>
        <v>0</v>
      </c>
      <c r="N59" s="27">
        <f>IF($G59="s-curve",$E59+($F59-$E59)*$I$2/(1+EXP($I$3*(COUNT($I$9:N$9)+$I$4))),TREND($E59:$F59,$E$9:$F$9,N$9))</f>
        <v>0</v>
      </c>
      <c r="O59" s="27">
        <f>IF($G59="s-curve",$E59+($F59-$E59)*$I$2/(1+EXP($I$3*(COUNT($I$9:O$9)+$I$4))),TREND($E59:$F59,$E$9:$F$9,O$9))</f>
        <v>0</v>
      </c>
      <c r="P59" s="27">
        <f>IF($G59="s-curve",$E59+($F59-$E59)*$I$2/(1+EXP($I$3*(COUNT($I$9:P$9)+$I$4))),TREND($E59:$F59,$E$9:$F$9,P$9))</f>
        <v>0</v>
      </c>
      <c r="Q59" s="27">
        <f>IF($G59="s-curve",$E59+($F59-$E59)*$I$2/(1+EXP($I$3*(COUNT($I$9:Q$9)+$I$4))),TREND($E59:$F59,$E$9:$F$9,Q$9))</f>
        <v>0</v>
      </c>
      <c r="R59" s="27">
        <f>IF($G59="s-curve",$E59+($F59-$E59)*$I$2/(1+EXP($I$3*(COUNT($I$9:R$9)+$I$4))),TREND($E59:$F59,$E$9:$F$9,R$9))</f>
        <v>0</v>
      </c>
      <c r="S59" s="27">
        <f>IF($G59="s-curve",$E59+($F59-$E59)*$I$2/(1+EXP($I$3*(COUNT($I$9:S$9)+$I$4))),TREND($E59:$F59,$E$9:$F$9,S$9))</f>
        <v>0</v>
      </c>
      <c r="T59" s="27">
        <f>IF($G59="s-curve",$E59+($F59-$E59)*$I$2/(1+EXP($I$3*(COUNT($I$9:T$9)+$I$4))),TREND($E59:$F59,$E$9:$F$9,T$9))</f>
        <v>0</v>
      </c>
      <c r="U59" s="27">
        <f>IF($G59="s-curve",$E59+($F59-$E59)*$I$2/(1+EXP($I$3*(COUNT($I$9:U$9)+$I$4))),TREND($E59:$F59,$E$9:$F$9,U$9))</f>
        <v>0</v>
      </c>
      <c r="V59" s="27">
        <f>IF($G59="s-curve",$E59+($F59-$E59)*$I$2/(1+EXP($I$3*(COUNT($I$9:V$9)+$I$4))),TREND($E59:$F59,$E$9:$F$9,V$9))</f>
        <v>0</v>
      </c>
      <c r="W59" s="27">
        <f>IF($G59="s-curve",$E59+($F59-$E59)*$I$2/(1+EXP($I$3*(COUNT($I$9:W$9)+$I$4))),TREND($E59:$F59,$E$9:$F$9,W$9))</f>
        <v>0</v>
      </c>
      <c r="X59" s="27">
        <f>IF($G59="s-curve",$E59+($F59-$E59)*$I$2/(1+EXP($I$3*(COUNT($I$9:X$9)+$I$4))),TREND($E59:$F59,$E$9:$F$9,X$9))</f>
        <v>0</v>
      </c>
      <c r="Y59" s="27">
        <f>IF($G59="s-curve",$E59+($F59-$E59)*$I$2/(1+EXP($I$3*(COUNT($I$9:Y$9)+$I$4))),TREND($E59:$F59,$E$9:$F$9,Y$9))</f>
        <v>0</v>
      </c>
      <c r="Z59" s="27">
        <f>IF($G59="s-curve",$E59+($F59-$E59)*$I$2/(1+EXP($I$3*(COUNT($I$9:Z$9)+$I$4))),TREND($E59:$F59,$E$9:$F$9,Z$9))</f>
        <v>0</v>
      </c>
      <c r="AA59" s="27">
        <f>IF($G59="s-curve",$E59+($F59-$E59)*$I$2/(1+EXP($I$3*(COUNT($I$9:AA$9)+$I$4))),TREND($E59:$F59,$E$9:$F$9,AA$9))</f>
        <v>0</v>
      </c>
      <c r="AB59" s="27">
        <f>IF($G59="s-curve",$E59+($F59-$E59)*$I$2/(1+EXP($I$3*(COUNT($I$9:AB$9)+$I$4))),TREND($E59:$F59,$E$9:$F$9,AB$9))</f>
        <v>0</v>
      </c>
      <c r="AC59" s="27">
        <f>IF($G59="s-curve",$E59+($F59-$E59)*$I$2/(1+EXP($I$3*(COUNT($I$9:AC$9)+$I$4))),TREND($E59:$F59,$E$9:$F$9,AC$9))</f>
        <v>0</v>
      </c>
      <c r="AD59" s="27">
        <f>IF($G59="s-curve",$E59+($F59-$E59)*$I$2/(1+EXP($I$3*(COUNT($I$9:AD$9)+$I$4))),TREND($E59:$F59,$E$9:$F$9,AD$9))</f>
        <v>0</v>
      </c>
      <c r="AE59" s="27">
        <f>IF($G59="s-curve",$E59+($F59-$E59)*$I$2/(1+EXP($I$3*(COUNT($I$9:AE$9)+$I$4))),TREND($E59:$F59,$E$9:$F$9,AE$9))</f>
        <v>0</v>
      </c>
      <c r="AF59" s="27">
        <f>IF($G59="s-curve",$E59+($F59-$E59)*$I$2/(1+EXP($I$3*(COUNT($I$9:AF$9)+$I$4))),TREND($E59:$F59,$E$9:$F$9,AF$9))</f>
        <v>0</v>
      </c>
      <c r="AG59" s="27">
        <f>IF($G59="s-curve",$E59+($F59-$E59)*$I$2/(1+EXP($I$3*(COUNT($I$9:AG$9)+$I$4))),TREND($E59:$F59,$E$9:$F$9,AG$9))</f>
        <v>0</v>
      </c>
      <c r="AH59" s="27">
        <f>IF($G59="s-curve",$E59+($F59-$E59)*$I$2/(1+EXP($I$3*(COUNT($I$9:AH$9)+$I$4))),TREND($E59:$F59,$E$9:$F$9,AH$9))</f>
        <v>0</v>
      </c>
      <c r="AI59" s="27">
        <f>IF($G59="s-curve",$E59+($F59-$E59)*$I$2/(1+EXP($I$3*(COUNT($I$9:AI$9)+$I$4))),TREND($E59:$F59,$E$9:$F$9,AI$9))</f>
        <v>0</v>
      </c>
      <c r="AJ59" s="27">
        <f>IF($G59="s-curve",$E59+($F59-$E59)*$I$2/(1+EXP($I$3*(COUNT($I$9:AJ$9)+$I$4))),TREND($E59:$F59,$E$9:$F$9,AJ$9))</f>
        <v>0</v>
      </c>
      <c r="AK59" s="27">
        <f>IF($G59="s-curve",$E59+($F59-$E59)*$I$2/(1+EXP($I$3*(COUNT($I$9:AK$9)+$I$4))),TREND($E59:$F59,$E$9:$F$9,AK$9))</f>
        <v>0</v>
      </c>
      <c r="AL59" s="27">
        <f>IF($G59="s-curve",$E59+($F59-$E59)*$I$2/(1+EXP($I$3*(COUNT($I$9:AL$9)+$I$4))),TREND($E59:$F59,$E$9:$F$9,AL$9))</f>
        <v>0</v>
      </c>
      <c r="AM59" s="27">
        <f>IF($G59="s-curve",$E59+($F59-$E59)*$I$2/(1+EXP($I$3*(COUNT($I$9:AM$9)+$I$4))),TREND($E59:$F59,$E$9:$F$9,AM$9))</f>
        <v>0</v>
      </c>
      <c r="AN59" s="27">
        <f>IF($G59="s-curve",$E59+($F59-$E59)*$I$2/(1+EXP($I$3*(COUNT($I$9:AN$9)+$I$4))),TREND($E59:$F59,$E$9:$F$9,AN$9))</f>
        <v>0</v>
      </c>
      <c r="AO59" s="27">
        <f>IF($G59="s-curve",$E59+($F59-$E59)*$I$2/(1+EXP($I$3*(COUNT($I$9:AO$9)+$I$4))),TREND($E59:$F59,$E$9:$F$9,AO$9))</f>
        <v>0</v>
      </c>
      <c r="AP59" s="27">
        <f>IF($G59="s-curve",$E59+($F59-$E59)*$I$2/(1+EXP($I$3*(COUNT($I$9:AP$9)+$I$4))),TREND($E59:$F59,$E$9:$F$9,AP$9))</f>
        <v>0</v>
      </c>
      <c r="AQ59" s="27">
        <f>IF($G59="s-curve",$E59+($F59-$E59)*$I$2/(1+EXP($I$3*(COUNT($I$9:AQ$9)+$I$4))),TREND($E59:$F59,$E$9:$F$9,AQ$9))</f>
        <v>0</v>
      </c>
      <c r="AR59" s="27">
        <f>IF($G59="s-curve",$E59+($F59-$E59)*$I$2/(1+EXP($I$3*(COUNT($I$9:AR$9)+$I$4))),TREND($E59:$F59,$E$9:$F$9,AR$9))</f>
        <v>0</v>
      </c>
      <c r="AS59" s="27">
        <f>IF($G59="s-curve",$E59+($F59-$E59)*$I$2/(1+EXP($I$3*(COUNT($I$9:AS$9)+$I$4))),TREND($E59:$F59,$E$9:$F$9,AS$9))</f>
        <v>0</v>
      </c>
      <c r="AT59" s="27">
        <f>IF($G59="s-curve",$E59+($F59-$E59)*$I$2/(1+EXP($I$3*(COUNT($I$9:AT$9)+$I$4))),TREND($E59:$F59,$E$9:$F$9,AT$9))</f>
        <v>0</v>
      </c>
      <c r="AU59" s="27">
        <f>IF($G59="s-curve",$E59+($F59-$E59)*$I$2/(1+EXP($I$3*(COUNT($I$9:AU$9)+$I$4))),TREND($E59:$F59,$E$9:$F$9,AU$9))</f>
        <v>0</v>
      </c>
      <c r="AV59" s="27">
        <f>IF($G59="s-curve",$E59+($F59-$E59)*$I$2/(1+EXP($I$3*(COUNT($I$9:AV$9)+$I$4))),TREND($E59:$F59,$E$9:$F$9,AV$9))</f>
        <v>0</v>
      </c>
      <c r="AW59" s="27">
        <f>IF($G59="s-curve",$E59+($F59-$E59)*$I$2/(1+EXP($I$3*(COUNT($I$9:AW$9)+$I$4))),TREND($E59:$F59,$E$9:$F$9,AW$9))</f>
        <v>0</v>
      </c>
      <c r="AX59" s="27">
        <f>IF($G59="s-curve",$E59+($F59-$E59)*$I$2/(1+EXP($I$3*(COUNT($I$9:AX$9)+$I$4))),TREND($E59:$F59,$E$9:$F$9,AX$9))</f>
        <v>0</v>
      </c>
      <c r="AY59" s="27">
        <f>IF($G59="s-curve",$E59+($F59-$E59)*$I$2/(1+EXP($I$3*(COUNT($I$9:AY$9)+$I$4))),TREND($E59:$F59,$E$9:$F$9,AY$9))</f>
        <v>0</v>
      </c>
      <c r="AZ59" s="27">
        <f>IF($G59="s-curve",$E59+($F59-$E59)*$I$2/(1+EXP($I$3*(COUNT($I$9:AZ$9)+$I$4))),TREND($E59:$F59,$E$9:$F$9,AZ$9))</f>
        <v>0</v>
      </c>
      <c r="BA59" s="27">
        <f>IF($G59="s-curve",$E59+($F59-$E59)*$I$2/(1+EXP($I$3*(COUNT($I$9:BA$9)+$I$4))),TREND($E59:$F59,$E$9:$F$9,BA$9))</f>
        <v>0</v>
      </c>
      <c r="BB59" s="27">
        <f>IF($G59="s-curve",$E59+($F59-$E59)*$I$2/(1+EXP($I$3*(COUNT($I$9:BB$9)+$I$4))),TREND($E59:$F59,$E$9:$F$9,BB$9))</f>
        <v>0</v>
      </c>
      <c r="BC59" s="27">
        <f>IF($G59="s-curve",$E59+($F59-$E59)*$I$2/(1+EXP($I$3*(COUNT($I$9:BC$9)+$I$4))),TREND($E59:$F59,$E$9:$F$9,BC$9))</f>
        <v>0</v>
      </c>
      <c r="BD59" s="27">
        <f>IF($G59="s-curve",$E59+($F59-$E59)*$I$2/(1+EXP($I$3*(COUNT($I$9:BD$9)+$I$4))),TREND($E59:$F59,$E$9:$F$9,BD$9))</f>
        <v>0</v>
      </c>
      <c r="BE59" s="27">
        <f>IF($G59="s-curve",$E59+($F59-$E59)*$I$2/(1+EXP($I$3*(COUNT($I$9:BE$9)+$I$4))),TREND($E59:$F59,$E$9:$F$9,BE$9))</f>
        <v>0</v>
      </c>
      <c r="BF59" s="27">
        <f>IF($G59="s-curve",$E59+($F59-$E59)*$I$2/(1+EXP($I$3*(COUNT($I$9:BF$9)+$I$4))),TREND($E59:$F59,$E$9:$F$9,BF$9))</f>
        <v>0</v>
      </c>
    </row>
    <row r="60" spans="1:58" x14ac:dyDescent="0.75">
      <c r="C60" t="s">
        <v>2</v>
      </c>
      <c r="D60" s="26">
        <f t="shared" si="14"/>
        <v>0</v>
      </c>
      <c r="E60" s="26">
        <v>0</v>
      </c>
      <c r="F60" s="26">
        <v>0</v>
      </c>
      <c r="G60" s="29" t="str">
        <f>IF(E60=F60,"n/a",IF(OR(C60="battery electric vehicle",C60="natural gas vehicle",C60="plugin hybrid vehicle"),"s-curve","linear"))</f>
        <v>n/a</v>
      </c>
      <c r="I60" s="27">
        <f t="shared" si="12"/>
        <v>0</v>
      </c>
      <c r="J60" s="27">
        <f t="shared" si="13"/>
        <v>0</v>
      </c>
      <c r="K60" s="27">
        <f t="shared" si="13"/>
        <v>0</v>
      </c>
      <c r="L60" s="27">
        <f t="shared" si="13"/>
        <v>0</v>
      </c>
      <c r="M60" s="27">
        <f>IF($G60="s-curve",$E60+($F60-$E60)*$I$2/(1+EXP($I$3*(COUNT($I$9:M$9)+$I$4))),TREND($E60:$F60,$E$9:$F$9,M$9))</f>
        <v>0</v>
      </c>
      <c r="N60" s="27">
        <f>IF($G60="s-curve",$E60+($F60-$E60)*$I$2/(1+EXP($I$3*(COUNT($I$9:N$9)+$I$4))),TREND($E60:$F60,$E$9:$F$9,N$9))</f>
        <v>0</v>
      </c>
      <c r="O60" s="27">
        <f>IF($G60="s-curve",$E60+($F60-$E60)*$I$2/(1+EXP($I$3*(COUNT($I$9:O$9)+$I$4))),TREND($E60:$F60,$E$9:$F$9,O$9))</f>
        <v>0</v>
      </c>
      <c r="P60" s="27">
        <f>IF($G60="s-curve",$E60+($F60-$E60)*$I$2/(1+EXP($I$3*(COUNT($I$9:P$9)+$I$4))),TREND($E60:$F60,$E$9:$F$9,P$9))</f>
        <v>0</v>
      </c>
      <c r="Q60" s="27">
        <f>IF($G60="s-curve",$E60+($F60-$E60)*$I$2/(1+EXP($I$3*(COUNT($I$9:Q$9)+$I$4))),TREND($E60:$F60,$E$9:$F$9,Q$9))</f>
        <v>0</v>
      </c>
      <c r="R60" s="27">
        <f>IF($G60="s-curve",$E60+($F60-$E60)*$I$2/(1+EXP($I$3*(COUNT($I$9:R$9)+$I$4))),TREND($E60:$F60,$E$9:$F$9,R$9))</f>
        <v>0</v>
      </c>
      <c r="S60" s="27">
        <f>IF($G60="s-curve",$E60+($F60-$E60)*$I$2/(1+EXP($I$3*(COUNT($I$9:S$9)+$I$4))),TREND($E60:$F60,$E$9:$F$9,S$9))</f>
        <v>0</v>
      </c>
      <c r="T60" s="27">
        <f>IF($G60="s-curve",$E60+($F60-$E60)*$I$2/(1+EXP($I$3*(COUNT($I$9:T$9)+$I$4))),TREND($E60:$F60,$E$9:$F$9,T$9))</f>
        <v>0</v>
      </c>
      <c r="U60" s="27">
        <f>IF($G60="s-curve",$E60+($F60-$E60)*$I$2/(1+EXP($I$3*(COUNT($I$9:U$9)+$I$4))),TREND($E60:$F60,$E$9:$F$9,U$9))</f>
        <v>0</v>
      </c>
      <c r="V60" s="27">
        <f>IF($G60="s-curve",$E60+($F60-$E60)*$I$2/(1+EXP($I$3*(COUNT($I$9:V$9)+$I$4))),TREND($E60:$F60,$E$9:$F$9,V$9))</f>
        <v>0</v>
      </c>
      <c r="W60" s="27">
        <f>IF($G60="s-curve",$E60+($F60-$E60)*$I$2/(1+EXP($I$3*(COUNT($I$9:W$9)+$I$4))),TREND($E60:$F60,$E$9:$F$9,W$9))</f>
        <v>0</v>
      </c>
      <c r="X60" s="27">
        <f>IF($G60="s-curve",$E60+($F60-$E60)*$I$2/(1+EXP($I$3*(COUNT($I$9:X$9)+$I$4))),TREND($E60:$F60,$E$9:$F$9,X$9))</f>
        <v>0</v>
      </c>
      <c r="Y60" s="27">
        <f>IF($G60="s-curve",$E60+($F60-$E60)*$I$2/(1+EXP($I$3*(COUNT($I$9:Y$9)+$I$4))),TREND($E60:$F60,$E$9:$F$9,Y$9))</f>
        <v>0</v>
      </c>
      <c r="Z60" s="27">
        <f>IF($G60="s-curve",$E60+($F60-$E60)*$I$2/(1+EXP($I$3*(COUNT($I$9:Z$9)+$I$4))),TREND($E60:$F60,$E$9:$F$9,Z$9))</f>
        <v>0</v>
      </c>
      <c r="AA60" s="27">
        <f>IF($G60="s-curve",$E60+($F60-$E60)*$I$2/(1+EXP($I$3*(COUNT($I$9:AA$9)+$I$4))),TREND($E60:$F60,$E$9:$F$9,AA$9))</f>
        <v>0</v>
      </c>
      <c r="AB60" s="27">
        <f>IF($G60="s-curve",$E60+($F60-$E60)*$I$2/(1+EXP($I$3*(COUNT($I$9:AB$9)+$I$4))),TREND($E60:$F60,$E$9:$F$9,AB$9))</f>
        <v>0</v>
      </c>
      <c r="AC60" s="27">
        <f>IF($G60="s-curve",$E60+($F60-$E60)*$I$2/(1+EXP($I$3*(COUNT($I$9:AC$9)+$I$4))),TREND($E60:$F60,$E$9:$F$9,AC$9))</f>
        <v>0</v>
      </c>
      <c r="AD60" s="27">
        <f>IF($G60="s-curve",$E60+($F60-$E60)*$I$2/(1+EXP($I$3*(COUNT($I$9:AD$9)+$I$4))),TREND($E60:$F60,$E$9:$F$9,AD$9))</f>
        <v>0</v>
      </c>
      <c r="AE60" s="27">
        <f>IF($G60="s-curve",$E60+($F60-$E60)*$I$2/(1+EXP($I$3*(COUNT($I$9:AE$9)+$I$4))),TREND($E60:$F60,$E$9:$F$9,AE$9))</f>
        <v>0</v>
      </c>
      <c r="AF60" s="27">
        <f>IF($G60="s-curve",$E60+($F60-$E60)*$I$2/(1+EXP($I$3*(COUNT($I$9:AF$9)+$I$4))),TREND($E60:$F60,$E$9:$F$9,AF$9))</f>
        <v>0</v>
      </c>
      <c r="AG60" s="27">
        <f>IF($G60="s-curve",$E60+($F60-$E60)*$I$2/(1+EXP($I$3*(COUNT($I$9:AG$9)+$I$4))),TREND($E60:$F60,$E$9:$F$9,AG$9))</f>
        <v>0</v>
      </c>
      <c r="AH60" s="27">
        <f>IF($G60="s-curve",$E60+($F60-$E60)*$I$2/(1+EXP($I$3*(COUNT($I$9:AH$9)+$I$4))),TREND($E60:$F60,$E$9:$F$9,AH$9))</f>
        <v>0</v>
      </c>
      <c r="AI60" s="27">
        <f>IF($G60="s-curve",$E60+($F60-$E60)*$I$2/(1+EXP($I$3*(COUNT($I$9:AI$9)+$I$4))),TREND($E60:$F60,$E$9:$F$9,AI$9))</f>
        <v>0</v>
      </c>
      <c r="AJ60" s="27">
        <f>IF($G60="s-curve",$E60+($F60-$E60)*$I$2/(1+EXP($I$3*(COUNT($I$9:AJ$9)+$I$4))),TREND($E60:$F60,$E$9:$F$9,AJ$9))</f>
        <v>0</v>
      </c>
      <c r="AK60" s="27">
        <f>IF($G60="s-curve",$E60+($F60-$E60)*$I$2/(1+EXP($I$3*(COUNT($I$9:AK$9)+$I$4))),TREND($E60:$F60,$E$9:$F$9,AK$9))</f>
        <v>0</v>
      </c>
      <c r="AL60" s="27">
        <f>IF($G60="s-curve",$E60+($F60-$E60)*$I$2/(1+EXP($I$3*(COUNT($I$9:AL$9)+$I$4))),TREND($E60:$F60,$E$9:$F$9,AL$9))</f>
        <v>0</v>
      </c>
      <c r="AM60" s="27">
        <f>IF($G60="s-curve",$E60+($F60-$E60)*$I$2/(1+EXP($I$3*(COUNT($I$9:AM$9)+$I$4))),TREND($E60:$F60,$E$9:$F$9,AM$9))</f>
        <v>0</v>
      </c>
      <c r="AN60" s="27">
        <f>IF($G60="s-curve",$E60+($F60-$E60)*$I$2/(1+EXP($I$3*(COUNT($I$9:AN$9)+$I$4))),TREND($E60:$F60,$E$9:$F$9,AN$9))</f>
        <v>0</v>
      </c>
      <c r="AO60" s="27">
        <f>IF($G60="s-curve",$E60+($F60-$E60)*$I$2/(1+EXP($I$3*(COUNT($I$9:AO$9)+$I$4))),TREND($E60:$F60,$E$9:$F$9,AO$9))</f>
        <v>0</v>
      </c>
      <c r="AP60" s="27">
        <f>IF($G60="s-curve",$E60+($F60-$E60)*$I$2/(1+EXP($I$3*(COUNT($I$9:AP$9)+$I$4))),TREND($E60:$F60,$E$9:$F$9,AP$9))</f>
        <v>0</v>
      </c>
      <c r="AQ60" s="27">
        <f>IF($G60="s-curve",$E60+($F60-$E60)*$I$2/(1+EXP($I$3*(COUNT($I$9:AQ$9)+$I$4))),TREND($E60:$F60,$E$9:$F$9,AQ$9))</f>
        <v>0</v>
      </c>
      <c r="AR60" s="27">
        <f>IF($G60="s-curve",$E60+($F60-$E60)*$I$2/(1+EXP($I$3*(COUNT($I$9:AR$9)+$I$4))),TREND($E60:$F60,$E$9:$F$9,AR$9))</f>
        <v>0</v>
      </c>
      <c r="AS60" s="27">
        <f>IF($G60="s-curve",$E60+($F60-$E60)*$I$2/(1+EXP($I$3*(COUNT($I$9:AS$9)+$I$4))),TREND($E60:$F60,$E$9:$F$9,AS$9))</f>
        <v>0</v>
      </c>
      <c r="AT60" s="27">
        <f>IF($G60="s-curve",$E60+($F60-$E60)*$I$2/(1+EXP($I$3*(COUNT($I$9:AT$9)+$I$4))),TREND($E60:$F60,$E$9:$F$9,AT$9))</f>
        <v>0</v>
      </c>
      <c r="AU60" s="27">
        <f>IF($G60="s-curve",$E60+($F60-$E60)*$I$2/(1+EXP($I$3*(COUNT($I$9:AU$9)+$I$4))),TREND($E60:$F60,$E$9:$F$9,AU$9))</f>
        <v>0</v>
      </c>
      <c r="AV60" s="27">
        <f>IF($G60="s-curve",$E60+($F60-$E60)*$I$2/(1+EXP($I$3*(COUNT($I$9:AV$9)+$I$4))),TREND($E60:$F60,$E$9:$F$9,AV$9))</f>
        <v>0</v>
      </c>
      <c r="AW60" s="27">
        <f>IF($G60="s-curve",$E60+($F60-$E60)*$I$2/(1+EXP($I$3*(COUNT($I$9:AW$9)+$I$4))),TREND($E60:$F60,$E$9:$F$9,AW$9))</f>
        <v>0</v>
      </c>
      <c r="AX60" s="27">
        <f>IF($G60="s-curve",$E60+($F60-$E60)*$I$2/(1+EXP($I$3*(COUNT($I$9:AX$9)+$I$4))),TREND($E60:$F60,$E$9:$F$9,AX$9))</f>
        <v>0</v>
      </c>
      <c r="AY60" s="27">
        <f>IF($G60="s-curve",$E60+($F60-$E60)*$I$2/(1+EXP($I$3*(COUNT($I$9:AY$9)+$I$4))),TREND($E60:$F60,$E$9:$F$9,AY$9))</f>
        <v>0</v>
      </c>
      <c r="AZ60" s="27">
        <f>IF($G60="s-curve",$E60+($F60-$E60)*$I$2/(1+EXP($I$3*(COUNT($I$9:AZ$9)+$I$4))),TREND($E60:$F60,$E$9:$F$9,AZ$9))</f>
        <v>0</v>
      </c>
      <c r="BA60" s="27">
        <f>IF($G60="s-curve",$E60+($F60-$E60)*$I$2/(1+EXP($I$3*(COUNT($I$9:BA$9)+$I$4))),TREND($E60:$F60,$E$9:$F$9,BA$9))</f>
        <v>0</v>
      </c>
      <c r="BB60" s="27">
        <f>IF($G60="s-curve",$E60+($F60-$E60)*$I$2/(1+EXP($I$3*(COUNT($I$9:BB$9)+$I$4))),TREND($E60:$F60,$E$9:$F$9,BB$9))</f>
        <v>0</v>
      </c>
      <c r="BC60" s="27">
        <f>IF($G60="s-curve",$E60+($F60-$E60)*$I$2/(1+EXP($I$3*(COUNT($I$9:BC$9)+$I$4))),TREND($E60:$F60,$E$9:$F$9,BC$9))</f>
        <v>0</v>
      </c>
      <c r="BD60" s="27">
        <f>IF($G60="s-curve",$E60+($F60-$E60)*$I$2/(1+EXP($I$3*(COUNT($I$9:BD$9)+$I$4))),TREND($E60:$F60,$E$9:$F$9,BD$9))</f>
        <v>0</v>
      </c>
      <c r="BE60" s="27">
        <f>IF($G60="s-curve",$E60+($F60-$E60)*$I$2/(1+EXP($I$3*(COUNT($I$9:BE$9)+$I$4))),TREND($E60:$F60,$E$9:$F$9,BE$9))</f>
        <v>0</v>
      </c>
      <c r="BF60" s="27">
        <f>IF($G60="s-curve",$E60+($F60-$E60)*$I$2/(1+EXP($I$3*(COUNT($I$9:BF$9)+$I$4))),TREND($E60:$F60,$E$9:$F$9,BF$9))</f>
        <v>0</v>
      </c>
    </row>
    <row r="61" spans="1:58" x14ac:dyDescent="0.75">
      <c r="C61" t="s">
        <v>3</v>
      </c>
      <c r="D61" s="26">
        <f t="shared" si="14"/>
        <v>0</v>
      </c>
      <c r="E61" s="26">
        <v>0</v>
      </c>
      <c r="F61" s="26">
        <v>0</v>
      </c>
      <c r="G61" s="29" t="str">
        <f>IF(E61=F61,"n/a",IF(OR(C61="battery electric vehicle",C61="natural gas vehicle",C61="plugin hybrid vehicle"),"s-curve","linear"))</f>
        <v>n/a</v>
      </c>
      <c r="I61" s="27">
        <f t="shared" si="12"/>
        <v>0</v>
      </c>
      <c r="J61" s="27">
        <f t="shared" si="13"/>
        <v>0</v>
      </c>
      <c r="K61" s="27">
        <f t="shared" si="13"/>
        <v>0</v>
      </c>
      <c r="L61" s="27">
        <f t="shared" si="13"/>
        <v>0</v>
      </c>
      <c r="M61" s="27">
        <f>IF($G61="s-curve",$E61+($F61-$E61)*$I$2/(1+EXP($I$3*(COUNT($I$9:M$9)+$I$4))),TREND($E61:$F61,$E$9:$F$9,M$9))</f>
        <v>0</v>
      </c>
      <c r="N61" s="27">
        <f>IF($G61="s-curve",$E61+($F61-$E61)*$I$2/(1+EXP($I$3*(COUNT($I$9:N$9)+$I$4))),TREND($E61:$F61,$E$9:$F$9,N$9))</f>
        <v>0</v>
      </c>
      <c r="O61" s="27">
        <f>IF($G61="s-curve",$E61+($F61-$E61)*$I$2/(1+EXP($I$3*(COUNT($I$9:O$9)+$I$4))),TREND($E61:$F61,$E$9:$F$9,O$9))</f>
        <v>0</v>
      </c>
      <c r="P61" s="27">
        <f>IF($G61="s-curve",$E61+($F61-$E61)*$I$2/(1+EXP($I$3*(COUNT($I$9:P$9)+$I$4))),TREND($E61:$F61,$E$9:$F$9,P$9))</f>
        <v>0</v>
      </c>
      <c r="Q61" s="27">
        <f>IF($G61="s-curve",$E61+($F61-$E61)*$I$2/(1+EXP($I$3*(COUNT($I$9:Q$9)+$I$4))),TREND($E61:$F61,$E$9:$F$9,Q$9))</f>
        <v>0</v>
      </c>
      <c r="R61" s="27">
        <f>IF($G61="s-curve",$E61+($F61-$E61)*$I$2/(1+EXP($I$3*(COUNT($I$9:R$9)+$I$4))),TREND($E61:$F61,$E$9:$F$9,R$9))</f>
        <v>0</v>
      </c>
      <c r="S61" s="27">
        <f>IF($G61="s-curve",$E61+($F61-$E61)*$I$2/(1+EXP($I$3*(COUNT($I$9:S$9)+$I$4))),TREND($E61:$F61,$E$9:$F$9,S$9))</f>
        <v>0</v>
      </c>
      <c r="T61" s="27">
        <f>IF($G61="s-curve",$E61+($F61-$E61)*$I$2/(1+EXP($I$3*(COUNT($I$9:T$9)+$I$4))),TREND($E61:$F61,$E$9:$F$9,T$9))</f>
        <v>0</v>
      </c>
      <c r="U61" s="27">
        <f>IF($G61="s-curve",$E61+($F61-$E61)*$I$2/(1+EXP($I$3*(COUNT($I$9:U$9)+$I$4))),TREND($E61:$F61,$E$9:$F$9,U$9))</f>
        <v>0</v>
      </c>
      <c r="V61" s="27">
        <f>IF($G61="s-curve",$E61+($F61-$E61)*$I$2/(1+EXP($I$3*(COUNT($I$9:V$9)+$I$4))),TREND($E61:$F61,$E$9:$F$9,V$9))</f>
        <v>0</v>
      </c>
      <c r="W61" s="27">
        <f>IF($G61="s-curve",$E61+($F61-$E61)*$I$2/(1+EXP($I$3*(COUNT($I$9:W$9)+$I$4))),TREND($E61:$F61,$E$9:$F$9,W$9))</f>
        <v>0</v>
      </c>
      <c r="X61" s="27">
        <f>IF($G61="s-curve",$E61+($F61-$E61)*$I$2/(1+EXP($I$3*(COUNT($I$9:X$9)+$I$4))),TREND($E61:$F61,$E$9:$F$9,X$9))</f>
        <v>0</v>
      </c>
      <c r="Y61" s="27">
        <f>IF($G61="s-curve",$E61+($F61-$E61)*$I$2/(1+EXP($I$3*(COUNT($I$9:Y$9)+$I$4))),TREND($E61:$F61,$E$9:$F$9,Y$9))</f>
        <v>0</v>
      </c>
      <c r="Z61" s="27">
        <f>IF($G61="s-curve",$E61+($F61-$E61)*$I$2/(1+EXP($I$3*(COUNT($I$9:Z$9)+$I$4))),TREND($E61:$F61,$E$9:$F$9,Z$9))</f>
        <v>0</v>
      </c>
      <c r="AA61" s="27">
        <f>IF($G61="s-curve",$E61+($F61-$E61)*$I$2/(1+EXP($I$3*(COUNT($I$9:AA$9)+$I$4))),TREND($E61:$F61,$E$9:$F$9,AA$9))</f>
        <v>0</v>
      </c>
      <c r="AB61" s="27">
        <f>IF($G61="s-curve",$E61+($F61-$E61)*$I$2/(1+EXP($I$3*(COUNT($I$9:AB$9)+$I$4))),TREND($E61:$F61,$E$9:$F$9,AB$9))</f>
        <v>0</v>
      </c>
      <c r="AC61" s="27">
        <f>IF($G61="s-curve",$E61+($F61-$E61)*$I$2/(1+EXP($I$3*(COUNT($I$9:AC$9)+$I$4))),TREND($E61:$F61,$E$9:$F$9,AC$9))</f>
        <v>0</v>
      </c>
      <c r="AD61" s="27">
        <f>IF($G61="s-curve",$E61+($F61-$E61)*$I$2/(1+EXP($I$3*(COUNT($I$9:AD$9)+$I$4))),TREND($E61:$F61,$E$9:$F$9,AD$9))</f>
        <v>0</v>
      </c>
      <c r="AE61" s="27">
        <f>IF($G61="s-curve",$E61+($F61-$E61)*$I$2/(1+EXP($I$3*(COUNT($I$9:AE$9)+$I$4))),TREND($E61:$F61,$E$9:$F$9,AE$9))</f>
        <v>0</v>
      </c>
      <c r="AF61" s="27">
        <f>IF($G61="s-curve",$E61+($F61-$E61)*$I$2/(1+EXP($I$3*(COUNT($I$9:AF$9)+$I$4))),TREND($E61:$F61,$E$9:$F$9,AF$9))</f>
        <v>0</v>
      </c>
      <c r="AG61" s="27">
        <f>IF($G61="s-curve",$E61+($F61-$E61)*$I$2/(1+EXP($I$3*(COUNT($I$9:AG$9)+$I$4))),TREND($E61:$F61,$E$9:$F$9,AG$9))</f>
        <v>0</v>
      </c>
      <c r="AH61" s="27">
        <f>IF($G61="s-curve",$E61+($F61-$E61)*$I$2/(1+EXP($I$3*(COUNT($I$9:AH$9)+$I$4))),TREND($E61:$F61,$E$9:$F$9,AH$9))</f>
        <v>0</v>
      </c>
      <c r="AI61" s="27">
        <f>IF($G61="s-curve",$E61+($F61-$E61)*$I$2/(1+EXP($I$3*(COUNT($I$9:AI$9)+$I$4))),TREND($E61:$F61,$E$9:$F$9,AI$9))</f>
        <v>0</v>
      </c>
      <c r="AJ61" s="27">
        <f>IF($G61="s-curve",$E61+($F61-$E61)*$I$2/(1+EXP($I$3*(COUNT($I$9:AJ$9)+$I$4))),TREND($E61:$F61,$E$9:$F$9,AJ$9))</f>
        <v>0</v>
      </c>
      <c r="AK61" s="27">
        <f>IF($G61="s-curve",$E61+($F61-$E61)*$I$2/(1+EXP($I$3*(COUNT($I$9:AK$9)+$I$4))),TREND($E61:$F61,$E$9:$F$9,AK$9))</f>
        <v>0</v>
      </c>
      <c r="AL61" s="27">
        <f>IF($G61="s-curve",$E61+($F61-$E61)*$I$2/(1+EXP($I$3*(COUNT($I$9:AL$9)+$I$4))),TREND($E61:$F61,$E$9:$F$9,AL$9))</f>
        <v>0</v>
      </c>
      <c r="AM61" s="27">
        <f>IF($G61="s-curve",$E61+($F61-$E61)*$I$2/(1+EXP($I$3*(COUNT($I$9:AM$9)+$I$4))),TREND($E61:$F61,$E$9:$F$9,AM$9))</f>
        <v>0</v>
      </c>
      <c r="AN61" s="27">
        <f>IF($G61="s-curve",$E61+($F61-$E61)*$I$2/(1+EXP($I$3*(COUNT($I$9:AN$9)+$I$4))),TREND($E61:$F61,$E$9:$F$9,AN$9))</f>
        <v>0</v>
      </c>
      <c r="AO61" s="27">
        <f>IF($G61="s-curve",$E61+($F61-$E61)*$I$2/(1+EXP($I$3*(COUNT($I$9:AO$9)+$I$4))),TREND($E61:$F61,$E$9:$F$9,AO$9))</f>
        <v>0</v>
      </c>
      <c r="AP61" s="27">
        <f>IF($G61="s-curve",$E61+($F61-$E61)*$I$2/(1+EXP($I$3*(COUNT($I$9:AP$9)+$I$4))),TREND($E61:$F61,$E$9:$F$9,AP$9))</f>
        <v>0</v>
      </c>
      <c r="AQ61" s="27">
        <f>IF($G61="s-curve",$E61+($F61-$E61)*$I$2/(1+EXP($I$3*(COUNT($I$9:AQ$9)+$I$4))),TREND($E61:$F61,$E$9:$F$9,AQ$9))</f>
        <v>0</v>
      </c>
      <c r="AR61" s="27">
        <f>IF($G61="s-curve",$E61+($F61-$E61)*$I$2/(1+EXP($I$3*(COUNT($I$9:AR$9)+$I$4))),TREND($E61:$F61,$E$9:$F$9,AR$9))</f>
        <v>0</v>
      </c>
      <c r="AS61" s="27">
        <f>IF($G61="s-curve",$E61+($F61-$E61)*$I$2/(1+EXP($I$3*(COUNT($I$9:AS$9)+$I$4))),TREND($E61:$F61,$E$9:$F$9,AS$9))</f>
        <v>0</v>
      </c>
      <c r="AT61" s="27">
        <f>IF($G61="s-curve",$E61+($F61-$E61)*$I$2/(1+EXP($I$3*(COUNT($I$9:AT$9)+$I$4))),TREND($E61:$F61,$E$9:$F$9,AT$9))</f>
        <v>0</v>
      </c>
      <c r="AU61" s="27">
        <f>IF($G61="s-curve",$E61+($F61-$E61)*$I$2/(1+EXP($I$3*(COUNT($I$9:AU$9)+$I$4))),TREND($E61:$F61,$E$9:$F$9,AU$9))</f>
        <v>0</v>
      </c>
      <c r="AV61" s="27">
        <f>IF($G61="s-curve",$E61+($F61-$E61)*$I$2/(1+EXP($I$3*(COUNT($I$9:AV$9)+$I$4))),TREND($E61:$F61,$E$9:$F$9,AV$9))</f>
        <v>0</v>
      </c>
      <c r="AW61" s="27">
        <f>IF($G61="s-curve",$E61+($F61-$E61)*$I$2/(1+EXP($I$3*(COUNT($I$9:AW$9)+$I$4))),TREND($E61:$F61,$E$9:$F$9,AW$9))</f>
        <v>0</v>
      </c>
      <c r="AX61" s="27">
        <f>IF($G61="s-curve",$E61+($F61-$E61)*$I$2/(1+EXP($I$3*(COUNT($I$9:AX$9)+$I$4))),TREND($E61:$F61,$E$9:$F$9,AX$9))</f>
        <v>0</v>
      </c>
      <c r="AY61" s="27">
        <f>IF($G61="s-curve",$E61+($F61-$E61)*$I$2/(1+EXP($I$3*(COUNT($I$9:AY$9)+$I$4))),TREND($E61:$F61,$E$9:$F$9,AY$9))</f>
        <v>0</v>
      </c>
      <c r="AZ61" s="27">
        <f>IF($G61="s-curve",$E61+($F61-$E61)*$I$2/(1+EXP($I$3*(COUNT($I$9:AZ$9)+$I$4))),TREND($E61:$F61,$E$9:$F$9,AZ$9))</f>
        <v>0</v>
      </c>
      <c r="BA61" s="27">
        <f>IF($G61="s-curve",$E61+($F61-$E61)*$I$2/(1+EXP($I$3*(COUNT($I$9:BA$9)+$I$4))),TREND($E61:$F61,$E$9:$F$9,BA$9))</f>
        <v>0</v>
      </c>
      <c r="BB61" s="27">
        <f>IF($G61="s-curve",$E61+($F61-$E61)*$I$2/(1+EXP($I$3*(COUNT($I$9:BB$9)+$I$4))),TREND($E61:$F61,$E$9:$F$9,BB$9))</f>
        <v>0</v>
      </c>
      <c r="BC61" s="27">
        <f>IF($G61="s-curve",$E61+($F61-$E61)*$I$2/(1+EXP($I$3*(COUNT($I$9:BC$9)+$I$4))),TREND($E61:$F61,$E$9:$F$9,BC$9))</f>
        <v>0</v>
      </c>
      <c r="BD61" s="27">
        <f>IF($G61="s-curve",$E61+($F61-$E61)*$I$2/(1+EXP($I$3*(COUNT($I$9:BD$9)+$I$4))),TREND($E61:$F61,$E$9:$F$9,BD$9))</f>
        <v>0</v>
      </c>
      <c r="BE61" s="27">
        <f>IF($G61="s-curve",$E61+($F61-$E61)*$I$2/(1+EXP($I$3*(COUNT($I$9:BE$9)+$I$4))),TREND($E61:$F61,$E$9:$F$9,BE$9))</f>
        <v>0</v>
      </c>
      <c r="BF61" s="27">
        <f>IF($G61="s-curve",$E61+($F61-$E61)*$I$2/(1+EXP($I$3*(COUNT($I$9:BF$9)+$I$4))),TREND($E61:$F61,$E$9:$F$9,BF$9))</f>
        <v>0</v>
      </c>
    </row>
    <row r="62" spans="1:58" x14ac:dyDescent="0.75">
      <c r="C62" t="s">
        <v>4</v>
      </c>
      <c r="D62" s="26">
        <f t="shared" si="14"/>
        <v>1</v>
      </c>
      <c r="E62" s="26">
        <v>1</v>
      </c>
      <c r="F62" s="26">
        <v>1</v>
      </c>
      <c r="G62" s="29" t="str">
        <f>IF(E62=F62,"n/a",IF(OR(C62="battery electric vehicle",C62="natural gas vehicle",C62="plugin hybrid vehicle"),"s-curve","linear"))</f>
        <v>n/a</v>
      </c>
      <c r="I62" s="27">
        <f t="shared" si="12"/>
        <v>1</v>
      </c>
      <c r="J62" s="27">
        <f t="shared" si="13"/>
        <v>1</v>
      </c>
      <c r="K62" s="27">
        <f t="shared" si="13"/>
        <v>1</v>
      </c>
      <c r="L62" s="27">
        <f t="shared" si="13"/>
        <v>1</v>
      </c>
      <c r="M62" s="27">
        <f>IF($G62="s-curve",$E62+($F62-$E62)*$I$2/(1+EXP($I$3*(COUNT($I$9:M$9)+$I$4))),TREND($E62:$F62,$E$9:$F$9,M$9))</f>
        <v>1</v>
      </c>
      <c r="N62" s="27">
        <f>IF($G62="s-curve",$E62+($F62-$E62)*$I$2/(1+EXP($I$3*(COUNT($I$9:N$9)+$I$4))),TREND($E62:$F62,$E$9:$F$9,N$9))</f>
        <v>1</v>
      </c>
      <c r="O62" s="27">
        <f>IF($G62="s-curve",$E62+($F62-$E62)*$I$2/(1+EXP($I$3*(COUNT($I$9:O$9)+$I$4))),TREND($E62:$F62,$E$9:$F$9,O$9))</f>
        <v>1</v>
      </c>
      <c r="P62" s="27">
        <f>IF($G62="s-curve",$E62+($F62-$E62)*$I$2/(1+EXP($I$3*(COUNT($I$9:P$9)+$I$4))),TREND($E62:$F62,$E$9:$F$9,P$9))</f>
        <v>1</v>
      </c>
      <c r="Q62" s="27">
        <f>IF($G62="s-curve",$E62+($F62-$E62)*$I$2/(1+EXP($I$3*(COUNT($I$9:Q$9)+$I$4))),TREND($E62:$F62,$E$9:$F$9,Q$9))</f>
        <v>1</v>
      </c>
      <c r="R62" s="27">
        <f>IF($G62="s-curve",$E62+($F62-$E62)*$I$2/(1+EXP($I$3*(COUNT($I$9:R$9)+$I$4))),TREND($E62:$F62,$E$9:$F$9,R$9))</f>
        <v>1</v>
      </c>
      <c r="S62" s="27">
        <f>IF($G62="s-curve",$E62+($F62-$E62)*$I$2/(1+EXP($I$3*(COUNT($I$9:S$9)+$I$4))),TREND($E62:$F62,$E$9:$F$9,S$9))</f>
        <v>1</v>
      </c>
      <c r="T62" s="27">
        <f>IF($G62="s-curve",$E62+($F62-$E62)*$I$2/(1+EXP($I$3*(COUNT($I$9:T$9)+$I$4))),TREND($E62:$F62,$E$9:$F$9,T$9))</f>
        <v>1</v>
      </c>
      <c r="U62" s="27">
        <f>IF($G62="s-curve",$E62+($F62-$E62)*$I$2/(1+EXP($I$3*(COUNT($I$9:U$9)+$I$4))),TREND($E62:$F62,$E$9:$F$9,U$9))</f>
        <v>1</v>
      </c>
      <c r="V62" s="27">
        <f>IF($G62="s-curve",$E62+($F62-$E62)*$I$2/(1+EXP($I$3*(COUNT($I$9:V$9)+$I$4))),TREND($E62:$F62,$E$9:$F$9,V$9))</f>
        <v>1</v>
      </c>
      <c r="W62" s="27">
        <f>IF($G62="s-curve",$E62+($F62-$E62)*$I$2/(1+EXP($I$3*(COUNT($I$9:W$9)+$I$4))),TREND($E62:$F62,$E$9:$F$9,W$9))</f>
        <v>1</v>
      </c>
      <c r="X62" s="27">
        <f>IF($G62="s-curve",$E62+($F62-$E62)*$I$2/(1+EXP($I$3*(COUNT($I$9:X$9)+$I$4))),TREND($E62:$F62,$E$9:$F$9,X$9))</f>
        <v>1</v>
      </c>
      <c r="Y62" s="27">
        <f>IF($G62="s-curve",$E62+($F62-$E62)*$I$2/(1+EXP($I$3*(COUNT($I$9:Y$9)+$I$4))),TREND($E62:$F62,$E$9:$F$9,Y$9))</f>
        <v>1</v>
      </c>
      <c r="Z62" s="27">
        <f>IF($G62="s-curve",$E62+($F62-$E62)*$I$2/(1+EXP($I$3*(COUNT($I$9:Z$9)+$I$4))),TREND($E62:$F62,$E$9:$F$9,Z$9))</f>
        <v>1</v>
      </c>
      <c r="AA62" s="27">
        <f>IF($G62="s-curve",$E62+($F62-$E62)*$I$2/(1+EXP($I$3*(COUNT($I$9:AA$9)+$I$4))),TREND($E62:$F62,$E$9:$F$9,AA$9))</f>
        <v>1</v>
      </c>
      <c r="AB62" s="27">
        <f>IF($G62="s-curve",$E62+($F62-$E62)*$I$2/(1+EXP($I$3*(COUNT($I$9:AB$9)+$I$4))),TREND($E62:$F62,$E$9:$F$9,AB$9))</f>
        <v>1</v>
      </c>
      <c r="AC62" s="27">
        <f>IF($G62="s-curve",$E62+($F62-$E62)*$I$2/(1+EXP($I$3*(COUNT($I$9:AC$9)+$I$4))),TREND($E62:$F62,$E$9:$F$9,AC$9))</f>
        <v>1</v>
      </c>
      <c r="AD62" s="27">
        <f>IF($G62="s-curve",$E62+($F62-$E62)*$I$2/(1+EXP($I$3*(COUNT($I$9:AD$9)+$I$4))),TREND($E62:$F62,$E$9:$F$9,AD$9))</f>
        <v>1</v>
      </c>
      <c r="AE62" s="27">
        <f>IF($G62="s-curve",$E62+($F62-$E62)*$I$2/(1+EXP($I$3*(COUNT($I$9:AE$9)+$I$4))),TREND($E62:$F62,$E$9:$F$9,AE$9))</f>
        <v>1</v>
      </c>
      <c r="AF62" s="27">
        <f>IF($G62="s-curve",$E62+($F62-$E62)*$I$2/(1+EXP($I$3*(COUNT($I$9:AF$9)+$I$4))),TREND($E62:$F62,$E$9:$F$9,AF$9))</f>
        <v>1</v>
      </c>
      <c r="AG62" s="27">
        <f>IF($G62="s-curve",$E62+($F62-$E62)*$I$2/(1+EXP($I$3*(COUNT($I$9:AG$9)+$I$4))),TREND($E62:$F62,$E$9:$F$9,AG$9))</f>
        <v>1</v>
      </c>
      <c r="AH62" s="27">
        <f>IF($G62="s-curve",$E62+($F62-$E62)*$I$2/(1+EXP($I$3*(COUNT($I$9:AH$9)+$I$4))),TREND($E62:$F62,$E$9:$F$9,AH$9))</f>
        <v>1</v>
      </c>
      <c r="AI62" s="27">
        <f>IF($G62="s-curve",$E62+($F62-$E62)*$I$2/(1+EXP($I$3*(COUNT($I$9:AI$9)+$I$4))),TREND($E62:$F62,$E$9:$F$9,AI$9))</f>
        <v>1</v>
      </c>
      <c r="AJ62" s="27">
        <f>IF($G62="s-curve",$E62+($F62-$E62)*$I$2/(1+EXP($I$3*(COUNT($I$9:AJ$9)+$I$4))),TREND($E62:$F62,$E$9:$F$9,AJ$9))</f>
        <v>1</v>
      </c>
      <c r="AK62" s="27">
        <f>IF($G62="s-curve",$E62+($F62-$E62)*$I$2/(1+EXP($I$3*(COUNT($I$9:AK$9)+$I$4))),TREND($E62:$F62,$E$9:$F$9,AK$9))</f>
        <v>1</v>
      </c>
      <c r="AL62" s="27">
        <f>IF($G62="s-curve",$E62+($F62-$E62)*$I$2/(1+EXP($I$3*(COUNT($I$9:AL$9)+$I$4))),TREND($E62:$F62,$E$9:$F$9,AL$9))</f>
        <v>1</v>
      </c>
      <c r="AM62" s="27">
        <f>IF($G62="s-curve",$E62+($F62-$E62)*$I$2/(1+EXP($I$3*(COUNT($I$9:AM$9)+$I$4))),TREND($E62:$F62,$E$9:$F$9,AM$9))</f>
        <v>1</v>
      </c>
      <c r="AN62" s="27">
        <f>IF($G62="s-curve",$E62+($F62-$E62)*$I$2/(1+EXP($I$3*(COUNT($I$9:AN$9)+$I$4))),TREND($E62:$F62,$E$9:$F$9,AN$9))</f>
        <v>1</v>
      </c>
      <c r="AO62" s="27">
        <f>IF($G62="s-curve",$E62+($F62-$E62)*$I$2/(1+EXP($I$3*(COUNT($I$9:AO$9)+$I$4))),TREND($E62:$F62,$E$9:$F$9,AO$9))</f>
        <v>1</v>
      </c>
      <c r="AP62" s="27">
        <f>IF($G62="s-curve",$E62+($F62-$E62)*$I$2/(1+EXP($I$3*(COUNT($I$9:AP$9)+$I$4))),TREND($E62:$F62,$E$9:$F$9,AP$9))</f>
        <v>1</v>
      </c>
      <c r="AQ62" s="27">
        <f>IF($G62="s-curve",$E62+($F62-$E62)*$I$2/(1+EXP($I$3*(COUNT($I$9:AQ$9)+$I$4))),TREND($E62:$F62,$E$9:$F$9,AQ$9))</f>
        <v>1</v>
      </c>
      <c r="AR62" s="27">
        <f>IF($G62="s-curve",$E62+($F62-$E62)*$I$2/(1+EXP($I$3*(COUNT($I$9:AR$9)+$I$4))),TREND($E62:$F62,$E$9:$F$9,AR$9))</f>
        <v>1</v>
      </c>
      <c r="AS62" s="27">
        <f>IF($G62="s-curve",$E62+($F62-$E62)*$I$2/(1+EXP($I$3*(COUNT($I$9:AS$9)+$I$4))),TREND($E62:$F62,$E$9:$F$9,AS$9))</f>
        <v>1</v>
      </c>
      <c r="AT62" s="27">
        <f>IF($G62="s-curve",$E62+($F62-$E62)*$I$2/(1+EXP($I$3*(COUNT($I$9:AT$9)+$I$4))),TREND($E62:$F62,$E$9:$F$9,AT$9))</f>
        <v>1</v>
      </c>
      <c r="AU62" s="27">
        <f>IF($G62="s-curve",$E62+($F62-$E62)*$I$2/(1+EXP($I$3*(COUNT($I$9:AU$9)+$I$4))),TREND($E62:$F62,$E$9:$F$9,AU$9))</f>
        <v>1</v>
      </c>
      <c r="AV62" s="27">
        <f>IF($G62="s-curve",$E62+($F62-$E62)*$I$2/(1+EXP($I$3*(COUNT($I$9:AV$9)+$I$4))),TREND($E62:$F62,$E$9:$F$9,AV$9))</f>
        <v>1</v>
      </c>
      <c r="AW62" s="27">
        <f>IF($G62="s-curve",$E62+($F62-$E62)*$I$2/(1+EXP($I$3*(COUNT($I$9:AW$9)+$I$4))),TREND($E62:$F62,$E$9:$F$9,AW$9))</f>
        <v>1</v>
      </c>
      <c r="AX62" s="27">
        <f>IF($G62="s-curve",$E62+($F62-$E62)*$I$2/(1+EXP($I$3*(COUNT($I$9:AX$9)+$I$4))),TREND($E62:$F62,$E$9:$F$9,AX$9))</f>
        <v>1</v>
      </c>
      <c r="AY62" s="27">
        <f>IF($G62="s-curve",$E62+($F62-$E62)*$I$2/(1+EXP($I$3*(COUNT($I$9:AY$9)+$I$4))),TREND($E62:$F62,$E$9:$F$9,AY$9))</f>
        <v>1</v>
      </c>
      <c r="AZ62" s="27">
        <f>IF($G62="s-curve",$E62+($F62-$E62)*$I$2/(1+EXP($I$3*(COUNT($I$9:AZ$9)+$I$4))),TREND($E62:$F62,$E$9:$F$9,AZ$9))</f>
        <v>1</v>
      </c>
      <c r="BA62" s="27">
        <f>IF($G62="s-curve",$E62+($F62-$E62)*$I$2/(1+EXP($I$3*(COUNT($I$9:BA$9)+$I$4))),TREND($E62:$F62,$E$9:$F$9,BA$9))</f>
        <v>1</v>
      </c>
      <c r="BB62" s="27">
        <f>IF($G62="s-curve",$E62+($F62-$E62)*$I$2/(1+EXP($I$3*(COUNT($I$9:BB$9)+$I$4))),TREND($E62:$F62,$E$9:$F$9,BB$9))</f>
        <v>1</v>
      </c>
      <c r="BC62" s="27">
        <f>IF($G62="s-curve",$E62+($F62-$E62)*$I$2/(1+EXP($I$3*(COUNT($I$9:BC$9)+$I$4))),TREND($E62:$F62,$E$9:$F$9,BC$9))</f>
        <v>1</v>
      </c>
      <c r="BD62" s="27">
        <f>IF($G62="s-curve",$E62+($F62-$E62)*$I$2/(1+EXP($I$3*(COUNT($I$9:BD$9)+$I$4))),TREND($E62:$F62,$E$9:$F$9,BD$9))</f>
        <v>1</v>
      </c>
      <c r="BE62" s="27">
        <f>IF($G62="s-curve",$E62+($F62-$E62)*$I$2/(1+EXP($I$3*(COUNT($I$9:BE$9)+$I$4))),TREND($E62:$F62,$E$9:$F$9,BE$9))</f>
        <v>1</v>
      </c>
      <c r="BF62" s="27">
        <f>IF($G62="s-curve",$E62+($F62-$E62)*$I$2/(1+EXP($I$3*(COUNT($I$9:BF$9)+$I$4))),TREND($E62:$F62,$E$9:$F$9,BF$9))</f>
        <v>1</v>
      </c>
    </row>
    <row r="63" spans="1:58" x14ac:dyDescent="0.75">
      <c r="C63" t="s">
        <v>5</v>
      </c>
      <c r="D63" s="26">
        <f t="shared" si="14"/>
        <v>0</v>
      </c>
      <c r="E63" s="26">
        <v>0</v>
      </c>
      <c r="F63" s="26">
        <v>0</v>
      </c>
      <c r="G63" s="29" t="str">
        <f>IF(E63=F63,"n/a",IF(OR(C63="battery electric vehicle",C63="natural gas vehicle",C63="plugin hybrid vehicle"),"s-curve","linear"))</f>
        <v>n/a</v>
      </c>
      <c r="I63" s="27">
        <f t="shared" si="12"/>
        <v>0</v>
      </c>
      <c r="J63" s="27">
        <f t="shared" si="13"/>
        <v>0</v>
      </c>
      <c r="K63" s="27">
        <f t="shared" si="13"/>
        <v>0</v>
      </c>
      <c r="L63" s="27">
        <f t="shared" si="13"/>
        <v>0</v>
      </c>
      <c r="M63" s="27">
        <f>IF($G63="s-curve",$E63+($F63-$E63)*$I$2/(1+EXP($I$3*(COUNT($I$9:M$9)+$I$4))),TREND($E63:$F63,$E$9:$F$9,M$9))</f>
        <v>0</v>
      </c>
      <c r="N63" s="27">
        <f>IF($G63="s-curve",$E63+($F63-$E63)*$I$2/(1+EXP($I$3*(COUNT($I$9:N$9)+$I$4))),TREND($E63:$F63,$E$9:$F$9,N$9))</f>
        <v>0</v>
      </c>
      <c r="O63" s="27">
        <f>IF($G63="s-curve",$E63+($F63-$E63)*$I$2/(1+EXP($I$3*(COUNT($I$9:O$9)+$I$4))),TREND($E63:$F63,$E$9:$F$9,O$9))</f>
        <v>0</v>
      </c>
      <c r="P63" s="27">
        <f>IF($G63="s-curve",$E63+($F63-$E63)*$I$2/(1+EXP($I$3*(COUNT($I$9:P$9)+$I$4))),TREND($E63:$F63,$E$9:$F$9,P$9))</f>
        <v>0</v>
      </c>
      <c r="Q63" s="27">
        <f>IF($G63="s-curve",$E63+($F63-$E63)*$I$2/(1+EXP($I$3*(COUNT($I$9:Q$9)+$I$4))),TREND($E63:$F63,$E$9:$F$9,Q$9))</f>
        <v>0</v>
      </c>
      <c r="R63" s="27">
        <f>IF($G63="s-curve",$E63+($F63-$E63)*$I$2/(1+EXP($I$3*(COUNT($I$9:R$9)+$I$4))),TREND($E63:$F63,$E$9:$F$9,R$9))</f>
        <v>0</v>
      </c>
      <c r="S63" s="27">
        <f>IF($G63="s-curve",$E63+($F63-$E63)*$I$2/(1+EXP($I$3*(COUNT($I$9:S$9)+$I$4))),TREND($E63:$F63,$E$9:$F$9,S$9))</f>
        <v>0</v>
      </c>
      <c r="T63" s="27">
        <f>IF($G63="s-curve",$E63+($F63-$E63)*$I$2/(1+EXP($I$3*(COUNT($I$9:T$9)+$I$4))),TREND($E63:$F63,$E$9:$F$9,T$9))</f>
        <v>0</v>
      </c>
      <c r="U63" s="27">
        <f>IF($G63="s-curve",$E63+($F63-$E63)*$I$2/(1+EXP($I$3*(COUNT($I$9:U$9)+$I$4))),TREND($E63:$F63,$E$9:$F$9,U$9))</f>
        <v>0</v>
      </c>
      <c r="V63" s="27">
        <f>IF($G63="s-curve",$E63+($F63-$E63)*$I$2/(1+EXP($I$3*(COUNT($I$9:V$9)+$I$4))),TREND($E63:$F63,$E$9:$F$9,V$9))</f>
        <v>0</v>
      </c>
      <c r="W63" s="27">
        <f>IF($G63="s-curve",$E63+($F63-$E63)*$I$2/(1+EXP($I$3*(COUNT($I$9:W$9)+$I$4))),TREND($E63:$F63,$E$9:$F$9,W$9))</f>
        <v>0</v>
      </c>
      <c r="X63" s="27">
        <f>IF($G63="s-curve",$E63+($F63-$E63)*$I$2/(1+EXP($I$3*(COUNT($I$9:X$9)+$I$4))),TREND($E63:$F63,$E$9:$F$9,X$9))</f>
        <v>0</v>
      </c>
      <c r="Y63" s="27">
        <f>IF($G63="s-curve",$E63+($F63-$E63)*$I$2/(1+EXP($I$3*(COUNT($I$9:Y$9)+$I$4))),TREND($E63:$F63,$E$9:$F$9,Y$9))</f>
        <v>0</v>
      </c>
      <c r="Z63" s="27">
        <f>IF($G63="s-curve",$E63+($F63-$E63)*$I$2/(1+EXP($I$3*(COUNT($I$9:Z$9)+$I$4))),TREND($E63:$F63,$E$9:$F$9,Z$9))</f>
        <v>0</v>
      </c>
      <c r="AA63" s="27">
        <f>IF($G63="s-curve",$E63+($F63-$E63)*$I$2/(1+EXP($I$3*(COUNT($I$9:AA$9)+$I$4))),TREND($E63:$F63,$E$9:$F$9,AA$9))</f>
        <v>0</v>
      </c>
      <c r="AB63" s="27">
        <f>IF($G63="s-curve",$E63+($F63-$E63)*$I$2/(1+EXP($I$3*(COUNT($I$9:AB$9)+$I$4))),TREND($E63:$F63,$E$9:$F$9,AB$9))</f>
        <v>0</v>
      </c>
      <c r="AC63" s="27">
        <f>IF($G63="s-curve",$E63+($F63-$E63)*$I$2/(1+EXP($I$3*(COUNT($I$9:AC$9)+$I$4))),TREND($E63:$F63,$E$9:$F$9,AC$9))</f>
        <v>0</v>
      </c>
      <c r="AD63" s="27">
        <f>IF($G63="s-curve",$E63+($F63-$E63)*$I$2/(1+EXP($I$3*(COUNT($I$9:AD$9)+$I$4))),TREND($E63:$F63,$E$9:$F$9,AD$9))</f>
        <v>0</v>
      </c>
      <c r="AE63" s="27">
        <f>IF($G63="s-curve",$E63+($F63-$E63)*$I$2/(1+EXP($I$3*(COUNT($I$9:AE$9)+$I$4))),TREND($E63:$F63,$E$9:$F$9,AE$9))</f>
        <v>0</v>
      </c>
      <c r="AF63" s="27">
        <f>IF($G63="s-curve",$E63+($F63-$E63)*$I$2/(1+EXP($I$3*(COUNT($I$9:AF$9)+$I$4))),TREND($E63:$F63,$E$9:$F$9,AF$9))</f>
        <v>0</v>
      </c>
      <c r="AG63" s="27">
        <f>IF($G63="s-curve",$E63+($F63-$E63)*$I$2/(1+EXP($I$3*(COUNT($I$9:AG$9)+$I$4))),TREND($E63:$F63,$E$9:$F$9,AG$9))</f>
        <v>0</v>
      </c>
      <c r="AH63" s="27">
        <f>IF($G63="s-curve",$E63+($F63-$E63)*$I$2/(1+EXP($I$3*(COUNT($I$9:AH$9)+$I$4))),TREND($E63:$F63,$E$9:$F$9,AH$9))</f>
        <v>0</v>
      </c>
      <c r="AI63" s="27">
        <f>IF($G63="s-curve",$E63+($F63-$E63)*$I$2/(1+EXP($I$3*(COUNT($I$9:AI$9)+$I$4))),TREND($E63:$F63,$E$9:$F$9,AI$9))</f>
        <v>0</v>
      </c>
      <c r="AJ63" s="27">
        <f>IF($G63="s-curve",$E63+($F63-$E63)*$I$2/(1+EXP($I$3*(COUNT($I$9:AJ$9)+$I$4))),TREND($E63:$F63,$E$9:$F$9,AJ$9))</f>
        <v>0</v>
      </c>
      <c r="AK63" s="27">
        <f>IF($G63="s-curve",$E63+($F63-$E63)*$I$2/(1+EXP($I$3*(COUNT($I$9:AK$9)+$I$4))),TREND($E63:$F63,$E$9:$F$9,AK$9))</f>
        <v>0</v>
      </c>
      <c r="AL63" s="27">
        <f>IF($G63="s-curve",$E63+($F63-$E63)*$I$2/(1+EXP($I$3*(COUNT($I$9:AL$9)+$I$4))),TREND($E63:$F63,$E$9:$F$9,AL$9))</f>
        <v>0</v>
      </c>
      <c r="AM63" s="27">
        <f>IF($G63="s-curve",$E63+($F63-$E63)*$I$2/(1+EXP($I$3*(COUNT($I$9:AM$9)+$I$4))),TREND($E63:$F63,$E$9:$F$9,AM$9))</f>
        <v>0</v>
      </c>
      <c r="AN63" s="27">
        <f>IF($G63="s-curve",$E63+($F63-$E63)*$I$2/(1+EXP($I$3*(COUNT($I$9:AN$9)+$I$4))),TREND($E63:$F63,$E$9:$F$9,AN$9))</f>
        <v>0</v>
      </c>
      <c r="AO63" s="27">
        <f>IF($G63="s-curve",$E63+($F63-$E63)*$I$2/(1+EXP($I$3*(COUNT($I$9:AO$9)+$I$4))),TREND($E63:$F63,$E$9:$F$9,AO$9))</f>
        <v>0</v>
      </c>
      <c r="AP63" s="27">
        <f>IF($G63="s-curve",$E63+($F63-$E63)*$I$2/(1+EXP($I$3*(COUNT($I$9:AP$9)+$I$4))),TREND($E63:$F63,$E$9:$F$9,AP$9))</f>
        <v>0</v>
      </c>
      <c r="AQ63" s="27">
        <f>IF($G63="s-curve",$E63+($F63-$E63)*$I$2/(1+EXP($I$3*(COUNT($I$9:AQ$9)+$I$4))),TREND($E63:$F63,$E$9:$F$9,AQ$9))</f>
        <v>0</v>
      </c>
      <c r="AR63" s="27">
        <f>IF($G63="s-curve",$E63+($F63-$E63)*$I$2/(1+EXP($I$3*(COUNT($I$9:AR$9)+$I$4))),TREND($E63:$F63,$E$9:$F$9,AR$9))</f>
        <v>0</v>
      </c>
      <c r="AS63" s="27">
        <f>IF($G63="s-curve",$E63+($F63-$E63)*$I$2/(1+EXP($I$3*(COUNT($I$9:AS$9)+$I$4))),TREND($E63:$F63,$E$9:$F$9,AS$9))</f>
        <v>0</v>
      </c>
      <c r="AT63" s="27">
        <f>IF($G63="s-curve",$E63+($F63-$E63)*$I$2/(1+EXP($I$3*(COUNT($I$9:AT$9)+$I$4))),TREND($E63:$F63,$E$9:$F$9,AT$9))</f>
        <v>0</v>
      </c>
      <c r="AU63" s="27">
        <f>IF($G63="s-curve",$E63+($F63-$E63)*$I$2/(1+EXP($I$3*(COUNT($I$9:AU$9)+$I$4))),TREND($E63:$F63,$E$9:$F$9,AU$9))</f>
        <v>0</v>
      </c>
      <c r="AV63" s="27">
        <f>IF($G63="s-curve",$E63+($F63-$E63)*$I$2/(1+EXP($I$3*(COUNT($I$9:AV$9)+$I$4))),TREND($E63:$F63,$E$9:$F$9,AV$9))</f>
        <v>0</v>
      </c>
      <c r="AW63" s="27">
        <f>IF($G63="s-curve",$E63+($F63-$E63)*$I$2/(1+EXP($I$3*(COUNT($I$9:AW$9)+$I$4))),TREND($E63:$F63,$E$9:$F$9,AW$9))</f>
        <v>0</v>
      </c>
      <c r="AX63" s="27">
        <f>IF($G63="s-curve",$E63+($F63-$E63)*$I$2/(1+EXP($I$3*(COUNT($I$9:AX$9)+$I$4))),TREND($E63:$F63,$E$9:$F$9,AX$9))</f>
        <v>0</v>
      </c>
      <c r="AY63" s="27">
        <f>IF($G63="s-curve",$E63+($F63-$E63)*$I$2/(1+EXP($I$3*(COUNT($I$9:AY$9)+$I$4))),TREND($E63:$F63,$E$9:$F$9,AY$9))</f>
        <v>0</v>
      </c>
      <c r="AZ63" s="27">
        <f>IF($G63="s-curve",$E63+($F63-$E63)*$I$2/(1+EXP($I$3*(COUNT($I$9:AZ$9)+$I$4))),TREND($E63:$F63,$E$9:$F$9,AZ$9))</f>
        <v>0</v>
      </c>
      <c r="BA63" s="27">
        <f>IF($G63="s-curve",$E63+($F63-$E63)*$I$2/(1+EXP($I$3*(COUNT($I$9:BA$9)+$I$4))),TREND($E63:$F63,$E$9:$F$9,BA$9))</f>
        <v>0</v>
      </c>
      <c r="BB63" s="27">
        <f>IF($G63="s-curve",$E63+($F63-$E63)*$I$2/(1+EXP($I$3*(COUNT($I$9:BB$9)+$I$4))),TREND($E63:$F63,$E$9:$F$9,BB$9))</f>
        <v>0</v>
      </c>
      <c r="BC63" s="27">
        <f>IF($G63="s-curve",$E63+($F63-$E63)*$I$2/(1+EXP($I$3*(COUNT($I$9:BC$9)+$I$4))),TREND($E63:$F63,$E$9:$F$9,BC$9))</f>
        <v>0</v>
      </c>
      <c r="BD63" s="27">
        <f>IF($G63="s-curve",$E63+($F63-$E63)*$I$2/(1+EXP($I$3*(COUNT($I$9:BD$9)+$I$4))),TREND($E63:$F63,$E$9:$F$9,BD$9))</f>
        <v>0</v>
      </c>
      <c r="BE63" s="27">
        <f>IF($G63="s-curve",$E63+($F63-$E63)*$I$2/(1+EXP($I$3*(COUNT($I$9:BE$9)+$I$4))),TREND($E63:$F63,$E$9:$F$9,BE$9))</f>
        <v>0</v>
      </c>
      <c r="BF63" s="27">
        <f>IF($G63="s-curve",$E63+($F63-$E63)*$I$2/(1+EXP($I$3*(COUNT($I$9:BF$9)+$I$4))),TREND($E63:$F63,$E$9:$F$9,BF$9))</f>
        <v>0</v>
      </c>
    </row>
    <row r="64" spans="1:58" x14ac:dyDescent="0.75">
      <c r="C64" t="s">
        <v>31</v>
      </c>
      <c r="D64" s="26">
        <f t="shared" si="14"/>
        <v>0</v>
      </c>
      <c r="E64" s="26">
        <v>0</v>
      </c>
      <c r="F64" s="26">
        <v>0</v>
      </c>
      <c r="G64" s="29" t="str">
        <f>IF(E64=F64,"n/a",IF(OR(C64="battery electric vehicle",C64="natural gas vehicle",C64="plugin hybrid vehicle",C64="hydrogen vehicle"),"s-curve","linear"))</f>
        <v>n/a</v>
      </c>
      <c r="I64" s="27">
        <f t="shared" si="12"/>
        <v>0</v>
      </c>
      <c r="J64" s="27">
        <f t="shared" si="13"/>
        <v>0</v>
      </c>
      <c r="K64" s="27">
        <f t="shared" si="13"/>
        <v>0</v>
      </c>
      <c r="L64" s="27">
        <f t="shared" si="13"/>
        <v>0</v>
      </c>
      <c r="M64" s="27">
        <f>IF($G64="s-curve",$E64+($F64-$E64)*$I$2/(1+EXP($I$3*(COUNT($I$9:M$9)+$I$4))),TREND($E64:$F64,$E$9:$F$9,M$9))</f>
        <v>0</v>
      </c>
      <c r="N64" s="27">
        <f>IF($G64="s-curve",$E64+($F64-$E64)*$I$2/(1+EXP($I$3*(COUNT($I$9:N$9)+$I$4))),TREND($E64:$F64,$E$9:$F$9,N$9))</f>
        <v>0</v>
      </c>
      <c r="O64" s="27">
        <f>IF($G64="s-curve",$E64+($F64-$E64)*$I$2/(1+EXP($I$3*(COUNT($I$9:O$9)+$I$4))),TREND($E64:$F64,$E$9:$F$9,O$9))</f>
        <v>0</v>
      </c>
      <c r="P64" s="27">
        <f>IF($G64="s-curve",$E64+($F64-$E64)*$I$2/(1+EXP($I$3*(COUNT($I$9:P$9)+$I$4))),TREND($E64:$F64,$E$9:$F$9,P$9))</f>
        <v>0</v>
      </c>
      <c r="Q64" s="27">
        <f>IF($G64="s-curve",$E64+($F64-$E64)*$I$2/(1+EXP($I$3*(COUNT($I$9:Q$9)+$I$4))),TREND($E64:$F64,$E$9:$F$9,Q$9))</f>
        <v>0</v>
      </c>
      <c r="R64" s="27">
        <f>IF($G64="s-curve",$E64+($F64-$E64)*$I$2/(1+EXP($I$3*(COUNT($I$9:R$9)+$I$4))),TREND($E64:$F64,$E$9:$F$9,R$9))</f>
        <v>0</v>
      </c>
      <c r="S64" s="27">
        <f>IF($G64="s-curve",$E64+($F64-$E64)*$I$2/(1+EXP($I$3*(COUNT($I$9:S$9)+$I$4))),TREND($E64:$F64,$E$9:$F$9,S$9))</f>
        <v>0</v>
      </c>
      <c r="T64" s="27">
        <f>IF($G64="s-curve",$E64+($F64-$E64)*$I$2/(1+EXP($I$3*(COUNT($I$9:T$9)+$I$4))),TREND($E64:$F64,$E$9:$F$9,T$9))</f>
        <v>0</v>
      </c>
      <c r="U64" s="27">
        <f>IF($G64="s-curve",$E64+($F64-$E64)*$I$2/(1+EXP($I$3*(COUNT($I$9:U$9)+$I$4))),TREND($E64:$F64,$E$9:$F$9,U$9))</f>
        <v>0</v>
      </c>
      <c r="V64" s="27">
        <f>IF($G64="s-curve",$E64+($F64-$E64)*$I$2/(1+EXP($I$3*(COUNT($I$9:V$9)+$I$4))),TREND($E64:$F64,$E$9:$F$9,V$9))</f>
        <v>0</v>
      </c>
      <c r="W64" s="27">
        <f>IF($G64="s-curve",$E64+($F64-$E64)*$I$2/(1+EXP($I$3*(COUNT($I$9:W$9)+$I$4))),TREND($E64:$F64,$E$9:$F$9,W$9))</f>
        <v>0</v>
      </c>
      <c r="X64" s="27">
        <f>IF($G64="s-curve",$E64+($F64-$E64)*$I$2/(1+EXP($I$3*(COUNT($I$9:X$9)+$I$4))),TREND($E64:$F64,$E$9:$F$9,X$9))</f>
        <v>0</v>
      </c>
      <c r="Y64" s="27">
        <f>IF($G64="s-curve",$E64+($F64-$E64)*$I$2/(1+EXP($I$3*(COUNT($I$9:Y$9)+$I$4))),TREND($E64:$F64,$E$9:$F$9,Y$9))</f>
        <v>0</v>
      </c>
      <c r="Z64" s="27">
        <f>IF($G64="s-curve",$E64+($F64-$E64)*$I$2/(1+EXP($I$3*(COUNT($I$9:Z$9)+$I$4))),TREND($E64:$F64,$E$9:$F$9,Z$9))</f>
        <v>0</v>
      </c>
      <c r="AA64" s="27">
        <f>IF($G64="s-curve",$E64+($F64-$E64)*$I$2/(1+EXP($I$3*(COUNT($I$9:AA$9)+$I$4))),TREND($E64:$F64,$E$9:$F$9,AA$9))</f>
        <v>0</v>
      </c>
      <c r="AB64" s="27">
        <f>IF($G64="s-curve",$E64+($F64-$E64)*$I$2/(1+EXP($I$3*(COUNT($I$9:AB$9)+$I$4))),TREND($E64:$F64,$E$9:$F$9,AB$9))</f>
        <v>0</v>
      </c>
      <c r="AC64" s="27">
        <f>IF($G64="s-curve",$E64+($F64-$E64)*$I$2/(1+EXP($I$3*(COUNT($I$9:AC$9)+$I$4))),TREND($E64:$F64,$E$9:$F$9,AC$9))</f>
        <v>0</v>
      </c>
      <c r="AD64" s="27">
        <f>IF($G64="s-curve",$E64+($F64-$E64)*$I$2/(1+EXP($I$3*(COUNT($I$9:AD$9)+$I$4))),TREND($E64:$F64,$E$9:$F$9,AD$9))</f>
        <v>0</v>
      </c>
      <c r="AE64" s="27">
        <f>IF($G64="s-curve",$E64+($F64-$E64)*$I$2/(1+EXP($I$3*(COUNT($I$9:AE$9)+$I$4))),TREND($E64:$F64,$E$9:$F$9,AE$9))</f>
        <v>0</v>
      </c>
      <c r="AF64" s="27">
        <f>IF($G64="s-curve",$E64+($F64-$E64)*$I$2/(1+EXP($I$3*(COUNT($I$9:AF$9)+$I$4))),TREND($E64:$F64,$E$9:$F$9,AF$9))</f>
        <v>0</v>
      </c>
      <c r="AG64" s="27">
        <f>IF($G64="s-curve",$E64+($F64-$E64)*$I$2/(1+EXP($I$3*(COUNT($I$9:AG$9)+$I$4))),TREND($E64:$F64,$E$9:$F$9,AG$9))</f>
        <v>0</v>
      </c>
      <c r="AH64" s="27">
        <f>IF($G64="s-curve",$E64+($F64-$E64)*$I$2/(1+EXP($I$3*(COUNT($I$9:AH$9)+$I$4))),TREND($E64:$F64,$E$9:$F$9,AH$9))</f>
        <v>0</v>
      </c>
      <c r="AI64" s="27">
        <f>IF($G64="s-curve",$E64+($F64-$E64)*$I$2/(1+EXP($I$3*(COUNT($I$9:AI$9)+$I$4))),TREND($E64:$F64,$E$9:$F$9,AI$9))</f>
        <v>0</v>
      </c>
      <c r="AJ64" s="27">
        <f>IF($G64="s-curve",$E64+($F64-$E64)*$I$2/(1+EXP($I$3*(COUNT($I$9:AJ$9)+$I$4))),TREND($E64:$F64,$E$9:$F$9,AJ$9))</f>
        <v>0</v>
      </c>
      <c r="AK64" s="27">
        <f>IF($G64="s-curve",$E64+($F64-$E64)*$I$2/(1+EXP($I$3*(COUNT($I$9:AK$9)+$I$4))),TREND($E64:$F64,$E$9:$F$9,AK$9))</f>
        <v>0</v>
      </c>
      <c r="AL64" s="27">
        <f>IF($G64="s-curve",$E64+($F64-$E64)*$I$2/(1+EXP($I$3*(COUNT($I$9:AL$9)+$I$4))),TREND($E64:$F64,$E$9:$F$9,AL$9))</f>
        <v>0</v>
      </c>
      <c r="AM64" s="27">
        <f>IF($G64="s-curve",$E64+($F64-$E64)*$I$2/(1+EXP($I$3*(COUNT($I$9:AM$9)+$I$4))),TREND($E64:$F64,$E$9:$F$9,AM$9))</f>
        <v>0</v>
      </c>
      <c r="AN64" s="27">
        <f>IF($G64="s-curve",$E64+($F64-$E64)*$I$2/(1+EXP($I$3*(COUNT($I$9:AN$9)+$I$4))),TREND($E64:$F64,$E$9:$F$9,AN$9))</f>
        <v>0</v>
      </c>
      <c r="AO64" s="27">
        <f>IF($G64="s-curve",$E64+($F64-$E64)*$I$2/(1+EXP($I$3*(COUNT($I$9:AO$9)+$I$4))),TREND($E64:$F64,$E$9:$F$9,AO$9))</f>
        <v>0</v>
      </c>
      <c r="AP64" s="27">
        <f>IF($G64="s-curve",$E64+($F64-$E64)*$I$2/(1+EXP($I$3*(COUNT($I$9:AP$9)+$I$4))),TREND($E64:$F64,$E$9:$F$9,AP$9))</f>
        <v>0</v>
      </c>
      <c r="AQ64" s="27">
        <f>IF($G64="s-curve",$E64+($F64-$E64)*$I$2/(1+EXP($I$3*(COUNT($I$9:AQ$9)+$I$4))),TREND($E64:$F64,$E$9:$F$9,AQ$9))</f>
        <v>0</v>
      </c>
      <c r="AR64" s="27">
        <f>IF($G64="s-curve",$E64+($F64-$E64)*$I$2/(1+EXP($I$3*(COUNT($I$9:AR$9)+$I$4))),TREND($E64:$F64,$E$9:$F$9,AR$9))</f>
        <v>0</v>
      </c>
      <c r="AS64" s="27">
        <f>IF($G64="s-curve",$E64+($F64-$E64)*$I$2/(1+EXP($I$3*(COUNT($I$9:AS$9)+$I$4))),TREND($E64:$F64,$E$9:$F$9,AS$9))</f>
        <v>0</v>
      </c>
      <c r="AT64" s="27">
        <f>IF($G64="s-curve",$E64+($F64-$E64)*$I$2/(1+EXP($I$3*(COUNT($I$9:AT$9)+$I$4))),TREND($E64:$F64,$E$9:$F$9,AT$9))</f>
        <v>0</v>
      </c>
      <c r="AU64" s="27">
        <f>IF($G64="s-curve",$E64+($F64-$E64)*$I$2/(1+EXP($I$3*(COUNT($I$9:AU$9)+$I$4))),TREND($E64:$F64,$E$9:$F$9,AU$9))</f>
        <v>0</v>
      </c>
      <c r="AV64" s="27">
        <f>IF($G64="s-curve",$E64+($F64-$E64)*$I$2/(1+EXP($I$3*(COUNT($I$9:AV$9)+$I$4))),TREND($E64:$F64,$E$9:$F$9,AV$9))</f>
        <v>0</v>
      </c>
      <c r="AW64" s="27">
        <f>IF($G64="s-curve",$E64+($F64-$E64)*$I$2/(1+EXP($I$3*(COUNT($I$9:AW$9)+$I$4))),TREND($E64:$F64,$E$9:$F$9,AW$9))</f>
        <v>0</v>
      </c>
      <c r="AX64" s="27">
        <f>IF($G64="s-curve",$E64+($F64-$E64)*$I$2/(1+EXP($I$3*(COUNT($I$9:AX$9)+$I$4))),TREND($E64:$F64,$E$9:$F$9,AX$9))</f>
        <v>0</v>
      </c>
      <c r="AY64" s="27">
        <f>IF($G64="s-curve",$E64+($F64-$E64)*$I$2/(1+EXP($I$3*(COUNT($I$9:AY$9)+$I$4))),TREND($E64:$F64,$E$9:$F$9,AY$9))</f>
        <v>0</v>
      </c>
      <c r="AZ64" s="27">
        <f>IF($G64="s-curve",$E64+($F64-$E64)*$I$2/(1+EXP($I$3*(COUNT($I$9:AZ$9)+$I$4))),TREND($E64:$F64,$E$9:$F$9,AZ$9))</f>
        <v>0</v>
      </c>
      <c r="BA64" s="27">
        <f>IF($G64="s-curve",$E64+($F64-$E64)*$I$2/(1+EXP($I$3*(COUNT($I$9:BA$9)+$I$4))),TREND($E64:$F64,$E$9:$F$9,BA$9))</f>
        <v>0</v>
      </c>
      <c r="BB64" s="27">
        <f>IF($G64="s-curve",$E64+($F64-$E64)*$I$2/(1+EXP($I$3*(COUNT($I$9:BB$9)+$I$4))),TREND($E64:$F64,$E$9:$F$9,BB$9))</f>
        <v>0</v>
      </c>
      <c r="BC64" s="27">
        <f>IF($G64="s-curve",$E64+($F64-$E64)*$I$2/(1+EXP($I$3*(COUNT($I$9:BC$9)+$I$4))),TREND($E64:$F64,$E$9:$F$9,BC$9))</f>
        <v>0</v>
      </c>
      <c r="BD64" s="27">
        <f>IF($G64="s-curve",$E64+($F64-$E64)*$I$2/(1+EXP($I$3*(COUNT($I$9:BD$9)+$I$4))),TREND($E64:$F64,$E$9:$F$9,BD$9))</f>
        <v>0</v>
      </c>
      <c r="BE64" s="27">
        <f>IF($G64="s-curve",$E64+($F64-$E64)*$I$2/(1+EXP($I$3*(COUNT($I$9:BE$9)+$I$4))),TREND($E64:$F64,$E$9:$F$9,BE$9))</f>
        <v>0</v>
      </c>
      <c r="BF64" s="27">
        <f>IF($G64="s-curve",$E64+($F64-$E64)*$I$2/(1+EXP($I$3*(COUNT($I$9:BF$9)+$I$4))),TREND($E64:$F64,$E$9:$F$9,BF$9))</f>
        <v>0</v>
      </c>
    </row>
    <row r="65" spans="1:58" ht="15.5" thickBot="1" x14ac:dyDescent="0.9">
      <c r="A65" s="16"/>
      <c r="B65" s="16"/>
      <c r="C65" s="16" t="s">
        <v>32</v>
      </c>
      <c r="D65" s="26">
        <f t="shared" si="14"/>
        <v>0</v>
      </c>
      <c r="E65" s="31">
        <v>0</v>
      </c>
      <c r="F65" s="31">
        <v>0</v>
      </c>
      <c r="G65" s="32" t="str">
        <f>IF(E65=F65,"n/a",IF(OR(C65="battery electric vehicle",C65="natural gas vehicle",C65="plugin hybrid vehicle",C65="hydrogen vehicle"),"s-curve","linear"))</f>
        <v>n/a</v>
      </c>
      <c r="I65" s="27">
        <f t="shared" si="12"/>
        <v>0</v>
      </c>
      <c r="J65" s="27">
        <f t="shared" si="13"/>
        <v>0</v>
      </c>
      <c r="K65" s="27">
        <f t="shared" si="13"/>
        <v>0</v>
      </c>
      <c r="L65" s="27">
        <f t="shared" si="13"/>
        <v>0</v>
      </c>
      <c r="M65" s="27">
        <f>IF($G65="s-curve",$E65+($F65-$E65)*$I$2/(1+EXP($I$3*(COUNT($I$9:M$9)+$I$4))),TREND($E65:$F65,$E$9:$F$9,M$9))</f>
        <v>0</v>
      </c>
      <c r="N65" s="27">
        <f>IF($G65="s-curve",$E65+($F65-$E65)*$I$2/(1+EXP($I$3*(COUNT($I$9:N$9)+$I$4))),TREND($E65:$F65,$E$9:$F$9,N$9))</f>
        <v>0</v>
      </c>
      <c r="O65" s="27">
        <f>IF($G65="s-curve",$E65+($F65-$E65)*$I$2/(1+EXP($I$3*(COUNT($I$9:O$9)+$I$4))),TREND($E65:$F65,$E$9:$F$9,O$9))</f>
        <v>0</v>
      </c>
      <c r="P65" s="27">
        <f>IF($G65="s-curve",$E65+($F65-$E65)*$I$2/(1+EXP($I$3*(COUNT($I$9:P$9)+$I$4))),TREND($E65:$F65,$E$9:$F$9,P$9))</f>
        <v>0</v>
      </c>
      <c r="Q65" s="27">
        <f>IF($G65="s-curve",$E65+($F65-$E65)*$I$2/(1+EXP($I$3*(COUNT($I$9:Q$9)+$I$4))),TREND($E65:$F65,$E$9:$F$9,Q$9))</f>
        <v>0</v>
      </c>
      <c r="R65" s="27">
        <f>IF($G65="s-curve",$E65+($F65-$E65)*$I$2/(1+EXP($I$3*(COUNT($I$9:R$9)+$I$4))),TREND($E65:$F65,$E$9:$F$9,R$9))</f>
        <v>0</v>
      </c>
      <c r="S65" s="27">
        <f>IF($G65="s-curve",$E65+($F65-$E65)*$I$2/(1+EXP($I$3*(COUNT($I$9:S$9)+$I$4))),TREND($E65:$F65,$E$9:$F$9,S$9))</f>
        <v>0</v>
      </c>
      <c r="T65" s="27">
        <f>IF($G65="s-curve",$E65+($F65-$E65)*$I$2/(1+EXP($I$3*(COUNT($I$9:T$9)+$I$4))),TREND($E65:$F65,$E$9:$F$9,T$9))</f>
        <v>0</v>
      </c>
      <c r="U65" s="27">
        <f>IF($G65="s-curve",$E65+($F65-$E65)*$I$2/(1+EXP($I$3*(COUNT($I$9:U$9)+$I$4))),TREND($E65:$F65,$E$9:$F$9,U$9))</f>
        <v>0</v>
      </c>
      <c r="V65" s="27">
        <f>IF($G65="s-curve",$E65+($F65-$E65)*$I$2/(1+EXP($I$3*(COUNT($I$9:V$9)+$I$4))),TREND($E65:$F65,$E$9:$F$9,V$9))</f>
        <v>0</v>
      </c>
      <c r="W65" s="27">
        <f>IF($G65="s-curve",$E65+($F65-$E65)*$I$2/(1+EXP($I$3*(COUNT($I$9:W$9)+$I$4))),TREND($E65:$F65,$E$9:$F$9,W$9))</f>
        <v>0</v>
      </c>
      <c r="X65" s="27">
        <f>IF($G65="s-curve",$E65+($F65-$E65)*$I$2/(1+EXP($I$3*(COUNT($I$9:X$9)+$I$4))),TREND($E65:$F65,$E$9:$F$9,X$9))</f>
        <v>0</v>
      </c>
      <c r="Y65" s="27">
        <f>IF($G65="s-curve",$E65+($F65-$E65)*$I$2/(1+EXP($I$3*(COUNT($I$9:Y$9)+$I$4))),TREND($E65:$F65,$E$9:$F$9,Y$9))</f>
        <v>0</v>
      </c>
      <c r="Z65" s="27">
        <f>IF($G65="s-curve",$E65+($F65-$E65)*$I$2/(1+EXP($I$3*(COUNT($I$9:Z$9)+$I$4))),TREND($E65:$F65,$E$9:$F$9,Z$9))</f>
        <v>0</v>
      </c>
      <c r="AA65" s="27">
        <f>IF($G65="s-curve",$E65+($F65-$E65)*$I$2/(1+EXP($I$3*(COUNT($I$9:AA$9)+$I$4))),TREND($E65:$F65,$E$9:$F$9,AA$9))</f>
        <v>0</v>
      </c>
      <c r="AB65" s="27">
        <f>IF($G65="s-curve",$E65+($F65-$E65)*$I$2/(1+EXP($I$3*(COUNT($I$9:AB$9)+$I$4))),TREND($E65:$F65,$E$9:$F$9,AB$9))</f>
        <v>0</v>
      </c>
      <c r="AC65" s="27">
        <f>IF($G65="s-curve",$E65+($F65-$E65)*$I$2/(1+EXP($I$3*(COUNT($I$9:AC$9)+$I$4))),TREND($E65:$F65,$E$9:$F$9,AC$9))</f>
        <v>0</v>
      </c>
      <c r="AD65" s="27">
        <f>IF($G65="s-curve",$E65+($F65-$E65)*$I$2/(1+EXP($I$3*(COUNT($I$9:AD$9)+$I$4))),TREND($E65:$F65,$E$9:$F$9,AD$9))</f>
        <v>0</v>
      </c>
      <c r="AE65" s="27">
        <f>IF($G65="s-curve",$E65+($F65-$E65)*$I$2/(1+EXP($I$3*(COUNT($I$9:AE$9)+$I$4))),TREND($E65:$F65,$E$9:$F$9,AE$9))</f>
        <v>0</v>
      </c>
      <c r="AF65" s="27">
        <f>IF($G65="s-curve",$E65+($F65-$E65)*$I$2/(1+EXP($I$3*(COUNT($I$9:AF$9)+$I$4))),TREND($E65:$F65,$E$9:$F$9,AF$9))</f>
        <v>0</v>
      </c>
      <c r="AG65" s="27">
        <f>IF($G65="s-curve",$E65+($F65-$E65)*$I$2/(1+EXP($I$3*(COUNT($I$9:AG$9)+$I$4))),TREND($E65:$F65,$E$9:$F$9,AG$9))</f>
        <v>0</v>
      </c>
      <c r="AH65" s="27">
        <f>IF($G65="s-curve",$E65+($F65-$E65)*$I$2/(1+EXP($I$3*(COUNT($I$9:AH$9)+$I$4))),TREND($E65:$F65,$E$9:$F$9,AH$9))</f>
        <v>0</v>
      </c>
      <c r="AI65" s="27">
        <f>IF($G65="s-curve",$E65+($F65-$E65)*$I$2/(1+EXP($I$3*(COUNT($I$9:AI$9)+$I$4))),TREND($E65:$F65,$E$9:$F$9,AI$9))</f>
        <v>0</v>
      </c>
      <c r="AJ65" s="27">
        <f>IF($G65="s-curve",$E65+($F65-$E65)*$I$2/(1+EXP($I$3*(COUNT($I$9:AJ$9)+$I$4))),TREND($E65:$F65,$E$9:$F$9,AJ$9))</f>
        <v>0</v>
      </c>
      <c r="AK65" s="27">
        <f>IF($G65="s-curve",$E65+($F65-$E65)*$I$2/(1+EXP($I$3*(COUNT($I$9:AK$9)+$I$4))),TREND($E65:$F65,$E$9:$F$9,AK$9))</f>
        <v>0</v>
      </c>
      <c r="AL65" s="27">
        <f>IF($G65="s-curve",$E65+($F65-$E65)*$I$2/(1+EXP($I$3*(COUNT($I$9:AL$9)+$I$4))),TREND($E65:$F65,$E$9:$F$9,AL$9))</f>
        <v>0</v>
      </c>
      <c r="AM65" s="27">
        <f>IF($G65="s-curve",$E65+($F65-$E65)*$I$2/(1+EXP($I$3*(COUNT($I$9:AM$9)+$I$4))),TREND($E65:$F65,$E$9:$F$9,AM$9))</f>
        <v>0</v>
      </c>
      <c r="AN65" s="27">
        <f>IF($G65="s-curve",$E65+($F65-$E65)*$I$2/(1+EXP($I$3*(COUNT($I$9:AN$9)+$I$4))),TREND($E65:$F65,$E$9:$F$9,AN$9))</f>
        <v>0</v>
      </c>
      <c r="AO65" s="27">
        <f>IF($G65="s-curve",$E65+($F65-$E65)*$I$2/(1+EXP($I$3*(COUNT($I$9:AO$9)+$I$4))),TREND($E65:$F65,$E$9:$F$9,AO$9))</f>
        <v>0</v>
      </c>
      <c r="AP65" s="27">
        <f>IF($G65="s-curve",$E65+($F65-$E65)*$I$2/(1+EXP($I$3*(COUNT($I$9:AP$9)+$I$4))),TREND($E65:$F65,$E$9:$F$9,AP$9))</f>
        <v>0</v>
      </c>
      <c r="AQ65" s="27">
        <f>IF($G65="s-curve",$E65+($F65-$E65)*$I$2/(1+EXP($I$3*(COUNT($I$9:AQ$9)+$I$4))),TREND($E65:$F65,$E$9:$F$9,AQ$9))</f>
        <v>0</v>
      </c>
      <c r="AR65" s="27">
        <f>IF($G65="s-curve",$E65+($F65-$E65)*$I$2/(1+EXP($I$3*(COUNT($I$9:AR$9)+$I$4))),TREND($E65:$F65,$E$9:$F$9,AR$9))</f>
        <v>0</v>
      </c>
      <c r="AS65" s="27">
        <f>IF($G65="s-curve",$E65+($F65-$E65)*$I$2/(1+EXP($I$3*(COUNT($I$9:AS$9)+$I$4))),TREND($E65:$F65,$E$9:$F$9,AS$9))</f>
        <v>0</v>
      </c>
      <c r="AT65" s="27">
        <f>IF($G65="s-curve",$E65+($F65-$E65)*$I$2/(1+EXP($I$3*(COUNT($I$9:AT$9)+$I$4))),TREND($E65:$F65,$E$9:$F$9,AT$9))</f>
        <v>0</v>
      </c>
      <c r="AU65" s="27">
        <f>IF($G65="s-curve",$E65+($F65-$E65)*$I$2/(1+EXP($I$3*(COUNT($I$9:AU$9)+$I$4))),TREND($E65:$F65,$E$9:$F$9,AU$9))</f>
        <v>0</v>
      </c>
      <c r="AV65" s="27">
        <f>IF($G65="s-curve",$E65+($F65-$E65)*$I$2/(1+EXP($I$3*(COUNT($I$9:AV$9)+$I$4))),TREND($E65:$F65,$E$9:$F$9,AV$9))</f>
        <v>0</v>
      </c>
      <c r="AW65" s="27">
        <f>IF($G65="s-curve",$E65+($F65-$E65)*$I$2/(1+EXP($I$3*(COUNT($I$9:AW$9)+$I$4))),TREND($E65:$F65,$E$9:$F$9,AW$9))</f>
        <v>0</v>
      </c>
      <c r="AX65" s="27">
        <f>IF($G65="s-curve",$E65+($F65-$E65)*$I$2/(1+EXP($I$3*(COUNT($I$9:AX$9)+$I$4))),TREND($E65:$F65,$E$9:$F$9,AX$9))</f>
        <v>0</v>
      </c>
      <c r="AY65" s="27">
        <f>IF($G65="s-curve",$E65+($F65-$E65)*$I$2/(1+EXP($I$3*(COUNT($I$9:AY$9)+$I$4))),TREND($E65:$F65,$E$9:$F$9,AY$9))</f>
        <v>0</v>
      </c>
      <c r="AZ65" s="27">
        <f>IF($G65="s-curve",$E65+($F65-$E65)*$I$2/(1+EXP($I$3*(COUNT($I$9:AZ$9)+$I$4))),TREND($E65:$F65,$E$9:$F$9,AZ$9))</f>
        <v>0</v>
      </c>
      <c r="BA65" s="27">
        <f>IF($G65="s-curve",$E65+($F65-$E65)*$I$2/(1+EXP($I$3*(COUNT($I$9:BA$9)+$I$4))),TREND($E65:$F65,$E$9:$F$9,BA$9))</f>
        <v>0</v>
      </c>
      <c r="BB65" s="27">
        <f>IF($G65="s-curve",$E65+($F65-$E65)*$I$2/(1+EXP($I$3*(COUNT($I$9:BB$9)+$I$4))),TREND($E65:$F65,$E$9:$F$9,BB$9))</f>
        <v>0</v>
      </c>
      <c r="BC65" s="27">
        <f>IF($G65="s-curve",$E65+($F65-$E65)*$I$2/(1+EXP($I$3*(COUNT($I$9:BC$9)+$I$4))),TREND($E65:$F65,$E$9:$F$9,BC$9))</f>
        <v>0</v>
      </c>
      <c r="BD65" s="27">
        <f>IF($G65="s-curve",$E65+($F65-$E65)*$I$2/(1+EXP($I$3*(COUNT($I$9:BD$9)+$I$4))),TREND($E65:$F65,$E$9:$F$9,BD$9))</f>
        <v>0</v>
      </c>
      <c r="BE65" s="27">
        <f>IF($G65="s-curve",$E65+($F65-$E65)*$I$2/(1+EXP($I$3*(COUNT($I$9:BE$9)+$I$4))),TREND($E65:$F65,$E$9:$F$9,BE$9))</f>
        <v>0</v>
      </c>
      <c r="BF65" s="27">
        <f>IF($G65="s-curve",$E65+($F65-$E65)*$I$2/(1+EXP($I$3*(COUNT($I$9:BF$9)+$I$4))),TREND($E65:$F65,$E$9:$F$9,BF$9))</f>
        <v>0</v>
      </c>
    </row>
    <row r="66" spans="1:58" x14ac:dyDescent="0.75">
      <c r="A66" t="s">
        <v>16</v>
      </c>
      <c r="B66" t="s">
        <v>19</v>
      </c>
      <c r="C66" t="s">
        <v>1</v>
      </c>
      <c r="D66" s="26">
        <f t="shared" si="14"/>
        <v>0</v>
      </c>
      <c r="E66" s="26">
        <v>0</v>
      </c>
      <c r="F66" s="26">
        <v>0</v>
      </c>
      <c r="G66" s="29" t="str">
        <f>IF(E66=F66,"n/a",IF(OR(C66="battery electric vehicle",C66="natural gas vehicle",C66="plugin hybrid vehicle"),"s-curve","linear"))</f>
        <v>n/a</v>
      </c>
      <c r="I66" s="27">
        <f t="shared" si="12"/>
        <v>0</v>
      </c>
      <c r="J66" s="27">
        <f t="shared" si="13"/>
        <v>0</v>
      </c>
      <c r="K66" s="27">
        <f t="shared" si="13"/>
        <v>0</v>
      </c>
      <c r="L66" s="27">
        <f t="shared" si="13"/>
        <v>0</v>
      </c>
      <c r="M66" s="27">
        <f>IF($G66="s-curve",$E66+($F66-$E66)*$I$2/(1+EXP($I$3*(COUNT($I$9:M$9)+$I$4))),TREND($E66:$F66,$E$9:$F$9,M$9))</f>
        <v>0</v>
      </c>
      <c r="N66" s="27">
        <f>IF($G66="s-curve",$E66+($F66-$E66)*$I$2/(1+EXP($I$3*(COUNT($I$9:N$9)+$I$4))),TREND($E66:$F66,$E$9:$F$9,N$9))</f>
        <v>0</v>
      </c>
      <c r="O66" s="27">
        <f>IF($G66="s-curve",$E66+($F66-$E66)*$I$2/(1+EXP($I$3*(COUNT($I$9:O$9)+$I$4))),TREND($E66:$F66,$E$9:$F$9,O$9))</f>
        <v>0</v>
      </c>
      <c r="P66" s="27">
        <f>IF($G66="s-curve",$E66+($F66-$E66)*$I$2/(1+EXP($I$3*(COUNT($I$9:P$9)+$I$4))),TREND($E66:$F66,$E$9:$F$9,P$9))</f>
        <v>0</v>
      </c>
      <c r="Q66" s="27">
        <f>IF($G66="s-curve",$E66+($F66-$E66)*$I$2/(1+EXP($I$3*(COUNT($I$9:Q$9)+$I$4))),TREND($E66:$F66,$E$9:$F$9,Q$9))</f>
        <v>0</v>
      </c>
      <c r="R66" s="27">
        <f>IF($G66="s-curve",$E66+($F66-$E66)*$I$2/(1+EXP($I$3*(COUNT($I$9:R$9)+$I$4))),TREND($E66:$F66,$E$9:$F$9,R$9))</f>
        <v>0</v>
      </c>
      <c r="S66" s="27">
        <f>IF($G66="s-curve",$E66+($F66-$E66)*$I$2/(1+EXP($I$3*(COUNT($I$9:S$9)+$I$4))),TREND($E66:$F66,$E$9:$F$9,S$9))</f>
        <v>0</v>
      </c>
      <c r="T66" s="27">
        <f>IF($G66="s-curve",$E66+($F66-$E66)*$I$2/(1+EXP($I$3*(COUNT($I$9:T$9)+$I$4))),TREND($E66:$F66,$E$9:$F$9,T$9))</f>
        <v>0</v>
      </c>
      <c r="U66" s="27">
        <f>IF($G66="s-curve",$E66+($F66-$E66)*$I$2/(1+EXP($I$3*(COUNT($I$9:U$9)+$I$4))),TREND($E66:$F66,$E$9:$F$9,U$9))</f>
        <v>0</v>
      </c>
      <c r="V66" s="27">
        <f>IF($G66="s-curve",$E66+($F66-$E66)*$I$2/(1+EXP($I$3*(COUNT($I$9:V$9)+$I$4))),TREND($E66:$F66,$E$9:$F$9,V$9))</f>
        <v>0</v>
      </c>
      <c r="W66" s="27">
        <f>IF($G66="s-curve",$E66+($F66-$E66)*$I$2/(1+EXP($I$3*(COUNT($I$9:W$9)+$I$4))),TREND($E66:$F66,$E$9:$F$9,W$9))</f>
        <v>0</v>
      </c>
      <c r="X66" s="27">
        <f>IF($G66="s-curve",$E66+($F66-$E66)*$I$2/(1+EXP($I$3*(COUNT($I$9:X$9)+$I$4))),TREND($E66:$F66,$E$9:$F$9,X$9))</f>
        <v>0</v>
      </c>
      <c r="Y66" s="27">
        <f>IF($G66="s-curve",$E66+($F66-$E66)*$I$2/(1+EXP($I$3*(COUNT($I$9:Y$9)+$I$4))),TREND($E66:$F66,$E$9:$F$9,Y$9))</f>
        <v>0</v>
      </c>
      <c r="Z66" s="27">
        <f>IF($G66="s-curve",$E66+($F66-$E66)*$I$2/(1+EXP($I$3*(COUNT($I$9:Z$9)+$I$4))),TREND($E66:$F66,$E$9:$F$9,Z$9))</f>
        <v>0</v>
      </c>
      <c r="AA66" s="27">
        <f>IF($G66="s-curve",$E66+($F66-$E66)*$I$2/(1+EXP($I$3*(COUNT($I$9:AA$9)+$I$4))),TREND($E66:$F66,$E$9:$F$9,AA$9))</f>
        <v>0</v>
      </c>
      <c r="AB66" s="27">
        <f>IF($G66="s-curve",$E66+($F66-$E66)*$I$2/(1+EXP($I$3*(COUNT($I$9:AB$9)+$I$4))),TREND($E66:$F66,$E$9:$F$9,AB$9))</f>
        <v>0</v>
      </c>
      <c r="AC66" s="27">
        <f>IF($G66="s-curve",$E66+($F66-$E66)*$I$2/(1+EXP($I$3*(COUNT($I$9:AC$9)+$I$4))),TREND($E66:$F66,$E$9:$F$9,AC$9))</f>
        <v>0</v>
      </c>
      <c r="AD66" s="27">
        <f>IF($G66="s-curve",$E66+($F66-$E66)*$I$2/(1+EXP($I$3*(COUNT($I$9:AD$9)+$I$4))),TREND($E66:$F66,$E$9:$F$9,AD$9))</f>
        <v>0</v>
      </c>
      <c r="AE66" s="27">
        <f>IF($G66="s-curve",$E66+($F66-$E66)*$I$2/(1+EXP($I$3*(COUNT($I$9:AE$9)+$I$4))),TREND($E66:$F66,$E$9:$F$9,AE$9))</f>
        <v>0</v>
      </c>
      <c r="AF66" s="27">
        <f>IF($G66="s-curve",$E66+($F66-$E66)*$I$2/(1+EXP($I$3*(COUNT($I$9:AF$9)+$I$4))),TREND($E66:$F66,$E$9:$F$9,AF$9))</f>
        <v>0</v>
      </c>
      <c r="AG66" s="27">
        <f>IF($G66="s-curve",$E66+($F66-$E66)*$I$2/(1+EXP($I$3*(COUNT($I$9:AG$9)+$I$4))),TREND($E66:$F66,$E$9:$F$9,AG$9))</f>
        <v>0</v>
      </c>
      <c r="AH66" s="27">
        <f>IF($G66="s-curve",$E66+($F66-$E66)*$I$2/(1+EXP($I$3*(COUNT($I$9:AH$9)+$I$4))),TREND($E66:$F66,$E$9:$F$9,AH$9))</f>
        <v>0</v>
      </c>
      <c r="AI66" s="27">
        <f>IF($G66="s-curve",$E66+($F66-$E66)*$I$2/(1+EXP($I$3*(COUNT($I$9:AI$9)+$I$4))),TREND($E66:$F66,$E$9:$F$9,AI$9))</f>
        <v>0</v>
      </c>
      <c r="AJ66" s="27">
        <f>IF($G66="s-curve",$E66+($F66-$E66)*$I$2/(1+EXP($I$3*(COUNT($I$9:AJ$9)+$I$4))),TREND($E66:$F66,$E$9:$F$9,AJ$9))</f>
        <v>0</v>
      </c>
      <c r="AK66" s="27">
        <f>IF($G66="s-curve",$E66+($F66-$E66)*$I$2/(1+EXP($I$3*(COUNT($I$9:AK$9)+$I$4))),TREND($E66:$F66,$E$9:$F$9,AK$9))</f>
        <v>0</v>
      </c>
      <c r="AL66" s="27">
        <f>IF($G66="s-curve",$E66+($F66-$E66)*$I$2/(1+EXP($I$3*(COUNT($I$9:AL$9)+$I$4))),TREND($E66:$F66,$E$9:$F$9,AL$9))</f>
        <v>0</v>
      </c>
      <c r="AM66" s="27">
        <f>IF($G66="s-curve",$E66+($F66-$E66)*$I$2/(1+EXP($I$3*(COUNT($I$9:AM$9)+$I$4))),TREND($E66:$F66,$E$9:$F$9,AM$9))</f>
        <v>0</v>
      </c>
      <c r="AN66" s="27">
        <f>IF($G66="s-curve",$E66+($F66-$E66)*$I$2/(1+EXP($I$3*(COUNT($I$9:AN$9)+$I$4))),TREND($E66:$F66,$E$9:$F$9,AN$9))</f>
        <v>0</v>
      </c>
      <c r="AO66" s="27">
        <f>IF($G66="s-curve",$E66+($F66-$E66)*$I$2/(1+EXP($I$3*(COUNT($I$9:AO$9)+$I$4))),TREND($E66:$F66,$E$9:$F$9,AO$9))</f>
        <v>0</v>
      </c>
      <c r="AP66" s="27">
        <f>IF($G66="s-curve",$E66+($F66-$E66)*$I$2/(1+EXP($I$3*(COUNT($I$9:AP$9)+$I$4))),TREND($E66:$F66,$E$9:$F$9,AP$9))</f>
        <v>0</v>
      </c>
      <c r="AQ66" s="27">
        <f>IF($G66="s-curve",$E66+($F66-$E66)*$I$2/(1+EXP($I$3*(COUNT($I$9:AQ$9)+$I$4))),TREND($E66:$F66,$E$9:$F$9,AQ$9))</f>
        <v>0</v>
      </c>
      <c r="AR66" s="27">
        <f>IF($G66="s-curve",$E66+($F66-$E66)*$I$2/(1+EXP($I$3*(COUNT($I$9:AR$9)+$I$4))),TREND($E66:$F66,$E$9:$F$9,AR$9))</f>
        <v>0</v>
      </c>
      <c r="AS66" s="27">
        <f>IF($G66="s-curve",$E66+($F66-$E66)*$I$2/(1+EXP($I$3*(COUNT($I$9:AS$9)+$I$4))),TREND($E66:$F66,$E$9:$F$9,AS$9))</f>
        <v>0</v>
      </c>
      <c r="AT66" s="27">
        <f>IF($G66="s-curve",$E66+($F66-$E66)*$I$2/(1+EXP($I$3*(COUNT($I$9:AT$9)+$I$4))),TREND($E66:$F66,$E$9:$F$9,AT$9))</f>
        <v>0</v>
      </c>
      <c r="AU66" s="27">
        <f>IF($G66="s-curve",$E66+($F66-$E66)*$I$2/(1+EXP($I$3*(COUNT($I$9:AU$9)+$I$4))),TREND($E66:$F66,$E$9:$F$9,AU$9))</f>
        <v>0</v>
      </c>
      <c r="AV66" s="27">
        <f>IF($G66="s-curve",$E66+($F66-$E66)*$I$2/(1+EXP($I$3*(COUNT($I$9:AV$9)+$I$4))),TREND($E66:$F66,$E$9:$F$9,AV$9))</f>
        <v>0</v>
      </c>
      <c r="AW66" s="27">
        <f>IF($G66="s-curve",$E66+($F66-$E66)*$I$2/(1+EXP($I$3*(COUNT($I$9:AW$9)+$I$4))),TREND($E66:$F66,$E$9:$F$9,AW$9))</f>
        <v>0</v>
      </c>
      <c r="AX66" s="27">
        <f>IF($G66="s-curve",$E66+($F66-$E66)*$I$2/(1+EXP($I$3*(COUNT($I$9:AX$9)+$I$4))),TREND($E66:$F66,$E$9:$F$9,AX$9))</f>
        <v>0</v>
      </c>
      <c r="AY66" s="27">
        <f>IF($G66="s-curve",$E66+($F66-$E66)*$I$2/(1+EXP($I$3*(COUNT($I$9:AY$9)+$I$4))),TREND($E66:$F66,$E$9:$F$9,AY$9))</f>
        <v>0</v>
      </c>
      <c r="AZ66" s="27">
        <f>IF($G66="s-curve",$E66+($F66-$E66)*$I$2/(1+EXP($I$3*(COUNT($I$9:AZ$9)+$I$4))),TREND($E66:$F66,$E$9:$F$9,AZ$9))</f>
        <v>0</v>
      </c>
      <c r="BA66" s="27">
        <f>IF($G66="s-curve",$E66+($F66-$E66)*$I$2/(1+EXP($I$3*(COUNT($I$9:BA$9)+$I$4))),TREND($E66:$F66,$E$9:$F$9,BA$9))</f>
        <v>0</v>
      </c>
      <c r="BB66" s="27">
        <f>IF($G66="s-curve",$E66+($F66-$E66)*$I$2/(1+EXP($I$3*(COUNT($I$9:BB$9)+$I$4))),TREND($E66:$F66,$E$9:$F$9,BB$9))</f>
        <v>0</v>
      </c>
      <c r="BC66" s="27">
        <f>IF($G66="s-curve",$E66+($F66-$E66)*$I$2/(1+EXP($I$3*(COUNT($I$9:BC$9)+$I$4))),TREND($E66:$F66,$E$9:$F$9,BC$9))</f>
        <v>0</v>
      </c>
      <c r="BD66" s="27">
        <f>IF($G66="s-curve",$E66+($F66-$E66)*$I$2/(1+EXP($I$3*(COUNT($I$9:BD$9)+$I$4))),TREND($E66:$F66,$E$9:$F$9,BD$9))</f>
        <v>0</v>
      </c>
      <c r="BE66" s="27">
        <f>IF($G66="s-curve",$E66+($F66-$E66)*$I$2/(1+EXP($I$3*(COUNT($I$9:BE$9)+$I$4))),TREND($E66:$F66,$E$9:$F$9,BE$9))</f>
        <v>0</v>
      </c>
      <c r="BF66" s="27">
        <f>IF($G66="s-curve",$E66+($F66-$E66)*$I$2/(1+EXP($I$3*(COUNT($I$9:BF$9)+$I$4))),TREND($E66:$F66,$E$9:$F$9,BF$9))</f>
        <v>0</v>
      </c>
    </row>
    <row r="67" spans="1:58" x14ac:dyDescent="0.75">
      <c r="C67" t="s">
        <v>2</v>
      </c>
      <c r="D67" s="26">
        <f t="shared" si="14"/>
        <v>0</v>
      </c>
      <c r="E67" s="26">
        <v>0</v>
      </c>
      <c r="F67" s="26">
        <v>0</v>
      </c>
      <c r="G67" s="29" t="str">
        <f>IF(E67=F67,"n/a",IF(OR(C67="battery electric vehicle",C67="natural gas vehicle",C67="plugin hybrid vehicle"),"s-curve","linear"))</f>
        <v>n/a</v>
      </c>
      <c r="I67" s="27">
        <f t="shared" si="12"/>
        <v>0</v>
      </c>
      <c r="J67" s="27">
        <f t="shared" si="13"/>
        <v>0</v>
      </c>
      <c r="K67" s="27">
        <f t="shared" si="13"/>
        <v>0</v>
      </c>
      <c r="L67" s="27">
        <f t="shared" si="13"/>
        <v>0</v>
      </c>
      <c r="M67" s="27">
        <f>IF($G67="s-curve",$E67+($F67-$E67)*$I$2/(1+EXP($I$3*(COUNT($I$9:M$9)+$I$4))),TREND($E67:$F67,$E$9:$F$9,M$9))</f>
        <v>0</v>
      </c>
      <c r="N67" s="27">
        <f>IF($G67="s-curve",$E67+($F67-$E67)*$I$2/(1+EXP($I$3*(COUNT($I$9:N$9)+$I$4))),TREND($E67:$F67,$E$9:$F$9,N$9))</f>
        <v>0</v>
      </c>
      <c r="O67" s="27">
        <f>IF($G67="s-curve",$E67+($F67-$E67)*$I$2/(1+EXP($I$3*(COUNT($I$9:O$9)+$I$4))),TREND($E67:$F67,$E$9:$F$9,O$9))</f>
        <v>0</v>
      </c>
      <c r="P67" s="27">
        <f>IF($G67="s-curve",$E67+($F67-$E67)*$I$2/(1+EXP($I$3*(COUNT($I$9:P$9)+$I$4))),TREND($E67:$F67,$E$9:$F$9,P$9))</f>
        <v>0</v>
      </c>
      <c r="Q67" s="27">
        <f>IF($G67="s-curve",$E67+($F67-$E67)*$I$2/(1+EXP($I$3*(COUNT($I$9:Q$9)+$I$4))),TREND($E67:$F67,$E$9:$F$9,Q$9))</f>
        <v>0</v>
      </c>
      <c r="R67" s="27">
        <f>IF($G67="s-curve",$E67+($F67-$E67)*$I$2/(1+EXP($I$3*(COUNT($I$9:R$9)+$I$4))),TREND($E67:$F67,$E$9:$F$9,R$9))</f>
        <v>0</v>
      </c>
      <c r="S67" s="27">
        <f>IF($G67="s-curve",$E67+($F67-$E67)*$I$2/(1+EXP($I$3*(COUNT($I$9:S$9)+$I$4))),TREND($E67:$F67,$E$9:$F$9,S$9))</f>
        <v>0</v>
      </c>
      <c r="T67" s="27">
        <f>IF($G67="s-curve",$E67+($F67-$E67)*$I$2/(1+EXP($I$3*(COUNT($I$9:T$9)+$I$4))),TREND($E67:$F67,$E$9:$F$9,T$9))</f>
        <v>0</v>
      </c>
      <c r="U67" s="27">
        <f>IF($G67="s-curve",$E67+($F67-$E67)*$I$2/(1+EXP($I$3*(COUNT($I$9:U$9)+$I$4))),TREND($E67:$F67,$E$9:$F$9,U$9))</f>
        <v>0</v>
      </c>
      <c r="V67" s="27">
        <f>IF($G67="s-curve",$E67+($F67-$E67)*$I$2/(1+EXP($I$3*(COUNT($I$9:V$9)+$I$4))),TREND($E67:$F67,$E$9:$F$9,V$9))</f>
        <v>0</v>
      </c>
      <c r="W67" s="27">
        <f>IF($G67="s-curve",$E67+($F67-$E67)*$I$2/(1+EXP($I$3*(COUNT($I$9:W$9)+$I$4))),TREND($E67:$F67,$E$9:$F$9,W$9))</f>
        <v>0</v>
      </c>
      <c r="X67" s="27">
        <f>IF($G67="s-curve",$E67+($F67-$E67)*$I$2/(1+EXP($I$3*(COUNT($I$9:X$9)+$I$4))),TREND($E67:$F67,$E$9:$F$9,X$9))</f>
        <v>0</v>
      </c>
      <c r="Y67" s="27">
        <f>IF($G67="s-curve",$E67+($F67-$E67)*$I$2/(1+EXP($I$3*(COUNT($I$9:Y$9)+$I$4))),TREND($E67:$F67,$E$9:$F$9,Y$9))</f>
        <v>0</v>
      </c>
      <c r="Z67" s="27">
        <f>IF($G67="s-curve",$E67+($F67-$E67)*$I$2/(1+EXP($I$3*(COUNT($I$9:Z$9)+$I$4))),TREND($E67:$F67,$E$9:$F$9,Z$9))</f>
        <v>0</v>
      </c>
      <c r="AA67" s="27">
        <f>IF($G67="s-curve",$E67+($F67-$E67)*$I$2/(1+EXP($I$3*(COUNT($I$9:AA$9)+$I$4))),TREND($E67:$F67,$E$9:$F$9,AA$9))</f>
        <v>0</v>
      </c>
      <c r="AB67" s="27">
        <f>IF($G67="s-curve",$E67+($F67-$E67)*$I$2/(1+EXP($I$3*(COUNT($I$9:AB$9)+$I$4))),TREND($E67:$F67,$E$9:$F$9,AB$9))</f>
        <v>0</v>
      </c>
      <c r="AC67" s="27">
        <f>IF($G67="s-curve",$E67+($F67-$E67)*$I$2/(1+EXP($I$3*(COUNT($I$9:AC$9)+$I$4))),TREND($E67:$F67,$E$9:$F$9,AC$9))</f>
        <v>0</v>
      </c>
      <c r="AD67" s="27">
        <f>IF($G67="s-curve",$E67+($F67-$E67)*$I$2/(1+EXP($I$3*(COUNT($I$9:AD$9)+$I$4))),TREND($E67:$F67,$E$9:$F$9,AD$9))</f>
        <v>0</v>
      </c>
      <c r="AE67" s="27">
        <f>IF($G67="s-curve",$E67+($F67-$E67)*$I$2/(1+EXP($I$3*(COUNT($I$9:AE$9)+$I$4))),TREND($E67:$F67,$E$9:$F$9,AE$9))</f>
        <v>0</v>
      </c>
      <c r="AF67" s="27">
        <f>IF($G67="s-curve",$E67+($F67-$E67)*$I$2/(1+EXP($I$3*(COUNT($I$9:AF$9)+$I$4))),TREND($E67:$F67,$E$9:$F$9,AF$9))</f>
        <v>0</v>
      </c>
      <c r="AG67" s="27">
        <f>IF($G67="s-curve",$E67+($F67-$E67)*$I$2/(1+EXP($I$3*(COUNT($I$9:AG$9)+$I$4))),TREND($E67:$F67,$E$9:$F$9,AG$9))</f>
        <v>0</v>
      </c>
      <c r="AH67" s="27">
        <f>IF($G67="s-curve",$E67+($F67-$E67)*$I$2/(1+EXP($I$3*(COUNT($I$9:AH$9)+$I$4))),TREND($E67:$F67,$E$9:$F$9,AH$9))</f>
        <v>0</v>
      </c>
      <c r="AI67" s="27">
        <f>IF($G67="s-curve",$E67+($F67-$E67)*$I$2/(1+EXP($I$3*(COUNT($I$9:AI$9)+$I$4))),TREND($E67:$F67,$E$9:$F$9,AI$9))</f>
        <v>0</v>
      </c>
      <c r="AJ67" s="27">
        <f>IF($G67="s-curve",$E67+($F67-$E67)*$I$2/(1+EXP($I$3*(COUNT($I$9:AJ$9)+$I$4))),TREND($E67:$F67,$E$9:$F$9,AJ$9))</f>
        <v>0</v>
      </c>
      <c r="AK67" s="27">
        <f>IF($G67="s-curve",$E67+($F67-$E67)*$I$2/(1+EXP($I$3*(COUNT($I$9:AK$9)+$I$4))),TREND($E67:$F67,$E$9:$F$9,AK$9))</f>
        <v>0</v>
      </c>
      <c r="AL67" s="27">
        <f>IF($G67="s-curve",$E67+($F67-$E67)*$I$2/(1+EXP($I$3*(COUNT($I$9:AL$9)+$I$4))),TREND($E67:$F67,$E$9:$F$9,AL$9))</f>
        <v>0</v>
      </c>
      <c r="AM67" s="27">
        <f>IF($G67="s-curve",$E67+($F67-$E67)*$I$2/(1+EXP($I$3*(COUNT($I$9:AM$9)+$I$4))),TREND($E67:$F67,$E$9:$F$9,AM$9))</f>
        <v>0</v>
      </c>
      <c r="AN67" s="27">
        <f>IF($G67="s-curve",$E67+($F67-$E67)*$I$2/(1+EXP($I$3*(COUNT($I$9:AN$9)+$I$4))),TREND($E67:$F67,$E$9:$F$9,AN$9))</f>
        <v>0</v>
      </c>
      <c r="AO67" s="27">
        <f>IF($G67="s-curve",$E67+($F67-$E67)*$I$2/(1+EXP($I$3*(COUNT($I$9:AO$9)+$I$4))),TREND($E67:$F67,$E$9:$F$9,AO$9))</f>
        <v>0</v>
      </c>
      <c r="AP67" s="27">
        <f>IF($G67="s-curve",$E67+($F67-$E67)*$I$2/(1+EXP($I$3*(COUNT($I$9:AP$9)+$I$4))),TREND($E67:$F67,$E$9:$F$9,AP$9))</f>
        <v>0</v>
      </c>
      <c r="AQ67" s="27">
        <f>IF($G67="s-curve",$E67+($F67-$E67)*$I$2/(1+EXP($I$3*(COUNT($I$9:AQ$9)+$I$4))),TREND($E67:$F67,$E$9:$F$9,AQ$9))</f>
        <v>0</v>
      </c>
      <c r="AR67" s="27">
        <f>IF($G67="s-curve",$E67+($F67-$E67)*$I$2/(1+EXP($I$3*(COUNT($I$9:AR$9)+$I$4))),TREND($E67:$F67,$E$9:$F$9,AR$9))</f>
        <v>0</v>
      </c>
      <c r="AS67" s="27">
        <f>IF($G67="s-curve",$E67+($F67-$E67)*$I$2/(1+EXP($I$3*(COUNT($I$9:AS$9)+$I$4))),TREND($E67:$F67,$E$9:$F$9,AS$9))</f>
        <v>0</v>
      </c>
      <c r="AT67" s="27">
        <f>IF($G67="s-curve",$E67+($F67-$E67)*$I$2/(1+EXP($I$3*(COUNT($I$9:AT$9)+$I$4))),TREND($E67:$F67,$E$9:$F$9,AT$9))</f>
        <v>0</v>
      </c>
      <c r="AU67" s="27">
        <f>IF($G67="s-curve",$E67+($F67-$E67)*$I$2/(1+EXP($I$3*(COUNT($I$9:AU$9)+$I$4))),TREND($E67:$F67,$E$9:$F$9,AU$9))</f>
        <v>0</v>
      </c>
      <c r="AV67" s="27">
        <f>IF($G67="s-curve",$E67+($F67-$E67)*$I$2/(1+EXP($I$3*(COUNT($I$9:AV$9)+$I$4))),TREND($E67:$F67,$E$9:$F$9,AV$9))</f>
        <v>0</v>
      </c>
      <c r="AW67" s="27">
        <f>IF($G67="s-curve",$E67+($F67-$E67)*$I$2/(1+EXP($I$3*(COUNT($I$9:AW$9)+$I$4))),TREND($E67:$F67,$E$9:$F$9,AW$9))</f>
        <v>0</v>
      </c>
      <c r="AX67" s="27">
        <f>IF($G67="s-curve",$E67+($F67-$E67)*$I$2/(1+EXP($I$3*(COUNT($I$9:AX$9)+$I$4))),TREND($E67:$F67,$E$9:$F$9,AX$9))</f>
        <v>0</v>
      </c>
      <c r="AY67" s="27">
        <f>IF($G67="s-curve",$E67+($F67-$E67)*$I$2/(1+EXP($I$3*(COUNT($I$9:AY$9)+$I$4))),TREND($E67:$F67,$E$9:$F$9,AY$9))</f>
        <v>0</v>
      </c>
      <c r="AZ67" s="27">
        <f>IF($G67="s-curve",$E67+($F67-$E67)*$I$2/(1+EXP($I$3*(COUNT($I$9:AZ$9)+$I$4))),TREND($E67:$F67,$E$9:$F$9,AZ$9))</f>
        <v>0</v>
      </c>
      <c r="BA67" s="27">
        <f>IF($G67="s-curve",$E67+($F67-$E67)*$I$2/(1+EXP($I$3*(COUNT($I$9:BA$9)+$I$4))),TREND($E67:$F67,$E$9:$F$9,BA$9))</f>
        <v>0</v>
      </c>
      <c r="BB67" s="27">
        <f>IF($G67="s-curve",$E67+($F67-$E67)*$I$2/(1+EXP($I$3*(COUNT($I$9:BB$9)+$I$4))),TREND($E67:$F67,$E$9:$F$9,BB$9))</f>
        <v>0</v>
      </c>
      <c r="BC67" s="27">
        <f>IF($G67="s-curve",$E67+($F67-$E67)*$I$2/(1+EXP($I$3*(COUNT($I$9:BC$9)+$I$4))),TREND($E67:$F67,$E$9:$F$9,BC$9))</f>
        <v>0</v>
      </c>
      <c r="BD67" s="27">
        <f>IF($G67="s-curve",$E67+($F67-$E67)*$I$2/(1+EXP($I$3*(COUNT($I$9:BD$9)+$I$4))),TREND($E67:$F67,$E$9:$F$9,BD$9))</f>
        <v>0</v>
      </c>
      <c r="BE67" s="27">
        <f>IF($G67="s-curve",$E67+($F67-$E67)*$I$2/(1+EXP($I$3*(COUNT($I$9:BE$9)+$I$4))),TREND($E67:$F67,$E$9:$F$9,BE$9))</f>
        <v>0</v>
      </c>
      <c r="BF67" s="27">
        <f>IF($G67="s-curve",$E67+($F67-$E67)*$I$2/(1+EXP($I$3*(COUNT($I$9:BF$9)+$I$4))),TREND($E67:$F67,$E$9:$F$9,BF$9))</f>
        <v>0</v>
      </c>
    </row>
    <row r="68" spans="1:58" x14ac:dyDescent="0.75">
      <c r="C68" t="s">
        <v>3</v>
      </c>
      <c r="D68" s="26">
        <f t="shared" si="14"/>
        <v>0</v>
      </c>
      <c r="E68" s="26">
        <v>0</v>
      </c>
      <c r="F68" s="26">
        <v>0</v>
      </c>
      <c r="G68" s="29" t="str">
        <f>IF(E68=F68,"n/a",IF(OR(C68="battery electric vehicle",C68="natural gas vehicle",C68="plugin hybrid vehicle"),"s-curve","linear"))</f>
        <v>n/a</v>
      </c>
      <c r="I68" s="27">
        <f t="shared" si="12"/>
        <v>0</v>
      </c>
      <c r="J68" s="27">
        <f t="shared" si="13"/>
        <v>0</v>
      </c>
      <c r="K68" s="27">
        <f t="shared" si="13"/>
        <v>0</v>
      </c>
      <c r="L68" s="27">
        <f t="shared" si="13"/>
        <v>0</v>
      </c>
      <c r="M68" s="27">
        <f>IF($G68="s-curve",$E68+($F68-$E68)*$I$2/(1+EXP($I$3*(COUNT($I$9:M$9)+$I$4))),TREND($E68:$F68,$E$9:$F$9,M$9))</f>
        <v>0</v>
      </c>
      <c r="N68" s="27">
        <f>IF($G68="s-curve",$E68+($F68-$E68)*$I$2/(1+EXP($I$3*(COUNT($I$9:N$9)+$I$4))),TREND($E68:$F68,$E$9:$F$9,N$9))</f>
        <v>0</v>
      </c>
      <c r="O68" s="27">
        <f>IF($G68="s-curve",$E68+($F68-$E68)*$I$2/(1+EXP($I$3*(COUNT($I$9:O$9)+$I$4))),TREND($E68:$F68,$E$9:$F$9,O$9))</f>
        <v>0</v>
      </c>
      <c r="P68" s="27">
        <f>IF($G68="s-curve",$E68+($F68-$E68)*$I$2/(1+EXP($I$3*(COUNT($I$9:P$9)+$I$4))),TREND($E68:$F68,$E$9:$F$9,P$9))</f>
        <v>0</v>
      </c>
      <c r="Q68" s="27">
        <f>IF($G68="s-curve",$E68+($F68-$E68)*$I$2/(1+EXP($I$3*(COUNT($I$9:Q$9)+$I$4))),TREND($E68:$F68,$E$9:$F$9,Q$9))</f>
        <v>0</v>
      </c>
      <c r="R68" s="27">
        <f>IF($G68="s-curve",$E68+($F68-$E68)*$I$2/(1+EXP($I$3*(COUNT($I$9:R$9)+$I$4))),TREND($E68:$F68,$E$9:$F$9,R$9))</f>
        <v>0</v>
      </c>
      <c r="S68" s="27">
        <f>IF($G68="s-curve",$E68+($F68-$E68)*$I$2/(1+EXP($I$3*(COUNT($I$9:S$9)+$I$4))),TREND($E68:$F68,$E$9:$F$9,S$9))</f>
        <v>0</v>
      </c>
      <c r="T68" s="27">
        <f>IF($G68="s-curve",$E68+($F68-$E68)*$I$2/(1+EXP($I$3*(COUNT($I$9:T$9)+$I$4))),TREND($E68:$F68,$E$9:$F$9,T$9))</f>
        <v>0</v>
      </c>
      <c r="U68" s="27">
        <f>IF($G68="s-curve",$E68+($F68-$E68)*$I$2/(1+EXP($I$3*(COUNT($I$9:U$9)+$I$4))),TREND($E68:$F68,$E$9:$F$9,U$9))</f>
        <v>0</v>
      </c>
      <c r="V68" s="27">
        <f>IF($G68="s-curve",$E68+($F68-$E68)*$I$2/(1+EXP($I$3*(COUNT($I$9:V$9)+$I$4))),TREND($E68:$F68,$E$9:$F$9,V$9))</f>
        <v>0</v>
      </c>
      <c r="W68" s="27">
        <f>IF($G68="s-curve",$E68+($F68-$E68)*$I$2/(1+EXP($I$3*(COUNT($I$9:W$9)+$I$4))),TREND($E68:$F68,$E$9:$F$9,W$9))</f>
        <v>0</v>
      </c>
      <c r="X68" s="27">
        <f>IF($G68="s-curve",$E68+($F68-$E68)*$I$2/(1+EXP($I$3*(COUNT($I$9:X$9)+$I$4))),TREND($E68:$F68,$E$9:$F$9,X$9))</f>
        <v>0</v>
      </c>
      <c r="Y68" s="27">
        <f>IF($G68="s-curve",$E68+($F68-$E68)*$I$2/(1+EXP($I$3*(COUNT($I$9:Y$9)+$I$4))),TREND($E68:$F68,$E$9:$F$9,Y$9))</f>
        <v>0</v>
      </c>
      <c r="Z68" s="27">
        <f>IF($G68="s-curve",$E68+($F68-$E68)*$I$2/(1+EXP($I$3*(COUNT($I$9:Z$9)+$I$4))),TREND($E68:$F68,$E$9:$F$9,Z$9))</f>
        <v>0</v>
      </c>
      <c r="AA68" s="27">
        <f>IF($G68="s-curve",$E68+($F68-$E68)*$I$2/(1+EXP($I$3*(COUNT($I$9:AA$9)+$I$4))),TREND($E68:$F68,$E$9:$F$9,AA$9))</f>
        <v>0</v>
      </c>
      <c r="AB68" s="27">
        <f>IF($G68="s-curve",$E68+($F68-$E68)*$I$2/(1+EXP($I$3*(COUNT($I$9:AB$9)+$I$4))),TREND($E68:$F68,$E$9:$F$9,AB$9))</f>
        <v>0</v>
      </c>
      <c r="AC68" s="27">
        <f>IF($G68="s-curve",$E68+($F68-$E68)*$I$2/(1+EXP($I$3*(COUNT($I$9:AC$9)+$I$4))),TREND($E68:$F68,$E$9:$F$9,AC$9))</f>
        <v>0</v>
      </c>
      <c r="AD68" s="27">
        <f>IF($G68="s-curve",$E68+($F68-$E68)*$I$2/(1+EXP($I$3*(COUNT($I$9:AD$9)+$I$4))),TREND($E68:$F68,$E$9:$F$9,AD$9))</f>
        <v>0</v>
      </c>
      <c r="AE68" s="27">
        <f>IF($G68="s-curve",$E68+($F68-$E68)*$I$2/(1+EXP($I$3*(COUNT($I$9:AE$9)+$I$4))),TREND($E68:$F68,$E$9:$F$9,AE$9))</f>
        <v>0</v>
      </c>
      <c r="AF68" s="27">
        <f>IF($G68="s-curve",$E68+($F68-$E68)*$I$2/(1+EXP($I$3*(COUNT($I$9:AF$9)+$I$4))),TREND($E68:$F68,$E$9:$F$9,AF$9))</f>
        <v>0</v>
      </c>
      <c r="AG68" s="27">
        <f>IF($G68="s-curve",$E68+($F68-$E68)*$I$2/(1+EXP($I$3*(COUNT($I$9:AG$9)+$I$4))),TREND($E68:$F68,$E$9:$F$9,AG$9))</f>
        <v>0</v>
      </c>
      <c r="AH68" s="27">
        <f>IF($G68="s-curve",$E68+($F68-$E68)*$I$2/(1+EXP($I$3*(COUNT($I$9:AH$9)+$I$4))),TREND($E68:$F68,$E$9:$F$9,AH$9))</f>
        <v>0</v>
      </c>
      <c r="AI68" s="27">
        <f>IF($G68="s-curve",$E68+($F68-$E68)*$I$2/(1+EXP($I$3*(COUNT($I$9:AI$9)+$I$4))),TREND($E68:$F68,$E$9:$F$9,AI$9))</f>
        <v>0</v>
      </c>
      <c r="AJ68" s="27">
        <f>IF($G68="s-curve",$E68+($F68-$E68)*$I$2/(1+EXP($I$3*(COUNT($I$9:AJ$9)+$I$4))),TREND($E68:$F68,$E$9:$F$9,AJ$9))</f>
        <v>0</v>
      </c>
      <c r="AK68" s="27">
        <f>IF($G68="s-curve",$E68+($F68-$E68)*$I$2/(1+EXP($I$3*(COUNT($I$9:AK$9)+$I$4))),TREND($E68:$F68,$E$9:$F$9,AK$9))</f>
        <v>0</v>
      </c>
      <c r="AL68" s="27">
        <f>IF($G68="s-curve",$E68+($F68-$E68)*$I$2/(1+EXP($I$3*(COUNT($I$9:AL$9)+$I$4))),TREND($E68:$F68,$E$9:$F$9,AL$9))</f>
        <v>0</v>
      </c>
      <c r="AM68" s="27">
        <f>IF($G68="s-curve",$E68+($F68-$E68)*$I$2/(1+EXP($I$3*(COUNT($I$9:AM$9)+$I$4))),TREND($E68:$F68,$E$9:$F$9,AM$9))</f>
        <v>0</v>
      </c>
      <c r="AN68" s="27">
        <f>IF($G68="s-curve",$E68+($F68-$E68)*$I$2/(1+EXP($I$3*(COUNT($I$9:AN$9)+$I$4))),TREND($E68:$F68,$E$9:$F$9,AN$9))</f>
        <v>0</v>
      </c>
      <c r="AO68" s="27">
        <f>IF($G68="s-curve",$E68+($F68-$E68)*$I$2/(1+EXP($I$3*(COUNT($I$9:AO$9)+$I$4))),TREND($E68:$F68,$E$9:$F$9,AO$9))</f>
        <v>0</v>
      </c>
      <c r="AP68" s="27">
        <f>IF($G68="s-curve",$E68+($F68-$E68)*$I$2/(1+EXP($I$3*(COUNT($I$9:AP$9)+$I$4))),TREND($E68:$F68,$E$9:$F$9,AP$9))</f>
        <v>0</v>
      </c>
      <c r="AQ68" s="27">
        <f>IF($G68="s-curve",$E68+($F68-$E68)*$I$2/(1+EXP($I$3*(COUNT($I$9:AQ$9)+$I$4))),TREND($E68:$F68,$E$9:$F$9,AQ$9))</f>
        <v>0</v>
      </c>
      <c r="AR68" s="27">
        <f>IF($G68="s-curve",$E68+($F68-$E68)*$I$2/(1+EXP($I$3*(COUNT($I$9:AR$9)+$I$4))),TREND($E68:$F68,$E$9:$F$9,AR$9))</f>
        <v>0</v>
      </c>
      <c r="AS68" s="27">
        <f>IF($G68="s-curve",$E68+($F68-$E68)*$I$2/(1+EXP($I$3*(COUNT($I$9:AS$9)+$I$4))),TREND($E68:$F68,$E$9:$F$9,AS$9))</f>
        <v>0</v>
      </c>
      <c r="AT68" s="27">
        <f>IF($G68="s-curve",$E68+($F68-$E68)*$I$2/(1+EXP($I$3*(COUNT($I$9:AT$9)+$I$4))),TREND($E68:$F68,$E$9:$F$9,AT$9))</f>
        <v>0</v>
      </c>
      <c r="AU68" s="27">
        <f>IF($G68="s-curve",$E68+($F68-$E68)*$I$2/(1+EXP($I$3*(COUNT($I$9:AU$9)+$I$4))),TREND($E68:$F68,$E$9:$F$9,AU$9))</f>
        <v>0</v>
      </c>
      <c r="AV68" s="27">
        <f>IF($G68="s-curve",$E68+($F68-$E68)*$I$2/(1+EXP($I$3*(COUNT($I$9:AV$9)+$I$4))),TREND($E68:$F68,$E$9:$F$9,AV$9))</f>
        <v>0</v>
      </c>
      <c r="AW68" s="27">
        <f>IF($G68="s-curve",$E68+($F68-$E68)*$I$2/(1+EXP($I$3*(COUNT($I$9:AW$9)+$I$4))),TREND($E68:$F68,$E$9:$F$9,AW$9))</f>
        <v>0</v>
      </c>
      <c r="AX68" s="27">
        <f>IF($G68="s-curve",$E68+($F68-$E68)*$I$2/(1+EXP($I$3*(COUNT($I$9:AX$9)+$I$4))),TREND($E68:$F68,$E$9:$F$9,AX$9))</f>
        <v>0</v>
      </c>
      <c r="AY68" s="27">
        <f>IF($G68="s-curve",$E68+($F68-$E68)*$I$2/(1+EXP($I$3*(COUNT($I$9:AY$9)+$I$4))),TREND($E68:$F68,$E$9:$F$9,AY$9))</f>
        <v>0</v>
      </c>
      <c r="AZ68" s="27">
        <f>IF($G68="s-curve",$E68+($F68-$E68)*$I$2/(1+EXP($I$3*(COUNT($I$9:AZ$9)+$I$4))),TREND($E68:$F68,$E$9:$F$9,AZ$9))</f>
        <v>0</v>
      </c>
      <c r="BA68" s="27">
        <f>IF($G68="s-curve",$E68+($F68-$E68)*$I$2/(1+EXP($I$3*(COUNT($I$9:BA$9)+$I$4))),TREND($E68:$F68,$E$9:$F$9,BA$9))</f>
        <v>0</v>
      </c>
      <c r="BB68" s="27">
        <f>IF($G68="s-curve",$E68+($F68-$E68)*$I$2/(1+EXP($I$3*(COUNT($I$9:BB$9)+$I$4))),TREND($E68:$F68,$E$9:$F$9,BB$9))</f>
        <v>0</v>
      </c>
      <c r="BC68" s="27">
        <f>IF($G68="s-curve",$E68+($F68-$E68)*$I$2/(1+EXP($I$3*(COUNT($I$9:BC$9)+$I$4))),TREND($E68:$F68,$E$9:$F$9,BC$9))</f>
        <v>0</v>
      </c>
      <c r="BD68" s="27">
        <f>IF($G68="s-curve",$E68+($F68-$E68)*$I$2/(1+EXP($I$3*(COUNT($I$9:BD$9)+$I$4))),TREND($E68:$F68,$E$9:$F$9,BD$9))</f>
        <v>0</v>
      </c>
      <c r="BE68" s="27">
        <f>IF($G68="s-curve",$E68+($F68-$E68)*$I$2/(1+EXP($I$3*(COUNT($I$9:BE$9)+$I$4))),TREND($E68:$F68,$E$9:$F$9,BE$9))</f>
        <v>0</v>
      </c>
      <c r="BF68" s="27">
        <f>IF($G68="s-curve",$E68+($F68-$E68)*$I$2/(1+EXP($I$3*(COUNT($I$9:BF$9)+$I$4))),TREND($E68:$F68,$E$9:$F$9,BF$9))</f>
        <v>0</v>
      </c>
    </row>
    <row r="69" spans="1:58" x14ac:dyDescent="0.75">
      <c r="C69" t="s">
        <v>4</v>
      </c>
      <c r="D69" s="26">
        <f t="shared" si="14"/>
        <v>1</v>
      </c>
      <c r="E69" s="26">
        <v>1</v>
      </c>
      <c r="F69" s="26">
        <v>1</v>
      </c>
      <c r="G69" s="29" t="str">
        <f>IF(E69=F69,"n/a",IF(OR(C69="battery electric vehicle",C69="natural gas vehicle",C69="plugin hybrid vehicle"),"s-curve","linear"))</f>
        <v>n/a</v>
      </c>
      <c r="I69" s="27">
        <f t="shared" si="12"/>
        <v>1</v>
      </c>
      <c r="J69" s="27">
        <f t="shared" si="13"/>
        <v>1</v>
      </c>
      <c r="K69" s="27">
        <f t="shared" si="13"/>
        <v>1</v>
      </c>
      <c r="L69" s="27">
        <f t="shared" si="13"/>
        <v>1</v>
      </c>
      <c r="M69" s="27">
        <f>IF($G69="s-curve",$E69+($F69-$E69)*$I$2/(1+EXP($I$3*(COUNT($I$9:M$9)+$I$4))),TREND($E69:$F69,$E$9:$F$9,M$9))</f>
        <v>1</v>
      </c>
      <c r="N69" s="27">
        <f>IF($G69="s-curve",$E69+($F69-$E69)*$I$2/(1+EXP($I$3*(COUNT($I$9:N$9)+$I$4))),TREND($E69:$F69,$E$9:$F$9,N$9))</f>
        <v>1</v>
      </c>
      <c r="O69" s="27">
        <f>IF($G69="s-curve",$E69+($F69-$E69)*$I$2/(1+EXP($I$3*(COUNT($I$9:O$9)+$I$4))),TREND($E69:$F69,$E$9:$F$9,O$9))</f>
        <v>1</v>
      </c>
      <c r="P69" s="27">
        <f>IF($G69="s-curve",$E69+($F69-$E69)*$I$2/(1+EXP($I$3*(COUNT($I$9:P$9)+$I$4))),TREND($E69:$F69,$E$9:$F$9,P$9))</f>
        <v>1</v>
      </c>
      <c r="Q69" s="27">
        <f>IF($G69="s-curve",$E69+($F69-$E69)*$I$2/(1+EXP($I$3*(COUNT($I$9:Q$9)+$I$4))),TREND($E69:$F69,$E$9:$F$9,Q$9))</f>
        <v>1</v>
      </c>
      <c r="R69" s="27">
        <f>IF($G69="s-curve",$E69+($F69-$E69)*$I$2/(1+EXP($I$3*(COUNT($I$9:R$9)+$I$4))),TREND($E69:$F69,$E$9:$F$9,R$9))</f>
        <v>1</v>
      </c>
      <c r="S69" s="27">
        <f>IF($G69="s-curve",$E69+($F69-$E69)*$I$2/(1+EXP($I$3*(COUNT($I$9:S$9)+$I$4))),TREND($E69:$F69,$E$9:$F$9,S$9))</f>
        <v>1</v>
      </c>
      <c r="T69" s="27">
        <f>IF($G69="s-curve",$E69+($F69-$E69)*$I$2/(1+EXP($I$3*(COUNT($I$9:T$9)+$I$4))),TREND($E69:$F69,$E$9:$F$9,T$9))</f>
        <v>1</v>
      </c>
      <c r="U69" s="27">
        <f>IF($G69="s-curve",$E69+($F69-$E69)*$I$2/(1+EXP($I$3*(COUNT($I$9:U$9)+$I$4))),TREND($E69:$F69,$E$9:$F$9,U$9))</f>
        <v>1</v>
      </c>
      <c r="V69" s="27">
        <f>IF($G69="s-curve",$E69+($F69-$E69)*$I$2/(1+EXP($I$3*(COUNT($I$9:V$9)+$I$4))),TREND($E69:$F69,$E$9:$F$9,V$9))</f>
        <v>1</v>
      </c>
      <c r="W69" s="27">
        <f>IF($G69="s-curve",$E69+($F69-$E69)*$I$2/(1+EXP($I$3*(COUNT($I$9:W$9)+$I$4))),TREND($E69:$F69,$E$9:$F$9,W$9))</f>
        <v>1</v>
      </c>
      <c r="X69" s="27">
        <f>IF($G69="s-curve",$E69+($F69-$E69)*$I$2/(1+EXP($I$3*(COUNT($I$9:X$9)+$I$4))),TREND($E69:$F69,$E$9:$F$9,X$9))</f>
        <v>1</v>
      </c>
      <c r="Y69" s="27">
        <f>IF($G69="s-curve",$E69+($F69-$E69)*$I$2/(1+EXP($I$3*(COUNT($I$9:Y$9)+$I$4))),TREND($E69:$F69,$E$9:$F$9,Y$9))</f>
        <v>1</v>
      </c>
      <c r="Z69" s="27">
        <f>IF($G69="s-curve",$E69+($F69-$E69)*$I$2/(1+EXP($I$3*(COUNT($I$9:Z$9)+$I$4))),TREND($E69:$F69,$E$9:$F$9,Z$9))</f>
        <v>1</v>
      </c>
      <c r="AA69" s="27">
        <f>IF($G69="s-curve",$E69+($F69-$E69)*$I$2/(1+EXP($I$3*(COUNT($I$9:AA$9)+$I$4))),TREND($E69:$F69,$E$9:$F$9,AA$9))</f>
        <v>1</v>
      </c>
      <c r="AB69" s="27">
        <f>IF($G69="s-curve",$E69+($F69-$E69)*$I$2/(1+EXP($I$3*(COUNT($I$9:AB$9)+$I$4))),TREND($E69:$F69,$E$9:$F$9,AB$9))</f>
        <v>1</v>
      </c>
      <c r="AC69" s="27">
        <f>IF($G69="s-curve",$E69+($F69-$E69)*$I$2/(1+EXP($I$3*(COUNT($I$9:AC$9)+$I$4))),TREND($E69:$F69,$E$9:$F$9,AC$9))</f>
        <v>1</v>
      </c>
      <c r="AD69" s="27">
        <f>IF($G69="s-curve",$E69+($F69-$E69)*$I$2/(1+EXP($I$3*(COUNT($I$9:AD$9)+$I$4))),TREND($E69:$F69,$E$9:$F$9,AD$9))</f>
        <v>1</v>
      </c>
      <c r="AE69" s="27">
        <f>IF($G69="s-curve",$E69+($F69-$E69)*$I$2/(1+EXP($I$3*(COUNT($I$9:AE$9)+$I$4))),TREND($E69:$F69,$E$9:$F$9,AE$9))</f>
        <v>1</v>
      </c>
      <c r="AF69" s="27">
        <f>IF($G69="s-curve",$E69+($F69-$E69)*$I$2/(1+EXP($I$3*(COUNT($I$9:AF$9)+$I$4))),TREND($E69:$F69,$E$9:$F$9,AF$9))</f>
        <v>1</v>
      </c>
      <c r="AG69" s="27">
        <f>IF($G69="s-curve",$E69+($F69-$E69)*$I$2/(1+EXP($I$3*(COUNT($I$9:AG$9)+$I$4))),TREND($E69:$F69,$E$9:$F$9,AG$9))</f>
        <v>1</v>
      </c>
      <c r="AH69" s="27">
        <f>IF($G69="s-curve",$E69+($F69-$E69)*$I$2/(1+EXP($I$3*(COUNT($I$9:AH$9)+$I$4))),TREND($E69:$F69,$E$9:$F$9,AH$9))</f>
        <v>1</v>
      </c>
      <c r="AI69" s="27">
        <f>IF($G69="s-curve",$E69+($F69-$E69)*$I$2/(1+EXP($I$3*(COUNT($I$9:AI$9)+$I$4))),TREND($E69:$F69,$E$9:$F$9,AI$9))</f>
        <v>1</v>
      </c>
      <c r="AJ69" s="27">
        <f>IF($G69="s-curve",$E69+($F69-$E69)*$I$2/(1+EXP($I$3*(COUNT($I$9:AJ$9)+$I$4))),TREND($E69:$F69,$E$9:$F$9,AJ$9))</f>
        <v>1</v>
      </c>
      <c r="AK69" s="27">
        <f>IF($G69="s-curve",$E69+($F69-$E69)*$I$2/(1+EXP($I$3*(COUNT($I$9:AK$9)+$I$4))),TREND($E69:$F69,$E$9:$F$9,AK$9))</f>
        <v>1</v>
      </c>
      <c r="AL69" s="27">
        <f>IF($G69="s-curve",$E69+($F69-$E69)*$I$2/(1+EXP($I$3*(COUNT($I$9:AL$9)+$I$4))),TREND($E69:$F69,$E$9:$F$9,AL$9))</f>
        <v>1</v>
      </c>
      <c r="AM69" s="27">
        <f>IF($G69="s-curve",$E69+($F69-$E69)*$I$2/(1+EXP($I$3*(COUNT($I$9:AM$9)+$I$4))),TREND($E69:$F69,$E$9:$F$9,AM$9))</f>
        <v>1</v>
      </c>
      <c r="AN69" s="27">
        <f>IF($G69="s-curve",$E69+($F69-$E69)*$I$2/(1+EXP($I$3*(COUNT($I$9:AN$9)+$I$4))),TREND($E69:$F69,$E$9:$F$9,AN$9))</f>
        <v>1</v>
      </c>
      <c r="AO69" s="27">
        <f>IF($G69="s-curve",$E69+($F69-$E69)*$I$2/(1+EXP($I$3*(COUNT($I$9:AO$9)+$I$4))),TREND($E69:$F69,$E$9:$F$9,AO$9))</f>
        <v>1</v>
      </c>
      <c r="AP69" s="27">
        <f>IF($G69="s-curve",$E69+($F69-$E69)*$I$2/(1+EXP($I$3*(COUNT($I$9:AP$9)+$I$4))),TREND($E69:$F69,$E$9:$F$9,AP$9))</f>
        <v>1</v>
      </c>
      <c r="AQ69" s="27">
        <f>IF($G69="s-curve",$E69+($F69-$E69)*$I$2/(1+EXP($I$3*(COUNT($I$9:AQ$9)+$I$4))),TREND($E69:$F69,$E$9:$F$9,AQ$9))</f>
        <v>1</v>
      </c>
      <c r="AR69" s="27">
        <f>IF($G69="s-curve",$E69+($F69-$E69)*$I$2/(1+EXP($I$3*(COUNT($I$9:AR$9)+$I$4))),TREND($E69:$F69,$E$9:$F$9,AR$9))</f>
        <v>1</v>
      </c>
      <c r="AS69" s="27">
        <f>IF($G69="s-curve",$E69+($F69-$E69)*$I$2/(1+EXP($I$3*(COUNT($I$9:AS$9)+$I$4))),TREND($E69:$F69,$E$9:$F$9,AS$9))</f>
        <v>1</v>
      </c>
      <c r="AT69" s="27">
        <f>IF($G69="s-curve",$E69+($F69-$E69)*$I$2/(1+EXP($I$3*(COUNT($I$9:AT$9)+$I$4))),TREND($E69:$F69,$E$9:$F$9,AT$9))</f>
        <v>1</v>
      </c>
      <c r="AU69" s="27">
        <f>IF($G69="s-curve",$E69+($F69-$E69)*$I$2/(1+EXP($I$3*(COUNT($I$9:AU$9)+$I$4))),TREND($E69:$F69,$E$9:$F$9,AU$9))</f>
        <v>1</v>
      </c>
      <c r="AV69" s="27">
        <f>IF($G69="s-curve",$E69+($F69-$E69)*$I$2/(1+EXP($I$3*(COUNT($I$9:AV$9)+$I$4))),TREND($E69:$F69,$E$9:$F$9,AV$9))</f>
        <v>1</v>
      </c>
      <c r="AW69" s="27">
        <f>IF($G69="s-curve",$E69+($F69-$E69)*$I$2/(1+EXP($I$3*(COUNT($I$9:AW$9)+$I$4))),TREND($E69:$F69,$E$9:$F$9,AW$9))</f>
        <v>1</v>
      </c>
      <c r="AX69" s="27">
        <f>IF($G69="s-curve",$E69+($F69-$E69)*$I$2/(1+EXP($I$3*(COUNT($I$9:AX$9)+$I$4))),TREND($E69:$F69,$E$9:$F$9,AX$9))</f>
        <v>1</v>
      </c>
      <c r="AY69" s="27">
        <f>IF($G69="s-curve",$E69+($F69-$E69)*$I$2/(1+EXP($I$3*(COUNT($I$9:AY$9)+$I$4))),TREND($E69:$F69,$E$9:$F$9,AY$9))</f>
        <v>1</v>
      </c>
      <c r="AZ69" s="27">
        <f>IF($G69="s-curve",$E69+($F69-$E69)*$I$2/(1+EXP($I$3*(COUNT($I$9:AZ$9)+$I$4))),TREND($E69:$F69,$E$9:$F$9,AZ$9))</f>
        <v>1</v>
      </c>
      <c r="BA69" s="27">
        <f>IF($G69="s-curve",$E69+($F69-$E69)*$I$2/(1+EXP($I$3*(COUNT($I$9:BA$9)+$I$4))),TREND($E69:$F69,$E$9:$F$9,BA$9))</f>
        <v>1</v>
      </c>
      <c r="BB69" s="27">
        <f>IF($G69="s-curve",$E69+($F69-$E69)*$I$2/(1+EXP($I$3*(COUNT($I$9:BB$9)+$I$4))),TREND($E69:$F69,$E$9:$F$9,BB$9))</f>
        <v>1</v>
      </c>
      <c r="BC69" s="27">
        <f>IF($G69="s-curve",$E69+($F69-$E69)*$I$2/(1+EXP($I$3*(COUNT($I$9:BC$9)+$I$4))),TREND($E69:$F69,$E$9:$F$9,BC$9))</f>
        <v>1</v>
      </c>
      <c r="BD69" s="27">
        <f>IF($G69="s-curve",$E69+($F69-$E69)*$I$2/(1+EXP($I$3*(COUNT($I$9:BD$9)+$I$4))),TREND($E69:$F69,$E$9:$F$9,BD$9))</f>
        <v>1</v>
      </c>
      <c r="BE69" s="27">
        <f>IF($G69="s-curve",$E69+($F69-$E69)*$I$2/(1+EXP($I$3*(COUNT($I$9:BE$9)+$I$4))),TREND($E69:$F69,$E$9:$F$9,BE$9))</f>
        <v>1</v>
      </c>
      <c r="BF69" s="27">
        <f>IF($G69="s-curve",$E69+($F69-$E69)*$I$2/(1+EXP($I$3*(COUNT($I$9:BF$9)+$I$4))),TREND($E69:$F69,$E$9:$F$9,BF$9))</f>
        <v>1</v>
      </c>
    </row>
    <row r="70" spans="1:58" x14ac:dyDescent="0.75">
      <c r="C70" t="s">
        <v>5</v>
      </c>
      <c r="D70" s="26">
        <f t="shared" si="14"/>
        <v>0</v>
      </c>
      <c r="E70" s="26">
        <v>0</v>
      </c>
      <c r="F70" s="26">
        <v>0</v>
      </c>
      <c r="G70" s="29" t="str">
        <f>IF(E70=F70,"n/a",IF(OR(C70="battery electric vehicle",C70="natural gas vehicle",C70="plugin hybrid vehicle"),"s-curve","linear"))</f>
        <v>n/a</v>
      </c>
      <c r="I70" s="27">
        <f t="shared" si="12"/>
        <v>0</v>
      </c>
      <c r="J70" s="27">
        <f t="shared" si="13"/>
        <v>0</v>
      </c>
      <c r="K70" s="27">
        <f t="shared" si="13"/>
        <v>0</v>
      </c>
      <c r="L70" s="27">
        <f t="shared" si="13"/>
        <v>0</v>
      </c>
      <c r="M70" s="27">
        <f>IF($G70="s-curve",$E70+($F70-$E70)*$I$2/(1+EXP($I$3*(COUNT($I$9:M$9)+$I$4))),TREND($E70:$F70,$E$9:$F$9,M$9))</f>
        <v>0</v>
      </c>
      <c r="N70" s="27">
        <f>IF($G70="s-curve",$E70+($F70-$E70)*$I$2/(1+EXP($I$3*(COUNT($I$9:N$9)+$I$4))),TREND($E70:$F70,$E$9:$F$9,N$9))</f>
        <v>0</v>
      </c>
      <c r="O70" s="27">
        <f>IF($G70="s-curve",$E70+($F70-$E70)*$I$2/(1+EXP($I$3*(COUNT($I$9:O$9)+$I$4))),TREND($E70:$F70,$E$9:$F$9,O$9))</f>
        <v>0</v>
      </c>
      <c r="P70" s="27">
        <f>IF($G70="s-curve",$E70+($F70-$E70)*$I$2/(1+EXP($I$3*(COUNT($I$9:P$9)+$I$4))),TREND($E70:$F70,$E$9:$F$9,P$9))</f>
        <v>0</v>
      </c>
      <c r="Q70" s="27">
        <f>IF($G70="s-curve",$E70+($F70-$E70)*$I$2/(1+EXP($I$3*(COUNT($I$9:Q$9)+$I$4))),TREND($E70:$F70,$E$9:$F$9,Q$9))</f>
        <v>0</v>
      </c>
      <c r="R70" s="27">
        <f>IF($G70="s-curve",$E70+($F70-$E70)*$I$2/(1+EXP($I$3*(COUNT($I$9:R$9)+$I$4))),TREND($E70:$F70,$E$9:$F$9,R$9))</f>
        <v>0</v>
      </c>
      <c r="S70" s="27">
        <f>IF($G70="s-curve",$E70+($F70-$E70)*$I$2/(1+EXP($I$3*(COUNT($I$9:S$9)+$I$4))),TREND($E70:$F70,$E$9:$F$9,S$9))</f>
        <v>0</v>
      </c>
      <c r="T70" s="27">
        <f>IF($G70="s-curve",$E70+($F70-$E70)*$I$2/(1+EXP($I$3*(COUNT($I$9:T$9)+$I$4))),TREND($E70:$F70,$E$9:$F$9,T$9))</f>
        <v>0</v>
      </c>
      <c r="U70" s="27">
        <f>IF($G70="s-curve",$E70+($F70-$E70)*$I$2/(1+EXP($I$3*(COUNT($I$9:U$9)+$I$4))),TREND($E70:$F70,$E$9:$F$9,U$9))</f>
        <v>0</v>
      </c>
      <c r="V70" s="27">
        <f>IF($G70="s-curve",$E70+($F70-$E70)*$I$2/(1+EXP($I$3*(COUNT($I$9:V$9)+$I$4))),TREND($E70:$F70,$E$9:$F$9,V$9))</f>
        <v>0</v>
      </c>
      <c r="W70" s="27">
        <f>IF($G70="s-curve",$E70+($F70-$E70)*$I$2/(1+EXP($I$3*(COUNT($I$9:W$9)+$I$4))),TREND($E70:$F70,$E$9:$F$9,W$9))</f>
        <v>0</v>
      </c>
      <c r="X70" s="27">
        <f>IF($G70="s-curve",$E70+($F70-$E70)*$I$2/(1+EXP($I$3*(COUNT($I$9:X$9)+$I$4))),TREND($E70:$F70,$E$9:$F$9,X$9))</f>
        <v>0</v>
      </c>
      <c r="Y70" s="27">
        <f>IF($G70="s-curve",$E70+($F70-$E70)*$I$2/(1+EXP($I$3*(COUNT($I$9:Y$9)+$I$4))),TREND($E70:$F70,$E$9:$F$9,Y$9))</f>
        <v>0</v>
      </c>
      <c r="Z70" s="27">
        <f>IF($G70="s-curve",$E70+($F70-$E70)*$I$2/(1+EXP($I$3*(COUNT($I$9:Z$9)+$I$4))),TREND($E70:$F70,$E$9:$F$9,Z$9))</f>
        <v>0</v>
      </c>
      <c r="AA70" s="27">
        <f>IF($G70="s-curve",$E70+($F70-$E70)*$I$2/(1+EXP($I$3*(COUNT($I$9:AA$9)+$I$4))),TREND($E70:$F70,$E$9:$F$9,AA$9))</f>
        <v>0</v>
      </c>
      <c r="AB70" s="27">
        <f>IF($G70="s-curve",$E70+($F70-$E70)*$I$2/(1+EXP($I$3*(COUNT($I$9:AB$9)+$I$4))),TREND($E70:$F70,$E$9:$F$9,AB$9))</f>
        <v>0</v>
      </c>
      <c r="AC70" s="27">
        <f>IF($G70="s-curve",$E70+($F70-$E70)*$I$2/(1+EXP($I$3*(COUNT($I$9:AC$9)+$I$4))),TREND($E70:$F70,$E$9:$F$9,AC$9))</f>
        <v>0</v>
      </c>
      <c r="AD70" s="27">
        <f>IF($G70="s-curve",$E70+($F70-$E70)*$I$2/(1+EXP($I$3*(COUNT($I$9:AD$9)+$I$4))),TREND($E70:$F70,$E$9:$F$9,AD$9))</f>
        <v>0</v>
      </c>
      <c r="AE70" s="27">
        <f>IF($G70="s-curve",$E70+($F70-$E70)*$I$2/(1+EXP($I$3*(COUNT($I$9:AE$9)+$I$4))),TREND($E70:$F70,$E$9:$F$9,AE$9))</f>
        <v>0</v>
      </c>
      <c r="AF70" s="27">
        <f>IF($G70="s-curve",$E70+($F70-$E70)*$I$2/(1+EXP($I$3*(COUNT($I$9:AF$9)+$I$4))),TREND($E70:$F70,$E$9:$F$9,AF$9))</f>
        <v>0</v>
      </c>
      <c r="AG70" s="27">
        <f>IF($G70="s-curve",$E70+($F70-$E70)*$I$2/(1+EXP($I$3*(COUNT($I$9:AG$9)+$I$4))),TREND($E70:$F70,$E$9:$F$9,AG$9))</f>
        <v>0</v>
      </c>
      <c r="AH70" s="27">
        <f>IF($G70="s-curve",$E70+($F70-$E70)*$I$2/(1+EXP($I$3*(COUNT($I$9:AH$9)+$I$4))),TREND($E70:$F70,$E$9:$F$9,AH$9))</f>
        <v>0</v>
      </c>
      <c r="AI70" s="27">
        <f>IF($G70="s-curve",$E70+($F70-$E70)*$I$2/(1+EXP($I$3*(COUNT($I$9:AI$9)+$I$4))),TREND($E70:$F70,$E$9:$F$9,AI$9))</f>
        <v>0</v>
      </c>
      <c r="AJ70" s="27">
        <f>IF($G70="s-curve",$E70+($F70-$E70)*$I$2/(1+EXP($I$3*(COUNT($I$9:AJ$9)+$I$4))),TREND($E70:$F70,$E$9:$F$9,AJ$9))</f>
        <v>0</v>
      </c>
      <c r="AK70" s="27">
        <f>IF($G70="s-curve",$E70+($F70-$E70)*$I$2/(1+EXP($I$3*(COUNT($I$9:AK$9)+$I$4))),TREND($E70:$F70,$E$9:$F$9,AK$9))</f>
        <v>0</v>
      </c>
      <c r="AL70" s="27">
        <f>IF($G70="s-curve",$E70+($F70-$E70)*$I$2/(1+EXP($I$3*(COUNT($I$9:AL$9)+$I$4))),TREND($E70:$F70,$E$9:$F$9,AL$9))</f>
        <v>0</v>
      </c>
      <c r="AM70" s="27">
        <f>IF($G70="s-curve",$E70+($F70-$E70)*$I$2/(1+EXP($I$3*(COUNT($I$9:AM$9)+$I$4))),TREND($E70:$F70,$E$9:$F$9,AM$9))</f>
        <v>0</v>
      </c>
      <c r="AN70" s="27">
        <f>IF($G70="s-curve",$E70+($F70-$E70)*$I$2/(1+EXP($I$3*(COUNT($I$9:AN$9)+$I$4))),TREND($E70:$F70,$E$9:$F$9,AN$9))</f>
        <v>0</v>
      </c>
      <c r="AO70" s="27">
        <f>IF($G70="s-curve",$E70+($F70-$E70)*$I$2/(1+EXP($I$3*(COUNT($I$9:AO$9)+$I$4))),TREND($E70:$F70,$E$9:$F$9,AO$9))</f>
        <v>0</v>
      </c>
      <c r="AP70" s="27">
        <f>IF($G70="s-curve",$E70+($F70-$E70)*$I$2/(1+EXP($I$3*(COUNT($I$9:AP$9)+$I$4))),TREND($E70:$F70,$E$9:$F$9,AP$9))</f>
        <v>0</v>
      </c>
      <c r="AQ70" s="27">
        <f>IF($G70="s-curve",$E70+($F70-$E70)*$I$2/(1+EXP($I$3*(COUNT($I$9:AQ$9)+$I$4))),TREND($E70:$F70,$E$9:$F$9,AQ$9))</f>
        <v>0</v>
      </c>
      <c r="AR70" s="27">
        <f>IF($G70="s-curve",$E70+($F70-$E70)*$I$2/(1+EXP($I$3*(COUNT($I$9:AR$9)+$I$4))),TREND($E70:$F70,$E$9:$F$9,AR$9))</f>
        <v>0</v>
      </c>
      <c r="AS70" s="27">
        <f>IF($G70="s-curve",$E70+($F70-$E70)*$I$2/(1+EXP($I$3*(COUNT($I$9:AS$9)+$I$4))),TREND($E70:$F70,$E$9:$F$9,AS$9))</f>
        <v>0</v>
      </c>
      <c r="AT70" s="27">
        <f>IF($G70="s-curve",$E70+($F70-$E70)*$I$2/(1+EXP($I$3*(COUNT($I$9:AT$9)+$I$4))),TREND($E70:$F70,$E$9:$F$9,AT$9))</f>
        <v>0</v>
      </c>
      <c r="AU70" s="27">
        <f>IF($G70="s-curve",$E70+($F70-$E70)*$I$2/(1+EXP($I$3*(COUNT($I$9:AU$9)+$I$4))),TREND($E70:$F70,$E$9:$F$9,AU$9))</f>
        <v>0</v>
      </c>
      <c r="AV70" s="27">
        <f>IF($G70="s-curve",$E70+($F70-$E70)*$I$2/(1+EXP($I$3*(COUNT($I$9:AV$9)+$I$4))),TREND($E70:$F70,$E$9:$F$9,AV$9))</f>
        <v>0</v>
      </c>
      <c r="AW70" s="27">
        <f>IF($G70="s-curve",$E70+($F70-$E70)*$I$2/(1+EXP($I$3*(COUNT($I$9:AW$9)+$I$4))),TREND($E70:$F70,$E$9:$F$9,AW$9))</f>
        <v>0</v>
      </c>
      <c r="AX70" s="27">
        <f>IF($G70="s-curve",$E70+($F70-$E70)*$I$2/(1+EXP($I$3*(COUNT($I$9:AX$9)+$I$4))),TREND($E70:$F70,$E$9:$F$9,AX$9))</f>
        <v>0</v>
      </c>
      <c r="AY70" s="27">
        <f>IF($G70="s-curve",$E70+($F70-$E70)*$I$2/(1+EXP($I$3*(COUNT($I$9:AY$9)+$I$4))),TREND($E70:$F70,$E$9:$F$9,AY$9))</f>
        <v>0</v>
      </c>
      <c r="AZ70" s="27">
        <f>IF($G70="s-curve",$E70+($F70-$E70)*$I$2/(1+EXP($I$3*(COUNT($I$9:AZ$9)+$I$4))),TREND($E70:$F70,$E$9:$F$9,AZ$9))</f>
        <v>0</v>
      </c>
      <c r="BA70" s="27">
        <f>IF($G70="s-curve",$E70+($F70-$E70)*$I$2/(1+EXP($I$3*(COUNT($I$9:BA$9)+$I$4))),TREND($E70:$F70,$E$9:$F$9,BA$9))</f>
        <v>0</v>
      </c>
      <c r="BB70" s="27">
        <f>IF($G70="s-curve",$E70+($F70-$E70)*$I$2/(1+EXP($I$3*(COUNT($I$9:BB$9)+$I$4))),TREND($E70:$F70,$E$9:$F$9,BB$9))</f>
        <v>0</v>
      </c>
      <c r="BC70" s="27">
        <f>IF($G70="s-curve",$E70+($F70-$E70)*$I$2/(1+EXP($I$3*(COUNT($I$9:BC$9)+$I$4))),TREND($E70:$F70,$E$9:$F$9,BC$9))</f>
        <v>0</v>
      </c>
      <c r="BD70" s="27">
        <f>IF($G70="s-curve",$E70+($F70-$E70)*$I$2/(1+EXP($I$3*(COUNT($I$9:BD$9)+$I$4))),TREND($E70:$F70,$E$9:$F$9,BD$9))</f>
        <v>0</v>
      </c>
      <c r="BE70" s="27">
        <f>IF($G70="s-curve",$E70+($F70-$E70)*$I$2/(1+EXP($I$3*(COUNT($I$9:BE$9)+$I$4))),TREND($E70:$F70,$E$9:$F$9,BE$9))</f>
        <v>0</v>
      </c>
      <c r="BF70" s="27">
        <f>IF($G70="s-curve",$E70+($F70-$E70)*$I$2/(1+EXP($I$3*(COUNT($I$9:BF$9)+$I$4))),TREND($E70:$F70,$E$9:$F$9,BF$9))</f>
        <v>0</v>
      </c>
    </row>
    <row r="71" spans="1:58" x14ac:dyDescent="0.75">
      <c r="C71" t="s">
        <v>31</v>
      </c>
      <c r="D71" s="26">
        <f t="shared" si="14"/>
        <v>0</v>
      </c>
      <c r="E71" s="26">
        <v>0</v>
      </c>
      <c r="F71" s="26">
        <v>0</v>
      </c>
      <c r="G71" s="29" t="str">
        <f>IF(E71=F71,"n/a",IF(OR(C71="battery electric vehicle",C71="natural gas vehicle",C71="plugin hybrid vehicle",C71="hydrogen vehicle"),"s-curve","linear"))</f>
        <v>n/a</v>
      </c>
      <c r="I71" s="27">
        <f t="shared" si="12"/>
        <v>0</v>
      </c>
      <c r="J71" s="27">
        <f t="shared" si="13"/>
        <v>0</v>
      </c>
      <c r="K71" s="27">
        <f t="shared" si="13"/>
        <v>0</v>
      </c>
      <c r="L71" s="27">
        <f t="shared" si="13"/>
        <v>0</v>
      </c>
      <c r="M71" s="27">
        <f>IF($G71="s-curve",$E71+($F71-$E71)*$I$2/(1+EXP($I$3*(COUNT($I$9:M$9)+$I$4))),TREND($E71:$F71,$E$9:$F$9,M$9))</f>
        <v>0</v>
      </c>
      <c r="N71" s="27">
        <f>IF($G71="s-curve",$E71+($F71-$E71)*$I$2/(1+EXP($I$3*(COUNT($I$9:N$9)+$I$4))),TREND($E71:$F71,$E$9:$F$9,N$9))</f>
        <v>0</v>
      </c>
      <c r="O71" s="27">
        <f>IF($G71="s-curve",$E71+($F71-$E71)*$I$2/(1+EXP($I$3*(COUNT($I$9:O$9)+$I$4))),TREND($E71:$F71,$E$9:$F$9,O$9))</f>
        <v>0</v>
      </c>
      <c r="P71" s="27">
        <f>IF($G71="s-curve",$E71+($F71-$E71)*$I$2/(1+EXP($I$3*(COUNT($I$9:P$9)+$I$4))),TREND($E71:$F71,$E$9:$F$9,P$9))</f>
        <v>0</v>
      </c>
      <c r="Q71" s="27">
        <f>IF($G71="s-curve",$E71+($F71-$E71)*$I$2/(1+EXP($I$3*(COUNT($I$9:Q$9)+$I$4))),TREND($E71:$F71,$E$9:$F$9,Q$9))</f>
        <v>0</v>
      </c>
      <c r="R71" s="27">
        <f>IF($G71="s-curve",$E71+($F71-$E71)*$I$2/(1+EXP($I$3*(COUNT($I$9:R$9)+$I$4))),TREND($E71:$F71,$E$9:$F$9,R$9))</f>
        <v>0</v>
      </c>
      <c r="S71" s="27">
        <f>IF($G71="s-curve",$E71+($F71-$E71)*$I$2/(1+EXP($I$3*(COUNT($I$9:S$9)+$I$4))),TREND($E71:$F71,$E$9:$F$9,S$9))</f>
        <v>0</v>
      </c>
      <c r="T71" s="27">
        <f>IF($G71="s-curve",$E71+($F71-$E71)*$I$2/(1+EXP($I$3*(COUNT($I$9:T$9)+$I$4))),TREND($E71:$F71,$E$9:$F$9,T$9))</f>
        <v>0</v>
      </c>
      <c r="U71" s="27">
        <f>IF($G71="s-curve",$E71+($F71-$E71)*$I$2/(1+EXP($I$3*(COUNT($I$9:U$9)+$I$4))),TREND($E71:$F71,$E$9:$F$9,U$9))</f>
        <v>0</v>
      </c>
      <c r="V71" s="27">
        <f>IF($G71="s-curve",$E71+($F71-$E71)*$I$2/(1+EXP($I$3*(COUNT($I$9:V$9)+$I$4))),TREND($E71:$F71,$E$9:$F$9,V$9))</f>
        <v>0</v>
      </c>
      <c r="W71" s="27">
        <f>IF($G71="s-curve",$E71+($F71-$E71)*$I$2/(1+EXP($I$3*(COUNT($I$9:W$9)+$I$4))),TREND($E71:$F71,$E$9:$F$9,W$9))</f>
        <v>0</v>
      </c>
      <c r="X71" s="27">
        <f>IF($G71="s-curve",$E71+($F71-$E71)*$I$2/(1+EXP($I$3*(COUNT($I$9:X$9)+$I$4))),TREND($E71:$F71,$E$9:$F$9,X$9))</f>
        <v>0</v>
      </c>
      <c r="Y71" s="27">
        <f>IF($G71="s-curve",$E71+($F71-$E71)*$I$2/(1+EXP($I$3*(COUNT($I$9:Y$9)+$I$4))),TREND($E71:$F71,$E$9:$F$9,Y$9))</f>
        <v>0</v>
      </c>
      <c r="Z71" s="27">
        <f>IF($G71="s-curve",$E71+($F71-$E71)*$I$2/(1+EXP($I$3*(COUNT($I$9:Z$9)+$I$4))),TREND($E71:$F71,$E$9:$F$9,Z$9))</f>
        <v>0</v>
      </c>
      <c r="AA71" s="27">
        <f>IF($G71="s-curve",$E71+($F71-$E71)*$I$2/(1+EXP($I$3*(COUNT($I$9:AA$9)+$I$4))),TREND($E71:$F71,$E$9:$F$9,AA$9))</f>
        <v>0</v>
      </c>
      <c r="AB71" s="27">
        <f>IF($G71="s-curve",$E71+($F71-$E71)*$I$2/(1+EXP($I$3*(COUNT($I$9:AB$9)+$I$4))),TREND($E71:$F71,$E$9:$F$9,AB$9))</f>
        <v>0</v>
      </c>
      <c r="AC71" s="27">
        <f>IF($G71="s-curve",$E71+($F71-$E71)*$I$2/(1+EXP($I$3*(COUNT($I$9:AC$9)+$I$4))),TREND($E71:$F71,$E$9:$F$9,AC$9))</f>
        <v>0</v>
      </c>
      <c r="AD71" s="27">
        <f>IF($G71="s-curve",$E71+($F71-$E71)*$I$2/(1+EXP($I$3*(COUNT($I$9:AD$9)+$I$4))),TREND($E71:$F71,$E$9:$F$9,AD$9))</f>
        <v>0</v>
      </c>
      <c r="AE71" s="27">
        <f>IF($G71="s-curve",$E71+($F71-$E71)*$I$2/(1+EXP($I$3*(COUNT($I$9:AE$9)+$I$4))),TREND($E71:$F71,$E$9:$F$9,AE$9))</f>
        <v>0</v>
      </c>
      <c r="AF71" s="27">
        <f>IF($G71="s-curve",$E71+($F71-$E71)*$I$2/(1+EXP($I$3*(COUNT($I$9:AF$9)+$I$4))),TREND($E71:$F71,$E$9:$F$9,AF$9))</f>
        <v>0</v>
      </c>
      <c r="AG71" s="27">
        <f>IF($G71="s-curve",$E71+($F71-$E71)*$I$2/(1+EXP($I$3*(COUNT($I$9:AG$9)+$I$4))),TREND($E71:$F71,$E$9:$F$9,AG$9))</f>
        <v>0</v>
      </c>
      <c r="AH71" s="27">
        <f>IF($G71="s-curve",$E71+($F71-$E71)*$I$2/(1+EXP($I$3*(COUNT($I$9:AH$9)+$I$4))),TREND($E71:$F71,$E$9:$F$9,AH$9))</f>
        <v>0</v>
      </c>
      <c r="AI71" s="27">
        <f>IF($G71="s-curve",$E71+($F71-$E71)*$I$2/(1+EXP($I$3*(COUNT($I$9:AI$9)+$I$4))),TREND($E71:$F71,$E$9:$F$9,AI$9))</f>
        <v>0</v>
      </c>
      <c r="AJ71" s="27">
        <f>IF($G71="s-curve",$E71+($F71-$E71)*$I$2/(1+EXP($I$3*(COUNT($I$9:AJ$9)+$I$4))),TREND($E71:$F71,$E$9:$F$9,AJ$9))</f>
        <v>0</v>
      </c>
      <c r="AK71" s="27">
        <f>IF($G71="s-curve",$E71+($F71-$E71)*$I$2/(1+EXP($I$3*(COUNT($I$9:AK$9)+$I$4))),TREND($E71:$F71,$E$9:$F$9,AK$9))</f>
        <v>0</v>
      </c>
      <c r="AL71" s="27">
        <f>IF($G71="s-curve",$E71+($F71-$E71)*$I$2/(1+EXP($I$3*(COUNT($I$9:AL$9)+$I$4))),TREND($E71:$F71,$E$9:$F$9,AL$9))</f>
        <v>0</v>
      </c>
      <c r="AM71" s="27">
        <f>IF($G71="s-curve",$E71+($F71-$E71)*$I$2/(1+EXP($I$3*(COUNT($I$9:AM$9)+$I$4))),TREND($E71:$F71,$E$9:$F$9,AM$9))</f>
        <v>0</v>
      </c>
      <c r="AN71" s="27">
        <f>IF($G71="s-curve",$E71+($F71-$E71)*$I$2/(1+EXP($I$3*(COUNT($I$9:AN$9)+$I$4))),TREND($E71:$F71,$E$9:$F$9,AN$9))</f>
        <v>0</v>
      </c>
      <c r="AO71" s="27">
        <f>IF($G71="s-curve",$E71+($F71-$E71)*$I$2/(1+EXP($I$3*(COUNT($I$9:AO$9)+$I$4))),TREND($E71:$F71,$E$9:$F$9,AO$9))</f>
        <v>0</v>
      </c>
      <c r="AP71" s="27">
        <f>IF($G71="s-curve",$E71+($F71-$E71)*$I$2/(1+EXP($I$3*(COUNT($I$9:AP$9)+$I$4))),TREND($E71:$F71,$E$9:$F$9,AP$9))</f>
        <v>0</v>
      </c>
      <c r="AQ71" s="27">
        <f>IF($G71="s-curve",$E71+($F71-$E71)*$I$2/(1+EXP($I$3*(COUNT($I$9:AQ$9)+$I$4))),TREND($E71:$F71,$E$9:$F$9,AQ$9))</f>
        <v>0</v>
      </c>
      <c r="AR71" s="27">
        <f>IF($G71="s-curve",$E71+($F71-$E71)*$I$2/(1+EXP($I$3*(COUNT($I$9:AR$9)+$I$4))),TREND($E71:$F71,$E$9:$F$9,AR$9))</f>
        <v>0</v>
      </c>
      <c r="AS71" s="27">
        <f>IF($G71="s-curve",$E71+($F71-$E71)*$I$2/(1+EXP($I$3*(COUNT($I$9:AS$9)+$I$4))),TREND($E71:$F71,$E$9:$F$9,AS$9))</f>
        <v>0</v>
      </c>
      <c r="AT71" s="27">
        <f>IF($G71="s-curve",$E71+($F71-$E71)*$I$2/(1+EXP($I$3*(COUNT($I$9:AT$9)+$I$4))),TREND($E71:$F71,$E$9:$F$9,AT$9))</f>
        <v>0</v>
      </c>
      <c r="AU71" s="27">
        <f>IF($G71="s-curve",$E71+($F71-$E71)*$I$2/(1+EXP($I$3*(COUNT($I$9:AU$9)+$I$4))),TREND($E71:$F71,$E$9:$F$9,AU$9))</f>
        <v>0</v>
      </c>
      <c r="AV71" s="27">
        <f>IF($G71="s-curve",$E71+($F71-$E71)*$I$2/(1+EXP($I$3*(COUNT($I$9:AV$9)+$I$4))),TREND($E71:$F71,$E$9:$F$9,AV$9))</f>
        <v>0</v>
      </c>
      <c r="AW71" s="27">
        <f>IF($G71="s-curve",$E71+($F71-$E71)*$I$2/(1+EXP($I$3*(COUNT($I$9:AW$9)+$I$4))),TREND($E71:$F71,$E$9:$F$9,AW$9))</f>
        <v>0</v>
      </c>
      <c r="AX71" s="27">
        <f>IF($G71="s-curve",$E71+($F71-$E71)*$I$2/(1+EXP($I$3*(COUNT($I$9:AX$9)+$I$4))),TREND($E71:$F71,$E$9:$F$9,AX$9))</f>
        <v>0</v>
      </c>
      <c r="AY71" s="27">
        <f>IF($G71="s-curve",$E71+($F71-$E71)*$I$2/(1+EXP($I$3*(COUNT($I$9:AY$9)+$I$4))),TREND($E71:$F71,$E$9:$F$9,AY$9))</f>
        <v>0</v>
      </c>
      <c r="AZ71" s="27">
        <f>IF($G71="s-curve",$E71+($F71-$E71)*$I$2/(1+EXP($I$3*(COUNT($I$9:AZ$9)+$I$4))),TREND($E71:$F71,$E$9:$F$9,AZ$9))</f>
        <v>0</v>
      </c>
      <c r="BA71" s="27">
        <f>IF($G71="s-curve",$E71+($F71-$E71)*$I$2/(1+EXP($I$3*(COUNT($I$9:BA$9)+$I$4))),TREND($E71:$F71,$E$9:$F$9,BA$9))</f>
        <v>0</v>
      </c>
      <c r="BB71" s="27">
        <f>IF($G71="s-curve",$E71+($F71-$E71)*$I$2/(1+EXP($I$3*(COUNT($I$9:BB$9)+$I$4))),TREND($E71:$F71,$E$9:$F$9,BB$9))</f>
        <v>0</v>
      </c>
      <c r="BC71" s="27">
        <f>IF($G71="s-curve",$E71+($F71-$E71)*$I$2/(1+EXP($I$3*(COUNT($I$9:BC$9)+$I$4))),TREND($E71:$F71,$E$9:$F$9,BC$9))</f>
        <v>0</v>
      </c>
      <c r="BD71" s="27">
        <f>IF($G71="s-curve",$E71+($F71-$E71)*$I$2/(1+EXP($I$3*(COUNT($I$9:BD$9)+$I$4))),TREND($E71:$F71,$E$9:$F$9,BD$9))</f>
        <v>0</v>
      </c>
      <c r="BE71" s="27">
        <f>IF($G71="s-curve",$E71+($F71-$E71)*$I$2/(1+EXP($I$3*(COUNT($I$9:BE$9)+$I$4))),TREND($E71:$F71,$E$9:$F$9,BE$9))</f>
        <v>0</v>
      </c>
      <c r="BF71" s="27">
        <f>IF($G71="s-curve",$E71+($F71-$E71)*$I$2/(1+EXP($I$3*(COUNT($I$9:BF$9)+$I$4))),TREND($E71:$F71,$E$9:$F$9,BF$9))</f>
        <v>0</v>
      </c>
    </row>
    <row r="72" spans="1:58" ht="15.5" thickBot="1" x14ac:dyDescent="0.9">
      <c r="A72" s="16"/>
      <c r="B72" s="16"/>
      <c r="C72" s="16" t="s">
        <v>32</v>
      </c>
      <c r="D72" s="26">
        <f t="shared" si="14"/>
        <v>0</v>
      </c>
      <c r="E72" s="31">
        <v>0</v>
      </c>
      <c r="F72" s="31">
        <v>0</v>
      </c>
      <c r="G72" s="32" t="str">
        <f>IF(E72=F72,"n/a",IF(OR(C72="battery electric vehicle",C72="natural gas vehicle",C72="plugin hybrid vehicle",C72="hydrogen vehicle"),"s-curve","linear"))</f>
        <v>n/a</v>
      </c>
      <c r="I72" s="27">
        <f t="shared" si="12"/>
        <v>0</v>
      </c>
      <c r="J72" s="27">
        <f t="shared" si="13"/>
        <v>0</v>
      </c>
      <c r="K72" s="27">
        <f t="shared" si="13"/>
        <v>0</v>
      </c>
      <c r="L72" s="27">
        <f t="shared" si="13"/>
        <v>0</v>
      </c>
      <c r="M72" s="27">
        <f>IF($G72="s-curve",$E72+($F72-$E72)*$I$2/(1+EXP($I$3*(COUNT($I$9:M$9)+$I$4))),TREND($E72:$F72,$E$9:$F$9,M$9))</f>
        <v>0</v>
      </c>
      <c r="N72" s="27">
        <f>IF($G72="s-curve",$E72+($F72-$E72)*$I$2/(1+EXP($I$3*(COUNT($I$9:N$9)+$I$4))),TREND($E72:$F72,$E$9:$F$9,N$9))</f>
        <v>0</v>
      </c>
      <c r="O72" s="27">
        <f>IF($G72="s-curve",$E72+($F72-$E72)*$I$2/(1+EXP($I$3*(COUNT($I$9:O$9)+$I$4))),TREND($E72:$F72,$E$9:$F$9,O$9))</f>
        <v>0</v>
      </c>
      <c r="P72" s="27">
        <f>IF($G72="s-curve",$E72+($F72-$E72)*$I$2/(1+EXP($I$3*(COUNT($I$9:P$9)+$I$4))),TREND($E72:$F72,$E$9:$F$9,P$9))</f>
        <v>0</v>
      </c>
      <c r="Q72" s="27">
        <f>IF($G72="s-curve",$E72+($F72-$E72)*$I$2/(1+EXP($I$3*(COUNT($I$9:Q$9)+$I$4))),TREND($E72:$F72,$E$9:$F$9,Q$9))</f>
        <v>0</v>
      </c>
      <c r="R72" s="27">
        <f>IF($G72="s-curve",$E72+($F72-$E72)*$I$2/(1+EXP($I$3*(COUNT($I$9:R$9)+$I$4))),TREND($E72:$F72,$E$9:$F$9,R$9))</f>
        <v>0</v>
      </c>
      <c r="S72" s="27">
        <f>IF($G72="s-curve",$E72+($F72-$E72)*$I$2/(1+EXP($I$3*(COUNT($I$9:S$9)+$I$4))),TREND($E72:$F72,$E$9:$F$9,S$9))</f>
        <v>0</v>
      </c>
      <c r="T72" s="27">
        <f>IF($G72="s-curve",$E72+($F72-$E72)*$I$2/(1+EXP($I$3*(COUNT($I$9:T$9)+$I$4))),TREND($E72:$F72,$E$9:$F$9,T$9))</f>
        <v>0</v>
      </c>
      <c r="U72" s="27">
        <f>IF($G72="s-curve",$E72+($F72-$E72)*$I$2/(1+EXP($I$3*(COUNT($I$9:U$9)+$I$4))),TREND($E72:$F72,$E$9:$F$9,U$9))</f>
        <v>0</v>
      </c>
      <c r="V72" s="27">
        <f>IF($G72="s-curve",$E72+($F72-$E72)*$I$2/(1+EXP($I$3*(COUNT($I$9:V$9)+$I$4))),TREND($E72:$F72,$E$9:$F$9,V$9))</f>
        <v>0</v>
      </c>
      <c r="W72" s="27">
        <f>IF($G72="s-curve",$E72+($F72-$E72)*$I$2/(1+EXP($I$3*(COUNT($I$9:W$9)+$I$4))),TREND($E72:$F72,$E$9:$F$9,W$9))</f>
        <v>0</v>
      </c>
      <c r="X72" s="27">
        <f>IF($G72="s-curve",$E72+($F72-$E72)*$I$2/(1+EXP($I$3*(COUNT($I$9:X$9)+$I$4))),TREND($E72:$F72,$E$9:$F$9,X$9))</f>
        <v>0</v>
      </c>
      <c r="Y72" s="27">
        <f>IF($G72="s-curve",$E72+($F72-$E72)*$I$2/(1+EXP($I$3*(COUNT($I$9:Y$9)+$I$4))),TREND($E72:$F72,$E$9:$F$9,Y$9))</f>
        <v>0</v>
      </c>
      <c r="Z72" s="27">
        <f>IF($G72="s-curve",$E72+($F72-$E72)*$I$2/(1+EXP($I$3*(COUNT($I$9:Z$9)+$I$4))),TREND($E72:$F72,$E$9:$F$9,Z$9))</f>
        <v>0</v>
      </c>
      <c r="AA72" s="27">
        <f>IF($G72="s-curve",$E72+($F72-$E72)*$I$2/(1+EXP($I$3*(COUNT($I$9:AA$9)+$I$4))),TREND($E72:$F72,$E$9:$F$9,AA$9))</f>
        <v>0</v>
      </c>
      <c r="AB72" s="27">
        <f>IF($G72="s-curve",$E72+($F72-$E72)*$I$2/(1+EXP($I$3*(COUNT($I$9:AB$9)+$I$4))),TREND($E72:$F72,$E$9:$F$9,AB$9))</f>
        <v>0</v>
      </c>
      <c r="AC72" s="27">
        <f>IF($G72="s-curve",$E72+($F72-$E72)*$I$2/(1+EXP($I$3*(COUNT($I$9:AC$9)+$I$4))),TREND($E72:$F72,$E$9:$F$9,AC$9))</f>
        <v>0</v>
      </c>
      <c r="AD72" s="27">
        <f>IF($G72="s-curve",$E72+($F72-$E72)*$I$2/(1+EXP($I$3*(COUNT($I$9:AD$9)+$I$4))),TREND($E72:$F72,$E$9:$F$9,AD$9))</f>
        <v>0</v>
      </c>
      <c r="AE72" s="27">
        <f>IF($G72="s-curve",$E72+($F72-$E72)*$I$2/(1+EXP($I$3*(COUNT($I$9:AE$9)+$I$4))),TREND($E72:$F72,$E$9:$F$9,AE$9))</f>
        <v>0</v>
      </c>
      <c r="AF72" s="27">
        <f>IF($G72="s-curve",$E72+($F72-$E72)*$I$2/(1+EXP($I$3*(COUNT($I$9:AF$9)+$I$4))),TREND($E72:$F72,$E$9:$F$9,AF$9))</f>
        <v>0</v>
      </c>
      <c r="AG72" s="27">
        <f>IF($G72="s-curve",$E72+($F72-$E72)*$I$2/(1+EXP($I$3*(COUNT($I$9:AG$9)+$I$4))),TREND($E72:$F72,$E$9:$F$9,AG$9))</f>
        <v>0</v>
      </c>
      <c r="AH72" s="27">
        <f>IF($G72="s-curve",$E72+($F72-$E72)*$I$2/(1+EXP($I$3*(COUNT($I$9:AH$9)+$I$4))),TREND($E72:$F72,$E$9:$F$9,AH$9))</f>
        <v>0</v>
      </c>
      <c r="AI72" s="27">
        <f>IF($G72="s-curve",$E72+($F72-$E72)*$I$2/(1+EXP($I$3*(COUNT($I$9:AI$9)+$I$4))),TREND($E72:$F72,$E$9:$F$9,AI$9))</f>
        <v>0</v>
      </c>
      <c r="AJ72" s="27">
        <f>IF($G72="s-curve",$E72+($F72-$E72)*$I$2/(1+EXP($I$3*(COUNT($I$9:AJ$9)+$I$4))),TREND($E72:$F72,$E$9:$F$9,AJ$9))</f>
        <v>0</v>
      </c>
      <c r="AK72" s="27">
        <f>IF($G72="s-curve",$E72+($F72-$E72)*$I$2/(1+EXP($I$3*(COUNT($I$9:AK$9)+$I$4))),TREND($E72:$F72,$E$9:$F$9,AK$9))</f>
        <v>0</v>
      </c>
      <c r="AL72" s="27">
        <f>IF($G72="s-curve",$E72+($F72-$E72)*$I$2/(1+EXP($I$3*(COUNT($I$9:AL$9)+$I$4))),TREND($E72:$F72,$E$9:$F$9,AL$9))</f>
        <v>0</v>
      </c>
      <c r="AM72" s="27">
        <f>IF($G72="s-curve",$E72+($F72-$E72)*$I$2/(1+EXP($I$3*(COUNT($I$9:AM$9)+$I$4))),TREND($E72:$F72,$E$9:$F$9,AM$9))</f>
        <v>0</v>
      </c>
      <c r="AN72" s="27">
        <f>IF($G72="s-curve",$E72+($F72-$E72)*$I$2/(1+EXP($I$3*(COUNT($I$9:AN$9)+$I$4))),TREND($E72:$F72,$E$9:$F$9,AN$9))</f>
        <v>0</v>
      </c>
      <c r="AO72" s="27">
        <f>IF($G72="s-curve",$E72+($F72-$E72)*$I$2/(1+EXP($I$3*(COUNT($I$9:AO$9)+$I$4))),TREND($E72:$F72,$E$9:$F$9,AO$9))</f>
        <v>0</v>
      </c>
      <c r="AP72" s="27">
        <f>IF($G72="s-curve",$E72+($F72-$E72)*$I$2/(1+EXP($I$3*(COUNT($I$9:AP$9)+$I$4))),TREND($E72:$F72,$E$9:$F$9,AP$9))</f>
        <v>0</v>
      </c>
      <c r="AQ72" s="27">
        <f>IF($G72="s-curve",$E72+($F72-$E72)*$I$2/(1+EXP($I$3*(COUNT($I$9:AQ$9)+$I$4))),TREND($E72:$F72,$E$9:$F$9,AQ$9))</f>
        <v>0</v>
      </c>
      <c r="AR72" s="27">
        <f>IF($G72="s-curve",$E72+($F72-$E72)*$I$2/(1+EXP($I$3*(COUNT($I$9:AR$9)+$I$4))),TREND($E72:$F72,$E$9:$F$9,AR$9))</f>
        <v>0</v>
      </c>
      <c r="AS72" s="27">
        <f>IF($G72="s-curve",$E72+($F72-$E72)*$I$2/(1+EXP($I$3*(COUNT($I$9:AS$9)+$I$4))),TREND($E72:$F72,$E$9:$F$9,AS$9))</f>
        <v>0</v>
      </c>
      <c r="AT72" s="27">
        <f>IF($G72="s-curve",$E72+($F72-$E72)*$I$2/(1+EXP($I$3*(COUNT($I$9:AT$9)+$I$4))),TREND($E72:$F72,$E$9:$F$9,AT$9))</f>
        <v>0</v>
      </c>
      <c r="AU72" s="27">
        <f>IF($G72="s-curve",$E72+($F72-$E72)*$I$2/(1+EXP($I$3*(COUNT($I$9:AU$9)+$I$4))),TREND($E72:$F72,$E$9:$F$9,AU$9))</f>
        <v>0</v>
      </c>
      <c r="AV72" s="27">
        <f>IF($G72="s-curve",$E72+($F72-$E72)*$I$2/(1+EXP($I$3*(COUNT($I$9:AV$9)+$I$4))),TREND($E72:$F72,$E$9:$F$9,AV$9))</f>
        <v>0</v>
      </c>
      <c r="AW72" s="27">
        <f>IF($G72="s-curve",$E72+($F72-$E72)*$I$2/(1+EXP($I$3*(COUNT($I$9:AW$9)+$I$4))),TREND($E72:$F72,$E$9:$F$9,AW$9))</f>
        <v>0</v>
      </c>
      <c r="AX72" s="27">
        <f>IF($G72="s-curve",$E72+($F72-$E72)*$I$2/(1+EXP($I$3*(COUNT($I$9:AX$9)+$I$4))),TREND($E72:$F72,$E$9:$F$9,AX$9))</f>
        <v>0</v>
      </c>
      <c r="AY72" s="27">
        <f>IF($G72="s-curve",$E72+($F72-$E72)*$I$2/(1+EXP($I$3*(COUNT($I$9:AY$9)+$I$4))),TREND($E72:$F72,$E$9:$F$9,AY$9))</f>
        <v>0</v>
      </c>
      <c r="AZ72" s="27">
        <f>IF($G72="s-curve",$E72+($F72-$E72)*$I$2/(1+EXP($I$3*(COUNT($I$9:AZ$9)+$I$4))),TREND($E72:$F72,$E$9:$F$9,AZ$9))</f>
        <v>0</v>
      </c>
      <c r="BA72" s="27">
        <f>IF($G72="s-curve",$E72+($F72-$E72)*$I$2/(1+EXP($I$3*(COUNT($I$9:BA$9)+$I$4))),TREND($E72:$F72,$E$9:$F$9,BA$9))</f>
        <v>0</v>
      </c>
      <c r="BB72" s="27">
        <f>IF($G72="s-curve",$E72+($F72-$E72)*$I$2/(1+EXP($I$3*(COUNT($I$9:BB$9)+$I$4))),TREND($E72:$F72,$E$9:$F$9,BB$9))</f>
        <v>0</v>
      </c>
      <c r="BC72" s="27">
        <f>IF($G72="s-curve",$E72+($F72-$E72)*$I$2/(1+EXP($I$3*(COUNT($I$9:BC$9)+$I$4))),TREND($E72:$F72,$E$9:$F$9,BC$9))</f>
        <v>0</v>
      </c>
      <c r="BD72" s="27">
        <f>IF($G72="s-curve",$E72+($F72-$E72)*$I$2/(1+EXP($I$3*(COUNT($I$9:BD$9)+$I$4))),TREND($E72:$F72,$E$9:$F$9,BD$9))</f>
        <v>0</v>
      </c>
      <c r="BE72" s="27">
        <f>IF($G72="s-curve",$E72+($F72-$E72)*$I$2/(1+EXP($I$3*(COUNT($I$9:BE$9)+$I$4))),TREND($E72:$F72,$E$9:$F$9,BE$9))</f>
        <v>0</v>
      </c>
      <c r="BF72" s="27">
        <f>IF($G72="s-curve",$E72+($F72-$E72)*$I$2/(1+EXP($I$3*(COUNT($I$9:BF$9)+$I$4))),TREND($E72:$F72,$E$9:$F$9,BF$9))</f>
        <v>0</v>
      </c>
    </row>
    <row r="73" spans="1:58" x14ac:dyDescent="0.75">
      <c r="A73" t="s">
        <v>16</v>
      </c>
      <c r="B73" t="s">
        <v>18</v>
      </c>
      <c r="C73" t="s">
        <v>1</v>
      </c>
      <c r="D73" s="26">
        <f t="shared" si="14"/>
        <v>0</v>
      </c>
      <c r="E73" s="26">
        <v>0</v>
      </c>
      <c r="F73" s="26">
        <v>0</v>
      </c>
      <c r="G73" s="29" t="str">
        <f>IF(E73=F73,"n/a",IF(OR(C73="battery electric vehicle",C73="natural gas vehicle",C73="plugin hybrid vehicle"),"s-curve","linear"))</f>
        <v>n/a</v>
      </c>
      <c r="I73" s="27">
        <f t="shared" ref="I73:I93" si="15">E73</f>
        <v>0</v>
      </c>
      <c r="J73" s="27">
        <f t="shared" si="13"/>
        <v>0</v>
      </c>
      <c r="K73" s="27">
        <f t="shared" si="13"/>
        <v>0</v>
      </c>
      <c r="L73" s="27">
        <f t="shared" si="13"/>
        <v>0</v>
      </c>
      <c r="M73" s="27">
        <f>IF($G73="s-curve",$E73+($F73-$E73)*$I$2/(1+EXP($I$3*(COUNT($I$9:M$9)+$I$4))),TREND($E73:$F73,$E$9:$F$9,M$9))</f>
        <v>0</v>
      </c>
      <c r="N73" s="27">
        <f>IF($G73="s-curve",$E73+($F73-$E73)*$I$2/(1+EXP($I$3*(COUNT($I$9:N$9)+$I$4))),TREND($E73:$F73,$E$9:$F$9,N$9))</f>
        <v>0</v>
      </c>
      <c r="O73" s="27">
        <f>IF($G73="s-curve",$E73+($F73-$E73)*$I$2/(1+EXP($I$3*(COUNT($I$9:O$9)+$I$4))),TREND($E73:$F73,$E$9:$F$9,O$9))</f>
        <v>0</v>
      </c>
      <c r="P73" s="27">
        <f>IF($G73="s-curve",$E73+($F73-$E73)*$I$2/(1+EXP($I$3*(COUNT($I$9:P$9)+$I$4))),TREND($E73:$F73,$E$9:$F$9,P$9))</f>
        <v>0</v>
      </c>
      <c r="Q73" s="27">
        <f>IF($G73="s-curve",$E73+($F73-$E73)*$I$2/(1+EXP($I$3*(COUNT($I$9:Q$9)+$I$4))),TREND($E73:$F73,$E$9:$F$9,Q$9))</f>
        <v>0</v>
      </c>
      <c r="R73" s="27">
        <f>IF($G73="s-curve",$E73+($F73-$E73)*$I$2/(1+EXP($I$3*(COUNT($I$9:R$9)+$I$4))),TREND($E73:$F73,$E$9:$F$9,R$9))</f>
        <v>0</v>
      </c>
      <c r="S73" s="27">
        <f>IF($G73="s-curve",$E73+($F73-$E73)*$I$2/(1+EXP($I$3*(COUNT($I$9:S$9)+$I$4))),TREND($E73:$F73,$E$9:$F$9,S$9))</f>
        <v>0</v>
      </c>
      <c r="T73" s="27">
        <f>IF($G73="s-curve",$E73+($F73-$E73)*$I$2/(1+EXP($I$3*(COUNT($I$9:T$9)+$I$4))),TREND($E73:$F73,$E$9:$F$9,T$9))</f>
        <v>0</v>
      </c>
      <c r="U73" s="27">
        <f>IF($G73="s-curve",$E73+($F73-$E73)*$I$2/(1+EXP($I$3*(COUNT($I$9:U$9)+$I$4))),TREND($E73:$F73,$E$9:$F$9,U$9))</f>
        <v>0</v>
      </c>
      <c r="V73" s="27">
        <f>IF($G73="s-curve",$E73+($F73-$E73)*$I$2/(1+EXP($I$3*(COUNT($I$9:V$9)+$I$4))),TREND($E73:$F73,$E$9:$F$9,V$9))</f>
        <v>0</v>
      </c>
      <c r="W73" s="27">
        <f>IF($G73="s-curve",$E73+($F73-$E73)*$I$2/(1+EXP($I$3*(COUNT($I$9:W$9)+$I$4))),TREND($E73:$F73,$E$9:$F$9,W$9))</f>
        <v>0</v>
      </c>
      <c r="X73" s="27">
        <f>IF($G73="s-curve",$E73+($F73-$E73)*$I$2/(1+EXP($I$3*(COUNT($I$9:X$9)+$I$4))),TREND($E73:$F73,$E$9:$F$9,X$9))</f>
        <v>0</v>
      </c>
      <c r="Y73" s="27">
        <f>IF($G73="s-curve",$E73+($F73-$E73)*$I$2/(1+EXP($I$3*(COUNT($I$9:Y$9)+$I$4))),TREND($E73:$F73,$E$9:$F$9,Y$9))</f>
        <v>0</v>
      </c>
      <c r="Z73" s="27">
        <f>IF($G73="s-curve",$E73+($F73-$E73)*$I$2/(1+EXP($I$3*(COUNT($I$9:Z$9)+$I$4))),TREND($E73:$F73,$E$9:$F$9,Z$9))</f>
        <v>0</v>
      </c>
      <c r="AA73" s="27">
        <f>IF($G73="s-curve",$E73+($F73-$E73)*$I$2/(1+EXP($I$3*(COUNT($I$9:AA$9)+$I$4))),TREND($E73:$F73,$E$9:$F$9,AA$9))</f>
        <v>0</v>
      </c>
      <c r="AB73" s="27">
        <f>IF($G73="s-curve",$E73+($F73-$E73)*$I$2/(1+EXP($I$3*(COUNT($I$9:AB$9)+$I$4))),TREND($E73:$F73,$E$9:$F$9,AB$9))</f>
        <v>0</v>
      </c>
      <c r="AC73" s="27">
        <f>IF($G73="s-curve",$E73+($F73-$E73)*$I$2/(1+EXP($I$3*(COUNT($I$9:AC$9)+$I$4))),TREND($E73:$F73,$E$9:$F$9,AC$9))</f>
        <v>0</v>
      </c>
      <c r="AD73" s="27">
        <f>IF($G73="s-curve",$E73+($F73-$E73)*$I$2/(1+EXP($I$3*(COUNT($I$9:AD$9)+$I$4))),TREND($E73:$F73,$E$9:$F$9,AD$9))</f>
        <v>0</v>
      </c>
      <c r="AE73" s="27">
        <f>IF($G73="s-curve",$E73+($F73-$E73)*$I$2/(1+EXP($I$3*(COUNT($I$9:AE$9)+$I$4))),TREND($E73:$F73,$E$9:$F$9,AE$9))</f>
        <v>0</v>
      </c>
      <c r="AF73" s="27">
        <f>IF($G73="s-curve",$E73+($F73-$E73)*$I$2/(1+EXP($I$3*(COUNT($I$9:AF$9)+$I$4))),TREND($E73:$F73,$E$9:$F$9,AF$9))</f>
        <v>0</v>
      </c>
      <c r="AG73" s="27">
        <f>IF($G73="s-curve",$E73+($F73-$E73)*$I$2/(1+EXP($I$3*(COUNT($I$9:AG$9)+$I$4))),TREND($E73:$F73,$E$9:$F$9,AG$9))</f>
        <v>0</v>
      </c>
      <c r="AH73" s="27">
        <f>IF($G73="s-curve",$E73+($F73-$E73)*$I$2/(1+EXP($I$3*(COUNT($I$9:AH$9)+$I$4))),TREND($E73:$F73,$E$9:$F$9,AH$9))</f>
        <v>0</v>
      </c>
      <c r="AI73" s="27">
        <f>IF($G73="s-curve",$E73+($F73-$E73)*$I$2/(1+EXP($I$3*(COUNT($I$9:AI$9)+$I$4))),TREND($E73:$F73,$E$9:$F$9,AI$9))</f>
        <v>0</v>
      </c>
      <c r="AJ73" s="27">
        <f>IF($G73="s-curve",$E73+($F73-$E73)*$I$2/(1+EXP($I$3*(COUNT($I$9:AJ$9)+$I$4))),TREND($E73:$F73,$E$9:$F$9,AJ$9))</f>
        <v>0</v>
      </c>
      <c r="AK73" s="27">
        <f>IF($G73="s-curve",$E73+($F73-$E73)*$I$2/(1+EXP($I$3*(COUNT($I$9:AK$9)+$I$4))),TREND($E73:$F73,$E$9:$F$9,AK$9))</f>
        <v>0</v>
      </c>
      <c r="AL73" s="27">
        <f>IF($G73="s-curve",$E73+($F73-$E73)*$I$2/(1+EXP($I$3*(COUNT($I$9:AL$9)+$I$4))),TREND($E73:$F73,$E$9:$F$9,AL$9))</f>
        <v>0</v>
      </c>
      <c r="AM73" s="27">
        <f>IF($G73="s-curve",$E73+($F73-$E73)*$I$2/(1+EXP($I$3*(COUNT($I$9:AM$9)+$I$4))),TREND($E73:$F73,$E$9:$F$9,AM$9))</f>
        <v>0</v>
      </c>
      <c r="AN73" s="27">
        <f>IF($G73="s-curve",$E73+($F73-$E73)*$I$2/(1+EXP($I$3*(COUNT($I$9:AN$9)+$I$4))),TREND($E73:$F73,$E$9:$F$9,AN$9))</f>
        <v>0</v>
      </c>
      <c r="AO73" s="27">
        <f>IF($G73="s-curve",$E73+($F73-$E73)*$I$2/(1+EXP($I$3*(COUNT($I$9:AO$9)+$I$4))),TREND($E73:$F73,$E$9:$F$9,AO$9))</f>
        <v>0</v>
      </c>
      <c r="AP73" s="27">
        <f>IF($G73="s-curve",$E73+($F73-$E73)*$I$2/(1+EXP($I$3*(COUNT($I$9:AP$9)+$I$4))),TREND($E73:$F73,$E$9:$F$9,AP$9))</f>
        <v>0</v>
      </c>
      <c r="AQ73" s="27">
        <f>IF($G73="s-curve",$E73+($F73-$E73)*$I$2/(1+EXP($I$3*(COUNT($I$9:AQ$9)+$I$4))),TREND($E73:$F73,$E$9:$F$9,AQ$9))</f>
        <v>0</v>
      </c>
      <c r="AR73" s="27">
        <f>IF($G73="s-curve",$E73+($F73-$E73)*$I$2/(1+EXP($I$3*(COUNT($I$9:AR$9)+$I$4))),TREND($E73:$F73,$E$9:$F$9,AR$9))</f>
        <v>0</v>
      </c>
      <c r="AS73" s="27">
        <f>IF($G73="s-curve",$E73+($F73-$E73)*$I$2/(1+EXP($I$3*(COUNT($I$9:AS$9)+$I$4))),TREND($E73:$F73,$E$9:$F$9,AS$9))</f>
        <v>0</v>
      </c>
      <c r="AT73" s="27">
        <f>IF($G73="s-curve",$E73+($F73-$E73)*$I$2/(1+EXP($I$3*(COUNT($I$9:AT$9)+$I$4))),TREND($E73:$F73,$E$9:$F$9,AT$9))</f>
        <v>0</v>
      </c>
      <c r="AU73" s="27">
        <f>IF($G73="s-curve",$E73+($F73-$E73)*$I$2/(1+EXP($I$3*(COUNT($I$9:AU$9)+$I$4))),TREND($E73:$F73,$E$9:$F$9,AU$9))</f>
        <v>0</v>
      </c>
      <c r="AV73" s="27">
        <f>IF($G73="s-curve",$E73+($F73-$E73)*$I$2/(1+EXP($I$3*(COUNT($I$9:AV$9)+$I$4))),TREND($E73:$F73,$E$9:$F$9,AV$9))</f>
        <v>0</v>
      </c>
      <c r="AW73" s="27">
        <f>IF($G73="s-curve",$E73+($F73-$E73)*$I$2/(1+EXP($I$3*(COUNT($I$9:AW$9)+$I$4))),TREND($E73:$F73,$E$9:$F$9,AW$9))</f>
        <v>0</v>
      </c>
      <c r="AX73" s="27">
        <f>IF($G73="s-curve",$E73+($F73-$E73)*$I$2/(1+EXP($I$3*(COUNT($I$9:AX$9)+$I$4))),TREND($E73:$F73,$E$9:$F$9,AX$9))</f>
        <v>0</v>
      </c>
      <c r="AY73" s="27">
        <f>IF($G73="s-curve",$E73+($F73-$E73)*$I$2/(1+EXP($I$3*(COUNT($I$9:AY$9)+$I$4))),TREND($E73:$F73,$E$9:$F$9,AY$9))</f>
        <v>0</v>
      </c>
      <c r="AZ73" s="27">
        <f>IF($G73="s-curve",$E73+($F73-$E73)*$I$2/(1+EXP($I$3*(COUNT($I$9:AZ$9)+$I$4))),TREND($E73:$F73,$E$9:$F$9,AZ$9))</f>
        <v>0</v>
      </c>
      <c r="BA73" s="27">
        <f>IF($G73="s-curve",$E73+($F73-$E73)*$I$2/(1+EXP($I$3*(COUNT($I$9:BA$9)+$I$4))),TREND($E73:$F73,$E$9:$F$9,BA$9))</f>
        <v>0</v>
      </c>
      <c r="BB73" s="27">
        <f>IF($G73="s-curve",$E73+($F73-$E73)*$I$2/(1+EXP($I$3*(COUNT($I$9:BB$9)+$I$4))),TREND($E73:$F73,$E$9:$F$9,BB$9))</f>
        <v>0</v>
      </c>
      <c r="BC73" s="27">
        <f>IF($G73="s-curve",$E73+($F73-$E73)*$I$2/(1+EXP($I$3*(COUNT($I$9:BC$9)+$I$4))),TREND($E73:$F73,$E$9:$F$9,BC$9))</f>
        <v>0</v>
      </c>
      <c r="BD73" s="27">
        <f>IF($G73="s-curve",$E73+($F73-$E73)*$I$2/(1+EXP($I$3*(COUNT($I$9:BD$9)+$I$4))),TREND($E73:$F73,$E$9:$F$9,BD$9))</f>
        <v>0</v>
      </c>
      <c r="BE73" s="27">
        <f>IF($G73="s-curve",$E73+($F73-$E73)*$I$2/(1+EXP($I$3*(COUNT($I$9:BE$9)+$I$4))),TREND($E73:$F73,$E$9:$F$9,BE$9))</f>
        <v>0</v>
      </c>
      <c r="BF73" s="27">
        <f>IF($G73="s-curve",$E73+($F73-$E73)*$I$2/(1+EXP($I$3*(COUNT($I$9:BF$9)+$I$4))),TREND($E73:$F73,$E$9:$F$9,BF$9))</f>
        <v>0</v>
      </c>
    </row>
    <row r="74" spans="1:58" x14ac:dyDescent="0.75">
      <c r="C74" t="s">
        <v>2</v>
      </c>
      <c r="D74" s="26">
        <f t="shared" si="14"/>
        <v>0</v>
      </c>
      <c r="E74" s="26">
        <v>0</v>
      </c>
      <c r="F74" s="26">
        <v>0</v>
      </c>
      <c r="G74" s="29" t="str">
        <f>IF(E74=F74,"n/a",IF(OR(C74="battery electric vehicle",C74="natural gas vehicle",C74="plugin hybrid vehicle"),"s-curve","linear"))</f>
        <v>n/a</v>
      </c>
      <c r="I74" s="27">
        <f t="shared" si="15"/>
        <v>0</v>
      </c>
      <c r="J74" s="27">
        <f t="shared" si="13"/>
        <v>0</v>
      </c>
      <c r="K74" s="27">
        <f t="shared" si="13"/>
        <v>0</v>
      </c>
      <c r="L74" s="27">
        <f t="shared" si="13"/>
        <v>0</v>
      </c>
      <c r="M74" s="27">
        <f>IF($G74="s-curve",$E74+($F74-$E74)*$I$2/(1+EXP($I$3*(COUNT($I$9:M$9)+$I$4))),TREND($E74:$F74,$E$9:$F$9,M$9))</f>
        <v>0</v>
      </c>
      <c r="N74" s="27">
        <f>IF($G74="s-curve",$E74+($F74-$E74)*$I$2/(1+EXP($I$3*(COUNT($I$9:N$9)+$I$4))),TREND($E74:$F74,$E$9:$F$9,N$9))</f>
        <v>0</v>
      </c>
      <c r="O74" s="27">
        <f>IF($G74="s-curve",$E74+($F74-$E74)*$I$2/(1+EXP($I$3*(COUNT($I$9:O$9)+$I$4))),TREND($E74:$F74,$E$9:$F$9,O$9))</f>
        <v>0</v>
      </c>
      <c r="P74" s="27">
        <f>IF($G74="s-curve",$E74+($F74-$E74)*$I$2/(1+EXP($I$3*(COUNT($I$9:P$9)+$I$4))),TREND($E74:$F74,$E$9:$F$9,P$9))</f>
        <v>0</v>
      </c>
      <c r="Q74" s="27">
        <f>IF($G74="s-curve",$E74+($F74-$E74)*$I$2/(1+EXP($I$3*(COUNT($I$9:Q$9)+$I$4))),TREND($E74:$F74,$E$9:$F$9,Q$9))</f>
        <v>0</v>
      </c>
      <c r="R74" s="27">
        <f>IF($G74="s-curve",$E74+($F74-$E74)*$I$2/(1+EXP($I$3*(COUNT($I$9:R$9)+$I$4))),TREND($E74:$F74,$E$9:$F$9,R$9))</f>
        <v>0</v>
      </c>
      <c r="S74" s="27">
        <f>IF($G74="s-curve",$E74+($F74-$E74)*$I$2/(1+EXP($I$3*(COUNT($I$9:S$9)+$I$4))),TREND($E74:$F74,$E$9:$F$9,S$9))</f>
        <v>0</v>
      </c>
      <c r="T74" s="27">
        <f>IF($G74="s-curve",$E74+($F74-$E74)*$I$2/(1+EXP($I$3*(COUNT($I$9:T$9)+$I$4))),TREND($E74:$F74,$E$9:$F$9,T$9))</f>
        <v>0</v>
      </c>
      <c r="U74" s="27">
        <f>IF($G74="s-curve",$E74+($F74-$E74)*$I$2/(1+EXP($I$3*(COUNT($I$9:U$9)+$I$4))),TREND($E74:$F74,$E$9:$F$9,U$9))</f>
        <v>0</v>
      </c>
      <c r="V74" s="27">
        <f>IF($G74="s-curve",$E74+($F74-$E74)*$I$2/(1+EXP($I$3*(COUNT($I$9:V$9)+$I$4))),TREND($E74:$F74,$E$9:$F$9,V$9))</f>
        <v>0</v>
      </c>
      <c r="W74" s="27">
        <f>IF($G74="s-curve",$E74+($F74-$E74)*$I$2/(1+EXP($I$3*(COUNT($I$9:W$9)+$I$4))),TREND($E74:$F74,$E$9:$F$9,W$9))</f>
        <v>0</v>
      </c>
      <c r="X74" s="27">
        <f>IF($G74="s-curve",$E74+($F74-$E74)*$I$2/(1+EXP($I$3*(COUNT($I$9:X$9)+$I$4))),TREND($E74:$F74,$E$9:$F$9,X$9))</f>
        <v>0</v>
      </c>
      <c r="Y74" s="27">
        <f>IF($G74="s-curve",$E74+($F74-$E74)*$I$2/(1+EXP($I$3*(COUNT($I$9:Y$9)+$I$4))),TREND($E74:$F74,$E$9:$F$9,Y$9))</f>
        <v>0</v>
      </c>
      <c r="Z74" s="27">
        <f>IF($G74="s-curve",$E74+($F74-$E74)*$I$2/(1+EXP($I$3*(COUNT($I$9:Z$9)+$I$4))),TREND($E74:$F74,$E$9:$F$9,Z$9))</f>
        <v>0</v>
      </c>
      <c r="AA74" s="27">
        <f>IF($G74="s-curve",$E74+($F74-$E74)*$I$2/(1+EXP($I$3*(COUNT($I$9:AA$9)+$I$4))),TREND($E74:$F74,$E$9:$F$9,AA$9))</f>
        <v>0</v>
      </c>
      <c r="AB74" s="27">
        <f>IF($G74="s-curve",$E74+($F74-$E74)*$I$2/(1+EXP($I$3*(COUNT($I$9:AB$9)+$I$4))),TREND($E74:$F74,$E$9:$F$9,AB$9))</f>
        <v>0</v>
      </c>
      <c r="AC74" s="27">
        <f>IF($G74="s-curve",$E74+($F74-$E74)*$I$2/(1+EXP($I$3*(COUNT($I$9:AC$9)+$I$4))),TREND($E74:$F74,$E$9:$F$9,AC$9))</f>
        <v>0</v>
      </c>
      <c r="AD74" s="27">
        <f>IF($G74="s-curve",$E74+($F74-$E74)*$I$2/(1+EXP($I$3*(COUNT($I$9:AD$9)+$I$4))),TREND($E74:$F74,$E$9:$F$9,AD$9))</f>
        <v>0</v>
      </c>
      <c r="AE74" s="27">
        <f>IF($G74="s-curve",$E74+($F74-$E74)*$I$2/(1+EXP($I$3*(COUNT($I$9:AE$9)+$I$4))),TREND($E74:$F74,$E$9:$F$9,AE$9))</f>
        <v>0</v>
      </c>
      <c r="AF74" s="27">
        <f>IF($G74="s-curve",$E74+($F74-$E74)*$I$2/(1+EXP($I$3*(COUNT($I$9:AF$9)+$I$4))),TREND($E74:$F74,$E$9:$F$9,AF$9))</f>
        <v>0</v>
      </c>
      <c r="AG74" s="27">
        <f>IF($G74="s-curve",$E74+($F74-$E74)*$I$2/(1+EXP($I$3*(COUNT($I$9:AG$9)+$I$4))),TREND($E74:$F74,$E$9:$F$9,AG$9))</f>
        <v>0</v>
      </c>
      <c r="AH74" s="27">
        <f>IF($G74="s-curve",$E74+($F74-$E74)*$I$2/(1+EXP($I$3*(COUNT($I$9:AH$9)+$I$4))),TREND($E74:$F74,$E$9:$F$9,AH$9))</f>
        <v>0</v>
      </c>
      <c r="AI74" s="27">
        <f>IF($G74="s-curve",$E74+($F74-$E74)*$I$2/(1+EXP($I$3*(COUNT($I$9:AI$9)+$I$4))),TREND($E74:$F74,$E$9:$F$9,AI$9))</f>
        <v>0</v>
      </c>
      <c r="AJ74" s="27">
        <f>IF($G74="s-curve",$E74+($F74-$E74)*$I$2/(1+EXP($I$3*(COUNT($I$9:AJ$9)+$I$4))),TREND($E74:$F74,$E$9:$F$9,AJ$9))</f>
        <v>0</v>
      </c>
      <c r="AK74" s="27">
        <f>IF($G74="s-curve",$E74+($F74-$E74)*$I$2/(1+EXP($I$3*(COUNT($I$9:AK$9)+$I$4))),TREND($E74:$F74,$E$9:$F$9,AK$9))</f>
        <v>0</v>
      </c>
      <c r="AL74" s="27">
        <f>IF($G74="s-curve",$E74+($F74-$E74)*$I$2/(1+EXP($I$3*(COUNT($I$9:AL$9)+$I$4))),TREND($E74:$F74,$E$9:$F$9,AL$9))</f>
        <v>0</v>
      </c>
      <c r="AM74" s="27">
        <f>IF($G74="s-curve",$E74+($F74-$E74)*$I$2/(1+EXP($I$3*(COUNT($I$9:AM$9)+$I$4))),TREND($E74:$F74,$E$9:$F$9,AM$9))</f>
        <v>0</v>
      </c>
      <c r="AN74" s="27">
        <f>IF($G74="s-curve",$E74+($F74-$E74)*$I$2/(1+EXP($I$3*(COUNT($I$9:AN$9)+$I$4))),TREND($E74:$F74,$E$9:$F$9,AN$9))</f>
        <v>0</v>
      </c>
      <c r="AO74" s="27">
        <f>IF($G74="s-curve",$E74+($F74-$E74)*$I$2/(1+EXP($I$3*(COUNT($I$9:AO$9)+$I$4))),TREND($E74:$F74,$E$9:$F$9,AO$9))</f>
        <v>0</v>
      </c>
      <c r="AP74" s="27">
        <f>IF($G74="s-curve",$E74+($F74-$E74)*$I$2/(1+EXP($I$3*(COUNT($I$9:AP$9)+$I$4))),TREND($E74:$F74,$E$9:$F$9,AP$9))</f>
        <v>0</v>
      </c>
      <c r="AQ74" s="27">
        <f>IF($G74="s-curve",$E74+($F74-$E74)*$I$2/(1+EXP($I$3*(COUNT($I$9:AQ$9)+$I$4))),TREND($E74:$F74,$E$9:$F$9,AQ$9))</f>
        <v>0</v>
      </c>
      <c r="AR74" s="27">
        <f>IF($G74="s-curve",$E74+($F74-$E74)*$I$2/(1+EXP($I$3*(COUNT($I$9:AR$9)+$I$4))),TREND($E74:$F74,$E$9:$F$9,AR$9))</f>
        <v>0</v>
      </c>
      <c r="AS74" s="27">
        <f>IF($G74="s-curve",$E74+($F74-$E74)*$I$2/(1+EXP($I$3*(COUNT($I$9:AS$9)+$I$4))),TREND($E74:$F74,$E$9:$F$9,AS$9))</f>
        <v>0</v>
      </c>
      <c r="AT74" s="27">
        <f>IF($G74="s-curve",$E74+($F74-$E74)*$I$2/(1+EXP($I$3*(COUNT($I$9:AT$9)+$I$4))),TREND($E74:$F74,$E$9:$F$9,AT$9))</f>
        <v>0</v>
      </c>
      <c r="AU74" s="27">
        <f>IF($G74="s-curve",$E74+($F74-$E74)*$I$2/(1+EXP($I$3*(COUNT($I$9:AU$9)+$I$4))),TREND($E74:$F74,$E$9:$F$9,AU$9))</f>
        <v>0</v>
      </c>
      <c r="AV74" s="27">
        <f>IF($G74="s-curve",$E74+($F74-$E74)*$I$2/(1+EXP($I$3*(COUNT($I$9:AV$9)+$I$4))),TREND($E74:$F74,$E$9:$F$9,AV$9))</f>
        <v>0</v>
      </c>
      <c r="AW74" s="27">
        <f>IF($G74="s-curve",$E74+($F74-$E74)*$I$2/(1+EXP($I$3*(COUNT($I$9:AW$9)+$I$4))),TREND($E74:$F74,$E$9:$F$9,AW$9))</f>
        <v>0</v>
      </c>
      <c r="AX74" s="27">
        <f>IF($G74="s-curve",$E74+($F74-$E74)*$I$2/(1+EXP($I$3*(COUNT($I$9:AX$9)+$I$4))),TREND($E74:$F74,$E$9:$F$9,AX$9))</f>
        <v>0</v>
      </c>
      <c r="AY74" s="27">
        <f>IF($G74="s-curve",$E74+($F74-$E74)*$I$2/(1+EXP($I$3*(COUNT($I$9:AY$9)+$I$4))),TREND($E74:$F74,$E$9:$F$9,AY$9))</f>
        <v>0</v>
      </c>
      <c r="AZ74" s="27">
        <f>IF($G74="s-curve",$E74+($F74-$E74)*$I$2/(1+EXP($I$3*(COUNT($I$9:AZ$9)+$I$4))),TREND($E74:$F74,$E$9:$F$9,AZ$9))</f>
        <v>0</v>
      </c>
      <c r="BA74" s="27">
        <f>IF($G74="s-curve",$E74+($F74-$E74)*$I$2/(1+EXP($I$3*(COUNT($I$9:BA$9)+$I$4))),TREND($E74:$F74,$E$9:$F$9,BA$9))</f>
        <v>0</v>
      </c>
      <c r="BB74" s="27">
        <f>IF($G74="s-curve",$E74+($F74-$E74)*$I$2/(1+EXP($I$3*(COUNT($I$9:BB$9)+$I$4))),TREND($E74:$F74,$E$9:$F$9,BB$9))</f>
        <v>0</v>
      </c>
      <c r="BC74" s="27">
        <f>IF($G74="s-curve",$E74+($F74-$E74)*$I$2/(1+EXP($I$3*(COUNT($I$9:BC$9)+$I$4))),TREND($E74:$F74,$E$9:$F$9,BC$9))</f>
        <v>0</v>
      </c>
      <c r="BD74" s="27">
        <f>IF($G74="s-curve",$E74+($F74-$E74)*$I$2/(1+EXP($I$3*(COUNT($I$9:BD$9)+$I$4))),TREND($E74:$F74,$E$9:$F$9,BD$9))</f>
        <v>0</v>
      </c>
      <c r="BE74" s="27">
        <f>IF($G74="s-curve",$E74+($F74-$E74)*$I$2/(1+EXP($I$3*(COUNT($I$9:BE$9)+$I$4))),TREND($E74:$F74,$E$9:$F$9,BE$9))</f>
        <v>0</v>
      </c>
      <c r="BF74" s="27">
        <f>IF($G74="s-curve",$E74+($F74-$E74)*$I$2/(1+EXP($I$3*(COUNT($I$9:BF$9)+$I$4))),TREND($E74:$F74,$E$9:$F$9,BF$9))</f>
        <v>0</v>
      </c>
    </row>
    <row r="75" spans="1:58" x14ac:dyDescent="0.75">
      <c r="C75" t="s">
        <v>3</v>
      </c>
      <c r="D75" s="26">
        <f t="shared" si="14"/>
        <v>0</v>
      </c>
      <c r="E75" s="26">
        <v>0</v>
      </c>
      <c r="F75" s="26">
        <v>0</v>
      </c>
      <c r="G75" s="29" t="str">
        <f>IF(E75=F75,"n/a",IF(OR(C75="battery electric vehicle",C75="natural gas vehicle",C75="plugin hybrid vehicle"),"s-curve","linear"))</f>
        <v>n/a</v>
      </c>
      <c r="I75" s="27">
        <f t="shared" si="15"/>
        <v>0</v>
      </c>
      <c r="J75" s="27">
        <f t="shared" ref="J75:L93" si="16">IFERROR(_xlfn.FORECAST.ETS(J$9,$D75:$E75,$D$9:$E$9,1),0)</f>
        <v>0</v>
      </c>
      <c r="K75" s="27">
        <f t="shared" si="16"/>
        <v>0</v>
      </c>
      <c r="L75" s="27">
        <f t="shared" si="16"/>
        <v>0</v>
      </c>
      <c r="M75" s="27">
        <f>IF($G75="s-curve",$E75+($F75-$E75)*$I$2/(1+EXP($I$3*(COUNT($I$9:M$9)+$I$4))),TREND($E75:$F75,$E$9:$F$9,M$9))</f>
        <v>0</v>
      </c>
      <c r="N75" s="27">
        <f>IF($G75="s-curve",$E75+($F75-$E75)*$I$2/(1+EXP($I$3*(COUNT($I$9:N$9)+$I$4))),TREND($E75:$F75,$E$9:$F$9,N$9))</f>
        <v>0</v>
      </c>
      <c r="O75" s="27">
        <f>IF($G75="s-curve",$E75+($F75-$E75)*$I$2/(1+EXP($I$3*(COUNT($I$9:O$9)+$I$4))),TREND($E75:$F75,$E$9:$F$9,O$9))</f>
        <v>0</v>
      </c>
      <c r="P75" s="27">
        <f>IF($G75="s-curve",$E75+($F75-$E75)*$I$2/(1+EXP($I$3*(COUNT($I$9:P$9)+$I$4))),TREND($E75:$F75,$E$9:$F$9,P$9))</f>
        <v>0</v>
      </c>
      <c r="Q75" s="27">
        <f>IF($G75="s-curve",$E75+($F75-$E75)*$I$2/(1+EXP($I$3*(COUNT($I$9:Q$9)+$I$4))),TREND($E75:$F75,$E$9:$F$9,Q$9))</f>
        <v>0</v>
      </c>
      <c r="R75" s="27">
        <f>IF($G75="s-curve",$E75+($F75-$E75)*$I$2/(1+EXP($I$3*(COUNT($I$9:R$9)+$I$4))),TREND($E75:$F75,$E$9:$F$9,R$9))</f>
        <v>0</v>
      </c>
      <c r="S75" s="27">
        <f>IF($G75="s-curve",$E75+($F75-$E75)*$I$2/(1+EXP($I$3*(COUNT($I$9:S$9)+$I$4))),TREND($E75:$F75,$E$9:$F$9,S$9))</f>
        <v>0</v>
      </c>
      <c r="T75" s="27">
        <f>IF($G75="s-curve",$E75+($F75-$E75)*$I$2/(1+EXP($I$3*(COUNT($I$9:T$9)+$I$4))),TREND($E75:$F75,$E$9:$F$9,T$9))</f>
        <v>0</v>
      </c>
      <c r="U75" s="27">
        <f>IF($G75="s-curve",$E75+($F75-$E75)*$I$2/(1+EXP($I$3*(COUNT($I$9:U$9)+$I$4))),TREND($E75:$F75,$E$9:$F$9,U$9))</f>
        <v>0</v>
      </c>
      <c r="V75" s="27">
        <f>IF($G75="s-curve",$E75+($F75-$E75)*$I$2/(1+EXP($I$3*(COUNT($I$9:V$9)+$I$4))),TREND($E75:$F75,$E$9:$F$9,V$9))</f>
        <v>0</v>
      </c>
      <c r="W75" s="27">
        <f>IF($G75="s-curve",$E75+($F75-$E75)*$I$2/(1+EXP($I$3*(COUNT($I$9:W$9)+$I$4))),TREND($E75:$F75,$E$9:$F$9,W$9))</f>
        <v>0</v>
      </c>
      <c r="X75" s="27">
        <f>IF($G75="s-curve",$E75+($F75-$E75)*$I$2/(1+EXP($I$3*(COUNT($I$9:X$9)+$I$4))),TREND($E75:$F75,$E$9:$F$9,X$9))</f>
        <v>0</v>
      </c>
      <c r="Y75" s="27">
        <f>IF($G75="s-curve",$E75+($F75-$E75)*$I$2/(1+EXP($I$3*(COUNT($I$9:Y$9)+$I$4))),TREND($E75:$F75,$E$9:$F$9,Y$9))</f>
        <v>0</v>
      </c>
      <c r="Z75" s="27">
        <f>IF($G75="s-curve",$E75+($F75-$E75)*$I$2/(1+EXP($I$3*(COUNT($I$9:Z$9)+$I$4))),TREND($E75:$F75,$E$9:$F$9,Z$9))</f>
        <v>0</v>
      </c>
      <c r="AA75" s="27">
        <f>IF($G75="s-curve",$E75+($F75-$E75)*$I$2/(1+EXP($I$3*(COUNT($I$9:AA$9)+$I$4))),TREND($E75:$F75,$E$9:$F$9,AA$9))</f>
        <v>0</v>
      </c>
      <c r="AB75" s="27">
        <f>IF($G75="s-curve",$E75+($F75-$E75)*$I$2/(1+EXP($I$3*(COUNT($I$9:AB$9)+$I$4))),TREND($E75:$F75,$E$9:$F$9,AB$9))</f>
        <v>0</v>
      </c>
      <c r="AC75" s="27">
        <f>IF($G75="s-curve",$E75+($F75-$E75)*$I$2/(1+EXP($I$3*(COUNT($I$9:AC$9)+$I$4))),TREND($E75:$F75,$E$9:$F$9,AC$9))</f>
        <v>0</v>
      </c>
      <c r="AD75" s="27">
        <f>IF($G75="s-curve",$E75+($F75-$E75)*$I$2/(1+EXP($I$3*(COUNT($I$9:AD$9)+$I$4))),TREND($E75:$F75,$E$9:$F$9,AD$9))</f>
        <v>0</v>
      </c>
      <c r="AE75" s="27">
        <f>IF($G75="s-curve",$E75+($F75-$E75)*$I$2/(1+EXP($I$3*(COUNT($I$9:AE$9)+$I$4))),TREND($E75:$F75,$E$9:$F$9,AE$9))</f>
        <v>0</v>
      </c>
      <c r="AF75" s="27">
        <f>IF($G75="s-curve",$E75+($F75-$E75)*$I$2/(1+EXP($I$3*(COUNT($I$9:AF$9)+$I$4))),TREND($E75:$F75,$E$9:$F$9,AF$9))</f>
        <v>0</v>
      </c>
      <c r="AG75" s="27">
        <f>IF($G75="s-curve",$E75+($F75-$E75)*$I$2/(1+EXP($I$3*(COUNT($I$9:AG$9)+$I$4))),TREND($E75:$F75,$E$9:$F$9,AG$9))</f>
        <v>0</v>
      </c>
      <c r="AH75" s="27">
        <f>IF($G75="s-curve",$E75+($F75-$E75)*$I$2/(1+EXP($I$3*(COUNT($I$9:AH$9)+$I$4))),TREND($E75:$F75,$E$9:$F$9,AH$9))</f>
        <v>0</v>
      </c>
      <c r="AI75" s="27">
        <f>IF($G75="s-curve",$E75+($F75-$E75)*$I$2/(1+EXP($I$3*(COUNT($I$9:AI$9)+$I$4))),TREND($E75:$F75,$E$9:$F$9,AI$9))</f>
        <v>0</v>
      </c>
      <c r="AJ75" s="27">
        <f>IF($G75="s-curve",$E75+($F75-$E75)*$I$2/(1+EXP($I$3*(COUNT($I$9:AJ$9)+$I$4))),TREND($E75:$F75,$E$9:$F$9,AJ$9))</f>
        <v>0</v>
      </c>
      <c r="AK75" s="27">
        <f>IF($G75="s-curve",$E75+($F75-$E75)*$I$2/(1+EXP($I$3*(COUNT($I$9:AK$9)+$I$4))),TREND($E75:$F75,$E$9:$F$9,AK$9))</f>
        <v>0</v>
      </c>
      <c r="AL75" s="27">
        <f>IF($G75="s-curve",$E75+($F75-$E75)*$I$2/(1+EXP($I$3*(COUNT($I$9:AL$9)+$I$4))),TREND($E75:$F75,$E$9:$F$9,AL$9))</f>
        <v>0</v>
      </c>
      <c r="AM75" s="27">
        <f>IF($G75="s-curve",$E75+($F75-$E75)*$I$2/(1+EXP($I$3*(COUNT($I$9:AM$9)+$I$4))),TREND($E75:$F75,$E$9:$F$9,AM$9))</f>
        <v>0</v>
      </c>
      <c r="AN75" s="27">
        <f>IF($G75="s-curve",$E75+($F75-$E75)*$I$2/(1+EXP($I$3*(COUNT($I$9:AN$9)+$I$4))),TREND($E75:$F75,$E$9:$F$9,AN$9))</f>
        <v>0</v>
      </c>
      <c r="AO75" s="27">
        <f>IF($G75="s-curve",$E75+($F75-$E75)*$I$2/(1+EXP($I$3*(COUNT($I$9:AO$9)+$I$4))),TREND($E75:$F75,$E$9:$F$9,AO$9))</f>
        <v>0</v>
      </c>
      <c r="AP75" s="27">
        <f>IF($G75="s-curve",$E75+($F75-$E75)*$I$2/(1+EXP($I$3*(COUNT($I$9:AP$9)+$I$4))),TREND($E75:$F75,$E$9:$F$9,AP$9))</f>
        <v>0</v>
      </c>
      <c r="AQ75" s="27">
        <f>IF($G75="s-curve",$E75+($F75-$E75)*$I$2/(1+EXP($I$3*(COUNT($I$9:AQ$9)+$I$4))),TREND($E75:$F75,$E$9:$F$9,AQ$9))</f>
        <v>0</v>
      </c>
      <c r="AR75" s="27">
        <f>IF($G75="s-curve",$E75+($F75-$E75)*$I$2/(1+EXP($I$3*(COUNT($I$9:AR$9)+$I$4))),TREND($E75:$F75,$E$9:$F$9,AR$9))</f>
        <v>0</v>
      </c>
      <c r="AS75" s="27">
        <f>IF($G75="s-curve",$E75+($F75-$E75)*$I$2/(1+EXP($I$3*(COUNT($I$9:AS$9)+$I$4))),TREND($E75:$F75,$E$9:$F$9,AS$9))</f>
        <v>0</v>
      </c>
      <c r="AT75" s="27">
        <f>IF($G75="s-curve",$E75+($F75-$E75)*$I$2/(1+EXP($I$3*(COUNT($I$9:AT$9)+$I$4))),TREND($E75:$F75,$E$9:$F$9,AT$9))</f>
        <v>0</v>
      </c>
      <c r="AU75" s="27">
        <f>IF($G75="s-curve",$E75+($F75-$E75)*$I$2/(1+EXP($I$3*(COUNT($I$9:AU$9)+$I$4))),TREND($E75:$F75,$E$9:$F$9,AU$9))</f>
        <v>0</v>
      </c>
      <c r="AV75" s="27">
        <f>IF($G75="s-curve",$E75+($F75-$E75)*$I$2/(1+EXP($I$3*(COUNT($I$9:AV$9)+$I$4))),TREND($E75:$F75,$E$9:$F$9,AV$9))</f>
        <v>0</v>
      </c>
      <c r="AW75" s="27">
        <f>IF($G75="s-curve",$E75+($F75-$E75)*$I$2/(1+EXP($I$3*(COUNT($I$9:AW$9)+$I$4))),TREND($E75:$F75,$E$9:$F$9,AW$9))</f>
        <v>0</v>
      </c>
      <c r="AX75" s="27">
        <f>IF($G75="s-curve",$E75+($F75-$E75)*$I$2/(1+EXP($I$3*(COUNT($I$9:AX$9)+$I$4))),TREND($E75:$F75,$E$9:$F$9,AX$9))</f>
        <v>0</v>
      </c>
      <c r="AY75" s="27">
        <f>IF($G75="s-curve",$E75+($F75-$E75)*$I$2/(1+EXP($I$3*(COUNT($I$9:AY$9)+$I$4))),TREND($E75:$F75,$E$9:$F$9,AY$9))</f>
        <v>0</v>
      </c>
      <c r="AZ75" s="27">
        <f>IF($G75="s-curve",$E75+($F75-$E75)*$I$2/(1+EXP($I$3*(COUNT($I$9:AZ$9)+$I$4))),TREND($E75:$F75,$E$9:$F$9,AZ$9))</f>
        <v>0</v>
      </c>
      <c r="BA75" s="27">
        <f>IF($G75="s-curve",$E75+($F75-$E75)*$I$2/(1+EXP($I$3*(COUNT($I$9:BA$9)+$I$4))),TREND($E75:$F75,$E$9:$F$9,BA$9))</f>
        <v>0</v>
      </c>
      <c r="BB75" s="27">
        <f>IF($G75="s-curve",$E75+($F75-$E75)*$I$2/(1+EXP($I$3*(COUNT($I$9:BB$9)+$I$4))),TREND($E75:$F75,$E$9:$F$9,BB$9))</f>
        <v>0</v>
      </c>
      <c r="BC75" s="27">
        <f>IF($G75="s-curve",$E75+($F75-$E75)*$I$2/(1+EXP($I$3*(COUNT($I$9:BC$9)+$I$4))),TREND($E75:$F75,$E$9:$F$9,BC$9))</f>
        <v>0</v>
      </c>
      <c r="BD75" s="27">
        <f>IF($G75="s-curve",$E75+($F75-$E75)*$I$2/(1+EXP($I$3*(COUNT($I$9:BD$9)+$I$4))),TREND($E75:$F75,$E$9:$F$9,BD$9))</f>
        <v>0</v>
      </c>
      <c r="BE75" s="27">
        <f>IF($G75="s-curve",$E75+($F75-$E75)*$I$2/(1+EXP($I$3*(COUNT($I$9:BE$9)+$I$4))),TREND($E75:$F75,$E$9:$F$9,BE$9))</f>
        <v>0</v>
      </c>
      <c r="BF75" s="27">
        <f>IF($G75="s-curve",$E75+($F75-$E75)*$I$2/(1+EXP($I$3*(COUNT($I$9:BF$9)+$I$4))),TREND($E75:$F75,$E$9:$F$9,BF$9))</f>
        <v>0</v>
      </c>
    </row>
    <row r="76" spans="1:58" x14ac:dyDescent="0.75">
      <c r="C76" t="s">
        <v>4</v>
      </c>
      <c r="D76" s="26">
        <f t="shared" si="14"/>
        <v>1</v>
      </c>
      <c r="E76" s="26">
        <v>1</v>
      </c>
      <c r="F76" s="26">
        <v>1</v>
      </c>
      <c r="G76" s="29" t="str">
        <f>IF(E76=F76,"n/a",IF(OR(C76="battery electric vehicle",C76="natural gas vehicle",C76="plugin hybrid vehicle"),"s-curve","linear"))</f>
        <v>n/a</v>
      </c>
      <c r="I76" s="27">
        <f t="shared" si="15"/>
        <v>1</v>
      </c>
      <c r="J76" s="27">
        <f t="shared" si="16"/>
        <v>1</v>
      </c>
      <c r="K76" s="27">
        <f t="shared" si="16"/>
        <v>1</v>
      </c>
      <c r="L76" s="27">
        <f t="shared" si="16"/>
        <v>1</v>
      </c>
      <c r="M76" s="27">
        <f>IF($G76="s-curve",$E76+($F76-$E76)*$I$2/(1+EXP($I$3*(COUNT($I$9:M$9)+$I$4))),TREND($E76:$F76,$E$9:$F$9,M$9))</f>
        <v>1</v>
      </c>
      <c r="N76" s="27">
        <f>IF($G76="s-curve",$E76+($F76-$E76)*$I$2/(1+EXP($I$3*(COUNT($I$9:N$9)+$I$4))),TREND($E76:$F76,$E$9:$F$9,N$9))</f>
        <v>1</v>
      </c>
      <c r="O76" s="27">
        <f>IF($G76="s-curve",$E76+($F76-$E76)*$I$2/(1+EXP($I$3*(COUNT($I$9:O$9)+$I$4))),TREND($E76:$F76,$E$9:$F$9,O$9))</f>
        <v>1</v>
      </c>
      <c r="P76" s="27">
        <f>IF($G76="s-curve",$E76+($F76-$E76)*$I$2/(1+EXP($I$3*(COUNT($I$9:P$9)+$I$4))),TREND($E76:$F76,$E$9:$F$9,P$9))</f>
        <v>1</v>
      </c>
      <c r="Q76" s="27">
        <f>IF($G76="s-curve",$E76+($F76-$E76)*$I$2/(1+EXP($I$3*(COUNT($I$9:Q$9)+$I$4))),TREND($E76:$F76,$E$9:$F$9,Q$9))</f>
        <v>1</v>
      </c>
      <c r="R76" s="27">
        <f>IF($G76="s-curve",$E76+($F76-$E76)*$I$2/(1+EXP($I$3*(COUNT($I$9:R$9)+$I$4))),TREND($E76:$F76,$E$9:$F$9,R$9))</f>
        <v>1</v>
      </c>
      <c r="S76" s="27">
        <f>IF($G76="s-curve",$E76+($F76-$E76)*$I$2/(1+EXP($I$3*(COUNT($I$9:S$9)+$I$4))),TREND($E76:$F76,$E$9:$F$9,S$9))</f>
        <v>1</v>
      </c>
      <c r="T76" s="27">
        <f>IF($G76="s-curve",$E76+($F76-$E76)*$I$2/(1+EXP($I$3*(COUNT($I$9:T$9)+$I$4))),TREND($E76:$F76,$E$9:$F$9,T$9))</f>
        <v>1</v>
      </c>
      <c r="U76" s="27">
        <f>IF($G76="s-curve",$E76+($F76-$E76)*$I$2/(1+EXP($I$3*(COUNT($I$9:U$9)+$I$4))),TREND($E76:$F76,$E$9:$F$9,U$9))</f>
        <v>1</v>
      </c>
      <c r="V76" s="27">
        <f>IF($G76="s-curve",$E76+($F76-$E76)*$I$2/(1+EXP($I$3*(COUNT($I$9:V$9)+$I$4))),TREND($E76:$F76,$E$9:$F$9,V$9))</f>
        <v>1</v>
      </c>
      <c r="W76" s="27">
        <f>IF($G76="s-curve",$E76+($F76-$E76)*$I$2/(1+EXP($I$3*(COUNT($I$9:W$9)+$I$4))),TREND($E76:$F76,$E$9:$F$9,W$9))</f>
        <v>1</v>
      </c>
      <c r="X76" s="27">
        <f>IF($G76="s-curve",$E76+($F76-$E76)*$I$2/(1+EXP($I$3*(COUNT($I$9:X$9)+$I$4))),TREND($E76:$F76,$E$9:$F$9,X$9))</f>
        <v>1</v>
      </c>
      <c r="Y76" s="27">
        <f>IF($G76="s-curve",$E76+($F76-$E76)*$I$2/(1+EXP($I$3*(COUNT($I$9:Y$9)+$I$4))),TREND($E76:$F76,$E$9:$F$9,Y$9))</f>
        <v>1</v>
      </c>
      <c r="Z76" s="27">
        <f>IF($G76="s-curve",$E76+($F76-$E76)*$I$2/(1+EXP($I$3*(COUNT($I$9:Z$9)+$I$4))),TREND($E76:$F76,$E$9:$F$9,Z$9))</f>
        <v>1</v>
      </c>
      <c r="AA76" s="27">
        <f>IF($G76="s-curve",$E76+($F76-$E76)*$I$2/(1+EXP($I$3*(COUNT($I$9:AA$9)+$I$4))),TREND($E76:$F76,$E$9:$F$9,AA$9))</f>
        <v>1</v>
      </c>
      <c r="AB76" s="27">
        <f>IF($G76="s-curve",$E76+($F76-$E76)*$I$2/(1+EXP($I$3*(COUNT($I$9:AB$9)+$I$4))),TREND($E76:$F76,$E$9:$F$9,AB$9))</f>
        <v>1</v>
      </c>
      <c r="AC76" s="27">
        <f>IF($G76="s-curve",$E76+($F76-$E76)*$I$2/(1+EXP($I$3*(COUNT($I$9:AC$9)+$I$4))),TREND($E76:$F76,$E$9:$F$9,AC$9))</f>
        <v>1</v>
      </c>
      <c r="AD76" s="27">
        <f>IF($G76="s-curve",$E76+($F76-$E76)*$I$2/(1+EXP($I$3*(COUNT($I$9:AD$9)+$I$4))),TREND($E76:$F76,$E$9:$F$9,AD$9))</f>
        <v>1</v>
      </c>
      <c r="AE76" s="27">
        <f>IF($G76="s-curve",$E76+($F76-$E76)*$I$2/(1+EXP($I$3*(COUNT($I$9:AE$9)+$I$4))),TREND($E76:$F76,$E$9:$F$9,AE$9))</f>
        <v>1</v>
      </c>
      <c r="AF76" s="27">
        <f>IF($G76="s-curve",$E76+($F76-$E76)*$I$2/(1+EXP($I$3*(COUNT($I$9:AF$9)+$I$4))),TREND($E76:$F76,$E$9:$F$9,AF$9))</f>
        <v>1</v>
      </c>
      <c r="AG76" s="27">
        <f>IF($G76="s-curve",$E76+($F76-$E76)*$I$2/(1+EXP($I$3*(COUNT($I$9:AG$9)+$I$4))),TREND($E76:$F76,$E$9:$F$9,AG$9))</f>
        <v>1</v>
      </c>
      <c r="AH76" s="27">
        <f>IF($G76="s-curve",$E76+($F76-$E76)*$I$2/(1+EXP($I$3*(COUNT($I$9:AH$9)+$I$4))),TREND($E76:$F76,$E$9:$F$9,AH$9))</f>
        <v>1</v>
      </c>
      <c r="AI76" s="27">
        <f>IF($G76="s-curve",$E76+($F76-$E76)*$I$2/(1+EXP($I$3*(COUNT($I$9:AI$9)+$I$4))),TREND($E76:$F76,$E$9:$F$9,AI$9))</f>
        <v>1</v>
      </c>
      <c r="AJ76" s="27">
        <f>IF($G76="s-curve",$E76+($F76-$E76)*$I$2/(1+EXP($I$3*(COUNT($I$9:AJ$9)+$I$4))),TREND($E76:$F76,$E$9:$F$9,AJ$9))</f>
        <v>1</v>
      </c>
      <c r="AK76" s="27">
        <f>IF($G76="s-curve",$E76+($F76-$E76)*$I$2/(1+EXP($I$3*(COUNT($I$9:AK$9)+$I$4))),TREND($E76:$F76,$E$9:$F$9,AK$9))</f>
        <v>1</v>
      </c>
      <c r="AL76" s="27">
        <f>IF($G76="s-curve",$E76+($F76-$E76)*$I$2/(1+EXP($I$3*(COUNT($I$9:AL$9)+$I$4))),TREND($E76:$F76,$E$9:$F$9,AL$9))</f>
        <v>1</v>
      </c>
      <c r="AM76" s="27">
        <f>IF($G76="s-curve",$E76+($F76-$E76)*$I$2/(1+EXP($I$3*(COUNT($I$9:AM$9)+$I$4))),TREND($E76:$F76,$E$9:$F$9,AM$9))</f>
        <v>1</v>
      </c>
      <c r="AN76" s="27">
        <f>IF($G76="s-curve",$E76+($F76-$E76)*$I$2/(1+EXP($I$3*(COUNT($I$9:AN$9)+$I$4))),TREND($E76:$F76,$E$9:$F$9,AN$9))</f>
        <v>1</v>
      </c>
      <c r="AO76" s="27">
        <f>IF($G76="s-curve",$E76+($F76-$E76)*$I$2/(1+EXP($I$3*(COUNT($I$9:AO$9)+$I$4))),TREND($E76:$F76,$E$9:$F$9,AO$9))</f>
        <v>1</v>
      </c>
      <c r="AP76" s="27">
        <f>IF($G76="s-curve",$E76+($F76-$E76)*$I$2/(1+EXP($I$3*(COUNT($I$9:AP$9)+$I$4))),TREND($E76:$F76,$E$9:$F$9,AP$9))</f>
        <v>1</v>
      </c>
      <c r="AQ76" s="27">
        <f>IF($G76="s-curve",$E76+($F76-$E76)*$I$2/(1+EXP($I$3*(COUNT($I$9:AQ$9)+$I$4))),TREND($E76:$F76,$E$9:$F$9,AQ$9))</f>
        <v>1</v>
      </c>
      <c r="AR76" s="27">
        <f>IF($G76="s-curve",$E76+($F76-$E76)*$I$2/(1+EXP($I$3*(COUNT($I$9:AR$9)+$I$4))),TREND($E76:$F76,$E$9:$F$9,AR$9))</f>
        <v>1</v>
      </c>
      <c r="AS76" s="27">
        <f>IF($G76="s-curve",$E76+($F76-$E76)*$I$2/(1+EXP($I$3*(COUNT($I$9:AS$9)+$I$4))),TREND($E76:$F76,$E$9:$F$9,AS$9))</f>
        <v>1</v>
      </c>
      <c r="AT76" s="27">
        <f>IF($G76="s-curve",$E76+($F76-$E76)*$I$2/(1+EXP($I$3*(COUNT($I$9:AT$9)+$I$4))),TREND($E76:$F76,$E$9:$F$9,AT$9))</f>
        <v>1</v>
      </c>
      <c r="AU76" s="27">
        <f>IF($G76="s-curve",$E76+($F76-$E76)*$I$2/(1+EXP($I$3*(COUNT($I$9:AU$9)+$I$4))),TREND($E76:$F76,$E$9:$F$9,AU$9))</f>
        <v>1</v>
      </c>
      <c r="AV76" s="27">
        <f>IF($G76="s-curve",$E76+($F76-$E76)*$I$2/(1+EXP($I$3*(COUNT($I$9:AV$9)+$I$4))),TREND($E76:$F76,$E$9:$F$9,AV$9))</f>
        <v>1</v>
      </c>
      <c r="AW76" s="27">
        <f>IF($G76="s-curve",$E76+($F76-$E76)*$I$2/(1+EXP($I$3*(COUNT($I$9:AW$9)+$I$4))),TREND($E76:$F76,$E$9:$F$9,AW$9))</f>
        <v>1</v>
      </c>
      <c r="AX76" s="27">
        <f>IF($G76="s-curve",$E76+($F76-$E76)*$I$2/(1+EXP($I$3*(COUNT($I$9:AX$9)+$I$4))),TREND($E76:$F76,$E$9:$F$9,AX$9))</f>
        <v>1</v>
      </c>
      <c r="AY76" s="27">
        <f>IF($G76="s-curve",$E76+($F76-$E76)*$I$2/(1+EXP($I$3*(COUNT($I$9:AY$9)+$I$4))),TREND($E76:$F76,$E$9:$F$9,AY$9))</f>
        <v>1</v>
      </c>
      <c r="AZ76" s="27">
        <f>IF($G76="s-curve",$E76+($F76-$E76)*$I$2/(1+EXP($I$3*(COUNT($I$9:AZ$9)+$I$4))),TREND($E76:$F76,$E$9:$F$9,AZ$9))</f>
        <v>1</v>
      </c>
      <c r="BA76" s="27">
        <f>IF($G76="s-curve",$E76+($F76-$E76)*$I$2/(1+EXP($I$3*(COUNT($I$9:BA$9)+$I$4))),TREND($E76:$F76,$E$9:$F$9,BA$9))</f>
        <v>1</v>
      </c>
      <c r="BB76" s="27">
        <f>IF($G76="s-curve",$E76+($F76-$E76)*$I$2/(1+EXP($I$3*(COUNT($I$9:BB$9)+$I$4))),TREND($E76:$F76,$E$9:$F$9,BB$9))</f>
        <v>1</v>
      </c>
      <c r="BC76" s="27">
        <f>IF($G76="s-curve",$E76+($F76-$E76)*$I$2/(1+EXP($I$3*(COUNT($I$9:BC$9)+$I$4))),TREND($E76:$F76,$E$9:$F$9,BC$9))</f>
        <v>1</v>
      </c>
      <c r="BD76" s="27">
        <f>IF($G76="s-curve",$E76+($F76-$E76)*$I$2/(1+EXP($I$3*(COUNT($I$9:BD$9)+$I$4))),TREND($E76:$F76,$E$9:$F$9,BD$9))</f>
        <v>1</v>
      </c>
      <c r="BE76" s="27">
        <f>IF($G76="s-curve",$E76+($F76-$E76)*$I$2/(1+EXP($I$3*(COUNT($I$9:BE$9)+$I$4))),TREND($E76:$F76,$E$9:$F$9,BE$9))</f>
        <v>1</v>
      </c>
      <c r="BF76" s="27">
        <f>IF($G76="s-curve",$E76+($F76-$E76)*$I$2/(1+EXP($I$3*(COUNT($I$9:BF$9)+$I$4))),TREND($E76:$F76,$E$9:$F$9,BF$9))</f>
        <v>1</v>
      </c>
    </row>
    <row r="77" spans="1:58" x14ac:dyDescent="0.75">
      <c r="C77" t="s">
        <v>5</v>
      </c>
      <c r="D77" s="26">
        <f t="shared" si="14"/>
        <v>0</v>
      </c>
      <c r="E77" s="26">
        <v>0</v>
      </c>
      <c r="F77" s="26">
        <v>0</v>
      </c>
      <c r="G77" s="29" t="str">
        <f>IF(E77=F77,"n/a",IF(OR(C77="battery electric vehicle",C77="natural gas vehicle",C77="plugin hybrid vehicle"),"s-curve","linear"))</f>
        <v>n/a</v>
      </c>
      <c r="I77" s="27">
        <f t="shared" si="15"/>
        <v>0</v>
      </c>
      <c r="J77" s="27">
        <f t="shared" si="16"/>
        <v>0</v>
      </c>
      <c r="K77" s="27">
        <f t="shared" si="16"/>
        <v>0</v>
      </c>
      <c r="L77" s="27">
        <f t="shared" si="16"/>
        <v>0</v>
      </c>
      <c r="M77" s="27">
        <f>IF($G77="s-curve",$E77+($F77-$E77)*$I$2/(1+EXP($I$3*(COUNT($I$9:M$9)+$I$4))),TREND($E77:$F77,$E$9:$F$9,M$9))</f>
        <v>0</v>
      </c>
      <c r="N77" s="27">
        <f>IF($G77="s-curve",$E77+($F77-$E77)*$I$2/(1+EXP($I$3*(COUNT($I$9:N$9)+$I$4))),TREND($E77:$F77,$E$9:$F$9,N$9))</f>
        <v>0</v>
      </c>
      <c r="O77" s="27">
        <f>IF($G77="s-curve",$E77+($F77-$E77)*$I$2/(1+EXP($I$3*(COUNT($I$9:O$9)+$I$4))),TREND($E77:$F77,$E$9:$F$9,O$9))</f>
        <v>0</v>
      </c>
      <c r="P77" s="27">
        <f>IF($G77="s-curve",$E77+($F77-$E77)*$I$2/(1+EXP($I$3*(COUNT($I$9:P$9)+$I$4))),TREND($E77:$F77,$E$9:$F$9,P$9))</f>
        <v>0</v>
      </c>
      <c r="Q77" s="27">
        <f>IF($G77="s-curve",$E77+($F77-$E77)*$I$2/(1+EXP($I$3*(COUNT($I$9:Q$9)+$I$4))),TREND($E77:$F77,$E$9:$F$9,Q$9))</f>
        <v>0</v>
      </c>
      <c r="R77" s="27">
        <f>IF($G77="s-curve",$E77+($F77-$E77)*$I$2/(1+EXP($I$3*(COUNT($I$9:R$9)+$I$4))),TREND($E77:$F77,$E$9:$F$9,R$9))</f>
        <v>0</v>
      </c>
      <c r="S77" s="27">
        <f>IF($G77="s-curve",$E77+($F77-$E77)*$I$2/(1+EXP($I$3*(COUNT($I$9:S$9)+$I$4))),TREND($E77:$F77,$E$9:$F$9,S$9))</f>
        <v>0</v>
      </c>
      <c r="T77" s="27">
        <f>IF($G77="s-curve",$E77+($F77-$E77)*$I$2/(1+EXP($I$3*(COUNT($I$9:T$9)+$I$4))),TREND($E77:$F77,$E$9:$F$9,T$9))</f>
        <v>0</v>
      </c>
      <c r="U77" s="27">
        <f>IF($G77="s-curve",$E77+($F77-$E77)*$I$2/(1+EXP($I$3*(COUNT($I$9:U$9)+$I$4))),TREND($E77:$F77,$E$9:$F$9,U$9))</f>
        <v>0</v>
      </c>
      <c r="V77" s="27">
        <f>IF($G77="s-curve",$E77+($F77-$E77)*$I$2/(1+EXP($I$3*(COUNT($I$9:V$9)+$I$4))),TREND($E77:$F77,$E$9:$F$9,V$9))</f>
        <v>0</v>
      </c>
      <c r="W77" s="27">
        <f>IF($G77="s-curve",$E77+($F77-$E77)*$I$2/(1+EXP($I$3*(COUNT($I$9:W$9)+$I$4))),TREND($E77:$F77,$E$9:$F$9,W$9))</f>
        <v>0</v>
      </c>
      <c r="X77" s="27">
        <f>IF($G77="s-curve",$E77+($F77-$E77)*$I$2/(1+EXP($I$3*(COUNT($I$9:X$9)+$I$4))),TREND($E77:$F77,$E$9:$F$9,X$9))</f>
        <v>0</v>
      </c>
      <c r="Y77" s="27">
        <f>IF($G77="s-curve",$E77+($F77-$E77)*$I$2/(1+EXP($I$3*(COUNT($I$9:Y$9)+$I$4))),TREND($E77:$F77,$E$9:$F$9,Y$9))</f>
        <v>0</v>
      </c>
      <c r="Z77" s="27">
        <f>IF($G77="s-curve",$E77+($F77-$E77)*$I$2/(1+EXP($I$3*(COUNT($I$9:Z$9)+$I$4))),TREND($E77:$F77,$E$9:$F$9,Z$9))</f>
        <v>0</v>
      </c>
      <c r="AA77" s="27">
        <f>IF($G77="s-curve",$E77+($F77-$E77)*$I$2/(1+EXP($I$3*(COUNT($I$9:AA$9)+$I$4))),TREND($E77:$F77,$E$9:$F$9,AA$9))</f>
        <v>0</v>
      </c>
      <c r="AB77" s="27">
        <f>IF($G77="s-curve",$E77+($F77-$E77)*$I$2/(1+EXP($I$3*(COUNT($I$9:AB$9)+$I$4))),TREND($E77:$F77,$E$9:$F$9,AB$9))</f>
        <v>0</v>
      </c>
      <c r="AC77" s="27">
        <f>IF($G77="s-curve",$E77+($F77-$E77)*$I$2/(1+EXP($I$3*(COUNT($I$9:AC$9)+$I$4))),TREND($E77:$F77,$E$9:$F$9,AC$9))</f>
        <v>0</v>
      </c>
      <c r="AD77" s="27">
        <f>IF($G77="s-curve",$E77+($F77-$E77)*$I$2/(1+EXP($I$3*(COUNT($I$9:AD$9)+$I$4))),TREND($E77:$F77,$E$9:$F$9,AD$9))</f>
        <v>0</v>
      </c>
      <c r="AE77" s="27">
        <f>IF($G77="s-curve",$E77+($F77-$E77)*$I$2/(1+EXP($I$3*(COUNT($I$9:AE$9)+$I$4))),TREND($E77:$F77,$E$9:$F$9,AE$9))</f>
        <v>0</v>
      </c>
      <c r="AF77" s="27">
        <f>IF($G77="s-curve",$E77+($F77-$E77)*$I$2/(1+EXP($I$3*(COUNT($I$9:AF$9)+$I$4))),TREND($E77:$F77,$E$9:$F$9,AF$9))</f>
        <v>0</v>
      </c>
      <c r="AG77" s="27">
        <f>IF($G77="s-curve",$E77+($F77-$E77)*$I$2/(1+EXP($I$3*(COUNT($I$9:AG$9)+$I$4))),TREND($E77:$F77,$E$9:$F$9,AG$9))</f>
        <v>0</v>
      </c>
      <c r="AH77" s="27">
        <f>IF($G77="s-curve",$E77+($F77-$E77)*$I$2/(1+EXP($I$3*(COUNT($I$9:AH$9)+$I$4))),TREND($E77:$F77,$E$9:$F$9,AH$9))</f>
        <v>0</v>
      </c>
      <c r="AI77" s="27">
        <f>IF($G77="s-curve",$E77+($F77-$E77)*$I$2/(1+EXP($I$3*(COUNT($I$9:AI$9)+$I$4))),TREND($E77:$F77,$E$9:$F$9,AI$9))</f>
        <v>0</v>
      </c>
      <c r="AJ77" s="27">
        <f>IF($G77="s-curve",$E77+($F77-$E77)*$I$2/(1+EXP($I$3*(COUNT($I$9:AJ$9)+$I$4))),TREND($E77:$F77,$E$9:$F$9,AJ$9))</f>
        <v>0</v>
      </c>
      <c r="AK77" s="27">
        <f>IF($G77="s-curve",$E77+($F77-$E77)*$I$2/(1+EXP($I$3*(COUNT($I$9:AK$9)+$I$4))),TREND($E77:$F77,$E$9:$F$9,AK$9))</f>
        <v>0</v>
      </c>
      <c r="AL77" s="27">
        <f>IF($G77="s-curve",$E77+($F77-$E77)*$I$2/(1+EXP($I$3*(COUNT($I$9:AL$9)+$I$4))),TREND($E77:$F77,$E$9:$F$9,AL$9))</f>
        <v>0</v>
      </c>
      <c r="AM77" s="27">
        <f>IF($G77="s-curve",$E77+($F77-$E77)*$I$2/(1+EXP($I$3*(COUNT($I$9:AM$9)+$I$4))),TREND($E77:$F77,$E$9:$F$9,AM$9))</f>
        <v>0</v>
      </c>
      <c r="AN77" s="27">
        <f>IF($G77="s-curve",$E77+($F77-$E77)*$I$2/(1+EXP($I$3*(COUNT($I$9:AN$9)+$I$4))),TREND($E77:$F77,$E$9:$F$9,AN$9))</f>
        <v>0</v>
      </c>
      <c r="AO77" s="27">
        <f>IF($G77="s-curve",$E77+($F77-$E77)*$I$2/(1+EXP($I$3*(COUNT($I$9:AO$9)+$I$4))),TREND($E77:$F77,$E$9:$F$9,AO$9))</f>
        <v>0</v>
      </c>
      <c r="AP77" s="27">
        <f>IF($G77="s-curve",$E77+($F77-$E77)*$I$2/(1+EXP($I$3*(COUNT($I$9:AP$9)+$I$4))),TREND($E77:$F77,$E$9:$F$9,AP$9))</f>
        <v>0</v>
      </c>
      <c r="AQ77" s="27">
        <f>IF($G77="s-curve",$E77+($F77-$E77)*$I$2/(1+EXP($I$3*(COUNT($I$9:AQ$9)+$I$4))),TREND($E77:$F77,$E$9:$F$9,AQ$9))</f>
        <v>0</v>
      </c>
      <c r="AR77" s="27">
        <f>IF($G77="s-curve",$E77+($F77-$E77)*$I$2/(1+EXP($I$3*(COUNT($I$9:AR$9)+$I$4))),TREND($E77:$F77,$E$9:$F$9,AR$9))</f>
        <v>0</v>
      </c>
      <c r="AS77" s="27">
        <f>IF($G77="s-curve",$E77+($F77-$E77)*$I$2/(1+EXP($I$3*(COUNT($I$9:AS$9)+$I$4))),TREND($E77:$F77,$E$9:$F$9,AS$9))</f>
        <v>0</v>
      </c>
      <c r="AT77" s="27">
        <f>IF($G77="s-curve",$E77+($F77-$E77)*$I$2/(1+EXP($I$3*(COUNT($I$9:AT$9)+$I$4))),TREND($E77:$F77,$E$9:$F$9,AT$9))</f>
        <v>0</v>
      </c>
      <c r="AU77" s="27">
        <f>IF($G77="s-curve",$E77+($F77-$E77)*$I$2/(1+EXP($I$3*(COUNT($I$9:AU$9)+$I$4))),TREND($E77:$F77,$E$9:$F$9,AU$9))</f>
        <v>0</v>
      </c>
      <c r="AV77" s="27">
        <f>IF($G77="s-curve",$E77+($F77-$E77)*$I$2/(1+EXP($I$3*(COUNT($I$9:AV$9)+$I$4))),TREND($E77:$F77,$E$9:$F$9,AV$9))</f>
        <v>0</v>
      </c>
      <c r="AW77" s="27">
        <f>IF($G77="s-curve",$E77+($F77-$E77)*$I$2/(1+EXP($I$3*(COUNT($I$9:AW$9)+$I$4))),TREND($E77:$F77,$E$9:$F$9,AW$9))</f>
        <v>0</v>
      </c>
      <c r="AX77" s="27">
        <f>IF($G77="s-curve",$E77+($F77-$E77)*$I$2/(1+EXP($I$3*(COUNT($I$9:AX$9)+$I$4))),TREND($E77:$F77,$E$9:$F$9,AX$9))</f>
        <v>0</v>
      </c>
      <c r="AY77" s="27">
        <f>IF($G77="s-curve",$E77+($F77-$E77)*$I$2/(1+EXP($I$3*(COUNT($I$9:AY$9)+$I$4))),TREND($E77:$F77,$E$9:$F$9,AY$9))</f>
        <v>0</v>
      </c>
      <c r="AZ77" s="27">
        <f>IF($G77="s-curve",$E77+($F77-$E77)*$I$2/(1+EXP($I$3*(COUNT($I$9:AZ$9)+$I$4))),TREND($E77:$F77,$E$9:$F$9,AZ$9))</f>
        <v>0</v>
      </c>
      <c r="BA77" s="27">
        <f>IF($G77="s-curve",$E77+($F77-$E77)*$I$2/(1+EXP($I$3*(COUNT($I$9:BA$9)+$I$4))),TREND($E77:$F77,$E$9:$F$9,BA$9))</f>
        <v>0</v>
      </c>
      <c r="BB77" s="27">
        <f>IF($G77="s-curve",$E77+($F77-$E77)*$I$2/(1+EXP($I$3*(COUNT($I$9:BB$9)+$I$4))),TREND($E77:$F77,$E$9:$F$9,BB$9))</f>
        <v>0</v>
      </c>
      <c r="BC77" s="27">
        <f>IF($G77="s-curve",$E77+($F77-$E77)*$I$2/(1+EXP($I$3*(COUNT($I$9:BC$9)+$I$4))),TREND($E77:$F77,$E$9:$F$9,BC$9))</f>
        <v>0</v>
      </c>
      <c r="BD77" s="27">
        <f>IF($G77="s-curve",$E77+($F77-$E77)*$I$2/(1+EXP($I$3*(COUNT($I$9:BD$9)+$I$4))),TREND($E77:$F77,$E$9:$F$9,BD$9))</f>
        <v>0</v>
      </c>
      <c r="BE77" s="27">
        <f>IF($G77="s-curve",$E77+($F77-$E77)*$I$2/(1+EXP($I$3*(COUNT($I$9:BE$9)+$I$4))),TREND($E77:$F77,$E$9:$F$9,BE$9))</f>
        <v>0</v>
      </c>
      <c r="BF77" s="27">
        <f>IF($G77="s-curve",$E77+($F77-$E77)*$I$2/(1+EXP($I$3*(COUNT($I$9:BF$9)+$I$4))),TREND($E77:$F77,$E$9:$F$9,BF$9))</f>
        <v>0</v>
      </c>
    </row>
    <row r="78" spans="1:58" x14ac:dyDescent="0.75">
      <c r="C78" t="s">
        <v>31</v>
      </c>
      <c r="D78" s="26">
        <f t="shared" si="14"/>
        <v>0</v>
      </c>
      <c r="E78" s="26">
        <v>0</v>
      </c>
      <c r="F78" s="26">
        <v>0</v>
      </c>
      <c r="G78" s="29" t="str">
        <f>IF(E78=F78,"n/a",IF(OR(C78="battery electric vehicle",C78="natural gas vehicle",C78="plugin hybrid vehicle",C78="hydrogen vehicle"),"s-curve","linear"))</f>
        <v>n/a</v>
      </c>
      <c r="I78" s="27">
        <f t="shared" si="15"/>
        <v>0</v>
      </c>
      <c r="J78" s="27">
        <f t="shared" si="16"/>
        <v>0</v>
      </c>
      <c r="K78" s="27">
        <f t="shared" si="16"/>
        <v>0</v>
      </c>
      <c r="L78" s="27">
        <f t="shared" si="16"/>
        <v>0</v>
      </c>
      <c r="M78" s="27">
        <f>IF($G78="s-curve",$E78+($F78-$E78)*$I$2/(1+EXP($I$3*(COUNT($I$9:M$9)+$I$4))),TREND($E78:$F78,$E$9:$F$9,M$9))</f>
        <v>0</v>
      </c>
      <c r="N78" s="27">
        <f>IF($G78="s-curve",$E78+($F78-$E78)*$I$2/(1+EXP($I$3*(COUNT($I$9:N$9)+$I$4))),TREND($E78:$F78,$E$9:$F$9,N$9))</f>
        <v>0</v>
      </c>
      <c r="O78" s="27">
        <f>IF($G78="s-curve",$E78+($F78-$E78)*$I$2/(1+EXP($I$3*(COUNT($I$9:O$9)+$I$4))),TREND($E78:$F78,$E$9:$F$9,O$9))</f>
        <v>0</v>
      </c>
      <c r="P78" s="27">
        <f>IF($G78="s-curve",$E78+($F78-$E78)*$I$2/(1+EXP($I$3*(COUNT($I$9:P$9)+$I$4))),TREND($E78:$F78,$E$9:$F$9,P$9))</f>
        <v>0</v>
      </c>
      <c r="Q78" s="27">
        <f>IF($G78="s-curve",$E78+($F78-$E78)*$I$2/(1+EXP($I$3*(COUNT($I$9:Q$9)+$I$4))),TREND($E78:$F78,$E$9:$F$9,Q$9))</f>
        <v>0</v>
      </c>
      <c r="R78" s="27">
        <f>IF($G78="s-curve",$E78+($F78-$E78)*$I$2/(1+EXP($I$3*(COUNT($I$9:R$9)+$I$4))),TREND($E78:$F78,$E$9:$F$9,R$9))</f>
        <v>0</v>
      </c>
      <c r="S78" s="27">
        <f>IF($G78="s-curve",$E78+($F78-$E78)*$I$2/(1+EXP($I$3*(COUNT($I$9:S$9)+$I$4))),TREND($E78:$F78,$E$9:$F$9,S$9))</f>
        <v>0</v>
      </c>
      <c r="T78" s="27">
        <f>IF($G78="s-curve",$E78+($F78-$E78)*$I$2/(1+EXP($I$3*(COUNT($I$9:T$9)+$I$4))),TREND($E78:$F78,$E$9:$F$9,T$9))</f>
        <v>0</v>
      </c>
      <c r="U78" s="27">
        <f>IF($G78="s-curve",$E78+($F78-$E78)*$I$2/(1+EXP($I$3*(COUNT($I$9:U$9)+$I$4))),TREND($E78:$F78,$E$9:$F$9,U$9))</f>
        <v>0</v>
      </c>
      <c r="V78" s="27">
        <f>IF($G78="s-curve",$E78+($F78-$E78)*$I$2/(1+EXP($I$3*(COUNT($I$9:V$9)+$I$4))),TREND($E78:$F78,$E$9:$F$9,V$9))</f>
        <v>0</v>
      </c>
      <c r="W78" s="27">
        <f>IF($G78="s-curve",$E78+($F78-$E78)*$I$2/(1+EXP($I$3*(COUNT($I$9:W$9)+$I$4))),TREND($E78:$F78,$E$9:$F$9,W$9))</f>
        <v>0</v>
      </c>
      <c r="X78" s="27">
        <f>IF($G78="s-curve",$E78+($F78-$E78)*$I$2/(1+EXP($I$3*(COUNT($I$9:X$9)+$I$4))),TREND($E78:$F78,$E$9:$F$9,X$9))</f>
        <v>0</v>
      </c>
      <c r="Y78" s="27">
        <f>IF($G78="s-curve",$E78+($F78-$E78)*$I$2/(1+EXP($I$3*(COUNT($I$9:Y$9)+$I$4))),TREND($E78:$F78,$E$9:$F$9,Y$9))</f>
        <v>0</v>
      </c>
      <c r="Z78" s="27">
        <f>IF($G78="s-curve",$E78+($F78-$E78)*$I$2/(1+EXP($I$3*(COUNT($I$9:Z$9)+$I$4))),TREND($E78:$F78,$E$9:$F$9,Z$9))</f>
        <v>0</v>
      </c>
      <c r="AA78" s="27">
        <f>IF($G78="s-curve",$E78+($F78-$E78)*$I$2/(1+EXP($I$3*(COUNT($I$9:AA$9)+$I$4))),TREND($E78:$F78,$E$9:$F$9,AA$9))</f>
        <v>0</v>
      </c>
      <c r="AB78" s="27">
        <f>IF($G78="s-curve",$E78+($F78-$E78)*$I$2/(1+EXP($I$3*(COUNT($I$9:AB$9)+$I$4))),TREND($E78:$F78,$E$9:$F$9,AB$9))</f>
        <v>0</v>
      </c>
      <c r="AC78" s="27">
        <f>IF($G78="s-curve",$E78+($F78-$E78)*$I$2/(1+EXP($I$3*(COUNT($I$9:AC$9)+$I$4))),TREND($E78:$F78,$E$9:$F$9,AC$9))</f>
        <v>0</v>
      </c>
      <c r="AD78" s="27">
        <f>IF($G78="s-curve",$E78+($F78-$E78)*$I$2/(1+EXP($I$3*(COUNT($I$9:AD$9)+$I$4))),TREND($E78:$F78,$E$9:$F$9,AD$9))</f>
        <v>0</v>
      </c>
      <c r="AE78" s="27">
        <f>IF($G78="s-curve",$E78+($F78-$E78)*$I$2/(1+EXP($I$3*(COUNT($I$9:AE$9)+$I$4))),TREND($E78:$F78,$E$9:$F$9,AE$9))</f>
        <v>0</v>
      </c>
      <c r="AF78" s="27">
        <f>IF($G78="s-curve",$E78+($F78-$E78)*$I$2/(1+EXP($I$3*(COUNT($I$9:AF$9)+$I$4))),TREND($E78:$F78,$E$9:$F$9,AF$9))</f>
        <v>0</v>
      </c>
      <c r="AG78" s="27">
        <f>IF($G78="s-curve",$E78+($F78-$E78)*$I$2/(1+EXP($I$3*(COUNT($I$9:AG$9)+$I$4))),TREND($E78:$F78,$E$9:$F$9,AG$9))</f>
        <v>0</v>
      </c>
      <c r="AH78" s="27">
        <f>IF($G78="s-curve",$E78+($F78-$E78)*$I$2/(1+EXP($I$3*(COUNT($I$9:AH$9)+$I$4))),TREND($E78:$F78,$E$9:$F$9,AH$9))</f>
        <v>0</v>
      </c>
      <c r="AI78" s="27">
        <f>IF($G78="s-curve",$E78+($F78-$E78)*$I$2/(1+EXP($I$3*(COUNT($I$9:AI$9)+$I$4))),TREND($E78:$F78,$E$9:$F$9,AI$9))</f>
        <v>0</v>
      </c>
      <c r="AJ78" s="27">
        <f>IF($G78="s-curve",$E78+($F78-$E78)*$I$2/(1+EXP($I$3*(COUNT($I$9:AJ$9)+$I$4))),TREND($E78:$F78,$E$9:$F$9,AJ$9))</f>
        <v>0</v>
      </c>
      <c r="AK78" s="27">
        <f>IF($G78="s-curve",$E78+($F78-$E78)*$I$2/(1+EXP($I$3*(COUNT($I$9:AK$9)+$I$4))),TREND($E78:$F78,$E$9:$F$9,AK$9))</f>
        <v>0</v>
      </c>
      <c r="AL78" s="27">
        <f>IF($G78="s-curve",$E78+($F78-$E78)*$I$2/(1+EXP($I$3*(COUNT($I$9:AL$9)+$I$4))),TREND($E78:$F78,$E$9:$F$9,AL$9))</f>
        <v>0</v>
      </c>
      <c r="AM78" s="27">
        <f>IF($G78="s-curve",$E78+($F78-$E78)*$I$2/(1+EXP($I$3*(COUNT($I$9:AM$9)+$I$4))),TREND($E78:$F78,$E$9:$F$9,AM$9))</f>
        <v>0</v>
      </c>
      <c r="AN78" s="27">
        <f>IF($G78="s-curve",$E78+($F78-$E78)*$I$2/(1+EXP($I$3*(COUNT($I$9:AN$9)+$I$4))),TREND($E78:$F78,$E$9:$F$9,AN$9))</f>
        <v>0</v>
      </c>
      <c r="AO78" s="27">
        <f>IF($G78="s-curve",$E78+($F78-$E78)*$I$2/(1+EXP($I$3*(COUNT($I$9:AO$9)+$I$4))),TREND($E78:$F78,$E$9:$F$9,AO$9))</f>
        <v>0</v>
      </c>
      <c r="AP78" s="27">
        <f>IF($G78="s-curve",$E78+($F78-$E78)*$I$2/(1+EXP($I$3*(COUNT($I$9:AP$9)+$I$4))),TREND($E78:$F78,$E$9:$F$9,AP$9))</f>
        <v>0</v>
      </c>
      <c r="AQ78" s="27">
        <f>IF($G78="s-curve",$E78+($F78-$E78)*$I$2/(1+EXP($I$3*(COUNT($I$9:AQ$9)+$I$4))),TREND($E78:$F78,$E$9:$F$9,AQ$9))</f>
        <v>0</v>
      </c>
      <c r="AR78" s="27">
        <f>IF($G78="s-curve",$E78+($F78-$E78)*$I$2/(1+EXP($I$3*(COUNT($I$9:AR$9)+$I$4))),TREND($E78:$F78,$E$9:$F$9,AR$9))</f>
        <v>0</v>
      </c>
      <c r="AS78" s="27">
        <f>IF($G78="s-curve",$E78+($F78-$E78)*$I$2/(1+EXP($I$3*(COUNT($I$9:AS$9)+$I$4))),TREND($E78:$F78,$E$9:$F$9,AS$9))</f>
        <v>0</v>
      </c>
      <c r="AT78" s="27">
        <f>IF($G78="s-curve",$E78+($F78-$E78)*$I$2/(1+EXP($I$3*(COUNT($I$9:AT$9)+$I$4))),TREND($E78:$F78,$E$9:$F$9,AT$9))</f>
        <v>0</v>
      </c>
      <c r="AU78" s="27">
        <f>IF($G78="s-curve",$E78+($F78-$E78)*$I$2/(1+EXP($I$3*(COUNT($I$9:AU$9)+$I$4))),TREND($E78:$F78,$E$9:$F$9,AU$9))</f>
        <v>0</v>
      </c>
      <c r="AV78" s="27">
        <f>IF($G78="s-curve",$E78+($F78-$E78)*$I$2/(1+EXP($I$3*(COUNT($I$9:AV$9)+$I$4))),TREND($E78:$F78,$E$9:$F$9,AV$9))</f>
        <v>0</v>
      </c>
      <c r="AW78" s="27">
        <f>IF($G78="s-curve",$E78+($F78-$E78)*$I$2/(1+EXP($I$3*(COUNT($I$9:AW$9)+$I$4))),TREND($E78:$F78,$E$9:$F$9,AW$9))</f>
        <v>0</v>
      </c>
      <c r="AX78" s="27">
        <f>IF($G78="s-curve",$E78+($F78-$E78)*$I$2/(1+EXP($I$3*(COUNT($I$9:AX$9)+$I$4))),TREND($E78:$F78,$E$9:$F$9,AX$9))</f>
        <v>0</v>
      </c>
      <c r="AY78" s="27">
        <f>IF($G78="s-curve",$E78+($F78-$E78)*$I$2/(1+EXP($I$3*(COUNT($I$9:AY$9)+$I$4))),TREND($E78:$F78,$E$9:$F$9,AY$9))</f>
        <v>0</v>
      </c>
      <c r="AZ78" s="27">
        <f>IF($G78="s-curve",$E78+($F78-$E78)*$I$2/(1+EXP($I$3*(COUNT($I$9:AZ$9)+$I$4))),TREND($E78:$F78,$E$9:$F$9,AZ$9))</f>
        <v>0</v>
      </c>
      <c r="BA78" s="27">
        <f>IF($G78="s-curve",$E78+($F78-$E78)*$I$2/(1+EXP($I$3*(COUNT($I$9:BA$9)+$I$4))),TREND($E78:$F78,$E$9:$F$9,BA$9))</f>
        <v>0</v>
      </c>
      <c r="BB78" s="27">
        <f>IF($G78="s-curve",$E78+($F78-$E78)*$I$2/(1+EXP($I$3*(COUNT($I$9:BB$9)+$I$4))),TREND($E78:$F78,$E$9:$F$9,BB$9))</f>
        <v>0</v>
      </c>
      <c r="BC78" s="27">
        <f>IF($G78="s-curve",$E78+($F78-$E78)*$I$2/(1+EXP($I$3*(COUNT($I$9:BC$9)+$I$4))),TREND($E78:$F78,$E$9:$F$9,BC$9))</f>
        <v>0</v>
      </c>
      <c r="BD78" s="27">
        <f>IF($G78="s-curve",$E78+($F78-$E78)*$I$2/(1+EXP($I$3*(COUNT($I$9:BD$9)+$I$4))),TREND($E78:$F78,$E$9:$F$9,BD$9))</f>
        <v>0</v>
      </c>
      <c r="BE78" s="27">
        <f>IF($G78="s-curve",$E78+($F78-$E78)*$I$2/(1+EXP($I$3*(COUNT($I$9:BE$9)+$I$4))),TREND($E78:$F78,$E$9:$F$9,BE$9))</f>
        <v>0</v>
      </c>
      <c r="BF78" s="27">
        <f>IF($G78="s-curve",$E78+($F78-$E78)*$I$2/(1+EXP($I$3*(COUNT($I$9:BF$9)+$I$4))),TREND($E78:$F78,$E$9:$F$9,BF$9))</f>
        <v>0</v>
      </c>
    </row>
    <row r="79" spans="1:58" ht="15.5" thickBot="1" x14ac:dyDescent="0.9">
      <c r="A79" s="16"/>
      <c r="B79" s="16"/>
      <c r="C79" s="16" t="s">
        <v>32</v>
      </c>
      <c r="D79" s="26">
        <f t="shared" si="14"/>
        <v>0</v>
      </c>
      <c r="E79" s="31">
        <v>0</v>
      </c>
      <c r="F79" s="31">
        <v>0</v>
      </c>
      <c r="G79" s="32" t="str">
        <f>IF(E79=F79,"n/a",IF(OR(C79="battery electric vehicle",C79="natural gas vehicle",C79="plugin hybrid vehicle",C79="hydrogen vehicle"),"s-curve","linear"))</f>
        <v>n/a</v>
      </c>
      <c r="I79" s="27">
        <f t="shared" si="15"/>
        <v>0</v>
      </c>
      <c r="J79" s="27">
        <f t="shared" si="16"/>
        <v>0</v>
      </c>
      <c r="K79" s="27">
        <f t="shared" si="16"/>
        <v>0</v>
      </c>
      <c r="L79" s="27">
        <f t="shared" si="16"/>
        <v>0</v>
      </c>
      <c r="M79" s="27">
        <f>IF($G79="s-curve",$E79+($F79-$E79)*$I$2/(1+EXP($I$3*(COUNT($I$9:M$9)+$I$4))),TREND($E79:$F79,$E$9:$F$9,M$9))</f>
        <v>0</v>
      </c>
      <c r="N79" s="27">
        <f>IF($G79="s-curve",$E79+($F79-$E79)*$I$2/(1+EXP($I$3*(COUNT($I$9:N$9)+$I$4))),TREND($E79:$F79,$E$9:$F$9,N$9))</f>
        <v>0</v>
      </c>
      <c r="O79" s="27">
        <f>IF($G79="s-curve",$E79+($F79-$E79)*$I$2/(1+EXP($I$3*(COUNT($I$9:O$9)+$I$4))),TREND($E79:$F79,$E$9:$F$9,O$9))</f>
        <v>0</v>
      </c>
      <c r="P79" s="27">
        <f>IF($G79="s-curve",$E79+($F79-$E79)*$I$2/(1+EXP($I$3*(COUNT($I$9:P$9)+$I$4))),TREND($E79:$F79,$E$9:$F$9,P$9))</f>
        <v>0</v>
      </c>
      <c r="Q79" s="27">
        <f>IF($G79="s-curve",$E79+($F79-$E79)*$I$2/(1+EXP($I$3*(COUNT($I$9:Q$9)+$I$4))),TREND($E79:$F79,$E$9:$F$9,Q$9))</f>
        <v>0</v>
      </c>
      <c r="R79" s="27">
        <f>IF($G79="s-curve",$E79+($F79-$E79)*$I$2/(1+EXP($I$3*(COUNT($I$9:R$9)+$I$4))),TREND($E79:$F79,$E$9:$F$9,R$9))</f>
        <v>0</v>
      </c>
      <c r="S79" s="27">
        <f>IF($G79="s-curve",$E79+($F79-$E79)*$I$2/(1+EXP($I$3*(COUNT($I$9:S$9)+$I$4))),TREND($E79:$F79,$E$9:$F$9,S$9))</f>
        <v>0</v>
      </c>
      <c r="T79" s="27">
        <f>IF($G79="s-curve",$E79+($F79-$E79)*$I$2/(1+EXP($I$3*(COUNT($I$9:T$9)+$I$4))),TREND($E79:$F79,$E$9:$F$9,T$9))</f>
        <v>0</v>
      </c>
      <c r="U79" s="27">
        <f>IF($G79="s-curve",$E79+($F79-$E79)*$I$2/(1+EXP($I$3*(COUNT($I$9:U$9)+$I$4))),TREND($E79:$F79,$E$9:$F$9,U$9))</f>
        <v>0</v>
      </c>
      <c r="V79" s="27">
        <f>IF($G79="s-curve",$E79+($F79-$E79)*$I$2/(1+EXP($I$3*(COUNT($I$9:V$9)+$I$4))),TREND($E79:$F79,$E$9:$F$9,V$9))</f>
        <v>0</v>
      </c>
      <c r="W79" s="27">
        <f>IF($G79="s-curve",$E79+($F79-$E79)*$I$2/(1+EXP($I$3*(COUNT($I$9:W$9)+$I$4))),TREND($E79:$F79,$E$9:$F$9,W$9))</f>
        <v>0</v>
      </c>
      <c r="X79" s="27">
        <f>IF($G79="s-curve",$E79+($F79-$E79)*$I$2/(1+EXP($I$3*(COUNT($I$9:X$9)+$I$4))),TREND($E79:$F79,$E$9:$F$9,X$9))</f>
        <v>0</v>
      </c>
      <c r="Y79" s="27">
        <f>IF($G79="s-curve",$E79+($F79-$E79)*$I$2/(1+EXP($I$3*(COUNT($I$9:Y$9)+$I$4))),TREND($E79:$F79,$E$9:$F$9,Y$9))</f>
        <v>0</v>
      </c>
      <c r="Z79" s="27">
        <f>IF($G79="s-curve",$E79+($F79-$E79)*$I$2/(1+EXP($I$3*(COUNT($I$9:Z$9)+$I$4))),TREND($E79:$F79,$E$9:$F$9,Z$9))</f>
        <v>0</v>
      </c>
      <c r="AA79" s="27">
        <f>IF($G79="s-curve",$E79+($F79-$E79)*$I$2/(1+EXP($I$3*(COUNT($I$9:AA$9)+$I$4))),TREND($E79:$F79,$E$9:$F$9,AA$9))</f>
        <v>0</v>
      </c>
      <c r="AB79" s="27">
        <f>IF($G79="s-curve",$E79+($F79-$E79)*$I$2/(1+EXP($I$3*(COUNT($I$9:AB$9)+$I$4))),TREND($E79:$F79,$E$9:$F$9,AB$9))</f>
        <v>0</v>
      </c>
      <c r="AC79" s="27">
        <f>IF($G79="s-curve",$E79+($F79-$E79)*$I$2/(1+EXP($I$3*(COUNT($I$9:AC$9)+$I$4))),TREND($E79:$F79,$E$9:$F$9,AC$9))</f>
        <v>0</v>
      </c>
      <c r="AD79" s="27">
        <f>IF($G79="s-curve",$E79+($F79-$E79)*$I$2/(1+EXP($I$3*(COUNT($I$9:AD$9)+$I$4))),TREND($E79:$F79,$E$9:$F$9,AD$9))</f>
        <v>0</v>
      </c>
      <c r="AE79" s="27">
        <f>IF($G79="s-curve",$E79+($F79-$E79)*$I$2/(1+EXP($I$3*(COUNT($I$9:AE$9)+$I$4))),TREND($E79:$F79,$E$9:$F$9,AE$9))</f>
        <v>0</v>
      </c>
      <c r="AF79" s="27">
        <f>IF($G79="s-curve",$E79+($F79-$E79)*$I$2/(1+EXP($I$3*(COUNT($I$9:AF$9)+$I$4))),TREND($E79:$F79,$E$9:$F$9,AF$9))</f>
        <v>0</v>
      </c>
      <c r="AG79" s="27">
        <f>IF($G79="s-curve",$E79+($F79-$E79)*$I$2/(1+EXP($I$3*(COUNT($I$9:AG$9)+$I$4))),TREND($E79:$F79,$E$9:$F$9,AG$9))</f>
        <v>0</v>
      </c>
      <c r="AH79" s="27">
        <f>IF($G79="s-curve",$E79+($F79-$E79)*$I$2/(1+EXP($I$3*(COUNT($I$9:AH$9)+$I$4))),TREND($E79:$F79,$E$9:$F$9,AH$9))</f>
        <v>0</v>
      </c>
      <c r="AI79" s="27">
        <f>IF($G79="s-curve",$E79+($F79-$E79)*$I$2/(1+EXP($I$3*(COUNT($I$9:AI$9)+$I$4))),TREND($E79:$F79,$E$9:$F$9,AI$9))</f>
        <v>0</v>
      </c>
      <c r="AJ79" s="27">
        <f>IF($G79="s-curve",$E79+($F79-$E79)*$I$2/(1+EXP($I$3*(COUNT($I$9:AJ$9)+$I$4))),TREND($E79:$F79,$E$9:$F$9,AJ$9))</f>
        <v>0</v>
      </c>
      <c r="AK79" s="27">
        <f>IF($G79="s-curve",$E79+($F79-$E79)*$I$2/(1+EXP($I$3*(COUNT($I$9:AK$9)+$I$4))),TREND($E79:$F79,$E$9:$F$9,AK$9))</f>
        <v>0</v>
      </c>
      <c r="AL79" s="27">
        <f>IF($G79="s-curve",$E79+($F79-$E79)*$I$2/(1+EXP($I$3*(COUNT($I$9:AL$9)+$I$4))),TREND($E79:$F79,$E$9:$F$9,AL$9))</f>
        <v>0</v>
      </c>
      <c r="AM79" s="27">
        <f>IF($G79="s-curve",$E79+($F79-$E79)*$I$2/(1+EXP($I$3*(COUNT($I$9:AM$9)+$I$4))),TREND($E79:$F79,$E$9:$F$9,AM$9))</f>
        <v>0</v>
      </c>
      <c r="AN79" s="27">
        <f>IF($G79="s-curve",$E79+($F79-$E79)*$I$2/(1+EXP($I$3*(COUNT($I$9:AN$9)+$I$4))),TREND($E79:$F79,$E$9:$F$9,AN$9))</f>
        <v>0</v>
      </c>
      <c r="AO79" s="27">
        <f>IF($G79="s-curve",$E79+($F79-$E79)*$I$2/(1+EXP($I$3*(COUNT($I$9:AO$9)+$I$4))),TREND($E79:$F79,$E$9:$F$9,AO$9))</f>
        <v>0</v>
      </c>
      <c r="AP79" s="27">
        <f>IF($G79="s-curve",$E79+($F79-$E79)*$I$2/(1+EXP($I$3*(COUNT($I$9:AP$9)+$I$4))),TREND($E79:$F79,$E$9:$F$9,AP$9))</f>
        <v>0</v>
      </c>
      <c r="AQ79" s="27">
        <f>IF($G79="s-curve",$E79+($F79-$E79)*$I$2/(1+EXP($I$3*(COUNT($I$9:AQ$9)+$I$4))),TREND($E79:$F79,$E$9:$F$9,AQ$9))</f>
        <v>0</v>
      </c>
      <c r="AR79" s="27">
        <f>IF($G79="s-curve",$E79+($F79-$E79)*$I$2/(1+EXP($I$3*(COUNT($I$9:AR$9)+$I$4))),TREND($E79:$F79,$E$9:$F$9,AR$9))</f>
        <v>0</v>
      </c>
      <c r="AS79" s="27">
        <f>IF($G79="s-curve",$E79+($F79-$E79)*$I$2/(1+EXP($I$3*(COUNT($I$9:AS$9)+$I$4))),TREND($E79:$F79,$E$9:$F$9,AS$9))</f>
        <v>0</v>
      </c>
      <c r="AT79" s="27">
        <f>IF($G79="s-curve",$E79+($F79-$E79)*$I$2/(1+EXP($I$3*(COUNT($I$9:AT$9)+$I$4))),TREND($E79:$F79,$E$9:$F$9,AT$9))</f>
        <v>0</v>
      </c>
      <c r="AU79" s="27">
        <f>IF($G79="s-curve",$E79+($F79-$E79)*$I$2/(1+EXP($I$3*(COUNT($I$9:AU$9)+$I$4))),TREND($E79:$F79,$E$9:$F$9,AU$9))</f>
        <v>0</v>
      </c>
      <c r="AV79" s="27">
        <f>IF($G79="s-curve",$E79+($F79-$E79)*$I$2/(1+EXP($I$3*(COUNT($I$9:AV$9)+$I$4))),TREND($E79:$F79,$E$9:$F$9,AV$9))</f>
        <v>0</v>
      </c>
      <c r="AW79" s="27">
        <f>IF($G79="s-curve",$E79+($F79-$E79)*$I$2/(1+EXP($I$3*(COUNT($I$9:AW$9)+$I$4))),TREND($E79:$F79,$E$9:$F$9,AW$9))</f>
        <v>0</v>
      </c>
      <c r="AX79" s="27">
        <f>IF($G79="s-curve",$E79+($F79-$E79)*$I$2/(1+EXP($I$3*(COUNT($I$9:AX$9)+$I$4))),TREND($E79:$F79,$E$9:$F$9,AX$9))</f>
        <v>0</v>
      </c>
      <c r="AY79" s="27">
        <f>IF($G79="s-curve",$E79+($F79-$E79)*$I$2/(1+EXP($I$3*(COUNT($I$9:AY$9)+$I$4))),TREND($E79:$F79,$E$9:$F$9,AY$9))</f>
        <v>0</v>
      </c>
      <c r="AZ79" s="27">
        <f>IF($G79="s-curve",$E79+($F79-$E79)*$I$2/(1+EXP($I$3*(COUNT($I$9:AZ$9)+$I$4))),TREND($E79:$F79,$E$9:$F$9,AZ$9))</f>
        <v>0</v>
      </c>
      <c r="BA79" s="27">
        <f>IF($G79="s-curve",$E79+($F79-$E79)*$I$2/(1+EXP($I$3*(COUNT($I$9:BA$9)+$I$4))),TREND($E79:$F79,$E$9:$F$9,BA$9))</f>
        <v>0</v>
      </c>
      <c r="BB79" s="27">
        <f>IF($G79="s-curve",$E79+($F79-$E79)*$I$2/(1+EXP($I$3*(COUNT($I$9:BB$9)+$I$4))),TREND($E79:$F79,$E$9:$F$9,BB$9))</f>
        <v>0</v>
      </c>
      <c r="BC79" s="27">
        <f>IF($G79="s-curve",$E79+($F79-$E79)*$I$2/(1+EXP($I$3*(COUNT($I$9:BC$9)+$I$4))),TREND($E79:$F79,$E$9:$F$9,BC$9))</f>
        <v>0</v>
      </c>
      <c r="BD79" s="27">
        <f>IF($G79="s-curve",$E79+($F79-$E79)*$I$2/(1+EXP($I$3*(COUNT($I$9:BD$9)+$I$4))),TREND($E79:$F79,$E$9:$F$9,BD$9))</f>
        <v>0</v>
      </c>
      <c r="BE79" s="27">
        <f>IF($G79="s-curve",$E79+($F79-$E79)*$I$2/(1+EXP($I$3*(COUNT($I$9:BE$9)+$I$4))),TREND($E79:$F79,$E$9:$F$9,BE$9))</f>
        <v>0</v>
      </c>
      <c r="BF79" s="27">
        <f>IF($G79="s-curve",$E79+($F79-$E79)*$I$2/(1+EXP($I$3*(COUNT($I$9:BF$9)+$I$4))),TREND($E79:$F79,$E$9:$F$9,BF$9))</f>
        <v>0</v>
      </c>
    </row>
    <row r="80" spans="1:58" x14ac:dyDescent="0.75">
      <c r="A80" t="s">
        <v>17</v>
      </c>
      <c r="B80" t="s">
        <v>19</v>
      </c>
      <c r="C80" t="s">
        <v>1</v>
      </c>
      <c r="D80" s="26">
        <f>D10</f>
        <v>0.01</v>
      </c>
      <c r="E80" s="26">
        <f>E10</f>
        <v>0.05</v>
      </c>
      <c r="F80" s="26">
        <f>F10</f>
        <v>1</v>
      </c>
      <c r="G80" s="29" t="str">
        <f>IF(E80=F80,"n/a",IF(OR(C80="battery electric vehicle",C80="natural gas vehicle",C80="plugin hybrid vehicle"),"s-curve","linear"))</f>
        <v>s-curve</v>
      </c>
      <c r="I80" s="27">
        <f t="shared" si="15"/>
        <v>0.05</v>
      </c>
      <c r="J80" s="27">
        <f t="shared" si="16"/>
        <v>2.0000000000000018E-2</v>
      </c>
      <c r="K80" s="27">
        <f t="shared" si="16"/>
        <v>3.0000000000000009E-2</v>
      </c>
      <c r="L80" s="27">
        <f t="shared" si="16"/>
        <v>0.04</v>
      </c>
      <c r="M80" s="27">
        <f>IF($G80="s-curve",$E80+($F80-$E80)*$R$2/(1+EXP($R$3*(COUNT($I$9:M$9)+$R$4))),TREND($E80:$F80,$E$9:$F$9,M$9))</f>
        <v>0.18475851165546342</v>
      </c>
      <c r="N80" s="27">
        <f>IF($G80="s-curve",$E80+($F80-$E80)*$R$2/(1+EXP($R$3*(COUNT($I$9:N$9)+$R$4))),TREND($E80:$F80,$E$9:$F$9,N$9))</f>
        <v>0.22330424761603851</v>
      </c>
      <c r="O80" s="27">
        <f>IF($G80="s-curve",$E80+($F80-$E80)*$R$2/(1+EXP($R$3*(COUNT($I$9:O$9)+$R$4))),TREND($E80:$F80,$E$9:$F$9,O$9))</f>
        <v>0.26990145567593327</v>
      </c>
      <c r="P80" s="27">
        <f>IF($G80="s-curve",$E80+($F80-$E80)*$R$2/(1+EXP($R$3*(COUNT($I$9:P$9)+$R$4))),TREND($E80:$F80,$E$9:$F$9,P$9))</f>
        <v>0.32459797250624622</v>
      </c>
      <c r="Q80" s="27">
        <f>IF($G80="s-curve",$E80+($F80-$E80)*$R$2/(1+EXP($R$3*(COUNT($I$9:Q$9)+$R$4))),TREND($E80:$F80,$E$9:$F$9,Q$9))</f>
        <v>0.38662650908549429</v>
      </c>
      <c r="R80" s="27">
        <f>IF($G80="s-curve",$E80+($F80-$E80)*$R$2/(1+EXP($R$3*(COUNT($I$9:R$9)+$R$4))),TREND($E80:$F80,$E$9:$F$9,R$9))</f>
        <v>0.45427960902892389</v>
      </c>
      <c r="S80" s="27">
        <f>IF($G80="s-curve",$E80+($F80-$E80)*$R$2/(1+EXP($R$3*(COUNT($I$9:S$9)+$R$4))),TREND($E80:$F80,$E$9:$F$9,S$9))</f>
        <v>0.52500000000000002</v>
      </c>
      <c r="T80" s="27">
        <f>IF($G80="s-curve",$E80+($F80-$E80)*$R$2/(1+EXP($R$3*(COUNT($I$9:T$9)+$R$4))),TREND($E80:$F80,$E$9:$F$9,T$9))</f>
        <v>0.5957203909710761</v>
      </c>
      <c r="U80" s="27">
        <f>IF($G80="s-curve",$E80+($F80-$E80)*$R$2/(1+EXP($R$3*(COUNT($I$9:U$9)+$R$4))),TREND($E80:$F80,$E$9:$F$9,U$9))</f>
        <v>0.6633734909145057</v>
      </c>
      <c r="V80" s="27">
        <f>IF($G80="s-curve",$E80+($F80-$E80)*$R$2/(1+EXP($R$3*(COUNT($I$9:V$9)+$R$4))),TREND($E80:$F80,$E$9:$F$9,V$9))</f>
        <v>0.72540202749375371</v>
      </c>
      <c r="W80" s="27">
        <f>IF($G80="s-curve",$E80+($F80-$E80)*$R$2/(1+EXP($R$3*(COUNT($I$9:W$9)+$R$4))),TREND($E80:$F80,$E$9:$F$9,W$9))</f>
        <v>0.78009854432406667</v>
      </c>
      <c r="X80" s="27">
        <f>IF($G80="s-curve",$E80+($F80-$E80)*$R$2/(1+EXP($R$3*(COUNT($I$9:X$9)+$R$4))),TREND($E80:$F80,$E$9:$F$9,X$9))</f>
        <v>0.82669575238396142</v>
      </c>
      <c r="Y80" s="27">
        <f>IF($G80="s-curve",$E80+($F80-$E80)*$R$2/(1+EXP($R$3*(COUNT($I$9:Y$9)+$R$4))),TREND($E80:$F80,$E$9:$F$9,Y$9))</f>
        <v>0.86524148834453662</v>
      </c>
      <c r="Z80" s="27">
        <f>IF($G80="s-curve",$E80+($F80-$E80)*$R$2/(1+EXP($R$3*(COUNT($I$9:Z$9)+$R$4))),TREND($E80:$F80,$E$9:$F$9,Z$9))</f>
        <v>0.89635801986416774</v>
      </c>
      <c r="AA80" s="27">
        <f>IF($G80="s-curve",$E80+($F80-$E80)*$R$2/(1+EXP($R$3*(COUNT($I$9:AA$9)+$R$4))),TREND($E80:$F80,$E$9:$F$9,AA$9))</f>
        <v>0.9209859383307738</v>
      </c>
      <c r="AB80" s="27">
        <f>IF($G80="s-curve",$E80+($F80-$E80)*$R$2/(1+EXP($R$3*(COUNT($I$9:AB$9)+$R$4))),TREND($E80:$F80,$E$9:$F$9,AB$9))</f>
        <v>0.94017531174585334</v>
      </c>
      <c r="AC80" s="27">
        <f>IF($G80="s-curve",$E80+($F80-$E80)*$R$2/(1+EXP($R$3*(COUNT($I$9:AC$9)+$R$4))),TREND($E80:$F80,$E$9:$F$9,AC$9))</f>
        <v>0.9549454204813117</v>
      </c>
      <c r="AD80" s="27">
        <f>IF($G80="s-curve",$E80+($F80-$E80)*$R$2/(1+EXP($R$3*(COUNT($I$9:AD$9)+$R$4))),TREND($E80:$F80,$E$9:$F$9,AD$9))</f>
        <v>0.96620737019099567</v>
      </c>
      <c r="AE80" s="27">
        <f>IF($G80="s-curve",$E80+($F80-$E80)*$R$2/(1+EXP($R$3*(COUNT($I$9:AE$9)+$R$4))),TREND($E80:$F80,$E$9:$F$9,AE$9))</f>
        <v>0.97473285610197735</v>
      </c>
      <c r="AF80" s="27">
        <f>IF($G80="s-curve",$E80+($F80-$E80)*$R$2/(1+EXP($R$3*(COUNT($I$9:AF$9)+$R$4))),TREND($E80:$F80,$E$9:$F$9,AF$9))</f>
        <v>0.98115170955262643</v>
      </c>
      <c r="AG80" s="27">
        <f>IF($G80="s-curve",$E80+($F80-$E80)*$R$2/(1+EXP($R$3*(COUNT($I$9:AG$9)+$R$4))),TREND($E80:$F80,$E$9:$F$9,AG$9))</f>
        <v>0.98596466989139064</v>
      </c>
      <c r="AH80" s="27">
        <f>IF($G80="s-curve",$E80+($F80-$E80)*$R$2/(1+EXP($R$3*(COUNT($I$9:AH$9)+$R$4))),TREND($E80:$F80,$E$9:$F$9,AH$9))</f>
        <v>0.98956240450093647</v>
      </c>
      <c r="AI80" s="27">
        <f>IF($G80="s-curve",$E80+($F80-$E80)*$R$2/(1+EXP($R$3*(COUNT($I$9:AI$9)+$R$4))),TREND($E80:$F80,$E$9:$F$9,AI$9))</f>
        <v>0.99224555740449816</v>
      </c>
      <c r="AJ80" s="27">
        <f>IF($G80="s-curve",$E80+($F80-$E80)*$R$2/(1+EXP($R$3*(COUNT($I$9:AJ$9)+$R$4))),TREND($E80:$F80,$E$9:$F$9,AJ$9))</f>
        <v>0.99424318858299499</v>
      </c>
      <c r="AK80" s="27">
        <f>IF($G80="s-curve",$E80+($F80-$E80)*$R$2/(1+EXP($R$3*(COUNT($I$9:AK$9)+$R$4))),TREND($E80:$F80,$E$9:$F$9,AK$9))</f>
        <v>0.99572854049710591</v>
      </c>
      <c r="AL80" s="27">
        <f>IF($G80="s-curve",$E80+($F80-$E80)*$R$2/(1+EXP($R$3*(COUNT($I$9:AL$9)+$R$4))),TREND($E80:$F80,$E$9:$F$9,AL$9))</f>
        <v>0.99683193305795736</v>
      </c>
      <c r="AM80" s="27">
        <f>IF($G80="s-curve",$E80+($F80-$E80)*$R$2/(1+EXP($R$3*(COUNT($I$9:AM$9)+$R$4))),TREND($E80:$F80,$E$9:$F$9,AM$9))</f>
        <v>0.9976510080011971</v>
      </c>
      <c r="AN80" s="27">
        <f>IF($G80="s-curve",$E80+($F80-$E80)*$R$2/(1+EXP($R$3*(COUNT($I$9:AN$9)+$R$4))),TREND($E80:$F80,$E$9:$F$9,AN$9))</f>
        <v>0.9982587080046319</v>
      </c>
      <c r="AO80" s="27">
        <f>IF($G80="s-curve",$E80+($F80-$E80)*$R$2/(1+EXP($R$3*(COUNT($I$9:AO$9)+$R$4))),TREND($E80:$F80,$E$9:$F$9,AO$9))</f>
        <v>0.99870940604709257</v>
      </c>
      <c r="AP80" s="27">
        <f>IF($G80="s-curve",$E80+($F80-$E80)*$R$2/(1+EXP($R$3*(COUNT($I$9:AP$9)+$R$4))),TREND($E80:$F80,$E$9:$F$9,AP$9))</f>
        <v>0.99904356772091873</v>
      </c>
      <c r="AQ80" s="27">
        <f>IF($G80="s-curve",$E80+($F80-$E80)*$R$2/(1+EXP($R$3*(COUNT($I$9:AQ$9)+$R$4))),TREND($E80:$F80,$E$9:$F$9,AQ$9))</f>
        <v>0.99929127260785522</v>
      </c>
      <c r="AR80" s="27">
        <f>IF($G80="s-curve",$E80+($F80-$E80)*$R$2/(1+EXP($R$3*(COUNT($I$9:AR$9)+$R$4))),TREND($E80:$F80,$E$9:$F$9,AR$9))</f>
        <v>0.99947486029492261</v>
      </c>
      <c r="AS80" s="27">
        <f>IF($G80="s-curve",$E80+($F80-$E80)*$R$2/(1+EXP($R$3*(COUNT($I$9:AS$9)+$R$4))),TREND($E80:$F80,$E$9:$F$9,AS$9))</f>
        <v>0.99961091119326329</v>
      </c>
      <c r="AT80" s="27">
        <f>IF($G80="s-curve",$E80+($F80-$E80)*$R$2/(1+EXP($R$3*(COUNT($I$9:AT$9)+$R$4))),TREND($E80:$F80,$E$9:$F$9,AT$9))</f>
        <v>0.99971172532147257</v>
      </c>
      <c r="AU80" s="27">
        <f>IF($G80="s-curve",$E80+($F80-$E80)*$R$2/(1+EXP($R$3*(COUNT($I$9:AU$9)+$R$4))),TREND($E80:$F80,$E$9:$F$9,AU$9))</f>
        <v>0.99978642406827833</v>
      </c>
      <c r="AV80" s="27">
        <f>IF($G80="s-curve",$E80+($F80-$E80)*$R$2/(1+EXP($R$3*(COUNT($I$9:AV$9)+$R$4))),TREND($E80:$F80,$E$9:$F$9,AV$9))</f>
        <v>0.99984176983846151</v>
      </c>
      <c r="AW80" s="27">
        <f>IF($G80="s-curve",$E80+($F80-$E80)*$R$2/(1+EXP($R$3*(COUNT($I$9:AW$9)+$R$4))),TREND($E80:$F80,$E$9:$F$9,AW$9))</f>
        <v>0.99988277515281299</v>
      </c>
      <c r="AX80" s="27">
        <f>IF($G80="s-curve",$E80+($F80-$E80)*$R$2/(1+EXP($R$3*(COUNT($I$9:AX$9)+$R$4))),TREND($E80:$F80,$E$9:$F$9,AX$9))</f>
        <v>0.99991315491984034</v>
      </c>
      <c r="AY80" s="27">
        <f>IF($G80="s-curve",$E80+($F80-$E80)*$R$2/(1+EXP($R$3*(COUNT($I$9:AY$9)+$R$4))),TREND($E80:$F80,$E$9:$F$9,AY$9))</f>
        <v>0.99993566205786133</v>
      </c>
      <c r="AZ80" s="27">
        <f>IF($G80="s-curve",$E80+($F80-$E80)*$R$2/(1+EXP($R$3*(COUNT($I$9:AZ$9)+$R$4))),TREND($E80:$F80,$E$9:$F$9,AZ$9))</f>
        <v>0.9999523364435503</v>
      </c>
      <c r="BA80" s="27">
        <f>IF($G80="s-curve",$E80+($F80-$E80)*$R$2/(1+EXP($R$3*(COUNT($I$9:BA$9)+$R$4))),TREND($E80:$F80,$E$9:$F$9,BA$9))</f>
        <v>0.99996468950975226</v>
      </c>
      <c r="BB80" s="27">
        <f>IF($G80="s-curve",$E80+($F80-$E80)*$R$2/(1+EXP($R$3*(COUNT($I$9:BB$9)+$R$4))),TREND($E80:$F80,$E$9:$F$9,BB$9))</f>
        <v>0.99997384109344112</v>
      </c>
      <c r="BC80" s="27">
        <f>IF($G80="s-curve",$E80+($F80-$E80)*$R$2/(1+EXP($R$3*(COUNT($I$9:BC$9)+$R$4))),TREND($E80:$F80,$E$9:$F$9,BC$9))</f>
        <v>0.99998062086708406</v>
      </c>
      <c r="BD80" s="27">
        <f>IF($G80="s-curve",$E80+($F80-$E80)*$R$2/(1+EXP($R$3*(COUNT($I$9:BD$9)+$R$4))),TREND($E80:$F80,$E$9:$F$9,BD$9))</f>
        <v>0.99998564350933106</v>
      </c>
      <c r="BE80" s="27">
        <f>IF($G80="s-curve",$E80+($F80-$E80)*$R$2/(1+EXP($R$3*(COUNT($I$9:BE$9)+$R$4))),TREND($E80:$F80,$E$9:$F$9,BE$9))</f>
        <v>0.99998936440847019</v>
      </c>
      <c r="BF80" s="27">
        <f>IF($G80="s-curve",$E80+($F80-$E80)*$R$2/(1+EXP($R$3*(COUNT($I$9:BF$9)+$R$4))),TREND($E80:$F80,$E$9:$F$9,BF$9))</f>
        <v>0.99999212093714474</v>
      </c>
    </row>
    <row r="81" spans="1:58" x14ac:dyDescent="0.75">
      <c r="C81" t="s">
        <v>2</v>
      </c>
      <c r="D81" s="26">
        <f t="shared" ref="D81:E81" si="17">D11</f>
        <v>1.0005073039100001E-4</v>
      </c>
      <c r="E81" s="26">
        <f t="shared" si="17"/>
        <v>9.1114481822700006E-5</v>
      </c>
      <c r="F81" s="26">
        <f t="shared" ref="F81" si="18">F11</f>
        <v>9.1114481822700006E-5</v>
      </c>
      <c r="G81" s="29" t="str">
        <f>IF(E81=F81,"n/a",IF(OR(C81="battery electric vehicle",C81="natural gas vehicle",C81="plugin hybrid vehicle"),"s-curve","linear"))</f>
        <v>n/a</v>
      </c>
      <c r="I81" s="27">
        <f t="shared" si="15"/>
        <v>9.1114481822700006E-5</v>
      </c>
      <c r="J81" s="27">
        <f t="shared" si="16"/>
        <v>9.7816668248925013E-5</v>
      </c>
      <c r="K81" s="27">
        <f t="shared" si="16"/>
        <v>9.5582606106850033E-5</v>
      </c>
      <c r="L81" s="27">
        <f t="shared" si="16"/>
        <v>9.3348543964775054E-5</v>
      </c>
      <c r="M81" s="27">
        <f>IF($G81="s-curve",$E81+($F81-$E81)*$I$2/(1+EXP($I$3*(COUNT($I$9:M$9)+$I$4))),TREND($E81:$F81,$E$9:$F$9,M$9))</f>
        <v>9.1114481822700006E-5</v>
      </c>
      <c r="N81" s="27">
        <f>IF($G81="s-curve",$E81+($F81-$E81)*$I$2/(1+EXP($I$3*(COUNT($I$9:N$9)+$I$4))),TREND($E81:$F81,$E$9:$F$9,N$9))</f>
        <v>9.1114481822700006E-5</v>
      </c>
      <c r="O81" s="27">
        <f>IF($G81="s-curve",$E81+($F81-$E81)*$I$2/(1+EXP($I$3*(COUNT($I$9:O$9)+$I$4))),TREND($E81:$F81,$E$9:$F$9,O$9))</f>
        <v>9.1114481822700006E-5</v>
      </c>
      <c r="P81" s="27">
        <f>IF($G81="s-curve",$E81+($F81-$E81)*$I$2/(1+EXP($I$3*(COUNT($I$9:P$9)+$I$4))),TREND($E81:$F81,$E$9:$F$9,P$9))</f>
        <v>9.1114481822700006E-5</v>
      </c>
      <c r="Q81" s="27">
        <f>IF($G81="s-curve",$E81+($F81-$E81)*$I$2/(1+EXP($I$3*(COUNT($I$9:Q$9)+$I$4))),TREND($E81:$F81,$E$9:$F$9,Q$9))</f>
        <v>9.1114481822700006E-5</v>
      </c>
      <c r="R81" s="27">
        <f>IF($G81="s-curve",$E81+($F81-$E81)*$I$2/(1+EXP($I$3*(COUNT($I$9:R$9)+$I$4))),TREND($E81:$F81,$E$9:$F$9,R$9))</f>
        <v>9.1114481822700006E-5</v>
      </c>
      <c r="S81" s="27">
        <f>IF($G81="s-curve",$E81+($F81-$E81)*$I$2/(1+EXP($I$3*(COUNT($I$9:S$9)+$I$4))),TREND($E81:$F81,$E$9:$F$9,S$9))</f>
        <v>9.1114481822700006E-5</v>
      </c>
      <c r="T81" s="27">
        <f>IF($G81="s-curve",$E81+($F81-$E81)*$I$2/(1+EXP($I$3*(COUNT($I$9:T$9)+$I$4))),TREND($E81:$F81,$E$9:$F$9,T$9))</f>
        <v>9.1114481822700006E-5</v>
      </c>
      <c r="U81" s="27">
        <f>IF($G81="s-curve",$E81+($F81-$E81)*$I$2/(1+EXP($I$3*(COUNT($I$9:U$9)+$I$4))),TREND($E81:$F81,$E$9:$F$9,U$9))</f>
        <v>9.1114481822700006E-5</v>
      </c>
      <c r="V81" s="27">
        <f>IF($G81="s-curve",$E81+($F81-$E81)*$I$2/(1+EXP($I$3*(COUNT($I$9:V$9)+$I$4))),TREND($E81:$F81,$E$9:$F$9,V$9))</f>
        <v>9.1114481822700006E-5</v>
      </c>
      <c r="W81" s="27">
        <f>IF($G81="s-curve",$E81+($F81-$E81)*$I$2/(1+EXP($I$3*(COUNT($I$9:W$9)+$I$4))),TREND($E81:$F81,$E$9:$F$9,W$9))</f>
        <v>9.1114481822700006E-5</v>
      </c>
      <c r="X81" s="27">
        <f>IF($G81="s-curve",$E81+($F81-$E81)*$I$2/(1+EXP($I$3*(COUNT($I$9:X$9)+$I$4))),TREND($E81:$F81,$E$9:$F$9,X$9))</f>
        <v>9.1114481822700006E-5</v>
      </c>
      <c r="Y81" s="27">
        <f>IF($G81="s-curve",$E81+($F81-$E81)*$I$2/(1+EXP($I$3*(COUNT($I$9:Y$9)+$I$4))),TREND($E81:$F81,$E$9:$F$9,Y$9))</f>
        <v>9.1114481822700006E-5</v>
      </c>
      <c r="Z81" s="27">
        <f>IF($G81="s-curve",$E81+($F81-$E81)*$I$2/(1+EXP($I$3*(COUNT($I$9:Z$9)+$I$4))),TREND($E81:$F81,$E$9:$F$9,Z$9))</f>
        <v>9.1114481822700006E-5</v>
      </c>
      <c r="AA81" s="27">
        <f>IF($G81="s-curve",$E81+($F81-$E81)*$I$2/(1+EXP($I$3*(COUNT($I$9:AA$9)+$I$4))),TREND($E81:$F81,$E$9:$F$9,AA$9))</f>
        <v>9.1114481822700006E-5</v>
      </c>
      <c r="AB81" s="27">
        <f>IF($G81="s-curve",$E81+($F81-$E81)*$I$2/(1+EXP($I$3*(COUNT($I$9:AB$9)+$I$4))),TREND($E81:$F81,$E$9:$F$9,AB$9))</f>
        <v>9.1114481822700006E-5</v>
      </c>
      <c r="AC81" s="27">
        <f>IF($G81="s-curve",$E81+($F81-$E81)*$I$2/(1+EXP($I$3*(COUNT($I$9:AC$9)+$I$4))),TREND($E81:$F81,$E$9:$F$9,AC$9))</f>
        <v>9.1114481822700006E-5</v>
      </c>
      <c r="AD81" s="27">
        <f>IF($G81="s-curve",$E81+($F81-$E81)*$I$2/(1+EXP($I$3*(COUNT($I$9:AD$9)+$I$4))),TREND($E81:$F81,$E$9:$F$9,AD$9))</f>
        <v>9.1114481822700006E-5</v>
      </c>
      <c r="AE81" s="27">
        <f>IF($G81="s-curve",$E81+($F81-$E81)*$I$2/(1+EXP($I$3*(COUNT($I$9:AE$9)+$I$4))),TREND($E81:$F81,$E$9:$F$9,AE$9))</f>
        <v>9.1114481822700006E-5</v>
      </c>
      <c r="AF81" s="27">
        <f>IF($G81="s-curve",$E81+($F81-$E81)*$I$2/(1+EXP($I$3*(COUNT($I$9:AF$9)+$I$4))),TREND($E81:$F81,$E$9:$F$9,AF$9))</f>
        <v>9.1114481822700006E-5</v>
      </c>
      <c r="AG81" s="27">
        <f>IF($G81="s-curve",$E81+($F81-$E81)*$I$2/(1+EXP($I$3*(COUNT($I$9:AG$9)+$I$4))),TREND($E81:$F81,$E$9:$F$9,AG$9))</f>
        <v>9.1114481822700006E-5</v>
      </c>
      <c r="AH81" s="27">
        <f>IF($G81="s-curve",$E81+($F81-$E81)*$I$2/(1+EXP($I$3*(COUNT($I$9:AH$9)+$I$4))),TREND($E81:$F81,$E$9:$F$9,AH$9))</f>
        <v>9.1114481822700006E-5</v>
      </c>
      <c r="AI81" s="27">
        <f>IF($G81="s-curve",$E81+($F81-$E81)*$I$2/(1+EXP($I$3*(COUNT($I$9:AI$9)+$I$4))),TREND($E81:$F81,$E$9:$F$9,AI$9))</f>
        <v>9.1114481822700006E-5</v>
      </c>
      <c r="AJ81" s="27">
        <f>IF($G81="s-curve",$E81+($F81-$E81)*$I$2/(1+EXP($I$3*(COUNT($I$9:AJ$9)+$I$4))),TREND($E81:$F81,$E$9:$F$9,AJ$9))</f>
        <v>9.1114481822700006E-5</v>
      </c>
      <c r="AK81" s="27">
        <f>IF($G81="s-curve",$E81+($F81-$E81)*$I$2/(1+EXP($I$3*(COUNT($I$9:AK$9)+$I$4))),TREND($E81:$F81,$E$9:$F$9,AK$9))</f>
        <v>9.1114481822700006E-5</v>
      </c>
      <c r="AL81" s="27">
        <f>IF($G81="s-curve",$E81+($F81-$E81)*$I$2/(1+EXP($I$3*(COUNT($I$9:AL$9)+$I$4))),TREND($E81:$F81,$E$9:$F$9,AL$9))</f>
        <v>9.1114481822700006E-5</v>
      </c>
      <c r="AM81" s="27">
        <f>IF($G81="s-curve",$E81+($F81-$E81)*$I$2/(1+EXP($I$3*(COUNT($I$9:AM$9)+$I$4))),TREND($E81:$F81,$E$9:$F$9,AM$9))</f>
        <v>9.1114481822700006E-5</v>
      </c>
      <c r="AN81" s="27">
        <f>IF($G81="s-curve",$E81+($F81-$E81)*$I$2/(1+EXP($I$3*(COUNT($I$9:AN$9)+$I$4))),TREND($E81:$F81,$E$9:$F$9,AN$9))</f>
        <v>9.1114481822700006E-5</v>
      </c>
      <c r="AO81" s="27">
        <f>IF($G81="s-curve",$E81+($F81-$E81)*$I$2/(1+EXP($I$3*(COUNT($I$9:AO$9)+$I$4))),TREND($E81:$F81,$E$9:$F$9,AO$9))</f>
        <v>9.1114481822700006E-5</v>
      </c>
      <c r="AP81" s="27">
        <f>IF($G81="s-curve",$E81+($F81-$E81)*$I$2/(1+EXP($I$3*(COUNT($I$9:AP$9)+$I$4))),TREND($E81:$F81,$E$9:$F$9,AP$9))</f>
        <v>9.1114481822700006E-5</v>
      </c>
      <c r="AQ81" s="27">
        <f>IF($G81="s-curve",$E81+($F81-$E81)*$I$2/(1+EXP($I$3*(COUNT($I$9:AQ$9)+$I$4))),TREND($E81:$F81,$E$9:$F$9,AQ$9))</f>
        <v>9.1114481822700006E-5</v>
      </c>
      <c r="AR81" s="27">
        <f>IF($G81="s-curve",$E81+($F81-$E81)*$I$2/(1+EXP($I$3*(COUNT($I$9:AR$9)+$I$4))),TREND($E81:$F81,$E$9:$F$9,AR$9))</f>
        <v>9.1114481822700006E-5</v>
      </c>
      <c r="AS81" s="27">
        <f>IF($G81="s-curve",$E81+($F81-$E81)*$I$2/(1+EXP($I$3*(COUNT($I$9:AS$9)+$I$4))),TREND($E81:$F81,$E$9:$F$9,AS$9))</f>
        <v>9.1114481822700006E-5</v>
      </c>
      <c r="AT81" s="27">
        <f>IF($G81="s-curve",$E81+($F81-$E81)*$I$2/(1+EXP($I$3*(COUNT($I$9:AT$9)+$I$4))),TREND($E81:$F81,$E$9:$F$9,AT$9))</f>
        <v>9.1114481822700006E-5</v>
      </c>
      <c r="AU81" s="27">
        <f>IF($G81="s-curve",$E81+($F81-$E81)*$I$2/(1+EXP($I$3*(COUNT($I$9:AU$9)+$I$4))),TREND($E81:$F81,$E$9:$F$9,AU$9))</f>
        <v>9.1114481822700006E-5</v>
      </c>
      <c r="AV81" s="27">
        <f>IF($G81="s-curve",$E81+($F81-$E81)*$I$2/(1+EXP($I$3*(COUNT($I$9:AV$9)+$I$4))),TREND($E81:$F81,$E$9:$F$9,AV$9))</f>
        <v>9.1114481822700006E-5</v>
      </c>
      <c r="AW81" s="27">
        <f>IF($G81="s-curve",$E81+($F81-$E81)*$I$2/(1+EXP($I$3*(COUNT($I$9:AW$9)+$I$4))),TREND($E81:$F81,$E$9:$F$9,AW$9))</f>
        <v>9.1114481822700006E-5</v>
      </c>
      <c r="AX81" s="27">
        <f>IF($G81="s-curve",$E81+($F81-$E81)*$I$2/(1+EXP($I$3*(COUNT($I$9:AX$9)+$I$4))),TREND($E81:$F81,$E$9:$F$9,AX$9))</f>
        <v>9.1114481822700006E-5</v>
      </c>
      <c r="AY81" s="27">
        <f>IF($G81="s-curve",$E81+($F81-$E81)*$I$2/(1+EXP($I$3*(COUNT($I$9:AY$9)+$I$4))),TREND($E81:$F81,$E$9:$F$9,AY$9))</f>
        <v>9.1114481822700006E-5</v>
      </c>
      <c r="AZ81" s="27">
        <f>IF($G81="s-curve",$E81+($F81-$E81)*$I$2/(1+EXP($I$3*(COUNT($I$9:AZ$9)+$I$4))),TREND($E81:$F81,$E$9:$F$9,AZ$9))</f>
        <v>9.1114481822700006E-5</v>
      </c>
      <c r="BA81" s="27">
        <f>IF($G81="s-curve",$E81+($F81-$E81)*$I$2/(1+EXP($I$3*(COUNT($I$9:BA$9)+$I$4))),TREND($E81:$F81,$E$9:$F$9,BA$9))</f>
        <v>9.1114481822700006E-5</v>
      </c>
      <c r="BB81" s="27">
        <f>IF($G81="s-curve",$E81+($F81-$E81)*$I$2/(1+EXP($I$3*(COUNT($I$9:BB$9)+$I$4))),TREND($E81:$F81,$E$9:$F$9,BB$9))</f>
        <v>9.1114481822700006E-5</v>
      </c>
      <c r="BC81" s="27">
        <f>IF($G81="s-curve",$E81+($F81-$E81)*$I$2/(1+EXP($I$3*(COUNT($I$9:BC$9)+$I$4))),TREND($E81:$F81,$E$9:$F$9,BC$9))</f>
        <v>9.1114481822700006E-5</v>
      </c>
      <c r="BD81" s="27">
        <f>IF($G81="s-curve",$E81+($F81-$E81)*$I$2/(1+EXP($I$3*(COUNT($I$9:BD$9)+$I$4))),TREND($E81:$F81,$E$9:$F$9,BD$9))</f>
        <v>9.1114481822700006E-5</v>
      </c>
      <c r="BE81" s="27">
        <f>IF($G81="s-curve",$E81+($F81-$E81)*$I$2/(1+EXP($I$3*(COUNT($I$9:BE$9)+$I$4))),TREND($E81:$F81,$E$9:$F$9,BE$9))</f>
        <v>9.1114481822700006E-5</v>
      </c>
      <c r="BF81" s="27">
        <f>IF($G81="s-curve",$E81+($F81-$E81)*$I$2/(1+EXP($I$3*(COUNT($I$9:BF$9)+$I$4))),TREND($E81:$F81,$E$9:$F$9,BF$9))</f>
        <v>9.1114481822700006E-5</v>
      </c>
    </row>
    <row r="82" spans="1:58" x14ac:dyDescent="0.75">
      <c r="C82" t="s">
        <v>3</v>
      </c>
      <c r="D82" s="26">
        <f t="shared" ref="D82:E82" si="19">D12</f>
        <v>1</v>
      </c>
      <c r="E82" s="26">
        <f t="shared" si="19"/>
        <v>1</v>
      </c>
      <c r="F82" s="26">
        <f t="shared" ref="F82" si="20">F12</f>
        <v>1</v>
      </c>
      <c r="G82" s="29" t="str">
        <f>IF(E82=F82,"n/a",IF(OR(C82="battery electric vehicle",C82="natural gas vehicle",C82="plugin hybrid vehicle"),"s-curve","linear"))</f>
        <v>n/a</v>
      </c>
      <c r="I82" s="27">
        <f t="shared" si="15"/>
        <v>1</v>
      </c>
      <c r="J82" s="27">
        <f t="shared" si="16"/>
        <v>1</v>
      </c>
      <c r="K82" s="27">
        <f t="shared" si="16"/>
        <v>1</v>
      </c>
      <c r="L82" s="27">
        <f t="shared" si="16"/>
        <v>1</v>
      </c>
      <c r="M82" s="27">
        <f>IF($G82="s-curve",$E82+($F82-$E82)*$I$2/(1+EXP($I$3*(COUNT($I$9:M$9)+$I$4))),TREND($E82:$F82,$E$9:$F$9,M$9))</f>
        <v>1</v>
      </c>
      <c r="N82" s="27">
        <f>IF($G82="s-curve",$E82+($F82-$E82)*$I$2/(1+EXP($I$3*(COUNT($I$9:N$9)+$I$4))),TREND($E82:$F82,$E$9:$F$9,N$9))</f>
        <v>1</v>
      </c>
      <c r="O82" s="27">
        <f>IF($G82="s-curve",$E82+($F82-$E82)*$I$2/(1+EXP($I$3*(COUNT($I$9:O$9)+$I$4))),TREND($E82:$F82,$E$9:$F$9,O$9))</f>
        <v>1</v>
      </c>
      <c r="P82" s="27">
        <f>IF($G82="s-curve",$E82+($F82-$E82)*$I$2/(1+EXP($I$3*(COUNT($I$9:P$9)+$I$4))),TREND($E82:$F82,$E$9:$F$9,P$9))</f>
        <v>1</v>
      </c>
      <c r="Q82" s="27">
        <f>IF($G82="s-curve",$E82+($F82-$E82)*$I$2/(1+EXP($I$3*(COUNT($I$9:Q$9)+$I$4))),TREND($E82:$F82,$E$9:$F$9,Q$9))</f>
        <v>1</v>
      </c>
      <c r="R82" s="27">
        <f>IF($G82="s-curve",$E82+($F82-$E82)*$I$2/(1+EXP($I$3*(COUNT($I$9:R$9)+$I$4))),TREND($E82:$F82,$E$9:$F$9,R$9))</f>
        <v>1</v>
      </c>
      <c r="S82" s="27">
        <f>IF($G82="s-curve",$E82+($F82-$E82)*$I$2/(1+EXP($I$3*(COUNT($I$9:S$9)+$I$4))),TREND($E82:$F82,$E$9:$F$9,S$9))</f>
        <v>1</v>
      </c>
      <c r="T82" s="27">
        <f>IF($G82="s-curve",$E82+($F82-$E82)*$I$2/(1+EXP($I$3*(COUNT($I$9:T$9)+$I$4))),TREND($E82:$F82,$E$9:$F$9,T$9))</f>
        <v>1</v>
      </c>
      <c r="U82" s="27">
        <f>IF($G82="s-curve",$E82+($F82-$E82)*$I$2/(1+EXP($I$3*(COUNT($I$9:U$9)+$I$4))),TREND($E82:$F82,$E$9:$F$9,U$9))</f>
        <v>1</v>
      </c>
      <c r="V82" s="27">
        <f>IF($G82="s-curve",$E82+($F82-$E82)*$I$2/(1+EXP($I$3*(COUNT($I$9:V$9)+$I$4))),TREND($E82:$F82,$E$9:$F$9,V$9))</f>
        <v>1</v>
      </c>
      <c r="W82" s="27">
        <f>IF($G82="s-curve",$E82+($F82-$E82)*$I$2/(1+EXP($I$3*(COUNT($I$9:W$9)+$I$4))),TREND($E82:$F82,$E$9:$F$9,W$9))</f>
        <v>1</v>
      </c>
      <c r="X82" s="27">
        <f>IF($G82="s-curve",$E82+($F82-$E82)*$I$2/(1+EXP($I$3*(COUNT($I$9:X$9)+$I$4))),TREND($E82:$F82,$E$9:$F$9,X$9))</f>
        <v>1</v>
      </c>
      <c r="Y82" s="27">
        <f>IF($G82="s-curve",$E82+($F82-$E82)*$I$2/(1+EXP($I$3*(COUNT($I$9:Y$9)+$I$4))),TREND($E82:$F82,$E$9:$F$9,Y$9))</f>
        <v>1</v>
      </c>
      <c r="Z82" s="27">
        <f>IF($G82="s-curve",$E82+($F82-$E82)*$I$2/(1+EXP($I$3*(COUNT($I$9:Z$9)+$I$4))),TREND($E82:$F82,$E$9:$F$9,Z$9))</f>
        <v>1</v>
      </c>
      <c r="AA82" s="27">
        <f>IF($G82="s-curve",$E82+($F82-$E82)*$I$2/(1+EXP($I$3*(COUNT($I$9:AA$9)+$I$4))),TREND($E82:$F82,$E$9:$F$9,AA$9))</f>
        <v>1</v>
      </c>
      <c r="AB82" s="27">
        <f>IF($G82="s-curve",$E82+($F82-$E82)*$I$2/(1+EXP($I$3*(COUNT($I$9:AB$9)+$I$4))),TREND($E82:$F82,$E$9:$F$9,AB$9))</f>
        <v>1</v>
      </c>
      <c r="AC82" s="27">
        <f>IF($G82="s-curve",$E82+($F82-$E82)*$I$2/(1+EXP($I$3*(COUNT($I$9:AC$9)+$I$4))),TREND($E82:$F82,$E$9:$F$9,AC$9))</f>
        <v>1</v>
      </c>
      <c r="AD82" s="27">
        <f>IF($G82="s-curve",$E82+($F82-$E82)*$I$2/(1+EXP($I$3*(COUNT($I$9:AD$9)+$I$4))),TREND($E82:$F82,$E$9:$F$9,AD$9))</f>
        <v>1</v>
      </c>
      <c r="AE82" s="27">
        <f>IF($G82="s-curve",$E82+($F82-$E82)*$I$2/(1+EXP($I$3*(COUNT($I$9:AE$9)+$I$4))),TREND($E82:$F82,$E$9:$F$9,AE$9))</f>
        <v>1</v>
      </c>
      <c r="AF82" s="27">
        <f>IF($G82="s-curve",$E82+($F82-$E82)*$I$2/(1+EXP($I$3*(COUNT($I$9:AF$9)+$I$4))),TREND($E82:$F82,$E$9:$F$9,AF$9))</f>
        <v>1</v>
      </c>
      <c r="AG82" s="27">
        <f>IF($G82="s-curve",$E82+($F82-$E82)*$I$2/(1+EXP($I$3*(COUNT($I$9:AG$9)+$I$4))),TREND($E82:$F82,$E$9:$F$9,AG$9))</f>
        <v>1</v>
      </c>
      <c r="AH82" s="27">
        <f>IF($G82="s-curve",$E82+($F82-$E82)*$I$2/(1+EXP($I$3*(COUNT($I$9:AH$9)+$I$4))),TREND($E82:$F82,$E$9:$F$9,AH$9))</f>
        <v>1</v>
      </c>
      <c r="AI82" s="27">
        <f>IF($G82="s-curve",$E82+($F82-$E82)*$I$2/(1+EXP($I$3*(COUNT($I$9:AI$9)+$I$4))),TREND($E82:$F82,$E$9:$F$9,AI$9))</f>
        <v>1</v>
      </c>
      <c r="AJ82" s="27">
        <f>IF($G82="s-curve",$E82+($F82-$E82)*$I$2/(1+EXP($I$3*(COUNT($I$9:AJ$9)+$I$4))),TREND($E82:$F82,$E$9:$F$9,AJ$9))</f>
        <v>1</v>
      </c>
      <c r="AK82" s="27">
        <f>IF($G82="s-curve",$E82+($F82-$E82)*$I$2/(1+EXP($I$3*(COUNT($I$9:AK$9)+$I$4))),TREND($E82:$F82,$E$9:$F$9,AK$9))</f>
        <v>1</v>
      </c>
      <c r="AL82" s="27">
        <f>IF($G82="s-curve",$E82+($F82-$E82)*$I$2/(1+EXP($I$3*(COUNT($I$9:AL$9)+$I$4))),TREND($E82:$F82,$E$9:$F$9,AL$9))</f>
        <v>1</v>
      </c>
      <c r="AM82" s="27">
        <f>IF($G82="s-curve",$E82+($F82-$E82)*$I$2/(1+EXP($I$3*(COUNT($I$9:AM$9)+$I$4))),TREND($E82:$F82,$E$9:$F$9,AM$9))</f>
        <v>1</v>
      </c>
      <c r="AN82" s="27">
        <f>IF($G82="s-curve",$E82+($F82-$E82)*$I$2/(1+EXP($I$3*(COUNT($I$9:AN$9)+$I$4))),TREND($E82:$F82,$E$9:$F$9,AN$9))</f>
        <v>1</v>
      </c>
      <c r="AO82" s="27">
        <f>IF($G82="s-curve",$E82+($F82-$E82)*$I$2/(1+EXP($I$3*(COUNT($I$9:AO$9)+$I$4))),TREND($E82:$F82,$E$9:$F$9,AO$9))</f>
        <v>1</v>
      </c>
      <c r="AP82" s="27">
        <f>IF($G82="s-curve",$E82+($F82-$E82)*$I$2/(1+EXP($I$3*(COUNT($I$9:AP$9)+$I$4))),TREND($E82:$F82,$E$9:$F$9,AP$9))</f>
        <v>1</v>
      </c>
      <c r="AQ82" s="27">
        <f>IF($G82="s-curve",$E82+($F82-$E82)*$I$2/(1+EXP($I$3*(COUNT($I$9:AQ$9)+$I$4))),TREND($E82:$F82,$E$9:$F$9,AQ$9))</f>
        <v>1</v>
      </c>
      <c r="AR82" s="27">
        <f>IF($G82="s-curve",$E82+($F82-$E82)*$I$2/(1+EXP($I$3*(COUNT($I$9:AR$9)+$I$4))),TREND($E82:$F82,$E$9:$F$9,AR$9))</f>
        <v>1</v>
      </c>
      <c r="AS82" s="27">
        <f>IF($G82="s-curve",$E82+($F82-$E82)*$I$2/(1+EXP($I$3*(COUNT($I$9:AS$9)+$I$4))),TREND($E82:$F82,$E$9:$F$9,AS$9))</f>
        <v>1</v>
      </c>
      <c r="AT82" s="27">
        <f>IF($G82="s-curve",$E82+($F82-$E82)*$I$2/(1+EXP($I$3*(COUNT($I$9:AT$9)+$I$4))),TREND($E82:$F82,$E$9:$F$9,AT$9))</f>
        <v>1</v>
      </c>
      <c r="AU82" s="27">
        <f>IF($G82="s-curve",$E82+($F82-$E82)*$I$2/(1+EXP($I$3*(COUNT($I$9:AU$9)+$I$4))),TREND($E82:$F82,$E$9:$F$9,AU$9))</f>
        <v>1</v>
      </c>
      <c r="AV82" s="27">
        <f>IF($G82="s-curve",$E82+($F82-$E82)*$I$2/(1+EXP($I$3*(COUNT($I$9:AV$9)+$I$4))),TREND($E82:$F82,$E$9:$F$9,AV$9))</f>
        <v>1</v>
      </c>
      <c r="AW82" s="27">
        <f>IF($G82="s-curve",$E82+($F82-$E82)*$I$2/(1+EXP($I$3*(COUNT($I$9:AW$9)+$I$4))),TREND($E82:$F82,$E$9:$F$9,AW$9))</f>
        <v>1</v>
      </c>
      <c r="AX82" s="27">
        <f>IF($G82="s-curve",$E82+($F82-$E82)*$I$2/(1+EXP($I$3*(COUNT($I$9:AX$9)+$I$4))),TREND($E82:$F82,$E$9:$F$9,AX$9))</f>
        <v>1</v>
      </c>
      <c r="AY82" s="27">
        <f>IF($G82="s-curve",$E82+($F82-$E82)*$I$2/(1+EXP($I$3*(COUNT($I$9:AY$9)+$I$4))),TREND($E82:$F82,$E$9:$F$9,AY$9))</f>
        <v>1</v>
      </c>
      <c r="AZ82" s="27">
        <f>IF($G82="s-curve",$E82+($F82-$E82)*$I$2/(1+EXP($I$3*(COUNT($I$9:AZ$9)+$I$4))),TREND($E82:$F82,$E$9:$F$9,AZ$9))</f>
        <v>1</v>
      </c>
      <c r="BA82" s="27">
        <f>IF($G82="s-curve",$E82+($F82-$E82)*$I$2/(1+EXP($I$3*(COUNT($I$9:BA$9)+$I$4))),TREND($E82:$F82,$E$9:$F$9,BA$9))</f>
        <v>1</v>
      </c>
      <c r="BB82" s="27">
        <f>IF($G82="s-curve",$E82+($F82-$E82)*$I$2/(1+EXP($I$3*(COUNT($I$9:BB$9)+$I$4))),TREND($E82:$F82,$E$9:$F$9,BB$9))</f>
        <v>1</v>
      </c>
      <c r="BC82" s="27">
        <f>IF($G82="s-curve",$E82+($F82-$E82)*$I$2/(1+EXP($I$3*(COUNT($I$9:BC$9)+$I$4))),TREND($E82:$F82,$E$9:$F$9,BC$9))</f>
        <v>1</v>
      </c>
      <c r="BD82" s="27">
        <f>IF($G82="s-curve",$E82+($F82-$E82)*$I$2/(1+EXP($I$3*(COUNT($I$9:BD$9)+$I$4))),TREND($E82:$F82,$E$9:$F$9,BD$9))</f>
        <v>1</v>
      </c>
      <c r="BE82" s="27">
        <f>IF($G82="s-curve",$E82+($F82-$E82)*$I$2/(1+EXP($I$3*(COUNT($I$9:BE$9)+$I$4))),TREND($E82:$F82,$E$9:$F$9,BE$9))</f>
        <v>1</v>
      </c>
      <c r="BF82" s="27">
        <f>IF($G82="s-curve",$E82+($F82-$E82)*$I$2/(1+EXP($I$3*(COUNT($I$9:BF$9)+$I$4))),TREND($E82:$F82,$E$9:$F$9,BF$9))</f>
        <v>1</v>
      </c>
    </row>
    <row r="83" spans="1:58" x14ac:dyDescent="0.75">
      <c r="C83" t="s">
        <v>4</v>
      </c>
      <c r="D83" s="26">
        <f t="shared" ref="D83:E83" si="21">D13</f>
        <v>6.6777915503600002E-2</v>
      </c>
      <c r="E83" s="26">
        <f t="shared" si="21"/>
        <v>6.08023121013E-2</v>
      </c>
      <c r="F83" s="26">
        <f t="shared" ref="F83" si="22">F13</f>
        <v>6.08023121013E-2</v>
      </c>
      <c r="G83" s="29" t="str">
        <f>IF(E83=F83,"n/a",IF(OR(C83="battery electric vehicle",C83="natural gas vehicle",C83="plugin hybrid vehicle"),"s-curve","linear"))</f>
        <v>n/a</v>
      </c>
      <c r="I83" s="27">
        <f t="shared" si="15"/>
        <v>6.08023121013E-2</v>
      </c>
      <c r="J83" s="27">
        <f t="shared" si="16"/>
        <v>6.5284014653024997E-2</v>
      </c>
      <c r="K83" s="27">
        <f t="shared" si="16"/>
        <v>6.3790113802450005E-2</v>
      </c>
      <c r="L83" s="27">
        <f t="shared" si="16"/>
        <v>6.2296212951874992E-2</v>
      </c>
      <c r="M83" s="27">
        <f>IF($G83="s-curve",$E83+($F83-$E83)*$I$2/(1+EXP($I$3*(COUNT($I$9:M$9)+$I$4))),TREND($E83:$F83,$E$9:$F$9,M$9))</f>
        <v>6.08023121013E-2</v>
      </c>
      <c r="N83" s="27">
        <f>IF($G83="s-curve",$E83+($F83-$E83)*$I$2/(1+EXP($I$3*(COUNT($I$9:N$9)+$I$4))),TREND($E83:$F83,$E$9:$F$9,N$9))</f>
        <v>6.08023121013E-2</v>
      </c>
      <c r="O83" s="27">
        <f>IF($G83="s-curve",$E83+($F83-$E83)*$I$2/(1+EXP($I$3*(COUNT($I$9:O$9)+$I$4))),TREND($E83:$F83,$E$9:$F$9,O$9))</f>
        <v>6.08023121013E-2</v>
      </c>
      <c r="P83" s="27">
        <f>IF($G83="s-curve",$E83+($F83-$E83)*$I$2/(1+EXP($I$3*(COUNT($I$9:P$9)+$I$4))),TREND($E83:$F83,$E$9:$F$9,P$9))</f>
        <v>6.08023121013E-2</v>
      </c>
      <c r="Q83" s="27">
        <f>IF($G83="s-curve",$E83+($F83-$E83)*$I$2/(1+EXP($I$3*(COUNT($I$9:Q$9)+$I$4))),TREND($E83:$F83,$E$9:$F$9,Q$9))</f>
        <v>6.08023121013E-2</v>
      </c>
      <c r="R83" s="27">
        <f>IF($G83="s-curve",$E83+($F83-$E83)*$I$2/(1+EXP($I$3*(COUNT($I$9:R$9)+$I$4))),TREND($E83:$F83,$E$9:$F$9,R$9))</f>
        <v>6.08023121013E-2</v>
      </c>
      <c r="S83" s="27">
        <f>IF($G83="s-curve",$E83+($F83-$E83)*$I$2/(1+EXP($I$3*(COUNT($I$9:S$9)+$I$4))),TREND($E83:$F83,$E$9:$F$9,S$9))</f>
        <v>6.08023121013E-2</v>
      </c>
      <c r="T83" s="27">
        <f>IF($G83="s-curve",$E83+($F83-$E83)*$I$2/(1+EXP($I$3*(COUNT($I$9:T$9)+$I$4))),TREND($E83:$F83,$E$9:$F$9,T$9))</f>
        <v>6.08023121013E-2</v>
      </c>
      <c r="U83" s="27">
        <f>IF($G83="s-curve",$E83+($F83-$E83)*$I$2/(1+EXP($I$3*(COUNT($I$9:U$9)+$I$4))),TREND($E83:$F83,$E$9:$F$9,U$9))</f>
        <v>6.08023121013E-2</v>
      </c>
      <c r="V83" s="27">
        <f>IF($G83="s-curve",$E83+($F83-$E83)*$I$2/(1+EXP($I$3*(COUNT($I$9:V$9)+$I$4))),TREND($E83:$F83,$E$9:$F$9,V$9))</f>
        <v>6.08023121013E-2</v>
      </c>
      <c r="W83" s="27">
        <f>IF($G83="s-curve",$E83+($F83-$E83)*$I$2/(1+EXP($I$3*(COUNT($I$9:W$9)+$I$4))),TREND($E83:$F83,$E$9:$F$9,W$9))</f>
        <v>6.08023121013E-2</v>
      </c>
      <c r="X83" s="27">
        <f>IF($G83="s-curve",$E83+($F83-$E83)*$I$2/(1+EXP($I$3*(COUNT($I$9:X$9)+$I$4))),TREND($E83:$F83,$E$9:$F$9,X$9))</f>
        <v>6.08023121013E-2</v>
      </c>
      <c r="Y83" s="27">
        <f>IF($G83="s-curve",$E83+($F83-$E83)*$I$2/(1+EXP($I$3*(COUNT($I$9:Y$9)+$I$4))),TREND($E83:$F83,$E$9:$F$9,Y$9))</f>
        <v>6.08023121013E-2</v>
      </c>
      <c r="Z83" s="27">
        <f>IF($G83="s-curve",$E83+($F83-$E83)*$I$2/(1+EXP($I$3*(COUNT($I$9:Z$9)+$I$4))),TREND($E83:$F83,$E$9:$F$9,Z$9))</f>
        <v>6.08023121013E-2</v>
      </c>
      <c r="AA83" s="27">
        <f>IF($G83="s-curve",$E83+($F83-$E83)*$I$2/(1+EXP($I$3*(COUNT($I$9:AA$9)+$I$4))),TREND($E83:$F83,$E$9:$F$9,AA$9))</f>
        <v>6.08023121013E-2</v>
      </c>
      <c r="AB83" s="27">
        <f>IF($G83="s-curve",$E83+($F83-$E83)*$I$2/(1+EXP($I$3*(COUNT($I$9:AB$9)+$I$4))),TREND($E83:$F83,$E$9:$F$9,AB$9))</f>
        <v>6.08023121013E-2</v>
      </c>
      <c r="AC83" s="27">
        <f>IF($G83="s-curve",$E83+($F83-$E83)*$I$2/(1+EXP($I$3*(COUNT($I$9:AC$9)+$I$4))),TREND($E83:$F83,$E$9:$F$9,AC$9))</f>
        <v>6.08023121013E-2</v>
      </c>
      <c r="AD83" s="27">
        <f>IF($G83="s-curve",$E83+($F83-$E83)*$I$2/(1+EXP($I$3*(COUNT($I$9:AD$9)+$I$4))),TREND($E83:$F83,$E$9:$F$9,AD$9))</f>
        <v>6.08023121013E-2</v>
      </c>
      <c r="AE83" s="27">
        <f>IF($G83="s-curve",$E83+($F83-$E83)*$I$2/(1+EXP($I$3*(COUNT($I$9:AE$9)+$I$4))),TREND($E83:$F83,$E$9:$F$9,AE$9))</f>
        <v>6.08023121013E-2</v>
      </c>
      <c r="AF83" s="27">
        <f>IF($G83="s-curve",$E83+($F83-$E83)*$I$2/(1+EXP($I$3*(COUNT($I$9:AF$9)+$I$4))),TREND($E83:$F83,$E$9:$F$9,AF$9))</f>
        <v>6.08023121013E-2</v>
      </c>
      <c r="AG83" s="27">
        <f>IF($G83="s-curve",$E83+($F83-$E83)*$I$2/(1+EXP($I$3*(COUNT($I$9:AG$9)+$I$4))),TREND($E83:$F83,$E$9:$F$9,AG$9))</f>
        <v>6.08023121013E-2</v>
      </c>
      <c r="AH83" s="27">
        <f>IF($G83="s-curve",$E83+($F83-$E83)*$I$2/(1+EXP($I$3*(COUNT($I$9:AH$9)+$I$4))),TREND($E83:$F83,$E$9:$F$9,AH$9))</f>
        <v>6.08023121013E-2</v>
      </c>
      <c r="AI83" s="27">
        <f>IF($G83="s-curve",$E83+($F83-$E83)*$I$2/(1+EXP($I$3*(COUNT($I$9:AI$9)+$I$4))),TREND($E83:$F83,$E$9:$F$9,AI$9))</f>
        <v>6.08023121013E-2</v>
      </c>
      <c r="AJ83" s="27">
        <f>IF($G83="s-curve",$E83+($F83-$E83)*$I$2/(1+EXP($I$3*(COUNT($I$9:AJ$9)+$I$4))),TREND($E83:$F83,$E$9:$F$9,AJ$9))</f>
        <v>6.08023121013E-2</v>
      </c>
      <c r="AK83" s="27">
        <f>IF($G83="s-curve",$E83+($F83-$E83)*$I$2/(1+EXP($I$3*(COUNT($I$9:AK$9)+$I$4))),TREND($E83:$F83,$E$9:$F$9,AK$9))</f>
        <v>6.08023121013E-2</v>
      </c>
      <c r="AL83" s="27">
        <f>IF($G83="s-curve",$E83+($F83-$E83)*$I$2/(1+EXP($I$3*(COUNT($I$9:AL$9)+$I$4))),TREND($E83:$F83,$E$9:$F$9,AL$9))</f>
        <v>6.08023121013E-2</v>
      </c>
      <c r="AM83" s="27">
        <f>IF($G83="s-curve",$E83+($F83-$E83)*$I$2/(1+EXP($I$3*(COUNT($I$9:AM$9)+$I$4))),TREND($E83:$F83,$E$9:$F$9,AM$9))</f>
        <v>6.08023121013E-2</v>
      </c>
      <c r="AN83" s="27">
        <f>IF($G83="s-curve",$E83+($F83-$E83)*$I$2/(1+EXP($I$3*(COUNT($I$9:AN$9)+$I$4))),TREND($E83:$F83,$E$9:$F$9,AN$9))</f>
        <v>6.08023121013E-2</v>
      </c>
      <c r="AO83" s="27">
        <f>IF($G83="s-curve",$E83+($F83-$E83)*$I$2/(1+EXP($I$3*(COUNT($I$9:AO$9)+$I$4))),TREND($E83:$F83,$E$9:$F$9,AO$9))</f>
        <v>6.08023121013E-2</v>
      </c>
      <c r="AP83" s="27">
        <f>IF($G83="s-curve",$E83+($F83-$E83)*$I$2/(1+EXP($I$3*(COUNT($I$9:AP$9)+$I$4))),TREND($E83:$F83,$E$9:$F$9,AP$9))</f>
        <v>6.08023121013E-2</v>
      </c>
      <c r="AQ83" s="27">
        <f>IF($G83="s-curve",$E83+($F83-$E83)*$I$2/(1+EXP($I$3*(COUNT($I$9:AQ$9)+$I$4))),TREND($E83:$F83,$E$9:$F$9,AQ$9))</f>
        <v>6.08023121013E-2</v>
      </c>
      <c r="AR83" s="27">
        <f>IF($G83="s-curve",$E83+($F83-$E83)*$I$2/(1+EXP($I$3*(COUNT($I$9:AR$9)+$I$4))),TREND($E83:$F83,$E$9:$F$9,AR$9))</f>
        <v>6.08023121013E-2</v>
      </c>
      <c r="AS83" s="27">
        <f>IF($G83="s-curve",$E83+($F83-$E83)*$I$2/(1+EXP($I$3*(COUNT($I$9:AS$9)+$I$4))),TREND($E83:$F83,$E$9:$F$9,AS$9))</f>
        <v>6.08023121013E-2</v>
      </c>
      <c r="AT83" s="27">
        <f>IF($G83="s-curve",$E83+($F83-$E83)*$I$2/(1+EXP($I$3*(COUNT($I$9:AT$9)+$I$4))),TREND($E83:$F83,$E$9:$F$9,AT$9))</f>
        <v>6.08023121013E-2</v>
      </c>
      <c r="AU83" s="27">
        <f>IF($G83="s-curve",$E83+($F83-$E83)*$I$2/(1+EXP($I$3*(COUNT($I$9:AU$9)+$I$4))),TREND($E83:$F83,$E$9:$F$9,AU$9))</f>
        <v>6.08023121013E-2</v>
      </c>
      <c r="AV83" s="27">
        <f>IF($G83="s-curve",$E83+($F83-$E83)*$I$2/(1+EXP($I$3*(COUNT($I$9:AV$9)+$I$4))),TREND($E83:$F83,$E$9:$F$9,AV$9))</f>
        <v>6.08023121013E-2</v>
      </c>
      <c r="AW83" s="27">
        <f>IF($G83="s-curve",$E83+($F83-$E83)*$I$2/(1+EXP($I$3*(COUNT($I$9:AW$9)+$I$4))),TREND($E83:$F83,$E$9:$F$9,AW$9))</f>
        <v>6.08023121013E-2</v>
      </c>
      <c r="AX83" s="27">
        <f>IF($G83="s-curve",$E83+($F83-$E83)*$I$2/(1+EXP($I$3*(COUNT($I$9:AX$9)+$I$4))),TREND($E83:$F83,$E$9:$F$9,AX$9))</f>
        <v>6.08023121013E-2</v>
      </c>
      <c r="AY83" s="27">
        <f>IF($G83="s-curve",$E83+($F83-$E83)*$I$2/(1+EXP($I$3*(COUNT($I$9:AY$9)+$I$4))),TREND($E83:$F83,$E$9:$F$9,AY$9))</f>
        <v>6.08023121013E-2</v>
      </c>
      <c r="AZ83" s="27">
        <f>IF($G83="s-curve",$E83+($F83-$E83)*$I$2/(1+EXP($I$3*(COUNT($I$9:AZ$9)+$I$4))),TREND($E83:$F83,$E$9:$F$9,AZ$9))</f>
        <v>6.08023121013E-2</v>
      </c>
      <c r="BA83" s="27">
        <f>IF($G83="s-curve",$E83+($F83-$E83)*$I$2/(1+EXP($I$3*(COUNT($I$9:BA$9)+$I$4))),TREND($E83:$F83,$E$9:$F$9,BA$9))</f>
        <v>6.08023121013E-2</v>
      </c>
      <c r="BB83" s="27">
        <f>IF($G83="s-curve",$E83+($F83-$E83)*$I$2/(1+EXP($I$3*(COUNT($I$9:BB$9)+$I$4))),TREND($E83:$F83,$E$9:$F$9,BB$9))</f>
        <v>6.08023121013E-2</v>
      </c>
      <c r="BC83" s="27">
        <f>IF($G83="s-curve",$E83+($F83-$E83)*$I$2/(1+EXP($I$3*(COUNT($I$9:BC$9)+$I$4))),TREND($E83:$F83,$E$9:$F$9,BC$9))</f>
        <v>6.08023121013E-2</v>
      </c>
      <c r="BD83" s="27">
        <f>IF($G83="s-curve",$E83+($F83-$E83)*$I$2/(1+EXP($I$3*(COUNT($I$9:BD$9)+$I$4))),TREND($E83:$F83,$E$9:$F$9,BD$9))</f>
        <v>6.08023121013E-2</v>
      </c>
      <c r="BE83" s="27">
        <f>IF($G83="s-curve",$E83+($F83-$E83)*$I$2/(1+EXP($I$3*(COUNT($I$9:BE$9)+$I$4))),TREND($E83:$F83,$E$9:$F$9,BE$9))</f>
        <v>6.08023121013E-2</v>
      </c>
      <c r="BF83" s="27">
        <f>IF($G83="s-curve",$E83+($F83-$E83)*$I$2/(1+EXP($I$3*(COUNT($I$9:BF$9)+$I$4))),TREND($E83:$F83,$E$9:$F$9,BF$9))</f>
        <v>6.08023121013E-2</v>
      </c>
    </row>
    <row r="84" spans="1:58" x14ac:dyDescent="0.75">
      <c r="C84" t="s">
        <v>5</v>
      </c>
      <c r="D84" s="26">
        <f t="shared" ref="D84:E84" si="23">D14</f>
        <v>1.5463740197399999E-2</v>
      </c>
      <c r="E84" s="26">
        <f t="shared" si="23"/>
        <v>0</v>
      </c>
      <c r="F84" s="26">
        <f t="shared" ref="F84" si="24">F14</f>
        <v>1.54637401974</v>
      </c>
      <c r="G84" s="29" t="str">
        <f>IF(E84=F84,"n/a",IF(OR(C84="battery electric vehicle",C84="natural gas vehicle",C84="plugin hybrid vehicle"),"s-curve","linear"))</f>
        <v>s-curve</v>
      </c>
      <c r="I84" s="27">
        <f t="shared" si="15"/>
        <v>0</v>
      </c>
      <c r="J84" s="27">
        <f t="shared" si="16"/>
        <v>1.159780514805E-2</v>
      </c>
      <c r="K84" s="27">
        <f t="shared" si="16"/>
        <v>7.7318700987000014E-3</v>
      </c>
      <c r="L84" s="27">
        <f t="shared" si="16"/>
        <v>3.8659350493500024E-3</v>
      </c>
      <c r="M84" s="27">
        <f>IF($G84="s-curve",$E84+($F84-$E84)*$I$2/(1+EXP($I$3*(COUNT($I$9:M$9)+$I$4))),TREND($E84:$F84,$E$9:$F$9,M$9))</f>
        <v>5.5006362942458774E-2</v>
      </c>
      <c r="N84" s="27">
        <f>IF($G84="s-curve",$E84+($F84-$E84)*$I$2/(1+EXP($I$3*(COUNT($I$9:N$9)+$I$4))),TREND($E84:$F84,$E$9:$F$9,N$9))</f>
        <v>7.3338138145273388E-2</v>
      </c>
      <c r="O84" s="27">
        <f>IF($G84="s-curve",$E84+($F84-$E84)*$I$2/(1+EXP($I$3*(COUNT($I$9:O$9)+$I$4))),TREND($E84:$F84,$E$9:$F$9,O$9))</f>
        <v>9.7380361742375965E-2</v>
      </c>
      <c r="P84" s="27">
        <f>IF($G84="s-curve",$E84+($F84-$E84)*$I$2/(1+EXP($I$3*(COUNT($I$9:P$9)+$I$4))),TREND($E84:$F84,$E$9:$F$9,P$9))</f>
        <v>0.12861609700992174</v>
      </c>
      <c r="Q84" s="27">
        <f>IF($G84="s-curve",$E84+($F84-$E84)*$I$2/(1+EXP($I$3*(COUNT($I$9:Q$9)+$I$4))),TREND($E84:$F84,$E$9:$F$9,Q$9))</f>
        <v>0.16870448993311599</v>
      </c>
      <c r="R84" s="27">
        <f>IF($G84="s-curve",$E84+($F84-$E84)*$I$2/(1+EXP($I$3*(COUNT($I$9:R$9)+$I$4))),TREND($E84:$F84,$E$9:$F$9,R$9))</f>
        <v>0.21935480143456695</v>
      </c>
      <c r="S84" s="27">
        <f>IF($G84="s-curve",$E84+($F84-$E84)*$I$2/(1+EXP($I$3*(COUNT($I$9:S$9)+$I$4))),TREND($E84:$F84,$E$9:$F$9,S$9))</f>
        <v>0.28209809055161034</v>
      </c>
      <c r="T84" s="27">
        <f>IF($G84="s-curve",$E84+($F84-$E84)*$I$2/(1+EXP($I$3*(COUNT($I$9:T$9)+$I$4))),TREND($E84:$F84,$E$9:$F$9,T$9))</f>
        <v>0.35794726101081087</v>
      </c>
      <c r="U84" s="27">
        <f>IF($G84="s-curve",$E84+($F84-$E84)*$I$2/(1+EXP($I$3*(COUNT($I$9:U$9)+$I$4))),TREND($E84:$F84,$E$9:$F$9,U$9))</f>
        <v>0.44698017953361896</v>
      </c>
      <c r="V84" s="27">
        <f>IF($G84="s-curve",$E84+($F84-$E84)*$I$2/(1+EXP($I$3*(COUNT($I$9:V$9)+$I$4))),TREND($E84:$F84,$E$9:$F$9,V$9))</f>
        <v>0.54794788211113632</v>
      </c>
      <c r="W84" s="27">
        <f>IF($G84="s-curve",$E84+($F84-$E84)*$I$2/(1+EXP($I$3*(COUNT($I$9:W$9)+$I$4))),TREND($E84:$F84,$E$9:$F$9,W$9))</f>
        <v>0.65807103590839233</v>
      </c>
      <c r="X84" s="27">
        <f>IF($G84="s-curve",$E84+($F84-$E84)*$I$2/(1+EXP($I$3*(COUNT($I$9:X$9)+$I$4))),TREND($E84:$F84,$E$9:$F$9,X$9))</f>
        <v>0.77318700987</v>
      </c>
      <c r="Y84" s="27">
        <f>IF($G84="s-curve",$E84+($F84-$E84)*$I$2/(1+EXP($I$3*(COUNT($I$9:Y$9)+$I$4))),TREND($E84:$F84,$E$9:$F$9,Y$9))</f>
        <v>0.88830298383160766</v>
      </c>
      <c r="Z84" s="27">
        <f>IF($G84="s-curve",$E84+($F84-$E84)*$I$2/(1+EXP($I$3*(COUNT($I$9:Z$9)+$I$4))),TREND($E84:$F84,$E$9:$F$9,Z$9))</f>
        <v>0.99842613762886367</v>
      </c>
      <c r="AA84" s="27">
        <f>IF($G84="s-curve",$E84+($F84-$E84)*$I$2/(1+EXP($I$3*(COUNT($I$9:AA$9)+$I$4))),TREND($E84:$F84,$E$9:$F$9,AA$9))</f>
        <v>1.099393840206381</v>
      </c>
      <c r="AB84" s="27">
        <f>IF($G84="s-curve",$E84+($F84-$E84)*$I$2/(1+EXP($I$3*(COUNT($I$9:AB$9)+$I$4))),TREND($E84:$F84,$E$9:$F$9,AB$9))</f>
        <v>1.188426758729189</v>
      </c>
      <c r="AC84" s="27">
        <f>IF($G84="s-curve",$E84+($F84-$E84)*$I$2/(1+EXP($I$3*(COUNT($I$9:AC$9)+$I$4))),TREND($E84:$F84,$E$9:$F$9,AC$9))</f>
        <v>1.2642759291883896</v>
      </c>
      <c r="AD84" s="27">
        <f>IF($G84="s-curve",$E84+($F84-$E84)*$I$2/(1+EXP($I$3*(COUNT($I$9:AD$9)+$I$4))),TREND($E84:$F84,$E$9:$F$9,AD$9))</f>
        <v>1.3270192183054332</v>
      </c>
      <c r="AE84" s="27">
        <f>IF($G84="s-curve",$E84+($F84-$E84)*$I$2/(1+EXP($I$3*(COUNT($I$9:AE$9)+$I$4))),TREND($E84:$F84,$E$9:$F$9,AE$9))</f>
        <v>1.377669529806884</v>
      </c>
      <c r="AF84" s="27">
        <f>IF($G84="s-curve",$E84+($F84-$E84)*$I$2/(1+EXP($I$3*(COUNT($I$9:AF$9)+$I$4))),TREND($E84:$F84,$E$9:$F$9,AF$9))</f>
        <v>1.4177579227300783</v>
      </c>
      <c r="AG84" s="27">
        <f>IF($G84="s-curve",$E84+($F84-$E84)*$I$2/(1+EXP($I$3*(COUNT($I$9:AG$9)+$I$4))),TREND($E84:$F84,$E$9:$F$9,AG$9))</f>
        <v>1.4489936579976241</v>
      </c>
      <c r="AH84" s="27">
        <f>IF($G84="s-curve",$E84+($F84-$E84)*$I$2/(1+EXP($I$3*(COUNT($I$9:AH$9)+$I$4))),TREND($E84:$F84,$E$9:$F$9,AH$9))</f>
        <v>1.4730358815947266</v>
      </c>
      <c r="AI84" s="27">
        <f>IF($G84="s-curve",$E84+($F84-$E84)*$I$2/(1+EXP($I$3*(COUNT($I$9:AI$9)+$I$4))),TREND($E84:$F84,$E$9:$F$9,AI$9))</f>
        <v>1.4913676567975414</v>
      </c>
      <c r="AJ84" s="27">
        <f>IF($G84="s-curve",$E84+($F84-$E84)*$I$2/(1+EXP($I$3*(COUNT($I$9:AJ$9)+$I$4))),TREND($E84:$F84,$E$9:$F$9,AJ$9))</f>
        <v>1.5052451198695429</v>
      </c>
      <c r="AK84" s="27">
        <f>IF($G84="s-curve",$E84+($F84-$E84)*$I$2/(1+EXP($I$3*(COUNT($I$9:AK$9)+$I$4))),TREND($E84:$F84,$E$9:$F$9,AK$9))</f>
        <v>1.515693486409124</v>
      </c>
      <c r="AL84" s="27">
        <f>IF($G84="s-curve",$E84+($F84-$E84)*$I$2/(1+EXP($I$3*(COUNT($I$9:AL$9)+$I$4))),TREND($E84:$F84,$E$9:$F$9,AL$9))</f>
        <v>1.5235278409627071</v>
      </c>
      <c r="AM84" s="27">
        <f>IF($G84="s-curve",$E84+($F84-$E84)*$I$2/(1+EXP($I$3*(COUNT($I$9:AM$9)+$I$4))),TREND($E84:$F84,$E$9:$F$9,AM$9))</f>
        <v>1.5293840970996768</v>
      </c>
      <c r="AN84" s="27">
        <f>IF($G84="s-curve",$E84+($F84-$E84)*$I$2/(1+EXP($I$3*(COUNT($I$9:AN$9)+$I$4))),TREND($E84:$F84,$E$9:$F$9,AN$9))</f>
        <v>1.5337516317744744</v>
      </c>
      <c r="AO84" s="27">
        <f>IF($G84="s-curve",$E84+($F84-$E84)*$I$2/(1+EXP($I$3*(COUNT($I$9:AO$9)+$I$4))),TREND($E84:$F84,$E$9:$F$9,AO$9))</f>
        <v>1.5370033001486325</v>
      </c>
      <c r="AP84" s="27">
        <f>IF($G84="s-curve",$E84+($F84-$E84)*$I$2/(1+EXP($I$3*(COUNT($I$9:AP$9)+$I$4))),TREND($E84:$F84,$E$9:$F$9,AP$9))</f>
        <v>1.5394210997382662</v>
      </c>
      <c r="AQ84" s="27">
        <f>IF($G84="s-curve",$E84+($F84-$E84)*$I$2/(1+EXP($I$3*(COUNT($I$9:AQ$9)+$I$4))),TREND($E84:$F84,$E$9:$F$9,AQ$9))</f>
        <v>1.541217160358977</v>
      </c>
      <c r="AR84" s="27">
        <f>IF($G84="s-curve",$E84+($F84-$E84)*$I$2/(1+EXP($I$3*(COUNT($I$9:AR$9)+$I$4))),TREND($E84:$F84,$E$9:$F$9,AR$9))</f>
        <v>1.5425504195299726</v>
      </c>
      <c r="AS84" s="27">
        <f>IF($G84="s-curve",$E84+($F84-$E84)*$I$2/(1+EXP($I$3*(COUNT($I$9:AS$9)+$I$4))),TREND($E84:$F84,$E$9:$F$9,AS$9))</f>
        <v>1.5435396105795594</v>
      </c>
      <c r="AT84" s="27">
        <f>IF($G84="s-curve",$E84+($F84-$E84)*$I$2/(1+EXP($I$3*(COUNT($I$9:AT$9)+$I$4))),TREND($E84:$F84,$E$9:$F$9,AT$9))</f>
        <v>1.5442732397833583</v>
      </c>
      <c r="AU84" s="27">
        <f>IF($G84="s-curve",$E84+($F84-$E84)*$I$2/(1+EXP($I$3*(COUNT($I$9:AU$9)+$I$4))),TREND($E84:$F84,$E$9:$F$9,AU$9))</f>
        <v>1.5448171754999873</v>
      </c>
      <c r="AV84" s="27">
        <f>IF($G84="s-curve",$E84+($F84-$E84)*$I$2/(1+EXP($I$3*(COUNT($I$9:AV$9)+$I$4))),TREND($E84:$F84,$E$9:$F$9,AV$9))</f>
        <v>1.5452203801333781</v>
      </c>
      <c r="AW84" s="27">
        <f>IF($G84="s-curve",$E84+($F84-$E84)*$I$2/(1+EXP($I$3*(COUNT($I$9:AW$9)+$I$4))),TREND($E84:$F84,$E$9:$F$9,AW$9))</f>
        <v>1.5455192172171941</v>
      </c>
      <c r="AX84" s="27">
        <f>IF($G84="s-curve",$E84+($F84-$E84)*$I$2/(1+EXP($I$3*(COUNT($I$9:AX$9)+$I$4))),TREND($E84:$F84,$E$9:$F$9,AX$9))</f>
        <v>1.5457406757167269</v>
      </c>
      <c r="AY84" s="27">
        <f>IF($G84="s-curve",$E84+($F84-$E84)*$I$2/(1+EXP($I$3*(COUNT($I$9:AY$9)+$I$4))),TREND($E84:$F84,$E$9:$F$9,AY$9))</f>
        <v>1.5459047771363961</v>
      </c>
      <c r="AZ84" s="27">
        <f>IF($G84="s-curve",$E84+($F84-$E84)*$I$2/(1+EXP($I$3*(COUNT($I$9:AZ$9)+$I$4))),TREND($E84:$F84,$E$9:$F$9,AZ$9))</f>
        <v>1.5460263689273093</v>
      </c>
      <c r="BA84" s="27">
        <f>IF($G84="s-curve",$E84+($F84-$E84)*$I$2/(1+EXP($I$3*(COUNT($I$9:BA$9)+$I$4))),TREND($E84:$F84,$E$9:$F$9,BA$9))</f>
        <v>1.5461164586758502</v>
      </c>
      <c r="BB84" s="27">
        <f>IF($G84="s-curve",$E84+($F84-$E84)*$I$2/(1+EXP($I$3*(COUNT($I$9:BB$9)+$I$4))),TREND($E84:$F84,$E$9:$F$9,BB$9))</f>
        <v>1.5461832055735178</v>
      </c>
      <c r="BC84" s="27">
        <f>IF($G84="s-curve",$E84+($F84-$E84)*$I$2/(1+EXP($I$3*(COUNT($I$9:BC$9)+$I$4))),TREND($E84:$F84,$E$9:$F$9,BC$9))</f>
        <v>1.5462326566076832</v>
      </c>
      <c r="BD84" s="27">
        <f>IF($G84="s-curve",$E84+($F84-$E84)*$I$2/(1+EXP($I$3*(COUNT($I$9:BD$9)+$I$4))),TREND($E84:$F84,$E$9:$F$9,BD$9))</f>
        <v>1.5462692928745192</v>
      </c>
      <c r="BE84" s="27">
        <f>IF($G84="s-curve",$E84+($F84-$E84)*$I$2/(1+EXP($I$3*(COUNT($I$9:BE$9)+$I$4))),TREND($E84:$F84,$E$9:$F$9,BE$9))</f>
        <v>1.5462964348080188</v>
      </c>
      <c r="BF84" s="27">
        <f>IF($G84="s-curve",$E84+($F84-$E84)*$I$2/(1+EXP($I$3*(COUNT($I$9:BF$9)+$I$4))),TREND($E84:$F84,$E$9:$F$9,BF$9))</f>
        <v>1.5463165426613228</v>
      </c>
    </row>
    <row r="85" spans="1:58" x14ac:dyDescent="0.75">
      <c r="C85" t="s">
        <v>31</v>
      </c>
      <c r="D85" s="26">
        <f t="shared" ref="D85:E85" si="25">D15</f>
        <v>0</v>
      </c>
      <c r="E85" s="26">
        <f t="shared" si="25"/>
        <v>0</v>
      </c>
      <c r="F85" s="26">
        <f t="shared" ref="F85" si="26">F15</f>
        <v>0</v>
      </c>
      <c r="G85" s="29" t="str">
        <f>IF(E85=F85,"n/a",IF(OR(C85="battery electric vehicle",C85="natural gas vehicle",C85="plugin hybrid vehicle",C85="hydrogen vehicle"),"s-curve","linear"))</f>
        <v>n/a</v>
      </c>
      <c r="I85" s="27">
        <f t="shared" si="15"/>
        <v>0</v>
      </c>
      <c r="J85" s="27">
        <f t="shared" si="16"/>
        <v>0</v>
      </c>
      <c r="K85" s="27">
        <f t="shared" si="16"/>
        <v>0</v>
      </c>
      <c r="L85" s="27">
        <f t="shared" si="16"/>
        <v>0</v>
      </c>
      <c r="M85" s="27">
        <f>IF($G85="s-curve",$E85+($F85-$E85)*$I$2/(1+EXP($I$3*(COUNT($I$9:M$9)+$I$4))),TREND($E85:$F85,$E$9:$F$9,M$9))</f>
        <v>0</v>
      </c>
      <c r="N85" s="27">
        <f>IF($G85="s-curve",$E85+($F85-$E85)*$I$2/(1+EXP($I$3*(COUNT($I$9:N$9)+$I$4))),TREND($E85:$F85,$E$9:$F$9,N$9))</f>
        <v>0</v>
      </c>
      <c r="O85" s="27">
        <f>IF($G85="s-curve",$E85+($F85-$E85)*$I$2/(1+EXP($I$3*(COUNT($I$9:O$9)+$I$4))),TREND($E85:$F85,$E$9:$F$9,O$9))</f>
        <v>0</v>
      </c>
      <c r="P85" s="27">
        <f>IF($G85="s-curve",$E85+($F85-$E85)*$I$2/(1+EXP($I$3*(COUNT($I$9:P$9)+$I$4))),TREND($E85:$F85,$E$9:$F$9,P$9))</f>
        <v>0</v>
      </c>
      <c r="Q85" s="27">
        <f>IF($G85="s-curve",$E85+($F85-$E85)*$I$2/(1+EXP($I$3*(COUNT($I$9:Q$9)+$I$4))),TREND($E85:$F85,$E$9:$F$9,Q$9))</f>
        <v>0</v>
      </c>
      <c r="R85" s="27">
        <f>IF($G85="s-curve",$E85+($F85-$E85)*$I$2/(1+EXP($I$3*(COUNT($I$9:R$9)+$I$4))),TREND($E85:$F85,$E$9:$F$9,R$9))</f>
        <v>0</v>
      </c>
      <c r="S85" s="27">
        <f>IF($G85="s-curve",$E85+($F85-$E85)*$I$2/(1+EXP($I$3*(COUNT($I$9:S$9)+$I$4))),TREND($E85:$F85,$E$9:$F$9,S$9))</f>
        <v>0</v>
      </c>
      <c r="T85" s="27">
        <f>IF($G85="s-curve",$E85+($F85-$E85)*$I$2/(1+EXP($I$3*(COUNT($I$9:T$9)+$I$4))),TREND($E85:$F85,$E$9:$F$9,T$9))</f>
        <v>0</v>
      </c>
      <c r="U85" s="27">
        <f>IF($G85="s-curve",$E85+($F85-$E85)*$I$2/(1+EXP($I$3*(COUNT($I$9:U$9)+$I$4))),TREND($E85:$F85,$E$9:$F$9,U$9))</f>
        <v>0</v>
      </c>
      <c r="V85" s="27">
        <f>IF($G85="s-curve",$E85+($F85-$E85)*$I$2/(1+EXP($I$3*(COUNT($I$9:V$9)+$I$4))),TREND($E85:$F85,$E$9:$F$9,V$9))</f>
        <v>0</v>
      </c>
      <c r="W85" s="27">
        <f>IF($G85="s-curve",$E85+($F85-$E85)*$I$2/(1+EXP($I$3*(COUNT($I$9:W$9)+$I$4))),TREND($E85:$F85,$E$9:$F$9,W$9))</f>
        <v>0</v>
      </c>
      <c r="X85" s="27">
        <f>IF($G85="s-curve",$E85+($F85-$E85)*$I$2/(1+EXP($I$3*(COUNT($I$9:X$9)+$I$4))),TREND($E85:$F85,$E$9:$F$9,X$9))</f>
        <v>0</v>
      </c>
      <c r="Y85" s="27">
        <f>IF($G85="s-curve",$E85+($F85-$E85)*$I$2/(1+EXP($I$3*(COUNT($I$9:Y$9)+$I$4))),TREND($E85:$F85,$E$9:$F$9,Y$9))</f>
        <v>0</v>
      </c>
      <c r="Z85" s="27">
        <f>IF($G85="s-curve",$E85+($F85-$E85)*$I$2/(1+EXP($I$3*(COUNT($I$9:Z$9)+$I$4))),TREND($E85:$F85,$E$9:$F$9,Z$9))</f>
        <v>0</v>
      </c>
      <c r="AA85" s="27">
        <f>IF($G85="s-curve",$E85+($F85-$E85)*$I$2/(1+EXP($I$3*(COUNT($I$9:AA$9)+$I$4))),TREND($E85:$F85,$E$9:$F$9,AA$9))</f>
        <v>0</v>
      </c>
      <c r="AB85" s="27">
        <f>IF($G85="s-curve",$E85+($F85-$E85)*$I$2/(1+EXP($I$3*(COUNT($I$9:AB$9)+$I$4))),TREND($E85:$F85,$E$9:$F$9,AB$9))</f>
        <v>0</v>
      </c>
      <c r="AC85" s="27">
        <f>IF($G85="s-curve",$E85+($F85-$E85)*$I$2/(1+EXP($I$3*(COUNT($I$9:AC$9)+$I$4))),TREND($E85:$F85,$E$9:$F$9,AC$9))</f>
        <v>0</v>
      </c>
      <c r="AD85" s="27">
        <f>IF($G85="s-curve",$E85+($F85-$E85)*$I$2/(1+EXP($I$3*(COUNT($I$9:AD$9)+$I$4))),TREND($E85:$F85,$E$9:$F$9,AD$9))</f>
        <v>0</v>
      </c>
      <c r="AE85" s="27">
        <f>IF($G85="s-curve",$E85+($F85-$E85)*$I$2/(1+EXP($I$3*(COUNT($I$9:AE$9)+$I$4))),TREND($E85:$F85,$E$9:$F$9,AE$9))</f>
        <v>0</v>
      </c>
      <c r="AF85" s="27">
        <f>IF($G85="s-curve",$E85+($F85-$E85)*$I$2/(1+EXP($I$3*(COUNT($I$9:AF$9)+$I$4))),TREND($E85:$F85,$E$9:$F$9,AF$9))</f>
        <v>0</v>
      </c>
      <c r="AG85" s="27">
        <f>IF($G85="s-curve",$E85+($F85-$E85)*$I$2/(1+EXP($I$3*(COUNT($I$9:AG$9)+$I$4))),TREND($E85:$F85,$E$9:$F$9,AG$9))</f>
        <v>0</v>
      </c>
      <c r="AH85" s="27">
        <f>IF($G85="s-curve",$E85+($F85-$E85)*$I$2/(1+EXP($I$3*(COUNT($I$9:AH$9)+$I$4))),TREND($E85:$F85,$E$9:$F$9,AH$9))</f>
        <v>0</v>
      </c>
      <c r="AI85" s="27">
        <f>IF($G85="s-curve",$E85+($F85-$E85)*$I$2/(1+EXP($I$3*(COUNT($I$9:AI$9)+$I$4))),TREND($E85:$F85,$E$9:$F$9,AI$9))</f>
        <v>0</v>
      </c>
      <c r="AJ85" s="27">
        <f>IF($G85="s-curve",$E85+($F85-$E85)*$I$2/(1+EXP($I$3*(COUNT($I$9:AJ$9)+$I$4))),TREND($E85:$F85,$E$9:$F$9,AJ$9))</f>
        <v>0</v>
      </c>
      <c r="AK85" s="27">
        <f>IF($G85="s-curve",$E85+($F85-$E85)*$I$2/(1+EXP($I$3*(COUNT($I$9:AK$9)+$I$4))),TREND($E85:$F85,$E$9:$F$9,AK$9))</f>
        <v>0</v>
      </c>
      <c r="AL85" s="27">
        <f>IF($G85="s-curve",$E85+($F85-$E85)*$I$2/(1+EXP($I$3*(COUNT($I$9:AL$9)+$I$4))),TREND($E85:$F85,$E$9:$F$9,AL$9))</f>
        <v>0</v>
      </c>
      <c r="AM85" s="27">
        <f>IF($G85="s-curve",$E85+($F85-$E85)*$I$2/(1+EXP($I$3*(COUNT($I$9:AM$9)+$I$4))),TREND($E85:$F85,$E$9:$F$9,AM$9))</f>
        <v>0</v>
      </c>
      <c r="AN85" s="27">
        <f>IF($G85="s-curve",$E85+($F85-$E85)*$I$2/(1+EXP($I$3*(COUNT($I$9:AN$9)+$I$4))),TREND($E85:$F85,$E$9:$F$9,AN$9))</f>
        <v>0</v>
      </c>
      <c r="AO85" s="27">
        <f>IF($G85="s-curve",$E85+($F85-$E85)*$I$2/(1+EXP($I$3*(COUNT($I$9:AO$9)+$I$4))),TREND($E85:$F85,$E$9:$F$9,AO$9))</f>
        <v>0</v>
      </c>
      <c r="AP85" s="27">
        <f>IF($G85="s-curve",$E85+($F85-$E85)*$I$2/(1+EXP($I$3*(COUNT($I$9:AP$9)+$I$4))),TREND($E85:$F85,$E$9:$F$9,AP$9))</f>
        <v>0</v>
      </c>
      <c r="AQ85" s="27">
        <f>IF($G85="s-curve",$E85+($F85-$E85)*$I$2/(1+EXP($I$3*(COUNT($I$9:AQ$9)+$I$4))),TREND($E85:$F85,$E$9:$F$9,AQ$9))</f>
        <v>0</v>
      </c>
      <c r="AR85" s="27">
        <f>IF($G85="s-curve",$E85+($F85-$E85)*$I$2/(1+EXP($I$3*(COUNT($I$9:AR$9)+$I$4))),TREND($E85:$F85,$E$9:$F$9,AR$9))</f>
        <v>0</v>
      </c>
      <c r="AS85" s="27">
        <f>IF($G85="s-curve",$E85+($F85-$E85)*$I$2/(1+EXP($I$3*(COUNT($I$9:AS$9)+$I$4))),TREND($E85:$F85,$E$9:$F$9,AS$9))</f>
        <v>0</v>
      </c>
      <c r="AT85" s="27">
        <f>IF($G85="s-curve",$E85+($F85-$E85)*$I$2/(1+EXP($I$3*(COUNT($I$9:AT$9)+$I$4))),TREND($E85:$F85,$E$9:$F$9,AT$9))</f>
        <v>0</v>
      </c>
      <c r="AU85" s="27">
        <f>IF($G85="s-curve",$E85+($F85-$E85)*$I$2/(1+EXP($I$3*(COUNT($I$9:AU$9)+$I$4))),TREND($E85:$F85,$E$9:$F$9,AU$9))</f>
        <v>0</v>
      </c>
      <c r="AV85" s="27">
        <f>IF($G85="s-curve",$E85+($F85-$E85)*$I$2/(1+EXP($I$3*(COUNT($I$9:AV$9)+$I$4))),TREND($E85:$F85,$E$9:$F$9,AV$9))</f>
        <v>0</v>
      </c>
      <c r="AW85" s="27">
        <f>IF($G85="s-curve",$E85+($F85-$E85)*$I$2/(1+EXP($I$3*(COUNT($I$9:AW$9)+$I$4))),TREND($E85:$F85,$E$9:$F$9,AW$9))</f>
        <v>0</v>
      </c>
      <c r="AX85" s="27">
        <f>IF($G85="s-curve",$E85+($F85-$E85)*$I$2/(1+EXP($I$3*(COUNT($I$9:AX$9)+$I$4))),TREND($E85:$F85,$E$9:$F$9,AX$9))</f>
        <v>0</v>
      </c>
      <c r="AY85" s="27">
        <f>IF($G85="s-curve",$E85+($F85-$E85)*$I$2/(1+EXP($I$3*(COUNT($I$9:AY$9)+$I$4))),TREND($E85:$F85,$E$9:$F$9,AY$9))</f>
        <v>0</v>
      </c>
      <c r="AZ85" s="27">
        <f>IF($G85="s-curve",$E85+($F85-$E85)*$I$2/(1+EXP($I$3*(COUNT($I$9:AZ$9)+$I$4))),TREND($E85:$F85,$E$9:$F$9,AZ$9))</f>
        <v>0</v>
      </c>
      <c r="BA85" s="27">
        <f>IF($G85="s-curve",$E85+($F85-$E85)*$I$2/(1+EXP($I$3*(COUNT($I$9:BA$9)+$I$4))),TREND($E85:$F85,$E$9:$F$9,BA$9))</f>
        <v>0</v>
      </c>
      <c r="BB85" s="27">
        <f>IF($G85="s-curve",$E85+($F85-$E85)*$I$2/(1+EXP($I$3*(COUNT($I$9:BB$9)+$I$4))),TREND($E85:$F85,$E$9:$F$9,BB$9))</f>
        <v>0</v>
      </c>
      <c r="BC85" s="27">
        <f>IF($G85="s-curve",$E85+($F85-$E85)*$I$2/(1+EXP($I$3*(COUNT($I$9:BC$9)+$I$4))),TREND($E85:$F85,$E$9:$F$9,BC$9))</f>
        <v>0</v>
      </c>
      <c r="BD85" s="27">
        <f>IF($G85="s-curve",$E85+($F85-$E85)*$I$2/(1+EXP($I$3*(COUNT($I$9:BD$9)+$I$4))),TREND($E85:$F85,$E$9:$F$9,BD$9))</f>
        <v>0</v>
      </c>
      <c r="BE85" s="27">
        <f>IF($G85="s-curve",$E85+($F85-$E85)*$I$2/(1+EXP($I$3*(COUNT($I$9:BE$9)+$I$4))),TREND($E85:$F85,$E$9:$F$9,BE$9))</f>
        <v>0</v>
      </c>
      <c r="BF85" s="27">
        <f>IF($G85="s-curve",$E85+($F85-$E85)*$I$2/(1+EXP($I$3*(COUNT($I$9:BF$9)+$I$4))),TREND($E85:$F85,$E$9:$F$9,BF$9))</f>
        <v>0</v>
      </c>
    </row>
    <row r="86" spans="1:58" ht="15.5" thickBot="1" x14ac:dyDescent="0.9">
      <c r="A86" s="16"/>
      <c r="B86" s="16"/>
      <c r="C86" s="16" t="s">
        <v>32</v>
      </c>
      <c r="D86" s="26">
        <f t="shared" ref="D86:E86" si="27">D16</f>
        <v>0</v>
      </c>
      <c r="E86" s="26">
        <f t="shared" si="27"/>
        <v>0</v>
      </c>
      <c r="F86" s="26">
        <f t="shared" ref="F86" si="28">F16</f>
        <v>0</v>
      </c>
      <c r="G86" s="32" t="str">
        <f>IF(E86=F86,"n/a",IF(OR(C86="battery electric vehicle",C86="natural gas vehicle",C86="plugin hybrid vehicle",C86="hydrogen vehicle"),"s-curve","linear"))</f>
        <v>n/a</v>
      </c>
      <c r="I86" s="27">
        <f t="shared" si="15"/>
        <v>0</v>
      </c>
      <c r="J86" s="27">
        <f t="shared" si="16"/>
        <v>0</v>
      </c>
      <c r="K86" s="27">
        <f t="shared" si="16"/>
        <v>0</v>
      </c>
      <c r="L86" s="27">
        <f t="shared" si="16"/>
        <v>0</v>
      </c>
      <c r="M86" s="27">
        <f>IF($G86="s-curve",$E86+($F86-$E86)*$I$2/(1+EXP($I$3*(COUNT($I$9:M$9)+$I$4))),TREND($E86:$F86,$E$9:$F$9,M$9))</f>
        <v>0</v>
      </c>
      <c r="N86" s="27">
        <f>IF($G86="s-curve",$E86+($F86-$E86)*$I$2/(1+EXP($I$3*(COUNT($I$9:N$9)+$I$4))),TREND($E86:$F86,$E$9:$F$9,N$9))</f>
        <v>0</v>
      </c>
      <c r="O86" s="27">
        <f>IF($G86="s-curve",$E86+($F86-$E86)*$I$2/(1+EXP($I$3*(COUNT($I$9:O$9)+$I$4))),TREND($E86:$F86,$E$9:$F$9,O$9))</f>
        <v>0</v>
      </c>
      <c r="P86" s="27">
        <f>IF($G86="s-curve",$E86+($F86-$E86)*$I$2/(1+EXP($I$3*(COUNT($I$9:P$9)+$I$4))),TREND($E86:$F86,$E$9:$F$9,P$9))</f>
        <v>0</v>
      </c>
      <c r="Q86" s="27">
        <f>IF($G86="s-curve",$E86+($F86-$E86)*$I$2/(1+EXP($I$3*(COUNT($I$9:Q$9)+$I$4))),TREND($E86:$F86,$E$9:$F$9,Q$9))</f>
        <v>0</v>
      </c>
      <c r="R86" s="27">
        <f>IF($G86="s-curve",$E86+($F86-$E86)*$I$2/(1+EXP($I$3*(COUNT($I$9:R$9)+$I$4))),TREND($E86:$F86,$E$9:$F$9,R$9))</f>
        <v>0</v>
      </c>
      <c r="S86" s="27">
        <f>IF($G86="s-curve",$E86+($F86-$E86)*$I$2/(1+EXP($I$3*(COUNT($I$9:S$9)+$I$4))),TREND($E86:$F86,$E$9:$F$9,S$9))</f>
        <v>0</v>
      </c>
      <c r="T86" s="27">
        <f>IF($G86="s-curve",$E86+($F86-$E86)*$I$2/(1+EXP($I$3*(COUNT($I$9:T$9)+$I$4))),TREND($E86:$F86,$E$9:$F$9,T$9))</f>
        <v>0</v>
      </c>
      <c r="U86" s="27">
        <f>IF($G86="s-curve",$E86+($F86-$E86)*$I$2/(1+EXP($I$3*(COUNT($I$9:U$9)+$I$4))),TREND($E86:$F86,$E$9:$F$9,U$9))</f>
        <v>0</v>
      </c>
      <c r="V86" s="27">
        <f>IF($G86="s-curve",$E86+($F86-$E86)*$I$2/(1+EXP($I$3*(COUNT($I$9:V$9)+$I$4))),TREND($E86:$F86,$E$9:$F$9,V$9))</f>
        <v>0</v>
      </c>
      <c r="W86" s="27">
        <f>IF($G86="s-curve",$E86+($F86-$E86)*$I$2/(1+EXP($I$3*(COUNT($I$9:W$9)+$I$4))),TREND($E86:$F86,$E$9:$F$9,W$9))</f>
        <v>0</v>
      </c>
      <c r="X86" s="27">
        <f>IF($G86="s-curve",$E86+($F86-$E86)*$I$2/(1+EXP($I$3*(COUNT($I$9:X$9)+$I$4))),TREND($E86:$F86,$E$9:$F$9,X$9))</f>
        <v>0</v>
      </c>
      <c r="Y86" s="27">
        <f>IF($G86="s-curve",$E86+($F86-$E86)*$I$2/(1+EXP($I$3*(COUNT($I$9:Y$9)+$I$4))),TREND($E86:$F86,$E$9:$F$9,Y$9))</f>
        <v>0</v>
      </c>
      <c r="Z86" s="27">
        <f>IF($G86="s-curve",$E86+($F86-$E86)*$I$2/(1+EXP($I$3*(COUNT($I$9:Z$9)+$I$4))),TREND($E86:$F86,$E$9:$F$9,Z$9))</f>
        <v>0</v>
      </c>
      <c r="AA86" s="27">
        <f>IF($G86="s-curve",$E86+($F86-$E86)*$I$2/(1+EXP($I$3*(COUNT($I$9:AA$9)+$I$4))),TREND($E86:$F86,$E$9:$F$9,AA$9))</f>
        <v>0</v>
      </c>
      <c r="AB86" s="27">
        <f>IF($G86="s-curve",$E86+($F86-$E86)*$I$2/(1+EXP($I$3*(COUNT($I$9:AB$9)+$I$4))),TREND($E86:$F86,$E$9:$F$9,AB$9))</f>
        <v>0</v>
      </c>
      <c r="AC86" s="27">
        <f>IF($G86="s-curve",$E86+($F86-$E86)*$I$2/(1+EXP($I$3*(COUNT($I$9:AC$9)+$I$4))),TREND($E86:$F86,$E$9:$F$9,AC$9))</f>
        <v>0</v>
      </c>
      <c r="AD86" s="27">
        <f>IF($G86="s-curve",$E86+($F86-$E86)*$I$2/(1+EXP($I$3*(COUNT($I$9:AD$9)+$I$4))),TREND($E86:$F86,$E$9:$F$9,AD$9))</f>
        <v>0</v>
      </c>
      <c r="AE86" s="27">
        <f>IF($G86="s-curve",$E86+($F86-$E86)*$I$2/(1+EXP($I$3*(COUNT($I$9:AE$9)+$I$4))),TREND($E86:$F86,$E$9:$F$9,AE$9))</f>
        <v>0</v>
      </c>
      <c r="AF86" s="27">
        <f>IF($G86="s-curve",$E86+($F86-$E86)*$I$2/(1+EXP($I$3*(COUNT($I$9:AF$9)+$I$4))),TREND($E86:$F86,$E$9:$F$9,AF$9))</f>
        <v>0</v>
      </c>
      <c r="AG86" s="27">
        <f>IF($G86="s-curve",$E86+($F86-$E86)*$I$2/(1+EXP($I$3*(COUNT($I$9:AG$9)+$I$4))),TREND($E86:$F86,$E$9:$F$9,AG$9))</f>
        <v>0</v>
      </c>
      <c r="AH86" s="27">
        <f>IF($G86="s-curve",$E86+($F86-$E86)*$I$2/(1+EXP($I$3*(COUNT($I$9:AH$9)+$I$4))),TREND($E86:$F86,$E$9:$F$9,AH$9))</f>
        <v>0</v>
      </c>
      <c r="AI86" s="27">
        <f>IF($G86="s-curve",$E86+($F86-$E86)*$I$2/(1+EXP($I$3*(COUNT($I$9:AI$9)+$I$4))),TREND($E86:$F86,$E$9:$F$9,AI$9))</f>
        <v>0</v>
      </c>
      <c r="AJ86" s="27">
        <f>IF($G86="s-curve",$E86+($F86-$E86)*$I$2/(1+EXP($I$3*(COUNT($I$9:AJ$9)+$I$4))),TREND($E86:$F86,$E$9:$F$9,AJ$9))</f>
        <v>0</v>
      </c>
      <c r="AK86" s="27">
        <f>IF($G86="s-curve",$E86+($F86-$E86)*$I$2/(1+EXP($I$3*(COUNT($I$9:AK$9)+$I$4))),TREND($E86:$F86,$E$9:$F$9,AK$9))</f>
        <v>0</v>
      </c>
      <c r="AL86" s="27">
        <f>IF($G86="s-curve",$E86+($F86-$E86)*$I$2/(1+EXP($I$3*(COUNT($I$9:AL$9)+$I$4))),TREND($E86:$F86,$E$9:$F$9,AL$9))</f>
        <v>0</v>
      </c>
      <c r="AM86" s="27">
        <f>IF($G86="s-curve",$E86+($F86-$E86)*$I$2/(1+EXP($I$3*(COUNT($I$9:AM$9)+$I$4))),TREND($E86:$F86,$E$9:$F$9,AM$9))</f>
        <v>0</v>
      </c>
      <c r="AN86" s="27">
        <f>IF($G86="s-curve",$E86+($F86-$E86)*$I$2/(1+EXP($I$3*(COUNT($I$9:AN$9)+$I$4))),TREND($E86:$F86,$E$9:$F$9,AN$9))</f>
        <v>0</v>
      </c>
      <c r="AO86" s="27">
        <f>IF($G86="s-curve",$E86+($F86-$E86)*$I$2/(1+EXP($I$3*(COUNT($I$9:AO$9)+$I$4))),TREND($E86:$F86,$E$9:$F$9,AO$9))</f>
        <v>0</v>
      </c>
      <c r="AP86" s="27">
        <f>IF($G86="s-curve",$E86+($F86-$E86)*$I$2/(1+EXP($I$3*(COUNT($I$9:AP$9)+$I$4))),TREND($E86:$F86,$E$9:$F$9,AP$9))</f>
        <v>0</v>
      </c>
      <c r="AQ86" s="27">
        <f>IF($G86="s-curve",$E86+($F86-$E86)*$I$2/(1+EXP($I$3*(COUNT($I$9:AQ$9)+$I$4))),TREND($E86:$F86,$E$9:$F$9,AQ$9))</f>
        <v>0</v>
      </c>
      <c r="AR86" s="27">
        <f>IF($G86="s-curve",$E86+($F86-$E86)*$I$2/(1+EXP($I$3*(COUNT($I$9:AR$9)+$I$4))),TREND($E86:$F86,$E$9:$F$9,AR$9))</f>
        <v>0</v>
      </c>
      <c r="AS86" s="27">
        <f>IF($G86="s-curve",$E86+($F86-$E86)*$I$2/(1+EXP($I$3*(COUNT($I$9:AS$9)+$I$4))),TREND($E86:$F86,$E$9:$F$9,AS$9))</f>
        <v>0</v>
      </c>
      <c r="AT86" s="27">
        <f>IF($G86="s-curve",$E86+($F86-$E86)*$I$2/(1+EXP($I$3*(COUNT($I$9:AT$9)+$I$4))),TREND($E86:$F86,$E$9:$F$9,AT$9))</f>
        <v>0</v>
      </c>
      <c r="AU86" s="27">
        <f>IF($G86="s-curve",$E86+($F86-$E86)*$I$2/(1+EXP($I$3*(COUNT($I$9:AU$9)+$I$4))),TREND($E86:$F86,$E$9:$F$9,AU$9))</f>
        <v>0</v>
      </c>
      <c r="AV86" s="27">
        <f>IF($G86="s-curve",$E86+($F86-$E86)*$I$2/(1+EXP($I$3*(COUNT($I$9:AV$9)+$I$4))),TREND($E86:$F86,$E$9:$F$9,AV$9))</f>
        <v>0</v>
      </c>
      <c r="AW86" s="27">
        <f>IF($G86="s-curve",$E86+($F86-$E86)*$I$2/(1+EXP($I$3*(COUNT($I$9:AW$9)+$I$4))),TREND($E86:$F86,$E$9:$F$9,AW$9))</f>
        <v>0</v>
      </c>
      <c r="AX86" s="27">
        <f>IF($G86="s-curve",$E86+($F86-$E86)*$I$2/(1+EXP($I$3*(COUNT($I$9:AX$9)+$I$4))),TREND($E86:$F86,$E$9:$F$9,AX$9))</f>
        <v>0</v>
      </c>
      <c r="AY86" s="27">
        <f>IF($G86="s-curve",$E86+($F86-$E86)*$I$2/(1+EXP($I$3*(COUNT($I$9:AY$9)+$I$4))),TREND($E86:$F86,$E$9:$F$9,AY$9))</f>
        <v>0</v>
      </c>
      <c r="AZ86" s="27">
        <f>IF($G86="s-curve",$E86+($F86-$E86)*$I$2/(1+EXP($I$3*(COUNT($I$9:AZ$9)+$I$4))),TREND($E86:$F86,$E$9:$F$9,AZ$9))</f>
        <v>0</v>
      </c>
      <c r="BA86" s="27">
        <f>IF($G86="s-curve",$E86+($F86-$E86)*$I$2/(1+EXP($I$3*(COUNT($I$9:BA$9)+$I$4))),TREND($E86:$F86,$E$9:$F$9,BA$9))</f>
        <v>0</v>
      </c>
      <c r="BB86" s="27">
        <f>IF($G86="s-curve",$E86+($F86-$E86)*$I$2/(1+EXP($I$3*(COUNT($I$9:BB$9)+$I$4))),TREND($E86:$F86,$E$9:$F$9,BB$9))</f>
        <v>0</v>
      </c>
      <c r="BC86" s="27">
        <f>IF($G86="s-curve",$E86+($F86-$E86)*$I$2/(1+EXP($I$3*(COUNT($I$9:BC$9)+$I$4))),TREND($E86:$F86,$E$9:$F$9,BC$9))</f>
        <v>0</v>
      </c>
      <c r="BD86" s="27">
        <f>IF($G86="s-curve",$E86+($F86-$E86)*$I$2/(1+EXP($I$3*(COUNT($I$9:BD$9)+$I$4))),TREND($E86:$F86,$E$9:$F$9,BD$9))</f>
        <v>0</v>
      </c>
      <c r="BE86" s="27">
        <f>IF($G86="s-curve",$E86+($F86-$E86)*$I$2/(1+EXP($I$3*(COUNT($I$9:BE$9)+$I$4))),TREND($E86:$F86,$E$9:$F$9,BE$9))</f>
        <v>0</v>
      </c>
      <c r="BF86" s="27">
        <f>IF($G86="s-curve",$E86+($F86-$E86)*$I$2/(1+EXP($I$3*(COUNT($I$9:BF$9)+$I$4))),TREND($E86:$F86,$E$9:$F$9,BF$9))</f>
        <v>0</v>
      </c>
    </row>
    <row r="87" spans="1:58" x14ac:dyDescent="0.75">
      <c r="A87" t="s">
        <v>17</v>
      </c>
      <c r="B87" t="s">
        <v>18</v>
      </c>
      <c r="C87" t="s">
        <v>1</v>
      </c>
      <c r="D87" s="26">
        <f>E87</f>
        <v>0</v>
      </c>
      <c r="E87" s="26">
        <v>0</v>
      </c>
      <c r="F87" s="26">
        <v>0</v>
      </c>
      <c r="G87" s="29" t="str">
        <f>IF(E87=F87,"n/a",IF(OR(C87="battery electric vehicle",C87="natural gas vehicle",C87="plugin hybrid vehicle"),"s-curve","linear"))</f>
        <v>n/a</v>
      </c>
      <c r="I87" s="27">
        <f t="shared" si="15"/>
        <v>0</v>
      </c>
      <c r="J87" s="27">
        <f t="shared" si="16"/>
        <v>0</v>
      </c>
      <c r="K87" s="27">
        <f t="shared" si="16"/>
        <v>0</v>
      </c>
      <c r="L87" s="27">
        <f t="shared" si="16"/>
        <v>0</v>
      </c>
      <c r="M87" s="27">
        <f>IF($G87="s-curve",$E87+($F87-$E87)*$I$2/(1+EXP($I$3*(COUNT($I$9:M$9)+$I$4))),TREND($E87:$F87,$E$9:$F$9,M$9))</f>
        <v>0</v>
      </c>
      <c r="N87" s="27">
        <f>IF($G87="s-curve",$E87+($F87-$E87)*$I$2/(1+EXP($I$3*(COUNT($I$9:N$9)+$I$4))),TREND($E87:$F87,$E$9:$F$9,N$9))</f>
        <v>0</v>
      </c>
      <c r="O87" s="27">
        <f>IF($G87="s-curve",$E87+($F87-$E87)*$I$2/(1+EXP($I$3*(COUNT($I$9:O$9)+$I$4))),TREND($E87:$F87,$E$9:$F$9,O$9))</f>
        <v>0</v>
      </c>
      <c r="P87" s="27">
        <f>IF($G87="s-curve",$E87+($F87-$E87)*$I$2/(1+EXP($I$3*(COUNT($I$9:P$9)+$I$4))),TREND($E87:$F87,$E$9:$F$9,P$9))</f>
        <v>0</v>
      </c>
      <c r="Q87" s="27">
        <f>IF($G87="s-curve",$E87+($F87-$E87)*$I$2/(1+EXP($I$3*(COUNT($I$9:Q$9)+$I$4))),TREND($E87:$F87,$E$9:$F$9,Q$9))</f>
        <v>0</v>
      </c>
      <c r="R87" s="27">
        <f>IF($G87="s-curve",$E87+($F87-$E87)*$I$2/(1+EXP($I$3*(COUNT($I$9:R$9)+$I$4))),TREND($E87:$F87,$E$9:$F$9,R$9))</f>
        <v>0</v>
      </c>
      <c r="S87" s="27">
        <f>IF($G87="s-curve",$E87+($F87-$E87)*$I$2/(1+EXP($I$3*(COUNT($I$9:S$9)+$I$4))),TREND($E87:$F87,$E$9:$F$9,S$9))</f>
        <v>0</v>
      </c>
      <c r="T87" s="27">
        <f>IF($G87="s-curve",$E87+($F87-$E87)*$I$2/(1+EXP($I$3*(COUNT($I$9:T$9)+$I$4))),TREND($E87:$F87,$E$9:$F$9,T$9))</f>
        <v>0</v>
      </c>
      <c r="U87" s="27">
        <f>IF($G87="s-curve",$E87+($F87-$E87)*$I$2/(1+EXP($I$3*(COUNT($I$9:U$9)+$I$4))),TREND($E87:$F87,$E$9:$F$9,U$9))</f>
        <v>0</v>
      </c>
      <c r="V87" s="27">
        <f>IF($G87="s-curve",$E87+($F87-$E87)*$I$2/(1+EXP($I$3*(COUNT($I$9:V$9)+$I$4))),TREND($E87:$F87,$E$9:$F$9,V$9))</f>
        <v>0</v>
      </c>
      <c r="W87" s="27">
        <f>IF($G87="s-curve",$E87+($F87-$E87)*$I$2/(1+EXP($I$3*(COUNT($I$9:W$9)+$I$4))),TREND($E87:$F87,$E$9:$F$9,W$9))</f>
        <v>0</v>
      </c>
      <c r="X87" s="27">
        <f>IF($G87="s-curve",$E87+($F87-$E87)*$I$2/(1+EXP($I$3*(COUNT($I$9:X$9)+$I$4))),TREND($E87:$F87,$E$9:$F$9,X$9))</f>
        <v>0</v>
      </c>
      <c r="Y87" s="27">
        <f>IF($G87="s-curve",$E87+($F87-$E87)*$I$2/(1+EXP($I$3*(COUNT($I$9:Y$9)+$I$4))),TREND($E87:$F87,$E$9:$F$9,Y$9))</f>
        <v>0</v>
      </c>
      <c r="Z87" s="27">
        <f>IF($G87="s-curve",$E87+($F87-$E87)*$I$2/(1+EXP($I$3*(COUNT($I$9:Z$9)+$I$4))),TREND($E87:$F87,$E$9:$F$9,Z$9))</f>
        <v>0</v>
      </c>
      <c r="AA87" s="27">
        <f>IF($G87="s-curve",$E87+($F87-$E87)*$I$2/(1+EXP($I$3*(COUNT($I$9:AA$9)+$I$4))),TREND($E87:$F87,$E$9:$F$9,AA$9))</f>
        <v>0</v>
      </c>
      <c r="AB87" s="27">
        <f>IF($G87="s-curve",$E87+($F87-$E87)*$I$2/(1+EXP($I$3*(COUNT($I$9:AB$9)+$I$4))),TREND($E87:$F87,$E$9:$F$9,AB$9))</f>
        <v>0</v>
      </c>
      <c r="AC87" s="27">
        <f>IF($G87="s-curve",$E87+($F87-$E87)*$I$2/(1+EXP($I$3*(COUNT($I$9:AC$9)+$I$4))),TREND($E87:$F87,$E$9:$F$9,AC$9))</f>
        <v>0</v>
      </c>
      <c r="AD87" s="27">
        <f>IF($G87="s-curve",$E87+($F87-$E87)*$I$2/(1+EXP($I$3*(COUNT($I$9:AD$9)+$I$4))),TREND($E87:$F87,$E$9:$F$9,AD$9))</f>
        <v>0</v>
      </c>
      <c r="AE87" s="27">
        <f>IF($G87="s-curve",$E87+($F87-$E87)*$I$2/(1+EXP($I$3*(COUNT($I$9:AE$9)+$I$4))),TREND($E87:$F87,$E$9:$F$9,AE$9))</f>
        <v>0</v>
      </c>
      <c r="AF87" s="27">
        <f>IF($G87="s-curve",$E87+($F87-$E87)*$I$2/(1+EXP($I$3*(COUNT($I$9:AF$9)+$I$4))),TREND($E87:$F87,$E$9:$F$9,AF$9))</f>
        <v>0</v>
      </c>
      <c r="AG87" s="27">
        <f>IF($G87="s-curve",$E87+($F87-$E87)*$I$2/(1+EXP($I$3*(COUNT($I$9:AG$9)+$I$4))),TREND($E87:$F87,$E$9:$F$9,AG$9))</f>
        <v>0</v>
      </c>
      <c r="AH87" s="27">
        <f>IF($G87="s-curve",$E87+($F87-$E87)*$I$2/(1+EXP($I$3*(COUNT($I$9:AH$9)+$I$4))),TREND($E87:$F87,$E$9:$F$9,AH$9))</f>
        <v>0</v>
      </c>
      <c r="AI87" s="27">
        <f>IF($G87="s-curve",$E87+($F87-$E87)*$I$2/(1+EXP($I$3*(COUNT($I$9:AI$9)+$I$4))),TREND($E87:$F87,$E$9:$F$9,AI$9))</f>
        <v>0</v>
      </c>
      <c r="AJ87" s="27">
        <f>IF($G87="s-curve",$E87+($F87-$E87)*$I$2/(1+EXP($I$3*(COUNT($I$9:AJ$9)+$I$4))),TREND($E87:$F87,$E$9:$F$9,AJ$9))</f>
        <v>0</v>
      </c>
      <c r="AK87" s="27">
        <f>IF($G87="s-curve",$E87+($F87-$E87)*$I$2/(1+EXP($I$3*(COUNT($I$9:AK$9)+$I$4))),TREND($E87:$F87,$E$9:$F$9,AK$9))</f>
        <v>0</v>
      </c>
      <c r="AL87" s="27">
        <f>IF($G87="s-curve",$E87+($F87-$E87)*$I$2/(1+EXP($I$3*(COUNT($I$9:AL$9)+$I$4))),TREND($E87:$F87,$E$9:$F$9,AL$9))</f>
        <v>0</v>
      </c>
      <c r="AM87" s="27">
        <f>IF($G87="s-curve",$E87+($F87-$E87)*$I$2/(1+EXP($I$3*(COUNT($I$9:AM$9)+$I$4))),TREND($E87:$F87,$E$9:$F$9,AM$9))</f>
        <v>0</v>
      </c>
      <c r="AN87" s="27">
        <f>IF($G87="s-curve",$E87+($F87-$E87)*$I$2/(1+EXP($I$3*(COUNT($I$9:AN$9)+$I$4))),TREND($E87:$F87,$E$9:$F$9,AN$9))</f>
        <v>0</v>
      </c>
      <c r="AO87" s="27">
        <f>IF($G87="s-curve",$E87+($F87-$E87)*$I$2/(1+EXP($I$3*(COUNT($I$9:AO$9)+$I$4))),TREND($E87:$F87,$E$9:$F$9,AO$9))</f>
        <v>0</v>
      </c>
      <c r="AP87" s="27">
        <f>IF($G87="s-curve",$E87+($F87-$E87)*$I$2/(1+EXP($I$3*(COUNT($I$9:AP$9)+$I$4))),TREND($E87:$F87,$E$9:$F$9,AP$9))</f>
        <v>0</v>
      </c>
      <c r="AQ87" s="27">
        <f>IF($G87="s-curve",$E87+($F87-$E87)*$I$2/(1+EXP($I$3*(COUNT($I$9:AQ$9)+$I$4))),TREND($E87:$F87,$E$9:$F$9,AQ$9))</f>
        <v>0</v>
      </c>
      <c r="AR87" s="27">
        <f>IF($G87="s-curve",$E87+($F87-$E87)*$I$2/(1+EXP($I$3*(COUNT($I$9:AR$9)+$I$4))),TREND($E87:$F87,$E$9:$F$9,AR$9))</f>
        <v>0</v>
      </c>
      <c r="AS87" s="27">
        <f>IF($G87="s-curve",$E87+($F87-$E87)*$I$2/(1+EXP($I$3*(COUNT($I$9:AS$9)+$I$4))),TREND($E87:$F87,$E$9:$F$9,AS$9))</f>
        <v>0</v>
      </c>
      <c r="AT87" s="27">
        <f>IF($G87="s-curve",$E87+($F87-$E87)*$I$2/(1+EXP($I$3*(COUNT($I$9:AT$9)+$I$4))),TREND($E87:$F87,$E$9:$F$9,AT$9))</f>
        <v>0</v>
      </c>
      <c r="AU87" s="27">
        <f>IF($G87="s-curve",$E87+($F87-$E87)*$I$2/(1+EXP($I$3*(COUNT($I$9:AU$9)+$I$4))),TREND($E87:$F87,$E$9:$F$9,AU$9))</f>
        <v>0</v>
      </c>
      <c r="AV87" s="27">
        <f>IF($G87="s-curve",$E87+($F87-$E87)*$I$2/(1+EXP($I$3*(COUNT($I$9:AV$9)+$I$4))),TREND($E87:$F87,$E$9:$F$9,AV$9))</f>
        <v>0</v>
      </c>
      <c r="AW87" s="27">
        <f>IF($G87="s-curve",$E87+($F87-$E87)*$I$2/(1+EXP($I$3*(COUNT($I$9:AW$9)+$I$4))),TREND($E87:$F87,$E$9:$F$9,AW$9))</f>
        <v>0</v>
      </c>
      <c r="AX87" s="27">
        <f>IF($G87="s-curve",$E87+($F87-$E87)*$I$2/(1+EXP($I$3*(COUNT($I$9:AX$9)+$I$4))),TREND($E87:$F87,$E$9:$F$9,AX$9))</f>
        <v>0</v>
      </c>
      <c r="AY87" s="27">
        <f>IF($G87="s-curve",$E87+($F87-$E87)*$I$2/(1+EXP($I$3*(COUNT($I$9:AY$9)+$I$4))),TREND($E87:$F87,$E$9:$F$9,AY$9))</f>
        <v>0</v>
      </c>
      <c r="AZ87" s="27">
        <f>IF($G87="s-curve",$E87+($F87-$E87)*$I$2/(1+EXP($I$3*(COUNT($I$9:AZ$9)+$I$4))),TREND($E87:$F87,$E$9:$F$9,AZ$9))</f>
        <v>0</v>
      </c>
      <c r="BA87" s="27">
        <f>IF($G87="s-curve",$E87+($F87-$E87)*$I$2/(1+EXP($I$3*(COUNT($I$9:BA$9)+$I$4))),TREND($E87:$F87,$E$9:$F$9,BA$9))</f>
        <v>0</v>
      </c>
      <c r="BB87" s="27">
        <f>IF($G87="s-curve",$E87+($F87-$E87)*$I$2/(1+EXP($I$3*(COUNT($I$9:BB$9)+$I$4))),TREND($E87:$F87,$E$9:$F$9,BB$9))</f>
        <v>0</v>
      </c>
      <c r="BC87" s="27">
        <f>IF($G87="s-curve",$E87+($F87-$E87)*$I$2/(1+EXP($I$3*(COUNT($I$9:BC$9)+$I$4))),TREND($E87:$F87,$E$9:$F$9,BC$9))</f>
        <v>0</v>
      </c>
      <c r="BD87" s="27">
        <f>IF($G87="s-curve",$E87+($F87-$E87)*$I$2/(1+EXP($I$3*(COUNT($I$9:BD$9)+$I$4))),TREND($E87:$F87,$E$9:$F$9,BD$9))</f>
        <v>0</v>
      </c>
      <c r="BE87" s="27">
        <f>IF($G87="s-curve",$E87+($F87-$E87)*$I$2/(1+EXP($I$3*(COUNT($I$9:BE$9)+$I$4))),TREND($E87:$F87,$E$9:$F$9,BE$9))</f>
        <v>0</v>
      </c>
      <c r="BF87" s="27">
        <f>IF($G87="s-curve",$E87+($F87-$E87)*$I$2/(1+EXP($I$3*(COUNT($I$9:BF$9)+$I$4))),TREND($E87:$F87,$E$9:$F$9,BF$9))</f>
        <v>0</v>
      </c>
    </row>
    <row r="88" spans="1:58" x14ac:dyDescent="0.75">
      <c r="C88" t="s">
        <v>2</v>
      </c>
      <c r="D88" s="26">
        <f t="shared" ref="D88:D93" si="29">E88</f>
        <v>0</v>
      </c>
      <c r="E88" s="26">
        <v>0</v>
      </c>
      <c r="F88" s="26">
        <v>0</v>
      </c>
      <c r="G88" s="29" t="str">
        <f>IF(E88=F88,"n/a",IF(OR(C88="battery electric vehicle",C88="natural gas vehicle",C88="plugin hybrid vehicle"),"s-curve","linear"))</f>
        <v>n/a</v>
      </c>
      <c r="I88" s="27">
        <f t="shared" si="15"/>
        <v>0</v>
      </c>
      <c r="J88" s="27">
        <f t="shared" si="16"/>
        <v>0</v>
      </c>
      <c r="K88" s="27">
        <f t="shared" si="16"/>
        <v>0</v>
      </c>
      <c r="L88" s="27">
        <f t="shared" si="16"/>
        <v>0</v>
      </c>
      <c r="M88" s="27">
        <f>IF($G88="s-curve",$E88+($F88-$E88)*$I$2/(1+EXP($I$3*(COUNT($I$9:M$9)+$I$4))),TREND($E88:$F88,$E$9:$F$9,M$9))</f>
        <v>0</v>
      </c>
      <c r="N88" s="27">
        <f>IF($G88="s-curve",$E88+($F88-$E88)*$I$2/(1+EXP($I$3*(COUNT($I$9:N$9)+$I$4))),TREND($E88:$F88,$E$9:$F$9,N$9))</f>
        <v>0</v>
      </c>
      <c r="O88" s="27">
        <f>IF($G88="s-curve",$E88+($F88-$E88)*$I$2/(1+EXP($I$3*(COUNT($I$9:O$9)+$I$4))),TREND($E88:$F88,$E$9:$F$9,O$9))</f>
        <v>0</v>
      </c>
      <c r="P88" s="27">
        <f>IF($G88="s-curve",$E88+($F88-$E88)*$I$2/(1+EXP($I$3*(COUNT($I$9:P$9)+$I$4))),TREND($E88:$F88,$E$9:$F$9,P$9))</f>
        <v>0</v>
      </c>
      <c r="Q88" s="27">
        <f>IF($G88="s-curve",$E88+($F88-$E88)*$I$2/(1+EXP($I$3*(COUNT($I$9:Q$9)+$I$4))),TREND($E88:$F88,$E$9:$F$9,Q$9))</f>
        <v>0</v>
      </c>
      <c r="R88" s="27">
        <f>IF($G88="s-curve",$E88+($F88-$E88)*$I$2/(1+EXP($I$3*(COUNT($I$9:R$9)+$I$4))),TREND($E88:$F88,$E$9:$F$9,R$9))</f>
        <v>0</v>
      </c>
      <c r="S88" s="27">
        <f>IF($G88="s-curve",$E88+($F88-$E88)*$I$2/(1+EXP($I$3*(COUNT($I$9:S$9)+$I$4))),TREND($E88:$F88,$E$9:$F$9,S$9))</f>
        <v>0</v>
      </c>
      <c r="T88" s="27">
        <f>IF($G88="s-curve",$E88+($F88-$E88)*$I$2/(1+EXP($I$3*(COUNT($I$9:T$9)+$I$4))),TREND($E88:$F88,$E$9:$F$9,T$9))</f>
        <v>0</v>
      </c>
      <c r="U88" s="27">
        <f>IF($G88="s-curve",$E88+($F88-$E88)*$I$2/(1+EXP($I$3*(COUNT($I$9:U$9)+$I$4))),TREND($E88:$F88,$E$9:$F$9,U$9))</f>
        <v>0</v>
      </c>
      <c r="V88" s="27">
        <f>IF($G88="s-curve",$E88+($F88-$E88)*$I$2/(1+EXP($I$3*(COUNT($I$9:V$9)+$I$4))),TREND($E88:$F88,$E$9:$F$9,V$9))</f>
        <v>0</v>
      </c>
      <c r="W88" s="27">
        <f>IF($G88="s-curve",$E88+($F88-$E88)*$I$2/(1+EXP($I$3*(COUNT($I$9:W$9)+$I$4))),TREND($E88:$F88,$E$9:$F$9,W$9))</f>
        <v>0</v>
      </c>
      <c r="X88" s="27">
        <f>IF($G88="s-curve",$E88+($F88-$E88)*$I$2/(1+EXP($I$3*(COUNT($I$9:X$9)+$I$4))),TREND($E88:$F88,$E$9:$F$9,X$9))</f>
        <v>0</v>
      </c>
      <c r="Y88" s="27">
        <f>IF($G88="s-curve",$E88+($F88-$E88)*$I$2/(1+EXP($I$3*(COUNT($I$9:Y$9)+$I$4))),TREND($E88:$F88,$E$9:$F$9,Y$9))</f>
        <v>0</v>
      </c>
      <c r="Z88" s="27">
        <f>IF($G88="s-curve",$E88+($F88-$E88)*$I$2/(1+EXP($I$3*(COUNT($I$9:Z$9)+$I$4))),TREND($E88:$F88,$E$9:$F$9,Z$9))</f>
        <v>0</v>
      </c>
      <c r="AA88" s="27">
        <f>IF($G88="s-curve",$E88+($F88-$E88)*$I$2/(1+EXP($I$3*(COUNT($I$9:AA$9)+$I$4))),TREND($E88:$F88,$E$9:$F$9,AA$9))</f>
        <v>0</v>
      </c>
      <c r="AB88" s="27">
        <f>IF($G88="s-curve",$E88+($F88-$E88)*$I$2/(1+EXP($I$3*(COUNT($I$9:AB$9)+$I$4))),TREND($E88:$F88,$E$9:$F$9,AB$9))</f>
        <v>0</v>
      </c>
      <c r="AC88" s="27">
        <f>IF($G88="s-curve",$E88+($F88-$E88)*$I$2/(1+EXP($I$3*(COUNT($I$9:AC$9)+$I$4))),TREND($E88:$F88,$E$9:$F$9,AC$9))</f>
        <v>0</v>
      </c>
      <c r="AD88" s="27">
        <f>IF($G88="s-curve",$E88+($F88-$E88)*$I$2/(1+EXP($I$3*(COUNT($I$9:AD$9)+$I$4))),TREND($E88:$F88,$E$9:$F$9,AD$9))</f>
        <v>0</v>
      </c>
      <c r="AE88" s="27">
        <f>IF($G88="s-curve",$E88+($F88-$E88)*$I$2/(1+EXP($I$3*(COUNT($I$9:AE$9)+$I$4))),TREND($E88:$F88,$E$9:$F$9,AE$9))</f>
        <v>0</v>
      </c>
      <c r="AF88" s="27">
        <f>IF($G88="s-curve",$E88+($F88-$E88)*$I$2/(1+EXP($I$3*(COUNT($I$9:AF$9)+$I$4))),TREND($E88:$F88,$E$9:$F$9,AF$9))</f>
        <v>0</v>
      </c>
      <c r="AG88" s="27">
        <f>IF($G88="s-curve",$E88+($F88-$E88)*$I$2/(1+EXP($I$3*(COUNT($I$9:AG$9)+$I$4))),TREND($E88:$F88,$E$9:$F$9,AG$9))</f>
        <v>0</v>
      </c>
      <c r="AH88" s="27">
        <f>IF($G88="s-curve",$E88+($F88-$E88)*$I$2/(1+EXP($I$3*(COUNT($I$9:AH$9)+$I$4))),TREND($E88:$F88,$E$9:$F$9,AH$9))</f>
        <v>0</v>
      </c>
      <c r="AI88" s="27">
        <f>IF($G88="s-curve",$E88+($F88-$E88)*$I$2/(1+EXP($I$3*(COUNT($I$9:AI$9)+$I$4))),TREND($E88:$F88,$E$9:$F$9,AI$9))</f>
        <v>0</v>
      </c>
      <c r="AJ88" s="27">
        <f>IF($G88="s-curve",$E88+($F88-$E88)*$I$2/(1+EXP($I$3*(COUNT($I$9:AJ$9)+$I$4))),TREND($E88:$F88,$E$9:$F$9,AJ$9))</f>
        <v>0</v>
      </c>
      <c r="AK88" s="27">
        <f>IF($G88="s-curve",$E88+($F88-$E88)*$I$2/(1+EXP($I$3*(COUNT($I$9:AK$9)+$I$4))),TREND($E88:$F88,$E$9:$F$9,AK$9))</f>
        <v>0</v>
      </c>
      <c r="AL88" s="27">
        <f>IF($G88="s-curve",$E88+($F88-$E88)*$I$2/(1+EXP($I$3*(COUNT($I$9:AL$9)+$I$4))),TREND($E88:$F88,$E$9:$F$9,AL$9))</f>
        <v>0</v>
      </c>
      <c r="AM88" s="27">
        <f>IF($G88="s-curve",$E88+($F88-$E88)*$I$2/(1+EXP($I$3*(COUNT($I$9:AM$9)+$I$4))),TREND($E88:$F88,$E$9:$F$9,AM$9))</f>
        <v>0</v>
      </c>
      <c r="AN88" s="27">
        <f>IF($G88="s-curve",$E88+($F88-$E88)*$I$2/(1+EXP($I$3*(COUNT($I$9:AN$9)+$I$4))),TREND($E88:$F88,$E$9:$F$9,AN$9))</f>
        <v>0</v>
      </c>
      <c r="AO88" s="27">
        <f>IF($G88="s-curve",$E88+($F88-$E88)*$I$2/(1+EXP($I$3*(COUNT($I$9:AO$9)+$I$4))),TREND($E88:$F88,$E$9:$F$9,AO$9))</f>
        <v>0</v>
      </c>
      <c r="AP88" s="27">
        <f>IF($G88="s-curve",$E88+($F88-$E88)*$I$2/(1+EXP($I$3*(COUNT($I$9:AP$9)+$I$4))),TREND($E88:$F88,$E$9:$F$9,AP$9))</f>
        <v>0</v>
      </c>
      <c r="AQ88" s="27">
        <f>IF($G88="s-curve",$E88+($F88-$E88)*$I$2/(1+EXP($I$3*(COUNT($I$9:AQ$9)+$I$4))),TREND($E88:$F88,$E$9:$F$9,AQ$9))</f>
        <v>0</v>
      </c>
      <c r="AR88" s="27">
        <f>IF($G88="s-curve",$E88+($F88-$E88)*$I$2/(1+EXP($I$3*(COUNT($I$9:AR$9)+$I$4))),TREND($E88:$F88,$E$9:$F$9,AR$9))</f>
        <v>0</v>
      </c>
      <c r="AS88" s="27">
        <f>IF($G88="s-curve",$E88+($F88-$E88)*$I$2/(1+EXP($I$3*(COUNT($I$9:AS$9)+$I$4))),TREND($E88:$F88,$E$9:$F$9,AS$9))</f>
        <v>0</v>
      </c>
      <c r="AT88" s="27">
        <f>IF($G88="s-curve",$E88+($F88-$E88)*$I$2/(1+EXP($I$3*(COUNT($I$9:AT$9)+$I$4))),TREND($E88:$F88,$E$9:$F$9,AT$9))</f>
        <v>0</v>
      </c>
      <c r="AU88" s="27">
        <f>IF($G88="s-curve",$E88+($F88-$E88)*$I$2/(1+EXP($I$3*(COUNT($I$9:AU$9)+$I$4))),TREND($E88:$F88,$E$9:$F$9,AU$9))</f>
        <v>0</v>
      </c>
      <c r="AV88" s="27">
        <f>IF($G88="s-curve",$E88+($F88-$E88)*$I$2/(1+EXP($I$3*(COUNT($I$9:AV$9)+$I$4))),TREND($E88:$F88,$E$9:$F$9,AV$9))</f>
        <v>0</v>
      </c>
      <c r="AW88" s="27">
        <f>IF($G88="s-curve",$E88+($F88-$E88)*$I$2/(1+EXP($I$3*(COUNT($I$9:AW$9)+$I$4))),TREND($E88:$F88,$E$9:$F$9,AW$9))</f>
        <v>0</v>
      </c>
      <c r="AX88" s="27">
        <f>IF($G88="s-curve",$E88+($F88-$E88)*$I$2/(1+EXP($I$3*(COUNT($I$9:AX$9)+$I$4))),TREND($E88:$F88,$E$9:$F$9,AX$9))</f>
        <v>0</v>
      </c>
      <c r="AY88" s="27">
        <f>IF($G88="s-curve",$E88+($F88-$E88)*$I$2/(1+EXP($I$3*(COUNT($I$9:AY$9)+$I$4))),TREND($E88:$F88,$E$9:$F$9,AY$9))</f>
        <v>0</v>
      </c>
      <c r="AZ88" s="27">
        <f>IF($G88="s-curve",$E88+($F88-$E88)*$I$2/(1+EXP($I$3*(COUNT($I$9:AZ$9)+$I$4))),TREND($E88:$F88,$E$9:$F$9,AZ$9))</f>
        <v>0</v>
      </c>
      <c r="BA88" s="27">
        <f>IF($G88="s-curve",$E88+($F88-$E88)*$I$2/(1+EXP($I$3*(COUNT($I$9:BA$9)+$I$4))),TREND($E88:$F88,$E$9:$F$9,BA$9))</f>
        <v>0</v>
      </c>
      <c r="BB88" s="27">
        <f>IF($G88="s-curve",$E88+($F88-$E88)*$I$2/(1+EXP($I$3*(COUNT($I$9:BB$9)+$I$4))),TREND($E88:$F88,$E$9:$F$9,BB$9))</f>
        <v>0</v>
      </c>
      <c r="BC88" s="27">
        <f>IF($G88="s-curve",$E88+($F88-$E88)*$I$2/(1+EXP($I$3*(COUNT($I$9:BC$9)+$I$4))),TREND($E88:$F88,$E$9:$F$9,BC$9))</f>
        <v>0</v>
      </c>
      <c r="BD88" s="27">
        <f>IF($G88="s-curve",$E88+($F88-$E88)*$I$2/(1+EXP($I$3*(COUNT($I$9:BD$9)+$I$4))),TREND($E88:$F88,$E$9:$F$9,BD$9))</f>
        <v>0</v>
      </c>
      <c r="BE88" s="27">
        <f>IF($G88="s-curve",$E88+($F88-$E88)*$I$2/(1+EXP($I$3*(COUNT($I$9:BE$9)+$I$4))),TREND($E88:$F88,$E$9:$F$9,BE$9))</f>
        <v>0</v>
      </c>
      <c r="BF88" s="27">
        <f>IF($G88="s-curve",$E88+($F88-$E88)*$I$2/(1+EXP($I$3*(COUNT($I$9:BF$9)+$I$4))),TREND($E88:$F88,$E$9:$F$9,BF$9))</f>
        <v>0</v>
      </c>
    </row>
    <row r="89" spans="1:58" x14ac:dyDescent="0.75">
      <c r="C89" t="s">
        <v>3</v>
      </c>
      <c r="D89" s="26">
        <f t="shared" si="29"/>
        <v>0</v>
      </c>
      <c r="E89" s="26">
        <v>0</v>
      </c>
      <c r="F89" s="26">
        <v>0</v>
      </c>
      <c r="G89" s="29" t="str">
        <f>IF(E89=F89,"n/a",IF(OR(C89="battery electric vehicle",C89="natural gas vehicle",C89="plugin hybrid vehicle"),"s-curve","linear"))</f>
        <v>n/a</v>
      </c>
      <c r="I89" s="27">
        <f t="shared" si="15"/>
        <v>0</v>
      </c>
      <c r="J89" s="27">
        <f t="shared" si="16"/>
        <v>0</v>
      </c>
      <c r="K89" s="27">
        <f t="shared" si="16"/>
        <v>0</v>
      </c>
      <c r="L89" s="27">
        <f t="shared" si="16"/>
        <v>0</v>
      </c>
      <c r="M89" s="27">
        <f>IF($G89="s-curve",$E89+($F89-$E89)*$I$2/(1+EXP($I$3*(COUNT($I$9:M$9)+$I$4))),TREND($E89:$F89,$E$9:$F$9,M$9))</f>
        <v>0</v>
      </c>
      <c r="N89" s="27">
        <f>IF($G89="s-curve",$E89+($F89-$E89)*$I$2/(1+EXP($I$3*(COUNT($I$9:N$9)+$I$4))),TREND($E89:$F89,$E$9:$F$9,N$9))</f>
        <v>0</v>
      </c>
      <c r="O89" s="27">
        <f>IF($G89="s-curve",$E89+($F89-$E89)*$I$2/(1+EXP($I$3*(COUNT($I$9:O$9)+$I$4))),TREND($E89:$F89,$E$9:$F$9,O$9))</f>
        <v>0</v>
      </c>
      <c r="P89" s="27">
        <f>IF($G89="s-curve",$E89+($F89-$E89)*$I$2/(1+EXP($I$3*(COUNT($I$9:P$9)+$I$4))),TREND($E89:$F89,$E$9:$F$9,P$9))</f>
        <v>0</v>
      </c>
      <c r="Q89" s="27">
        <f>IF($G89="s-curve",$E89+($F89-$E89)*$I$2/(1+EXP($I$3*(COUNT($I$9:Q$9)+$I$4))),TREND($E89:$F89,$E$9:$F$9,Q$9))</f>
        <v>0</v>
      </c>
      <c r="R89" s="27">
        <f>IF($G89="s-curve",$E89+($F89-$E89)*$I$2/(1+EXP($I$3*(COUNT($I$9:R$9)+$I$4))),TREND($E89:$F89,$E$9:$F$9,R$9))</f>
        <v>0</v>
      </c>
      <c r="S89" s="27">
        <f>IF($G89="s-curve",$E89+($F89-$E89)*$I$2/(1+EXP($I$3*(COUNT($I$9:S$9)+$I$4))),TREND($E89:$F89,$E$9:$F$9,S$9))</f>
        <v>0</v>
      </c>
      <c r="T89" s="27">
        <f>IF($G89="s-curve",$E89+($F89-$E89)*$I$2/(1+EXP($I$3*(COUNT($I$9:T$9)+$I$4))),TREND($E89:$F89,$E$9:$F$9,T$9))</f>
        <v>0</v>
      </c>
      <c r="U89" s="27">
        <f>IF($G89="s-curve",$E89+($F89-$E89)*$I$2/(1+EXP($I$3*(COUNT($I$9:U$9)+$I$4))),TREND($E89:$F89,$E$9:$F$9,U$9))</f>
        <v>0</v>
      </c>
      <c r="V89" s="27">
        <f>IF($G89="s-curve",$E89+($F89-$E89)*$I$2/(1+EXP($I$3*(COUNT($I$9:V$9)+$I$4))),TREND($E89:$F89,$E$9:$F$9,V$9))</f>
        <v>0</v>
      </c>
      <c r="W89" s="27">
        <f>IF($G89="s-curve",$E89+($F89-$E89)*$I$2/(1+EXP($I$3*(COUNT($I$9:W$9)+$I$4))),TREND($E89:$F89,$E$9:$F$9,W$9))</f>
        <v>0</v>
      </c>
      <c r="X89" s="27">
        <f>IF($G89="s-curve",$E89+($F89-$E89)*$I$2/(1+EXP($I$3*(COUNT($I$9:X$9)+$I$4))),TREND($E89:$F89,$E$9:$F$9,X$9))</f>
        <v>0</v>
      </c>
      <c r="Y89" s="27">
        <f>IF($G89="s-curve",$E89+($F89-$E89)*$I$2/(1+EXP($I$3*(COUNT($I$9:Y$9)+$I$4))),TREND($E89:$F89,$E$9:$F$9,Y$9))</f>
        <v>0</v>
      </c>
      <c r="Z89" s="27">
        <f>IF($G89="s-curve",$E89+($F89-$E89)*$I$2/(1+EXP($I$3*(COUNT($I$9:Z$9)+$I$4))),TREND($E89:$F89,$E$9:$F$9,Z$9))</f>
        <v>0</v>
      </c>
      <c r="AA89" s="27">
        <f>IF($G89="s-curve",$E89+($F89-$E89)*$I$2/(1+EXP($I$3*(COUNT($I$9:AA$9)+$I$4))),TREND($E89:$F89,$E$9:$F$9,AA$9))</f>
        <v>0</v>
      </c>
      <c r="AB89" s="27">
        <f>IF($G89="s-curve",$E89+($F89-$E89)*$I$2/(1+EXP($I$3*(COUNT($I$9:AB$9)+$I$4))),TREND($E89:$F89,$E$9:$F$9,AB$9))</f>
        <v>0</v>
      </c>
      <c r="AC89" s="27">
        <f>IF($G89="s-curve",$E89+($F89-$E89)*$I$2/(1+EXP($I$3*(COUNT($I$9:AC$9)+$I$4))),TREND($E89:$F89,$E$9:$F$9,AC$9))</f>
        <v>0</v>
      </c>
      <c r="AD89" s="27">
        <f>IF($G89="s-curve",$E89+($F89-$E89)*$I$2/(1+EXP($I$3*(COUNT($I$9:AD$9)+$I$4))),TREND($E89:$F89,$E$9:$F$9,AD$9))</f>
        <v>0</v>
      </c>
      <c r="AE89" s="27">
        <f>IF($G89="s-curve",$E89+($F89-$E89)*$I$2/(1+EXP($I$3*(COUNT($I$9:AE$9)+$I$4))),TREND($E89:$F89,$E$9:$F$9,AE$9))</f>
        <v>0</v>
      </c>
      <c r="AF89" s="27">
        <f>IF($G89="s-curve",$E89+($F89-$E89)*$I$2/(1+EXP($I$3*(COUNT($I$9:AF$9)+$I$4))),TREND($E89:$F89,$E$9:$F$9,AF$9))</f>
        <v>0</v>
      </c>
      <c r="AG89" s="27">
        <f>IF($G89="s-curve",$E89+($F89-$E89)*$I$2/(1+EXP($I$3*(COUNT($I$9:AG$9)+$I$4))),TREND($E89:$F89,$E$9:$F$9,AG$9))</f>
        <v>0</v>
      </c>
      <c r="AH89" s="27">
        <f>IF($G89="s-curve",$E89+($F89-$E89)*$I$2/(1+EXP($I$3*(COUNT($I$9:AH$9)+$I$4))),TREND($E89:$F89,$E$9:$F$9,AH$9))</f>
        <v>0</v>
      </c>
      <c r="AI89" s="27">
        <f>IF($G89="s-curve",$E89+($F89-$E89)*$I$2/(1+EXP($I$3*(COUNT($I$9:AI$9)+$I$4))),TREND($E89:$F89,$E$9:$F$9,AI$9))</f>
        <v>0</v>
      </c>
      <c r="AJ89" s="27">
        <f>IF($G89="s-curve",$E89+($F89-$E89)*$I$2/(1+EXP($I$3*(COUNT($I$9:AJ$9)+$I$4))),TREND($E89:$F89,$E$9:$F$9,AJ$9))</f>
        <v>0</v>
      </c>
      <c r="AK89" s="27">
        <f>IF($G89="s-curve",$E89+($F89-$E89)*$I$2/(1+EXP($I$3*(COUNT($I$9:AK$9)+$I$4))),TREND($E89:$F89,$E$9:$F$9,AK$9))</f>
        <v>0</v>
      </c>
      <c r="AL89" s="27">
        <f>IF($G89="s-curve",$E89+($F89-$E89)*$I$2/(1+EXP($I$3*(COUNT($I$9:AL$9)+$I$4))),TREND($E89:$F89,$E$9:$F$9,AL$9))</f>
        <v>0</v>
      </c>
      <c r="AM89" s="27">
        <f>IF($G89="s-curve",$E89+($F89-$E89)*$I$2/(1+EXP($I$3*(COUNT($I$9:AM$9)+$I$4))),TREND($E89:$F89,$E$9:$F$9,AM$9))</f>
        <v>0</v>
      </c>
      <c r="AN89" s="27">
        <f>IF($G89="s-curve",$E89+($F89-$E89)*$I$2/(1+EXP($I$3*(COUNT($I$9:AN$9)+$I$4))),TREND($E89:$F89,$E$9:$F$9,AN$9))</f>
        <v>0</v>
      </c>
      <c r="AO89" s="27">
        <f>IF($G89="s-curve",$E89+($F89-$E89)*$I$2/(1+EXP($I$3*(COUNT($I$9:AO$9)+$I$4))),TREND($E89:$F89,$E$9:$F$9,AO$9))</f>
        <v>0</v>
      </c>
      <c r="AP89" s="27">
        <f>IF($G89="s-curve",$E89+($F89-$E89)*$I$2/(1+EXP($I$3*(COUNT($I$9:AP$9)+$I$4))),TREND($E89:$F89,$E$9:$F$9,AP$9))</f>
        <v>0</v>
      </c>
      <c r="AQ89" s="27">
        <f>IF($G89="s-curve",$E89+($F89-$E89)*$I$2/(1+EXP($I$3*(COUNT($I$9:AQ$9)+$I$4))),TREND($E89:$F89,$E$9:$F$9,AQ$9))</f>
        <v>0</v>
      </c>
      <c r="AR89" s="27">
        <f>IF($G89="s-curve",$E89+($F89-$E89)*$I$2/(1+EXP($I$3*(COUNT($I$9:AR$9)+$I$4))),TREND($E89:$F89,$E$9:$F$9,AR$9))</f>
        <v>0</v>
      </c>
      <c r="AS89" s="27">
        <f>IF($G89="s-curve",$E89+($F89-$E89)*$I$2/(1+EXP($I$3*(COUNT($I$9:AS$9)+$I$4))),TREND($E89:$F89,$E$9:$F$9,AS$9))</f>
        <v>0</v>
      </c>
      <c r="AT89" s="27">
        <f>IF($G89="s-curve",$E89+($F89-$E89)*$I$2/(1+EXP($I$3*(COUNT($I$9:AT$9)+$I$4))),TREND($E89:$F89,$E$9:$F$9,AT$9))</f>
        <v>0</v>
      </c>
      <c r="AU89" s="27">
        <f>IF($G89="s-curve",$E89+($F89-$E89)*$I$2/(1+EXP($I$3*(COUNT($I$9:AU$9)+$I$4))),TREND($E89:$F89,$E$9:$F$9,AU$9))</f>
        <v>0</v>
      </c>
      <c r="AV89" s="27">
        <f>IF($G89="s-curve",$E89+($F89-$E89)*$I$2/(1+EXP($I$3*(COUNT($I$9:AV$9)+$I$4))),TREND($E89:$F89,$E$9:$F$9,AV$9))</f>
        <v>0</v>
      </c>
      <c r="AW89" s="27">
        <f>IF($G89="s-curve",$E89+($F89-$E89)*$I$2/(1+EXP($I$3*(COUNT($I$9:AW$9)+$I$4))),TREND($E89:$F89,$E$9:$F$9,AW$9))</f>
        <v>0</v>
      </c>
      <c r="AX89" s="27">
        <f>IF($G89="s-curve",$E89+($F89-$E89)*$I$2/(1+EXP($I$3*(COUNT($I$9:AX$9)+$I$4))),TREND($E89:$F89,$E$9:$F$9,AX$9))</f>
        <v>0</v>
      </c>
      <c r="AY89" s="27">
        <f>IF($G89="s-curve",$E89+($F89-$E89)*$I$2/(1+EXP($I$3*(COUNT($I$9:AY$9)+$I$4))),TREND($E89:$F89,$E$9:$F$9,AY$9))</f>
        <v>0</v>
      </c>
      <c r="AZ89" s="27">
        <f>IF($G89="s-curve",$E89+($F89-$E89)*$I$2/(1+EXP($I$3*(COUNT($I$9:AZ$9)+$I$4))),TREND($E89:$F89,$E$9:$F$9,AZ$9))</f>
        <v>0</v>
      </c>
      <c r="BA89" s="27">
        <f>IF($G89="s-curve",$E89+($F89-$E89)*$I$2/(1+EXP($I$3*(COUNT($I$9:BA$9)+$I$4))),TREND($E89:$F89,$E$9:$F$9,BA$9))</f>
        <v>0</v>
      </c>
      <c r="BB89" s="27">
        <f>IF($G89="s-curve",$E89+($F89-$E89)*$I$2/(1+EXP($I$3*(COUNT($I$9:BB$9)+$I$4))),TREND($E89:$F89,$E$9:$F$9,BB$9))</f>
        <v>0</v>
      </c>
      <c r="BC89" s="27">
        <f>IF($G89="s-curve",$E89+($F89-$E89)*$I$2/(1+EXP($I$3*(COUNT($I$9:BC$9)+$I$4))),TREND($E89:$F89,$E$9:$F$9,BC$9))</f>
        <v>0</v>
      </c>
      <c r="BD89" s="27">
        <f>IF($G89="s-curve",$E89+($F89-$E89)*$I$2/(1+EXP($I$3*(COUNT($I$9:BD$9)+$I$4))),TREND($E89:$F89,$E$9:$F$9,BD$9))</f>
        <v>0</v>
      </c>
      <c r="BE89" s="27">
        <f>IF($G89="s-curve",$E89+($F89-$E89)*$I$2/(1+EXP($I$3*(COUNT($I$9:BE$9)+$I$4))),TREND($E89:$F89,$E$9:$F$9,BE$9))</f>
        <v>0</v>
      </c>
      <c r="BF89" s="27">
        <f>IF($G89="s-curve",$E89+($F89-$E89)*$I$2/(1+EXP($I$3*(COUNT($I$9:BF$9)+$I$4))),TREND($E89:$F89,$E$9:$F$9,BF$9))</f>
        <v>0</v>
      </c>
    </row>
    <row r="90" spans="1:58" x14ac:dyDescent="0.75">
      <c r="C90" t="s">
        <v>4</v>
      </c>
      <c r="D90" s="26">
        <f t="shared" si="29"/>
        <v>0</v>
      </c>
      <c r="E90" s="26">
        <v>0</v>
      </c>
      <c r="F90" s="26">
        <v>0</v>
      </c>
      <c r="G90" s="29" t="str">
        <f>IF(E90=F90,"n/a",IF(OR(C90="battery electric vehicle",C90="natural gas vehicle",C90="plugin hybrid vehicle"),"s-curve","linear"))</f>
        <v>n/a</v>
      </c>
      <c r="I90" s="27">
        <f t="shared" si="15"/>
        <v>0</v>
      </c>
      <c r="J90" s="27">
        <f t="shared" si="16"/>
        <v>0</v>
      </c>
      <c r="K90" s="27">
        <f t="shared" si="16"/>
        <v>0</v>
      </c>
      <c r="L90" s="27">
        <f t="shared" si="16"/>
        <v>0</v>
      </c>
      <c r="M90" s="27">
        <f>IF($G90="s-curve",$E90+($F90-$E90)*$I$2/(1+EXP($I$3*(COUNT($I$9:M$9)+$I$4))),TREND($E90:$F90,$E$9:$F$9,M$9))</f>
        <v>0</v>
      </c>
      <c r="N90" s="27">
        <f>IF($G90="s-curve",$E90+($F90-$E90)*$I$2/(1+EXP($I$3*(COUNT($I$9:N$9)+$I$4))),TREND($E90:$F90,$E$9:$F$9,N$9))</f>
        <v>0</v>
      </c>
      <c r="O90" s="27">
        <f>IF($G90="s-curve",$E90+($F90-$E90)*$I$2/(1+EXP($I$3*(COUNT($I$9:O$9)+$I$4))),TREND($E90:$F90,$E$9:$F$9,O$9))</f>
        <v>0</v>
      </c>
      <c r="P90" s="27">
        <f>IF($G90="s-curve",$E90+($F90-$E90)*$I$2/(1+EXP($I$3*(COUNT($I$9:P$9)+$I$4))),TREND($E90:$F90,$E$9:$F$9,P$9))</f>
        <v>0</v>
      </c>
      <c r="Q90" s="27">
        <f>IF($G90="s-curve",$E90+($F90-$E90)*$I$2/(1+EXP($I$3*(COUNT($I$9:Q$9)+$I$4))),TREND($E90:$F90,$E$9:$F$9,Q$9))</f>
        <v>0</v>
      </c>
      <c r="R90" s="27">
        <f>IF($G90="s-curve",$E90+($F90-$E90)*$I$2/(1+EXP($I$3*(COUNT($I$9:R$9)+$I$4))),TREND($E90:$F90,$E$9:$F$9,R$9))</f>
        <v>0</v>
      </c>
      <c r="S90" s="27">
        <f>IF($G90="s-curve",$E90+($F90-$E90)*$I$2/(1+EXP($I$3*(COUNT($I$9:S$9)+$I$4))),TREND($E90:$F90,$E$9:$F$9,S$9))</f>
        <v>0</v>
      </c>
      <c r="T90" s="27">
        <f>IF($G90="s-curve",$E90+($F90-$E90)*$I$2/(1+EXP($I$3*(COUNT($I$9:T$9)+$I$4))),TREND($E90:$F90,$E$9:$F$9,T$9))</f>
        <v>0</v>
      </c>
      <c r="U90" s="27">
        <f>IF($G90="s-curve",$E90+($F90-$E90)*$I$2/(1+EXP($I$3*(COUNT($I$9:U$9)+$I$4))),TREND($E90:$F90,$E$9:$F$9,U$9))</f>
        <v>0</v>
      </c>
      <c r="V90" s="27">
        <f>IF($G90="s-curve",$E90+($F90-$E90)*$I$2/(1+EXP($I$3*(COUNT($I$9:V$9)+$I$4))),TREND($E90:$F90,$E$9:$F$9,V$9))</f>
        <v>0</v>
      </c>
      <c r="W90" s="27">
        <f>IF($G90="s-curve",$E90+($F90-$E90)*$I$2/(1+EXP($I$3*(COUNT($I$9:W$9)+$I$4))),TREND($E90:$F90,$E$9:$F$9,W$9))</f>
        <v>0</v>
      </c>
      <c r="X90" s="27">
        <f>IF($G90="s-curve",$E90+($F90-$E90)*$I$2/(1+EXP($I$3*(COUNT($I$9:X$9)+$I$4))),TREND($E90:$F90,$E$9:$F$9,X$9))</f>
        <v>0</v>
      </c>
      <c r="Y90" s="27">
        <f>IF($G90="s-curve",$E90+($F90-$E90)*$I$2/(1+EXP($I$3*(COUNT($I$9:Y$9)+$I$4))),TREND($E90:$F90,$E$9:$F$9,Y$9))</f>
        <v>0</v>
      </c>
      <c r="Z90" s="27">
        <f>IF($G90="s-curve",$E90+($F90-$E90)*$I$2/(1+EXP($I$3*(COUNT($I$9:Z$9)+$I$4))),TREND($E90:$F90,$E$9:$F$9,Z$9))</f>
        <v>0</v>
      </c>
      <c r="AA90" s="27">
        <f>IF($G90="s-curve",$E90+($F90-$E90)*$I$2/(1+EXP($I$3*(COUNT($I$9:AA$9)+$I$4))),TREND($E90:$F90,$E$9:$F$9,AA$9))</f>
        <v>0</v>
      </c>
      <c r="AB90" s="27">
        <f>IF($G90="s-curve",$E90+($F90-$E90)*$I$2/(1+EXP($I$3*(COUNT($I$9:AB$9)+$I$4))),TREND($E90:$F90,$E$9:$F$9,AB$9))</f>
        <v>0</v>
      </c>
      <c r="AC90" s="27">
        <f>IF($G90="s-curve",$E90+($F90-$E90)*$I$2/(1+EXP($I$3*(COUNT($I$9:AC$9)+$I$4))),TREND($E90:$F90,$E$9:$F$9,AC$9))</f>
        <v>0</v>
      </c>
      <c r="AD90" s="27">
        <f>IF($G90="s-curve",$E90+($F90-$E90)*$I$2/(1+EXP($I$3*(COUNT($I$9:AD$9)+$I$4))),TREND($E90:$F90,$E$9:$F$9,AD$9))</f>
        <v>0</v>
      </c>
      <c r="AE90" s="27">
        <f>IF($G90="s-curve",$E90+($F90-$E90)*$I$2/(1+EXP($I$3*(COUNT($I$9:AE$9)+$I$4))),TREND($E90:$F90,$E$9:$F$9,AE$9))</f>
        <v>0</v>
      </c>
      <c r="AF90" s="27">
        <f>IF($G90="s-curve",$E90+($F90-$E90)*$I$2/(1+EXP($I$3*(COUNT($I$9:AF$9)+$I$4))),TREND($E90:$F90,$E$9:$F$9,AF$9))</f>
        <v>0</v>
      </c>
      <c r="AG90" s="27">
        <f>IF($G90="s-curve",$E90+($F90-$E90)*$I$2/(1+EXP($I$3*(COUNT($I$9:AG$9)+$I$4))),TREND($E90:$F90,$E$9:$F$9,AG$9))</f>
        <v>0</v>
      </c>
      <c r="AH90" s="27">
        <f>IF($G90="s-curve",$E90+($F90-$E90)*$I$2/(1+EXP($I$3*(COUNT($I$9:AH$9)+$I$4))),TREND($E90:$F90,$E$9:$F$9,AH$9))</f>
        <v>0</v>
      </c>
      <c r="AI90" s="27">
        <f>IF($G90="s-curve",$E90+($F90-$E90)*$I$2/(1+EXP($I$3*(COUNT($I$9:AI$9)+$I$4))),TREND($E90:$F90,$E$9:$F$9,AI$9))</f>
        <v>0</v>
      </c>
      <c r="AJ90" s="27">
        <f>IF($G90="s-curve",$E90+($F90-$E90)*$I$2/(1+EXP($I$3*(COUNT($I$9:AJ$9)+$I$4))),TREND($E90:$F90,$E$9:$F$9,AJ$9))</f>
        <v>0</v>
      </c>
      <c r="AK90" s="27">
        <f>IF($G90="s-curve",$E90+($F90-$E90)*$I$2/(1+EXP($I$3*(COUNT($I$9:AK$9)+$I$4))),TREND($E90:$F90,$E$9:$F$9,AK$9))</f>
        <v>0</v>
      </c>
      <c r="AL90" s="27">
        <f>IF($G90="s-curve",$E90+($F90-$E90)*$I$2/(1+EXP($I$3*(COUNT($I$9:AL$9)+$I$4))),TREND($E90:$F90,$E$9:$F$9,AL$9))</f>
        <v>0</v>
      </c>
      <c r="AM90" s="27">
        <f>IF($G90="s-curve",$E90+($F90-$E90)*$I$2/(1+EXP($I$3*(COUNT($I$9:AM$9)+$I$4))),TREND($E90:$F90,$E$9:$F$9,AM$9))</f>
        <v>0</v>
      </c>
      <c r="AN90" s="27">
        <f>IF($G90="s-curve",$E90+($F90-$E90)*$I$2/(1+EXP($I$3*(COUNT($I$9:AN$9)+$I$4))),TREND($E90:$F90,$E$9:$F$9,AN$9))</f>
        <v>0</v>
      </c>
      <c r="AO90" s="27">
        <f>IF($G90="s-curve",$E90+($F90-$E90)*$I$2/(1+EXP($I$3*(COUNT($I$9:AO$9)+$I$4))),TREND($E90:$F90,$E$9:$F$9,AO$9))</f>
        <v>0</v>
      </c>
      <c r="AP90" s="27">
        <f>IF($G90="s-curve",$E90+($F90-$E90)*$I$2/(1+EXP($I$3*(COUNT($I$9:AP$9)+$I$4))),TREND($E90:$F90,$E$9:$F$9,AP$9))</f>
        <v>0</v>
      </c>
      <c r="AQ90" s="27">
        <f>IF($G90="s-curve",$E90+($F90-$E90)*$I$2/(1+EXP($I$3*(COUNT($I$9:AQ$9)+$I$4))),TREND($E90:$F90,$E$9:$F$9,AQ$9))</f>
        <v>0</v>
      </c>
      <c r="AR90" s="27">
        <f>IF($G90="s-curve",$E90+($F90-$E90)*$I$2/(1+EXP($I$3*(COUNT($I$9:AR$9)+$I$4))),TREND($E90:$F90,$E$9:$F$9,AR$9))</f>
        <v>0</v>
      </c>
      <c r="AS90" s="27">
        <f>IF($G90="s-curve",$E90+($F90-$E90)*$I$2/(1+EXP($I$3*(COUNT($I$9:AS$9)+$I$4))),TREND($E90:$F90,$E$9:$F$9,AS$9))</f>
        <v>0</v>
      </c>
      <c r="AT90" s="27">
        <f>IF($G90="s-curve",$E90+($F90-$E90)*$I$2/(1+EXP($I$3*(COUNT($I$9:AT$9)+$I$4))),TREND($E90:$F90,$E$9:$F$9,AT$9))</f>
        <v>0</v>
      </c>
      <c r="AU90" s="27">
        <f>IF($G90="s-curve",$E90+($F90-$E90)*$I$2/(1+EXP($I$3*(COUNT($I$9:AU$9)+$I$4))),TREND($E90:$F90,$E$9:$F$9,AU$9))</f>
        <v>0</v>
      </c>
      <c r="AV90" s="27">
        <f>IF($G90="s-curve",$E90+($F90-$E90)*$I$2/(1+EXP($I$3*(COUNT($I$9:AV$9)+$I$4))),TREND($E90:$F90,$E$9:$F$9,AV$9))</f>
        <v>0</v>
      </c>
      <c r="AW90" s="27">
        <f>IF($G90="s-curve",$E90+($F90-$E90)*$I$2/(1+EXP($I$3*(COUNT($I$9:AW$9)+$I$4))),TREND($E90:$F90,$E$9:$F$9,AW$9))</f>
        <v>0</v>
      </c>
      <c r="AX90" s="27">
        <f>IF($G90="s-curve",$E90+($F90-$E90)*$I$2/(1+EXP($I$3*(COUNT($I$9:AX$9)+$I$4))),TREND($E90:$F90,$E$9:$F$9,AX$9))</f>
        <v>0</v>
      </c>
      <c r="AY90" s="27">
        <f>IF($G90="s-curve",$E90+($F90-$E90)*$I$2/(1+EXP($I$3*(COUNT($I$9:AY$9)+$I$4))),TREND($E90:$F90,$E$9:$F$9,AY$9))</f>
        <v>0</v>
      </c>
      <c r="AZ90" s="27">
        <f>IF($G90="s-curve",$E90+($F90-$E90)*$I$2/(1+EXP($I$3*(COUNT($I$9:AZ$9)+$I$4))),TREND($E90:$F90,$E$9:$F$9,AZ$9))</f>
        <v>0</v>
      </c>
      <c r="BA90" s="27">
        <f>IF($G90="s-curve",$E90+($F90-$E90)*$I$2/(1+EXP($I$3*(COUNT($I$9:BA$9)+$I$4))),TREND($E90:$F90,$E$9:$F$9,BA$9))</f>
        <v>0</v>
      </c>
      <c r="BB90" s="27">
        <f>IF($G90="s-curve",$E90+($F90-$E90)*$I$2/(1+EXP($I$3*(COUNT($I$9:BB$9)+$I$4))),TREND($E90:$F90,$E$9:$F$9,BB$9))</f>
        <v>0</v>
      </c>
      <c r="BC90" s="27">
        <f>IF($G90="s-curve",$E90+($F90-$E90)*$I$2/(1+EXP($I$3*(COUNT($I$9:BC$9)+$I$4))),TREND($E90:$F90,$E$9:$F$9,BC$9))</f>
        <v>0</v>
      </c>
      <c r="BD90" s="27">
        <f>IF($G90="s-curve",$E90+($F90-$E90)*$I$2/(1+EXP($I$3*(COUNT($I$9:BD$9)+$I$4))),TREND($E90:$F90,$E$9:$F$9,BD$9))</f>
        <v>0</v>
      </c>
      <c r="BE90" s="27">
        <f>IF($G90="s-curve",$E90+($F90-$E90)*$I$2/(1+EXP($I$3*(COUNT($I$9:BE$9)+$I$4))),TREND($E90:$F90,$E$9:$F$9,BE$9))</f>
        <v>0</v>
      </c>
      <c r="BF90" s="27">
        <f>IF($G90="s-curve",$E90+($F90-$E90)*$I$2/(1+EXP($I$3*(COUNT($I$9:BF$9)+$I$4))),TREND($E90:$F90,$E$9:$F$9,BF$9))</f>
        <v>0</v>
      </c>
    </row>
    <row r="91" spans="1:58" x14ac:dyDescent="0.75">
      <c r="C91" t="s">
        <v>5</v>
      </c>
      <c r="D91" s="26">
        <f t="shared" si="29"/>
        <v>0</v>
      </c>
      <c r="E91" s="26">
        <v>0</v>
      </c>
      <c r="F91" s="26">
        <v>0</v>
      </c>
      <c r="G91" s="29" t="str">
        <f>IF(E91=F91,"n/a",IF(OR(C91="battery electric vehicle",C91="natural gas vehicle",C91="plugin hybrid vehicle"),"s-curve","linear"))</f>
        <v>n/a</v>
      </c>
      <c r="I91" s="27">
        <f t="shared" si="15"/>
        <v>0</v>
      </c>
      <c r="J91" s="27">
        <f t="shared" si="16"/>
        <v>0</v>
      </c>
      <c r="K91" s="27">
        <f t="shared" si="16"/>
        <v>0</v>
      </c>
      <c r="L91" s="27">
        <f t="shared" si="16"/>
        <v>0</v>
      </c>
      <c r="M91" s="27">
        <f>IF($G91="s-curve",$E91+($F91-$E91)*$I$2/(1+EXP($I$3*(COUNT($I$9:M$9)+$I$4))),TREND($E91:$F91,$E$9:$F$9,M$9))</f>
        <v>0</v>
      </c>
      <c r="N91" s="27">
        <f>IF($G91="s-curve",$E91+($F91-$E91)*$I$2/(1+EXP($I$3*(COUNT($I$9:N$9)+$I$4))),TREND($E91:$F91,$E$9:$F$9,N$9))</f>
        <v>0</v>
      </c>
      <c r="O91" s="27">
        <f>IF($G91="s-curve",$E91+($F91-$E91)*$I$2/(1+EXP($I$3*(COUNT($I$9:O$9)+$I$4))),TREND($E91:$F91,$E$9:$F$9,O$9))</f>
        <v>0</v>
      </c>
      <c r="P91" s="27">
        <f>IF($G91="s-curve",$E91+($F91-$E91)*$I$2/(1+EXP($I$3*(COUNT($I$9:P$9)+$I$4))),TREND($E91:$F91,$E$9:$F$9,P$9))</f>
        <v>0</v>
      </c>
      <c r="Q91" s="27">
        <f>IF($G91="s-curve",$E91+($F91-$E91)*$I$2/(1+EXP($I$3*(COUNT($I$9:Q$9)+$I$4))),TREND($E91:$F91,$E$9:$F$9,Q$9))</f>
        <v>0</v>
      </c>
      <c r="R91" s="27">
        <f>IF($G91="s-curve",$E91+($F91-$E91)*$I$2/(1+EXP($I$3*(COUNT($I$9:R$9)+$I$4))),TREND($E91:$F91,$E$9:$F$9,R$9))</f>
        <v>0</v>
      </c>
      <c r="S91" s="27">
        <f>IF($G91="s-curve",$E91+($F91-$E91)*$I$2/(1+EXP($I$3*(COUNT($I$9:S$9)+$I$4))),TREND($E91:$F91,$E$9:$F$9,S$9))</f>
        <v>0</v>
      </c>
      <c r="T91" s="27">
        <f>IF($G91="s-curve",$E91+($F91-$E91)*$I$2/(1+EXP($I$3*(COUNT($I$9:T$9)+$I$4))),TREND($E91:$F91,$E$9:$F$9,T$9))</f>
        <v>0</v>
      </c>
      <c r="U91" s="27">
        <f>IF($G91="s-curve",$E91+($F91-$E91)*$I$2/(1+EXP($I$3*(COUNT($I$9:U$9)+$I$4))),TREND($E91:$F91,$E$9:$F$9,U$9))</f>
        <v>0</v>
      </c>
      <c r="V91" s="27">
        <f>IF($G91="s-curve",$E91+($F91-$E91)*$I$2/(1+EXP($I$3*(COUNT($I$9:V$9)+$I$4))),TREND($E91:$F91,$E$9:$F$9,V$9))</f>
        <v>0</v>
      </c>
      <c r="W91" s="27">
        <f>IF($G91="s-curve",$E91+($F91-$E91)*$I$2/(1+EXP($I$3*(COUNT($I$9:W$9)+$I$4))),TREND($E91:$F91,$E$9:$F$9,W$9))</f>
        <v>0</v>
      </c>
      <c r="X91" s="27">
        <f>IF($G91="s-curve",$E91+($F91-$E91)*$I$2/(1+EXP($I$3*(COUNT($I$9:X$9)+$I$4))),TREND($E91:$F91,$E$9:$F$9,X$9))</f>
        <v>0</v>
      </c>
      <c r="Y91" s="27">
        <f>IF($G91="s-curve",$E91+($F91-$E91)*$I$2/(1+EXP($I$3*(COUNT($I$9:Y$9)+$I$4))),TREND($E91:$F91,$E$9:$F$9,Y$9))</f>
        <v>0</v>
      </c>
      <c r="Z91" s="27">
        <f>IF($G91="s-curve",$E91+($F91-$E91)*$I$2/(1+EXP($I$3*(COUNT($I$9:Z$9)+$I$4))),TREND($E91:$F91,$E$9:$F$9,Z$9))</f>
        <v>0</v>
      </c>
      <c r="AA91" s="27">
        <f>IF($G91="s-curve",$E91+($F91-$E91)*$I$2/(1+EXP($I$3*(COUNT($I$9:AA$9)+$I$4))),TREND($E91:$F91,$E$9:$F$9,AA$9))</f>
        <v>0</v>
      </c>
      <c r="AB91" s="27">
        <f>IF($G91="s-curve",$E91+($F91-$E91)*$I$2/(1+EXP($I$3*(COUNT($I$9:AB$9)+$I$4))),TREND($E91:$F91,$E$9:$F$9,AB$9))</f>
        <v>0</v>
      </c>
      <c r="AC91" s="27">
        <f>IF($G91="s-curve",$E91+($F91-$E91)*$I$2/(1+EXP($I$3*(COUNT($I$9:AC$9)+$I$4))),TREND($E91:$F91,$E$9:$F$9,AC$9))</f>
        <v>0</v>
      </c>
      <c r="AD91" s="27">
        <f>IF($G91="s-curve",$E91+($F91-$E91)*$I$2/(1+EXP($I$3*(COUNT($I$9:AD$9)+$I$4))),TREND($E91:$F91,$E$9:$F$9,AD$9))</f>
        <v>0</v>
      </c>
      <c r="AE91" s="27">
        <f>IF($G91="s-curve",$E91+($F91-$E91)*$I$2/(1+EXP($I$3*(COUNT($I$9:AE$9)+$I$4))),TREND($E91:$F91,$E$9:$F$9,AE$9))</f>
        <v>0</v>
      </c>
      <c r="AF91" s="27">
        <f>IF($G91="s-curve",$E91+($F91-$E91)*$I$2/(1+EXP($I$3*(COUNT($I$9:AF$9)+$I$4))),TREND($E91:$F91,$E$9:$F$9,AF$9))</f>
        <v>0</v>
      </c>
      <c r="AG91" s="27">
        <f>IF($G91="s-curve",$E91+($F91-$E91)*$I$2/(1+EXP($I$3*(COUNT($I$9:AG$9)+$I$4))),TREND($E91:$F91,$E$9:$F$9,AG$9))</f>
        <v>0</v>
      </c>
      <c r="AH91" s="27">
        <f>IF($G91="s-curve",$E91+($F91-$E91)*$I$2/(1+EXP($I$3*(COUNT($I$9:AH$9)+$I$4))),TREND($E91:$F91,$E$9:$F$9,AH$9))</f>
        <v>0</v>
      </c>
      <c r="AI91" s="27">
        <f>IF($G91="s-curve",$E91+($F91-$E91)*$I$2/(1+EXP($I$3*(COUNT($I$9:AI$9)+$I$4))),TREND($E91:$F91,$E$9:$F$9,AI$9))</f>
        <v>0</v>
      </c>
      <c r="AJ91" s="27">
        <f>IF($G91="s-curve",$E91+($F91-$E91)*$I$2/(1+EXP($I$3*(COUNT($I$9:AJ$9)+$I$4))),TREND($E91:$F91,$E$9:$F$9,AJ$9))</f>
        <v>0</v>
      </c>
      <c r="AK91" s="27">
        <f>IF($G91="s-curve",$E91+($F91-$E91)*$I$2/(1+EXP($I$3*(COUNT($I$9:AK$9)+$I$4))),TREND($E91:$F91,$E$9:$F$9,AK$9))</f>
        <v>0</v>
      </c>
      <c r="AL91" s="27">
        <f>IF($G91="s-curve",$E91+($F91-$E91)*$I$2/(1+EXP($I$3*(COUNT($I$9:AL$9)+$I$4))),TREND($E91:$F91,$E$9:$F$9,AL$9))</f>
        <v>0</v>
      </c>
      <c r="AM91" s="27">
        <f>IF($G91="s-curve",$E91+($F91-$E91)*$I$2/(1+EXP($I$3*(COUNT($I$9:AM$9)+$I$4))),TREND($E91:$F91,$E$9:$F$9,AM$9))</f>
        <v>0</v>
      </c>
      <c r="AN91" s="27">
        <f>IF($G91="s-curve",$E91+($F91-$E91)*$I$2/(1+EXP($I$3*(COUNT($I$9:AN$9)+$I$4))),TREND($E91:$F91,$E$9:$F$9,AN$9))</f>
        <v>0</v>
      </c>
      <c r="AO91" s="27">
        <f>IF($G91="s-curve",$E91+($F91-$E91)*$I$2/(1+EXP($I$3*(COUNT($I$9:AO$9)+$I$4))),TREND($E91:$F91,$E$9:$F$9,AO$9))</f>
        <v>0</v>
      </c>
      <c r="AP91" s="27">
        <f>IF($G91="s-curve",$E91+($F91-$E91)*$I$2/(1+EXP($I$3*(COUNT($I$9:AP$9)+$I$4))),TREND($E91:$F91,$E$9:$F$9,AP$9))</f>
        <v>0</v>
      </c>
      <c r="AQ91" s="27">
        <f>IF($G91="s-curve",$E91+($F91-$E91)*$I$2/(1+EXP($I$3*(COUNT($I$9:AQ$9)+$I$4))),TREND($E91:$F91,$E$9:$F$9,AQ$9))</f>
        <v>0</v>
      </c>
      <c r="AR91" s="27">
        <f>IF($G91="s-curve",$E91+($F91-$E91)*$I$2/(1+EXP($I$3*(COUNT($I$9:AR$9)+$I$4))),TREND($E91:$F91,$E$9:$F$9,AR$9))</f>
        <v>0</v>
      </c>
      <c r="AS91" s="27">
        <f>IF($G91="s-curve",$E91+($F91-$E91)*$I$2/(1+EXP($I$3*(COUNT($I$9:AS$9)+$I$4))),TREND($E91:$F91,$E$9:$F$9,AS$9))</f>
        <v>0</v>
      </c>
      <c r="AT91" s="27">
        <f>IF($G91="s-curve",$E91+($F91-$E91)*$I$2/(1+EXP($I$3*(COUNT($I$9:AT$9)+$I$4))),TREND($E91:$F91,$E$9:$F$9,AT$9))</f>
        <v>0</v>
      </c>
      <c r="AU91" s="27">
        <f>IF($G91="s-curve",$E91+($F91-$E91)*$I$2/(1+EXP($I$3*(COUNT($I$9:AU$9)+$I$4))),TREND($E91:$F91,$E$9:$F$9,AU$9))</f>
        <v>0</v>
      </c>
      <c r="AV91" s="27">
        <f>IF($G91="s-curve",$E91+($F91-$E91)*$I$2/(1+EXP($I$3*(COUNT($I$9:AV$9)+$I$4))),TREND($E91:$F91,$E$9:$F$9,AV$9))</f>
        <v>0</v>
      </c>
      <c r="AW91" s="27">
        <f>IF($G91="s-curve",$E91+($F91-$E91)*$I$2/(1+EXP($I$3*(COUNT($I$9:AW$9)+$I$4))),TREND($E91:$F91,$E$9:$F$9,AW$9))</f>
        <v>0</v>
      </c>
      <c r="AX91" s="27">
        <f>IF($G91="s-curve",$E91+($F91-$E91)*$I$2/(1+EXP($I$3*(COUNT($I$9:AX$9)+$I$4))),TREND($E91:$F91,$E$9:$F$9,AX$9))</f>
        <v>0</v>
      </c>
      <c r="AY91" s="27">
        <f>IF($G91="s-curve",$E91+($F91-$E91)*$I$2/(1+EXP($I$3*(COUNT($I$9:AY$9)+$I$4))),TREND($E91:$F91,$E$9:$F$9,AY$9))</f>
        <v>0</v>
      </c>
      <c r="AZ91" s="27">
        <f>IF($G91="s-curve",$E91+($F91-$E91)*$I$2/(1+EXP($I$3*(COUNT($I$9:AZ$9)+$I$4))),TREND($E91:$F91,$E$9:$F$9,AZ$9))</f>
        <v>0</v>
      </c>
      <c r="BA91" s="27">
        <f>IF($G91="s-curve",$E91+($F91-$E91)*$I$2/(1+EXP($I$3*(COUNT($I$9:BA$9)+$I$4))),TREND($E91:$F91,$E$9:$F$9,BA$9))</f>
        <v>0</v>
      </c>
      <c r="BB91" s="27">
        <f>IF($G91="s-curve",$E91+($F91-$E91)*$I$2/(1+EXP($I$3*(COUNT($I$9:BB$9)+$I$4))),TREND($E91:$F91,$E$9:$F$9,BB$9))</f>
        <v>0</v>
      </c>
      <c r="BC91" s="27">
        <f>IF($G91="s-curve",$E91+($F91-$E91)*$I$2/(1+EXP($I$3*(COUNT($I$9:BC$9)+$I$4))),TREND($E91:$F91,$E$9:$F$9,BC$9))</f>
        <v>0</v>
      </c>
      <c r="BD91" s="27">
        <f>IF($G91="s-curve",$E91+($F91-$E91)*$I$2/(1+EXP($I$3*(COUNT($I$9:BD$9)+$I$4))),TREND($E91:$F91,$E$9:$F$9,BD$9))</f>
        <v>0</v>
      </c>
      <c r="BE91" s="27">
        <f>IF($G91="s-curve",$E91+($F91-$E91)*$I$2/(1+EXP($I$3*(COUNT($I$9:BE$9)+$I$4))),TREND($E91:$F91,$E$9:$F$9,BE$9))</f>
        <v>0</v>
      </c>
      <c r="BF91" s="27">
        <f>IF($G91="s-curve",$E91+($F91-$E91)*$I$2/(1+EXP($I$3*(COUNT($I$9:BF$9)+$I$4))),TREND($E91:$F91,$E$9:$F$9,BF$9))</f>
        <v>0</v>
      </c>
    </row>
    <row r="92" spans="1:58" x14ac:dyDescent="0.75">
      <c r="C92" t="s">
        <v>31</v>
      </c>
      <c r="D92" s="26">
        <f t="shared" si="29"/>
        <v>0</v>
      </c>
      <c r="E92" s="26">
        <v>0</v>
      </c>
      <c r="F92" s="26">
        <v>0</v>
      </c>
      <c r="G92" s="29" t="str">
        <f>IF(E92=F92,"n/a",IF(OR(C92="battery electric vehicle",C92="natural gas vehicle",C92="plugin hybrid vehicle",C92="hydrogen vehicle"),"s-curve","linear"))</f>
        <v>n/a</v>
      </c>
      <c r="I92" s="27">
        <f t="shared" si="15"/>
        <v>0</v>
      </c>
      <c r="J92" s="27">
        <f t="shared" si="16"/>
        <v>0</v>
      </c>
      <c r="K92" s="27">
        <f t="shared" si="16"/>
        <v>0</v>
      </c>
      <c r="L92" s="27">
        <f t="shared" si="16"/>
        <v>0</v>
      </c>
      <c r="M92" s="27">
        <f>IF($G92="s-curve",$E92+($F92-$E92)*$I$2/(1+EXP($I$3*(COUNT($I$9:M$9)+$I$4))),TREND($E92:$F92,$E$9:$F$9,M$9))</f>
        <v>0</v>
      </c>
      <c r="N92" s="27">
        <f>IF($G92="s-curve",$E92+($F92-$E92)*$I$2/(1+EXP($I$3*(COUNT($I$9:N$9)+$I$4))),TREND($E92:$F92,$E$9:$F$9,N$9))</f>
        <v>0</v>
      </c>
      <c r="O92" s="27">
        <f>IF($G92="s-curve",$E92+($F92-$E92)*$I$2/(1+EXP($I$3*(COUNT($I$9:O$9)+$I$4))),TREND($E92:$F92,$E$9:$F$9,O$9))</f>
        <v>0</v>
      </c>
      <c r="P92" s="27">
        <f>IF($G92="s-curve",$E92+($F92-$E92)*$I$2/(1+EXP($I$3*(COUNT($I$9:P$9)+$I$4))),TREND($E92:$F92,$E$9:$F$9,P$9))</f>
        <v>0</v>
      </c>
      <c r="Q92" s="27">
        <f>IF($G92="s-curve",$E92+($F92-$E92)*$I$2/(1+EXP($I$3*(COUNT($I$9:Q$9)+$I$4))),TREND($E92:$F92,$E$9:$F$9,Q$9))</f>
        <v>0</v>
      </c>
      <c r="R92" s="27">
        <f>IF($G92="s-curve",$E92+($F92-$E92)*$I$2/(1+EXP($I$3*(COUNT($I$9:R$9)+$I$4))),TREND($E92:$F92,$E$9:$F$9,R$9))</f>
        <v>0</v>
      </c>
      <c r="S92" s="27">
        <f>IF($G92="s-curve",$E92+($F92-$E92)*$I$2/(1+EXP($I$3*(COUNT($I$9:S$9)+$I$4))),TREND($E92:$F92,$E$9:$F$9,S$9))</f>
        <v>0</v>
      </c>
      <c r="T92" s="27">
        <f>IF($G92="s-curve",$E92+($F92-$E92)*$I$2/(1+EXP($I$3*(COUNT($I$9:T$9)+$I$4))),TREND($E92:$F92,$E$9:$F$9,T$9))</f>
        <v>0</v>
      </c>
      <c r="U92" s="27">
        <f>IF($G92="s-curve",$E92+($F92-$E92)*$I$2/(1+EXP($I$3*(COUNT($I$9:U$9)+$I$4))),TREND($E92:$F92,$E$9:$F$9,U$9))</f>
        <v>0</v>
      </c>
      <c r="V92" s="27">
        <f>IF($G92="s-curve",$E92+($F92-$E92)*$I$2/(1+EXP($I$3*(COUNT($I$9:V$9)+$I$4))),TREND($E92:$F92,$E$9:$F$9,V$9))</f>
        <v>0</v>
      </c>
      <c r="W92" s="27">
        <f>IF($G92="s-curve",$E92+($F92-$E92)*$I$2/(1+EXP($I$3*(COUNT($I$9:W$9)+$I$4))),TREND($E92:$F92,$E$9:$F$9,W$9))</f>
        <v>0</v>
      </c>
      <c r="X92" s="27">
        <f>IF($G92="s-curve",$E92+($F92-$E92)*$I$2/(1+EXP($I$3*(COUNT($I$9:X$9)+$I$4))),TREND($E92:$F92,$E$9:$F$9,X$9))</f>
        <v>0</v>
      </c>
      <c r="Y92" s="27">
        <f>IF($G92="s-curve",$E92+($F92-$E92)*$I$2/(1+EXP($I$3*(COUNT($I$9:Y$9)+$I$4))),TREND($E92:$F92,$E$9:$F$9,Y$9))</f>
        <v>0</v>
      </c>
      <c r="Z92" s="27">
        <f>IF($G92="s-curve",$E92+($F92-$E92)*$I$2/(1+EXP($I$3*(COUNT($I$9:Z$9)+$I$4))),TREND($E92:$F92,$E$9:$F$9,Z$9))</f>
        <v>0</v>
      </c>
      <c r="AA92" s="27">
        <f>IF($G92="s-curve",$E92+($F92-$E92)*$I$2/(1+EXP($I$3*(COUNT($I$9:AA$9)+$I$4))),TREND($E92:$F92,$E$9:$F$9,AA$9))</f>
        <v>0</v>
      </c>
      <c r="AB92" s="27">
        <f>IF($G92="s-curve",$E92+($F92-$E92)*$I$2/(1+EXP($I$3*(COUNT($I$9:AB$9)+$I$4))),TREND($E92:$F92,$E$9:$F$9,AB$9))</f>
        <v>0</v>
      </c>
      <c r="AC92" s="27">
        <f>IF($G92="s-curve",$E92+($F92-$E92)*$I$2/(1+EXP($I$3*(COUNT($I$9:AC$9)+$I$4))),TREND($E92:$F92,$E$9:$F$9,AC$9))</f>
        <v>0</v>
      </c>
      <c r="AD92" s="27">
        <f>IF($G92="s-curve",$E92+($F92-$E92)*$I$2/(1+EXP($I$3*(COUNT($I$9:AD$9)+$I$4))),TREND($E92:$F92,$E$9:$F$9,AD$9))</f>
        <v>0</v>
      </c>
      <c r="AE92" s="27">
        <f>IF($G92="s-curve",$E92+($F92-$E92)*$I$2/(1+EXP($I$3*(COUNT($I$9:AE$9)+$I$4))),TREND($E92:$F92,$E$9:$F$9,AE$9))</f>
        <v>0</v>
      </c>
      <c r="AF92" s="27">
        <f>IF($G92="s-curve",$E92+($F92-$E92)*$I$2/(1+EXP($I$3*(COUNT($I$9:AF$9)+$I$4))),TREND($E92:$F92,$E$9:$F$9,AF$9))</f>
        <v>0</v>
      </c>
      <c r="AG92" s="27">
        <f>IF($G92="s-curve",$E92+($F92-$E92)*$I$2/(1+EXP($I$3*(COUNT($I$9:AG$9)+$I$4))),TREND($E92:$F92,$E$9:$F$9,AG$9))</f>
        <v>0</v>
      </c>
      <c r="AH92" s="27">
        <f>IF($G92="s-curve",$E92+($F92-$E92)*$I$2/(1+EXP($I$3*(COUNT($I$9:AH$9)+$I$4))),TREND($E92:$F92,$E$9:$F$9,AH$9))</f>
        <v>0</v>
      </c>
      <c r="AI92" s="27">
        <f>IF($G92="s-curve",$E92+($F92-$E92)*$I$2/(1+EXP($I$3*(COUNT($I$9:AI$9)+$I$4))),TREND($E92:$F92,$E$9:$F$9,AI$9))</f>
        <v>0</v>
      </c>
      <c r="AJ92" s="27">
        <f>IF($G92="s-curve",$E92+($F92-$E92)*$I$2/(1+EXP($I$3*(COUNT($I$9:AJ$9)+$I$4))),TREND($E92:$F92,$E$9:$F$9,AJ$9))</f>
        <v>0</v>
      </c>
      <c r="AK92" s="27">
        <f>IF($G92="s-curve",$E92+($F92-$E92)*$I$2/(1+EXP($I$3*(COUNT($I$9:AK$9)+$I$4))),TREND($E92:$F92,$E$9:$F$9,AK$9))</f>
        <v>0</v>
      </c>
      <c r="AL92" s="27">
        <f>IF($G92="s-curve",$E92+($F92-$E92)*$I$2/(1+EXP($I$3*(COUNT($I$9:AL$9)+$I$4))),TREND($E92:$F92,$E$9:$F$9,AL$9))</f>
        <v>0</v>
      </c>
      <c r="AM92" s="27">
        <f>IF($G92="s-curve",$E92+($F92-$E92)*$I$2/(1+EXP($I$3*(COUNT($I$9:AM$9)+$I$4))),TREND($E92:$F92,$E$9:$F$9,AM$9))</f>
        <v>0</v>
      </c>
      <c r="AN92" s="27">
        <f>IF($G92="s-curve",$E92+($F92-$E92)*$I$2/(1+EXP($I$3*(COUNT($I$9:AN$9)+$I$4))),TREND($E92:$F92,$E$9:$F$9,AN$9))</f>
        <v>0</v>
      </c>
      <c r="AO92" s="27">
        <f>IF($G92="s-curve",$E92+($F92-$E92)*$I$2/(1+EXP($I$3*(COUNT($I$9:AO$9)+$I$4))),TREND($E92:$F92,$E$9:$F$9,AO$9))</f>
        <v>0</v>
      </c>
      <c r="AP92" s="27">
        <f>IF($G92="s-curve",$E92+($F92-$E92)*$I$2/(1+EXP($I$3*(COUNT($I$9:AP$9)+$I$4))),TREND($E92:$F92,$E$9:$F$9,AP$9))</f>
        <v>0</v>
      </c>
      <c r="AQ92" s="27">
        <f>IF($G92="s-curve",$E92+($F92-$E92)*$I$2/(1+EXP($I$3*(COUNT($I$9:AQ$9)+$I$4))),TREND($E92:$F92,$E$9:$F$9,AQ$9))</f>
        <v>0</v>
      </c>
      <c r="AR92" s="27">
        <f>IF($G92="s-curve",$E92+($F92-$E92)*$I$2/(1+EXP($I$3*(COUNT($I$9:AR$9)+$I$4))),TREND($E92:$F92,$E$9:$F$9,AR$9))</f>
        <v>0</v>
      </c>
      <c r="AS92" s="27">
        <f>IF($G92="s-curve",$E92+($F92-$E92)*$I$2/(1+EXP($I$3*(COUNT($I$9:AS$9)+$I$4))),TREND($E92:$F92,$E$9:$F$9,AS$9))</f>
        <v>0</v>
      </c>
      <c r="AT92" s="27">
        <f>IF($G92="s-curve",$E92+($F92-$E92)*$I$2/(1+EXP($I$3*(COUNT($I$9:AT$9)+$I$4))),TREND($E92:$F92,$E$9:$F$9,AT$9))</f>
        <v>0</v>
      </c>
      <c r="AU92" s="27">
        <f>IF($G92="s-curve",$E92+($F92-$E92)*$I$2/(1+EXP($I$3*(COUNT($I$9:AU$9)+$I$4))),TREND($E92:$F92,$E$9:$F$9,AU$9))</f>
        <v>0</v>
      </c>
      <c r="AV92" s="27">
        <f>IF($G92="s-curve",$E92+($F92-$E92)*$I$2/(1+EXP($I$3*(COUNT($I$9:AV$9)+$I$4))),TREND($E92:$F92,$E$9:$F$9,AV$9))</f>
        <v>0</v>
      </c>
      <c r="AW92" s="27">
        <f>IF($G92="s-curve",$E92+($F92-$E92)*$I$2/(1+EXP($I$3*(COUNT($I$9:AW$9)+$I$4))),TREND($E92:$F92,$E$9:$F$9,AW$9))</f>
        <v>0</v>
      </c>
      <c r="AX92" s="27">
        <f>IF($G92="s-curve",$E92+($F92-$E92)*$I$2/(1+EXP($I$3*(COUNT($I$9:AX$9)+$I$4))),TREND($E92:$F92,$E$9:$F$9,AX$9))</f>
        <v>0</v>
      </c>
      <c r="AY92" s="27">
        <f>IF($G92="s-curve",$E92+($F92-$E92)*$I$2/(1+EXP($I$3*(COUNT($I$9:AY$9)+$I$4))),TREND($E92:$F92,$E$9:$F$9,AY$9))</f>
        <v>0</v>
      </c>
      <c r="AZ92" s="27">
        <f>IF($G92="s-curve",$E92+($F92-$E92)*$I$2/(1+EXP($I$3*(COUNT($I$9:AZ$9)+$I$4))),TREND($E92:$F92,$E$9:$F$9,AZ$9))</f>
        <v>0</v>
      </c>
      <c r="BA92" s="27">
        <f>IF($G92="s-curve",$E92+($F92-$E92)*$I$2/(1+EXP($I$3*(COUNT($I$9:BA$9)+$I$4))),TREND($E92:$F92,$E$9:$F$9,BA$9))</f>
        <v>0</v>
      </c>
      <c r="BB92" s="27">
        <f>IF($G92="s-curve",$E92+($F92-$E92)*$I$2/(1+EXP($I$3*(COUNT($I$9:BB$9)+$I$4))),TREND($E92:$F92,$E$9:$F$9,BB$9))</f>
        <v>0</v>
      </c>
      <c r="BC92" s="27">
        <f>IF($G92="s-curve",$E92+($F92-$E92)*$I$2/(1+EXP($I$3*(COUNT($I$9:BC$9)+$I$4))),TREND($E92:$F92,$E$9:$F$9,BC$9))</f>
        <v>0</v>
      </c>
      <c r="BD92" s="27">
        <f>IF($G92="s-curve",$E92+($F92-$E92)*$I$2/(1+EXP($I$3*(COUNT($I$9:BD$9)+$I$4))),TREND($E92:$F92,$E$9:$F$9,BD$9))</f>
        <v>0</v>
      </c>
      <c r="BE92" s="27">
        <f>IF($G92="s-curve",$E92+($F92-$E92)*$I$2/(1+EXP($I$3*(COUNT($I$9:BE$9)+$I$4))),TREND($E92:$F92,$E$9:$F$9,BE$9))</f>
        <v>0</v>
      </c>
      <c r="BF92" s="27">
        <f>IF($G92="s-curve",$E92+($F92-$E92)*$I$2/(1+EXP($I$3*(COUNT($I$9:BF$9)+$I$4))),TREND($E92:$F92,$E$9:$F$9,BF$9))</f>
        <v>0</v>
      </c>
    </row>
    <row r="93" spans="1:58" ht="15.5" thickBot="1" x14ac:dyDescent="0.9">
      <c r="A93" s="16"/>
      <c r="B93" s="16"/>
      <c r="C93" s="16" t="s">
        <v>32</v>
      </c>
      <c r="D93" s="26">
        <f t="shared" si="29"/>
        <v>0</v>
      </c>
      <c r="E93" s="31">
        <v>0</v>
      </c>
      <c r="F93" s="31">
        <v>0</v>
      </c>
      <c r="G93" s="32" t="str">
        <f>IF(E93=F93,"n/a",IF(OR(C93="battery electric vehicle",C93="natural gas vehicle",C93="plugin hybrid vehicle",C93="hydrogen vehicle"),"s-curve","linear"))</f>
        <v>n/a</v>
      </c>
      <c r="I93" s="27">
        <f t="shared" si="15"/>
        <v>0</v>
      </c>
      <c r="J93" s="27">
        <f t="shared" si="16"/>
        <v>0</v>
      </c>
      <c r="K93" s="27">
        <f t="shared" si="16"/>
        <v>0</v>
      </c>
      <c r="L93" s="27">
        <f t="shared" si="16"/>
        <v>0</v>
      </c>
      <c r="M93" s="27">
        <f>IF($G93="s-curve",$E93+($F93-$E93)*$I$2/(1+EXP($I$3*(COUNT($I$9:M$9)+$I$4))),TREND($E93:$F93,$E$9:$F$9,M$9))</f>
        <v>0</v>
      </c>
      <c r="N93" s="27">
        <f>IF($G93="s-curve",$E93+($F93-$E93)*$I$2/(1+EXP($I$3*(COUNT($I$9:N$9)+$I$4))),TREND($E93:$F93,$E$9:$F$9,N$9))</f>
        <v>0</v>
      </c>
      <c r="O93" s="27">
        <f>IF($G93="s-curve",$E93+($F93-$E93)*$I$2/(1+EXP($I$3*(COUNT($I$9:O$9)+$I$4))),TREND($E93:$F93,$E$9:$F$9,O$9))</f>
        <v>0</v>
      </c>
      <c r="P93" s="27">
        <f>IF($G93="s-curve",$E93+($F93-$E93)*$I$2/(1+EXP($I$3*(COUNT($I$9:P$9)+$I$4))),TREND($E93:$F93,$E$9:$F$9,P$9))</f>
        <v>0</v>
      </c>
      <c r="Q93" s="27">
        <f>IF($G93="s-curve",$E93+($F93-$E93)*$I$2/(1+EXP($I$3*(COUNT($I$9:Q$9)+$I$4))),TREND($E93:$F93,$E$9:$F$9,Q$9))</f>
        <v>0</v>
      </c>
      <c r="R93" s="27">
        <f>IF($G93="s-curve",$E93+($F93-$E93)*$I$2/(1+EXP($I$3*(COUNT($I$9:R$9)+$I$4))),TREND($E93:$F93,$E$9:$F$9,R$9))</f>
        <v>0</v>
      </c>
      <c r="S93" s="27">
        <f>IF($G93="s-curve",$E93+($F93-$E93)*$I$2/(1+EXP($I$3*(COUNT($I$9:S$9)+$I$4))),TREND($E93:$F93,$E$9:$F$9,S$9))</f>
        <v>0</v>
      </c>
      <c r="T93" s="27">
        <f>IF($G93="s-curve",$E93+($F93-$E93)*$I$2/(1+EXP($I$3*(COUNT($I$9:T$9)+$I$4))),TREND($E93:$F93,$E$9:$F$9,T$9))</f>
        <v>0</v>
      </c>
      <c r="U93" s="27">
        <f>IF($G93="s-curve",$E93+($F93-$E93)*$I$2/(1+EXP($I$3*(COUNT($I$9:U$9)+$I$4))),TREND($E93:$F93,$E$9:$F$9,U$9))</f>
        <v>0</v>
      </c>
      <c r="V93" s="27">
        <f>IF($G93="s-curve",$E93+($F93-$E93)*$I$2/(1+EXP($I$3*(COUNT($I$9:V$9)+$I$4))),TREND($E93:$F93,$E$9:$F$9,V$9))</f>
        <v>0</v>
      </c>
      <c r="W93" s="27">
        <f>IF($G93="s-curve",$E93+($F93-$E93)*$I$2/(1+EXP($I$3*(COUNT($I$9:W$9)+$I$4))),TREND($E93:$F93,$E$9:$F$9,W$9))</f>
        <v>0</v>
      </c>
      <c r="X93" s="27">
        <f>IF($G93="s-curve",$E93+($F93-$E93)*$I$2/(1+EXP($I$3*(COUNT($I$9:X$9)+$I$4))),TREND($E93:$F93,$E$9:$F$9,X$9))</f>
        <v>0</v>
      </c>
      <c r="Y93" s="27">
        <f>IF($G93="s-curve",$E93+($F93-$E93)*$I$2/(1+EXP($I$3*(COUNT($I$9:Y$9)+$I$4))),TREND($E93:$F93,$E$9:$F$9,Y$9))</f>
        <v>0</v>
      </c>
      <c r="Z93" s="27">
        <f>IF($G93="s-curve",$E93+($F93-$E93)*$I$2/(1+EXP($I$3*(COUNT($I$9:Z$9)+$I$4))),TREND($E93:$F93,$E$9:$F$9,Z$9))</f>
        <v>0</v>
      </c>
      <c r="AA93" s="27">
        <f>IF($G93="s-curve",$E93+($F93-$E93)*$I$2/(1+EXP($I$3*(COUNT($I$9:AA$9)+$I$4))),TREND($E93:$F93,$E$9:$F$9,AA$9))</f>
        <v>0</v>
      </c>
      <c r="AB93" s="27">
        <f>IF($G93="s-curve",$E93+($F93-$E93)*$I$2/(1+EXP($I$3*(COUNT($I$9:AB$9)+$I$4))),TREND($E93:$F93,$E$9:$F$9,AB$9))</f>
        <v>0</v>
      </c>
      <c r="AC93" s="27">
        <f>IF($G93="s-curve",$E93+($F93-$E93)*$I$2/(1+EXP($I$3*(COUNT($I$9:AC$9)+$I$4))),TREND($E93:$F93,$E$9:$F$9,AC$9))</f>
        <v>0</v>
      </c>
      <c r="AD93" s="27">
        <f>IF($G93="s-curve",$E93+($F93-$E93)*$I$2/(1+EXP($I$3*(COUNT($I$9:AD$9)+$I$4))),TREND($E93:$F93,$E$9:$F$9,AD$9))</f>
        <v>0</v>
      </c>
      <c r="AE93" s="27">
        <f>IF($G93="s-curve",$E93+($F93-$E93)*$I$2/(1+EXP($I$3*(COUNT($I$9:AE$9)+$I$4))),TREND($E93:$F93,$E$9:$F$9,AE$9))</f>
        <v>0</v>
      </c>
      <c r="AF93" s="27">
        <f>IF($G93="s-curve",$E93+($F93-$E93)*$I$2/(1+EXP($I$3*(COUNT($I$9:AF$9)+$I$4))),TREND($E93:$F93,$E$9:$F$9,AF$9))</f>
        <v>0</v>
      </c>
      <c r="AG93" s="27">
        <f>IF($G93="s-curve",$E93+($F93-$E93)*$I$2/(1+EXP($I$3*(COUNT($I$9:AG$9)+$I$4))),TREND($E93:$F93,$E$9:$F$9,AG$9))</f>
        <v>0</v>
      </c>
      <c r="AH93" s="27">
        <f>IF($G93="s-curve",$E93+($F93-$E93)*$I$2/(1+EXP($I$3*(COUNT($I$9:AH$9)+$I$4))),TREND($E93:$F93,$E$9:$F$9,AH$9))</f>
        <v>0</v>
      </c>
      <c r="AI93" s="27">
        <f>IF($G93="s-curve",$E93+($F93-$E93)*$I$2/(1+EXP($I$3*(COUNT($I$9:AI$9)+$I$4))),TREND($E93:$F93,$E$9:$F$9,AI$9))</f>
        <v>0</v>
      </c>
      <c r="AJ93" s="27">
        <f>IF($G93="s-curve",$E93+($F93-$E93)*$I$2/(1+EXP($I$3*(COUNT($I$9:AJ$9)+$I$4))),TREND($E93:$F93,$E$9:$F$9,AJ$9))</f>
        <v>0</v>
      </c>
      <c r="AK93" s="27">
        <f>IF($G93="s-curve",$E93+($F93-$E93)*$I$2/(1+EXP($I$3*(COUNT($I$9:AK$9)+$I$4))),TREND($E93:$F93,$E$9:$F$9,AK$9))</f>
        <v>0</v>
      </c>
      <c r="AL93" s="27">
        <f>IF($G93="s-curve",$E93+($F93-$E93)*$I$2/(1+EXP($I$3*(COUNT($I$9:AL$9)+$I$4))),TREND($E93:$F93,$E$9:$F$9,AL$9))</f>
        <v>0</v>
      </c>
      <c r="AM93" s="27">
        <f>IF($G93="s-curve",$E93+($F93-$E93)*$I$2/(1+EXP($I$3*(COUNT($I$9:AM$9)+$I$4))),TREND($E93:$F93,$E$9:$F$9,AM$9))</f>
        <v>0</v>
      </c>
      <c r="AN93" s="27">
        <f>IF($G93="s-curve",$E93+($F93-$E93)*$I$2/(1+EXP($I$3*(COUNT($I$9:AN$9)+$I$4))),TREND($E93:$F93,$E$9:$F$9,AN$9))</f>
        <v>0</v>
      </c>
      <c r="AO93" s="27">
        <f>IF($G93="s-curve",$E93+($F93-$E93)*$I$2/(1+EXP($I$3*(COUNT($I$9:AO$9)+$I$4))),TREND($E93:$F93,$E$9:$F$9,AO$9))</f>
        <v>0</v>
      </c>
      <c r="AP93" s="27">
        <f>IF($G93="s-curve",$E93+($F93-$E93)*$I$2/(1+EXP($I$3*(COUNT($I$9:AP$9)+$I$4))),TREND($E93:$F93,$E$9:$F$9,AP$9))</f>
        <v>0</v>
      </c>
      <c r="AQ93" s="27">
        <f>IF($G93="s-curve",$E93+($F93-$E93)*$I$2/(1+EXP($I$3*(COUNT($I$9:AQ$9)+$I$4))),TREND($E93:$F93,$E$9:$F$9,AQ$9))</f>
        <v>0</v>
      </c>
      <c r="AR93" s="27">
        <f>IF($G93="s-curve",$E93+($F93-$E93)*$I$2/(1+EXP($I$3*(COUNT($I$9:AR$9)+$I$4))),TREND($E93:$F93,$E$9:$F$9,AR$9))</f>
        <v>0</v>
      </c>
      <c r="AS93" s="27">
        <f>IF($G93="s-curve",$E93+($F93-$E93)*$I$2/(1+EXP($I$3*(COUNT($I$9:AS$9)+$I$4))),TREND($E93:$F93,$E$9:$F$9,AS$9))</f>
        <v>0</v>
      </c>
      <c r="AT93" s="27">
        <f>IF($G93="s-curve",$E93+($F93-$E93)*$I$2/(1+EXP($I$3*(COUNT($I$9:AT$9)+$I$4))),TREND($E93:$F93,$E$9:$F$9,AT$9))</f>
        <v>0</v>
      </c>
      <c r="AU93" s="27">
        <f>IF($G93="s-curve",$E93+($F93-$E93)*$I$2/(1+EXP($I$3*(COUNT($I$9:AU$9)+$I$4))),TREND($E93:$F93,$E$9:$F$9,AU$9))</f>
        <v>0</v>
      </c>
      <c r="AV93" s="27">
        <f>IF($G93="s-curve",$E93+($F93-$E93)*$I$2/(1+EXP($I$3*(COUNT($I$9:AV$9)+$I$4))),TREND($E93:$F93,$E$9:$F$9,AV$9))</f>
        <v>0</v>
      </c>
      <c r="AW93" s="27">
        <f>IF($G93="s-curve",$E93+($F93-$E93)*$I$2/(1+EXP($I$3*(COUNT($I$9:AW$9)+$I$4))),TREND($E93:$F93,$E$9:$F$9,AW$9))</f>
        <v>0</v>
      </c>
      <c r="AX93" s="27">
        <f>IF($G93="s-curve",$E93+($F93-$E93)*$I$2/(1+EXP($I$3*(COUNT($I$9:AX$9)+$I$4))),TREND($E93:$F93,$E$9:$F$9,AX$9))</f>
        <v>0</v>
      </c>
      <c r="AY93" s="27">
        <f>IF($G93="s-curve",$E93+($F93-$E93)*$I$2/(1+EXP($I$3*(COUNT($I$9:AY$9)+$I$4))),TREND($E93:$F93,$E$9:$F$9,AY$9))</f>
        <v>0</v>
      </c>
      <c r="AZ93" s="27">
        <f>IF($G93="s-curve",$E93+($F93-$E93)*$I$2/(1+EXP($I$3*(COUNT($I$9:AZ$9)+$I$4))),TREND($E93:$F93,$E$9:$F$9,AZ$9))</f>
        <v>0</v>
      </c>
      <c r="BA93" s="27">
        <f>IF($G93="s-curve",$E93+($F93-$E93)*$I$2/(1+EXP($I$3*(COUNT($I$9:BA$9)+$I$4))),TREND($E93:$F93,$E$9:$F$9,BA$9))</f>
        <v>0</v>
      </c>
      <c r="BB93" s="27">
        <f>IF($G93="s-curve",$E93+($F93-$E93)*$I$2/(1+EXP($I$3*(COUNT($I$9:BB$9)+$I$4))),TREND($E93:$F93,$E$9:$F$9,BB$9))</f>
        <v>0</v>
      </c>
      <c r="BC93" s="27">
        <f>IF($G93="s-curve",$E93+($F93-$E93)*$I$2/(1+EXP($I$3*(COUNT($I$9:BC$9)+$I$4))),TREND($E93:$F93,$E$9:$F$9,BC$9))</f>
        <v>0</v>
      </c>
      <c r="BD93" s="27">
        <f>IF($G93="s-curve",$E93+($F93-$E93)*$I$2/(1+EXP($I$3*(COUNT($I$9:BD$9)+$I$4))),TREND($E93:$F93,$E$9:$F$9,BD$9))</f>
        <v>0</v>
      </c>
      <c r="BE93" s="27">
        <f>IF($G93="s-curve",$E93+($F93-$E93)*$I$2/(1+EXP($I$3*(COUNT($I$9:BE$9)+$I$4))),TREND($E93:$F93,$E$9:$F$9,BE$9))</f>
        <v>0</v>
      </c>
      <c r="BF93" s="27">
        <f>IF($G93="s-curve",$E93+($F93-$E93)*$I$2/(1+EXP($I$3*(COUNT($I$9:BF$9)+$I$4))),TREND($E93:$F93,$E$9:$F$9,BF$9))</f>
        <v>0</v>
      </c>
    </row>
  </sheetData>
  <mergeCells count="1">
    <mergeCell ref="D8:E8"/>
  </mergeCells>
  <conditionalFormatting sqref="AM10:BF93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8"/>
  <sheetViews>
    <sheetView workbookViewId="0"/>
  </sheetViews>
  <sheetFormatPr defaultColWidth="9.08984375" defaultRowHeight="14.75" x14ac:dyDescent="0.75"/>
  <cols>
    <col min="1" max="1" width="24.36328125" customWidth="1"/>
    <col min="2" max="6" width="7.7265625" customWidth="1"/>
  </cols>
  <sheetData>
    <row r="1" spans="1:51" ht="29.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Data!I10</f>
        <v>0.01</v>
      </c>
      <c r="C2">
        <f>Data!J10</f>
        <v>2.0000000000000018E-2</v>
      </c>
      <c r="D2">
        <f>Data!K10</f>
        <v>3.0000000000000009E-2</v>
      </c>
      <c r="E2">
        <f>Data!L10</f>
        <v>0.04</v>
      </c>
      <c r="F2">
        <f>Data!M10</f>
        <v>0.05</v>
      </c>
      <c r="G2">
        <f>Data!N10</f>
        <v>9.505457951868844E-2</v>
      </c>
      <c r="H2">
        <f>Data!O10</f>
        <v>0.10982468825414668</v>
      </c>
      <c r="I2">
        <f>Data!P10</f>
        <v>0.12901406166922624</v>
      </c>
      <c r="J2">
        <f>Data!Q10</f>
        <v>0.15364198013583227</v>
      </c>
      <c r="K2">
        <f>Data!R10</f>
        <v>0.18475851165546342</v>
      </c>
      <c r="L2">
        <f>Data!S10</f>
        <v>0.22330424761603851</v>
      </c>
      <c r="M2">
        <f>Data!T10</f>
        <v>0.26990145567593327</v>
      </c>
      <c r="N2">
        <f>Data!U10</f>
        <v>0.32459797250624622</v>
      </c>
      <c r="O2">
        <f>Data!V10</f>
        <v>0.38662650908549429</v>
      </c>
      <c r="P2">
        <f>Data!W10</f>
        <v>0.45427960902892389</v>
      </c>
      <c r="Q2">
        <f>Data!X10</f>
        <v>0.52500000000000002</v>
      </c>
      <c r="R2">
        <f>Data!Y10</f>
        <v>0.5957203909710761</v>
      </c>
      <c r="S2">
        <f>Data!Z10</f>
        <v>0.6633734909145057</v>
      </c>
      <c r="T2">
        <f>Data!AA10</f>
        <v>0.72540202749375371</v>
      </c>
      <c r="U2">
        <f>Data!AB10</f>
        <v>0.78009854432406667</v>
      </c>
      <c r="V2">
        <f>Data!AC10</f>
        <v>0.82669575238396142</v>
      </c>
      <c r="W2">
        <f>Data!AD10</f>
        <v>0.86524148834453662</v>
      </c>
      <c r="X2">
        <f>Data!AE10</f>
        <v>0.89635801986416774</v>
      </c>
      <c r="Y2">
        <f>Data!AF10</f>
        <v>0.9209859383307738</v>
      </c>
      <c r="Z2">
        <f>Data!AG10</f>
        <v>0.94017531174585334</v>
      </c>
      <c r="AA2">
        <f>Data!AH10</f>
        <v>0.9549454204813117</v>
      </c>
      <c r="AB2">
        <f>Data!AI10</f>
        <v>0.96620737019099567</v>
      </c>
      <c r="AC2">
        <f>Data!AJ10</f>
        <v>0.97473285610197735</v>
      </c>
      <c r="AD2">
        <f>Data!AK10</f>
        <v>0.98115170955262643</v>
      </c>
      <c r="AE2">
        <f>Data!AL10</f>
        <v>0.98596466989139064</v>
      </c>
      <c r="AF2">
        <f>Data!AM10</f>
        <v>0.98956240450093647</v>
      </c>
      <c r="AG2">
        <f>Data!AN10</f>
        <v>0.99224555740449816</v>
      </c>
      <c r="AH2">
        <f>Data!AO10</f>
        <v>0.99424318858299499</v>
      </c>
      <c r="AI2">
        <f>Data!AP10</f>
        <v>0.99572854049710591</v>
      </c>
      <c r="AJ2">
        <f>Data!AQ10</f>
        <v>0.99683193305795736</v>
      </c>
      <c r="AK2">
        <f>Data!AR10</f>
        <v>0.9976510080011971</v>
      </c>
      <c r="AL2">
        <f>Data!AS10</f>
        <v>0.9982587080046319</v>
      </c>
      <c r="AM2">
        <f>Data!AT10</f>
        <v>0.99870940604709257</v>
      </c>
      <c r="AN2">
        <f>Data!AU10</f>
        <v>0.99904356772091873</v>
      </c>
      <c r="AO2">
        <f>Data!AV10</f>
        <v>0.99929127260785522</v>
      </c>
      <c r="AP2">
        <f>Data!AW10</f>
        <v>0.99947486029492261</v>
      </c>
      <c r="AQ2">
        <f>Data!AX10</f>
        <v>0.99961091119326329</v>
      </c>
      <c r="AR2">
        <f>Data!AY10</f>
        <v>0.99971172532147257</v>
      </c>
      <c r="AS2">
        <f>Data!AZ10</f>
        <v>0.99978642406827833</v>
      </c>
      <c r="AT2">
        <f>Data!BA10</f>
        <v>0.99984176983846151</v>
      </c>
      <c r="AU2">
        <f>Data!BB10</f>
        <v>0.99988277515281299</v>
      </c>
      <c r="AV2">
        <f>Data!BC10</f>
        <v>0.99991315491984034</v>
      </c>
      <c r="AW2">
        <f>Data!BD10</f>
        <v>0.99993566205786133</v>
      </c>
      <c r="AX2">
        <f>Data!BE10</f>
        <v>0.9999523364435503</v>
      </c>
      <c r="AY2">
        <f>Data!BF10</f>
        <v>0.99996468950975226</v>
      </c>
    </row>
    <row r="3" spans="1:51" x14ac:dyDescent="0.75">
      <c r="A3" t="s">
        <v>2</v>
      </c>
      <c r="B3">
        <f>Data!I11</f>
        <v>9.1114481822700006E-5</v>
      </c>
      <c r="C3">
        <f>Data!J11</f>
        <v>9.7816668248925013E-5</v>
      </c>
      <c r="D3">
        <f>Data!K11</f>
        <v>9.5582606106850033E-5</v>
      </c>
      <c r="E3">
        <f>Data!L11</f>
        <v>9.3348543964775054E-5</v>
      </c>
      <c r="F3">
        <f>Data!M11</f>
        <v>9.1114481822700006E-5</v>
      </c>
      <c r="G3">
        <f>Data!N11</f>
        <v>9.1114481822700006E-5</v>
      </c>
      <c r="H3">
        <f>Data!O11</f>
        <v>9.1114481822700006E-5</v>
      </c>
      <c r="I3">
        <f>Data!P11</f>
        <v>9.1114481822700006E-5</v>
      </c>
      <c r="J3">
        <f>Data!Q11</f>
        <v>9.1114481822700006E-5</v>
      </c>
      <c r="K3">
        <f>Data!R11</f>
        <v>9.1114481822700006E-5</v>
      </c>
      <c r="L3">
        <f>Data!S11</f>
        <v>9.1114481822700006E-5</v>
      </c>
      <c r="M3">
        <f>Data!T11</f>
        <v>9.1114481822700006E-5</v>
      </c>
      <c r="N3">
        <f>Data!U11</f>
        <v>9.1114481822700006E-5</v>
      </c>
      <c r="O3">
        <f>Data!V11</f>
        <v>9.1114481822700006E-5</v>
      </c>
      <c r="P3">
        <f>Data!W11</f>
        <v>9.1114481822700006E-5</v>
      </c>
      <c r="Q3">
        <f>Data!X11</f>
        <v>9.1114481822700006E-5</v>
      </c>
      <c r="R3">
        <f>Data!Y11</f>
        <v>9.1114481822700006E-5</v>
      </c>
      <c r="S3">
        <f>Data!Z11</f>
        <v>9.1114481822700006E-5</v>
      </c>
      <c r="T3">
        <f>Data!AA11</f>
        <v>9.1114481822700006E-5</v>
      </c>
      <c r="U3">
        <f>Data!AB11</f>
        <v>9.1114481822700006E-5</v>
      </c>
      <c r="V3">
        <f>Data!AC11</f>
        <v>9.1114481822700006E-5</v>
      </c>
      <c r="W3">
        <f>Data!AD11</f>
        <v>9.1114481822700006E-5</v>
      </c>
      <c r="X3">
        <f>Data!AE11</f>
        <v>9.1114481822700006E-5</v>
      </c>
      <c r="Y3">
        <f>Data!AF11</f>
        <v>9.1114481822700006E-5</v>
      </c>
      <c r="Z3">
        <f>Data!AG11</f>
        <v>9.1114481822700006E-5</v>
      </c>
      <c r="AA3">
        <f>Data!AH11</f>
        <v>9.1114481822700006E-5</v>
      </c>
      <c r="AB3">
        <f>Data!AI11</f>
        <v>9.1114481822700006E-5</v>
      </c>
      <c r="AC3">
        <f>Data!AJ11</f>
        <v>9.1114481822700006E-5</v>
      </c>
      <c r="AD3">
        <f>Data!AK11</f>
        <v>9.1114481822700006E-5</v>
      </c>
      <c r="AE3">
        <f>Data!AL11</f>
        <v>9.1114481822700006E-5</v>
      </c>
      <c r="AF3">
        <f>Data!AM11</f>
        <v>9.1114481822700006E-5</v>
      </c>
      <c r="AG3">
        <f>Data!AN11</f>
        <v>9.1114481822700006E-5</v>
      </c>
      <c r="AH3">
        <f>Data!AO11</f>
        <v>9.1114481822700006E-5</v>
      </c>
      <c r="AI3">
        <f>Data!AP11</f>
        <v>9.1114481822700006E-5</v>
      </c>
      <c r="AJ3">
        <f>Data!AQ11</f>
        <v>9.1114481822700006E-5</v>
      </c>
      <c r="AK3">
        <f>Data!AR11</f>
        <v>9.1114481822700006E-5</v>
      </c>
      <c r="AL3">
        <f>Data!AS11</f>
        <v>9.1114481822700006E-5</v>
      </c>
      <c r="AM3">
        <f>Data!AT11</f>
        <v>9.1114481822700006E-5</v>
      </c>
      <c r="AN3">
        <f>Data!AU11</f>
        <v>9.1114481822700006E-5</v>
      </c>
      <c r="AO3">
        <f>Data!AV11</f>
        <v>9.1114481822700006E-5</v>
      </c>
      <c r="AP3">
        <f>Data!AW11</f>
        <v>9.1114481822700006E-5</v>
      </c>
      <c r="AQ3">
        <f>Data!AX11</f>
        <v>9.1114481822700006E-5</v>
      </c>
      <c r="AR3">
        <f>Data!AY11</f>
        <v>9.1114481822700006E-5</v>
      </c>
      <c r="AS3">
        <f>Data!AZ11</f>
        <v>9.1114481822700006E-5</v>
      </c>
      <c r="AT3">
        <f>Data!BA11</f>
        <v>9.1114481822700006E-5</v>
      </c>
      <c r="AU3">
        <f>Data!BB11</f>
        <v>9.1114481822700006E-5</v>
      </c>
      <c r="AV3">
        <f>Data!BC11</f>
        <v>9.1114481822700006E-5</v>
      </c>
      <c r="AW3">
        <f>Data!BD11</f>
        <v>9.1114481822700006E-5</v>
      </c>
      <c r="AX3">
        <f>Data!BE11</f>
        <v>9.1114481822700006E-5</v>
      </c>
      <c r="AY3">
        <f>Data!BF11</f>
        <v>9.1114481822700006E-5</v>
      </c>
    </row>
    <row r="4" spans="1:51" x14ac:dyDescent="0.75">
      <c r="A4" t="s">
        <v>3</v>
      </c>
      <c r="B4">
        <f>Data!I12</f>
        <v>1</v>
      </c>
      <c r="C4">
        <f>Data!J12</f>
        <v>1</v>
      </c>
      <c r="D4">
        <f>Data!K12</f>
        <v>1</v>
      </c>
      <c r="E4">
        <f>Data!L12</f>
        <v>1</v>
      </c>
      <c r="F4">
        <f>Data!M12</f>
        <v>1</v>
      </c>
      <c r="G4">
        <f>Data!N12</f>
        <v>1</v>
      </c>
      <c r="H4">
        <f>Data!O12</f>
        <v>1</v>
      </c>
      <c r="I4">
        <f>Data!P12</f>
        <v>1</v>
      </c>
      <c r="J4">
        <f>Data!Q12</f>
        <v>1</v>
      </c>
      <c r="K4">
        <f>Data!R12</f>
        <v>1</v>
      </c>
      <c r="L4">
        <f>Data!S12</f>
        <v>1</v>
      </c>
      <c r="M4">
        <f>Data!T12</f>
        <v>1</v>
      </c>
      <c r="N4">
        <f>Data!U12</f>
        <v>1</v>
      </c>
      <c r="O4">
        <f>Data!V12</f>
        <v>1</v>
      </c>
      <c r="P4">
        <f>Data!W12</f>
        <v>1</v>
      </c>
      <c r="Q4">
        <f>Data!X12</f>
        <v>1</v>
      </c>
      <c r="R4">
        <f>Data!Y12</f>
        <v>1</v>
      </c>
      <c r="S4">
        <f>Data!Z12</f>
        <v>1</v>
      </c>
      <c r="T4">
        <f>Data!AA12</f>
        <v>1</v>
      </c>
      <c r="U4">
        <f>Data!AB12</f>
        <v>1</v>
      </c>
      <c r="V4">
        <f>Data!AC12</f>
        <v>1</v>
      </c>
      <c r="W4">
        <f>Data!AD12</f>
        <v>1</v>
      </c>
      <c r="X4">
        <f>Data!AE12</f>
        <v>1</v>
      </c>
      <c r="Y4">
        <f>Data!AF12</f>
        <v>1</v>
      </c>
      <c r="Z4">
        <f>Data!AG12</f>
        <v>1</v>
      </c>
      <c r="AA4">
        <f>Data!AH12</f>
        <v>1</v>
      </c>
      <c r="AB4">
        <f>Data!AI12</f>
        <v>1</v>
      </c>
      <c r="AC4">
        <f>Data!AJ12</f>
        <v>1</v>
      </c>
      <c r="AD4">
        <f>Data!AK12</f>
        <v>1</v>
      </c>
      <c r="AE4">
        <f>Data!AL12</f>
        <v>1</v>
      </c>
      <c r="AF4">
        <f>Data!AM12</f>
        <v>1</v>
      </c>
      <c r="AG4">
        <f>Data!AN12</f>
        <v>1</v>
      </c>
      <c r="AH4">
        <f>Data!AO12</f>
        <v>1</v>
      </c>
      <c r="AI4">
        <f>Data!AP12</f>
        <v>1</v>
      </c>
      <c r="AJ4">
        <f>Data!AQ12</f>
        <v>1</v>
      </c>
      <c r="AK4">
        <f>Data!AR12</f>
        <v>1</v>
      </c>
      <c r="AL4">
        <f>Data!AS12</f>
        <v>1</v>
      </c>
      <c r="AM4">
        <f>Data!AT12</f>
        <v>1</v>
      </c>
      <c r="AN4">
        <f>Data!AU12</f>
        <v>1</v>
      </c>
      <c r="AO4">
        <f>Data!AV12</f>
        <v>1</v>
      </c>
      <c r="AP4">
        <f>Data!AW12</f>
        <v>1</v>
      </c>
      <c r="AQ4">
        <f>Data!AX12</f>
        <v>1</v>
      </c>
      <c r="AR4">
        <f>Data!AY12</f>
        <v>1</v>
      </c>
      <c r="AS4">
        <f>Data!AZ12</f>
        <v>1</v>
      </c>
      <c r="AT4">
        <f>Data!BA12</f>
        <v>1</v>
      </c>
      <c r="AU4">
        <f>Data!BB12</f>
        <v>1</v>
      </c>
      <c r="AV4">
        <f>Data!BC12</f>
        <v>1</v>
      </c>
      <c r="AW4">
        <f>Data!BD12</f>
        <v>1</v>
      </c>
      <c r="AX4">
        <f>Data!BE12</f>
        <v>1</v>
      </c>
      <c r="AY4">
        <f>Data!BF12</f>
        <v>1</v>
      </c>
    </row>
    <row r="5" spans="1:51" x14ac:dyDescent="0.75">
      <c r="A5" t="s">
        <v>4</v>
      </c>
      <c r="B5">
        <f>Data!I13</f>
        <v>6.08023121013E-2</v>
      </c>
      <c r="C5">
        <f>Data!J13</f>
        <v>6.5284014653024997E-2</v>
      </c>
      <c r="D5">
        <f>Data!K13</f>
        <v>6.3790113802450005E-2</v>
      </c>
      <c r="E5">
        <f>Data!L13</f>
        <v>6.2296212951874992E-2</v>
      </c>
      <c r="F5">
        <f>Data!M13</f>
        <v>6.08023121013E-2</v>
      </c>
      <c r="G5">
        <f>Data!N13</f>
        <v>6.08023121013E-2</v>
      </c>
      <c r="H5">
        <f>Data!O13</f>
        <v>6.08023121013E-2</v>
      </c>
      <c r="I5">
        <f>Data!P13</f>
        <v>6.08023121013E-2</v>
      </c>
      <c r="J5">
        <f>Data!Q13</f>
        <v>6.08023121013E-2</v>
      </c>
      <c r="K5">
        <f>Data!R13</f>
        <v>6.08023121013E-2</v>
      </c>
      <c r="L5">
        <f>Data!S13</f>
        <v>6.08023121013E-2</v>
      </c>
      <c r="M5">
        <f>Data!T13</f>
        <v>6.08023121013E-2</v>
      </c>
      <c r="N5">
        <f>Data!U13</f>
        <v>6.08023121013E-2</v>
      </c>
      <c r="O5">
        <f>Data!V13</f>
        <v>6.08023121013E-2</v>
      </c>
      <c r="P5">
        <f>Data!W13</f>
        <v>6.08023121013E-2</v>
      </c>
      <c r="Q5">
        <f>Data!X13</f>
        <v>6.08023121013E-2</v>
      </c>
      <c r="R5">
        <f>Data!Y13</f>
        <v>6.08023121013E-2</v>
      </c>
      <c r="S5">
        <f>Data!Z13</f>
        <v>6.08023121013E-2</v>
      </c>
      <c r="T5">
        <f>Data!AA13</f>
        <v>6.08023121013E-2</v>
      </c>
      <c r="U5">
        <f>Data!AB13</f>
        <v>6.08023121013E-2</v>
      </c>
      <c r="V5">
        <f>Data!AC13</f>
        <v>6.08023121013E-2</v>
      </c>
      <c r="W5">
        <f>Data!AD13</f>
        <v>6.08023121013E-2</v>
      </c>
      <c r="X5">
        <f>Data!AE13</f>
        <v>6.08023121013E-2</v>
      </c>
      <c r="Y5">
        <f>Data!AF13</f>
        <v>6.08023121013E-2</v>
      </c>
      <c r="Z5">
        <f>Data!AG13</f>
        <v>6.08023121013E-2</v>
      </c>
      <c r="AA5">
        <f>Data!AH13</f>
        <v>6.08023121013E-2</v>
      </c>
      <c r="AB5">
        <f>Data!AI13</f>
        <v>6.08023121013E-2</v>
      </c>
      <c r="AC5">
        <f>Data!AJ13</f>
        <v>6.08023121013E-2</v>
      </c>
      <c r="AD5">
        <f>Data!AK13</f>
        <v>6.08023121013E-2</v>
      </c>
      <c r="AE5">
        <f>Data!AL13</f>
        <v>6.08023121013E-2</v>
      </c>
      <c r="AF5">
        <f>Data!AM13</f>
        <v>6.08023121013E-2</v>
      </c>
      <c r="AG5">
        <f>Data!AN13</f>
        <v>6.08023121013E-2</v>
      </c>
      <c r="AH5">
        <f>Data!AO13</f>
        <v>6.08023121013E-2</v>
      </c>
      <c r="AI5">
        <f>Data!AP13</f>
        <v>6.08023121013E-2</v>
      </c>
      <c r="AJ5">
        <f>Data!AQ13</f>
        <v>6.08023121013E-2</v>
      </c>
      <c r="AK5">
        <f>Data!AR13</f>
        <v>6.08023121013E-2</v>
      </c>
      <c r="AL5">
        <f>Data!AS13</f>
        <v>6.08023121013E-2</v>
      </c>
      <c r="AM5">
        <f>Data!AT13</f>
        <v>6.08023121013E-2</v>
      </c>
      <c r="AN5">
        <f>Data!AU13</f>
        <v>6.08023121013E-2</v>
      </c>
      <c r="AO5">
        <f>Data!AV13</f>
        <v>6.08023121013E-2</v>
      </c>
      <c r="AP5">
        <f>Data!AW13</f>
        <v>6.08023121013E-2</v>
      </c>
      <c r="AQ5">
        <f>Data!AX13</f>
        <v>6.08023121013E-2</v>
      </c>
      <c r="AR5">
        <f>Data!AY13</f>
        <v>6.08023121013E-2</v>
      </c>
      <c r="AS5">
        <f>Data!AZ13</f>
        <v>6.08023121013E-2</v>
      </c>
      <c r="AT5">
        <f>Data!BA13</f>
        <v>6.08023121013E-2</v>
      </c>
      <c r="AU5">
        <f>Data!BB13</f>
        <v>6.08023121013E-2</v>
      </c>
      <c r="AV5">
        <f>Data!BC13</f>
        <v>6.08023121013E-2</v>
      </c>
      <c r="AW5">
        <f>Data!BD13</f>
        <v>6.08023121013E-2</v>
      </c>
      <c r="AX5">
        <f>Data!BE13</f>
        <v>6.08023121013E-2</v>
      </c>
      <c r="AY5">
        <f>Data!BF13</f>
        <v>6.08023121013E-2</v>
      </c>
    </row>
    <row r="6" spans="1:51" x14ac:dyDescent="0.75">
      <c r="A6" t="s">
        <v>5</v>
      </c>
      <c r="B6">
        <f>Data!I14</f>
        <v>1.5463740197399999E-2</v>
      </c>
      <c r="C6">
        <f>Data!J14</f>
        <v>1.159780514805E-2</v>
      </c>
      <c r="D6">
        <f>Data!K14</f>
        <v>7.7318700987000014E-3</v>
      </c>
      <c r="E6">
        <f>Data!L14</f>
        <v>3.8659350493500024E-3</v>
      </c>
      <c r="F6">
        <f>Data!M14</f>
        <v>0</v>
      </c>
      <c r="G6">
        <f>Data!N14</f>
        <v>0.18433230169209569</v>
      </c>
      <c r="H6">
        <f>Data!O14</f>
        <v>0.25976240502286974</v>
      </c>
      <c r="I6">
        <f>Data!P14</f>
        <v>0.35794726101081081</v>
      </c>
      <c r="J6">
        <f>Data!Q14</f>
        <v>0.47941540784067316</v>
      </c>
      <c r="K6">
        <f>Data!R14</f>
        <v>0.62057897620317271</v>
      </c>
      <c r="L6">
        <f>Data!S14</f>
        <v>0.77318700987</v>
      </c>
      <c r="M6">
        <f>Data!T14</f>
        <v>0.92579504353682729</v>
      </c>
      <c r="N6">
        <f>Data!U14</f>
        <v>1.0669586118993268</v>
      </c>
      <c r="O6">
        <f>Data!V14</f>
        <v>1.1884267587291892</v>
      </c>
      <c r="P6">
        <f>Data!W14</f>
        <v>1.2866116147171303</v>
      </c>
      <c r="Q6">
        <f>Data!X14</f>
        <v>1.3620417180479041</v>
      </c>
      <c r="R6">
        <f>Data!Y14</f>
        <v>1.4177579227300783</v>
      </c>
      <c r="S6">
        <f>Data!Z14</f>
        <v>1.4577294034269836</v>
      </c>
      <c r="T6">
        <f>Data!AA14</f>
        <v>1.4858091635427451</v>
      </c>
      <c r="U6">
        <f>Data!AB14</f>
        <v>1.5052451198695429</v>
      </c>
      <c r="V6">
        <f>Data!AC14</f>
        <v>1.5185606119410329</v>
      </c>
      <c r="W6">
        <f>Data!AD14</f>
        <v>1.5276189229802126</v>
      </c>
      <c r="X6">
        <f>Data!AE14</f>
        <v>1.5337516317744744</v>
      </c>
      <c r="Y6">
        <f>Data!AF14</f>
        <v>1.5378901496573616</v>
      </c>
      <c r="Z6">
        <f>Data!AG14</f>
        <v>1.5406768068770229</v>
      </c>
      <c r="AA6">
        <f>Data!AH14</f>
        <v>1.5425504195299726</v>
      </c>
      <c r="AB6">
        <f>Data!AI14</f>
        <v>1.5438088928457017</v>
      </c>
      <c r="AC6">
        <f>Data!AJ14</f>
        <v>1.5446536229227603</v>
      </c>
      <c r="AD6">
        <f>Data!AK14</f>
        <v>1.5452203801333781</v>
      </c>
      <c r="AE6">
        <f>Data!AL14</f>
        <v>1.545600521743367</v>
      </c>
      <c r="AF6">
        <f>Data!AM14</f>
        <v>1.5458554430107303</v>
      </c>
      <c r="AG6">
        <f>Data!AN14</f>
        <v>1.5460263689273093</v>
      </c>
      <c r="AH6">
        <f>Data!AO14</f>
        <v>1.5461409651577909</v>
      </c>
      <c r="AI6">
        <f>Data!AP14</f>
        <v>1.5462177908193058</v>
      </c>
      <c r="AJ6">
        <f>Data!AQ14</f>
        <v>1.5462692928745192</v>
      </c>
      <c r="AK6">
        <f>Data!AR14</f>
        <v>1.546303817655287</v>
      </c>
      <c r="AL6">
        <f>Data!AS14</f>
        <v>1.5463269611710286</v>
      </c>
      <c r="AM6">
        <f>Data!AT14</f>
        <v>1.5463424751214039</v>
      </c>
      <c r="AN6">
        <f>Data!AU14</f>
        <v>1.5463528746076058</v>
      </c>
      <c r="AO6">
        <f>Data!AV14</f>
        <v>1.546359845669983</v>
      </c>
      <c r="AP6">
        <f>Data!AW14</f>
        <v>1.5463645185480224</v>
      </c>
      <c r="AQ6">
        <f>Data!AX14</f>
        <v>1.5463676508876552</v>
      </c>
      <c r="AR6">
        <f>Data!AY14</f>
        <v>1.5463697505648062</v>
      </c>
      <c r="AS6">
        <f>Data!AZ14</f>
        <v>1.546371158023683</v>
      </c>
      <c r="AT6">
        <f>Data!BA14</f>
        <v>1.5463721014730163</v>
      </c>
      <c r="AU6">
        <f>Data!BB14</f>
        <v>1.5463727338866611</v>
      </c>
      <c r="AV6">
        <f>Data!BC14</f>
        <v>1.5463731578064948</v>
      </c>
      <c r="AW6">
        <f>Data!BD14</f>
        <v>1.5463734419685868</v>
      </c>
      <c r="AX6">
        <f>Data!BE14</f>
        <v>1.546373632448192</v>
      </c>
      <c r="AY6">
        <f>Data!BF14</f>
        <v>1.5463737601305159</v>
      </c>
    </row>
    <row r="7" spans="1:51" x14ac:dyDescent="0.75">
      <c r="A7" t="s">
        <v>31</v>
      </c>
      <c r="B7">
        <f>Data!I15</f>
        <v>0</v>
      </c>
      <c r="C7">
        <f>Data!J15</f>
        <v>0</v>
      </c>
      <c r="D7">
        <f>Data!K15</f>
        <v>0</v>
      </c>
      <c r="E7">
        <f>Data!L15</f>
        <v>0</v>
      </c>
      <c r="F7">
        <f>Data!M15</f>
        <v>0</v>
      </c>
      <c r="G7">
        <f>Data!N15</f>
        <v>0</v>
      </c>
      <c r="H7">
        <f>Data!O15</f>
        <v>0</v>
      </c>
      <c r="I7">
        <f>Data!P15</f>
        <v>0</v>
      </c>
      <c r="J7">
        <f>Data!Q15</f>
        <v>0</v>
      </c>
      <c r="K7">
        <f>Data!R15</f>
        <v>0</v>
      </c>
      <c r="L7">
        <f>Data!S15</f>
        <v>0</v>
      </c>
      <c r="M7">
        <f>Data!T15</f>
        <v>0</v>
      </c>
      <c r="N7">
        <f>Data!U15</f>
        <v>0</v>
      </c>
      <c r="O7">
        <f>Data!V15</f>
        <v>0</v>
      </c>
      <c r="P7">
        <f>Data!W15</f>
        <v>0</v>
      </c>
      <c r="Q7">
        <f>Data!X15</f>
        <v>0</v>
      </c>
      <c r="R7">
        <f>Data!Y15</f>
        <v>0</v>
      </c>
      <c r="S7">
        <f>Data!Z15</f>
        <v>0</v>
      </c>
      <c r="T7">
        <f>Data!AA15</f>
        <v>0</v>
      </c>
      <c r="U7">
        <f>Data!AB15</f>
        <v>0</v>
      </c>
      <c r="V7">
        <f>Data!AC15</f>
        <v>0</v>
      </c>
      <c r="W7">
        <f>Data!AD15</f>
        <v>0</v>
      </c>
      <c r="X7">
        <f>Data!AE15</f>
        <v>0</v>
      </c>
      <c r="Y7">
        <f>Data!AF15</f>
        <v>0</v>
      </c>
      <c r="Z7">
        <f>Data!AG15</f>
        <v>0</v>
      </c>
      <c r="AA7">
        <f>Data!AH15</f>
        <v>0</v>
      </c>
      <c r="AB7">
        <f>Data!AI15</f>
        <v>0</v>
      </c>
      <c r="AC7">
        <f>Data!AJ15</f>
        <v>0</v>
      </c>
      <c r="AD7">
        <f>Data!AK15</f>
        <v>0</v>
      </c>
      <c r="AE7">
        <f>Data!AL15</f>
        <v>0</v>
      </c>
      <c r="AF7">
        <f>Data!AM15</f>
        <v>0</v>
      </c>
      <c r="AG7">
        <f>Data!AN15</f>
        <v>0</v>
      </c>
      <c r="AH7">
        <f>Data!AO15</f>
        <v>0</v>
      </c>
      <c r="AI7">
        <f>Data!AP15</f>
        <v>0</v>
      </c>
      <c r="AJ7">
        <f>Data!AQ15</f>
        <v>0</v>
      </c>
      <c r="AK7">
        <f>Data!AR15</f>
        <v>0</v>
      </c>
      <c r="AL7">
        <f>Data!AS15</f>
        <v>0</v>
      </c>
      <c r="AM7">
        <f>Data!AT15</f>
        <v>0</v>
      </c>
      <c r="AN7">
        <f>Data!AU15</f>
        <v>0</v>
      </c>
      <c r="AO7">
        <f>Data!AV15</f>
        <v>0</v>
      </c>
      <c r="AP7">
        <f>Data!AW15</f>
        <v>0</v>
      </c>
      <c r="AQ7">
        <f>Data!AX15</f>
        <v>0</v>
      </c>
      <c r="AR7">
        <f>Data!AY15</f>
        <v>0</v>
      </c>
      <c r="AS7">
        <f>Data!AZ15</f>
        <v>0</v>
      </c>
      <c r="AT7">
        <f>Data!BA15</f>
        <v>0</v>
      </c>
      <c r="AU7">
        <f>Data!BB15</f>
        <v>0</v>
      </c>
      <c r="AV7">
        <f>Data!BC15</f>
        <v>0</v>
      </c>
      <c r="AW7">
        <f>Data!BD15</f>
        <v>0</v>
      </c>
      <c r="AX7">
        <f>Data!BE15</f>
        <v>0</v>
      </c>
      <c r="AY7">
        <f>Data!BF15</f>
        <v>0</v>
      </c>
    </row>
    <row r="8" spans="1:51" x14ac:dyDescent="0.75">
      <c r="A8" t="s">
        <v>32</v>
      </c>
      <c r="B8">
        <f>Data!I16</f>
        <v>0</v>
      </c>
      <c r="C8">
        <f>Data!J16</f>
        <v>0</v>
      </c>
      <c r="D8">
        <f>Data!K16</f>
        <v>0</v>
      </c>
      <c r="E8">
        <f>Data!L16</f>
        <v>0</v>
      </c>
      <c r="F8">
        <f>Data!M16</f>
        <v>0</v>
      </c>
      <c r="G8">
        <f>Data!N16</f>
        <v>0</v>
      </c>
      <c r="H8">
        <f>Data!O16</f>
        <v>0</v>
      </c>
      <c r="I8">
        <f>Data!P16</f>
        <v>0</v>
      </c>
      <c r="J8">
        <f>Data!Q16</f>
        <v>0</v>
      </c>
      <c r="K8">
        <f>Data!R16</f>
        <v>0</v>
      </c>
      <c r="L8">
        <f>Data!S16</f>
        <v>0</v>
      </c>
      <c r="M8">
        <f>Data!T16</f>
        <v>0</v>
      </c>
      <c r="N8">
        <f>Data!U16</f>
        <v>0</v>
      </c>
      <c r="O8">
        <f>Data!V16</f>
        <v>0</v>
      </c>
      <c r="P8">
        <f>Data!W16</f>
        <v>0</v>
      </c>
      <c r="Q8">
        <f>Data!X16</f>
        <v>0</v>
      </c>
      <c r="R8">
        <f>Data!Y16</f>
        <v>0</v>
      </c>
      <c r="S8">
        <f>Data!Z16</f>
        <v>0</v>
      </c>
      <c r="T8">
        <f>Data!AA16</f>
        <v>0</v>
      </c>
      <c r="U8">
        <f>Data!AB16</f>
        <v>0</v>
      </c>
      <c r="V8">
        <f>Data!AC16</f>
        <v>0</v>
      </c>
      <c r="W8">
        <f>Data!AD16</f>
        <v>0</v>
      </c>
      <c r="X8">
        <f>Data!AE16</f>
        <v>0</v>
      </c>
      <c r="Y8">
        <f>Data!AF16</f>
        <v>0</v>
      </c>
      <c r="Z8">
        <f>Data!AG16</f>
        <v>0</v>
      </c>
      <c r="AA8">
        <f>Data!AH16</f>
        <v>0</v>
      </c>
      <c r="AB8">
        <f>Data!AI16</f>
        <v>0</v>
      </c>
      <c r="AC8">
        <f>Data!AJ16</f>
        <v>0</v>
      </c>
      <c r="AD8">
        <f>Data!AK16</f>
        <v>0</v>
      </c>
      <c r="AE8">
        <f>Data!AL16</f>
        <v>0</v>
      </c>
      <c r="AF8">
        <f>Data!AM16</f>
        <v>0</v>
      </c>
      <c r="AG8">
        <f>Data!AN16</f>
        <v>0</v>
      </c>
      <c r="AH8">
        <f>Data!AO16</f>
        <v>0</v>
      </c>
      <c r="AI8">
        <f>Data!AP16</f>
        <v>0</v>
      </c>
      <c r="AJ8">
        <f>Data!AQ16</f>
        <v>0</v>
      </c>
      <c r="AK8">
        <f>Data!AR16</f>
        <v>0</v>
      </c>
      <c r="AL8">
        <f>Data!AS16</f>
        <v>0</v>
      </c>
      <c r="AM8">
        <f>Data!AT16</f>
        <v>0</v>
      </c>
      <c r="AN8">
        <f>Data!AU16</f>
        <v>0</v>
      </c>
      <c r="AO8">
        <f>Data!AV16</f>
        <v>0</v>
      </c>
      <c r="AP8">
        <f>Data!AW16</f>
        <v>0</v>
      </c>
      <c r="AQ8">
        <f>Data!AX16</f>
        <v>0</v>
      </c>
      <c r="AR8">
        <f>Data!AY16</f>
        <v>0</v>
      </c>
      <c r="AS8">
        <f>Data!AZ16</f>
        <v>0</v>
      </c>
      <c r="AT8">
        <f>Data!BA16</f>
        <v>0</v>
      </c>
      <c r="AU8">
        <f>Data!BB16</f>
        <v>0</v>
      </c>
      <c r="AV8">
        <f>Data!BC16</f>
        <v>0</v>
      </c>
      <c r="AW8">
        <f>Data!BD16</f>
        <v>0</v>
      </c>
      <c r="AX8">
        <f>Data!BE16</f>
        <v>0</v>
      </c>
      <c r="AY8">
        <f>Data!BF16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8"/>
  <sheetViews>
    <sheetView topLeftCell="AH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29.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Data!I17</f>
        <v>0.26000976646599999</v>
      </c>
      <c r="C2">
        <f>Data!J17</f>
        <v>0.22278172526599993</v>
      </c>
      <c r="D2">
        <f>Data!K17</f>
        <v>0.18555368406599992</v>
      </c>
      <c r="E2">
        <f>Data!L17</f>
        <v>0.14832564286599995</v>
      </c>
      <c r="F2">
        <f>Data!M17</f>
        <v>0.12299341965630756</v>
      </c>
      <c r="G2">
        <f>Data!N17</f>
        <v>0.26333586202244447</v>
      </c>
      <c r="H2">
        <f>Data!O17</f>
        <v>0.2643725738234296</v>
      </c>
      <c r="I2">
        <f>Data!P17</f>
        <v>0.2656824236784171</v>
      </c>
      <c r="J2">
        <f>Data!Q17</f>
        <v>0.26730500576557847</v>
      </c>
      <c r="K2">
        <f>Data!R17</f>
        <v>0.26926651443120747</v>
      </c>
      <c r="L2">
        <f>Data!S17</f>
        <v>0.27156896335914493</v>
      </c>
      <c r="M2">
        <f>Data!T17</f>
        <v>0.27418005353133063</v>
      </c>
      <c r="N2">
        <f>Data!U17</f>
        <v>0.277027909600843</v>
      </c>
      <c r="O2">
        <f>Data!V17</f>
        <v>0.28000488323299999</v>
      </c>
      <c r="P2">
        <f>Data!W17</f>
        <v>0.28298185686515698</v>
      </c>
      <c r="Q2">
        <f>Data!X17</f>
        <v>0.28582971293466936</v>
      </c>
      <c r="R2">
        <f>Data!Y17</f>
        <v>0.28844080310685505</v>
      </c>
      <c r="S2">
        <f>Data!Z17</f>
        <v>0.29074325203479251</v>
      </c>
      <c r="T2">
        <f>Data!AA17</f>
        <v>0.29270476070042151</v>
      </c>
      <c r="U2">
        <f>Data!AB17</f>
        <v>0.29432734278758288</v>
      </c>
      <c r="V2">
        <f>Data!AC17</f>
        <v>0.29563719264257038</v>
      </c>
      <c r="W2">
        <f>Data!AD17</f>
        <v>0.29667390444355551</v>
      </c>
      <c r="X2">
        <f>Data!AE17</f>
        <v>0.29748168078486098</v>
      </c>
      <c r="Y2">
        <f>Data!AF17</f>
        <v>0.29810342825607522</v>
      </c>
      <c r="Z2">
        <f>Data!AG17</f>
        <v>0.29857749983390514</v>
      </c>
      <c r="AA2">
        <f>Data!AH17</f>
        <v>0.29893638001555883</v>
      </c>
      <c r="AB2">
        <f>Data!AI17</f>
        <v>0.29920658154030827</v>
      </c>
      <c r="AC2">
        <f>Data!AJ17</f>
        <v>0.29940918302234726</v>
      </c>
      <c r="AD2">
        <f>Data!AK17</f>
        <v>0.29956062959837793</v>
      </c>
      <c r="AE2">
        <f>Data!AL17</f>
        <v>0.29967357687334722</v>
      </c>
      <c r="AF2">
        <f>Data!AM17</f>
        <v>0.29975766712318186</v>
      </c>
      <c r="AG2">
        <f>Data!AN17</f>
        <v>0.29982019298626128</v>
      </c>
      <c r="AH2">
        <f>Data!AO17</f>
        <v>0.29986664027698562</v>
      </c>
      <c r="AI2">
        <f>Data!AP17</f>
        <v>0.2999011192225246</v>
      </c>
      <c r="AJ2">
        <f>Data!AQ17</f>
        <v>0.29992670034363611</v>
      </c>
      <c r="AK2">
        <f>Data!AR17</f>
        <v>0.29994567246992176</v>
      </c>
      <c r="AL2">
        <f>Data!AS17</f>
        <v>0.29995973899978956</v>
      </c>
      <c r="AM2">
        <f>Data!AT17</f>
        <v>0.29997016613271177</v>
      </c>
      <c r="AN2">
        <f>Data!AU17</f>
        <v>0.2999778942532168</v>
      </c>
      <c r="AO2">
        <f>Data!AV17</f>
        <v>0.29998362131342432</v>
      </c>
      <c r="AP2">
        <f>Data!AW17</f>
        <v>0.29998786508240394</v>
      </c>
      <c r="AQ2">
        <f>Data!AX17</f>
        <v>0.29999100952485602</v>
      </c>
      <c r="AR2">
        <f>Data!AY17</f>
        <v>0.29999333930409255</v>
      </c>
      <c r="AS2">
        <f>Data!AZ17</f>
        <v>0.29999506542208948</v>
      </c>
      <c r="AT2">
        <f>Data!BA17</f>
        <v>0.29999634425785593</v>
      </c>
      <c r="AU2">
        <f>Data!BB17</f>
        <v>0.29999729169544082</v>
      </c>
      <c r="AV2">
        <f>Data!BC17</f>
        <v>0.29999799360341739</v>
      </c>
      <c r="AW2">
        <f>Data!BD17</f>
        <v>0.29999851360552504</v>
      </c>
      <c r="AX2">
        <f>Data!BE17</f>
        <v>0.29999889884128178</v>
      </c>
      <c r="AY2">
        <f>Data!BF17</f>
        <v>0.29999918423573579</v>
      </c>
    </row>
    <row r="3" spans="1:51" x14ac:dyDescent="0.75">
      <c r="A3" t="s">
        <v>2</v>
      </c>
      <c r="B3">
        <f>Data!I18</f>
        <v>0</v>
      </c>
      <c r="C3">
        <f>Data!J18</f>
        <v>0</v>
      </c>
      <c r="D3">
        <f>Data!K18</f>
        <v>0</v>
      </c>
      <c r="E3">
        <f>Data!L18</f>
        <v>0</v>
      </c>
      <c r="F3">
        <f>Data!M18</f>
        <v>0</v>
      </c>
      <c r="G3">
        <f>Data!N18</f>
        <v>0</v>
      </c>
      <c r="H3">
        <f>Data!O18</f>
        <v>0</v>
      </c>
      <c r="I3">
        <f>Data!P18</f>
        <v>0</v>
      </c>
      <c r="J3">
        <f>Data!Q18</f>
        <v>0</v>
      </c>
      <c r="K3">
        <f>Data!R18</f>
        <v>0</v>
      </c>
      <c r="L3">
        <f>Data!S18</f>
        <v>0</v>
      </c>
      <c r="M3">
        <f>Data!T18</f>
        <v>0</v>
      </c>
      <c r="N3">
        <f>Data!U18</f>
        <v>0</v>
      </c>
      <c r="O3">
        <f>Data!V18</f>
        <v>0</v>
      </c>
      <c r="P3">
        <f>Data!W18</f>
        <v>0</v>
      </c>
      <c r="Q3">
        <f>Data!X18</f>
        <v>0</v>
      </c>
      <c r="R3">
        <f>Data!Y18</f>
        <v>0</v>
      </c>
      <c r="S3">
        <f>Data!Z18</f>
        <v>0</v>
      </c>
      <c r="T3">
        <f>Data!AA18</f>
        <v>0</v>
      </c>
      <c r="U3">
        <f>Data!AB18</f>
        <v>0</v>
      </c>
      <c r="V3">
        <f>Data!AC18</f>
        <v>0</v>
      </c>
      <c r="W3">
        <f>Data!AD18</f>
        <v>0</v>
      </c>
      <c r="X3">
        <f>Data!AE18</f>
        <v>0</v>
      </c>
      <c r="Y3">
        <f>Data!AF18</f>
        <v>0</v>
      </c>
      <c r="Z3">
        <f>Data!AG18</f>
        <v>0</v>
      </c>
      <c r="AA3">
        <f>Data!AH18</f>
        <v>0</v>
      </c>
      <c r="AB3">
        <f>Data!AI18</f>
        <v>0</v>
      </c>
      <c r="AC3">
        <f>Data!AJ18</f>
        <v>0</v>
      </c>
      <c r="AD3">
        <f>Data!AK18</f>
        <v>0</v>
      </c>
      <c r="AE3">
        <f>Data!AL18</f>
        <v>0</v>
      </c>
      <c r="AF3">
        <f>Data!AM18</f>
        <v>0</v>
      </c>
      <c r="AG3">
        <f>Data!AN18</f>
        <v>0</v>
      </c>
      <c r="AH3">
        <f>Data!AO18</f>
        <v>0</v>
      </c>
      <c r="AI3">
        <f>Data!AP18</f>
        <v>0</v>
      </c>
      <c r="AJ3">
        <f>Data!AQ18</f>
        <v>0</v>
      </c>
      <c r="AK3">
        <f>Data!AR18</f>
        <v>0</v>
      </c>
      <c r="AL3">
        <f>Data!AS18</f>
        <v>0</v>
      </c>
      <c r="AM3">
        <f>Data!AT18</f>
        <v>0</v>
      </c>
      <c r="AN3">
        <f>Data!AU18</f>
        <v>0</v>
      </c>
      <c r="AO3">
        <f>Data!AV18</f>
        <v>0</v>
      </c>
      <c r="AP3">
        <f>Data!AW18</f>
        <v>0</v>
      </c>
      <c r="AQ3">
        <f>Data!AX18</f>
        <v>0</v>
      </c>
      <c r="AR3">
        <f>Data!AY18</f>
        <v>0</v>
      </c>
      <c r="AS3">
        <f>Data!AZ18</f>
        <v>0</v>
      </c>
      <c r="AT3">
        <f>Data!BA18</f>
        <v>0</v>
      </c>
      <c r="AU3">
        <f>Data!BB18</f>
        <v>0</v>
      </c>
      <c r="AV3">
        <f>Data!BC18</f>
        <v>0</v>
      </c>
      <c r="AW3">
        <f>Data!BD18</f>
        <v>0</v>
      </c>
      <c r="AX3">
        <f>Data!BE18</f>
        <v>0</v>
      </c>
      <c r="AY3">
        <f>Data!BF18</f>
        <v>0</v>
      </c>
    </row>
    <row r="4" spans="1:51" x14ac:dyDescent="0.75">
      <c r="A4" t="s">
        <v>3</v>
      </c>
      <c r="B4">
        <f>Data!I19</f>
        <v>0.90083809500199996</v>
      </c>
      <c r="C4">
        <f>Data!J19</f>
        <v>0.88518263818849996</v>
      </c>
      <c r="D4">
        <f>Data!K19</f>
        <v>0.86952718137500007</v>
      </c>
      <c r="E4">
        <f>Data!L19</f>
        <v>0.85387172456150018</v>
      </c>
      <c r="F4">
        <f>Data!M19</f>
        <v>0.83821626774799995</v>
      </c>
      <c r="G4">
        <f>Data!N19</f>
        <v>0.83821626774799995</v>
      </c>
      <c r="H4">
        <f>Data!O19</f>
        <v>0.83821626774799995</v>
      </c>
      <c r="I4">
        <f>Data!P19</f>
        <v>0.83821626774799995</v>
      </c>
      <c r="J4">
        <f>Data!Q19</f>
        <v>0.83821626774799995</v>
      </c>
      <c r="K4">
        <f>Data!R19</f>
        <v>0.83821626774799995</v>
      </c>
      <c r="L4">
        <f>Data!S19</f>
        <v>0.83821626774799995</v>
      </c>
      <c r="M4">
        <f>Data!T19</f>
        <v>0.83821626774799995</v>
      </c>
      <c r="N4">
        <f>Data!U19</f>
        <v>0.83821626774799995</v>
      </c>
      <c r="O4">
        <f>Data!V19</f>
        <v>0.83821626774799995</v>
      </c>
      <c r="P4">
        <f>Data!W19</f>
        <v>0.83821626774799995</v>
      </c>
      <c r="Q4">
        <f>Data!X19</f>
        <v>0.83821626774799995</v>
      </c>
      <c r="R4">
        <f>Data!Y19</f>
        <v>0.83821626774799995</v>
      </c>
      <c r="S4">
        <f>Data!Z19</f>
        <v>0.83821626774799995</v>
      </c>
      <c r="T4">
        <f>Data!AA19</f>
        <v>0.83821626774799995</v>
      </c>
      <c r="U4">
        <f>Data!AB19</f>
        <v>0.83821626774799995</v>
      </c>
      <c r="V4">
        <f>Data!AC19</f>
        <v>0.83821626774799995</v>
      </c>
      <c r="W4">
        <f>Data!AD19</f>
        <v>0.83821626774799995</v>
      </c>
      <c r="X4">
        <f>Data!AE19</f>
        <v>0.83821626774799995</v>
      </c>
      <c r="Y4">
        <f>Data!AF19</f>
        <v>0.83821626774799995</v>
      </c>
      <c r="Z4">
        <f>Data!AG19</f>
        <v>0.83821626774799995</v>
      </c>
      <c r="AA4">
        <f>Data!AH19</f>
        <v>0.83821626774799995</v>
      </c>
      <c r="AB4">
        <f>Data!AI19</f>
        <v>0.83821626774799995</v>
      </c>
      <c r="AC4">
        <f>Data!AJ19</f>
        <v>0.83821626774799995</v>
      </c>
      <c r="AD4">
        <f>Data!AK19</f>
        <v>0.83821626774799995</v>
      </c>
      <c r="AE4">
        <f>Data!AL19</f>
        <v>0.83821626774799995</v>
      </c>
      <c r="AF4">
        <f>Data!AM19</f>
        <v>0.83821626774799995</v>
      </c>
      <c r="AG4">
        <f>Data!AN19</f>
        <v>0.83821626774799995</v>
      </c>
      <c r="AH4">
        <f>Data!AO19</f>
        <v>0.83821626774799995</v>
      </c>
      <c r="AI4">
        <f>Data!AP19</f>
        <v>0.83821626774799995</v>
      </c>
      <c r="AJ4">
        <f>Data!AQ19</f>
        <v>0.83821626774799995</v>
      </c>
      <c r="AK4">
        <f>Data!AR19</f>
        <v>0.83821626774799995</v>
      </c>
      <c r="AL4">
        <f>Data!AS19</f>
        <v>0.83821626774799995</v>
      </c>
      <c r="AM4">
        <f>Data!AT19</f>
        <v>0.83821626774799995</v>
      </c>
      <c r="AN4">
        <f>Data!AU19</f>
        <v>0.83821626774799995</v>
      </c>
      <c r="AO4">
        <f>Data!AV19</f>
        <v>0.83821626774799995</v>
      </c>
      <c r="AP4">
        <f>Data!AW19</f>
        <v>0.83821626774799995</v>
      </c>
      <c r="AQ4">
        <f>Data!AX19</f>
        <v>0.83821626774799995</v>
      </c>
      <c r="AR4">
        <f>Data!AY19</f>
        <v>0.83821626774799995</v>
      </c>
      <c r="AS4">
        <f>Data!AZ19</f>
        <v>0.83821626774799995</v>
      </c>
      <c r="AT4">
        <f>Data!BA19</f>
        <v>0.83821626774799995</v>
      </c>
      <c r="AU4">
        <f>Data!BB19</f>
        <v>0.83821626774799995</v>
      </c>
      <c r="AV4">
        <f>Data!BC19</f>
        <v>0.83821626774799995</v>
      </c>
      <c r="AW4">
        <f>Data!BD19</f>
        <v>0.83821626774799995</v>
      </c>
      <c r="AX4">
        <f>Data!BE19</f>
        <v>0.83821626774799995</v>
      </c>
      <c r="AY4">
        <f>Data!BF19</f>
        <v>0.83821626774799995</v>
      </c>
    </row>
    <row r="5" spans="1:51" x14ac:dyDescent="0.75">
      <c r="A5" t="s">
        <v>4</v>
      </c>
      <c r="B5">
        <f>Data!I20</f>
        <v>1</v>
      </c>
      <c r="C5">
        <f>Data!J20</f>
        <v>1</v>
      </c>
      <c r="D5">
        <f>Data!K20</f>
        <v>1</v>
      </c>
      <c r="E5">
        <f>Data!L20</f>
        <v>1</v>
      </c>
      <c r="F5">
        <f>Data!M20</f>
        <v>1</v>
      </c>
      <c r="G5">
        <f>Data!N20</f>
        <v>1</v>
      </c>
      <c r="H5">
        <f>Data!O20</f>
        <v>1</v>
      </c>
      <c r="I5">
        <f>Data!P20</f>
        <v>1</v>
      </c>
      <c r="J5">
        <f>Data!Q20</f>
        <v>1</v>
      </c>
      <c r="K5">
        <f>Data!R20</f>
        <v>1</v>
      </c>
      <c r="L5">
        <f>Data!S20</f>
        <v>1</v>
      </c>
      <c r="M5">
        <f>Data!T20</f>
        <v>1</v>
      </c>
      <c r="N5">
        <f>Data!U20</f>
        <v>1</v>
      </c>
      <c r="O5">
        <f>Data!V20</f>
        <v>1</v>
      </c>
      <c r="P5">
        <f>Data!W20</f>
        <v>1</v>
      </c>
      <c r="Q5">
        <f>Data!X20</f>
        <v>1</v>
      </c>
      <c r="R5">
        <f>Data!Y20</f>
        <v>1</v>
      </c>
      <c r="S5">
        <f>Data!Z20</f>
        <v>1</v>
      </c>
      <c r="T5">
        <f>Data!AA20</f>
        <v>1</v>
      </c>
      <c r="U5">
        <f>Data!AB20</f>
        <v>1</v>
      </c>
      <c r="V5">
        <f>Data!AC20</f>
        <v>1</v>
      </c>
      <c r="W5">
        <f>Data!AD20</f>
        <v>1</v>
      </c>
      <c r="X5">
        <f>Data!AE20</f>
        <v>1</v>
      </c>
      <c r="Y5">
        <f>Data!AF20</f>
        <v>1</v>
      </c>
      <c r="Z5">
        <f>Data!AG20</f>
        <v>1</v>
      </c>
      <c r="AA5">
        <f>Data!AH20</f>
        <v>1</v>
      </c>
      <c r="AB5">
        <f>Data!AI20</f>
        <v>1</v>
      </c>
      <c r="AC5">
        <f>Data!AJ20</f>
        <v>1</v>
      </c>
      <c r="AD5">
        <f>Data!AK20</f>
        <v>1</v>
      </c>
      <c r="AE5">
        <f>Data!AL20</f>
        <v>1</v>
      </c>
      <c r="AF5">
        <f>Data!AM20</f>
        <v>1</v>
      </c>
      <c r="AG5">
        <f>Data!AN20</f>
        <v>1</v>
      </c>
      <c r="AH5">
        <f>Data!AO20</f>
        <v>1</v>
      </c>
      <c r="AI5">
        <f>Data!AP20</f>
        <v>1</v>
      </c>
      <c r="AJ5">
        <f>Data!AQ20</f>
        <v>1</v>
      </c>
      <c r="AK5">
        <f>Data!AR20</f>
        <v>1</v>
      </c>
      <c r="AL5">
        <f>Data!AS20</f>
        <v>1</v>
      </c>
      <c r="AM5">
        <f>Data!AT20</f>
        <v>1</v>
      </c>
      <c r="AN5">
        <f>Data!AU20</f>
        <v>1</v>
      </c>
      <c r="AO5">
        <f>Data!AV20</f>
        <v>1</v>
      </c>
      <c r="AP5">
        <f>Data!AW20</f>
        <v>1</v>
      </c>
      <c r="AQ5">
        <f>Data!AX20</f>
        <v>1</v>
      </c>
      <c r="AR5">
        <f>Data!AY20</f>
        <v>1</v>
      </c>
      <c r="AS5">
        <f>Data!AZ20</f>
        <v>1</v>
      </c>
      <c r="AT5">
        <f>Data!BA20</f>
        <v>1</v>
      </c>
      <c r="AU5">
        <f>Data!BB20</f>
        <v>1</v>
      </c>
      <c r="AV5">
        <f>Data!BC20</f>
        <v>1</v>
      </c>
      <c r="AW5">
        <f>Data!BD20</f>
        <v>1</v>
      </c>
      <c r="AX5">
        <f>Data!BE20</f>
        <v>1</v>
      </c>
      <c r="AY5">
        <f>Data!BF20</f>
        <v>1</v>
      </c>
    </row>
    <row r="6" spans="1:51" x14ac:dyDescent="0.75">
      <c r="A6" t="s">
        <v>5</v>
      </c>
      <c r="B6">
        <f>Data!I21</f>
        <v>0</v>
      </c>
      <c r="C6">
        <f>Data!J21</f>
        <v>1.6882317328075001E-4</v>
      </c>
      <c r="D6">
        <f>Data!K21</f>
        <v>3.3764634656150002E-4</v>
      </c>
      <c r="E6">
        <f>Data!L21</f>
        <v>5.0646951984225004E-4</v>
      </c>
      <c r="F6">
        <f>Data!M21</f>
        <v>6.7529269312300005E-4</v>
      </c>
      <c r="G6">
        <f>Data!N21</f>
        <v>7.7079318764067587E-4</v>
      </c>
      <c r="H6">
        <f>Data!O21</f>
        <v>8.0055976770015784E-4</v>
      </c>
      <c r="I6">
        <f>Data!P21</f>
        <v>8.3816882215225917E-4</v>
      </c>
      <c r="J6">
        <f>Data!Q21</f>
        <v>8.8475719855028419E-4</v>
      </c>
      <c r="K6">
        <f>Data!R21</f>
        <v>9.4107700187202816E-4</v>
      </c>
      <c r="L6">
        <f>Data!S21</f>
        <v>1.00718605000015E-3</v>
      </c>
      <c r="M6">
        <f>Data!T21</f>
        <v>1.0821569576130803E-3</v>
      </c>
      <c r="N6">
        <f>Data!U21</f>
        <v>1.1639260043341351E-3</v>
      </c>
      <c r="O6">
        <f>Data!V21</f>
        <v>1.2494023381352561E-3</v>
      </c>
      <c r="P6">
        <f>Data!W21</f>
        <v>1.334878671936377E-3</v>
      </c>
      <c r="Q6">
        <f>Data!X21</f>
        <v>1.4166477186574318E-3</v>
      </c>
      <c r="R6">
        <f>Data!Y21</f>
        <v>1.4916186262703621E-3</v>
      </c>
      <c r="S6">
        <f>Data!Z21</f>
        <v>1.5577276743984837E-3</v>
      </c>
      <c r="T6">
        <f>Data!AA21</f>
        <v>1.6140474777202279E-3</v>
      </c>
      <c r="U6">
        <f>Data!AB21</f>
        <v>1.6606358541182531E-3</v>
      </c>
      <c r="V6">
        <f>Data!AC21</f>
        <v>1.6982449085703544E-3</v>
      </c>
      <c r="W6">
        <f>Data!AD21</f>
        <v>1.7280114886298362E-3</v>
      </c>
      <c r="X6">
        <f>Data!AE21</f>
        <v>1.7512047609652868E-3</v>
      </c>
      <c r="Y6">
        <f>Data!AF21</f>
        <v>1.7690566807187739E-3</v>
      </c>
      <c r="Z6">
        <f>Data!AG21</f>
        <v>1.7826684574555583E-3</v>
      </c>
      <c r="AA6">
        <f>Data!AH21</f>
        <v>1.7929728020658967E-3</v>
      </c>
      <c r="AB6">
        <f>Data!AI21</f>
        <v>1.8007309613836603E-3</v>
      </c>
      <c r="AC6">
        <f>Data!AJ21</f>
        <v>1.8065481549658625E-3</v>
      </c>
      <c r="AD6">
        <f>Data!AK21</f>
        <v>1.8108965636806724E-3</v>
      </c>
      <c r="AE6">
        <f>Data!AL21</f>
        <v>1.8141395614932562E-3</v>
      </c>
      <c r="AF6">
        <f>Data!AM21</f>
        <v>1.8165540021811558E-3</v>
      </c>
      <c r="AG6">
        <f>Data!AN21</f>
        <v>1.8183492755709E-3</v>
      </c>
      <c r="AH6">
        <f>Data!AO21</f>
        <v>1.8196828930686253E-3</v>
      </c>
      <c r="AI6">
        <f>Data!AP21</f>
        <v>1.8206728695421028E-3</v>
      </c>
      <c r="AJ6">
        <f>Data!AQ21</f>
        <v>1.8214073672963046E-3</v>
      </c>
      <c r="AK6">
        <f>Data!AR21</f>
        <v>1.8219521043345466E-3</v>
      </c>
      <c r="AL6">
        <f>Data!AS21</f>
        <v>1.8223559894712559E-3</v>
      </c>
      <c r="AM6">
        <f>Data!AT21</f>
        <v>1.8226553784495864E-3</v>
      </c>
      <c r="AN6">
        <f>Data!AU21</f>
        <v>1.8228772720534829E-3</v>
      </c>
      <c r="AO6">
        <f>Data!AV21</f>
        <v>1.8230417102281145E-3</v>
      </c>
      <c r="AP6">
        <f>Data!AW21</f>
        <v>1.8231635594141322E-3</v>
      </c>
      <c r="AQ6">
        <f>Data!AX21</f>
        <v>1.8232538441952091E-3</v>
      </c>
      <c r="AR6">
        <f>Data!AY21</f>
        <v>1.8233207379646256E-3</v>
      </c>
      <c r="AS6">
        <f>Data!AZ21</f>
        <v>1.8233702991150801E-3</v>
      </c>
      <c r="AT6">
        <f>Data!BA21</f>
        <v>1.8234070176777405E-3</v>
      </c>
      <c r="AU6">
        <f>Data!BB21</f>
        <v>1.8234342209725184E-3</v>
      </c>
      <c r="AV6">
        <f>Data!BC21</f>
        <v>1.8234543745001997E-3</v>
      </c>
      <c r="AW6">
        <f>Data!BD21</f>
        <v>1.8234693050569407E-3</v>
      </c>
      <c r="AX6">
        <f>Data!BE21</f>
        <v>1.82348036613581E-3</v>
      </c>
      <c r="AY6">
        <f>Data!BF21</f>
        <v>1.8234885605219985E-3</v>
      </c>
    </row>
    <row r="7" spans="1:51" x14ac:dyDescent="0.75">
      <c r="A7" t="s">
        <v>31</v>
      </c>
      <c r="B7">
        <f>Data!I22</f>
        <v>0</v>
      </c>
      <c r="C7">
        <f>Data!J22</f>
        <v>0</v>
      </c>
      <c r="D7">
        <f>Data!K22</f>
        <v>0</v>
      </c>
      <c r="E7">
        <f>Data!L22</f>
        <v>0</v>
      </c>
      <c r="F7">
        <f>Data!M22</f>
        <v>0</v>
      </c>
      <c r="G7">
        <f>Data!N22</f>
        <v>0</v>
      </c>
      <c r="H7">
        <f>Data!O22</f>
        <v>0</v>
      </c>
      <c r="I7">
        <f>Data!P22</f>
        <v>0</v>
      </c>
      <c r="J7">
        <f>Data!Q22</f>
        <v>0</v>
      </c>
      <c r="K7">
        <f>Data!R22</f>
        <v>0</v>
      </c>
      <c r="L7">
        <f>Data!S22</f>
        <v>0</v>
      </c>
      <c r="M7">
        <f>Data!T22</f>
        <v>0</v>
      </c>
      <c r="N7">
        <f>Data!U22</f>
        <v>0</v>
      </c>
      <c r="O7">
        <f>Data!V22</f>
        <v>0</v>
      </c>
      <c r="P7">
        <f>Data!W22</f>
        <v>0</v>
      </c>
      <c r="Q7">
        <f>Data!X22</f>
        <v>0</v>
      </c>
      <c r="R7">
        <f>Data!Y22</f>
        <v>0</v>
      </c>
      <c r="S7">
        <f>Data!Z22</f>
        <v>0</v>
      </c>
      <c r="T7">
        <f>Data!AA22</f>
        <v>0</v>
      </c>
      <c r="U7">
        <f>Data!AB22</f>
        <v>0</v>
      </c>
      <c r="V7">
        <f>Data!AC22</f>
        <v>0</v>
      </c>
      <c r="W7">
        <f>Data!AD22</f>
        <v>0</v>
      </c>
      <c r="X7">
        <f>Data!AE22</f>
        <v>0</v>
      </c>
      <c r="Y7">
        <f>Data!AF22</f>
        <v>0</v>
      </c>
      <c r="Z7">
        <f>Data!AG22</f>
        <v>0</v>
      </c>
      <c r="AA7">
        <f>Data!AH22</f>
        <v>0</v>
      </c>
      <c r="AB7">
        <f>Data!AI22</f>
        <v>0</v>
      </c>
      <c r="AC7">
        <f>Data!AJ22</f>
        <v>0</v>
      </c>
      <c r="AD7">
        <f>Data!AK22</f>
        <v>0</v>
      </c>
      <c r="AE7">
        <f>Data!AL22</f>
        <v>0</v>
      </c>
      <c r="AF7">
        <f>Data!AM22</f>
        <v>0</v>
      </c>
      <c r="AG7">
        <f>Data!AN22</f>
        <v>0</v>
      </c>
      <c r="AH7">
        <f>Data!AO22</f>
        <v>0</v>
      </c>
      <c r="AI7">
        <f>Data!AP22</f>
        <v>0</v>
      </c>
      <c r="AJ7">
        <f>Data!AQ22</f>
        <v>0</v>
      </c>
      <c r="AK7">
        <f>Data!AR22</f>
        <v>0</v>
      </c>
      <c r="AL7">
        <f>Data!AS22</f>
        <v>0</v>
      </c>
      <c r="AM7">
        <f>Data!AT22</f>
        <v>0</v>
      </c>
      <c r="AN7">
        <f>Data!AU22</f>
        <v>0</v>
      </c>
      <c r="AO7">
        <f>Data!AV22</f>
        <v>0</v>
      </c>
      <c r="AP7">
        <f>Data!AW22</f>
        <v>0</v>
      </c>
      <c r="AQ7">
        <f>Data!AX22</f>
        <v>0</v>
      </c>
      <c r="AR7">
        <f>Data!AY22</f>
        <v>0</v>
      </c>
      <c r="AS7">
        <f>Data!AZ22</f>
        <v>0</v>
      </c>
      <c r="AT7">
        <f>Data!BA22</f>
        <v>0</v>
      </c>
      <c r="AU7">
        <f>Data!BB22</f>
        <v>0</v>
      </c>
      <c r="AV7">
        <f>Data!BC22</f>
        <v>0</v>
      </c>
      <c r="AW7">
        <f>Data!BD22</f>
        <v>0</v>
      </c>
      <c r="AX7">
        <f>Data!BE22</f>
        <v>0</v>
      </c>
      <c r="AY7">
        <f>Data!BF22</f>
        <v>0</v>
      </c>
    </row>
    <row r="8" spans="1:51" x14ac:dyDescent="0.75">
      <c r="A8" t="s">
        <v>32</v>
      </c>
      <c r="B8">
        <f>Data!I23</f>
        <v>0</v>
      </c>
      <c r="C8">
        <f>Data!J23</f>
        <v>0</v>
      </c>
      <c r="D8">
        <f>Data!K23</f>
        <v>0</v>
      </c>
      <c r="E8">
        <f>Data!L23</f>
        <v>0</v>
      </c>
      <c r="F8">
        <f>Data!M23</f>
        <v>0</v>
      </c>
      <c r="G8">
        <f>Data!N23</f>
        <v>0</v>
      </c>
      <c r="H8">
        <f>Data!O23</f>
        <v>0</v>
      </c>
      <c r="I8">
        <f>Data!P23</f>
        <v>0</v>
      </c>
      <c r="J8">
        <f>Data!Q23</f>
        <v>0</v>
      </c>
      <c r="K8">
        <f>Data!R23</f>
        <v>0</v>
      </c>
      <c r="L8">
        <f>Data!S23</f>
        <v>0</v>
      </c>
      <c r="M8">
        <f>Data!T23</f>
        <v>0</v>
      </c>
      <c r="N8">
        <f>Data!U23</f>
        <v>0</v>
      </c>
      <c r="O8">
        <f>Data!V23</f>
        <v>0</v>
      </c>
      <c r="P8">
        <f>Data!W23</f>
        <v>0</v>
      </c>
      <c r="Q8">
        <f>Data!X23</f>
        <v>0</v>
      </c>
      <c r="R8">
        <f>Data!Y23</f>
        <v>0</v>
      </c>
      <c r="S8">
        <f>Data!Z23</f>
        <v>0</v>
      </c>
      <c r="T8">
        <f>Data!AA23</f>
        <v>0</v>
      </c>
      <c r="U8">
        <f>Data!AB23</f>
        <v>0</v>
      </c>
      <c r="V8">
        <f>Data!AC23</f>
        <v>0</v>
      </c>
      <c r="W8">
        <f>Data!AD23</f>
        <v>0</v>
      </c>
      <c r="X8">
        <f>Data!AE23</f>
        <v>0</v>
      </c>
      <c r="Y8">
        <f>Data!AF23</f>
        <v>0</v>
      </c>
      <c r="Z8">
        <f>Data!AG23</f>
        <v>0</v>
      </c>
      <c r="AA8">
        <f>Data!AH23</f>
        <v>0</v>
      </c>
      <c r="AB8">
        <f>Data!AI23</f>
        <v>0</v>
      </c>
      <c r="AC8">
        <f>Data!AJ23</f>
        <v>0</v>
      </c>
      <c r="AD8">
        <f>Data!AK23</f>
        <v>0</v>
      </c>
      <c r="AE8">
        <f>Data!AL23</f>
        <v>0</v>
      </c>
      <c r="AF8">
        <f>Data!AM23</f>
        <v>0</v>
      </c>
      <c r="AG8">
        <f>Data!AN23</f>
        <v>0</v>
      </c>
      <c r="AH8">
        <f>Data!AO23</f>
        <v>0</v>
      </c>
      <c r="AI8">
        <f>Data!AP23</f>
        <v>0</v>
      </c>
      <c r="AJ8">
        <f>Data!AQ23</f>
        <v>0</v>
      </c>
      <c r="AK8">
        <f>Data!AR23</f>
        <v>0</v>
      </c>
      <c r="AL8">
        <f>Data!AS23</f>
        <v>0</v>
      </c>
      <c r="AM8">
        <f>Data!AT23</f>
        <v>0</v>
      </c>
      <c r="AN8">
        <f>Data!AU23</f>
        <v>0</v>
      </c>
      <c r="AO8">
        <f>Data!AV23</f>
        <v>0</v>
      </c>
      <c r="AP8">
        <f>Data!AW23</f>
        <v>0</v>
      </c>
      <c r="AQ8">
        <f>Data!AX23</f>
        <v>0</v>
      </c>
      <c r="AR8">
        <f>Data!AY23</f>
        <v>0</v>
      </c>
      <c r="AS8">
        <f>Data!AZ23</f>
        <v>0</v>
      </c>
      <c r="AT8">
        <f>Data!BA23</f>
        <v>0</v>
      </c>
      <c r="AU8">
        <f>Data!BB23</f>
        <v>0</v>
      </c>
      <c r="AV8">
        <f>Data!BC23</f>
        <v>0</v>
      </c>
      <c r="AW8">
        <f>Data!BD23</f>
        <v>0</v>
      </c>
      <c r="AX8">
        <f>Data!BE23</f>
        <v>0</v>
      </c>
      <c r="AY8">
        <f>Data!BF23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Y8"/>
  <sheetViews>
    <sheetView topLeftCell="Y1" workbookViewId="0">
      <selection activeCell="AY1" sqref="AY1"/>
    </sheetView>
  </sheetViews>
  <sheetFormatPr defaultColWidth="9.08984375" defaultRowHeight="14.75" x14ac:dyDescent="0.75"/>
  <cols>
    <col min="1" max="1" width="24.36328125" customWidth="1"/>
  </cols>
  <sheetData>
    <row r="1" spans="1:51" ht="29.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Data!I24</f>
        <v>3.0938506857799999E-2</v>
      </c>
      <c r="C2">
        <f>Data!J24</f>
        <v>3.0802074417674997E-2</v>
      </c>
      <c r="D2">
        <f>Data!K24</f>
        <v>3.066564197755E-2</v>
      </c>
      <c r="E2">
        <f>Data!L24</f>
        <v>3.0529209537425002E-2</v>
      </c>
      <c r="F2">
        <f>Data!M24</f>
        <v>3.0392777097300001E-2</v>
      </c>
      <c r="G2">
        <f>Data!N24</f>
        <v>9.0244450242620608E-2</v>
      </c>
      <c r="H2">
        <f>Data!O24</f>
        <v>0.10889963762538743</v>
      </c>
      <c r="I2">
        <f>Data!P24</f>
        <v>0.13246982797613069</v>
      </c>
      <c r="J2">
        <f>Data!Q24</f>
        <v>0.16166750167016247</v>
      </c>
      <c r="K2">
        <f>Data!R24</f>
        <v>0.19696401481437317</v>
      </c>
      <c r="L2">
        <f>Data!S24</f>
        <v>0.23839560279196509</v>
      </c>
      <c r="M2">
        <f>Data!T24</f>
        <v>0.28538105852724005</v>
      </c>
      <c r="N2">
        <f>Data!U24</f>
        <v>0.33662701575992449</v>
      </c>
      <c r="O2">
        <f>Data!V24</f>
        <v>0.39019638854864996</v>
      </c>
      <c r="P2">
        <f>Data!W24</f>
        <v>0.44376576133737544</v>
      </c>
      <c r="Q2">
        <f>Data!X24</f>
        <v>0.49501171857005988</v>
      </c>
      <c r="R2">
        <f>Data!Y24</f>
        <v>0.54199717430533489</v>
      </c>
      <c r="S2">
        <f>Data!Z24</f>
        <v>0.58342876228292684</v>
      </c>
      <c r="T2">
        <f>Data!AA24</f>
        <v>0.61872527542713751</v>
      </c>
      <c r="U2">
        <f>Data!AB24</f>
        <v>0.64792294912116932</v>
      </c>
      <c r="V2">
        <f>Data!AC24</f>
        <v>0.67149313947191258</v>
      </c>
      <c r="W2">
        <f>Data!AD24</f>
        <v>0.69014832685467942</v>
      </c>
      <c r="X2">
        <f>Data!AE24</f>
        <v>0.70468391813096187</v>
      </c>
      <c r="Y2">
        <f>Data!AF24</f>
        <v>0.7158719991089556</v>
      </c>
      <c r="Z2">
        <f>Data!AG24</f>
        <v>0.72440271527217204</v>
      </c>
      <c r="AA2">
        <f>Data!AH24</f>
        <v>0.73086061131459057</v>
      </c>
      <c r="AB2">
        <f>Data!AI24</f>
        <v>0.73572277268915998</v>
      </c>
      <c r="AC2">
        <f>Data!AJ24</f>
        <v>0.73936850008212729</v>
      </c>
      <c r="AD2">
        <f>Data!AK24</f>
        <v>0.74209371672540758</v>
      </c>
      <c r="AE2">
        <f>Data!AL24</f>
        <v>0.74412615484072897</v>
      </c>
      <c r="AF2">
        <f>Data!AM24</f>
        <v>0.74563932307729941</v>
      </c>
      <c r="AG2">
        <f>Data!AN24</f>
        <v>0.74676444935724318</v>
      </c>
      <c r="AH2">
        <f>Data!AO24</f>
        <v>0.74760024857459673</v>
      </c>
      <c r="AI2">
        <f>Data!AP24</f>
        <v>0.74822068251696916</v>
      </c>
      <c r="AJ2">
        <f>Data!AQ24</f>
        <v>0.74868100389784253</v>
      </c>
      <c r="AK2">
        <f>Data!AR24</f>
        <v>0.74902239923121394</v>
      </c>
      <c r="AL2">
        <f>Data!AS24</f>
        <v>0.74927552044605872</v>
      </c>
      <c r="AM2">
        <f>Data!AT24</f>
        <v>0.74946315226267746</v>
      </c>
      <c r="AN2">
        <f>Data!AU24</f>
        <v>0.74960221650020353</v>
      </c>
      <c r="AO2">
        <f>Data!AV24</f>
        <v>0.74970527250981223</v>
      </c>
      <c r="AP2">
        <f>Data!AW24</f>
        <v>0.74978163732542291</v>
      </c>
      <c r="AQ2">
        <f>Data!AX24</f>
        <v>0.74983822022831037</v>
      </c>
      <c r="AR2">
        <f>Data!AY24</f>
        <v>0.7498801436135536</v>
      </c>
      <c r="AS2">
        <f>Data!AZ24</f>
        <v>0.74991120437185321</v>
      </c>
      <c r="AT2">
        <f>Data!BA24</f>
        <v>0.74993421647688796</v>
      </c>
      <c r="AU2">
        <f>Data!BB24</f>
        <v>0.74995126521276878</v>
      </c>
      <c r="AV2">
        <f>Data!BC24</f>
        <v>0.74996389574790479</v>
      </c>
      <c r="AW2">
        <f>Data!BD24</f>
        <v>0.74997325296439321</v>
      </c>
      <c r="AX2">
        <f>Data!BE24</f>
        <v>0.7499801851177863</v>
      </c>
      <c r="AY2">
        <f>Data!BF24</f>
        <v>0.74998532066945278</v>
      </c>
    </row>
    <row r="3" spans="1:51" x14ac:dyDescent="0.75">
      <c r="A3" t="s">
        <v>2</v>
      </c>
      <c r="B3">
        <f>Data!I25</f>
        <v>0</v>
      </c>
      <c r="C3">
        <f>Data!J25</f>
        <v>0</v>
      </c>
      <c r="D3">
        <f>Data!K25</f>
        <v>0</v>
      </c>
      <c r="E3">
        <f>Data!L25</f>
        <v>0</v>
      </c>
      <c r="F3">
        <f>Data!M25</f>
        <v>0</v>
      </c>
      <c r="G3">
        <f>Data!N25</f>
        <v>0</v>
      </c>
      <c r="H3">
        <f>Data!O25</f>
        <v>0</v>
      </c>
      <c r="I3">
        <f>Data!P25</f>
        <v>0</v>
      </c>
      <c r="J3">
        <f>Data!Q25</f>
        <v>0</v>
      </c>
      <c r="K3">
        <f>Data!R25</f>
        <v>0</v>
      </c>
      <c r="L3">
        <f>Data!S25</f>
        <v>0</v>
      </c>
      <c r="M3">
        <f>Data!T25</f>
        <v>0</v>
      </c>
      <c r="N3">
        <f>Data!U25</f>
        <v>0</v>
      </c>
      <c r="O3">
        <f>Data!V25</f>
        <v>0</v>
      </c>
      <c r="P3">
        <f>Data!W25</f>
        <v>0</v>
      </c>
      <c r="Q3">
        <f>Data!X25</f>
        <v>0</v>
      </c>
      <c r="R3">
        <f>Data!Y25</f>
        <v>0</v>
      </c>
      <c r="S3">
        <f>Data!Z25</f>
        <v>0</v>
      </c>
      <c r="T3">
        <f>Data!AA25</f>
        <v>0</v>
      </c>
      <c r="U3">
        <f>Data!AB25</f>
        <v>0</v>
      </c>
      <c r="V3">
        <f>Data!AC25</f>
        <v>0</v>
      </c>
      <c r="W3">
        <f>Data!AD25</f>
        <v>0</v>
      </c>
      <c r="X3">
        <f>Data!AE25</f>
        <v>0</v>
      </c>
      <c r="Y3">
        <f>Data!AF25</f>
        <v>0</v>
      </c>
      <c r="Z3">
        <f>Data!AG25</f>
        <v>0</v>
      </c>
      <c r="AA3">
        <f>Data!AH25</f>
        <v>0</v>
      </c>
      <c r="AB3">
        <f>Data!AI25</f>
        <v>0</v>
      </c>
      <c r="AC3">
        <f>Data!AJ25</f>
        <v>0</v>
      </c>
      <c r="AD3">
        <f>Data!AK25</f>
        <v>0</v>
      </c>
      <c r="AE3">
        <f>Data!AL25</f>
        <v>0</v>
      </c>
      <c r="AF3">
        <f>Data!AM25</f>
        <v>0</v>
      </c>
      <c r="AG3">
        <f>Data!AN25</f>
        <v>0</v>
      </c>
      <c r="AH3">
        <f>Data!AO25</f>
        <v>0</v>
      </c>
      <c r="AI3">
        <f>Data!AP25</f>
        <v>0</v>
      </c>
      <c r="AJ3">
        <f>Data!AQ25</f>
        <v>0</v>
      </c>
      <c r="AK3">
        <f>Data!AR25</f>
        <v>0</v>
      </c>
      <c r="AL3">
        <f>Data!AS25</f>
        <v>0</v>
      </c>
      <c r="AM3">
        <f>Data!AT25</f>
        <v>0</v>
      </c>
      <c r="AN3">
        <f>Data!AU25</f>
        <v>0</v>
      </c>
      <c r="AO3">
        <f>Data!AV25</f>
        <v>0</v>
      </c>
      <c r="AP3">
        <f>Data!AW25</f>
        <v>0</v>
      </c>
      <c r="AQ3">
        <f>Data!AX25</f>
        <v>0</v>
      </c>
      <c r="AR3">
        <f>Data!AY25</f>
        <v>0</v>
      </c>
      <c r="AS3">
        <f>Data!AZ25</f>
        <v>0</v>
      </c>
      <c r="AT3">
        <f>Data!BA25</f>
        <v>0</v>
      </c>
      <c r="AU3">
        <f>Data!BB25</f>
        <v>0</v>
      </c>
      <c r="AV3">
        <f>Data!BC25</f>
        <v>0</v>
      </c>
      <c r="AW3">
        <f>Data!BD25</f>
        <v>0</v>
      </c>
      <c r="AX3">
        <f>Data!BE25</f>
        <v>0</v>
      </c>
      <c r="AY3">
        <f>Data!BF25</f>
        <v>0</v>
      </c>
    </row>
    <row r="4" spans="1:51" x14ac:dyDescent="0.75">
      <c r="A4" t="s">
        <v>3</v>
      </c>
      <c r="B4">
        <f>Data!I26</f>
        <v>0</v>
      </c>
      <c r="C4">
        <f>Data!J26</f>
        <v>0</v>
      </c>
      <c r="D4">
        <f>Data!K26</f>
        <v>0</v>
      </c>
      <c r="E4">
        <f>Data!L26</f>
        <v>0</v>
      </c>
      <c r="F4">
        <f>Data!M26</f>
        <v>0</v>
      </c>
      <c r="G4">
        <f>Data!N26</f>
        <v>0</v>
      </c>
      <c r="H4">
        <f>Data!O26</f>
        <v>0</v>
      </c>
      <c r="I4">
        <f>Data!P26</f>
        <v>0</v>
      </c>
      <c r="J4">
        <f>Data!Q26</f>
        <v>0</v>
      </c>
      <c r="K4">
        <f>Data!R26</f>
        <v>0</v>
      </c>
      <c r="L4">
        <f>Data!S26</f>
        <v>0</v>
      </c>
      <c r="M4">
        <f>Data!T26</f>
        <v>0</v>
      </c>
      <c r="N4">
        <f>Data!U26</f>
        <v>0</v>
      </c>
      <c r="O4">
        <f>Data!V26</f>
        <v>0</v>
      </c>
      <c r="P4">
        <f>Data!W26</f>
        <v>0</v>
      </c>
      <c r="Q4">
        <f>Data!X26</f>
        <v>0</v>
      </c>
      <c r="R4">
        <f>Data!Y26</f>
        <v>0</v>
      </c>
      <c r="S4">
        <f>Data!Z26</f>
        <v>0</v>
      </c>
      <c r="T4">
        <f>Data!AA26</f>
        <v>0</v>
      </c>
      <c r="U4">
        <f>Data!AB26</f>
        <v>0</v>
      </c>
      <c r="V4">
        <f>Data!AC26</f>
        <v>0</v>
      </c>
      <c r="W4">
        <f>Data!AD26</f>
        <v>0</v>
      </c>
      <c r="X4">
        <f>Data!AE26</f>
        <v>0</v>
      </c>
      <c r="Y4">
        <f>Data!AF26</f>
        <v>0</v>
      </c>
      <c r="Z4">
        <f>Data!AG26</f>
        <v>0</v>
      </c>
      <c r="AA4">
        <f>Data!AH26</f>
        <v>0</v>
      </c>
      <c r="AB4">
        <f>Data!AI26</f>
        <v>0</v>
      </c>
      <c r="AC4">
        <f>Data!AJ26</f>
        <v>0</v>
      </c>
      <c r="AD4">
        <f>Data!AK26</f>
        <v>0</v>
      </c>
      <c r="AE4">
        <f>Data!AL26</f>
        <v>0</v>
      </c>
      <c r="AF4">
        <f>Data!AM26</f>
        <v>0</v>
      </c>
      <c r="AG4">
        <f>Data!AN26</f>
        <v>0</v>
      </c>
      <c r="AH4">
        <f>Data!AO26</f>
        <v>0</v>
      </c>
      <c r="AI4">
        <f>Data!AP26</f>
        <v>0</v>
      </c>
      <c r="AJ4">
        <f>Data!AQ26</f>
        <v>0</v>
      </c>
      <c r="AK4">
        <f>Data!AR26</f>
        <v>0</v>
      </c>
      <c r="AL4">
        <f>Data!AS26</f>
        <v>0</v>
      </c>
      <c r="AM4">
        <f>Data!AT26</f>
        <v>0</v>
      </c>
      <c r="AN4">
        <f>Data!AU26</f>
        <v>0</v>
      </c>
      <c r="AO4">
        <f>Data!AV26</f>
        <v>0</v>
      </c>
      <c r="AP4">
        <f>Data!AW26</f>
        <v>0</v>
      </c>
      <c r="AQ4">
        <f>Data!AX26</f>
        <v>0</v>
      </c>
      <c r="AR4">
        <f>Data!AY26</f>
        <v>0</v>
      </c>
      <c r="AS4">
        <f>Data!AZ26</f>
        <v>0</v>
      </c>
      <c r="AT4">
        <f>Data!BA26</f>
        <v>0</v>
      </c>
      <c r="AU4">
        <f>Data!BB26</f>
        <v>0</v>
      </c>
      <c r="AV4">
        <f>Data!BC26</f>
        <v>0</v>
      </c>
      <c r="AW4">
        <f>Data!BD26</f>
        <v>0</v>
      </c>
      <c r="AX4">
        <f>Data!BE26</f>
        <v>0</v>
      </c>
      <c r="AY4">
        <f>Data!BF26</f>
        <v>0</v>
      </c>
    </row>
    <row r="5" spans="1:51" x14ac:dyDescent="0.75">
      <c r="A5" t="s">
        <v>4</v>
      </c>
      <c r="B5">
        <f>Data!I27</f>
        <v>1</v>
      </c>
      <c r="C5">
        <f>Data!J27</f>
        <v>1</v>
      </c>
      <c r="D5">
        <f>Data!K27</f>
        <v>1</v>
      </c>
      <c r="E5">
        <f>Data!L27</f>
        <v>1</v>
      </c>
      <c r="F5">
        <f>Data!M27</f>
        <v>1</v>
      </c>
      <c r="G5">
        <f>Data!N27</f>
        <v>1</v>
      </c>
      <c r="H5">
        <f>Data!O27</f>
        <v>1</v>
      </c>
      <c r="I5">
        <f>Data!P27</f>
        <v>1</v>
      </c>
      <c r="J5">
        <f>Data!Q27</f>
        <v>1</v>
      </c>
      <c r="K5">
        <f>Data!R27</f>
        <v>1</v>
      </c>
      <c r="L5">
        <f>Data!S27</f>
        <v>1</v>
      </c>
      <c r="M5">
        <f>Data!T27</f>
        <v>1</v>
      </c>
      <c r="N5">
        <f>Data!U27</f>
        <v>1</v>
      </c>
      <c r="O5">
        <f>Data!V27</f>
        <v>1</v>
      </c>
      <c r="P5">
        <f>Data!W27</f>
        <v>1</v>
      </c>
      <c r="Q5">
        <f>Data!X27</f>
        <v>1</v>
      </c>
      <c r="R5">
        <f>Data!Y27</f>
        <v>1</v>
      </c>
      <c r="S5">
        <f>Data!Z27</f>
        <v>1</v>
      </c>
      <c r="T5">
        <f>Data!AA27</f>
        <v>1</v>
      </c>
      <c r="U5">
        <f>Data!AB27</f>
        <v>1</v>
      </c>
      <c r="V5">
        <f>Data!AC27</f>
        <v>1</v>
      </c>
      <c r="W5">
        <f>Data!AD27</f>
        <v>1</v>
      </c>
      <c r="X5">
        <f>Data!AE27</f>
        <v>1</v>
      </c>
      <c r="Y5">
        <f>Data!AF27</f>
        <v>1</v>
      </c>
      <c r="Z5">
        <f>Data!AG27</f>
        <v>1</v>
      </c>
      <c r="AA5">
        <f>Data!AH27</f>
        <v>1</v>
      </c>
      <c r="AB5">
        <f>Data!AI27</f>
        <v>1</v>
      </c>
      <c r="AC5">
        <f>Data!AJ27</f>
        <v>1</v>
      </c>
      <c r="AD5">
        <f>Data!AK27</f>
        <v>1</v>
      </c>
      <c r="AE5">
        <f>Data!AL27</f>
        <v>1</v>
      </c>
      <c r="AF5">
        <f>Data!AM27</f>
        <v>1</v>
      </c>
      <c r="AG5">
        <f>Data!AN27</f>
        <v>1</v>
      </c>
      <c r="AH5">
        <f>Data!AO27</f>
        <v>1</v>
      </c>
      <c r="AI5">
        <f>Data!AP27</f>
        <v>1</v>
      </c>
      <c r="AJ5">
        <f>Data!AQ27</f>
        <v>1</v>
      </c>
      <c r="AK5">
        <f>Data!AR27</f>
        <v>1</v>
      </c>
      <c r="AL5">
        <f>Data!AS27</f>
        <v>1</v>
      </c>
      <c r="AM5">
        <f>Data!AT27</f>
        <v>1</v>
      </c>
      <c r="AN5">
        <f>Data!AU27</f>
        <v>1</v>
      </c>
      <c r="AO5">
        <f>Data!AV27</f>
        <v>1</v>
      </c>
      <c r="AP5">
        <f>Data!AW27</f>
        <v>1</v>
      </c>
      <c r="AQ5">
        <f>Data!AX27</f>
        <v>1</v>
      </c>
      <c r="AR5">
        <f>Data!AY27</f>
        <v>1</v>
      </c>
      <c r="AS5">
        <f>Data!AZ27</f>
        <v>1</v>
      </c>
      <c r="AT5">
        <f>Data!BA27</f>
        <v>1</v>
      </c>
      <c r="AU5">
        <f>Data!BB27</f>
        <v>1</v>
      </c>
      <c r="AV5">
        <f>Data!BC27</f>
        <v>1</v>
      </c>
      <c r="AW5">
        <f>Data!BD27</f>
        <v>1</v>
      </c>
      <c r="AX5">
        <f>Data!BE27</f>
        <v>1</v>
      </c>
      <c r="AY5">
        <f>Data!BF27</f>
        <v>1</v>
      </c>
    </row>
    <row r="6" spans="1:51" x14ac:dyDescent="0.75">
      <c r="A6" t="s">
        <v>5</v>
      </c>
      <c r="B6">
        <f>Data!I28</f>
        <v>0</v>
      </c>
      <c r="C6">
        <f>Data!J28</f>
        <v>0</v>
      </c>
      <c r="D6">
        <f>Data!K28</f>
        <v>0</v>
      </c>
      <c r="E6">
        <f>Data!L28</f>
        <v>0</v>
      </c>
      <c r="F6">
        <f>Data!M28</f>
        <v>0</v>
      </c>
      <c r="G6">
        <f>Data!N28</f>
        <v>0</v>
      </c>
      <c r="H6">
        <f>Data!O28</f>
        <v>0</v>
      </c>
      <c r="I6">
        <f>Data!P28</f>
        <v>0</v>
      </c>
      <c r="J6">
        <f>Data!Q28</f>
        <v>0</v>
      </c>
      <c r="K6">
        <f>Data!R28</f>
        <v>0</v>
      </c>
      <c r="L6">
        <f>Data!S28</f>
        <v>0</v>
      </c>
      <c r="M6">
        <f>Data!T28</f>
        <v>0</v>
      </c>
      <c r="N6">
        <f>Data!U28</f>
        <v>0</v>
      </c>
      <c r="O6">
        <f>Data!V28</f>
        <v>0</v>
      </c>
      <c r="P6">
        <f>Data!W28</f>
        <v>0</v>
      </c>
      <c r="Q6">
        <f>Data!X28</f>
        <v>0</v>
      </c>
      <c r="R6">
        <f>Data!Y28</f>
        <v>0</v>
      </c>
      <c r="S6">
        <f>Data!Z28</f>
        <v>0</v>
      </c>
      <c r="T6">
        <f>Data!AA28</f>
        <v>0</v>
      </c>
      <c r="U6">
        <f>Data!AB28</f>
        <v>0</v>
      </c>
      <c r="V6">
        <f>Data!AC28</f>
        <v>0</v>
      </c>
      <c r="W6">
        <f>Data!AD28</f>
        <v>0</v>
      </c>
      <c r="X6">
        <f>Data!AE28</f>
        <v>0</v>
      </c>
      <c r="Y6">
        <f>Data!AF28</f>
        <v>0</v>
      </c>
      <c r="Z6">
        <f>Data!AG28</f>
        <v>0</v>
      </c>
      <c r="AA6">
        <f>Data!AH28</f>
        <v>0</v>
      </c>
      <c r="AB6">
        <f>Data!AI28</f>
        <v>0</v>
      </c>
      <c r="AC6">
        <f>Data!AJ28</f>
        <v>0</v>
      </c>
      <c r="AD6">
        <f>Data!AK28</f>
        <v>0</v>
      </c>
      <c r="AE6">
        <f>Data!AL28</f>
        <v>0</v>
      </c>
      <c r="AF6">
        <f>Data!AM28</f>
        <v>0</v>
      </c>
      <c r="AG6">
        <f>Data!AN28</f>
        <v>0</v>
      </c>
      <c r="AH6">
        <f>Data!AO28</f>
        <v>0</v>
      </c>
      <c r="AI6">
        <f>Data!AP28</f>
        <v>0</v>
      </c>
      <c r="AJ6">
        <f>Data!AQ28</f>
        <v>0</v>
      </c>
      <c r="AK6">
        <f>Data!AR28</f>
        <v>0</v>
      </c>
      <c r="AL6">
        <f>Data!AS28</f>
        <v>0</v>
      </c>
      <c r="AM6">
        <f>Data!AT28</f>
        <v>0</v>
      </c>
      <c r="AN6">
        <f>Data!AU28</f>
        <v>0</v>
      </c>
      <c r="AO6">
        <f>Data!AV28</f>
        <v>0</v>
      </c>
      <c r="AP6">
        <f>Data!AW28</f>
        <v>0</v>
      </c>
      <c r="AQ6">
        <f>Data!AX28</f>
        <v>0</v>
      </c>
      <c r="AR6">
        <f>Data!AY28</f>
        <v>0</v>
      </c>
      <c r="AS6">
        <f>Data!AZ28</f>
        <v>0</v>
      </c>
      <c r="AT6">
        <f>Data!BA28</f>
        <v>0</v>
      </c>
      <c r="AU6">
        <f>Data!BB28</f>
        <v>0</v>
      </c>
      <c r="AV6">
        <f>Data!BC28</f>
        <v>0</v>
      </c>
      <c r="AW6">
        <f>Data!BD28</f>
        <v>0</v>
      </c>
      <c r="AX6">
        <f>Data!BE28</f>
        <v>0</v>
      </c>
      <c r="AY6">
        <f>Data!BF28</f>
        <v>0</v>
      </c>
    </row>
    <row r="7" spans="1:51" x14ac:dyDescent="0.75">
      <c r="A7" t="s">
        <v>31</v>
      </c>
      <c r="B7">
        <f>Data!I29</f>
        <v>0</v>
      </c>
      <c r="C7">
        <f>Data!J29</f>
        <v>0</v>
      </c>
      <c r="D7">
        <f>Data!K29</f>
        <v>0</v>
      </c>
      <c r="E7">
        <f>Data!L29</f>
        <v>0</v>
      </c>
      <c r="F7">
        <f>Data!M29</f>
        <v>0</v>
      </c>
      <c r="G7">
        <f>Data!N29</f>
        <v>0</v>
      </c>
      <c r="H7">
        <f>Data!O29</f>
        <v>0</v>
      </c>
      <c r="I7">
        <f>Data!P29</f>
        <v>0</v>
      </c>
      <c r="J7">
        <f>Data!Q29</f>
        <v>0</v>
      </c>
      <c r="K7">
        <f>Data!R29</f>
        <v>0</v>
      </c>
      <c r="L7">
        <f>Data!S29</f>
        <v>0</v>
      </c>
      <c r="M7">
        <f>Data!T29</f>
        <v>0</v>
      </c>
      <c r="N7">
        <f>Data!U29</f>
        <v>0</v>
      </c>
      <c r="O7">
        <f>Data!V29</f>
        <v>0</v>
      </c>
      <c r="P7">
        <f>Data!W29</f>
        <v>0</v>
      </c>
      <c r="Q7">
        <f>Data!X29</f>
        <v>0</v>
      </c>
      <c r="R7">
        <f>Data!Y29</f>
        <v>0</v>
      </c>
      <c r="S7">
        <f>Data!Z29</f>
        <v>0</v>
      </c>
      <c r="T7">
        <f>Data!AA29</f>
        <v>0</v>
      </c>
      <c r="U7">
        <f>Data!AB29</f>
        <v>0</v>
      </c>
      <c r="V7">
        <f>Data!AC29</f>
        <v>0</v>
      </c>
      <c r="W7">
        <f>Data!AD29</f>
        <v>0</v>
      </c>
      <c r="X7">
        <f>Data!AE29</f>
        <v>0</v>
      </c>
      <c r="Y7">
        <f>Data!AF29</f>
        <v>0</v>
      </c>
      <c r="Z7">
        <f>Data!AG29</f>
        <v>0</v>
      </c>
      <c r="AA7">
        <f>Data!AH29</f>
        <v>0</v>
      </c>
      <c r="AB7">
        <f>Data!AI29</f>
        <v>0</v>
      </c>
      <c r="AC7">
        <f>Data!AJ29</f>
        <v>0</v>
      </c>
      <c r="AD7">
        <f>Data!AK29</f>
        <v>0</v>
      </c>
      <c r="AE7">
        <f>Data!AL29</f>
        <v>0</v>
      </c>
      <c r="AF7">
        <f>Data!AM29</f>
        <v>0</v>
      </c>
      <c r="AG7">
        <f>Data!AN29</f>
        <v>0</v>
      </c>
      <c r="AH7">
        <f>Data!AO29</f>
        <v>0</v>
      </c>
      <c r="AI7">
        <f>Data!AP29</f>
        <v>0</v>
      </c>
      <c r="AJ7">
        <f>Data!AQ29</f>
        <v>0</v>
      </c>
      <c r="AK7">
        <f>Data!AR29</f>
        <v>0</v>
      </c>
      <c r="AL7">
        <f>Data!AS29</f>
        <v>0</v>
      </c>
      <c r="AM7">
        <f>Data!AT29</f>
        <v>0</v>
      </c>
      <c r="AN7">
        <f>Data!AU29</f>
        <v>0</v>
      </c>
      <c r="AO7">
        <f>Data!AV29</f>
        <v>0</v>
      </c>
      <c r="AP7">
        <f>Data!AW29</f>
        <v>0</v>
      </c>
      <c r="AQ7">
        <f>Data!AX29</f>
        <v>0</v>
      </c>
      <c r="AR7">
        <f>Data!AY29</f>
        <v>0</v>
      </c>
      <c r="AS7">
        <f>Data!AZ29</f>
        <v>0</v>
      </c>
      <c r="AT7">
        <f>Data!BA29</f>
        <v>0</v>
      </c>
      <c r="AU7">
        <f>Data!BB29</f>
        <v>0</v>
      </c>
      <c r="AV7">
        <f>Data!BC29</f>
        <v>0</v>
      </c>
      <c r="AW7">
        <f>Data!BD29</f>
        <v>0</v>
      </c>
      <c r="AX7">
        <f>Data!BE29</f>
        <v>0</v>
      </c>
      <c r="AY7">
        <f>Data!BF29</f>
        <v>0</v>
      </c>
    </row>
    <row r="8" spans="1:51" x14ac:dyDescent="0.75">
      <c r="A8" t="s">
        <v>32</v>
      </c>
      <c r="B8">
        <f>Data!I30</f>
        <v>0</v>
      </c>
      <c r="C8">
        <f>Data!J30</f>
        <v>0</v>
      </c>
      <c r="D8">
        <f>Data!K30</f>
        <v>0</v>
      </c>
      <c r="E8">
        <f>Data!L30</f>
        <v>0</v>
      </c>
      <c r="F8">
        <f>Data!M30</f>
        <v>0</v>
      </c>
      <c r="G8">
        <f>Data!N30</f>
        <v>0</v>
      </c>
      <c r="H8">
        <f>Data!O30</f>
        <v>0</v>
      </c>
      <c r="I8">
        <f>Data!P30</f>
        <v>0</v>
      </c>
      <c r="J8">
        <f>Data!Q30</f>
        <v>0</v>
      </c>
      <c r="K8">
        <f>Data!R30</f>
        <v>0</v>
      </c>
      <c r="L8">
        <f>Data!S30</f>
        <v>0</v>
      </c>
      <c r="M8">
        <f>Data!T30</f>
        <v>0</v>
      </c>
      <c r="N8">
        <f>Data!U30</f>
        <v>0</v>
      </c>
      <c r="O8">
        <f>Data!V30</f>
        <v>0</v>
      </c>
      <c r="P8">
        <f>Data!W30</f>
        <v>0</v>
      </c>
      <c r="Q8">
        <f>Data!X30</f>
        <v>0</v>
      </c>
      <c r="R8">
        <f>Data!Y30</f>
        <v>0</v>
      </c>
      <c r="S8">
        <f>Data!Z30</f>
        <v>0</v>
      </c>
      <c r="T8">
        <f>Data!AA30</f>
        <v>0</v>
      </c>
      <c r="U8">
        <f>Data!AB30</f>
        <v>0</v>
      </c>
      <c r="V8">
        <f>Data!AC30</f>
        <v>0</v>
      </c>
      <c r="W8">
        <f>Data!AD30</f>
        <v>0</v>
      </c>
      <c r="X8">
        <f>Data!AE30</f>
        <v>0</v>
      </c>
      <c r="Y8">
        <f>Data!AF30</f>
        <v>0</v>
      </c>
      <c r="Z8">
        <f>Data!AG30</f>
        <v>0</v>
      </c>
      <c r="AA8">
        <f>Data!AH30</f>
        <v>0</v>
      </c>
      <c r="AB8">
        <f>Data!AI30</f>
        <v>0</v>
      </c>
      <c r="AC8">
        <f>Data!AJ30</f>
        <v>0</v>
      </c>
      <c r="AD8">
        <f>Data!AK30</f>
        <v>0</v>
      </c>
      <c r="AE8">
        <f>Data!AL30</f>
        <v>0</v>
      </c>
      <c r="AF8">
        <f>Data!AM30</f>
        <v>0</v>
      </c>
      <c r="AG8">
        <f>Data!AN30</f>
        <v>0</v>
      </c>
      <c r="AH8">
        <f>Data!AO30</f>
        <v>0</v>
      </c>
      <c r="AI8">
        <f>Data!AP30</f>
        <v>0</v>
      </c>
      <c r="AJ8">
        <f>Data!AQ30</f>
        <v>0</v>
      </c>
      <c r="AK8">
        <f>Data!AR30</f>
        <v>0</v>
      </c>
      <c r="AL8">
        <f>Data!AS30</f>
        <v>0</v>
      </c>
      <c r="AM8">
        <f>Data!AT30</f>
        <v>0</v>
      </c>
      <c r="AN8">
        <f>Data!AU30</f>
        <v>0</v>
      </c>
      <c r="AO8">
        <f>Data!AV30</f>
        <v>0</v>
      </c>
      <c r="AP8">
        <f>Data!AW30</f>
        <v>0</v>
      </c>
      <c r="AQ8">
        <f>Data!AX30</f>
        <v>0</v>
      </c>
      <c r="AR8">
        <f>Data!AY30</f>
        <v>0</v>
      </c>
      <c r="AS8">
        <f>Data!AZ30</f>
        <v>0</v>
      </c>
      <c r="AT8">
        <f>Data!BA30</f>
        <v>0</v>
      </c>
      <c r="AU8">
        <f>Data!BB30</f>
        <v>0</v>
      </c>
      <c r="AV8">
        <f>Data!BC30</f>
        <v>0</v>
      </c>
      <c r="AW8">
        <f>Data!BD30</f>
        <v>0</v>
      </c>
      <c r="AX8">
        <f>Data!BE30</f>
        <v>0</v>
      </c>
      <c r="AY8">
        <f>Data!BF30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Y8"/>
  <sheetViews>
    <sheetView workbookViewId="0"/>
  </sheetViews>
  <sheetFormatPr defaultColWidth="9.08984375" defaultRowHeight="14.75" x14ac:dyDescent="0.75"/>
  <cols>
    <col min="1" max="1" width="24.36328125" customWidth="1"/>
  </cols>
  <sheetData>
    <row r="1" spans="1:51" ht="29.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Data!I31</f>
        <v>4.0521955492299998E-3</v>
      </c>
      <c r="C2">
        <f>Data!J31</f>
        <v>4.3207059908799998E-3</v>
      </c>
      <c r="D2">
        <f>Data!K31</f>
        <v>4.5892164325299998E-3</v>
      </c>
      <c r="E2">
        <f>Data!L31</f>
        <v>4.8577268741799998E-3</v>
      </c>
      <c r="F2">
        <f>Data!M31</f>
        <v>5.1262373158299998E-3</v>
      </c>
      <c r="G2">
        <f>Data!N31</f>
        <v>1.3836688276171205E-2</v>
      </c>
      <c r="H2">
        <f>Data!O31</f>
        <v>1.6739589329403032E-2</v>
      </c>
      <c r="I2">
        <f>Data!P31</f>
        <v>2.0546759962356699E-2</v>
      </c>
      <c r="J2">
        <f>Data!Q31</f>
        <v>2.5493048458885243E-2</v>
      </c>
      <c r="K2">
        <f>Data!R31</f>
        <v>3.1841186418881846E-2</v>
      </c>
      <c r="L2">
        <f>Data!S31</f>
        <v>3.9861841318768847E-2</v>
      </c>
      <c r="M2">
        <f>Data!T31</f>
        <v>4.979746173992311E-2</v>
      </c>
      <c r="N2">
        <f>Data!U31</f>
        <v>6.1808444548558425E-2</v>
      </c>
      <c r="O2">
        <f>Data!V31</f>
        <v>7.5907120213776075E-2</v>
      </c>
      <c r="P2">
        <f>Data!W31</f>
        <v>9.1895710893726751E-2</v>
      </c>
      <c r="Q2">
        <f>Data!X31</f>
        <v>0.10933409946256448</v>
      </c>
      <c r="R2">
        <f>Data!Y31</f>
        <v>0.127563118657915</v>
      </c>
      <c r="S2">
        <f>Data!Z31</f>
        <v>0.14579213785326553</v>
      </c>
      <c r="T2">
        <f>Data!AA31</f>
        <v>0.16323052642210323</v>
      </c>
      <c r="U2">
        <f>Data!AB31</f>
        <v>0.1792191171020539</v>
      </c>
      <c r="V2">
        <f>Data!AC31</f>
        <v>0.19331779276727157</v>
      </c>
      <c r="W2">
        <f>Data!AD31</f>
        <v>0.20532877557590687</v>
      </c>
      <c r="X2">
        <f>Data!AE31</f>
        <v>0.21526439599706118</v>
      </c>
      <c r="Y2">
        <f>Data!AF31</f>
        <v>0.22328505089694817</v>
      </c>
      <c r="Z2">
        <f>Data!AG31</f>
        <v>0.22963318885694475</v>
      </c>
      <c r="AA2">
        <f>Data!AH31</f>
        <v>0.23457947735347331</v>
      </c>
      <c r="AB2">
        <f>Data!AI31</f>
        <v>0.238386647986427</v>
      </c>
      <c r="AC2">
        <f>Data!AJ31</f>
        <v>0.2412895490396588</v>
      </c>
      <c r="AD2">
        <f>Data!AK31</f>
        <v>0.24348709410674613</v>
      </c>
      <c r="AE2">
        <f>Data!AL31</f>
        <v>0.24514162968209213</v>
      </c>
      <c r="AF2">
        <f>Data!AM31</f>
        <v>0.24638222726925305</v>
      </c>
      <c r="AG2">
        <f>Data!AN31</f>
        <v>0.24730958601765154</v>
      </c>
      <c r="AH2">
        <f>Data!AO31</f>
        <v>0.24800120048854848</v>
      </c>
      <c r="AI2">
        <f>Data!AP31</f>
        <v>0.24851611360763662</v>
      </c>
      <c r="AJ2">
        <f>Data!AQ31</f>
        <v>0.24889898067302449</v>
      </c>
      <c r="AK2">
        <f>Data!AR31</f>
        <v>0.24918339318680705</v>
      </c>
      <c r="AL2">
        <f>Data!AS31</f>
        <v>0.24939451946393484</v>
      </c>
      <c r="AM2">
        <f>Data!AT31</f>
        <v>0.24955116134438143</v>
      </c>
      <c r="AN2">
        <f>Data!AU31</f>
        <v>0.24966733410805697</v>
      </c>
      <c r="AO2">
        <f>Data!AV31</f>
        <v>0.24975346824112502</v>
      </c>
      <c r="AP2">
        <f>Data!AW31</f>
        <v>0.24981731711238755</v>
      </c>
      <c r="AQ2">
        <f>Data!AX31</f>
        <v>0.24986463901524511</v>
      </c>
      <c r="AR2">
        <f>Data!AY31</f>
        <v>0.24989970774723799</v>
      </c>
      <c r="AS2">
        <f>Data!AZ31</f>
        <v>0.2499256937839815</v>
      </c>
      <c r="AT2">
        <f>Data!BA31</f>
        <v>0.24994494827155844</v>
      </c>
      <c r="AU2">
        <f>Data!BB31</f>
        <v>0.24995921429997259</v>
      </c>
      <c r="AV2">
        <f>Data!BC31</f>
        <v>0.24996978390588342</v>
      </c>
      <c r="AW2">
        <f>Data!BD31</f>
        <v>0.24997761465100074</v>
      </c>
      <c r="AX2">
        <f>Data!BE31</f>
        <v>0.24998341613265804</v>
      </c>
      <c r="AY2">
        <f>Data!BF31</f>
        <v>0.24998771415325186</v>
      </c>
    </row>
    <row r="3" spans="1:51" x14ac:dyDescent="0.75">
      <c r="A3" t="s">
        <v>2</v>
      </c>
      <c r="B3">
        <f>Data!I32</f>
        <v>0</v>
      </c>
      <c r="C3">
        <f>Data!J32</f>
        <v>0</v>
      </c>
      <c r="D3">
        <f>Data!K32</f>
        <v>0</v>
      </c>
      <c r="E3">
        <f>Data!L32</f>
        <v>0</v>
      </c>
      <c r="F3">
        <f>Data!M32</f>
        <v>0</v>
      </c>
      <c r="G3">
        <f>Data!N32</f>
        <v>0</v>
      </c>
      <c r="H3">
        <f>Data!O32</f>
        <v>0</v>
      </c>
      <c r="I3">
        <f>Data!P32</f>
        <v>0</v>
      </c>
      <c r="J3">
        <f>Data!Q32</f>
        <v>0</v>
      </c>
      <c r="K3">
        <f>Data!R32</f>
        <v>0</v>
      </c>
      <c r="L3">
        <f>Data!S32</f>
        <v>0</v>
      </c>
      <c r="M3">
        <f>Data!T32</f>
        <v>0</v>
      </c>
      <c r="N3">
        <f>Data!U32</f>
        <v>0</v>
      </c>
      <c r="O3">
        <f>Data!V32</f>
        <v>0</v>
      </c>
      <c r="P3">
        <f>Data!W32</f>
        <v>0</v>
      </c>
      <c r="Q3">
        <f>Data!X32</f>
        <v>0</v>
      </c>
      <c r="R3">
        <f>Data!Y32</f>
        <v>0</v>
      </c>
      <c r="S3">
        <f>Data!Z32</f>
        <v>0</v>
      </c>
      <c r="T3">
        <f>Data!AA32</f>
        <v>0</v>
      </c>
      <c r="U3">
        <f>Data!AB32</f>
        <v>0</v>
      </c>
      <c r="V3">
        <f>Data!AC32</f>
        <v>0</v>
      </c>
      <c r="W3">
        <f>Data!AD32</f>
        <v>0</v>
      </c>
      <c r="X3">
        <f>Data!AE32</f>
        <v>0</v>
      </c>
      <c r="Y3">
        <f>Data!AF32</f>
        <v>0</v>
      </c>
      <c r="Z3">
        <f>Data!AG32</f>
        <v>0</v>
      </c>
      <c r="AA3">
        <f>Data!AH32</f>
        <v>0</v>
      </c>
      <c r="AB3">
        <f>Data!AI32</f>
        <v>0</v>
      </c>
      <c r="AC3">
        <f>Data!AJ32</f>
        <v>0</v>
      </c>
      <c r="AD3">
        <f>Data!AK32</f>
        <v>0</v>
      </c>
      <c r="AE3">
        <f>Data!AL32</f>
        <v>0</v>
      </c>
      <c r="AF3">
        <f>Data!AM32</f>
        <v>0</v>
      </c>
      <c r="AG3">
        <f>Data!AN32</f>
        <v>0</v>
      </c>
      <c r="AH3">
        <f>Data!AO32</f>
        <v>0</v>
      </c>
      <c r="AI3">
        <f>Data!AP32</f>
        <v>0</v>
      </c>
      <c r="AJ3">
        <f>Data!AQ32</f>
        <v>0</v>
      </c>
      <c r="AK3">
        <f>Data!AR32</f>
        <v>0</v>
      </c>
      <c r="AL3">
        <f>Data!AS32</f>
        <v>0</v>
      </c>
      <c r="AM3">
        <f>Data!AT32</f>
        <v>0</v>
      </c>
      <c r="AN3">
        <f>Data!AU32</f>
        <v>0</v>
      </c>
      <c r="AO3">
        <f>Data!AV32</f>
        <v>0</v>
      </c>
      <c r="AP3">
        <f>Data!AW32</f>
        <v>0</v>
      </c>
      <c r="AQ3">
        <f>Data!AX32</f>
        <v>0</v>
      </c>
      <c r="AR3">
        <f>Data!AY32</f>
        <v>0</v>
      </c>
      <c r="AS3">
        <f>Data!AZ32</f>
        <v>0</v>
      </c>
      <c r="AT3">
        <f>Data!BA32</f>
        <v>0</v>
      </c>
      <c r="AU3">
        <f>Data!BB32</f>
        <v>0</v>
      </c>
      <c r="AV3">
        <f>Data!BC32</f>
        <v>0</v>
      </c>
      <c r="AW3">
        <f>Data!BD32</f>
        <v>0</v>
      </c>
      <c r="AX3">
        <f>Data!BE32</f>
        <v>0</v>
      </c>
      <c r="AY3">
        <f>Data!BF32</f>
        <v>0</v>
      </c>
    </row>
    <row r="4" spans="1:51" x14ac:dyDescent="0.75">
      <c r="A4" t="s">
        <v>3</v>
      </c>
      <c r="B4">
        <f>Data!I33</f>
        <v>0</v>
      </c>
      <c r="C4">
        <f>Data!J33</f>
        <v>0</v>
      </c>
      <c r="D4">
        <f>Data!K33</f>
        <v>0</v>
      </c>
      <c r="E4">
        <f>Data!L33</f>
        <v>0</v>
      </c>
      <c r="F4">
        <f>Data!M33</f>
        <v>0</v>
      </c>
      <c r="G4">
        <f>Data!N33</f>
        <v>0</v>
      </c>
      <c r="H4">
        <f>Data!O33</f>
        <v>0</v>
      </c>
      <c r="I4">
        <f>Data!P33</f>
        <v>0</v>
      </c>
      <c r="J4">
        <f>Data!Q33</f>
        <v>0</v>
      </c>
      <c r="K4">
        <f>Data!R33</f>
        <v>0</v>
      </c>
      <c r="L4">
        <f>Data!S33</f>
        <v>0</v>
      </c>
      <c r="M4">
        <f>Data!T33</f>
        <v>0</v>
      </c>
      <c r="N4">
        <f>Data!U33</f>
        <v>0</v>
      </c>
      <c r="O4">
        <f>Data!V33</f>
        <v>0</v>
      </c>
      <c r="P4">
        <f>Data!W33</f>
        <v>0</v>
      </c>
      <c r="Q4">
        <f>Data!X33</f>
        <v>0</v>
      </c>
      <c r="R4">
        <f>Data!Y33</f>
        <v>0</v>
      </c>
      <c r="S4">
        <f>Data!Z33</f>
        <v>0</v>
      </c>
      <c r="T4">
        <f>Data!AA33</f>
        <v>0</v>
      </c>
      <c r="U4">
        <f>Data!AB33</f>
        <v>0</v>
      </c>
      <c r="V4">
        <f>Data!AC33</f>
        <v>0</v>
      </c>
      <c r="W4">
        <f>Data!AD33</f>
        <v>0</v>
      </c>
      <c r="X4">
        <f>Data!AE33</f>
        <v>0</v>
      </c>
      <c r="Y4">
        <f>Data!AF33</f>
        <v>0</v>
      </c>
      <c r="Z4">
        <f>Data!AG33</f>
        <v>0</v>
      </c>
      <c r="AA4">
        <f>Data!AH33</f>
        <v>0</v>
      </c>
      <c r="AB4">
        <f>Data!AI33</f>
        <v>0</v>
      </c>
      <c r="AC4">
        <f>Data!AJ33</f>
        <v>0</v>
      </c>
      <c r="AD4">
        <f>Data!AK33</f>
        <v>0</v>
      </c>
      <c r="AE4">
        <f>Data!AL33</f>
        <v>0</v>
      </c>
      <c r="AF4">
        <f>Data!AM33</f>
        <v>0</v>
      </c>
      <c r="AG4">
        <f>Data!AN33</f>
        <v>0</v>
      </c>
      <c r="AH4">
        <f>Data!AO33</f>
        <v>0</v>
      </c>
      <c r="AI4">
        <f>Data!AP33</f>
        <v>0</v>
      </c>
      <c r="AJ4">
        <f>Data!AQ33</f>
        <v>0</v>
      </c>
      <c r="AK4">
        <f>Data!AR33</f>
        <v>0</v>
      </c>
      <c r="AL4">
        <f>Data!AS33</f>
        <v>0</v>
      </c>
      <c r="AM4">
        <f>Data!AT33</f>
        <v>0</v>
      </c>
      <c r="AN4">
        <f>Data!AU33</f>
        <v>0</v>
      </c>
      <c r="AO4">
        <f>Data!AV33</f>
        <v>0</v>
      </c>
      <c r="AP4">
        <f>Data!AW33</f>
        <v>0</v>
      </c>
      <c r="AQ4">
        <f>Data!AX33</f>
        <v>0</v>
      </c>
      <c r="AR4">
        <f>Data!AY33</f>
        <v>0</v>
      </c>
      <c r="AS4">
        <f>Data!AZ33</f>
        <v>0</v>
      </c>
      <c r="AT4">
        <f>Data!BA33</f>
        <v>0</v>
      </c>
      <c r="AU4">
        <f>Data!BB33</f>
        <v>0</v>
      </c>
      <c r="AV4">
        <f>Data!BC33</f>
        <v>0</v>
      </c>
      <c r="AW4">
        <f>Data!BD33</f>
        <v>0</v>
      </c>
      <c r="AX4">
        <f>Data!BE33</f>
        <v>0</v>
      </c>
      <c r="AY4">
        <f>Data!BF33</f>
        <v>0</v>
      </c>
    </row>
    <row r="5" spans="1:51" x14ac:dyDescent="0.75">
      <c r="A5" t="s">
        <v>4</v>
      </c>
      <c r="B5">
        <f>Data!I34</f>
        <v>1</v>
      </c>
      <c r="C5">
        <f>Data!J34</f>
        <v>1</v>
      </c>
      <c r="D5">
        <f>Data!K34</f>
        <v>1</v>
      </c>
      <c r="E5">
        <f>Data!L34</f>
        <v>1</v>
      </c>
      <c r="F5">
        <f>Data!M34</f>
        <v>1</v>
      </c>
      <c r="G5">
        <f>Data!N34</f>
        <v>1</v>
      </c>
      <c r="H5">
        <f>Data!O34</f>
        <v>1</v>
      </c>
      <c r="I5">
        <f>Data!P34</f>
        <v>1</v>
      </c>
      <c r="J5">
        <f>Data!Q34</f>
        <v>1</v>
      </c>
      <c r="K5">
        <f>Data!R34</f>
        <v>1</v>
      </c>
      <c r="L5">
        <f>Data!S34</f>
        <v>1</v>
      </c>
      <c r="M5">
        <f>Data!T34</f>
        <v>1</v>
      </c>
      <c r="N5">
        <f>Data!U34</f>
        <v>1</v>
      </c>
      <c r="O5">
        <f>Data!V34</f>
        <v>1</v>
      </c>
      <c r="P5">
        <f>Data!W34</f>
        <v>1</v>
      </c>
      <c r="Q5">
        <f>Data!X34</f>
        <v>1</v>
      </c>
      <c r="R5">
        <f>Data!Y34</f>
        <v>1</v>
      </c>
      <c r="S5">
        <f>Data!Z34</f>
        <v>1</v>
      </c>
      <c r="T5">
        <f>Data!AA34</f>
        <v>1</v>
      </c>
      <c r="U5">
        <f>Data!AB34</f>
        <v>1</v>
      </c>
      <c r="V5">
        <f>Data!AC34</f>
        <v>1</v>
      </c>
      <c r="W5">
        <f>Data!AD34</f>
        <v>1</v>
      </c>
      <c r="X5">
        <f>Data!AE34</f>
        <v>1</v>
      </c>
      <c r="Y5">
        <f>Data!AF34</f>
        <v>1</v>
      </c>
      <c r="Z5">
        <f>Data!AG34</f>
        <v>1</v>
      </c>
      <c r="AA5">
        <f>Data!AH34</f>
        <v>1</v>
      </c>
      <c r="AB5">
        <f>Data!AI34</f>
        <v>1</v>
      </c>
      <c r="AC5">
        <f>Data!AJ34</f>
        <v>1</v>
      </c>
      <c r="AD5">
        <f>Data!AK34</f>
        <v>1</v>
      </c>
      <c r="AE5">
        <f>Data!AL34</f>
        <v>1</v>
      </c>
      <c r="AF5">
        <f>Data!AM34</f>
        <v>1</v>
      </c>
      <c r="AG5">
        <f>Data!AN34</f>
        <v>1</v>
      </c>
      <c r="AH5">
        <f>Data!AO34</f>
        <v>1</v>
      </c>
      <c r="AI5">
        <f>Data!AP34</f>
        <v>1</v>
      </c>
      <c r="AJ5">
        <f>Data!AQ34</f>
        <v>1</v>
      </c>
      <c r="AK5">
        <f>Data!AR34</f>
        <v>1</v>
      </c>
      <c r="AL5">
        <f>Data!AS34</f>
        <v>1</v>
      </c>
      <c r="AM5">
        <f>Data!AT34</f>
        <v>1</v>
      </c>
      <c r="AN5">
        <f>Data!AU34</f>
        <v>1</v>
      </c>
      <c r="AO5">
        <f>Data!AV34</f>
        <v>1</v>
      </c>
      <c r="AP5">
        <f>Data!AW34</f>
        <v>1</v>
      </c>
      <c r="AQ5">
        <f>Data!AX34</f>
        <v>1</v>
      </c>
      <c r="AR5">
        <f>Data!AY34</f>
        <v>1</v>
      </c>
      <c r="AS5">
        <f>Data!AZ34</f>
        <v>1</v>
      </c>
      <c r="AT5">
        <f>Data!BA34</f>
        <v>1</v>
      </c>
      <c r="AU5">
        <f>Data!BB34</f>
        <v>1</v>
      </c>
      <c r="AV5">
        <f>Data!BC34</f>
        <v>1</v>
      </c>
      <c r="AW5">
        <f>Data!BD34</f>
        <v>1</v>
      </c>
      <c r="AX5">
        <f>Data!BE34</f>
        <v>1</v>
      </c>
      <c r="AY5">
        <f>Data!BF34</f>
        <v>1</v>
      </c>
    </row>
    <row r="6" spans="1:51" x14ac:dyDescent="0.75">
      <c r="A6" t="s">
        <v>5</v>
      </c>
      <c r="B6">
        <f>Data!I35</f>
        <v>0</v>
      </c>
      <c r="C6">
        <f>Data!J35</f>
        <v>0</v>
      </c>
      <c r="D6">
        <f>Data!K35</f>
        <v>0</v>
      </c>
      <c r="E6">
        <f>Data!L35</f>
        <v>0</v>
      </c>
      <c r="F6">
        <f>Data!M35</f>
        <v>0</v>
      </c>
      <c r="G6">
        <f>Data!N35</f>
        <v>0</v>
      </c>
      <c r="H6">
        <f>Data!O35</f>
        <v>0</v>
      </c>
      <c r="I6">
        <f>Data!P35</f>
        <v>0</v>
      </c>
      <c r="J6">
        <f>Data!Q35</f>
        <v>0</v>
      </c>
      <c r="K6">
        <f>Data!R35</f>
        <v>0</v>
      </c>
      <c r="L6">
        <f>Data!S35</f>
        <v>0</v>
      </c>
      <c r="M6">
        <f>Data!T35</f>
        <v>0</v>
      </c>
      <c r="N6">
        <f>Data!U35</f>
        <v>0</v>
      </c>
      <c r="O6">
        <f>Data!V35</f>
        <v>0</v>
      </c>
      <c r="P6">
        <f>Data!W35</f>
        <v>0</v>
      </c>
      <c r="Q6">
        <f>Data!X35</f>
        <v>0</v>
      </c>
      <c r="R6">
        <f>Data!Y35</f>
        <v>0</v>
      </c>
      <c r="S6">
        <f>Data!Z35</f>
        <v>0</v>
      </c>
      <c r="T6">
        <f>Data!AA35</f>
        <v>0</v>
      </c>
      <c r="U6">
        <f>Data!AB35</f>
        <v>0</v>
      </c>
      <c r="V6">
        <f>Data!AC35</f>
        <v>0</v>
      </c>
      <c r="W6">
        <f>Data!AD35</f>
        <v>0</v>
      </c>
      <c r="X6">
        <f>Data!AE35</f>
        <v>0</v>
      </c>
      <c r="Y6">
        <f>Data!AF35</f>
        <v>0</v>
      </c>
      <c r="Z6">
        <f>Data!AG35</f>
        <v>0</v>
      </c>
      <c r="AA6">
        <f>Data!AH35</f>
        <v>0</v>
      </c>
      <c r="AB6">
        <f>Data!AI35</f>
        <v>0</v>
      </c>
      <c r="AC6">
        <f>Data!AJ35</f>
        <v>0</v>
      </c>
      <c r="AD6">
        <f>Data!AK35</f>
        <v>0</v>
      </c>
      <c r="AE6">
        <f>Data!AL35</f>
        <v>0</v>
      </c>
      <c r="AF6">
        <f>Data!AM35</f>
        <v>0</v>
      </c>
      <c r="AG6">
        <f>Data!AN35</f>
        <v>0</v>
      </c>
      <c r="AH6">
        <f>Data!AO35</f>
        <v>0</v>
      </c>
      <c r="AI6">
        <f>Data!AP35</f>
        <v>0</v>
      </c>
      <c r="AJ6">
        <f>Data!AQ35</f>
        <v>0</v>
      </c>
      <c r="AK6">
        <f>Data!AR35</f>
        <v>0</v>
      </c>
      <c r="AL6">
        <f>Data!AS35</f>
        <v>0</v>
      </c>
      <c r="AM6">
        <f>Data!AT35</f>
        <v>0</v>
      </c>
      <c r="AN6">
        <f>Data!AU35</f>
        <v>0</v>
      </c>
      <c r="AO6">
        <f>Data!AV35</f>
        <v>0</v>
      </c>
      <c r="AP6">
        <f>Data!AW35</f>
        <v>0</v>
      </c>
      <c r="AQ6">
        <f>Data!AX35</f>
        <v>0</v>
      </c>
      <c r="AR6">
        <f>Data!AY35</f>
        <v>0</v>
      </c>
      <c r="AS6">
        <f>Data!AZ35</f>
        <v>0</v>
      </c>
      <c r="AT6">
        <f>Data!BA35</f>
        <v>0</v>
      </c>
      <c r="AU6">
        <f>Data!BB35</f>
        <v>0</v>
      </c>
      <c r="AV6">
        <f>Data!BC35</f>
        <v>0</v>
      </c>
      <c r="AW6">
        <f>Data!BD35</f>
        <v>0</v>
      </c>
      <c r="AX6">
        <f>Data!BE35</f>
        <v>0</v>
      </c>
      <c r="AY6">
        <f>Data!BF35</f>
        <v>0</v>
      </c>
    </row>
    <row r="7" spans="1:51" x14ac:dyDescent="0.75">
      <c r="A7" t="s">
        <v>31</v>
      </c>
      <c r="B7">
        <f>Data!I36</f>
        <v>0</v>
      </c>
      <c r="C7">
        <f>Data!J36</f>
        <v>0</v>
      </c>
      <c r="D7">
        <f>Data!K36</f>
        <v>0</v>
      </c>
      <c r="E7">
        <f>Data!L36</f>
        <v>0</v>
      </c>
      <c r="F7">
        <f>Data!M36</f>
        <v>0</v>
      </c>
      <c r="G7">
        <f>Data!N36</f>
        <v>0</v>
      </c>
      <c r="H7">
        <f>Data!O36</f>
        <v>0</v>
      </c>
      <c r="I7">
        <f>Data!P36</f>
        <v>0</v>
      </c>
      <c r="J7">
        <f>Data!Q36</f>
        <v>0</v>
      </c>
      <c r="K7">
        <f>Data!R36</f>
        <v>0</v>
      </c>
      <c r="L7">
        <f>Data!S36</f>
        <v>0</v>
      </c>
      <c r="M7">
        <f>Data!T36</f>
        <v>0</v>
      </c>
      <c r="N7">
        <f>Data!U36</f>
        <v>0</v>
      </c>
      <c r="O7">
        <f>Data!V36</f>
        <v>0</v>
      </c>
      <c r="P7">
        <f>Data!W36</f>
        <v>0</v>
      </c>
      <c r="Q7">
        <f>Data!X36</f>
        <v>0</v>
      </c>
      <c r="R7">
        <f>Data!Y36</f>
        <v>0</v>
      </c>
      <c r="S7">
        <f>Data!Z36</f>
        <v>0</v>
      </c>
      <c r="T7">
        <f>Data!AA36</f>
        <v>0</v>
      </c>
      <c r="U7">
        <f>Data!AB36</f>
        <v>0</v>
      </c>
      <c r="V7">
        <f>Data!AC36</f>
        <v>0</v>
      </c>
      <c r="W7">
        <f>Data!AD36</f>
        <v>0</v>
      </c>
      <c r="X7">
        <f>Data!AE36</f>
        <v>0</v>
      </c>
      <c r="Y7">
        <f>Data!AF36</f>
        <v>0</v>
      </c>
      <c r="Z7">
        <f>Data!AG36</f>
        <v>0</v>
      </c>
      <c r="AA7">
        <f>Data!AH36</f>
        <v>0</v>
      </c>
      <c r="AB7">
        <f>Data!AI36</f>
        <v>0</v>
      </c>
      <c r="AC7">
        <f>Data!AJ36</f>
        <v>0</v>
      </c>
      <c r="AD7">
        <f>Data!AK36</f>
        <v>0</v>
      </c>
      <c r="AE7">
        <f>Data!AL36</f>
        <v>0</v>
      </c>
      <c r="AF7">
        <f>Data!AM36</f>
        <v>0</v>
      </c>
      <c r="AG7">
        <f>Data!AN36</f>
        <v>0</v>
      </c>
      <c r="AH7">
        <f>Data!AO36</f>
        <v>0</v>
      </c>
      <c r="AI7">
        <f>Data!AP36</f>
        <v>0</v>
      </c>
      <c r="AJ7">
        <f>Data!AQ36</f>
        <v>0</v>
      </c>
      <c r="AK7">
        <f>Data!AR36</f>
        <v>0</v>
      </c>
      <c r="AL7">
        <f>Data!AS36</f>
        <v>0</v>
      </c>
      <c r="AM7">
        <f>Data!AT36</f>
        <v>0</v>
      </c>
      <c r="AN7">
        <f>Data!AU36</f>
        <v>0</v>
      </c>
      <c r="AO7">
        <f>Data!AV36</f>
        <v>0</v>
      </c>
      <c r="AP7">
        <f>Data!AW36</f>
        <v>0</v>
      </c>
      <c r="AQ7">
        <f>Data!AX36</f>
        <v>0</v>
      </c>
      <c r="AR7">
        <f>Data!AY36</f>
        <v>0</v>
      </c>
      <c r="AS7">
        <f>Data!AZ36</f>
        <v>0</v>
      </c>
      <c r="AT7">
        <f>Data!BA36</f>
        <v>0</v>
      </c>
      <c r="AU7">
        <f>Data!BB36</f>
        <v>0</v>
      </c>
      <c r="AV7">
        <f>Data!BC36</f>
        <v>0</v>
      </c>
      <c r="AW7">
        <f>Data!BD36</f>
        <v>0</v>
      </c>
      <c r="AX7">
        <f>Data!BE36</f>
        <v>0</v>
      </c>
      <c r="AY7">
        <f>Data!BF36</f>
        <v>0</v>
      </c>
    </row>
    <row r="8" spans="1:51" x14ac:dyDescent="0.75">
      <c r="A8" t="s">
        <v>32</v>
      </c>
      <c r="B8">
        <f>Data!I37</f>
        <v>0</v>
      </c>
      <c r="C8">
        <f>Data!J37</f>
        <v>0</v>
      </c>
      <c r="D8">
        <f>Data!K37</f>
        <v>0</v>
      </c>
      <c r="E8">
        <f>Data!L37</f>
        <v>0</v>
      </c>
      <c r="F8">
        <f>Data!M37</f>
        <v>0</v>
      </c>
      <c r="G8">
        <f>Data!N37</f>
        <v>0</v>
      </c>
      <c r="H8">
        <f>Data!O37</f>
        <v>0</v>
      </c>
      <c r="I8">
        <f>Data!P37</f>
        <v>0</v>
      </c>
      <c r="J8">
        <f>Data!Q37</f>
        <v>0</v>
      </c>
      <c r="K8">
        <f>Data!R37</f>
        <v>0</v>
      </c>
      <c r="L8">
        <f>Data!S37</f>
        <v>0</v>
      </c>
      <c r="M8">
        <f>Data!T37</f>
        <v>0</v>
      </c>
      <c r="N8">
        <f>Data!U37</f>
        <v>0</v>
      </c>
      <c r="O8">
        <f>Data!V37</f>
        <v>0</v>
      </c>
      <c r="P8">
        <f>Data!W37</f>
        <v>0</v>
      </c>
      <c r="Q8">
        <f>Data!X37</f>
        <v>0</v>
      </c>
      <c r="R8">
        <f>Data!Y37</f>
        <v>0</v>
      </c>
      <c r="S8">
        <f>Data!Z37</f>
        <v>0</v>
      </c>
      <c r="T8">
        <f>Data!AA37</f>
        <v>0</v>
      </c>
      <c r="U8">
        <f>Data!AB37</f>
        <v>0</v>
      </c>
      <c r="V8">
        <f>Data!AC37</f>
        <v>0</v>
      </c>
      <c r="W8">
        <f>Data!AD37</f>
        <v>0</v>
      </c>
      <c r="X8">
        <f>Data!AE37</f>
        <v>0</v>
      </c>
      <c r="Y8">
        <f>Data!AF37</f>
        <v>0</v>
      </c>
      <c r="Z8">
        <f>Data!AG37</f>
        <v>0</v>
      </c>
      <c r="AA8">
        <f>Data!AH37</f>
        <v>0</v>
      </c>
      <c r="AB8">
        <f>Data!AI37</f>
        <v>0</v>
      </c>
      <c r="AC8">
        <f>Data!AJ37</f>
        <v>0</v>
      </c>
      <c r="AD8">
        <f>Data!AK37</f>
        <v>0</v>
      </c>
      <c r="AE8">
        <f>Data!AL37</f>
        <v>0</v>
      </c>
      <c r="AF8">
        <f>Data!AM37</f>
        <v>0</v>
      </c>
      <c r="AG8">
        <f>Data!AN37</f>
        <v>0</v>
      </c>
      <c r="AH8">
        <f>Data!AO37</f>
        <v>0</v>
      </c>
      <c r="AI8">
        <f>Data!AP37</f>
        <v>0</v>
      </c>
      <c r="AJ8">
        <f>Data!AQ37</f>
        <v>0</v>
      </c>
      <c r="AK8">
        <f>Data!AR37</f>
        <v>0</v>
      </c>
      <c r="AL8">
        <f>Data!AS37</f>
        <v>0</v>
      </c>
      <c r="AM8">
        <f>Data!AT37</f>
        <v>0</v>
      </c>
      <c r="AN8">
        <f>Data!AU37</f>
        <v>0</v>
      </c>
      <c r="AO8">
        <f>Data!AV37</f>
        <v>0</v>
      </c>
      <c r="AP8">
        <f>Data!AW37</f>
        <v>0</v>
      </c>
      <c r="AQ8">
        <f>Data!AX37</f>
        <v>0</v>
      </c>
      <c r="AR8">
        <f>Data!AY37</f>
        <v>0</v>
      </c>
      <c r="AS8">
        <f>Data!AZ37</f>
        <v>0</v>
      </c>
      <c r="AT8">
        <f>Data!BA37</f>
        <v>0</v>
      </c>
      <c r="AU8">
        <f>Data!BB37</f>
        <v>0</v>
      </c>
      <c r="AV8">
        <f>Data!BC37</f>
        <v>0</v>
      </c>
      <c r="AW8">
        <f>Data!BD37</f>
        <v>0</v>
      </c>
      <c r="AX8">
        <f>Data!BE37</f>
        <v>0</v>
      </c>
      <c r="AY8">
        <f>Data!BF37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Y8"/>
  <sheetViews>
    <sheetView topLeftCell="Y1" workbookViewId="0">
      <selection activeCell="AY1" sqref="AY1"/>
    </sheetView>
  </sheetViews>
  <sheetFormatPr defaultColWidth="9.08984375" defaultRowHeight="14.75" x14ac:dyDescent="0.75"/>
  <cols>
    <col min="1" max="1" width="24.36328125" customWidth="1"/>
  </cols>
  <sheetData>
    <row r="1" spans="1:51" ht="29.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Data!I38</f>
        <v>0</v>
      </c>
      <c r="C2">
        <f>Data!J38</f>
        <v>0</v>
      </c>
      <c r="D2">
        <f>Data!K38</f>
        <v>0</v>
      </c>
      <c r="E2">
        <f>Data!L38</f>
        <v>0</v>
      </c>
      <c r="F2">
        <f>Data!M38</f>
        <v>0</v>
      </c>
      <c r="G2">
        <f>Data!N38</f>
        <v>0</v>
      </c>
      <c r="H2">
        <f>Data!O38</f>
        <v>0</v>
      </c>
      <c r="I2">
        <f>Data!P38</f>
        <v>0</v>
      </c>
      <c r="J2">
        <f>Data!Q38</f>
        <v>0</v>
      </c>
      <c r="K2">
        <f>Data!R38</f>
        <v>0</v>
      </c>
      <c r="L2">
        <f>Data!S38</f>
        <v>0</v>
      </c>
      <c r="M2">
        <f>Data!T38</f>
        <v>0</v>
      </c>
      <c r="N2">
        <f>Data!U38</f>
        <v>0</v>
      </c>
      <c r="O2">
        <f>Data!V38</f>
        <v>0</v>
      </c>
      <c r="P2">
        <f>Data!W38</f>
        <v>0</v>
      </c>
      <c r="Q2">
        <f>Data!X38</f>
        <v>0</v>
      </c>
      <c r="R2">
        <f>Data!Y38</f>
        <v>0</v>
      </c>
      <c r="S2">
        <f>Data!Z38</f>
        <v>0</v>
      </c>
      <c r="T2">
        <f>Data!AA38</f>
        <v>0</v>
      </c>
      <c r="U2">
        <f>Data!AB38</f>
        <v>0</v>
      </c>
      <c r="V2">
        <f>Data!AC38</f>
        <v>0</v>
      </c>
      <c r="W2">
        <f>Data!AD38</f>
        <v>0</v>
      </c>
      <c r="X2">
        <f>Data!AE38</f>
        <v>0</v>
      </c>
      <c r="Y2">
        <f>Data!AF38</f>
        <v>0</v>
      </c>
      <c r="Z2">
        <f>Data!AG38</f>
        <v>0</v>
      </c>
      <c r="AA2">
        <f>Data!AH38</f>
        <v>0</v>
      </c>
      <c r="AB2">
        <f>Data!AI38</f>
        <v>0</v>
      </c>
      <c r="AC2">
        <f>Data!AJ38</f>
        <v>0</v>
      </c>
      <c r="AD2">
        <f>Data!AK38</f>
        <v>0</v>
      </c>
      <c r="AE2">
        <f>Data!AL38</f>
        <v>0</v>
      </c>
      <c r="AF2">
        <f>Data!AM38</f>
        <v>0</v>
      </c>
      <c r="AG2">
        <f>Data!AN38</f>
        <v>0</v>
      </c>
      <c r="AH2">
        <f>Data!AO38</f>
        <v>0</v>
      </c>
      <c r="AI2">
        <f>Data!AP38</f>
        <v>0</v>
      </c>
      <c r="AJ2">
        <f>Data!AQ38</f>
        <v>0</v>
      </c>
      <c r="AK2">
        <f>Data!AR38</f>
        <v>0</v>
      </c>
      <c r="AL2">
        <f>Data!AS38</f>
        <v>0</v>
      </c>
      <c r="AM2">
        <f>Data!AT38</f>
        <v>0</v>
      </c>
      <c r="AN2">
        <f>Data!AU38</f>
        <v>0</v>
      </c>
      <c r="AO2">
        <f>Data!AV38</f>
        <v>0</v>
      </c>
      <c r="AP2">
        <f>Data!AW38</f>
        <v>0</v>
      </c>
      <c r="AQ2">
        <f>Data!AX38</f>
        <v>0</v>
      </c>
      <c r="AR2">
        <f>Data!AY38</f>
        <v>0</v>
      </c>
      <c r="AS2">
        <f>Data!AZ38</f>
        <v>0</v>
      </c>
      <c r="AT2">
        <f>Data!BA38</f>
        <v>0</v>
      </c>
      <c r="AU2">
        <f>Data!BB38</f>
        <v>0</v>
      </c>
      <c r="AV2">
        <f>Data!BC38</f>
        <v>0</v>
      </c>
      <c r="AW2">
        <f>Data!BD38</f>
        <v>0</v>
      </c>
      <c r="AX2">
        <f>Data!BE38</f>
        <v>0</v>
      </c>
      <c r="AY2">
        <f>Data!BF38</f>
        <v>0</v>
      </c>
    </row>
    <row r="3" spans="1:51" x14ac:dyDescent="0.75">
      <c r="A3" t="s">
        <v>2</v>
      </c>
      <c r="B3">
        <f>Data!I39</f>
        <v>0</v>
      </c>
      <c r="C3">
        <f>Data!J39</f>
        <v>0</v>
      </c>
      <c r="D3">
        <f>Data!K39</f>
        <v>0</v>
      </c>
      <c r="E3">
        <f>Data!L39</f>
        <v>0</v>
      </c>
      <c r="F3">
        <f>Data!M39</f>
        <v>0</v>
      </c>
      <c r="G3">
        <f>Data!N39</f>
        <v>0</v>
      </c>
      <c r="H3">
        <f>Data!O39</f>
        <v>0</v>
      </c>
      <c r="I3">
        <f>Data!P39</f>
        <v>0</v>
      </c>
      <c r="J3">
        <f>Data!Q39</f>
        <v>0</v>
      </c>
      <c r="K3">
        <f>Data!R39</f>
        <v>0</v>
      </c>
      <c r="L3">
        <f>Data!S39</f>
        <v>0</v>
      </c>
      <c r="M3">
        <f>Data!T39</f>
        <v>0</v>
      </c>
      <c r="N3">
        <f>Data!U39</f>
        <v>0</v>
      </c>
      <c r="O3">
        <f>Data!V39</f>
        <v>0</v>
      </c>
      <c r="P3">
        <f>Data!W39</f>
        <v>0</v>
      </c>
      <c r="Q3">
        <f>Data!X39</f>
        <v>0</v>
      </c>
      <c r="R3">
        <f>Data!Y39</f>
        <v>0</v>
      </c>
      <c r="S3">
        <f>Data!Z39</f>
        <v>0</v>
      </c>
      <c r="T3">
        <f>Data!AA39</f>
        <v>0</v>
      </c>
      <c r="U3">
        <f>Data!AB39</f>
        <v>0</v>
      </c>
      <c r="V3">
        <f>Data!AC39</f>
        <v>0</v>
      </c>
      <c r="W3">
        <f>Data!AD39</f>
        <v>0</v>
      </c>
      <c r="X3">
        <f>Data!AE39</f>
        <v>0</v>
      </c>
      <c r="Y3">
        <f>Data!AF39</f>
        <v>0</v>
      </c>
      <c r="Z3">
        <f>Data!AG39</f>
        <v>0</v>
      </c>
      <c r="AA3">
        <f>Data!AH39</f>
        <v>0</v>
      </c>
      <c r="AB3">
        <f>Data!AI39</f>
        <v>0</v>
      </c>
      <c r="AC3">
        <f>Data!AJ39</f>
        <v>0</v>
      </c>
      <c r="AD3">
        <f>Data!AK39</f>
        <v>0</v>
      </c>
      <c r="AE3">
        <f>Data!AL39</f>
        <v>0</v>
      </c>
      <c r="AF3">
        <f>Data!AM39</f>
        <v>0</v>
      </c>
      <c r="AG3">
        <f>Data!AN39</f>
        <v>0</v>
      </c>
      <c r="AH3">
        <f>Data!AO39</f>
        <v>0</v>
      </c>
      <c r="AI3">
        <f>Data!AP39</f>
        <v>0</v>
      </c>
      <c r="AJ3">
        <f>Data!AQ39</f>
        <v>0</v>
      </c>
      <c r="AK3">
        <f>Data!AR39</f>
        <v>0</v>
      </c>
      <c r="AL3">
        <f>Data!AS39</f>
        <v>0</v>
      </c>
      <c r="AM3">
        <f>Data!AT39</f>
        <v>0</v>
      </c>
      <c r="AN3">
        <f>Data!AU39</f>
        <v>0</v>
      </c>
      <c r="AO3">
        <f>Data!AV39</f>
        <v>0</v>
      </c>
      <c r="AP3">
        <f>Data!AW39</f>
        <v>0</v>
      </c>
      <c r="AQ3">
        <f>Data!AX39</f>
        <v>0</v>
      </c>
      <c r="AR3">
        <f>Data!AY39</f>
        <v>0</v>
      </c>
      <c r="AS3">
        <f>Data!AZ39</f>
        <v>0</v>
      </c>
      <c r="AT3">
        <f>Data!BA39</f>
        <v>0</v>
      </c>
      <c r="AU3">
        <f>Data!BB39</f>
        <v>0</v>
      </c>
      <c r="AV3">
        <f>Data!BC39</f>
        <v>0</v>
      </c>
      <c r="AW3">
        <f>Data!BD39</f>
        <v>0</v>
      </c>
      <c r="AX3">
        <f>Data!BE39</f>
        <v>0</v>
      </c>
      <c r="AY3">
        <f>Data!BF39</f>
        <v>0</v>
      </c>
    </row>
    <row r="4" spans="1:51" x14ac:dyDescent="0.75">
      <c r="A4" t="s">
        <v>3</v>
      </c>
      <c r="B4">
        <f>Data!I40</f>
        <v>0</v>
      </c>
      <c r="C4">
        <f>Data!J40</f>
        <v>0</v>
      </c>
      <c r="D4">
        <f>Data!K40</f>
        <v>0</v>
      </c>
      <c r="E4">
        <f>Data!L40</f>
        <v>0</v>
      </c>
      <c r="F4">
        <f>Data!M40</f>
        <v>0</v>
      </c>
      <c r="G4">
        <f>Data!N40</f>
        <v>0</v>
      </c>
      <c r="H4">
        <f>Data!O40</f>
        <v>0</v>
      </c>
      <c r="I4">
        <f>Data!P40</f>
        <v>0</v>
      </c>
      <c r="J4">
        <f>Data!Q40</f>
        <v>0</v>
      </c>
      <c r="K4">
        <f>Data!R40</f>
        <v>0</v>
      </c>
      <c r="L4">
        <f>Data!S40</f>
        <v>0</v>
      </c>
      <c r="M4">
        <f>Data!T40</f>
        <v>0</v>
      </c>
      <c r="N4">
        <f>Data!U40</f>
        <v>0</v>
      </c>
      <c r="O4">
        <f>Data!V40</f>
        <v>0</v>
      </c>
      <c r="P4">
        <f>Data!W40</f>
        <v>0</v>
      </c>
      <c r="Q4">
        <f>Data!X40</f>
        <v>0</v>
      </c>
      <c r="R4">
        <f>Data!Y40</f>
        <v>0</v>
      </c>
      <c r="S4">
        <f>Data!Z40</f>
        <v>0</v>
      </c>
      <c r="T4">
        <f>Data!AA40</f>
        <v>0</v>
      </c>
      <c r="U4">
        <f>Data!AB40</f>
        <v>0</v>
      </c>
      <c r="V4">
        <f>Data!AC40</f>
        <v>0</v>
      </c>
      <c r="W4">
        <f>Data!AD40</f>
        <v>0</v>
      </c>
      <c r="X4">
        <f>Data!AE40</f>
        <v>0</v>
      </c>
      <c r="Y4">
        <f>Data!AF40</f>
        <v>0</v>
      </c>
      <c r="Z4">
        <f>Data!AG40</f>
        <v>0</v>
      </c>
      <c r="AA4">
        <f>Data!AH40</f>
        <v>0</v>
      </c>
      <c r="AB4">
        <f>Data!AI40</f>
        <v>0</v>
      </c>
      <c r="AC4">
        <f>Data!AJ40</f>
        <v>0</v>
      </c>
      <c r="AD4">
        <f>Data!AK40</f>
        <v>0</v>
      </c>
      <c r="AE4">
        <f>Data!AL40</f>
        <v>0</v>
      </c>
      <c r="AF4">
        <f>Data!AM40</f>
        <v>0</v>
      </c>
      <c r="AG4">
        <f>Data!AN40</f>
        <v>0</v>
      </c>
      <c r="AH4">
        <f>Data!AO40</f>
        <v>0</v>
      </c>
      <c r="AI4">
        <f>Data!AP40</f>
        <v>0</v>
      </c>
      <c r="AJ4">
        <f>Data!AQ40</f>
        <v>0</v>
      </c>
      <c r="AK4">
        <f>Data!AR40</f>
        <v>0</v>
      </c>
      <c r="AL4">
        <f>Data!AS40</f>
        <v>0</v>
      </c>
      <c r="AM4">
        <f>Data!AT40</f>
        <v>0</v>
      </c>
      <c r="AN4">
        <f>Data!AU40</f>
        <v>0</v>
      </c>
      <c r="AO4">
        <f>Data!AV40</f>
        <v>0</v>
      </c>
      <c r="AP4">
        <f>Data!AW40</f>
        <v>0</v>
      </c>
      <c r="AQ4">
        <f>Data!AX40</f>
        <v>0</v>
      </c>
      <c r="AR4">
        <f>Data!AY40</f>
        <v>0</v>
      </c>
      <c r="AS4">
        <f>Data!AZ40</f>
        <v>0</v>
      </c>
      <c r="AT4">
        <f>Data!BA40</f>
        <v>0</v>
      </c>
      <c r="AU4">
        <f>Data!BB40</f>
        <v>0</v>
      </c>
      <c r="AV4">
        <f>Data!BC40</f>
        <v>0</v>
      </c>
      <c r="AW4">
        <f>Data!BD40</f>
        <v>0</v>
      </c>
      <c r="AX4">
        <f>Data!BE40</f>
        <v>0</v>
      </c>
      <c r="AY4">
        <f>Data!BF40</f>
        <v>0</v>
      </c>
    </row>
    <row r="5" spans="1:51" x14ac:dyDescent="0.75">
      <c r="A5" t="s">
        <v>4</v>
      </c>
      <c r="B5">
        <f>Data!I41</f>
        <v>1</v>
      </c>
      <c r="C5">
        <f>Data!J41</f>
        <v>1</v>
      </c>
      <c r="D5">
        <f>Data!K41</f>
        <v>1</v>
      </c>
      <c r="E5">
        <f>Data!L41</f>
        <v>1</v>
      </c>
      <c r="F5">
        <f>Data!M41</f>
        <v>1</v>
      </c>
      <c r="G5">
        <f>Data!N41</f>
        <v>1</v>
      </c>
      <c r="H5">
        <f>Data!O41</f>
        <v>1</v>
      </c>
      <c r="I5">
        <f>Data!P41</f>
        <v>1</v>
      </c>
      <c r="J5">
        <f>Data!Q41</f>
        <v>1</v>
      </c>
      <c r="K5">
        <f>Data!R41</f>
        <v>1</v>
      </c>
      <c r="L5">
        <f>Data!S41</f>
        <v>1</v>
      </c>
      <c r="M5">
        <f>Data!T41</f>
        <v>1</v>
      </c>
      <c r="N5">
        <f>Data!U41</f>
        <v>1</v>
      </c>
      <c r="O5">
        <f>Data!V41</f>
        <v>1</v>
      </c>
      <c r="P5">
        <f>Data!W41</f>
        <v>1</v>
      </c>
      <c r="Q5">
        <f>Data!X41</f>
        <v>1</v>
      </c>
      <c r="R5">
        <f>Data!Y41</f>
        <v>1</v>
      </c>
      <c r="S5">
        <f>Data!Z41</f>
        <v>1</v>
      </c>
      <c r="T5">
        <f>Data!AA41</f>
        <v>1</v>
      </c>
      <c r="U5">
        <f>Data!AB41</f>
        <v>1</v>
      </c>
      <c r="V5">
        <f>Data!AC41</f>
        <v>1</v>
      </c>
      <c r="W5">
        <f>Data!AD41</f>
        <v>1</v>
      </c>
      <c r="X5">
        <f>Data!AE41</f>
        <v>1</v>
      </c>
      <c r="Y5">
        <f>Data!AF41</f>
        <v>1</v>
      </c>
      <c r="Z5">
        <f>Data!AG41</f>
        <v>1</v>
      </c>
      <c r="AA5">
        <f>Data!AH41</f>
        <v>1</v>
      </c>
      <c r="AB5">
        <f>Data!AI41</f>
        <v>1</v>
      </c>
      <c r="AC5">
        <f>Data!AJ41</f>
        <v>1</v>
      </c>
      <c r="AD5">
        <f>Data!AK41</f>
        <v>1</v>
      </c>
      <c r="AE5">
        <f>Data!AL41</f>
        <v>1</v>
      </c>
      <c r="AF5">
        <f>Data!AM41</f>
        <v>1</v>
      </c>
      <c r="AG5">
        <f>Data!AN41</f>
        <v>1</v>
      </c>
      <c r="AH5">
        <f>Data!AO41</f>
        <v>1</v>
      </c>
      <c r="AI5">
        <f>Data!AP41</f>
        <v>1</v>
      </c>
      <c r="AJ5">
        <f>Data!AQ41</f>
        <v>1</v>
      </c>
      <c r="AK5">
        <f>Data!AR41</f>
        <v>1</v>
      </c>
      <c r="AL5">
        <f>Data!AS41</f>
        <v>1</v>
      </c>
      <c r="AM5">
        <f>Data!AT41</f>
        <v>1</v>
      </c>
      <c r="AN5">
        <f>Data!AU41</f>
        <v>1</v>
      </c>
      <c r="AO5">
        <f>Data!AV41</f>
        <v>1</v>
      </c>
      <c r="AP5">
        <f>Data!AW41</f>
        <v>1</v>
      </c>
      <c r="AQ5">
        <f>Data!AX41</f>
        <v>1</v>
      </c>
      <c r="AR5">
        <f>Data!AY41</f>
        <v>1</v>
      </c>
      <c r="AS5">
        <f>Data!AZ41</f>
        <v>1</v>
      </c>
      <c r="AT5">
        <f>Data!BA41</f>
        <v>1</v>
      </c>
      <c r="AU5">
        <f>Data!BB41</f>
        <v>1</v>
      </c>
      <c r="AV5">
        <f>Data!BC41</f>
        <v>1</v>
      </c>
      <c r="AW5">
        <f>Data!BD41</f>
        <v>1</v>
      </c>
      <c r="AX5">
        <f>Data!BE41</f>
        <v>1</v>
      </c>
      <c r="AY5">
        <f>Data!BF41</f>
        <v>1</v>
      </c>
    </row>
    <row r="6" spans="1:51" x14ac:dyDescent="0.75">
      <c r="A6" t="s">
        <v>5</v>
      </c>
      <c r="B6">
        <f>Data!I42</f>
        <v>0</v>
      </c>
      <c r="C6">
        <f>Data!J42</f>
        <v>0</v>
      </c>
      <c r="D6">
        <f>Data!K42</f>
        <v>0</v>
      </c>
      <c r="E6">
        <f>Data!L42</f>
        <v>0</v>
      </c>
      <c r="F6">
        <f>Data!M42</f>
        <v>0</v>
      </c>
      <c r="G6">
        <f>Data!N42</f>
        <v>0</v>
      </c>
      <c r="H6">
        <f>Data!O42</f>
        <v>0</v>
      </c>
      <c r="I6">
        <f>Data!P42</f>
        <v>0</v>
      </c>
      <c r="J6">
        <f>Data!Q42</f>
        <v>0</v>
      </c>
      <c r="K6">
        <f>Data!R42</f>
        <v>0</v>
      </c>
      <c r="L6">
        <f>Data!S42</f>
        <v>0</v>
      </c>
      <c r="M6">
        <f>Data!T42</f>
        <v>0</v>
      </c>
      <c r="N6">
        <f>Data!U42</f>
        <v>0</v>
      </c>
      <c r="O6">
        <f>Data!V42</f>
        <v>0</v>
      </c>
      <c r="P6">
        <f>Data!W42</f>
        <v>0</v>
      </c>
      <c r="Q6">
        <f>Data!X42</f>
        <v>0</v>
      </c>
      <c r="R6">
        <f>Data!Y42</f>
        <v>0</v>
      </c>
      <c r="S6">
        <f>Data!Z42</f>
        <v>0</v>
      </c>
      <c r="T6">
        <f>Data!AA42</f>
        <v>0</v>
      </c>
      <c r="U6">
        <f>Data!AB42</f>
        <v>0</v>
      </c>
      <c r="V6">
        <f>Data!AC42</f>
        <v>0</v>
      </c>
      <c r="W6">
        <f>Data!AD42</f>
        <v>0</v>
      </c>
      <c r="X6">
        <f>Data!AE42</f>
        <v>0</v>
      </c>
      <c r="Y6">
        <f>Data!AF42</f>
        <v>0</v>
      </c>
      <c r="Z6">
        <f>Data!AG42</f>
        <v>0</v>
      </c>
      <c r="AA6">
        <f>Data!AH42</f>
        <v>0</v>
      </c>
      <c r="AB6">
        <f>Data!AI42</f>
        <v>0</v>
      </c>
      <c r="AC6">
        <f>Data!AJ42</f>
        <v>0</v>
      </c>
      <c r="AD6">
        <f>Data!AK42</f>
        <v>0</v>
      </c>
      <c r="AE6">
        <f>Data!AL42</f>
        <v>0</v>
      </c>
      <c r="AF6">
        <f>Data!AM42</f>
        <v>0</v>
      </c>
      <c r="AG6">
        <f>Data!AN42</f>
        <v>0</v>
      </c>
      <c r="AH6">
        <f>Data!AO42</f>
        <v>0</v>
      </c>
      <c r="AI6">
        <f>Data!AP42</f>
        <v>0</v>
      </c>
      <c r="AJ6">
        <f>Data!AQ42</f>
        <v>0</v>
      </c>
      <c r="AK6">
        <f>Data!AR42</f>
        <v>0</v>
      </c>
      <c r="AL6">
        <f>Data!AS42</f>
        <v>0</v>
      </c>
      <c r="AM6">
        <f>Data!AT42</f>
        <v>0</v>
      </c>
      <c r="AN6">
        <f>Data!AU42</f>
        <v>0</v>
      </c>
      <c r="AO6">
        <f>Data!AV42</f>
        <v>0</v>
      </c>
      <c r="AP6">
        <f>Data!AW42</f>
        <v>0</v>
      </c>
      <c r="AQ6">
        <f>Data!AX42</f>
        <v>0</v>
      </c>
      <c r="AR6">
        <f>Data!AY42</f>
        <v>0</v>
      </c>
      <c r="AS6">
        <f>Data!AZ42</f>
        <v>0</v>
      </c>
      <c r="AT6">
        <f>Data!BA42</f>
        <v>0</v>
      </c>
      <c r="AU6">
        <f>Data!BB42</f>
        <v>0</v>
      </c>
      <c r="AV6">
        <f>Data!BC42</f>
        <v>0</v>
      </c>
      <c r="AW6">
        <f>Data!BD42</f>
        <v>0</v>
      </c>
      <c r="AX6">
        <f>Data!BE42</f>
        <v>0</v>
      </c>
      <c r="AY6">
        <f>Data!BF42</f>
        <v>0</v>
      </c>
    </row>
    <row r="7" spans="1:51" x14ac:dyDescent="0.75">
      <c r="A7" t="s">
        <v>31</v>
      </c>
      <c r="B7">
        <f>Data!I43</f>
        <v>0</v>
      </c>
      <c r="C7">
        <f>Data!J43</f>
        <v>0</v>
      </c>
      <c r="D7">
        <f>Data!K43</f>
        <v>0</v>
      </c>
      <c r="E7">
        <f>Data!L43</f>
        <v>0</v>
      </c>
      <c r="F7">
        <f>Data!M43</f>
        <v>0</v>
      </c>
      <c r="G7">
        <f>Data!N43</f>
        <v>0</v>
      </c>
      <c r="H7">
        <f>Data!O43</f>
        <v>0</v>
      </c>
      <c r="I7">
        <f>Data!P43</f>
        <v>0</v>
      </c>
      <c r="J7">
        <f>Data!Q43</f>
        <v>0</v>
      </c>
      <c r="K7">
        <f>Data!R43</f>
        <v>0</v>
      </c>
      <c r="L7">
        <f>Data!S43</f>
        <v>0</v>
      </c>
      <c r="M7">
        <f>Data!T43</f>
        <v>0</v>
      </c>
      <c r="N7">
        <f>Data!U43</f>
        <v>0</v>
      </c>
      <c r="O7">
        <f>Data!V43</f>
        <v>0</v>
      </c>
      <c r="P7">
        <f>Data!W43</f>
        <v>0</v>
      </c>
      <c r="Q7">
        <f>Data!X43</f>
        <v>0</v>
      </c>
      <c r="R7">
        <f>Data!Y43</f>
        <v>0</v>
      </c>
      <c r="S7">
        <f>Data!Z43</f>
        <v>0</v>
      </c>
      <c r="T7">
        <f>Data!AA43</f>
        <v>0</v>
      </c>
      <c r="U7">
        <f>Data!AB43</f>
        <v>0</v>
      </c>
      <c r="V7">
        <f>Data!AC43</f>
        <v>0</v>
      </c>
      <c r="W7">
        <f>Data!AD43</f>
        <v>0</v>
      </c>
      <c r="X7">
        <f>Data!AE43</f>
        <v>0</v>
      </c>
      <c r="Y7">
        <f>Data!AF43</f>
        <v>0</v>
      </c>
      <c r="Z7">
        <f>Data!AG43</f>
        <v>0</v>
      </c>
      <c r="AA7">
        <f>Data!AH43</f>
        <v>0</v>
      </c>
      <c r="AB7">
        <f>Data!AI43</f>
        <v>0</v>
      </c>
      <c r="AC7">
        <f>Data!AJ43</f>
        <v>0</v>
      </c>
      <c r="AD7">
        <f>Data!AK43</f>
        <v>0</v>
      </c>
      <c r="AE7">
        <f>Data!AL43</f>
        <v>0</v>
      </c>
      <c r="AF7">
        <f>Data!AM43</f>
        <v>0</v>
      </c>
      <c r="AG7">
        <f>Data!AN43</f>
        <v>0</v>
      </c>
      <c r="AH7">
        <f>Data!AO43</f>
        <v>0</v>
      </c>
      <c r="AI7">
        <f>Data!AP43</f>
        <v>0</v>
      </c>
      <c r="AJ7">
        <f>Data!AQ43</f>
        <v>0</v>
      </c>
      <c r="AK7">
        <f>Data!AR43</f>
        <v>0</v>
      </c>
      <c r="AL7">
        <f>Data!AS43</f>
        <v>0</v>
      </c>
      <c r="AM7">
        <f>Data!AT43</f>
        <v>0</v>
      </c>
      <c r="AN7">
        <f>Data!AU43</f>
        <v>0</v>
      </c>
      <c r="AO7">
        <f>Data!AV43</f>
        <v>0</v>
      </c>
      <c r="AP7">
        <f>Data!AW43</f>
        <v>0</v>
      </c>
      <c r="AQ7">
        <f>Data!AX43</f>
        <v>0</v>
      </c>
      <c r="AR7">
        <f>Data!AY43</f>
        <v>0</v>
      </c>
      <c r="AS7">
        <f>Data!AZ43</f>
        <v>0</v>
      </c>
      <c r="AT7">
        <f>Data!BA43</f>
        <v>0</v>
      </c>
      <c r="AU7">
        <f>Data!BB43</f>
        <v>0</v>
      </c>
      <c r="AV7">
        <f>Data!BC43</f>
        <v>0</v>
      </c>
      <c r="AW7">
        <f>Data!BD43</f>
        <v>0</v>
      </c>
      <c r="AX7">
        <f>Data!BE43</f>
        <v>0</v>
      </c>
      <c r="AY7">
        <f>Data!BF43</f>
        <v>0</v>
      </c>
    </row>
    <row r="8" spans="1:51" x14ac:dyDescent="0.75">
      <c r="A8" t="s">
        <v>32</v>
      </c>
      <c r="B8">
        <f>Data!I44</f>
        <v>0</v>
      </c>
      <c r="C8">
        <f>Data!J44</f>
        <v>0</v>
      </c>
      <c r="D8">
        <f>Data!K44</f>
        <v>0</v>
      </c>
      <c r="E8">
        <f>Data!L44</f>
        <v>0</v>
      </c>
      <c r="F8">
        <f>Data!M44</f>
        <v>0</v>
      </c>
      <c r="G8">
        <f>Data!N44</f>
        <v>0</v>
      </c>
      <c r="H8">
        <f>Data!O44</f>
        <v>0</v>
      </c>
      <c r="I8">
        <f>Data!P44</f>
        <v>0</v>
      </c>
      <c r="J8">
        <f>Data!Q44</f>
        <v>0</v>
      </c>
      <c r="K8">
        <f>Data!R44</f>
        <v>0</v>
      </c>
      <c r="L8">
        <f>Data!S44</f>
        <v>0</v>
      </c>
      <c r="M8">
        <f>Data!T44</f>
        <v>0</v>
      </c>
      <c r="N8">
        <f>Data!U44</f>
        <v>0</v>
      </c>
      <c r="O8">
        <f>Data!V44</f>
        <v>0</v>
      </c>
      <c r="P8">
        <f>Data!W44</f>
        <v>0</v>
      </c>
      <c r="Q8">
        <f>Data!X44</f>
        <v>0</v>
      </c>
      <c r="R8">
        <f>Data!Y44</f>
        <v>0</v>
      </c>
      <c r="S8">
        <f>Data!Z44</f>
        <v>0</v>
      </c>
      <c r="T8">
        <f>Data!AA44</f>
        <v>0</v>
      </c>
      <c r="U8">
        <f>Data!AB44</f>
        <v>0</v>
      </c>
      <c r="V8">
        <f>Data!AC44</f>
        <v>0</v>
      </c>
      <c r="W8">
        <f>Data!AD44</f>
        <v>0</v>
      </c>
      <c r="X8">
        <f>Data!AE44</f>
        <v>0</v>
      </c>
      <c r="Y8">
        <f>Data!AF44</f>
        <v>0</v>
      </c>
      <c r="Z8">
        <f>Data!AG44</f>
        <v>0</v>
      </c>
      <c r="AA8">
        <f>Data!AH44</f>
        <v>0</v>
      </c>
      <c r="AB8">
        <f>Data!AI44</f>
        <v>0</v>
      </c>
      <c r="AC8">
        <f>Data!AJ44</f>
        <v>0</v>
      </c>
      <c r="AD8">
        <f>Data!AK44</f>
        <v>0</v>
      </c>
      <c r="AE8">
        <f>Data!AL44</f>
        <v>0</v>
      </c>
      <c r="AF8">
        <f>Data!AM44</f>
        <v>0</v>
      </c>
      <c r="AG8">
        <f>Data!AN44</f>
        <v>0</v>
      </c>
      <c r="AH8">
        <f>Data!AO44</f>
        <v>0</v>
      </c>
      <c r="AI8">
        <f>Data!AP44</f>
        <v>0</v>
      </c>
      <c r="AJ8">
        <f>Data!AQ44</f>
        <v>0</v>
      </c>
      <c r="AK8">
        <f>Data!AR44</f>
        <v>0</v>
      </c>
      <c r="AL8">
        <f>Data!AS44</f>
        <v>0</v>
      </c>
      <c r="AM8">
        <f>Data!AT44</f>
        <v>0</v>
      </c>
      <c r="AN8">
        <f>Data!AU44</f>
        <v>0</v>
      </c>
      <c r="AO8">
        <f>Data!AV44</f>
        <v>0</v>
      </c>
      <c r="AP8">
        <f>Data!AW44</f>
        <v>0</v>
      </c>
      <c r="AQ8">
        <f>Data!AX44</f>
        <v>0</v>
      </c>
      <c r="AR8">
        <f>Data!AY44</f>
        <v>0</v>
      </c>
      <c r="AS8">
        <f>Data!AZ44</f>
        <v>0</v>
      </c>
      <c r="AT8">
        <f>Data!BA44</f>
        <v>0</v>
      </c>
      <c r="AU8">
        <f>Data!BB44</f>
        <v>0</v>
      </c>
      <c r="AV8">
        <f>Data!BC44</f>
        <v>0</v>
      </c>
      <c r="AW8">
        <f>Data!BD44</f>
        <v>0</v>
      </c>
      <c r="AX8">
        <f>Data!BE44</f>
        <v>0</v>
      </c>
      <c r="AY8">
        <f>Data!BF44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Y8"/>
  <sheetViews>
    <sheetView workbookViewId="0"/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Data!I45</f>
        <v>0</v>
      </c>
      <c r="C2">
        <f>Data!J45</f>
        <v>0</v>
      </c>
      <c r="D2">
        <f>Data!K45</f>
        <v>0</v>
      </c>
      <c r="E2">
        <f>Data!L45</f>
        <v>0</v>
      </c>
      <c r="F2">
        <f>Data!M45</f>
        <v>0</v>
      </c>
      <c r="G2">
        <f>Data!N45</f>
        <v>0</v>
      </c>
      <c r="H2">
        <f>Data!O45</f>
        <v>0</v>
      </c>
      <c r="I2">
        <f>Data!P45</f>
        <v>0</v>
      </c>
      <c r="J2">
        <f>Data!Q45</f>
        <v>0</v>
      </c>
      <c r="K2">
        <f>Data!R45</f>
        <v>0</v>
      </c>
      <c r="L2">
        <f>Data!S45</f>
        <v>0</v>
      </c>
      <c r="M2">
        <f>Data!T45</f>
        <v>0</v>
      </c>
      <c r="N2">
        <f>Data!U45</f>
        <v>0</v>
      </c>
      <c r="O2">
        <f>Data!V45</f>
        <v>0</v>
      </c>
      <c r="P2">
        <f>Data!W45</f>
        <v>0</v>
      </c>
      <c r="Q2">
        <f>Data!X45</f>
        <v>0</v>
      </c>
      <c r="R2">
        <f>Data!Y45</f>
        <v>0</v>
      </c>
      <c r="S2">
        <f>Data!Z45</f>
        <v>0</v>
      </c>
      <c r="T2">
        <f>Data!AA45</f>
        <v>0</v>
      </c>
      <c r="U2">
        <f>Data!AB45</f>
        <v>0</v>
      </c>
      <c r="V2">
        <f>Data!AC45</f>
        <v>0</v>
      </c>
      <c r="W2">
        <f>Data!AD45</f>
        <v>0</v>
      </c>
      <c r="X2">
        <f>Data!AE45</f>
        <v>0</v>
      </c>
      <c r="Y2">
        <f>Data!AF45</f>
        <v>0</v>
      </c>
      <c r="Z2">
        <f>Data!AG45</f>
        <v>0</v>
      </c>
      <c r="AA2">
        <f>Data!AH45</f>
        <v>0</v>
      </c>
      <c r="AB2">
        <f>Data!AI45</f>
        <v>0</v>
      </c>
      <c r="AC2">
        <f>Data!AJ45</f>
        <v>0</v>
      </c>
      <c r="AD2">
        <f>Data!AK45</f>
        <v>0</v>
      </c>
      <c r="AE2">
        <f>Data!AL45</f>
        <v>0</v>
      </c>
      <c r="AF2">
        <f>Data!AM45</f>
        <v>0</v>
      </c>
      <c r="AG2">
        <f>Data!AN45</f>
        <v>0</v>
      </c>
      <c r="AH2">
        <f>Data!AO45</f>
        <v>0</v>
      </c>
      <c r="AI2">
        <f>Data!AP45</f>
        <v>0</v>
      </c>
      <c r="AJ2">
        <f>Data!AQ45</f>
        <v>0</v>
      </c>
      <c r="AK2">
        <f>Data!AR45</f>
        <v>0</v>
      </c>
      <c r="AL2">
        <f>Data!AS45</f>
        <v>0</v>
      </c>
      <c r="AM2">
        <f>Data!AT45</f>
        <v>0</v>
      </c>
      <c r="AN2">
        <f>Data!AU45</f>
        <v>0</v>
      </c>
      <c r="AO2">
        <f>Data!AV45</f>
        <v>0</v>
      </c>
      <c r="AP2">
        <f>Data!AW45</f>
        <v>0</v>
      </c>
      <c r="AQ2">
        <f>Data!AX45</f>
        <v>0</v>
      </c>
      <c r="AR2">
        <f>Data!AY45</f>
        <v>0</v>
      </c>
      <c r="AS2">
        <f>Data!AZ45</f>
        <v>0</v>
      </c>
      <c r="AT2">
        <f>Data!BA45</f>
        <v>0</v>
      </c>
      <c r="AU2">
        <f>Data!BB45</f>
        <v>0</v>
      </c>
      <c r="AV2">
        <f>Data!BC45</f>
        <v>0</v>
      </c>
      <c r="AW2">
        <f>Data!BD45</f>
        <v>0</v>
      </c>
      <c r="AX2">
        <f>Data!BE45</f>
        <v>0</v>
      </c>
      <c r="AY2">
        <f>Data!BF45</f>
        <v>0</v>
      </c>
    </row>
    <row r="3" spans="1:51" x14ac:dyDescent="0.75">
      <c r="A3" t="s">
        <v>2</v>
      </c>
      <c r="B3">
        <f>Data!I46</f>
        <v>0</v>
      </c>
      <c r="C3">
        <f>Data!J46</f>
        <v>0</v>
      </c>
      <c r="D3">
        <f>Data!K46</f>
        <v>0</v>
      </c>
      <c r="E3">
        <f>Data!L46</f>
        <v>0</v>
      </c>
      <c r="F3">
        <f>Data!M46</f>
        <v>0</v>
      </c>
      <c r="G3">
        <f>Data!N46</f>
        <v>0</v>
      </c>
      <c r="H3">
        <f>Data!O46</f>
        <v>0</v>
      </c>
      <c r="I3">
        <f>Data!P46</f>
        <v>0</v>
      </c>
      <c r="J3">
        <f>Data!Q46</f>
        <v>0</v>
      </c>
      <c r="K3">
        <f>Data!R46</f>
        <v>0</v>
      </c>
      <c r="L3">
        <f>Data!S46</f>
        <v>0</v>
      </c>
      <c r="M3">
        <f>Data!T46</f>
        <v>0</v>
      </c>
      <c r="N3">
        <f>Data!U46</f>
        <v>0</v>
      </c>
      <c r="O3">
        <f>Data!V46</f>
        <v>0</v>
      </c>
      <c r="P3">
        <f>Data!W46</f>
        <v>0</v>
      </c>
      <c r="Q3">
        <f>Data!X46</f>
        <v>0</v>
      </c>
      <c r="R3">
        <f>Data!Y46</f>
        <v>0</v>
      </c>
      <c r="S3">
        <f>Data!Z46</f>
        <v>0</v>
      </c>
      <c r="T3">
        <f>Data!AA46</f>
        <v>0</v>
      </c>
      <c r="U3">
        <f>Data!AB46</f>
        <v>0</v>
      </c>
      <c r="V3">
        <f>Data!AC46</f>
        <v>0</v>
      </c>
      <c r="W3">
        <f>Data!AD46</f>
        <v>0</v>
      </c>
      <c r="X3">
        <f>Data!AE46</f>
        <v>0</v>
      </c>
      <c r="Y3">
        <f>Data!AF46</f>
        <v>0</v>
      </c>
      <c r="Z3">
        <f>Data!AG46</f>
        <v>0</v>
      </c>
      <c r="AA3">
        <f>Data!AH46</f>
        <v>0</v>
      </c>
      <c r="AB3">
        <f>Data!AI46</f>
        <v>0</v>
      </c>
      <c r="AC3">
        <f>Data!AJ46</f>
        <v>0</v>
      </c>
      <c r="AD3">
        <f>Data!AK46</f>
        <v>0</v>
      </c>
      <c r="AE3">
        <f>Data!AL46</f>
        <v>0</v>
      </c>
      <c r="AF3">
        <f>Data!AM46</f>
        <v>0</v>
      </c>
      <c r="AG3">
        <f>Data!AN46</f>
        <v>0</v>
      </c>
      <c r="AH3">
        <f>Data!AO46</f>
        <v>0</v>
      </c>
      <c r="AI3">
        <f>Data!AP46</f>
        <v>0</v>
      </c>
      <c r="AJ3">
        <f>Data!AQ46</f>
        <v>0</v>
      </c>
      <c r="AK3">
        <f>Data!AR46</f>
        <v>0</v>
      </c>
      <c r="AL3">
        <f>Data!AS46</f>
        <v>0</v>
      </c>
      <c r="AM3">
        <f>Data!AT46</f>
        <v>0</v>
      </c>
      <c r="AN3">
        <f>Data!AU46</f>
        <v>0</v>
      </c>
      <c r="AO3">
        <f>Data!AV46</f>
        <v>0</v>
      </c>
      <c r="AP3">
        <f>Data!AW46</f>
        <v>0</v>
      </c>
      <c r="AQ3">
        <f>Data!AX46</f>
        <v>0</v>
      </c>
      <c r="AR3">
        <f>Data!AY46</f>
        <v>0</v>
      </c>
      <c r="AS3">
        <f>Data!AZ46</f>
        <v>0</v>
      </c>
      <c r="AT3">
        <f>Data!BA46</f>
        <v>0</v>
      </c>
      <c r="AU3">
        <f>Data!BB46</f>
        <v>0</v>
      </c>
      <c r="AV3">
        <f>Data!BC46</f>
        <v>0</v>
      </c>
      <c r="AW3">
        <f>Data!BD46</f>
        <v>0</v>
      </c>
      <c r="AX3">
        <f>Data!BE46</f>
        <v>0</v>
      </c>
      <c r="AY3">
        <f>Data!BF46</f>
        <v>0</v>
      </c>
    </row>
    <row r="4" spans="1:51" x14ac:dyDescent="0.75">
      <c r="A4" t="s">
        <v>3</v>
      </c>
      <c r="B4">
        <f>Data!I47</f>
        <v>0</v>
      </c>
      <c r="C4">
        <f>Data!J47</f>
        <v>0</v>
      </c>
      <c r="D4">
        <f>Data!K47</f>
        <v>0</v>
      </c>
      <c r="E4">
        <f>Data!L47</f>
        <v>0</v>
      </c>
      <c r="F4">
        <f>Data!M47</f>
        <v>0</v>
      </c>
      <c r="G4">
        <f>Data!N47</f>
        <v>0</v>
      </c>
      <c r="H4">
        <f>Data!O47</f>
        <v>0</v>
      </c>
      <c r="I4">
        <f>Data!P47</f>
        <v>0</v>
      </c>
      <c r="J4">
        <f>Data!Q47</f>
        <v>0</v>
      </c>
      <c r="K4">
        <f>Data!R47</f>
        <v>0</v>
      </c>
      <c r="L4">
        <f>Data!S47</f>
        <v>0</v>
      </c>
      <c r="M4">
        <f>Data!T47</f>
        <v>0</v>
      </c>
      <c r="N4">
        <f>Data!U47</f>
        <v>0</v>
      </c>
      <c r="O4">
        <f>Data!V47</f>
        <v>0</v>
      </c>
      <c r="P4">
        <f>Data!W47</f>
        <v>0</v>
      </c>
      <c r="Q4">
        <f>Data!X47</f>
        <v>0</v>
      </c>
      <c r="R4">
        <f>Data!Y47</f>
        <v>0</v>
      </c>
      <c r="S4">
        <f>Data!Z47</f>
        <v>0</v>
      </c>
      <c r="T4">
        <f>Data!AA47</f>
        <v>0</v>
      </c>
      <c r="U4">
        <f>Data!AB47</f>
        <v>0</v>
      </c>
      <c r="V4">
        <f>Data!AC47</f>
        <v>0</v>
      </c>
      <c r="W4">
        <f>Data!AD47</f>
        <v>0</v>
      </c>
      <c r="X4">
        <f>Data!AE47</f>
        <v>0</v>
      </c>
      <c r="Y4">
        <f>Data!AF47</f>
        <v>0</v>
      </c>
      <c r="Z4">
        <f>Data!AG47</f>
        <v>0</v>
      </c>
      <c r="AA4">
        <f>Data!AH47</f>
        <v>0</v>
      </c>
      <c r="AB4">
        <f>Data!AI47</f>
        <v>0</v>
      </c>
      <c r="AC4">
        <f>Data!AJ47</f>
        <v>0</v>
      </c>
      <c r="AD4">
        <f>Data!AK47</f>
        <v>0</v>
      </c>
      <c r="AE4">
        <f>Data!AL47</f>
        <v>0</v>
      </c>
      <c r="AF4">
        <f>Data!AM47</f>
        <v>0</v>
      </c>
      <c r="AG4">
        <f>Data!AN47</f>
        <v>0</v>
      </c>
      <c r="AH4">
        <f>Data!AO47</f>
        <v>0</v>
      </c>
      <c r="AI4">
        <f>Data!AP47</f>
        <v>0</v>
      </c>
      <c r="AJ4">
        <f>Data!AQ47</f>
        <v>0</v>
      </c>
      <c r="AK4">
        <f>Data!AR47</f>
        <v>0</v>
      </c>
      <c r="AL4">
        <f>Data!AS47</f>
        <v>0</v>
      </c>
      <c r="AM4">
        <f>Data!AT47</f>
        <v>0</v>
      </c>
      <c r="AN4">
        <f>Data!AU47</f>
        <v>0</v>
      </c>
      <c r="AO4">
        <f>Data!AV47</f>
        <v>0</v>
      </c>
      <c r="AP4">
        <f>Data!AW47</f>
        <v>0</v>
      </c>
      <c r="AQ4">
        <f>Data!AX47</f>
        <v>0</v>
      </c>
      <c r="AR4">
        <f>Data!AY47</f>
        <v>0</v>
      </c>
      <c r="AS4">
        <f>Data!AZ47</f>
        <v>0</v>
      </c>
      <c r="AT4">
        <f>Data!BA47</f>
        <v>0</v>
      </c>
      <c r="AU4">
        <f>Data!BB47</f>
        <v>0</v>
      </c>
      <c r="AV4">
        <f>Data!BC47</f>
        <v>0</v>
      </c>
      <c r="AW4">
        <f>Data!BD47</f>
        <v>0</v>
      </c>
      <c r="AX4">
        <f>Data!BE47</f>
        <v>0</v>
      </c>
      <c r="AY4">
        <f>Data!BF47</f>
        <v>0</v>
      </c>
    </row>
    <row r="5" spans="1:51" x14ac:dyDescent="0.75">
      <c r="A5" t="s">
        <v>4</v>
      </c>
      <c r="B5">
        <f>Data!I48</f>
        <v>1</v>
      </c>
      <c r="C5">
        <f>Data!J48</f>
        <v>1</v>
      </c>
      <c r="D5">
        <f>Data!K48</f>
        <v>1</v>
      </c>
      <c r="E5">
        <f>Data!L48</f>
        <v>1</v>
      </c>
      <c r="F5">
        <f>Data!M48</f>
        <v>1</v>
      </c>
      <c r="G5">
        <f>Data!N48</f>
        <v>1</v>
      </c>
      <c r="H5">
        <f>Data!O48</f>
        <v>1</v>
      </c>
      <c r="I5">
        <f>Data!P48</f>
        <v>1</v>
      </c>
      <c r="J5">
        <f>Data!Q48</f>
        <v>1</v>
      </c>
      <c r="K5">
        <f>Data!R48</f>
        <v>1</v>
      </c>
      <c r="L5">
        <f>Data!S48</f>
        <v>1</v>
      </c>
      <c r="M5">
        <f>Data!T48</f>
        <v>1</v>
      </c>
      <c r="N5">
        <f>Data!U48</f>
        <v>1</v>
      </c>
      <c r="O5">
        <f>Data!V48</f>
        <v>1</v>
      </c>
      <c r="P5">
        <f>Data!W48</f>
        <v>1</v>
      </c>
      <c r="Q5">
        <f>Data!X48</f>
        <v>1</v>
      </c>
      <c r="R5">
        <f>Data!Y48</f>
        <v>1</v>
      </c>
      <c r="S5">
        <f>Data!Z48</f>
        <v>1</v>
      </c>
      <c r="T5">
        <f>Data!AA48</f>
        <v>1</v>
      </c>
      <c r="U5">
        <f>Data!AB48</f>
        <v>1</v>
      </c>
      <c r="V5">
        <f>Data!AC48</f>
        <v>1</v>
      </c>
      <c r="W5">
        <f>Data!AD48</f>
        <v>1</v>
      </c>
      <c r="X5">
        <f>Data!AE48</f>
        <v>1</v>
      </c>
      <c r="Y5">
        <f>Data!AF48</f>
        <v>1</v>
      </c>
      <c r="Z5">
        <f>Data!AG48</f>
        <v>1</v>
      </c>
      <c r="AA5">
        <f>Data!AH48</f>
        <v>1</v>
      </c>
      <c r="AB5">
        <f>Data!AI48</f>
        <v>1</v>
      </c>
      <c r="AC5">
        <f>Data!AJ48</f>
        <v>1</v>
      </c>
      <c r="AD5">
        <f>Data!AK48</f>
        <v>1</v>
      </c>
      <c r="AE5">
        <f>Data!AL48</f>
        <v>1</v>
      </c>
      <c r="AF5">
        <f>Data!AM48</f>
        <v>1</v>
      </c>
      <c r="AG5">
        <f>Data!AN48</f>
        <v>1</v>
      </c>
      <c r="AH5">
        <f>Data!AO48</f>
        <v>1</v>
      </c>
      <c r="AI5">
        <f>Data!AP48</f>
        <v>1</v>
      </c>
      <c r="AJ5">
        <f>Data!AQ48</f>
        <v>1</v>
      </c>
      <c r="AK5">
        <f>Data!AR48</f>
        <v>1</v>
      </c>
      <c r="AL5">
        <f>Data!AS48</f>
        <v>1</v>
      </c>
      <c r="AM5">
        <f>Data!AT48</f>
        <v>1</v>
      </c>
      <c r="AN5">
        <f>Data!AU48</f>
        <v>1</v>
      </c>
      <c r="AO5">
        <f>Data!AV48</f>
        <v>1</v>
      </c>
      <c r="AP5">
        <f>Data!AW48</f>
        <v>1</v>
      </c>
      <c r="AQ5">
        <f>Data!AX48</f>
        <v>1</v>
      </c>
      <c r="AR5">
        <f>Data!AY48</f>
        <v>1</v>
      </c>
      <c r="AS5">
        <f>Data!AZ48</f>
        <v>1</v>
      </c>
      <c r="AT5">
        <f>Data!BA48</f>
        <v>1</v>
      </c>
      <c r="AU5">
        <f>Data!BB48</f>
        <v>1</v>
      </c>
      <c r="AV5">
        <f>Data!BC48</f>
        <v>1</v>
      </c>
      <c r="AW5">
        <f>Data!BD48</f>
        <v>1</v>
      </c>
      <c r="AX5">
        <f>Data!BE48</f>
        <v>1</v>
      </c>
      <c r="AY5">
        <f>Data!BF48</f>
        <v>1</v>
      </c>
    </row>
    <row r="6" spans="1:51" x14ac:dyDescent="0.75">
      <c r="A6" t="s">
        <v>5</v>
      </c>
      <c r="B6">
        <f>Data!I49</f>
        <v>0</v>
      </c>
      <c r="C6">
        <f>Data!J49</f>
        <v>0</v>
      </c>
      <c r="D6">
        <f>Data!K49</f>
        <v>0</v>
      </c>
      <c r="E6">
        <f>Data!L49</f>
        <v>0</v>
      </c>
      <c r="F6">
        <f>Data!M49</f>
        <v>0</v>
      </c>
      <c r="G6">
        <f>Data!N49</f>
        <v>0</v>
      </c>
      <c r="H6">
        <f>Data!O49</f>
        <v>0</v>
      </c>
      <c r="I6">
        <f>Data!P49</f>
        <v>0</v>
      </c>
      <c r="J6">
        <f>Data!Q49</f>
        <v>0</v>
      </c>
      <c r="K6">
        <f>Data!R49</f>
        <v>0</v>
      </c>
      <c r="L6">
        <f>Data!S49</f>
        <v>0</v>
      </c>
      <c r="M6">
        <f>Data!T49</f>
        <v>0</v>
      </c>
      <c r="N6">
        <f>Data!U49</f>
        <v>0</v>
      </c>
      <c r="O6">
        <f>Data!V49</f>
        <v>0</v>
      </c>
      <c r="P6">
        <f>Data!W49</f>
        <v>0</v>
      </c>
      <c r="Q6">
        <f>Data!X49</f>
        <v>0</v>
      </c>
      <c r="R6">
        <f>Data!Y49</f>
        <v>0</v>
      </c>
      <c r="S6">
        <f>Data!Z49</f>
        <v>0</v>
      </c>
      <c r="T6">
        <f>Data!AA49</f>
        <v>0</v>
      </c>
      <c r="U6">
        <f>Data!AB49</f>
        <v>0</v>
      </c>
      <c r="V6">
        <f>Data!AC49</f>
        <v>0</v>
      </c>
      <c r="W6">
        <f>Data!AD49</f>
        <v>0</v>
      </c>
      <c r="X6">
        <f>Data!AE49</f>
        <v>0</v>
      </c>
      <c r="Y6">
        <f>Data!AF49</f>
        <v>0</v>
      </c>
      <c r="Z6">
        <f>Data!AG49</f>
        <v>0</v>
      </c>
      <c r="AA6">
        <f>Data!AH49</f>
        <v>0</v>
      </c>
      <c r="AB6">
        <f>Data!AI49</f>
        <v>0</v>
      </c>
      <c r="AC6">
        <f>Data!AJ49</f>
        <v>0</v>
      </c>
      <c r="AD6">
        <f>Data!AK49</f>
        <v>0</v>
      </c>
      <c r="AE6">
        <f>Data!AL49</f>
        <v>0</v>
      </c>
      <c r="AF6">
        <f>Data!AM49</f>
        <v>0</v>
      </c>
      <c r="AG6">
        <f>Data!AN49</f>
        <v>0</v>
      </c>
      <c r="AH6">
        <f>Data!AO49</f>
        <v>0</v>
      </c>
      <c r="AI6">
        <f>Data!AP49</f>
        <v>0</v>
      </c>
      <c r="AJ6">
        <f>Data!AQ49</f>
        <v>0</v>
      </c>
      <c r="AK6">
        <f>Data!AR49</f>
        <v>0</v>
      </c>
      <c r="AL6">
        <f>Data!AS49</f>
        <v>0</v>
      </c>
      <c r="AM6">
        <f>Data!AT49</f>
        <v>0</v>
      </c>
      <c r="AN6">
        <f>Data!AU49</f>
        <v>0</v>
      </c>
      <c r="AO6">
        <f>Data!AV49</f>
        <v>0</v>
      </c>
      <c r="AP6">
        <f>Data!AW49</f>
        <v>0</v>
      </c>
      <c r="AQ6">
        <f>Data!AX49</f>
        <v>0</v>
      </c>
      <c r="AR6">
        <f>Data!AY49</f>
        <v>0</v>
      </c>
      <c r="AS6">
        <f>Data!AZ49</f>
        <v>0</v>
      </c>
      <c r="AT6">
        <f>Data!BA49</f>
        <v>0</v>
      </c>
      <c r="AU6">
        <f>Data!BB49</f>
        <v>0</v>
      </c>
      <c r="AV6">
        <f>Data!BC49</f>
        <v>0</v>
      </c>
      <c r="AW6">
        <f>Data!BD49</f>
        <v>0</v>
      </c>
      <c r="AX6">
        <f>Data!BE49</f>
        <v>0</v>
      </c>
      <c r="AY6">
        <f>Data!BF49</f>
        <v>0</v>
      </c>
    </row>
    <row r="7" spans="1:51" x14ac:dyDescent="0.75">
      <c r="A7" t="s">
        <v>31</v>
      </c>
      <c r="B7">
        <f>Data!I50</f>
        <v>0</v>
      </c>
      <c r="C7">
        <f>Data!J50</f>
        <v>0</v>
      </c>
      <c r="D7">
        <f>Data!K50</f>
        <v>0</v>
      </c>
      <c r="E7">
        <f>Data!L50</f>
        <v>0</v>
      </c>
      <c r="F7">
        <f>Data!M50</f>
        <v>0</v>
      </c>
      <c r="G7">
        <f>Data!N50</f>
        <v>0</v>
      </c>
      <c r="H7">
        <f>Data!O50</f>
        <v>0</v>
      </c>
      <c r="I7">
        <f>Data!P50</f>
        <v>0</v>
      </c>
      <c r="J7">
        <f>Data!Q50</f>
        <v>0</v>
      </c>
      <c r="K7">
        <f>Data!R50</f>
        <v>0</v>
      </c>
      <c r="L7">
        <f>Data!S50</f>
        <v>0</v>
      </c>
      <c r="M7">
        <f>Data!T50</f>
        <v>0</v>
      </c>
      <c r="N7">
        <f>Data!U50</f>
        <v>0</v>
      </c>
      <c r="O7">
        <f>Data!V50</f>
        <v>0</v>
      </c>
      <c r="P7">
        <f>Data!W50</f>
        <v>0</v>
      </c>
      <c r="Q7">
        <f>Data!X50</f>
        <v>0</v>
      </c>
      <c r="R7">
        <f>Data!Y50</f>
        <v>0</v>
      </c>
      <c r="S7">
        <f>Data!Z50</f>
        <v>0</v>
      </c>
      <c r="T7">
        <f>Data!AA50</f>
        <v>0</v>
      </c>
      <c r="U7">
        <f>Data!AB50</f>
        <v>0</v>
      </c>
      <c r="V7">
        <f>Data!AC50</f>
        <v>0</v>
      </c>
      <c r="W7">
        <f>Data!AD50</f>
        <v>0</v>
      </c>
      <c r="X7">
        <f>Data!AE50</f>
        <v>0</v>
      </c>
      <c r="Y7">
        <f>Data!AF50</f>
        <v>0</v>
      </c>
      <c r="Z7">
        <f>Data!AG50</f>
        <v>0</v>
      </c>
      <c r="AA7">
        <f>Data!AH50</f>
        <v>0</v>
      </c>
      <c r="AB7">
        <f>Data!AI50</f>
        <v>0</v>
      </c>
      <c r="AC7">
        <f>Data!AJ50</f>
        <v>0</v>
      </c>
      <c r="AD7">
        <f>Data!AK50</f>
        <v>0</v>
      </c>
      <c r="AE7">
        <f>Data!AL50</f>
        <v>0</v>
      </c>
      <c r="AF7">
        <f>Data!AM50</f>
        <v>0</v>
      </c>
      <c r="AG7">
        <f>Data!AN50</f>
        <v>0</v>
      </c>
      <c r="AH7">
        <f>Data!AO50</f>
        <v>0</v>
      </c>
      <c r="AI7">
        <f>Data!AP50</f>
        <v>0</v>
      </c>
      <c r="AJ7">
        <f>Data!AQ50</f>
        <v>0</v>
      </c>
      <c r="AK7">
        <f>Data!AR50</f>
        <v>0</v>
      </c>
      <c r="AL7">
        <f>Data!AS50</f>
        <v>0</v>
      </c>
      <c r="AM7">
        <f>Data!AT50</f>
        <v>0</v>
      </c>
      <c r="AN7">
        <f>Data!AU50</f>
        <v>0</v>
      </c>
      <c r="AO7">
        <f>Data!AV50</f>
        <v>0</v>
      </c>
      <c r="AP7">
        <f>Data!AW50</f>
        <v>0</v>
      </c>
      <c r="AQ7">
        <f>Data!AX50</f>
        <v>0</v>
      </c>
      <c r="AR7">
        <f>Data!AY50</f>
        <v>0</v>
      </c>
      <c r="AS7">
        <f>Data!AZ50</f>
        <v>0</v>
      </c>
      <c r="AT7">
        <f>Data!BA50</f>
        <v>0</v>
      </c>
      <c r="AU7">
        <f>Data!BB50</f>
        <v>0</v>
      </c>
      <c r="AV7">
        <f>Data!BC50</f>
        <v>0</v>
      </c>
      <c r="AW7">
        <f>Data!BD50</f>
        <v>0</v>
      </c>
      <c r="AX7">
        <f>Data!BE50</f>
        <v>0</v>
      </c>
      <c r="AY7">
        <f>Data!BF50</f>
        <v>0</v>
      </c>
    </row>
    <row r="8" spans="1:51" x14ac:dyDescent="0.75">
      <c r="A8" t="s">
        <v>32</v>
      </c>
      <c r="B8">
        <f>Data!I51</f>
        <v>0</v>
      </c>
      <c r="C8">
        <f>Data!J51</f>
        <v>0</v>
      </c>
      <c r="D8">
        <f>Data!K51</f>
        <v>0</v>
      </c>
      <c r="E8">
        <f>Data!L51</f>
        <v>0</v>
      </c>
      <c r="F8">
        <f>Data!M51</f>
        <v>0</v>
      </c>
      <c r="G8">
        <f>Data!N51</f>
        <v>0</v>
      </c>
      <c r="H8">
        <f>Data!O51</f>
        <v>0</v>
      </c>
      <c r="I8">
        <f>Data!P51</f>
        <v>0</v>
      </c>
      <c r="J8">
        <f>Data!Q51</f>
        <v>0</v>
      </c>
      <c r="K8">
        <f>Data!R51</f>
        <v>0</v>
      </c>
      <c r="L8">
        <f>Data!S51</f>
        <v>0</v>
      </c>
      <c r="M8">
        <f>Data!T51</f>
        <v>0</v>
      </c>
      <c r="N8">
        <f>Data!U51</f>
        <v>0</v>
      </c>
      <c r="O8">
        <f>Data!V51</f>
        <v>0</v>
      </c>
      <c r="P8">
        <f>Data!W51</f>
        <v>0</v>
      </c>
      <c r="Q8">
        <f>Data!X51</f>
        <v>0</v>
      </c>
      <c r="R8">
        <f>Data!Y51</f>
        <v>0</v>
      </c>
      <c r="S8">
        <f>Data!Z51</f>
        <v>0</v>
      </c>
      <c r="T8">
        <f>Data!AA51</f>
        <v>0</v>
      </c>
      <c r="U8">
        <f>Data!AB51</f>
        <v>0</v>
      </c>
      <c r="V8">
        <f>Data!AC51</f>
        <v>0</v>
      </c>
      <c r="W8">
        <f>Data!AD51</f>
        <v>0</v>
      </c>
      <c r="X8">
        <f>Data!AE51</f>
        <v>0</v>
      </c>
      <c r="Y8">
        <f>Data!AF51</f>
        <v>0</v>
      </c>
      <c r="Z8">
        <f>Data!AG51</f>
        <v>0</v>
      </c>
      <c r="AA8">
        <f>Data!AH51</f>
        <v>0</v>
      </c>
      <c r="AB8">
        <f>Data!AI51</f>
        <v>0</v>
      </c>
      <c r="AC8">
        <f>Data!AJ51</f>
        <v>0</v>
      </c>
      <c r="AD8">
        <f>Data!AK51</f>
        <v>0</v>
      </c>
      <c r="AE8">
        <f>Data!AL51</f>
        <v>0</v>
      </c>
      <c r="AF8">
        <f>Data!AM51</f>
        <v>0</v>
      </c>
      <c r="AG8">
        <f>Data!AN51</f>
        <v>0</v>
      </c>
      <c r="AH8">
        <f>Data!AO51</f>
        <v>0</v>
      </c>
      <c r="AI8">
        <f>Data!AP51</f>
        <v>0</v>
      </c>
      <c r="AJ8">
        <f>Data!AQ51</f>
        <v>0</v>
      </c>
      <c r="AK8">
        <f>Data!AR51</f>
        <v>0</v>
      </c>
      <c r="AL8">
        <f>Data!AS51</f>
        <v>0</v>
      </c>
      <c r="AM8">
        <f>Data!AT51</f>
        <v>0</v>
      </c>
      <c r="AN8">
        <f>Data!AU51</f>
        <v>0</v>
      </c>
      <c r="AO8">
        <f>Data!AV51</f>
        <v>0</v>
      </c>
      <c r="AP8">
        <f>Data!AW51</f>
        <v>0</v>
      </c>
      <c r="AQ8">
        <f>Data!AX51</f>
        <v>0</v>
      </c>
      <c r="AR8">
        <f>Data!AY51</f>
        <v>0</v>
      </c>
      <c r="AS8">
        <f>Data!AZ51</f>
        <v>0</v>
      </c>
      <c r="AT8">
        <f>Data!BA51</f>
        <v>0</v>
      </c>
      <c r="AU8">
        <f>Data!BB51</f>
        <v>0</v>
      </c>
      <c r="AV8">
        <f>Data!BC51</f>
        <v>0</v>
      </c>
      <c r="AW8">
        <f>Data!BD51</f>
        <v>0</v>
      </c>
      <c r="AX8">
        <f>Data!BE51</f>
        <v>0</v>
      </c>
      <c r="AY8">
        <f>Data!BF51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8"/>
  <sheetViews>
    <sheetView topLeftCell="Y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Data!I52</f>
        <v>0.93664816810144857</v>
      </c>
      <c r="C2">
        <f>Data!J52</f>
        <v>0.93664816810144857</v>
      </c>
      <c r="D2">
        <f>Data!K52</f>
        <v>0.93664816810144857</v>
      </c>
      <c r="E2">
        <f>Data!L52</f>
        <v>0.93664816810144857</v>
      </c>
      <c r="F2">
        <f>Data!M52</f>
        <v>0.93890166810468023</v>
      </c>
      <c r="G2">
        <f>Data!N52</f>
        <v>0.93965268404663582</v>
      </c>
      <c r="H2">
        <f>Data!O52</f>
        <v>0.94063764556845908</v>
      </c>
      <c r="I2">
        <f>Data!P52</f>
        <v>0.94191731078828078</v>
      </c>
      <c r="J2">
        <f>Data!Q52</f>
        <v>0.94355965157849941</v>
      </c>
      <c r="K2">
        <f>Data!R52</f>
        <v>0.94563469291965474</v>
      </c>
      <c r="L2">
        <f>Data!S52</f>
        <v>0.94820515921963411</v>
      </c>
      <c r="M2">
        <f>Data!T52</f>
        <v>0.95131254710589963</v>
      </c>
      <c r="N2">
        <f>Data!U52</f>
        <v>0.95496004662134204</v>
      </c>
      <c r="O2">
        <f>Data!V52</f>
        <v>0.95909649022374377</v>
      </c>
      <c r="P2">
        <f>Data!W52</f>
        <v>0.96360801423956699</v>
      </c>
      <c r="Q2">
        <f>Data!X52</f>
        <v>0.96832408405072434</v>
      </c>
      <c r="R2">
        <f>Data!Y52</f>
        <v>0.97304015386188158</v>
      </c>
      <c r="S2">
        <f>Data!Z52</f>
        <v>0.97755167787770481</v>
      </c>
      <c r="T2">
        <f>Data!AA52</f>
        <v>0.98168812148010653</v>
      </c>
      <c r="U2">
        <f>Data!AB52</f>
        <v>0.98533562099554894</v>
      </c>
      <c r="V2">
        <f>Data!AC52</f>
        <v>0.98844300888181458</v>
      </c>
      <c r="W2">
        <f>Data!AD52</f>
        <v>0.99101347518179383</v>
      </c>
      <c r="X2">
        <f>Data!AE52</f>
        <v>0.99308851652294916</v>
      </c>
      <c r="Y2">
        <f>Data!AF52</f>
        <v>0.99473085731316779</v>
      </c>
      <c r="Z2">
        <f>Data!AG52</f>
        <v>0.9960105225329895</v>
      </c>
      <c r="AA2">
        <f>Data!AH52</f>
        <v>0.99699548405481275</v>
      </c>
      <c r="AB2">
        <f>Data!AI52</f>
        <v>0.99774649999676845</v>
      </c>
      <c r="AC2">
        <f>Data!AJ52</f>
        <v>0.99831503173391156</v>
      </c>
      <c r="AD2">
        <f>Data!AK52</f>
        <v>0.99874308028631886</v>
      </c>
      <c r="AE2">
        <f>Data!AL52</f>
        <v>0.99906403802770394</v>
      </c>
      <c r="AF2">
        <f>Data!AM52</f>
        <v>0.99930395705738762</v>
      </c>
      <c r="AG2">
        <f>Data!AN52</f>
        <v>0.99948288616444503</v>
      </c>
      <c r="AH2">
        <f>Data!AO52</f>
        <v>0.9996161004745665</v>
      </c>
      <c r="AI2">
        <f>Data!AP52</f>
        <v>0.99971515285853807</v>
      </c>
      <c r="AJ2">
        <f>Data!AQ52</f>
        <v>0.99978873384804667</v>
      </c>
      <c r="AK2">
        <f>Data!AR52</f>
        <v>0.99984335479343245</v>
      </c>
      <c r="AL2">
        <f>Data!AS52</f>
        <v>0.99988387996023487</v>
      </c>
      <c r="AM2">
        <f>Data!AT52</f>
        <v>0.99991393527246963</v>
      </c>
      <c r="AN2">
        <f>Data!AU52</f>
        <v>0.99993621922424558</v>
      </c>
      <c r="AO2">
        <f>Data!AV52</f>
        <v>0.99995273770672732</v>
      </c>
      <c r="AP2">
        <f>Data!AW52</f>
        <v>0.99996498046071647</v>
      </c>
      <c r="AQ2">
        <f>Data!AX52</f>
        <v>0.99997405316981269</v>
      </c>
      <c r="AR2">
        <f>Data!AY52</f>
        <v>0.99998077607476354</v>
      </c>
      <c r="AS2">
        <f>Data!AZ52</f>
        <v>0.99998575744576423</v>
      </c>
      <c r="AT2">
        <f>Data!BA52</f>
        <v>0.99998944824147884</v>
      </c>
      <c r="AU2">
        <f>Data!BB52</f>
        <v>0.99999218272756496</v>
      </c>
      <c r="AV2">
        <f>Data!BC52</f>
        <v>0.9999942086369269</v>
      </c>
      <c r="AW2">
        <f>Data!BD52</f>
        <v>0.99999570955105788</v>
      </c>
      <c r="AX2">
        <f>Data!BE52</f>
        <v>0.99999682150145697</v>
      </c>
      <c r="AY2">
        <f>Data!BF52</f>
        <v>0.99999764527974477</v>
      </c>
    </row>
    <row r="3" spans="1:51" x14ac:dyDescent="0.75">
      <c r="A3" t="s">
        <v>2</v>
      </c>
      <c r="B3">
        <f>Data!I53</f>
        <v>0</v>
      </c>
      <c r="C3">
        <f>Data!J53</f>
        <v>0</v>
      </c>
      <c r="D3">
        <f>Data!K53</f>
        <v>0</v>
      </c>
      <c r="E3">
        <f>Data!L53</f>
        <v>0</v>
      </c>
      <c r="F3">
        <f>Data!M53</f>
        <v>0</v>
      </c>
      <c r="G3">
        <f>Data!N53</f>
        <v>0</v>
      </c>
      <c r="H3">
        <f>Data!O53</f>
        <v>0</v>
      </c>
      <c r="I3">
        <f>Data!P53</f>
        <v>0</v>
      </c>
      <c r="J3">
        <f>Data!Q53</f>
        <v>0</v>
      </c>
      <c r="K3">
        <f>Data!R53</f>
        <v>0</v>
      </c>
      <c r="L3">
        <f>Data!S53</f>
        <v>0</v>
      </c>
      <c r="M3">
        <f>Data!T53</f>
        <v>0</v>
      </c>
      <c r="N3">
        <f>Data!U53</f>
        <v>0</v>
      </c>
      <c r="O3">
        <f>Data!V53</f>
        <v>0</v>
      </c>
      <c r="P3">
        <f>Data!W53</f>
        <v>0</v>
      </c>
      <c r="Q3">
        <f>Data!X53</f>
        <v>0</v>
      </c>
      <c r="R3">
        <f>Data!Y53</f>
        <v>0</v>
      </c>
      <c r="S3">
        <f>Data!Z53</f>
        <v>0</v>
      </c>
      <c r="T3">
        <f>Data!AA53</f>
        <v>0</v>
      </c>
      <c r="U3">
        <f>Data!AB53</f>
        <v>0</v>
      </c>
      <c r="V3">
        <f>Data!AC53</f>
        <v>0</v>
      </c>
      <c r="W3">
        <f>Data!AD53</f>
        <v>0</v>
      </c>
      <c r="X3">
        <f>Data!AE53</f>
        <v>0</v>
      </c>
      <c r="Y3">
        <f>Data!AF53</f>
        <v>0</v>
      </c>
      <c r="Z3">
        <f>Data!AG53</f>
        <v>0</v>
      </c>
      <c r="AA3">
        <f>Data!AH53</f>
        <v>0</v>
      </c>
      <c r="AB3">
        <f>Data!AI53</f>
        <v>0</v>
      </c>
      <c r="AC3">
        <f>Data!AJ53</f>
        <v>0</v>
      </c>
      <c r="AD3">
        <f>Data!AK53</f>
        <v>0</v>
      </c>
      <c r="AE3">
        <f>Data!AL53</f>
        <v>0</v>
      </c>
      <c r="AF3">
        <f>Data!AM53</f>
        <v>0</v>
      </c>
      <c r="AG3">
        <f>Data!AN53</f>
        <v>0</v>
      </c>
      <c r="AH3">
        <f>Data!AO53</f>
        <v>0</v>
      </c>
      <c r="AI3">
        <f>Data!AP53</f>
        <v>0</v>
      </c>
      <c r="AJ3">
        <f>Data!AQ53</f>
        <v>0</v>
      </c>
      <c r="AK3">
        <f>Data!AR53</f>
        <v>0</v>
      </c>
      <c r="AL3">
        <f>Data!AS53</f>
        <v>0</v>
      </c>
      <c r="AM3">
        <f>Data!AT53</f>
        <v>0</v>
      </c>
      <c r="AN3">
        <f>Data!AU53</f>
        <v>0</v>
      </c>
      <c r="AO3">
        <f>Data!AV53</f>
        <v>0</v>
      </c>
      <c r="AP3">
        <f>Data!AW53</f>
        <v>0</v>
      </c>
      <c r="AQ3">
        <f>Data!AX53</f>
        <v>0</v>
      </c>
      <c r="AR3">
        <f>Data!AY53</f>
        <v>0</v>
      </c>
      <c r="AS3">
        <f>Data!AZ53</f>
        <v>0</v>
      </c>
      <c r="AT3">
        <f>Data!BA53</f>
        <v>0</v>
      </c>
      <c r="AU3">
        <f>Data!BB53</f>
        <v>0</v>
      </c>
      <c r="AV3">
        <f>Data!BC53</f>
        <v>0</v>
      </c>
      <c r="AW3">
        <f>Data!BD53</f>
        <v>0</v>
      </c>
      <c r="AX3">
        <f>Data!BE53</f>
        <v>0</v>
      </c>
      <c r="AY3">
        <f>Data!BF53</f>
        <v>0</v>
      </c>
    </row>
    <row r="4" spans="1:51" x14ac:dyDescent="0.75">
      <c r="A4" t="s">
        <v>3</v>
      </c>
      <c r="B4">
        <f>Data!I54</f>
        <v>0</v>
      </c>
      <c r="C4">
        <f>Data!J54</f>
        <v>0</v>
      </c>
      <c r="D4">
        <f>Data!K54</f>
        <v>0</v>
      </c>
      <c r="E4">
        <f>Data!L54</f>
        <v>0</v>
      </c>
      <c r="F4">
        <f>Data!M54</f>
        <v>0</v>
      </c>
      <c r="G4">
        <f>Data!N54</f>
        <v>0</v>
      </c>
      <c r="H4">
        <f>Data!O54</f>
        <v>0</v>
      </c>
      <c r="I4">
        <f>Data!P54</f>
        <v>0</v>
      </c>
      <c r="J4">
        <f>Data!Q54</f>
        <v>0</v>
      </c>
      <c r="K4">
        <f>Data!R54</f>
        <v>0</v>
      </c>
      <c r="L4">
        <f>Data!S54</f>
        <v>0</v>
      </c>
      <c r="M4">
        <f>Data!T54</f>
        <v>0</v>
      </c>
      <c r="N4">
        <f>Data!U54</f>
        <v>0</v>
      </c>
      <c r="O4">
        <f>Data!V54</f>
        <v>0</v>
      </c>
      <c r="P4">
        <f>Data!W54</f>
        <v>0</v>
      </c>
      <c r="Q4">
        <f>Data!X54</f>
        <v>0</v>
      </c>
      <c r="R4">
        <f>Data!Y54</f>
        <v>0</v>
      </c>
      <c r="S4">
        <f>Data!Z54</f>
        <v>0</v>
      </c>
      <c r="T4">
        <f>Data!AA54</f>
        <v>0</v>
      </c>
      <c r="U4">
        <f>Data!AB54</f>
        <v>0</v>
      </c>
      <c r="V4">
        <f>Data!AC54</f>
        <v>0</v>
      </c>
      <c r="W4">
        <f>Data!AD54</f>
        <v>0</v>
      </c>
      <c r="X4">
        <f>Data!AE54</f>
        <v>0</v>
      </c>
      <c r="Y4">
        <f>Data!AF54</f>
        <v>0</v>
      </c>
      <c r="Z4">
        <f>Data!AG54</f>
        <v>0</v>
      </c>
      <c r="AA4">
        <f>Data!AH54</f>
        <v>0</v>
      </c>
      <c r="AB4">
        <f>Data!AI54</f>
        <v>0</v>
      </c>
      <c r="AC4">
        <f>Data!AJ54</f>
        <v>0</v>
      </c>
      <c r="AD4">
        <f>Data!AK54</f>
        <v>0</v>
      </c>
      <c r="AE4">
        <f>Data!AL54</f>
        <v>0</v>
      </c>
      <c r="AF4">
        <f>Data!AM54</f>
        <v>0</v>
      </c>
      <c r="AG4">
        <f>Data!AN54</f>
        <v>0</v>
      </c>
      <c r="AH4">
        <f>Data!AO54</f>
        <v>0</v>
      </c>
      <c r="AI4">
        <f>Data!AP54</f>
        <v>0</v>
      </c>
      <c r="AJ4">
        <f>Data!AQ54</f>
        <v>0</v>
      </c>
      <c r="AK4">
        <f>Data!AR54</f>
        <v>0</v>
      </c>
      <c r="AL4">
        <f>Data!AS54</f>
        <v>0</v>
      </c>
      <c r="AM4">
        <f>Data!AT54</f>
        <v>0</v>
      </c>
      <c r="AN4">
        <f>Data!AU54</f>
        <v>0</v>
      </c>
      <c r="AO4">
        <f>Data!AV54</f>
        <v>0</v>
      </c>
      <c r="AP4">
        <f>Data!AW54</f>
        <v>0</v>
      </c>
      <c r="AQ4">
        <f>Data!AX54</f>
        <v>0</v>
      </c>
      <c r="AR4">
        <f>Data!AY54</f>
        <v>0</v>
      </c>
      <c r="AS4">
        <f>Data!AZ54</f>
        <v>0</v>
      </c>
      <c r="AT4">
        <f>Data!BA54</f>
        <v>0</v>
      </c>
      <c r="AU4">
        <f>Data!BB54</f>
        <v>0</v>
      </c>
      <c r="AV4">
        <f>Data!BC54</f>
        <v>0</v>
      </c>
      <c r="AW4">
        <f>Data!BD54</f>
        <v>0</v>
      </c>
      <c r="AX4">
        <f>Data!BE54</f>
        <v>0</v>
      </c>
      <c r="AY4">
        <f>Data!BF54</f>
        <v>0</v>
      </c>
    </row>
    <row r="5" spans="1:51" x14ac:dyDescent="0.75">
      <c r="A5" t="s">
        <v>4</v>
      </c>
      <c r="B5">
        <f>Data!I55</f>
        <v>6.3351831898551425E-2</v>
      </c>
      <c r="C5">
        <f>Data!J55</f>
        <v>6.3351831898551425E-2</v>
      </c>
      <c r="D5">
        <f>Data!K55</f>
        <v>6.3351831898551425E-2</v>
      </c>
      <c r="E5">
        <f>Data!L55</f>
        <v>6.3351831898551425E-2</v>
      </c>
      <c r="F5">
        <f>Data!M55</f>
        <v>6.3351831898557975E-2</v>
      </c>
      <c r="G5">
        <f>Data!N55</f>
        <v>0.10081775862262532</v>
      </c>
      <c r="H5">
        <f>Data!O55</f>
        <v>0.13828368534667845</v>
      </c>
      <c r="I5">
        <f>Data!P55</f>
        <v>0.17574961207073159</v>
      </c>
      <c r="J5">
        <f>Data!Q55</f>
        <v>0.21321553879479893</v>
      </c>
      <c r="K5">
        <f>Data!R55</f>
        <v>0.25068146551885206</v>
      </c>
      <c r="L5">
        <f>Data!S55</f>
        <v>0.2881473922429052</v>
      </c>
      <c r="M5">
        <f>Data!T55</f>
        <v>0.32561331896697254</v>
      </c>
      <c r="N5">
        <f>Data!U55</f>
        <v>0.36307924569102568</v>
      </c>
      <c r="O5">
        <f>Data!V55</f>
        <v>0.40054517241507881</v>
      </c>
      <c r="P5">
        <f>Data!W55</f>
        <v>0.43801109913914615</v>
      </c>
      <c r="Q5">
        <f>Data!X55</f>
        <v>0.47547702586319929</v>
      </c>
      <c r="R5">
        <f>Data!Y55</f>
        <v>0.51294295258725242</v>
      </c>
      <c r="S5">
        <f>Data!Z55</f>
        <v>0.55040887931131977</v>
      </c>
      <c r="T5">
        <f>Data!AA55</f>
        <v>0.5878748060353729</v>
      </c>
      <c r="U5">
        <f>Data!AB55</f>
        <v>0.62534073275942603</v>
      </c>
      <c r="V5">
        <f>Data!AC55</f>
        <v>0.66280665948349338</v>
      </c>
      <c r="W5">
        <f>Data!AD55</f>
        <v>0.70027258620754651</v>
      </c>
      <c r="X5">
        <f>Data!AE55</f>
        <v>0.73773851293159964</v>
      </c>
      <c r="Y5">
        <f>Data!AF55</f>
        <v>0.77520443965566699</v>
      </c>
      <c r="Z5">
        <f>Data!AG55</f>
        <v>0.81267036637972012</v>
      </c>
      <c r="AA5">
        <f>Data!AH55</f>
        <v>0.85013629310377326</v>
      </c>
      <c r="AB5">
        <f>Data!AI55</f>
        <v>0.8876022198278406</v>
      </c>
      <c r="AC5">
        <f>Data!AJ55</f>
        <v>0.92506814655189373</v>
      </c>
      <c r="AD5">
        <f>Data!AK55</f>
        <v>0.96253407327594687</v>
      </c>
      <c r="AE5">
        <f>Data!AL55</f>
        <v>1.0000000000000142</v>
      </c>
      <c r="AF5">
        <f>Data!AM55</f>
        <v>1</v>
      </c>
      <c r="AG5">
        <f>Data!AN55</f>
        <v>1</v>
      </c>
      <c r="AH5">
        <f>Data!AO55</f>
        <v>1</v>
      </c>
      <c r="AI5">
        <f>Data!AP55</f>
        <v>1</v>
      </c>
      <c r="AJ5">
        <f>Data!AQ55</f>
        <v>1</v>
      </c>
      <c r="AK5">
        <f>Data!AR55</f>
        <v>1</v>
      </c>
      <c r="AL5">
        <f>Data!AS55</f>
        <v>1</v>
      </c>
      <c r="AM5">
        <f>Data!AT55</f>
        <v>1</v>
      </c>
      <c r="AN5">
        <f>Data!AU55</f>
        <v>1</v>
      </c>
      <c r="AO5">
        <f>Data!AV55</f>
        <v>1</v>
      </c>
      <c r="AP5">
        <f>Data!AW55</f>
        <v>1</v>
      </c>
      <c r="AQ5">
        <f>Data!AX55</f>
        <v>1</v>
      </c>
      <c r="AR5">
        <f>Data!AY55</f>
        <v>1</v>
      </c>
      <c r="AS5">
        <f>Data!AZ55</f>
        <v>1</v>
      </c>
      <c r="AT5">
        <f>Data!BA55</f>
        <v>1</v>
      </c>
      <c r="AU5">
        <f>Data!BB55</f>
        <v>1</v>
      </c>
      <c r="AV5">
        <f>Data!BC55</f>
        <v>1</v>
      </c>
      <c r="AW5">
        <f>Data!BD55</f>
        <v>1</v>
      </c>
      <c r="AX5">
        <f>Data!BE55</f>
        <v>1</v>
      </c>
      <c r="AY5">
        <f>Data!BF55</f>
        <v>1</v>
      </c>
    </row>
    <row r="6" spans="1:51" x14ac:dyDescent="0.75">
      <c r="A6" t="s">
        <v>5</v>
      </c>
      <c r="B6">
        <f>Data!I56</f>
        <v>0</v>
      </c>
      <c r="C6">
        <f>Data!J56</f>
        <v>0</v>
      </c>
      <c r="D6">
        <f>Data!K56</f>
        <v>0</v>
      </c>
      <c r="E6">
        <f>Data!L56</f>
        <v>0</v>
      </c>
      <c r="F6">
        <f>Data!M56</f>
        <v>0</v>
      </c>
      <c r="G6">
        <f>Data!N56</f>
        <v>0</v>
      </c>
      <c r="H6">
        <f>Data!O56</f>
        <v>0</v>
      </c>
      <c r="I6">
        <f>Data!P56</f>
        <v>0</v>
      </c>
      <c r="J6">
        <f>Data!Q56</f>
        <v>0</v>
      </c>
      <c r="K6">
        <f>Data!R56</f>
        <v>0</v>
      </c>
      <c r="L6">
        <f>Data!S56</f>
        <v>0</v>
      </c>
      <c r="M6">
        <f>Data!T56</f>
        <v>0</v>
      </c>
      <c r="N6">
        <f>Data!U56</f>
        <v>0</v>
      </c>
      <c r="O6">
        <f>Data!V56</f>
        <v>0</v>
      </c>
      <c r="P6">
        <f>Data!W56</f>
        <v>0</v>
      </c>
      <c r="Q6">
        <f>Data!X56</f>
        <v>0</v>
      </c>
      <c r="R6">
        <f>Data!Y56</f>
        <v>0</v>
      </c>
      <c r="S6">
        <f>Data!Z56</f>
        <v>0</v>
      </c>
      <c r="T6">
        <f>Data!AA56</f>
        <v>0</v>
      </c>
      <c r="U6">
        <f>Data!AB56</f>
        <v>0</v>
      </c>
      <c r="V6">
        <f>Data!AC56</f>
        <v>0</v>
      </c>
      <c r="W6">
        <f>Data!AD56</f>
        <v>0</v>
      </c>
      <c r="X6">
        <f>Data!AE56</f>
        <v>0</v>
      </c>
      <c r="Y6">
        <f>Data!AF56</f>
        <v>0</v>
      </c>
      <c r="Z6">
        <f>Data!AG56</f>
        <v>0</v>
      </c>
      <c r="AA6">
        <f>Data!AH56</f>
        <v>0</v>
      </c>
      <c r="AB6">
        <f>Data!AI56</f>
        <v>0</v>
      </c>
      <c r="AC6">
        <f>Data!AJ56</f>
        <v>0</v>
      </c>
      <c r="AD6">
        <f>Data!AK56</f>
        <v>0</v>
      </c>
      <c r="AE6">
        <f>Data!AL56</f>
        <v>0</v>
      </c>
      <c r="AF6">
        <f>Data!AM56</f>
        <v>0</v>
      </c>
      <c r="AG6">
        <f>Data!AN56</f>
        <v>0</v>
      </c>
      <c r="AH6">
        <f>Data!AO56</f>
        <v>0</v>
      </c>
      <c r="AI6">
        <f>Data!AP56</f>
        <v>0</v>
      </c>
      <c r="AJ6">
        <f>Data!AQ56</f>
        <v>0</v>
      </c>
      <c r="AK6">
        <f>Data!AR56</f>
        <v>0</v>
      </c>
      <c r="AL6">
        <f>Data!AS56</f>
        <v>0</v>
      </c>
      <c r="AM6">
        <f>Data!AT56</f>
        <v>0</v>
      </c>
      <c r="AN6">
        <f>Data!AU56</f>
        <v>0</v>
      </c>
      <c r="AO6">
        <f>Data!AV56</f>
        <v>0</v>
      </c>
      <c r="AP6">
        <f>Data!AW56</f>
        <v>0</v>
      </c>
      <c r="AQ6">
        <f>Data!AX56</f>
        <v>0</v>
      </c>
      <c r="AR6">
        <f>Data!AY56</f>
        <v>0</v>
      </c>
      <c r="AS6">
        <f>Data!AZ56</f>
        <v>0</v>
      </c>
      <c r="AT6">
        <f>Data!BA56</f>
        <v>0</v>
      </c>
      <c r="AU6">
        <f>Data!BB56</f>
        <v>0</v>
      </c>
      <c r="AV6">
        <f>Data!BC56</f>
        <v>0</v>
      </c>
      <c r="AW6">
        <f>Data!BD56</f>
        <v>0</v>
      </c>
      <c r="AX6">
        <f>Data!BE56</f>
        <v>0</v>
      </c>
      <c r="AY6">
        <f>Data!BF56</f>
        <v>0</v>
      </c>
    </row>
    <row r="7" spans="1:51" x14ac:dyDescent="0.75">
      <c r="A7" t="s">
        <v>31</v>
      </c>
      <c r="B7">
        <f>Data!I57</f>
        <v>0</v>
      </c>
      <c r="C7">
        <f>Data!J57</f>
        <v>0</v>
      </c>
      <c r="D7">
        <f>Data!K57</f>
        <v>0</v>
      </c>
      <c r="E7">
        <f>Data!L57</f>
        <v>0</v>
      </c>
      <c r="F7">
        <f>Data!M57</f>
        <v>0</v>
      </c>
      <c r="G7">
        <f>Data!N57</f>
        <v>0</v>
      </c>
      <c r="H7">
        <f>Data!O57</f>
        <v>0</v>
      </c>
      <c r="I7">
        <f>Data!P57</f>
        <v>0</v>
      </c>
      <c r="J7">
        <f>Data!Q57</f>
        <v>0</v>
      </c>
      <c r="K7">
        <f>Data!R57</f>
        <v>0</v>
      </c>
      <c r="L7">
        <f>Data!S57</f>
        <v>0</v>
      </c>
      <c r="M7">
        <f>Data!T57</f>
        <v>0</v>
      </c>
      <c r="N7">
        <f>Data!U57</f>
        <v>0</v>
      </c>
      <c r="O7">
        <f>Data!V57</f>
        <v>0</v>
      </c>
      <c r="P7">
        <f>Data!W57</f>
        <v>0</v>
      </c>
      <c r="Q7">
        <f>Data!X57</f>
        <v>0</v>
      </c>
      <c r="R7">
        <f>Data!Y57</f>
        <v>0</v>
      </c>
      <c r="S7">
        <f>Data!Z57</f>
        <v>0</v>
      </c>
      <c r="T7">
        <f>Data!AA57</f>
        <v>0</v>
      </c>
      <c r="U7">
        <f>Data!AB57</f>
        <v>0</v>
      </c>
      <c r="V7">
        <f>Data!AC57</f>
        <v>0</v>
      </c>
      <c r="W7">
        <f>Data!AD57</f>
        <v>0</v>
      </c>
      <c r="X7">
        <f>Data!AE57</f>
        <v>0</v>
      </c>
      <c r="Y7">
        <f>Data!AF57</f>
        <v>0</v>
      </c>
      <c r="Z7">
        <f>Data!AG57</f>
        <v>0</v>
      </c>
      <c r="AA7">
        <f>Data!AH57</f>
        <v>0</v>
      </c>
      <c r="AB7">
        <f>Data!AI57</f>
        <v>0</v>
      </c>
      <c r="AC7">
        <f>Data!AJ57</f>
        <v>0</v>
      </c>
      <c r="AD7">
        <f>Data!AK57</f>
        <v>0</v>
      </c>
      <c r="AE7">
        <f>Data!AL57</f>
        <v>0</v>
      </c>
      <c r="AF7">
        <f>Data!AM57</f>
        <v>0</v>
      </c>
      <c r="AG7">
        <f>Data!AN57</f>
        <v>0</v>
      </c>
      <c r="AH7">
        <f>Data!AO57</f>
        <v>0</v>
      </c>
      <c r="AI7">
        <f>Data!AP57</f>
        <v>0</v>
      </c>
      <c r="AJ7">
        <f>Data!AQ57</f>
        <v>0</v>
      </c>
      <c r="AK7">
        <f>Data!AR57</f>
        <v>0</v>
      </c>
      <c r="AL7">
        <f>Data!AS57</f>
        <v>0</v>
      </c>
      <c r="AM7">
        <f>Data!AT57</f>
        <v>0</v>
      </c>
      <c r="AN7">
        <f>Data!AU57</f>
        <v>0</v>
      </c>
      <c r="AO7">
        <f>Data!AV57</f>
        <v>0</v>
      </c>
      <c r="AP7">
        <f>Data!AW57</f>
        <v>0</v>
      </c>
      <c r="AQ7">
        <f>Data!AX57</f>
        <v>0</v>
      </c>
      <c r="AR7">
        <f>Data!AY57</f>
        <v>0</v>
      </c>
      <c r="AS7">
        <f>Data!AZ57</f>
        <v>0</v>
      </c>
      <c r="AT7">
        <f>Data!BA57</f>
        <v>0</v>
      </c>
      <c r="AU7">
        <f>Data!BB57</f>
        <v>0</v>
      </c>
      <c r="AV7">
        <f>Data!BC57</f>
        <v>0</v>
      </c>
      <c r="AW7">
        <f>Data!BD57</f>
        <v>0</v>
      </c>
      <c r="AX7">
        <f>Data!BE57</f>
        <v>0</v>
      </c>
      <c r="AY7">
        <f>Data!BF57</f>
        <v>0</v>
      </c>
    </row>
    <row r="8" spans="1:51" x14ac:dyDescent="0.75">
      <c r="A8" t="s">
        <v>32</v>
      </c>
      <c r="B8">
        <f>Data!I58</f>
        <v>0</v>
      </c>
      <c r="C8">
        <f>Data!J58</f>
        <v>0</v>
      </c>
      <c r="D8">
        <f>Data!K58</f>
        <v>0</v>
      </c>
      <c r="E8">
        <f>Data!L58</f>
        <v>0</v>
      </c>
      <c r="F8">
        <f>Data!M58</f>
        <v>0</v>
      </c>
      <c r="G8">
        <f>Data!N58</f>
        <v>0</v>
      </c>
      <c r="H8">
        <f>Data!O58</f>
        <v>0</v>
      </c>
      <c r="I8">
        <f>Data!P58</f>
        <v>0</v>
      </c>
      <c r="J8">
        <f>Data!Q58</f>
        <v>0</v>
      </c>
      <c r="K8">
        <f>Data!R58</f>
        <v>0</v>
      </c>
      <c r="L8">
        <f>Data!S58</f>
        <v>0</v>
      </c>
      <c r="M8">
        <f>Data!T58</f>
        <v>0</v>
      </c>
      <c r="N8">
        <f>Data!U58</f>
        <v>0</v>
      </c>
      <c r="O8">
        <f>Data!V58</f>
        <v>0</v>
      </c>
      <c r="P8">
        <f>Data!W58</f>
        <v>0</v>
      </c>
      <c r="Q8">
        <f>Data!X58</f>
        <v>0</v>
      </c>
      <c r="R8">
        <f>Data!Y58</f>
        <v>0</v>
      </c>
      <c r="S8">
        <f>Data!Z58</f>
        <v>0</v>
      </c>
      <c r="T8">
        <f>Data!AA58</f>
        <v>0</v>
      </c>
      <c r="U8">
        <f>Data!AB58</f>
        <v>0</v>
      </c>
      <c r="V8">
        <f>Data!AC58</f>
        <v>0</v>
      </c>
      <c r="W8">
        <f>Data!AD58</f>
        <v>0</v>
      </c>
      <c r="X8">
        <f>Data!AE58</f>
        <v>0</v>
      </c>
      <c r="Y8">
        <f>Data!AF58</f>
        <v>0</v>
      </c>
      <c r="Z8">
        <f>Data!AG58</f>
        <v>0</v>
      </c>
      <c r="AA8">
        <f>Data!AH58</f>
        <v>0</v>
      </c>
      <c r="AB8">
        <f>Data!AI58</f>
        <v>0</v>
      </c>
      <c r="AC8">
        <f>Data!AJ58</f>
        <v>0</v>
      </c>
      <c r="AD8">
        <f>Data!AK58</f>
        <v>0</v>
      </c>
      <c r="AE8">
        <f>Data!AL58</f>
        <v>0</v>
      </c>
      <c r="AF8">
        <f>Data!AM58</f>
        <v>0</v>
      </c>
      <c r="AG8">
        <f>Data!AN58</f>
        <v>0</v>
      </c>
      <c r="AH8">
        <f>Data!AO58</f>
        <v>0</v>
      </c>
      <c r="AI8">
        <f>Data!AP58</f>
        <v>0</v>
      </c>
      <c r="AJ8">
        <f>Data!AQ58</f>
        <v>0</v>
      </c>
      <c r="AK8">
        <f>Data!AR58</f>
        <v>0</v>
      </c>
      <c r="AL8">
        <f>Data!AS58</f>
        <v>0</v>
      </c>
      <c r="AM8">
        <f>Data!AT58</f>
        <v>0</v>
      </c>
      <c r="AN8">
        <f>Data!AU58</f>
        <v>0</v>
      </c>
      <c r="AO8">
        <f>Data!AV58</f>
        <v>0</v>
      </c>
      <c r="AP8">
        <f>Data!AW58</f>
        <v>0</v>
      </c>
      <c r="AQ8">
        <f>Data!AX58</f>
        <v>0</v>
      </c>
      <c r="AR8">
        <f>Data!AY58</f>
        <v>0</v>
      </c>
      <c r="AS8">
        <f>Data!AZ58</f>
        <v>0</v>
      </c>
      <c r="AT8">
        <f>Data!BA58</f>
        <v>0</v>
      </c>
      <c r="AU8">
        <f>Data!BB58</f>
        <v>0</v>
      </c>
      <c r="AV8">
        <f>Data!BC58</f>
        <v>0</v>
      </c>
      <c r="AW8">
        <f>Data!BD58</f>
        <v>0</v>
      </c>
      <c r="AX8">
        <f>Data!BE58</f>
        <v>0</v>
      </c>
      <c r="AY8">
        <f>Data!BF58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8"/>
  <sheetViews>
    <sheetView topLeftCell="Y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Data!I59</f>
        <v>0</v>
      </c>
      <c r="C2">
        <f>Data!J59</f>
        <v>0</v>
      </c>
      <c r="D2">
        <f>Data!K59</f>
        <v>0</v>
      </c>
      <c r="E2">
        <f>Data!L59</f>
        <v>0</v>
      </c>
      <c r="F2">
        <f>Data!M59</f>
        <v>0</v>
      </c>
      <c r="G2">
        <f>Data!N59</f>
        <v>0</v>
      </c>
      <c r="H2">
        <f>Data!O59</f>
        <v>0</v>
      </c>
      <c r="I2">
        <f>Data!P59</f>
        <v>0</v>
      </c>
      <c r="J2">
        <f>Data!Q59</f>
        <v>0</v>
      </c>
      <c r="K2">
        <f>Data!R59</f>
        <v>0</v>
      </c>
      <c r="L2">
        <f>Data!S59</f>
        <v>0</v>
      </c>
      <c r="M2">
        <f>Data!T59</f>
        <v>0</v>
      </c>
      <c r="N2">
        <f>Data!U59</f>
        <v>0</v>
      </c>
      <c r="O2">
        <f>Data!V59</f>
        <v>0</v>
      </c>
      <c r="P2">
        <f>Data!W59</f>
        <v>0</v>
      </c>
      <c r="Q2">
        <f>Data!X59</f>
        <v>0</v>
      </c>
      <c r="R2">
        <f>Data!Y59</f>
        <v>0</v>
      </c>
      <c r="S2">
        <f>Data!Z59</f>
        <v>0</v>
      </c>
      <c r="T2">
        <f>Data!AA59</f>
        <v>0</v>
      </c>
      <c r="U2">
        <f>Data!AB59</f>
        <v>0</v>
      </c>
      <c r="V2">
        <f>Data!AC59</f>
        <v>0</v>
      </c>
      <c r="W2">
        <f>Data!AD59</f>
        <v>0</v>
      </c>
      <c r="X2">
        <f>Data!AE59</f>
        <v>0</v>
      </c>
      <c r="Y2">
        <f>Data!AF59</f>
        <v>0</v>
      </c>
      <c r="Z2">
        <f>Data!AG59</f>
        <v>0</v>
      </c>
      <c r="AA2">
        <f>Data!AH59</f>
        <v>0</v>
      </c>
      <c r="AB2">
        <f>Data!AI59</f>
        <v>0</v>
      </c>
      <c r="AC2">
        <f>Data!AJ59</f>
        <v>0</v>
      </c>
      <c r="AD2">
        <f>Data!AK59</f>
        <v>0</v>
      </c>
      <c r="AE2">
        <f>Data!AL59</f>
        <v>0</v>
      </c>
      <c r="AF2">
        <f>Data!AM59</f>
        <v>0</v>
      </c>
      <c r="AG2">
        <f>Data!AN59</f>
        <v>0</v>
      </c>
      <c r="AH2">
        <f>Data!AO59</f>
        <v>0</v>
      </c>
      <c r="AI2">
        <f>Data!AP59</f>
        <v>0</v>
      </c>
      <c r="AJ2">
        <f>Data!AQ59</f>
        <v>0</v>
      </c>
      <c r="AK2">
        <f>Data!AR59</f>
        <v>0</v>
      </c>
      <c r="AL2">
        <f>Data!AS59</f>
        <v>0</v>
      </c>
      <c r="AM2">
        <f>Data!AT59</f>
        <v>0</v>
      </c>
      <c r="AN2">
        <f>Data!AU59</f>
        <v>0</v>
      </c>
      <c r="AO2">
        <f>Data!AV59</f>
        <v>0</v>
      </c>
      <c r="AP2">
        <f>Data!AW59</f>
        <v>0</v>
      </c>
      <c r="AQ2">
        <f>Data!AX59</f>
        <v>0</v>
      </c>
      <c r="AR2">
        <f>Data!AY59</f>
        <v>0</v>
      </c>
      <c r="AS2">
        <f>Data!AZ59</f>
        <v>0</v>
      </c>
      <c r="AT2">
        <f>Data!BA59</f>
        <v>0</v>
      </c>
      <c r="AU2">
        <f>Data!BB59</f>
        <v>0</v>
      </c>
      <c r="AV2">
        <f>Data!BC59</f>
        <v>0</v>
      </c>
      <c r="AW2">
        <f>Data!BD59</f>
        <v>0</v>
      </c>
      <c r="AX2">
        <f>Data!BE59</f>
        <v>0</v>
      </c>
      <c r="AY2">
        <f>Data!BF59</f>
        <v>0</v>
      </c>
    </row>
    <row r="3" spans="1:51" x14ac:dyDescent="0.75">
      <c r="A3" t="s">
        <v>2</v>
      </c>
      <c r="B3">
        <f>Data!I60</f>
        <v>0</v>
      </c>
      <c r="C3">
        <f>Data!J60</f>
        <v>0</v>
      </c>
      <c r="D3">
        <f>Data!K60</f>
        <v>0</v>
      </c>
      <c r="E3">
        <f>Data!L60</f>
        <v>0</v>
      </c>
      <c r="F3">
        <f>Data!M60</f>
        <v>0</v>
      </c>
      <c r="G3">
        <f>Data!N60</f>
        <v>0</v>
      </c>
      <c r="H3">
        <f>Data!O60</f>
        <v>0</v>
      </c>
      <c r="I3">
        <f>Data!P60</f>
        <v>0</v>
      </c>
      <c r="J3">
        <f>Data!Q60</f>
        <v>0</v>
      </c>
      <c r="K3">
        <f>Data!R60</f>
        <v>0</v>
      </c>
      <c r="L3">
        <f>Data!S60</f>
        <v>0</v>
      </c>
      <c r="M3">
        <f>Data!T60</f>
        <v>0</v>
      </c>
      <c r="N3">
        <f>Data!U60</f>
        <v>0</v>
      </c>
      <c r="O3">
        <f>Data!V60</f>
        <v>0</v>
      </c>
      <c r="P3">
        <f>Data!W60</f>
        <v>0</v>
      </c>
      <c r="Q3">
        <f>Data!X60</f>
        <v>0</v>
      </c>
      <c r="R3">
        <f>Data!Y60</f>
        <v>0</v>
      </c>
      <c r="S3">
        <f>Data!Z60</f>
        <v>0</v>
      </c>
      <c r="T3">
        <f>Data!AA60</f>
        <v>0</v>
      </c>
      <c r="U3">
        <f>Data!AB60</f>
        <v>0</v>
      </c>
      <c r="V3">
        <f>Data!AC60</f>
        <v>0</v>
      </c>
      <c r="W3">
        <f>Data!AD60</f>
        <v>0</v>
      </c>
      <c r="X3">
        <f>Data!AE60</f>
        <v>0</v>
      </c>
      <c r="Y3">
        <f>Data!AF60</f>
        <v>0</v>
      </c>
      <c r="Z3">
        <f>Data!AG60</f>
        <v>0</v>
      </c>
      <c r="AA3">
        <f>Data!AH60</f>
        <v>0</v>
      </c>
      <c r="AB3">
        <f>Data!AI60</f>
        <v>0</v>
      </c>
      <c r="AC3">
        <f>Data!AJ60</f>
        <v>0</v>
      </c>
      <c r="AD3">
        <f>Data!AK60</f>
        <v>0</v>
      </c>
      <c r="AE3">
        <f>Data!AL60</f>
        <v>0</v>
      </c>
      <c r="AF3">
        <f>Data!AM60</f>
        <v>0</v>
      </c>
      <c r="AG3">
        <f>Data!AN60</f>
        <v>0</v>
      </c>
      <c r="AH3">
        <f>Data!AO60</f>
        <v>0</v>
      </c>
      <c r="AI3">
        <f>Data!AP60</f>
        <v>0</v>
      </c>
      <c r="AJ3">
        <f>Data!AQ60</f>
        <v>0</v>
      </c>
      <c r="AK3">
        <f>Data!AR60</f>
        <v>0</v>
      </c>
      <c r="AL3">
        <f>Data!AS60</f>
        <v>0</v>
      </c>
      <c r="AM3">
        <f>Data!AT60</f>
        <v>0</v>
      </c>
      <c r="AN3">
        <f>Data!AU60</f>
        <v>0</v>
      </c>
      <c r="AO3">
        <f>Data!AV60</f>
        <v>0</v>
      </c>
      <c r="AP3">
        <f>Data!AW60</f>
        <v>0</v>
      </c>
      <c r="AQ3">
        <f>Data!AX60</f>
        <v>0</v>
      </c>
      <c r="AR3">
        <f>Data!AY60</f>
        <v>0</v>
      </c>
      <c r="AS3">
        <f>Data!AZ60</f>
        <v>0</v>
      </c>
      <c r="AT3">
        <f>Data!BA60</f>
        <v>0</v>
      </c>
      <c r="AU3">
        <f>Data!BB60</f>
        <v>0</v>
      </c>
      <c r="AV3">
        <f>Data!BC60</f>
        <v>0</v>
      </c>
      <c r="AW3">
        <f>Data!BD60</f>
        <v>0</v>
      </c>
      <c r="AX3">
        <f>Data!BE60</f>
        <v>0</v>
      </c>
      <c r="AY3">
        <f>Data!BF60</f>
        <v>0</v>
      </c>
    </row>
    <row r="4" spans="1:51" x14ac:dyDescent="0.75">
      <c r="A4" t="s">
        <v>3</v>
      </c>
      <c r="B4">
        <f>Data!I61</f>
        <v>0</v>
      </c>
      <c r="C4">
        <f>Data!J61</f>
        <v>0</v>
      </c>
      <c r="D4">
        <f>Data!K61</f>
        <v>0</v>
      </c>
      <c r="E4">
        <f>Data!L61</f>
        <v>0</v>
      </c>
      <c r="F4">
        <f>Data!M61</f>
        <v>0</v>
      </c>
      <c r="G4">
        <f>Data!N61</f>
        <v>0</v>
      </c>
      <c r="H4">
        <f>Data!O61</f>
        <v>0</v>
      </c>
      <c r="I4">
        <f>Data!P61</f>
        <v>0</v>
      </c>
      <c r="J4">
        <f>Data!Q61</f>
        <v>0</v>
      </c>
      <c r="K4">
        <f>Data!R61</f>
        <v>0</v>
      </c>
      <c r="L4">
        <f>Data!S61</f>
        <v>0</v>
      </c>
      <c r="M4">
        <f>Data!T61</f>
        <v>0</v>
      </c>
      <c r="N4">
        <f>Data!U61</f>
        <v>0</v>
      </c>
      <c r="O4">
        <f>Data!V61</f>
        <v>0</v>
      </c>
      <c r="P4">
        <f>Data!W61</f>
        <v>0</v>
      </c>
      <c r="Q4">
        <f>Data!X61</f>
        <v>0</v>
      </c>
      <c r="R4">
        <f>Data!Y61</f>
        <v>0</v>
      </c>
      <c r="S4">
        <f>Data!Z61</f>
        <v>0</v>
      </c>
      <c r="T4">
        <f>Data!AA61</f>
        <v>0</v>
      </c>
      <c r="U4">
        <f>Data!AB61</f>
        <v>0</v>
      </c>
      <c r="V4">
        <f>Data!AC61</f>
        <v>0</v>
      </c>
      <c r="W4">
        <f>Data!AD61</f>
        <v>0</v>
      </c>
      <c r="X4">
        <f>Data!AE61</f>
        <v>0</v>
      </c>
      <c r="Y4">
        <f>Data!AF61</f>
        <v>0</v>
      </c>
      <c r="Z4">
        <f>Data!AG61</f>
        <v>0</v>
      </c>
      <c r="AA4">
        <f>Data!AH61</f>
        <v>0</v>
      </c>
      <c r="AB4">
        <f>Data!AI61</f>
        <v>0</v>
      </c>
      <c r="AC4">
        <f>Data!AJ61</f>
        <v>0</v>
      </c>
      <c r="AD4">
        <f>Data!AK61</f>
        <v>0</v>
      </c>
      <c r="AE4">
        <f>Data!AL61</f>
        <v>0</v>
      </c>
      <c r="AF4">
        <f>Data!AM61</f>
        <v>0</v>
      </c>
      <c r="AG4">
        <f>Data!AN61</f>
        <v>0</v>
      </c>
      <c r="AH4">
        <f>Data!AO61</f>
        <v>0</v>
      </c>
      <c r="AI4">
        <f>Data!AP61</f>
        <v>0</v>
      </c>
      <c r="AJ4">
        <f>Data!AQ61</f>
        <v>0</v>
      </c>
      <c r="AK4">
        <f>Data!AR61</f>
        <v>0</v>
      </c>
      <c r="AL4">
        <f>Data!AS61</f>
        <v>0</v>
      </c>
      <c r="AM4">
        <f>Data!AT61</f>
        <v>0</v>
      </c>
      <c r="AN4">
        <f>Data!AU61</f>
        <v>0</v>
      </c>
      <c r="AO4">
        <f>Data!AV61</f>
        <v>0</v>
      </c>
      <c r="AP4">
        <f>Data!AW61</f>
        <v>0</v>
      </c>
      <c r="AQ4">
        <f>Data!AX61</f>
        <v>0</v>
      </c>
      <c r="AR4">
        <f>Data!AY61</f>
        <v>0</v>
      </c>
      <c r="AS4">
        <f>Data!AZ61</f>
        <v>0</v>
      </c>
      <c r="AT4">
        <f>Data!BA61</f>
        <v>0</v>
      </c>
      <c r="AU4">
        <f>Data!BB61</f>
        <v>0</v>
      </c>
      <c r="AV4">
        <f>Data!BC61</f>
        <v>0</v>
      </c>
      <c r="AW4">
        <f>Data!BD61</f>
        <v>0</v>
      </c>
      <c r="AX4">
        <f>Data!BE61</f>
        <v>0</v>
      </c>
      <c r="AY4">
        <f>Data!BF61</f>
        <v>0</v>
      </c>
    </row>
    <row r="5" spans="1:51" x14ac:dyDescent="0.75">
      <c r="A5" t="s">
        <v>4</v>
      </c>
      <c r="B5">
        <f>Data!I62</f>
        <v>1</v>
      </c>
      <c r="C5">
        <f>Data!J62</f>
        <v>1</v>
      </c>
      <c r="D5">
        <f>Data!K62</f>
        <v>1</v>
      </c>
      <c r="E5">
        <f>Data!L62</f>
        <v>1</v>
      </c>
      <c r="F5">
        <f>Data!M62</f>
        <v>1</v>
      </c>
      <c r="G5">
        <f>Data!N62</f>
        <v>1</v>
      </c>
      <c r="H5">
        <f>Data!O62</f>
        <v>1</v>
      </c>
      <c r="I5">
        <f>Data!P62</f>
        <v>1</v>
      </c>
      <c r="J5">
        <f>Data!Q62</f>
        <v>1</v>
      </c>
      <c r="K5">
        <f>Data!R62</f>
        <v>1</v>
      </c>
      <c r="L5">
        <f>Data!S62</f>
        <v>1</v>
      </c>
      <c r="M5">
        <f>Data!T62</f>
        <v>1</v>
      </c>
      <c r="N5">
        <f>Data!U62</f>
        <v>1</v>
      </c>
      <c r="O5">
        <f>Data!V62</f>
        <v>1</v>
      </c>
      <c r="P5">
        <f>Data!W62</f>
        <v>1</v>
      </c>
      <c r="Q5">
        <f>Data!X62</f>
        <v>1</v>
      </c>
      <c r="R5">
        <f>Data!Y62</f>
        <v>1</v>
      </c>
      <c r="S5">
        <f>Data!Z62</f>
        <v>1</v>
      </c>
      <c r="T5">
        <f>Data!AA62</f>
        <v>1</v>
      </c>
      <c r="U5">
        <f>Data!AB62</f>
        <v>1</v>
      </c>
      <c r="V5">
        <f>Data!AC62</f>
        <v>1</v>
      </c>
      <c r="W5">
        <f>Data!AD62</f>
        <v>1</v>
      </c>
      <c r="X5">
        <f>Data!AE62</f>
        <v>1</v>
      </c>
      <c r="Y5">
        <f>Data!AF62</f>
        <v>1</v>
      </c>
      <c r="Z5">
        <f>Data!AG62</f>
        <v>1</v>
      </c>
      <c r="AA5">
        <f>Data!AH62</f>
        <v>1</v>
      </c>
      <c r="AB5">
        <f>Data!AI62</f>
        <v>1</v>
      </c>
      <c r="AC5">
        <f>Data!AJ62</f>
        <v>1</v>
      </c>
      <c r="AD5">
        <f>Data!AK62</f>
        <v>1</v>
      </c>
      <c r="AE5">
        <f>Data!AL62</f>
        <v>1</v>
      </c>
      <c r="AF5">
        <f>Data!AM62</f>
        <v>1</v>
      </c>
      <c r="AG5">
        <f>Data!AN62</f>
        <v>1</v>
      </c>
      <c r="AH5">
        <f>Data!AO62</f>
        <v>1</v>
      </c>
      <c r="AI5">
        <f>Data!AP62</f>
        <v>1</v>
      </c>
      <c r="AJ5">
        <f>Data!AQ62</f>
        <v>1</v>
      </c>
      <c r="AK5">
        <f>Data!AR62</f>
        <v>1</v>
      </c>
      <c r="AL5">
        <f>Data!AS62</f>
        <v>1</v>
      </c>
      <c r="AM5">
        <f>Data!AT62</f>
        <v>1</v>
      </c>
      <c r="AN5">
        <f>Data!AU62</f>
        <v>1</v>
      </c>
      <c r="AO5">
        <f>Data!AV62</f>
        <v>1</v>
      </c>
      <c r="AP5">
        <f>Data!AW62</f>
        <v>1</v>
      </c>
      <c r="AQ5">
        <f>Data!AX62</f>
        <v>1</v>
      </c>
      <c r="AR5">
        <f>Data!AY62</f>
        <v>1</v>
      </c>
      <c r="AS5">
        <f>Data!AZ62</f>
        <v>1</v>
      </c>
      <c r="AT5">
        <f>Data!BA62</f>
        <v>1</v>
      </c>
      <c r="AU5">
        <f>Data!BB62</f>
        <v>1</v>
      </c>
      <c r="AV5">
        <f>Data!BC62</f>
        <v>1</v>
      </c>
      <c r="AW5">
        <f>Data!BD62</f>
        <v>1</v>
      </c>
      <c r="AX5">
        <f>Data!BE62</f>
        <v>1</v>
      </c>
      <c r="AY5">
        <f>Data!BF62</f>
        <v>1</v>
      </c>
    </row>
    <row r="6" spans="1:51" x14ac:dyDescent="0.75">
      <c r="A6" t="s">
        <v>5</v>
      </c>
      <c r="B6">
        <f>Data!I63</f>
        <v>0</v>
      </c>
      <c r="C6">
        <f>Data!J63</f>
        <v>0</v>
      </c>
      <c r="D6">
        <f>Data!K63</f>
        <v>0</v>
      </c>
      <c r="E6">
        <f>Data!L63</f>
        <v>0</v>
      </c>
      <c r="F6">
        <f>Data!M63</f>
        <v>0</v>
      </c>
      <c r="G6">
        <f>Data!N63</f>
        <v>0</v>
      </c>
      <c r="H6">
        <f>Data!O63</f>
        <v>0</v>
      </c>
      <c r="I6">
        <f>Data!P63</f>
        <v>0</v>
      </c>
      <c r="J6">
        <f>Data!Q63</f>
        <v>0</v>
      </c>
      <c r="K6">
        <f>Data!R63</f>
        <v>0</v>
      </c>
      <c r="L6">
        <f>Data!S63</f>
        <v>0</v>
      </c>
      <c r="M6">
        <f>Data!T63</f>
        <v>0</v>
      </c>
      <c r="N6">
        <f>Data!U63</f>
        <v>0</v>
      </c>
      <c r="O6">
        <f>Data!V63</f>
        <v>0</v>
      </c>
      <c r="P6">
        <f>Data!W63</f>
        <v>0</v>
      </c>
      <c r="Q6">
        <f>Data!X63</f>
        <v>0</v>
      </c>
      <c r="R6">
        <f>Data!Y63</f>
        <v>0</v>
      </c>
      <c r="S6">
        <f>Data!Z63</f>
        <v>0</v>
      </c>
      <c r="T6">
        <f>Data!AA63</f>
        <v>0</v>
      </c>
      <c r="U6">
        <f>Data!AB63</f>
        <v>0</v>
      </c>
      <c r="V6">
        <f>Data!AC63</f>
        <v>0</v>
      </c>
      <c r="W6">
        <f>Data!AD63</f>
        <v>0</v>
      </c>
      <c r="X6">
        <f>Data!AE63</f>
        <v>0</v>
      </c>
      <c r="Y6">
        <f>Data!AF63</f>
        <v>0</v>
      </c>
      <c r="Z6">
        <f>Data!AG63</f>
        <v>0</v>
      </c>
      <c r="AA6">
        <f>Data!AH63</f>
        <v>0</v>
      </c>
      <c r="AB6">
        <f>Data!AI63</f>
        <v>0</v>
      </c>
      <c r="AC6">
        <f>Data!AJ63</f>
        <v>0</v>
      </c>
      <c r="AD6">
        <f>Data!AK63</f>
        <v>0</v>
      </c>
      <c r="AE6">
        <f>Data!AL63</f>
        <v>0</v>
      </c>
      <c r="AF6">
        <f>Data!AM63</f>
        <v>0</v>
      </c>
      <c r="AG6">
        <f>Data!AN63</f>
        <v>0</v>
      </c>
      <c r="AH6">
        <f>Data!AO63</f>
        <v>0</v>
      </c>
      <c r="AI6">
        <f>Data!AP63</f>
        <v>0</v>
      </c>
      <c r="AJ6">
        <f>Data!AQ63</f>
        <v>0</v>
      </c>
      <c r="AK6">
        <f>Data!AR63</f>
        <v>0</v>
      </c>
      <c r="AL6">
        <f>Data!AS63</f>
        <v>0</v>
      </c>
      <c r="AM6">
        <f>Data!AT63</f>
        <v>0</v>
      </c>
      <c r="AN6">
        <f>Data!AU63</f>
        <v>0</v>
      </c>
      <c r="AO6">
        <f>Data!AV63</f>
        <v>0</v>
      </c>
      <c r="AP6">
        <f>Data!AW63</f>
        <v>0</v>
      </c>
      <c r="AQ6">
        <f>Data!AX63</f>
        <v>0</v>
      </c>
      <c r="AR6">
        <f>Data!AY63</f>
        <v>0</v>
      </c>
      <c r="AS6">
        <f>Data!AZ63</f>
        <v>0</v>
      </c>
      <c r="AT6">
        <f>Data!BA63</f>
        <v>0</v>
      </c>
      <c r="AU6">
        <f>Data!BB63</f>
        <v>0</v>
      </c>
      <c r="AV6">
        <f>Data!BC63</f>
        <v>0</v>
      </c>
      <c r="AW6">
        <f>Data!BD63</f>
        <v>0</v>
      </c>
      <c r="AX6">
        <f>Data!BE63</f>
        <v>0</v>
      </c>
      <c r="AY6">
        <f>Data!BF63</f>
        <v>0</v>
      </c>
    </row>
    <row r="7" spans="1:51" x14ac:dyDescent="0.75">
      <c r="A7" t="s">
        <v>31</v>
      </c>
      <c r="B7">
        <f>Data!I64</f>
        <v>0</v>
      </c>
      <c r="C7">
        <f>Data!J64</f>
        <v>0</v>
      </c>
      <c r="D7">
        <f>Data!K64</f>
        <v>0</v>
      </c>
      <c r="E7">
        <f>Data!L64</f>
        <v>0</v>
      </c>
      <c r="F7">
        <f>Data!M64</f>
        <v>0</v>
      </c>
      <c r="G7">
        <f>Data!N64</f>
        <v>0</v>
      </c>
      <c r="H7">
        <f>Data!O64</f>
        <v>0</v>
      </c>
      <c r="I7">
        <f>Data!P64</f>
        <v>0</v>
      </c>
      <c r="J7">
        <f>Data!Q64</f>
        <v>0</v>
      </c>
      <c r="K7">
        <f>Data!R64</f>
        <v>0</v>
      </c>
      <c r="L7">
        <f>Data!S64</f>
        <v>0</v>
      </c>
      <c r="M7">
        <f>Data!T64</f>
        <v>0</v>
      </c>
      <c r="N7">
        <f>Data!U64</f>
        <v>0</v>
      </c>
      <c r="O7">
        <f>Data!V64</f>
        <v>0</v>
      </c>
      <c r="P7">
        <f>Data!W64</f>
        <v>0</v>
      </c>
      <c r="Q7">
        <f>Data!X64</f>
        <v>0</v>
      </c>
      <c r="R7">
        <f>Data!Y64</f>
        <v>0</v>
      </c>
      <c r="S7">
        <f>Data!Z64</f>
        <v>0</v>
      </c>
      <c r="T7">
        <f>Data!AA64</f>
        <v>0</v>
      </c>
      <c r="U7">
        <f>Data!AB64</f>
        <v>0</v>
      </c>
      <c r="V7">
        <f>Data!AC64</f>
        <v>0</v>
      </c>
      <c r="W7">
        <f>Data!AD64</f>
        <v>0</v>
      </c>
      <c r="X7">
        <f>Data!AE64</f>
        <v>0</v>
      </c>
      <c r="Y7">
        <f>Data!AF64</f>
        <v>0</v>
      </c>
      <c r="Z7">
        <f>Data!AG64</f>
        <v>0</v>
      </c>
      <c r="AA7">
        <f>Data!AH64</f>
        <v>0</v>
      </c>
      <c r="AB7">
        <f>Data!AI64</f>
        <v>0</v>
      </c>
      <c r="AC7">
        <f>Data!AJ64</f>
        <v>0</v>
      </c>
      <c r="AD7">
        <f>Data!AK64</f>
        <v>0</v>
      </c>
      <c r="AE7">
        <f>Data!AL64</f>
        <v>0</v>
      </c>
      <c r="AF7">
        <f>Data!AM64</f>
        <v>0</v>
      </c>
      <c r="AG7">
        <f>Data!AN64</f>
        <v>0</v>
      </c>
      <c r="AH7">
        <f>Data!AO64</f>
        <v>0</v>
      </c>
      <c r="AI7">
        <f>Data!AP64</f>
        <v>0</v>
      </c>
      <c r="AJ7">
        <f>Data!AQ64</f>
        <v>0</v>
      </c>
      <c r="AK7">
        <f>Data!AR64</f>
        <v>0</v>
      </c>
      <c r="AL7">
        <f>Data!AS64</f>
        <v>0</v>
      </c>
      <c r="AM7">
        <f>Data!AT64</f>
        <v>0</v>
      </c>
      <c r="AN7">
        <f>Data!AU64</f>
        <v>0</v>
      </c>
      <c r="AO7">
        <f>Data!AV64</f>
        <v>0</v>
      </c>
      <c r="AP7">
        <f>Data!AW64</f>
        <v>0</v>
      </c>
      <c r="AQ7">
        <f>Data!AX64</f>
        <v>0</v>
      </c>
      <c r="AR7">
        <f>Data!AY64</f>
        <v>0</v>
      </c>
      <c r="AS7">
        <f>Data!AZ64</f>
        <v>0</v>
      </c>
      <c r="AT7">
        <f>Data!BA64</f>
        <v>0</v>
      </c>
      <c r="AU7">
        <f>Data!BB64</f>
        <v>0</v>
      </c>
      <c r="AV7">
        <f>Data!BC64</f>
        <v>0</v>
      </c>
      <c r="AW7">
        <f>Data!BD64</f>
        <v>0</v>
      </c>
      <c r="AX7">
        <f>Data!BE64</f>
        <v>0</v>
      </c>
      <c r="AY7">
        <f>Data!BF64</f>
        <v>0</v>
      </c>
    </row>
    <row r="8" spans="1:51" x14ac:dyDescent="0.75">
      <c r="A8" t="s">
        <v>32</v>
      </c>
      <c r="B8">
        <f>Data!I65</f>
        <v>0</v>
      </c>
      <c r="C8">
        <f>Data!J65</f>
        <v>0</v>
      </c>
      <c r="D8">
        <f>Data!K65</f>
        <v>0</v>
      </c>
      <c r="E8">
        <f>Data!L65</f>
        <v>0</v>
      </c>
      <c r="F8">
        <f>Data!M65</f>
        <v>0</v>
      </c>
      <c r="G8">
        <f>Data!N65</f>
        <v>0</v>
      </c>
      <c r="H8">
        <f>Data!O65</f>
        <v>0</v>
      </c>
      <c r="I8">
        <f>Data!P65</f>
        <v>0</v>
      </c>
      <c r="J8">
        <f>Data!Q65</f>
        <v>0</v>
      </c>
      <c r="K8">
        <f>Data!R65</f>
        <v>0</v>
      </c>
      <c r="L8">
        <f>Data!S65</f>
        <v>0</v>
      </c>
      <c r="M8">
        <f>Data!T65</f>
        <v>0</v>
      </c>
      <c r="N8">
        <f>Data!U65</f>
        <v>0</v>
      </c>
      <c r="O8">
        <f>Data!V65</f>
        <v>0</v>
      </c>
      <c r="P8">
        <f>Data!W65</f>
        <v>0</v>
      </c>
      <c r="Q8">
        <f>Data!X65</f>
        <v>0</v>
      </c>
      <c r="R8">
        <f>Data!Y65</f>
        <v>0</v>
      </c>
      <c r="S8">
        <f>Data!Z65</f>
        <v>0</v>
      </c>
      <c r="T8">
        <f>Data!AA65</f>
        <v>0</v>
      </c>
      <c r="U8">
        <f>Data!AB65</f>
        <v>0</v>
      </c>
      <c r="V8">
        <f>Data!AC65</f>
        <v>0</v>
      </c>
      <c r="W8">
        <f>Data!AD65</f>
        <v>0</v>
      </c>
      <c r="X8">
        <f>Data!AE65</f>
        <v>0</v>
      </c>
      <c r="Y8">
        <f>Data!AF65</f>
        <v>0</v>
      </c>
      <c r="Z8">
        <f>Data!AG65</f>
        <v>0</v>
      </c>
      <c r="AA8">
        <f>Data!AH65</f>
        <v>0</v>
      </c>
      <c r="AB8">
        <f>Data!AI65</f>
        <v>0</v>
      </c>
      <c r="AC8">
        <f>Data!AJ65</f>
        <v>0</v>
      </c>
      <c r="AD8">
        <f>Data!AK65</f>
        <v>0</v>
      </c>
      <c r="AE8">
        <f>Data!AL65</f>
        <v>0</v>
      </c>
      <c r="AF8">
        <f>Data!AM65</f>
        <v>0</v>
      </c>
      <c r="AG8">
        <f>Data!AN65</f>
        <v>0</v>
      </c>
      <c r="AH8">
        <f>Data!AO65</f>
        <v>0</v>
      </c>
      <c r="AI8">
        <f>Data!AP65</f>
        <v>0</v>
      </c>
      <c r="AJ8">
        <f>Data!AQ65</f>
        <v>0</v>
      </c>
      <c r="AK8">
        <f>Data!AR65</f>
        <v>0</v>
      </c>
      <c r="AL8">
        <f>Data!AS65</f>
        <v>0</v>
      </c>
      <c r="AM8">
        <f>Data!AT65</f>
        <v>0</v>
      </c>
      <c r="AN8">
        <f>Data!AU65</f>
        <v>0</v>
      </c>
      <c r="AO8">
        <f>Data!AV65</f>
        <v>0</v>
      </c>
      <c r="AP8">
        <f>Data!AW65</f>
        <v>0</v>
      </c>
      <c r="AQ8">
        <f>Data!AX65</f>
        <v>0</v>
      </c>
      <c r="AR8">
        <f>Data!AY65</f>
        <v>0</v>
      </c>
      <c r="AS8">
        <f>Data!AZ65</f>
        <v>0</v>
      </c>
      <c r="AT8">
        <f>Data!BA65</f>
        <v>0</v>
      </c>
      <c r="AU8">
        <f>Data!BB65</f>
        <v>0</v>
      </c>
      <c r="AV8">
        <f>Data!BC65</f>
        <v>0</v>
      </c>
      <c r="AW8">
        <f>Data!BD65</f>
        <v>0</v>
      </c>
      <c r="AX8">
        <f>Data!BE65</f>
        <v>0</v>
      </c>
      <c r="AY8">
        <f>Data!BF65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Y8"/>
  <sheetViews>
    <sheetView topLeftCell="Y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Data!I66</f>
        <v>0</v>
      </c>
      <c r="C2">
        <f>Data!J66</f>
        <v>0</v>
      </c>
      <c r="D2">
        <f>Data!K66</f>
        <v>0</v>
      </c>
      <c r="E2">
        <f>Data!L66</f>
        <v>0</v>
      </c>
      <c r="F2">
        <f>Data!M66</f>
        <v>0</v>
      </c>
      <c r="G2">
        <f>Data!N66</f>
        <v>0</v>
      </c>
      <c r="H2">
        <f>Data!O66</f>
        <v>0</v>
      </c>
      <c r="I2">
        <f>Data!P66</f>
        <v>0</v>
      </c>
      <c r="J2">
        <f>Data!Q66</f>
        <v>0</v>
      </c>
      <c r="K2">
        <f>Data!R66</f>
        <v>0</v>
      </c>
      <c r="L2">
        <f>Data!S66</f>
        <v>0</v>
      </c>
      <c r="M2">
        <f>Data!T66</f>
        <v>0</v>
      </c>
      <c r="N2">
        <f>Data!U66</f>
        <v>0</v>
      </c>
      <c r="O2">
        <f>Data!V66</f>
        <v>0</v>
      </c>
      <c r="P2">
        <f>Data!W66</f>
        <v>0</v>
      </c>
      <c r="Q2">
        <f>Data!X66</f>
        <v>0</v>
      </c>
      <c r="R2">
        <f>Data!Y66</f>
        <v>0</v>
      </c>
      <c r="S2">
        <f>Data!Z66</f>
        <v>0</v>
      </c>
      <c r="T2">
        <f>Data!AA66</f>
        <v>0</v>
      </c>
      <c r="U2">
        <f>Data!AB66</f>
        <v>0</v>
      </c>
      <c r="V2">
        <f>Data!AC66</f>
        <v>0</v>
      </c>
      <c r="W2">
        <f>Data!AD66</f>
        <v>0</v>
      </c>
      <c r="X2">
        <f>Data!AE66</f>
        <v>0</v>
      </c>
      <c r="Y2">
        <f>Data!AF66</f>
        <v>0</v>
      </c>
      <c r="Z2">
        <f>Data!AG66</f>
        <v>0</v>
      </c>
      <c r="AA2">
        <f>Data!AH66</f>
        <v>0</v>
      </c>
      <c r="AB2">
        <f>Data!AI66</f>
        <v>0</v>
      </c>
      <c r="AC2">
        <f>Data!AJ66</f>
        <v>0</v>
      </c>
      <c r="AD2">
        <f>Data!AK66</f>
        <v>0</v>
      </c>
      <c r="AE2">
        <f>Data!AL66</f>
        <v>0</v>
      </c>
      <c r="AF2">
        <f>Data!AM66</f>
        <v>0</v>
      </c>
      <c r="AG2">
        <f>Data!AN66</f>
        <v>0</v>
      </c>
      <c r="AH2">
        <f>Data!AO66</f>
        <v>0</v>
      </c>
      <c r="AI2">
        <f>Data!AP66</f>
        <v>0</v>
      </c>
      <c r="AJ2">
        <f>Data!AQ66</f>
        <v>0</v>
      </c>
      <c r="AK2">
        <f>Data!AR66</f>
        <v>0</v>
      </c>
      <c r="AL2">
        <f>Data!AS66</f>
        <v>0</v>
      </c>
      <c r="AM2">
        <f>Data!AT66</f>
        <v>0</v>
      </c>
      <c r="AN2">
        <f>Data!AU66</f>
        <v>0</v>
      </c>
      <c r="AO2">
        <f>Data!AV66</f>
        <v>0</v>
      </c>
      <c r="AP2">
        <f>Data!AW66</f>
        <v>0</v>
      </c>
      <c r="AQ2">
        <f>Data!AX66</f>
        <v>0</v>
      </c>
      <c r="AR2">
        <f>Data!AY66</f>
        <v>0</v>
      </c>
      <c r="AS2">
        <f>Data!AZ66</f>
        <v>0</v>
      </c>
      <c r="AT2">
        <f>Data!BA66</f>
        <v>0</v>
      </c>
      <c r="AU2">
        <f>Data!BB66</f>
        <v>0</v>
      </c>
      <c r="AV2">
        <f>Data!BC66</f>
        <v>0</v>
      </c>
      <c r="AW2">
        <f>Data!BD66</f>
        <v>0</v>
      </c>
      <c r="AX2">
        <f>Data!BE66</f>
        <v>0</v>
      </c>
      <c r="AY2">
        <f>Data!BF66</f>
        <v>0</v>
      </c>
    </row>
    <row r="3" spans="1:51" x14ac:dyDescent="0.75">
      <c r="A3" t="s">
        <v>2</v>
      </c>
      <c r="B3">
        <f>Data!I67</f>
        <v>0</v>
      </c>
      <c r="C3">
        <f>Data!J67</f>
        <v>0</v>
      </c>
      <c r="D3">
        <f>Data!K67</f>
        <v>0</v>
      </c>
      <c r="E3">
        <f>Data!L67</f>
        <v>0</v>
      </c>
      <c r="F3">
        <f>Data!M67</f>
        <v>0</v>
      </c>
      <c r="G3">
        <f>Data!N67</f>
        <v>0</v>
      </c>
      <c r="H3">
        <f>Data!O67</f>
        <v>0</v>
      </c>
      <c r="I3">
        <f>Data!P67</f>
        <v>0</v>
      </c>
      <c r="J3">
        <f>Data!Q67</f>
        <v>0</v>
      </c>
      <c r="K3">
        <f>Data!R67</f>
        <v>0</v>
      </c>
      <c r="L3">
        <f>Data!S67</f>
        <v>0</v>
      </c>
      <c r="M3">
        <f>Data!T67</f>
        <v>0</v>
      </c>
      <c r="N3">
        <f>Data!U67</f>
        <v>0</v>
      </c>
      <c r="O3">
        <f>Data!V67</f>
        <v>0</v>
      </c>
      <c r="P3">
        <f>Data!W67</f>
        <v>0</v>
      </c>
      <c r="Q3">
        <f>Data!X67</f>
        <v>0</v>
      </c>
      <c r="R3">
        <f>Data!Y67</f>
        <v>0</v>
      </c>
      <c r="S3">
        <f>Data!Z67</f>
        <v>0</v>
      </c>
      <c r="T3">
        <f>Data!AA67</f>
        <v>0</v>
      </c>
      <c r="U3">
        <f>Data!AB67</f>
        <v>0</v>
      </c>
      <c r="V3">
        <f>Data!AC67</f>
        <v>0</v>
      </c>
      <c r="W3">
        <f>Data!AD67</f>
        <v>0</v>
      </c>
      <c r="X3">
        <f>Data!AE67</f>
        <v>0</v>
      </c>
      <c r="Y3">
        <f>Data!AF67</f>
        <v>0</v>
      </c>
      <c r="Z3">
        <f>Data!AG67</f>
        <v>0</v>
      </c>
      <c r="AA3">
        <f>Data!AH67</f>
        <v>0</v>
      </c>
      <c r="AB3">
        <f>Data!AI67</f>
        <v>0</v>
      </c>
      <c r="AC3">
        <f>Data!AJ67</f>
        <v>0</v>
      </c>
      <c r="AD3">
        <f>Data!AK67</f>
        <v>0</v>
      </c>
      <c r="AE3">
        <f>Data!AL67</f>
        <v>0</v>
      </c>
      <c r="AF3">
        <f>Data!AM67</f>
        <v>0</v>
      </c>
      <c r="AG3">
        <f>Data!AN67</f>
        <v>0</v>
      </c>
      <c r="AH3">
        <f>Data!AO67</f>
        <v>0</v>
      </c>
      <c r="AI3">
        <f>Data!AP67</f>
        <v>0</v>
      </c>
      <c r="AJ3">
        <f>Data!AQ67</f>
        <v>0</v>
      </c>
      <c r="AK3">
        <f>Data!AR67</f>
        <v>0</v>
      </c>
      <c r="AL3">
        <f>Data!AS67</f>
        <v>0</v>
      </c>
      <c r="AM3">
        <f>Data!AT67</f>
        <v>0</v>
      </c>
      <c r="AN3">
        <f>Data!AU67</f>
        <v>0</v>
      </c>
      <c r="AO3">
        <f>Data!AV67</f>
        <v>0</v>
      </c>
      <c r="AP3">
        <f>Data!AW67</f>
        <v>0</v>
      </c>
      <c r="AQ3">
        <f>Data!AX67</f>
        <v>0</v>
      </c>
      <c r="AR3">
        <f>Data!AY67</f>
        <v>0</v>
      </c>
      <c r="AS3">
        <f>Data!AZ67</f>
        <v>0</v>
      </c>
      <c r="AT3">
        <f>Data!BA67</f>
        <v>0</v>
      </c>
      <c r="AU3">
        <f>Data!BB67</f>
        <v>0</v>
      </c>
      <c r="AV3">
        <f>Data!BC67</f>
        <v>0</v>
      </c>
      <c r="AW3">
        <f>Data!BD67</f>
        <v>0</v>
      </c>
      <c r="AX3">
        <f>Data!BE67</f>
        <v>0</v>
      </c>
      <c r="AY3">
        <f>Data!BF67</f>
        <v>0</v>
      </c>
    </row>
    <row r="4" spans="1:51" x14ac:dyDescent="0.75">
      <c r="A4" t="s">
        <v>3</v>
      </c>
      <c r="B4">
        <f>Data!I68</f>
        <v>0</v>
      </c>
      <c r="C4">
        <f>Data!J68</f>
        <v>0</v>
      </c>
      <c r="D4">
        <f>Data!K68</f>
        <v>0</v>
      </c>
      <c r="E4">
        <f>Data!L68</f>
        <v>0</v>
      </c>
      <c r="F4">
        <f>Data!M68</f>
        <v>0</v>
      </c>
      <c r="G4">
        <f>Data!N68</f>
        <v>0</v>
      </c>
      <c r="H4">
        <f>Data!O68</f>
        <v>0</v>
      </c>
      <c r="I4">
        <f>Data!P68</f>
        <v>0</v>
      </c>
      <c r="J4">
        <f>Data!Q68</f>
        <v>0</v>
      </c>
      <c r="K4">
        <f>Data!R68</f>
        <v>0</v>
      </c>
      <c r="L4">
        <f>Data!S68</f>
        <v>0</v>
      </c>
      <c r="M4">
        <f>Data!T68</f>
        <v>0</v>
      </c>
      <c r="N4">
        <f>Data!U68</f>
        <v>0</v>
      </c>
      <c r="O4">
        <f>Data!V68</f>
        <v>0</v>
      </c>
      <c r="P4">
        <f>Data!W68</f>
        <v>0</v>
      </c>
      <c r="Q4">
        <f>Data!X68</f>
        <v>0</v>
      </c>
      <c r="R4">
        <f>Data!Y68</f>
        <v>0</v>
      </c>
      <c r="S4">
        <f>Data!Z68</f>
        <v>0</v>
      </c>
      <c r="T4">
        <f>Data!AA68</f>
        <v>0</v>
      </c>
      <c r="U4">
        <f>Data!AB68</f>
        <v>0</v>
      </c>
      <c r="V4">
        <f>Data!AC68</f>
        <v>0</v>
      </c>
      <c r="W4">
        <f>Data!AD68</f>
        <v>0</v>
      </c>
      <c r="X4">
        <f>Data!AE68</f>
        <v>0</v>
      </c>
      <c r="Y4">
        <f>Data!AF68</f>
        <v>0</v>
      </c>
      <c r="Z4">
        <f>Data!AG68</f>
        <v>0</v>
      </c>
      <c r="AA4">
        <f>Data!AH68</f>
        <v>0</v>
      </c>
      <c r="AB4">
        <f>Data!AI68</f>
        <v>0</v>
      </c>
      <c r="AC4">
        <f>Data!AJ68</f>
        <v>0</v>
      </c>
      <c r="AD4">
        <f>Data!AK68</f>
        <v>0</v>
      </c>
      <c r="AE4">
        <f>Data!AL68</f>
        <v>0</v>
      </c>
      <c r="AF4">
        <f>Data!AM68</f>
        <v>0</v>
      </c>
      <c r="AG4">
        <f>Data!AN68</f>
        <v>0</v>
      </c>
      <c r="AH4">
        <f>Data!AO68</f>
        <v>0</v>
      </c>
      <c r="AI4">
        <f>Data!AP68</f>
        <v>0</v>
      </c>
      <c r="AJ4">
        <f>Data!AQ68</f>
        <v>0</v>
      </c>
      <c r="AK4">
        <f>Data!AR68</f>
        <v>0</v>
      </c>
      <c r="AL4">
        <f>Data!AS68</f>
        <v>0</v>
      </c>
      <c r="AM4">
        <f>Data!AT68</f>
        <v>0</v>
      </c>
      <c r="AN4">
        <f>Data!AU68</f>
        <v>0</v>
      </c>
      <c r="AO4">
        <f>Data!AV68</f>
        <v>0</v>
      </c>
      <c r="AP4">
        <f>Data!AW68</f>
        <v>0</v>
      </c>
      <c r="AQ4">
        <f>Data!AX68</f>
        <v>0</v>
      </c>
      <c r="AR4">
        <f>Data!AY68</f>
        <v>0</v>
      </c>
      <c r="AS4">
        <f>Data!AZ68</f>
        <v>0</v>
      </c>
      <c r="AT4">
        <f>Data!BA68</f>
        <v>0</v>
      </c>
      <c r="AU4">
        <f>Data!BB68</f>
        <v>0</v>
      </c>
      <c r="AV4">
        <f>Data!BC68</f>
        <v>0</v>
      </c>
      <c r="AW4">
        <f>Data!BD68</f>
        <v>0</v>
      </c>
      <c r="AX4">
        <f>Data!BE68</f>
        <v>0</v>
      </c>
      <c r="AY4">
        <f>Data!BF68</f>
        <v>0</v>
      </c>
    </row>
    <row r="5" spans="1:51" x14ac:dyDescent="0.75">
      <c r="A5" t="s">
        <v>4</v>
      </c>
      <c r="B5">
        <f>Data!I69</f>
        <v>1</v>
      </c>
      <c r="C5">
        <f>Data!J69</f>
        <v>1</v>
      </c>
      <c r="D5">
        <f>Data!K69</f>
        <v>1</v>
      </c>
      <c r="E5">
        <f>Data!L69</f>
        <v>1</v>
      </c>
      <c r="F5">
        <f>Data!M69</f>
        <v>1</v>
      </c>
      <c r="G5">
        <f>Data!N69</f>
        <v>1</v>
      </c>
      <c r="H5">
        <f>Data!O69</f>
        <v>1</v>
      </c>
      <c r="I5">
        <f>Data!P69</f>
        <v>1</v>
      </c>
      <c r="J5">
        <f>Data!Q69</f>
        <v>1</v>
      </c>
      <c r="K5">
        <f>Data!R69</f>
        <v>1</v>
      </c>
      <c r="L5">
        <f>Data!S69</f>
        <v>1</v>
      </c>
      <c r="M5">
        <f>Data!T69</f>
        <v>1</v>
      </c>
      <c r="N5">
        <f>Data!U69</f>
        <v>1</v>
      </c>
      <c r="O5">
        <f>Data!V69</f>
        <v>1</v>
      </c>
      <c r="P5">
        <f>Data!W69</f>
        <v>1</v>
      </c>
      <c r="Q5">
        <f>Data!X69</f>
        <v>1</v>
      </c>
      <c r="R5">
        <f>Data!Y69</f>
        <v>1</v>
      </c>
      <c r="S5">
        <f>Data!Z69</f>
        <v>1</v>
      </c>
      <c r="T5">
        <f>Data!AA69</f>
        <v>1</v>
      </c>
      <c r="U5">
        <f>Data!AB69</f>
        <v>1</v>
      </c>
      <c r="V5">
        <f>Data!AC69</f>
        <v>1</v>
      </c>
      <c r="W5">
        <f>Data!AD69</f>
        <v>1</v>
      </c>
      <c r="X5">
        <f>Data!AE69</f>
        <v>1</v>
      </c>
      <c r="Y5">
        <f>Data!AF69</f>
        <v>1</v>
      </c>
      <c r="Z5">
        <f>Data!AG69</f>
        <v>1</v>
      </c>
      <c r="AA5">
        <f>Data!AH69</f>
        <v>1</v>
      </c>
      <c r="AB5">
        <f>Data!AI69</f>
        <v>1</v>
      </c>
      <c r="AC5">
        <f>Data!AJ69</f>
        <v>1</v>
      </c>
      <c r="AD5">
        <f>Data!AK69</f>
        <v>1</v>
      </c>
      <c r="AE5">
        <f>Data!AL69</f>
        <v>1</v>
      </c>
      <c r="AF5">
        <f>Data!AM69</f>
        <v>1</v>
      </c>
      <c r="AG5">
        <f>Data!AN69</f>
        <v>1</v>
      </c>
      <c r="AH5">
        <f>Data!AO69</f>
        <v>1</v>
      </c>
      <c r="AI5">
        <f>Data!AP69</f>
        <v>1</v>
      </c>
      <c r="AJ5">
        <f>Data!AQ69</f>
        <v>1</v>
      </c>
      <c r="AK5">
        <f>Data!AR69</f>
        <v>1</v>
      </c>
      <c r="AL5">
        <f>Data!AS69</f>
        <v>1</v>
      </c>
      <c r="AM5">
        <f>Data!AT69</f>
        <v>1</v>
      </c>
      <c r="AN5">
        <f>Data!AU69</f>
        <v>1</v>
      </c>
      <c r="AO5">
        <f>Data!AV69</f>
        <v>1</v>
      </c>
      <c r="AP5">
        <f>Data!AW69</f>
        <v>1</v>
      </c>
      <c r="AQ5">
        <f>Data!AX69</f>
        <v>1</v>
      </c>
      <c r="AR5">
        <f>Data!AY69</f>
        <v>1</v>
      </c>
      <c r="AS5">
        <f>Data!AZ69</f>
        <v>1</v>
      </c>
      <c r="AT5">
        <f>Data!BA69</f>
        <v>1</v>
      </c>
      <c r="AU5">
        <f>Data!BB69</f>
        <v>1</v>
      </c>
      <c r="AV5">
        <f>Data!BC69</f>
        <v>1</v>
      </c>
      <c r="AW5">
        <f>Data!BD69</f>
        <v>1</v>
      </c>
      <c r="AX5">
        <f>Data!BE69</f>
        <v>1</v>
      </c>
      <c r="AY5">
        <f>Data!BF69</f>
        <v>1</v>
      </c>
    </row>
    <row r="6" spans="1:51" x14ac:dyDescent="0.75">
      <c r="A6" t="s">
        <v>5</v>
      </c>
      <c r="B6">
        <f>Data!I70</f>
        <v>0</v>
      </c>
      <c r="C6">
        <f>Data!J70</f>
        <v>0</v>
      </c>
      <c r="D6">
        <f>Data!K70</f>
        <v>0</v>
      </c>
      <c r="E6">
        <f>Data!L70</f>
        <v>0</v>
      </c>
      <c r="F6">
        <f>Data!M70</f>
        <v>0</v>
      </c>
      <c r="G6">
        <f>Data!N70</f>
        <v>0</v>
      </c>
      <c r="H6">
        <f>Data!O70</f>
        <v>0</v>
      </c>
      <c r="I6">
        <f>Data!P70</f>
        <v>0</v>
      </c>
      <c r="J6">
        <f>Data!Q70</f>
        <v>0</v>
      </c>
      <c r="K6">
        <f>Data!R70</f>
        <v>0</v>
      </c>
      <c r="L6">
        <f>Data!S70</f>
        <v>0</v>
      </c>
      <c r="M6">
        <f>Data!T70</f>
        <v>0</v>
      </c>
      <c r="N6">
        <f>Data!U70</f>
        <v>0</v>
      </c>
      <c r="O6">
        <f>Data!V70</f>
        <v>0</v>
      </c>
      <c r="P6">
        <f>Data!W70</f>
        <v>0</v>
      </c>
      <c r="Q6">
        <f>Data!X70</f>
        <v>0</v>
      </c>
      <c r="R6">
        <f>Data!Y70</f>
        <v>0</v>
      </c>
      <c r="S6">
        <f>Data!Z70</f>
        <v>0</v>
      </c>
      <c r="T6">
        <f>Data!AA70</f>
        <v>0</v>
      </c>
      <c r="U6">
        <f>Data!AB70</f>
        <v>0</v>
      </c>
      <c r="V6">
        <f>Data!AC70</f>
        <v>0</v>
      </c>
      <c r="W6">
        <f>Data!AD70</f>
        <v>0</v>
      </c>
      <c r="X6">
        <f>Data!AE70</f>
        <v>0</v>
      </c>
      <c r="Y6">
        <f>Data!AF70</f>
        <v>0</v>
      </c>
      <c r="Z6">
        <f>Data!AG70</f>
        <v>0</v>
      </c>
      <c r="AA6">
        <f>Data!AH70</f>
        <v>0</v>
      </c>
      <c r="AB6">
        <f>Data!AI70</f>
        <v>0</v>
      </c>
      <c r="AC6">
        <f>Data!AJ70</f>
        <v>0</v>
      </c>
      <c r="AD6">
        <f>Data!AK70</f>
        <v>0</v>
      </c>
      <c r="AE6">
        <f>Data!AL70</f>
        <v>0</v>
      </c>
      <c r="AF6">
        <f>Data!AM70</f>
        <v>0</v>
      </c>
      <c r="AG6">
        <f>Data!AN70</f>
        <v>0</v>
      </c>
      <c r="AH6">
        <f>Data!AO70</f>
        <v>0</v>
      </c>
      <c r="AI6">
        <f>Data!AP70</f>
        <v>0</v>
      </c>
      <c r="AJ6">
        <f>Data!AQ70</f>
        <v>0</v>
      </c>
      <c r="AK6">
        <f>Data!AR70</f>
        <v>0</v>
      </c>
      <c r="AL6">
        <f>Data!AS70</f>
        <v>0</v>
      </c>
      <c r="AM6">
        <f>Data!AT70</f>
        <v>0</v>
      </c>
      <c r="AN6">
        <f>Data!AU70</f>
        <v>0</v>
      </c>
      <c r="AO6">
        <f>Data!AV70</f>
        <v>0</v>
      </c>
      <c r="AP6">
        <f>Data!AW70</f>
        <v>0</v>
      </c>
      <c r="AQ6">
        <f>Data!AX70</f>
        <v>0</v>
      </c>
      <c r="AR6">
        <f>Data!AY70</f>
        <v>0</v>
      </c>
      <c r="AS6">
        <f>Data!AZ70</f>
        <v>0</v>
      </c>
      <c r="AT6">
        <f>Data!BA70</f>
        <v>0</v>
      </c>
      <c r="AU6">
        <f>Data!BB70</f>
        <v>0</v>
      </c>
      <c r="AV6">
        <f>Data!BC70</f>
        <v>0</v>
      </c>
      <c r="AW6">
        <f>Data!BD70</f>
        <v>0</v>
      </c>
      <c r="AX6">
        <f>Data!BE70</f>
        <v>0</v>
      </c>
      <c r="AY6">
        <f>Data!BF70</f>
        <v>0</v>
      </c>
    </row>
    <row r="7" spans="1:51" x14ac:dyDescent="0.75">
      <c r="A7" t="s">
        <v>31</v>
      </c>
      <c r="B7">
        <f>Data!I71</f>
        <v>0</v>
      </c>
      <c r="C7">
        <f>Data!J71</f>
        <v>0</v>
      </c>
      <c r="D7">
        <f>Data!K71</f>
        <v>0</v>
      </c>
      <c r="E7">
        <f>Data!L71</f>
        <v>0</v>
      </c>
      <c r="F7">
        <f>Data!M71</f>
        <v>0</v>
      </c>
      <c r="G7">
        <f>Data!N71</f>
        <v>0</v>
      </c>
      <c r="H7">
        <f>Data!O71</f>
        <v>0</v>
      </c>
      <c r="I7">
        <f>Data!P71</f>
        <v>0</v>
      </c>
      <c r="J7">
        <f>Data!Q71</f>
        <v>0</v>
      </c>
      <c r="K7">
        <f>Data!R71</f>
        <v>0</v>
      </c>
      <c r="L7">
        <f>Data!S71</f>
        <v>0</v>
      </c>
      <c r="M7">
        <f>Data!T71</f>
        <v>0</v>
      </c>
      <c r="N7">
        <f>Data!U71</f>
        <v>0</v>
      </c>
      <c r="O7">
        <f>Data!V71</f>
        <v>0</v>
      </c>
      <c r="P7">
        <f>Data!W71</f>
        <v>0</v>
      </c>
      <c r="Q7">
        <f>Data!X71</f>
        <v>0</v>
      </c>
      <c r="R7">
        <f>Data!Y71</f>
        <v>0</v>
      </c>
      <c r="S7">
        <f>Data!Z71</f>
        <v>0</v>
      </c>
      <c r="T7">
        <f>Data!AA71</f>
        <v>0</v>
      </c>
      <c r="U7">
        <f>Data!AB71</f>
        <v>0</v>
      </c>
      <c r="V7">
        <f>Data!AC71</f>
        <v>0</v>
      </c>
      <c r="W7">
        <f>Data!AD71</f>
        <v>0</v>
      </c>
      <c r="X7">
        <f>Data!AE71</f>
        <v>0</v>
      </c>
      <c r="Y7">
        <f>Data!AF71</f>
        <v>0</v>
      </c>
      <c r="Z7">
        <f>Data!AG71</f>
        <v>0</v>
      </c>
      <c r="AA7">
        <f>Data!AH71</f>
        <v>0</v>
      </c>
      <c r="AB7">
        <f>Data!AI71</f>
        <v>0</v>
      </c>
      <c r="AC7">
        <f>Data!AJ71</f>
        <v>0</v>
      </c>
      <c r="AD7">
        <f>Data!AK71</f>
        <v>0</v>
      </c>
      <c r="AE7">
        <f>Data!AL71</f>
        <v>0</v>
      </c>
      <c r="AF7">
        <f>Data!AM71</f>
        <v>0</v>
      </c>
      <c r="AG7">
        <f>Data!AN71</f>
        <v>0</v>
      </c>
      <c r="AH7">
        <f>Data!AO71</f>
        <v>0</v>
      </c>
      <c r="AI7">
        <f>Data!AP71</f>
        <v>0</v>
      </c>
      <c r="AJ7">
        <f>Data!AQ71</f>
        <v>0</v>
      </c>
      <c r="AK7">
        <f>Data!AR71</f>
        <v>0</v>
      </c>
      <c r="AL7">
        <f>Data!AS71</f>
        <v>0</v>
      </c>
      <c r="AM7">
        <f>Data!AT71</f>
        <v>0</v>
      </c>
      <c r="AN7">
        <f>Data!AU71</f>
        <v>0</v>
      </c>
      <c r="AO7">
        <f>Data!AV71</f>
        <v>0</v>
      </c>
      <c r="AP7">
        <f>Data!AW71</f>
        <v>0</v>
      </c>
      <c r="AQ7">
        <f>Data!AX71</f>
        <v>0</v>
      </c>
      <c r="AR7">
        <f>Data!AY71</f>
        <v>0</v>
      </c>
      <c r="AS7">
        <f>Data!AZ71</f>
        <v>0</v>
      </c>
      <c r="AT7">
        <f>Data!BA71</f>
        <v>0</v>
      </c>
      <c r="AU7">
        <f>Data!BB71</f>
        <v>0</v>
      </c>
      <c r="AV7">
        <f>Data!BC71</f>
        <v>0</v>
      </c>
      <c r="AW7">
        <f>Data!BD71</f>
        <v>0</v>
      </c>
      <c r="AX7">
        <f>Data!BE71</f>
        <v>0</v>
      </c>
      <c r="AY7">
        <f>Data!BF71</f>
        <v>0</v>
      </c>
    </row>
    <row r="8" spans="1:51" x14ac:dyDescent="0.75">
      <c r="A8" t="s">
        <v>32</v>
      </c>
      <c r="B8">
        <f>Data!I72</f>
        <v>0</v>
      </c>
      <c r="C8">
        <f>Data!J72</f>
        <v>0</v>
      </c>
      <c r="D8">
        <f>Data!K72</f>
        <v>0</v>
      </c>
      <c r="E8">
        <f>Data!L72</f>
        <v>0</v>
      </c>
      <c r="F8">
        <f>Data!M72</f>
        <v>0</v>
      </c>
      <c r="G8">
        <f>Data!N72</f>
        <v>0</v>
      </c>
      <c r="H8">
        <f>Data!O72</f>
        <v>0</v>
      </c>
      <c r="I8">
        <f>Data!P72</f>
        <v>0</v>
      </c>
      <c r="J8">
        <f>Data!Q72</f>
        <v>0</v>
      </c>
      <c r="K8">
        <f>Data!R72</f>
        <v>0</v>
      </c>
      <c r="L8">
        <f>Data!S72</f>
        <v>0</v>
      </c>
      <c r="M8">
        <f>Data!T72</f>
        <v>0</v>
      </c>
      <c r="N8">
        <f>Data!U72</f>
        <v>0</v>
      </c>
      <c r="O8">
        <f>Data!V72</f>
        <v>0</v>
      </c>
      <c r="P8">
        <f>Data!W72</f>
        <v>0</v>
      </c>
      <c r="Q8">
        <f>Data!X72</f>
        <v>0</v>
      </c>
      <c r="R8">
        <f>Data!Y72</f>
        <v>0</v>
      </c>
      <c r="S8">
        <f>Data!Z72</f>
        <v>0</v>
      </c>
      <c r="T8">
        <f>Data!AA72</f>
        <v>0</v>
      </c>
      <c r="U8">
        <f>Data!AB72</f>
        <v>0</v>
      </c>
      <c r="V8">
        <f>Data!AC72</f>
        <v>0</v>
      </c>
      <c r="W8">
        <f>Data!AD72</f>
        <v>0</v>
      </c>
      <c r="X8">
        <f>Data!AE72</f>
        <v>0</v>
      </c>
      <c r="Y8">
        <f>Data!AF72</f>
        <v>0</v>
      </c>
      <c r="Z8">
        <f>Data!AG72</f>
        <v>0</v>
      </c>
      <c r="AA8">
        <f>Data!AH72</f>
        <v>0</v>
      </c>
      <c r="AB8">
        <f>Data!AI72</f>
        <v>0</v>
      </c>
      <c r="AC8">
        <f>Data!AJ72</f>
        <v>0</v>
      </c>
      <c r="AD8">
        <f>Data!AK72</f>
        <v>0</v>
      </c>
      <c r="AE8">
        <f>Data!AL72</f>
        <v>0</v>
      </c>
      <c r="AF8">
        <f>Data!AM72</f>
        <v>0</v>
      </c>
      <c r="AG8">
        <f>Data!AN72</f>
        <v>0</v>
      </c>
      <c r="AH8">
        <f>Data!AO72</f>
        <v>0</v>
      </c>
      <c r="AI8">
        <f>Data!AP72</f>
        <v>0</v>
      </c>
      <c r="AJ8">
        <f>Data!AQ72</f>
        <v>0</v>
      </c>
      <c r="AK8">
        <f>Data!AR72</f>
        <v>0</v>
      </c>
      <c r="AL8">
        <f>Data!AS72</f>
        <v>0</v>
      </c>
      <c r="AM8">
        <f>Data!AT72</f>
        <v>0</v>
      </c>
      <c r="AN8">
        <f>Data!AU72</f>
        <v>0</v>
      </c>
      <c r="AO8">
        <f>Data!AV72</f>
        <v>0</v>
      </c>
      <c r="AP8">
        <f>Data!AW72</f>
        <v>0</v>
      </c>
      <c r="AQ8">
        <f>Data!AX72</f>
        <v>0</v>
      </c>
      <c r="AR8">
        <f>Data!AY72</f>
        <v>0</v>
      </c>
      <c r="AS8">
        <f>Data!AZ72</f>
        <v>0</v>
      </c>
      <c r="AT8">
        <f>Data!BA72</f>
        <v>0</v>
      </c>
      <c r="AU8">
        <f>Data!BB72</f>
        <v>0</v>
      </c>
      <c r="AV8">
        <f>Data!BC72</f>
        <v>0</v>
      </c>
      <c r="AW8">
        <f>Data!BD72</f>
        <v>0</v>
      </c>
      <c r="AX8">
        <f>Data!BE72</f>
        <v>0</v>
      </c>
      <c r="AY8">
        <f>Data!BF72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Y8"/>
  <sheetViews>
    <sheetView topLeftCell="Y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Data!I73</f>
        <v>0</v>
      </c>
      <c r="C2">
        <f>Data!J73</f>
        <v>0</v>
      </c>
      <c r="D2">
        <f>Data!K73</f>
        <v>0</v>
      </c>
      <c r="E2">
        <f>Data!L73</f>
        <v>0</v>
      </c>
      <c r="F2">
        <f>Data!M73</f>
        <v>0</v>
      </c>
      <c r="G2">
        <f>Data!N73</f>
        <v>0</v>
      </c>
      <c r="H2">
        <f>Data!O73</f>
        <v>0</v>
      </c>
      <c r="I2">
        <f>Data!P73</f>
        <v>0</v>
      </c>
      <c r="J2">
        <f>Data!Q73</f>
        <v>0</v>
      </c>
      <c r="K2">
        <f>Data!R73</f>
        <v>0</v>
      </c>
      <c r="L2">
        <f>Data!S73</f>
        <v>0</v>
      </c>
      <c r="M2">
        <f>Data!T73</f>
        <v>0</v>
      </c>
      <c r="N2">
        <f>Data!U73</f>
        <v>0</v>
      </c>
      <c r="O2">
        <f>Data!V73</f>
        <v>0</v>
      </c>
      <c r="P2">
        <f>Data!W73</f>
        <v>0</v>
      </c>
      <c r="Q2">
        <f>Data!X73</f>
        <v>0</v>
      </c>
      <c r="R2">
        <f>Data!Y73</f>
        <v>0</v>
      </c>
      <c r="S2">
        <f>Data!Z73</f>
        <v>0</v>
      </c>
      <c r="T2">
        <f>Data!AA73</f>
        <v>0</v>
      </c>
      <c r="U2">
        <f>Data!AB73</f>
        <v>0</v>
      </c>
      <c r="V2">
        <f>Data!AC73</f>
        <v>0</v>
      </c>
      <c r="W2">
        <f>Data!AD73</f>
        <v>0</v>
      </c>
      <c r="X2">
        <f>Data!AE73</f>
        <v>0</v>
      </c>
      <c r="Y2">
        <f>Data!AF73</f>
        <v>0</v>
      </c>
      <c r="Z2">
        <f>Data!AG73</f>
        <v>0</v>
      </c>
      <c r="AA2">
        <f>Data!AH73</f>
        <v>0</v>
      </c>
      <c r="AB2">
        <f>Data!AI73</f>
        <v>0</v>
      </c>
      <c r="AC2">
        <f>Data!AJ73</f>
        <v>0</v>
      </c>
      <c r="AD2">
        <f>Data!AK73</f>
        <v>0</v>
      </c>
      <c r="AE2">
        <f>Data!AL73</f>
        <v>0</v>
      </c>
      <c r="AF2">
        <f>Data!AM73</f>
        <v>0</v>
      </c>
      <c r="AG2">
        <f>Data!AN73</f>
        <v>0</v>
      </c>
      <c r="AH2">
        <f>Data!AO73</f>
        <v>0</v>
      </c>
      <c r="AI2">
        <f>Data!AP73</f>
        <v>0</v>
      </c>
      <c r="AJ2">
        <f>Data!AQ73</f>
        <v>0</v>
      </c>
      <c r="AK2">
        <f>Data!AR73</f>
        <v>0</v>
      </c>
      <c r="AL2">
        <f>Data!AS73</f>
        <v>0</v>
      </c>
      <c r="AM2">
        <f>Data!AT73</f>
        <v>0</v>
      </c>
      <c r="AN2">
        <f>Data!AU73</f>
        <v>0</v>
      </c>
      <c r="AO2">
        <f>Data!AV73</f>
        <v>0</v>
      </c>
      <c r="AP2">
        <f>Data!AW73</f>
        <v>0</v>
      </c>
      <c r="AQ2">
        <f>Data!AX73</f>
        <v>0</v>
      </c>
      <c r="AR2">
        <f>Data!AY73</f>
        <v>0</v>
      </c>
      <c r="AS2">
        <f>Data!AZ73</f>
        <v>0</v>
      </c>
      <c r="AT2">
        <f>Data!BA73</f>
        <v>0</v>
      </c>
      <c r="AU2">
        <f>Data!BB73</f>
        <v>0</v>
      </c>
      <c r="AV2">
        <f>Data!BC73</f>
        <v>0</v>
      </c>
      <c r="AW2">
        <f>Data!BD73</f>
        <v>0</v>
      </c>
      <c r="AX2">
        <f>Data!BE73</f>
        <v>0</v>
      </c>
      <c r="AY2">
        <f>Data!BF73</f>
        <v>0</v>
      </c>
    </row>
    <row r="3" spans="1:51" x14ac:dyDescent="0.75">
      <c r="A3" t="s">
        <v>2</v>
      </c>
      <c r="B3">
        <f>Data!I74</f>
        <v>0</v>
      </c>
      <c r="C3">
        <f>Data!J74</f>
        <v>0</v>
      </c>
      <c r="D3">
        <f>Data!K74</f>
        <v>0</v>
      </c>
      <c r="E3">
        <f>Data!L74</f>
        <v>0</v>
      </c>
      <c r="F3">
        <f>Data!M74</f>
        <v>0</v>
      </c>
      <c r="G3">
        <f>Data!N74</f>
        <v>0</v>
      </c>
      <c r="H3">
        <f>Data!O74</f>
        <v>0</v>
      </c>
      <c r="I3">
        <f>Data!P74</f>
        <v>0</v>
      </c>
      <c r="J3">
        <f>Data!Q74</f>
        <v>0</v>
      </c>
      <c r="K3">
        <f>Data!R74</f>
        <v>0</v>
      </c>
      <c r="L3">
        <f>Data!S74</f>
        <v>0</v>
      </c>
      <c r="M3">
        <f>Data!T74</f>
        <v>0</v>
      </c>
      <c r="N3">
        <f>Data!U74</f>
        <v>0</v>
      </c>
      <c r="O3">
        <f>Data!V74</f>
        <v>0</v>
      </c>
      <c r="P3">
        <f>Data!W74</f>
        <v>0</v>
      </c>
      <c r="Q3">
        <f>Data!X74</f>
        <v>0</v>
      </c>
      <c r="R3">
        <f>Data!Y74</f>
        <v>0</v>
      </c>
      <c r="S3">
        <f>Data!Z74</f>
        <v>0</v>
      </c>
      <c r="T3">
        <f>Data!AA74</f>
        <v>0</v>
      </c>
      <c r="U3">
        <f>Data!AB74</f>
        <v>0</v>
      </c>
      <c r="V3">
        <f>Data!AC74</f>
        <v>0</v>
      </c>
      <c r="W3">
        <f>Data!AD74</f>
        <v>0</v>
      </c>
      <c r="X3">
        <f>Data!AE74</f>
        <v>0</v>
      </c>
      <c r="Y3">
        <f>Data!AF74</f>
        <v>0</v>
      </c>
      <c r="Z3">
        <f>Data!AG74</f>
        <v>0</v>
      </c>
      <c r="AA3">
        <f>Data!AH74</f>
        <v>0</v>
      </c>
      <c r="AB3">
        <f>Data!AI74</f>
        <v>0</v>
      </c>
      <c r="AC3">
        <f>Data!AJ74</f>
        <v>0</v>
      </c>
      <c r="AD3">
        <f>Data!AK74</f>
        <v>0</v>
      </c>
      <c r="AE3">
        <f>Data!AL74</f>
        <v>0</v>
      </c>
      <c r="AF3">
        <f>Data!AM74</f>
        <v>0</v>
      </c>
      <c r="AG3">
        <f>Data!AN74</f>
        <v>0</v>
      </c>
      <c r="AH3">
        <f>Data!AO74</f>
        <v>0</v>
      </c>
      <c r="AI3">
        <f>Data!AP74</f>
        <v>0</v>
      </c>
      <c r="AJ3">
        <f>Data!AQ74</f>
        <v>0</v>
      </c>
      <c r="AK3">
        <f>Data!AR74</f>
        <v>0</v>
      </c>
      <c r="AL3">
        <f>Data!AS74</f>
        <v>0</v>
      </c>
      <c r="AM3">
        <f>Data!AT74</f>
        <v>0</v>
      </c>
      <c r="AN3">
        <f>Data!AU74</f>
        <v>0</v>
      </c>
      <c r="AO3">
        <f>Data!AV74</f>
        <v>0</v>
      </c>
      <c r="AP3">
        <f>Data!AW74</f>
        <v>0</v>
      </c>
      <c r="AQ3">
        <f>Data!AX74</f>
        <v>0</v>
      </c>
      <c r="AR3">
        <f>Data!AY74</f>
        <v>0</v>
      </c>
      <c r="AS3">
        <f>Data!AZ74</f>
        <v>0</v>
      </c>
      <c r="AT3">
        <f>Data!BA74</f>
        <v>0</v>
      </c>
      <c r="AU3">
        <f>Data!BB74</f>
        <v>0</v>
      </c>
      <c r="AV3">
        <f>Data!BC74</f>
        <v>0</v>
      </c>
      <c r="AW3">
        <f>Data!BD74</f>
        <v>0</v>
      </c>
      <c r="AX3">
        <f>Data!BE74</f>
        <v>0</v>
      </c>
      <c r="AY3">
        <f>Data!BF74</f>
        <v>0</v>
      </c>
    </row>
    <row r="4" spans="1:51" x14ac:dyDescent="0.75">
      <c r="A4" t="s">
        <v>3</v>
      </c>
      <c r="B4">
        <f>Data!I75</f>
        <v>0</v>
      </c>
      <c r="C4">
        <f>Data!J75</f>
        <v>0</v>
      </c>
      <c r="D4">
        <f>Data!K75</f>
        <v>0</v>
      </c>
      <c r="E4">
        <f>Data!L75</f>
        <v>0</v>
      </c>
      <c r="F4">
        <f>Data!M75</f>
        <v>0</v>
      </c>
      <c r="G4">
        <f>Data!N75</f>
        <v>0</v>
      </c>
      <c r="H4">
        <f>Data!O75</f>
        <v>0</v>
      </c>
      <c r="I4">
        <f>Data!P75</f>
        <v>0</v>
      </c>
      <c r="J4">
        <f>Data!Q75</f>
        <v>0</v>
      </c>
      <c r="K4">
        <f>Data!R75</f>
        <v>0</v>
      </c>
      <c r="L4">
        <f>Data!S75</f>
        <v>0</v>
      </c>
      <c r="M4">
        <f>Data!T75</f>
        <v>0</v>
      </c>
      <c r="N4">
        <f>Data!U75</f>
        <v>0</v>
      </c>
      <c r="O4">
        <f>Data!V75</f>
        <v>0</v>
      </c>
      <c r="P4">
        <f>Data!W75</f>
        <v>0</v>
      </c>
      <c r="Q4">
        <f>Data!X75</f>
        <v>0</v>
      </c>
      <c r="R4">
        <f>Data!Y75</f>
        <v>0</v>
      </c>
      <c r="S4">
        <f>Data!Z75</f>
        <v>0</v>
      </c>
      <c r="T4">
        <f>Data!AA75</f>
        <v>0</v>
      </c>
      <c r="U4">
        <f>Data!AB75</f>
        <v>0</v>
      </c>
      <c r="V4">
        <f>Data!AC75</f>
        <v>0</v>
      </c>
      <c r="W4">
        <f>Data!AD75</f>
        <v>0</v>
      </c>
      <c r="X4">
        <f>Data!AE75</f>
        <v>0</v>
      </c>
      <c r="Y4">
        <f>Data!AF75</f>
        <v>0</v>
      </c>
      <c r="Z4">
        <f>Data!AG75</f>
        <v>0</v>
      </c>
      <c r="AA4">
        <f>Data!AH75</f>
        <v>0</v>
      </c>
      <c r="AB4">
        <f>Data!AI75</f>
        <v>0</v>
      </c>
      <c r="AC4">
        <f>Data!AJ75</f>
        <v>0</v>
      </c>
      <c r="AD4">
        <f>Data!AK75</f>
        <v>0</v>
      </c>
      <c r="AE4">
        <f>Data!AL75</f>
        <v>0</v>
      </c>
      <c r="AF4">
        <f>Data!AM75</f>
        <v>0</v>
      </c>
      <c r="AG4">
        <f>Data!AN75</f>
        <v>0</v>
      </c>
      <c r="AH4">
        <f>Data!AO75</f>
        <v>0</v>
      </c>
      <c r="AI4">
        <f>Data!AP75</f>
        <v>0</v>
      </c>
      <c r="AJ4">
        <f>Data!AQ75</f>
        <v>0</v>
      </c>
      <c r="AK4">
        <f>Data!AR75</f>
        <v>0</v>
      </c>
      <c r="AL4">
        <f>Data!AS75</f>
        <v>0</v>
      </c>
      <c r="AM4">
        <f>Data!AT75</f>
        <v>0</v>
      </c>
      <c r="AN4">
        <f>Data!AU75</f>
        <v>0</v>
      </c>
      <c r="AO4">
        <f>Data!AV75</f>
        <v>0</v>
      </c>
      <c r="AP4">
        <f>Data!AW75</f>
        <v>0</v>
      </c>
      <c r="AQ4">
        <f>Data!AX75</f>
        <v>0</v>
      </c>
      <c r="AR4">
        <f>Data!AY75</f>
        <v>0</v>
      </c>
      <c r="AS4">
        <f>Data!AZ75</f>
        <v>0</v>
      </c>
      <c r="AT4">
        <f>Data!BA75</f>
        <v>0</v>
      </c>
      <c r="AU4">
        <f>Data!BB75</f>
        <v>0</v>
      </c>
      <c r="AV4">
        <f>Data!BC75</f>
        <v>0</v>
      </c>
      <c r="AW4">
        <f>Data!BD75</f>
        <v>0</v>
      </c>
      <c r="AX4">
        <f>Data!BE75</f>
        <v>0</v>
      </c>
      <c r="AY4">
        <f>Data!BF75</f>
        <v>0</v>
      </c>
    </row>
    <row r="5" spans="1:51" x14ac:dyDescent="0.75">
      <c r="A5" t="s">
        <v>4</v>
      </c>
      <c r="B5">
        <f>Data!I76</f>
        <v>1</v>
      </c>
      <c r="C5">
        <f>Data!J76</f>
        <v>1</v>
      </c>
      <c r="D5">
        <f>Data!K76</f>
        <v>1</v>
      </c>
      <c r="E5">
        <f>Data!L76</f>
        <v>1</v>
      </c>
      <c r="F5">
        <f>Data!M76</f>
        <v>1</v>
      </c>
      <c r="G5">
        <f>Data!N76</f>
        <v>1</v>
      </c>
      <c r="H5">
        <f>Data!O76</f>
        <v>1</v>
      </c>
      <c r="I5">
        <f>Data!P76</f>
        <v>1</v>
      </c>
      <c r="J5">
        <f>Data!Q76</f>
        <v>1</v>
      </c>
      <c r="K5">
        <f>Data!R76</f>
        <v>1</v>
      </c>
      <c r="L5">
        <f>Data!S76</f>
        <v>1</v>
      </c>
      <c r="M5">
        <f>Data!T76</f>
        <v>1</v>
      </c>
      <c r="N5">
        <f>Data!U76</f>
        <v>1</v>
      </c>
      <c r="O5">
        <f>Data!V76</f>
        <v>1</v>
      </c>
      <c r="P5">
        <f>Data!W76</f>
        <v>1</v>
      </c>
      <c r="Q5">
        <f>Data!X76</f>
        <v>1</v>
      </c>
      <c r="R5">
        <f>Data!Y76</f>
        <v>1</v>
      </c>
      <c r="S5">
        <f>Data!Z76</f>
        <v>1</v>
      </c>
      <c r="T5">
        <f>Data!AA76</f>
        <v>1</v>
      </c>
      <c r="U5">
        <f>Data!AB76</f>
        <v>1</v>
      </c>
      <c r="V5">
        <f>Data!AC76</f>
        <v>1</v>
      </c>
      <c r="W5">
        <f>Data!AD76</f>
        <v>1</v>
      </c>
      <c r="X5">
        <f>Data!AE76</f>
        <v>1</v>
      </c>
      <c r="Y5">
        <f>Data!AF76</f>
        <v>1</v>
      </c>
      <c r="Z5">
        <f>Data!AG76</f>
        <v>1</v>
      </c>
      <c r="AA5">
        <f>Data!AH76</f>
        <v>1</v>
      </c>
      <c r="AB5">
        <f>Data!AI76</f>
        <v>1</v>
      </c>
      <c r="AC5">
        <f>Data!AJ76</f>
        <v>1</v>
      </c>
      <c r="AD5">
        <f>Data!AK76</f>
        <v>1</v>
      </c>
      <c r="AE5">
        <f>Data!AL76</f>
        <v>1</v>
      </c>
      <c r="AF5">
        <f>Data!AM76</f>
        <v>1</v>
      </c>
      <c r="AG5">
        <f>Data!AN76</f>
        <v>1</v>
      </c>
      <c r="AH5">
        <f>Data!AO76</f>
        <v>1</v>
      </c>
      <c r="AI5">
        <f>Data!AP76</f>
        <v>1</v>
      </c>
      <c r="AJ5">
        <f>Data!AQ76</f>
        <v>1</v>
      </c>
      <c r="AK5">
        <f>Data!AR76</f>
        <v>1</v>
      </c>
      <c r="AL5">
        <f>Data!AS76</f>
        <v>1</v>
      </c>
      <c r="AM5">
        <f>Data!AT76</f>
        <v>1</v>
      </c>
      <c r="AN5">
        <f>Data!AU76</f>
        <v>1</v>
      </c>
      <c r="AO5">
        <f>Data!AV76</f>
        <v>1</v>
      </c>
      <c r="AP5">
        <f>Data!AW76</f>
        <v>1</v>
      </c>
      <c r="AQ5">
        <f>Data!AX76</f>
        <v>1</v>
      </c>
      <c r="AR5">
        <f>Data!AY76</f>
        <v>1</v>
      </c>
      <c r="AS5">
        <f>Data!AZ76</f>
        <v>1</v>
      </c>
      <c r="AT5">
        <f>Data!BA76</f>
        <v>1</v>
      </c>
      <c r="AU5">
        <f>Data!BB76</f>
        <v>1</v>
      </c>
      <c r="AV5">
        <f>Data!BC76</f>
        <v>1</v>
      </c>
      <c r="AW5">
        <f>Data!BD76</f>
        <v>1</v>
      </c>
      <c r="AX5">
        <f>Data!BE76</f>
        <v>1</v>
      </c>
      <c r="AY5">
        <f>Data!BF76</f>
        <v>1</v>
      </c>
    </row>
    <row r="6" spans="1:51" x14ac:dyDescent="0.75">
      <c r="A6" t="s">
        <v>5</v>
      </c>
      <c r="B6">
        <f>Data!I77</f>
        <v>0</v>
      </c>
      <c r="C6">
        <f>Data!J77</f>
        <v>0</v>
      </c>
      <c r="D6">
        <f>Data!K77</f>
        <v>0</v>
      </c>
      <c r="E6">
        <f>Data!L77</f>
        <v>0</v>
      </c>
      <c r="F6">
        <f>Data!M77</f>
        <v>0</v>
      </c>
      <c r="G6">
        <f>Data!N77</f>
        <v>0</v>
      </c>
      <c r="H6">
        <f>Data!O77</f>
        <v>0</v>
      </c>
      <c r="I6">
        <f>Data!P77</f>
        <v>0</v>
      </c>
      <c r="J6">
        <f>Data!Q77</f>
        <v>0</v>
      </c>
      <c r="K6">
        <f>Data!R77</f>
        <v>0</v>
      </c>
      <c r="L6">
        <f>Data!S77</f>
        <v>0</v>
      </c>
      <c r="M6">
        <f>Data!T77</f>
        <v>0</v>
      </c>
      <c r="N6">
        <f>Data!U77</f>
        <v>0</v>
      </c>
      <c r="O6">
        <f>Data!V77</f>
        <v>0</v>
      </c>
      <c r="P6">
        <f>Data!W77</f>
        <v>0</v>
      </c>
      <c r="Q6">
        <f>Data!X77</f>
        <v>0</v>
      </c>
      <c r="R6">
        <f>Data!Y77</f>
        <v>0</v>
      </c>
      <c r="S6">
        <f>Data!Z77</f>
        <v>0</v>
      </c>
      <c r="T6">
        <f>Data!AA77</f>
        <v>0</v>
      </c>
      <c r="U6">
        <f>Data!AB77</f>
        <v>0</v>
      </c>
      <c r="V6">
        <f>Data!AC77</f>
        <v>0</v>
      </c>
      <c r="W6">
        <f>Data!AD77</f>
        <v>0</v>
      </c>
      <c r="X6">
        <f>Data!AE77</f>
        <v>0</v>
      </c>
      <c r="Y6">
        <f>Data!AF77</f>
        <v>0</v>
      </c>
      <c r="Z6">
        <f>Data!AG77</f>
        <v>0</v>
      </c>
      <c r="AA6">
        <f>Data!AH77</f>
        <v>0</v>
      </c>
      <c r="AB6">
        <f>Data!AI77</f>
        <v>0</v>
      </c>
      <c r="AC6">
        <f>Data!AJ77</f>
        <v>0</v>
      </c>
      <c r="AD6">
        <f>Data!AK77</f>
        <v>0</v>
      </c>
      <c r="AE6">
        <f>Data!AL77</f>
        <v>0</v>
      </c>
      <c r="AF6">
        <f>Data!AM77</f>
        <v>0</v>
      </c>
      <c r="AG6">
        <f>Data!AN77</f>
        <v>0</v>
      </c>
      <c r="AH6">
        <f>Data!AO77</f>
        <v>0</v>
      </c>
      <c r="AI6">
        <f>Data!AP77</f>
        <v>0</v>
      </c>
      <c r="AJ6">
        <f>Data!AQ77</f>
        <v>0</v>
      </c>
      <c r="AK6">
        <f>Data!AR77</f>
        <v>0</v>
      </c>
      <c r="AL6">
        <f>Data!AS77</f>
        <v>0</v>
      </c>
      <c r="AM6">
        <f>Data!AT77</f>
        <v>0</v>
      </c>
      <c r="AN6">
        <f>Data!AU77</f>
        <v>0</v>
      </c>
      <c r="AO6">
        <f>Data!AV77</f>
        <v>0</v>
      </c>
      <c r="AP6">
        <f>Data!AW77</f>
        <v>0</v>
      </c>
      <c r="AQ6">
        <f>Data!AX77</f>
        <v>0</v>
      </c>
      <c r="AR6">
        <f>Data!AY77</f>
        <v>0</v>
      </c>
      <c r="AS6">
        <f>Data!AZ77</f>
        <v>0</v>
      </c>
      <c r="AT6">
        <f>Data!BA77</f>
        <v>0</v>
      </c>
      <c r="AU6">
        <f>Data!BB77</f>
        <v>0</v>
      </c>
      <c r="AV6">
        <f>Data!BC77</f>
        <v>0</v>
      </c>
      <c r="AW6">
        <f>Data!BD77</f>
        <v>0</v>
      </c>
      <c r="AX6">
        <f>Data!BE77</f>
        <v>0</v>
      </c>
      <c r="AY6">
        <f>Data!BF77</f>
        <v>0</v>
      </c>
    </row>
    <row r="7" spans="1:51" x14ac:dyDescent="0.75">
      <c r="A7" t="s">
        <v>31</v>
      </c>
      <c r="B7">
        <f>Data!I78</f>
        <v>0</v>
      </c>
      <c r="C7">
        <f>Data!J78</f>
        <v>0</v>
      </c>
      <c r="D7">
        <f>Data!K78</f>
        <v>0</v>
      </c>
      <c r="E7">
        <f>Data!L78</f>
        <v>0</v>
      </c>
      <c r="F7">
        <f>Data!M78</f>
        <v>0</v>
      </c>
      <c r="G7">
        <f>Data!N78</f>
        <v>0</v>
      </c>
      <c r="H7">
        <f>Data!O78</f>
        <v>0</v>
      </c>
      <c r="I7">
        <f>Data!P78</f>
        <v>0</v>
      </c>
      <c r="J7">
        <f>Data!Q78</f>
        <v>0</v>
      </c>
      <c r="K7">
        <f>Data!R78</f>
        <v>0</v>
      </c>
      <c r="L7">
        <f>Data!S78</f>
        <v>0</v>
      </c>
      <c r="M7">
        <f>Data!T78</f>
        <v>0</v>
      </c>
      <c r="N7">
        <f>Data!U78</f>
        <v>0</v>
      </c>
      <c r="O7">
        <f>Data!V78</f>
        <v>0</v>
      </c>
      <c r="P7">
        <f>Data!W78</f>
        <v>0</v>
      </c>
      <c r="Q7">
        <f>Data!X78</f>
        <v>0</v>
      </c>
      <c r="R7">
        <f>Data!Y78</f>
        <v>0</v>
      </c>
      <c r="S7">
        <f>Data!Z78</f>
        <v>0</v>
      </c>
      <c r="T7">
        <f>Data!AA78</f>
        <v>0</v>
      </c>
      <c r="U7">
        <f>Data!AB78</f>
        <v>0</v>
      </c>
      <c r="V7">
        <f>Data!AC78</f>
        <v>0</v>
      </c>
      <c r="W7">
        <f>Data!AD78</f>
        <v>0</v>
      </c>
      <c r="X7">
        <f>Data!AE78</f>
        <v>0</v>
      </c>
      <c r="Y7">
        <f>Data!AF78</f>
        <v>0</v>
      </c>
      <c r="Z7">
        <f>Data!AG78</f>
        <v>0</v>
      </c>
      <c r="AA7">
        <f>Data!AH78</f>
        <v>0</v>
      </c>
      <c r="AB7">
        <f>Data!AI78</f>
        <v>0</v>
      </c>
      <c r="AC7">
        <f>Data!AJ78</f>
        <v>0</v>
      </c>
      <c r="AD7">
        <f>Data!AK78</f>
        <v>0</v>
      </c>
      <c r="AE7">
        <f>Data!AL78</f>
        <v>0</v>
      </c>
      <c r="AF7">
        <f>Data!AM78</f>
        <v>0</v>
      </c>
      <c r="AG7">
        <f>Data!AN78</f>
        <v>0</v>
      </c>
      <c r="AH7">
        <f>Data!AO78</f>
        <v>0</v>
      </c>
      <c r="AI7">
        <f>Data!AP78</f>
        <v>0</v>
      </c>
      <c r="AJ7">
        <f>Data!AQ78</f>
        <v>0</v>
      </c>
      <c r="AK7">
        <f>Data!AR78</f>
        <v>0</v>
      </c>
      <c r="AL7">
        <f>Data!AS78</f>
        <v>0</v>
      </c>
      <c r="AM7">
        <f>Data!AT78</f>
        <v>0</v>
      </c>
      <c r="AN7">
        <f>Data!AU78</f>
        <v>0</v>
      </c>
      <c r="AO7">
        <f>Data!AV78</f>
        <v>0</v>
      </c>
      <c r="AP7">
        <f>Data!AW78</f>
        <v>0</v>
      </c>
      <c r="AQ7">
        <f>Data!AX78</f>
        <v>0</v>
      </c>
      <c r="AR7">
        <f>Data!AY78</f>
        <v>0</v>
      </c>
      <c r="AS7">
        <f>Data!AZ78</f>
        <v>0</v>
      </c>
      <c r="AT7">
        <f>Data!BA78</f>
        <v>0</v>
      </c>
      <c r="AU7">
        <f>Data!BB78</f>
        <v>0</v>
      </c>
      <c r="AV7">
        <f>Data!BC78</f>
        <v>0</v>
      </c>
      <c r="AW7">
        <f>Data!BD78</f>
        <v>0</v>
      </c>
      <c r="AX7">
        <f>Data!BE78</f>
        <v>0</v>
      </c>
      <c r="AY7">
        <f>Data!BF78</f>
        <v>0</v>
      </c>
    </row>
    <row r="8" spans="1:51" x14ac:dyDescent="0.75">
      <c r="A8" t="s">
        <v>32</v>
      </c>
      <c r="B8">
        <f>Data!I79</f>
        <v>0</v>
      </c>
      <c r="C8">
        <f>Data!J79</f>
        <v>0</v>
      </c>
      <c r="D8">
        <f>Data!K79</f>
        <v>0</v>
      </c>
      <c r="E8">
        <f>Data!L79</f>
        <v>0</v>
      </c>
      <c r="F8">
        <f>Data!M79</f>
        <v>0</v>
      </c>
      <c r="G8">
        <f>Data!N79</f>
        <v>0</v>
      </c>
      <c r="H8">
        <f>Data!O79</f>
        <v>0</v>
      </c>
      <c r="I8">
        <f>Data!P79</f>
        <v>0</v>
      </c>
      <c r="J8">
        <f>Data!Q79</f>
        <v>0</v>
      </c>
      <c r="K8">
        <f>Data!R79</f>
        <v>0</v>
      </c>
      <c r="L8">
        <f>Data!S79</f>
        <v>0</v>
      </c>
      <c r="M8">
        <f>Data!T79</f>
        <v>0</v>
      </c>
      <c r="N8">
        <f>Data!U79</f>
        <v>0</v>
      </c>
      <c r="O8">
        <f>Data!V79</f>
        <v>0</v>
      </c>
      <c r="P8">
        <f>Data!W79</f>
        <v>0</v>
      </c>
      <c r="Q8">
        <f>Data!X79</f>
        <v>0</v>
      </c>
      <c r="R8">
        <f>Data!Y79</f>
        <v>0</v>
      </c>
      <c r="S8">
        <f>Data!Z79</f>
        <v>0</v>
      </c>
      <c r="T8">
        <f>Data!AA79</f>
        <v>0</v>
      </c>
      <c r="U8">
        <f>Data!AB79</f>
        <v>0</v>
      </c>
      <c r="V8">
        <f>Data!AC79</f>
        <v>0</v>
      </c>
      <c r="W8">
        <f>Data!AD79</f>
        <v>0</v>
      </c>
      <c r="X8">
        <f>Data!AE79</f>
        <v>0</v>
      </c>
      <c r="Y8">
        <f>Data!AF79</f>
        <v>0</v>
      </c>
      <c r="Z8">
        <f>Data!AG79</f>
        <v>0</v>
      </c>
      <c r="AA8">
        <f>Data!AH79</f>
        <v>0</v>
      </c>
      <c r="AB8">
        <f>Data!AI79</f>
        <v>0</v>
      </c>
      <c r="AC8">
        <f>Data!AJ79</f>
        <v>0</v>
      </c>
      <c r="AD8">
        <f>Data!AK79</f>
        <v>0</v>
      </c>
      <c r="AE8">
        <f>Data!AL79</f>
        <v>0</v>
      </c>
      <c r="AF8">
        <f>Data!AM79</f>
        <v>0</v>
      </c>
      <c r="AG8">
        <f>Data!AN79</f>
        <v>0</v>
      </c>
      <c r="AH8">
        <f>Data!AO79</f>
        <v>0</v>
      </c>
      <c r="AI8">
        <f>Data!AP79</f>
        <v>0</v>
      </c>
      <c r="AJ8">
        <f>Data!AQ79</f>
        <v>0</v>
      </c>
      <c r="AK8">
        <f>Data!AR79</f>
        <v>0</v>
      </c>
      <c r="AL8">
        <f>Data!AS79</f>
        <v>0</v>
      </c>
      <c r="AM8">
        <f>Data!AT79</f>
        <v>0</v>
      </c>
      <c r="AN8">
        <f>Data!AU79</f>
        <v>0</v>
      </c>
      <c r="AO8">
        <f>Data!AV79</f>
        <v>0</v>
      </c>
      <c r="AP8">
        <f>Data!AW79</f>
        <v>0</v>
      </c>
      <c r="AQ8">
        <f>Data!AX79</f>
        <v>0</v>
      </c>
      <c r="AR8">
        <f>Data!AY79</f>
        <v>0</v>
      </c>
      <c r="AS8">
        <f>Data!AZ79</f>
        <v>0</v>
      </c>
      <c r="AT8">
        <f>Data!BA79</f>
        <v>0</v>
      </c>
      <c r="AU8">
        <f>Data!BB79</f>
        <v>0</v>
      </c>
      <c r="AV8">
        <f>Data!BC79</f>
        <v>0</v>
      </c>
      <c r="AW8">
        <f>Data!BD79</f>
        <v>0</v>
      </c>
      <c r="AX8">
        <f>Data!BE79</f>
        <v>0</v>
      </c>
      <c r="AY8">
        <f>Data!BF79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Y8"/>
  <sheetViews>
    <sheetView topLeftCell="Y1" workbookViewId="0">
      <selection activeCell="B1" sqref="B1:AY1"/>
    </sheetView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f>Data!I80</f>
        <v>0.05</v>
      </c>
      <c r="C2">
        <f>Data!J80</f>
        <v>2.0000000000000018E-2</v>
      </c>
      <c r="D2">
        <f>Data!K80</f>
        <v>3.0000000000000009E-2</v>
      </c>
      <c r="E2">
        <f>Data!L80</f>
        <v>0.04</v>
      </c>
      <c r="F2">
        <f>Data!M80</f>
        <v>0.18475851165546342</v>
      </c>
      <c r="G2">
        <f>Data!N80</f>
        <v>0.22330424761603851</v>
      </c>
      <c r="H2">
        <f>Data!O80</f>
        <v>0.26990145567593327</v>
      </c>
      <c r="I2">
        <f>Data!P80</f>
        <v>0.32459797250624622</v>
      </c>
      <c r="J2">
        <f>Data!Q80</f>
        <v>0.38662650908549429</v>
      </c>
      <c r="K2">
        <f>Data!R80</f>
        <v>0.45427960902892389</v>
      </c>
      <c r="L2">
        <f>Data!S80</f>
        <v>0.52500000000000002</v>
      </c>
      <c r="M2">
        <f>Data!T80</f>
        <v>0.5957203909710761</v>
      </c>
      <c r="N2">
        <f>Data!U80</f>
        <v>0.6633734909145057</v>
      </c>
      <c r="O2">
        <f>Data!V80</f>
        <v>0.72540202749375371</v>
      </c>
      <c r="P2">
        <f>Data!W80</f>
        <v>0.78009854432406667</v>
      </c>
      <c r="Q2">
        <f>Data!X80</f>
        <v>0.82669575238396142</v>
      </c>
      <c r="R2">
        <f>Data!Y80</f>
        <v>0.86524148834453662</v>
      </c>
      <c r="S2">
        <f>Data!Z80</f>
        <v>0.89635801986416774</v>
      </c>
      <c r="T2">
        <f>Data!AA80</f>
        <v>0.9209859383307738</v>
      </c>
      <c r="U2">
        <f>Data!AB80</f>
        <v>0.94017531174585334</v>
      </c>
      <c r="V2">
        <f>Data!AC80</f>
        <v>0.9549454204813117</v>
      </c>
      <c r="W2">
        <f>Data!AD80</f>
        <v>0.96620737019099567</v>
      </c>
      <c r="X2">
        <f>Data!AE80</f>
        <v>0.97473285610197735</v>
      </c>
      <c r="Y2">
        <f>Data!AF80</f>
        <v>0.98115170955262643</v>
      </c>
      <c r="Z2">
        <f>Data!AG80</f>
        <v>0.98596466989139064</v>
      </c>
      <c r="AA2">
        <f>Data!AH80</f>
        <v>0.98956240450093647</v>
      </c>
      <c r="AB2">
        <f>Data!AI80</f>
        <v>0.99224555740449816</v>
      </c>
      <c r="AC2">
        <f>Data!AJ80</f>
        <v>0.99424318858299499</v>
      </c>
      <c r="AD2">
        <f>Data!AK80</f>
        <v>0.99572854049710591</v>
      </c>
      <c r="AE2">
        <f>Data!AL80</f>
        <v>0.99683193305795736</v>
      </c>
      <c r="AF2">
        <f>Data!AM80</f>
        <v>0.9976510080011971</v>
      </c>
      <c r="AG2">
        <f>Data!AN80</f>
        <v>0.9982587080046319</v>
      </c>
      <c r="AH2">
        <f>Data!AO80</f>
        <v>0.99870940604709257</v>
      </c>
      <c r="AI2">
        <f>Data!AP80</f>
        <v>0.99904356772091873</v>
      </c>
      <c r="AJ2">
        <f>Data!AQ80</f>
        <v>0.99929127260785522</v>
      </c>
      <c r="AK2">
        <f>Data!AR80</f>
        <v>0.99947486029492261</v>
      </c>
      <c r="AL2">
        <f>Data!AS80</f>
        <v>0.99961091119326329</v>
      </c>
      <c r="AM2">
        <f>Data!AT80</f>
        <v>0.99971172532147257</v>
      </c>
      <c r="AN2">
        <f>Data!AU80</f>
        <v>0.99978642406827833</v>
      </c>
      <c r="AO2">
        <f>Data!AV80</f>
        <v>0.99984176983846151</v>
      </c>
      <c r="AP2">
        <f>Data!AW80</f>
        <v>0.99988277515281299</v>
      </c>
      <c r="AQ2">
        <f>Data!AX80</f>
        <v>0.99991315491984034</v>
      </c>
      <c r="AR2">
        <f>Data!AY80</f>
        <v>0.99993566205786133</v>
      </c>
      <c r="AS2">
        <f>Data!AZ80</f>
        <v>0.9999523364435503</v>
      </c>
      <c r="AT2">
        <f>Data!BA80</f>
        <v>0.99996468950975226</v>
      </c>
      <c r="AU2">
        <f>Data!BB80</f>
        <v>0.99997384109344112</v>
      </c>
      <c r="AV2">
        <f>Data!BC80</f>
        <v>0.99998062086708406</v>
      </c>
      <c r="AW2">
        <f>Data!BD80</f>
        <v>0.99998564350933106</v>
      </c>
      <c r="AX2">
        <f>Data!BE80</f>
        <v>0.99998936440847019</v>
      </c>
      <c r="AY2">
        <f>Data!BF80</f>
        <v>0.99999212093714474</v>
      </c>
    </row>
    <row r="3" spans="1:51" x14ac:dyDescent="0.75">
      <c r="A3" t="s">
        <v>2</v>
      </c>
      <c r="B3">
        <f>Data!I81</f>
        <v>9.1114481822700006E-5</v>
      </c>
      <c r="C3">
        <f>Data!J81</f>
        <v>9.7816668248925013E-5</v>
      </c>
      <c r="D3">
        <f>Data!K81</f>
        <v>9.5582606106850033E-5</v>
      </c>
      <c r="E3">
        <f>Data!L81</f>
        <v>9.3348543964775054E-5</v>
      </c>
      <c r="F3">
        <f>Data!M81</f>
        <v>9.1114481822700006E-5</v>
      </c>
      <c r="G3">
        <f>Data!N81</f>
        <v>9.1114481822700006E-5</v>
      </c>
      <c r="H3">
        <f>Data!O81</f>
        <v>9.1114481822700006E-5</v>
      </c>
      <c r="I3">
        <f>Data!P81</f>
        <v>9.1114481822700006E-5</v>
      </c>
      <c r="J3">
        <f>Data!Q81</f>
        <v>9.1114481822700006E-5</v>
      </c>
      <c r="K3">
        <f>Data!R81</f>
        <v>9.1114481822700006E-5</v>
      </c>
      <c r="L3">
        <f>Data!S81</f>
        <v>9.1114481822700006E-5</v>
      </c>
      <c r="M3">
        <f>Data!T81</f>
        <v>9.1114481822700006E-5</v>
      </c>
      <c r="N3">
        <f>Data!U81</f>
        <v>9.1114481822700006E-5</v>
      </c>
      <c r="O3">
        <f>Data!V81</f>
        <v>9.1114481822700006E-5</v>
      </c>
      <c r="P3">
        <f>Data!W81</f>
        <v>9.1114481822700006E-5</v>
      </c>
      <c r="Q3">
        <f>Data!X81</f>
        <v>9.1114481822700006E-5</v>
      </c>
      <c r="R3">
        <f>Data!Y81</f>
        <v>9.1114481822700006E-5</v>
      </c>
      <c r="S3">
        <f>Data!Z81</f>
        <v>9.1114481822700006E-5</v>
      </c>
      <c r="T3">
        <f>Data!AA81</f>
        <v>9.1114481822700006E-5</v>
      </c>
      <c r="U3">
        <f>Data!AB81</f>
        <v>9.1114481822700006E-5</v>
      </c>
      <c r="V3">
        <f>Data!AC81</f>
        <v>9.1114481822700006E-5</v>
      </c>
      <c r="W3">
        <f>Data!AD81</f>
        <v>9.1114481822700006E-5</v>
      </c>
      <c r="X3">
        <f>Data!AE81</f>
        <v>9.1114481822700006E-5</v>
      </c>
      <c r="Y3">
        <f>Data!AF81</f>
        <v>9.1114481822700006E-5</v>
      </c>
      <c r="Z3">
        <f>Data!AG81</f>
        <v>9.1114481822700006E-5</v>
      </c>
      <c r="AA3">
        <f>Data!AH81</f>
        <v>9.1114481822700006E-5</v>
      </c>
      <c r="AB3">
        <f>Data!AI81</f>
        <v>9.1114481822700006E-5</v>
      </c>
      <c r="AC3">
        <f>Data!AJ81</f>
        <v>9.1114481822700006E-5</v>
      </c>
      <c r="AD3">
        <f>Data!AK81</f>
        <v>9.1114481822700006E-5</v>
      </c>
      <c r="AE3">
        <f>Data!AL81</f>
        <v>9.1114481822700006E-5</v>
      </c>
      <c r="AF3">
        <f>Data!AM81</f>
        <v>9.1114481822700006E-5</v>
      </c>
      <c r="AG3">
        <f>Data!AN81</f>
        <v>9.1114481822700006E-5</v>
      </c>
      <c r="AH3">
        <f>Data!AO81</f>
        <v>9.1114481822700006E-5</v>
      </c>
      <c r="AI3">
        <f>Data!AP81</f>
        <v>9.1114481822700006E-5</v>
      </c>
      <c r="AJ3">
        <f>Data!AQ81</f>
        <v>9.1114481822700006E-5</v>
      </c>
      <c r="AK3">
        <f>Data!AR81</f>
        <v>9.1114481822700006E-5</v>
      </c>
      <c r="AL3">
        <f>Data!AS81</f>
        <v>9.1114481822700006E-5</v>
      </c>
      <c r="AM3">
        <f>Data!AT81</f>
        <v>9.1114481822700006E-5</v>
      </c>
      <c r="AN3">
        <f>Data!AU81</f>
        <v>9.1114481822700006E-5</v>
      </c>
      <c r="AO3">
        <f>Data!AV81</f>
        <v>9.1114481822700006E-5</v>
      </c>
      <c r="AP3">
        <f>Data!AW81</f>
        <v>9.1114481822700006E-5</v>
      </c>
      <c r="AQ3">
        <f>Data!AX81</f>
        <v>9.1114481822700006E-5</v>
      </c>
      <c r="AR3">
        <f>Data!AY81</f>
        <v>9.1114481822700006E-5</v>
      </c>
      <c r="AS3">
        <f>Data!AZ81</f>
        <v>9.1114481822700006E-5</v>
      </c>
      <c r="AT3">
        <f>Data!BA81</f>
        <v>9.1114481822700006E-5</v>
      </c>
      <c r="AU3">
        <f>Data!BB81</f>
        <v>9.1114481822700006E-5</v>
      </c>
      <c r="AV3">
        <f>Data!BC81</f>
        <v>9.1114481822700006E-5</v>
      </c>
      <c r="AW3">
        <f>Data!BD81</f>
        <v>9.1114481822700006E-5</v>
      </c>
      <c r="AX3">
        <f>Data!BE81</f>
        <v>9.1114481822700006E-5</v>
      </c>
      <c r="AY3">
        <f>Data!BF81</f>
        <v>9.1114481822700006E-5</v>
      </c>
    </row>
    <row r="4" spans="1:51" x14ac:dyDescent="0.75">
      <c r="A4" t="s">
        <v>3</v>
      </c>
      <c r="B4">
        <f>Data!I82</f>
        <v>1</v>
      </c>
      <c r="C4">
        <f>Data!J82</f>
        <v>1</v>
      </c>
      <c r="D4">
        <f>Data!K82</f>
        <v>1</v>
      </c>
      <c r="E4">
        <f>Data!L82</f>
        <v>1</v>
      </c>
      <c r="F4">
        <f>Data!M82</f>
        <v>1</v>
      </c>
      <c r="G4">
        <f>Data!N82</f>
        <v>1</v>
      </c>
      <c r="H4">
        <f>Data!O82</f>
        <v>1</v>
      </c>
      <c r="I4">
        <f>Data!P82</f>
        <v>1</v>
      </c>
      <c r="J4">
        <f>Data!Q82</f>
        <v>1</v>
      </c>
      <c r="K4">
        <f>Data!R82</f>
        <v>1</v>
      </c>
      <c r="L4">
        <f>Data!S82</f>
        <v>1</v>
      </c>
      <c r="M4">
        <f>Data!T82</f>
        <v>1</v>
      </c>
      <c r="N4">
        <f>Data!U82</f>
        <v>1</v>
      </c>
      <c r="O4">
        <f>Data!V82</f>
        <v>1</v>
      </c>
      <c r="P4">
        <f>Data!W82</f>
        <v>1</v>
      </c>
      <c r="Q4">
        <f>Data!X82</f>
        <v>1</v>
      </c>
      <c r="R4">
        <f>Data!Y82</f>
        <v>1</v>
      </c>
      <c r="S4">
        <f>Data!Z82</f>
        <v>1</v>
      </c>
      <c r="T4">
        <f>Data!AA82</f>
        <v>1</v>
      </c>
      <c r="U4">
        <f>Data!AB82</f>
        <v>1</v>
      </c>
      <c r="V4">
        <f>Data!AC82</f>
        <v>1</v>
      </c>
      <c r="W4">
        <f>Data!AD82</f>
        <v>1</v>
      </c>
      <c r="X4">
        <f>Data!AE82</f>
        <v>1</v>
      </c>
      <c r="Y4">
        <f>Data!AF82</f>
        <v>1</v>
      </c>
      <c r="Z4">
        <f>Data!AG82</f>
        <v>1</v>
      </c>
      <c r="AA4">
        <f>Data!AH82</f>
        <v>1</v>
      </c>
      <c r="AB4">
        <f>Data!AI82</f>
        <v>1</v>
      </c>
      <c r="AC4">
        <f>Data!AJ82</f>
        <v>1</v>
      </c>
      <c r="AD4">
        <f>Data!AK82</f>
        <v>1</v>
      </c>
      <c r="AE4">
        <f>Data!AL82</f>
        <v>1</v>
      </c>
      <c r="AF4">
        <f>Data!AM82</f>
        <v>1</v>
      </c>
      <c r="AG4">
        <f>Data!AN82</f>
        <v>1</v>
      </c>
      <c r="AH4">
        <f>Data!AO82</f>
        <v>1</v>
      </c>
      <c r="AI4">
        <f>Data!AP82</f>
        <v>1</v>
      </c>
      <c r="AJ4">
        <f>Data!AQ82</f>
        <v>1</v>
      </c>
      <c r="AK4">
        <f>Data!AR82</f>
        <v>1</v>
      </c>
      <c r="AL4">
        <f>Data!AS82</f>
        <v>1</v>
      </c>
      <c r="AM4">
        <f>Data!AT82</f>
        <v>1</v>
      </c>
      <c r="AN4">
        <f>Data!AU82</f>
        <v>1</v>
      </c>
      <c r="AO4">
        <f>Data!AV82</f>
        <v>1</v>
      </c>
      <c r="AP4">
        <f>Data!AW82</f>
        <v>1</v>
      </c>
      <c r="AQ4">
        <f>Data!AX82</f>
        <v>1</v>
      </c>
      <c r="AR4">
        <f>Data!AY82</f>
        <v>1</v>
      </c>
      <c r="AS4">
        <f>Data!AZ82</f>
        <v>1</v>
      </c>
      <c r="AT4">
        <f>Data!BA82</f>
        <v>1</v>
      </c>
      <c r="AU4">
        <f>Data!BB82</f>
        <v>1</v>
      </c>
      <c r="AV4">
        <f>Data!BC82</f>
        <v>1</v>
      </c>
      <c r="AW4">
        <f>Data!BD82</f>
        <v>1</v>
      </c>
      <c r="AX4">
        <f>Data!BE82</f>
        <v>1</v>
      </c>
      <c r="AY4">
        <f>Data!BF82</f>
        <v>1</v>
      </c>
    </row>
    <row r="5" spans="1:51" x14ac:dyDescent="0.75">
      <c r="A5" t="s">
        <v>4</v>
      </c>
      <c r="B5">
        <f>Data!I83</f>
        <v>6.08023121013E-2</v>
      </c>
      <c r="C5">
        <f>Data!J83</f>
        <v>6.5284014653024997E-2</v>
      </c>
      <c r="D5">
        <f>Data!K83</f>
        <v>6.3790113802450005E-2</v>
      </c>
      <c r="E5">
        <f>Data!L83</f>
        <v>6.2296212951874992E-2</v>
      </c>
      <c r="F5">
        <f>Data!M83</f>
        <v>6.08023121013E-2</v>
      </c>
      <c r="G5">
        <f>Data!N83</f>
        <v>6.08023121013E-2</v>
      </c>
      <c r="H5">
        <f>Data!O83</f>
        <v>6.08023121013E-2</v>
      </c>
      <c r="I5">
        <f>Data!P83</f>
        <v>6.08023121013E-2</v>
      </c>
      <c r="J5">
        <f>Data!Q83</f>
        <v>6.08023121013E-2</v>
      </c>
      <c r="K5">
        <f>Data!R83</f>
        <v>6.08023121013E-2</v>
      </c>
      <c r="L5">
        <f>Data!S83</f>
        <v>6.08023121013E-2</v>
      </c>
      <c r="M5">
        <f>Data!T83</f>
        <v>6.08023121013E-2</v>
      </c>
      <c r="N5">
        <f>Data!U83</f>
        <v>6.08023121013E-2</v>
      </c>
      <c r="O5">
        <f>Data!V83</f>
        <v>6.08023121013E-2</v>
      </c>
      <c r="P5">
        <f>Data!W83</f>
        <v>6.08023121013E-2</v>
      </c>
      <c r="Q5">
        <f>Data!X83</f>
        <v>6.08023121013E-2</v>
      </c>
      <c r="R5">
        <f>Data!Y83</f>
        <v>6.08023121013E-2</v>
      </c>
      <c r="S5">
        <f>Data!Z83</f>
        <v>6.08023121013E-2</v>
      </c>
      <c r="T5">
        <f>Data!AA83</f>
        <v>6.08023121013E-2</v>
      </c>
      <c r="U5">
        <f>Data!AB83</f>
        <v>6.08023121013E-2</v>
      </c>
      <c r="V5">
        <f>Data!AC83</f>
        <v>6.08023121013E-2</v>
      </c>
      <c r="W5">
        <f>Data!AD83</f>
        <v>6.08023121013E-2</v>
      </c>
      <c r="X5">
        <f>Data!AE83</f>
        <v>6.08023121013E-2</v>
      </c>
      <c r="Y5">
        <f>Data!AF83</f>
        <v>6.08023121013E-2</v>
      </c>
      <c r="Z5">
        <f>Data!AG83</f>
        <v>6.08023121013E-2</v>
      </c>
      <c r="AA5">
        <f>Data!AH83</f>
        <v>6.08023121013E-2</v>
      </c>
      <c r="AB5">
        <f>Data!AI83</f>
        <v>6.08023121013E-2</v>
      </c>
      <c r="AC5">
        <f>Data!AJ83</f>
        <v>6.08023121013E-2</v>
      </c>
      <c r="AD5">
        <f>Data!AK83</f>
        <v>6.08023121013E-2</v>
      </c>
      <c r="AE5">
        <f>Data!AL83</f>
        <v>6.08023121013E-2</v>
      </c>
      <c r="AF5">
        <f>Data!AM83</f>
        <v>6.08023121013E-2</v>
      </c>
      <c r="AG5">
        <f>Data!AN83</f>
        <v>6.08023121013E-2</v>
      </c>
      <c r="AH5">
        <f>Data!AO83</f>
        <v>6.08023121013E-2</v>
      </c>
      <c r="AI5">
        <f>Data!AP83</f>
        <v>6.08023121013E-2</v>
      </c>
      <c r="AJ5">
        <f>Data!AQ83</f>
        <v>6.08023121013E-2</v>
      </c>
      <c r="AK5">
        <f>Data!AR83</f>
        <v>6.08023121013E-2</v>
      </c>
      <c r="AL5">
        <f>Data!AS83</f>
        <v>6.08023121013E-2</v>
      </c>
      <c r="AM5">
        <f>Data!AT83</f>
        <v>6.08023121013E-2</v>
      </c>
      <c r="AN5">
        <f>Data!AU83</f>
        <v>6.08023121013E-2</v>
      </c>
      <c r="AO5">
        <f>Data!AV83</f>
        <v>6.08023121013E-2</v>
      </c>
      <c r="AP5">
        <f>Data!AW83</f>
        <v>6.08023121013E-2</v>
      </c>
      <c r="AQ5">
        <f>Data!AX83</f>
        <v>6.08023121013E-2</v>
      </c>
      <c r="AR5">
        <f>Data!AY83</f>
        <v>6.08023121013E-2</v>
      </c>
      <c r="AS5">
        <f>Data!AZ83</f>
        <v>6.08023121013E-2</v>
      </c>
      <c r="AT5">
        <f>Data!BA83</f>
        <v>6.08023121013E-2</v>
      </c>
      <c r="AU5">
        <f>Data!BB83</f>
        <v>6.08023121013E-2</v>
      </c>
      <c r="AV5">
        <f>Data!BC83</f>
        <v>6.08023121013E-2</v>
      </c>
      <c r="AW5">
        <f>Data!BD83</f>
        <v>6.08023121013E-2</v>
      </c>
      <c r="AX5">
        <f>Data!BE83</f>
        <v>6.08023121013E-2</v>
      </c>
      <c r="AY5">
        <f>Data!BF83</f>
        <v>6.08023121013E-2</v>
      </c>
    </row>
    <row r="6" spans="1:51" x14ac:dyDescent="0.75">
      <c r="A6" t="s">
        <v>5</v>
      </c>
      <c r="B6">
        <f>Data!I84</f>
        <v>0</v>
      </c>
      <c r="C6">
        <f>Data!J84</f>
        <v>1.159780514805E-2</v>
      </c>
      <c r="D6">
        <f>Data!K84</f>
        <v>7.7318700987000014E-3</v>
      </c>
      <c r="E6">
        <f>Data!L84</f>
        <v>3.8659350493500024E-3</v>
      </c>
      <c r="F6">
        <f>Data!M84</f>
        <v>5.5006362942458774E-2</v>
      </c>
      <c r="G6">
        <f>Data!N84</f>
        <v>7.3338138145273388E-2</v>
      </c>
      <c r="H6">
        <f>Data!O84</f>
        <v>9.7380361742375965E-2</v>
      </c>
      <c r="I6">
        <f>Data!P84</f>
        <v>0.12861609700992174</v>
      </c>
      <c r="J6">
        <f>Data!Q84</f>
        <v>0.16870448993311599</v>
      </c>
      <c r="K6">
        <f>Data!R84</f>
        <v>0.21935480143456695</v>
      </c>
      <c r="L6">
        <f>Data!S84</f>
        <v>0.28209809055161034</v>
      </c>
      <c r="M6">
        <f>Data!T84</f>
        <v>0.35794726101081087</v>
      </c>
      <c r="N6">
        <f>Data!U84</f>
        <v>0.44698017953361896</v>
      </c>
      <c r="O6">
        <f>Data!V84</f>
        <v>0.54794788211113632</v>
      </c>
      <c r="P6">
        <f>Data!W84</f>
        <v>0.65807103590839233</v>
      </c>
      <c r="Q6">
        <f>Data!X84</f>
        <v>0.77318700987</v>
      </c>
      <c r="R6">
        <f>Data!Y84</f>
        <v>0.88830298383160766</v>
      </c>
      <c r="S6">
        <f>Data!Z84</f>
        <v>0.99842613762886367</v>
      </c>
      <c r="T6">
        <f>Data!AA84</f>
        <v>1.099393840206381</v>
      </c>
      <c r="U6">
        <f>Data!AB84</f>
        <v>1.188426758729189</v>
      </c>
      <c r="V6">
        <f>Data!AC84</f>
        <v>1.2642759291883896</v>
      </c>
      <c r="W6">
        <f>Data!AD84</f>
        <v>1.3270192183054332</v>
      </c>
      <c r="X6">
        <f>Data!AE84</f>
        <v>1.377669529806884</v>
      </c>
      <c r="Y6">
        <f>Data!AF84</f>
        <v>1.4177579227300783</v>
      </c>
      <c r="Z6">
        <f>Data!AG84</f>
        <v>1.4489936579976241</v>
      </c>
      <c r="AA6">
        <f>Data!AH84</f>
        <v>1.4730358815947266</v>
      </c>
      <c r="AB6">
        <f>Data!AI84</f>
        <v>1.4913676567975414</v>
      </c>
      <c r="AC6">
        <f>Data!AJ84</f>
        <v>1.5052451198695429</v>
      </c>
      <c r="AD6">
        <f>Data!AK84</f>
        <v>1.515693486409124</v>
      </c>
      <c r="AE6">
        <f>Data!AL84</f>
        <v>1.5235278409627071</v>
      </c>
      <c r="AF6">
        <f>Data!AM84</f>
        <v>1.5293840970996768</v>
      </c>
      <c r="AG6">
        <f>Data!AN84</f>
        <v>1.5337516317744744</v>
      </c>
      <c r="AH6">
        <f>Data!AO84</f>
        <v>1.5370033001486325</v>
      </c>
      <c r="AI6">
        <f>Data!AP84</f>
        <v>1.5394210997382662</v>
      </c>
      <c r="AJ6">
        <f>Data!AQ84</f>
        <v>1.541217160358977</v>
      </c>
      <c r="AK6">
        <f>Data!AR84</f>
        <v>1.5425504195299726</v>
      </c>
      <c r="AL6">
        <f>Data!AS84</f>
        <v>1.5435396105795594</v>
      </c>
      <c r="AM6">
        <f>Data!AT84</f>
        <v>1.5442732397833583</v>
      </c>
      <c r="AN6">
        <f>Data!AU84</f>
        <v>1.5448171754999873</v>
      </c>
      <c r="AO6">
        <f>Data!AV84</f>
        <v>1.5452203801333781</v>
      </c>
      <c r="AP6">
        <f>Data!AW84</f>
        <v>1.5455192172171941</v>
      </c>
      <c r="AQ6">
        <f>Data!AX84</f>
        <v>1.5457406757167269</v>
      </c>
      <c r="AR6">
        <f>Data!AY84</f>
        <v>1.5459047771363961</v>
      </c>
      <c r="AS6">
        <f>Data!AZ84</f>
        <v>1.5460263689273093</v>
      </c>
      <c r="AT6">
        <f>Data!BA84</f>
        <v>1.5461164586758502</v>
      </c>
      <c r="AU6">
        <f>Data!BB84</f>
        <v>1.5461832055735178</v>
      </c>
      <c r="AV6">
        <f>Data!BC84</f>
        <v>1.5462326566076832</v>
      </c>
      <c r="AW6">
        <f>Data!BD84</f>
        <v>1.5462692928745192</v>
      </c>
      <c r="AX6">
        <f>Data!BE84</f>
        <v>1.5462964348080188</v>
      </c>
      <c r="AY6">
        <f>Data!BF84</f>
        <v>1.5463165426613228</v>
      </c>
    </row>
    <row r="7" spans="1:51" x14ac:dyDescent="0.75">
      <c r="A7" t="s">
        <v>31</v>
      </c>
      <c r="B7">
        <f>Data!I85</f>
        <v>0</v>
      </c>
      <c r="C7">
        <f>Data!J85</f>
        <v>0</v>
      </c>
      <c r="D7">
        <f>Data!K85</f>
        <v>0</v>
      </c>
      <c r="E7">
        <f>Data!L85</f>
        <v>0</v>
      </c>
      <c r="F7">
        <f>Data!M85</f>
        <v>0</v>
      </c>
      <c r="G7">
        <f>Data!N85</f>
        <v>0</v>
      </c>
      <c r="H7">
        <f>Data!O85</f>
        <v>0</v>
      </c>
      <c r="I7">
        <f>Data!P85</f>
        <v>0</v>
      </c>
      <c r="J7">
        <f>Data!Q85</f>
        <v>0</v>
      </c>
      <c r="K7">
        <f>Data!R85</f>
        <v>0</v>
      </c>
      <c r="L7">
        <f>Data!S85</f>
        <v>0</v>
      </c>
      <c r="M7">
        <f>Data!T85</f>
        <v>0</v>
      </c>
      <c r="N7">
        <f>Data!U85</f>
        <v>0</v>
      </c>
      <c r="O7">
        <f>Data!V85</f>
        <v>0</v>
      </c>
      <c r="P7">
        <f>Data!W85</f>
        <v>0</v>
      </c>
      <c r="Q7">
        <f>Data!X85</f>
        <v>0</v>
      </c>
      <c r="R7">
        <f>Data!Y85</f>
        <v>0</v>
      </c>
      <c r="S7">
        <f>Data!Z85</f>
        <v>0</v>
      </c>
      <c r="T7">
        <f>Data!AA85</f>
        <v>0</v>
      </c>
      <c r="U7">
        <f>Data!AB85</f>
        <v>0</v>
      </c>
      <c r="V7">
        <f>Data!AC85</f>
        <v>0</v>
      </c>
      <c r="W7">
        <f>Data!AD85</f>
        <v>0</v>
      </c>
      <c r="X7">
        <f>Data!AE85</f>
        <v>0</v>
      </c>
      <c r="Y7">
        <f>Data!AF85</f>
        <v>0</v>
      </c>
      <c r="Z7">
        <f>Data!AG85</f>
        <v>0</v>
      </c>
      <c r="AA7">
        <f>Data!AH85</f>
        <v>0</v>
      </c>
      <c r="AB7">
        <f>Data!AI85</f>
        <v>0</v>
      </c>
      <c r="AC7">
        <f>Data!AJ85</f>
        <v>0</v>
      </c>
      <c r="AD7">
        <f>Data!AK85</f>
        <v>0</v>
      </c>
      <c r="AE7">
        <f>Data!AL85</f>
        <v>0</v>
      </c>
      <c r="AF7">
        <f>Data!AM85</f>
        <v>0</v>
      </c>
      <c r="AG7">
        <f>Data!AN85</f>
        <v>0</v>
      </c>
      <c r="AH7">
        <f>Data!AO85</f>
        <v>0</v>
      </c>
      <c r="AI7">
        <f>Data!AP85</f>
        <v>0</v>
      </c>
      <c r="AJ7">
        <f>Data!AQ85</f>
        <v>0</v>
      </c>
      <c r="AK7">
        <f>Data!AR85</f>
        <v>0</v>
      </c>
      <c r="AL7">
        <f>Data!AS85</f>
        <v>0</v>
      </c>
      <c r="AM7">
        <f>Data!AT85</f>
        <v>0</v>
      </c>
      <c r="AN7">
        <f>Data!AU85</f>
        <v>0</v>
      </c>
      <c r="AO7">
        <f>Data!AV85</f>
        <v>0</v>
      </c>
      <c r="AP7">
        <f>Data!AW85</f>
        <v>0</v>
      </c>
      <c r="AQ7">
        <f>Data!AX85</f>
        <v>0</v>
      </c>
      <c r="AR7">
        <f>Data!AY85</f>
        <v>0</v>
      </c>
      <c r="AS7">
        <f>Data!AZ85</f>
        <v>0</v>
      </c>
      <c r="AT7">
        <f>Data!BA85</f>
        <v>0</v>
      </c>
      <c r="AU7">
        <f>Data!BB85</f>
        <v>0</v>
      </c>
      <c r="AV7">
        <f>Data!BC85</f>
        <v>0</v>
      </c>
      <c r="AW7">
        <f>Data!BD85</f>
        <v>0</v>
      </c>
      <c r="AX7">
        <f>Data!BE85</f>
        <v>0</v>
      </c>
      <c r="AY7">
        <f>Data!BF85</f>
        <v>0</v>
      </c>
    </row>
    <row r="8" spans="1:51" x14ac:dyDescent="0.75">
      <c r="A8" t="s">
        <v>32</v>
      </c>
      <c r="B8">
        <f>Data!I86</f>
        <v>0</v>
      </c>
      <c r="C8">
        <f>Data!J86</f>
        <v>0</v>
      </c>
      <c r="D8">
        <f>Data!K86</f>
        <v>0</v>
      </c>
      <c r="E8">
        <f>Data!L86</f>
        <v>0</v>
      </c>
      <c r="F8">
        <f>Data!M86</f>
        <v>0</v>
      </c>
      <c r="G8">
        <f>Data!N86</f>
        <v>0</v>
      </c>
      <c r="H8">
        <f>Data!O86</f>
        <v>0</v>
      </c>
      <c r="I8">
        <f>Data!P86</f>
        <v>0</v>
      </c>
      <c r="J8">
        <f>Data!Q86</f>
        <v>0</v>
      </c>
      <c r="K8">
        <f>Data!R86</f>
        <v>0</v>
      </c>
      <c r="L8">
        <f>Data!S86</f>
        <v>0</v>
      </c>
      <c r="M8">
        <f>Data!T86</f>
        <v>0</v>
      </c>
      <c r="N8">
        <f>Data!U86</f>
        <v>0</v>
      </c>
      <c r="O8">
        <f>Data!V86</f>
        <v>0</v>
      </c>
      <c r="P8">
        <f>Data!W86</f>
        <v>0</v>
      </c>
      <c r="Q8">
        <f>Data!X86</f>
        <v>0</v>
      </c>
      <c r="R8">
        <f>Data!Y86</f>
        <v>0</v>
      </c>
      <c r="S8">
        <f>Data!Z86</f>
        <v>0</v>
      </c>
      <c r="T8">
        <f>Data!AA86</f>
        <v>0</v>
      </c>
      <c r="U8">
        <f>Data!AB86</f>
        <v>0</v>
      </c>
      <c r="V8">
        <f>Data!AC86</f>
        <v>0</v>
      </c>
      <c r="W8">
        <f>Data!AD86</f>
        <v>0</v>
      </c>
      <c r="X8">
        <f>Data!AE86</f>
        <v>0</v>
      </c>
      <c r="Y8">
        <f>Data!AF86</f>
        <v>0</v>
      </c>
      <c r="Z8">
        <f>Data!AG86</f>
        <v>0</v>
      </c>
      <c r="AA8">
        <f>Data!AH86</f>
        <v>0</v>
      </c>
      <c r="AB8">
        <f>Data!AI86</f>
        <v>0</v>
      </c>
      <c r="AC8">
        <f>Data!AJ86</f>
        <v>0</v>
      </c>
      <c r="AD8">
        <f>Data!AK86</f>
        <v>0</v>
      </c>
      <c r="AE8">
        <f>Data!AL86</f>
        <v>0</v>
      </c>
      <c r="AF8">
        <f>Data!AM86</f>
        <v>0</v>
      </c>
      <c r="AG8">
        <f>Data!AN86</f>
        <v>0</v>
      </c>
      <c r="AH8">
        <f>Data!AO86</f>
        <v>0</v>
      </c>
      <c r="AI8">
        <f>Data!AP86</f>
        <v>0</v>
      </c>
      <c r="AJ8">
        <f>Data!AQ86</f>
        <v>0</v>
      </c>
      <c r="AK8">
        <f>Data!AR86</f>
        <v>0</v>
      </c>
      <c r="AL8">
        <f>Data!AS86</f>
        <v>0</v>
      </c>
      <c r="AM8">
        <f>Data!AT86</f>
        <v>0</v>
      </c>
      <c r="AN8">
        <f>Data!AU86</f>
        <v>0</v>
      </c>
      <c r="AO8">
        <f>Data!AV86</f>
        <v>0</v>
      </c>
      <c r="AP8">
        <f>Data!AW86</f>
        <v>0</v>
      </c>
      <c r="AQ8">
        <f>Data!AX86</f>
        <v>0</v>
      </c>
      <c r="AR8">
        <f>Data!AY86</f>
        <v>0</v>
      </c>
      <c r="AS8">
        <f>Data!AZ86</f>
        <v>0</v>
      </c>
      <c r="AT8">
        <f>Data!BA86</f>
        <v>0</v>
      </c>
      <c r="AU8">
        <f>Data!BB86</f>
        <v>0</v>
      </c>
      <c r="AV8">
        <f>Data!BC86</f>
        <v>0</v>
      </c>
      <c r="AW8">
        <f>Data!BD86</f>
        <v>0</v>
      </c>
      <c r="AX8">
        <f>Data!BE86</f>
        <v>0</v>
      </c>
      <c r="AY8">
        <f>Data!BF86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Y8"/>
  <sheetViews>
    <sheetView tabSelected="1" workbookViewId="0"/>
  </sheetViews>
  <sheetFormatPr defaultColWidth="9.08984375" defaultRowHeight="14.75" x14ac:dyDescent="0.75"/>
  <cols>
    <col min="1" max="1" width="24.36328125" customWidth="1"/>
  </cols>
  <sheetData>
    <row r="1" spans="1:51" ht="44.25" x14ac:dyDescent="0.75">
      <c r="A1" s="18" t="s">
        <v>33</v>
      </c>
      <c r="B1" s="18">
        <v>2021</v>
      </c>
      <c r="C1" s="18">
        <v>2022</v>
      </c>
      <c r="D1" s="18">
        <v>2023</v>
      </c>
      <c r="E1" s="18">
        <v>2024</v>
      </c>
      <c r="F1" s="18">
        <v>2025</v>
      </c>
      <c r="G1" s="18">
        <v>2026</v>
      </c>
      <c r="H1" s="18">
        <v>2027</v>
      </c>
      <c r="I1" s="18">
        <v>2028</v>
      </c>
      <c r="J1" s="18">
        <v>2029</v>
      </c>
      <c r="K1" s="18">
        <v>2030</v>
      </c>
      <c r="L1" s="18">
        <v>2031</v>
      </c>
      <c r="M1" s="18">
        <v>2032</v>
      </c>
      <c r="N1" s="18">
        <v>2033</v>
      </c>
      <c r="O1" s="18">
        <v>2034</v>
      </c>
      <c r="P1" s="18">
        <v>2035</v>
      </c>
      <c r="Q1" s="18">
        <v>2036</v>
      </c>
      <c r="R1" s="18">
        <v>2037</v>
      </c>
      <c r="S1" s="18">
        <v>2038</v>
      </c>
      <c r="T1" s="18">
        <v>2039</v>
      </c>
      <c r="U1" s="18">
        <v>2040</v>
      </c>
      <c r="V1" s="18">
        <v>2041</v>
      </c>
      <c r="W1" s="18">
        <v>2042</v>
      </c>
      <c r="X1" s="18">
        <v>2043</v>
      </c>
      <c r="Y1" s="18">
        <v>2044</v>
      </c>
      <c r="Z1" s="18">
        <v>2045</v>
      </c>
      <c r="AA1" s="18">
        <v>2046</v>
      </c>
      <c r="AB1" s="18">
        <v>2047</v>
      </c>
      <c r="AC1" s="18">
        <v>2048</v>
      </c>
      <c r="AD1" s="18">
        <v>2049</v>
      </c>
      <c r="AE1" s="18">
        <v>2050</v>
      </c>
      <c r="AF1" s="18">
        <v>2051</v>
      </c>
      <c r="AG1" s="18">
        <v>2052</v>
      </c>
      <c r="AH1" s="18">
        <v>2053</v>
      </c>
      <c r="AI1" s="18">
        <v>2054</v>
      </c>
      <c r="AJ1" s="18">
        <v>2055</v>
      </c>
      <c r="AK1" s="18">
        <v>2056</v>
      </c>
      <c r="AL1" s="18">
        <v>2057</v>
      </c>
      <c r="AM1" s="18">
        <v>2058</v>
      </c>
      <c r="AN1" s="18">
        <v>2059</v>
      </c>
      <c r="AO1" s="18">
        <v>2060</v>
      </c>
      <c r="AP1" s="18">
        <v>2061</v>
      </c>
      <c r="AQ1" s="18">
        <v>2062</v>
      </c>
      <c r="AR1" s="18">
        <v>2063</v>
      </c>
      <c r="AS1" s="18">
        <v>2064</v>
      </c>
      <c r="AT1" s="18">
        <v>2065</v>
      </c>
      <c r="AU1" s="18">
        <v>2066</v>
      </c>
      <c r="AV1" s="18">
        <v>2067</v>
      </c>
      <c r="AW1" s="18">
        <v>2068</v>
      </c>
      <c r="AX1" s="18">
        <v>2069</v>
      </c>
      <c r="AY1" s="18">
        <v>2070</v>
      </c>
    </row>
    <row r="2" spans="1:51" x14ac:dyDescent="0.7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7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7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7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7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75">
      <c r="A7" t="s">
        <v>31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75">
      <c r="A8" t="s">
        <v>32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About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2017-07-01T03:43:09Z</dcterms:created>
  <dcterms:modified xsi:type="dcterms:W3CDTF">2026-02-13T19:40:42Z</dcterms:modified>
</cp:coreProperties>
</file>