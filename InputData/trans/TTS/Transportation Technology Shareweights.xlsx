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trans\TTS\"/>
    </mc:Choice>
  </mc:AlternateContent>
  <xr:revisionPtr revIDLastSave="0" documentId="13_ncr:1_{C814314D-131C-4723-A718-A30FB3A4908B}" xr6:coauthVersionLast="47" xr6:coauthVersionMax="47" xr10:uidLastSave="{00000000-0000-0000-0000-000000000000}"/>
  <bookViews>
    <workbookView xWindow="-120" yWindow="-120" windowWidth="29040" windowHeight="17520" firstSheet="10" activeTab="16" xr2:uid="{00000000-000D-0000-FFFF-FFFF00000000}"/>
  </bookViews>
  <sheets>
    <sheet name="About" sheetId="1" r:id="rId1"/>
    <sheet name="SYVbT-passenger" sheetId="6" r:id="rId2"/>
    <sheet name="Manufacturing Capacity Checks" sheetId="20" r:id="rId3"/>
    <sheet name="AEO Table 38" sheetId="21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7" l="1"/>
  <c r="C2" i="17"/>
  <c r="D2" i="17"/>
  <c r="B3" i="17"/>
  <c r="C3" i="17"/>
  <c r="D3" i="17"/>
  <c r="B4" i="17"/>
  <c r="C4" i="17"/>
  <c r="D4" i="17"/>
  <c r="B5" i="17"/>
  <c r="C5" i="17"/>
  <c r="D5" i="17"/>
  <c r="B6" i="17"/>
  <c r="C6" i="17"/>
  <c r="D6" i="17"/>
  <c r="B7" i="17"/>
  <c r="C7" i="17"/>
  <c r="D7" i="17"/>
  <c r="B8" i="17"/>
  <c r="C8" i="17"/>
  <c r="D8" i="17"/>
  <c r="B2" i="16"/>
  <c r="C2" i="16"/>
  <c r="D2" i="16"/>
  <c r="B3" i="16"/>
  <c r="C3" i="16"/>
  <c r="D3" i="16"/>
  <c r="B4" i="16"/>
  <c r="C4" i="16"/>
  <c r="D4" i="16"/>
  <c r="B5" i="16"/>
  <c r="C5" i="16"/>
  <c r="D5" i="16"/>
  <c r="B6" i="16"/>
  <c r="C6" i="16"/>
  <c r="D6" i="16"/>
  <c r="B7" i="16"/>
  <c r="C7" i="16"/>
  <c r="D7" i="16"/>
  <c r="B8" i="16"/>
  <c r="C8" i="16"/>
  <c r="D8" i="16"/>
  <c r="B2" i="15"/>
  <c r="C2" i="15"/>
  <c r="D2" i="15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2" i="14"/>
  <c r="C2" i="14"/>
  <c r="D2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2" i="13"/>
  <c r="C2" i="13"/>
  <c r="D2" i="13"/>
  <c r="B3" i="13"/>
  <c r="C3" i="13"/>
  <c r="D3" i="13"/>
  <c r="B4" i="13"/>
  <c r="C4" i="13"/>
  <c r="D4" i="13"/>
  <c r="B5" i="13"/>
  <c r="C5" i="13"/>
  <c r="D5" i="13"/>
  <c r="B6" i="13"/>
  <c r="C6" i="13"/>
  <c r="D6" i="13"/>
  <c r="B7" i="13"/>
  <c r="C7" i="13"/>
  <c r="D7" i="13"/>
  <c r="B8" i="13"/>
  <c r="C8" i="13"/>
  <c r="D8" i="13"/>
  <c r="B2" i="12"/>
  <c r="C2" i="12"/>
  <c r="D2" i="12"/>
  <c r="B3" i="12"/>
  <c r="C3" i="12"/>
  <c r="D3" i="12"/>
  <c r="B4" i="12"/>
  <c r="C4" i="12"/>
  <c r="D4" i="12"/>
  <c r="B5" i="12"/>
  <c r="C5" i="12"/>
  <c r="D5" i="12"/>
  <c r="B6" i="12"/>
  <c r="C6" i="12"/>
  <c r="D6" i="12"/>
  <c r="B7" i="12"/>
  <c r="C7" i="12"/>
  <c r="D7" i="12"/>
  <c r="B8" i="12"/>
  <c r="C8" i="12"/>
  <c r="D8" i="12"/>
  <c r="B2" i="11"/>
  <c r="C2" i="11"/>
  <c r="D2" i="11"/>
  <c r="B3" i="11"/>
  <c r="C3" i="11"/>
  <c r="D3" i="11"/>
  <c r="B4" i="11"/>
  <c r="C4" i="11"/>
  <c r="D4" i="11"/>
  <c r="B5" i="11"/>
  <c r="C5" i="11"/>
  <c r="D5" i="11"/>
  <c r="B6" i="11"/>
  <c r="C6" i="11"/>
  <c r="D6" i="11"/>
  <c r="B7" i="11"/>
  <c r="C7" i="11"/>
  <c r="D7" i="11"/>
  <c r="B8" i="11"/>
  <c r="C8" i="11"/>
  <c r="D8" i="11"/>
  <c r="B2" i="10"/>
  <c r="C2" i="10"/>
  <c r="D2" i="10"/>
  <c r="B3" i="10"/>
  <c r="C3" i="10"/>
  <c r="D3" i="10"/>
  <c r="B4" i="10"/>
  <c r="C4" i="10"/>
  <c r="D4" i="10"/>
  <c r="B5" i="10"/>
  <c r="C5" i="10"/>
  <c r="D5" i="10"/>
  <c r="B6" i="10"/>
  <c r="C6" i="10"/>
  <c r="D6" i="10"/>
  <c r="B7" i="10"/>
  <c r="C7" i="10"/>
  <c r="D7" i="10"/>
  <c r="B8" i="10"/>
  <c r="C8" i="10"/>
  <c r="D8" i="10"/>
  <c r="B2" i="9"/>
  <c r="C2" i="9"/>
  <c r="D2" i="9"/>
  <c r="B3" i="9"/>
  <c r="C3" i="9"/>
  <c r="D3" i="9"/>
  <c r="B4" i="9"/>
  <c r="C4" i="9"/>
  <c r="D4" i="9"/>
  <c r="B5" i="9"/>
  <c r="C5" i="9"/>
  <c r="D5" i="9"/>
  <c r="B6" i="9"/>
  <c r="C6" i="9"/>
  <c r="D6" i="9"/>
  <c r="B7" i="9"/>
  <c r="C7" i="9"/>
  <c r="D7" i="9"/>
  <c r="B8" i="9"/>
  <c r="C8" i="9"/>
  <c r="D8" i="9"/>
  <c r="B2" i="8"/>
  <c r="C2" i="8"/>
  <c r="D2" i="8"/>
  <c r="B3" i="8"/>
  <c r="C3" i="8"/>
  <c r="D3" i="8"/>
  <c r="B4" i="8"/>
  <c r="C4" i="8"/>
  <c r="D4" i="8"/>
  <c r="B5" i="8"/>
  <c r="C5" i="8"/>
  <c r="D5" i="8"/>
  <c r="B6" i="8"/>
  <c r="C6" i="8"/>
  <c r="D6" i="8"/>
  <c r="B7" i="8"/>
  <c r="C7" i="8"/>
  <c r="D7" i="8"/>
  <c r="B8" i="8"/>
  <c r="C8" i="8"/>
  <c r="D8" i="8"/>
  <c r="B2" i="2"/>
  <c r="C2" i="2"/>
  <c r="D2" i="2"/>
  <c r="E2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I34" i="3"/>
  <c r="J34" i="3"/>
  <c r="I35" i="3"/>
  <c r="J35" i="3"/>
  <c r="I36" i="3"/>
  <c r="J36" i="3"/>
  <c r="I37" i="3"/>
  <c r="J37" i="3"/>
  <c r="I38" i="3"/>
  <c r="J38" i="3"/>
  <c r="I39" i="3"/>
  <c r="J39" i="3"/>
  <c r="I40" i="3"/>
  <c r="J40" i="3"/>
  <c r="I41" i="3"/>
  <c r="J41" i="3"/>
  <c r="I42" i="3"/>
  <c r="J42" i="3"/>
  <c r="I43" i="3"/>
  <c r="J43" i="3"/>
  <c r="I44" i="3"/>
  <c r="J44" i="3"/>
  <c r="I45" i="3"/>
  <c r="J45" i="3"/>
  <c r="I46" i="3"/>
  <c r="J46" i="3"/>
  <c r="I47" i="3"/>
  <c r="J47" i="3"/>
  <c r="I48" i="3"/>
  <c r="J48" i="3"/>
  <c r="I49" i="3"/>
  <c r="J49" i="3"/>
  <c r="I50" i="3"/>
  <c r="J50" i="3"/>
  <c r="I51" i="3"/>
  <c r="J51" i="3"/>
  <c r="I52" i="3"/>
  <c r="J52" i="3"/>
  <c r="I53" i="3"/>
  <c r="J53" i="3"/>
  <c r="I54" i="3"/>
  <c r="J54" i="3"/>
  <c r="I55" i="3"/>
  <c r="J55" i="3"/>
  <c r="I56" i="3"/>
  <c r="J56" i="3"/>
  <c r="I57" i="3"/>
  <c r="J57" i="3"/>
  <c r="I58" i="3"/>
  <c r="J58" i="3"/>
  <c r="I59" i="3"/>
  <c r="J59" i="3"/>
  <c r="I60" i="3"/>
  <c r="J60" i="3"/>
  <c r="I61" i="3"/>
  <c r="J61" i="3"/>
  <c r="I62" i="3"/>
  <c r="J62" i="3"/>
  <c r="I63" i="3"/>
  <c r="J63" i="3"/>
  <c r="I64" i="3"/>
  <c r="J64" i="3"/>
  <c r="I65" i="3"/>
  <c r="J65" i="3"/>
  <c r="I66" i="3"/>
  <c r="J66" i="3"/>
  <c r="I67" i="3"/>
  <c r="J67" i="3"/>
  <c r="I68" i="3"/>
  <c r="J68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10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M55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AM9" i="3"/>
  <c r="AN9" i="3" s="1"/>
  <c r="AO9" i="3" s="1"/>
  <c r="AP9" i="3" s="1"/>
  <c r="AQ9" i="3" s="1"/>
  <c r="AR9" i="3" s="1"/>
  <c r="AS9" i="3" s="1"/>
  <c r="AT9" i="3" s="1"/>
  <c r="AU9" i="3" s="1"/>
  <c r="AV9" i="3" s="1"/>
  <c r="AW9" i="3" s="1"/>
  <c r="AX9" i="3" s="1"/>
  <c r="AY9" i="3" s="1"/>
  <c r="AZ9" i="3" s="1"/>
  <c r="BA9" i="3" s="1"/>
  <c r="BB9" i="3" s="1"/>
  <c r="BC9" i="3" s="1"/>
  <c r="BD9" i="3" s="1"/>
  <c r="BE9" i="3" s="1"/>
  <c r="BF9" i="3" s="1"/>
  <c r="L10" i="3"/>
  <c r="M9" i="3"/>
  <c r="L32" i="3"/>
  <c r="M32" i="3"/>
  <c r="L33" i="3"/>
  <c r="M33" i="3"/>
  <c r="L34" i="3"/>
  <c r="M34" i="3"/>
  <c r="L35" i="3"/>
  <c r="M35" i="3"/>
  <c r="L36" i="3"/>
  <c r="M36" i="3"/>
  <c r="L37" i="3"/>
  <c r="M37" i="3"/>
  <c r="M31" i="3"/>
  <c r="L31" i="3"/>
  <c r="L25" i="3"/>
  <c r="M25" i="3"/>
  <c r="L26" i="3"/>
  <c r="M26" i="3"/>
  <c r="L27" i="3"/>
  <c r="M27" i="3"/>
  <c r="L28" i="3"/>
  <c r="M28" i="3"/>
  <c r="L29" i="3"/>
  <c r="M29" i="3"/>
  <c r="L30" i="3"/>
  <c r="M30" i="3"/>
  <c r="M24" i="3"/>
  <c r="F21" i="3"/>
  <c r="L18" i="3"/>
  <c r="M18" i="3"/>
  <c r="L19" i="3"/>
  <c r="M19" i="3"/>
  <c r="L20" i="3"/>
  <c r="M20" i="3"/>
  <c r="L21" i="3"/>
  <c r="M21" i="3"/>
  <c r="L22" i="3"/>
  <c r="M22" i="3"/>
  <c r="L23" i="3"/>
  <c r="M23" i="3"/>
  <c r="L17" i="3"/>
  <c r="B6" i="20"/>
  <c r="F14" i="3"/>
  <c r="F84" i="3" s="1"/>
  <c r="C6" i="20"/>
  <c r="B5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B2" i="20"/>
  <c r="C5" i="20" s="1"/>
  <c r="F80" i="3"/>
  <c r="F82" i="3"/>
  <c r="F86" i="3"/>
  <c r="F37" i="3"/>
  <c r="F36" i="3"/>
  <c r="F35" i="3"/>
  <c r="F33" i="3"/>
  <c r="F32" i="3"/>
  <c r="F30" i="3"/>
  <c r="F29" i="3"/>
  <c r="F28" i="3"/>
  <c r="F26" i="3"/>
  <c r="F25" i="3"/>
  <c r="F23" i="3"/>
  <c r="F22" i="3"/>
  <c r="F19" i="3"/>
  <c r="F18" i="3"/>
  <c r="F16" i="3"/>
  <c r="F15" i="3"/>
  <c r="F85" i="3" s="1"/>
  <c r="F13" i="3"/>
  <c r="F83" i="3" s="1"/>
  <c r="F11" i="3"/>
  <c r="F81" i="3" s="1"/>
  <c r="E14" i="3"/>
  <c r="D81" i="3" l="1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M10" i="3"/>
  <c r="E1" i="2"/>
  <c r="L24" i="3" l="1"/>
  <c r="M14" i="3" l="1"/>
  <c r="L14" i="3"/>
  <c r="N9" i="3" l="1"/>
  <c r="N21" i="3" l="1"/>
  <c r="E52" i="3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E7" i="9"/>
  <c r="E8" i="9"/>
  <c r="E7" i="10"/>
  <c r="E8" i="10"/>
  <c r="L38" i="3"/>
  <c r="L39" i="3"/>
  <c r="L40" i="3"/>
  <c r="L41" i="3"/>
  <c r="E5" i="11" s="1"/>
  <c r="L42" i="3"/>
  <c r="L43" i="3"/>
  <c r="E7" i="11" s="1"/>
  <c r="L44" i="3"/>
  <c r="E8" i="11" s="1"/>
  <c r="L45" i="3"/>
  <c r="L46" i="3"/>
  <c r="L47" i="3"/>
  <c r="L48" i="3"/>
  <c r="L49" i="3"/>
  <c r="L50" i="3"/>
  <c r="E7" i="12" s="1"/>
  <c r="L51" i="3"/>
  <c r="E8" i="12" s="1"/>
  <c r="L52" i="3"/>
  <c r="E2" i="13" s="1"/>
  <c r="L53" i="3"/>
  <c r="L54" i="3"/>
  <c r="L55" i="3"/>
  <c r="L56" i="3"/>
  <c r="L57" i="3"/>
  <c r="E7" i="13" s="1"/>
  <c r="L58" i="3"/>
  <c r="E8" i="13" s="1"/>
  <c r="L59" i="3"/>
  <c r="L60" i="3"/>
  <c r="L61" i="3"/>
  <c r="L62" i="3"/>
  <c r="L63" i="3"/>
  <c r="L64" i="3"/>
  <c r="E7" i="14" s="1"/>
  <c r="L65" i="3"/>
  <c r="E8" i="14" s="1"/>
  <c r="L66" i="3"/>
  <c r="L67" i="3"/>
  <c r="L68" i="3"/>
  <c r="L69" i="3"/>
  <c r="L70" i="3"/>
  <c r="L71" i="3"/>
  <c r="E7" i="15" s="1"/>
  <c r="L72" i="3"/>
  <c r="E8" i="15" s="1"/>
  <c r="L73" i="3"/>
  <c r="L74" i="3"/>
  <c r="L75" i="3"/>
  <c r="L76" i="3"/>
  <c r="L77" i="3"/>
  <c r="L78" i="3"/>
  <c r="E7" i="16" s="1"/>
  <c r="L79" i="3"/>
  <c r="E8" i="16" s="1"/>
  <c r="L82" i="3"/>
  <c r="L85" i="3"/>
  <c r="E7" i="17" s="1"/>
  <c r="L86" i="3"/>
  <c r="E8" i="17" s="1"/>
  <c r="L87" i="3"/>
  <c r="L88" i="3"/>
  <c r="L89" i="3"/>
  <c r="L90" i="3"/>
  <c r="L91" i="3"/>
  <c r="L92" i="3"/>
  <c r="L93" i="3"/>
  <c r="E7" i="8"/>
  <c r="E8" i="8"/>
  <c r="L15" i="3"/>
  <c r="G16" i="3" l="1"/>
  <c r="L16" i="3"/>
  <c r="G15" i="3"/>
  <c r="E1" i="18" l="1"/>
  <c r="E1" i="16"/>
  <c r="E1" i="14"/>
  <c r="E1" i="12"/>
  <c r="E1" i="10"/>
  <c r="F7" i="10"/>
  <c r="E1" i="13"/>
  <c r="E1" i="9"/>
  <c r="E1" i="11"/>
  <c r="E1" i="8"/>
  <c r="E1" i="15"/>
  <c r="E1" i="17"/>
  <c r="F8" i="10" l="1"/>
  <c r="M44" i="3"/>
  <c r="F8" i="11" s="1"/>
  <c r="M50" i="3"/>
  <c r="F7" i="12" s="1"/>
  <c r="M58" i="3"/>
  <c r="F8" i="13" s="1"/>
  <c r="M64" i="3"/>
  <c r="F7" i="14" s="1"/>
  <c r="M43" i="3"/>
  <c r="F7" i="11" s="1"/>
  <c r="M51" i="3"/>
  <c r="F8" i="12" s="1"/>
  <c r="M57" i="3"/>
  <c r="F7" i="13" s="1"/>
  <c r="M65" i="3"/>
  <c r="F8" i="14" s="1"/>
  <c r="M71" i="3"/>
  <c r="F7" i="15" s="1"/>
  <c r="M79" i="3"/>
  <c r="F8" i="16" s="1"/>
  <c r="M85" i="3"/>
  <c r="F7" i="17" s="1"/>
  <c r="M72" i="3"/>
  <c r="F8" i="15" s="1"/>
  <c r="M78" i="3"/>
  <c r="F7" i="16" s="1"/>
  <c r="M92" i="3"/>
  <c r="M93" i="3"/>
  <c r="F8" i="9"/>
  <c r="M15" i="3"/>
  <c r="F7" i="2" s="1"/>
  <c r="M86" i="3"/>
  <c r="F8" i="17" s="1"/>
  <c r="F7" i="9"/>
  <c r="F7" i="8"/>
  <c r="M16" i="3"/>
  <c r="F8" i="2" s="1"/>
  <c r="F8" i="8"/>
  <c r="F1" i="18"/>
  <c r="F1" i="16"/>
  <c r="F1" i="14"/>
  <c r="F1" i="12"/>
  <c r="F1" i="10"/>
  <c r="F1" i="17"/>
  <c r="F1" i="15"/>
  <c r="F1" i="13"/>
  <c r="F1" i="11"/>
  <c r="F1" i="9"/>
  <c r="F1" i="8"/>
  <c r="F1" i="2"/>
  <c r="G14" i="3"/>
  <c r="N14" i="3" l="1"/>
  <c r="F6" i="2"/>
  <c r="N36" i="3"/>
  <c r="G7" i="10" s="1"/>
  <c r="N37" i="3"/>
  <c r="G8" i="10" s="1"/>
  <c r="N23" i="3"/>
  <c r="G8" i="8" s="1"/>
  <c r="N16" i="3"/>
  <c r="G8" i="2" s="1"/>
  <c r="N57" i="3"/>
  <c r="G7" i="13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3" i="3"/>
  <c r="N92" i="3"/>
  <c r="N15" i="3"/>
  <c r="G7" i="2" s="1"/>
  <c r="N29" i="3"/>
  <c r="G7" i="9" s="1"/>
  <c r="N22" i="3"/>
  <c r="G7" i="8" s="1"/>
  <c r="N86" i="3"/>
  <c r="G8" i="17" s="1"/>
  <c r="N30" i="3"/>
  <c r="G8" i="9" s="1"/>
  <c r="N18" i="3"/>
  <c r="G1" i="18"/>
  <c r="G1" i="16"/>
  <c r="G1" i="14"/>
  <c r="G1" i="12"/>
  <c r="G1" i="10"/>
  <c r="G1" i="17"/>
  <c r="G1" i="9"/>
  <c r="G1" i="15"/>
  <c r="G1" i="8"/>
  <c r="O9" i="3"/>
  <c r="G1" i="11"/>
  <c r="G1" i="13"/>
  <c r="G1" i="2"/>
  <c r="L12" i="3"/>
  <c r="L81" i="3"/>
  <c r="O21" i="3" l="1"/>
  <c r="O14" i="3"/>
  <c r="O36" i="3"/>
  <c r="H7" i="10" s="1"/>
  <c r="O37" i="3"/>
  <c r="H8" i="10" s="1"/>
  <c r="O43" i="3"/>
  <c r="H7" i="11" s="1"/>
  <c r="O51" i="3"/>
  <c r="H8" i="12" s="1"/>
  <c r="O57" i="3"/>
  <c r="H7" i="13" s="1"/>
  <c r="O44" i="3"/>
  <c r="H8" i="11" s="1"/>
  <c r="O50" i="3"/>
  <c r="H7" i="12" s="1"/>
  <c r="O58" i="3"/>
  <c r="H8" i="13" s="1"/>
  <c r="O64" i="3"/>
  <c r="H7" i="14" s="1"/>
  <c r="O72" i="3"/>
  <c r="H8" i="15" s="1"/>
  <c r="O78" i="3"/>
  <c r="H7" i="16" s="1"/>
  <c r="O65" i="3"/>
  <c r="H8" i="14" s="1"/>
  <c r="O71" i="3"/>
  <c r="H7" i="15" s="1"/>
  <c r="O79" i="3"/>
  <c r="H8" i="16" s="1"/>
  <c r="O85" i="3"/>
  <c r="H7" i="17" s="1"/>
  <c r="O86" i="3"/>
  <c r="H8" i="17" s="1"/>
  <c r="O93" i="3"/>
  <c r="O92" i="3"/>
  <c r="O22" i="3"/>
  <c r="H7" i="8" s="1"/>
  <c r="O30" i="3"/>
  <c r="H8" i="9" s="1"/>
  <c r="O29" i="3"/>
  <c r="H7" i="9" s="1"/>
  <c r="O15" i="3"/>
  <c r="H7" i="2" s="1"/>
  <c r="O18" i="3"/>
  <c r="O23" i="3"/>
  <c r="H8" i="8" s="1"/>
  <c r="O16" i="3"/>
  <c r="H8" i="2" s="1"/>
  <c r="P9" i="3"/>
  <c r="H1" i="17"/>
  <c r="H1" i="15"/>
  <c r="H1" i="13"/>
  <c r="H1" i="11"/>
  <c r="H1" i="9"/>
  <c r="H1" i="18"/>
  <c r="H1" i="16"/>
  <c r="H1" i="14"/>
  <c r="H1" i="12"/>
  <c r="H1" i="10"/>
  <c r="H1" i="2"/>
  <c r="H1" i="8"/>
  <c r="P14" i="3" l="1"/>
  <c r="P21" i="3"/>
  <c r="P36" i="3"/>
  <c r="I7" i="10" s="1"/>
  <c r="P37" i="3"/>
  <c r="I8" i="10" s="1"/>
  <c r="P58" i="3"/>
  <c r="I8" i="13" s="1"/>
  <c r="P64" i="3"/>
  <c r="I7" i="14" s="1"/>
  <c r="P43" i="3"/>
  <c r="I7" i="11" s="1"/>
  <c r="P51" i="3"/>
  <c r="I8" i="12" s="1"/>
  <c r="P57" i="3"/>
  <c r="I7" i="13" s="1"/>
  <c r="P44" i="3"/>
  <c r="I8" i="11" s="1"/>
  <c r="P50" i="3"/>
  <c r="I7" i="12" s="1"/>
  <c r="P85" i="3"/>
  <c r="I7" i="17" s="1"/>
  <c r="P72" i="3"/>
  <c r="I8" i="15" s="1"/>
  <c r="P78" i="3"/>
  <c r="I7" i="16" s="1"/>
  <c r="P65" i="3"/>
  <c r="I8" i="14" s="1"/>
  <c r="P71" i="3"/>
  <c r="I7" i="15" s="1"/>
  <c r="P79" i="3"/>
  <c r="I8" i="16" s="1"/>
  <c r="P92" i="3"/>
  <c r="P93" i="3"/>
  <c r="P86" i="3"/>
  <c r="I8" i="17" s="1"/>
  <c r="P22" i="3"/>
  <c r="I7" i="8" s="1"/>
  <c r="P29" i="3"/>
  <c r="I7" i="9" s="1"/>
  <c r="P30" i="3"/>
  <c r="I8" i="9" s="1"/>
  <c r="P15" i="3"/>
  <c r="I7" i="2" s="1"/>
  <c r="P18" i="3"/>
  <c r="P23" i="3"/>
  <c r="I8" i="8" s="1"/>
  <c r="P16" i="3"/>
  <c r="I8" i="2" s="1"/>
  <c r="Q9" i="3"/>
  <c r="I1" i="17"/>
  <c r="I1" i="15"/>
  <c r="I1" i="13"/>
  <c r="I1" i="11"/>
  <c r="I1" i="9"/>
  <c r="I1" i="18"/>
  <c r="I1" i="10"/>
  <c r="I1" i="16"/>
  <c r="I1" i="2"/>
  <c r="I1" i="12"/>
  <c r="I1" i="14"/>
  <c r="I1" i="8"/>
  <c r="L13" i="3"/>
  <c r="L11" i="3"/>
  <c r="Q14" i="3" l="1"/>
  <c r="R14" i="3"/>
  <c r="Q21" i="3"/>
  <c r="Q23" i="3"/>
  <c r="J8" i="8" s="1"/>
  <c r="Q36" i="3"/>
  <c r="J7" i="10" s="1"/>
  <c r="Q37" i="3"/>
  <c r="J8" i="10" s="1"/>
  <c r="Q44" i="3"/>
  <c r="J8" i="11" s="1"/>
  <c r="Q50" i="3"/>
  <c r="J7" i="12" s="1"/>
  <c r="Q58" i="3"/>
  <c r="J8" i="13" s="1"/>
  <c r="Q64" i="3"/>
  <c r="J7" i="14" s="1"/>
  <c r="Q43" i="3"/>
  <c r="J7" i="11" s="1"/>
  <c r="Q51" i="3"/>
  <c r="J8" i="12" s="1"/>
  <c r="Q57" i="3"/>
  <c r="J7" i="13" s="1"/>
  <c r="Q65" i="3"/>
  <c r="J8" i="14" s="1"/>
  <c r="Q71" i="3"/>
  <c r="J7" i="15" s="1"/>
  <c r="Q79" i="3"/>
  <c r="J8" i="16" s="1"/>
  <c r="Q85" i="3"/>
  <c r="J7" i="17" s="1"/>
  <c r="Q72" i="3"/>
  <c r="J8" i="15" s="1"/>
  <c r="Q78" i="3"/>
  <c r="J7" i="16" s="1"/>
  <c r="Q92" i="3"/>
  <c r="Q93" i="3"/>
  <c r="Q22" i="3"/>
  <c r="J7" i="8" s="1"/>
  <c r="Q29" i="3"/>
  <c r="J7" i="9" s="1"/>
  <c r="Q30" i="3"/>
  <c r="J8" i="9" s="1"/>
  <c r="Q86" i="3"/>
  <c r="J8" i="17" s="1"/>
  <c r="Q15" i="3"/>
  <c r="J7" i="2" s="1"/>
  <c r="Q18" i="3"/>
  <c r="Q16" i="3"/>
  <c r="J8" i="2" s="1"/>
  <c r="R9" i="3"/>
  <c r="J1" i="18"/>
  <c r="J1" i="16"/>
  <c r="J1" i="14"/>
  <c r="J1" i="12"/>
  <c r="J1" i="10"/>
  <c r="J1" i="17"/>
  <c r="J1" i="15"/>
  <c r="J1" i="13"/>
  <c r="J1" i="11"/>
  <c r="J1" i="9"/>
  <c r="J1" i="8"/>
  <c r="J1" i="2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M12" i="3" s="1"/>
  <c r="E5" i="9"/>
  <c r="E5" i="10"/>
  <c r="E2" i="11"/>
  <c r="E3" i="11"/>
  <c r="E4" i="11"/>
  <c r="E6" i="11"/>
  <c r="E2" i="12"/>
  <c r="E3" i="12"/>
  <c r="E4" i="12"/>
  <c r="E5" i="12"/>
  <c r="E6" i="12"/>
  <c r="E3" i="13"/>
  <c r="E4" i="13"/>
  <c r="E5" i="13"/>
  <c r="E6" i="13"/>
  <c r="E2" i="14"/>
  <c r="E3" i="14"/>
  <c r="E4" i="14"/>
  <c r="E5" i="14"/>
  <c r="E6" i="14"/>
  <c r="E2" i="15"/>
  <c r="E3" i="15"/>
  <c r="E4" i="15"/>
  <c r="E5" i="15"/>
  <c r="E6" i="15"/>
  <c r="E2" i="16"/>
  <c r="E3" i="16"/>
  <c r="E4" i="16"/>
  <c r="E5" i="16"/>
  <c r="E6" i="16"/>
  <c r="E4" i="17"/>
  <c r="R21" i="3" l="1"/>
  <c r="R36" i="3"/>
  <c r="K7" i="10" s="1"/>
  <c r="R37" i="3"/>
  <c r="K8" i="10" s="1"/>
  <c r="N91" i="3"/>
  <c r="R91" i="3"/>
  <c r="O91" i="3"/>
  <c r="P91" i="3"/>
  <c r="M91" i="3"/>
  <c r="Q91" i="3"/>
  <c r="P90" i="3"/>
  <c r="M90" i="3"/>
  <c r="Q90" i="3"/>
  <c r="N90" i="3"/>
  <c r="R90" i="3"/>
  <c r="O90" i="3"/>
  <c r="O53" i="3"/>
  <c r="H3" i="13" s="1"/>
  <c r="P53" i="3"/>
  <c r="I3" i="13" s="1"/>
  <c r="M53" i="3"/>
  <c r="F3" i="13" s="1"/>
  <c r="Q53" i="3"/>
  <c r="J3" i="13" s="1"/>
  <c r="N53" i="3"/>
  <c r="G3" i="13" s="1"/>
  <c r="R53" i="3"/>
  <c r="K3" i="13" s="1"/>
  <c r="N89" i="3"/>
  <c r="R89" i="3"/>
  <c r="O89" i="3"/>
  <c r="P89" i="3"/>
  <c r="M89" i="3"/>
  <c r="Q89" i="3"/>
  <c r="P88" i="3"/>
  <c r="M88" i="3"/>
  <c r="R88" i="3"/>
  <c r="N88" i="3"/>
  <c r="O88" i="3"/>
  <c r="Q88" i="3"/>
  <c r="N87" i="3"/>
  <c r="R87" i="3"/>
  <c r="P87" i="3"/>
  <c r="Q87" i="3"/>
  <c r="M87" i="3"/>
  <c r="O87" i="3"/>
  <c r="R57" i="3"/>
  <c r="K7" i="13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3" i="3"/>
  <c r="R92" i="3"/>
  <c r="R86" i="3"/>
  <c r="K8" i="17" s="1"/>
  <c r="R15" i="3"/>
  <c r="K7" i="2" s="1"/>
  <c r="R22" i="3"/>
  <c r="K7" i="8" s="1"/>
  <c r="R30" i="3"/>
  <c r="K8" i="9" s="1"/>
  <c r="R29" i="3"/>
  <c r="K7" i="9" s="1"/>
  <c r="R18" i="3"/>
  <c r="R16" i="3"/>
  <c r="K8" i="2" s="1"/>
  <c r="R23" i="3"/>
  <c r="K8" i="8" s="1"/>
  <c r="M42" i="3"/>
  <c r="F6" i="11" s="1"/>
  <c r="Q42" i="3"/>
  <c r="J6" i="11" s="1"/>
  <c r="N42" i="3"/>
  <c r="G6" i="11" s="1"/>
  <c r="R42" i="3"/>
  <c r="K6" i="11" s="1"/>
  <c r="O42" i="3"/>
  <c r="H6" i="11" s="1"/>
  <c r="P42" i="3"/>
  <c r="I6" i="11" s="1"/>
  <c r="N52" i="3"/>
  <c r="G2" i="13" s="1"/>
  <c r="R52" i="3"/>
  <c r="K2" i="13" s="1"/>
  <c r="O52" i="3"/>
  <c r="H2" i="13" s="1"/>
  <c r="M52" i="3"/>
  <c r="F2" i="13" s="1"/>
  <c r="P52" i="3"/>
  <c r="I2" i="13" s="1"/>
  <c r="Q52" i="3"/>
  <c r="J2" i="13" s="1"/>
  <c r="N76" i="3"/>
  <c r="G5" i="16" s="1"/>
  <c r="R76" i="3"/>
  <c r="K5" i="16" s="1"/>
  <c r="O76" i="3"/>
  <c r="H5" i="16" s="1"/>
  <c r="P76" i="3"/>
  <c r="I5" i="16" s="1"/>
  <c r="M76" i="3"/>
  <c r="F5" i="16" s="1"/>
  <c r="Q76" i="3"/>
  <c r="J5" i="16" s="1"/>
  <c r="M62" i="3"/>
  <c r="F5" i="14" s="1"/>
  <c r="Q62" i="3"/>
  <c r="J5" i="14" s="1"/>
  <c r="N62" i="3"/>
  <c r="G5" i="14" s="1"/>
  <c r="R62" i="3"/>
  <c r="K5" i="14" s="1"/>
  <c r="O62" i="3"/>
  <c r="H5" i="14" s="1"/>
  <c r="P62" i="3"/>
  <c r="I5" i="14" s="1"/>
  <c r="F4" i="2"/>
  <c r="N12" i="3"/>
  <c r="G4" i="2" s="1"/>
  <c r="O12" i="3"/>
  <c r="H4" i="2" s="1"/>
  <c r="P12" i="3"/>
  <c r="I4" i="2" s="1"/>
  <c r="O46" i="3"/>
  <c r="H3" i="12" s="1"/>
  <c r="M46" i="3"/>
  <c r="F3" i="12" s="1"/>
  <c r="Q46" i="3"/>
  <c r="J3" i="12" s="1"/>
  <c r="P46" i="3"/>
  <c r="I3" i="12" s="1"/>
  <c r="R46" i="3"/>
  <c r="K3" i="12" s="1"/>
  <c r="N46" i="3"/>
  <c r="G3" i="12" s="1"/>
  <c r="O41" i="3"/>
  <c r="H5" i="11" s="1"/>
  <c r="P41" i="3"/>
  <c r="I5" i="11" s="1"/>
  <c r="M41" i="3"/>
  <c r="F5" i="11" s="1"/>
  <c r="Q41" i="3"/>
  <c r="J5" i="11" s="1"/>
  <c r="N41" i="3"/>
  <c r="G5" i="11" s="1"/>
  <c r="R41" i="3"/>
  <c r="K5" i="11" s="1"/>
  <c r="P82" i="3"/>
  <c r="I4" i="17" s="1"/>
  <c r="M82" i="3"/>
  <c r="F4" i="17" s="1"/>
  <c r="Q82" i="3"/>
  <c r="J4" i="17" s="1"/>
  <c r="O82" i="3"/>
  <c r="H4" i="17" s="1"/>
  <c r="N82" i="3"/>
  <c r="G4" i="17" s="1"/>
  <c r="R82" i="3"/>
  <c r="K4" i="17" s="1"/>
  <c r="O75" i="3"/>
  <c r="H4" i="16" s="1"/>
  <c r="P75" i="3"/>
  <c r="I4" i="16" s="1"/>
  <c r="Q75" i="3"/>
  <c r="J4" i="16" s="1"/>
  <c r="R75" i="3"/>
  <c r="K4" i="16" s="1"/>
  <c r="M75" i="3"/>
  <c r="F4" i="16" s="1"/>
  <c r="N75" i="3"/>
  <c r="G4" i="16" s="1"/>
  <c r="O70" i="3"/>
  <c r="H6" i="15" s="1"/>
  <c r="P70" i="3"/>
  <c r="I6" i="15" s="1"/>
  <c r="M70" i="3"/>
  <c r="F6" i="15" s="1"/>
  <c r="N70" i="3"/>
  <c r="G6" i="15" s="1"/>
  <c r="Q70" i="3"/>
  <c r="J6" i="15" s="1"/>
  <c r="R70" i="3"/>
  <c r="K6" i="15" s="1"/>
  <c r="O66" i="3"/>
  <c r="H2" i="15" s="1"/>
  <c r="P66" i="3"/>
  <c r="I2" i="15" s="1"/>
  <c r="M66" i="3"/>
  <c r="F2" i="15" s="1"/>
  <c r="Q66" i="3"/>
  <c r="J2" i="15" s="1"/>
  <c r="N66" i="3"/>
  <c r="G2" i="15" s="1"/>
  <c r="R66" i="3"/>
  <c r="K2" i="15" s="1"/>
  <c r="O61" i="3"/>
  <c r="H4" i="14" s="1"/>
  <c r="P61" i="3"/>
  <c r="I4" i="14" s="1"/>
  <c r="M61" i="3"/>
  <c r="F4" i="14" s="1"/>
  <c r="Q61" i="3"/>
  <c r="J4" i="14" s="1"/>
  <c r="N61" i="3"/>
  <c r="G4" i="14" s="1"/>
  <c r="R61" i="3"/>
  <c r="K4" i="14" s="1"/>
  <c r="N56" i="3"/>
  <c r="G6" i="13" s="1"/>
  <c r="R56" i="3"/>
  <c r="K6" i="13" s="1"/>
  <c r="O56" i="3"/>
  <c r="H6" i="13" s="1"/>
  <c r="M56" i="3"/>
  <c r="F6" i="13" s="1"/>
  <c r="P56" i="3"/>
  <c r="I6" i="13" s="1"/>
  <c r="Q56" i="3"/>
  <c r="J6" i="13" s="1"/>
  <c r="M47" i="3"/>
  <c r="F4" i="12" s="1"/>
  <c r="Q47" i="3"/>
  <c r="J4" i="12" s="1"/>
  <c r="O47" i="3"/>
  <c r="H4" i="12" s="1"/>
  <c r="N47" i="3"/>
  <c r="G4" i="12" s="1"/>
  <c r="P47" i="3"/>
  <c r="I4" i="12" s="1"/>
  <c r="R47" i="3"/>
  <c r="K4" i="12" s="1"/>
  <c r="M38" i="3"/>
  <c r="F2" i="11" s="1"/>
  <c r="Q38" i="3"/>
  <c r="J2" i="11" s="1"/>
  <c r="N38" i="3"/>
  <c r="G2" i="11" s="1"/>
  <c r="R38" i="3"/>
  <c r="K2" i="11" s="1"/>
  <c r="O38" i="3"/>
  <c r="H2" i="11" s="1"/>
  <c r="P38" i="3"/>
  <c r="I2" i="11" s="1"/>
  <c r="M67" i="3"/>
  <c r="F3" i="15" s="1"/>
  <c r="Q67" i="3"/>
  <c r="J3" i="15" s="1"/>
  <c r="N67" i="3"/>
  <c r="G3" i="15" s="1"/>
  <c r="R67" i="3"/>
  <c r="K3" i="15" s="1"/>
  <c r="O67" i="3"/>
  <c r="H3" i="15" s="1"/>
  <c r="P67" i="3"/>
  <c r="I3" i="15" s="1"/>
  <c r="F5" i="10"/>
  <c r="Q34" i="3"/>
  <c r="J5" i="10" s="1"/>
  <c r="N34" i="3"/>
  <c r="G5" i="10" s="1"/>
  <c r="R34" i="3"/>
  <c r="K5" i="10" s="1"/>
  <c r="O34" i="3"/>
  <c r="H5" i="10" s="1"/>
  <c r="P34" i="3"/>
  <c r="I5" i="10" s="1"/>
  <c r="N49" i="3"/>
  <c r="G6" i="12" s="1"/>
  <c r="R49" i="3"/>
  <c r="K6" i="12" s="1"/>
  <c r="O49" i="3"/>
  <c r="H6" i="12" s="1"/>
  <c r="P49" i="3"/>
  <c r="I6" i="12" s="1"/>
  <c r="Q49" i="3"/>
  <c r="J6" i="12" s="1"/>
  <c r="M49" i="3"/>
  <c r="F6" i="12" s="1"/>
  <c r="M45" i="3"/>
  <c r="F2" i="12" s="1"/>
  <c r="Q45" i="3"/>
  <c r="J2" i="12" s="1"/>
  <c r="O45" i="3"/>
  <c r="H2" i="12" s="1"/>
  <c r="R45" i="3"/>
  <c r="K2" i="12" s="1"/>
  <c r="N45" i="3"/>
  <c r="G2" i="12" s="1"/>
  <c r="P45" i="3"/>
  <c r="I2" i="12" s="1"/>
  <c r="M40" i="3"/>
  <c r="F4" i="11" s="1"/>
  <c r="Q40" i="3"/>
  <c r="J4" i="11" s="1"/>
  <c r="N40" i="3"/>
  <c r="G4" i="11" s="1"/>
  <c r="R40" i="3"/>
  <c r="K4" i="11" s="1"/>
  <c r="O40" i="3"/>
  <c r="H4" i="11" s="1"/>
  <c r="P40" i="3"/>
  <c r="I4" i="11" s="1"/>
  <c r="M74" i="3"/>
  <c r="F3" i="16" s="1"/>
  <c r="Q74" i="3"/>
  <c r="J3" i="16" s="1"/>
  <c r="N74" i="3"/>
  <c r="G3" i="16" s="1"/>
  <c r="R74" i="3"/>
  <c r="K3" i="16" s="1"/>
  <c r="O74" i="3"/>
  <c r="H3" i="16" s="1"/>
  <c r="P74" i="3"/>
  <c r="I3" i="16" s="1"/>
  <c r="M69" i="3"/>
  <c r="F5" i="15" s="1"/>
  <c r="Q69" i="3"/>
  <c r="J5" i="15" s="1"/>
  <c r="N69" i="3"/>
  <c r="G5" i="15" s="1"/>
  <c r="R69" i="3"/>
  <c r="K5" i="15" s="1"/>
  <c r="O69" i="3"/>
  <c r="H5" i="15" s="1"/>
  <c r="P69" i="3"/>
  <c r="I5" i="15" s="1"/>
  <c r="M60" i="3"/>
  <c r="F3" i="14" s="1"/>
  <c r="Q60" i="3"/>
  <c r="J3" i="14" s="1"/>
  <c r="N60" i="3"/>
  <c r="G3" i="14" s="1"/>
  <c r="R60" i="3"/>
  <c r="K3" i="14" s="1"/>
  <c r="O60" i="3"/>
  <c r="H3" i="14" s="1"/>
  <c r="P60" i="3"/>
  <c r="I3" i="14" s="1"/>
  <c r="I5" i="13"/>
  <c r="F5" i="13"/>
  <c r="J5" i="13"/>
  <c r="H5" i="13"/>
  <c r="K5" i="13"/>
  <c r="G5" i="13"/>
  <c r="Q12" i="3"/>
  <c r="J4" i="2" s="1"/>
  <c r="F5" i="9"/>
  <c r="Q27" i="3"/>
  <c r="J5" i="9" s="1"/>
  <c r="N27" i="3"/>
  <c r="G5" i="9" s="1"/>
  <c r="R27" i="3"/>
  <c r="K5" i="9" s="1"/>
  <c r="O27" i="3"/>
  <c r="H5" i="9" s="1"/>
  <c r="P27" i="3"/>
  <c r="I5" i="9" s="1"/>
  <c r="E4" i="8"/>
  <c r="P19" i="3"/>
  <c r="I4" i="8" s="1"/>
  <c r="Q19" i="3"/>
  <c r="J4" i="8" s="1"/>
  <c r="F4" i="8"/>
  <c r="O19" i="3"/>
  <c r="H4" i="8" s="1"/>
  <c r="N19" i="3"/>
  <c r="G4" i="8" s="1"/>
  <c r="R19" i="3"/>
  <c r="K4" i="8" s="1"/>
  <c r="O48" i="3"/>
  <c r="H5" i="12" s="1"/>
  <c r="M48" i="3"/>
  <c r="F5" i="12" s="1"/>
  <c r="Q48" i="3"/>
  <c r="J5" i="12" s="1"/>
  <c r="N48" i="3"/>
  <c r="G5" i="12" s="1"/>
  <c r="P48" i="3"/>
  <c r="I5" i="12" s="1"/>
  <c r="R48" i="3"/>
  <c r="K5" i="12" s="1"/>
  <c r="O39" i="3"/>
  <c r="H3" i="11" s="1"/>
  <c r="P39" i="3"/>
  <c r="I3" i="11" s="1"/>
  <c r="N39" i="3"/>
  <c r="G3" i="11" s="1"/>
  <c r="Q39" i="3"/>
  <c r="J3" i="11" s="1"/>
  <c r="R39" i="3"/>
  <c r="K3" i="11" s="1"/>
  <c r="M39" i="3"/>
  <c r="F3" i="11" s="1"/>
  <c r="P77" i="3"/>
  <c r="I6" i="16" s="1"/>
  <c r="M77" i="3"/>
  <c r="F6" i="16" s="1"/>
  <c r="Q77" i="3"/>
  <c r="J6" i="16" s="1"/>
  <c r="N77" i="3"/>
  <c r="G6" i="16" s="1"/>
  <c r="R77" i="3"/>
  <c r="K6" i="16" s="1"/>
  <c r="O77" i="3"/>
  <c r="H6" i="16" s="1"/>
  <c r="O73" i="3"/>
  <c r="H2" i="16" s="1"/>
  <c r="P73" i="3"/>
  <c r="I2" i="16" s="1"/>
  <c r="N73" i="3"/>
  <c r="G2" i="16" s="1"/>
  <c r="Q73" i="3"/>
  <c r="J2" i="16" s="1"/>
  <c r="R73" i="3"/>
  <c r="K2" i="16" s="1"/>
  <c r="M73" i="3"/>
  <c r="F2" i="16" s="1"/>
  <c r="O68" i="3"/>
  <c r="H4" i="15" s="1"/>
  <c r="P68" i="3"/>
  <c r="I4" i="15" s="1"/>
  <c r="M68" i="3"/>
  <c r="F4" i="15" s="1"/>
  <c r="Q68" i="3"/>
  <c r="J4" i="15" s="1"/>
  <c r="N68" i="3"/>
  <c r="G4" i="15" s="1"/>
  <c r="R68" i="3"/>
  <c r="K4" i="15" s="1"/>
  <c r="O63" i="3"/>
  <c r="H6" i="14" s="1"/>
  <c r="P63" i="3"/>
  <c r="I6" i="14" s="1"/>
  <c r="M63" i="3"/>
  <c r="F6" i="14" s="1"/>
  <c r="Q63" i="3"/>
  <c r="J6" i="14" s="1"/>
  <c r="N63" i="3"/>
  <c r="G6" i="14" s="1"/>
  <c r="R63" i="3"/>
  <c r="K6" i="14" s="1"/>
  <c r="N59" i="3"/>
  <c r="G2" i="14" s="1"/>
  <c r="O59" i="3"/>
  <c r="H2" i="14" s="1"/>
  <c r="P59" i="3"/>
  <c r="I2" i="14" s="1"/>
  <c r="Q59" i="3"/>
  <c r="J2" i="14" s="1"/>
  <c r="M59" i="3"/>
  <c r="F2" i="14" s="1"/>
  <c r="R59" i="3"/>
  <c r="K2" i="14" s="1"/>
  <c r="N54" i="3"/>
  <c r="G4" i="13" s="1"/>
  <c r="R54" i="3"/>
  <c r="K4" i="13" s="1"/>
  <c r="O54" i="3"/>
  <c r="H4" i="13" s="1"/>
  <c r="M54" i="3"/>
  <c r="F4" i="13" s="1"/>
  <c r="P54" i="3"/>
  <c r="I4" i="13" s="1"/>
  <c r="Q54" i="3"/>
  <c r="J4" i="13" s="1"/>
  <c r="F5" i="8"/>
  <c r="Q20" i="3"/>
  <c r="J5" i="8" s="1"/>
  <c r="N20" i="3"/>
  <c r="G5" i="8" s="1"/>
  <c r="R20" i="3"/>
  <c r="K5" i="8" s="1"/>
  <c r="O20" i="3"/>
  <c r="H5" i="8" s="1"/>
  <c r="P20" i="3"/>
  <c r="I5" i="8" s="1"/>
  <c r="S9" i="3"/>
  <c r="K1" i="18"/>
  <c r="K1" i="16"/>
  <c r="K1" i="14"/>
  <c r="K1" i="12"/>
  <c r="K1" i="10"/>
  <c r="K1" i="11"/>
  <c r="K1" i="17"/>
  <c r="K1" i="9"/>
  <c r="K1" i="8"/>
  <c r="K1" i="13"/>
  <c r="K1" i="2"/>
  <c r="K1" i="15"/>
  <c r="R12" i="3"/>
  <c r="K4" i="2" s="1"/>
  <c r="E5" i="8"/>
  <c r="S21" i="3" l="1"/>
  <c r="S14" i="3"/>
  <c r="S36" i="3"/>
  <c r="L7" i="10" s="1"/>
  <c r="S37" i="3"/>
  <c r="L8" i="10" s="1"/>
  <c r="S43" i="3"/>
  <c r="L7" i="11" s="1"/>
  <c r="S51" i="3"/>
  <c r="L8" i="12" s="1"/>
  <c r="S57" i="3"/>
  <c r="L7" i="13" s="1"/>
  <c r="S44" i="3"/>
  <c r="L8" i="11" s="1"/>
  <c r="S50" i="3"/>
  <c r="L7" i="12" s="1"/>
  <c r="S58" i="3"/>
  <c r="L8" i="13" s="1"/>
  <c r="S64" i="3"/>
  <c r="L7" i="14" s="1"/>
  <c r="S72" i="3"/>
  <c r="L8" i="15" s="1"/>
  <c r="S78" i="3"/>
  <c r="L7" i="16" s="1"/>
  <c r="S65" i="3"/>
  <c r="L8" i="14" s="1"/>
  <c r="S71" i="3"/>
  <c r="L7" i="15" s="1"/>
  <c r="S79" i="3"/>
  <c r="L8" i="16" s="1"/>
  <c r="S85" i="3"/>
  <c r="L7" i="17" s="1"/>
  <c r="S86" i="3"/>
  <c r="L8" i="17" s="1"/>
  <c r="S93" i="3"/>
  <c r="S92" i="3"/>
  <c r="S29" i="3"/>
  <c r="L7" i="9" s="1"/>
  <c r="S30" i="3"/>
  <c r="L8" i="9" s="1"/>
  <c r="S22" i="3"/>
  <c r="L7" i="8" s="1"/>
  <c r="S15" i="3"/>
  <c r="L7" i="2" s="1"/>
  <c r="S18" i="3"/>
  <c r="S16" i="3"/>
  <c r="L8" i="2" s="1"/>
  <c r="S53" i="3"/>
  <c r="L3" i="13" s="1"/>
  <c r="S88" i="3"/>
  <c r="S87" i="3"/>
  <c r="S91" i="3"/>
  <c r="S89" i="3"/>
  <c r="S42" i="3"/>
  <c r="L6" i="11" s="1"/>
  <c r="S52" i="3"/>
  <c r="L2" i="13" s="1"/>
  <c r="S90" i="3"/>
  <c r="S23" i="3"/>
  <c r="L8" i="8" s="1"/>
  <c r="S46" i="3"/>
  <c r="L3" i="12" s="1"/>
  <c r="S75" i="3"/>
  <c r="L4" i="16" s="1"/>
  <c r="S62" i="3"/>
  <c r="L5" i="14" s="1"/>
  <c r="S41" i="3"/>
  <c r="L5" i="11" s="1"/>
  <c r="S70" i="3"/>
  <c r="L6" i="15" s="1"/>
  <c r="S82" i="3"/>
  <c r="L4" i="17" s="1"/>
  <c r="S66" i="3"/>
  <c r="L2" i="15" s="1"/>
  <c r="S76" i="3"/>
  <c r="L5" i="16" s="1"/>
  <c r="S61" i="3"/>
  <c r="L4" i="14" s="1"/>
  <c r="S47" i="3"/>
  <c r="L4" i="12" s="1"/>
  <c r="S38" i="3"/>
  <c r="L2" i="11" s="1"/>
  <c r="S69" i="3"/>
  <c r="L5" i="15" s="1"/>
  <c r="S73" i="3"/>
  <c r="L2" i="16" s="1"/>
  <c r="S59" i="3"/>
  <c r="L2" i="14" s="1"/>
  <c r="S54" i="3"/>
  <c r="L4" i="13" s="1"/>
  <c r="S45" i="3"/>
  <c r="L2" i="12" s="1"/>
  <c r="S27" i="3"/>
  <c r="L5" i="9" s="1"/>
  <c r="S68" i="3"/>
  <c r="L4" i="15" s="1"/>
  <c r="S56" i="3"/>
  <c r="L6" i="13" s="1"/>
  <c r="S67" i="3"/>
  <c r="L3" i="15" s="1"/>
  <c r="S74" i="3"/>
  <c r="L3" i="16" s="1"/>
  <c r="S60" i="3"/>
  <c r="L3" i="14" s="1"/>
  <c r="L5" i="13"/>
  <c r="S39" i="3"/>
  <c r="L3" i="11" s="1"/>
  <c r="S77" i="3"/>
  <c r="L6" i="16" s="1"/>
  <c r="S63" i="3"/>
  <c r="L6" i="14" s="1"/>
  <c r="S34" i="3"/>
  <c r="L5" i="10" s="1"/>
  <c r="S49" i="3"/>
  <c r="L6" i="12" s="1"/>
  <c r="S40" i="3"/>
  <c r="L4" i="11" s="1"/>
  <c r="S19" i="3"/>
  <c r="L4" i="8" s="1"/>
  <c r="S48" i="3"/>
  <c r="L5" i="12" s="1"/>
  <c r="S20" i="3"/>
  <c r="L5" i="8" s="1"/>
  <c r="T9" i="3"/>
  <c r="L1" i="17"/>
  <c r="L1" i="15"/>
  <c r="L1" i="13"/>
  <c r="L1" i="11"/>
  <c r="L1" i="9"/>
  <c r="L1" i="18"/>
  <c r="L1" i="16"/>
  <c r="L1" i="14"/>
  <c r="L1" i="12"/>
  <c r="L1" i="10"/>
  <c r="L1" i="2"/>
  <c r="L1" i="8"/>
  <c r="S12" i="3"/>
  <c r="L4" i="2" s="1"/>
  <c r="L84" i="3"/>
  <c r="L83" i="3"/>
  <c r="L80" i="3"/>
  <c r="T21" i="3" l="1"/>
  <c r="T14" i="3"/>
  <c r="T36" i="3"/>
  <c r="M7" i="10" s="1"/>
  <c r="T37" i="3"/>
  <c r="M8" i="10" s="1"/>
  <c r="T58" i="3"/>
  <c r="M8" i="13" s="1"/>
  <c r="T64" i="3"/>
  <c r="M7" i="14" s="1"/>
  <c r="T43" i="3"/>
  <c r="M7" i="11" s="1"/>
  <c r="T51" i="3"/>
  <c r="M8" i="12" s="1"/>
  <c r="T57" i="3"/>
  <c r="M7" i="13" s="1"/>
  <c r="T44" i="3"/>
  <c r="M8" i="11" s="1"/>
  <c r="T50" i="3"/>
  <c r="M7" i="12" s="1"/>
  <c r="T85" i="3"/>
  <c r="M7" i="17" s="1"/>
  <c r="T72" i="3"/>
  <c r="M8" i="15" s="1"/>
  <c r="T78" i="3"/>
  <c r="M7" i="16" s="1"/>
  <c r="T65" i="3"/>
  <c r="M8" i="14" s="1"/>
  <c r="T71" i="3"/>
  <c r="M7" i="15" s="1"/>
  <c r="T79" i="3"/>
  <c r="M8" i="16" s="1"/>
  <c r="T92" i="3"/>
  <c r="T93" i="3"/>
  <c r="T22" i="3"/>
  <c r="M7" i="8" s="1"/>
  <c r="T29" i="3"/>
  <c r="M7" i="9" s="1"/>
  <c r="T15" i="3"/>
  <c r="M7" i="2" s="1"/>
  <c r="T30" i="3"/>
  <c r="M8" i="9" s="1"/>
  <c r="T86" i="3"/>
  <c r="M8" i="17" s="1"/>
  <c r="T18" i="3"/>
  <c r="T16" i="3"/>
  <c r="M8" i="2" s="1"/>
  <c r="T53" i="3"/>
  <c r="M3" i="13" s="1"/>
  <c r="T91" i="3"/>
  <c r="T89" i="3"/>
  <c r="T23" i="3"/>
  <c r="M8" i="8" s="1"/>
  <c r="T90" i="3"/>
  <c r="T88" i="3"/>
  <c r="T87" i="3"/>
  <c r="T42" i="3"/>
  <c r="M6" i="11" s="1"/>
  <c r="T52" i="3"/>
  <c r="M2" i="13" s="1"/>
  <c r="T46" i="3"/>
  <c r="M3" i="12" s="1"/>
  <c r="T62" i="3"/>
  <c r="M5" i="14" s="1"/>
  <c r="T41" i="3"/>
  <c r="M5" i="11" s="1"/>
  <c r="T70" i="3"/>
  <c r="M6" i="15" s="1"/>
  <c r="T66" i="3"/>
  <c r="M2" i="15" s="1"/>
  <c r="T76" i="3"/>
  <c r="M5" i="16" s="1"/>
  <c r="T82" i="3"/>
  <c r="M4" i="17" s="1"/>
  <c r="T75" i="3"/>
  <c r="M4" i="16" s="1"/>
  <c r="T61" i="3"/>
  <c r="M4" i="14" s="1"/>
  <c r="T38" i="3"/>
  <c r="M2" i="11" s="1"/>
  <c r="T34" i="3"/>
  <c r="M5" i="10" s="1"/>
  <c r="T45" i="3"/>
  <c r="M2" i="12" s="1"/>
  <c r="T27" i="3"/>
  <c r="M5" i="9" s="1"/>
  <c r="T73" i="3"/>
  <c r="M2" i="16" s="1"/>
  <c r="T59" i="3"/>
  <c r="M2" i="14" s="1"/>
  <c r="T67" i="3"/>
  <c r="M3" i="15" s="1"/>
  <c r="T40" i="3"/>
  <c r="M4" i="11" s="1"/>
  <c r="T68" i="3"/>
  <c r="M4" i="15" s="1"/>
  <c r="T56" i="3"/>
  <c r="M6" i="13" s="1"/>
  <c r="T47" i="3"/>
  <c r="M4" i="12" s="1"/>
  <c r="T74" i="3"/>
  <c r="M3" i="16" s="1"/>
  <c r="T60" i="3"/>
  <c r="M3" i="14" s="1"/>
  <c r="M5" i="13"/>
  <c r="T48" i="3"/>
  <c r="M5" i="12" s="1"/>
  <c r="T39" i="3"/>
  <c r="M3" i="11" s="1"/>
  <c r="T63" i="3"/>
  <c r="M6" i="14" s="1"/>
  <c r="T49" i="3"/>
  <c r="M6" i="12" s="1"/>
  <c r="T69" i="3"/>
  <c r="M5" i="15" s="1"/>
  <c r="T19" i="3"/>
  <c r="M4" i="8" s="1"/>
  <c r="T77" i="3"/>
  <c r="M6" i="16" s="1"/>
  <c r="T54" i="3"/>
  <c r="M4" i="13" s="1"/>
  <c r="T20" i="3"/>
  <c r="M5" i="8" s="1"/>
  <c r="E2" i="9"/>
  <c r="U9" i="3"/>
  <c r="M1" i="17"/>
  <c r="M1" i="15"/>
  <c r="M1" i="13"/>
  <c r="M1" i="11"/>
  <c r="M1" i="9"/>
  <c r="M1" i="12"/>
  <c r="M1" i="18"/>
  <c r="M1" i="10"/>
  <c r="M1" i="2"/>
  <c r="M1" i="8"/>
  <c r="M1" i="16"/>
  <c r="M1" i="14"/>
  <c r="T12" i="3"/>
  <c r="M4" i="2" s="1"/>
  <c r="G25" i="3"/>
  <c r="G26" i="3"/>
  <c r="G28" i="3"/>
  <c r="G31" i="3"/>
  <c r="N31" i="3" s="1"/>
  <c r="G32" i="3"/>
  <c r="G81" i="3"/>
  <c r="G24" i="3"/>
  <c r="G33" i="3"/>
  <c r="G83" i="3"/>
  <c r="G80" i="3"/>
  <c r="G35" i="3"/>
  <c r="G84" i="3"/>
  <c r="U21" i="3" l="1"/>
  <c r="U14" i="3"/>
  <c r="O24" i="3"/>
  <c r="P24" i="3"/>
  <c r="Q24" i="3"/>
  <c r="J2" i="9" s="1"/>
  <c r="R24" i="3"/>
  <c r="K2" i="9" s="1"/>
  <c r="S24" i="3"/>
  <c r="L2" i="9" s="1"/>
  <c r="N24" i="3"/>
  <c r="G2" i="9" s="1"/>
  <c r="T24" i="3"/>
  <c r="M2" i="9" s="1"/>
  <c r="U24" i="3"/>
  <c r="N2" i="9" s="1"/>
  <c r="H2" i="9"/>
  <c r="I2" i="9"/>
  <c r="O31" i="3"/>
  <c r="H2" i="10" s="1"/>
  <c r="P31" i="3"/>
  <c r="I2" i="10" s="1"/>
  <c r="Q31" i="3"/>
  <c r="J2" i="10" s="1"/>
  <c r="R31" i="3"/>
  <c r="K2" i="10" s="1"/>
  <c r="F2" i="10"/>
  <c r="G2" i="10"/>
  <c r="S31" i="3"/>
  <c r="L2" i="10" s="1"/>
  <c r="T31" i="3"/>
  <c r="M2" i="10" s="1"/>
  <c r="U31" i="3"/>
  <c r="N2" i="10" s="1"/>
  <c r="F2" i="9"/>
  <c r="N80" i="3"/>
  <c r="G2" i="17" s="1"/>
  <c r="O80" i="3"/>
  <c r="H2" i="17" s="1"/>
  <c r="U80" i="3"/>
  <c r="N2" i="17" s="1"/>
  <c r="P80" i="3"/>
  <c r="I2" i="17" s="1"/>
  <c r="S80" i="3"/>
  <c r="L2" i="17" s="1"/>
  <c r="M80" i="3"/>
  <c r="F2" i="17" s="1"/>
  <c r="T80" i="3"/>
  <c r="M2" i="17" s="1"/>
  <c r="Q80" i="3"/>
  <c r="J2" i="17" s="1"/>
  <c r="R80" i="3"/>
  <c r="K2" i="17" s="1"/>
  <c r="U36" i="3"/>
  <c r="N7" i="10" s="1"/>
  <c r="U37" i="3"/>
  <c r="N8" i="10" s="1"/>
  <c r="N35" i="3"/>
  <c r="G6" i="10" s="1"/>
  <c r="R35" i="3"/>
  <c r="K6" i="10" s="1"/>
  <c r="O35" i="3"/>
  <c r="H6" i="10" s="1"/>
  <c r="S35" i="3"/>
  <c r="L6" i="10" s="1"/>
  <c r="P35" i="3"/>
  <c r="I6" i="10" s="1"/>
  <c r="T35" i="3"/>
  <c r="M6" i="10" s="1"/>
  <c r="F6" i="10"/>
  <c r="Q35" i="3"/>
  <c r="J6" i="10" s="1"/>
  <c r="U35" i="3"/>
  <c r="N6" i="10" s="1"/>
  <c r="U44" i="3"/>
  <c r="N8" i="11" s="1"/>
  <c r="U50" i="3"/>
  <c r="N7" i="12" s="1"/>
  <c r="U58" i="3"/>
  <c r="N8" i="13" s="1"/>
  <c r="U64" i="3"/>
  <c r="N7" i="14" s="1"/>
  <c r="U43" i="3"/>
  <c r="N7" i="11" s="1"/>
  <c r="U51" i="3"/>
  <c r="N8" i="12" s="1"/>
  <c r="U57" i="3"/>
  <c r="N7" i="13" s="1"/>
  <c r="U65" i="3"/>
  <c r="N8" i="14" s="1"/>
  <c r="U71" i="3"/>
  <c r="N7" i="15" s="1"/>
  <c r="U79" i="3"/>
  <c r="N8" i="16" s="1"/>
  <c r="U85" i="3"/>
  <c r="N7" i="17" s="1"/>
  <c r="U72" i="3"/>
  <c r="N8" i="15" s="1"/>
  <c r="U78" i="3"/>
  <c r="N7" i="16" s="1"/>
  <c r="U92" i="3"/>
  <c r="U93" i="3"/>
  <c r="U22" i="3"/>
  <c r="N7" i="8" s="1"/>
  <c r="U30" i="3"/>
  <c r="N8" i="9" s="1"/>
  <c r="U86" i="3"/>
  <c r="N8" i="17" s="1"/>
  <c r="U29" i="3"/>
  <c r="N7" i="9" s="1"/>
  <c r="U15" i="3"/>
  <c r="N7" i="2" s="1"/>
  <c r="U18" i="3"/>
  <c r="U16" i="3"/>
  <c r="N8" i="2" s="1"/>
  <c r="U23" i="3"/>
  <c r="N8" i="8" s="1"/>
  <c r="U87" i="3"/>
  <c r="U53" i="3"/>
  <c r="N3" i="13" s="1"/>
  <c r="U52" i="3"/>
  <c r="N2" i="13" s="1"/>
  <c r="U91" i="3"/>
  <c r="U89" i="3"/>
  <c r="U90" i="3"/>
  <c r="U88" i="3"/>
  <c r="U42" i="3"/>
  <c r="N6" i="11" s="1"/>
  <c r="U61" i="3"/>
  <c r="N4" i="14" s="1"/>
  <c r="U76" i="3"/>
  <c r="N5" i="16" s="1"/>
  <c r="U62" i="3"/>
  <c r="N5" i="14" s="1"/>
  <c r="U46" i="3"/>
  <c r="N3" i="12" s="1"/>
  <c r="U70" i="3"/>
  <c r="N6" i="15" s="1"/>
  <c r="U41" i="3"/>
  <c r="N5" i="11" s="1"/>
  <c r="U82" i="3"/>
  <c r="N4" i="17" s="1"/>
  <c r="U75" i="3"/>
  <c r="N4" i="16" s="1"/>
  <c r="U66" i="3"/>
  <c r="N2" i="15" s="1"/>
  <c r="U47" i="3"/>
  <c r="N4" i="12" s="1"/>
  <c r="U69" i="3"/>
  <c r="N5" i="15" s="1"/>
  <c r="U73" i="3"/>
  <c r="N2" i="16" s="1"/>
  <c r="U59" i="3"/>
  <c r="N2" i="14" s="1"/>
  <c r="U54" i="3"/>
  <c r="N4" i="13" s="1"/>
  <c r="U38" i="3"/>
  <c r="N2" i="11" s="1"/>
  <c r="U45" i="3"/>
  <c r="N2" i="12" s="1"/>
  <c r="U27" i="3"/>
  <c r="N5" i="9" s="1"/>
  <c r="U39" i="3"/>
  <c r="N3" i="11" s="1"/>
  <c r="U77" i="3"/>
  <c r="N6" i="16" s="1"/>
  <c r="U56" i="3"/>
  <c r="N6" i="13" s="1"/>
  <c r="U67" i="3"/>
  <c r="N3" i="15" s="1"/>
  <c r="U40" i="3"/>
  <c r="N4" i="11" s="1"/>
  <c r="U60" i="3"/>
  <c r="N3" i="14" s="1"/>
  <c r="U48" i="3"/>
  <c r="N5" i="12" s="1"/>
  <c r="U68" i="3"/>
  <c r="N4" i="15" s="1"/>
  <c r="U34" i="3"/>
  <c r="N5" i="10" s="1"/>
  <c r="U49" i="3"/>
  <c r="N6" i="12" s="1"/>
  <c r="U74" i="3"/>
  <c r="N3" i="16" s="1"/>
  <c r="N5" i="13"/>
  <c r="U19" i="3"/>
  <c r="N4" i="8" s="1"/>
  <c r="U63" i="3"/>
  <c r="N6" i="14" s="1"/>
  <c r="U20" i="3"/>
  <c r="N5" i="8" s="1"/>
  <c r="F3" i="10"/>
  <c r="Q32" i="3"/>
  <c r="J3" i="10" s="1"/>
  <c r="U32" i="3"/>
  <c r="N3" i="10" s="1"/>
  <c r="N32" i="3"/>
  <c r="G3" i="10" s="1"/>
  <c r="R32" i="3"/>
  <c r="K3" i="10" s="1"/>
  <c r="O32" i="3"/>
  <c r="H3" i="10" s="1"/>
  <c r="S32" i="3"/>
  <c r="L3" i="10" s="1"/>
  <c r="P32" i="3"/>
  <c r="I3" i="10" s="1"/>
  <c r="T32" i="3"/>
  <c r="M3" i="10" s="1"/>
  <c r="O33" i="3"/>
  <c r="H4" i="10" s="1"/>
  <c r="S33" i="3"/>
  <c r="L4" i="10" s="1"/>
  <c r="P33" i="3"/>
  <c r="I4" i="10" s="1"/>
  <c r="T33" i="3"/>
  <c r="M4" i="10" s="1"/>
  <c r="F4" i="10"/>
  <c r="Q33" i="3"/>
  <c r="J4" i="10" s="1"/>
  <c r="U33" i="3"/>
  <c r="N4" i="10" s="1"/>
  <c r="N33" i="3"/>
  <c r="G4" i="10" s="1"/>
  <c r="R33" i="3"/>
  <c r="K4" i="10" s="1"/>
  <c r="P84" i="3"/>
  <c r="I6" i="17" s="1"/>
  <c r="T84" i="3"/>
  <c r="M6" i="17" s="1"/>
  <c r="M84" i="3"/>
  <c r="F6" i="17" s="1"/>
  <c r="Q84" i="3"/>
  <c r="J6" i="17" s="1"/>
  <c r="U84" i="3"/>
  <c r="N6" i="17" s="1"/>
  <c r="N84" i="3"/>
  <c r="G6" i="17" s="1"/>
  <c r="R84" i="3"/>
  <c r="K6" i="17" s="1"/>
  <c r="O84" i="3"/>
  <c r="H6" i="17" s="1"/>
  <c r="S84" i="3"/>
  <c r="L6" i="17" s="1"/>
  <c r="F6" i="9"/>
  <c r="Q28" i="3"/>
  <c r="J6" i="9" s="1"/>
  <c r="U28" i="3"/>
  <c r="N6" i="9" s="1"/>
  <c r="N28" i="3"/>
  <c r="G6" i="9" s="1"/>
  <c r="R28" i="3"/>
  <c r="K6" i="9" s="1"/>
  <c r="O28" i="3"/>
  <c r="H6" i="9" s="1"/>
  <c r="S28" i="3"/>
  <c r="L6" i="9" s="1"/>
  <c r="P28" i="3"/>
  <c r="I6" i="9" s="1"/>
  <c r="T28" i="3"/>
  <c r="M6" i="9" s="1"/>
  <c r="N81" i="3"/>
  <c r="G3" i="17" s="1"/>
  <c r="R81" i="3"/>
  <c r="K3" i="17" s="1"/>
  <c r="O81" i="3"/>
  <c r="H3" i="17" s="1"/>
  <c r="S81" i="3"/>
  <c r="L3" i="17" s="1"/>
  <c r="P81" i="3"/>
  <c r="I3" i="17" s="1"/>
  <c r="T81" i="3"/>
  <c r="M3" i="17" s="1"/>
  <c r="M81" i="3"/>
  <c r="F3" i="17" s="1"/>
  <c r="Q81" i="3"/>
  <c r="J3" i="17" s="1"/>
  <c r="U81" i="3"/>
  <c r="N3" i="17" s="1"/>
  <c r="F4" i="9"/>
  <c r="Q26" i="3"/>
  <c r="J4" i="9" s="1"/>
  <c r="U26" i="3"/>
  <c r="N4" i="9" s="1"/>
  <c r="N26" i="3"/>
  <c r="G4" i="9" s="1"/>
  <c r="R26" i="3"/>
  <c r="K4" i="9" s="1"/>
  <c r="O26" i="3"/>
  <c r="H4" i="9" s="1"/>
  <c r="S26" i="3"/>
  <c r="L4" i="9" s="1"/>
  <c r="P26" i="3"/>
  <c r="I4" i="9" s="1"/>
  <c r="T26" i="3"/>
  <c r="M4" i="9" s="1"/>
  <c r="N83" i="3"/>
  <c r="G5" i="17" s="1"/>
  <c r="R83" i="3"/>
  <c r="K5" i="17" s="1"/>
  <c r="O83" i="3"/>
  <c r="H5" i="17" s="1"/>
  <c r="S83" i="3"/>
  <c r="L5" i="17" s="1"/>
  <c r="P83" i="3"/>
  <c r="I5" i="17" s="1"/>
  <c r="T83" i="3"/>
  <c r="M5" i="17" s="1"/>
  <c r="M83" i="3"/>
  <c r="F5" i="17" s="1"/>
  <c r="Q83" i="3"/>
  <c r="J5" i="17" s="1"/>
  <c r="U83" i="3"/>
  <c r="N5" i="17" s="1"/>
  <c r="O25" i="3"/>
  <c r="H3" i="9" s="1"/>
  <c r="S25" i="3"/>
  <c r="L3" i="9" s="1"/>
  <c r="P25" i="3"/>
  <c r="I3" i="9" s="1"/>
  <c r="T25" i="3"/>
  <c r="M3" i="9" s="1"/>
  <c r="F3" i="9"/>
  <c r="Q25" i="3"/>
  <c r="J3" i="9" s="1"/>
  <c r="U25" i="3"/>
  <c r="N3" i="9" s="1"/>
  <c r="N25" i="3"/>
  <c r="G3" i="9" s="1"/>
  <c r="R25" i="3"/>
  <c r="K3" i="9" s="1"/>
  <c r="V9" i="3"/>
  <c r="N1" i="18"/>
  <c r="N1" i="16"/>
  <c r="N1" i="14"/>
  <c r="N1" i="12"/>
  <c r="N1" i="10"/>
  <c r="N1" i="17"/>
  <c r="N1" i="15"/>
  <c r="N1" i="13"/>
  <c r="N1" i="11"/>
  <c r="N1" i="9"/>
  <c r="N1" i="8"/>
  <c r="N1" i="2"/>
  <c r="U12" i="3"/>
  <c r="N4" i="2" s="1"/>
  <c r="E4" i="10"/>
  <c r="E2" i="10"/>
  <c r="G13" i="3"/>
  <c r="E6" i="9"/>
  <c r="E4" i="9"/>
  <c r="E2" i="17"/>
  <c r="E3" i="17"/>
  <c r="E6" i="17"/>
  <c r="G11" i="3"/>
  <c r="M11" i="3" s="1"/>
  <c r="E5" i="17"/>
  <c r="E3" i="10"/>
  <c r="G10" i="3"/>
  <c r="E6" i="10"/>
  <c r="G17" i="3"/>
  <c r="E3" i="9"/>
  <c r="N10" i="3" l="1"/>
  <c r="V21" i="3"/>
  <c r="V14" i="3"/>
  <c r="V24" i="3"/>
  <c r="O17" i="3"/>
  <c r="H2" i="8" s="1"/>
  <c r="P17" i="3"/>
  <c r="Q17" i="3"/>
  <c r="R17" i="3"/>
  <c r="K2" i="8" s="1"/>
  <c r="S17" i="3"/>
  <c r="L2" i="8" s="1"/>
  <c r="N17" i="3"/>
  <c r="G2" i="8" s="1"/>
  <c r="T17" i="3"/>
  <c r="M17" i="3"/>
  <c r="V17" i="3"/>
  <c r="U17" i="3"/>
  <c r="N2" i="8" s="1"/>
  <c r="G2" i="2"/>
  <c r="O10" i="3"/>
  <c r="H2" i="2" s="1"/>
  <c r="J2" i="8"/>
  <c r="M2" i="8"/>
  <c r="O2" i="8"/>
  <c r="F2" i="8"/>
  <c r="I2" i="8"/>
  <c r="Q10" i="3"/>
  <c r="J2" i="2" s="1"/>
  <c r="R10" i="3"/>
  <c r="K2" i="2" s="1"/>
  <c r="S10" i="3"/>
  <c r="L2" i="2" s="1"/>
  <c r="T10" i="3"/>
  <c r="M2" i="2" s="1"/>
  <c r="P10" i="3"/>
  <c r="I2" i="2" s="1"/>
  <c r="U10" i="3"/>
  <c r="N2" i="2" s="1"/>
  <c r="V10" i="3"/>
  <c r="O2" i="2" s="1"/>
  <c r="O2" i="9"/>
  <c r="V31" i="3"/>
  <c r="O2" i="10" s="1"/>
  <c r="V80" i="3"/>
  <c r="O2" i="17" s="1"/>
  <c r="O6" i="2"/>
  <c r="F2" i="2"/>
  <c r="V35" i="3"/>
  <c r="O6" i="10" s="1"/>
  <c r="V36" i="3"/>
  <c r="O7" i="10" s="1"/>
  <c r="V37" i="3"/>
  <c r="O8" i="10" s="1"/>
  <c r="V28" i="3"/>
  <c r="O6" i="9" s="1"/>
  <c r="V83" i="3"/>
  <c r="O5" i="17" s="1"/>
  <c r="V26" i="3"/>
  <c r="O4" i="9" s="1"/>
  <c r="V32" i="3"/>
  <c r="O3" i="10" s="1"/>
  <c r="V57" i="3"/>
  <c r="O7" i="13" s="1"/>
  <c r="V44" i="3"/>
  <c r="O8" i="11" s="1"/>
  <c r="V50" i="3"/>
  <c r="O7" i="12" s="1"/>
  <c r="V58" i="3"/>
  <c r="O8" i="13" s="1"/>
  <c r="V43" i="3"/>
  <c r="O7" i="11" s="1"/>
  <c r="V51" i="3"/>
  <c r="O8" i="12" s="1"/>
  <c r="V65" i="3"/>
  <c r="O8" i="14" s="1"/>
  <c r="V71" i="3"/>
  <c r="O7" i="15" s="1"/>
  <c r="V79" i="3"/>
  <c r="O8" i="16" s="1"/>
  <c r="V85" i="3"/>
  <c r="O7" i="17" s="1"/>
  <c r="V64" i="3"/>
  <c r="O7" i="14" s="1"/>
  <c r="V72" i="3"/>
  <c r="O8" i="15" s="1"/>
  <c r="V78" i="3"/>
  <c r="O7" i="16" s="1"/>
  <c r="V93" i="3"/>
  <c r="V92" i="3"/>
  <c r="V22" i="3"/>
  <c r="O7" i="8" s="1"/>
  <c r="V86" i="3"/>
  <c r="O8" i="17" s="1"/>
  <c r="V30" i="3"/>
  <c r="O8" i="9" s="1"/>
  <c r="V29" i="3"/>
  <c r="O7" i="9" s="1"/>
  <c r="V15" i="3"/>
  <c r="O7" i="2" s="1"/>
  <c r="V18" i="3"/>
  <c r="O3" i="8" s="1"/>
  <c r="V16" i="3"/>
  <c r="O8" i="2" s="1"/>
  <c r="V23" i="3"/>
  <c r="O8" i="8" s="1"/>
  <c r="V90" i="3"/>
  <c r="V42" i="3"/>
  <c r="O6" i="11" s="1"/>
  <c r="V88" i="3"/>
  <c r="V87" i="3"/>
  <c r="V91" i="3"/>
  <c r="V53" i="3"/>
  <c r="O3" i="13" s="1"/>
  <c r="V89" i="3"/>
  <c r="V76" i="3"/>
  <c r="O5" i="16" s="1"/>
  <c r="V52" i="3"/>
  <c r="O2" i="13" s="1"/>
  <c r="V61" i="3"/>
  <c r="O4" i="14" s="1"/>
  <c r="V56" i="3"/>
  <c r="O6" i="13" s="1"/>
  <c r="V62" i="3"/>
  <c r="O5" i="14" s="1"/>
  <c r="V82" i="3"/>
  <c r="O4" i="17" s="1"/>
  <c r="V75" i="3"/>
  <c r="O4" i="16" s="1"/>
  <c r="V70" i="3"/>
  <c r="O6" i="15" s="1"/>
  <c r="V66" i="3"/>
  <c r="O2" i="15" s="1"/>
  <c r="V46" i="3"/>
  <c r="O3" i="12" s="1"/>
  <c r="V41" i="3"/>
  <c r="O5" i="11" s="1"/>
  <c r="V47" i="3"/>
  <c r="O4" i="12" s="1"/>
  <c r="V34" i="3"/>
  <c r="O5" i="10" s="1"/>
  <c r="V49" i="3"/>
  <c r="O6" i="12" s="1"/>
  <c r="V74" i="3"/>
  <c r="O3" i="16" s="1"/>
  <c r="V73" i="3"/>
  <c r="O2" i="16" s="1"/>
  <c r="V63" i="3"/>
  <c r="O6" i="14" s="1"/>
  <c r="V45" i="3"/>
  <c r="O2" i="12" s="1"/>
  <c r="V40" i="3"/>
  <c r="O4" i="11" s="1"/>
  <c r="V69" i="3"/>
  <c r="O5" i="15" s="1"/>
  <c r="V48" i="3"/>
  <c r="O5" i="12" s="1"/>
  <c r="V68" i="3"/>
  <c r="O4" i="15" s="1"/>
  <c r="V59" i="3"/>
  <c r="O2" i="14" s="1"/>
  <c r="V54" i="3"/>
  <c r="O4" i="13" s="1"/>
  <c r="V38" i="3"/>
  <c r="O2" i="11" s="1"/>
  <c r="V27" i="3"/>
  <c r="O5" i="9" s="1"/>
  <c r="V19" i="3"/>
  <c r="O4" i="8" s="1"/>
  <c r="V39" i="3"/>
  <c r="O3" i="11" s="1"/>
  <c r="V67" i="3"/>
  <c r="O3" i="15" s="1"/>
  <c r="V60" i="3"/>
  <c r="O3" i="14" s="1"/>
  <c r="O5" i="13"/>
  <c r="V77" i="3"/>
  <c r="O6" i="16" s="1"/>
  <c r="V20" i="3"/>
  <c r="O5" i="8" s="1"/>
  <c r="V84" i="3"/>
  <c r="O6" i="17" s="1"/>
  <c r="V25" i="3"/>
  <c r="O3" i="9" s="1"/>
  <c r="V81" i="3"/>
  <c r="O3" i="17" s="1"/>
  <c r="V33" i="3"/>
  <c r="O4" i="10" s="1"/>
  <c r="F6" i="8"/>
  <c r="J6" i="8"/>
  <c r="N6" i="8"/>
  <c r="I6" i="8"/>
  <c r="G6" i="8"/>
  <c r="K6" i="8"/>
  <c r="O6" i="8"/>
  <c r="M6" i="8"/>
  <c r="H6" i="8"/>
  <c r="L6" i="8"/>
  <c r="W9" i="3"/>
  <c r="O1" i="18"/>
  <c r="O1" i="16"/>
  <c r="O1" i="14"/>
  <c r="O1" i="12"/>
  <c r="O1" i="10"/>
  <c r="O1" i="13"/>
  <c r="O1" i="15"/>
  <c r="O1" i="11"/>
  <c r="O1" i="8"/>
  <c r="O1" i="17"/>
  <c r="O1" i="9"/>
  <c r="O1" i="2"/>
  <c r="V12" i="3"/>
  <c r="O4" i="2" s="1"/>
  <c r="N11" i="3"/>
  <c r="G3" i="2" s="1"/>
  <c r="V11" i="3"/>
  <c r="O3" i="2" s="1"/>
  <c r="O11" i="3"/>
  <c r="H3" i="2" s="1"/>
  <c r="P11" i="3"/>
  <c r="I3" i="2" s="1"/>
  <c r="Q11" i="3"/>
  <c r="J3" i="2" s="1"/>
  <c r="R11" i="3"/>
  <c r="K3" i="2" s="1"/>
  <c r="F3" i="2"/>
  <c r="S11" i="3"/>
  <c r="L3" i="2" s="1"/>
  <c r="T11" i="3"/>
  <c r="M3" i="2" s="1"/>
  <c r="U11" i="3"/>
  <c r="N3" i="2" s="1"/>
  <c r="S13" i="3"/>
  <c r="L5" i="2" s="1"/>
  <c r="T13" i="3"/>
  <c r="M5" i="2" s="1"/>
  <c r="M13" i="3"/>
  <c r="F5" i="2" s="1"/>
  <c r="U13" i="3"/>
  <c r="N5" i="2" s="1"/>
  <c r="N13" i="3"/>
  <c r="G5" i="2" s="1"/>
  <c r="V13" i="3"/>
  <c r="O5" i="2" s="1"/>
  <c r="O13" i="3"/>
  <c r="H5" i="2" s="1"/>
  <c r="P13" i="3"/>
  <c r="I5" i="2" s="1"/>
  <c r="R13" i="3"/>
  <c r="K5" i="2" s="1"/>
  <c r="Q13" i="3"/>
  <c r="J5" i="2" s="1"/>
  <c r="L6" i="2"/>
  <c r="M6" i="2"/>
  <c r="N6" i="2"/>
  <c r="G6" i="2"/>
  <c r="H6" i="2"/>
  <c r="J6" i="2"/>
  <c r="K6" i="2"/>
  <c r="I6" i="2"/>
  <c r="H3" i="8"/>
  <c r="L3" i="8"/>
  <c r="I3" i="8"/>
  <c r="M3" i="8"/>
  <c r="F3" i="8"/>
  <c r="J3" i="8"/>
  <c r="N3" i="8"/>
  <c r="G3" i="8"/>
  <c r="K3" i="8"/>
  <c r="E3" i="8"/>
  <c r="E6" i="8"/>
  <c r="E2" i="8"/>
  <c r="W17" i="3" l="1"/>
  <c r="W21" i="3"/>
  <c r="W14" i="3"/>
  <c r="P6" i="2" s="1"/>
  <c r="W24" i="3"/>
  <c r="P2" i="9" s="1"/>
  <c r="W10" i="3"/>
  <c r="P2" i="2" s="1"/>
  <c r="W31" i="3"/>
  <c r="P2" i="10" s="1"/>
  <c r="P2" i="8"/>
  <c r="W13" i="3"/>
  <c r="P5" i="2" s="1"/>
  <c r="W80" i="3"/>
  <c r="P2" i="17" s="1"/>
  <c r="W36" i="3"/>
  <c r="P7" i="10" s="1"/>
  <c r="W37" i="3"/>
  <c r="P8" i="10" s="1"/>
  <c r="W11" i="3"/>
  <c r="P3" i="2" s="1"/>
  <c r="W35" i="3"/>
  <c r="P6" i="10" s="1"/>
  <c r="W32" i="3"/>
  <c r="P3" i="10" s="1"/>
  <c r="W28" i="3"/>
  <c r="P6" i="9" s="1"/>
  <c r="W25" i="3"/>
  <c r="P3" i="9" s="1"/>
  <c r="W29" i="3"/>
  <c r="P7" i="9" s="1"/>
  <c r="W43" i="3"/>
  <c r="P7" i="11" s="1"/>
  <c r="W51" i="3"/>
  <c r="P8" i="12" s="1"/>
  <c r="W57" i="3"/>
  <c r="P7" i="13" s="1"/>
  <c r="W44" i="3"/>
  <c r="P8" i="11" s="1"/>
  <c r="W50" i="3"/>
  <c r="P7" i="12" s="1"/>
  <c r="W58" i="3"/>
  <c r="P8" i="13" s="1"/>
  <c r="W64" i="3"/>
  <c r="P7" i="14" s="1"/>
  <c r="W72" i="3"/>
  <c r="P8" i="15" s="1"/>
  <c r="W78" i="3"/>
  <c r="P7" i="16" s="1"/>
  <c r="W86" i="3"/>
  <c r="P8" i="17" s="1"/>
  <c r="W65" i="3"/>
  <c r="P8" i="14" s="1"/>
  <c r="W71" i="3"/>
  <c r="P7" i="15" s="1"/>
  <c r="W79" i="3"/>
  <c r="P8" i="16" s="1"/>
  <c r="W85" i="3"/>
  <c r="P7" i="17" s="1"/>
  <c r="W93" i="3"/>
  <c r="W92" i="3"/>
  <c r="W22" i="3"/>
  <c r="P7" i="8" s="1"/>
  <c r="W30" i="3"/>
  <c r="P8" i="9" s="1"/>
  <c r="W15" i="3"/>
  <c r="P7" i="2" s="1"/>
  <c r="W18" i="3"/>
  <c r="P3" i="8" s="1"/>
  <c r="W16" i="3"/>
  <c r="P8" i="2" s="1"/>
  <c r="W23" i="3"/>
  <c r="P8" i="8" s="1"/>
  <c r="W90" i="3"/>
  <c r="W53" i="3"/>
  <c r="P3" i="13" s="1"/>
  <c r="W91" i="3"/>
  <c r="W89" i="3"/>
  <c r="W88" i="3"/>
  <c r="W87" i="3"/>
  <c r="W42" i="3"/>
  <c r="P6" i="11" s="1"/>
  <c r="W76" i="3"/>
  <c r="P5" i="16" s="1"/>
  <c r="W61" i="3"/>
  <c r="P4" i="14" s="1"/>
  <c r="W52" i="3"/>
  <c r="P2" i="13" s="1"/>
  <c r="W46" i="3"/>
  <c r="P3" i="12" s="1"/>
  <c r="W75" i="3"/>
  <c r="P4" i="16" s="1"/>
  <c r="W62" i="3"/>
  <c r="P5" i="14" s="1"/>
  <c r="W41" i="3"/>
  <c r="P5" i="11" s="1"/>
  <c r="W82" i="3"/>
  <c r="P4" i="17" s="1"/>
  <c r="W70" i="3"/>
  <c r="P6" i="15" s="1"/>
  <c r="W66" i="3"/>
  <c r="P2" i="15" s="1"/>
  <c r="W34" i="3"/>
  <c r="P5" i="10" s="1"/>
  <c r="W49" i="3"/>
  <c r="P6" i="12" s="1"/>
  <c r="W40" i="3"/>
  <c r="P4" i="11" s="1"/>
  <c r="W19" i="3"/>
  <c r="P4" i="8" s="1"/>
  <c r="W48" i="3"/>
  <c r="P5" i="12" s="1"/>
  <c r="W47" i="3"/>
  <c r="P4" i="12" s="1"/>
  <c r="W38" i="3"/>
  <c r="P2" i="11" s="1"/>
  <c r="W69" i="3"/>
  <c r="P5" i="15" s="1"/>
  <c r="W73" i="3"/>
  <c r="P2" i="16" s="1"/>
  <c r="W59" i="3"/>
  <c r="P2" i="14" s="1"/>
  <c r="W54" i="3"/>
  <c r="P4" i="13" s="1"/>
  <c r="W45" i="3"/>
  <c r="P2" i="12" s="1"/>
  <c r="W27" i="3"/>
  <c r="P5" i="9" s="1"/>
  <c r="W77" i="3"/>
  <c r="P6" i="16" s="1"/>
  <c r="W68" i="3"/>
  <c r="P4" i="15" s="1"/>
  <c r="W56" i="3"/>
  <c r="P6" i="13" s="1"/>
  <c r="W67" i="3"/>
  <c r="P3" i="15" s="1"/>
  <c r="W74" i="3"/>
  <c r="P3" i="16" s="1"/>
  <c r="W60" i="3"/>
  <c r="P3" i="14" s="1"/>
  <c r="P5" i="13"/>
  <c r="W39" i="3"/>
  <c r="P3" i="11" s="1"/>
  <c r="W63" i="3"/>
  <c r="P6" i="14" s="1"/>
  <c r="W20" i="3"/>
  <c r="P5" i="8" s="1"/>
  <c r="W81" i="3"/>
  <c r="P3" i="17" s="1"/>
  <c r="W84" i="3"/>
  <c r="P6" i="17" s="1"/>
  <c r="W33" i="3"/>
  <c r="P4" i="10" s="1"/>
  <c r="W26" i="3"/>
  <c r="P4" i="9" s="1"/>
  <c r="W83" i="3"/>
  <c r="P5" i="17" s="1"/>
  <c r="P6" i="8"/>
  <c r="X9" i="3"/>
  <c r="P1" i="17"/>
  <c r="P1" i="15"/>
  <c r="P1" i="13"/>
  <c r="P1" i="11"/>
  <c r="P1" i="9"/>
  <c r="P1" i="18"/>
  <c r="P1" i="16"/>
  <c r="P1" i="14"/>
  <c r="P1" i="12"/>
  <c r="P1" i="10"/>
  <c r="P1" i="2"/>
  <c r="P1" i="8"/>
  <c r="W12" i="3"/>
  <c r="P4" i="2" s="1"/>
  <c r="X21" i="3" l="1"/>
  <c r="X14" i="3"/>
  <c r="Q6" i="2" s="1"/>
  <c r="X17" i="3"/>
  <c r="Y17" i="3"/>
  <c r="X24" i="3"/>
  <c r="Q2" i="9" s="1"/>
  <c r="Y24" i="3"/>
  <c r="Q2" i="8"/>
  <c r="X10" i="3"/>
  <c r="Q2" i="2" s="1"/>
  <c r="X31" i="3"/>
  <c r="Q2" i="10" s="1"/>
  <c r="X80" i="3"/>
  <c r="Q2" i="17" s="1"/>
  <c r="X36" i="3"/>
  <c r="Q7" i="10" s="1"/>
  <c r="X37" i="3"/>
  <c r="Q8" i="10" s="1"/>
  <c r="X58" i="3"/>
  <c r="Q8" i="13" s="1"/>
  <c r="X64" i="3"/>
  <c r="Q7" i="14" s="1"/>
  <c r="X43" i="3"/>
  <c r="Q7" i="11" s="1"/>
  <c r="X51" i="3"/>
  <c r="Q8" i="12" s="1"/>
  <c r="X57" i="3"/>
  <c r="Q7" i="13" s="1"/>
  <c r="X44" i="3"/>
  <c r="Q8" i="11" s="1"/>
  <c r="X50" i="3"/>
  <c r="Q7" i="12" s="1"/>
  <c r="X85" i="3"/>
  <c r="Q7" i="17" s="1"/>
  <c r="X72" i="3"/>
  <c r="Q8" i="15" s="1"/>
  <c r="X78" i="3"/>
  <c r="Q7" i="16" s="1"/>
  <c r="X65" i="3"/>
  <c r="Q8" i="14" s="1"/>
  <c r="X71" i="3"/>
  <c r="Q7" i="15" s="1"/>
  <c r="X79" i="3"/>
  <c r="Q8" i="16" s="1"/>
  <c r="X92" i="3"/>
  <c r="X22" i="3"/>
  <c r="Q7" i="8" s="1"/>
  <c r="X93" i="3"/>
  <c r="X29" i="3"/>
  <c r="Q7" i="9" s="1"/>
  <c r="X30" i="3"/>
  <c r="Q8" i="9" s="1"/>
  <c r="X86" i="3"/>
  <c r="Q8" i="17" s="1"/>
  <c r="X15" i="3"/>
  <c r="Q7" i="2" s="1"/>
  <c r="X18" i="3"/>
  <c r="Q3" i="8" s="1"/>
  <c r="X23" i="3"/>
  <c r="Q8" i="8" s="1"/>
  <c r="X16" i="3"/>
  <c r="Q8" i="2" s="1"/>
  <c r="X42" i="3"/>
  <c r="Q6" i="11" s="1"/>
  <c r="X53" i="3"/>
  <c r="Q3" i="13" s="1"/>
  <c r="X87" i="3"/>
  <c r="X91" i="3"/>
  <c r="X89" i="3"/>
  <c r="X90" i="3"/>
  <c r="X88" i="3"/>
  <c r="X76" i="3"/>
  <c r="Q5" i="16" s="1"/>
  <c r="X82" i="3"/>
  <c r="Q4" i="17" s="1"/>
  <c r="X61" i="3"/>
  <c r="Q4" i="14" s="1"/>
  <c r="X46" i="3"/>
  <c r="Q3" i="12" s="1"/>
  <c r="X75" i="3"/>
  <c r="Q4" i="16" s="1"/>
  <c r="X62" i="3"/>
  <c r="Q5" i="14" s="1"/>
  <c r="X41" i="3"/>
  <c r="Q5" i="11" s="1"/>
  <c r="X70" i="3"/>
  <c r="Q6" i="15" s="1"/>
  <c r="X52" i="3"/>
  <c r="Q2" i="13" s="1"/>
  <c r="X66" i="3"/>
  <c r="Q2" i="15" s="1"/>
  <c r="X47" i="3"/>
  <c r="Q4" i="12" s="1"/>
  <c r="X49" i="3"/>
  <c r="Q6" i="12" s="1"/>
  <c r="X19" i="3"/>
  <c r="Q4" i="8" s="1"/>
  <c r="X48" i="3"/>
  <c r="Q5" i="12" s="1"/>
  <c r="X77" i="3"/>
  <c r="Q6" i="16" s="1"/>
  <c r="X40" i="3"/>
  <c r="Q4" i="11" s="1"/>
  <c r="X69" i="3"/>
  <c r="Q5" i="15" s="1"/>
  <c r="X73" i="3"/>
  <c r="Q2" i="16" s="1"/>
  <c r="X59" i="3"/>
  <c r="Q2" i="14" s="1"/>
  <c r="X34" i="3"/>
  <c r="Q5" i="10" s="1"/>
  <c r="X45" i="3"/>
  <c r="Q2" i="12" s="1"/>
  <c r="X27" i="3"/>
  <c r="Q5" i="9" s="1"/>
  <c r="X68" i="3"/>
  <c r="Q4" i="15" s="1"/>
  <c r="X56" i="3"/>
  <c r="Q6" i="13" s="1"/>
  <c r="X38" i="3"/>
  <c r="Q2" i="11" s="1"/>
  <c r="X67" i="3"/>
  <c r="Q3" i="15" s="1"/>
  <c r="X74" i="3"/>
  <c r="Q3" i="16" s="1"/>
  <c r="X60" i="3"/>
  <c r="Q3" i="14" s="1"/>
  <c r="Q5" i="13"/>
  <c r="X39" i="3"/>
  <c r="Q3" i="11" s="1"/>
  <c r="X63" i="3"/>
  <c r="Q6" i="14" s="1"/>
  <c r="X20" i="3"/>
  <c r="Q5" i="8" s="1"/>
  <c r="X54" i="3"/>
  <c r="Q4" i="13" s="1"/>
  <c r="X84" i="3"/>
  <c r="Q6" i="17" s="1"/>
  <c r="X81" i="3"/>
  <c r="Q3" i="17" s="1"/>
  <c r="X33" i="3"/>
  <c r="Q4" i="10" s="1"/>
  <c r="X26" i="3"/>
  <c r="Q4" i="9" s="1"/>
  <c r="X83" i="3"/>
  <c r="Q5" i="17" s="1"/>
  <c r="X28" i="3"/>
  <c r="Q6" i="9" s="1"/>
  <c r="X32" i="3"/>
  <c r="Q3" i="10" s="1"/>
  <c r="Q6" i="8"/>
  <c r="X35" i="3"/>
  <c r="Q6" i="10" s="1"/>
  <c r="X25" i="3"/>
  <c r="Q3" i="9" s="1"/>
  <c r="Y9" i="3"/>
  <c r="Q1" i="17"/>
  <c r="Q1" i="15"/>
  <c r="Q1" i="13"/>
  <c r="Q1" i="11"/>
  <c r="Q1" i="9"/>
  <c r="Q1" i="14"/>
  <c r="Q1" i="12"/>
  <c r="Q1" i="2"/>
  <c r="Q1" i="16"/>
  <c r="Q1" i="18"/>
  <c r="Q1" i="10"/>
  <c r="Q1" i="8"/>
  <c r="X12" i="3"/>
  <c r="Q4" i="2" s="1"/>
  <c r="X13" i="3"/>
  <c r="Q5" i="2" s="1"/>
  <c r="X11" i="3"/>
  <c r="Q3" i="2" s="1"/>
  <c r="Y21" i="3" l="1"/>
  <c r="Y14" i="3"/>
  <c r="Y31" i="3"/>
  <c r="R2" i="10" s="1"/>
  <c r="R6" i="2"/>
  <c r="R2" i="8"/>
  <c r="R2" i="9"/>
  <c r="Y10" i="3"/>
  <c r="R2" i="2" s="1"/>
  <c r="Y80" i="3"/>
  <c r="R2" i="17" s="1"/>
  <c r="Y25" i="3"/>
  <c r="R3" i="9" s="1"/>
  <c r="Y32" i="3"/>
  <c r="R3" i="10" s="1"/>
  <c r="R6" i="8"/>
  <c r="Y11" i="3"/>
  <c r="R3" i="2" s="1"/>
  <c r="Y35" i="3"/>
  <c r="R6" i="10" s="1"/>
  <c r="Y36" i="3"/>
  <c r="R7" i="10" s="1"/>
  <c r="Y37" i="3"/>
  <c r="R8" i="10" s="1"/>
  <c r="Y44" i="3"/>
  <c r="R8" i="11" s="1"/>
  <c r="Y50" i="3"/>
  <c r="R7" i="12" s="1"/>
  <c r="Y58" i="3"/>
  <c r="R8" i="13" s="1"/>
  <c r="Y64" i="3"/>
  <c r="R7" i="14" s="1"/>
  <c r="Y43" i="3"/>
  <c r="R7" i="11" s="1"/>
  <c r="Y51" i="3"/>
  <c r="R8" i="12" s="1"/>
  <c r="Y57" i="3"/>
  <c r="R7" i="13" s="1"/>
  <c r="Y65" i="3"/>
  <c r="R8" i="14" s="1"/>
  <c r="Y71" i="3"/>
  <c r="R7" i="15" s="1"/>
  <c r="Y79" i="3"/>
  <c r="R8" i="16" s="1"/>
  <c r="Y85" i="3"/>
  <c r="R7" i="17" s="1"/>
  <c r="Y72" i="3"/>
  <c r="R8" i="15" s="1"/>
  <c r="Y78" i="3"/>
  <c r="R7" i="16" s="1"/>
  <c r="Y92" i="3"/>
  <c r="Y93" i="3"/>
  <c r="Y30" i="3"/>
  <c r="R8" i="9" s="1"/>
  <c r="Y86" i="3"/>
  <c r="R8" i="17" s="1"/>
  <c r="Y22" i="3"/>
  <c r="R7" i="8" s="1"/>
  <c r="Y29" i="3"/>
  <c r="R7" i="9" s="1"/>
  <c r="Y15" i="3"/>
  <c r="R7" i="2" s="1"/>
  <c r="Y18" i="3"/>
  <c r="R3" i="8" s="1"/>
  <c r="Y23" i="3"/>
  <c r="R8" i="8" s="1"/>
  <c r="Y16" i="3"/>
  <c r="R8" i="2" s="1"/>
  <c r="Y90" i="3"/>
  <c r="Y87" i="3"/>
  <c r="Y42" i="3"/>
  <c r="R6" i="11" s="1"/>
  <c r="Y88" i="3"/>
  <c r="Y53" i="3"/>
  <c r="R3" i="13" s="1"/>
  <c r="Y91" i="3"/>
  <c r="Y89" i="3"/>
  <c r="Y82" i="3"/>
  <c r="R4" i="17" s="1"/>
  <c r="Y75" i="3"/>
  <c r="R4" i="16" s="1"/>
  <c r="Y66" i="3"/>
  <c r="R2" i="15" s="1"/>
  <c r="Y61" i="3"/>
  <c r="R4" i="14" s="1"/>
  <c r="Y76" i="3"/>
  <c r="R5" i="16" s="1"/>
  <c r="Y62" i="3"/>
  <c r="R5" i="14" s="1"/>
  <c r="Y46" i="3"/>
  <c r="R3" i="12" s="1"/>
  <c r="Y70" i="3"/>
  <c r="R6" i="15" s="1"/>
  <c r="Y52" i="3"/>
  <c r="R2" i="13" s="1"/>
  <c r="Y41" i="3"/>
  <c r="R5" i="11" s="1"/>
  <c r="Y34" i="3"/>
  <c r="R5" i="10" s="1"/>
  <c r="Y49" i="3"/>
  <c r="R6" i="12" s="1"/>
  <c r="Y74" i="3"/>
  <c r="R3" i="16" s="1"/>
  <c r="R5" i="13"/>
  <c r="Y73" i="3"/>
  <c r="R2" i="16" s="1"/>
  <c r="Y63" i="3"/>
  <c r="R6" i="14" s="1"/>
  <c r="Y47" i="3"/>
  <c r="R4" i="12" s="1"/>
  <c r="Y69" i="3"/>
  <c r="R5" i="15" s="1"/>
  <c r="Y59" i="3"/>
  <c r="R2" i="14" s="1"/>
  <c r="Y38" i="3"/>
  <c r="R2" i="11" s="1"/>
  <c r="Y45" i="3"/>
  <c r="R2" i="12" s="1"/>
  <c r="Y40" i="3"/>
  <c r="R4" i="11" s="1"/>
  <c r="Y27" i="3"/>
  <c r="R5" i="9" s="1"/>
  <c r="Y39" i="3"/>
  <c r="R3" i="11" s="1"/>
  <c r="Y77" i="3"/>
  <c r="R6" i="16" s="1"/>
  <c r="Y56" i="3"/>
  <c r="R6" i="13" s="1"/>
  <c r="Y67" i="3"/>
  <c r="R3" i="15" s="1"/>
  <c r="Y60" i="3"/>
  <c r="R3" i="14" s="1"/>
  <c r="Y19" i="3"/>
  <c r="R4" i="8" s="1"/>
  <c r="Y48" i="3"/>
  <c r="R5" i="12" s="1"/>
  <c r="Y68" i="3"/>
  <c r="R4" i="15" s="1"/>
  <c r="Y20" i="3"/>
  <c r="R5" i="8" s="1"/>
  <c r="Y54" i="3"/>
  <c r="R4" i="13" s="1"/>
  <c r="Y84" i="3"/>
  <c r="R6" i="17" s="1"/>
  <c r="Y81" i="3"/>
  <c r="R3" i="17" s="1"/>
  <c r="Y26" i="3"/>
  <c r="R4" i="9" s="1"/>
  <c r="Y33" i="3"/>
  <c r="R4" i="10" s="1"/>
  <c r="Y83" i="3"/>
  <c r="R5" i="17" s="1"/>
  <c r="Y28" i="3"/>
  <c r="R6" i="9" s="1"/>
  <c r="Z9" i="3"/>
  <c r="R1" i="18"/>
  <c r="R1" i="16"/>
  <c r="R1" i="14"/>
  <c r="R1" i="12"/>
  <c r="R1" i="10"/>
  <c r="R1" i="17"/>
  <c r="R1" i="15"/>
  <c r="R1" i="13"/>
  <c r="R1" i="11"/>
  <c r="R1" i="8"/>
  <c r="R1" i="2"/>
  <c r="R1" i="9"/>
  <c r="Y12" i="3"/>
  <c r="R4" i="2" s="1"/>
  <c r="Y13" i="3"/>
  <c r="R5" i="2" s="1"/>
  <c r="AA24" i="3" l="1"/>
  <c r="Z21" i="3"/>
  <c r="Z14" i="3"/>
  <c r="S6" i="2" s="1"/>
  <c r="Z24" i="3"/>
  <c r="S2" i="9" s="1"/>
  <c r="Z17" i="3"/>
  <c r="S2" i="8" s="1"/>
  <c r="Z10" i="3"/>
  <c r="S2" i="2" s="1"/>
  <c r="Z31" i="3"/>
  <c r="S2" i="10" s="1"/>
  <c r="Z80" i="3"/>
  <c r="S2" i="17" s="1"/>
  <c r="Z36" i="3"/>
  <c r="S7" i="10" s="1"/>
  <c r="Z37" i="3"/>
  <c r="S8" i="10" s="1"/>
  <c r="Z57" i="3"/>
  <c r="S7" i="13" s="1"/>
  <c r="Z44" i="3"/>
  <c r="S8" i="11" s="1"/>
  <c r="Z50" i="3"/>
  <c r="S7" i="12" s="1"/>
  <c r="Z58" i="3"/>
  <c r="S8" i="13" s="1"/>
  <c r="Z43" i="3"/>
  <c r="S7" i="11" s="1"/>
  <c r="Z51" i="3"/>
  <c r="S8" i="12" s="1"/>
  <c r="Z64" i="3"/>
  <c r="S7" i="14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3" i="3"/>
  <c r="Z92" i="3"/>
  <c r="Z22" i="3"/>
  <c r="S7" i="8" s="1"/>
  <c r="Z30" i="3"/>
  <c r="S8" i="9" s="1"/>
  <c r="Z29" i="3"/>
  <c r="S7" i="9" s="1"/>
  <c r="Z86" i="3"/>
  <c r="S8" i="17" s="1"/>
  <c r="Z15" i="3"/>
  <c r="S7" i="2" s="1"/>
  <c r="Z18" i="3"/>
  <c r="S3" i="8" s="1"/>
  <c r="Z16" i="3"/>
  <c r="S8" i="2" s="1"/>
  <c r="Z23" i="3"/>
  <c r="S8" i="8" s="1"/>
  <c r="Z88" i="3"/>
  <c r="Z90" i="3"/>
  <c r="Z42" i="3"/>
  <c r="S6" i="11" s="1"/>
  <c r="Z87" i="3"/>
  <c r="Z91" i="3"/>
  <c r="Z53" i="3"/>
  <c r="S3" i="13" s="1"/>
  <c r="Z89" i="3"/>
  <c r="Z52" i="3"/>
  <c r="S2" i="13" s="1"/>
  <c r="Z75" i="3"/>
  <c r="S4" i="16" s="1"/>
  <c r="Z66" i="3"/>
  <c r="S2" i="15" s="1"/>
  <c r="Z76" i="3"/>
  <c r="S5" i="16" s="1"/>
  <c r="Z46" i="3"/>
  <c r="S3" i="12" s="1"/>
  <c r="Z41" i="3"/>
  <c r="S5" i="11" s="1"/>
  <c r="Z70" i="3"/>
  <c r="S6" i="15" s="1"/>
  <c r="Z61" i="3"/>
  <c r="S4" i="14" s="1"/>
  <c r="Z62" i="3"/>
  <c r="S5" i="14" s="1"/>
  <c r="Z82" i="3"/>
  <c r="S4" i="17" s="1"/>
  <c r="Z47" i="3"/>
  <c r="S4" i="12" s="1"/>
  <c r="Z67" i="3"/>
  <c r="S3" i="15" s="1"/>
  <c r="Z60" i="3"/>
  <c r="S3" i="14" s="1"/>
  <c r="Z77" i="3"/>
  <c r="S6" i="16" s="1"/>
  <c r="Z73" i="3"/>
  <c r="S2" i="16" s="1"/>
  <c r="Z56" i="3"/>
  <c r="S6" i="13" s="1"/>
  <c r="Z34" i="3"/>
  <c r="S5" i="10" s="1"/>
  <c r="Z49" i="3"/>
  <c r="S6" i="12" s="1"/>
  <c r="Z45" i="3"/>
  <c r="S2" i="12" s="1"/>
  <c r="Z74" i="3"/>
  <c r="S3" i="16" s="1"/>
  <c r="Z63" i="3"/>
  <c r="S6" i="14" s="1"/>
  <c r="Z40" i="3"/>
  <c r="S4" i="11" s="1"/>
  <c r="Z69" i="3"/>
  <c r="S5" i="15" s="1"/>
  <c r="Z39" i="3"/>
  <c r="S3" i="11" s="1"/>
  <c r="Z59" i="3"/>
  <c r="S2" i="14" s="1"/>
  <c r="Z54" i="3"/>
  <c r="S4" i="13" s="1"/>
  <c r="Z38" i="3"/>
  <c r="S2" i="11" s="1"/>
  <c r="S5" i="13"/>
  <c r="Z27" i="3"/>
  <c r="S5" i="9" s="1"/>
  <c r="Z19" i="3"/>
  <c r="S4" i="8" s="1"/>
  <c r="Z48" i="3"/>
  <c r="S5" i="12" s="1"/>
  <c r="Z68" i="3"/>
  <c r="S4" i="15" s="1"/>
  <c r="Z20" i="3"/>
  <c r="S5" i="8" s="1"/>
  <c r="Z33" i="3"/>
  <c r="S4" i="10" s="1"/>
  <c r="Z81" i="3"/>
  <c r="S3" i="17" s="1"/>
  <c r="Z84" i="3"/>
  <c r="S6" i="17" s="1"/>
  <c r="Z26" i="3"/>
  <c r="S4" i="9" s="1"/>
  <c r="Z83" i="3"/>
  <c r="S5" i="17" s="1"/>
  <c r="Z28" i="3"/>
  <c r="S6" i="9" s="1"/>
  <c r="S6" i="8"/>
  <c r="Z25" i="3"/>
  <c r="S3" i="9" s="1"/>
  <c r="Z32" i="3"/>
  <c r="S3" i="10" s="1"/>
  <c r="Z35" i="3"/>
  <c r="S6" i="10" s="1"/>
  <c r="AA9" i="3"/>
  <c r="S1" i="18"/>
  <c r="S1" i="16"/>
  <c r="S1" i="14"/>
  <c r="S1" i="12"/>
  <c r="S1" i="10"/>
  <c r="S1" i="15"/>
  <c r="S1" i="9"/>
  <c r="S1" i="13"/>
  <c r="S1" i="8"/>
  <c r="S1" i="17"/>
  <c r="S1" i="2"/>
  <c r="S1" i="11"/>
  <c r="Z12" i="3"/>
  <c r="S4" i="2" s="1"/>
  <c r="Z13" i="3"/>
  <c r="S5" i="2" s="1"/>
  <c r="Z11" i="3"/>
  <c r="S3" i="2" s="1"/>
  <c r="AA21" i="3" l="1"/>
  <c r="AA14" i="3"/>
  <c r="T6" i="2" s="1"/>
  <c r="AA17" i="3"/>
  <c r="T2" i="8"/>
  <c r="T2" i="9"/>
  <c r="AA10" i="3"/>
  <c r="T2" i="2" s="1"/>
  <c r="AA31" i="3"/>
  <c r="T2" i="10" s="1"/>
  <c r="AA80" i="3"/>
  <c r="T2" i="17" s="1"/>
  <c r="AA11" i="3"/>
  <c r="T3" i="2" s="1"/>
  <c r="AA36" i="3"/>
  <c r="T7" i="10" s="1"/>
  <c r="AA37" i="3"/>
  <c r="T8" i="10" s="1"/>
  <c r="T6" i="8"/>
  <c r="AA25" i="3"/>
  <c r="T3" i="9" s="1"/>
  <c r="AA28" i="3"/>
  <c r="T6" i="9" s="1"/>
  <c r="AA32" i="3"/>
  <c r="T3" i="10" s="1"/>
  <c r="AA43" i="3"/>
  <c r="T7" i="11" s="1"/>
  <c r="AA51" i="3"/>
  <c r="T8" i="12" s="1"/>
  <c r="AA57" i="3"/>
  <c r="T7" i="13" s="1"/>
  <c r="AA44" i="3"/>
  <c r="T8" i="11" s="1"/>
  <c r="AA50" i="3"/>
  <c r="T7" i="12" s="1"/>
  <c r="AA58" i="3"/>
  <c r="T8" i="13" s="1"/>
  <c r="AA72" i="3"/>
  <c r="T8" i="15" s="1"/>
  <c r="AA78" i="3"/>
  <c r="T7" i="16" s="1"/>
  <c r="AA64" i="3"/>
  <c r="T7" i="14" s="1"/>
  <c r="AA65" i="3"/>
  <c r="T8" i="14" s="1"/>
  <c r="AA71" i="3"/>
  <c r="T7" i="15" s="1"/>
  <c r="AA79" i="3"/>
  <c r="T8" i="16" s="1"/>
  <c r="AA85" i="3"/>
  <c r="T7" i="17" s="1"/>
  <c r="AA86" i="3"/>
  <c r="T8" i="17" s="1"/>
  <c r="AA93" i="3"/>
  <c r="AA92" i="3"/>
  <c r="AA22" i="3"/>
  <c r="T7" i="8" s="1"/>
  <c r="AA30" i="3"/>
  <c r="T8" i="9" s="1"/>
  <c r="AA29" i="3"/>
  <c r="T7" i="9" s="1"/>
  <c r="AA15" i="3"/>
  <c r="T7" i="2" s="1"/>
  <c r="AA18" i="3"/>
  <c r="T3" i="8" s="1"/>
  <c r="AA16" i="3"/>
  <c r="T8" i="2" s="1"/>
  <c r="AA23" i="3"/>
  <c r="T8" i="8" s="1"/>
  <c r="AA90" i="3"/>
  <c r="AA87" i="3"/>
  <c r="AA53" i="3"/>
  <c r="T3" i="13" s="1"/>
  <c r="AA88" i="3"/>
  <c r="AA91" i="3"/>
  <c r="AA89" i="3"/>
  <c r="AA42" i="3"/>
  <c r="T6" i="11" s="1"/>
  <c r="AA52" i="3"/>
  <c r="T2" i="13" s="1"/>
  <c r="AA82" i="3"/>
  <c r="T4" i="17" s="1"/>
  <c r="AA66" i="3"/>
  <c r="T2" i="15" s="1"/>
  <c r="AA76" i="3"/>
  <c r="T5" i="16" s="1"/>
  <c r="AA61" i="3"/>
  <c r="T4" i="14" s="1"/>
  <c r="AA46" i="3"/>
  <c r="T3" i="12" s="1"/>
  <c r="AA62" i="3"/>
  <c r="T5" i="14" s="1"/>
  <c r="AA41" i="3"/>
  <c r="T5" i="11" s="1"/>
  <c r="AA75" i="3"/>
  <c r="T4" i="16" s="1"/>
  <c r="AA70" i="3"/>
  <c r="T6" i="15" s="1"/>
  <c r="AA56" i="3"/>
  <c r="T6" i="13" s="1"/>
  <c r="AA67" i="3"/>
  <c r="T3" i="15" s="1"/>
  <c r="AA60" i="3"/>
  <c r="T3" i="14" s="1"/>
  <c r="AA19" i="3"/>
  <c r="T4" i="8" s="1"/>
  <c r="AA39" i="3"/>
  <c r="T3" i="11" s="1"/>
  <c r="AA63" i="3"/>
  <c r="T6" i="14" s="1"/>
  <c r="AA38" i="3"/>
  <c r="T2" i="11" s="1"/>
  <c r="AA34" i="3"/>
  <c r="T5" i="10" s="1"/>
  <c r="AA49" i="3"/>
  <c r="T6" i="12" s="1"/>
  <c r="AA40" i="3"/>
  <c r="T4" i="11" s="1"/>
  <c r="AA47" i="3"/>
  <c r="T4" i="12" s="1"/>
  <c r="AA69" i="3"/>
  <c r="T5" i="15" s="1"/>
  <c r="AA48" i="3"/>
  <c r="T5" i="12" s="1"/>
  <c r="AA73" i="3"/>
  <c r="T2" i="16" s="1"/>
  <c r="AA59" i="3"/>
  <c r="T2" i="14" s="1"/>
  <c r="AA45" i="3"/>
  <c r="T2" i="12" s="1"/>
  <c r="AA74" i="3"/>
  <c r="T3" i="16" s="1"/>
  <c r="T5" i="13"/>
  <c r="AA27" i="3"/>
  <c r="T5" i="9" s="1"/>
  <c r="AA77" i="3"/>
  <c r="T6" i="16" s="1"/>
  <c r="AA68" i="3"/>
  <c r="T4" i="15" s="1"/>
  <c r="AA54" i="3"/>
  <c r="T4" i="13" s="1"/>
  <c r="AA20" i="3"/>
  <c r="T5" i="8" s="1"/>
  <c r="AA81" i="3"/>
  <c r="T3" i="17" s="1"/>
  <c r="AA84" i="3"/>
  <c r="T6" i="17" s="1"/>
  <c r="AA33" i="3"/>
  <c r="T4" i="10" s="1"/>
  <c r="AA26" i="3"/>
  <c r="T4" i="9" s="1"/>
  <c r="AA83" i="3"/>
  <c r="T5" i="17" s="1"/>
  <c r="AA35" i="3"/>
  <c r="T6" i="10" s="1"/>
  <c r="AB9" i="3"/>
  <c r="T1" i="17"/>
  <c r="T1" i="15"/>
  <c r="T1" i="13"/>
  <c r="T1" i="11"/>
  <c r="T1" i="9"/>
  <c r="T1" i="18"/>
  <c r="T1" i="16"/>
  <c r="T1" i="14"/>
  <c r="T1" i="12"/>
  <c r="T1" i="10"/>
  <c r="T1" i="2"/>
  <c r="T1" i="8"/>
  <c r="AA12" i="3"/>
  <c r="T4" i="2" s="1"/>
  <c r="AA13" i="3"/>
  <c r="T5" i="2" s="1"/>
  <c r="AB24" i="3" l="1"/>
  <c r="AB21" i="3"/>
  <c r="U6" i="8" s="1"/>
  <c r="AB14" i="3"/>
  <c r="U6" i="2" s="1"/>
  <c r="AB17" i="3"/>
  <c r="U2" i="8" s="1"/>
  <c r="U2" i="9"/>
  <c r="AB10" i="3"/>
  <c r="U2" i="2" s="1"/>
  <c r="AB31" i="3"/>
  <c r="U2" i="10" s="1"/>
  <c r="AB80" i="3"/>
  <c r="U2" i="17" s="1"/>
  <c r="AB36" i="3"/>
  <c r="U7" i="10" s="1"/>
  <c r="AB37" i="3"/>
  <c r="U8" i="10" s="1"/>
  <c r="AB58" i="3"/>
  <c r="U8" i="13" s="1"/>
  <c r="AB43" i="3"/>
  <c r="U7" i="11" s="1"/>
  <c r="AB51" i="3"/>
  <c r="U8" i="12" s="1"/>
  <c r="AB57" i="3"/>
  <c r="U7" i="13" s="1"/>
  <c r="AB44" i="3"/>
  <c r="U8" i="11" s="1"/>
  <c r="AB50" i="3"/>
  <c r="U7" i="12" s="1"/>
  <c r="AB85" i="3"/>
  <c r="U7" i="17" s="1"/>
  <c r="AB72" i="3"/>
  <c r="U8" i="15" s="1"/>
  <c r="AB78" i="3"/>
  <c r="U7" i="16" s="1"/>
  <c r="AB64" i="3"/>
  <c r="U7" i="14" s="1"/>
  <c r="AB65" i="3"/>
  <c r="U8" i="14" s="1"/>
  <c r="AB71" i="3"/>
  <c r="U7" i="15" s="1"/>
  <c r="AB79" i="3"/>
  <c r="U8" i="16" s="1"/>
  <c r="AB92" i="3"/>
  <c r="AB93" i="3"/>
  <c r="AB22" i="3"/>
  <c r="U7" i="8" s="1"/>
  <c r="AB30" i="3"/>
  <c r="U8" i="9" s="1"/>
  <c r="AB86" i="3"/>
  <c r="U8" i="17" s="1"/>
  <c r="AB29" i="3"/>
  <c r="U7" i="9" s="1"/>
  <c r="AB15" i="3"/>
  <c r="U7" i="2" s="1"/>
  <c r="AB18" i="3"/>
  <c r="U3" i="8" s="1"/>
  <c r="AB23" i="3"/>
  <c r="U8" i="8" s="1"/>
  <c r="AB16" i="3"/>
  <c r="U8" i="2" s="1"/>
  <c r="AB90" i="3"/>
  <c r="AB88" i="3"/>
  <c r="AB52" i="3"/>
  <c r="U2" i="13" s="1"/>
  <c r="AB53" i="3"/>
  <c r="U3" i="13" s="1"/>
  <c r="AB42" i="3"/>
  <c r="U6" i="11" s="1"/>
  <c r="AB91" i="3"/>
  <c r="AB89" i="3"/>
  <c r="AB87" i="3"/>
  <c r="AB66" i="3"/>
  <c r="U2" i="15" s="1"/>
  <c r="AB76" i="3"/>
  <c r="U5" i="16" s="1"/>
  <c r="AB46" i="3"/>
  <c r="U3" i="12" s="1"/>
  <c r="AB82" i="3"/>
  <c r="U4" i="17" s="1"/>
  <c r="AB61" i="3"/>
  <c r="U4" i="14" s="1"/>
  <c r="AB75" i="3"/>
  <c r="U4" i="16" s="1"/>
  <c r="AB62" i="3"/>
  <c r="U5" i="14" s="1"/>
  <c r="AB41" i="3"/>
  <c r="U5" i="11" s="1"/>
  <c r="AB70" i="3"/>
  <c r="U6" i="15" s="1"/>
  <c r="AB34" i="3"/>
  <c r="U5" i="10" s="1"/>
  <c r="AB49" i="3"/>
  <c r="U6" i="12" s="1"/>
  <c r="AB60" i="3"/>
  <c r="U3" i="14" s="1"/>
  <c r="U5" i="13"/>
  <c r="AB27" i="3"/>
  <c r="U5" i="9" s="1"/>
  <c r="AB39" i="3"/>
  <c r="U3" i="11" s="1"/>
  <c r="AB63" i="3"/>
  <c r="U6" i="14" s="1"/>
  <c r="AB54" i="3"/>
  <c r="U4" i="13" s="1"/>
  <c r="AB38" i="3"/>
  <c r="U2" i="11" s="1"/>
  <c r="AB67" i="3"/>
  <c r="U3" i="15" s="1"/>
  <c r="AB45" i="3"/>
  <c r="U2" i="12" s="1"/>
  <c r="AB19" i="3"/>
  <c r="U4" i="8" s="1"/>
  <c r="AB77" i="3"/>
  <c r="U6" i="16" s="1"/>
  <c r="AB48" i="3"/>
  <c r="U5" i="12" s="1"/>
  <c r="AB73" i="3"/>
  <c r="U2" i="16" s="1"/>
  <c r="AB59" i="3"/>
  <c r="U2" i="14" s="1"/>
  <c r="AB56" i="3"/>
  <c r="U6" i="13" s="1"/>
  <c r="AB47" i="3"/>
  <c r="U4" i="12" s="1"/>
  <c r="AB40" i="3"/>
  <c r="U4" i="11" s="1"/>
  <c r="AB74" i="3"/>
  <c r="U3" i="16" s="1"/>
  <c r="AB69" i="3"/>
  <c r="U5" i="15" s="1"/>
  <c r="AB68" i="3"/>
  <c r="U4" i="15" s="1"/>
  <c r="AB20" i="3"/>
  <c r="U5" i="8" s="1"/>
  <c r="AB84" i="3"/>
  <c r="U6" i="17" s="1"/>
  <c r="AB81" i="3"/>
  <c r="U3" i="17" s="1"/>
  <c r="AB33" i="3"/>
  <c r="U4" i="10" s="1"/>
  <c r="AB26" i="3"/>
  <c r="U4" i="9" s="1"/>
  <c r="AB83" i="3"/>
  <c r="U5" i="17" s="1"/>
  <c r="AB35" i="3"/>
  <c r="U6" i="10" s="1"/>
  <c r="AB28" i="3"/>
  <c r="U6" i="9" s="1"/>
  <c r="AB25" i="3"/>
  <c r="U3" i="9" s="1"/>
  <c r="AB32" i="3"/>
  <c r="U3" i="10" s="1"/>
  <c r="AC9" i="3"/>
  <c r="U1" i="17"/>
  <c r="U1" i="15"/>
  <c r="U1" i="13"/>
  <c r="U1" i="11"/>
  <c r="U1" i="9"/>
  <c r="U1" i="16"/>
  <c r="U1" i="14"/>
  <c r="U1" i="2"/>
  <c r="U1" i="8"/>
  <c r="U1" i="12"/>
  <c r="U1" i="18"/>
  <c r="U1" i="10"/>
  <c r="AB12" i="3"/>
  <c r="U4" i="2" s="1"/>
  <c r="AB13" i="3"/>
  <c r="U5" i="2" s="1"/>
  <c r="AB11" i="3"/>
  <c r="U3" i="2" s="1"/>
  <c r="AC21" i="3" l="1"/>
  <c r="AC14" i="3"/>
  <c r="AC24" i="3"/>
  <c r="V2" i="9" s="1"/>
  <c r="AC17" i="3"/>
  <c r="V2" i="8" s="1"/>
  <c r="AC10" i="3"/>
  <c r="V2" i="2" s="1"/>
  <c r="AC31" i="3"/>
  <c r="V2" i="10" s="1"/>
  <c r="AC80" i="3"/>
  <c r="V2" i="17" s="1"/>
  <c r="V6" i="2"/>
  <c r="AC11" i="3"/>
  <c r="V3" i="2" s="1"/>
  <c r="AC36" i="3"/>
  <c r="V7" i="10" s="1"/>
  <c r="AC37" i="3"/>
  <c r="V8" i="10" s="1"/>
  <c r="AC44" i="3"/>
  <c r="V8" i="11" s="1"/>
  <c r="AC50" i="3"/>
  <c r="V7" i="12" s="1"/>
  <c r="AC58" i="3"/>
  <c r="V8" i="13" s="1"/>
  <c r="AC64" i="3"/>
  <c r="V7" i="14" s="1"/>
  <c r="AC43" i="3"/>
  <c r="V7" i="11" s="1"/>
  <c r="AC51" i="3"/>
  <c r="V8" i="12" s="1"/>
  <c r="AC57" i="3"/>
  <c r="V7" i="13" s="1"/>
  <c r="AC65" i="3"/>
  <c r="V8" i="14" s="1"/>
  <c r="AC71" i="3"/>
  <c r="V7" i="15" s="1"/>
  <c r="AC79" i="3"/>
  <c r="V8" i="16" s="1"/>
  <c r="AC85" i="3"/>
  <c r="V7" i="17" s="1"/>
  <c r="AC72" i="3"/>
  <c r="V8" i="15" s="1"/>
  <c r="AC78" i="3"/>
  <c r="V7" i="16" s="1"/>
  <c r="AC92" i="3"/>
  <c r="AC93" i="3"/>
  <c r="AC30" i="3"/>
  <c r="V8" i="9" s="1"/>
  <c r="AC86" i="3"/>
  <c r="V8" i="17" s="1"/>
  <c r="AC29" i="3"/>
  <c r="V7" i="9" s="1"/>
  <c r="AC22" i="3"/>
  <c r="V7" i="8" s="1"/>
  <c r="AC15" i="3"/>
  <c r="V7" i="2" s="1"/>
  <c r="AC18" i="3"/>
  <c r="V3" i="8" s="1"/>
  <c r="AC16" i="3"/>
  <c r="V8" i="2" s="1"/>
  <c r="AC23" i="3"/>
  <c r="V8" i="8" s="1"/>
  <c r="AC91" i="3"/>
  <c r="AC89" i="3"/>
  <c r="AC90" i="3"/>
  <c r="AC42" i="3"/>
  <c r="V6" i="11" s="1"/>
  <c r="AC87" i="3"/>
  <c r="AC53" i="3"/>
  <c r="V3" i="13" s="1"/>
  <c r="AC88" i="3"/>
  <c r="AC41" i="3"/>
  <c r="V5" i="11" s="1"/>
  <c r="AC82" i="3"/>
  <c r="V4" i="17" s="1"/>
  <c r="AC75" i="3"/>
  <c r="V4" i="16" s="1"/>
  <c r="AC66" i="3"/>
  <c r="V2" i="15" s="1"/>
  <c r="AC70" i="3"/>
  <c r="V6" i="15" s="1"/>
  <c r="AC61" i="3"/>
  <c r="V4" i="14" s="1"/>
  <c r="AC52" i="3"/>
  <c r="V2" i="13" s="1"/>
  <c r="AC76" i="3"/>
  <c r="V5" i="16" s="1"/>
  <c r="AC62" i="3"/>
  <c r="V5" i="14" s="1"/>
  <c r="AC46" i="3"/>
  <c r="V3" i="12" s="1"/>
  <c r="AC67" i="3"/>
  <c r="V3" i="15" s="1"/>
  <c r="AC49" i="3"/>
  <c r="V6" i="12" s="1"/>
  <c r="AC60" i="3"/>
  <c r="V3" i="14" s="1"/>
  <c r="AC19" i="3"/>
  <c r="V4" i="8" s="1"/>
  <c r="AC48" i="3"/>
  <c r="V5" i="12" s="1"/>
  <c r="AC68" i="3"/>
  <c r="V4" i="15" s="1"/>
  <c r="AC34" i="3"/>
  <c r="V5" i="10" s="1"/>
  <c r="AC74" i="3"/>
  <c r="V3" i="16" s="1"/>
  <c r="V5" i="13"/>
  <c r="AC73" i="3"/>
  <c r="V2" i="16" s="1"/>
  <c r="AC63" i="3"/>
  <c r="V6" i="14" s="1"/>
  <c r="AC54" i="3"/>
  <c r="V4" i="13" s="1"/>
  <c r="AC47" i="3"/>
  <c r="V4" i="12" s="1"/>
  <c r="AC69" i="3"/>
  <c r="V5" i="15" s="1"/>
  <c r="AC39" i="3"/>
  <c r="V3" i="11" s="1"/>
  <c r="AC59" i="3"/>
  <c r="V2" i="14" s="1"/>
  <c r="AC56" i="3"/>
  <c r="V6" i="13" s="1"/>
  <c r="AC38" i="3"/>
  <c r="V2" i="11" s="1"/>
  <c r="AC45" i="3"/>
  <c r="V2" i="12" s="1"/>
  <c r="AC40" i="3"/>
  <c r="V4" i="11" s="1"/>
  <c r="AC27" i="3"/>
  <c r="V5" i="9" s="1"/>
  <c r="AC77" i="3"/>
  <c r="V6" i="16" s="1"/>
  <c r="AC20" i="3"/>
  <c r="V5" i="8" s="1"/>
  <c r="AC33" i="3"/>
  <c r="V4" i="10" s="1"/>
  <c r="AC83" i="3"/>
  <c r="V5" i="17" s="1"/>
  <c r="AC84" i="3"/>
  <c r="V6" i="17" s="1"/>
  <c r="AC81" i="3"/>
  <c r="V3" i="17" s="1"/>
  <c r="AC26" i="3"/>
  <c r="V4" i="9" s="1"/>
  <c r="AC35" i="3"/>
  <c r="V6" i="10" s="1"/>
  <c r="AC25" i="3"/>
  <c r="V3" i="9" s="1"/>
  <c r="AC28" i="3"/>
  <c r="V6" i="9" s="1"/>
  <c r="AC32" i="3"/>
  <c r="V3" i="10" s="1"/>
  <c r="V6" i="8"/>
  <c r="AD9" i="3"/>
  <c r="V1" i="18"/>
  <c r="V1" i="16"/>
  <c r="V1" i="14"/>
  <c r="V1" i="12"/>
  <c r="V1" i="10"/>
  <c r="V1" i="17"/>
  <c r="V1" i="15"/>
  <c r="V1" i="13"/>
  <c r="V1" i="11"/>
  <c r="V1" i="8"/>
  <c r="V1" i="9"/>
  <c r="V1" i="2"/>
  <c r="AC12" i="3"/>
  <c r="V4" i="2" s="1"/>
  <c r="AC13" i="3"/>
  <c r="V5" i="2" s="1"/>
  <c r="AD21" i="3" l="1"/>
  <c r="AD14" i="3"/>
  <c r="AD17" i="3"/>
  <c r="AD24" i="3"/>
  <c r="W6" i="2"/>
  <c r="W2" i="8"/>
  <c r="AD31" i="3"/>
  <c r="W2" i="10" s="1"/>
  <c r="W2" i="9"/>
  <c r="AD10" i="3"/>
  <c r="W2" i="2" s="1"/>
  <c r="AD80" i="3"/>
  <c r="W2" i="17" s="1"/>
  <c r="W6" i="8"/>
  <c r="AD36" i="3"/>
  <c r="W7" i="10" s="1"/>
  <c r="AD37" i="3"/>
  <c r="W8" i="10" s="1"/>
  <c r="AD57" i="3"/>
  <c r="W7" i="13" s="1"/>
  <c r="AD44" i="3"/>
  <c r="W8" i="11" s="1"/>
  <c r="AD50" i="3"/>
  <c r="W7" i="12" s="1"/>
  <c r="AD58" i="3"/>
  <c r="W8" i="13" s="1"/>
  <c r="AD43" i="3"/>
  <c r="W7" i="11" s="1"/>
  <c r="AD51" i="3"/>
  <c r="W8" i="12" s="1"/>
  <c r="AD65" i="3"/>
  <c r="W8" i="14" s="1"/>
  <c r="AD71" i="3"/>
  <c r="W7" i="15" s="1"/>
  <c r="AD79" i="3"/>
  <c r="W8" i="16" s="1"/>
  <c r="AD85" i="3"/>
  <c r="W7" i="17" s="1"/>
  <c r="AD64" i="3"/>
  <c r="W7" i="14" s="1"/>
  <c r="AD72" i="3"/>
  <c r="W8" i="15" s="1"/>
  <c r="AD78" i="3"/>
  <c r="W7" i="16" s="1"/>
  <c r="AD93" i="3"/>
  <c r="AD92" i="3"/>
  <c r="AD30" i="3"/>
  <c r="W8" i="9" s="1"/>
  <c r="AD29" i="3"/>
  <c r="W7" i="9" s="1"/>
  <c r="AD22" i="3"/>
  <c r="W7" i="8" s="1"/>
  <c r="AD86" i="3"/>
  <c r="W8" i="17" s="1"/>
  <c r="AD15" i="3"/>
  <c r="W7" i="2" s="1"/>
  <c r="AD18" i="3"/>
  <c r="W3" i="8" s="1"/>
  <c r="AD23" i="3"/>
  <c r="W8" i="8" s="1"/>
  <c r="AD16" i="3"/>
  <c r="W8" i="2" s="1"/>
  <c r="AD91" i="3"/>
  <c r="AD53" i="3"/>
  <c r="W3" i="13" s="1"/>
  <c r="AD89" i="3"/>
  <c r="AD90" i="3"/>
  <c r="AD88" i="3"/>
  <c r="AD42" i="3"/>
  <c r="W6" i="11" s="1"/>
  <c r="AD87" i="3"/>
  <c r="AD62" i="3"/>
  <c r="W5" i="14" s="1"/>
  <c r="AD46" i="3"/>
  <c r="W3" i="12" s="1"/>
  <c r="AD41" i="3"/>
  <c r="W5" i="11" s="1"/>
  <c r="AD82" i="3"/>
  <c r="W4" i="17" s="1"/>
  <c r="AD66" i="3"/>
  <c r="W2" i="15" s="1"/>
  <c r="AD75" i="3"/>
  <c r="W4" i="16" s="1"/>
  <c r="AD52" i="3"/>
  <c r="W2" i="13" s="1"/>
  <c r="AD76" i="3"/>
  <c r="W5" i="16" s="1"/>
  <c r="AD70" i="3"/>
  <c r="W6" i="15" s="1"/>
  <c r="AD61" i="3"/>
  <c r="W4" i="14" s="1"/>
  <c r="AD38" i="3"/>
  <c r="W2" i="11" s="1"/>
  <c r="W5" i="13"/>
  <c r="AD27" i="3"/>
  <c r="W5" i="9" s="1"/>
  <c r="AD19" i="3"/>
  <c r="W4" i="8" s="1"/>
  <c r="AD47" i="3"/>
  <c r="W4" i="12" s="1"/>
  <c r="AD67" i="3"/>
  <c r="W3" i="15" s="1"/>
  <c r="AD60" i="3"/>
  <c r="W3" i="14" s="1"/>
  <c r="AD48" i="3"/>
  <c r="W5" i="12" s="1"/>
  <c r="AD77" i="3"/>
  <c r="W6" i="16" s="1"/>
  <c r="AD73" i="3"/>
  <c r="W2" i="16" s="1"/>
  <c r="AD56" i="3"/>
  <c r="W6" i="13" s="1"/>
  <c r="AD34" i="3"/>
  <c r="W5" i="10" s="1"/>
  <c r="AD49" i="3"/>
  <c r="W6" i="12" s="1"/>
  <c r="AD45" i="3"/>
  <c r="W2" i="12" s="1"/>
  <c r="AD74" i="3"/>
  <c r="W3" i="16" s="1"/>
  <c r="AD68" i="3"/>
  <c r="W4" i="15" s="1"/>
  <c r="AD63" i="3"/>
  <c r="W6" i="14" s="1"/>
  <c r="AD40" i="3"/>
  <c r="W4" i="11" s="1"/>
  <c r="AD69" i="3"/>
  <c r="W5" i="15" s="1"/>
  <c r="AD39" i="3"/>
  <c r="W3" i="11" s="1"/>
  <c r="AD59" i="3"/>
  <c r="W2" i="14" s="1"/>
  <c r="AD54" i="3"/>
  <c r="W4" i="13" s="1"/>
  <c r="AD20" i="3"/>
  <c r="W5" i="8" s="1"/>
  <c r="AD33" i="3"/>
  <c r="W4" i="10" s="1"/>
  <c r="AD26" i="3"/>
  <c r="W4" i="9" s="1"/>
  <c r="AD83" i="3"/>
  <c r="W5" i="17" s="1"/>
  <c r="AD81" i="3"/>
  <c r="W3" i="17" s="1"/>
  <c r="AD84" i="3"/>
  <c r="W6" i="17" s="1"/>
  <c r="AD35" i="3"/>
  <c r="W6" i="10" s="1"/>
  <c r="AD32" i="3"/>
  <c r="W3" i="10" s="1"/>
  <c r="AD28" i="3"/>
  <c r="W6" i="9" s="1"/>
  <c r="AD25" i="3"/>
  <c r="W3" i="9" s="1"/>
  <c r="AE9" i="3"/>
  <c r="W1" i="18"/>
  <c r="W1" i="16"/>
  <c r="W1" i="14"/>
  <c r="W1" i="12"/>
  <c r="W1" i="10"/>
  <c r="W1" i="17"/>
  <c r="W1" i="15"/>
  <c r="W1" i="8"/>
  <c r="W1" i="13"/>
  <c r="W1" i="9"/>
  <c r="W1" i="11"/>
  <c r="W1" i="2"/>
  <c r="AD12" i="3"/>
  <c r="W4" i="2" s="1"/>
  <c r="AD13" i="3"/>
  <c r="W5" i="2" s="1"/>
  <c r="AD11" i="3"/>
  <c r="W3" i="2" s="1"/>
  <c r="AE14" i="3" l="1"/>
  <c r="AE21" i="3"/>
  <c r="AE17" i="3"/>
  <c r="AE24" i="3"/>
  <c r="X2" i="8"/>
  <c r="X2" i="9"/>
  <c r="AE10" i="3"/>
  <c r="X2" i="2" s="1"/>
  <c r="AE31" i="3"/>
  <c r="X2" i="10" s="1"/>
  <c r="X6" i="2"/>
  <c r="AE80" i="3"/>
  <c r="X2" i="17" s="1"/>
  <c r="AE11" i="3"/>
  <c r="X3" i="2" s="1"/>
  <c r="AE36" i="3"/>
  <c r="X7" i="10" s="1"/>
  <c r="AE37" i="3"/>
  <c r="X8" i="10" s="1"/>
  <c r="AE43" i="3"/>
  <c r="X7" i="11" s="1"/>
  <c r="AE51" i="3"/>
  <c r="X8" i="12" s="1"/>
  <c r="AE57" i="3"/>
  <c r="X7" i="13" s="1"/>
  <c r="AE44" i="3"/>
  <c r="X8" i="11" s="1"/>
  <c r="AE50" i="3"/>
  <c r="X7" i="12" s="1"/>
  <c r="AE58" i="3"/>
  <c r="X8" i="13" s="1"/>
  <c r="AE64" i="3"/>
  <c r="X7" i="14" s="1"/>
  <c r="AE72" i="3"/>
  <c r="X8" i="15" s="1"/>
  <c r="AE78" i="3"/>
  <c r="X7" i="16" s="1"/>
  <c r="AE65" i="3"/>
  <c r="X8" i="14" s="1"/>
  <c r="AE71" i="3"/>
  <c r="X7" i="15" s="1"/>
  <c r="AE79" i="3"/>
  <c r="X8" i="16" s="1"/>
  <c r="AE85" i="3"/>
  <c r="X7" i="17" s="1"/>
  <c r="AE86" i="3"/>
  <c r="X8" i="17" s="1"/>
  <c r="AE93" i="3"/>
  <c r="AE92" i="3"/>
  <c r="AE22" i="3"/>
  <c r="X7" i="8" s="1"/>
  <c r="AE29" i="3"/>
  <c r="X7" i="9" s="1"/>
  <c r="AE30" i="3"/>
  <c r="X8" i="9" s="1"/>
  <c r="AE15" i="3"/>
  <c r="X7" i="2" s="1"/>
  <c r="AE18" i="3"/>
  <c r="X3" i="8" s="1"/>
  <c r="AE16" i="3"/>
  <c r="X8" i="2" s="1"/>
  <c r="AE23" i="3"/>
  <c r="X8" i="8" s="1"/>
  <c r="AE91" i="3"/>
  <c r="AE89" i="3"/>
  <c r="AE42" i="3"/>
  <c r="X6" i="11" s="1"/>
  <c r="AE88" i="3"/>
  <c r="AE87" i="3"/>
  <c r="AE90" i="3"/>
  <c r="AE53" i="3"/>
  <c r="X3" i="13" s="1"/>
  <c r="AE62" i="3"/>
  <c r="X5" i="14" s="1"/>
  <c r="AE41" i="3"/>
  <c r="X5" i="11" s="1"/>
  <c r="AE75" i="3"/>
  <c r="X4" i="16" s="1"/>
  <c r="AE70" i="3"/>
  <c r="X6" i="15" s="1"/>
  <c r="AE66" i="3"/>
  <c r="X2" i="15" s="1"/>
  <c r="AE52" i="3"/>
  <c r="X2" i="13" s="1"/>
  <c r="AE76" i="3"/>
  <c r="X5" i="16" s="1"/>
  <c r="AE61" i="3"/>
  <c r="X4" i="14" s="1"/>
  <c r="AE46" i="3"/>
  <c r="X3" i="12" s="1"/>
  <c r="AE82" i="3"/>
  <c r="X4" i="17" s="1"/>
  <c r="AE45" i="3"/>
  <c r="X2" i="12" s="1"/>
  <c r="AE74" i="3"/>
  <c r="X3" i="16" s="1"/>
  <c r="X5" i="13"/>
  <c r="AE27" i="3"/>
  <c r="X5" i="9" s="1"/>
  <c r="AE48" i="3"/>
  <c r="X5" i="12" s="1"/>
  <c r="AE77" i="3"/>
  <c r="X6" i="16" s="1"/>
  <c r="AE68" i="3"/>
  <c r="X4" i="15" s="1"/>
  <c r="AE56" i="3"/>
  <c r="X6" i="13" s="1"/>
  <c r="AE67" i="3"/>
  <c r="X3" i="15" s="1"/>
  <c r="AE60" i="3"/>
  <c r="X3" i="14" s="1"/>
  <c r="AE39" i="3"/>
  <c r="X3" i="11" s="1"/>
  <c r="AE63" i="3"/>
  <c r="X6" i="14" s="1"/>
  <c r="AE38" i="3"/>
  <c r="X2" i="11" s="1"/>
  <c r="AE34" i="3"/>
  <c r="X5" i="10" s="1"/>
  <c r="AE49" i="3"/>
  <c r="X6" i="12" s="1"/>
  <c r="AE40" i="3"/>
  <c r="X4" i="11" s="1"/>
  <c r="AE19" i="3"/>
  <c r="X4" i="8" s="1"/>
  <c r="AE47" i="3"/>
  <c r="X4" i="12" s="1"/>
  <c r="AE69" i="3"/>
  <c r="X5" i="15" s="1"/>
  <c r="AE73" i="3"/>
  <c r="X2" i="16" s="1"/>
  <c r="AE59" i="3"/>
  <c r="X2" i="14" s="1"/>
  <c r="AE54" i="3"/>
  <c r="X4" i="13" s="1"/>
  <c r="AE20" i="3"/>
  <c r="X5" i="8" s="1"/>
  <c r="AE33" i="3"/>
  <c r="X4" i="10" s="1"/>
  <c r="AE26" i="3"/>
  <c r="X4" i="9" s="1"/>
  <c r="AE83" i="3"/>
  <c r="X5" i="17" s="1"/>
  <c r="AE81" i="3"/>
  <c r="X3" i="17" s="1"/>
  <c r="AE84" i="3"/>
  <c r="X6" i="17" s="1"/>
  <c r="AE28" i="3"/>
  <c r="X6" i="9" s="1"/>
  <c r="AE35" i="3"/>
  <c r="X6" i="10" s="1"/>
  <c r="AE32" i="3"/>
  <c r="X3" i="10" s="1"/>
  <c r="X6" i="8"/>
  <c r="AE25" i="3"/>
  <c r="X3" i="9" s="1"/>
  <c r="AF9" i="3"/>
  <c r="X1" i="17"/>
  <c r="X1" i="15"/>
  <c r="X1" i="13"/>
  <c r="X1" i="11"/>
  <c r="X1" i="9"/>
  <c r="X1" i="18"/>
  <c r="X1" i="16"/>
  <c r="X1" i="14"/>
  <c r="X1" i="12"/>
  <c r="X1" i="10"/>
  <c r="X1" i="2"/>
  <c r="X1" i="8"/>
  <c r="AE12" i="3"/>
  <c r="X4" i="2" s="1"/>
  <c r="AE13" i="3"/>
  <c r="X5" i="2" s="1"/>
  <c r="AF21" i="3" l="1"/>
  <c r="AF14" i="3"/>
  <c r="Y6" i="2" s="1"/>
  <c r="AF24" i="3"/>
  <c r="AF17" i="3"/>
  <c r="Y2" i="8"/>
  <c r="Y2" i="9"/>
  <c r="AF10" i="3"/>
  <c r="Y2" i="2" s="1"/>
  <c r="AF31" i="3"/>
  <c r="Y2" i="10" s="1"/>
  <c r="AF80" i="3"/>
  <c r="Y2" i="17" s="1"/>
  <c r="AF36" i="3"/>
  <c r="Y7" i="10" s="1"/>
  <c r="AF37" i="3"/>
  <c r="Y8" i="10" s="1"/>
  <c r="AF58" i="3"/>
  <c r="Y8" i="13" s="1"/>
  <c r="AF43" i="3"/>
  <c r="Y7" i="11" s="1"/>
  <c r="AF51" i="3"/>
  <c r="Y8" i="12" s="1"/>
  <c r="AF57" i="3"/>
  <c r="Y7" i="13" s="1"/>
  <c r="AF44" i="3"/>
  <c r="Y8" i="11" s="1"/>
  <c r="AF50" i="3"/>
  <c r="Y7" i="12" s="1"/>
  <c r="AF85" i="3"/>
  <c r="Y7" i="17" s="1"/>
  <c r="AF64" i="3"/>
  <c r="Y7" i="14" s="1"/>
  <c r="AF72" i="3"/>
  <c r="Y8" i="15" s="1"/>
  <c r="AF78" i="3"/>
  <c r="Y7" i="16" s="1"/>
  <c r="AF65" i="3"/>
  <c r="Y8" i="14" s="1"/>
  <c r="AF71" i="3"/>
  <c r="Y7" i="15" s="1"/>
  <c r="AF79" i="3"/>
  <c r="Y8" i="16" s="1"/>
  <c r="AF92" i="3"/>
  <c r="AF93" i="3"/>
  <c r="AF22" i="3"/>
  <c r="Y7" i="8" s="1"/>
  <c r="AF29" i="3"/>
  <c r="Y7" i="9" s="1"/>
  <c r="AF30" i="3"/>
  <c r="Y8" i="9" s="1"/>
  <c r="AF86" i="3"/>
  <c r="Y8" i="17" s="1"/>
  <c r="AF15" i="3"/>
  <c r="Y7" i="2" s="1"/>
  <c r="AF18" i="3"/>
  <c r="Y3" i="8" s="1"/>
  <c r="AF16" i="3"/>
  <c r="Y8" i="2" s="1"/>
  <c r="AF91" i="3"/>
  <c r="AF89" i="3"/>
  <c r="AF90" i="3"/>
  <c r="AF88" i="3"/>
  <c r="AF42" i="3"/>
  <c r="Y6" i="11" s="1"/>
  <c r="AF87" i="3"/>
  <c r="AF23" i="3"/>
  <c r="Y8" i="8" s="1"/>
  <c r="AF53" i="3"/>
  <c r="Y3" i="13" s="1"/>
  <c r="AF52" i="3"/>
  <c r="Y2" i="13" s="1"/>
  <c r="AF62" i="3"/>
  <c r="Y5" i="14" s="1"/>
  <c r="AF41" i="3"/>
  <c r="Y5" i="11" s="1"/>
  <c r="AF70" i="3"/>
  <c r="Y6" i="15" s="1"/>
  <c r="AF66" i="3"/>
  <c r="Y2" i="15" s="1"/>
  <c r="AF76" i="3"/>
  <c r="Y5" i="16" s="1"/>
  <c r="AF46" i="3"/>
  <c r="Y3" i="12" s="1"/>
  <c r="AF82" i="3"/>
  <c r="Y4" i="17" s="1"/>
  <c r="AF61" i="3"/>
  <c r="Y4" i="14" s="1"/>
  <c r="AF75" i="3"/>
  <c r="Y4" i="16" s="1"/>
  <c r="AF56" i="3"/>
  <c r="Y6" i="13" s="1"/>
  <c r="AF38" i="3"/>
  <c r="Y2" i="11" s="1"/>
  <c r="AF67" i="3"/>
  <c r="Y3" i="15" s="1"/>
  <c r="AF74" i="3"/>
  <c r="Y3" i="16" s="1"/>
  <c r="AF68" i="3"/>
  <c r="Y4" i="15" s="1"/>
  <c r="AF47" i="3"/>
  <c r="Y4" i="12" s="1"/>
  <c r="AF49" i="3"/>
  <c r="Y6" i="12" s="1"/>
  <c r="AF60" i="3"/>
  <c r="Y3" i="14" s="1"/>
  <c r="Y5" i="13"/>
  <c r="AF39" i="3"/>
  <c r="Y3" i="11" s="1"/>
  <c r="AF63" i="3"/>
  <c r="Y6" i="14" s="1"/>
  <c r="AF40" i="3"/>
  <c r="Y4" i="11" s="1"/>
  <c r="AF69" i="3"/>
  <c r="Y5" i="15" s="1"/>
  <c r="AF19" i="3"/>
  <c r="Y4" i="8" s="1"/>
  <c r="AF77" i="3"/>
  <c r="Y6" i="16" s="1"/>
  <c r="AF34" i="3"/>
  <c r="Y5" i="10" s="1"/>
  <c r="AF45" i="3"/>
  <c r="Y2" i="12" s="1"/>
  <c r="AF27" i="3"/>
  <c r="Y5" i="9" s="1"/>
  <c r="AF48" i="3"/>
  <c r="Y5" i="12" s="1"/>
  <c r="AF73" i="3"/>
  <c r="Y2" i="16" s="1"/>
  <c r="AF59" i="3"/>
  <c r="Y2" i="14" s="1"/>
  <c r="AF54" i="3"/>
  <c r="Y4" i="13" s="1"/>
  <c r="AF20" i="3"/>
  <c r="Y5" i="8" s="1"/>
  <c r="AF33" i="3"/>
  <c r="Y4" i="10" s="1"/>
  <c r="AF26" i="3"/>
  <c r="Y4" i="9" s="1"/>
  <c r="AF83" i="3"/>
  <c r="Y5" i="17" s="1"/>
  <c r="AF84" i="3"/>
  <c r="Y6" i="17" s="1"/>
  <c r="AF81" i="3"/>
  <c r="Y3" i="17" s="1"/>
  <c r="AF35" i="3"/>
  <c r="Y6" i="10" s="1"/>
  <c r="AF32" i="3"/>
  <c r="Y3" i="10" s="1"/>
  <c r="AF25" i="3"/>
  <c r="Y3" i="9" s="1"/>
  <c r="AF28" i="3"/>
  <c r="Y6" i="9" s="1"/>
  <c r="Y6" i="8"/>
  <c r="AG9" i="3"/>
  <c r="Y1" i="17"/>
  <c r="Y1" i="15"/>
  <c r="Y1" i="13"/>
  <c r="Y1" i="11"/>
  <c r="Y1" i="9"/>
  <c r="Y1" i="18"/>
  <c r="Y1" i="10"/>
  <c r="Y1" i="16"/>
  <c r="Y1" i="2"/>
  <c r="Y1" i="14"/>
  <c r="Y1" i="12"/>
  <c r="Y1" i="8"/>
  <c r="AF12" i="3"/>
  <c r="Y4" i="2" s="1"/>
  <c r="AF13" i="3"/>
  <c r="Y5" i="2" s="1"/>
  <c r="AF11" i="3"/>
  <c r="Y3" i="2" s="1"/>
  <c r="AG21" i="3" l="1"/>
  <c r="AG14" i="3"/>
  <c r="AG24" i="3"/>
  <c r="AG17" i="3"/>
  <c r="Z6" i="2"/>
  <c r="Z2" i="8"/>
  <c r="Z2" i="9"/>
  <c r="AG10" i="3"/>
  <c r="Z2" i="2" s="1"/>
  <c r="AG31" i="3"/>
  <c r="Z2" i="10" s="1"/>
  <c r="AG80" i="3"/>
  <c r="Z2" i="17" s="1"/>
  <c r="AG11" i="3"/>
  <c r="Z3" i="2" s="1"/>
  <c r="AG36" i="3"/>
  <c r="Z7" i="10" s="1"/>
  <c r="AG37" i="3"/>
  <c r="Z8" i="10" s="1"/>
  <c r="AG44" i="3"/>
  <c r="Z8" i="11" s="1"/>
  <c r="AG50" i="3"/>
  <c r="Z7" i="12" s="1"/>
  <c r="AG58" i="3"/>
  <c r="Z8" i="13" s="1"/>
  <c r="AG64" i="3"/>
  <c r="Z7" i="14" s="1"/>
  <c r="AG43" i="3"/>
  <c r="Z7" i="11" s="1"/>
  <c r="AG51" i="3"/>
  <c r="Z8" i="12" s="1"/>
  <c r="AG57" i="3"/>
  <c r="Z7" i="13" s="1"/>
  <c r="AG65" i="3"/>
  <c r="Z8" i="14" s="1"/>
  <c r="AG71" i="3"/>
  <c r="Z7" i="15" s="1"/>
  <c r="AG79" i="3"/>
  <c r="Z8" i="16" s="1"/>
  <c r="AG85" i="3"/>
  <c r="Z7" i="17" s="1"/>
  <c r="AG72" i="3"/>
  <c r="Z8" i="15" s="1"/>
  <c r="AG78" i="3"/>
  <c r="Z7" i="16" s="1"/>
  <c r="AG92" i="3"/>
  <c r="AG93" i="3"/>
  <c r="AG22" i="3"/>
  <c r="Z7" i="8" s="1"/>
  <c r="AG86" i="3"/>
  <c r="Z8" i="17" s="1"/>
  <c r="AG29" i="3"/>
  <c r="Z7" i="9" s="1"/>
  <c r="AG30" i="3"/>
  <c r="Z8" i="9" s="1"/>
  <c r="AG15" i="3"/>
  <c r="Z7" i="2" s="1"/>
  <c r="AG18" i="3"/>
  <c r="Z3" i="8" s="1"/>
  <c r="AG16" i="3"/>
  <c r="Z8" i="2" s="1"/>
  <c r="AG23" i="3"/>
  <c r="Z8" i="8" s="1"/>
  <c r="AG53" i="3"/>
  <c r="Z3" i="13" s="1"/>
  <c r="AG87" i="3"/>
  <c r="AG91" i="3"/>
  <c r="AG89" i="3"/>
  <c r="AG90" i="3"/>
  <c r="AG42" i="3"/>
  <c r="Z6" i="11" s="1"/>
  <c r="AG88" i="3"/>
  <c r="AG52" i="3"/>
  <c r="Z2" i="13" s="1"/>
  <c r="AG76" i="3"/>
  <c r="Z5" i="16" s="1"/>
  <c r="AG62" i="3"/>
  <c r="Z5" i="14" s="1"/>
  <c r="AG46" i="3"/>
  <c r="Z3" i="12" s="1"/>
  <c r="AG41" i="3"/>
  <c r="Z5" i="11" s="1"/>
  <c r="AG82" i="3"/>
  <c r="Z4" i="17" s="1"/>
  <c r="AG75" i="3"/>
  <c r="Z4" i="16" s="1"/>
  <c r="AG66" i="3"/>
  <c r="Z2" i="15" s="1"/>
  <c r="AG70" i="3"/>
  <c r="Z6" i="15" s="1"/>
  <c r="AG61" i="3"/>
  <c r="Z4" i="14" s="1"/>
  <c r="AG56" i="3"/>
  <c r="Z6" i="13" s="1"/>
  <c r="AG38" i="3"/>
  <c r="Z2" i="11" s="1"/>
  <c r="AG45" i="3"/>
  <c r="Z2" i="12" s="1"/>
  <c r="AG40" i="3"/>
  <c r="Z4" i="11" s="1"/>
  <c r="AG27" i="3"/>
  <c r="Z5" i="9" s="1"/>
  <c r="AG77" i="3"/>
  <c r="Z6" i="16" s="1"/>
  <c r="AG67" i="3"/>
  <c r="Z3" i="15" s="1"/>
  <c r="AG49" i="3"/>
  <c r="Z6" i="12" s="1"/>
  <c r="AG60" i="3"/>
  <c r="Z3" i="14" s="1"/>
  <c r="AG19" i="3"/>
  <c r="Z4" i="8" s="1"/>
  <c r="AG48" i="3"/>
  <c r="Z5" i="12" s="1"/>
  <c r="AG73" i="3"/>
  <c r="Z2" i="16" s="1"/>
  <c r="AG68" i="3"/>
  <c r="Z4" i="15" s="1"/>
  <c r="AG34" i="3"/>
  <c r="Z5" i="10" s="1"/>
  <c r="AG74" i="3"/>
  <c r="Z3" i="16" s="1"/>
  <c r="Z5" i="13"/>
  <c r="AG63" i="3"/>
  <c r="Z6" i="14" s="1"/>
  <c r="AG47" i="3"/>
  <c r="Z4" i="12" s="1"/>
  <c r="AG69" i="3"/>
  <c r="Z5" i="15" s="1"/>
  <c r="AG39" i="3"/>
  <c r="Z3" i="11" s="1"/>
  <c r="AG59" i="3"/>
  <c r="Z2" i="14" s="1"/>
  <c r="AG54" i="3"/>
  <c r="Z4" i="13" s="1"/>
  <c r="AG20" i="3"/>
  <c r="Z5" i="8" s="1"/>
  <c r="AG26" i="3"/>
  <c r="Z4" i="9" s="1"/>
  <c r="AG33" i="3"/>
  <c r="Z4" i="10" s="1"/>
  <c r="AG83" i="3"/>
  <c r="Z5" i="17" s="1"/>
  <c r="AG84" i="3"/>
  <c r="Z6" i="17" s="1"/>
  <c r="AG81" i="3"/>
  <c r="Z3" i="17" s="1"/>
  <c r="AG35" i="3"/>
  <c r="Z6" i="10" s="1"/>
  <c r="AG28" i="3"/>
  <c r="Z6" i="9" s="1"/>
  <c r="AG32" i="3"/>
  <c r="Z3" i="10" s="1"/>
  <c r="AG25" i="3"/>
  <c r="Z3" i="9" s="1"/>
  <c r="Z6" i="8"/>
  <c r="AH9" i="3"/>
  <c r="Z1" i="18"/>
  <c r="Z1" i="16"/>
  <c r="Z1" i="14"/>
  <c r="Z1" i="12"/>
  <c r="Z1" i="10"/>
  <c r="Z1" i="17"/>
  <c r="Z1" i="15"/>
  <c r="Z1" i="13"/>
  <c r="Z1" i="11"/>
  <c r="Z1" i="8"/>
  <c r="Z1" i="9"/>
  <c r="Z1" i="2"/>
  <c r="AG12" i="3"/>
  <c r="Z4" i="2" s="1"/>
  <c r="AG13" i="3"/>
  <c r="Z5" i="2" s="1"/>
  <c r="AH21" i="3" l="1"/>
  <c r="AH14" i="3"/>
  <c r="AH24" i="3"/>
  <c r="AH17" i="3"/>
  <c r="AA6" i="2"/>
  <c r="AA2" i="8"/>
  <c r="AA2" i="9"/>
  <c r="AH10" i="3"/>
  <c r="AA2" i="2" s="1"/>
  <c r="AH31" i="3"/>
  <c r="AA2" i="10" s="1"/>
  <c r="AH80" i="3"/>
  <c r="AA2" i="17" s="1"/>
  <c r="AH36" i="3"/>
  <c r="AA7" i="10" s="1"/>
  <c r="AH37" i="3"/>
  <c r="AA8" i="10" s="1"/>
  <c r="AH57" i="3"/>
  <c r="AA7" i="13" s="1"/>
  <c r="AH44" i="3"/>
  <c r="AA8" i="11" s="1"/>
  <c r="AH50" i="3"/>
  <c r="AA7" i="12" s="1"/>
  <c r="AH58" i="3"/>
  <c r="AA8" i="13" s="1"/>
  <c r="AH43" i="3"/>
  <c r="AA7" i="11" s="1"/>
  <c r="AH51" i="3"/>
  <c r="AA8" i="12" s="1"/>
  <c r="AH65" i="3"/>
  <c r="AA8" i="14" s="1"/>
  <c r="AH71" i="3"/>
  <c r="AA7" i="15" s="1"/>
  <c r="AH79" i="3"/>
  <c r="AA8" i="16" s="1"/>
  <c r="AH64" i="3"/>
  <c r="AA7" i="14" s="1"/>
  <c r="AH85" i="3"/>
  <c r="AA7" i="17" s="1"/>
  <c r="AH72" i="3"/>
  <c r="AA8" i="15" s="1"/>
  <c r="AH78" i="3"/>
  <c r="AA7" i="16" s="1"/>
  <c r="AH93" i="3"/>
  <c r="AH92" i="3"/>
  <c r="AH29" i="3"/>
  <c r="AA7" i="9" s="1"/>
  <c r="AH86" i="3"/>
  <c r="AA8" i="17" s="1"/>
  <c r="AH22" i="3"/>
  <c r="AA7" i="8" s="1"/>
  <c r="AH30" i="3"/>
  <c r="AA8" i="9" s="1"/>
  <c r="AH15" i="3"/>
  <c r="AA7" i="2" s="1"/>
  <c r="AH18" i="3"/>
  <c r="AA3" i="8" s="1"/>
  <c r="AH16" i="3"/>
  <c r="AA8" i="2" s="1"/>
  <c r="AH23" i="3"/>
  <c r="AA8" i="8" s="1"/>
  <c r="AH88" i="3"/>
  <c r="AH87" i="3"/>
  <c r="AH91" i="3"/>
  <c r="AH53" i="3"/>
  <c r="AA3" i="13" s="1"/>
  <c r="AH89" i="3"/>
  <c r="AH52" i="3"/>
  <c r="AA2" i="13" s="1"/>
  <c r="AH90" i="3"/>
  <c r="AH42" i="3"/>
  <c r="AA6" i="11" s="1"/>
  <c r="AH61" i="3"/>
  <c r="AA4" i="14" s="1"/>
  <c r="AH56" i="3"/>
  <c r="AA6" i="13" s="1"/>
  <c r="AH62" i="3"/>
  <c r="AA5" i="14" s="1"/>
  <c r="AH82" i="3"/>
  <c r="AA4" i="17" s="1"/>
  <c r="AH66" i="3"/>
  <c r="AA2" i="15" s="1"/>
  <c r="AH46" i="3"/>
  <c r="AA3" i="12" s="1"/>
  <c r="AH41" i="3"/>
  <c r="AA5" i="11" s="1"/>
  <c r="AH75" i="3"/>
  <c r="AA4" i="16" s="1"/>
  <c r="AH76" i="3"/>
  <c r="AA5" i="16" s="1"/>
  <c r="AH70" i="3"/>
  <c r="AA6" i="15" s="1"/>
  <c r="AH40" i="3"/>
  <c r="AA4" i="11" s="1"/>
  <c r="AH69" i="3"/>
  <c r="AA5" i="15" s="1"/>
  <c r="AA5" i="13"/>
  <c r="AH68" i="3"/>
  <c r="AA4" i="15" s="1"/>
  <c r="AH59" i="3"/>
  <c r="AA2" i="14" s="1"/>
  <c r="AH54" i="3"/>
  <c r="AA4" i="13" s="1"/>
  <c r="AH47" i="3"/>
  <c r="AA4" i="12" s="1"/>
  <c r="AH38" i="3"/>
  <c r="AA2" i="11" s="1"/>
  <c r="AH27" i="3"/>
  <c r="AA5" i="9" s="1"/>
  <c r="AH19" i="3"/>
  <c r="AA4" i="8" s="1"/>
  <c r="AH73" i="3"/>
  <c r="AA2" i="16" s="1"/>
  <c r="AH67" i="3"/>
  <c r="AA3" i="15" s="1"/>
  <c r="AH45" i="3"/>
  <c r="AA2" i="12" s="1"/>
  <c r="AH60" i="3"/>
  <c r="AA3" i="14" s="1"/>
  <c r="AH77" i="3"/>
  <c r="AA6" i="16" s="1"/>
  <c r="AH34" i="3"/>
  <c r="AA5" i="10" s="1"/>
  <c r="AH49" i="3"/>
  <c r="AA6" i="12" s="1"/>
  <c r="AH74" i="3"/>
  <c r="AA3" i="16" s="1"/>
  <c r="AH48" i="3"/>
  <c r="AA5" i="12" s="1"/>
  <c r="AH39" i="3"/>
  <c r="AA3" i="11" s="1"/>
  <c r="AH63" i="3"/>
  <c r="AA6" i="14" s="1"/>
  <c r="AH20" i="3"/>
  <c r="AA5" i="8" s="1"/>
  <c r="AH84" i="3"/>
  <c r="AA6" i="17" s="1"/>
  <c r="AH26" i="3"/>
  <c r="AA4" i="9" s="1"/>
  <c r="AH83" i="3"/>
  <c r="AA5" i="17" s="1"/>
  <c r="AH33" i="3"/>
  <c r="AA4" i="10" s="1"/>
  <c r="AH81" i="3"/>
  <c r="AA3" i="17" s="1"/>
  <c r="AH35" i="3"/>
  <c r="AA6" i="10" s="1"/>
  <c r="AH28" i="3"/>
  <c r="AA6" i="9" s="1"/>
  <c r="AH25" i="3"/>
  <c r="AA3" i="9" s="1"/>
  <c r="AH32" i="3"/>
  <c r="AA3" i="10" s="1"/>
  <c r="AA6" i="8"/>
  <c r="AI9" i="3"/>
  <c r="AA1" i="18"/>
  <c r="AA1" i="16"/>
  <c r="AA1" i="14"/>
  <c r="AA1" i="12"/>
  <c r="AA1" i="10"/>
  <c r="AA1" i="11"/>
  <c r="AA1" i="9"/>
  <c r="AA1" i="17"/>
  <c r="AA1" i="8"/>
  <c r="AA1" i="2"/>
  <c r="AA1" i="15"/>
  <c r="AA1" i="13"/>
  <c r="AH12" i="3"/>
  <c r="AA4" i="2" s="1"/>
  <c r="AH13" i="3"/>
  <c r="AA5" i="2" s="1"/>
  <c r="AH11" i="3"/>
  <c r="AA3" i="2" s="1"/>
  <c r="AI21" i="3" l="1"/>
  <c r="AI14" i="3"/>
  <c r="AI17" i="3"/>
  <c r="AI24" i="3"/>
  <c r="AB2" i="9" s="1"/>
  <c r="AB6" i="2"/>
  <c r="AB2" i="8"/>
  <c r="AI10" i="3"/>
  <c r="AB2" i="2" s="1"/>
  <c r="AI31" i="3"/>
  <c r="AB2" i="10" s="1"/>
  <c r="AI80" i="3"/>
  <c r="AB2" i="17" s="1"/>
  <c r="AI36" i="3"/>
  <c r="AB7" i="10" s="1"/>
  <c r="AI37" i="3"/>
  <c r="AB8" i="10" s="1"/>
  <c r="AI43" i="3"/>
  <c r="AB7" i="11" s="1"/>
  <c r="AI51" i="3"/>
  <c r="AB8" i="12" s="1"/>
  <c r="AI57" i="3"/>
  <c r="AB7" i="13" s="1"/>
  <c r="AI44" i="3"/>
  <c r="AB8" i="11" s="1"/>
  <c r="AI50" i="3"/>
  <c r="AB7" i="12" s="1"/>
  <c r="AI58" i="3"/>
  <c r="AB8" i="13" s="1"/>
  <c r="AI72" i="3"/>
  <c r="AB8" i="15" s="1"/>
  <c r="AI78" i="3"/>
  <c r="AB7" i="16" s="1"/>
  <c r="AI65" i="3"/>
  <c r="AB8" i="14" s="1"/>
  <c r="AI71" i="3"/>
  <c r="AB7" i="15" s="1"/>
  <c r="AI79" i="3"/>
  <c r="AB8" i="16" s="1"/>
  <c r="AI64" i="3"/>
  <c r="AB7" i="14" s="1"/>
  <c r="AI85" i="3"/>
  <c r="AB7" i="17" s="1"/>
  <c r="AI93" i="3"/>
  <c r="AI86" i="3"/>
  <c r="AB8" i="17" s="1"/>
  <c r="AI92" i="3"/>
  <c r="AI29" i="3"/>
  <c r="AB7" i="9" s="1"/>
  <c r="AI22" i="3"/>
  <c r="AB7" i="8" s="1"/>
  <c r="AI30" i="3"/>
  <c r="AB8" i="9" s="1"/>
  <c r="AI15" i="3"/>
  <c r="AB7" i="2" s="1"/>
  <c r="AI18" i="3"/>
  <c r="AB3" i="8" s="1"/>
  <c r="AI23" i="3"/>
  <c r="AB8" i="8" s="1"/>
  <c r="AI16" i="3"/>
  <c r="AB8" i="2" s="1"/>
  <c r="AI53" i="3"/>
  <c r="AB3" i="13" s="1"/>
  <c r="AI91" i="3"/>
  <c r="AI89" i="3"/>
  <c r="AI42" i="3"/>
  <c r="AB6" i="11" s="1"/>
  <c r="AI52" i="3"/>
  <c r="AB2" i="13" s="1"/>
  <c r="AI90" i="3"/>
  <c r="AI88" i="3"/>
  <c r="AI87" i="3"/>
  <c r="AI46" i="3"/>
  <c r="AB3" i="12" s="1"/>
  <c r="AI62" i="3"/>
  <c r="AB5" i="14" s="1"/>
  <c r="AI41" i="3"/>
  <c r="AB5" i="11" s="1"/>
  <c r="AI75" i="3"/>
  <c r="AB4" i="16" s="1"/>
  <c r="AI70" i="3"/>
  <c r="AB6" i="15" s="1"/>
  <c r="AI66" i="3"/>
  <c r="AB2" i="15" s="1"/>
  <c r="AI76" i="3"/>
  <c r="AB5" i="16" s="1"/>
  <c r="AI82" i="3"/>
  <c r="AB4" i="17" s="1"/>
  <c r="AI61" i="3"/>
  <c r="AB4" i="14" s="1"/>
  <c r="AI47" i="3"/>
  <c r="AB4" i="12" s="1"/>
  <c r="AI74" i="3"/>
  <c r="AB3" i="16" s="1"/>
  <c r="AI69" i="3"/>
  <c r="AB5" i="15" s="1"/>
  <c r="AB5" i="13"/>
  <c r="AI77" i="3"/>
  <c r="AB6" i="16" s="1"/>
  <c r="AI73" i="3"/>
  <c r="AB2" i="16" s="1"/>
  <c r="AI59" i="3"/>
  <c r="AB2" i="14" s="1"/>
  <c r="AI54" i="3"/>
  <c r="AB4" i="13" s="1"/>
  <c r="AI45" i="3"/>
  <c r="AB2" i="12" s="1"/>
  <c r="AI27" i="3"/>
  <c r="AB5" i="9" s="1"/>
  <c r="AI68" i="3"/>
  <c r="AB4" i="15" s="1"/>
  <c r="AI56" i="3"/>
  <c r="AB6" i="13" s="1"/>
  <c r="AI38" i="3"/>
  <c r="AB2" i="11" s="1"/>
  <c r="AI67" i="3"/>
  <c r="AB3" i="15" s="1"/>
  <c r="AI60" i="3"/>
  <c r="AB3" i="14" s="1"/>
  <c r="AI48" i="3"/>
  <c r="AB5" i="12" s="1"/>
  <c r="AI39" i="3"/>
  <c r="AB3" i="11" s="1"/>
  <c r="AI63" i="3"/>
  <c r="AB6" i="14" s="1"/>
  <c r="AI34" i="3"/>
  <c r="AB5" i="10" s="1"/>
  <c r="AI49" i="3"/>
  <c r="AB6" i="12" s="1"/>
  <c r="AI40" i="3"/>
  <c r="AB4" i="11" s="1"/>
  <c r="AI19" i="3"/>
  <c r="AB4" i="8" s="1"/>
  <c r="AI20" i="3"/>
  <c r="AB5" i="8" s="1"/>
  <c r="AI84" i="3"/>
  <c r="AB6" i="17" s="1"/>
  <c r="AI33" i="3"/>
  <c r="AB4" i="10" s="1"/>
  <c r="AI26" i="3"/>
  <c r="AB4" i="9" s="1"/>
  <c r="AI83" i="3"/>
  <c r="AB5" i="17" s="1"/>
  <c r="AI81" i="3"/>
  <c r="AB3" i="17" s="1"/>
  <c r="AI35" i="3"/>
  <c r="AB6" i="10" s="1"/>
  <c r="AI25" i="3"/>
  <c r="AB3" i="9" s="1"/>
  <c r="AI32" i="3"/>
  <c r="AB3" i="10" s="1"/>
  <c r="AI28" i="3"/>
  <c r="AB6" i="9" s="1"/>
  <c r="AB6" i="8"/>
  <c r="AJ9" i="3"/>
  <c r="AB1" i="17"/>
  <c r="AB1" i="15"/>
  <c r="AB1" i="13"/>
  <c r="AB1" i="11"/>
  <c r="AB1" i="9"/>
  <c r="AB1" i="18"/>
  <c r="AB1" i="16"/>
  <c r="AB1" i="14"/>
  <c r="AB1" i="12"/>
  <c r="AB1" i="10"/>
  <c r="AB1" i="2"/>
  <c r="AB1" i="8"/>
  <c r="AI12" i="3"/>
  <c r="AB4" i="2" s="1"/>
  <c r="AI13" i="3"/>
  <c r="AB5" i="2" s="1"/>
  <c r="AI11" i="3"/>
  <c r="AB3" i="2" s="1"/>
  <c r="AJ21" i="3" l="1"/>
  <c r="AJ14" i="3"/>
  <c r="AJ24" i="3"/>
  <c r="AJ17" i="3"/>
  <c r="AC2" i="8" s="1"/>
  <c r="AC6" i="2"/>
  <c r="AJ10" i="3"/>
  <c r="AC2" i="2" s="1"/>
  <c r="AC2" i="9"/>
  <c r="AJ31" i="3"/>
  <c r="AC2" i="10" s="1"/>
  <c r="AJ80" i="3"/>
  <c r="AC2" i="17" s="1"/>
  <c r="AJ36" i="3"/>
  <c r="AC7" i="10" s="1"/>
  <c r="AJ37" i="3"/>
  <c r="AC8" i="10" s="1"/>
  <c r="AJ58" i="3"/>
  <c r="AC8" i="13" s="1"/>
  <c r="AJ43" i="3"/>
  <c r="AC7" i="11" s="1"/>
  <c r="AJ51" i="3"/>
  <c r="AC8" i="12" s="1"/>
  <c r="AJ57" i="3"/>
  <c r="AC7" i="13" s="1"/>
  <c r="AJ44" i="3"/>
  <c r="AC8" i="11" s="1"/>
  <c r="AJ50" i="3"/>
  <c r="AC7" i="12" s="1"/>
  <c r="AJ64" i="3"/>
  <c r="AC7" i="14" s="1"/>
  <c r="AJ72" i="3"/>
  <c r="AC8" i="15" s="1"/>
  <c r="AJ78" i="3"/>
  <c r="AC7" i="16" s="1"/>
  <c r="AJ65" i="3"/>
  <c r="AC8" i="14" s="1"/>
  <c r="AJ71" i="3"/>
  <c r="AC7" i="15" s="1"/>
  <c r="AJ79" i="3"/>
  <c r="AC8" i="16" s="1"/>
  <c r="AJ92" i="3"/>
  <c r="AJ93" i="3"/>
  <c r="AJ85" i="3"/>
  <c r="AC7" i="17" s="1"/>
  <c r="AJ22" i="3"/>
  <c r="AC7" i="8" s="1"/>
  <c r="AJ29" i="3"/>
  <c r="AC7" i="9" s="1"/>
  <c r="AJ30" i="3"/>
  <c r="AC8" i="9" s="1"/>
  <c r="AJ86" i="3"/>
  <c r="AC8" i="17" s="1"/>
  <c r="AJ15" i="3"/>
  <c r="AC7" i="2" s="1"/>
  <c r="AJ18" i="3"/>
  <c r="AC3" i="8" s="1"/>
  <c r="AJ23" i="3"/>
  <c r="AC8" i="8" s="1"/>
  <c r="AJ16" i="3"/>
  <c r="AC8" i="2" s="1"/>
  <c r="AJ53" i="3"/>
  <c r="AC3" i="13" s="1"/>
  <c r="AJ42" i="3"/>
  <c r="AJ91" i="3"/>
  <c r="AJ89" i="3"/>
  <c r="AJ90" i="3"/>
  <c r="AJ88" i="3"/>
  <c r="AJ87" i="3"/>
  <c r="AJ75" i="3"/>
  <c r="AC4" i="16" s="1"/>
  <c r="AJ52" i="3"/>
  <c r="AC2" i="13" s="1"/>
  <c r="AJ62" i="3"/>
  <c r="AC5" i="14" s="1"/>
  <c r="AJ41" i="3"/>
  <c r="AC5" i="11" s="1"/>
  <c r="AJ70" i="3"/>
  <c r="AC6" i="15" s="1"/>
  <c r="AJ46" i="3"/>
  <c r="AC3" i="12" s="1"/>
  <c r="AJ66" i="3"/>
  <c r="AC2" i="15" s="1"/>
  <c r="AJ76" i="3"/>
  <c r="AC5" i="16" s="1"/>
  <c r="AJ82" i="3"/>
  <c r="AC4" i="17" s="1"/>
  <c r="AJ61" i="3"/>
  <c r="AC4" i="14" s="1"/>
  <c r="AJ56" i="3"/>
  <c r="AC6" i="13" s="1"/>
  <c r="AJ47" i="3"/>
  <c r="AC4" i="12" s="1"/>
  <c r="AJ40" i="3"/>
  <c r="AC4" i="11" s="1"/>
  <c r="AJ74" i="3"/>
  <c r="AC3" i="16" s="1"/>
  <c r="AJ69" i="3"/>
  <c r="AC5" i="15" s="1"/>
  <c r="AJ73" i="3"/>
  <c r="AC2" i="16" s="1"/>
  <c r="AJ59" i="3"/>
  <c r="AC2" i="14" s="1"/>
  <c r="AJ34" i="3"/>
  <c r="AC5" i="10" s="1"/>
  <c r="AJ49" i="3"/>
  <c r="AC6" i="12" s="1"/>
  <c r="AJ27" i="3"/>
  <c r="AC5" i="9" s="1"/>
  <c r="AJ48" i="3"/>
  <c r="AC5" i="12" s="1"/>
  <c r="AJ68" i="3"/>
  <c r="AC4" i="15" s="1"/>
  <c r="AJ54" i="3"/>
  <c r="AC4" i="13" s="1"/>
  <c r="AJ38" i="3"/>
  <c r="AC2" i="11" s="1"/>
  <c r="AJ67" i="3"/>
  <c r="AC3" i="15" s="1"/>
  <c r="AJ45" i="3"/>
  <c r="AC2" i="12" s="1"/>
  <c r="AJ60" i="3"/>
  <c r="AC3" i="14" s="1"/>
  <c r="AC5" i="13"/>
  <c r="AJ39" i="3"/>
  <c r="AC3" i="11" s="1"/>
  <c r="AJ63" i="3"/>
  <c r="AC6" i="14" s="1"/>
  <c r="AJ19" i="3"/>
  <c r="AC4" i="8" s="1"/>
  <c r="AJ77" i="3"/>
  <c r="AC6" i="16" s="1"/>
  <c r="AJ20" i="3"/>
  <c r="AC5" i="8" s="1"/>
  <c r="AJ33" i="3"/>
  <c r="AC4" i="10" s="1"/>
  <c r="AJ26" i="3"/>
  <c r="AC4" i="9" s="1"/>
  <c r="AJ83" i="3"/>
  <c r="AC5" i="17" s="1"/>
  <c r="AJ84" i="3"/>
  <c r="AC6" i="17" s="1"/>
  <c r="AJ81" i="3"/>
  <c r="AC3" i="17" s="1"/>
  <c r="AJ35" i="3"/>
  <c r="AC6" i="10" s="1"/>
  <c r="AJ32" i="3"/>
  <c r="AC3" i="10" s="1"/>
  <c r="AJ28" i="3"/>
  <c r="AC6" i="9" s="1"/>
  <c r="AC6" i="8"/>
  <c r="AJ25" i="3"/>
  <c r="AC3" i="9" s="1"/>
  <c r="AK9" i="3"/>
  <c r="AC1" i="17"/>
  <c r="AC1" i="15"/>
  <c r="AC1" i="13"/>
  <c r="AC1" i="11"/>
  <c r="AC1" i="9"/>
  <c r="AC1" i="12"/>
  <c r="AC1" i="18"/>
  <c r="AC1" i="10"/>
  <c r="AC1" i="2"/>
  <c r="AC1" i="8"/>
  <c r="AC1" i="16"/>
  <c r="AC1" i="14"/>
  <c r="AJ12" i="3"/>
  <c r="AC4" i="2" s="1"/>
  <c r="AC6" i="11"/>
  <c r="AJ13" i="3"/>
  <c r="AC5" i="2" s="1"/>
  <c r="AJ11" i="3"/>
  <c r="AC3" i="2" s="1"/>
  <c r="AK14" i="3" l="1"/>
  <c r="AK21" i="3"/>
  <c r="AK17" i="3"/>
  <c r="AK24" i="3"/>
  <c r="AD2" i="8"/>
  <c r="AK10" i="3"/>
  <c r="AD2" i="2" s="1"/>
  <c r="AD2" i="9"/>
  <c r="AK31" i="3"/>
  <c r="AD2" i="10" s="1"/>
  <c r="AD6" i="2"/>
  <c r="AK80" i="3"/>
  <c r="AD2" i="17" s="1"/>
  <c r="AK36" i="3"/>
  <c r="AD7" i="10" s="1"/>
  <c r="AK37" i="3"/>
  <c r="AD8" i="10" s="1"/>
  <c r="AK44" i="3"/>
  <c r="AD8" i="11" s="1"/>
  <c r="AK50" i="3"/>
  <c r="AD7" i="12" s="1"/>
  <c r="AK58" i="3"/>
  <c r="AD8" i="13" s="1"/>
  <c r="AK64" i="3"/>
  <c r="AD7" i="14" s="1"/>
  <c r="AK43" i="3"/>
  <c r="AD7" i="11" s="1"/>
  <c r="AK51" i="3"/>
  <c r="AD8" i="12" s="1"/>
  <c r="AK57" i="3"/>
  <c r="AD7" i="13" s="1"/>
  <c r="AK65" i="3"/>
  <c r="AD8" i="14" s="1"/>
  <c r="AK71" i="3"/>
  <c r="AD7" i="15" s="1"/>
  <c r="AK79" i="3"/>
  <c r="AD8" i="16" s="1"/>
  <c r="AK85" i="3"/>
  <c r="AD7" i="17" s="1"/>
  <c r="AK72" i="3"/>
  <c r="AD8" i="15" s="1"/>
  <c r="AK78" i="3"/>
  <c r="AD7" i="16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53" i="3"/>
  <c r="AD3" i="13" s="1"/>
  <c r="AK91" i="3"/>
  <c r="AK89" i="3"/>
  <c r="AK88" i="3"/>
  <c r="AK90" i="3"/>
  <c r="AK87" i="3"/>
  <c r="AK42" i="3"/>
  <c r="AD6" i="11" s="1"/>
  <c r="AK52" i="3"/>
  <c r="AD2" i="13" s="1"/>
  <c r="AK61" i="3"/>
  <c r="AD4" i="14" s="1"/>
  <c r="AK62" i="3"/>
  <c r="AD5" i="14" s="1"/>
  <c r="AK46" i="3"/>
  <c r="AD3" i="12" s="1"/>
  <c r="AK76" i="3"/>
  <c r="AD5" i="16" s="1"/>
  <c r="AK41" i="3"/>
  <c r="AD5" i="11" s="1"/>
  <c r="AK82" i="3"/>
  <c r="AD4" i="17" s="1"/>
  <c r="AK75" i="3"/>
  <c r="AD4" i="16" s="1"/>
  <c r="AK70" i="3"/>
  <c r="AD6" i="15" s="1"/>
  <c r="AK66" i="3"/>
  <c r="AD2" i="15" s="1"/>
  <c r="AK56" i="3"/>
  <c r="AD6" i="13" s="1"/>
  <c r="AK47" i="3"/>
  <c r="AD4" i="12" s="1"/>
  <c r="AK69" i="3"/>
  <c r="AD5" i="15" s="1"/>
  <c r="AK19" i="3"/>
  <c r="AD4" i="8" s="1"/>
  <c r="AK59" i="3"/>
  <c r="AD2" i="14" s="1"/>
  <c r="AK38" i="3"/>
  <c r="AD2" i="11" s="1"/>
  <c r="AK49" i="3"/>
  <c r="AD6" i="12" s="1"/>
  <c r="AK45" i="3"/>
  <c r="AD2" i="12" s="1"/>
  <c r="AK40" i="3"/>
  <c r="AD4" i="11" s="1"/>
  <c r="AK27" i="3"/>
  <c r="AD5" i="9" s="1"/>
  <c r="AK77" i="3"/>
  <c r="AD6" i="16" s="1"/>
  <c r="AK67" i="3"/>
  <c r="AD3" i="15" s="1"/>
  <c r="AK60" i="3"/>
  <c r="AD3" i="14" s="1"/>
  <c r="AK48" i="3"/>
  <c r="AD5" i="12" s="1"/>
  <c r="AK73" i="3"/>
  <c r="AD2" i="16" s="1"/>
  <c r="AK68" i="3"/>
  <c r="AD4" i="15" s="1"/>
  <c r="AK34" i="3"/>
  <c r="AD5" i="10" s="1"/>
  <c r="AK74" i="3"/>
  <c r="AD3" i="16" s="1"/>
  <c r="AD5" i="13"/>
  <c r="AK39" i="3"/>
  <c r="AD3" i="11" s="1"/>
  <c r="AK63" i="3"/>
  <c r="AD6" i="14" s="1"/>
  <c r="AK54" i="3"/>
  <c r="AD4" i="13" s="1"/>
  <c r="AK20" i="3"/>
  <c r="AD5" i="8" s="1"/>
  <c r="AK84" i="3"/>
  <c r="AD6" i="17" s="1"/>
  <c r="AK81" i="3"/>
  <c r="AD3" i="17" s="1"/>
  <c r="AK26" i="3"/>
  <c r="AD4" i="9" s="1"/>
  <c r="AK33" i="3"/>
  <c r="AD4" i="10" s="1"/>
  <c r="AK83" i="3"/>
  <c r="AD5" i="17" s="1"/>
  <c r="AK25" i="3"/>
  <c r="AD3" i="9" s="1"/>
  <c r="AK35" i="3"/>
  <c r="AD6" i="10" s="1"/>
  <c r="AK28" i="3"/>
  <c r="AD6" i="9" s="1"/>
  <c r="AK32" i="3"/>
  <c r="AD3" i="10" s="1"/>
  <c r="AD6" i="8"/>
  <c r="AL9" i="3"/>
  <c r="AD1" i="18"/>
  <c r="AD1" i="16"/>
  <c r="AD1" i="14"/>
  <c r="AD1" i="12"/>
  <c r="AD1" i="10"/>
  <c r="AD1" i="17"/>
  <c r="AD1" i="15"/>
  <c r="AD1" i="13"/>
  <c r="AD1" i="11"/>
  <c r="AD1" i="8"/>
  <c r="AD1" i="9"/>
  <c r="AD1" i="2"/>
  <c r="AK12" i="3"/>
  <c r="AD4" i="2" s="1"/>
  <c r="AK13" i="3"/>
  <c r="AD5" i="2" s="1"/>
  <c r="AK11" i="3"/>
  <c r="AD3" i="2" s="1"/>
  <c r="AL14" i="3" l="1"/>
  <c r="AL21" i="3"/>
  <c r="AL24" i="3"/>
  <c r="AE2" i="9" s="1"/>
  <c r="AL17" i="3"/>
  <c r="AE2" i="8"/>
  <c r="AL10" i="3"/>
  <c r="AE2" i="2" s="1"/>
  <c r="AL31" i="3"/>
  <c r="AE2" i="10" s="1"/>
  <c r="AE6" i="2"/>
  <c r="AL80" i="3"/>
  <c r="AE2" i="17" s="1"/>
  <c r="AL36" i="3"/>
  <c r="AE7" i="10" s="1"/>
  <c r="AL37" i="3"/>
  <c r="AE8" i="10" s="1"/>
  <c r="AL57" i="3"/>
  <c r="AE7" i="13" s="1"/>
  <c r="AL44" i="3"/>
  <c r="AE8" i="11" s="1"/>
  <c r="AL50" i="3"/>
  <c r="AE7" i="12" s="1"/>
  <c r="AL58" i="3"/>
  <c r="AE8" i="13" s="1"/>
  <c r="AL43" i="3"/>
  <c r="AE7" i="11" s="1"/>
  <c r="AL51" i="3"/>
  <c r="AE8" i="12" s="1"/>
  <c r="AL64" i="3"/>
  <c r="AE7" i="14" s="1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3" i="3"/>
  <c r="AL92" i="3"/>
  <c r="AL22" i="3"/>
  <c r="AE7" i="8" s="1"/>
  <c r="AL86" i="3"/>
  <c r="AE8" i="17" s="1"/>
  <c r="AL29" i="3"/>
  <c r="AE7" i="9" s="1"/>
  <c r="AL30" i="3"/>
  <c r="AE8" i="9" s="1"/>
  <c r="AL15" i="3"/>
  <c r="AE7" i="2" s="1"/>
  <c r="AL18" i="3"/>
  <c r="AE3" i="8" s="1"/>
  <c r="AL23" i="3"/>
  <c r="AE8" i="8" s="1"/>
  <c r="AL90" i="3"/>
  <c r="AL88" i="3"/>
  <c r="AL87" i="3"/>
  <c r="AL42" i="3"/>
  <c r="AE6" i="11" s="1"/>
  <c r="AL91" i="3"/>
  <c r="AL53" i="3"/>
  <c r="AE3" i="13" s="1"/>
  <c r="AL89" i="3"/>
  <c r="AL16" i="3"/>
  <c r="AE8" i="2" s="1"/>
  <c r="AL76" i="3"/>
  <c r="AE5" i="16" s="1"/>
  <c r="AL41" i="3"/>
  <c r="AE5" i="11" s="1"/>
  <c r="AL70" i="3"/>
  <c r="AE6" i="15" s="1"/>
  <c r="AL46" i="3"/>
  <c r="AE3" i="12" s="1"/>
  <c r="AL61" i="3"/>
  <c r="AE4" i="14" s="1"/>
  <c r="AL62" i="3"/>
  <c r="AE5" i="14" s="1"/>
  <c r="AL82" i="3"/>
  <c r="AE4" i="17" s="1"/>
  <c r="AL52" i="3"/>
  <c r="AE2" i="13" s="1"/>
  <c r="AL75" i="3"/>
  <c r="AE4" i="16" s="1"/>
  <c r="AL66" i="3"/>
  <c r="AE2" i="15" s="1"/>
  <c r="AL34" i="3"/>
  <c r="AE5" i="10" s="1"/>
  <c r="AL49" i="3"/>
  <c r="AE6" i="12" s="1"/>
  <c r="AL74" i="3"/>
  <c r="AE3" i="16" s="1"/>
  <c r="AL48" i="3"/>
  <c r="AE5" i="12" s="1"/>
  <c r="AL39" i="3"/>
  <c r="AE3" i="11" s="1"/>
  <c r="AL63" i="3"/>
  <c r="AE6" i="14" s="1"/>
  <c r="AL40" i="3"/>
  <c r="AE4" i="11" s="1"/>
  <c r="AL69" i="3"/>
  <c r="AE5" i="15" s="1"/>
  <c r="AE5" i="13"/>
  <c r="AL59" i="3"/>
  <c r="AE2" i="14" s="1"/>
  <c r="AL54" i="3"/>
  <c r="AE4" i="13" s="1"/>
  <c r="AL47" i="3"/>
  <c r="AE4" i="12" s="1"/>
  <c r="AL38" i="3"/>
  <c r="AE2" i="11" s="1"/>
  <c r="AL27" i="3"/>
  <c r="AE5" i="9" s="1"/>
  <c r="AL19" i="3"/>
  <c r="AE4" i="8" s="1"/>
  <c r="AL73" i="3"/>
  <c r="AE2" i="16" s="1"/>
  <c r="AL68" i="3"/>
  <c r="AE4" i="15" s="1"/>
  <c r="AL56" i="3"/>
  <c r="AE6" i="13" s="1"/>
  <c r="AL67" i="3"/>
  <c r="AE3" i="15" s="1"/>
  <c r="AL45" i="3"/>
  <c r="AE2" i="12" s="1"/>
  <c r="AL60" i="3"/>
  <c r="AE3" i="14" s="1"/>
  <c r="AL77" i="3"/>
  <c r="AE6" i="16" s="1"/>
  <c r="AL20" i="3"/>
  <c r="AE5" i="8" s="1"/>
  <c r="AL81" i="3"/>
  <c r="AE3" i="17" s="1"/>
  <c r="AL84" i="3"/>
  <c r="AE6" i="17" s="1"/>
  <c r="AL26" i="3"/>
  <c r="AE4" i="9" s="1"/>
  <c r="AL83" i="3"/>
  <c r="AE5" i="17" s="1"/>
  <c r="AL33" i="3"/>
  <c r="AE4" i="10" s="1"/>
  <c r="AL35" i="3"/>
  <c r="AE6" i="10" s="1"/>
  <c r="AL28" i="3"/>
  <c r="AE6" i="9" s="1"/>
  <c r="AL32" i="3"/>
  <c r="AE3" i="10" s="1"/>
  <c r="AE6" i="8"/>
  <c r="AL25" i="3"/>
  <c r="AE3" i="9" s="1"/>
  <c r="AE1" i="18"/>
  <c r="AE1" i="16"/>
  <c r="AE1" i="14"/>
  <c r="AE1" i="12"/>
  <c r="AE1" i="10"/>
  <c r="AE1" i="13"/>
  <c r="AE1" i="2"/>
  <c r="AE1" i="11"/>
  <c r="AE1" i="8"/>
  <c r="AE1" i="15"/>
  <c r="AE1" i="17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<sst xmlns="http://schemas.openxmlformats.org/spreadsheetml/2006/main" count="546" uniqueCount="245">
  <si>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</si>
  <si>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</si>
  <si>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</si>
  <si>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</si>
  <si>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</si>
  <si>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</si>
  <si>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</si>
  <si>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</si>
  <si>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</si>
  <si>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</si>
  <si>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</si>
  <si>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</si>
  <si>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</si>
  <si>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</si>
  <si>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</si>
  <si>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</si>
  <si>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</si>
  <si>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</si>
  <si>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</si>
  <si>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</si>
  <si>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</si>
  <si>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- -</t>
  </si>
  <si>
    <t>Here are the assumptions we use for the U.S.: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</si>
  <si>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</si>
  <si>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</si>
  <si>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</si>
  <si>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</si>
  <si>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</si>
  <si>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</si>
  <si>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</si>
  <si>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</si>
  <si>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</si>
  <si>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linear</t>
  </si>
  <si>
    <t>LPG vehicle</t>
  </si>
  <si>
    <t>hydrogen vehicle</t>
  </si>
  <si>
    <t>Max Fraction of Production (dimensionless)</t>
  </si>
  <si>
    <t>Number of Vehicles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</si>
  <si>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</si>
  <si>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</si>
  <si>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</si>
  <si>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</si>
  <si>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</si>
  <si>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</si>
  <si>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</si>
  <si>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</si>
  <si>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</si>
  <si>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</si>
  <si>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</si>
  <si>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</si>
  <si>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</si>
  <si>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</si>
  <si>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</si>
  <si>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</si>
  <si>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</si>
  <si>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</si>
  <si>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</si>
  <si>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</si>
  <si>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</si>
  <si>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</si>
  <si>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</si>
  <si>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</si>
  <si>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</si>
  <si>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</si>
  <si>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</si>
  <si>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</si>
  <si>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</si>
  <si>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</si>
  <si>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</si>
  <si>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</si>
  <si>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</si>
  <si>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</si>
  <si>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</si>
  <si>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</si>
  <si>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</si>
  <si>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TTS Transportation Technology Shareweights</t>
  </si>
  <si>
    <t>This variable provides the shareweights used in the modified logit equation for vehicle</t>
  </si>
  <si>
    <t>technology selection.  We base them on estimated potential maximum sales shares in each year.</t>
  </si>
  <si>
    <t>https://jgcri.github.io/gcam-doc/choice.html</t>
  </si>
  <si>
    <t>Psgr LDVs only</t>
  </si>
  <si>
    <t>Sigmoidal Curve Values for PHEV passenger LDV Technologies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</si>
  <si>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</si>
  <si>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</si>
  <si>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</si>
  <si>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</si>
  <si>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</si>
  <si>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</si>
  <si>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Table 38.  Light-Duty Vehicle Sales by Technology Type</t>
  </si>
  <si>
    <t>https://www.eia.gov/outlooks/aeo/data/browser/#/?id=48-AEO2025&amp;cases=alttrnp&amp;sourcekey=0</t>
  </si>
  <si>
    <t>Mon Jan 26 2026 11:28:44 GMT-0800 (Pacific Standard Time)</t>
  </si>
  <si>
    <t>New Car Sales</t>
  </si>
  <si>
    <t>Light-Duty Vehicle Sales: Conventional Cars: Gasoline: Alternative Transportation</t>
  </si>
  <si>
    <t>AEO.2025.ALTTRNP.ECI_SAL_TRN_CAR_GSL_NA_NA_TH.A</t>
  </si>
  <si>
    <t>Light-Duty Vehicle Sales: Conventional Cars: TDI Diesel: Alternative Transportation</t>
  </si>
  <si>
    <t>AEO.2025.ALTTRNP.ECI_SAL_TRN_CAR_TDS_NA_NA_TH.A</t>
  </si>
  <si>
    <t>Light-Duty Vehicle Sales: Conventional Cars: Total: Alternative Transportation</t>
  </si>
  <si>
    <t>AEO.2025.ALTTRNP.ECI_SAL_TRN_CAR_CNV_NA_NA_TH.A</t>
  </si>
  <si>
    <t>Light-Duty Vehicle Sales: Alternative-Fuel Cars: Ethanol-Flex Fuel ICE: Alternative Transportation</t>
  </si>
  <si>
    <t>AEO.2025.ALTTRNP.ECI_SAL_TRN_CAR_EFFI_NA_NA_TH.A</t>
  </si>
  <si>
    <t>Light-Duty Vehicle Sales: Alternative-Fuel Cars: 100-Mile Electric Vehicle: Alternative Transportation</t>
  </si>
  <si>
    <t>AEO.2025.ALTTRNP.ECI_SAL_TRN_CAR_100MIEV_NA_NA_TH.A</t>
  </si>
  <si>
    <t>Light-Duty Vehicle Sales: Alternative-Fuel Cars: 200-Mile Electric Vehicle: Alternative Transportation</t>
  </si>
  <si>
    <t>AEO.2025.ALTTRNP.ECI_SAL_TRN_CAR_200MIEV_NA_NA_TH.A</t>
  </si>
  <si>
    <t>Light-Duty Vehicle Sales: Alternative-Fuel Cars: 300-Mile Electric Vehicle: Alternative Transportation</t>
  </si>
  <si>
    <t>AEO.2025.ALTTRNP.ECI_SAL_TRN_CAR_300MIEV_NA_NA_TH.A</t>
  </si>
  <si>
    <t>Light-Duty Vehicle Sales: Alternative-Fuel Cars: Plug-in 20 Gasoline Hybrid: Alternative Transportation</t>
  </si>
  <si>
    <t>AEO.2025.ALTTRNP.ECI_SAL_TRN_CAR_PI20GH_NA_NA_TH.A</t>
  </si>
  <si>
    <t>Light-Duty Vehicle Sales: Alternative-Fuel Cars: Plug-in 50 Gasoline Hybrid: Alternative Transportation</t>
  </si>
  <si>
    <t>AEO.2025.ALTTRNP.ECI_SAL_TRN_CAR_PI50GH_NA_NA_TH.A</t>
  </si>
  <si>
    <t>Light-Duty Vehicle Sales: Alternative-Fuel Cars: Electric-Diesel Hybrid: Alternative Transportation</t>
  </si>
  <si>
    <t>AEO.2025.ALTTRNP.ECI_SAL_TRN_CAR_EDH_NA_NA_TH.A</t>
  </si>
  <si>
    <t>Light-Duty Vehicle Sales: Alternative-Fuel Cars: Electric-Gasoline Hybrid: Alternative Transportation</t>
  </si>
  <si>
    <t>AEO.2025.ALTTRNP.ECI_SAL_TRN_CAR_EGH_NA_NA_TH.A</t>
  </si>
  <si>
    <t>Light-Duty Vehicle Sales: Alternative-Fuel Cars: Natural Gas ICE: Alternative Transportation</t>
  </si>
  <si>
    <t>AEO.2025.ALTTRNP.ECI_SAL_TRN_CAR_NGI_NA_NA_TH.A</t>
  </si>
  <si>
    <t>Light-Duty Vehicle Sales: Alternative-Fuel Cars: Natural Gas Bi-fuel: Alternative Transportation</t>
  </si>
  <si>
    <t>AEO.2025.ALTTRNP.ECI_SAL_TRN_CAR_NBF_NA_NA_TH.A</t>
  </si>
  <si>
    <t>Light-Duty Vehicle Sales: Alternative-Fuel Cars: Propane: Alternative Transportation</t>
  </si>
  <si>
    <t>AEO.2025.ALTTRNP.ECI_SAL_TRN_CAR_PROP_NA_NA_TH.A</t>
  </si>
  <si>
    <t>AEO.2025.ALTTRNP.ECI_SAL_TRN_CAR_PBF_NA_NA_TH.A</t>
  </si>
  <si>
    <t>Light-Duty Vehicle Sales: Alternative-Fuel Cars: Fuel Cell Methanol: Alternative Transportation</t>
  </si>
  <si>
    <t>AEO.2025.ALTTRNP.ECI_SAL_TRN_CAR_FCLMTH_NA_NA_TH.A</t>
  </si>
  <si>
    <t>Light-Duty Vehicle Sales: Alternative-Fuel cars: Fuel Cell Hydrogen: Alternative Transportation</t>
  </si>
  <si>
    <t>AEO.2025.ALTTRNP.ECI_SAL_TRN_CAR_FCH_NA_NA_TH.A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</si>
  <si>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</si>
  <si>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</si>
  <si>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</si>
  <si>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</si>
  <si>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</si>
  <si>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</si>
  <si>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</si>
  <si>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</si>
  <si>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</si>
  <si>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</si>
  <si>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</si>
  <si>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</si>
  <si>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</si>
  <si>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</si>
  <si>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Light-Duty Vehicle Sales: Conventional Light Trucks: Total: Alternative Transportation</t>
  </si>
  <si>
    <t>AEO.2025.ALTTRNP.ECI_SAL_TRN_LTK_CNV_NA_NA_TH.A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</si>
  <si>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</si>
  <si>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</si>
  <si>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</si>
  <si>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</si>
  <si>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</si>
  <si>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</si>
  <si>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</si>
  <si>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</si>
  <si>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</si>
  <si>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</si>
  <si>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</si>
  <si>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</si>
  <si>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</si>
  <si>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</si>
  <si>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</si>
  <si>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</si>
  <si>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</si>
  <si>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</si>
  <si>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</si>
  <si>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</si>
  <si>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</si>
  <si>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</si>
  <si>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</si>
  <si>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</si>
  <si>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</si>
  <si>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</si>
  <si>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</si>
  <si>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</si>
  <si>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</si>
  <si>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</si>
  <si>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</si>
  <si>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</si>
  <si>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</si>
  <si>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</si>
  <si>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</si>
  <si>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</si>
  <si>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</si>
  <si>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</si>
  <si>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</si>
  <si>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</si>
  <si>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</si>
  <si>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</si>
  <si>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</si>
  <si>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</si>
  <si>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</si>
  <si>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Light-Duty Vehicle Sales: Total Sales, Cars and Light Trucks: Conventional Gasoline: Alternative Transportation</t>
  </si>
  <si>
    <t>AEO.2025.ALTTRNP.ECI_SAL_TRN_LDTY_CVG_NA_NA_TH.A</t>
  </si>
  <si>
    <t>Light-Duty Vehicle Sales: Total Sales, Cars and Light Trucks: TDI Diesel: Alternative Transportation</t>
  </si>
  <si>
    <t>AEO.2025.ALTTRNP.ECI_SAL_TRN_LDTY_TDS_NA_NA_TH.A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</si>
  <si>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</si>
  <si>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</si>
  <si>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</si>
  <si>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</si>
  <si>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Light-Duty Vehicle Sales: Total Sales, Cars and Light Trucks: Plug-in Electric Hybrid: Alternative Transportation</t>
  </si>
  <si>
    <t>AEO.2025.ALTTRNP.ECI_SAL_TRN_LDTY_PIE_NA_NA_TH.A</t>
  </si>
  <si>
    <t>Light-Duty Vehicle Sales: Total Sales, Cars and Light Trucks: Electric Hybrid: Alternative Transportation</t>
  </si>
  <si>
    <t>AEO.2025.ALTTRNP.ECI_SAL_TRN_LDTY_EHY_NA_NA_TH.A</t>
  </si>
  <si>
    <t>Light-Duty Vehicle Sales: Total Sales, Cars and Light Trucks: Gaseous: Alternative Transportation</t>
  </si>
  <si>
    <t>AEO.2025.ALTTRNP.ECI_SAL_TRN_LDTY_GSU_NA_NA_TH.A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</si>
  <si>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</si>
  <si>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</si>
  <si>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</si>
  <si>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</si>
  <si>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</si>
  <si>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</si>
  <si>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</si>
  <si>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</si>
  <si>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</si>
  <si>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</si>
  <si>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</si>
  <si>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</si>
  <si>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</si>
  <si>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passenger LDV sales</t>
  </si>
  <si>
    <t>manufacturing capacity assumptions</t>
  </si>
  <si>
    <t>EV manufacturing capacity</t>
  </si>
  <si>
    <t>share of domestic demand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</si>
  <si>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</si>
  <si>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</si>
  <si>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</si>
  <si>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</si>
  <si>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</si>
  <si>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For more on this, see the "Unmodified Logit" equation description at: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</si>
  <si>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</si>
  <si>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</si>
  <si>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</si>
  <si>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</si>
  <si>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 xml:space="preserve">The 2024/2025 shareweights are slightly less than 10%, which we can roughly </t>
  </si>
  <si>
    <t>correlate to current domestic EV manufacturing capacity (about 1.5 million</t>
  </si>
  <si>
    <t>vehicles per year, compared to domestic demand of about 15 million vehicles).</t>
  </si>
  <si>
    <t>Based on a literature survey on expected growth in manufacturing capacity,</t>
  </si>
  <si>
    <t>or about 30% of demand. We find that setting the growth in the shareweights</t>
  </si>
  <si>
    <t xml:space="preserve">of about 0.4 in 2035, aligning with the growth in manufacturing capacity. </t>
  </si>
  <si>
    <t>a mid-range estimate of capacity by 2035 could be roughly 6 million vehicles,</t>
  </si>
  <si>
    <t>for passenger LDV BEVs to a s-curve that reaches 0.7 by 2050 results in a shareweight</t>
  </si>
  <si>
    <t>We set the growth in PHEV shareweights to the same annual increases as</t>
  </si>
  <si>
    <t>BEVs. ICE vehicles use constant shareweights.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</si>
  <si>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</si>
  <si>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</si>
  <si>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</si>
  <si>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</si>
  <si>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</si>
  <si>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</si>
  <si>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2024 and 2025 shareweights for onroad vehicle types copied/pasted from the Python solver outputs, explained on the About page</t>
  </si>
  <si>
    <t>s-curve</t>
  </si>
  <si>
    <t>Sigmoidal Curve Values for battery electric/PHEV passenger HDV and freight LDV Technologies</t>
  </si>
  <si>
    <t>Sigmoidal Curve Values for battery electric freight HDV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</si>
</sst>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0" fontId="0" fillId="0" borderId="0" xfId="0" applyNumberFormat="1"/>
    <xf numFmtId="0" fontId="6" fillId="0" borderId="0" xfId="8" applyAlignment="1"/>
    <xf numFmtId="9" fontId="0" fillId="0" borderId="0" xfId="10" applyFont="1"/>
    <xf numFmtId="164" fontId="5" fillId="0" borderId="0" xfId="0" applyNumberFormat="1" applyFont="1"/>
    <xf numFmtId="166" fontId="0" fillId="0" borderId="0" xfId="0" applyNumberFormat="1"/>
    <xf numFmtId="0" fontId="0" fillId="0" borderId="0" xfId="0" applyAlignment="1">
      <alignment wrapText="1"/>
    </xf>
    <xf numFmtId="0" fontId="1" fillId="35" borderId="0" xfId="0" applyFont="1" applyFill="1" applyAlignment="1">
      <alignment horizontal="center" wrapText="1"/>
    </xf>
    <xf numFmtId="0" fontId="0" fillId="0" borderId="0" xfId="0" applyFill="1"/>
    <xf numFmtId="0" fontId="1" fillId="0" borderId="0" xfId="0" applyFont="1" applyFill="1" applyAlignment="1">
      <alignment horizontal="right" wrapText="1"/>
    </xf>
    <xf numFmtId="0" fontId="8" fillId="0" borderId="0" xfId="0" applyFont="1" applyFill="1" applyAlignment="1">
      <alignment horizontal="right" wrapText="1"/>
    </xf>
    <xf numFmtId="0" fontId="0" fillId="0" borderId="0" xfId="0" applyFill="1" applyAlignment="1">
      <alignment horizontal="right"/>
    </xf>
    <xf numFmtId="0" fontId="0" fillId="0" borderId="0" xfId="0" applyFill="1" applyBorder="1" applyAlignment="1">
      <alignment horizontal="right"/>
    </xf>
    <xf numFmtId="17" fontId="0" fillId="0" borderId="0" xfId="0" applyNumberFormat="1"/>
    <xf numFmtId="0" fontId="0" fillId="0" borderId="0" xfId="0" applyNumberFormat="1"/>
    <xf numFmtId="0" fontId="0" fillId="35" borderId="0" xfId="0" applyNumberFormat="1" applyFill="1"/>
    <xf numFmtId="0" fontId="1" fillId="3" borderId="0" xfId="0" applyNumberFormat="1" applyFont="1" applyFill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"/>
  <sheetViews>
    <sheetView workbookViewId="0">
      <selection activeCell="A24" sqref="A24:XFD28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74</v>
      </c>
    </row>
    <row r="3" spans="1:2" x14ac:dyDescent="0.25">
      <c r="A3" s="1" t="s">
        <v>0</v>
      </c>
      <c r="B3" s="9" t="s">
        <v>215</v>
      </c>
    </row>
    <row r="4" spans="1:2" x14ac:dyDescent="0.25">
      <c r="A4" s="1"/>
      <c r="B4" t="s">
        <v>216</v>
      </c>
    </row>
    <row r="5" spans="1:2" x14ac:dyDescent="0.25">
      <c r="A5" s="1"/>
      <c r="B5" t="s">
        <v>217</v>
      </c>
    </row>
    <row r="6" spans="1:2" x14ac:dyDescent="0.25">
      <c r="A6" s="1"/>
      <c r="B6" t="s">
        <v>218</v>
      </c>
    </row>
    <row r="7" spans="1:2" x14ac:dyDescent="0.25">
      <c r="A7" s="1"/>
      <c r="B7" t="s">
        <v>219</v>
      </c>
    </row>
    <row r="9" spans="1:2" x14ac:dyDescent="0.25">
      <c r="A9" s="1" t="s">
        <v>6</v>
      </c>
    </row>
    <row r="10" spans="1:2" x14ac:dyDescent="0.25">
      <c r="A10" t="s">
        <v>75</v>
      </c>
    </row>
    <row r="11" spans="1:2" x14ac:dyDescent="0.25">
      <c r="A11" t="s">
        <v>76</v>
      </c>
    </row>
    <row r="12" spans="1:2" x14ac:dyDescent="0.25">
      <c r="A12" t="s">
        <v>220</v>
      </c>
    </row>
    <row r="13" spans="1:2" x14ac:dyDescent="0.25">
      <c r="A13" s="24" t="s">
        <v>77</v>
      </c>
    </row>
    <row r="14" spans="1:2" x14ac:dyDescent="0.25">
      <c r="A14" s="1"/>
    </row>
    <row r="15" spans="1:2" x14ac:dyDescent="0.25">
      <c r="A15" t="s">
        <v>7</v>
      </c>
    </row>
    <row r="16" spans="1:2" x14ac:dyDescent="0.25">
      <c r="A16" t="s">
        <v>8</v>
      </c>
    </row>
    <row r="18" spans="1:2" x14ac:dyDescent="0.25">
      <c r="A18" t="s">
        <v>235</v>
      </c>
    </row>
    <row r="19" spans="1:2" x14ac:dyDescent="0.25">
      <c r="A19" t="s">
        <v>236</v>
      </c>
    </row>
    <row r="20" spans="1:2" x14ac:dyDescent="0.25">
      <c r="A20" t="s">
        <v>237</v>
      </c>
    </row>
    <row r="21" spans="1:2" x14ac:dyDescent="0.25">
      <c r="A21" t="s">
        <v>238</v>
      </c>
    </row>
    <row r="22" spans="1:2" x14ac:dyDescent="0.25">
      <c r="A22" t="s">
        <v>239</v>
      </c>
    </row>
    <row r="23" spans="1:2" x14ac:dyDescent="0.25">
      <c r="A23" t="s">
        <v>240</v>
      </c>
    </row>
    <row r="25" spans="1:2" x14ac:dyDescent="0.25">
      <c r="A25" s="9" t="s">
        <v>22</v>
      </c>
      <c r="B25" s="10"/>
    </row>
    <row r="27" spans="1:2" x14ac:dyDescent="0.25">
      <c r="B27" s="1" t="s">
        <v>221</v>
      </c>
    </row>
    <row r="28" spans="1:2" x14ac:dyDescent="0.25">
      <c r="B28" t="s">
        <v>222</v>
      </c>
    </row>
    <row r="29" spans="1:2" x14ac:dyDescent="0.25">
      <c r="B29" t="s">
        <v>223</v>
      </c>
    </row>
    <row r="30" spans="1:2" x14ac:dyDescent="0.25">
      <c r="B30" t="s">
        <v>224</v>
      </c>
    </row>
    <row r="31" spans="1:2" x14ac:dyDescent="0.25">
      <c r="B31" t="s">
        <v>225</v>
      </c>
    </row>
    <row r="32" spans="1:2" x14ac:dyDescent="0.25">
      <c r="B32" t="s">
        <v>226</v>
      </c>
    </row>
    <row r="33" spans="2:2" x14ac:dyDescent="0.25">
      <c r="B33" t="s">
        <v>227</v>
      </c>
    </row>
    <row r="34" spans="2:2" x14ac:dyDescent="0.25">
      <c r="B34" t="s">
        <v>228</v>
      </c>
    </row>
    <row r="35" spans="2:2" x14ac:dyDescent="0.25">
      <c r="B35" t="s">
        <v>231</v>
      </c>
    </row>
    <row r="36" spans="2:2" x14ac:dyDescent="0.25">
      <c r="B36" t="s">
        <v>229</v>
      </c>
    </row>
    <row r="37" spans="2:2" x14ac:dyDescent="0.25">
      <c r="B37" t="s">
        <v>232</v>
      </c>
    </row>
    <row r="38" spans="2:2" x14ac:dyDescent="0.25">
      <c r="B38" t="s">
        <v>230</v>
      </c>
    </row>
    <row r="39" spans="2:2" x14ac:dyDescent="0.25">
      <c r="B39" t="s">
        <v>233</v>
      </c>
    </row>
    <row r="40" spans="2:2" x14ac:dyDescent="0.25">
      <c r="B40" t="s">
        <v>234</v>
      </c>
    </row>
    <row r="45" spans="2:2" x14ac:dyDescent="0.25">
      <c r="B45" s="1"/>
    </row>
    <row r="51" spans="2:2" x14ac:dyDescent="0.25">
      <c r="B51" s="1"/>
    </row>
  </sheetData>
  <hyperlinks>
    <hyperlink ref="A13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</v>
      </c>
      <c r="H1" t="s">
        <v>34</v>
      </c>
    </row>
    <row r="2" spans="1:10" x14ac:dyDescent="0.2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9"/>
    </row>
    <row r="4" spans="1:10" x14ac:dyDescent="0.2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838DD-2A40-4094-BDED-2341A398F388}">
  <dimension ref="A1:AD6"/>
  <sheetViews>
    <sheetView workbookViewId="0">
      <selection activeCell="B7" sqref="B7"/>
    </sheetView>
  </sheetViews>
  <sheetFormatPr defaultRowHeight="15" x14ac:dyDescent="0.25"/>
  <cols>
    <col min="1" max="1" width="33.140625" customWidth="1"/>
    <col min="2" max="2" width="10.85546875" bestFit="1" customWidth="1"/>
  </cols>
  <sheetData>
    <row r="1" spans="1:30" x14ac:dyDescent="0.2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0" x14ac:dyDescent="0.25">
      <c r="A2" s="1" t="s">
        <v>211</v>
      </c>
      <c r="B2" s="3">
        <f>'AEO Table 38'!F64*1000</f>
        <v>15153429.688000001</v>
      </c>
      <c r="C2" s="3">
        <f>'AEO Table 38'!G64*1000</f>
        <v>15455872.07</v>
      </c>
      <c r="D2" s="3">
        <f>'AEO Table 38'!H64*1000</f>
        <v>16087580.078000002</v>
      </c>
      <c r="E2" s="3">
        <f>'AEO Table 38'!I64*1000</f>
        <v>16167304.688000001</v>
      </c>
      <c r="F2" s="3">
        <f>'AEO Table 38'!J64*1000</f>
        <v>15661874.023</v>
      </c>
      <c r="G2" s="3">
        <f>'AEO Table 38'!K64*1000</f>
        <v>15410783.203000002</v>
      </c>
      <c r="H2" s="3">
        <f>'AEO Table 38'!L64*1000</f>
        <v>15199616.211000001</v>
      </c>
      <c r="I2" s="3">
        <f>'AEO Table 38'!M64*1000</f>
        <v>14843441.405999999</v>
      </c>
      <c r="J2" s="3">
        <f>'AEO Table 38'!N64*1000</f>
        <v>14691375.977</v>
      </c>
      <c r="K2" s="3">
        <f>'AEO Table 38'!O64*1000</f>
        <v>14720266.602</v>
      </c>
      <c r="L2" s="3">
        <f>'AEO Table 38'!P64*1000</f>
        <v>14786203.125</v>
      </c>
      <c r="M2" s="3">
        <f>'AEO Table 38'!Q64*1000</f>
        <v>14774537.109000001</v>
      </c>
      <c r="N2" s="3">
        <f>'AEO Table 38'!R64*1000</f>
        <v>14758954.102</v>
      </c>
      <c r="O2" s="3">
        <f>'AEO Table 38'!S64*1000</f>
        <v>14749166.015999999</v>
      </c>
      <c r="P2" s="3">
        <f>'AEO Table 38'!T64*1000</f>
        <v>14787875.977</v>
      </c>
      <c r="Q2" s="3">
        <f>'AEO Table 38'!U64*1000</f>
        <v>14847477.538999999</v>
      </c>
      <c r="R2" s="3">
        <f>'AEO Table 38'!V64*1000</f>
        <v>14856637.695</v>
      </c>
      <c r="S2" s="3">
        <f>'AEO Table 38'!W64*1000</f>
        <v>14802121.094000001</v>
      </c>
      <c r="T2" s="3">
        <f>'AEO Table 38'!X64*1000</f>
        <v>14746281.25</v>
      </c>
      <c r="U2" s="3">
        <f>'AEO Table 38'!Y64*1000</f>
        <v>14671773.438000001</v>
      </c>
      <c r="V2" s="3">
        <f>'AEO Table 38'!Z64*1000</f>
        <v>14624125</v>
      </c>
      <c r="W2" s="3">
        <f>'AEO Table 38'!AA64*1000</f>
        <v>14588690.43</v>
      </c>
      <c r="X2" s="3">
        <f>'AEO Table 38'!AB64*1000</f>
        <v>14512471.68</v>
      </c>
      <c r="Y2" s="3">
        <f>'AEO Table 38'!AC64*1000</f>
        <v>14438543.945</v>
      </c>
      <c r="Z2" s="3">
        <f>'AEO Table 38'!AD64*1000</f>
        <v>14303833.007999999</v>
      </c>
      <c r="AA2" s="3">
        <f>'AEO Table 38'!AE64*1000</f>
        <v>14195256.836000001</v>
      </c>
      <c r="AB2" s="3">
        <f>'AEO Table 38'!AF64*1000</f>
        <v>14124661.132999999</v>
      </c>
      <c r="AC2" s="3"/>
      <c r="AD2" s="3"/>
    </row>
    <row r="4" spans="1:30" ht="60" x14ac:dyDescent="0.25">
      <c r="A4" s="1" t="s">
        <v>212</v>
      </c>
      <c r="B4" s="28" t="s">
        <v>213</v>
      </c>
      <c r="C4" s="28" t="s">
        <v>214</v>
      </c>
    </row>
    <row r="5" spans="1:30" x14ac:dyDescent="0.25">
      <c r="A5">
        <v>2025</v>
      </c>
      <c r="B5">
        <f>1.5*10^6</f>
        <v>1500000</v>
      </c>
      <c r="C5" s="25">
        <f>B5/B2</f>
        <v>9.8987491999111582E-2</v>
      </c>
    </row>
    <row r="6" spans="1:30" x14ac:dyDescent="0.25">
      <c r="A6">
        <v>2035</v>
      </c>
      <c r="B6">
        <f>6*10^6</f>
        <v>6000000</v>
      </c>
      <c r="C6" s="25">
        <f>B6/M2</f>
        <v>0.40610409353163845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E7F1-7350-46C1-9BF2-2656C5A026AD}">
  <dimension ref="A1:AG67"/>
  <sheetViews>
    <sheetView topLeftCell="A40" workbookViewId="0">
      <selection activeCell="C11" sqref="C11"/>
    </sheetView>
  </sheetViews>
  <sheetFormatPr defaultRowHeight="15" x14ac:dyDescent="0.25"/>
  <cols>
    <col min="1" max="1" width="31.42578125" customWidth="1"/>
  </cols>
  <sheetData>
    <row r="1" spans="1:33" x14ac:dyDescent="0.25">
      <c r="A1" t="s">
        <v>86</v>
      </c>
    </row>
    <row r="2" spans="1:33" x14ac:dyDescent="0.25">
      <c r="A2" t="s">
        <v>87</v>
      </c>
    </row>
    <row r="3" spans="1:33" x14ac:dyDescent="0.25">
      <c r="A3" t="s">
        <v>88</v>
      </c>
    </row>
    <row r="4" spans="1:33" x14ac:dyDescent="0.25">
      <c r="A4" t="s">
        <v>40</v>
      </c>
    </row>
    <row r="5" spans="1:33" x14ac:dyDescent="0.25">
      <c r="B5" t="s">
        <v>41</v>
      </c>
      <c r="C5" t="s">
        <v>42</v>
      </c>
      <c r="D5" t="s">
        <v>43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85</v>
      </c>
    </row>
    <row r="6" spans="1:33" x14ac:dyDescent="0.25">
      <c r="A6" t="s">
        <v>89</v>
      </c>
    </row>
    <row r="7" spans="1:33" x14ac:dyDescent="0.25">
      <c r="A7" t="s">
        <v>44</v>
      </c>
    </row>
    <row r="8" spans="1:33" x14ac:dyDescent="0.25">
      <c r="A8" t="s">
        <v>45</v>
      </c>
      <c r="B8" t="s">
        <v>90</v>
      </c>
      <c r="C8" t="s">
        <v>91</v>
      </c>
      <c r="D8" t="s">
        <v>46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23">
        <v>-2.8000000000000001E-2</v>
      </c>
    </row>
    <row r="9" spans="1:33" x14ac:dyDescent="0.25">
      <c r="A9" t="s">
        <v>47</v>
      </c>
      <c r="B9" t="s">
        <v>92</v>
      </c>
      <c r="C9" t="s">
        <v>93</v>
      </c>
      <c r="D9" t="s">
        <v>46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25">
      <c r="A10" t="s">
        <v>48</v>
      </c>
      <c r="B10" t="s">
        <v>94</v>
      </c>
      <c r="C10" t="s">
        <v>95</v>
      </c>
      <c r="D10" t="s">
        <v>46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23">
        <v>-2.8000000000000001E-2</v>
      </c>
    </row>
    <row r="11" spans="1:33" x14ac:dyDescent="0.25">
      <c r="A11" t="s">
        <v>49</v>
      </c>
    </row>
    <row r="12" spans="1:33" x14ac:dyDescent="0.25">
      <c r="A12" t="s">
        <v>50</v>
      </c>
      <c r="B12" t="s">
        <v>96</v>
      </c>
      <c r="C12" t="s">
        <v>97</v>
      </c>
      <c r="D12" t="s">
        <v>46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23">
        <v>-4.5999999999999999E-2</v>
      </c>
    </row>
    <row r="13" spans="1:33" x14ac:dyDescent="0.25">
      <c r="A13" t="s">
        <v>84</v>
      </c>
      <c r="B13" t="s">
        <v>98</v>
      </c>
      <c r="C13" t="s">
        <v>99</v>
      </c>
      <c r="D13" t="s">
        <v>46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23">
        <v>1.0999999999999999E-2</v>
      </c>
    </row>
    <row r="14" spans="1:33" x14ac:dyDescent="0.25">
      <c r="A14" t="s">
        <v>83</v>
      </c>
      <c r="B14" t="s">
        <v>100</v>
      </c>
      <c r="C14" t="s">
        <v>101</v>
      </c>
      <c r="D14" t="s">
        <v>46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23">
        <v>7.0999999999999994E-2</v>
      </c>
    </row>
    <row r="15" spans="1:33" x14ac:dyDescent="0.25">
      <c r="A15" t="s">
        <v>82</v>
      </c>
      <c r="B15" t="s">
        <v>102</v>
      </c>
      <c r="C15" t="s">
        <v>103</v>
      </c>
      <c r="D15" t="s">
        <v>46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23">
        <v>2.5000000000000001E-2</v>
      </c>
    </row>
    <row r="16" spans="1:33" x14ac:dyDescent="0.25">
      <c r="A16" t="s">
        <v>81</v>
      </c>
      <c r="B16" t="s">
        <v>104</v>
      </c>
      <c r="C16" t="s">
        <v>105</v>
      </c>
      <c r="D16" t="s">
        <v>46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23">
        <v>2.3E-2</v>
      </c>
    </row>
    <row r="17" spans="1:33" x14ac:dyDescent="0.25">
      <c r="A17" t="s">
        <v>80</v>
      </c>
      <c r="B17" t="s">
        <v>106</v>
      </c>
      <c r="C17" t="s">
        <v>107</v>
      </c>
      <c r="D17" t="s">
        <v>46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23">
        <v>0.03</v>
      </c>
    </row>
    <row r="18" spans="1:33" x14ac:dyDescent="0.25">
      <c r="A18" t="s">
        <v>51</v>
      </c>
      <c r="B18" t="s">
        <v>108</v>
      </c>
      <c r="C18" t="s">
        <v>109</v>
      </c>
      <c r="D18" t="s">
        <v>46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25">
      <c r="A19" t="s">
        <v>52</v>
      </c>
      <c r="B19" t="s">
        <v>110</v>
      </c>
      <c r="C19" t="s">
        <v>111</v>
      </c>
      <c r="D19" t="s">
        <v>46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23">
        <v>1.7999999999999999E-2</v>
      </c>
    </row>
    <row r="20" spans="1:33" x14ac:dyDescent="0.25">
      <c r="A20" t="s">
        <v>53</v>
      </c>
      <c r="B20" t="s">
        <v>112</v>
      </c>
      <c r="C20" t="s">
        <v>113</v>
      </c>
      <c r="D20" t="s">
        <v>46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21</v>
      </c>
    </row>
    <row r="21" spans="1:33" x14ac:dyDescent="0.25">
      <c r="A21" t="s">
        <v>54</v>
      </c>
      <c r="B21" t="s">
        <v>114</v>
      </c>
      <c r="C21" t="s">
        <v>115</v>
      </c>
      <c r="D21" t="s">
        <v>46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21</v>
      </c>
    </row>
    <row r="22" spans="1:33" x14ac:dyDescent="0.25">
      <c r="A22" t="s">
        <v>55</v>
      </c>
      <c r="B22" t="s">
        <v>116</v>
      </c>
      <c r="C22" t="s">
        <v>117</v>
      </c>
      <c r="D22" t="s">
        <v>46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25">
      <c r="A23" t="s">
        <v>56</v>
      </c>
      <c r="B23" t="s">
        <v>116</v>
      </c>
      <c r="C23" t="s">
        <v>118</v>
      </c>
      <c r="D23" t="s">
        <v>46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25">
      <c r="A24" t="s">
        <v>57</v>
      </c>
      <c r="B24" t="s">
        <v>119</v>
      </c>
      <c r="C24" t="s">
        <v>120</v>
      </c>
      <c r="D24" t="s">
        <v>46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25">
      <c r="A25" t="s">
        <v>58</v>
      </c>
      <c r="B25" t="s">
        <v>121</v>
      </c>
      <c r="C25" t="s">
        <v>122</v>
      </c>
      <c r="D25" t="s">
        <v>46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23">
        <v>-3.7999999999999999E-2</v>
      </c>
    </row>
    <row r="26" spans="1:33" x14ac:dyDescent="0.25">
      <c r="A26" t="s">
        <v>59</v>
      </c>
      <c r="B26" t="s">
        <v>123</v>
      </c>
      <c r="C26" t="s">
        <v>124</v>
      </c>
      <c r="D26" t="s">
        <v>46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23">
        <v>3.1E-2</v>
      </c>
    </row>
    <row r="27" spans="1:33" x14ac:dyDescent="0.25">
      <c r="A27" t="s">
        <v>125</v>
      </c>
      <c r="B27" t="s">
        <v>126</v>
      </c>
      <c r="C27" t="s">
        <v>127</v>
      </c>
      <c r="D27" t="s">
        <v>128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23">
        <v>3.2000000000000001E-2</v>
      </c>
    </row>
    <row r="28" spans="1:33" x14ac:dyDescent="0.25">
      <c r="A28" t="s">
        <v>129</v>
      </c>
      <c r="B28" t="s">
        <v>130</v>
      </c>
      <c r="C28" t="s">
        <v>131</v>
      </c>
      <c r="D28" t="s">
        <v>46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23">
        <v>-1E-3</v>
      </c>
    </row>
    <row r="29" spans="1:33" x14ac:dyDescent="0.25">
      <c r="A29" t="s">
        <v>132</v>
      </c>
    </row>
    <row r="30" spans="1:33" x14ac:dyDescent="0.25">
      <c r="A30" t="s">
        <v>60</v>
      </c>
    </row>
    <row r="31" spans="1:33" x14ac:dyDescent="0.25">
      <c r="A31" t="s">
        <v>45</v>
      </c>
      <c r="B31" t="s">
        <v>133</v>
      </c>
      <c r="C31" t="s">
        <v>134</v>
      </c>
      <c r="D31" t="s">
        <v>46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23">
        <v>-1.7999999999999999E-2</v>
      </c>
    </row>
    <row r="32" spans="1:33" x14ac:dyDescent="0.25">
      <c r="A32" t="s">
        <v>47</v>
      </c>
      <c r="B32" t="s">
        <v>135</v>
      </c>
      <c r="C32" t="s">
        <v>136</v>
      </c>
      <c r="D32" t="s">
        <v>46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23">
        <v>-0.02</v>
      </c>
    </row>
    <row r="33" spans="1:33" x14ac:dyDescent="0.25">
      <c r="A33" t="s">
        <v>61</v>
      </c>
      <c r="B33" t="s">
        <v>137</v>
      </c>
      <c r="C33" t="s">
        <v>138</v>
      </c>
      <c r="D33" t="s">
        <v>46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23">
        <v>-1.7999999999999999E-2</v>
      </c>
    </row>
    <row r="34" spans="1:33" x14ac:dyDescent="0.25">
      <c r="A34" t="s">
        <v>62</v>
      </c>
    </row>
    <row r="35" spans="1:33" x14ac:dyDescent="0.25">
      <c r="A35" t="s">
        <v>50</v>
      </c>
      <c r="B35" t="s">
        <v>139</v>
      </c>
      <c r="C35" t="s">
        <v>140</v>
      </c>
      <c r="D35" t="s">
        <v>46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23">
        <v>-4.2999999999999997E-2</v>
      </c>
    </row>
    <row r="36" spans="1:33" x14ac:dyDescent="0.25">
      <c r="A36" t="s">
        <v>84</v>
      </c>
      <c r="B36" t="s">
        <v>141</v>
      </c>
      <c r="C36" t="s">
        <v>142</v>
      </c>
      <c r="D36" t="s">
        <v>46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25">
      <c r="A37" t="s">
        <v>83</v>
      </c>
      <c r="B37" t="s">
        <v>143</v>
      </c>
      <c r="C37" t="s">
        <v>144</v>
      </c>
      <c r="D37" t="s">
        <v>46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23">
        <v>6.0999999999999999E-2</v>
      </c>
    </row>
    <row r="38" spans="1:33" x14ac:dyDescent="0.25">
      <c r="A38" t="s">
        <v>82</v>
      </c>
      <c r="B38" t="s">
        <v>145</v>
      </c>
      <c r="C38" t="s">
        <v>146</v>
      </c>
      <c r="D38" t="s">
        <v>46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23">
        <v>5.8999999999999997E-2</v>
      </c>
    </row>
    <row r="39" spans="1:33" x14ac:dyDescent="0.25">
      <c r="A39" t="s">
        <v>81</v>
      </c>
      <c r="B39" t="s">
        <v>147</v>
      </c>
      <c r="C39" t="s">
        <v>148</v>
      </c>
      <c r="D39" t="s">
        <v>46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23">
        <v>2.7E-2</v>
      </c>
    </row>
    <row r="40" spans="1:33" x14ac:dyDescent="0.25">
      <c r="A40" t="s">
        <v>80</v>
      </c>
      <c r="B40" t="s">
        <v>149</v>
      </c>
      <c r="C40" t="s">
        <v>150</v>
      </c>
      <c r="D40" t="s">
        <v>46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23">
        <v>9.0999999999999998E-2</v>
      </c>
    </row>
    <row r="41" spans="1:33" x14ac:dyDescent="0.25">
      <c r="A41" t="s">
        <v>51</v>
      </c>
      <c r="B41" t="s">
        <v>151</v>
      </c>
      <c r="C41" t="s">
        <v>152</v>
      </c>
      <c r="D41" t="s">
        <v>46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</v>
      </c>
    </row>
    <row r="42" spans="1:33" x14ac:dyDescent="0.25">
      <c r="A42" t="s">
        <v>52</v>
      </c>
      <c r="B42" t="s">
        <v>153</v>
      </c>
      <c r="C42" t="s">
        <v>154</v>
      </c>
      <c r="D42" t="s">
        <v>46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23">
        <v>2.1000000000000001E-2</v>
      </c>
    </row>
    <row r="43" spans="1:33" x14ac:dyDescent="0.25">
      <c r="A43" t="s">
        <v>53</v>
      </c>
      <c r="B43" t="s">
        <v>155</v>
      </c>
      <c r="C43" t="s">
        <v>156</v>
      </c>
      <c r="D43" t="s">
        <v>46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25">
      <c r="A44" t="s">
        <v>54</v>
      </c>
      <c r="B44" t="s">
        <v>157</v>
      </c>
      <c r="C44" t="s">
        <v>158</v>
      </c>
      <c r="D44" t="s">
        <v>46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25">
      <c r="A45" t="s">
        <v>55</v>
      </c>
      <c r="B45" t="s">
        <v>159</v>
      </c>
      <c r="C45" t="s">
        <v>160</v>
      </c>
      <c r="D45" t="s">
        <v>46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21</v>
      </c>
    </row>
    <row r="46" spans="1:33" x14ac:dyDescent="0.25">
      <c r="A46" t="s">
        <v>56</v>
      </c>
      <c r="B46" t="s">
        <v>161</v>
      </c>
      <c r="C46" t="s">
        <v>162</v>
      </c>
      <c r="D46" t="s">
        <v>46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21</v>
      </c>
    </row>
    <row r="47" spans="1:33" x14ac:dyDescent="0.25">
      <c r="A47" t="s">
        <v>57</v>
      </c>
      <c r="B47" t="s">
        <v>163</v>
      </c>
      <c r="C47" t="s">
        <v>164</v>
      </c>
      <c r="D47" t="s">
        <v>46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25">
      <c r="A48" t="s">
        <v>58</v>
      </c>
      <c r="B48" t="s">
        <v>165</v>
      </c>
      <c r="C48" t="s">
        <v>166</v>
      </c>
      <c r="D48" t="s">
        <v>46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25">
      <c r="A49" t="s">
        <v>63</v>
      </c>
      <c r="B49" t="s">
        <v>167</v>
      </c>
      <c r="C49" t="s">
        <v>168</v>
      </c>
      <c r="D49" t="s">
        <v>46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23">
        <v>3.4000000000000002E-2</v>
      </c>
    </row>
    <row r="50" spans="1:33" x14ac:dyDescent="0.25">
      <c r="A50" t="s">
        <v>169</v>
      </c>
      <c r="B50" t="s">
        <v>170</v>
      </c>
      <c r="C50" t="s">
        <v>171</v>
      </c>
      <c r="D50" t="s">
        <v>128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23">
        <v>3.7999999999999999E-2</v>
      </c>
    </row>
    <row r="51" spans="1:33" x14ac:dyDescent="0.25">
      <c r="A51" t="s">
        <v>172</v>
      </c>
      <c r="B51" t="s">
        <v>173</v>
      </c>
      <c r="C51" t="s">
        <v>174</v>
      </c>
      <c r="D51" t="s">
        <v>46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23">
        <v>-4.0000000000000001E-3</v>
      </c>
    </row>
    <row r="52" spans="1:33" x14ac:dyDescent="0.25">
      <c r="A52" t="s">
        <v>175</v>
      </c>
      <c r="B52" t="s">
        <v>176</v>
      </c>
      <c r="C52" t="s">
        <v>177</v>
      </c>
      <c r="D52" t="s">
        <v>128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23">
        <v>3.5000000000000003E-2</v>
      </c>
    </row>
    <row r="53" spans="1:33" x14ac:dyDescent="0.25">
      <c r="A53" t="s">
        <v>178</v>
      </c>
      <c r="B53" t="s">
        <v>179</v>
      </c>
      <c r="C53" t="s">
        <v>180</v>
      </c>
      <c r="D53" t="s">
        <v>46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23">
        <v>3.2000000000000001E-2</v>
      </c>
    </row>
    <row r="54" spans="1:33" x14ac:dyDescent="0.25">
      <c r="A54" t="s">
        <v>181</v>
      </c>
      <c r="B54" t="s">
        <v>182</v>
      </c>
      <c r="C54" t="s">
        <v>183</v>
      </c>
      <c r="D54" t="s">
        <v>46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25">
      <c r="A55" t="s">
        <v>64</v>
      </c>
      <c r="B55" t="s">
        <v>65</v>
      </c>
    </row>
    <row r="56" spans="1:33" x14ac:dyDescent="0.25">
      <c r="A56" t="s">
        <v>66</v>
      </c>
      <c r="B56" t="s">
        <v>184</v>
      </c>
      <c r="C56" t="s">
        <v>185</v>
      </c>
      <c r="D56" t="s">
        <v>46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23">
        <v>-2.1999999999999999E-2</v>
      </c>
    </row>
    <row r="57" spans="1:33" x14ac:dyDescent="0.25">
      <c r="A57" t="s">
        <v>67</v>
      </c>
      <c r="B57" t="s">
        <v>186</v>
      </c>
      <c r="C57" t="s">
        <v>187</v>
      </c>
      <c r="D57" t="s">
        <v>46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23">
        <v>-0.02</v>
      </c>
    </row>
    <row r="58" spans="1:33" x14ac:dyDescent="0.25">
      <c r="A58" t="s">
        <v>68</v>
      </c>
      <c r="B58" t="s">
        <v>188</v>
      </c>
      <c r="C58" t="s">
        <v>189</v>
      </c>
      <c r="D58" t="s">
        <v>46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23">
        <v>-4.2999999999999997E-2</v>
      </c>
    </row>
    <row r="59" spans="1:33" x14ac:dyDescent="0.25">
      <c r="A59" t="s">
        <v>69</v>
      </c>
      <c r="B59" t="s">
        <v>190</v>
      </c>
      <c r="C59" t="s">
        <v>191</v>
      </c>
      <c r="D59" t="s">
        <v>46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23">
        <v>0.04</v>
      </c>
    </row>
    <row r="60" spans="1:33" x14ac:dyDescent="0.25">
      <c r="A60" t="s">
        <v>70</v>
      </c>
      <c r="B60" t="s">
        <v>192</v>
      </c>
      <c r="C60" t="s">
        <v>193</v>
      </c>
      <c r="D60" t="s">
        <v>46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23">
        <v>4.8000000000000001E-2</v>
      </c>
    </row>
    <row r="61" spans="1:33" x14ac:dyDescent="0.25">
      <c r="A61" t="s">
        <v>71</v>
      </c>
      <c r="B61" t="s">
        <v>194</v>
      </c>
      <c r="C61" t="s">
        <v>195</v>
      </c>
      <c r="D61" t="s">
        <v>46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23">
        <v>0.02</v>
      </c>
    </row>
    <row r="62" spans="1:33" x14ac:dyDescent="0.25">
      <c r="A62" t="s">
        <v>72</v>
      </c>
      <c r="B62" t="s">
        <v>196</v>
      </c>
      <c r="C62" t="s">
        <v>197</v>
      </c>
      <c r="D62" t="s">
        <v>46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21</v>
      </c>
    </row>
    <row r="63" spans="1:33" x14ac:dyDescent="0.25">
      <c r="A63" t="s">
        <v>73</v>
      </c>
      <c r="B63" t="s">
        <v>198</v>
      </c>
      <c r="C63" t="s">
        <v>199</v>
      </c>
      <c r="D63" t="s">
        <v>46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23">
        <v>-3.7999999999999999E-2</v>
      </c>
    </row>
    <row r="64" spans="1:33" x14ac:dyDescent="0.25">
      <c r="A64" t="s">
        <v>200</v>
      </c>
      <c r="B64" t="s">
        <v>201</v>
      </c>
      <c r="C64" t="s">
        <v>202</v>
      </c>
      <c r="D64" t="s">
        <v>46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23">
        <v>-3.0000000000000001E-3</v>
      </c>
    </row>
    <row r="65" spans="1:33" x14ac:dyDescent="0.25">
      <c r="A65" t="s">
        <v>203</v>
      </c>
      <c r="B65" t="s">
        <v>204</v>
      </c>
      <c r="C65" t="s">
        <v>205</v>
      </c>
      <c r="D65" t="s">
        <v>46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23">
        <v>-0.01</v>
      </c>
    </row>
    <row r="66" spans="1:33" x14ac:dyDescent="0.25">
      <c r="A66" t="s">
        <v>206</v>
      </c>
      <c r="B66" t="s">
        <v>207</v>
      </c>
      <c r="C66" t="s">
        <v>208</v>
      </c>
      <c r="D66" t="s">
        <v>46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23">
        <v>-1.9E-2</v>
      </c>
    </row>
    <row r="67" spans="1:33" x14ac:dyDescent="0.25">
      <c r="A67" t="s">
        <v>209</v>
      </c>
      <c r="B67" t="s">
        <v>210</v>
      </c>
      <c r="C67" t="s">
        <v>202</v>
      </c>
      <c r="D67" t="s">
        <v>46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23">
        <v>3.1E-2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F93"/>
  <sheetViews>
    <sheetView workbookViewId="0">
      <selection activeCell="J8" sqref="J8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8" width="13.140625" style="30" customWidth="1"/>
    <col min="9" max="10" width="8.28515625" style="30" customWidth="1"/>
    <col min="11" max="11" width="8.28515625" customWidth="1"/>
    <col min="12" max="12" width="9.140625" customWidth="1"/>
    <col min="13" max="16" width="12" bestFit="1" customWidth="1"/>
    <col min="17" max="17" width="11.140625" customWidth="1"/>
    <col min="18" max="58" width="12" bestFit="1" customWidth="1"/>
  </cols>
  <sheetData>
    <row r="1" spans="1:58" x14ac:dyDescent="0.25">
      <c r="A1" t="s">
        <v>27</v>
      </c>
      <c r="K1" s="11" t="s">
        <v>39</v>
      </c>
      <c r="L1" s="12"/>
      <c r="M1" s="13"/>
      <c r="N1" s="13"/>
      <c r="O1" s="13"/>
      <c r="Q1" s="11" t="s">
        <v>38</v>
      </c>
      <c r="R1" s="12"/>
      <c r="S1" s="13"/>
      <c r="T1" s="11" t="s">
        <v>244</v>
      </c>
      <c r="U1" s="12"/>
      <c r="W1" s="11" t="s">
        <v>79</v>
      </c>
      <c r="X1" s="12"/>
      <c r="Z1" s="11" t="s">
        <v>243</v>
      </c>
      <c r="AA1" s="12"/>
    </row>
    <row r="2" spans="1:58" x14ac:dyDescent="0.25">
      <c r="A2" t="s">
        <v>28</v>
      </c>
      <c r="K2" s="7" t="s">
        <v>23</v>
      </c>
      <c r="L2" s="14">
        <v>1</v>
      </c>
      <c r="Q2" s="7" t="s">
        <v>23</v>
      </c>
      <c r="R2" s="14">
        <v>1</v>
      </c>
      <c r="T2" s="7" t="s">
        <v>23</v>
      </c>
      <c r="U2" s="14">
        <v>1</v>
      </c>
      <c r="W2" s="7" t="s">
        <v>23</v>
      </c>
      <c r="X2" s="14">
        <v>1</v>
      </c>
      <c r="Z2" s="7" t="s">
        <v>23</v>
      </c>
      <c r="AA2" s="14">
        <v>1</v>
      </c>
    </row>
    <row r="3" spans="1:58" x14ac:dyDescent="0.25">
      <c r="A3" t="s">
        <v>29</v>
      </c>
      <c r="K3" s="7" t="s">
        <v>24</v>
      </c>
      <c r="L3" s="14">
        <v>-0.3</v>
      </c>
      <c r="Q3" s="7" t="s">
        <v>24</v>
      </c>
      <c r="R3" s="14">
        <v>-0.4</v>
      </c>
      <c r="T3" s="7" t="s">
        <v>24</v>
      </c>
      <c r="U3" s="14">
        <v>-0.4</v>
      </c>
      <c r="W3" s="7" t="s">
        <v>24</v>
      </c>
      <c r="X3" s="14">
        <v>-0.4</v>
      </c>
      <c r="Z3" s="7" t="s">
        <v>24</v>
      </c>
      <c r="AA3" s="14">
        <v>-0.4</v>
      </c>
    </row>
    <row r="4" spans="1:58" ht="15.75" thickBot="1" x14ac:dyDescent="0.3">
      <c r="A4" t="s">
        <v>30</v>
      </c>
      <c r="K4" s="8" t="s">
        <v>25</v>
      </c>
      <c r="L4" s="15">
        <v>-16</v>
      </c>
      <c r="Q4" s="8" t="s">
        <v>25</v>
      </c>
      <c r="R4" s="15">
        <v>-11</v>
      </c>
      <c r="T4" s="8" t="s">
        <v>25</v>
      </c>
      <c r="U4" s="15">
        <v>-11</v>
      </c>
      <c r="W4" s="8" t="s">
        <v>25</v>
      </c>
      <c r="X4" s="15">
        <v>-11</v>
      </c>
      <c r="Z4" s="8" t="s">
        <v>25</v>
      </c>
      <c r="AA4" s="15">
        <v>-11</v>
      </c>
    </row>
    <row r="5" spans="1:58" x14ac:dyDescent="0.25">
      <c r="A5" t="s">
        <v>31</v>
      </c>
    </row>
    <row r="6" spans="1:58" ht="30" x14ac:dyDescent="0.25">
      <c r="A6" s="9"/>
      <c r="B6" s="9"/>
      <c r="C6" s="9"/>
      <c r="D6" s="9"/>
      <c r="E6" s="2" t="s">
        <v>20</v>
      </c>
      <c r="F6" s="2" t="s">
        <v>20</v>
      </c>
      <c r="G6" s="2" t="s">
        <v>26</v>
      </c>
      <c r="H6" s="31"/>
      <c r="I6" s="31"/>
      <c r="J6" s="31"/>
      <c r="Q6" s="20"/>
      <c r="R6" s="17"/>
      <c r="U6" s="20"/>
    </row>
    <row r="7" spans="1:58" x14ac:dyDescent="0.25">
      <c r="A7" s="9"/>
      <c r="B7" s="9"/>
      <c r="C7" s="9" t="s">
        <v>78</v>
      </c>
      <c r="D7" s="9"/>
      <c r="E7" s="2">
        <v>2020</v>
      </c>
      <c r="F7" s="2">
        <v>2050</v>
      </c>
      <c r="G7" s="2"/>
      <c r="H7" s="31"/>
      <c r="I7" s="31"/>
      <c r="J7" s="31"/>
      <c r="Q7" s="20"/>
    </row>
    <row r="8" spans="1:58" ht="90" x14ac:dyDescent="0.25">
      <c r="A8" s="9"/>
      <c r="B8" s="9"/>
      <c r="C8" s="9"/>
      <c r="D8" s="29" t="s">
        <v>241</v>
      </c>
      <c r="E8" s="29"/>
      <c r="F8" s="22"/>
      <c r="G8" s="22" t="s">
        <v>37</v>
      </c>
      <c r="H8" s="32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</row>
    <row r="9" spans="1:58" x14ac:dyDescent="0.25">
      <c r="A9" s="9" t="s">
        <v>9</v>
      </c>
      <c r="B9" s="9" t="s">
        <v>10</v>
      </c>
      <c r="C9" s="9" t="s">
        <v>11</v>
      </c>
      <c r="D9" s="9">
        <v>2024</v>
      </c>
      <c r="E9" s="9">
        <v>2025</v>
      </c>
      <c r="F9" s="9">
        <v>2050</v>
      </c>
      <c r="G9" s="4"/>
      <c r="H9" s="33"/>
      <c r="I9" s="16">
        <v>2021</v>
      </c>
      <c r="J9" s="16">
        <v>2022</v>
      </c>
      <c r="K9" s="16">
        <v>2023</v>
      </c>
      <c r="L9" s="38">
        <v>2024</v>
      </c>
      <c r="M9" s="38">
        <f>E9</f>
        <v>2025</v>
      </c>
      <c r="N9" s="38">
        <f t="shared" ref="N9:AL9" si="0">M9+1</f>
        <v>2026</v>
      </c>
      <c r="O9" s="38">
        <f t="shared" si="0"/>
        <v>2027</v>
      </c>
      <c r="P9" s="38">
        <f t="shared" si="0"/>
        <v>2028</v>
      </c>
      <c r="Q9" s="38">
        <f t="shared" si="0"/>
        <v>2029</v>
      </c>
      <c r="R9" s="38">
        <f t="shared" si="0"/>
        <v>2030</v>
      </c>
      <c r="S9" s="38">
        <f t="shared" si="0"/>
        <v>2031</v>
      </c>
      <c r="T9" s="38">
        <f t="shared" si="0"/>
        <v>2032</v>
      </c>
      <c r="U9" s="38">
        <f t="shared" si="0"/>
        <v>2033</v>
      </c>
      <c r="V9" s="38">
        <f t="shared" si="0"/>
        <v>2034</v>
      </c>
      <c r="W9" s="38">
        <f t="shared" si="0"/>
        <v>2035</v>
      </c>
      <c r="X9" s="38">
        <f t="shared" si="0"/>
        <v>2036</v>
      </c>
      <c r="Y9" s="38">
        <f t="shared" si="0"/>
        <v>2037</v>
      </c>
      <c r="Z9" s="38">
        <f t="shared" si="0"/>
        <v>2038</v>
      </c>
      <c r="AA9" s="38">
        <f t="shared" si="0"/>
        <v>2039</v>
      </c>
      <c r="AB9" s="38">
        <f t="shared" si="0"/>
        <v>2040</v>
      </c>
      <c r="AC9" s="38">
        <f t="shared" si="0"/>
        <v>2041</v>
      </c>
      <c r="AD9" s="38">
        <f t="shared" si="0"/>
        <v>2042</v>
      </c>
      <c r="AE9" s="38">
        <f t="shared" si="0"/>
        <v>2043</v>
      </c>
      <c r="AF9" s="38">
        <f t="shared" si="0"/>
        <v>2044</v>
      </c>
      <c r="AG9" s="38">
        <f t="shared" si="0"/>
        <v>2045</v>
      </c>
      <c r="AH9" s="38">
        <f t="shared" si="0"/>
        <v>2046</v>
      </c>
      <c r="AI9" s="38">
        <f t="shared" si="0"/>
        <v>2047</v>
      </c>
      <c r="AJ9" s="38">
        <f t="shared" si="0"/>
        <v>2048</v>
      </c>
      <c r="AK9" s="38">
        <f t="shared" si="0"/>
        <v>2049</v>
      </c>
      <c r="AL9" s="38">
        <f t="shared" si="0"/>
        <v>2050</v>
      </c>
      <c r="AM9" s="38">
        <f t="shared" ref="AM9" si="1">AL9+1</f>
        <v>2051</v>
      </c>
      <c r="AN9" s="38">
        <f t="shared" ref="AN9" si="2">AM9+1</f>
        <v>2052</v>
      </c>
      <c r="AO9" s="38">
        <f t="shared" ref="AO9" si="3">AN9+1</f>
        <v>2053</v>
      </c>
      <c r="AP9" s="38">
        <f t="shared" ref="AP9" si="4">AO9+1</f>
        <v>2054</v>
      </c>
      <c r="AQ9" s="38">
        <f t="shared" ref="AQ9" si="5">AP9+1</f>
        <v>2055</v>
      </c>
      <c r="AR9" s="38">
        <f t="shared" ref="AR9" si="6">AQ9+1</f>
        <v>2056</v>
      </c>
      <c r="AS9" s="38">
        <f t="shared" ref="AS9" si="7">AR9+1</f>
        <v>2057</v>
      </c>
      <c r="AT9" s="38">
        <f t="shared" ref="AT9" si="8">AS9+1</f>
        <v>2058</v>
      </c>
      <c r="AU9" s="38">
        <f t="shared" ref="AU9" si="9">AT9+1</f>
        <v>2059</v>
      </c>
      <c r="AV9" s="38">
        <f t="shared" ref="AV9" si="10">AU9+1</f>
        <v>2060</v>
      </c>
      <c r="AW9" s="38">
        <f t="shared" ref="AW9" si="11">AV9+1</f>
        <v>2061</v>
      </c>
      <c r="AX9" s="38">
        <f t="shared" ref="AX9" si="12">AW9+1</f>
        <v>2062</v>
      </c>
      <c r="AY9" s="38">
        <f t="shared" ref="AY9" si="13">AX9+1</f>
        <v>2063</v>
      </c>
      <c r="AZ9" s="38">
        <f t="shared" ref="AZ9" si="14">AY9+1</f>
        <v>2064</v>
      </c>
      <c r="BA9" s="38">
        <f t="shared" ref="BA9" si="15">AZ9+1</f>
        <v>2065</v>
      </c>
      <c r="BB9" s="38">
        <f t="shared" ref="BB9" si="16">BA9+1</f>
        <v>2066</v>
      </c>
      <c r="BC9" s="38">
        <f t="shared" ref="BC9" si="17">BB9+1</f>
        <v>2067</v>
      </c>
      <c r="BD9" s="38">
        <f t="shared" ref="BD9" si="18">BC9+1</f>
        <v>2068</v>
      </c>
      <c r="BE9" s="38">
        <f t="shared" ref="BE9" si="19">BD9+1</f>
        <v>2069</v>
      </c>
      <c r="BF9" s="38">
        <f t="shared" ref="BF9" si="20">BE9+1</f>
        <v>2070</v>
      </c>
    </row>
    <row r="10" spans="1:58" x14ac:dyDescent="0.25">
      <c r="A10" t="s">
        <v>12</v>
      </c>
      <c r="B10" t="s">
        <v>19</v>
      </c>
      <c r="C10" t="s">
        <v>1</v>
      </c>
      <c r="D10">
        <v>0.05</v>
      </c>
      <c r="E10" s="17">
        <v>0.06</v>
      </c>
      <c r="F10">
        <v>0.7</v>
      </c>
      <c r="G10" s="5" t="str">
        <f>IF(E10=F10,"n/a",IF(OR(C10="battery electric vehicle",C10="natural gas vehicle",C10="plugin hybrid vehicle"),"s-curve","linear"))</f>
        <v>s-curve</v>
      </c>
      <c r="H10" s="33"/>
      <c r="I10">
        <f t="shared" ref="I10:J10" si="21">MAX(_xlfn.FORECAST.LINEAR(I$9,$L10:$P10,$L$9:$P$9),0)</f>
        <v>2.5142762036445276E-2</v>
      </c>
      <c r="J10">
        <f t="shared" si="21"/>
        <v>3.3858182143351456E-2</v>
      </c>
      <c r="K10">
        <f>MAX(_xlfn.FORECAST.LINEAR(K$9,$L10:$P10,$L$9:$P$9),0)</f>
        <v>4.2573602250257636E-2</v>
      </c>
      <c r="L10" s="36">
        <f>D10</f>
        <v>0.05</v>
      </c>
      <c r="M10" s="36">
        <f>E10</f>
        <v>0.06</v>
      </c>
      <c r="N10" s="36">
        <f>IF($G10="s-curve",$E10+($F10-$E10)*$R$2/(1+EXP($R$3*(COUNT($N$9:N$9)+$R$4))),TREND($E10:$F10,$E$9:$F$9,N$9))</f>
        <v>7.151117437573859E-2</v>
      </c>
      <c r="O10" s="36">
        <f>IF($G10="s-curve",$E10+($F10-$E10)*$R$2/(1+EXP($R$3*(COUNT($N$9:O$9)+$R$4))),TREND($E10:$F10,$E$9:$F$9,O$9))</f>
        <v>7.7022075889194144E-2</v>
      </c>
      <c r="P10" s="36">
        <f>IF($G10="s-curve",$E10+($F10-$E10)*$R$2/(1+EXP($R$3*(COUNT($N$9:P$9)+$R$4))),TREND($E10:$F10,$E$9:$F$9,P$9))</f>
        <v>8.5066062589929187E-2</v>
      </c>
      <c r="Q10" s="36">
        <f>IF($G10="s-curve",$E10+($F10-$E10)*$R$2/(1+EXP($R$3*(COUNT($N$9:Q$9)+$R$4))),TREND($E10:$F10,$E$9:$F$9,Q$9))</f>
        <v>9.6687472575275976E-2</v>
      </c>
      <c r="R10" s="36">
        <f>IF($G10="s-curve",$E10+($F10-$E10)*$R$2/(1+EXP($R$3*(COUNT($N$9:R$9)+$R$4))),TREND($E10:$F10,$E$9:$F$9,R$9))</f>
        <v>0.11323052575611028</v>
      </c>
      <c r="S10" s="36">
        <f>IF($G10="s-curve",$E10+($F10-$E10)*$R$2/(1+EXP($R$3*(COUNT($N$9:S$9)+$R$4))),TREND($E10:$F10,$E$9:$F$9,S$9))</f>
        <v>0.13628987009415522</v>
      </c>
      <c r="T10" s="36">
        <f>IF($G10="s-curve",$E10+($F10-$E10)*$R$2/(1+EXP($R$3*(COUNT($N$9:T$9)+$R$4))),TREND($E10:$F10,$E$9:$F$9,T$9))</f>
        <v>0.16750823351428831</v>
      </c>
      <c r="U10" s="36">
        <f>IF($G10="s-curve",$E10+($F10-$E10)*$R$2/(1+EXP($R$3*(COUNT($N$9:U$9)+$R$4))),TREND($E10:$F10,$E$9:$F$9,U$9))</f>
        <v>0.20814413856062866</v>
      </c>
      <c r="V10" s="36">
        <f>IF($G10="s-curve",$E10+($F10-$E10)*$R$2/(1+EXP($R$3*(COUNT($N$9:V$9)+$R$4))),TREND($E10:$F10,$E$9:$F$9,V$9))</f>
        <v>0.25841633207832798</v>
      </c>
      <c r="W10" s="36">
        <f>IF($G10="s-curve",$E10+($F10-$E10)*$R$2/(1+EXP($R$3*(COUNT($N$9:W$9)+$R$4))),TREND($E10:$F10,$E$9:$F$9,W$9))</f>
        <v>0.31683989752803066</v>
      </c>
      <c r="X10" s="36">
        <f>IF($G10="s-curve",$E10+($F10-$E10)*$R$2/(1+EXP($R$3*(COUNT($N$9:X$9)+$R$4))),TREND($E10:$F10,$E$9:$F$9,X$9))</f>
        <v>0.37999999999999995</v>
      </c>
      <c r="Y10" s="36">
        <f>IF($G10="s-curve",$E10+($F10-$E10)*$R$2/(1+EXP($R$3*(COUNT($N$9:Y$9)+$R$4))),TREND($E10:$F10,$E$9:$F$9,Y$9))</f>
        <v>0.44316010247196919</v>
      </c>
      <c r="Z10" s="36">
        <f>IF($G10="s-curve",$E10+($F10-$E10)*$R$2/(1+EXP($R$3*(COUNT($N$9:Z$9)+$R$4))),TREND($E10:$F10,$E$9:$F$9,Z$9))</f>
        <v>0.50158366792167186</v>
      </c>
      <c r="AA10" s="36">
        <f>IF($G10="s-curve",$E10+($F10-$E10)*$R$2/(1+EXP($R$3*(COUNT($N$9:AA$9)+$R$4))),TREND($E10:$F10,$E$9:$F$9,AA$9))</f>
        <v>0.55185586143937126</v>
      </c>
      <c r="AB10" s="36">
        <f>IF($G10="s-curve",$E10+($F10-$E10)*$R$2/(1+EXP($R$3*(COUNT($N$9:AB$9)+$R$4))),TREND($E10:$F10,$E$9:$F$9,AB$9))</f>
        <v>0.59249176648571167</v>
      </c>
      <c r="AC10" s="36">
        <f>IF($G10="s-curve",$E10+($F10-$E10)*$R$2/(1+EXP($R$3*(COUNT($N$9:AC$9)+$R$4))),TREND($E10:$F10,$E$9:$F$9,AC$9))</f>
        <v>0.62371012990584451</v>
      </c>
      <c r="AD10" s="36">
        <f>IF($G10="s-curve",$E10+($F10-$E10)*$R$2/(1+EXP($R$3*(COUNT($N$9:AD$9)+$R$4))),TREND($E10:$F10,$E$9:$F$9,AD$9))</f>
        <v>0.64676947424388964</v>
      </c>
      <c r="AE10" s="36">
        <f>IF($G10="s-curve",$E10+($F10-$E10)*$R$2/(1+EXP($R$3*(COUNT($N$9:AE$9)+$R$4))),TREND($E10:$F10,$E$9:$F$9,AE$9))</f>
        <v>0.66331252742472402</v>
      </c>
      <c r="AF10" s="36">
        <f>IF($G10="s-curve",$E10+($F10-$E10)*$R$2/(1+EXP($R$3*(COUNT($N$9:AF$9)+$R$4))),TREND($E10:$F10,$E$9:$F$9,AF$9))</f>
        <v>0.67493393741007068</v>
      </c>
      <c r="AG10" s="36">
        <f>IF($G10="s-curve",$E10+($F10-$E10)*$R$2/(1+EXP($R$3*(COUNT($N$9:AG$9)+$R$4))),TREND($E10:$F10,$E$9:$F$9,AG$9))</f>
        <v>0.6829779241108056</v>
      </c>
      <c r="AH10" s="36">
        <f>IF($G10="s-curve",$E10+($F10-$E10)*$R$2/(1+EXP($R$3*(COUNT($N$9:AH$9)+$R$4))),TREND($E10:$F10,$E$9:$F$9,AH$9))</f>
        <v>0.68848882562426117</v>
      </c>
      <c r="AI10" s="36">
        <f>IF($G10="s-curve",$E10+($F10-$E10)*$R$2/(1+EXP($R$3*(COUNT($N$9:AI$9)+$R$4))),TREND($E10:$F10,$E$9:$F$9,AI$9))</f>
        <v>0.69223780161006432</v>
      </c>
      <c r="AJ10" s="36">
        <f>IF($G10="s-curve",$E10+($F10-$E10)*$R$2/(1+EXP($R$3*(COUNT($N$9:AJ$9)+$R$4))),TREND($E10:$F10,$E$9:$F$9,AJ$9))</f>
        <v>0.6947759544619776</v>
      </c>
      <c r="AK10" s="36">
        <f>IF($G10="s-curve",$E10+($F10-$E10)*$R$2/(1+EXP($R$3*(COUNT($N$9:AK$9)+$R$4))),TREND($E10:$F10,$E$9:$F$9,AK$9))</f>
        <v>0.6964887687043515</v>
      </c>
      <c r="AL10" s="36">
        <f>IF($G10="s-curve",$E10+($F10-$E10)*$R$2/(1+EXP($R$3*(COUNT($N$9:AL$9)+$R$4))),TREND($E10:$F10,$E$9:$F$9,AL$9))</f>
        <v>0.69764208646436088</v>
      </c>
      <c r="AM10" s="36">
        <f>IF($G10="s-curve",$E10+($F10-$E10)*$R$2/(1+EXP($R$3*(COUNT($N$9:AM$9)+$R$4))),TREND($E10:$F10,$E$9:$F$9,AM$9))</f>
        <v>0.69841752117975364</v>
      </c>
      <c r="AN10" s="36">
        <f>IF($G10="s-curve",$E10+($F10-$E10)*$R$2/(1+EXP($R$3*(COUNT($N$9:AN$9)+$R$4))),TREND($E10:$F10,$E$9:$F$9,AN$9))</f>
        <v>0.69893836730868819</v>
      </c>
      <c r="AO10" s="36">
        <f>IF($G10="s-curve",$E10+($F10-$E10)*$R$2/(1+EXP($R$3*(COUNT($N$9:AO$9)+$R$4))),TREND($E10:$F10,$E$9:$F$9,AO$9))</f>
        <v>0.69928797693896927</v>
      </c>
      <c r="AP10" s="36">
        <f>IF($G10="s-curve",$E10+($F10-$E10)*$R$2/(1+EXP($R$3*(COUNT($N$9:AP$9)+$R$4))),TREND($E10:$F10,$E$9:$F$9,AP$9))</f>
        <v>0.69952254154634441</v>
      </c>
      <c r="AQ10" s="36">
        <f>IF($G10="s-curve",$E10+($F10-$E10)*$R$2/(1+EXP($R$3*(COUNT($N$9:AQ$9)+$R$4))),TREND($E10:$F10,$E$9:$F$9,AQ$9))</f>
        <v>0.69967987129146891</v>
      </c>
      <c r="AR10" s="36">
        <f>IF($G10="s-curve",$E10+($F10-$E10)*$R$2/(1+EXP($R$3*(COUNT($N$9:AR$9)+$R$4))),TREND($E10:$F10,$E$9:$F$9,AR$9))</f>
        <v>0.69978537591650136</v>
      </c>
      <c r="AS10" s="36">
        <f>IF($G10="s-curve",$E10+($F10-$E10)*$R$2/(1+EXP($R$3*(COUNT($N$9:AS$9)+$R$4))),TREND($E10:$F10,$E$9:$F$9,AS$9))</f>
        <v>0.69985611726705055</v>
      </c>
      <c r="AT10" s="36">
        <f>IF($G10="s-curve",$E10+($F10-$E10)*$R$2/(1+EXP($R$3*(COUNT($N$9:AT$9)+$R$4))),TREND($E10:$F10,$E$9:$F$9,AT$9))</f>
        <v>0.69990354537084176</v>
      </c>
      <c r="AU10" s="36">
        <f>IF($G10="s-curve",$E10+($F10-$E10)*$R$2/(1+EXP($R$3*(COUNT($N$9:AU$9)+$R$4))),TREND($E10:$F10,$E$9:$F$9,AU$9))</f>
        <v>0.69993534131589907</v>
      </c>
      <c r="AV10" s="36">
        <f>IF($G10="s-curve",$E10+($F10-$E10)*$R$2/(1+EXP($R$3*(COUNT($N$9:AV$9)+$R$4))),TREND($E10:$F10,$E$9:$F$9,AV$9))</f>
        <v>0.69995665654424322</v>
      </c>
      <c r="AW10" s="36">
        <f>IF($G10="s-curve",$E10+($F10-$E10)*$R$2/(1+EXP($R$3*(COUNT($N$9:AW$9)+$R$4))),TREND($E10:$F10,$E$9:$F$9,AW$9))</f>
        <v>0.69997094536403037</v>
      </c>
      <c r="AX10" s="36">
        <f>IF($G10="s-curve",$E10+($F10-$E10)*$R$2/(1+EXP($R$3*(COUNT($N$9:AX$9)+$R$4))),TREND($E10:$F10,$E$9:$F$9,AX$9))</f>
        <v>0.69998052380358344</v>
      </c>
      <c r="AY10" s="36">
        <f>IF($G10="s-curve",$E10+($F10-$E10)*$R$2/(1+EXP($R$3*(COUNT($N$9:AY$9)+$R$4))),TREND($E10:$F10,$E$9:$F$9,AY$9))</f>
        <v>0.69998694458414068</v>
      </c>
      <c r="AZ10" s="36">
        <f>IF($G10="s-curve",$E10+($F10-$E10)*$R$2/(1+EXP($R$3*(COUNT($N$9:AZ$9)+$R$4))),TREND($E10:$F10,$E$9:$F$9,AZ$9))</f>
        <v>0.69999124863418571</v>
      </c>
      <c r="BA10" s="36">
        <f>IF($G10="s-curve",$E10+($F10-$E10)*$R$2/(1+EXP($R$3*(COUNT($N$9:BA$9)+$R$4))),TREND($E10:$F10,$E$9:$F$9,BA$9))</f>
        <v>0.69999413375761921</v>
      </c>
      <c r="BB10" s="36">
        <f>IF($G10="s-curve",$E10+($F10-$E10)*$R$2/(1+EXP($R$3*(COUNT($N$9:BB$9)+$R$4))),TREND($E10:$F10,$E$9:$F$9,BB$9))</f>
        <v>0.6999960677282544</v>
      </c>
      <c r="BC10" s="36">
        <f>IF($G10="s-curve",$E10+($F10-$E10)*$R$2/(1+EXP($R$3*(COUNT($N$9:BC$9)+$R$4))),TREND($E10:$F10,$E$9:$F$9,BC$9))</f>
        <v>0.69999736411408309</v>
      </c>
      <c r="BD10" s="36">
        <f>IF($G10="s-curve",$E10+($F10-$E10)*$R$2/(1+EXP($R$3*(COUNT($N$9:BD$9)+$R$4))),TREND($E10:$F10,$E$9:$F$9,BD$9))</f>
        <v>0.69999823311043174</v>
      </c>
      <c r="BE10" s="36">
        <f>IF($G10="s-curve",$E10+($F10-$E10)*$R$2/(1+EXP($R$3*(COUNT($N$9:BE$9)+$R$4))),TREND($E10:$F10,$E$9:$F$9,BE$9))</f>
        <v>0.69999881561742527</v>
      </c>
      <c r="BF10" s="36">
        <f>IF($G10="s-curve",$E10+($F10-$E10)*$R$2/(1+EXP($R$3*(COUNT($N$9:BF$9)+$R$4))),TREND($E10:$F10,$E$9:$F$9,BF$9))</f>
        <v>0.69999920608413357</v>
      </c>
    </row>
    <row r="11" spans="1:58" x14ac:dyDescent="0.25">
      <c r="C11" t="s">
        <v>2</v>
      </c>
      <c r="D11">
        <v>1.0005073039100001E-4</v>
      </c>
      <c r="E11" s="17">
        <v>9.1114481822700006E-5</v>
      </c>
      <c r="F11" s="17">
        <f>E11</f>
        <v>9.1114481822700006E-5</v>
      </c>
      <c r="G11" s="5" t="str">
        <f>IF(E11=F11,"n/a",IF(OR(C11="battery electric vehicle",C11="natural gas vehicle",C11="plugin hybrid vehicle"),"s-curve","linear"))</f>
        <v>n/a</v>
      </c>
      <c r="H11" s="33"/>
      <c r="I11">
        <f t="shared" ref="I11:K74" si="22">MAX(_xlfn.FORECAST.LINEAR(I$9,$L11:$P11,$L$9:$P$9),0)</f>
        <v>9.1114481822700006E-5</v>
      </c>
      <c r="J11">
        <f t="shared" si="22"/>
        <v>9.1114481822700006E-5</v>
      </c>
      <c r="K11">
        <f t="shared" si="22"/>
        <v>9.1114481822700006E-5</v>
      </c>
      <c r="L11" s="36">
        <f t="shared" ref="L11:L40" si="23">E11</f>
        <v>9.1114481822700006E-5</v>
      </c>
      <c r="M11" s="36">
        <f>IF($G11="s-curve",$E11+($F11-$E11)*$L$2/(1+EXP($L$3*(COUNT($L$9:M$9)+$L$4))),TREND($E11:$F11,$E$9:$F$9,M$9))</f>
        <v>9.1114481822700006E-5</v>
      </c>
      <c r="N11" s="36">
        <f>IF($G11="s-curve",$E11+($F11-$E11)*$L$2/(1+EXP($L$3*(COUNT($L$9:N$9)+$L$4))),TREND($E11:$F11,$E$9:$F$9,N$9))</f>
        <v>9.1114481822700006E-5</v>
      </c>
      <c r="O11" s="36">
        <f>IF($G11="s-curve",$E11+($F11-$E11)*$L$2/(1+EXP($L$3*(COUNT($L$9:O$9)+$L$4))),TREND($E11:$F11,$E$9:$F$9,O$9))</f>
        <v>9.1114481822700006E-5</v>
      </c>
      <c r="P11" s="36">
        <f>IF($G11="s-curve",$E11+($F11-$E11)*$L$2/(1+EXP($L$3*(COUNT($L$9:P$9)+$L$4))),TREND($E11:$F11,$E$9:$F$9,P$9))</f>
        <v>9.1114481822700006E-5</v>
      </c>
      <c r="Q11" s="36">
        <f>IF($G11="s-curve",$E11+($F11-$E11)*$L$2/(1+EXP($L$3*(COUNT($L$9:Q$9)+$L$4))),TREND($E11:$F11,$E$9:$F$9,Q$9))</f>
        <v>9.1114481822700006E-5</v>
      </c>
      <c r="R11" s="36">
        <f>IF($G11="s-curve",$E11+($F11-$E11)*$L$2/(1+EXP($L$3*(COUNT($L$9:R$9)+$L$4))),TREND($E11:$F11,$E$9:$F$9,R$9))</f>
        <v>9.1114481822700006E-5</v>
      </c>
      <c r="S11" s="36">
        <f>IF($G11="s-curve",$E11+($F11-$E11)*$L$2/(1+EXP($L$3*(COUNT($L$9:S$9)+$L$4))),TREND($E11:$F11,$E$9:$F$9,S$9))</f>
        <v>9.1114481822700006E-5</v>
      </c>
      <c r="T11" s="36">
        <f>IF($G11="s-curve",$E11+($F11-$E11)*$L$2/(1+EXP($L$3*(COUNT($L$9:T$9)+$L$4))),TREND($E11:$F11,$E$9:$F$9,T$9))</f>
        <v>9.1114481822700006E-5</v>
      </c>
      <c r="U11" s="36">
        <f>IF($G11="s-curve",$E11+($F11-$E11)*$L$2/(1+EXP($L$3*(COUNT($L$9:U$9)+$L$4))),TREND($E11:$F11,$E$9:$F$9,U$9))</f>
        <v>9.1114481822700006E-5</v>
      </c>
      <c r="V11" s="36">
        <f>IF($G11="s-curve",$E11+($F11-$E11)*$L$2/(1+EXP($L$3*(COUNT($L$9:V$9)+$L$4))),TREND($E11:$F11,$E$9:$F$9,V$9))</f>
        <v>9.1114481822700006E-5</v>
      </c>
      <c r="W11" s="36">
        <f>IF($G11="s-curve",$E11+($F11-$E11)*$L$2/(1+EXP($L$3*(COUNT($L$9:W$9)+$L$4))),TREND($E11:$F11,$E$9:$F$9,W$9))</f>
        <v>9.1114481822700006E-5</v>
      </c>
      <c r="X11" s="36">
        <f>IF($G11="s-curve",$E11+($F11-$E11)*$L$2/(1+EXP($L$3*(COUNT($L$9:X$9)+$L$4))),TREND($E11:$F11,$E$9:$F$9,X$9))</f>
        <v>9.1114481822700006E-5</v>
      </c>
      <c r="Y11" s="36">
        <f>IF($G11="s-curve",$E11+($F11-$E11)*$L$2/(1+EXP($L$3*(COUNT($L$9:Y$9)+$L$4))),TREND($E11:$F11,$E$9:$F$9,Y$9))</f>
        <v>9.1114481822700006E-5</v>
      </c>
      <c r="Z11" s="36">
        <f>IF($G11="s-curve",$E11+($F11-$E11)*$L$2/(1+EXP($L$3*(COUNT($L$9:Z$9)+$L$4))),TREND($E11:$F11,$E$9:$F$9,Z$9))</f>
        <v>9.1114481822700006E-5</v>
      </c>
      <c r="AA11" s="36">
        <f>IF($G11="s-curve",$E11+($F11-$E11)*$L$2/(1+EXP($L$3*(COUNT($L$9:AA$9)+$L$4))),TREND($E11:$F11,$E$9:$F$9,AA$9))</f>
        <v>9.1114481822700006E-5</v>
      </c>
      <c r="AB11" s="36">
        <f>IF($G11="s-curve",$E11+($F11-$E11)*$L$2/(1+EXP($L$3*(COUNT($L$9:AB$9)+$L$4))),TREND($E11:$F11,$E$9:$F$9,AB$9))</f>
        <v>9.1114481822700006E-5</v>
      </c>
      <c r="AC11" s="36">
        <f>IF($G11="s-curve",$E11+($F11-$E11)*$L$2/(1+EXP($L$3*(COUNT($L$9:AC$9)+$L$4))),TREND($E11:$F11,$E$9:$F$9,AC$9))</f>
        <v>9.1114481822700006E-5</v>
      </c>
      <c r="AD11" s="36">
        <f>IF($G11="s-curve",$E11+($F11-$E11)*$L$2/(1+EXP($L$3*(COUNT($L$9:AD$9)+$L$4))),TREND($E11:$F11,$E$9:$F$9,AD$9))</f>
        <v>9.1114481822700006E-5</v>
      </c>
      <c r="AE11" s="36">
        <f>IF($G11="s-curve",$E11+($F11-$E11)*$L$2/(1+EXP($L$3*(COUNT($L$9:AE$9)+$L$4))),TREND($E11:$F11,$E$9:$F$9,AE$9))</f>
        <v>9.1114481822700006E-5</v>
      </c>
      <c r="AF11" s="36">
        <f>IF($G11="s-curve",$E11+($F11-$E11)*$L$2/(1+EXP($L$3*(COUNT($L$9:AF$9)+$L$4))),TREND($E11:$F11,$E$9:$F$9,AF$9))</f>
        <v>9.1114481822700006E-5</v>
      </c>
      <c r="AG11" s="36">
        <f>IF($G11="s-curve",$E11+($F11-$E11)*$L$2/(1+EXP($L$3*(COUNT($L$9:AG$9)+$L$4))),TREND($E11:$F11,$E$9:$F$9,AG$9))</f>
        <v>9.1114481822700006E-5</v>
      </c>
      <c r="AH11" s="36">
        <f>IF($G11="s-curve",$E11+($F11-$E11)*$L$2/(1+EXP($L$3*(COUNT($L$9:AH$9)+$L$4))),TREND($E11:$F11,$E$9:$F$9,AH$9))</f>
        <v>9.1114481822700006E-5</v>
      </c>
      <c r="AI11" s="36">
        <f>IF($G11="s-curve",$E11+($F11-$E11)*$L$2/(1+EXP($L$3*(COUNT($L$9:AI$9)+$L$4))),TREND($E11:$F11,$E$9:$F$9,AI$9))</f>
        <v>9.1114481822700006E-5</v>
      </c>
      <c r="AJ11" s="36">
        <f>IF($G11="s-curve",$E11+($F11-$E11)*$L$2/(1+EXP($L$3*(COUNT($L$9:AJ$9)+$L$4))),TREND($E11:$F11,$E$9:$F$9,AJ$9))</f>
        <v>9.1114481822700006E-5</v>
      </c>
      <c r="AK11" s="36">
        <f>IF($G11="s-curve",$E11+($F11-$E11)*$L$2/(1+EXP($L$3*(COUNT($L$9:AK$9)+$L$4))),TREND($E11:$F11,$E$9:$F$9,AK$9))</f>
        <v>9.1114481822700006E-5</v>
      </c>
      <c r="AL11" s="36">
        <f>IF($G11="s-curve",$E11+($F11-$E11)*$L$2/(1+EXP($L$3*(COUNT($L$9:AL$9)+$L$4))),TREND($E11:$F11,$E$9:$F$9,AL$9))</f>
        <v>9.1114481822700006E-5</v>
      </c>
      <c r="AM11" s="36">
        <f>IF($G11="s-curve",$E11+($F11-$E11)*$L$2/(1+EXP($L$3*(COUNT($L$9:AM$9)+$L$4))),TREND($E11:$F11,$E$9:$F$9,AM$9))</f>
        <v>9.1114481822700006E-5</v>
      </c>
      <c r="AN11" s="36">
        <f>IF($G11="s-curve",$E11+($F11-$E11)*$L$2/(1+EXP($L$3*(COUNT($L$9:AN$9)+$L$4))),TREND($E11:$F11,$E$9:$F$9,AN$9))</f>
        <v>9.1114481822700006E-5</v>
      </c>
      <c r="AO11" s="36">
        <f>IF($G11="s-curve",$E11+($F11-$E11)*$L$2/(1+EXP($L$3*(COUNT($L$9:AO$9)+$L$4))),TREND($E11:$F11,$E$9:$F$9,AO$9))</f>
        <v>9.1114481822700006E-5</v>
      </c>
      <c r="AP11" s="36">
        <f>IF($G11="s-curve",$E11+($F11-$E11)*$L$2/(1+EXP($L$3*(COUNT($L$9:AP$9)+$L$4))),TREND($E11:$F11,$E$9:$F$9,AP$9))</f>
        <v>9.1114481822700006E-5</v>
      </c>
      <c r="AQ11" s="36">
        <f>IF($G11="s-curve",$E11+($F11-$E11)*$L$2/(1+EXP($L$3*(COUNT($L$9:AQ$9)+$L$4))),TREND($E11:$F11,$E$9:$F$9,AQ$9))</f>
        <v>9.1114481822700006E-5</v>
      </c>
      <c r="AR11" s="36">
        <f>IF($G11="s-curve",$E11+($F11-$E11)*$L$2/(1+EXP($L$3*(COUNT($L$9:AR$9)+$L$4))),TREND($E11:$F11,$E$9:$F$9,AR$9))</f>
        <v>9.1114481822700006E-5</v>
      </c>
      <c r="AS11" s="36">
        <f>IF($G11="s-curve",$E11+($F11-$E11)*$L$2/(1+EXP($L$3*(COUNT($L$9:AS$9)+$L$4))),TREND($E11:$F11,$E$9:$F$9,AS$9))</f>
        <v>9.1114481822700006E-5</v>
      </c>
      <c r="AT11" s="36">
        <f>IF($G11="s-curve",$E11+($F11-$E11)*$L$2/(1+EXP($L$3*(COUNT($L$9:AT$9)+$L$4))),TREND($E11:$F11,$E$9:$F$9,AT$9))</f>
        <v>9.1114481822700006E-5</v>
      </c>
      <c r="AU11" s="36">
        <f>IF($G11="s-curve",$E11+($F11-$E11)*$L$2/(1+EXP($L$3*(COUNT($L$9:AU$9)+$L$4))),TREND($E11:$F11,$E$9:$F$9,AU$9))</f>
        <v>9.1114481822700006E-5</v>
      </c>
      <c r="AV11" s="36">
        <f>IF($G11="s-curve",$E11+($F11-$E11)*$L$2/(1+EXP($L$3*(COUNT($L$9:AV$9)+$L$4))),TREND($E11:$F11,$E$9:$F$9,AV$9))</f>
        <v>9.1114481822700006E-5</v>
      </c>
      <c r="AW11" s="36">
        <f>IF($G11="s-curve",$E11+($F11-$E11)*$L$2/(1+EXP($L$3*(COUNT($L$9:AW$9)+$L$4))),TREND($E11:$F11,$E$9:$F$9,AW$9))</f>
        <v>9.1114481822700006E-5</v>
      </c>
      <c r="AX11" s="36">
        <f>IF($G11="s-curve",$E11+($F11-$E11)*$L$2/(1+EXP($L$3*(COUNT($L$9:AX$9)+$L$4))),TREND($E11:$F11,$E$9:$F$9,AX$9))</f>
        <v>9.1114481822700006E-5</v>
      </c>
      <c r="AY11" s="36">
        <f>IF($G11="s-curve",$E11+($F11-$E11)*$L$2/(1+EXP($L$3*(COUNT($L$9:AY$9)+$L$4))),TREND($E11:$F11,$E$9:$F$9,AY$9))</f>
        <v>9.1114481822700006E-5</v>
      </c>
      <c r="AZ11" s="36">
        <f>IF($G11="s-curve",$E11+($F11-$E11)*$L$2/(1+EXP($L$3*(COUNT($L$9:AZ$9)+$L$4))),TREND($E11:$F11,$E$9:$F$9,AZ$9))</f>
        <v>9.1114481822700006E-5</v>
      </c>
      <c r="BA11" s="36">
        <f>IF($G11="s-curve",$E11+($F11-$E11)*$L$2/(1+EXP($L$3*(COUNT($L$9:BA$9)+$L$4))),TREND($E11:$F11,$E$9:$F$9,BA$9))</f>
        <v>9.1114481822700006E-5</v>
      </c>
      <c r="BB11" s="36">
        <f>IF($G11="s-curve",$E11+($F11-$E11)*$L$2/(1+EXP($L$3*(COUNT($L$9:BB$9)+$L$4))),TREND($E11:$F11,$E$9:$F$9,BB$9))</f>
        <v>9.1114481822700006E-5</v>
      </c>
      <c r="BC11" s="36">
        <f>IF($G11="s-curve",$E11+($F11-$E11)*$L$2/(1+EXP($L$3*(COUNT($L$9:BC$9)+$L$4))),TREND($E11:$F11,$E$9:$F$9,BC$9))</f>
        <v>9.1114481822700006E-5</v>
      </c>
      <c r="BD11" s="36">
        <f>IF($G11="s-curve",$E11+($F11-$E11)*$L$2/(1+EXP($L$3*(COUNT($L$9:BD$9)+$L$4))),TREND($E11:$F11,$E$9:$F$9,BD$9))</f>
        <v>9.1114481822700006E-5</v>
      </c>
      <c r="BE11" s="36">
        <f>IF($G11="s-curve",$E11+($F11-$E11)*$L$2/(1+EXP($L$3*(COUNT($L$9:BE$9)+$L$4))),TREND($E11:$F11,$E$9:$F$9,BE$9))</f>
        <v>9.1114481822700006E-5</v>
      </c>
      <c r="BF11" s="36">
        <f>IF($G11="s-curve",$E11+($F11-$E11)*$L$2/(1+EXP($L$3*(COUNT($L$9:BF$9)+$L$4))),TREND($E11:$F11,$E$9:$F$9,BF$9))</f>
        <v>9.1114481822700006E-5</v>
      </c>
    </row>
    <row r="12" spans="1:58" x14ac:dyDescent="0.25">
      <c r="C12" t="s">
        <v>3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H12" s="33"/>
      <c r="I12">
        <f t="shared" si="22"/>
        <v>1</v>
      </c>
      <c r="J12">
        <f t="shared" si="22"/>
        <v>1</v>
      </c>
      <c r="K12">
        <f t="shared" si="22"/>
        <v>1</v>
      </c>
      <c r="L12" s="36">
        <f t="shared" si="23"/>
        <v>1</v>
      </c>
      <c r="M12" s="36">
        <f>IF($G12="s-curve",$E12+($F12-$E12)*$L$2/(1+EXP($L$3*(COUNT($L$9:M$9)+$L$4))),TREND($E12:$F12,$E$9:$F$9,M$9))</f>
        <v>1</v>
      </c>
      <c r="N12" s="36">
        <f>IF($G12="s-curve",$E12+($F12-$E12)*$L$2/(1+EXP($L$3*(COUNT($L$9:N$9)+$L$4))),TREND($E12:$F12,$E$9:$F$9,N$9))</f>
        <v>1</v>
      </c>
      <c r="O12" s="36">
        <f>IF($G12="s-curve",$E12+($F12-$E12)*$L$2/(1+EXP($L$3*(COUNT($L$9:O$9)+$L$4))),TREND($E12:$F12,$E$9:$F$9,O$9))</f>
        <v>1</v>
      </c>
      <c r="P12" s="36">
        <f>IF($G12="s-curve",$E12+($F12-$E12)*$L$2/(1+EXP($L$3*(COUNT($L$9:P$9)+$L$4))),TREND($E12:$F12,$E$9:$F$9,P$9))</f>
        <v>1</v>
      </c>
      <c r="Q12" s="36">
        <f>IF($G12="s-curve",$E12+($F12-$E12)*$L$2/(1+EXP($L$3*(COUNT($L$9:Q$9)+$L$4))),TREND($E12:$F12,$E$9:$F$9,Q$9))</f>
        <v>1</v>
      </c>
      <c r="R12" s="36">
        <f>IF($G12="s-curve",$E12+($F12-$E12)*$L$2/(1+EXP($L$3*(COUNT($L$9:R$9)+$L$4))),TREND($E12:$F12,$E$9:$F$9,R$9))</f>
        <v>1</v>
      </c>
      <c r="S12" s="36">
        <f>IF($G12="s-curve",$E12+($F12-$E12)*$L$2/(1+EXP($L$3*(COUNT($L$9:S$9)+$L$4))),TREND($E12:$F12,$E$9:$F$9,S$9))</f>
        <v>1</v>
      </c>
      <c r="T12" s="36">
        <f>IF($G12="s-curve",$E12+($F12-$E12)*$L$2/(1+EXP($L$3*(COUNT($L$9:T$9)+$L$4))),TREND($E12:$F12,$E$9:$F$9,T$9))</f>
        <v>1</v>
      </c>
      <c r="U12" s="36">
        <f>IF($G12="s-curve",$E12+($F12-$E12)*$L$2/(1+EXP($L$3*(COUNT($L$9:U$9)+$L$4))),TREND($E12:$F12,$E$9:$F$9,U$9))</f>
        <v>1</v>
      </c>
      <c r="V12" s="36">
        <f>IF($G12="s-curve",$E12+($F12-$E12)*$L$2/(1+EXP($L$3*(COUNT($L$9:V$9)+$L$4))),TREND($E12:$F12,$E$9:$F$9,V$9))</f>
        <v>1</v>
      </c>
      <c r="W12" s="36">
        <f>IF($G12="s-curve",$E12+($F12-$E12)*$L$2/(1+EXP($L$3*(COUNT($L$9:W$9)+$L$4))),TREND($E12:$F12,$E$9:$F$9,W$9))</f>
        <v>1</v>
      </c>
      <c r="X12" s="36">
        <f>IF($G12="s-curve",$E12+($F12-$E12)*$L$2/(1+EXP($L$3*(COUNT($L$9:X$9)+$L$4))),TREND($E12:$F12,$E$9:$F$9,X$9))</f>
        <v>1</v>
      </c>
      <c r="Y12" s="36">
        <f>IF($G12="s-curve",$E12+($F12-$E12)*$L$2/(1+EXP($L$3*(COUNT($L$9:Y$9)+$L$4))),TREND($E12:$F12,$E$9:$F$9,Y$9))</f>
        <v>1</v>
      </c>
      <c r="Z12" s="36">
        <f>IF($G12="s-curve",$E12+($F12-$E12)*$L$2/(1+EXP($L$3*(COUNT($L$9:Z$9)+$L$4))),TREND($E12:$F12,$E$9:$F$9,Z$9))</f>
        <v>1</v>
      </c>
      <c r="AA12" s="36">
        <f>IF($G12="s-curve",$E12+($F12-$E12)*$L$2/(1+EXP($L$3*(COUNT($L$9:AA$9)+$L$4))),TREND($E12:$F12,$E$9:$F$9,AA$9))</f>
        <v>1</v>
      </c>
      <c r="AB12" s="36">
        <f>IF($G12="s-curve",$E12+($F12-$E12)*$L$2/(1+EXP($L$3*(COUNT($L$9:AB$9)+$L$4))),TREND($E12:$F12,$E$9:$F$9,AB$9))</f>
        <v>1</v>
      </c>
      <c r="AC12" s="36">
        <f>IF($G12="s-curve",$E12+($F12-$E12)*$L$2/(1+EXP($L$3*(COUNT($L$9:AC$9)+$L$4))),TREND($E12:$F12,$E$9:$F$9,AC$9))</f>
        <v>1</v>
      </c>
      <c r="AD12" s="36">
        <f>IF($G12="s-curve",$E12+($F12-$E12)*$L$2/(1+EXP($L$3*(COUNT($L$9:AD$9)+$L$4))),TREND($E12:$F12,$E$9:$F$9,AD$9))</f>
        <v>1</v>
      </c>
      <c r="AE12" s="36">
        <f>IF($G12="s-curve",$E12+($F12-$E12)*$L$2/(1+EXP($L$3*(COUNT($L$9:AE$9)+$L$4))),TREND($E12:$F12,$E$9:$F$9,AE$9))</f>
        <v>1</v>
      </c>
      <c r="AF12" s="36">
        <f>IF($G12="s-curve",$E12+($F12-$E12)*$L$2/(1+EXP($L$3*(COUNT($L$9:AF$9)+$L$4))),TREND($E12:$F12,$E$9:$F$9,AF$9))</f>
        <v>1</v>
      </c>
      <c r="AG12" s="36">
        <f>IF($G12="s-curve",$E12+($F12-$E12)*$L$2/(1+EXP($L$3*(COUNT($L$9:AG$9)+$L$4))),TREND($E12:$F12,$E$9:$F$9,AG$9))</f>
        <v>1</v>
      </c>
      <c r="AH12" s="36">
        <f>IF($G12="s-curve",$E12+($F12-$E12)*$L$2/(1+EXP($L$3*(COUNT($L$9:AH$9)+$L$4))),TREND($E12:$F12,$E$9:$F$9,AH$9))</f>
        <v>1</v>
      </c>
      <c r="AI12" s="36">
        <f>IF($G12="s-curve",$E12+($F12-$E12)*$L$2/(1+EXP($L$3*(COUNT($L$9:AI$9)+$L$4))),TREND($E12:$F12,$E$9:$F$9,AI$9))</f>
        <v>1</v>
      </c>
      <c r="AJ12" s="36">
        <f>IF($G12="s-curve",$E12+($F12-$E12)*$L$2/(1+EXP($L$3*(COUNT($L$9:AJ$9)+$L$4))),TREND($E12:$F12,$E$9:$F$9,AJ$9))</f>
        <v>1</v>
      </c>
      <c r="AK12" s="36">
        <f>IF($G12="s-curve",$E12+($F12-$E12)*$L$2/(1+EXP($L$3*(COUNT($L$9:AK$9)+$L$4))),TREND($E12:$F12,$E$9:$F$9,AK$9))</f>
        <v>1</v>
      </c>
      <c r="AL12" s="36">
        <f>IF($G12="s-curve",$E12+($F12-$E12)*$L$2/(1+EXP($L$3*(COUNT($L$9:AL$9)+$L$4))),TREND($E12:$F12,$E$9:$F$9,AL$9))</f>
        <v>1</v>
      </c>
      <c r="AM12" s="36">
        <f>IF($G12="s-curve",$E12+($F12-$E12)*$L$2/(1+EXP($L$3*(COUNT($L$9:AM$9)+$L$4))),TREND($E12:$F12,$E$9:$F$9,AM$9))</f>
        <v>1</v>
      </c>
      <c r="AN12" s="36">
        <f>IF($G12="s-curve",$E12+($F12-$E12)*$L$2/(1+EXP($L$3*(COUNT($L$9:AN$9)+$L$4))),TREND($E12:$F12,$E$9:$F$9,AN$9))</f>
        <v>1</v>
      </c>
      <c r="AO12" s="36">
        <f>IF($G12="s-curve",$E12+($F12-$E12)*$L$2/(1+EXP($L$3*(COUNT($L$9:AO$9)+$L$4))),TREND($E12:$F12,$E$9:$F$9,AO$9))</f>
        <v>1</v>
      </c>
      <c r="AP12" s="36">
        <f>IF($G12="s-curve",$E12+($F12-$E12)*$L$2/(1+EXP($L$3*(COUNT($L$9:AP$9)+$L$4))),TREND($E12:$F12,$E$9:$F$9,AP$9))</f>
        <v>1</v>
      </c>
      <c r="AQ12" s="36">
        <f>IF($G12="s-curve",$E12+($F12-$E12)*$L$2/(1+EXP($L$3*(COUNT($L$9:AQ$9)+$L$4))),TREND($E12:$F12,$E$9:$F$9,AQ$9))</f>
        <v>1</v>
      </c>
      <c r="AR12" s="36">
        <f>IF($G12="s-curve",$E12+($F12-$E12)*$L$2/(1+EXP($L$3*(COUNT($L$9:AR$9)+$L$4))),TREND($E12:$F12,$E$9:$F$9,AR$9))</f>
        <v>1</v>
      </c>
      <c r="AS12" s="36">
        <f>IF($G12="s-curve",$E12+($F12-$E12)*$L$2/(1+EXP($L$3*(COUNT($L$9:AS$9)+$L$4))),TREND($E12:$F12,$E$9:$F$9,AS$9))</f>
        <v>1</v>
      </c>
      <c r="AT12" s="36">
        <f>IF($G12="s-curve",$E12+($F12-$E12)*$L$2/(1+EXP($L$3*(COUNT($L$9:AT$9)+$L$4))),TREND($E12:$F12,$E$9:$F$9,AT$9))</f>
        <v>1</v>
      </c>
      <c r="AU12" s="36">
        <f>IF($G12="s-curve",$E12+($F12-$E12)*$L$2/(1+EXP($L$3*(COUNT($L$9:AU$9)+$L$4))),TREND($E12:$F12,$E$9:$F$9,AU$9))</f>
        <v>1</v>
      </c>
      <c r="AV12" s="36">
        <f>IF($G12="s-curve",$E12+($F12-$E12)*$L$2/(1+EXP($L$3*(COUNT($L$9:AV$9)+$L$4))),TREND($E12:$F12,$E$9:$F$9,AV$9))</f>
        <v>1</v>
      </c>
      <c r="AW12" s="36">
        <f>IF($G12="s-curve",$E12+($F12-$E12)*$L$2/(1+EXP($L$3*(COUNT($L$9:AW$9)+$L$4))),TREND($E12:$F12,$E$9:$F$9,AW$9))</f>
        <v>1</v>
      </c>
      <c r="AX12" s="36">
        <f>IF($G12="s-curve",$E12+($F12-$E12)*$L$2/(1+EXP($L$3*(COUNT($L$9:AX$9)+$L$4))),TREND($E12:$F12,$E$9:$F$9,AX$9))</f>
        <v>1</v>
      </c>
      <c r="AY12" s="36">
        <f>IF($G12="s-curve",$E12+($F12-$E12)*$L$2/(1+EXP($L$3*(COUNT($L$9:AY$9)+$L$4))),TREND($E12:$F12,$E$9:$F$9,AY$9))</f>
        <v>1</v>
      </c>
      <c r="AZ12" s="36">
        <f>IF($G12="s-curve",$E12+($F12-$E12)*$L$2/(1+EXP($L$3*(COUNT($L$9:AZ$9)+$L$4))),TREND($E12:$F12,$E$9:$F$9,AZ$9))</f>
        <v>1</v>
      </c>
      <c r="BA12" s="36">
        <f>IF($G12="s-curve",$E12+($F12-$E12)*$L$2/(1+EXP($L$3*(COUNT($L$9:BA$9)+$L$4))),TREND($E12:$F12,$E$9:$F$9,BA$9))</f>
        <v>1</v>
      </c>
      <c r="BB12" s="36">
        <f>IF($G12="s-curve",$E12+($F12-$E12)*$L$2/(1+EXP($L$3*(COUNT($L$9:BB$9)+$L$4))),TREND($E12:$F12,$E$9:$F$9,BB$9))</f>
        <v>1</v>
      </c>
      <c r="BC12" s="36">
        <f>IF($G12="s-curve",$E12+($F12-$E12)*$L$2/(1+EXP($L$3*(COUNT($L$9:BC$9)+$L$4))),TREND($E12:$F12,$E$9:$F$9,BC$9))</f>
        <v>1</v>
      </c>
      <c r="BD12" s="36">
        <f>IF($G12="s-curve",$E12+($F12-$E12)*$L$2/(1+EXP($L$3*(COUNT($L$9:BD$9)+$L$4))),TREND($E12:$F12,$E$9:$F$9,BD$9))</f>
        <v>1</v>
      </c>
      <c r="BE12" s="36">
        <f>IF($G12="s-curve",$E12+($F12-$E12)*$L$2/(1+EXP($L$3*(COUNT($L$9:BE$9)+$L$4))),TREND($E12:$F12,$E$9:$F$9,BE$9))</f>
        <v>1</v>
      </c>
      <c r="BF12" s="36">
        <f>IF($G12="s-curve",$E12+($F12-$E12)*$L$2/(1+EXP($L$3*(COUNT($L$9:BF$9)+$L$4))),TREND($E12:$F12,$E$9:$F$9,BF$9))</f>
        <v>1</v>
      </c>
    </row>
    <row r="13" spans="1:58" x14ac:dyDescent="0.25">
      <c r="C13" t="s">
        <v>4</v>
      </c>
      <c r="D13">
        <v>6.6777915503600002E-2</v>
      </c>
      <c r="E13" s="17">
        <v>6.08023121013E-2</v>
      </c>
      <c r="F13" s="17">
        <f>E13</f>
        <v>6.08023121013E-2</v>
      </c>
      <c r="G13" s="5" t="str">
        <f>IF(E13=F13,"n/a",IF(OR(C13="battery electric vehicle",C13="natural gas vehicle",C13="plugin hybrid vehicle"),"s-curve","linear"))</f>
        <v>n/a</v>
      </c>
      <c r="H13" s="33"/>
      <c r="I13">
        <f t="shared" si="22"/>
        <v>6.0802312101300007E-2</v>
      </c>
      <c r="J13">
        <f t="shared" si="22"/>
        <v>6.0802312101300007E-2</v>
      </c>
      <c r="K13">
        <f t="shared" si="22"/>
        <v>6.0802312101300007E-2</v>
      </c>
      <c r="L13" s="36">
        <f t="shared" si="23"/>
        <v>6.08023121013E-2</v>
      </c>
      <c r="M13" s="36">
        <f>IF($G13="s-curve",$E13+($F13-$E13)*$L$2/(1+EXP($L$3*(COUNT($L$9:M$9)+$L$4))),TREND($E13:$F13,$E$9:$F$9,M$9))</f>
        <v>6.08023121013E-2</v>
      </c>
      <c r="N13" s="36">
        <f>IF($G13="s-curve",$E13+($F13-$E13)*$L$2/(1+EXP($L$3*(COUNT($L$9:N$9)+$L$4))),TREND($E13:$F13,$E$9:$F$9,N$9))</f>
        <v>6.08023121013E-2</v>
      </c>
      <c r="O13" s="36">
        <f>IF($G13="s-curve",$E13+($F13-$E13)*$L$2/(1+EXP($L$3*(COUNT($L$9:O$9)+$L$4))),TREND($E13:$F13,$E$9:$F$9,O$9))</f>
        <v>6.08023121013E-2</v>
      </c>
      <c r="P13" s="36">
        <f>IF($G13="s-curve",$E13+($F13-$E13)*$L$2/(1+EXP($L$3*(COUNT($L$9:P$9)+$L$4))),TREND($E13:$F13,$E$9:$F$9,P$9))</f>
        <v>6.08023121013E-2</v>
      </c>
      <c r="Q13" s="36">
        <f>IF($G13="s-curve",$E13+($F13-$E13)*$L$2/(1+EXP($L$3*(COUNT($L$9:Q$9)+$L$4))),TREND($E13:$F13,$E$9:$F$9,Q$9))</f>
        <v>6.08023121013E-2</v>
      </c>
      <c r="R13" s="36">
        <f>IF($G13="s-curve",$E13+($F13-$E13)*$L$2/(1+EXP($L$3*(COUNT($L$9:R$9)+$L$4))),TREND($E13:$F13,$E$9:$F$9,R$9))</f>
        <v>6.08023121013E-2</v>
      </c>
      <c r="S13" s="36">
        <f>IF($G13="s-curve",$E13+($F13-$E13)*$L$2/(1+EXP($L$3*(COUNT($L$9:S$9)+$L$4))),TREND($E13:$F13,$E$9:$F$9,S$9))</f>
        <v>6.08023121013E-2</v>
      </c>
      <c r="T13" s="36">
        <f>IF($G13="s-curve",$E13+($F13-$E13)*$L$2/(1+EXP($L$3*(COUNT($L$9:T$9)+$L$4))),TREND($E13:$F13,$E$9:$F$9,T$9))</f>
        <v>6.08023121013E-2</v>
      </c>
      <c r="U13" s="36">
        <f>IF($G13="s-curve",$E13+($F13-$E13)*$L$2/(1+EXP($L$3*(COUNT($L$9:U$9)+$L$4))),TREND($E13:$F13,$E$9:$F$9,U$9))</f>
        <v>6.08023121013E-2</v>
      </c>
      <c r="V13" s="36">
        <f>IF($G13="s-curve",$E13+($F13-$E13)*$L$2/(1+EXP($L$3*(COUNT($L$9:V$9)+$L$4))),TREND($E13:$F13,$E$9:$F$9,V$9))</f>
        <v>6.08023121013E-2</v>
      </c>
      <c r="W13" s="36">
        <f>IF($G13="s-curve",$E13+($F13-$E13)*$L$2/(1+EXP($L$3*(COUNT($L$9:W$9)+$L$4))),TREND($E13:$F13,$E$9:$F$9,W$9))</f>
        <v>6.08023121013E-2</v>
      </c>
      <c r="X13" s="36">
        <f>IF($G13="s-curve",$E13+($F13-$E13)*$L$2/(1+EXP($L$3*(COUNT($L$9:X$9)+$L$4))),TREND($E13:$F13,$E$9:$F$9,X$9))</f>
        <v>6.08023121013E-2</v>
      </c>
      <c r="Y13" s="36">
        <f>IF($G13="s-curve",$E13+($F13-$E13)*$L$2/(1+EXP($L$3*(COUNT($L$9:Y$9)+$L$4))),TREND($E13:$F13,$E$9:$F$9,Y$9))</f>
        <v>6.08023121013E-2</v>
      </c>
      <c r="Z13" s="36">
        <f>IF($G13="s-curve",$E13+($F13-$E13)*$L$2/(1+EXP($L$3*(COUNT($L$9:Z$9)+$L$4))),TREND($E13:$F13,$E$9:$F$9,Z$9))</f>
        <v>6.08023121013E-2</v>
      </c>
      <c r="AA13" s="36">
        <f>IF($G13="s-curve",$E13+($F13-$E13)*$L$2/(1+EXP($L$3*(COUNT($L$9:AA$9)+$L$4))),TREND($E13:$F13,$E$9:$F$9,AA$9))</f>
        <v>6.08023121013E-2</v>
      </c>
      <c r="AB13" s="36">
        <f>IF($G13="s-curve",$E13+($F13-$E13)*$L$2/(1+EXP($L$3*(COUNT($L$9:AB$9)+$L$4))),TREND($E13:$F13,$E$9:$F$9,AB$9))</f>
        <v>6.08023121013E-2</v>
      </c>
      <c r="AC13" s="36">
        <f>IF($G13="s-curve",$E13+($F13-$E13)*$L$2/(1+EXP($L$3*(COUNT($L$9:AC$9)+$L$4))),TREND($E13:$F13,$E$9:$F$9,AC$9))</f>
        <v>6.08023121013E-2</v>
      </c>
      <c r="AD13" s="36">
        <f>IF($G13="s-curve",$E13+($F13-$E13)*$L$2/(1+EXP($L$3*(COUNT($L$9:AD$9)+$L$4))),TREND($E13:$F13,$E$9:$F$9,AD$9))</f>
        <v>6.08023121013E-2</v>
      </c>
      <c r="AE13" s="36">
        <f>IF($G13="s-curve",$E13+($F13-$E13)*$L$2/(1+EXP($L$3*(COUNT($L$9:AE$9)+$L$4))),TREND($E13:$F13,$E$9:$F$9,AE$9))</f>
        <v>6.08023121013E-2</v>
      </c>
      <c r="AF13" s="36">
        <f>IF($G13="s-curve",$E13+($F13-$E13)*$L$2/(1+EXP($L$3*(COUNT($L$9:AF$9)+$L$4))),TREND($E13:$F13,$E$9:$F$9,AF$9))</f>
        <v>6.08023121013E-2</v>
      </c>
      <c r="AG13" s="36">
        <f>IF($G13="s-curve",$E13+($F13-$E13)*$L$2/(1+EXP($L$3*(COUNT($L$9:AG$9)+$L$4))),TREND($E13:$F13,$E$9:$F$9,AG$9))</f>
        <v>6.08023121013E-2</v>
      </c>
      <c r="AH13" s="36">
        <f>IF($G13="s-curve",$E13+($F13-$E13)*$L$2/(1+EXP($L$3*(COUNT($L$9:AH$9)+$L$4))),TREND($E13:$F13,$E$9:$F$9,AH$9))</f>
        <v>6.08023121013E-2</v>
      </c>
      <c r="AI13" s="36">
        <f>IF($G13="s-curve",$E13+($F13-$E13)*$L$2/(1+EXP($L$3*(COUNT($L$9:AI$9)+$L$4))),TREND($E13:$F13,$E$9:$F$9,AI$9))</f>
        <v>6.08023121013E-2</v>
      </c>
      <c r="AJ13" s="36">
        <f>IF($G13="s-curve",$E13+($F13-$E13)*$L$2/(1+EXP($L$3*(COUNT($L$9:AJ$9)+$L$4))),TREND($E13:$F13,$E$9:$F$9,AJ$9))</f>
        <v>6.08023121013E-2</v>
      </c>
      <c r="AK13" s="36">
        <f>IF($G13="s-curve",$E13+($F13-$E13)*$L$2/(1+EXP($L$3*(COUNT($L$9:AK$9)+$L$4))),TREND($E13:$F13,$E$9:$F$9,AK$9))</f>
        <v>6.08023121013E-2</v>
      </c>
      <c r="AL13" s="36">
        <f>IF($G13="s-curve",$E13+($F13-$E13)*$L$2/(1+EXP($L$3*(COUNT($L$9:AL$9)+$L$4))),TREND($E13:$F13,$E$9:$F$9,AL$9))</f>
        <v>6.08023121013E-2</v>
      </c>
      <c r="AM13" s="36">
        <f>IF($G13="s-curve",$E13+($F13-$E13)*$L$2/(1+EXP($L$3*(COUNT($L$9:AM$9)+$L$4))),TREND($E13:$F13,$E$9:$F$9,AM$9))</f>
        <v>6.08023121013E-2</v>
      </c>
      <c r="AN13" s="36">
        <f>IF($G13="s-curve",$E13+($F13-$E13)*$L$2/(1+EXP($L$3*(COUNT($L$9:AN$9)+$L$4))),TREND($E13:$F13,$E$9:$F$9,AN$9))</f>
        <v>6.08023121013E-2</v>
      </c>
      <c r="AO13" s="36">
        <f>IF($G13="s-curve",$E13+($F13-$E13)*$L$2/(1+EXP($L$3*(COUNT($L$9:AO$9)+$L$4))),TREND($E13:$F13,$E$9:$F$9,AO$9))</f>
        <v>6.08023121013E-2</v>
      </c>
      <c r="AP13" s="36">
        <f>IF($G13="s-curve",$E13+($F13-$E13)*$L$2/(1+EXP($L$3*(COUNT($L$9:AP$9)+$L$4))),TREND($E13:$F13,$E$9:$F$9,AP$9))</f>
        <v>6.08023121013E-2</v>
      </c>
      <c r="AQ13" s="36">
        <f>IF($G13="s-curve",$E13+($F13-$E13)*$L$2/(1+EXP($L$3*(COUNT($L$9:AQ$9)+$L$4))),TREND($E13:$F13,$E$9:$F$9,AQ$9))</f>
        <v>6.08023121013E-2</v>
      </c>
      <c r="AR13" s="36">
        <f>IF($G13="s-curve",$E13+($F13-$E13)*$L$2/(1+EXP($L$3*(COUNT($L$9:AR$9)+$L$4))),TREND($E13:$F13,$E$9:$F$9,AR$9))</f>
        <v>6.08023121013E-2</v>
      </c>
      <c r="AS13" s="36">
        <f>IF($G13="s-curve",$E13+($F13-$E13)*$L$2/(1+EXP($L$3*(COUNT($L$9:AS$9)+$L$4))),TREND($E13:$F13,$E$9:$F$9,AS$9))</f>
        <v>6.08023121013E-2</v>
      </c>
      <c r="AT13" s="36">
        <f>IF($G13="s-curve",$E13+($F13-$E13)*$L$2/(1+EXP($L$3*(COUNT($L$9:AT$9)+$L$4))),TREND($E13:$F13,$E$9:$F$9,AT$9))</f>
        <v>6.08023121013E-2</v>
      </c>
      <c r="AU13" s="36">
        <f>IF($G13="s-curve",$E13+($F13-$E13)*$L$2/(1+EXP($L$3*(COUNT($L$9:AU$9)+$L$4))),TREND($E13:$F13,$E$9:$F$9,AU$9))</f>
        <v>6.08023121013E-2</v>
      </c>
      <c r="AV13" s="36">
        <f>IF($G13="s-curve",$E13+($F13-$E13)*$L$2/(1+EXP($L$3*(COUNT($L$9:AV$9)+$L$4))),TREND($E13:$F13,$E$9:$F$9,AV$9))</f>
        <v>6.08023121013E-2</v>
      </c>
      <c r="AW13" s="36">
        <f>IF($G13="s-curve",$E13+($F13-$E13)*$L$2/(1+EXP($L$3*(COUNT($L$9:AW$9)+$L$4))),TREND($E13:$F13,$E$9:$F$9,AW$9))</f>
        <v>6.08023121013E-2</v>
      </c>
      <c r="AX13" s="36">
        <f>IF($G13="s-curve",$E13+($F13-$E13)*$L$2/(1+EXP($L$3*(COUNT($L$9:AX$9)+$L$4))),TREND($E13:$F13,$E$9:$F$9,AX$9))</f>
        <v>6.08023121013E-2</v>
      </c>
      <c r="AY13" s="36">
        <f>IF($G13="s-curve",$E13+($F13-$E13)*$L$2/(1+EXP($L$3*(COUNT($L$9:AY$9)+$L$4))),TREND($E13:$F13,$E$9:$F$9,AY$9))</f>
        <v>6.08023121013E-2</v>
      </c>
      <c r="AZ13" s="36">
        <f>IF($G13="s-curve",$E13+($F13-$E13)*$L$2/(1+EXP($L$3*(COUNT($L$9:AZ$9)+$L$4))),TREND($E13:$F13,$E$9:$F$9,AZ$9))</f>
        <v>6.08023121013E-2</v>
      </c>
      <c r="BA13" s="36">
        <f>IF($G13="s-curve",$E13+($F13-$E13)*$L$2/(1+EXP($L$3*(COUNT($L$9:BA$9)+$L$4))),TREND($E13:$F13,$E$9:$F$9,BA$9))</f>
        <v>6.08023121013E-2</v>
      </c>
      <c r="BB13" s="36">
        <f>IF($G13="s-curve",$E13+($F13-$E13)*$L$2/(1+EXP($L$3*(COUNT($L$9:BB$9)+$L$4))),TREND($E13:$F13,$E$9:$F$9,BB$9))</f>
        <v>6.08023121013E-2</v>
      </c>
      <c r="BC13" s="36">
        <f>IF($G13="s-curve",$E13+($F13-$E13)*$L$2/(1+EXP($L$3*(COUNT($L$9:BC$9)+$L$4))),TREND($E13:$F13,$E$9:$F$9,BC$9))</f>
        <v>6.08023121013E-2</v>
      </c>
      <c r="BD13" s="36">
        <f>IF($G13="s-curve",$E13+($F13-$E13)*$L$2/(1+EXP($L$3*(COUNT($L$9:BD$9)+$L$4))),TREND($E13:$F13,$E$9:$F$9,BD$9))</f>
        <v>6.08023121013E-2</v>
      </c>
      <c r="BE13" s="36">
        <f>IF($G13="s-curve",$E13+($F13-$E13)*$L$2/(1+EXP($L$3*(COUNT($L$9:BE$9)+$L$4))),TREND($E13:$F13,$E$9:$F$9,BE$9))</f>
        <v>6.08023121013E-2</v>
      </c>
      <c r="BF13" s="36">
        <f>IF($G13="s-curve",$E13+($F13-$E13)*$L$2/(1+EXP($L$3*(COUNT($L$9:BF$9)+$L$4))),TREND($E13:$F13,$E$9:$F$9,BF$9))</f>
        <v>6.08023121013E-2</v>
      </c>
    </row>
    <row r="14" spans="1:58" x14ac:dyDescent="0.25">
      <c r="C14" t="s">
        <v>5</v>
      </c>
      <c r="D14">
        <v>1.5463740197399999E-2</v>
      </c>
      <c r="E14" s="17">
        <f>D14</f>
        <v>1.5463740197399999E-2</v>
      </c>
      <c r="F14" s="26">
        <f>D14/D10*F10</f>
        <v>0.21649236276359995</v>
      </c>
      <c r="G14" s="5" t="str">
        <f>IF(E14=F14,"n/a",IF(OR(C14="battery electric vehicle",C14="natural gas vehicle",C14="plugin hybrid vehicle",C14="hydrogen vehicle"),"s-curve","linear"))</f>
        <v>s-curve</v>
      </c>
      <c r="H14" s="33"/>
      <c r="I14">
        <f t="shared" si="22"/>
        <v>2.0521233328807398E-4</v>
      </c>
      <c r="J14">
        <f t="shared" si="22"/>
        <v>4.7016108676150026E-3</v>
      </c>
      <c r="K14">
        <f t="shared" si="22"/>
        <v>9.1980094019419312E-3</v>
      </c>
      <c r="L14" s="36">
        <f>D14</f>
        <v>1.5463740197399999E-2</v>
      </c>
      <c r="M14" s="36">
        <f>E14</f>
        <v>1.5463740197399999E-2</v>
      </c>
      <c r="N14" s="36">
        <f>IF($G14="s-curve",$E14+($F14-$E14)*$X$2/(1+EXP($X$3*(COUNT($L$9:N$9)+$X$4))),TREND($E14:$F14,$E$9:$F$9,N$9))</f>
        <v>2.3337171503043153E-2</v>
      </c>
      <c r="O14" s="36">
        <f>IF($G14="s-curve",$E14+($F14-$E14)*$X$2/(1+EXP($X$3*(COUNT($L$9:O$9)+$X$4))),TREND($E14:$F14,$E$9:$F$9,O$9))</f>
        <v>2.6987540318092137E-2</v>
      </c>
      <c r="P14" s="36">
        <f>IF($G14="s-curve",$E14+($F14-$E14)*$X$2/(1+EXP($X$3*(COUNT($L$9:P$9)+$X$4))),TREND($E14:$F14,$E$9:$F$9,P$9))</f>
        <v>3.2183832808689819E-2</v>
      </c>
      <c r="Q14" s="36">
        <f>IF($G14="s-curve",$E14+($F14-$E14)*$X$2/(1+EXP($X$3*(COUNT($L$9:Q$9)+$X$4))),TREND($E14:$F14,$E$9:$F$9,Q$9))</f>
        <v>3.9426939417372436E-2</v>
      </c>
      <c r="R14" s="36">
        <f>IF($G14="s-curve",$E14+($F14-$E14)*$X$2/(1+EXP($X$3*(COUNT($L$9:R$9)+$X$4))),TREND($E14:$F14,$E$9:$F$9,R$9))</f>
        <v>4.9232852850373057E-2</v>
      </c>
      <c r="S14" s="36">
        <f>IF($G14="s-curve",$E14+($F14-$E14)*$X$2/(1+EXP($X$3*(COUNT($L$9:S$9)+$X$4))),TREND($E14:$F14,$E$9:$F$9,S$9))</f>
        <v>6.1996884128805399E-2</v>
      </c>
      <c r="T14" s="36">
        <f>IF($G14="s-curve",$E14+($F14-$E14)*$X$2/(1+EXP($X$3*(COUNT($L$9:T$9)+$X$4))),TREND($E14:$F14,$E$9:$F$9,T$9))</f>
        <v>7.7787743216687494E-2</v>
      </c>
      <c r="U14" s="36">
        <f>IF($G14="s-curve",$E14+($F14-$E14)*$X$2/(1+EXP($X$3*(COUNT($L$9:U$9)+$X$4))),TREND($E14:$F14,$E$9:$F$9,U$9))</f>
        <v>9.6139007103812443E-2</v>
      </c>
      <c r="V14" s="36">
        <f>IF($G14="s-curve",$E14+($F14-$E14)*$X$2/(1+EXP($X$3*(COUNT($L$9:V$9)+$X$4))),TREND($E14:$F14,$E$9:$F$9,V$9))</f>
        <v>0.11597805148049999</v>
      </c>
      <c r="W14" s="36">
        <f>IF($G14="s-curve",$E14+($F14-$E14)*$X$2/(1+EXP($X$3*(COUNT($L$9:W$9)+$X$4))),TREND($E14:$F14,$E$9:$F$9,W$9))</f>
        <v>0.13581709585718751</v>
      </c>
      <c r="X14" s="36">
        <f>IF($G14="s-curve",$E14+($F14-$E14)*$X$2/(1+EXP($X$3*(COUNT($L$9:X$9)+$X$4))),TREND($E14:$F14,$E$9:$F$9,X$9))</f>
        <v>0.15416835974431245</v>
      </c>
      <c r="Y14" s="36">
        <f>IF($G14="s-curve",$E14+($F14-$E14)*$X$2/(1+EXP($X$3*(COUNT($L$9:Y$9)+$X$4))),TREND($E14:$F14,$E$9:$F$9,Y$9))</f>
        <v>0.16995921883219456</v>
      </c>
      <c r="Z14" s="36">
        <f>IF($G14="s-curve",$E14+($F14-$E14)*$X$2/(1+EXP($X$3*(COUNT($L$9:Z$9)+$X$4))),TREND($E14:$F14,$E$9:$F$9,Z$9))</f>
        <v>0.18272325011062687</v>
      </c>
      <c r="AA14" s="36">
        <f>IF($G14="s-curve",$E14+($F14-$E14)*$X$2/(1+EXP($X$3*(COUNT($L$9:AA$9)+$X$4))),TREND($E14:$F14,$E$9:$F$9,AA$9))</f>
        <v>0.19252916354362751</v>
      </c>
      <c r="AB14" s="36">
        <f>IF($G14="s-curve",$E14+($F14-$E14)*$X$2/(1+EXP($X$3*(COUNT($L$9:AB$9)+$X$4))),TREND($E14:$F14,$E$9:$F$9,AB$9))</f>
        <v>0.19977227015231014</v>
      </c>
      <c r="AC14" s="36">
        <f>IF($G14="s-curve",$E14+($F14-$E14)*$X$2/(1+EXP($X$3*(COUNT($L$9:AC$9)+$X$4))),TREND($E14:$F14,$E$9:$F$9,AC$9))</f>
        <v>0.20496856264290783</v>
      </c>
      <c r="AD14" s="36">
        <f>IF($G14="s-curve",$E14+($F14-$E14)*$X$2/(1+EXP($X$3*(COUNT($L$9:AD$9)+$X$4))),TREND($E14:$F14,$E$9:$F$9,AD$9))</f>
        <v>0.20861893145795682</v>
      </c>
      <c r="AE14" s="36">
        <f>IF($G14="s-curve",$E14+($F14-$E14)*$X$2/(1+EXP($X$3*(COUNT($L$9:AE$9)+$X$4))),TREND($E14:$F14,$E$9:$F$9,AE$9))</f>
        <v>0.21114560578044053</v>
      </c>
      <c r="AF14" s="36">
        <f>IF($G14="s-curve",$E14+($F14-$E14)*$X$2/(1+EXP($X$3*(COUNT($L$9:AF$9)+$X$4))),TREND($E14:$F14,$E$9:$F$9,AF$9))</f>
        <v>0.21287661974973421</v>
      </c>
      <c r="AG14" s="36">
        <f>IF($G14="s-curve",$E14+($F14-$E14)*$X$2/(1+EXP($X$3*(COUNT($L$9:AG$9)+$X$4))),TREND($E14:$F14,$E$9:$F$9,AG$9))</f>
        <v>0.2140542001848276</v>
      </c>
      <c r="AH14" s="36">
        <f>IF($G14="s-curve",$E14+($F14-$E14)*$X$2/(1+EXP($X$3*(COUNT($L$9:AH$9)+$X$4))),TREND($E14:$F14,$E$9:$F$9,AH$9))</f>
        <v>0.21485145232808162</v>
      </c>
      <c r="AI14" s="36">
        <f>IF($G14="s-curve",$E14+($F14-$E14)*$X$2/(1+EXP($X$3*(COUNT($L$9:AI$9)+$X$4))),TREND($E14:$F14,$E$9:$F$9,AI$9))</f>
        <v>0.21538945965285697</v>
      </c>
      <c r="AJ14" s="36">
        <f>IF($G14="s-curve",$E14+($F14-$E14)*$X$2/(1+EXP($X$3*(COUNT($L$9:AJ$9)+$X$4))),TREND($E14:$F14,$E$9:$F$9,AJ$9))</f>
        <v>0.21575172509141291</v>
      </c>
      <c r="AK14" s="36">
        <f>IF($G14="s-curve",$E14+($F14-$E14)*$X$2/(1+EXP($X$3*(COUNT($L$9:AK$9)+$X$4))),TREND($E14:$F14,$E$9:$F$9,AK$9))</f>
        <v>0.21599529473629639</v>
      </c>
      <c r="AL14" s="36">
        <f>IF($G14="s-curve",$E14+($F14-$E14)*$X$2/(1+EXP($X$3*(COUNT($L$9:AL$9)+$X$4))),TREND($E14:$F14,$E$9:$F$9,AL$9))</f>
        <v>0.21615889626734117</v>
      </c>
      <c r="AM14" s="36">
        <f>IF($G14="s-curve",$E14+($F14-$E14)*$X$2/(1+EXP($X$3*(COUNT($L$9:AM$9)+$X$4))),TREND($E14:$F14,$E$9:$F$9,AM$9))</f>
        <v>0.2162687111773588</v>
      </c>
      <c r="AN14" s="36">
        <f>IF($G14="s-curve",$E14+($F14-$E14)*$X$2/(1+EXP($X$3*(COUNT($L$9:AN$9)+$X$4))),TREND($E14:$F14,$E$9:$F$9,AN$9))</f>
        <v>0.21634238961473912</v>
      </c>
      <c r="AO14" s="36">
        <f>IF($G14="s-curve",$E14+($F14-$E14)*$X$2/(1+EXP($X$3*(COUNT($L$9:AO$9)+$X$4))),TREND($E14:$F14,$E$9:$F$9,AO$9))</f>
        <v>0.21639180802403768</v>
      </c>
      <c r="AP14" s="36">
        <f>IF($G14="s-curve",$E14+($F14-$E14)*$X$2/(1+EXP($X$3*(COUNT($L$9:AP$9)+$X$4))),TREND($E14:$F14,$E$9:$F$9,AP$9))</f>
        <v>0.2164249477887949</v>
      </c>
      <c r="AQ14" s="36">
        <f>IF($G14="s-curve",$E14+($F14-$E14)*$X$2/(1+EXP($X$3*(COUNT($L$9:AQ$9)+$X$4))),TREND($E14:$F14,$E$9:$F$9,AQ$9))</f>
        <v>0.21644716815795015</v>
      </c>
      <c r="AR14" s="36">
        <f>IF($G14="s-curve",$E14+($F14-$E14)*$X$2/(1+EXP($X$3*(COUNT($L$9:AR$9)+$X$4))),TREND($E14:$F14,$E$9:$F$9,AR$9))</f>
        <v>0.21646206566791276</v>
      </c>
      <c r="AS14" s="36">
        <f>IF($G14="s-curve",$E14+($F14-$E14)*$X$2/(1+EXP($X$3*(COUNT($L$9:AS$9)+$X$4))),TREND($E14:$F14,$E$9:$F$9,AS$9))</f>
        <v>0.2164720530039097</v>
      </c>
      <c r="AT14" s="36">
        <f>IF($G14="s-curve",$E14+($F14-$E14)*$X$2/(1+EXP($X$3*(COUNT($L$9:AT$9)+$X$4))),TREND($E14:$F14,$E$9:$F$9,AT$9))</f>
        <v>0.21647874827108746</v>
      </c>
      <c r="AU14" s="36">
        <f>IF($G14="s-curve",$E14+($F14-$E14)*$X$2/(1+EXP($X$3*(COUNT($L$9:AU$9)+$X$4))),TREND($E14:$F14,$E$9:$F$9,AU$9))</f>
        <v>0.21648323649258727</v>
      </c>
      <c r="AV14" s="36">
        <f>IF($G14="s-curve",$E14+($F14-$E14)*$X$2/(1+EXP($X$3*(COUNT($L$9:AV$9)+$X$4))),TREND($E14:$F14,$E$9:$F$9,AV$9))</f>
        <v>0.21648624514963366</v>
      </c>
      <c r="AW14" s="36">
        <f>IF($G14="s-curve",$E14+($F14-$E14)*$X$2/(1+EXP($X$3*(COUNT($L$9:AW$9)+$X$4))),TREND($E14:$F14,$E$9:$F$9,AW$9))</f>
        <v>0.21648826196318247</v>
      </c>
      <c r="AX14" s="36">
        <f>IF($G14="s-curve",$E14+($F14-$E14)*$X$2/(1+EXP($X$3*(COUNT($L$9:AX$9)+$X$4))),TREND($E14:$F14,$E$9:$F$9,AX$9))</f>
        <v>0.21648961389638871</v>
      </c>
      <c r="AY14" s="36">
        <f>IF($G14="s-curve",$E14+($F14-$E14)*$X$2/(1+EXP($X$3*(COUNT($L$9:AY$9)+$X$4))),TREND($E14:$F14,$E$9:$F$9,AY$9))</f>
        <v>0.21649052013449774</v>
      </c>
      <c r="AZ14" s="36">
        <f>IF($G14="s-curve",$E14+($F14-$E14)*$X$2/(1+EXP($X$3*(COUNT($L$9:AZ$9)+$X$4))),TREND($E14:$F14,$E$9:$F$9,AZ$9))</f>
        <v>0.21649112760864286</v>
      </c>
      <c r="BA14" s="36">
        <f>IF($G14="s-curve",$E14+($F14-$E14)*$X$2/(1+EXP($X$3*(COUNT($L$9:BA$9)+$X$4))),TREND($E14:$F14,$E$9:$F$9,BA$9))</f>
        <v>0.21649153481279512</v>
      </c>
      <c r="BB14" s="36">
        <f>IF($G14="s-curve",$E14+($F14-$E14)*$X$2/(1+EXP($X$3*(COUNT($L$9:BB$9)+$X$4))),TREND($E14:$F14,$E$9:$F$9,BB$9))</f>
        <v>0.21649180777082477</v>
      </c>
      <c r="BC14" s="36">
        <f>IF($G14="s-curve",$E14+($F14-$E14)*$X$2/(1+EXP($X$3*(COUNT($L$9:BC$9)+$X$4))),TREND($E14:$F14,$E$9:$F$9,BC$9))</f>
        <v>0.21649199074047876</v>
      </c>
      <c r="BD14" s="36">
        <f>IF($G14="s-curve",$E14+($F14-$E14)*$X$2/(1+EXP($X$3*(COUNT($L$9:BD$9)+$X$4))),TREND($E14:$F14,$E$9:$F$9,BD$9))</f>
        <v>0.21649211338889207</v>
      </c>
      <c r="BE14" s="36">
        <f>IF($G14="s-curve",$E14+($F14-$E14)*$X$2/(1+EXP($X$3*(COUNT($L$9:BE$9)+$X$4))),TREND($E14:$F14,$E$9:$F$9,BE$9))</f>
        <v>0.21649219560266592</v>
      </c>
      <c r="BF14" s="36">
        <f>IF($G14="s-curve",$E14+($F14-$E14)*$X$2/(1+EXP($X$3*(COUNT($L$9:BF$9)+$X$4))),TREND($E14:$F14,$E$9:$F$9,BF$9))</f>
        <v>0.21649225071224426</v>
      </c>
    </row>
    <row r="15" spans="1:58" x14ac:dyDescent="0.25">
      <c r="C15" t="s">
        <v>33</v>
      </c>
      <c r="D15">
        <v>0</v>
      </c>
      <c r="E15" s="17">
        <v>0</v>
      </c>
      <c r="F15" s="17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H15" s="33"/>
      <c r="I15">
        <f t="shared" si="22"/>
        <v>0</v>
      </c>
      <c r="J15">
        <f t="shared" si="22"/>
        <v>0</v>
      </c>
      <c r="K15">
        <f t="shared" si="22"/>
        <v>0</v>
      </c>
      <c r="L15" s="36">
        <f t="shared" si="23"/>
        <v>0</v>
      </c>
      <c r="M15" s="36">
        <f>IF($G15="s-curve",$E15+($F15-$E15)*$L$2/(1+EXP($L$3*(COUNT($L$9:M$9)+$L$4))),TREND($E15:$F15,$E$9:$F$9,M$9))</f>
        <v>0</v>
      </c>
      <c r="N15" s="36">
        <f>IF($G15="s-curve",$E15+($F15-$E15)*$L$2/(1+EXP($L$3*(COUNT($L$9:N$9)+$L$4))),TREND($E15:$F15,$E$9:$F$9,N$9))</f>
        <v>0</v>
      </c>
      <c r="O15" s="36">
        <f>IF($G15="s-curve",$E15+($F15-$E15)*$L$2/(1+EXP($L$3*(COUNT($L$9:O$9)+$L$4))),TREND($E15:$F15,$E$9:$F$9,O$9))</f>
        <v>0</v>
      </c>
      <c r="P15" s="36">
        <f>IF($G15="s-curve",$E15+($F15-$E15)*$L$2/(1+EXP($L$3*(COUNT($L$9:P$9)+$L$4))),TREND($E15:$F15,$E$9:$F$9,P$9))</f>
        <v>0</v>
      </c>
      <c r="Q15" s="36">
        <f>IF($G15="s-curve",$E15+($F15-$E15)*$L$2/(1+EXP($L$3*(COUNT($L$9:Q$9)+$L$4))),TREND($E15:$F15,$E$9:$F$9,Q$9))</f>
        <v>0</v>
      </c>
      <c r="R15" s="36">
        <f>IF($G15="s-curve",$E15+($F15-$E15)*$L$2/(1+EXP($L$3*(COUNT($L$9:R$9)+$L$4))),TREND($E15:$F15,$E$9:$F$9,R$9))</f>
        <v>0</v>
      </c>
      <c r="S15" s="36">
        <f>IF($G15="s-curve",$E15+($F15-$E15)*$L$2/(1+EXP($L$3*(COUNT($L$9:S$9)+$L$4))),TREND($E15:$F15,$E$9:$F$9,S$9))</f>
        <v>0</v>
      </c>
      <c r="T15" s="36">
        <f>IF($G15="s-curve",$E15+($F15-$E15)*$L$2/(1+EXP($L$3*(COUNT($L$9:T$9)+$L$4))),TREND($E15:$F15,$E$9:$F$9,T$9))</f>
        <v>0</v>
      </c>
      <c r="U15" s="36">
        <f>IF($G15="s-curve",$E15+($F15-$E15)*$L$2/(1+EXP($L$3*(COUNT($L$9:U$9)+$L$4))),TREND($E15:$F15,$E$9:$F$9,U$9))</f>
        <v>0</v>
      </c>
      <c r="V15" s="36">
        <f>IF($G15="s-curve",$E15+($F15-$E15)*$L$2/(1+EXP($L$3*(COUNT($L$9:V$9)+$L$4))),TREND($E15:$F15,$E$9:$F$9,V$9))</f>
        <v>0</v>
      </c>
      <c r="W15" s="36">
        <f>IF($G15="s-curve",$E15+($F15-$E15)*$L$2/(1+EXP($L$3*(COUNT($L$9:W$9)+$L$4))),TREND($E15:$F15,$E$9:$F$9,W$9))</f>
        <v>0</v>
      </c>
      <c r="X15" s="36">
        <f>IF($G15="s-curve",$E15+($F15-$E15)*$L$2/(1+EXP($L$3*(COUNT($L$9:X$9)+$L$4))),TREND($E15:$F15,$E$9:$F$9,X$9))</f>
        <v>0</v>
      </c>
      <c r="Y15" s="36">
        <f>IF($G15="s-curve",$E15+($F15-$E15)*$L$2/(1+EXP($L$3*(COUNT($L$9:Y$9)+$L$4))),TREND($E15:$F15,$E$9:$F$9,Y$9))</f>
        <v>0</v>
      </c>
      <c r="Z15" s="36">
        <f>IF($G15="s-curve",$E15+($F15-$E15)*$L$2/(1+EXP($L$3*(COUNT($L$9:Z$9)+$L$4))),TREND($E15:$F15,$E$9:$F$9,Z$9))</f>
        <v>0</v>
      </c>
      <c r="AA15" s="36">
        <f>IF($G15="s-curve",$E15+($F15-$E15)*$L$2/(1+EXP($L$3*(COUNT($L$9:AA$9)+$L$4))),TREND($E15:$F15,$E$9:$F$9,AA$9))</f>
        <v>0</v>
      </c>
      <c r="AB15" s="36">
        <f>IF($G15="s-curve",$E15+($F15-$E15)*$L$2/(1+EXP($L$3*(COUNT($L$9:AB$9)+$L$4))),TREND($E15:$F15,$E$9:$F$9,AB$9))</f>
        <v>0</v>
      </c>
      <c r="AC15" s="36">
        <f>IF($G15="s-curve",$E15+($F15-$E15)*$L$2/(1+EXP($L$3*(COUNT($L$9:AC$9)+$L$4))),TREND($E15:$F15,$E$9:$F$9,AC$9))</f>
        <v>0</v>
      </c>
      <c r="AD15" s="36">
        <f>IF($G15="s-curve",$E15+($F15-$E15)*$L$2/(1+EXP($L$3*(COUNT($L$9:AD$9)+$L$4))),TREND($E15:$F15,$E$9:$F$9,AD$9))</f>
        <v>0</v>
      </c>
      <c r="AE15" s="36">
        <f>IF($G15="s-curve",$E15+($F15-$E15)*$L$2/(1+EXP($L$3*(COUNT($L$9:AE$9)+$L$4))),TREND($E15:$F15,$E$9:$F$9,AE$9))</f>
        <v>0</v>
      </c>
      <c r="AF15" s="36">
        <f>IF($G15="s-curve",$E15+($F15-$E15)*$L$2/(1+EXP($L$3*(COUNT($L$9:AF$9)+$L$4))),TREND($E15:$F15,$E$9:$F$9,AF$9))</f>
        <v>0</v>
      </c>
      <c r="AG15" s="36">
        <f>IF($G15="s-curve",$E15+($F15-$E15)*$L$2/(1+EXP($L$3*(COUNT($L$9:AG$9)+$L$4))),TREND($E15:$F15,$E$9:$F$9,AG$9))</f>
        <v>0</v>
      </c>
      <c r="AH15" s="36">
        <f>IF($G15="s-curve",$E15+($F15-$E15)*$L$2/(1+EXP($L$3*(COUNT($L$9:AH$9)+$L$4))),TREND($E15:$F15,$E$9:$F$9,AH$9))</f>
        <v>0</v>
      </c>
      <c r="AI15" s="36">
        <f>IF($G15="s-curve",$E15+($F15-$E15)*$L$2/(1+EXP($L$3*(COUNT($L$9:AI$9)+$L$4))),TREND($E15:$F15,$E$9:$F$9,AI$9))</f>
        <v>0</v>
      </c>
      <c r="AJ15" s="36">
        <f>IF($G15="s-curve",$E15+($F15-$E15)*$L$2/(1+EXP($L$3*(COUNT($L$9:AJ$9)+$L$4))),TREND($E15:$F15,$E$9:$F$9,AJ$9))</f>
        <v>0</v>
      </c>
      <c r="AK15" s="36">
        <f>IF($G15="s-curve",$E15+($F15-$E15)*$L$2/(1+EXP($L$3*(COUNT($L$9:AK$9)+$L$4))),TREND($E15:$F15,$E$9:$F$9,AK$9))</f>
        <v>0</v>
      </c>
      <c r="AL15" s="36">
        <f>IF($G15="s-curve",$E15+($F15-$E15)*$L$2/(1+EXP($L$3*(COUNT($L$9:AL$9)+$L$4))),TREND($E15:$F15,$E$9:$F$9,AL$9))</f>
        <v>0</v>
      </c>
      <c r="AM15" s="36">
        <f>IF($G15="s-curve",$E15+($F15-$E15)*$L$2/(1+EXP($L$3*(COUNT($L$9:AM$9)+$L$4))),TREND($E15:$F15,$E$9:$F$9,AM$9))</f>
        <v>0</v>
      </c>
      <c r="AN15" s="36">
        <f>IF($G15="s-curve",$E15+($F15-$E15)*$L$2/(1+EXP($L$3*(COUNT($L$9:AN$9)+$L$4))),TREND($E15:$F15,$E$9:$F$9,AN$9))</f>
        <v>0</v>
      </c>
      <c r="AO15" s="36">
        <f>IF($G15="s-curve",$E15+($F15-$E15)*$L$2/(1+EXP($L$3*(COUNT($L$9:AO$9)+$L$4))),TREND($E15:$F15,$E$9:$F$9,AO$9))</f>
        <v>0</v>
      </c>
      <c r="AP15" s="36">
        <f>IF($G15="s-curve",$E15+($F15-$E15)*$L$2/(1+EXP($L$3*(COUNT($L$9:AP$9)+$L$4))),TREND($E15:$F15,$E$9:$F$9,AP$9))</f>
        <v>0</v>
      </c>
      <c r="AQ15" s="36">
        <f>IF($G15="s-curve",$E15+($F15-$E15)*$L$2/(1+EXP($L$3*(COUNT($L$9:AQ$9)+$L$4))),TREND($E15:$F15,$E$9:$F$9,AQ$9))</f>
        <v>0</v>
      </c>
      <c r="AR15" s="36">
        <f>IF($G15="s-curve",$E15+($F15-$E15)*$L$2/(1+EXP($L$3*(COUNT($L$9:AR$9)+$L$4))),TREND($E15:$F15,$E$9:$F$9,AR$9))</f>
        <v>0</v>
      </c>
      <c r="AS15" s="36">
        <f>IF($G15="s-curve",$E15+($F15-$E15)*$L$2/(1+EXP($L$3*(COUNT($L$9:AS$9)+$L$4))),TREND($E15:$F15,$E$9:$F$9,AS$9))</f>
        <v>0</v>
      </c>
      <c r="AT15" s="36">
        <f>IF($G15="s-curve",$E15+($F15-$E15)*$L$2/(1+EXP($L$3*(COUNT($L$9:AT$9)+$L$4))),TREND($E15:$F15,$E$9:$F$9,AT$9))</f>
        <v>0</v>
      </c>
      <c r="AU15" s="36">
        <f>IF($G15="s-curve",$E15+($F15-$E15)*$L$2/(1+EXP($L$3*(COUNT($L$9:AU$9)+$L$4))),TREND($E15:$F15,$E$9:$F$9,AU$9))</f>
        <v>0</v>
      </c>
      <c r="AV15" s="36">
        <f>IF($G15="s-curve",$E15+($F15-$E15)*$L$2/(1+EXP($L$3*(COUNT($L$9:AV$9)+$L$4))),TREND($E15:$F15,$E$9:$F$9,AV$9))</f>
        <v>0</v>
      </c>
      <c r="AW15" s="36">
        <f>IF($G15="s-curve",$E15+($F15-$E15)*$L$2/(1+EXP($L$3*(COUNT($L$9:AW$9)+$L$4))),TREND($E15:$F15,$E$9:$F$9,AW$9))</f>
        <v>0</v>
      </c>
      <c r="AX15" s="36">
        <f>IF($G15="s-curve",$E15+($F15-$E15)*$L$2/(1+EXP($L$3*(COUNT($L$9:AX$9)+$L$4))),TREND($E15:$F15,$E$9:$F$9,AX$9))</f>
        <v>0</v>
      </c>
      <c r="AY15" s="36">
        <f>IF($G15="s-curve",$E15+($F15-$E15)*$L$2/(1+EXP($L$3*(COUNT($L$9:AY$9)+$L$4))),TREND($E15:$F15,$E$9:$F$9,AY$9))</f>
        <v>0</v>
      </c>
      <c r="AZ15" s="36">
        <f>IF($G15="s-curve",$E15+($F15-$E15)*$L$2/(1+EXP($L$3*(COUNT($L$9:AZ$9)+$L$4))),TREND($E15:$F15,$E$9:$F$9,AZ$9))</f>
        <v>0</v>
      </c>
      <c r="BA15" s="36">
        <f>IF($G15="s-curve",$E15+($F15-$E15)*$L$2/(1+EXP($L$3*(COUNT($L$9:BA$9)+$L$4))),TREND($E15:$F15,$E$9:$F$9,BA$9))</f>
        <v>0</v>
      </c>
      <c r="BB15" s="36">
        <f>IF($G15="s-curve",$E15+($F15-$E15)*$L$2/(1+EXP($L$3*(COUNT($L$9:BB$9)+$L$4))),TREND($E15:$F15,$E$9:$F$9,BB$9))</f>
        <v>0</v>
      </c>
      <c r="BC15" s="36">
        <f>IF($G15="s-curve",$E15+($F15-$E15)*$L$2/(1+EXP($L$3*(COUNT($L$9:BC$9)+$L$4))),TREND($E15:$F15,$E$9:$F$9,BC$9))</f>
        <v>0</v>
      </c>
      <c r="BD15" s="36">
        <f>IF($G15="s-curve",$E15+($F15-$E15)*$L$2/(1+EXP($L$3*(COUNT($L$9:BD$9)+$L$4))),TREND($E15:$F15,$E$9:$F$9,BD$9))</f>
        <v>0</v>
      </c>
      <c r="BE15" s="36">
        <f>IF($G15="s-curve",$E15+($F15-$E15)*$L$2/(1+EXP($L$3*(COUNT($L$9:BE$9)+$L$4))),TREND($E15:$F15,$E$9:$F$9,BE$9))</f>
        <v>0</v>
      </c>
      <c r="BF15" s="36">
        <f>IF($G15="s-curve",$E15+($F15-$E15)*$L$2/(1+EXP($L$3*(COUNT($L$9:BF$9)+$L$4))),TREND($E15:$F15,$E$9:$F$9,BF$9))</f>
        <v>0</v>
      </c>
    </row>
    <row r="16" spans="1:58" ht="15.75" thickBot="1" x14ac:dyDescent="0.3">
      <c r="A16" s="18"/>
      <c r="B16" s="18"/>
      <c r="C16" s="18" t="s">
        <v>34</v>
      </c>
      <c r="D16" s="18">
        <v>0</v>
      </c>
      <c r="E16" s="21">
        <v>0</v>
      </c>
      <c r="F16" s="21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H16" s="34"/>
      <c r="I16">
        <f t="shared" si="22"/>
        <v>0</v>
      </c>
      <c r="J16">
        <f t="shared" si="22"/>
        <v>0</v>
      </c>
      <c r="K16">
        <f t="shared" si="22"/>
        <v>0</v>
      </c>
      <c r="L16" s="36">
        <f t="shared" si="23"/>
        <v>0</v>
      </c>
      <c r="M16" s="36">
        <f>IF($G16="s-curve",$E16+($F16-$E16)*$L$2/(1+EXP($L$3*(COUNT($L$9:M$9)+$L$4))),TREND($E16:$F16,$E$9:$F$9,M$9))</f>
        <v>0</v>
      </c>
      <c r="N16" s="36">
        <f>IF($G16="s-curve",$E16+($F16-$E16)*$L$2/(1+EXP($L$3*(COUNT($L$9:N$9)+$L$4))),TREND($E16:$F16,$E$9:$F$9,N$9))</f>
        <v>0</v>
      </c>
      <c r="O16" s="36">
        <f>IF($G16="s-curve",$E16+($F16-$E16)*$L$2/(1+EXP($L$3*(COUNT($L$9:O$9)+$L$4))),TREND($E16:$F16,$E$9:$F$9,O$9))</f>
        <v>0</v>
      </c>
      <c r="P16" s="36">
        <f>IF($G16="s-curve",$E16+($F16-$E16)*$L$2/(1+EXP($L$3*(COUNT($L$9:P$9)+$L$4))),TREND($E16:$F16,$E$9:$F$9,P$9))</f>
        <v>0</v>
      </c>
      <c r="Q16" s="36">
        <f>IF($G16="s-curve",$E16+($F16-$E16)*$L$2/(1+EXP($L$3*(COUNT($L$9:Q$9)+$L$4))),TREND($E16:$F16,$E$9:$F$9,Q$9))</f>
        <v>0</v>
      </c>
      <c r="R16" s="36">
        <f>IF($G16="s-curve",$E16+($F16-$E16)*$L$2/(1+EXP($L$3*(COUNT($L$9:R$9)+$L$4))),TREND($E16:$F16,$E$9:$F$9,R$9))</f>
        <v>0</v>
      </c>
      <c r="S16" s="36">
        <f>IF($G16="s-curve",$E16+($F16-$E16)*$L$2/(1+EXP($L$3*(COUNT($L$9:S$9)+$L$4))),TREND($E16:$F16,$E$9:$F$9,S$9))</f>
        <v>0</v>
      </c>
      <c r="T16" s="36">
        <f>IF($G16="s-curve",$E16+($F16-$E16)*$L$2/(1+EXP($L$3*(COUNT($L$9:T$9)+$L$4))),TREND($E16:$F16,$E$9:$F$9,T$9))</f>
        <v>0</v>
      </c>
      <c r="U16" s="36">
        <f>IF($G16="s-curve",$E16+($F16-$E16)*$L$2/(1+EXP($L$3*(COUNT($L$9:U$9)+$L$4))),TREND($E16:$F16,$E$9:$F$9,U$9))</f>
        <v>0</v>
      </c>
      <c r="V16" s="36">
        <f>IF($G16="s-curve",$E16+($F16-$E16)*$L$2/(1+EXP($L$3*(COUNT($L$9:V$9)+$L$4))),TREND($E16:$F16,$E$9:$F$9,V$9))</f>
        <v>0</v>
      </c>
      <c r="W16" s="36">
        <f>IF($G16="s-curve",$E16+($F16-$E16)*$L$2/(1+EXP($L$3*(COUNT($L$9:W$9)+$L$4))),TREND($E16:$F16,$E$9:$F$9,W$9))</f>
        <v>0</v>
      </c>
      <c r="X16" s="36">
        <f>IF($G16="s-curve",$E16+($F16-$E16)*$L$2/(1+EXP($L$3*(COUNT($L$9:X$9)+$L$4))),TREND($E16:$F16,$E$9:$F$9,X$9))</f>
        <v>0</v>
      </c>
      <c r="Y16" s="36">
        <f>IF($G16="s-curve",$E16+($F16-$E16)*$L$2/(1+EXP($L$3*(COUNT($L$9:Y$9)+$L$4))),TREND($E16:$F16,$E$9:$F$9,Y$9))</f>
        <v>0</v>
      </c>
      <c r="Z16" s="36">
        <f>IF($G16="s-curve",$E16+($F16-$E16)*$L$2/(1+EXP($L$3*(COUNT($L$9:Z$9)+$L$4))),TREND($E16:$F16,$E$9:$F$9,Z$9))</f>
        <v>0</v>
      </c>
      <c r="AA16" s="36">
        <f>IF($G16="s-curve",$E16+($F16-$E16)*$L$2/(1+EXP($L$3*(COUNT($L$9:AA$9)+$L$4))),TREND($E16:$F16,$E$9:$F$9,AA$9))</f>
        <v>0</v>
      </c>
      <c r="AB16" s="36">
        <f>IF($G16="s-curve",$E16+($F16-$E16)*$L$2/(1+EXP($L$3*(COUNT($L$9:AB$9)+$L$4))),TREND($E16:$F16,$E$9:$F$9,AB$9))</f>
        <v>0</v>
      </c>
      <c r="AC16" s="36">
        <f>IF($G16="s-curve",$E16+($F16-$E16)*$L$2/(1+EXP($L$3*(COUNT($L$9:AC$9)+$L$4))),TREND($E16:$F16,$E$9:$F$9,AC$9))</f>
        <v>0</v>
      </c>
      <c r="AD16" s="36">
        <f>IF($G16="s-curve",$E16+($F16-$E16)*$L$2/(1+EXP($L$3*(COUNT($L$9:AD$9)+$L$4))),TREND($E16:$F16,$E$9:$F$9,AD$9))</f>
        <v>0</v>
      </c>
      <c r="AE16" s="36">
        <f>IF($G16="s-curve",$E16+($F16-$E16)*$L$2/(1+EXP($L$3*(COUNT($L$9:AE$9)+$L$4))),TREND($E16:$F16,$E$9:$F$9,AE$9))</f>
        <v>0</v>
      </c>
      <c r="AF16" s="36">
        <f>IF($G16="s-curve",$E16+($F16-$E16)*$L$2/(1+EXP($L$3*(COUNT($L$9:AF$9)+$L$4))),TREND($E16:$F16,$E$9:$F$9,AF$9))</f>
        <v>0</v>
      </c>
      <c r="AG16" s="36">
        <f>IF($G16="s-curve",$E16+($F16-$E16)*$L$2/(1+EXP($L$3*(COUNT($L$9:AG$9)+$L$4))),TREND($E16:$F16,$E$9:$F$9,AG$9))</f>
        <v>0</v>
      </c>
      <c r="AH16" s="36">
        <f>IF($G16="s-curve",$E16+($F16-$E16)*$L$2/(1+EXP($L$3*(COUNT($L$9:AH$9)+$L$4))),TREND($E16:$F16,$E$9:$F$9,AH$9))</f>
        <v>0</v>
      </c>
      <c r="AI16" s="36">
        <f>IF($G16="s-curve",$E16+($F16-$E16)*$L$2/(1+EXP($L$3*(COUNT($L$9:AI$9)+$L$4))),TREND($E16:$F16,$E$9:$F$9,AI$9))</f>
        <v>0</v>
      </c>
      <c r="AJ16" s="36">
        <f>IF($G16="s-curve",$E16+($F16-$E16)*$L$2/(1+EXP($L$3*(COUNT($L$9:AJ$9)+$L$4))),TREND($E16:$F16,$E$9:$F$9,AJ$9))</f>
        <v>0</v>
      </c>
      <c r="AK16" s="36">
        <f>IF($G16="s-curve",$E16+($F16-$E16)*$L$2/(1+EXP($L$3*(COUNT($L$9:AK$9)+$L$4))),TREND($E16:$F16,$E$9:$F$9,AK$9))</f>
        <v>0</v>
      </c>
      <c r="AL16" s="36">
        <f>IF($G16="s-curve",$E16+($F16-$E16)*$L$2/(1+EXP($L$3*(COUNT($L$9:AL$9)+$L$4))),TREND($E16:$F16,$E$9:$F$9,AL$9))</f>
        <v>0</v>
      </c>
      <c r="AM16" s="36">
        <f>IF($G16="s-curve",$E16+($F16-$E16)*$L$2/(1+EXP($L$3*(COUNT($L$9:AM$9)+$L$4))),TREND($E16:$F16,$E$9:$F$9,AM$9))</f>
        <v>0</v>
      </c>
      <c r="AN16" s="36">
        <f>IF($G16="s-curve",$E16+($F16-$E16)*$L$2/(1+EXP($L$3*(COUNT($L$9:AN$9)+$L$4))),TREND($E16:$F16,$E$9:$F$9,AN$9))</f>
        <v>0</v>
      </c>
      <c r="AO16" s="36">
        <f>IF($G16="s-curve",$E16+($F16-$E16)*$L$2/(1+EXP($L$3*(COUNT($L$9:AO$9)+$L$4))),TREND($E16:$F16,$E$9:$F$9,AO$9))</f>
        <v>0</v>
      </c>
      <c r="AP16" s="36">
        <f>IF($G16="s-curve",$E16+($F16-$E16)*$L$2/(1+EXP($L$3*(COUNT($L$9:AP$9)+$L$4))),TREND($E16:$F16,$E$9:$F$9,AP$9))</f>
        <v>0</v>
      </c>
      <c r="AQ16" s="36">
        <f>IF($G16="s-curve",$E16+($F16-$E16)*$L$2/(1+EXP($L$3*(COUNT($L$9:AQ$9)+$L$4))),TREND($E16:$F16,$E$9:$F$9,AQ$9))</f>
        <v>0</v>
      </c>
      <c r="AR16" s="36">
        <f>IF($G16="s-curve",$E16+($F16-$E16)*$L$2/(1+EXP($L$3*(COUNT($L$9:AR$9)+$L$4))),TREND($E16:$F16,$E$9:$F$9,AR$9))</f>
        <v>0</v>
      </c>
      <c r="AS16" s="36">
        <f>IF($G16="s-curve",$E16+($F16-$E16)*$L$2/(1+EXP($L$3*(COUNT($L$9:AS$9)+$L$4))),TREND($E16:$F16,$E$9:$F$9,AS$9))</f>
        <v>0</v>
      </c>
      <c r="AT16" s="36">
        <f>IF($G16="s-curve",$E16+($F16-$E16)*$L$2/(1+EXP($L$3*(COUNT($L$9:AT$9)+$L$4))),TREND($E16:$F16,$E$9:$F$9,AT$9))</f>
        <v>0</v>
      </c>
      <c r="AU16" s="36">
        <f>IF($G16="s-curve",$E16+($F16-$E16)*$L$2/(1+EXP($L$3*(COUNT($L$9:AU$9)+$L$4))),TREND($E16:$F16,$E$9:$F$9,AU$9))</f>
        <v>0</v>
      </c>
      <c r="AV16" s="36">
        <f>IF($G16="s-curve",$E16+($F16-$E16)*$L$2/(1+EXP($L$3*(COUNT($L$9:AV$9)+$L$4))),TREND($E16:$F16,$E$9:$F$9,AV$9))</f>
        <v>0</v>
      </c>
      <c r="AW16" s="36">
        <f>IF($G16="s-curve",$E16+($F16-$E16)*$L$2/(1+EXP($L$3*(COUNT($L$9:AW$9)+$L$4))),TREND($E16:$F16,$E$9:$F$9,AW$9))</f>
        <v>0</v>
      </c>
      <c r="AX16" s="36">
        <f>IF($G16="s-curve",$E16+($F16-$E16)*$L$2/(1+EXP($L$3*(COUNT($L$9:AX$9)+$L$4))),TREND($E16:$F16,$E$9:$F$9,AX$9))</f>
        <v>0</v>
      </c>
      <c r="AY16" s="36">
        <f>IF($G16="s-curve",$E16+($F16-$E16)*$L$2/(1+EXP($L$3*(COUNT($L$9:AY$9)+$L$4))),TREND($E16:$F16,$E$9:$F$9,AY$9))</f>
        <v>0</v>
      </c>
      <c r="AZ16" s="36">
        <f>IF($G16="s-curve",$E16+($F16-$E16)*$L$2/(1+EXP($L$3*(COUNT($L$9:AZ$9)+$L$4))),TREND($E16:$F16,$E$9:$F$9,AZ$9))</f>
        <v>0</v>
      </c>
      <c r="BA16" s="36">
        <f>IF($G16="s-curve",$E16+($F16-$E16)*$L$2/(1+EXP($L$3*(COUNT($L$9:BA$9)+$L$4))),TREND($E16:$F16,$E$9:$F$9,BA$9))</f>
        <v>0</v>
      </c>
      <c r="BB16" s="36">
        <f>IF($G16="s-curve",$E16+($F16-$E16)*$L$2/(1+EXP($L$3*(COUNT($L$9:BB$9)+$L$4))),TREND($E16:$F16,$E$9:$F$9,BB$9))</f>
        <v>0</v>
      </c>
      <c r="BC16" s="36">
        <f>IF($G16="s-curve",$E16+($F16-$E16)*$L$2/(1+EXP($L$3*(COUNT($L$9:BC$9)+$L$4))),TREND($E16:$F16,$E$9:$F$9,BC$9))</f>
        <v>0</v>
      </c>
      <c r="BD16" s="36">
        <f>IF($G16="s-curve",$E16+($F16-$E16)*$L$2/(1+EXP($L$3*(COUNT($L$9:BD$9)+$L$4))),TREND($E16:$F16,$E$9:$F$9,BD$9))</f>
        <v>0</v>
      </c>
      <c r="BE16" s="36">
        <f>IF($G16="s-curve",$E16+($F16-$E16)*$L$2/(1+EXP($L$3*(COUNT($L$9:BE$9)+$L$4))),TREND($E16:$F16,$E$9:$F$9,BE$9))</f>
        <v>0</v>
      </c>
      <c r="BF16" s="36">
        <f>IF($G16="s-curve",$E16+($F16-$E16)*$L$2/(1+EXP($L$3*(COUNT($L$9:BF$9)+$L$4))),TREND($E16:$F16,$E$9:$F$9,BF$9))</f>
        <v>0</v>
      </c>
    </row>
    <row r="17" spans="1:58" x14ac:dyDescent="0.25">
      <c r="A17" t="s">
        <v>12</v>
      </c>
      <c r="B17" t="s">
        <v>18</v>
      </c>
      <c r="C17" t="s">
        <v>1</v>
      </c>
      <c r="D17">
        <v>0.139546683447</v>
      </c>
      <c r="E17">
        <v>5.8249127235400003E-2</v>
      </c>
      <c r="F17">
        <v>0.2</v>
      </c>
      <c r="G17" s="5" t="str">
        <f>IF(E17=F17,"n/a",IF(OR(C17="battery electric vehicle",C17="natural gas vehicle",C17="plugin hybrid vehicle"),"s-curve","linear"))</f>
        <v>s-curve</v>
      </c>
      <c r="H17" s="33"/>
      <c r="I17">
        <f t="shared" si="22"/>
        <v>8.0688953357942239E-2</v>
      </c>
      <c r="J17">
        <f t="shared" si="22"/>
        <v>8.979385099897641E-2</v>
      </c>
      <c r="K17">
        <f t="shared" si="22"/>
        <v>9.8898748640010581E-2</v>
      </c>
      <c r="L17" s="36">
        <f>D17</f>
        <v>0.139546683447</v>
      </c>
      <c r="M17" s="36">
        <f>IF($G17="s-curve",$E17+($F17-$E17)*$AA$2/(1+EXP($AA$3*(COUNT($L$9:M$9)+$AA$4))),TREND($E17:$F17,$E$9:$F$9,M$9))</f>
        <v>6.2019274287835199E-2</v>
      </c>
      <c r="N17" s="37">
        <f>IF($G17="s-curve",$D17+($F17-$D17)*$AA$2/(1+EXP($AA$3*(COUNT($L$9:N$9)+$AA$4))),TREND($D17:$F17,$E$9:$F$9,N$9))</f>
        <v>0.14191438128525985</v>
      </c>
      <c r="O17" s="37">
        <f>IF($G17="s-curve",$D17+($F17-$D17)*$AA$2/(1+EXP($AA$3*(COUNT($L$9:O$9)+$AA$4))),TREND($D17:$F17,$E$9:$F$9,O$9))</f>
        <v>0.14301211999875416</v>
      </c>
      <c r="P17" s="37">
        <f>IF($G17="s-curve",$D17+($F17-$D17)*$AA$2/(1+EXP($AA$3*(COUNT($L$9:P$9)+$AA$4))),TREND($D17:$F17,$E$9:$F$9,P$9))</f>
        <v>0.14457474879671367</v>
      </c>
      <c r="Q17" s="37">
        <f>IF($G17="s-curve",$D17+($F17-$D17)*$AA$2/(1+EXP($AA$3*(COUNT($L$9:Q$9)+$AA$4))),TREND($D17:$F17,$E$9:$F$9,Q$9))</f>
        <v>0.14675289542604564</v>
      </c>
      <c r="R17" s="37">
        <f>IF($G17="s-curve",$D17+($F17-$D17)*$AA$2/(1+EXP($AA$3*(COUNT($L$9:R$9)+$AA$4))),TREND($D17:$F17,$E$9:$F$9,R$9))</f>
        <v>0.149701729185583</v>
      </c>
      <c r="S17" s="37">
        <f>IF($G17="s-curve",$D17+($F17-$D17)*$AA$2/(1+EXP($AA$3*(COUNT($L$9:S$9)+$AA$4))),TREND($D17:$F17,$E$9:$F$9,S$9))</f>
        <v>0.15354012798430811</v>
      </c>
      <c r="T17" s="37">
        <f>IF($G17="s-curve",$D17+($F17-$D17)*$AA$2/(1+EXP($AA$3*(COUNT($L$9:T$9)+$AA$4))),TREND($D17:$F17,$E$9:$F$9,T$9))</f>
        <v>0.15828875427890052</v>
      </c>
      <c r="U17" s="37">
        <f>IF($G17="s-curve",$D17+($F17-$D17)*$AA$2/(1+EXP($AA$3*(COUNT($L$9:U$9)+$AA$4))),TREND($D17:$F17,$E$9:$F$9,U$9))</f>
        <v>0.16380734536684707</v>
      </c>
      <c r="V17" s="37">
        <f>IF($G17="s-curve",$D17+($F17-$D17)*$AA$2/(1+EXP($AA$3*(COUNT($L$9:V$9)+$AA$4))),TREND($D17:$F17,$E$9:$F$9,V$9))</f>
        <v>0.1697733417235</v>
      </c>
      <c r="W17" s="37">
        <f>IF($G17="s-curve",$D17+($F17-$D17)*$AA$2/(1+EXP($AA$3*(COUNT($L$9:W$9)+$AA$4))),TREND($D17:$F17,$E$9:$F$9,W$9))</f>
        <v>0.17573933808015293</v>
      </c>
      <c r="X17" s="37">
        <f>IF($G17="s-curve",$D17+($F17-$D17)*$AA$2/(1+EXP($AA$3*(COUNT($L$9:X$9)+$AA$4))),TREND($D17:$F17,$E$9:$F$9,X$9))</f>
        <v>0.18125792916809949</v>
      </c>
      <c r="Y17" s="37">
        <f>IF($G17="s-curve",$D17+($F17-$D17)*$AA$2/(1+EXP($AA$3*(COUNT($L$9:Y$9)+$AA$4))),TREND($D17:$F17,$E$9:$F$9,Y$9))</f>
        <v>0.1860065554626919</v>
      </c>
      <c r="Z17" s="37">
        <f>IF($G17="s-curve",$D17+($F17-$D17)*$AA$2/(1+EXP($AA$3*(COUNT($L$9:Z$9)+$AA$4))),TREND($D17:$F17,$E$9:$F$9,Z$9))</f>
        <v>0.18984495426141701</v>
      </c>
      <c r="AA17" s="37">
        <f>IF($G17="s-curve",$D17+($F17-$D17)*$AA$2/(1+EXP($AA$3*(COUNT($L$9:AA$9)+$AA$4))),TREND($D17:$F17,$E$9:$F$9,AA$9))</f>
        <v>0.19279378802095437</v>
      </c>
      <c r="AB17" s="37">
        <f>IF($G17="s-curve",$D17+($F17-$D17)*$AA$2/(1+EXP($AA$3*(COUNT($L$9:AB$9)+$AA$4))),TREND($D17:$F17,$E$9:$F$9,AB$9))</f>
        <v>0.19497193465028634</v>
      </c>
      <c r="AC17" s="37">
        <f>IF($G17="s-curve",$D17+($F17-$D17)*$AA$2/(1+EXP($AA$3*(COUNT($L$9:AC$9)+$AA$4))),TREND($D17:$F17,$E$9:$F$9,AC$9))</f>
        <v>0.19653456344824585</v>
      </c>
      <c r="AD17" s="37">
        <f>IF($G17="s-curve",$D17+($F17-$D17)*$AA$2/(1+EXP($AA$3*(COUNT($L$9:AD$9)+$AA$4))),TREND($D17:$F17,$E$9:$F$9,AD$9))</f>
        <v>0.19763230216174016</v>
      </c>
      <c r="AE17" s="37">
        <f>IF($G17="s-curve",$D17+($F17-$D17)*$AA$2/(1+EXP($AA$3*(COUNT($L$9:AE$9)+$AA$4))),TREND($D17:$F17,$E$9:$F$9,AE$9))</f>
        <v>0.19839212352793961</v>
      </c>
      <c r="AF17" s="37">
        <f>IF($G17="s-curve",$D17+($F17-$D17)*$AA$2/(1+EXP($AA$3*(COUNT($L$9:AF$9)+$AA$4))),TREND($D17:$F17,$E$9:$F$9,AF$9))</f>
        <v>0.19891267395557297</v>
      </c>
      <c r="AG17" s="37">
        <f>IF($G17="s-curve",$D17+($F17-$D17)*$AA$2/(1+EXP($AA$3*(COUNT($L$9:AG$9)+$AA$4))),TREND($D17:$F17,$E$9:$F$9,AG$9))</f>
        <v>0.1992667958806032</v>
      </c>
      <c r="AH17" s="37">
        <f>IF($G17="s-curve",$D17+($F17-$D17)*$AA$2/(1+EXP($AA$3*(COUNT($L$9:AH$9)+$AA$4))),TREND($D17:$F17,$E$9:$F$9,AH$9))</f>
        <v>0.19950654550219166</v>
      </c>
      <c r="AI17" s="37">
        <f>IF($G17="s-curve",$D17+($F17-$D17)*$AA$2/(1+EXP($AA$3*(COUNT($L$9:AI$9)+$AA$4))),TREND($D17:$F17,$E$9:$F$9,AI$9))</f>
        <v>0.19966833503592715</v>
      </c>
      <c r="AJ17" s="37">
        <f>IF($G17="s-curve",$D17+($F17-$D17)*$AA$2/(1+EXP($AA$3*(COUNT($L$9:AJ$9)+$AA$4))),TREND($D17:$F17,$E$9:$F$9,AJ$9))</f>
        <v>0.19977727547910223</v>
      </c>
      <c r="AK17" s="37">
        <f>IF($G17="s-curve",$D17+($F17-$D17)*$AA$2/(1+EXP($AA$3*(COUNT($L$9:AK$9)+$AA$4))),TREND($D17:$F17,$E$9:$F$9,AK$9))</f>
        <v>0.19985052172959569</v>
      </c>
      <c r="AL17" s="37">
        <f>IF($G17="s-curve",$D17+($F17-$D17)*$AA$2/(1+EXP($AA$3*(COUNT($L$9:AL$9)+$AA$4))),TREND($D17:$F17,$E$9:$F$9,AL$9))</f>
        <v>0.19989971997320177</v>
      </c>
      <c r="AM17" s="37">
        <f>IF($G17="s-curve",$D17+($F17-$D17)*$AA$2/(1+EXP($AA$3*(COUNT($L$9:AM$9)+$AA$4))),TREND($D17:$F17,$E$9:$F$9,AM$9))</f>
        <v>0.19993274350702889</v>
      </c>
      <c r="AN17" s="37">
        <f>IF($G17="s-curve",$D17+($F17-$D17)*$AA$2/(1+EXP($AA$3*(COUNT($L$9:AN$9)+$AA$4))),TREND($D17:$F17,$E$9:$F$9,AN$9))</f>
        <v>0.19995490008275041</v>
      </c>
      <c r="AO17" s="37">
        <f>IF($G17="s-curve",$D17+($F17-$D17)*$AA$2/(1+EXP($AA$3*(COUNT($L$9:AO$9)+$AA$4))),TREND($D17:$F17,$E$9:$F$9,AO$9))</f>
        <v>0.19996976118413357</v>
      </c>
      <c r="AP17" s="37">
        <f>IF($G17="s-curve",$D17+($F17-$D17)*$AA$2/(1+EXP($AA$3*(COUNT($L$9:AP$9)+$AA$4))),TREND($D17:$F17,$E$9:$F$9,AP$9))</f>
        <v>0.19997972697240685</v>
      </c>
      <c r="AQ17" s="37">
        <f>IF($G17="s-curve",$D17+($F17-$D17)*$AA$2/(1+EXP($AA$3*(COUNT($L$9:AQ$9)+$AA$4))),TREND($D17:$F17,$E$9:$F$9,AQ$9))</f>
        <v>0.19998640908062268</v>
      </c>
      <c r="AR17" s="37">
        <f>IF($G17="s-curve",$D17+($F17-$D17)*$AA$2/(1+EXP($AA$3*(COUNT($L$9:AR$9)+$AA$4))),TREND($D17:$F17,$E$9:$F$9,AR$9))</f>
        <v>0.19999088905901641</v>
      </c>
      <c r="AS17" s="37">
        <f>IF($G17="s-curve",$D17+($F17-$D17)*$AA$2/(1+EXP($AA$3*(COUNT($L$9:AS$9)+$AA$4))),TREND($D17:$F17,$E$9:$F$9,AS$9))</f>
        <v>0.19999389245015961</v>
      </c>
      <c r="AT17" s="37">
        <f>IF($G17="s-curve",$D17+($F17-$D17)*$AA$2/(1+EXP($AA$3*(COUNT($L$9:AT$9)+$AA$4))),TREND($D17:$F17,$E$9:$F$9,AT$9))</f>
        <v>0.19999590585054478</v>
      </c>
      <c r="AU17" s="37">
        <f>IF($G17="s-curve",$D17+($F17-$D17)*$AA$2/(1+EXP($AA$3*(COUNT($L$9:AU$9)+$AA$4))),TREND($D17:$F17,$E$9:$F$9,AU$9))</f>
        <v>0.19999725554827252</v>
      </c>
      <c r="AV17" s="37">
        <f>IF($G17="s-curve",$D17+($F17-$D17)*$AA$2/(1+EXP($AA$3*(COUNT($L$9:AV$9)+$AA$4))),TREND($D17:$F17,$E$9:$F$9,AV$9))</f>
        <v>0.19999816031145751</v>
      </c>
      <c r="AW17" s="37">
        <f>IF($G17="s-curve",$D17+($F17-$D17)*$AA$2/(1+EXP($AA$3*(COUNT($L$9:AW$9)+$AA$4))),TREND($D17:$F17,$E$9:$F$9,AW$9))</f>
        <v>0.1999987668075193</v>
      </c>
      <c r="AX17" s="37">
        <f>IF($G17="s-curve",$D17+($F17-$D17)*$AA$2/(1+EXP($AA$3*(COUNT($L$9:AX$9)+$AA$4))),TREND($D17:$F17,$E$9:$F$9,AX$9))</f>
        <v>0.19999917336080028</v>
      </c>
      <c r="AY17" s="37">
        <f>IF($G17="s-curve",$D17+($F17-$D17)*$AA$2/(1+EXP($AA$3*(COUNT($L$9:AY$9)+$AA$4))),TREND($D17:$F17,$E$9:$F$9,AY$9))</f>
        <v>0.19999944588467561</v>
      </c>
      <c r="AZ17" s="37">
        <f>IF($G17="s-curve",$D17+($F17-$D17)*$AA$2/(1+EXP($AA$3*(COUNT($L$9:AZ$9)+$AA$4))),TREND($D17:$F17,$E$9:$F$9,AZ$9))</f>
        <v>0.19999962856426784</v>
      </c>
      <c r="BA17" s="37">
        <f>IF($G17="s-curve",$D17+($F17-$D17)*$AA$2/(1+EXP($AA$3*(COUNT($L$9:BA$9)+$AA$4))),TREND($D17:$F17,$E$9:$F$9,BA$9))</f>
        <v>0.19999975101867856</v>
      </c>
      <c r="BB17" s="37">
        <f>IF($G17="s-curve",$D17+($F17-$D17)*$AA$2/(1+EXP($AA$3*(COUNT($L$9:BB$9)+$AA$4))),TREND($D17:$F17,$E$9:$F$9,BB$9))</f>
        <v>0.19999983310260255</v>
      </c>
      <c r="BC17" s="37">
        <f>IF($G17="s-curve",$D17+($F17-$D17)*$AA$2/(1+EXP($AA$3*(COUNT($L$9:BC$9)+$AA$4))),TREND($D17:$F17,$E$9:$F$9,BC$9))</f>
        <v>0.19999988812522704</v>
      </c>
      <c r="BD17" s="37">
        <f>IF($G17="s-curve",$D17+($F17-$D17)*$AA$2/(1+EXP($AA$3*(COUNT($L$9:BD$9)+$AA$4))),TREND($D17:$F17,$E$9:$F$9,BD$9))</f>
        <v>0.19999992500805128</v>
      </c>
      <c r="BE17" s="37">
        <f>IF($G17="s-curve",$D17+($F17-$D17)*$AA$2/(1+EXP($AA$3*(COUNT($L$9:BE$9)+$AA$4))),TREND($D17:$F17,$E$9:$F$9,BE$9))</f>
        <v>0.19999994973137292</v>
      </c>
      <c r="BF17" s="37">
        <f>IF($G17="s-curve",$D17+($F17-$D17)*$AA$2/(1+EXP($AA$3*(COUNT($L$9:BF$9)+$AA$4))),TREND($D17:$F17,$E$9:$F$9,BF$9))</f>
        <v>0.19999996630392236</v>
      </c>
    </row>
    <row r="18" spans="1:58" x14ac:dyDescent="0.25">
      <c r="C18" t="s">
        <v>2</v>
      </c>
      <c r="D18">
        <v>0</v>
      </c>
      <c r="E18">
        <v>0</v>
      </c>
      <c r="F18" s="17">
        <f>E18</f>
        <v>0</v>
      </c>
      <c r="G18" s="5" t="s">
        <v>32</v>
      </c>
      <c r="H18" s="33"/>
      <c r="I18">
        <f t="shared" si="22"/>
        <v>0</v>
      </c>
      <c r="J18">
        <f t="shared" si="22"/>
        <v>0</v>
      </c>
      <c r="K18">
        <f t="shared" si="22"/>
        <v>0</v>
      </c>
      <c r="L18" s="36">
        <f t="shared" ref="L18:L23" si="24">D18</f>
        <v>0</v>
      </c>
      <c r="M18" s="36">
        <f t="shared" ref="M18:M23" si="25">E18</f>
        <v>0</v>
      </c>
      <c r="N18" s="36">
        <f>IF($G18="s-curve",$E18+($F18-$E18)*$L$2/(1+EXP($L$3*(COUNT($L$9:N$9)+$L$4))),TREND($E18:$F18,$E$9:$F$9,N$9))</f>
        <v>0</v>
      </c>
      <c r="O18" s="36">
        <f>IF($G18="s-curve",$E18+($F18-$E18)*$L$2/(1+EXP($L$3*(COUNT($L$9:O$9)+$L$4))),TREND($E18:$F18,$E$9:$F$9,O$9))</f>
        <v>0</v>
      </c>
      <c r="P18" s="36">
        <f>IF($G18="s-curve",$E18+($F18-$E18)*$L$2/(1+EXP($L$3*(COUNT($L$9:P$9)+$L$4))),TREND($E18:$F18,$E$9:$F$9,P$9))</f>
        <v>0</v>
      </c>
      <c r="Q18" s="36">
        <f>IF($G18="s-curve",$E18+($F18-$E18)*$L$2/(1+EXP($L$3*(COUNT($L$9:Q$9)+$L$4))),TREND($E18:$F18,$E$9:$F$9,Q$9))</f>
        <v>0</v>
      </c>
      <c r="R18" s="36">
        <f>IF($G18="s-curve",$E18+($F18-$E18)*$L$2/(1+EXP($L$3*(COUNT($L$9:R$9)+$L$4))),TREND($E18:$F18,$E$9:$F$9,R$9))</f>
        <v>0</v>
      </c>
      <c r="S18" s="36">
        <f>IF($G18="s-curve",$E18+($F18-$E18)*$L$2/(1+EXP($L$3*(COUNT($L$9:S$9)+$L$4))),TREND($E18:$F18,$E$9:$F$9,S$9))</f>
        <v>0</v>
      </c>
      <c r="T18" s="36">
        <f>IF($G18="s-curve",$E18+($F18-$E18)*$L$2/(1+EXP($L$3*(COUNT($L$9:T$9)+$L$4))),TREND($E18:$F18,$E$9:$F$9,T$9))</f>
        <v>0</v>
      </c>
      <c r="U18" s="36">
        <f>IF($G18="s-curve",$E18+($F18-$E18)*$L$2/(1+EXP($L$3*(COUNT($L$9:U$9)+$L$4))),TREND($E18:$F18,$E$9:$F$9,U$9))</f>
        <v>0</v>
      </c>
      <c r="V18" s="36">
        <f>IF($G18="s-curve",$E18+($F18-$E18)*$L$2/(1+EXP($L$3*(COUNT($L$9:V$9)+$L$4))),TREND($E18:$F18,$E$9:$F$9,V$9))</f>
        <v>0</v>
      </c>
      <c r="W18" s="36">
        <f>IF($G18="s-curve",$E18+($F18-$E18)*$L$2/(1+EXP($L$3*(COUNT($L$9:W$9)+$L$4))),TREND($E18:$F18,$E$9:$F$9,W$9))</f>
        <v>0</v>
      </c>
      <c r="X18" s="36">
        <f>IF($G18="s-curve",$E18+($F18-$E18)*$L$2/(1+EXP($L$3*(COUNT($L$9:X$9)+$L$4))),TREND($E18:$F18,$E$9:$F$9,X$9))</f>
        <v>0</v>
      </c>
      <c r="Y18" s="36">
        <f>IF($G18="s-curve",$E18+($F18-$E18)*$L$2/(1+EXP($L$3*(COUNT($L$9:Y$9)+$L$4))),TREND($E18:$F18,$E$9:$F$9,Y$9))</f>
        <v>0</v>
      </c>
      <c r="Z18" s="36">
        <f>IF($G18="s-curve",$E18+($F18-$E18)*$L$2/(1+EXP($L$3*(COUNT($L$9:Z$9)+$L$4))),TREND($E18:$F18,$E$9:$F$9,Z$9))</f>
        <v>0</v>
      </c>
      <c r="AA18" s="36">
        <f>IF($G18="s-curve",$E18+($F18-$E18)*$L$2/(1+EXP($L$3*(COUNT($L$9:AA$9)+$L$4))),TREND($E18:$F18,$E$9:$F$9,AA$9))</f>
        <v>0</v>
      </c>
      <c r="AB18" s="36">
        <f>IF($G18="s-curve",$E18+($F18-$E18)*$L$2/(1+EXP($L$3*(COUNT($L$9:AB$9)+$L$4))),TREND($E18:$F18,$E$9:$F$9,AB$9))</f>
        <v>0</v>
      </c>
      <c r="AC18" s="36">
        <f>IF($G18="s-curve",$E18+($F18-$E18)*$L$2/(1+EXP($L$3*(COUNT($L$9:AC$9)+$L$4))),TREND($E18:$F18,$E$9:$F$9,AC$9))</f>
        <v>0</v>
      </c>
      <c r="AD18" s="36">
        <f>IF($G18="s-curve",$E18+($F18-$E18)*$L$2/(1+EXP($L$3*(COUNT($L$9:AD$9)+$L$4))),TREND($E18:$F18,$E$9:$F$9,AD$9))</f>
        <v>0</v>
      </c>
      <c r="AE18" s="36">
        <f>IF($G18="s-curve",$E18+($F18-$E18)*$L$2/(1+EXP($L$3*(COUNT($L$9:AE$9)+$L$4))),TREND($E18:$F18,$E$9:$F$9,AE$9))</f>
        <v>0</v>
      </c>
      <c r="AF18" s="36">
        <f>IF($G18="s-curve",$E18+($F18-$E18)*$L$2/(1+EXP($L$3*(COUNT($L$9:AF$9)+$L$4))),TREND($E18:$F18,$E$9:$F$9,AF$9))</f>
        <v>0</v>
      </c>
      <c r="AG18" s="36">
        <f>IF($G18="s-curve",$E18+($F18-$E18)*$L$2/(1+EXP($L$3*(COUNT($L$9:AG$9)+$L$4))),TREND($E18:$F18,$E$9:$F$9,AG$9))</f>
        <v>0</v>
      </c>
      <c r="AH18" s="36">
        <f>IF($G18="s-curve",$E18+($F18-$E18)*$L$2/(1+EXP($L$3*(COUNT($L$9:AH$9)+$L$4))),TREND($E18:$F18,$E$9:$F$9,AH$9))</f>
        <v>0</v>
      </c>
      <c r="AI18" s="36">
        <f>IF($G18="s-curve",$E18+($F18-$E18)*$L$2/(1+EXP($L$3*(COUNT($L$9:AI$9)+$L$4))),TREND($E18:$F18,$E$9:$F$9,AI$9))</f>
        <v>0</v>
      </c>
      <c r="AJ18" s="36">
        <f>IF($G18="s-curve",$E18+($F18-$E18)*$L$2/(1+EXP($L$3*(COUNT($L$9:AJ$9)+$L$4))),TREND($E18:$F18,$E$9:$F$9,AJ$9))</f>
        <v>0</v>
      </c>
      <c r="AK18" s="36">
        <f>IF($G18="s-curve",$E18+($F18-$E18)*$L$2/(1+EXP($L$3*(COUNT($L$9:AK$9)+$L$4))),TREND($E18:$F18,$E$9:$F$9,AK$9))</f>
        <v>0</v>
      </c>
      <c r="AL18" s="36">
        <f>IF($G18="s-curve",$E18+($F18-$E18)*$L$2/(1+EXP($L$3*(COUNT($L$9:AL$9)+$L$4))),TREND($E18:$F18,$E$9:$F$9,AL$9))</f>
        <v>0</v>
      </c>
      <c r="AM18" s="36">
        <f>IF($G18="s-curve",$E18+($F18-$E18)*$L$2/(1+EXP($L$3*(COUNT($L$9:AM$9)+$L$4))),TREND($E18:$F18,$E$9:$F$9,AM$9))</f>
        <v>0</v>
      </c>
      <c r="AN18" s="36">
        <f>IF($G18="s-curve",$E18+($F18-$E18)*$L$2/(1+EXP($L$3*(COUNT($L$9:AN$9)+$L$4))),TREND($E18:$F18,$E$9:$F$9,AN$9))</f>
        <v>0</v>
      </c>
      <c r="AO18" s="36">
        <f>IF($G18="s-curve",$E18+($F18-$E18)*$L$2/(1+EXP($L$3*(COUNT($L$9:AO$9)+$L$4))),TREND($E18:$F18,$E$9:$F$9,AO$9))</f>
        <v>0</v>
      </c>
      <c r="AP18" s="36">
        <f>IF($G18="s-curve",$E18+($F18-$E18)*$L$2/(1+EXP($L$3*(COUNT($L$9:AP$9)+$L$4))),TREND($E18:$F18,$E$9:$F$9,AP$9))</f>
        <v>0</v>
      </c>
      <c r="AQ18" s="36">
        <f>IF($G18="s-curve",$E18+($F18-$E18)*$L$2/(1+EXP($L$3*(COUNT($L$9:AQ$9)+$L$4))),TREND($E18:$F18,$E$9:$F$9,AQ$9))</f>
        <v>0</v>
      </c>
      <c r="AR18" s="36">
        <f>IF($G18="s-curve",$E18+($F18-$E18)*$L$2/(1+EXP($L$3*(COUNT($L$9:AR$9)+$L$4))),TREND($E18:$F18,$E$9:$F$9,AR$9))</f>
        <v>0</v>
      </c>
      <c r="AS18" s="36">
        <f>IF($G18="s-curve",$E18+($F18-$E18)*$L$2/(1+EXP($L$3*(COUNT($L$9:AS$9)+$L$4))),TREND($E18:$F18,$E$9:$F$9,AS$9))</f>
        <v>0</v>
      </c>
      <c r="AT18" s="36">
        <f>IF($G18="s-curve",$E18+($F18-$E18)*$L$2/(1+EXP($L$3*(COUNT($L$9:AT$9)+$L$4))),TREND($E18:$F18,$E$9:$F$9,AT$9))</f>
        <v>0</v>
      </c>
      <c r="AU18" s="36">
        <f>IF($G18="s-curve",$E18+($F18-$E18)*$L$2/(1+EXP($L$3*(COUNT($L$9:AU$9)+$L$4))),TREND($E18:$F18,$E$9:$F$9,AU$9))</f>
        <v>0</v>
      </c>
      <c r="AV18" s="36">
        <f>IF($G18="s-curve",$E18+($F18-$E18)*$L$2/(1+EXP($L$3*(COUNT($L$9:AV$9)+$L$4))),TREND($E18:$F18,$E$9:$F$9,AV$9))</f>
        <v>0</v>
      </c>
      <c r="AW18" s="36">
        <f>IF($G18="s-curve",$E18+($F18-$E18)*$L$2/(1+EXP($L$3*(COUNT($L$9:AW$9)+$L$4))),TREND($E18:$F18,$E$9:$F$9,AW$9))</f>
        <v>0</v>
      </c>
      <c r="AX18" s="36">
        <f>IF($G18="s-curve",$E18+($F18-$E18)*$L$2/(1+EXP($L$3*(COUNT($L$9:AX$9)+$L$4))),TREND($E18:$F18,$E$9:$F$9,AX$9))</f>
        <v>0</v>
      </c>
      <c r="AY18" s="36">
        <f>IF($G18="s-curve",$E18+($F18-$E18)*$L$2/(1+EXP($L$3*(COUNT($L$9:AY$9)+$L$4))),TREND($E18:$F18,$E$9:$F$9,AY$9))</f>
        <v>0</v>
      </c>
      <c r="AZ18" s="36">
        <f>IF($G18="s-curve",$E18+($F18-$E18)*$L$2/(1+EXP($L$3*(COUNT($L$9:AZ$9)+$L$4))),TREND($E18:$F18,$E$9:$F$9,AZ$9))</f>
        <v>0</v>
      </c>
      <c r="BA18" s="36">
        <f>IF($G18="s-curve",$E18+($F18-$E18)*$L$2/(1+EXP($L$3*(COUNT($L$9:BA$9)+$L$4))),TREND($E18:$F18,$E$9:$F$9,BA$9))</f>
        <v>0</v>
      </c>
      <c r="BB18" s="36">
        <f>IF($G18="s-curve",$E18+($F18-$E18)*$L$2/(1+EXP($L$3*(COUNT($L$9:BB$9)+$L$4))),TREND($E18:$F18,$E$9:$F$9,BB$9))</f>
        <v>0</v>
      </c>
      <c r="BC18" s="36">
        <f>IF($G18="s-curve",$E18+($F18-$E18)*$L$2/(1+EXP($L$3*(COUNT($L$9:BC$9)+$L$4))),TREND($E18:$F18,$E$9:$F$9,BC$9))</f>
        <v>0</v>
      </c>
      <c r="BD18" s="36">
        <f>IF($G18="s-curve",$E18+($F18-$E18)*$L$2/(1+EXP($L$3*(COUNT($L$9:BD$9)+$L$4))),TREND($E18:$F18,$E$9:$F$9,BD$9))</f>
        <v>0</v>
      </c>
      <c r="BE18" s="36">
        <f>IF($G18="s-curve",$E18+($F18-$E18)*$L$2/(1+EXP($L$3*(COUNT($L$9:BE$9)+$L$4))),TREND($E18:$F18,$E$9:$F$9,BE$9))</f>
        <v>0</v>
      </c>
      <c r="BF18" s="36">
        <f>IF($G18="s-curve",$E18+($F18-$E18)*$L$2/(1+EXP($L$3*(COUNT($L$9:BF$9)+$L$4))),TREND($E18:$F18,$E$9:$F$9,BF$9))</f>
        <v>0</v>
      </c>
    </row>
    <row r="19" spans="1:58" x14ac:dyDescent="0.25">
      <c r="C19" t="s">
        <v>3</v>
      </c>
      <c r="D19">
        <v>0.72915442924999996</v>
      </c>
      <c r="E19">
        <v>0.67797888423399999</v>
      </c>
      <c r="F19" s="17">
        <f>E19</f>
        <v>0.67797888423399999</v>
      </c>
      <c r="G19" s="5" t="str">
        <f>IF(E19=F19,"n/a",IF(OR(C19="battery electric vehicle",C19="natural gas vehicle",C19="plugin hybrid vehicle"),"s-curve","linear"))</f>
        <v>n/a</v>
      </c>
      <c r="H19" s="33"/>
      <c r="I19">
        <f t="shared" si="22"/>
        <v>0.73938953825319942</v>
      </c>
      <c r="J19">
        <f t="shared" si="22"/>
        <v>0.72915442924999851</v>
      </c>
      <c r="K19">
        <f t="shared" si="22"/>
        <v>0.71891932024680116</v>
      </c>
      <c r="L19" s="36">
        <f t="shared" si="24"/>
        <v>0.72915442924999996</v>
      </c>
      <c r="M19" s="36">
        <f t="shared" si="25"/>
        <v>0.67797888423399999</v>
      </c>
      <c r="N19" s="36">
        <f>IF($G19="s-curve",$E19+($F19-$E19)*$L$2/(1+EXP($L$3*(COUNT($L$9:N$9)+$L$4))),TREND($E19:$F19,$E$9:$F$9,N$9))</f>
        <v>0.67797888423399999</v>
      </c>
      <c r="O19" s="36">
        <f>IF($G19="s-curve",$E19+($F19-$E19)*$L$2/(1+EXP($L$3*(COUNT($L$9:O$9)+$L$4))),TREND($E19:$F19,$E$9:$F$9,O$9))</f>
        <v>0.67797888423399999</v>
      </c>
      <c r="P19" s="36">
        <f>IF($G19="s-curve",$E19+($F19-$E19)*$L$2/(1+EXP($L$3*(COUNT($L$9:P$9)+$L$4))),TREND($E19:$F19,$E$9:$F$9,P$9))</f>
        <v>0.67797888423399999</v>
      </c>
      <c r="Q19" s="36">
        <f>IF($G19="s-curve",$E19+($F19-$E19)*$L$2/(1+EXP($L$3*(COUNT($L$9:Q$9)+$L$4))),TREND($E19:$F19,$E$9:$F$9,Q$9))</f>
        <v>0.67797888423399999</v>
      </c>
      <c r="R19" s="36">
        <f>IF($G19="s-curve",$E19+($F19-$E19)*$L$2/(1+EXP($L$3*(COUNT($L$9:R$9)+$L$4))),TREND($E19:$F19,$E$9:$F$9,R$9))</f>
        <v>0.67797888423399999</v>
      </c>
      <c r="S19" s="36">
        <f>IF($G19="s-curve",$E19+($F19-$E19)*$L$2/(1+EXP($L$3*(COUNT($L$9:S$9)+$L$4))),TREND($E19:$F19,$E$9:$F$9,S$9))</f>
        <v>0.67797888423399999</v>
      </c>
      <c r="T19" s="36">
        <f>IF($G19="s-curve",$E19+($F19-$E19)*$L$2/(1+EXP($L$3*(COUNT($L$9:T$9)+$L$4))),TREND($E19:$F19,$E$9:$F$9,T$9))</f>
        <v>0.67797888423399999</v>
      </c>
      <c r="U19" s="36">
        <f>IF($G19="s-curve",$E19+($F19-$E19)*$L$2/(1+EXP($L$3*(COUNT($L$9:U$9)+$L$4))),TREND($E19:$F19,$E$9:$F$9,U$9))</f>
        <v>0.67797888423399999</v>
      </c>
      <c r="V19" s="36">
        <f>IF($G19="s-curve",$E19+($F19-$E19)*$L$2/(1+EXP($L$3*(COUNT($L$9:V$9)+$L$4))),TREND($E19:$F19,$E$9:$F$9,V$9))</f>
        <v>0.67797888423399999</v>
      </c>
      <c r="W19" s="36">
        <f>IF($G19="s-curve",$E19+($F19-$E19)*$L$2/(1+EXP($L$3*(COUNT($L$9:W$9)+$L$4))),TREND($E19:$F19,$E$9:$F$9,W$9))</f>
        <v>0.67797888423399999</v>
      </c>
      <c r="X19" s="36">
        <f>IF($G19="s-curve",$E19+($F19-$E19)*$L$2/(1+EXP($L$3*(COUNT($L$9:X$9)+$L$4))),TREND($E19:$F19,$E$9:$F$9,X$9))</f>
        <v>0.67797888423399999</v>
      </c>
      <c r="Y19" s="36">
        <f>IF($G19="s-curve",$E19+($F19-$E19)*$L$2/(1+EXP($L$3*(COUNT($L$9:Y$9)+$L$4))),TREND($E19:$F19,$E$9:$F$9,Y$9))</f>
        <v>0.67797888423399999</v>
      </c>
      <c r="Z19" s="36">
        <f>IF($G19="s-curve",$E19+($F19-$E19)*$L$2/(1+EXP($L$3*(COUNT($L$9:Z$9)+$L$4))),TREND($E19:$F19,$E$9:$F$9,Z$9))</f>
        <v>0.67797888423399999</v>
      </c>
      <c r="AA19" s="36">
        <f>IF($G19="s-curve",$E19+($F19-$E19)*$L$2/(1+EXP($L$3*(COUNT($L$9:AA$9)+$L$4))),TREND($E19:$F19,$E$9:$F$9,AA$9))</f>
        <v>0.67797888423399999</v>
      </c>
      <c r="AB19" s="36">
        <f>IF($G19="s-curve",$E19+($F19-$E19)*$L$2/(1+EXP($L$3*(COUNT($L$9:AB$9)+$L$4))),TREND($E19:$F19,$E$9:$F$9,AB$9))</f>
        <v>0.67797888423399999</v>
      </c>
      <c r="AC19" s="36">
        <f>IF($G19="s-curve",$E19+($F19-$E19)*$L$2/(1+EXP($L$3*(COUNT($L$9:AC$9)+$L$4))),TREND($E19:$F19,$E$9:$F$9,AC$9))</f>
        <v>0.67797888423399999</v>
      </c>
      <c r="AD19" s="36">
        <f>IF($G19="s-curve",$E19+($F19-$E19)*$L$2/(1+EXP($L$3*(COUNT($L$9:AD$9)+$L$4))),TREND($E19:$F19,$E$9:$F$9,AD$9))</f>
        <v>0.67797888423399999</v>
      </c>
      <c r="AE19" s="36">
        <f>IF($G19="s-curve",$E19+($F19-$E19)*$L$2/(1+EXP($L$3*(COUNT($L$9:AE$9)+$L$4))),TREND($E19:$F19,$E$9:$F$9,AE$9))</f>
        <v>0.67797888423399999</v>
      </c>
      <c r="AF19" s="36">
        <f>IF($G19="s-curve",$E19+($F19-$E19)*$L$2/(1+EXP($L$3*(COUNT($L$9:AF$9)+$L$4))),TREND($E19:$F19,$E$9:$F$9,AF$9))</f>
        <v>0.67797888423399999</v>
      </c>
      <c r="AG19" s="36">
        <f>IF($G19="s-curve",$E19+($F19-$E19)*$L$2/(1+EXP($L$3*(COUNT($L$9:AG$9)+$L$4))),TREND($E19:$F19,$E$9:$F$9,AG$9))</f>
        <v>0.67797888423399999</v>
      </c>
      <c r="AH19" s="36">
        <f>IF($G19="s-curve",$E19+($F19-$E19)*$L$2/(1+EXP($L$3*(COUNT($L$9:AH$9)+$L$4))),TREND($E19:$F19,$E$9:$F$9,AH$9))</f>
        <v>0.67797888423399999</v>
      </c>
      <c r="AI19" s="36">
        <f>IF($G19="s-curve",$E19+($F19-$E19)*$L$2/(1+EXP($L$3*(COUNT($L$9:AI$9)+$L$4))),TREND($E19:$F19,$E$9:$F$9,AI$9))</f>
        <v>0.67797888423399999</v>
      </c>
      <c r="AJ19" s="36">
        <f>IF($G19="s-curve",$E19+($F19-$E19)*$L$2/(1+EXP($L$3*(COUNT($L$9:AJ$9)+$L$4))),TREND($E19:$F19,$E$9:$F$9,AJ$9))</f>
        <v>0.67797888423399999</v>
      </c>
      <c r="AK19" s="36">
        <f>IF($G19="s-curve",$E19+($F19-$E19)*$L$2/(1+EXP($L$3*(COUNT($L$9:AK$9)+$L$4))),TREND($E19:$F19,$E$9:$F$9,AK$9))</f>
        <v>0.67797888423399999</v>
      </c>
      <c r="AL19" s="36">
        <f>IF($G19="s-curve",$E19+($F19-$E19)*$L$2/(1+EXP($L$3*(COUNT($L$9:AL$9)+$L$4))),TREND($E19:$F19,$E$9:$F$9,AL$9))</f>
        <v>0.67797888423399999</v>
      </c>
      <c r="AM19" s="36">
        <f>IF($G19="s-curve",$E19+($F19-$E19)*$L$2/(1+EXP($L$3*(COUNT($L$9:AM$9)+$L$4))),TREND($E19:$F19,$E$9:$F$9,AM$9))</f>
        <v>0.67797888423399999</v>
      </c>
      <c r="AN19" s="36">
        <f>IF($G19="s-curve",$E19+($F19-$E19)*$L$2/(1+EXP($L$3*(COUNT($L$9:AN$9)+$L$4))),TREND($E19:$F19,$E$9:$F$9,AN$9))</f>
        <v>0.67797888423399999</v>
      </c>
      <c r="AO19" s="36">
        <f>IF($G19="s-curve",$E19+($F19-$E19)*$L$2/(1+EXP($L$3*(COUNT($L$9:AO$9)+$L$4))),TREND($E19:$F19,$E$9:$F$9,AO$9))</f>
        <v>0.67797888423399999</v>
      </c>
      <c r="AP19" s="36">
        <f>IF($G19="s-curve",$E19+($F19-$E19)*$L$2/(1+EXP($L$3*(COUNT($L$9:AP$9)+$L$4))),TREND($E19:$F19,$E$9:$F$9,AP$9))</f>
        <v>0.67797888423399999</v>
      </c>
      <c r="AQ19" s="36">
        <f>IF($G19="s-curve",$E19+($F19-$E19)*$L$2/(1+EXP($L$3*(COUNT($L$9:AQ$9)+$L$4))),TREND($E19:$F19,$E$9:$F$9,AQ$9))</f>
        <v>0.67797888423399999</v>
      </c>
      <c r="AR19" s="36">
        <f>IF($G19="s-curve",$E19+($F19-$E19)*$L$2/(1+EXP($L$3*(COUNT($L$9:AR$9)+$L$4))),TREND($E19:$F19,$E$9:$F$9,AR$9))</f>
        <v>0.67797888423399999</v>
      </c>
      <c r="AS19" s="36">
        <f>IF($G19="s-curve",$E19+($F19-$E19)*$L$2/(1+EXP($L$3*(COUNT($L$9:AS$9)+$L$4))),TREND($E19:$F19,$E$9:$F$9,AS$9))</f>
        <v>0.67797888423399999</v>
      </c>
      <c r="AT19" s="36">
        <f>IF($G19="s-curve",$E19+($F19-$E19)*$L$2/(1+EXP($L$3*(COUNT($L$9:AT$9)+$L$4))),TREND($E19:$F19,$E$9:$F$9,AT$9))</f>
        <v>0.67797888423399999</v>
      </c>
      <c r="AU19" s="36">
        <f>IF($G19="s-curve",$E19+($F19-$E19)*$L$2/(1+EXP($L$3*(COUNT($L$9:AU$9)+$L$4))),TREND($E19:$F19,$E$9:$F$9,AU$9))</f>
        <v>0.67797888423399999</v>
      </c>
      <c r="AV19" s="36">
        <f>IF($G19="s-curve",$E19+($F19-$E19)*$L$2/(1+EXP($L$3*(COUNT($L$9:AV$9)+$L$4))),TREND($E19:$F19,$E$9:$F$9,AV$9))</f>
        <v>0.67797888423399999</v>
      </c>
      <c r="AW19" s="36">
        <f>IF($G19="s-curve",$E19+($F19-$E19)*$L$2/(1+EXP($L$3*(COUNT($L$9:AW$9)+$L$4))),TREND($E19:$F19,$E$9:$F$9,AW$9))</f>
        <v>0.67797888423399999</v>
      </c>
      <c r="AX19" s="36">
        <f>IF($G19="s-curve",$E19+($F19-$E19)*$L$2/(1+EXP($L$3*(COUNT($L$9:AX$9)+$L$4))),TREND($E19:$F19,$E$9:$F$9,AX$9))</f>
        <v>0.67797888423399999</v>
      </c>
      <c r="AY19" s="36">
        <f>IF($G19="s-curve",$E19+($F19-$E19)*$L$2/(1+EXP($L$3*(COUNT($L$9:AY$9)+$L$4))),TREND($E19:$F19,$E$9:$F$9,AY$9))</f>
        <v>0.67797888423399999</v>
      </c>
      <c r="AZ19" s="36">
        <f>IF($G19="s-curve",$E19+($F19-$E19)*$L$2/(1+EXP($L$3*(COUNT($L$9:AZ$9)+$L$4))),TREND($E19:$F19,$E$9:$F$9,AZ$9))</f>
        <v>0.67797888423399999</v>
      </c>
      <c r="BA19" s="36">
        <f>IF($G19="s-curve",$E19+($F19-$E19)*$L$2/(1+EXP($L$3*(COUNT($L$9:BA$9)+$L$4))),TREND($E19:$F19,$E$9:$F$9,BA$9))</f>
        <v>0.67797888423399999</v>
      </c>
      <c r="BB19" s="36">
        <f>IF($G19="s-curve",$E19+($F19-$E19)*$L$2/(1+EXP($L$3*(COUNT($L$9:BB$9)+$L$4))),TREND($E19:$F19,$E$9:$F$9,BB$9))</f>
        <v>0.67797888423399999</v>
      </c>
      <c r="BC19" s="36">
        <f>IF($G19="s-curve",$E19+($F19-$E19)*$L$2/(1+EXP($L$3*(COUNT($L$9:BC$9)+$L$4))),TREND($E19:$F19,$E$9:$F$9,BC$9))</f>
        <v>0.67797888423399999</v>
      </c>
      <c r="BD19" s="36">
        <f>IF($G19="s-curve",$E19+($F19-$E19)*$L$2/(1+EXP($L$3*(COUNT($L$9:BD$9)+$L$4))),TREND($E19:$F19,$E$9:$F$9,BD$9))</f>
        <v>0.67797888423399999</v>
      </c>
      <c r="BE19" s="36">
        <f>IF($G19="s-curve",$E19+($F19-$E19)*$L$2/(1+EXP($L$3*(COUNT($L$9:BE$9)+$L$4))),TREND($E19:$F19,$E$9:$F$9,BE$9))</f>
        <v>0.67797888423399999</v>
      </c>
      <c r="BF19" s="36">
        <f>IF($G19="s-curve",$E19+($F19-$E19)*$L$2/(1+EXP($L$3*(COUNT($L$9:BF$9)+$L$4))),TREND($E19:$F19,$E$9:$F$9,BF$9))</f>
        <v>0.67797888423399999</v>
      </c>
    </row>
    <row r="20" spans="1:58" x14ac:dyDescent="0.25">
      <c r="C20" t="s">
        <v>4</v>
      </c>
      <c r="D20">
        <v>1</v>
      </c>
      <c r="E20">
        <v>1</v>
      </c>
      <c r="F20" s="27">
        <v>1</v>
      </c>
      <c r="G20" s="5" t="str">
        <f>IF(E20=F20,"n/a",IF(OR(C20="battery electric vehicle",C20="natural gas vehicle",C20="plugin hybrid vehicle"),"s-curve","linear"))</f>
        <v>n/a</v>
      </c>
      <c r="H20" s="33"/>
      <c r="I20">
        <f t="shared" si="22"/>
        <v>1</v>
      </c>
      <c r="J20">
        <f t="shared" si="22"/>
        <v>1</v>
      </c>
      <c r="K20">
        <f t="shared" si="22"/>
        <v>1</v>
      </c>
      <c r="L20" s="36">
        <f t="shared" si="24"/>
        <v>1</v>
      </c>
      <c r="M20" s="36">
        <f t="shared" si="25"/>
        <v>1</v>
      </c>
      <c r="N20" s="36">
        <f>IF($G20="s-curve",$E20+($F20-$E20)*$L$2/(1+EXP($L$3*(COUNT($L$9:N$9)+$L$4))),TREND($E20:$F20,$E$9:$F$9,N$9))</f>
        <v>1</v>
      </c>
      <c r="O20" s="36">
        <f>IF($G20="s-curve",$E20+($F20-$E20)*$L$2/(1+EXP($L$3*(COUNT($L$9:O$9)+$L$4))),TREND($E20:$F20,$E$9:$F$9,O$9))</f>
        <v>1</v>
      </c>
      <c r="P20" s="36">
        <f>IF($G20="s-curve",$E20+($F20-$E20)*$L$2/(1+EXP($L$3*(COUNT($L$9:P$9)+$L$4))),TREND($E20:$F20,$E$9:$F$9,P$9))</f>
        <v>1</v>
      </c>
      <c r="Q20" s="36">
        <f>IF($G20="s-curve",$E20+($F20-$E20)*$L$2/(1+EXP($L$3*(COUNT($L$9:Q$9)+$L$4))),TREND($E20:$F20,$E$9:$F$9,Q$9))</f>
        <v>1</v>
      </c>
      <c r="R20" s="36">
        <f>IF($G20="s-curve",$E20+($F20-$E20)*$L$2/(1+EXP($L$3*(COUNT($L$9:R$9)+$L$4))),TREND($E20:$F20,$E$9:$F$9,R$9))</f>
        <v>1</v>
      </c>
      <c r="S20" s="36">
        <f>IF($G20="s-curve",$E20+($F20-$E20)*$L$2/(1+EXP($L$3*(COUNT($L$9:S$9)+$L$4))),TREND($E20:$F20,$E$9:$F$9,S$9))</f>
        <v>1</v>
      </c>
      <c r="T20" s="36">
        <f>IF($G20="s-curve",$E20+($F20-$E20)*$L$2/(1+EXP($L$3*(COUNT($L$9:T$9)+$L$4))),TREND($E20:$F20,$E$9:$F$9,T$9))</f>
        <v>1</v>
      </c>
      <c r="U20" s="36">
        <f>IF($G20="s-curve",$E20+($F20-$E20)*$L$2/(1+EXP($L$3*(COUNT($L$9:U$9)+$L$4))),TREND($E20:$F20,$E$9:$F$9,U$9))</f>
        <v>1</v>
      </c>
      <c r="V20" s="36">
        <f>IF($G20="s-curve",$E20+($F20-$E20)*$L$2/(1+EXP($L$3*(COUNT($L$9:V$9)+$L$4))),TREND($E20:$F20,$E$9:$F$9,V$9))</f>
        <v>1</v>
      </c>
      <c r="W20" s="36">
        <f>IF($G20="s-curve",$E20+($F20-$E20)*$L$2/(1+EXP($L$3*(COUNT($L$9:W$9)+$L$4))),TREND($E20:$F20,$E$9:$F$9,W$9))</f>
        <v>1</v>
      </c>
      <c r="X20" s="36">
        <f>IF($G20="s-curve",$E20+($F20-$E20)*$L$2/(1+EXP($L$3*(COUNT($L$9:X$9)+$L$4))),TREND($E20:$F20,$E$9:$F$9,X$9))</f>
        <v>1</v>
      </c>
      <c r="Y20" s="36">
        <f>IF($G20="s-curve",$E20+($F20-$E20)*$L$2/(1+EXP($L$3*(COUNT($L$9:Y$9)+$L$4))),TREND($E20:$F20,$E$9:$F$9,Y$9))</f>
        <v>1</v>
      </c>
      <c r="Z20" s="36">
        <f>IF($G20="s-curve",$E20+($F20-$E20)*$L$2/(1+EXP($L$3*(COUNT($L$9:Z$9)+$L$4))),TREND($E20:$F20,$E$9:$F$9,Z$9))</f>
        <v>1</v>
      </c>
      <c r="AA20" s="36">
        <f>IF($G20="s-curve",$E20+($F20-$E20)*$L$2/(1+EXP($L$3*(COUNT($L$9:AA$9)+$L$4))),TREND($E20:$F20,$E$9:$F$9,AA$9))</f>
        <v>1</v>
      </c>
      <c r="AB20" s="36">
        <f>IF($G20="s-curve",$E20+($F20-$E20)*$L$2/(1+EXP($L$3*(COUNT($L$9:AB$9)+$L$4))),TREND($E20:$F20,$E$9:$F$9,AB$9))</f>
        <v>1</v>
      </c>
      <c r="AC20" s="36">
        <f>IF($G20="s-curve",$E20+($F20-$E20)*$L$2/(1+EXP($L$3*(COUNT($L$9:AC$9)+$L$4))),TREND($E20:$F20,$E$9:$F$9,AC$9))</f>
        <v>1</v>
      </c>
      <c r="AD20" s="36">
        <f>IF($G20="s-curve",$E20+($F20-$E20)*$L$2/(1+EXP($L$3*(COUNT($L$9:AD$9)+$L$4))),TREND($E20:$F20,$E$9:$F$9,AD$9))</f>
        <v>1</v>
      </c>
      <c r="AE20" s="36">
        <f>IF($G20="s-curve",$E20+($F20-$E20)*$L$2/(1+EXP($L$3*(COUNT($L$9:AE$9)+$L$4))),TREND($E20:$F20,$E$9:$F$9,AE$9))</f>
        <v>1</v>
      </c>
      <c r="AF20" s="36">
        <f>IF($G20="s-curve",$E20+($F20-$E20)*$L$2/(1+EXP($L$3*(COUNT($L$9:AF$9)+$L$4))),TREND($E20:$F20,$E$9:$F$9,AF$9))</f>
        <v>1</v>
      </c>
      <c r="AG20" s="36">
        <f>IF($G20="s-curve",$E20+($F20-$E20)*$L$2/(1+EXP($L$3*(COUNT($L$9:AG$9)+$L$4))),TREND($E20:$F20,$E$9:$F$9,AG$9))</f>
        <v>1</v>
      </c>
      <c r="AH20" s="36">
        <f>IF($G20="s-curve",$E20+($F20-$E20)*$L$2/(1+EXP($L$3*(COUNT($L$9:AH$9)+$L$4))),TREND($E20:$F20,$E$9:$F$9,AH$9))</f>
        <v>1</v>
      </c>
      <c r="AI20" s="36">
        <f>IF($G20="s-curve",$E20+($F20-$E20)*$L$2/(1+EXP($L$3*(COUNT($L$9:AI$9)+$L$4))),TREND($E20:$F20,$E$9:$F$9,AI$9))</f>
        <v>1</v>
      </c>
      <c r="AJ20" s="36">
        <f>IF($G20="s-curve",$E20+($F20-$E20)*$L$2/(1+EXP($L$3*(COUNT($L$9:AJ$9)+$L$4))),TREND($E20:$F20,$E$9:$F$9,AJ$9))</f>
        <v>1</v>
      </c>
      <c r="AK20" s="36">
        <f>IF($G20="s-curve",$E20+($F20-$E20)*$L$2/(1+EXP($L$3*(COUNT($L$9:AK$9)+$L$4))),TREND($E20:$F20,$E$9:$F$9,AK$9))</f>
        <v>1</v>
      </c>
      <c r="AL20" s="36">
        <f>IF($G20="s-curve",$E20+($F20-$E20)*$L$2/(1+EXP($L$3*(COUNT($L$9:AL$9)+$L$4))),TREND($E20:$F20,$E$9:$F$9,AL$9))</f>
        <v>1</v>
      </c>
      <c r="AM20" s="36">
        <f>IF($G20="s-curve",$E20+($F20-$E20)*$L$2/(1+EXP($L$3*(COUNT($L$9:AM$9)+$L$4))),TREND($E20:$F20,$E$9:$F$9,AM$9))</f>
        <v>1</v>
      </c>
      <c r="AN20" s="36">
        <f>IF($G20="s-curve",$E20+($F20-$E20)*$L$2/(1+EXP($L$3*(COUNT($L$9:AN$9)+$L$4))),TREND($E20:$F20,$E$9:$F$9,AN$9))</f>
        <v>1</v>
      </c>
      <c r="AO20" s="36">
        <f>IF($G20="s-curve",$E20+($F20-$E20)*$L$2/(1+EXP($L$3*(COUNT($L$9:AO$9)+$L$4))),TREND($E20:$F20,$E$9:$F$9,AO$9))</f>
        <v>1</v>
      </c>
      <c r="AP20" s="36">
        <f>IF($G20="s-curve",$E20+($F20-$E20)*$L$2/(1+EXP($L$3*(COUNT($L$9:AP$9)+$L$4))),TREND($E20:$F20,$E$9:$F$9,AP$9))</f>
        <v>1</v>
      </c>
      <c r="AQ20" s="36">
        <f>IF($G20="s-curve",$E20+($F20-$E20)*$L$2/(1+EXP($L$3*(COUNT($L$9:AQ$9)+$L$4))),TREND($E20:$F20,$E$9:$F$9,AQ$9))</f>
        <v>1</v>
      </c>
      <c r="AR20" s="36">
        <f>IF($G20="s-curve",$E20+($F20-$E20)*$L$2/(1+EXP($L$3*(COUNT($L$9:AR$9)+$L$4))),TREND($E20:$F20,$E$9:$F$9,AR$9))</f>
        <v>1</v>
      </c>
      <c r="AS20" s="36">
        <f>IF($G20="s-curve",$E20+($F20-$E20)*$L$2/(1+EXP($L$3*(COUNT($L$9:AS$9)+$L$4))),TREND($E20:$F20,$E$9:$F$9,AS$9))</f>
        <v>1</v>
      </c>
      <c r="AT20" s="36">
        <f>IF($G20="s-curve",$E20+($F20-$E20)*$L$2/(1+EXP($L$3*(COUNT($L$9:AT$9)+$L$4))),TREND($E20:$F20,$E$9:$F$9,AT$9))</f>
        <v>1</v>
      </c>
      <c r="AU20" s="36">
        <f>IF($G20="s-curve",$E20+($F20-$E20)*$L$2/(1+EXP($L$3*(COUNT($L$9:AU$9)+$L$4))),TREND($E20:$F20,$E$9:$F$9,AU$9))</f>
        <v>1</v>
      </c>
      <c r="AV20" s="36">
        <f>IF($G20="s-curve",$E20+($F20-$E20)*$L$2/(1+EXP($L$3*(COUNT($L$9:AV$9)+$L$4))),TREND($E20:$F20,$E$9:$F$9,AV$9))</f>
        <v>1</v>
      </c>
      <c r="AW20" s="36">
        <f>IF($G20="s-curve",$E20+($F20-$E20)*$L$2/(1+EXP($L$3*(COUNT($L$9:AW$9)+$L$4))),TREND($E20:$F20,$E$9:$F$9,AW$9))</f>
        <v>1</v>
      </c>
      <c r="AX20" s="36">
        <f>IF($G20="s-curve",$E20+($F20-$E20)*$L$2/(1+EXP($L$3*(COUNT($L$9:AX$9)+$L$4))),TREND($E20:$F20,$E$9:$F$9,AX$9))</f>
        <v>1</v>
      </c>
      <c r="AY20" s="36">
        <f>IF($G20="s-curve",$E20+($F20-$E20)*$L$2/(1+EXP($L$3*(COUNT($L$9:AY$9)+$L$4))),TREND($E20:$F20,$E$9:$F$9,AY$9))</f>
        <v>1</v>
      </c>
      <c r="AZ20" s="36">
        <f>IF($G20="s-curve",$E20+($F20-$E20)*$L$2/(1+EXP($L$3*(COUNT($L$9:AZ$9)+$L$4))),TREND($E20:$F20,$E$9:$F$9,AZ$9))</f>
        <v>1</v>
      </c>
      <c r="BA20" s="36">
        <f>IF($G20="s-curve",$E20+($F20-$E20)*$L$2/(1+EXP($L$3*(COUNT($L$9:BA$9)+$L$4))),TREND($E20:$F20,$E$9:$F$9,BA$9))</f>
        <v>1</v>
      </c>
      <c r="BB20" s="36">
        <f>IF($G20="s-curve",$E20+($F20-$E20)*$L$2/(1+EXP($L$3*(COUNT($L$9:BB$9)+$L$4))),TREND($E20:$F20,$E$9:$F$9,BB$9))</f>
        <v>1</v>
      </c>
      <c r="BC20" s="36">
        <f>IF($G20="s-curve",$E20+($F20-$E20)*$L$2/(1+EXP($L$3*(COUNT($L$9:BC$9)+$L$4))),TREND($E20:$F20,$E$9:$F$9,BC$9))</f>
        <v>1</v>
      </c>
      <c r="BD20" s="36">
        <f>IF($G20="s-curve",$E20+($F20-$E20)*$L$2/(1+EXP($L$3*(COUNT($L$9:BD$9)+$L$4))),TREND($E20:$F20,$E$9:$F$9,BD$9))</f>
        <v>1</v>
      </c>
      <c r="BE20" s="36">
        <f>IF($G20="s-curve",$E20+($F20-$E20)*$L$2/(1+EXP($L$3*(COUNT($L$9:BE$9)+$L$4))),TREND($E20:$F20,$E$9:$F$9,BE$9))</f>
        <v>1</v>
      </c>
      <c r="BF20" s="36">
        <f>IF($G20="s-curve",$E20+($F20-$E20)*$L$2/(1+EXP($L$3*(COUNT($L$9:BF$9)+$L$4))),TREND($E20:$F20,$E$9:$F$9,BF$9))</f>
        <v>1</v>
      </c>
    </row>
    <row r="21" spans="1:58" x14ac:dyDescent="0.25">
      <c r="C21" t="s">
        <v>5</v>
      </c>
      <c r="D21">
        <v>0</v>
      </c>
      <c r="E21">
        <v>6.4220413235999997E-4</v>
      </c>
      <c r="F21" s="17">
        <f>E21/E17*F17</f>
        <v>2.2050257672177119E-3</v>
      </c>
      <c r="G21" s="5" t="s">
        <v>242</v>
      </c>
      <c r="H21" s="33"/>
      <c r="I21">
        <f t="shared" si="22"/>
        <v>0</v>
      </c>
      <c r="J21">
        <f t="shared" si="22"/>
        <v>0</v>
      </c>
      <c r="K21">
        <f t="shared" si="22"/>
        <v>7.9730252224741172E-5</v>
      </c>
      <c r="L21" s="36">
        <f t="shared" si="24"/>
        <v>0</v>
      </c>
      <c r="M21" s="36">
        <f t="shared" si="25"/>
        <v>6.4220413235999997E-4</v>
      </c>
      <c r="N21" s="36">
        <f>IF($G21="s-curve",$E21+($F21-$E21)*$AA$2/(1+EXP($AA$3*(COUNT($L$9:N$9)+$AA$4))),TREND($E21:$F21,$E$9:$F$9,N$9))</f>
        <v>7.034131712916232E-4</v>
      </c>
      <c r="O21" s="36">
        <f>IF($G21="s-curve",$E21+($F21-$E21)*$AA$2/(1+EXP($AA$3*(COUNT($L$9:O$9)+$AA$4))),TREND($E21:$F21,$E$9:$F$9,O$9))</f>
        <v>7.3179159465514107E-4</v>
      </c>
      <c r="P21" s="36">
        <f>IF($G21="s-curve",$E21+($F21-$E21)*$AA$2/(1+EXP($AA$3*(COUNT($L$9:P$9)+$AA$4))),TREND($E21:$F21,$E$9:$F$9,P$9))</f>
        <v>7.7218822187015597E-4</v>
      </c>
      <c r="Q21" s="36">
        <f>IF($G21="s-curve",$E21+($F21-$E21)*$AA$2/(1+EXP($AA$3*(COUNT($L$9:Q$9)+$AA$4))),TREND($E21:$F21,$E$9:$F$9,Q$9))</f>
        <v>8.284970378344221E-4</v>
      </c>
      <c r="R21" s="36">
        <f>IF($G21="s-curve",$E21+($F21-$E21)*$AA$2/(1+EXP($AA$3*(COUNT($L$9:R$9)+$AA$4))),TREND($E21:$F21,$E$9:$F$9,R$9))</f>
        <v>9.0472943433103864E-4</v>
      </c>
      <c r="S21" s="36">
        <f>IF($G21="s-curve",$E21+($F21-$E21)*$AA$2/(1+EXP($AA$3*(COUNT($L$9:S$9)+$AA$4))),TREND($E21:$F21,$E$9:$F$9,S$9))</f>
        <v>1.0039586086411079E-3</v>
      </c>
      <c r="T21" s="36">
        <f>IF($G21="s-curve",$E21+($F21-$E21)*$AA$2/(1+EXP($AA$3*(COUNT($L$9:T$9)+$AA$4))),TREND($E21:$F21,$E$9:$F$9,T$9))</f>
        <v>1.126718720611755E-3</v>
      </c>
      <c r="U21" s="36">
        <f>IF($G21="s-curve",$E21+($F21-$E21)*$AA$2/(1+EXP($AA$3*(COUNT($L$9:U$9)+$AA$4))),TREND($E21:$F21,$E$9:$F$9,U$9))</f>
        <v>1.2693837394716313E-3</v>
      </c>
      <c r="V21" s="36">
        <f>IF($G21="s-curve",$E21+($F21-$E21)*$AA$2/(1+EXP($AA$3*(COUNT($L$9:V$9)+$AA$4))),TREND($E21:$F21,$E$9:$F$9,V$9))</f>
        <v>1.4236149497888558E-3</v>
      </c>
      <c r="W21" s="36">
        <f>IF($G21="s-curve",$E21+($F21-$E21)*$AA$2/(1+EXP($AA$3*(COUNT($L$9:W$9)+$AA$4))),TREND($E21:$F21,$E$9:$F$9,W$9))</f>
        <v>1.5778461601060802E-3</v>
      </c>
      <c r="X21" s="36">
        <f>IF($G21="s-curve",$E21+($F21-$E21)*$AA$2/(1+EXP($AA$3*(COUNT($L$9:X$9)+$AA$4))),TREND($E21:$F21,$E$9:$F$9,X$9))</f>
        <v>1.7205111789659567E-3</v>
      </c>
      <c r="Y21" s="36">
        <f>IF($G21="s-curve",$E21+($F21-$E21)*$AA$2/(1+EXP($AA$3*(COUNT($L$9:Y$9)+$AA$4))),TREND($E21:$F21,$E$9:$F$9,Y$9))</f>
        <v>1.8432712909366039E-3</v>
      </c>
      <c r="Z21" s="36">
        <f>IF($G21="s-curve",$E21+($F21-$E21)*$AA$2/(1+EXP($AA$3*(COUNT($L$9:Z$9)+$AA$4))),TREND($E21:$F21,$E$9:$F$9,Z$9))</f>
        <v>1.942500465246673E-3</v>
      </c>
      <c r="AA21" s="36">
        <f>IF($G21="s-curve",$E21+($F21-$E21)*$AA$2/(1+EXP($AA$3*(COUNT($L$9:AA$9)+$AA$4))),TREND($E21:$F21,$E$9:$F$9,AA$9))</f>
        <v>2.0187328617432897E-3</v>
      </c>
      <c r="AB21" s="36">
        <f>IF($G21="s-curve",$E21+($F21-$E21)*$AA$2/(1+EXP($AA$3*(COUNT($L$9:AB$9)+$AA$4))),TREND($E21:$F21,$E$9:$F$9,AB$9))</f>
        <v>2.075041677707556E-3</v>
      </c>
      <c r="AC21" s="36">
        <f>IF($G21="s-curve",$E21+($F21-$E21)*$AA$2/(1+EXP($AA$3*(COUNT($L$9:AC$9)+$AA$4))),TREND($E21:$F21,$E$9:$F$9,AC$9))</f>
        <v>2.1154383049225706E-3</v>
      </c>
      <c r="AD21" s="36">
        <f>IF($G21="s-curve",$E21+($F21-$E21)*$AA$2/(1+EXP($AA$3*(COUNT($L$9:AD$9)+$AA$4))),TREND($E21:$F21,$E$9:$F$9,AD$9))</f>
        <v>2.1438167282860888E-3</v>
      </c>
      <c r="AE21" s="36">
        <f>IF($G21="s-curve",$E21+($F21-$E21)*$AA$2/(1+EXP($AA$3*(COUNT($L$9:AE$9)+$AA$4))),TREND($E21:$F21,$E$9:$F$9,AE$9))</f>
        <v>2.163459410233614E-3</v>
      </c>
      <c r="AF21" s="36">
        <f>IF($G21="s-curve",$E21+($F21-$E21)*$AA$2/(1+EXP($AA$3*(COUNT($L$9:AF$9)+$AA$4))),TREND($E21:$F21,$E$9:$F$9,AF$9))</f>
        <v>2.1769165291598619E-3</v>
      </c>
      <c r="AG21" s="36">
        <f>IF($G21="s-curve",$E21+($F21-$E21)*$AA$2/(1+EXP($AA$3*(COUNT($L$9:AG$9)+$AA$4))),TREND($E21:$F21,$E$9:$F$9,AG$9))</f>
        <v>2.1860711866273229E-3</v>
      </c>
      <c r="AH21" s="36">
        <f>IF($G21="s-curve",$E21+($F21-$E21)*$AA$2/(1+EXP($AA$3*(COUNT($L$9:AH$9)+$AA$4))),TREND($E21:$F21,$E$9:$F$9,AH$9))</f>
        <v>2.1922691244234882E-3</v>
      </c>
      <c r="AI21" s="36">
        <f>IF($G21="s-curve",$E21+($F21-$E21)*$AA$2/(1+EXP($AA$3*(COUNT($L$9:AI$9)+$AA$4))),TREND($E21:$F21,$E$9:$F$9,AI$9))</f>
        <v>2.1964516606023544E-3</v>
      </c>
      <c r="AJ21" s="36">
        <f>IF($G21="s-curve",$E21+($F21-$E21)*$AA$2/(1+EXP($AA$3*(COUNT($L$9:AJ$9)+$AA$4))),TREND($E21:$F21,$E$9:$F$9,AJ$9))</f>
        <v>2.1992679573948674E-3</v>
      </c>
      <c r="AK21" s="36">
        <f>IF($G21="s-curve",$E21+($F21-$E21)*$AA$2/(1+EXP($AA$3*(COUNT($L$9:AK$9)+$AA$4))),TREND($E21:$F21,$E$9:$F$9,AK$9))</f>
        <v>2.2011614982536728E-3</v>
      </c>
      <c r="AL21" s="36">
        <f>IF($G21="s-curve",$E21+($F21-$E21)*$AA$2/(1+EXP($AA$3*(COUNT($L$9:AL$9)+$AA$4))),TREND($E21:$F21,$E$9:$F$9,AL$9))</f>
        <v>2.2024333570016897E-3</v>
      </c>
      <c r="AM21" s="36">
        <f>IF($G21="s-curve",$E21+($F21-$E21)*$AA$2/(1+EXP($AA$3*(COUNT($L$9:AM$9)+$AA$4))),TREND($E21:$F21,$E$9:$F$9,AM$9))</f>
        <v>2.2032870718359989E-3</v>
      </c>
      <c r="AN21" s="36">
        <f>IF($G21="s-curve",$E21+($F21-$E21)*$AA$2/(1+EXP($AA$3*(COUNT($L$9:AN$9)+$AA$4))),TREND($E21:$F21,$E$9:$F$9,AN$9))</f>
        <v>2.2038598572159643E-3</v>
      </c>
      <c r="AO21" s="36">
        <f>IF($G21="s-curve",$E21+($F21-$E21)*$AA$2/(1+EXP($AA$3*(COUNT($L$9:AO$9)+$AA$4))),TREND($E21:$F21,$E$9:$F$9,AO$9))</f>
        <v>2.2042440421057882E-3</v>
      </c>
      <c r="AP21" s="36">
        <f>IF($G21="s-curve",$E21+($F21-$E21)*$AA$2/(1+EXP($AA$3*(COUNT($L$9:AP$9)+$AA$4))),TREND($E21:$F21,$E$9:$F$9,AP$9))</f>
        <v>2.2045016747785666E-3</v>
      </c>
      <c r="AQ21" s="36">
        <f>IF($G21="s-curve",$E21+($F21-$E21)*$AA$2/(1+EXP($AA$3*(COUNT($L$9:AQ$9)+$AA$4))),TREND($E21:$F21,$E$9:$F$9,AQ$9))</f>
        <v>2.2046744187053124E-3</v>
      </c>
      <c r="AR21" s="36">
        <f>IF($G21="s-curve",$E21+($F21-$E21)*$AA$2/(1+EXP($AA$3*(COUNT($L$9:AR$9)+$AA$4))),TREND($E21:$F21,$E$9:$F$9,AR$9))</f>
        <v>2.2047902338095389E-3</v>
      </c>
      <c r="AS21" s="36">
        <f>IF($G21="s-curve",$E21+($F21-$E21)*$AA$2/(1+EXP($AA$3*(COUNT($L$9:AS$9)+$AA$4))),TREND($E21:$F21,$E$9:$F$9,AS$9))</f>
        <v>2.2048678766077206E-3</v>
      </c>
      <c r="AT21" s="36">
        <f>IF($G21="s-curve",$E21+($F21-$E21)*$AA$2/(1+EXP($AA$3*(COUNT($L$9:AT$9)+$AA$4))),TREND($E21:$F21,$E$9:$F$9,AT$9))</f>
        <v>2.2049199264514837E-3</v>
      </c>
      <c r="AU21" s="36">
        <f>IF($G21="s-curve",$E21+($F21-$E21)*$AA$2/(1+EXP($AA$3*(COUNT($L$9:AU$9)+$AA$4))),TREND($E21:$F21,$E$9:$F$9,AU$9))</f>
        <v>2.2049548184463271E-3</v>
      </c>
      <c r="AV21" s="36">
        <f>IF($G21="s-curve",$E21+($F21-$E21)*$AA$2/(1+EXP($AA$3*(COUNT($L$9:AV$9)+$AA$4))),TREND($E21:$F21,$E$9:$F$9,AV$9))</f>
        <v>2.204978208122205E-3</v>
      </c>
      <c r="AW21" s="36">
        <f>IF($G21="s-curve",$E21+($F21-$E21)*$AA$2/(1+EXP($AA$3*(COUNT($L$9:AW$9)+$AA$4))),TREND($E21:$F21,$E$9:$F$9,AW$9))</f>
        <v>2.2049938870827793E-3</v>
      </c>
      <c r="AX21" s="36">
        <f>IF($G21="s-curve",$E21+($F21-$E21)*$AA$2/(1+EXP($AA$3*(COUNT($L$9:AX$9)+$AA$4))),TREND($E21:$F21,$E$9:$F$9,AX$9))</f>
        <v>2.205004397180479E-3</v>
      </c>
      <c r="AY21" s="36">
        <f>IF($G21="s-curve",$E21+($F21-$E21)*$AA$2/(1+EXP($AA$3*(COUNT($L$9:AY$9)+$AA$4))),TREND($E21:$F21,$E$9:$F$9,AY$9))</f>
        <v>2.2050114423887933E-3</v>
      </c>
      <c r="AZ21" s="36">
        <f>IF($G21="s-curve",$E21+($F21-$E21)*$AA$2/(1+EXP($AA$3*(COUNT($L$9:AZ$9)+$AA$4))),TREND($E21:$F21,$E$9:$F$9,AZ$9))</f>
        <v>2.2050161649687151E-3</v>
      </c>
      <c r="BA21" s="36">
        <f>IF($G21="s-curve",$E21+($F21-$E21)*$AA$2/(1+EXP($AA$3*(COUNT($L$9:BA$9)+$AA$4))),TREND($E21:$F21,$E$9:$F$9,BA$9))</f>
        <v>2.2050193306246842E-3</v>
      </c>
      <c r="BB21" s="36">
        <f>IF($G21="s-curve",$E21+($F21-$E21)*$AA$2/(1+EXP($AA$3*(COUNT($L$9:BB$9)+$AA$4))),TREND($E21:$F21,$E$9:$F$9,BB$9))</f>
        <v>2.2050214526345186E-3</v>
      </c>
      <c r="BC21" s="36">
        <f>IF($G21="s-curve",$E21+($F21-$E21)*$AA$2/(1+EXP($AA$3*(COUNT($L$9:BC$9)+$AA$4))),TREND($E21:$F21,$E$9:$F$9,BC$9))</f>
        <v>2.2050228750634749E-3</v>
      </c>
      <c r="BD21" s="36">
        <f>IF($G21="s-curve",$E21+($F21-$E21)*$AA$2/(1+EXP($AA$3*(COUNT($L$9:BD$9)+$AA$4))),TREND($E21:$F21,$E$9:$F$9,BD$9))</f>
        <v>2.2050238285475678E-3</v>
      </c>
      <c r="BE21" s="36">
        <f>IF($G21="s-curve",$E21+($F21-$E21)*$AA$2/(1+EXP($AA$3*(COUNT($L$9:BE$9)+$AA$4))),TREND($E21:$F21,$E$9:$F$9,BE$9))</f>
        <v>2.20502446768772E-3</v>
      </c>
      <c r="BF21" s="36">
        <f>IF($G21="s-curve",$E21+($F21-$E21)*$AA$2/(1+EXP($AA$3*(COUNT($L$9:BF$9)+$AA$4))),TREND($E21:$F21,$E$9:$F$9,BF$9))</f>
        <v>2.2050248961164691E-3</v>
      </c>
    </row>
    <row r="22" spans="1:58" x14ac:dyDescent="0.25">
      <c r="C22" t="s">
        <v>33</v>
      </c>
      <c r="D22">
        <v>0</v>
      </c>
      <c r="E22">
        <v>0</v>
      </c>
      <c r="F22" s="17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H22" s="33"/>
      <c r="I22">
        <f t="shared" si="22"/>
        <v>0</v>
      </c>
      <c r="J22">
        <f t="shared" si="22"/>
        <v>0</v>
      </c>
      <c r="K22">
        <f t="shared" si="22"/>
        <v>0</v>
      </c>
      <c r="L22" s="36">
        <f t="shared" si="24"/>
        <v>0</v>
      </c>
      <c r="M22" s="36">
        <f t="shared" si="25"/>
        <v>0</v>
      </c>
      <c r="N22" s="36">
        <f>IF($G22="s-curve",$E22+($F22-$E22)*$L$2/(1+EXP($L$3*(COUNT($L$9:N$9)+$L$4))),TREND($E22:$F22,$E$9:$F$9,N$9))</f>
        <v>0</v>
      </c>
      <c r="O22" s="36">
        <f>IF($G22="s-curve",$E22+($F22-$E22)*$L$2/(1+EXP($L$3*(COUNT($L$9:O$9)+$L$4))),TREND($E22:$F22,$E$9:$F$9,O$9))</f>
        <v>0</v>
      </c>
      <c r="P22" s="36">
        <f>IF($G22="s-curve",$E22+($F22-$E22)*$L$2/(1+EXP($L$3*(COUNT($L$9:P$9)+$L$4))),TREND($E22:$F22,$E$9:$F$9,P$9))</f>
        <v>0</v>
      </c>
      <c r="Q22" s="36">
        <f>IF($G22="s-curve",$E22+($F22-$E22)*$L$2/(1+EXP($L$3*(COUNT($L$9:Q$9)+$L$4))),TREND($E22:$F22,$E$9:$F$9,Q$9))</f>
        <v>0</v>
      </c>
      <c r="R22" s="36">
        <f>IF($G22="s-curve",$E22+($F22-$E22)*$L$2/(1+EXP($L$3*(COUNT($L$9:R$9)+$L$4))),TREND($E22:$F22,$E$9:$F$9,R$9))</f>
        <v>0</v>
      </c>
      <c r="S22" s="36">
        <f>IF($G22="s-curve",$E22+($F22-$E22)*$L$2/(1+EXP($L$3*(COUNT($L$9:S$9)+$L$4))),TREND($E22:$F22,$E$9:$F$9,S$9))</f>
        <v>0</v>
      </c>
      <c r="T22" s="36">
        <f>IF($G22="s-curve",$E22+($F22-$E22)*$L$2/(1+EXP($L$3*(COUNT($L$9:T$9)+$L$4))),TREND($E22:$F22,$E$9:$F$9,T$9))</f>
        <v>0</v>
      </c>
      <c r="U22" s="36">
        <f>IF($G22="s-curve",$E22+($F22-$E22)*$L$2/(1+EXP($L$3*(COUNT($L$9:U$9)+$L$4))),TREND($E22:$F22,$E$9:$F$9,U$9))</f>
        <v>0</v>
      </c>
      <c r="V22" s="36">
        <f>IF($G22="s-curve",$E22+($F22-$E22)*$L$2/(1+EXP($L$3*(COUNT($L$9:V$9)+$L$4))),TREND($E22:$F22,$E$9:$F$9,V$9))</f>
        <v>0</v>
      </c>
      <c r="W22" s="36">
        <f>IF($G22="s-curve",$E22+($F22-$E22)*$L$2/(1+EXP($L$3*(COUNT($L$9:W$9)+$L$4))),TREND($E22:$F22,$E$9:$F$9,W$9))</f>
        <v>0</v>
      </c>
      <c r="X22" s="36">
        <f>IF($G22="s-curve",$E22+($F22-$E22)*$L$2/(1+EXP($L$3*(COUNT($L$9:X$9)+$L$4))),TREND($E22:$F22,$E$9:$F$9,X$9))</f>
        <v>0</v>
      </c>
      <c r="Y22" s="36">
        <f>IF($G22="s-curve",$E22+($F22-$E22)*$L$2/(1+EXP($L$3*(COUNT($L$9:Y$9)+$L$4))),TREND($E22:$F22,$E$9:$F$9,Y$9))</f>
        <v>0</v>
      </c>
      <c r="Z22" s="36">
        <f>IF($G22="s-curve",$E22+($F22-$E22)*$L$2/(1+EXP($L$3*(COUNT($L$9:Z$9)+$L$4))),TREND($E22:$F22,$E$9:$F$9,Z$9))</f>
        <v>0</v>
      </c>
      <c r="AA22" s="36">
        <f>IF($G22="s-curve",$E22+($F22-$E22)*$L$2/(1+EXP($L$3*(COUNT($L$9:AA$9)+$L$4))),TREND($E22:$F22,$E$9:$F$9,AA$9))</f>
        <v>0</v>
      </c>
      <c r="AB22" s="36">
        <f>IF($G22="s-curve",$E22+($F22-$E22)*$L$2/(1+EXP($L$3*(COUNT($L$9:AB$9)+$L$4))),TREND($E22:$F22,$E$9:$F$9,AB$9))</f>
        <v>0</v>
      </c>
      <c r="AC22" s="36">
        <f>IF($G22="s-curve",$E22+($F22-$E22)*$L$2/(1+EXP($L$3*(COUNT($L$9:AC$9)+$L$4))),TREND($E22:$F22,$E$9:$F$9,AC$9))</f>
        <v>0</v>
      </c>
      <c r="AD22" s="36">
        <f>IF($G22="s-curve",$E22+($F22-$E22)*$L$2/(1+EXP($L$3*(COUNT($L$9:AD$9)+$L$4))),TREND($E22:$F22,$E$9:$F$9,AD$9))</f>
        <v>0</v>
      </c>
      <c r="AE22" s="36">
        <f>IF($G22="s-curve",$E22+($F22-$E22)*$L$2/(1+EXP($L$3*(COUNT($L$9:AE$9)+$L$4))),TREND($E22:$F22,$E$9:$F$9,AE$9))</f>
        <v>0</v>
      </c>
      <c r="AF22" s="36">
        <f>IF($G22="s-curve",$E22+($F22-$E22)*$L$2/(1+EXP($L$3*(COUNT($L$9:AF$9)+$L$4))),TREND($E22:$F22,$E$9:$F$9,AF$9))</f>
        <v>0</v>
      </c>
      <c r="AG22" s="36">
        <f>IF($G22="s-curve",$E22+($F22-$E22)*$L$2/(1+EXP($L$3*(COUNT($L$9:AG$9)+$L$4))),TREND($E22:$F22,$E$9:$F$9,AG$9))</f>
        <v>0</v>
      </c>
      <c r="AH22" s="36">
        <f>IF($G22="s-curve",$E22+($F22-$E22)*$L$2/(1+EXP($L$3*(COUNT($L$9:AH$9)+$L$4))),TREND($E22:$F22,$E$9:$F$9,AH$9))</f>
        <v>0</v>
      </c>
      <c r="AI22" s="36">
        <f>IF($G22="s-curve",$E22+($F22-$E22)*$L$2/(1+EXP($L$3*(COUNT($L$9:AI$9)+$L$4))),TREND($E22:$F22,$E$9:$F$9,AI$9))</f>
        <v>0</v>
      </c>
      <c r="AJ22" s="36">
        <f>IF($G22="s-curve",$E22+($F22-$E22)*$L$2/(1+EXP($L$3*(COUNT($L$9:AJ$9)+$L$4))),TREND($E22:$F22,$E$9:$F$9,AJ$9))</f>
        <v>0</v>
      </c>
      <c r="AK22" s="36">
        <f>IF($G22="s-curve",$E22+($F22-$E22)*$L$2/(1+EXP($L$3*(COUNT($L$9:AK$9)+$L$4))),TREND($E22:$F22,$E$9:$F$9,AK$9))</f>
        <v>0</v>
      </c>
      <c r="AL22" s="36">
        <f>IF($G22="s-curve",$E22+($F22-$E22)*$L$2/(1+EXP($L$3*(COUNT($L$9:AL$9)+$L$4))),TREND($E22:$F22,$E$9:$F$9,AL$9))</f>
        <v>0</v>
      </c>
      <c r="AM22" s="36">
        <f>IF($G22="s-curve",$E22+($F22-$E22)*$L$2/(1+EXP($L$3*(COUNT($L$9:AM$9)+$L$4))),TREND($E22:$F22,$E$9:$F$9,AM$9))</f>
        <v>0</v>
      </c>
      <c r="AN22" s="36">
        <f>IF($G22="s-curve",$E22+($F22-$E22)*$L$2/(1+EXP($L$3*(COUNT($L$9:AN$9)+$L$4))),TREND($E22:$F22,$E$9:$F$9,AN$9))</f>
        <v>0</v>
      </c>
      <c r="AO22" s="36">
        <f>IF($G22="s-curve",$E22+($F22-$E22)*$L$2/(1+EXP($L$3*(COUNT($L$9:AO$9)+$L$4))),TREND($E22:$F22,$E$9:$F$9,AO$9))</f>
        <v>0</v>
      </c>
      <c r="AP22" s="36">
        <f>IF($G22="s-curve",$E22+($F22-$E22)*$L$2/(1+EXP($L$3*(COUNT($L$9:AP$9)+$L$4))),TREND($E22:$F22,$E$9:$F$9,AP$9))</f>
        <v>0</v>
      </c>
      <c r="AQ22" s="36">
        <f>IF($G22="s-curve",$E22+($F22-$E22)*$L$2/(1+EXP($L$3*(COUNT($L$9:AQ$9)+$L$4))),TREND($E22:$F22,$E$9:$F$9,AQ$9))</f>
        <v>0</v>
      </c>
      <c r="AR22" s="36">
        <f>IF($G22="s-curve",$E22+($F22-$E22)*$L$2/(1+EXP($L$3*(COUNT($L$9:AR$9)+$L$4))),TREND($E22:$F22,$E$9:$F$9,AR$9))</f>
        <v>0</v>
      </c>
      <c r="AS22" s="36">
        <f>IF($G22="s-curve",$E22+($F22-$E22)*$L$2/(1+EXP($L$3*(COUNT($L$9:AS$9)+$L$4))),TREND($E22:$F22,$E$9:$F$9,AS$9))</f>
        <v>0</v>
      </c>
      <c r="AT22" s="36">
        <f>IF($G22="s-curve",$E22+($F22-$E22)*$L$2/(1+EXP($L$3*(COUNT($L$9:AT$9)+$L$4))),TREND($E22:$F22,$E$9:$F$9,AT$9))</f>
        <v>0</v>
      </c>
      <c r="AU22" s="36">
        <f>IF($G22="s-curve",$E22+($F22-$E22)*$L$2/(1+EXP($L$3*(COUNT($L$9:AU$9)+$L$4))),TREND($E22:$F22,$E$9:$F$9,AU$9))</f>
        <v>0</v>
      </c>
      <c r="AV22" s="36">
        <f>IF($G22="s-curve",$E22+($F22-$E22)*$L$2/(1+EXP($L$3*(COUNT($L$9:AV$9)+$L$4))),TREND($E22:$F22,$E$9:$F$9,AV$9))</f>
        <v>0</v>
      </c>
      <c r="AW22" s="36">
        <f>IF($G22="s-curve",$E22+($F22-$E22)*$L$2/(1+EXP($L$3*(COUNT($L$9:AW$9)+$L$4))),TREND($E22:$F22,$E$9:$F$9,AW$9))</f>
        <v>0</v>
      </c>
      <c r="AX22" s="36">
        <f>IF($G22="s-curve",$E22+($F22-$E22)*$L$2/(1+EXP($L$3*(COUNT($L$9:AX$9)+$L$4))),TREND($E22:$F22,$E$9:$F$9,AX$9))</f>
        <v>0</v>
      </c>
      <c r="AY22" s="36">
        <f>IF($G22="s-curve",$E22+($F22-$E22)*$L$2/(1+EXP($L$3*(COUNT($L$9:AY$9)+$L$4))),TREND($E22:$F22,$E$9:$F$9,AY$9))</f>
        <v>0</v>
      </c>
      <c r="AZ22" s="36">
        <f>IF($G22="s-curve",$E22+($F22-$E22)*$L$2/(1+EXP($L$3*(COUNT($L$9:AZ$9)+$L$4))),TREND($E22:$F22,$E$9:$F$9,AZ$9))</f>
        <v>0</v>
      </c>
      <c r="BA22" s="36">
        <f>IF($G22="s-curve",$E22+($F22-$E22)*$L$2/(1+EXP($L$3*(COUNT($L$9:BA$9)+$L$4))),TREND($E22:$F22,$E$9:$F$9,BA$9))</f>
        <v>0</v>
      </c>
      <c r="BB22" s="36">
        <f>IF($G22="s-curve",$E22+($F22-$E22)*$L$2/(1+EXP($L$3*(COUNT($L$9:BB$9)+$L$4))),TREND($E22:$F22,$E$9:$F$9,BB$9))</f>
        <v>0</v>
      </c>
      <c r="BC22" s="36">
        <f>IF($G22="s-curve",$E22+($F22-$E22)*$L$2/(1+EXP($L$3*(COUNT($L$9:BC$9)+$L$4))),TREND($E22:$F22,$E$9:$F$9,BC$9))</f>
        <v>0</v>
      </c>
      <c r="BD22" s="36">
        <f>IF($G22="s-curve",$E22+($F22-$E22)*$L$2/(1+EXP($L$3*(COUNT($L$9:BD$9)+$L$4))),TREND($E22:$F22,$E$9:$F$9,BD$9))</f>
        <v>0</v>
      </c>
      <c r="BE22" s="36">
        <f>IF($G22="s-curve",$E22+($F22-$E22)*$L$2/(1+EXP($L$3*(COUNT($L$9:BE$9)+$L$4))),TREND($E22:$F22,$E$9:$F$9,BE$9))</f>
        <v>0</v>
      </c>
      <c r="BF22" s="36">
        <f>IF($G22="s-curve",$E22+($F22-$E22)*$L$2/(1+EXP($L$3*(COUNT($L$9:BF$9)+$L$4))),TREND($E22:$F22,$E$9:$F$9,BF$9))</f>
        <v>0</v>
      </c>
    </row>
    <row r="23" spans="1:58" ht="15.75" thickBot="1" x14ac:dyDescent="0.3">
      <c r="A23" s="18"/>
      <c r="B23" s="18"/>
      <c r="C23" s="18" t="s">
        <v>34</v>
      </c>
      <c r="D23">
        <v>0</v>
      </c>
      <c r="E23">
        <v>0</v>
      </c>
      <c r="F23" s="21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H23" s="34"/>
      <c r="I23">
        <f t="shared" si="22"/>
        <v>0</v>
      </c>
      <c r="J23">
        <f t="shared" si="22"/>
        <v>0</v>
      </c>
      <c r="K23">
        <f t="shared" si="22"/>
        <v>0</v>
      </c>
      <c r="L23" s="36">
        <f t="shared" si="24"/>
        <v>0</v>
      </c>
      <c r="M23" s="36">
        <f t="shared" si="25"/>
        <v>0</v>
      </c>
      <c r="N23" s="36">
        <f>IF($G23="s-curve",$E23+($F23-$E23)*$L$2/(1+EXP($L$3*(COUNT($L$9:N$9)+$L$4))),TREND($E23:$F23,$E$9:$F$9,N$9))</f>
        <v>0</v>
      </c>
      <c r="O23" s="36">
        <f>IF($G23="s-curve",$E23+($F23-$E23)*$L$2/(1+EXP($L$3*(COUNT($L$9:O$9)+$L$4))),TREND($E23:$F23,$E$9:$F$9,O$9))</f>
        <v>0</v>
      </c>
      <c r="P23" s="36">
        <f>IF($G23="s-curve",$E23+($F23-$E23)*$L$2/(1+EXP($L$3*(COUNT($L$9:P$9)+$L$4))),TREND($E23:$F23,$E$9:$F$9,P$9))</f>
        <v>0</v>
      </c>
      <c r="Q23" s="36">
        <f>IF($G23="s-curve",$E23+($F23-$E23)*$L$2/(1+EXP($L$3*(COUNT($L$9:Q$9)+$L$4))),TREND($E23:$F23,$E$9:$F$9,Q$9))</f>
        <v>0</v>
      </c>
      <c r="R23" s="36">
        <f>IF($G23="s-curve",$E23+($F23-$E23)*$L$2/(1+EXP($L$3*(COUNT($L$9:R$9)+$L$4))),TREND($E23:$F23,$E$9:$F$9,R$9))</f>
        <v>0</v>
      </c>
      <c r="S23" s="36">
        <f>IF($G23="s-curve",$E23+($F23-$E23)*$L$2/(1+EXP($L$3*(COUNT($L$9:S$9)+$L$4))),TREND($E23:$F23,$E$9:$F$9,S$9))</f>
        <v>0</v>
      </c>
      <c r="T23" s="36">
        <f>IF($G23="s-curve",$E23+($F23-$E23)*$L$2/(1+EXP($L$3*(COUNT($L$9:T$9)+$L$4))),TREND($E23:$F23,$E$9:$F$9,T$9))</f>
        <v>0</v>
      </c>
      <c r="U23" s="36">
        <f>IF($G23="s-curve",$E23+($F23-$E23)*$L$2/(1+EXP($L$3*(COUNT($L$9:U$9)+$L$4))),TREND($E23:$F23,$E$9:$F$9,U$9))</f>
        <v>0</v>
      </c>
      <c r="V23" s="36">
        <f>IF($G23="s-curve",$E23+($F23-$E23)*$L$2/(1+EXP($L$3*(COUNT($L$9:V$9)+$L$4))),TREND($E23:$F23,$E$9:$F$9,V$9))</f>
        <v>0</v>
      </c>
      <c r="W23" s="36">
        <f>IF($G23="s-curve",$E23+($F23-$E23)*$L$2/(1+EXP($L$3*(COUNT($L$9:W$9)+$L$4))),TREND($E23:$F23,$E$9:$F$9,W$9))</f>
        <v>0</v>
      </c>
      <c r="X23" s="36">
        <f>IF($G23="s-curve",$E23+($F23-$E23)*$L$2/(1+EXP($L$3*(COUNT($L$9:X$9)+$L$4))),TREND($E23:$F23,$E$9:$F$9,X$9))</f>
        <v>0</v>
      </c>
      <c r="Y23" s="36">
        <f>IF($G23="s-curve",$E23+($F23-$E23)*$L$2/(1+EXP($L$3*(COUNT($L$9:Y$9)+$L$4))),TREND($E23:$F23,$E$9:$F$9,Y$9))</f>
        <v>0</v>
      </c>
      <c r="Z23" s="36">
        <f>IF($G23="s-curve",$E23+($F23-$E23)*$L$2/(1+EXP($L$3*(COUNT($L$9:Z$9)+$L$4))),TREND($E23:$F23,$E$9:$F$9,Z$9))</f>
        <v>0</v>
      </c>
      <c r="AA23" s="36">
        <f>IF($G23="s-curve",$E23+($F23-$E23)*$L$2/(1+EXP($L$3*(COUNT($L$9:AA$9)+$L$4))),TREND($E23:$F23,$E$9:$F$9,AA$9))</f>
        <v>0</v>
      </c>
      <c r="AB23" s="36">
        <f>IF($G23="s-curve",$E23+($F23-$E23)*$L$2/(1+EXP($L$3*(COUNT($L$9:AB$9)+$L$4))),TREND($E23:$F23,$E$9:$F$9,AB$9))</f>
        <v>0</v>
      </c>
      <c r="AC23" s="36">
        <f>IF($G23="s-curve",$E23+($F23-$E23)*$L$2/(1+EXP($L$3*(COUNT($L$9:AC$9)+$L$4))),TREND($E23:$F23,$E$9:$F$9,AC$9))</f>
        <v>0</v>
      </c>
      <c r="AD23" s="36">
        <f>IF($G23="s-curve",$E23+($F23-$E23)*$L$2/(1+EXP($L$3*(COUNT($L$9:AD$9)+$L$4))),TREND($E23:$F23,$E$9:$F$9,AD$9))</f>
        <v>0</v>
      </c>
      <c r="AE23" s="36">
        <f>IF($G23="s-curve",$E23+($F23-$E23)*$L$2/(1+EXP($L$3*(COUNT($L$9:AE$9)+$L$4))),TREND($E23:$F23,$E$9:$F$9,AE$9))</f>
        <v>0</v>
      </c>
      <c r="AF23" s="36">
        <f>IF($G23="s-curve",$E23+($F23-$E23)*$L$2/(1+EXP($L$3*(COUNT($L$9:AF$9)+$L$4))),TREND($E23:$F23,$E$9:$F$9,AF$9))</f>
        <v>0</v>
      </c>
      <c r="AG23" s="36">
        <f>IF($G23="s-curve",$E23+($F23-$E23)*$L$2/(1+EXP($L$3*(COUNT($L$9:AG$9)+$L$4))),TREND($E23:$F23,$E$9:$F$9,AG$9))</f>
        <v>0</v>
      </c>
      <c r="AH23" s="36">
        <f>IF($G23="s-curve",$E23+($F23-$E23)*$L$2/(1+EXP($L$3*(COUNT($L$9:AH$9)+$L$4))),TREND($E23:$F23,$E$9:$F$9,AH$9))</f>
        <v>0</v>
      </c>
      <c r="AI23" s="36">
        <f>IF($G23="s-curve",$E23+($F23-$E23)*$L$2/(1+EXP($L$3*(COUNT($L$9:AI$9)+$L$4))),TREND($E23:$F23,$E$9:$F$9,AI$9))</f>
        <v>0</v>
      </c>
      <c r="AJ23" s="36">
        <f>IF($G23="s-curve",$E23+($F23-$E23)*$L$2/(1+EXP($L$3*(COUNT($L$9:AJ$9)+$L$4))),TREND($E23:$F23,$E$9:$F$9,AJ$9))</f>
        <v>0</v>
      </c>
      <c r="AK23" s="36">
        <f>IF($G23="s-curve",$E23+($F23-$E23)*$L$2/(1+EXP($L$3*(COUNT($L$9:AK$9)+$L$4))),TREND($E23:$F23,$E$9:$F$9,AK$9))</f>
        <v>0</v>
      </c>
      <c r="AL23" s="36">
        <f>IF($G23="s-curve",$E23+($F23-$E23)*$L$2/(1+EXP($L$3*(COUNT($L$9:AL$9)+$L$4))),TREND($E23:$F23,$E$9:$F$9,AL$9))</f>
        <v>0</v>
      </c>
      <c r="AM23" s="36">
        <f>IF($G23="s-curve",$E23+($F23-$E23)*$L$2/(1+EXP($L$3*(COUNT($L$9:AM$9)+$L$4))),TREND($E23:$F23,$E$9:$F$9,AM$9))</f>
        <v>0</v>
      </c>
      <c r="AN23" s="36">
        <f>IF($G23="s-curve",$E23+($F23-$E23)*$L$2/(1+EXP($L$3*(COUNT($L$9:AN$9)+$L$4))),TREND($E23:$F23,$E$9:$F$9,AN$9))</f>
        <v>0</v>
      </c>
      <c r="AO23" s="36">
        <f>IF($G23="s-curve",$E23+($F23-$E23)*$L$2/(1+EXP($L$3*(COUNT($L$9:AO$9)+$L$4))),TREND($E23:$F23,$E$9:$F$9,AO$9))</f>
        <v>0</v>
      </c>
      <c r="AP23" s="36">
        <f>IF($G23="s-curve",$E23+($F23-$E23)*$L$2/(1+EXP($L$3*(COUNT($L$9:AP$9)+$L$4))),TREND($E23:$F23,$E$9:$F$9,AP$9))</f>
        <v>0</v>
      </c>
      <c r="AQ23" s="36">
        <f>IF($G23="s-curve",$E23+($F23-$E23)*$L$2/(1+EXP($L$3*(COUNT($L$9:AQ$9)+$L$4))),TREND($E23:$F23,$E$9:$F$9,AQ$9))</f>
        <v>0</v>
      </c>
      <c r="AR23" s="36">
        <f>IF($G23="s-curve",$E23+($F23-$E23)*$L$2/(1+EXP($L$3*(COUNT($L$9:AR$9)+$L$4))),TREND($E23:$F23,$E$9:$F$9,AR$9))</f>
        <v>0</v>
      </c>
      <c r="AS23" s="36">
        <f>IF($G23="s-curve",$E23+($F23-$E23)*$L$2/(1+EXP($L$3*(COUNT($L$9:AS$9)+$L$4))),TREND($E23:$F23,$E$9:$F$9,AS$9))</f>
        <v>0</v>
      </c>
      <c r="AT23" s="36">
        <f>IF($G23="s-curve",$E23+($F23-$E23)*$L$2/(1+EXP($L$3*(COUNT($L$9:AT$9)+$L$4))),TREND($E23:$F23,$E$9:$F$9,AT$9))</f>
        <v>0</v>
      </c>
      <c r="AU23" s="36">
        <f>IF($G23="s-curve",$E23+($F23-$E23)*$L$2/(1+EXP($L$3*(COUNT($L$9:AU$9)+$L$4))),TREND($E23:$F23,$E$9:$F$9,AU$9))</f>
        <v>0</v>
      </c>
      <c r="AV23" s="36">
        <f>IF($G23="s-curve",$E23+($F23-$E23)*$L$2/(1+EXP($L$3*(COUNT($L$9:AV$9)+$L$4))),TREND($E23:$F23,$E$9:$F$9,AV$9))</f>
        <v>0</v>
      </c>
      <c r="AW23" s="36">
        <f>IF($G23="s-curve",$E23+($F23-$E23)*$L$2/(1+EXP($L$3*(COUNT($L$9:AW$9)+$L$4))),TREND($E23:$F23,$E$9:$F$9,AW$9))</f>
        <v>0</v>
      </c>
      <c r="AX23" s="36">
        <f>IF($G23="s-curve",$E23+($F23-$E23)*$L$2/(1+EXP($L$3*(COUNT($L$9:AX$9)+$L$4))),TREND($E23:$F23,$E$9:$F$9,AX$9))</f>
        <v>0</v>
      </c>
      <c r="AY23" s="36">
        <f>IF($G23="s-curve",$E23+($F23-$E23)*$L$2/(1+EXP($L$3*(COUNT($L$9:AY$9)+$L$4))),TREND($E23:$F23,$E$9:$F$9,AY$9))</f>
        <v>0</v>
      </c>
      <c r="AZ23" s="36">
        <f>IF($G23="s-curve",$E23+($F23-$E23)*$L$2/(1+EXP($L$3*(COUNT($L$9:AZ$9)+$L$4))),TREND($E23:$F23,$E$9:$F$9,AZ$9))</f>
        <v>0</v>
      </c>
      <c r="BA23" s="36">
        <f>IF($G23="s-curve",$E23+($F23-$E23)*$L$2/(1+EXP($L$3*(COUNT($L$9:BA$9)+$L$4))),TREND($E23:$F23,$E$9:$F$9,BA$9))</f>
        <v>0</v>
      </c>
      <c r="BB23" s="36">
        <f>IF($G23="s-curve",$E23+($F23-$E23)*$L$2/(1+EXP($L$3*(COUNT($L$9:BB$9)+$L$4))),TREND($E23:$F23,$E$9:$F$9,BB$9))</f>
        <v>0</v>
      </c>
      <c r="BC23" s="36">
        <f>IF($G23="s-curve",$E23+($F23-$E23)*$L$2/(1+EXP($L$3*(COUNT($L$9:BC$9)+$L$4))),TREND($E23:$F23,$E$9:$F$9,BC$9))</f>
        <v>0</v>
      </c>
      <c r="BD23" s="36">
        <f>IF($G23="s-curve",$E23+($F23-$E23)*$L$2/(1+EXP($L$3*(COUNT($L$9:BD$9)+$L$4))),TREND($E23:$F23,$E$9:$F$9,BD$9))</f>
        <v>0</v>
      </c>
      <c r="BE23" s="36">
        <f>IF($G23="s-curve",$E23+($F23-$E23)*$L$2/(1+EXP($L$3*(COUNT($L$9:BE$9)+$L$4))),TREND($E23:$F23,$E$9:$F$9,BE$9))</f>
        <v>0</v>
      </c>
      <c r="BF23" s="36">
        <f>IF($G23="s-curve",$E23+($F23-$E23)*$L$2/(1+EXP($L$3*(COUNT($L$9:BF$9)+$L$4))),TREND($E23:$F23,$E$9:$F$9,BF$9))</f>
        <v>0</v>
      </c>
    </row>
    <row r="24" spans="1:58" x14ac:dyDescent="0.25">
      <c r="A24" t="s">
        <v>13</v>
      </c>
      <c r="B24" t="s">
        <v>19</v>
      </c>
      <c r="C24" t="s">
        <v>1</v>
      </c>
      <c r="D24">
        <v>3.0938506857799999E-2</v>
      </c>
      <c r="E24">
        <v>3.0393141812799999E-2</v>
      </c>
      <c r="F24" s="27">
        <v>0.7</v>
      </c>
      <c r="G24" s="5" t="str">
        <f>IF(E24=F24,"n/a",IF(OR(C24="battery electric vehicle",C24="natural gas vehicle",C24="plugin hybrid vehicle"),"s-curve","linear"))</f>
        <v>s-curve</v>
      </c>
      <c r="H24" s="33"/>
      <c r="I24">
        <f t="shared" si="22"/>
        <v>0</v>
      </c>
      <c r="J24">
        <f t="shared" si="22"/>
        <v>0</v>
      </c>
      <c r="K24">
        <f t="shared" si="22"/>
        <v>9.9588918402311322E-3</v>
      </c>
      <c r="L24" s="36">
        <f>D24</f>
        <v>3.0938506857799999E-2</v>
      </c>
      <c r="M24" s="36">
        <f>E24</f>
        <v>3.0393141812799999E-2</v>
      </c>
      <c r="N24" s="36">
        <f>IF($G24="s-curve",$E24+($F24-$E24)*$AA$2/(1+EXP($AA$3*(COUNT($L$9:N$9)+$AA$4))),TREND($E24:$F24,$E$9:$F$9,N$9))</f>
        <v>5.6618778403372177E-2</v>
      </c>
      <c r="O24" s="36">
        <f>IF($G24="s-curve",$E24+($F24-$E24)*$AA$2/(1+EXP($AA$3*(COUNT($L$9:O$9)+$AA$4))),TREND($E24:$F24,$E$9:$F$9,O$9))</f>
        <v>6.8777803134611903E-2</v>
      </c>
      <c r="P24" s="36">
        <f>IF($G24="s-curve",$E24+($F24-$E24)*$AA$2/(1+EXP($AA$3*(COUNT($L$9:P$9)+$AA$4))),TREND($E24:$F24,$E$9:$F$9,P$9))</f>
        <v>8.608614979905288E-2</v>
      </c>
      <c r="Q24" s="36">
        <f>IF($G24="s-curve",$E24+($F24-$E24)*$AA$2/(1+EXP($AA$3*(COUNT($L$9:Q$9)+$AA$4))),TREND($E24:$F24,$E$9:$F$9,Q$9))</f>
        <v>0.11021223591476392</v>
      </c>
      <c r="R24" s="36">
        <f>IF($G24="s-curve",$E24+($F24-$E24)*$AA$2/(1+EXP($AA$3*(COUNT($L$9:R$9)+$AA$4))),TREND($E24:$F24,$E$9:$F$9,R$9))</f>
        <v>0.14287478317648508</v>
      </c>
      <c r="S24" s="36">
        <f>IF($G24="s-curve",$E24+($F24-$E24)*$AA$2/(1+EXP($AA$3*(COUNT($L$9:S$9)+$AA$4))),TREND($E24:$F24,$E$9:$F$9,S$9))</f>
        <v>0.18539053428222468</v>
      </c>
      <c r="T24" s="36">
        <f>IF($G24="s-curve",$E24+($F24-$E24)*$AA$2/(1+EXP($AA$3*(COUNT($L$9:T$9)+$AA$4))),TREND($E24:$F24,$E$9:$F$9,T$9))</f>
        <v>0.2379883554627959</v>
      </c>
      <c r="U24" s="36">
        <f>IF($G24="s-curve",$E24+($F24-$E24)*$AA$2/(1+EXP($AA$3*(COUNT($L$9:U$9)+$AA$4))),TREND($E24:$F24,$E$9:$F$9,U$9))</f>
        <v>0.29911463687665474</v>
      </c>
      <c r="V24" s="36">
        <f>IF($G24="s-curve",$E24+($F24-$E24)*$AA$2/(1+EXP($AA$3*(COUNT($L$9:V$9)+$AA$4))),TREND($E24:$F24,$E$9:$F$9,V$9))</f>
        <v>0.36519657090640001</v>
      </c>
      <c r="W24" s="36">
        <f>IF($G24="s-curve",$E24+($F24-$E24)*$AA$2/(1+EXP($AA$3*(COUNT($L$9:W$9)+$AA$4))),TREND($E24:$F24,$E$9:$F$9,W$9))</f>
        <v>0.43127850493614522</v>
      </c>
      <c r="X24" s="36">
        <f>IF($G24="s-curve",$E24+($F24-$E24)*$AA$2/(1+EXP($AA$3*(COUNT($L$9:X$9)+$AA$4))),TREND($E24:$F24,$E$9:$F$9,X$9))</f>
        <v>0.49240478635000412</v>
      </c>
      <c r="Y24" s="36">
        <f>IF($G24="s-curve",$E24+($F24-$E24)*$AA$2/(1+EXP($AA$3*(COUNT($L$9:Y$9)+$AA$4))),TREND($E24:$F24,$E$9:$F$9,Y$9))</f>
        <v>0.54500260753057528</v>
      </c>
      <c r="Z24" s="36">
        <f>IF($G24="s-curve",$E24+($F24-$E24)*$AA$2/(1+EXP($AA$3*(COUNT($L$9:Z$9)+$AA$4))),TREND($E24:$F24,$E$9:$F$9,Z$9))</f>
        <v>0.58751835863631485</v>
      </c>
      <c r="AA24" s="36">
        <f>IF($G24="s-curve",$E24+($F24-$E24)*$AA$2/(1+EXP($AA$3*(COUNT($L$9:AA$9)+$AA$4))),TREND($E24:$F24,$E$9:$F$9,AA$9))</f>
        <v>0.62018090589803598</v>
      </c>
      <c r="AB24" s="36">
        <f>IF($G24="s-curve",$E24+($F24-$E24)*$AA$2/(1+EXP($AA$3*(COUNT($L$9:AB$9)+$AA$4))),TREND($E24:$F24,$E$9:$F$9,AB$9))</f>
        <v>0.64430699201374708</v>
      </c>
      <c r="AC24" s="36">
        <f>IF($G24="s-curve",$E24+($F24-$E24)*$AA$2/(1+EXP($AA$3*(COUNT($L$9:AC$9)+$AA$4))),TREND($E24:$F24,$E$9:$F$9,AC$9))</f>
        <v>0.66161533867818811</v>
      </c>
      <c r="AD24" s="36">
        <f>IF($G24="s-curve",$E24+($F24-$E24)*$AA$2/(1+EXP($AA$3*(COUNT($L$9:AD$9)+$AA$4))),TREND($E24:$F24,$E$9:$F$9,AD$9))</f>
        <v>0.67377436340942776</v>
      </c>
      <c r="AE24" s="36">
        <f>IF($G24="s-curve",$E24+($F24-$E24)*$AA$2/(1+EXP($AA$3*(COUNT($L$9:AE$9)+$AA$4))),TREND($E24:$F24,$E$9:$F$9,AE$9))</f>
        <v>0.68219047069376959</v>
      </c>
      <c r="AF24" s="36">
        <f>IF($G24="s-curve",$E24+($F24-$E24)*$AA$2/(1+EXP($AA$3*(COUNT($L$9:AF$9)+$AA$4))),TREND($E24:$F24,$E$9:$F$9,AF$9))</f>
        <v>0.68795631045658845</v>
      </c>
      <c r="AG24" s="36">
        <f>IF($G24="s-curve",$E24+($F24-$E24)*$AA$2/(1+EXP($AA$3*(COUNT($L$9:AG$9)+$AA$4))),TREND($E24:$F24,$E$9:$F$9,AG$9))</f>
        <v>0.69187871675545232</v>
      </c>
      <c r="AH24" s="36">
        <f>IF($G24="s-curve",$E24+($F24-$E24)*$AA$2/(1+EXP($AA$3*(COUNT($L$9:AH$9)+$AA$4))),TREND($E24:$F24,$E$9:$F$9,AH$9))</f>
        <v>0.69453428637540304</v>
      </c>
      <c r="AI24" s="36">
        <f>IF($G24="s-curve",$E24+($F24-$E24)*$AA$2/(1+EXP($AA$3*(COUNT($L$9:AI$9)+$AA$4))),TREND($E24:$F24,$E$9:$F$9,AI$9))</f>
        <v>0.69632633663086296</v>
      </c>
      <c r="AJ24" s="36">
        <f>IF($G24="s-curve",$E24+($F24-$E24)*$AA$2/(1+EXP($AA$3*(COUNT($L$9:AJ$9)+$AA$4))),TREND($E24:$F24,$E$9:$F$9,AJ$9))</f>
        <v>0.6975330076961308</v>
      </c>
      <c r="AK24" s="36">
        <f>IF($G24="s-curve",$E24+($F24-$E24)*$AA$2/(1+EXP($AA$3*(COUNT($L$9:AK$9)+$AA$4))),TREND($E24:$F24,$E$9:$F$9,AK$9))</f>
        <v>0.69834431457660484</v>
      </c>
      <c r="AL24" s="36">
        <f>IF($G24="s-curve",$E24+($F24-$E24)*$AA$2/(1+EXP($AA$3*(COUNT($L$9:AL$9)+$AA$4))),TREND($E24:$F24,$E$9:$F$9,AL$9))</f>
        <v>0.69888925542034686</v>
      </c>
      <c r="AM24" s="36">
        <f>IF($G24="s-curve",$E24+($F24-$E24)*$AA$2/(1+EXP($AA$3*(COUNT($L$9:AM$9)+$AA$4))),TREND($E24:$F24,$E$9:$F$9,AM$9))</f>
        <v>0.6992550382424163</v>
      </c>
      <c r="AN24" s="36">
        <f>IF($G24="s-curve",$E24+($F24-$E24)*$AA$2/(1+EXP($AA$3*(COUNT($L$9:AN$9)+$AA$4))),TREND($E24:$F24,$E$9:$F$9,AN$9))</f>
        <v>0.69950045397645755</v>
      </c>
      <c r="AO24" s="36">
        <f>IF($G24="s-curve",$E24+($F24-$E24)*$AA$2/(1+EXP($AA$3*(COUNT($L$9:AO$9)+$AA$4))),TREND($E24:$F24,$E$9:$F$9,AO$9))</f>
        <v>0.69966506190822664</v>
      </c>
      <c r="AP24" s="36">
        <f>IF($G24="s-curve",$E24+($F24-$E24)*$AA$2/(1+EXP($AA$3*(COUNT($L$9:AP$9)+$AA$4))),TREND($E24:$F24,$E$9:$F$9,AP$9))</f>
        <v>0.69977544725274565</v>
      </c>
      <c r="AQ24" s="36">
        <f>IF($G24="s-curve",$E24+($F24-$E24)*$AA$2/(1+EXP($AA$3*(COUNT($L$9:AQ$9)+$AA$4))),TREND($E24:$F24,$E$9:$F$9,AQ$9))</f>
        <v>0.69984946114881619</v>
      </c>
      <c r="AR24" s="36">
        <f>IF($G24="s-curve",$E24+($F24-$E24)*$AA$2/(1+EXP($AA$3*(COUNT($L$9:AR$9)+$AA$4))),TREND($E24:$F24,$E$9:$F$9,AR$9))</f>
        <v>0.69989908331064332</v>
      </c>
      <c r="AS24" s="36">
        <f>IF($G24="s-curve",$E24+($F24-$E24)*$AA$2/(1+EXP($AA$3*(COUNT($L$9:AS$9)+$AA$4))),TREND($E24:$F24,$E$9:$F$9,AS$9))</f>
        <v>0.69993235015888222</v>
      </c>
      <c r="AT24" s="36">
        <f>IF($G24="s-curve",$E24+($F24-$E24)*$AA$2/(1+EXP($AA$3*(COUNT($L$9:AT$9)+$AA$4))),TREND($E24:$F24,$E$9:$F$9,AT$9))</f>
        <v>0.69995465144494973</v>
      </c>
      <c r="AU24" s="36">
        <f>IF($G24="s-curve",$E24+($F24-$E24)*$AA$2/(1+EXP($AA$3*(COUNT($L$9:AU$9)+$AA$4))),TREND($E24:$F24,$E$9:$F$9,AU$9))</f>
        <v>0.69996960127576968</v>
      </c>
      <c r="AV24" s="36">
        <f>IF($G24="s-curve",$E24+($F24-$E24)*$AA$2/(1+EXP($AA$3*(COUNT($L$9:AV$9)+$AA$4))),TREND($E24:$F24,$E$9:$F$9,AV$9))</f>
        <v>0.69997962282079396</v>
      </c>
      <c r="AW24" s="36">
        <f>IF($G24="s-curve",$E24+($F24-$E24)*$AA$2/(1+EXP($AA$3*(COUNT($L$9:AW$9)+$AA$4))),TREND($E24:$F24,$E$9:$F$9,AW$9))</f>
        <v>0.69998634063125653</v>
      </c>
      <c r="AX24" s="36">
        <f>IF($G24="s-curve",$E24+($F24-$E24)*$AA$2/(1+EXP($AA$3*(COUNT($L$9:AX$9)+$AA$4))),TREND($E24:$F24,$E$9:$F$9,AX$9))</f>
        <v>0.69999084378973797</v>
      </c>
      <c r="AY24" s="36">
        <f>IF($G24="s-curve",$E24+($F24-$E24)*$AA$2/(1+EXP($AA$3*(COUNT($L$9:AY$9)+$AA$4))),TREND($E24:$F24,$E$9:$F$9,AY$9))</f>
        <v>0.69999386238104699</v>
      </c>
      <c r="AZ24" s="36">
        <f>IF($G24="s-curve",$E24+($F24-$E24)*$AA$2/(1+EXP($AA$3*(COUNT($L$9:AZ$9)+$AA$4))),TREND($E24:$F24,$E$9:$F$9,AZ$9))</f>
        <v>0.69999588581854844</v>
      </c>
      <c r="BA24" s="36">
        <f>IF($G24="s-curve",$E24+($F24-$E24)*$AA$2/(1+EXP($AA$3*(COUNT($L$9:BA$9)+$AA$4))),TREND($E24:$F24,$E$9:$F$9,BA$9))</f>
        <v>0.69999724217611359</v>
      </c>
      <c r="BB24" s="36">
        <f>IF($G24="s-curve",$E24+($F24-$E24)*$AA$2/(1+EXP($AA$3*(COUNT($L$9:BB$9)+$AA$4))),TREND($E24:$F24,$E$9:$F$9,BB$9))</f>
        <v>0.69999815137285537</v>
      </c>
      <c r="BC24" s="36">
        <f>IF($G24="s-curve",$E24+($F24-$E24)*$AA$2/(1+EXP($AA$3*(COUNT($L$9:BC$9)+$AA$4))),TREND($E24:$F24,$E$9:$F$9,BC$9))</f>
        <v>0.69999876082703949</v>
      </c>
      <c r="BD24" s="36">
        <f>IF($G24="s-curve",$E24+($F24-$E24)*$AA$2/(1+EXP($AA$3*(COUNT($L$9:BD$9)+$AA$4))),TREND($E24:$F24,$E$9:$F$9,BD$9))</f>
        <v>0.69999916935701723</v>
      </c>
      <c r="BE24" s="36">
        <f>IF($G24="s-curve",$E24+($F24-$E24)*$AA$2/(1+EXP($AA$3*(COUNT($L$9:BE$9)+$AA$4))),TREND($E24:$F24,$E$9:$F$9,BE$9))</f>
        <v>0.69999944320312979</v>
      </c>
      <c r="BF24" s="36">
        <f>IF($G24="s-curve",$E24+($F24-$E24)*$AA$2/(1+EXP($AA$3*(COUNT($L$9:BF$9)+$AA$4))),TREND($E24:$F24,$E$9:$F$9,BF$9))</f>
        <v>0.69999962676779415</v>
      </c>
    </row>
    <row r="25" spans="1:58" x14ac:dyDescent="0.25">
      <c r="C25" t="s">
        <v>2</v>
      </c>
      <c r="D25">
        <v>0</v>
      </c>
      <c r="E25">
        <v>0</v>
      </c>
      <c r="F25" s="17">
        <f>E25</f>
        <v>0</v>
      </c>
      <c r="G25" s="5" t="str">
        <f>IF(E25=F25,"n/a",IF(OR(C25="battery electric vehicle",C25="natural gas vehicle",C25="plugin hybrid vehicle"),"s-curve","linear"))</f>
        <v>n/a</v>
      </c>
      <c r="H25" s="33"/>
      <c r="I25">
        <f t="shared" si="22"/>
        <v>0</v>
      </c>
      <c r="J25">
        <f t="shared" si="22"/>
        <v>0</v>
      </c>
      <c r="K25">
        <f t="shared" si="22"/>
        <v>0</v>
      </c>
      <c r="L25" s="36">
        <f t="shared" ref="L25:L30" si="26">D25</f>
        <v>0</v>
      </c>
      <c r="M25" s="36">
        <f t="shared" ref="M25:M30" si="27">E25</f>
        <v>0</v>
      </c>
      <c r="N25" s="36">
        <f>IF($G25="s-curve",$E25+($F25-$E25)*$L$2/(1+EXP($L$3*(COUNT($L$9:N$9)+$L$4))),TREND($E25:$F25,$E$9:$F$9,N$9))</f>
        <v>0</v>
      </c>
      <c r="O25" s="36">
        <f>IF($G25="s-curve",$E25+($F25-$E25)*$L$2/(1+EXP($L$3*(COUNT($L$9:O$9)+$L$4))),TREND($E25:$F25,$E$9:$F$9,O$9))</f>
        <v>0</v>
      </c>
      <c r="P25" s="36">
        <f>IF($G25="s-curve",$E25+($F25-$E25)*$L$2/(1+EXP($L$3*(COUNT($L$9:P$9)+$L$4))),TREND($E25:$F25,$E$9:$F$9,P$9))</f>
        <v>0</v>
      </c>
      <c r="Q25" s="36">
        <f>IF($G25="s-curve",$E25+($F25-$E25)*$L$2/(1+EXP($L$3*(COUNT($L$9:Q$9)+$L$4))),TREND($E25:$F25,$E$9:$F$9,Q$9))</f>
        <v>0</v>
      </c>
      <c r="R25" s="36">
        <f>IF($G25="s-curve",$E25+($F25-$E25)*$L$2/(1+EXP($L$3*(COUNT($L$9:R$9)+$L$4))),TREND($E25:$F25,$E$9:$F$9,R$9))</f>
        <v>0</v>
      </c>
      <c r="S25" s="36">
        <f>IF($G25="s-curve",$E25+($F25-$E25)*$L$2/(1+EXP($L$3*(COUNT($L$9:S$9)+$L$4))),TREND($E25:$F25,$E$9:$F$9,S$9))</f>
        <v>0</v>
      </c>
      <c r="T25" s="36">
        <f>IF($G25="s-curve",$E25+($F25-$E25)*$L$2/(1+EXP($L$3*(COUNT($L$9:T$9)+$L$4))),TREND($E25:$F25,$E$9:$F$9,T$9))</f>
        <v>0</v>
      </c>
      <c r="U25" s="36">
        <f>IF($G25="s-curve",$E25+($F25-$E25)*$L$2/(1+EXP($L$3*(COUNT($L$9:U$9)+$L$4))),TREND($E25:$F25,$E$9:$F$9,U$9))</f>
        <v>0</v>
      </c>
      <c r="V25" s="36">
        <f>IF($G25="s-curve",$E25+($F25-$E25)*$L$2/(1+EXP($L$3*(COUNT($L$9:V$9)+$L$4))),TREND($E25:$F25,$E$9:$F$9,V$9))</f>
        <v>0</v>
      </c>
      <c r="W25" s="36">
        <f>IF($G25="s-curve",$E25+($F25-$E25)*$L$2/(1+EXP($L$3*(COUNT($L$9:W$9)+$L$4))),TREND($E25:$F25,$E$9:$F$9,W$9))</f>
        <v>0</v>
      </c>
      <c r="X25" s="36">
        <f>IF($G25="s-curve",$E25+($F25-$E25)*$L$2/(1+EXP($L$3*(COUNT($L$9:X$9)+$L$4))),TREND($E25:$F25,$E$9:$F$9,X$9))</f>
        <v>0</v>
      </c>
      <c r="Y25" s="36">
        <f>IF($G25="s-curve",$E25+($F25-$E25)*$L$2/(1+EXP($L$3*(COUNT($L$9:Y$9)+$L$4))),TREND($E25:$F25,$E$9:$F$9,Y$9))</f>
        <v>0</v>
      </c>
      <c r="Z25" s="36">
        <f>IF($G25="s-curve",$E25+($F25-$E25)*$L$2/(1+EXP($L$3*(COUNT($L$9:Z$9)+$L$4))),TREND($E25:$F25,$E$9:$F$9,Z$9))</f>
        <v>0</v>
      </c>
      <c r="AA25" s="36">
        <f>IF($G25="s-curve",$E25+($F25-$E25)*$L$2/(1+EXP($L$3*(COUNT($L$9:AA$9)+$L$4))),TREND($E25:$F25,$E$9:$F$9,AA$9))</f>
        <v>0</v>
      </c>
      <c r="AB25" s="36">
        <f>IF($G25="s-curve",$E25+($F25-$E25)*$L$2/(1+EXP($L$3*(COUNT($L$9:AB$9)+$L$4))),TREND($E25:$F25,$E$9:$F$9,AB$9))</f>
        <v>0</v>
      </c>
      <c r="AC25" s="36">
        <f>IF($G25="s-curve",$E25+($F25-$E25)*$L$2/(1+EXP($L$3*(COUNT($L$9:AC$9)+$L$4))),TREND($E25:$F25,$E$9:$F$9,AC$9))</f>
        <v>0</v>
      </c>
      <c r="AD25" s="36">
        <f>IF($G25="s-curve",$E25+($F25-$E25)*$L$2/(1+EXP($L$3*(COUNT($L$9:AD$9)+$L$4))),TREND($E25:$F25,$E$9:$F$9,AD$9))</f>
        <v>0</v>
      </c>
      <c r="AE25" s="36">
        <f>IF($G25="s-curve",$E25+($F25-$E25)*$L$2/(1+EXP($L$3*(COUNT($L$9:AE$9)+$L$4))),TREND($E25:$F25,$E$9:$F$9,AE$9))</f>
        <v>0</v>
      </c>
      <c r="AF25" s="36">
        <f>IF($G25="s-curve",$E25+($F25-$E25)*$L$2/(1+EXP($L$3*(COUNT($L$9:AF$9)+$L$4))),TREND($E25:$F25,$E$9:$F$9,AF$9))</f>
        <v>0</v>
      </c>
      <c r="AG25" s="36">
        <f>IF($G25="s-curve",$E25+($F25-$E25)*$L$2/(1+EXP($L$3*(COUNT($L$9:AG$9)+$L$4))),TREND($E25:$F25,$E$9:$F$9,AG$9))</f>
        <v>0</v>
      </c>
      <c r="AH25" s="36">
        <f>IF($G25="s-curve",$E25+($F25-$E25)*$L$2/(1+EXP($L$3*(COUNT($L$9:AH$9)+$L$4))),TREND($E25:$F25,$E$9:$F$9,AH$9))</f>
        <v>0</v>
      </c>
      <c r="AI25" s="36">
        <f>IF($G25="s-curve",$E25+($F25-$E25)*$L$2/(1+EXP($L$3*(COUNT($L$9:AI$9)+$L$4))),TREND($E25:$F25,$E$9:$F$9,AI$9))</f>
        <v>0</v>
      </c>
      <c r="AJ25" s="36">
        <f>IF($G25="s-curve",$E25+($F25-$E25)*$L$2/(1+EXP($L$3*(COUNT($L$9:AJ$9)+$L$4))),TREND($E25:$F25,$E$9:$F$9,AJ$9))</f>
        <v>0</v>
      </c>
      <c r="AK25" s="36">
        <f>IF($G25="s-curve",$E25+($F25-$E25)*$L$2/(1+EXP($L$3*(COUNT($L$9:AK$9)+$L$4))),TREND($E25:$F25,$E$9:$F$9,AK$9))</f>
        <v>0</v>
      </c>
      <c r="AL25" s="36">
        <f>IF($G25="s-curve",$E25+($F25-$E25)*$L$2/(1+EXP($L$3*(COUNT($L$9:AL$9)+$L$4))),TREND($E25:$F25,$E$9:$F$9,AL$9))</f>
        <v>0</v>
      </c>
      <c r="AM25" s="36">
        <f>IF($G25="s-curve",$E25+($F25-$E25)*$L$2/(1+EXP($L$3*(COUNT($L$9:AM$9)+$L$4))),TREND($E25:$F25,$E$9:$F$9,AM$9))</f>
        <v>0</v>
      </c>
      <c r="AN25" s="36">
        <f>IF($G25="s-curve",$E25+($F25-$E25)*$L$2/(1+EXP($L$3*(COUNT($L$9:AN$9)+$L$4))),TREND($E25:$F25,$E$9:$F$9,AN$9))</f>
        <v>0</v>
      </c>
      <c r="AO25" s="36">
        <f>IF($G25="s-curve",$E25+($F25-$E25)*$L$2/(1+EXP($L$3*(COUNT($L$9:AO$9)+$L$4))),TREND($E25:$F25,$E$9:$F$9,AO$9))</f>
        <v>0</v>
      </c>
      <c r="AP25" s="36">
        <f>IF($G25="s-curve",$E25+($F25-$E25)*$L$2/(1+EXP($L$3*(COUNT($L$9:AP$9)+$L$4))),TREND($E25:$F25,$E$9:$F$9,AP$9))</f>
        <v>0</v>
      </c>
      <c r="AQ25" s="36">
        <f>IF($G25="s-curve",$E25+($F25-$E25)*$L$2/(1+EXP($L$3*(COUNT($L$9:AQ$9)+$L$4))),TREND($E25:$F25,$E$9:$F$9,AQ$9))</f>
        <v>0</v>
      </c>
      <c r="AR25" s="36">
        <f>IF($G25="s-curve",$E25+($F25-$E25)*$L$2/(1+EXP($L$3*(COUNT($L$9:AR$9)+$L$4))),TREND($E25:$F25,$E$9:$F$9,AR$9))</f>
        <v>0</v>
      </c>
      <c r="AS25" s="36">
        <f>IF($G25="s-curve",$E25+($F25-$E25)*$L$2/(1+EXP($L$3*(COUNT($L$9:AS$9)+$L$4))),TREND($E25:$F25,$E$9:$F$9,AS$9))</f>
        <v>0</v>
      </c>
      <c r="AT25" s="36">
        <f>IF($G25="s-curve",$E25+($F25-$E25)*$L$2/(1+EXP($L$3*(COUNT($L$9:AT$9)+$L$4))),TREND($E25:$F25,$E$9:$F$9,AT$9))</f>
        <v>0</v>
      </c>
      <c r="AU25" s="36">
        <f>IF($G25="s-curve",$E25+($F25-$E25)*$L$2/(1+EXP($L$3*(COUNT($L$9:AU$9)+$L$4))),TREND($E25:$F25,$E$9:$F$9,AU$9))</f>
        <v>0</v>
      </c>
      <c r="AV25" s="36">
        <f>IF($G25="s-curve",$E25+($F25-$E25)*$L$2/(1+EXP($L$3*(COUNT($L$9:AV$9)+$L$4))),TREND($E25:$F25,$E$9:$F$9,AV$9))</f>
        <v>0</v>
      </c>
      <c r="AW25" s="36">
        <f>IF($G25="s-curve",$E25+($F25-$E25)*$L$2/(1+EXP($L$3*(COUNT($L$9:AW$9)+$L$4))),TREND($E25:$F25,$E$9:$F$9,AW$9))</f>
        <v>0</v>
      </c>
      <c r="AX25" s="36">
        <f>IF($G25="s-curve",$E25+($F25-$E25)*$L$2/(1+EXP($L$3*(COUNT($L$9:AX$9)+$L$4))),TREND($E25:$F25,$E$9:$F$9,AX$9))</f>
        <v>0</v>
      </c>
      <c r="AY25" s="36">
        <f>IF($G25="s-curve",$E25+($F25-$E25)*$L$2/(1+EXP($L$3*(COUNT($L$9:AY$9)+$L$4))),TREND($E25:$F25,$E$9:$F$9,AY$9))</f>
        <v>0</v>
      </c>
      <c r="AZ25" s="36">
        <f>IF($G25="s-curve",$E25+($F25-$E25)*$L$2/(1+EXP($L$3*(COUNT($L$9:AZ$9)+$L$4))),TREND($E25:$F25,$E$9:$F$9,AZ$9))</f>
        <v>0</v>
      </c>
      <c r="BA25" s="36">
        <f>IF($G25="s-curve",$E25+($F25-$E25)*$L$2/(1+EXP($L$3*(COUNT($L$9:BA$9)+$L$4))),TREND($E25:$F25,$E$9:$F$9,BA$9))</f>
        <v>0</v>
      </c>
      <c r="BB25" s="36">
        <f>IF($G25="s-curve",$E25+($F25-$E25)*$L$2/(1+EXP($L$3*(COUNT($L$9:BB$9)+$L$4))),TREND($E25:$F25,$E$9:$F$9,BB$9))</f>
        <v>0</v>
      </c>
      <c r="BC25" s="36">
        <f>IF($G25="s-curve",$E25+($F25-$E25)*$L$2/(1+EXP($L$3*(COUNT($L$9:BC$9)+$L$4))),TREND($E25:$F25,$E$9:$F$9,BC$9))</f>
        <v>0</v>
      </c>
      <c r="BD25" s="36">
        <f>IF($G25="s-curve",$E25+($F25-$E25)*$L$2/(1+EXP($L$3*(COUNT($L$9:BD$9)+$L$4))),TREND($E25:$F25,$E$9:$F$9,BD$9))</f>
        <v>0</v>
      </c>
      <c r="BE25" s="36">
        <f>IF($G25="s-curve",$E25+($F25-$E25)*$L$2/(1+EXP($L$3*(COUNT($L$9:BE$9)+$L$4))),TREND($E25:$F25,$E$9:$F$9,BE$9))</f>
        <v>0</v>
      </c>
      <c r="BF25" s="36">
        <f>IF($G25="s-curve",$E25+($F25-$E25)*$L$2/(1+EXP($L$3*(COUNT($L$9:BF$9)+$L$4))),TREND($E25:$F25,$E$9:$F$9,BF$9))</f>
        <v>0</v>
      </c>
    </row>
    <row r="26" spans="1:58" x14ac:dyDescent="0.25">
      <c r="C26" t="s">
        <v>3</v>
      </c>
      <c r="D26">
        <v>0</v>
      </c>
      <c r="E26">
        <v>0</v>
      </c>
      <c r="F26" s="17">
        <f>E26</f>
        <v>0</v>
      </c>
      <c r="G26" s="5" t="str">
        <f>IF(E26=F26,"n/a",IF(OR(C26="battery electric vehicle",C26="natural gas vehicle",C26="plugin hybrid vehicle"),"s-curve","linear"))</f>
        <v>n/a</v>
      </c>
      <c r="H26" s="33"/>
      <c r="I26">
        <f t="shared" si="22"/>
        <v>0</v>
      </c>
      <c r="J26">
        <f t="shared" si="22"/>
        <v>0</v>
      </c>
      <c r="K26">
        <f t="shared" si="22"/>
        <v>0</v>
      </c>
      <c r="L26" s="36">
        <f t="shared" si="26"/>
        <v>0</v>
      </c>
      <c r="M26" s="36">
        <f t="shared" si="27"/>
        <v>0</v>
      </c>
      <c r="N26" s="36">
        <f>IF($G26="s-curve",$E26+($F26-$E26)*$L$2/(1+EXP($L$3*(COUNT($L$9:N$9)+$L$4))),TREND($E26:$F26,$E$9:$F$9,N$9))</f>
        <v>0</v>
      </c>
      <c r="O26" s="36">
        <f>IF($G26="s-curve",$E26+($F26-$E26)*$L$2/(1+EXP($L$3*(COUNT($L$9:O$9)+$L$4))),TREND($E26:$F26,$E$9:$F$9,O$9))</f>
        <v>0</v>
      </c>
      <c r="P26" s="36">
        <f>IF($G26="s-curve",$E26+($F26-$E26)*$L$2/(1+EXP($L$3*(COUNT($L$9:P$9)+$L$4))),TREND($E26:$F26,$E$9:$F$9,P$9))</f>
        <v>0</v>
      </c>
      <c r="Q26" s="36">
        <f>IF($G26="s-curve",$E26+($F26-$E26)*$L$2/(1+EXP($L$3*(COUNT($L$9:Q$9)+$L$4))),TREND($E26:$F26,$E$9:$F$9,Q$9))</f>
        <v>0</v>
      </c>
      <c r="R26" s="36">
        <f>IF($G26="s-curve",$E26+($F26-$E26)*$L$2/(1+EXP($L$3*(COUNT($L$9:R$9)+$L$4))),TREND($E26:$F26,$E$9:$F$9,R$9))</f>
        <v>0</v>
      </c>
      <c r="S26" s="36">
        <f>IF($G26="s-curve",$E26+($F26-$E26)*$L$2/(1+EXP($L$3*(COUNT($L$9:S$9)+$L$4))),TREND($E26:$F26,$E$9:$F$9,S$9))</f>
        <v>0</v>
      </c>
      <c r="T26" s="36">
        <f>IF($G26="s-curve",$E26+($F26-$E26)*$L$2/(1+EXP($L$3*(COUNT($L$9:T$9)+$L$4))),TREND($E26:$F26,$E$9:$F$9,T$9))</f>
        <v>0</v>
      </c>
      <c r="U26" s="36">
        <f>IF($G26="s-curve",$E26+($F26-$E26)*$L$2/(1+EXP($L$3*(COUNT($L$9:U$9)+$L$4))),TREND($E26:$F26,$E$9:$F$9,U$9))</f>
        <v>0</v>
      </c>
      <c r="V26" s="36">
        <f>IF($G26="s-curve",$E26+($F26-$E26)*$L$2/(1+EXP($L$3*(COUNT($L$9:V$9)+$L$4))),TREND($E26:$F26,$E$9:$F$9,V$9))</f>
        <v>0</v>
      </c>
      <c r="W26" s="36">
        <f>IF($G26="s-curve",$E26+($F26-$E26)*$L$2/(1+EXP($L$3*(COUNT($L$9:W$9)+$L$4))),TREND($E26:$F26,$E$9:$F$9,W$9))</f>
        <v>0</v>
      </c>
      <c r="X26" s="36">
        <f>IF($G26="s-curve",$E26+($F26-$E26)*$L$2/(1+EXP($L$3*(COUNT($L$9:X$9)+$L$4))),TREND($E26:$F26,$E$9:$F$9,X$9))</f>
        <v>0</v>
      </c>
      <c r="Y26" s="36">
        <f>IF($G26="s-curve",$E26+($F26-$E26)*$L$2/(1+EXP($L$3*(COUNT($L$9:Y$9)+$L$4))),TREND($E26:$F26,$E$9:$F$9,Y$9))</f>
        <v>0</v>
      </c>
      <c r="Z26" s="36">
        <f>IF($G26="s-curve",$E26+($F26-$E26)*$L$2/(1+EXP($L$3*(COUNT($L$9:Z$9)+$L$4))),TREND($E26:$F26,$E$9:$F$9,Z$9))</f>
        <v>0</v>
      </c>
      <c r="AA26" s="36">
        <f>IF($G26="s-curve",$E26+($F26-$E26)*$L$2/(1+EXP($L$3*(COUNT($L$9:AA$9)+$L$4))),TREND($E26:$F26,$E$9:$F$9,AA$9))</f>
        <v>0</v>
      </c>
      <c r="AB26" s="36">
        <f>IF($G26="s-curve",$E26+($F26-$E26)*$L$2/(1+EXP($L$3*(COUNT($L$9:AB$9)+$L$4))),TREND($E26:$F26,$E$9:$F$9,AB$9))</f>
        <v>0</v>
      </c>
      <c r="AC26" s="36">
        <f>IF($G26="s-curve",$E26+($F26-$E26)*$L$2/(1+EXP($L$3*(COUNT($L$9:AC$9)+$L$4))),TREND($E26:$F26,$E$9:$F$9,AC$9))</f>
        <v>0</v>
      </c>
      <c r="AD26" s="36">
        <f>IF($G26="s-curve",$E26+($F26-$E26)*$L$2/(1+EXP($L$3*(COUNT($L$9:AD$9)+$L$4))),TREND($E26:$F26,$E$9:$F$9,AD$9))</f>
        <v>0</v>
      </c>
      <c r="AE26" s="36">
        <f>IF($G26="s-curve",$E26+($F26-$E26)*$L$2/(1+EXP($L$3*(COUNT($L$9:AE$9)+$L$4))),TREND($E26:$F26,$E$9:$F$9,AE$9))</f>
        <v>0</v>
      </c>
      <c r="AF26" s="36">
        <f>IF($G26="s-curve",$E26+($F26-$E26)*$L$2/(1+EXP($L$3*(COUNT($L$9:AF$9)+$L$4))),TREND($E26:$F26,$E$9:$F$9,AF$9))</f>
        <v>0</v>
      </c>
      <c r="AG26" s="36">
        <f>IF($G26="s-curve",$E26+($F26-$E26)*$L$2/(1+EXP($L$3*(COUNT($L$9:AG$9)+$L$4))),TREND($E26:$F26,$E$9:$F$9,AG$9))</f>
        <v>0</v>
      </c>
      <c r="AH26" s="36">
        <f>IF($G26="s-curve",$E26+($F26-$E26)*$L$2/(1+EXP($L$3*(COUNT($L$9:AH$9)+$L$4))),TREND($E26:$F26,$E$9:$F$9,AH$9))</f>
        <v>0</v>
      </c>
      <c r="AI26" s="36">
        <f>IF($G26="s-curve",$E26+($F26-$E26)*$L$2/(1+EXP($L$3*(COUNT($L$9:AI$9)+$L$4))),TREND($E26:$F26,$E$9:$F$9,AI$9))</f>
        <v>0</v>
      </c>
      <c r="AJ26" s="36">
        <f>IF($G26="s-curve",$E26+($F26-$E26)*$L$2/(1+EXP($L$3*(COUNT($L$9:AJ$9)+$L$4))),TREND($E26:$F26,$E$9:$F$9,AJ$9))</f>
        <v>0</v>
      </c>
      <c r="AK26" s="36">
        <f>IF($G26="s-curve",$E26+($F26-$E26)*$L$2/(1+EXP($L$3*(COUNT($L$9:AK$9)+$L$4))),TREND($E26:$F26,$E$9:$F$9,AK$9))</f>
        <v>0</v>
      </c>
      <c r="AL26" s="36">
        <f>IF($G26="s-curve",$E26+($F26-$E26)*$L$2/(1+EXP($L$3*(COUNT($L$9:AL$9)+$L$4))),TREND($E26:$F26,$E$9:$F$9,AL$9))</f>
        <v>0</v>
      </c>
      <c r="AM26" s="36">
        <f>IF($G26="s-curve",$E26+($F26-$E26)*$L$2/(1+EXP($L$3*(COUNT($L$9:AM$9)+$L$4))),TREND($E26:$F26,$E$9:$F$9,AM$9))</f>
        <v>0</v>
      </c>
      <c r="AN26" s="36">
        <f>IF($G26="s-curve",$E26+($F26-$E26)*$L$2/(1+EXP($L$3*(COUNT($L$9:AN$9)+$L$4))),TREND($E26:$F26,$E$9:$F$9,AN$9))</f>
        <v>0</v>
      </c>
      <c r="AO26" s="36">
        <f>IF($G26="s-curve",$E26+($F26-$E26)*$L$2/(1+EXP($L$3*(COUNT($L$9:AO$9)+$L$4))),TREND($E26:$F26,$E$9:$F$9,AO$9))</f>
        <v>0</v>
      </c>
      <c r="AP26" s="36">
        <f>IF($G26="s-curve",$E26+($F26-$E26)*$L$2/(1+EXP($L$3*(COUNT($L$9:AP$9)+$L$4))),TREND($E26:$F26,$E$9:$F$9,AP$9))</f>
        <v>0</v>
      </c>
      <c r="AQ26" s="36">
        <f>IF($G26="s-curve",$E26+($F26-$E26)*$L$2/(1+EXP($L$3*(COUNT($L$9:AQ$9)+$L$4))),TREND($E26:$F26,$E$9:$F$9,AQ$9))</f>
        <v>0</v>
      </c>
      <c r="AR26" s="36">
        <f>IF($G26="s-curve",$E26+($F26-$E26)*$L$2/(1+EXP($L$3*(COUNT($L$9:AR$9)+$L$4))),TREND($E26:$F26,$E$9:$F$9,AR$9))</f>
        <v>0</v>
      </c>
      <c r="AS26" s="36">
        <f>IF($G26="s-curve",$E26+($F26-$E26)*$L$2/(1+EXP($L$3*(COUNT($L$9:AS$9)+$L$4))),TREND($E26:$F26,$E$9:$F$9,AS$9))</f>
        <v>0</v>
      </c>
      <c r="AT26" s="36">
        <f>IF($G26="s-curve",$E26+($F26-$E26)*$L$2/(1+EXP($L$3*(COUNT($L$9:AT$9)+$L$4))),TREND($E26:$F26,$E$9:$F$9,AT$9))</f>
        <v>0</v>
      </c>
      <c r="AU26" s="36">
        <f>IF($G26="s-curve",$E26+($F26-$E26)*$L$2/(1+EXP($L$3*(COUNT($L$9:AU$9)+$L$4))),TREND($E26:$F26,$E$9:$F$9,AU$9))</f>
        <v>0</v>
      </c>
      <c r="AV26" s="36">
        <f>IF($G26="s-curve",$E26+($F26-$E26)*$L$2/(1+EXP($L$3*(COUNT($L$9:AV$9)+$L$4))),TREND($E26:$F26,$E$9:$F$9,AV$9))</f>
        <v>0</v>
      </c>
      <c r="AW26" s="36">
        <f>IF($G26="s-curve",$E26+($F26-$E26)*$L$2/(1+EXP($L$3*(COUNT($L$9:AW$9)+$L$4))),TREND($E26:$F26,$E$9:$F$9,AW$9))</f>
        <v>0</v>
      </c>
      <c r="AX26" s="36">
        <f>IF($G26="s-curve",$E26+($F26-$E26)*$L$2/(1+EXP($L$3*(COUNT($L$9:AX$9)+$L$4))),TREND($E26:$F26,$E$9:$F$9,AX$9))</f>
        <v>0</v>
      </c>
      <c r="AY26" s="36">
        <f>IF($G26="s-curve",$E26+($F26-$E26)*$L$2/(1+EXP($L$3*(COUNT($L$9:AY$9)+$L$4))),TREND($E26:$F26,$E$9:$F$9,AY$9))</f>
        <v>0</v>
      </c>
      <c r="AZ26" s="36">
        <f>IF($G26="s-curve",$E26+($F26-$E26)*$L$2/(1+EXP($L$3*(COUNT($L$9:AZ$9)+$L$4))),TREND($E26:$F26,$E$9:$F$9,AZ$9))</f>
        <v>0</v>
      </c>
      <c r="BA26" s="36">
        <f>IF($G26="s-curve",$E26+($F26-$E26)*$L$2/(1+EXP($L$3*(COUNT($L$9:BA$9)+$L$4))),TREND($E26:$F26,$E$9:$F$9,BA$9))</f>
        <v>0</v>
      </c>
      <c r="BB26" s="36">
        <f>IF($G26="s-curve",$E26+($F26-$E26)*$L$2/(1+EXP($L$3*(COUNT($L$9:BB$9)+$L$4))),TREND($E26:$F26,$E$9:$F$9,BB$9))</f>
        <v>0</v>
      </c>
      <c r="BC26" s="36">
        <f>IF($G26="s-curve",$E26+($F26-$E26)*$L$2/(1+EXP($L$3*(COUNT($L$9:BC$9)+$L$4))),TREND($E26:$F26,$E$9:$F$9,BC$9))</f>
        <v>0</v>
      </c>
      <c r="BD26" s="36">
        <f>IF($G26="s-curve",$E26+($F26-$E26)*$L$2/(1+EXP($L$3*(COUNT($L$9:BD$9)+$L$4))),TREND($E26:$F26,$E$9:$F$9,BD$9))</f>
        <v>0</v>
      </c>
      <c r="BE26" s="36">
        <f>IF($G26="s-curve",$E26+($F26-$E26)*$L$2/(1+EXP($L$3*(COUNT($L$9:BE$9)+$L$4))),TREND($E26:$F26,$E$9:$F$9,BE$9))</f>
        <v>0</v>
      </c>
      <c r="BF26" s="36">
        <f>IF($G26="s-curve",$E26+($F26-$E26)*$L$2/(1+EXP($L$3*(COUNT($L$9:BF$9)+$L$4))),TREND($E26:$F26,$E$9:$F$9,BF$9))</f>
        <v>0</v>
      </c>
    </row>
    <row r="27" spans="1:58" x14ac:dyDescent="0.25">
      <c r="C27" t="s">
        <v>4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H27" s="33"/>
      <c r="I27">
        <f t="shared" si="22"/>
        <v>1</v>
      </c>
      <c r="J27">
        <f t="shared" si="22"/>
        <v>1</v>
      </c>
      <c r="K27">
        <f t="shared" si="22"/>
        <v>1</v>
      </c>
      <c r="L27" s="36">
        <f t="shared" si="26"/>
        <v>1</v>
      </c>
      <c r="M27" s="36">
        <f t="shared" si="27"/>
        <v>1</v>
      </c>
      <c r="N27" s="36">
        <f>IF($G27="s-curve",$E27+($F27-$E27)*$L$2/(1+EXP($L$3*(COUNT($L$9:N$9)+$L$4))),TREND($E27:$F27,$E$9:$F$9,N$9))</f>
        <v>1</v>
      </c>
      <c r="O27" s="36">
        <f>IF($G27="s-curve",$E27+($F27-$E27)*$L$2/(1+EXP($L$3*(COUNT($L$9:O$9)+$L$4))),TREND($E27:$F27,$E$9:$F$9,O$9))</f>
        <v>1</v>
      </c>
      <c r="P27" s="36">
        <f>IF($G27="s-curve",$E27+($F27-$E27)*$L$2/(1+EXP($L$3*(COUNT($L$9:P$9)+$L$4))),TREND($E27:$F27,$E$9:$F$9,P$9))</f>
        <v>1</v>
      </c>
      <c r="Q27" s="36">
        <f>IF($G27="s-curve",$E27+($F27-$E27)*$L$2/(1+EXP($L$3*(COUNT($L$9:Q$9)+$L$4))),TREND($E27:$F27,$E$9:$F$9,Q$9))</f>
        <v>1</v>
      </c>
      <c r="R27" s="36">
        <f>IF($G27="s-curve",$E27+($F27-$E27)*$L$2/(1+EXP($L$3*(COUNT($L$9:R$9)+$L$4))),TREND($E27:$F27,$E$9:$F$9,R$9))</f>
        <v>1</v>
      </c>
      <c r="S27" s="36">
        <f>IF($G27="s-curve",$E27+($F27-$E27)*$L$2/(1+EXP($L$3*(COUNT($L$9:S$9)+$L$4))),TREND($E27:$F27,$E$9:$F$9,S$9))</f>
        <v>1</v>
      </c>
      <c r="T27" s="36">
        <f>IF($G27="s-curve",$E27+($F27-$E27)*$L$2/(1+EXP($L$3*(COUNT($L$9:T$9)+$L$4))),TREND($E27:$F27,$E$9:$F$9,T$9))</f>
        <v>1</v>
      </c>
      <c r="U27" s="36">
        <f>IF($G27="s-curve",$E27+($F27-$E27)*$L$2/(1+EXP($L$3*(COUNT($L$9:U$9)+$L$4))),TREND($E27:$F27,$E$9:$F$9,U$9))</f>
        <v>1</v>
      </c>
      <c r="V27" s="36">
        <f>IF($G27="s-curve",$E27+($F27-$E27)*$L$2/(1+EXP($L$3*(COUNT($L$9:V$9)+$L$4))),TREND($E27:$F27,$E$9:$F$9,V$9))</f>
        <v>1</v>
      </c>
      <c r="W27" s="36">
        <f>IF($G27="s-curve",$E27+($F27-$E27)*$L$2/(1+EXP($L$3*(COUNT($L$9:W$9)+$L$4))),TREND($E27:$F27,$E$9:$F$9,W$9))</f>
        <v>1</v>
      </c>
      <c r="X27" s="36">
        <f>IF($G27="s-curve",$E27+($F27-$E27)*$L$2/(1+EXP($L$3*(COUNT($L$9:X$9)+$L$4))),TREND($E27:$F27,$E$9:$F$9,X$9))</f>
        <v>1</v>
      </c>
      <c r="Y27" s="36">
        <f>IF($G27="s-curve",$E27+($F27-$E27)*$L$2/(1+EXP($L$3*(COUNT($L$9:Y$9)+$L$4))),TREND($E27:$F27,$E$9:$F$9,Y$9))</f>
        <v>1</v>
      </c>
      <c r="Z27" s="36">
        <f>IF($G27="s-curve",$E27+($F27-$E27)*$L$2/(1+EXP($L$3*(COUNT($L$9:Z$9)+$L$4))),TREND($E27:$F27,$E$9:$F$9,Z$9))</f>
        <v>1</v>
      </c>
      <c r="AA27" s="36">
        <f>IF($G27="s-curve",$E27+($F27-$E27)*$L$2/(1+EXP($L$3*(COUNT($L$9:AA$9)+$L$4))),TREND($E27:$F27,$E$9:$F$9,AA$9))</f>
        <v>1</v>
      </c>
      <c r="AB27" s="36">
        <f>IF($G27="s-curve",$E27+($F27-$E27)*$L$2/(1+EXP($L$3*(COUNT($L$9:AB$9)+$L$4))),TREND($E27:$F27,$E$9:$F$9,AB$9))</f>
        <v>1</v>
      </c>
      <c r="AC27" s="36">
        <f>IF($G27="s-curve",$E27+($F27-$E27)*$L$2/(1+EXP($L$3*(COUNT($L$9:AC$9)+$L$4))),TREND($E27:$F27,$E$9:$F$9,AC$9))</f>
        <v>1</v>
      </c>
      <c r="AD27" s="36">
        <f>IF($G27="s-curve",$E27+($F27-$E27)*$L$2/(1+EXP($L$3*(COUNT($L$9:AD$9)+$L$4))),TREND($E27:$F27,$E$9:$F$9,AD$9))</f>
        <v>1</v>
      </c>
      <c r="AE27" s="36">
        <f>IF($G27="s-curve",$E27+($F27-$E27)*$L$2/(1+EXP($L$3*(COUNT($L$9:AE$9)+$L$4))),TREND($E27:$F27,$E$9:$F$9,AE$9))</f>
        <v>1</v>
      </c>
      <c r="AF27" s="36">
        <f>IF($G27="s-curve",$E27+($F27-$E27)*$L$2/(1+EXP($L$3*(COUNT($L$9:AF$9)+$L$4))),TREND($E27:$F27,$E$9:$F$9,AF$9))</f>
        <v>1</v>
      </c>
      <c r="AG27" s="36">
        <f>IF($G27="s-curve",$E27+($F27-$E27)*$L$2/(1+EXP($L$3*(COUNT($L$9:AG$9)+$L$4))),TREND($E27:$F27,$E$9:$F$9,AG$9))</f>
        <v>1</v>
      </c>
      <c r="AH27" s="36">
        <f>IF($G27="s-curve",$E27+($F27-$E27)*$L$2/(1+EXP($L$3*(COUNT($L$9:AH$9)+$L$4))),TREND($E27:$F27,$E$9:$F$9,AH$9))</f>
        <v>1</v>
      </c>
      <c r="AI27" s="36">
        <f>IF($G27="s-curve",$E27+($F27-$E27)*$L$2/(1+EXP($L$3*(COUNT($L$9:AI$9)+$L$4))),TREND($E27:$F27,$E$9:$F$9,AI$9))</f>
        <v>1</v>
      </c>
      <c r="AJ27" s="36">
        <f>IF($G27="s-curve",$E27+($F27-$E27)*$L$2/(1+EXP($L$3*(COUNT($L$9:AJ$9)+$L$4))),TREND($E27:$F27,$E$9:$F$9,AJ$9))</f>
        <v>1</v>
      </c>
      <c r="AK27" s="36">
        <f>IF($G27="s-curve",$E27+($F27-$E27)*$L$2/(1+EXP($L$3*(COUNT($L$9:AK$9)+$L$4))),TREND($E27:$F27,$E$9:$F$9,AK$9))</f>
        <v>1</v>
      </c>
      <c r="AL27" s="36">
        <f>IF($G27="s-curve",$E27+($F27-$E27)*$L$2/(1+EXP($L$3*(COUNT($L$9:AL$9)+$L$4))),TREND($E27:$F27,$E$9:$F$9,AL$9))</f>
        <v>1</v>
      </c>
      <c r="AM27" s="36">
        <f>IF($G27="s-curve",$E27+($F27-$E27)*$L$2/(1+EXP($L$3*(COUNT($L$9:AM$9)+$L$4))),TREND($E27:$F27,$E$9:$F$9,AM$9))</f>
        <v>1</v>
      </c>
      <c r="AN27" s="36">
        <f>IF($G27="s-curve",$E27+($F27-$E27)*$L$2/(1+EXP($L$3*(COUNT($L$9:AN$9)+$L$4))),TREND($E27:$F27,$E$9:$F$9,AN$9))</f>
        <v>1</v>
      </c>
      <c r="AO27" s="36">
        <f>IF($G27="s-curve",$E27+($F27-$E27)*$L$2/(1+EXP($L$3*(COUNT($L$9:AO$9)+$L$4))),TREND($E27:$F27,$E$9:$F$9,AO$9))</f>
        <v>1</v>
      </c>
      <c r="AP27" s="36">
        <f>IF($G27="s-curve",$E27+($F27-$E27)*$L$2/(1+EXP($L$3*(COUNT($L$9:AP$9)+$L$4))),TREND($E27:$F27,$E$9:$F$9,AP$9))</f>
        <v>1</v>
      </c>
      <c r="AQ27" s="36">
        <f>IF($G27="s-curve",$E27+($F27-$E27)*$L$2/(1+EXP($L$3*(COUNT($L$9:AQ$9)+$L$4))),TREND($E27:$F27,$E$9:$F$9,AQ$9))</f>
        <v>1</v>
      </c>
      <c r="AR27" s="36">
        <f>IF($G27="s-curve",$E27+($F27-$E27)*$L$2/(1+EXP($L$3*(COUNT($L$9:AR$9)+$L$4))),TREND($E27:$F27,$E$9:$F$9,AR$9))</f>
        <v>1</v>
      </c>
      <c r="AS27" s="36">
        <f>IF($G27="s-curve",$E27+($F27-$E27)*$L$2/(1+EXP($L$3*(COUNT($L$9:AS$9)+$L$4))),TREND($E27:$F27,$E$9:$F$9,AS$9))</f>
        <v>1</v>
      </c>
      <c r="AT27" s="36">
        <f>IF($G27="s-curve",$E27+($F27-$E27)*$L$2/(1+EXP($L$3*(COUNT($L$9:AT$9)+$L$4))),TREND($E27:$F27,$E$9:$F$9,AT$9))</f>
        <v>1</v>
      </c>
      <c r="AU27" s="36">
        <f>IF($G27="s-curve",$E27+($F27-$E27)*$L$2/(1+EXP($L$3*(COUNT($L$9:AU$9)+$L$4))),TREND($E27:$F27,$E$9:$F$9,AU$9))</f>
        <v>1</v>
      </c>
      <c r="AV27" s="36">
        <f>IF($G27="s-curve",$E27+($F27-$E27)*$L$2/(1+EXP($L$3*(COUNT($L$9:AV$9)+$L$4))),TREND($E27:$F27,$E$9:$F$9,AV$9))</f>
        <v>1</v>
      </c>
      <c r="AW27" s="36">
        <f>IF($G27="s-curve",$E27+($F27-$E27)*$L$2/(1+EXP($L$3*(COUNT($L$9:AW$9)+$L$4))),TREND($E27:$F27,$E$9:$F$9,AW$9))</f>
        <v>1</v>
      </c>
      <c r="AX27" s="36">
        <f>IF($G27="s-curve",$E27+($F27-$E27)*$L$2/(1+EXP($L$3*(COUNT($L$9:AX$9)+$L$4))),TREND($E27:$F27,$E$9:$F$9,AX$9))</f>
        <v>1</v>
      </c>
      <c r="AY27" s="36">
        <f>IF($G27="s-curve",$E27+($F27-$E27)*$L$2/(1+EXP($L$3*(COUNT($L$9:AY$9)+$L$4))),TREND($E27:$F27,$E$9:$F$9,AY$9))</f>
        <v>1</v>
      </c>
      <c r="AZ27" s="36">
        <f>IF($G27="s-curve",$E27+($F27-$E27)*$L$2/(1+EXP($L$3*(COUNT($L$9:AZ$9)+$L$4))),TREND($E27:$F27,$E$9:$F$9,AZ$9))</f>
        <v>1</v>
      </c>
      <c r="BA27" s="36">
        <f>IF($G27="s-curve",$E27+($F27-$E27)*$L$2/(1+EXP($L$3*(COUNT($L$9:BA$9)+$L$4))),TREND($E27:$F27,$E$9:$F$9,BA$9))</f>
        <v>1</v>
      </c>
      <c r="BB27" s="36">
        <f>IF($G27="s-curve",$E27+($F27-$E27)*$L$2/(1+EXP($L$3*(COUNT($L$9:BB$9)+$L$4))),TREND($E27:$F27,$E$9:$F$9,BB$9))</f>
        <v>1</v>
      </c>
      <c r="BC27" s="36">
        <f>IF($G27="s-curve",$E27+($F27-$E27)*$L$2/(1+EXP($L$3*(COUNT($L$9:BC$9)+$L$4))),TREND($E27:$F27,$E$9:$F$9,BC$9))</f>
        <v>1</v>
      </c>
      <c r="BD27" s="36">
        <f>IF($G27="s-curve",$E27+($F27-$E27)*$L$2/(1+EXP($L$3*(COUNT($L$9:BD$9)+$L$4))),TREND($E27:$F27,$E$9:$F$9,BD$9))</f>
        <v>1</v>
      </c>
      <c r="BE27" s="36">
        <f>IF($G27="s-curve",$E27+($F27-$E27)*$L$2/(1+EXP($L$3*(COUNT($L$9:BE$9)+$L$4))),TREND($E27:$F27,$E$9:$F$9,BE$9))</f>
        <v>1</v>
      </c>
      <c r="BF27" s="36">
        <f>IF($G27="s-curve",$E27+($F27-$E27)*$L$2/(1+EXP($L$3*(COUNT($L$9:BF$9)+$L$4))),TREND($E27:$F27,$E$9:$F$9,BF$9))</f>
        <v>1</v>
      </c>
    </row>
    <row r="28" spans="1:58" x14ac:dyDescent="0.25">
      <c r="C28" t="s">
        <v>5</v>
      </c>
      <c r="D28">
        <v>0</v>
      </c>
      <c r="E28">
        <v>0</v>
      </c>
      <c r="F28" s="17">
        <f>E28</f>
        <v>0</v>
      </c>
      <c r="G28" s="5" t="str">
        <f>IF(E28=F28,"n/a",IF(OR(C28="battery electric vehicle",C28="natural gas vehicle",C28="plugin hybrid vehicle"),"s-curve","linear"))</f>
        <v>n/a</v>
      </c>
      <c r="H28" s="33"/>
      <c r="I28">
        <f t="shared" si="22"/>
        <v>0</v>
      </c>
      <c r="J28">
        <f t="shared" si="22"/>
        <v>0</v>
      </c>
      <c r="K28">
        <f t="shared" si="22"/>
        <v>0</v>
      </c>
      <c r="L28" s="36">
        <f t="shared" si="26"/>
        <v>0</v>
      </c>
      <c r="M28" s="36">
        <f t="shared" si="27"/>
        <v>0</v>
      </c>
      <c r="N28" s="36">
        <f>IF($G28="s-curve",$E28+($F28-$E28)*$L$2/(1+EXP($L$3*(COUNT($L$9:N$9)+$L$4))),TREND($E28:$F28,$E$9:$F$9,N$9))</f>
        <v>0</v>
      </c>
      <c r="O28" s="36">
        <f>IF($G28="s-curve",$E28+($F28-$E28)*$L$2/(1+EXP($L$3*(COUNT($L$9:O$9)+$L$4))),TREND($E28:$F28,$E$9:$F$9,O$9))</f>
        <v>0</v>
      </c>
      <c r="P28" s="36">
        <f>IF($G28="s-curve",$E28+($F28-$E28)*$L$2/(1+EXP($L$3*(COUNT($L$9:P$9)+$L$4))),TREND($E28:$F28,$E$9:$F$9,P$9))</f>
        <v>0</v>
      </c>
      <c r="Q28" s="36">
        <f>IF($G28="s-curve",$E28+($F28-$E28)*$L$2/(1+EXP($L$3*(COUNT($L$9:Q$9)+$L$4))),TREND($E28:$F28,$E$9:$F$9,Q$9))</f>
        <v>0</v>
      </c>
      <c r="R28" s="36">
        <f>IF($G28="s-curve",$E28+($F28-$E28)*$L$2/(1+EXP($L$3*(COUNT($L$9:R$9)+$L$4))),TREND($E28:$F28,$E$9:$F$9,R$9))</f>
        <v>0</v>
      </c>
      <c r="S28" s="36">
        <f>IF($G28="s-curve",$E28+($F28-$E28)*$L$2/(1+EXP($L$3*(COUNT($L$9:S$9)+$L$4))),TREND($E28:$F28,$E$9:$F$9,S$9))</f>
        <v>0</v>
      </c>
      <c r="T28" s="36">
        <f>IF($G28="s-curve",$E28+($F28-$E28)*$L$2/(1+EXP($L$3*(COUNT($L$9:T$9)+$L$4))),TREND($E28:$F28,$E$9:$F$9,T$9))</f>
        <v>0</v>
      </c>
      <c r="U28" s="36">
        <f>IF($G28="s-curve",$E28+($F28-$E28)*$L$2/(1+EXP($L$3*(COUNT($L$9:U$9)+$L$4))),TREND($E28:$F28,$E$9:$F$9,U$9))</f>
        <v>0</v>
      </c>
      <c r="V28" s="36">
        <f>IF($G28="s-curve",$E28+($F28-$E28)*$L$2/(1+EXP($L$3*(COUNT($L$9:V$9)+$L$4))),TREND($E28:$F28,$E$9:$F$9,V$9))</f>
        <v>0</v>
      </c>
      <c r="W28" s="36">
        <f>IF($G28="s-curve",$E28+($F28-$E28)*$L$2/(1+EXP($L$3*(COUNT($L$9:W$9)+$L$4))),TREND($E28:$F28,$E$9:$F$9,W$9))</f>
        <v>0</v>
      </c>
      <c r="X28" s="36">
        <f>IF($G28="s-curve",$E28+($F28-$E28)*$L$2/(1+EXP($L$3*(COUNT($L$9:X$9)+$L$4))),TREND($E28:$F28,$E$9:$F$9,X$9))</f>
        <v>0</v>
      </c>
      <c r="Y28" s="36">
        <f>IF($G28="s-curve",$E28+($F28-$E28)*$L$2/(1+EXP($L$3*(COUNT($L$9:Y$9)+$L$4))),TREND($E28:$F28,$E$9:$F$9,Y$9))</f>
        <v>0</v>
      </c>
      <c r="Z28" s="36">
        <f>IF($G28="s-curve",$E28+($F28-$E28)*$L$2/(1+EXP($L$3*(COUNT($L$9:Z$9)+$L$4))),TREND($E28:$F28,$E$9:$F$9,Z$9))</f>
        <v>0</v>
      </c>
      <c r="AA28" s="36">
        <f>IF($G28="s-curve",$E28+($F28-$E28)*$L$2/(1+EXP($L$3*(COUNT($L$9:AA$9)+$L$4))),TREND($E28:$F28,$E$9:$F$9,AA$9))</f>
        <v>0</v>
      </c>
      <c r="AB28" s="36">
        <f>IF($G28="s-curve",$E28+($F28-$E28)*$L$2/(1+EXP($L$3*(COUNT($L$9:AB$9)+$L$4))),TREND($E28:$F28,$E$9:$F$9,AB$9))</f>
        <v>0</v>
      </c>
      <c r="AC28" s="36">
        <f>IF($G28="s-curve",$E28+($F28-$E28)*$L$2/(1+EXP($L$3*(COUNT($L$9:AC$9)+$L$4))),TREND($E28:$F28,$E$9:$F$9,AC$9))</f>
        <v>0</v>
      </c>
      <c r="AD28" s="36">
        <f>IF($G28="s-curve",$E28+($F28-$E28)*$L$2/(1+EXP($L$3*(COUNT($L$9:AD$9)+$L$4))),TREND($E28:$F28,$E$9:$F$9,AD$9))</f>
        <v>0</v>
      </c>
      <c r="AE28" s="36">
        <f>IF($G28="s-curve",$E28+($F28-$E28)*$L$2/(1+EXP($L$3*(COUNT($L$9:AE$9)+$L$4))),TREND($E28:$F28,$E$9:$F$9,AE$9))</f>
        <v>0</v>
      </c>
      <c r="AF28" s="36">
        <f>IF($G28="s-curve",$E28+($F28-$E28)*$L$2/(1+EXP($L$3*(COUNT($L$9:AF$9)+$L$4))),TREND($E28:$F28,$E$9:$F$9,AF$9))</f>
        <v>0</v>
      </c>
      <c r="AG28" s="36">
        <f>IF($G28="s-curve",$E28+($F28-$E28)*$L$2/(1+EXP($L$3*(COUNT($L$9:AG$9)+$L$4))),TREND($E28:$F28,$E$9:$F$9,AG$9))</f>
        <v>0</v>
      </c>
      <c r="AH28" s="36">
        <f>IF($G28="s-curve",$E28+($F28-$E28)*$L$2/(1+EXP($L$3*(COUNT($L$9:AH$9)+$L$4))),TREND($E28:$F28,$E$9:$F$9,AH$9))</f>
        <v>0</v>
      </c>
      <c r="AI28" s="36">
        <f>IF($G28="s-curve",$E28+($F28-$E28)*$L$2/(1+EXP($L$3*(COUNT($L$9:AI$9)+$L$4))),TREND($E28:$F28,$E$9:$F$9,AI$9))</f>
        <v>0</v>
      </c>
      <c r="AJ28" s="36">
        <f>IF($G28="s-curve",$E28+($F28-$E28)*$L$2/(1+EXP($L$3*(COUNT($L$9:AJ$9)+$L$4))),TREND($E28:$F28,$E$9:$F$9,AJ$9))</f>
        <v>0</v>
      </c>
      <c r="AK28" s="36">
        <f>IF($G28="s-curve",$E28+($F28-$E28)*$L$2/(1+EXP($L$3*(COUNT($L$9:AK$9)+$L$4))),TREND($E28:$F28,$E$9:$F$9,AK$9))</f>
        <v>0</v>
      </c>
      <c r="AL28" s="36">
        <f>IF($G28="s-curve",$E28+($F28-$E28)*$L$2/(1+EXP($L$3*(COUNT($L$9:AL$9)+$L$4))),TREND($E28:$F28,$E$9:$F$9,AL$9))</f>
        <v>0</v>
      </c>
      <c r="AM28" s="36">
        <f>IF($G28="s-curve",$E28+($F28-$E28)*$L$2/(1+EXP($L$3*(COUNT($L$9:AM$9)+$L$4))),TREND($E28:$F28,$E$9:$F$9,AM$9))</f>
        <v>0</v>
      </c>
      <c r="AN28" s="36">
        <f>IF($G28="s-curve",$E28+($F28-$E28)*$L$2/(1+EXP($L$3*(COUNT($L$9:AN$9)+$L$4))),TREND($E28:$F28,$E$9:$F$9,AN$9))</f>
        <v>0</v>
      </c>
      <c r="AO28" s="36">
        <f>IF($G28="s-curve",$E28+($F28-$E28)*$L$2/(1+EXP($L$3*(COUNT($L$9:AO$9)+$L$4))),TREND($E28:$F28,$E$9:$F$9,AO$9))</f>
        <v>0</v>
      </c>
      <c r="AP28" s="36">
        <f>IF($G28="s-curve",$E28+($F28-$E28)*$L$2/(1+EXP($L$3*(COUNT($L$9:AP$9)+$L$4))),TREND($E28:$F28,$E$9:$F$9,AP$9))</f>
        <v>0</v>
      </c>
      <c r="AQ28" s="36">
        <f>IF($G28="s-curve",$E28+($F28-$E28)*$L$2/(1+EXP($L$3*(COUNT($L$9:AQ$9)+$L$4))),TREND($E28:$F28,$E$9:$F$9,AQ$9))</f>
        <v>0</v>
      </c>
      <c r="AR28" s="36">
        <f>IF($G28="s-curve",$E28+($F28-$E28)*$L$2/(1+EXP($L$3*(COUNT($L$9:AR$9)+$L$4))),TREND($E28:$F28,$E$9:$F$9,AR$9))</f>
        <v>0</v>
      </c>
      <c r="AS28" s="36">
        <f>IF($G28="s-curve",$E28+($F28-$E28)*$L$2/(1+EXP($L$3*(COUNT($L$9:AS$9)+$L$4))),TREND($E28:$F28,$E$9:$F$9,AS$9))</f>
        <v>0</v>
      </c>
      <c r="AT28" s="36">
        <f>IF($G28="s-curve",$E28+($F28-$E28)*$L$2/(1+EXP($L$3*(COUNT($L$9:AT$9)+$L$4))),TREND($E28:$F28,$E$9:$F$9,AT$9))</f>
        <v>0</v>
      </c>
      <c r="AU28" s="36">
        <f>IF($G28="s-curve",$E28+($F28-$E28)*$L$2/(1+EXP($L$3*(COUNT($L$9:AU$9)+$L$4))),TREND($E28:$F28,$E$9:$F$9,AU$9))</f>
        <v>0</v>
      </c>
      <c r="AV28" s="36">
        <f>IF($G28="s-curve",$E28+($F28-$E28)*$L$2/(1+EXP($L$3*(COUNT($L$9:AV$9)+$L$4))),TREND($E28:$F28,$E$9:$F$9,AV$9))</f>
        <v>0</v>
      </c>
      <c r="AW28" s="36">
        <f>IF($G28="s-curve",$E28+($F28-$E28)*$L$2/(1+EXP($L$3*(COUNT($L$9:AW$9)+$L$4))),TREND($E28:$F28,$E$9:$F$9,AW$9))</f>
        <v>0</v>
      </c>
      <c r="AX28" s="36">
        <f>IF($G28="s-curve",$E28+($F28-$E28)*$L$2/(1+EXP($L$3*(COUNT($L$9:AX$9)+$L$4))),TREND($E28:$F28,$E$9:$F$9,AX$9))</f>
        <v>0</v>
      </c>
      <c r="AY28" s="36">
        <f>IF($G28="s-curve",$E28+($F28-$E28)*$L$2/(1+EXP($L$3*(COUNT($L$9:AY$9)+$L$4))),TREND($E28:$F28,$E$9:$F$9,AY$9))</f>
        <v>0</v>
      </c>
      <c r="AZ28" s="36">
        <f>IF($G28="s-curve",$E28+($F28-$E28)*$L$2/(1+EXP($L$3*(COUNT($L$9:AZ$9)+$L$4))),TREND($E28:$F28,$E$9:$F$9,AZ$9))</f>
        <v>0</v>
      </c>
      <c r="BA28" s="36">
        <f>IF($G28="s-curve",$E28+($F28-$E28)*$L$2/(1+EXP($L$3*(COUNT($L$9:BA$9)+$L$4))),TREND($E28:$F28,$E$9:$F$9,BA$9))</f>
        <v>0</v>
      </c>
      <c r="BB28" s="36">
        <f>IF($G28="s-curve",$E28+($F28-$E28)*$L$2/(1+EXP($L$3*(COUNT($L$9:BB$9)+$L$4))),TREND($E28:$F28,$E$9:$F$9,BB$9))</f>
        <v>0</v>
      </c>
      <c r="BC28" s="36">
        <f>IF($G28="s-curve",$E28+($F28-$E28)*$L$2/(1+EXP($L$3*(COUNT($L$9:BC$9)+$L$4))),TREND($E28:$F28,$E$9:$F$9,BC$9))</f>
        <v>0</v>
      </c>
      <c r="BD28" s="36">
        <f>IF($G28="s-curve",$E28+($F28-$E28)*$L$2/(1+EXP($L$3*(COUNT($L$9:BD$9)+$L$4))),TREND($E28:$F28,$E$9:$F$9,BD$9))</f>
        <v>0</v>
      </c>
      <c r="BE28" s="36">
        <f>IF($G28="s-curve",$E28+($F28-$E28)*$L$2/(1+EXP($L$3*(COUNT($L$9:BE$9)+$L$4))),TREND($E28:$F28,$E$9:$F$9,BE$9))</f>
        <v>0</v>
      </c>
      <c r="BF28" s="36">
        <f>IF($G28="s-curve",$E28+($F28-$E28)*$L$2/(1+EXP($L$3*(COUNT($L$9:BF$9)+$L$4))),TREND($E28:$F28,$E$9:$F$9,BF$9))</f>
        <v>0</v>
      </c>
    </row>
    <row r="29" spans="1:58" x14ac:dyDescent="0.25">
      <c r="C29" t="s">
        <v>33</v>
      </c>
      <c r="D29">
        <v>0</v>
      </c>
      <c r="E29">
        <v>0</v>
      </c>
      <c r="F29" s="17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H29" s="33"/>
      <c r="I29">
        <f t="shared" si="22"/>
        <v>0</v>
      </c>
      <c r="J29">
        <f t="shared" si="22"/>
        <v>0</v>
      </c>
      <c r="K29">
        <f t="shared" si="22"/>
        <v>0</v>
      </c>
      <c r="L29" s="36">
        <f t="shared" si="26"/>
        <v>0</v>
      </c>
      <c r="M29" s="36">
        <f t="shared" si="27"/>
        <v>0</v>
      </c>
      <c r="N29" s="36">
        <f>IF($G29="s-curve",$E29+($F29-$E29)*$L$2/(1+EXP($L$3*(COUNT($L$9:N$9)+$L$4))),TREND($E29:$F29,$E$9:$F$9,N$9))</f>
        <v>0</v>
      </c>
      <c r="O29" s="36">
        <f>IF($G29="s-curve",$E29+($F29-$E29)*$L$2/(1+EXP($L$3*(COUNT($L$9:O$9)+$L$4))),TREND($E29:$F29,$E$9:$F$9,O$9))</f>
        <v>0</v>
      </c>
      <c r="P29" s="36">
        <f>IF($G29="s-curve",$E29+($F29-$E29)*$L$2/(1+EXP($L$3*(COUNT($L$9:P$9)+$L$4))),TREND($E29:$F29,$E$9:$F$9,P$9))</f>
        <v>0</v>
      </c>
      <c r="Q29" s="36">
        <f>IF($G29="s-curve",$E29+($F29-$E29)*$L$2/(1+EXP($L$3*(COUNT($L$9:Q$9)+$L$4))),TREND($E29:$F29,$E$9:$F$9,Q$9))</f>
        <v>0</v>
      </c>
      <c r="R29" s="36">
        <f>IF($G29="s-curve",$E29+($F29-$E29)*$L$2/(1+EXP($L$3*(COUNT($L$9:R$9)+$L$4))),TREND($E29:$F29,$E$9:$F$9,R$9))</f>
        <v>0</v>
      </c>
      <c r="S29" s="36">
        <f>IF($G29="s-curve",$E29+($F29-$E29)*$L$2/(1+EXP($L$3*(COUNT($L$9:S$9)+$L$4))),TREND($E29:$F29,$E$9:$F$9,S$9))</f>
        <v>0</v>
      </c>
      <c r="T29" s="36">
        <f>IF($G29="s-curve",$E29+($F29-$E29)*$L$2/(1+EXP($L$3*(COUNT($L$9:T$9)+$L$4))),TREND($E29:$F29,$E$9:$F$9,T$9))</f>
        <v>0</v>
      </c>
      <c r="U29" s="36">
        <f>IF($G29="s-curve",$E29+($F29-$E29)*$L$2/(1+EXP($L$3*(COUNT($L$9:U$9)+$L$4))),TREND($E29:$F29,$E$9:$F$9,U$9))</f>
        <v>0</v>
      </c>
      <c r="V29" s="36">
        <f>IF($G29="s-curve",$E29+($F29-$E29)*$L$2/(1+EXP($L$3*(COUNT($L$9:V$9)+$L$4))),TREND($E29:$F29,$E$9:$F$9,V$9))</f>
        <v>0</v>
      </c>
      <c r="W29" s="36">
        <f>IF($G29="s-curve",$E29+($F29-$E29)*$L$2/(1+EXP($L$3*(COUNT($L$9:W$9)+$L$4))),TREND($E29:$F29,$E$9:$F$9,W$9))</f>
        <v>0</v>
      </c>
      <c r="X29" s="36">
        <f>IF($G29="s-curve",$E29+($F29-$E29)*$L$2/(1+EXP($L$3*(COUNT($L$9:X$9)+$L$4))),TREND($E29:$F29,$E$9:$F$9,X$9))</f>
        <v>0</v>
      </c>
      <c r="Y29" s="36">
        <f>IF($G29="s-curve",$E29+($F29-$E29)*$L$2/(1+EXP($L$3*(COUNT($L$9:Y$9)+$L$4))),TREND($E29:$F29,$E$9:$F$9,Y$9))</f>
        <v>0</v>
      </c>
      <c r="Z29" s="36">
        <f>IF($G29="s-curve",$E29+($F29-$E29)*$L$2/(1+EXP($L$3*(COUNT($L$9:Z$9)+$L$4))),TREND($E29:$F29,$E$9:$F$9,Z$9))</f>
        <v>0</v>
      </c>
      <c r="AA29" s="36">
        <f>IF($G29="s-curve",$E29+($F29-$E29)*$L$2/(1+EXP($L$3*(COUNT($L$9:AA$9)+$L$4))),TREND($E29:$F29,$E$9:$F$9,AA$9))</f>
        <v>0</v>
      </c>
      <c r="AB29" s="36">
        <f>IF($G29="s-curve",$E29+($F29-$E29)*$L$2/(1+EXP($L$3*(COUNT($L$9:AB$9)+$L$4))),TREND($E29:$F29,$E$9:$F$9,AB$9))</f>
        <v>0</v>
      </c>
      <c r="AC29" s="36">
        <f>IF($G29="s-curve",$E29+($F29-$E29)*$L$2/(1+EXP($L$3*(COUNT($L$9:AC$9)+$L$4))),TREND($E29:$F29,$E$9:$F$9,AC$9))</f>
        <v>0</v>
      </c>
      <c r="AD29" s="36">
        <f>IF($G29="s-curve",$E29+($F29-$E29)*$L$2/(1+EXP($L$3*(COUNT($L$9:AD$9)+$L$4))),TREND($E29:$F29,$E$9:$F$9,AD$9))</f>
        <v>0</v>
      </c>
      <c r="AE29" s="36">
        <f>IF($G29="s-curve",$E29+($F29-$E29)*$L$2/(1+EXP($L$3*(COUNT($L$9:AE$9)+$L$4))),TREND($E29:$F29,$E$9:$F$9,AE$9))</f>
        <v>0</v>
      </c>
      <c r="AF29" s="36">
        <f>IF($G29="s-curve",$E29+($F29-$E29)*$L$2/(1+EXP($L$3*(COUNT($L$9:AF$9)+$L$4))),TREND($E29:$F29,$E$9:$F$9,AF$9))</f>
        <v>0</v>
      </c>
      <c r="AG29" s="36">
        <f>IF($G29="s-curve",$E29+($F29-$E29)*$L$2/(1+EXP($L$3*(COUNT($L$9:AG$9)+$L$4))),TREND($E29:$F29,$E$9:$F$9,AG$9))</f>
        <v>0</v>
      </c>
      <c r="AH29" s="36">
        <f>IF($G29="s-curve",$E29+($F29-$E29)*$L$2/(1+EXP($L$3*(COUNT($L$9:AH$9)+$L$4))),TREND($E29:$F29,$E$9:$F$9,AH$9))</f>
        <v>0</v>
      </c>
      <c r="AI29" s="36">
        <f>IF($G29="s-curve",$E29+($F29-$E29)*$L$2/(1+EXP($L$3*(COUNT($L$9:AI$9)+$L$4))),TREND($E29:$F29,$E$9:$F$9,AI$9))</f>
        <v>0</v>
      </c>
      <c r="AJ29" s="36">
        <f>IF($G29="s-curve",$E29+($F29-$E29)*$L$2/(1+EXP($L$3*(COUNT($L$9:AJ$9)+$L$4))),TREND($E29:$F29,$E$9:$F$9,AJ$9))</f>
        <v>0</v>
      </c>
      <c r="AK29" s="36">
        <f>IF($G29="s-curve",$E29+($F29-$E29)*$L$2/(1+EXP($L$3*(COUNT($L$9:AK$9)+$L$4))),TREND($E29:$F29,$E$9:$F$9,AK$9))</f>
        <v>0</v>
      </c>
      <c r="AL29" s="36">
        <f>IF($G29="s-curve",$E29+($F29-$E29)*$L$2/(1+EXP($L$3*(COUNT($L$9:AL$9)+$L$4))),TREND($E29:$F29,$E$9:$F$9,AL$9))</f>
        <v>0</v>
      </c>
      <c r="AM29" s="36">
        <f>IF($G29="s-curve",$E29+($F29-$E29)*$L$2/(1+EXP($L$3*(COUNT($L$9:AM$9)+$L$4))),TREND($E29:$F29,$E$9:$F$9,AM$9))</f>
        <v>0</v>
      </c>
      <c r="AN29" s="36">
        <f>IF($G29="s-curve",$E29+($F29-$E29)*$L$2/(1+EXP($L$3*(COUNT($L$9:AN$9)+$L$4))),TREND($E29:$F29,$E$9:$F$9,AN$9))</f>
        <v>0</v>
      </c>
      <c r="AO29" s="36">
        <f>IF($G29="s-curve",$E29+($F29-$E29)*$L$2/(1+EXP($L$3*(COUNT($L$9:AO$9)+$L$4))),TREND($E29:$F29,$E$9:$F$9,AO$9))</f>
        <v>0</v>
      </c>
      <c r="AP29" s="36">
        <f>IF($G29="s-curve",$E29+($F29-$E29)*$L$2/(1+EXP($L$3*(COUNT($L$9:AP$9)+$L$4))),TREND($E29:$F29,$E$9:$F$9,AP$9))</f>
        <v>0</v>
      </c>
      <c r="AQ29" s="36">
        <f>IF($G29="s-curve",$E29+($F29-$E29)*$L$2/(1+EXP($L$3*(COUNT($L$9:AQ$9)+$L$4))),TREND($E29:$F29,$E$9:$F$9,AQ$9))</f>
        <v>0</v>
      </c>
      <c r="AR29" s="36">
        <f>IF($G29="s-curve",$E29+($F29-$E29)*$L$2/(1+EXP($L$3*(COUNT($L$9:AR$9)+$L$4))),TREND($E29:$F29,$E$9:$F$9,AR$9))</f>
        <v>0</v>
      </c>
      <c r="AS29" s="36">
        <f>IF($G29="s-curve",$E29+($F29-$E29)*$L$2/(1+EXP($L$3*(COUNT($L$9:AS$9)+$L$4))),TREND($E29:$F29,$E$9:$F$9,AS$9))</f>
        <v>0</v>
      </c>
      <c r="AT29" s="36">
        <f>IF($G29="s-curve",$E29+($F29-$E29)*$L$2/(1+EXP($L$3*(COUNT($L$9:AT$9)+$L$4))),TREND($E29:$F29,$E$9:$F$9,AT$9))</f>
        <v>0</v>
      </c>
      <c r="AU29" s="36">
        <f>IF($G29="s-curve",$E29+($F29-$E29)*$L$2/(1+EXP($L$3*(COUNT($L$9:AU$9)+$L$4))),TREND($E29:$F29,$E$9:$F$9,AU$9))</f>
        <v>0</v>
      </c>
      <c r="AV29" s="36">
        <f>IF($G29="s-curve",$E29+($F29-$E29)*$L$2/(1+EXP($L$3*(COUNT($L$9:AV$9)+$L$4))),TREND($E29:$F29,$E$9:$F$9,AV$9))</f>
        <v>0</v>
      </c>
      <c r="AW29" s="36">
        <f>IF($G29="s-curve",$E29+($F29-$E29)*$L$2/(1+EXP($L$3*(COUNT($L$9:AW$9)+$L$4))),TREND($E29:$F29,$E$9:$F$9,AW$9))</f>
        <v>0</v>
      </c>
      <c r="AX29" s="36">
        <f>IF($G29="s-curve",$E29+($F29-$E29)*$L$2/(1+EXP($L$3*(COUNT($L$9:AX$9)+$L$4))),TREND($E29:$F29,$E$9:$F$9,AX$9))</f>
        <v>0</v>
      </c>
      <c r="AY29" s="36">
        <f>IF($G29="s-curve",$E29+($F29-$E29)*$L$2/(1+EXP($L$3*(COUNT($L$9:AY$9)+$L$4))),TREND($E29:$F29,$E$9:$F$9,AY$9))</f>
        <v>0</v>
      </c>
      <c r="AZ29" s="36">
        <f>IF($G29="s-curve",$E29+($F29-$E29)*$L$2/(1+EXP($L$3*(COUNT($L$9:AZ$9)+$L$4))),TREND($E29:$F29,$E$9:$F$9,AZ$9))</f>
        <v>0</v>
      </c>
      <c r="BA29" s="36">
        <f>IF($G29="s-curve",$E29+($F29-$E29)*$L$2/(1+EXP($L$3*(COUNT($L$9:BA$9)+$L$4))),TREND($E29:$F29,$E$9:$F$9,BA$9))</f>
        <v>0</v>
      </c>
      <c r="BB29" s="36">
        <f>IF($G29="s-curve",$E29+($F29-$E29)*$L$2/(1+EXP($L$3*(COUNT($L$9:BB$9)+$L$4))),TREND($E29:$F29,$E$9:$F$9,BB$9))</f>
        <v>0</v>
      </c>
      <c r="BC29" s="36">
        <f>IF($G29="s-curve",$E29+($F29-$E29)*$L$2/(1+EXP($L$3*(COUNT($L$9:BC$9)+$L$4))),TREND($E29:$F29,$E$9:$F$9,BC$9))</f>
        <v>0</v>
      </c>
      <c r="BD29" s="36">
        <f>IF($G29="s-curve",$E29+($F29-$E29)*$L$2/(1+EXP($L$3*(COUNT($L$9:BD$9)+$L$4))),TREND($E29:$F29,$E$9:$F$9,BD$9))</f>
        <v>0</v>
      </c>
      <c r="BE29" s="36">
        <f>IF($G29="s-curve",$E29+($F29-$E29)*$L$2/(1+EXP($L$3*(COUNT($L$9:BE$9)+$L$4))),TREND($E29:$F29,$E$9:$F$9,BE$9))</f>
        <v>0</v>
      </c>
      <c r="BF29" s="36">
        <f>IF($G29="s-curve",$E29+($F29-$E29)*$L$2/(1+EXP($L$3*(COUNT($L$9:BF$9)+$L$4))),TREND($E29:$F29,$E$9:$F$9,BF$9))</f>
        <v>0</v>
      </c>
    </row>
    <row r="30" spans="1:58" ht="15.75" thickBot="1" x14ac:dyDescent="0.3">
      <c r="A30" s="18"/>
      <c r="B30" s="18"/>
      <c r="C30" s="18" t="s">
        <v>34</v>
      </c>
      <c r="D30">
        <v>0</v>
      </c>
      <c r="E30">
        <v>0</v>
      </c>
      <c r="F30" s="21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H30" s="34"/>
      <c r="I30">
        <f t="shared" si="22"/>
        <v>0</v>
      </c>
      <c r="J30">
        <f t="shared" si="22"/>
        <v>0</v>
      </c>
      <c r="K30">
        <f t="shared" si="22"/>
        <v>0</v>
      </c>
      <c r="L30" s="36">
        <f t="shared" si="26"/>
        <v>0</v>
      </c>
      <c r="M30" s="36">
        <f t="shared" si="27"/>
        <v>0</v>
      </c>
      <c r="N30" s="36">
        <f>IF($G30="s-curve",$E30+($F30-$E30)*$L$2/(1+EXP($L$3*(COUNT($L$9:N$9)+$L$4))),TREND($E30:$F30,$E$9:$F$9,N$9))</f>
        <v>0</v>
      </c>
      <c r="O30" s="36">
        <f>IF($G30="s-curve",$E30+($F30-$E30)*$L$2/(1+EXP($L$3*(COUNT($L$9:O$9)+$L$4))),TREND($E30:$F30,$E$9:$F$9,O$9))</f>
        <v>0</v>
      </c>
      <c r="P30" s="36">
        <f>IF($G30="s-curve",$E30+($F30-$E30)*$L$2/(1+EXP($L$3*(COUNT($L$9:P$9)+$L$4))),TREND($E30:$F30,$E$9:$F$9,P$9))</f>
        <v>0</v>
      </c>
      <c r="Q30" s="36">
        <f>IF($G30="s-curve",$E30+($F30-$E30)*$L$2/(1+EXP($L$3*(COUNT($L$9:Q$9)+$L$4))),TREND($E30:$F30,$E$9:$F$9,Q$9))</f>
        <v>0</v>
      </c>
      <c r="R30" s="36">
        <f>IF($G30="s-curve",$E30+($F30-$E30)*$L$2/(1+EXP($L$3*(COUNT($L$9:R$9)+$L$4))),TREND($E30:$F30,$E$9:$F$9,R$9))</f>
        <v>0</v>
      </c>
      <c r="S30" s="36">
        <f>IF($G30="s-curve",$E30+($F30-$E30)*$L$2/(1+EXP($L$3*(COUNT($L$9:S$9)+$L$4))),TREND($E30:$F30,$E$9:$F$9,S$9))</f>
        <v>0</v>
      </c>
      <c r="T30" s="36">
        <f>IF($G30="s-curve",$E30+($F30-$E30)*$L$2/(1+EXP($L$3*(COUNT($L$9:T$9)+$L$4))),TREND($E30:$F30,$E$9:$F$9,T$9))</f>
        <v>0</v>
      </c>
      <c r="U30" s="36">
        <f>IF($G30="s-curve",$E30+($F30-$E30)*$L$2/(1+EXP($L$3*(COUNT($L$9:U$9)+$L$4))),TREND($E30:$F30,$E$9:$F$9,U$9))</f>
        <v>0</v>
      </c>
      <c r="V30" s="36">
        <f>IF($G30="s-curve",$E30+($F30-$E30)*$L$2/(1+EXP($L$3*(COUNT($L$9:V$9)+$L$4))),TREND($E30:$F30,$E$9:$F$9,V$9))</f>
        <v>0</v>
      </c>
      <c r="W30" s="36">
        <f>IF($G30="s-curve",$E30+($F30-$E30)*$L$2/(1+EXP($L$3*(COUNT($L$9:W$9)+$L$4))),TREND($E30:$F30,$E$9:$F$9,W$9))</f>
        <v>0</v>
      </c>
      <c r="X30" s="36">
        <f>IF($G30="s-curve",$E30+($F30-$E30)*$L$2/(1+EXP($L$3*(COUNT($L$9:X$9)+$L$4))),TREND($E30:$F30,$E$9:$F$9,X$9))</f>
        <v>0</v>
      </c>
      <c r="Y30" s="36">
        <f>IF($G30="s-curve",$E30+($F30-$E30)*$L$2/(1+EXP($L$3*(COUNT($L$9:Y$9)+$L$4))),TREND($E30:$F30,$E$9:$F$9,Y$9))</f>
        <v>0</v>
      </c>
      <c r="Z30" s="36">
        <f>IF($G30="s-curve",$E30+($F30-$E30)*$L$2/(1+EXP($L$3*(COUNT($L$9:Z$9)+$L$4))),TREND($E30:$F30,$E$9:$F$9,Z$9))</f>
        <v>0</v>
      </c>
      <c r="AA30" s="36">
        <f>IF($G30="s-curve",$E30+($F30-$E30)*$L$2/(1+EXP($L$3*(COUNT($L$9:AA$9)+$L$4))),TREND($E30:$F30,$E$9:$F$9,AA$9))</f>
        <v>0</v>
      </c>
      <c r="AB30" s="36">
        <f>IF($G30="s-curve",$E30+($F30-$E30)*$L$2/(1+EXP($L$3*(COUNT($L$9:AB$9)+$L$4))),TREND($E30:$F30,$E$9:$F$9,AB$9))</f>
        <v>0</v>
      </c>
      <c r="AC30" s="36">
        <f>IF($G30="s-curve",$E30+($F30-$E30)*$L$2/(1+EXP($L$3*(COUNT($L$9:AC$9)+$L$4))),TREND($E30:$F30,$E$9:$F$9,AC$9))</f>
        <v>0</v>
      </c>
      <c r="AD30" s="36">
        <f>IF($G30="s-curve",$E30+($F30-$E30)*$L$2/(1+EXP($L$3*(COUNT($L$9:AD$9)+$L$4))),TREND($E30:$F30,$E$9:$F$9,AD$9))</f>
        <v>0</v>
      </c>
      <c r="AE30" s="36">
        <f>IF($G30="s-curve",$E30+($F30-$E30)*$L$2/(1+EXP($L$3*(COUNT($L$9:AE$9)+$L$4))),TREND($E30:$F30,$E$9:$F$9,AE$9))</f>
        <v>0</v>
      </c>
      <c r="AF30" s="36">
        <f>IF($G30="s-curve",$E30+($F30-$E30)*$L$2/(1+EXP($L$3*(COUNT($L$9:AF$9)+$L$4))),TREND($E30:$F30,$E$9:$F$9,AF$9))</f>
        <v>0</v>
      </c>
      <c r="AG30" s="36">
        <f>IF($G30="s-curve",$E30+($F30-$E30)*$L$2/(1+EXP($L$3*(COUNT($L$9:AG$9)+$L$4))),TREND($E30:$F30,$E$9:$F$9,AG$9))</f>
        <v>0</v>
      </c>
      <c r="AH30" s="36">
        <f>IF($G30="s-curve",$E30+($F30-$E30)*$L$2/(1+EXP($L$3*(COUNT($L$9:AH$9)+$L$4))),TREND($E30:$F30,$E$9:$F$9,AH$9))</f>
        <v>0</v>
      </c>
      <c r="AI30" s="36">
        <f>IF($G30="s-curve",$E30+($F30-$E30)*$L$2/(1+EXP($L$3*(COUNT($L$9:AI$9)+$L$4))),TREND($E30:$F30,$E$9:$F$9,AI$9))</f>
        <v>0</v>
      </c>
      <c r="AJ30" s="36">
        <f>IF($G30="s-curve",$E30+($F30-$E30)*$L$2/(1+EXP($L$3*(COUNT($L$9:AJ$9)+$L$4))),TREND($E30:$F30,$E$9:$F$9,AJ$9))</f>
        <v>0</v>
      </c>
      <c r="AK30" s="36">
        <f>IF($G30="s-curve",$E30+($F30-$E30)*$L$2/(1+EXP($L$3*(COUNT($L$9:AK$9)+$L$4))),TREND($E30:$F30,$E$9:$F$9,AK$9))</f>
        <v>0</v>
      </c>
      <c r="AL30" s="36">
        <f>IF($G30="s-curve",$E30+($F30-$E30)*$L$2/(1+EXP($L$3*(COUNT($L$9:AL$9)+$L$4))),TREND($E30:$F30,$E$9:$F$9,AL$9))</f>
        <v>0</v>
      </c>
      <c r="AM30" s="36">
        <f>IF($G30="s-curve",$E30+($F30-$E30)*$L$2/(1+EXP($L$3*(COUNT($L$9:AM$9)+$L$4))),TREND($E30:$F30,$E$9:$F$9,AM$9))</f>
        <v>0</v>
      </c>
      <c r="AN30" s="36">
        <f>IF($G30="s-curve",$E30+($F30-$E30)*$L$2/(1+EXP($L$3*(COUNT($L$9:AN$9)+$L$4))),TREND($E30:$F30,$E$9:$F$9,AN$9))</f>
        <v>0</v>
      </c>
      <c r="AO30" s="36">
        <f>IF($G30="s-curve",$E30+($F30-$E30)*$L$2/(1+EXP($L$3*(COUNT($L$9:AO$9)+$L$4))),TREND($E30:$F30,$E$9:$F$9,AO$9))</f>
        <v>0</v>
      </c>
      <c r="AP30" s="36">
        <f>IF($G30="s-curve",$E30+($F30-$E30)*$L$2/(1+EXP($L$3*(COUNT($L$9:AP$9)+$L$4))),TREND($E30:$F30,$E$9:$F$9,AP$9))</f>
        <v>0</v>
      </c>
      <c r="AQ30" s="36">
        <f>IF($G30="s-curve",$E30+($F30-$E30)*$L$2/(1+EXP($L$3*(COUNT($L$9:AQ$9)+$L$4))),TREND($E30:$F30,$E$9:$F$9,AQ$9))</f>
        <v>0</v>
      </c>
      <c r="AR30" s="36">
        <f>IF($G30="s-curve",$E30+($F30-$E30)*$L$2/(1+EXP($L$3*(COUNT($L$9:AR$9)+$L$4))),TREND($E30:$F30,$E$9:$F$9,AR$9))</f>
        <v>0</v>
      </c>
      <c r="AS30" s="36">
        <f>IF($G30="s-curve",$E30+($F30-$E30)*$L$2/(1+EXP($L$3*(COUNT($L$9:AS$9)+$L$4))),TREND($E30:$F30,$E$9:$F$9,AS$9))</f>
        <v>0</v>
      </c>
      <c r="AT30" s="36">
        <f>IF($G30="s-curve",$E30+($F30-$E30)*$L$2/(1+EXP($L$3*(COUNT($L$9:AT$9)+$L$4))),TREND($E30:$F30,$E$9:$F$9,AT$9))</f>
        <v>0</v>
      </c>
      <c r="AU30" s="36">
        <f>IF($G30="s-curve",$E30+($F30-$E30)*$L$2/(1+EXP($L$3*(COUNT($L$9:AU$9)+$L$4))),TREND($E30:$F30,$E$9:$F$9,AU$9))</f>
        <v>0</v>
      </c>
      <c r="AV30" s="36">
        <f>IF($G30="s-curve",$E30+($F30-$E30)*$L$2/(1+EXP($L$3*(COUNT($L$9:AV$9)+$L$4))),TREND($E30:$F30,$E$9:$F$9,AV$9))</f>
        <v>0</v>
      </c>
      <c r="AW30" s="36">
        <f>IF($G30="s-curve",$E30+($F30-$E30)*$L$2/(1+EXP($L$3*(COUNT($L$9:AW$9)+$L$4))),TREND($E30:$F30,$E$9:$F$9,AW$9))</f>
        <v>0</v>
      </c>
      <c r="AX30" s="36">
        <f>IF($G30="s-curve",$E30+($F30-$E30)*$L$2/(1+EXP($L$3*(COUNT($L$9:AX$9)+$L$4))),TREND($E30:$F30,$E$9:$F$9,AX$9))</f>
        <v>0</v>
      </c>
      <c r="AY30" s="36">
        <f>IF($G30="s-curve",$E30+($F30-$E30)*$L$2/(1+EXP($L$3*(COUNT($L$9:AY$9)+$L$4))),TREND($E30:$F30,$E$9:$F$9,AY$9))</f>
        <v>0</v>
      </c>
      <c r="AZ30" s="36">
        <f>IF($G30="s-curve",$E30+($F30-$E30)*$L$2/(1+EXP($L$3*(COUNT($L$9:AZ$9)+$L$4))),TREND($E30:$F30,$E$9:$F$9,AZ$9))</f>
        <v>0</v>
      </c>
      <c r="BA30" s="36">
        <f>IF($G30="s-curve",$E30+($F30-$E30)*$L$2/(1+EXP($L$3*(COUNT($L$9:BA$9)+$L$4))),TREND($E30:$F30,$E$9:$F$9,BA$9))</f>
        <v>0</v>
      </c>
      <c r="BB30" s="36">
        <f>IF($G30="s-curve",$E30+($F30-$E30)*$L$2/(1+EXP($L$3*(COUNT($L$9:BB$9)+$L$4))),TREND($E30:$F30,$E$9:$F$9,BB$9))</f>
        <v>0</v>
      </c>
      <c r="BC30" s="36">
        <f>IF($G30="s-curve",$E30+($F30-$E30)*$L$2/(1+EXP($L$3*(COUNT($L$9:BC$9)+$L$4))),TREND($E30:$F30,$E$9:$F$9,BC$9))</f>
        <v>0</v>
      </c>
      <c r="BD30" s="36">
        <f>IF($G30="s-curve",$E30+($F30-$E30)*$L$2/(1+EXP($L$3*(COUNT($L$9:BD$9)+$L$4))),TREND($E30:$F30,$E$9:$F$9,BD$9))</f>
        <v>0</v>
      </c>
      <c r="BE30" s="36">
        <f>IF($G30="s-curve",$E30+($F30-$E30)*$L$2/(1+EXP($L$3*(COUNT($L$9:BE$9)+$L$4))),TREND($E30:$F30,$E$9:$F$9,BE$9))</f>
        <v>0</v>
      </c>
      <c r="BF30" s="36">
        <f>IF($G30="s-curve",$E30+($F30-$E30)*$L$2/(1+EXP($L$3*(COUNT($L$9:BF$9)+$L$4))),TREND($E30:$F30,$E$9:$F$9,BF$9))</f>
        <v>0</v>
      </c>
    </row>
    <row r="31" spans="1:58" x14ac:dyDescent="0.25">
      <c r="A31" t="s">
        <v>13</v>
      </c>
      <c r="B31" t="s">
        <v>18</v>
      </c>
      <c r="C31" t="s">
        <v>1</v>
      </c>
      <c r="D31">
        <v>3.9969151262900003E-3</v>
      </c>
      <c r="E31">
        <v>5.0541532112899999E-3</v>
      </c>
      <c r="F31" s="17">
        <v>0.3</v>
      </c>
      <c r="G31" s="5" t="str">
        <f>IF(E31=F31,"n/a",IF(OR(C31="battery electric vehicle",C31="natural gas vehicle",C31="plugin hybrid vehicle"),"s-curve","linear"))</f>
        <v>s-curve</v>
      </c>
      <c r="H31" s="33"/>
      <c r="I31">
        <f t="shared" si="22"/>
        <v>0</v>
      </c>
      <c r="J31">
        <f t="shared" si="22"/>
        <v>0</v>
      </c>
      <c r="K31">
        <f t="shared" si="22"/>
        <v>0</v>
      </c>
      <c r="L31" s="36">
        <f>D31</f>
        <v>3.9969151262900003E-3</v>
      </c>
      <c r="M31" s="36">
        <f>E31</f>
        <v>5.0541532112899999E-3</v>
      </c>
      <c r="N31" s="36">
        <f>IF($G31="s-curve",$E31+($F31-$E31)*$U$2/(1+EXP($U$3*(COUNT($N$9:N$9)+$U$4))),TREND($E31:$F31,$E$9:$F$9,N$9))</f>
        <v>1.0359111139078626E-2</v>
      </c>
      <c r="O31" s="36">
        <f>IF($G31="s-curve",$E31+($F31-$E31)*$U$2/(1+EXP($U$3*(COUNT($N$9:O$9)+$U$4))),TREND($E31:$F31,$E$9:$F$9,O$9))</f>
        <v>1.289882600385258E-2</v>
      </c>
      <c r="P31" s="36">
        <f>IF($G31="s-curve",$E31+($F31-$E31)*$U$2/(1+EXP($U$3*(COUNT($N$9:P$9)+$U$4))),TREND($E31:$F31,$E$9:$F$9,P$9))</f>
        <v>1.6605920486673545E-2</v>
      </c>
      <c r="Q31" s="36">
        <f>IF($G31="s-curve",$E31+($F31-$E31)*$U$2/(1+EXP($U$3*(COUNT($N$9:Q$9)+$U$4))),TREND($E31:$F31,$E$9:$F$9,Q$9))</f>
        <v>2.1961680813246801E-2</v>
      </c>
      <c r="R31" s="36">
        <f>IF($G31="s-curve",$E31+($F31-$E31)*$U$2/(1+EXP($U$3*(COUNT($N$9:R$9)+$U$4))),TREND($E31:$F31,$E$9:$F$9,R$9))</f>
        <v>2.9585594608390296E-2</v>
      </c>
      <c r="S31" s="36">
        <f>IF($G31="s-curve",$E31+($F31-$E31)*$U$2/(1+EXP($U$3*(COUNT($N$9:S$9)+$U$4))),TREND($E31:$F31,$E$9:$F$9,S$9))</f>
        <v>4.0212559986792025E-2</v>
      </c>
      <c r="T31" s="36">
        <f>IF($G31="s-curve",$E31+($F31-$E31)*$U$2/(1+EXP($U$3*(COUNT($N$9:T$9)+$U$4))),TREND($E31:$F31,$E$9:$F$9,T$9))</f>
        <v>5.4599632852899593E-2</v>
      </c>
      <c r="U31" s="36">
        <f>IF($G31="s-curve",$E31+($F31-$E31)*$U$2/(1+EXP($U$3*(COUNT($N$9:U$9)+$U$4))),TREND($E31:$F31,$E$9:$F$9,U$9))</f>
        <v>7.3326806952772217E-2</v>
      </c>
      <c r="V31" s="36">
        <f>IF($G31="s-curve",$E31+($F31-$E31)*$U$2/(1+EXP($U$3*(COUNT($N$9:V$9)+$U$4))),TREND($E31:$F31,$E$9:$F$9,V$9))</f>
        <v>9.6494892401215532E-2</v>
      </c>
      <c r="W31" s="36">
        <f>IF($G31="s-curve",$E31+($F31-$E31)*$U$2/(1+EXP($U$3*(COUNT($N$9:W$9)+$U$4))),TREND($E31:$F31,$E$9:$F$9,W$9))</f>
        <v>0.12341956112618145</v>
      </c>
      <c r="X31" s="36">
        <f>IF($G31="s-curve",$E31+($F31-$E31)*$U$2/(1+EXP($U$3*(COUNT($N$9:X$9)+$U$4))),TREND($E31:$F31,$E$9:$F$9,X$9))</f>
        <v>0.15252707660564499</v>
      </c>
      <c r="Y31" s="36">
        <f>IF($G31="s-curve",$E31+($F31-$E31)*$U$2/(1+EXP($U$3*(COUNT($N$9:Y$9)+$U$4))),TREND($E31:$F31,$E$9:$F$9,Y$9))</f>
        <v>0.18163459208510854</v>
      </c>
      <c r="Z31" s="36">
        <f>IF($G31="s-curve",$E31+($F31-$E31)*$U$2/(1+EXP($U$3*(COUNT($N$9:Z$9)+$U$4))),TREND($E31:$F31,$E$9:$F$9,Z$9))</f>
        <v>0.20855926081007445</v>
      </c>
      <c r="AA31" s="36">
        <f>IF($G31="s-curve",$E31+($F31-$E31)*$U$2/(1+EXP($U$3*(COUNT($N$9:AA$9)+$U$4))),TREND($E31:$F31,$E$9:$F$9,AA$9))</f>
        <v>0.23172734625851779</v>
      </c>
      <c r="AB31" s="36">
        <f>IF($G31="s-curve",$E31+($F31-$E31)*$U$2/(1+EXP($U$3*(COUNT($N$9:AB$9)+$U$4))),TREND($E31:$F31,$E$9:$F$9,AB$9))</f>
        <v>0.25045452035839039</v>
      </c>
      <c r="AC31" s="36">
        <f>IF($G31="s-curve",$E31+($F31-$E31)*$U$2/(1+EXP($U$3*(COUNT($N$9:AC$9)+$U$4))),TREND($E31:$F31,$E$9:$F$9,AC$9))</f>
        <v>0.26484159322449791</v>
      </c>
      <c r="AD31" s="36">
        <f>IF($G31="s-curve",$E31+($F31-$E31)*$U$2/(1+EXP($U$3*(COUNT($N$9:AD$9)+$U$4))),TREND($E31:$F31,$E$9:$F$9,AD$9))</f>
        <v>0.2754685586028997</v>
      </c>
      <c r="AE31" s="36">
        <f>IF($G31="s-curve",$E31+($F31-$E31)*$U$2/(1+EXP($U$3*(COUNT($N$9:AE$9)+$U$4))),TREND($E31:$F31,$E$9:$F$9,AE$9))</f>
        <v>0.28309247239804319</v>
      </c>
      <c r="AF31" s="36">
        <f>IF($G31="s-curve",$E31+($F31-$E31)*$U$2/(1+EXP($U$3*(COUNT($N$9:AF$9)+$U$4))),TREND($E31:$F31,$E$9:$F$9,AF$9))</f>
        <v>0.28844823272461645</v>
      </c>
      <c r="AG31" s="36">
        <f>IF($G31="s-curve",$E31+($F31-$E31)*$U$2/(1+EXP($U$3*(COUNT($N$9:AG$9)+$U$4))),TREND($E31:$F31,$E$9:$F$9,AG$9))</f>
        <v>0.29215532720743737</v>
      </c>
      <c r="AH31" s="36">
        <f>IF($G31="s-curve",$E31+($F31-$E31)*$U$2/(1+EXP($U$3*(COUNT($N$9:AH$9)+$U$4))),TREND($E31:$F31,$E$9:$F$9,AH$9))</f>
        <v>0.29469504207221137</v>
      </c>
      <c r="AI31" s="36">
        <f>IF($G31="s-curve",$E31+($F31-$E31)*$U$2/(1+EXP($U$3*(COUNT($N$9:AI$9)+$U$4))),TREND($E31:$F31,$E$9:$F$9,AI$9))</f>
        <v>0.29642276847334142</v>
      </c>
      <c r="AJ31" s="36">
        <f>IF($G31="s-curve",$E31+($F31-$E31)*$U$2/(1+EXP($U$3*(COUNT($N$9:AJ$9)+$U$4))),TREND($E31:$F31,$E$9:$F$9,AJ$9))</f>
        <v>0.29759248353925816</v>
      </c>
      <c r="AK31" s="36">
        <f>IF($G31="s-curve",$E31+($F31-$E31)*$U$2/(1+EXP($U$3*(COUNT($N$9:AK$9)+$U$4))),TREND($E31:$F31,$E$9:$F$9,AK$9))</f>
        <v>0.29838183892536557</v>
      </c>
      <c r="AL31" s="36">
        <f>IF($G31="s-curve",$E31+($F31-$E31)*$U$2/(1+EXP($U$3*(COUNT($N$9:AL$9)+$U$4))),TREND($E31:$F31,$E$9:$F$9,AL$9))</f>
        <v>0.29891334874308811</v>
      </c>
      <c r="AM31" s="36">
        <f>IF($G31="s-curve",$E31+($F31-$E31)*$U$2/(1+EXP($U$3*(COUNT($N$9:AM$9)+$U$4))),TREND($E31:$F31,$E$9:$F$9,AM$9))</f>
        <v>0.29927071006927702</v>
      </c>
      <c r="AN31" s="36">
        <f>IF($G31="s-curve",$E31+($F31-$E31)*$U$2/(1+EXP($U$3*(COUNT($N$9:AN$9)+$U$4))),TREND($E31:$F31,$E$9:$F$9,AN$9))</f>
        <v>0.29951074351075391</v>
      </c>
      <c r="AO31" s="36">
        <f>IF($G31="s-curve",$E31+($F31-$E31)*$U$2/(1+EXP($U$3*(COUNT($N$9:AO$9)+$U$4))),TREND($E31:$F31,$E$9:$F$9,AO$9))</f>
        <v>0.29967186211770508</v>
      </c>
      <c r="AP31" s="36">
        <f>IF($G31="s-curve",$E31+($F31-$E31)*$U$2/(1+EXP($U$3*(COUNT($N$9:AP$9)+$U$4))),TREND($E31:$F31,$E$9:$F$9,AP$9))</f>
        <v>0.29977996189387524</v>
      </c>
      <c r="AQ31" s="36">
        <f>IF($G31="s-curve",$E31+($F31-$E31)*$U$2/(1+EXP($U$3*(COUNT($N$9:AQ$9)+$U$4))),TREND($E31:$F31,$E$9:$F$9,AQ$9))</f>
        <v>0.29985246776090779</v>
      </c>
      <c r="AR31" s="36">
        <f>IF($G31="s-curve",$E31+($F31-$E31)*$U$2/(1+EXP($U$3*(COUNT($N$9:AR$9)+$U$4))),TREND($E31:$F31,$E$9:$F$9,AR$9))</f>
        <v>0.29990108987179886</v>
      </c>
      <c r="AS31" s="36">
        <f>IF($G31="s-curve",$E31+($F31-$E31)*$U$2/(1+EXP($U$3*(COUNT($N$9:AS$9)+$U$4))),TREND($E31:$F31,$E$9:$F$9,AS$9))</f>
        <v>0.29993369122733121</v>
      </c>
      <c r="AT31" s="36">
        <f>IF($G31="s-curve",$E31+($F31-$E31)*$U$2/(1+EXP($U$3*(COUNT($N$9:AT$9)+$U$4))),TREND($E31:$F31,$E$9:$F$9,AT$9))</f>
        <v>0.29995554860582224</v>
      </c>
      <c r="AU31" s="36">
        <f>IF($G31="s-curve",$E31+($F31-$E31)*$U$2/(1+EXP($U$3*(COUNT($N$9:AU$9)+$U$4))),TREND($E31:$F31,$E$9:$F$9,AU$9))</f>
        <v>0.29997020185885248</v>
      </c>
      <c r="AV31" s="36">
        <f>IF($G31="s-curve",$E31+($F31-$E31)*$U$2/(1+EXP($U$3*(COUNT($N$9:AV$9)+$U$4))),TREND($E31:$F31,$E$9:$F$9,AV$9))</f>
        <v>0.29998002504334237</v>
      </c>
      <c r="AW31" s="36">
        <f>IF($G31="s-curve",$E31+($F31-$E31)*$U$2/(1+EXP($U$3*(COUNT($N$9:AW$9)+$U$4))),TREND($E31:$F31,$E$9:$F$9,AW$9))</f>
        <v>0.29998661008717314</v>
      </c>
      <c r="AX31" s="36">
        <f>IF($G31="s-curve",$E31+($F31-$E31)*$U$2/(1+EXP($U$3*(COUNT($N$9:AX$9)+$U$4))),TREND($E31:$F31,$E$9:$F$9,AX$9))</f>
        <v>0.2999910243386808</v>
      </c>
      <c r="AY31" s="36">
        <f>IF($G31="s-curve",$E31+($F31-$E31)*$U$2/(1+EXP($U$3*(COUNT($N$9:AY$9)+$U$4))),TREND($E31:$F31,$E$9:$F$9,AY$9))</f>
        <v>0.29999398337392852</v>
      </c>
      <c r="AZ31" s="36">
        <f>IF($G31="s-curve",$E31+($F31-$E31)*$U$2/(1+EXP($U$3*(COUNT($N$9:AZ$9)+$U$4))),TREND($E31:$F31,$E$9:$F$9,AZ$9))</f>
        <v>0.29999596690781155</v>
      </c>
      <c r="BA31" s="36">
        <f>IF($G31="s-curve",$E31+($F31-$E31)*$U$2/(1+EXP($U$3*(COUNT($N$9:BA$9)+$U$4))),TREND($E31:$F31,$E$9:$F$9,BA$9))</f>
        <v>0.29999729652527118</v>
      </c>
      <c r="BB31" s="36">
        <f>IF($G31="s-curve",$E31+($F31-$E31)*$U$2/(1+EXP($U$3*(COUNT($N$9:BB$9)+$U$4))),TREND($E31:$F31,$E$9:$F$9,BB$9))</f>
        <v>0.29999818780121912</v>
      </c>
      <c r="BC31" s="36">
        <f>IF($G31="s-curve",$E31+($F31-$E31)*$U$2/(1+EXP($U$3*(COUNT($N$9:BC$9)+$U$4))),TREND($E31:$F31,$E$9:$F$9,BC$9))</f>
        <v>0.29999878524436913</v>
      </c>
      <c r="BD31" s="36">
        <f>IF($G31="s-curve",$E31+($F31-$E31)*$U$2/(1+EXP($U$3*(COUNT($N$9:BD$9)+$U$4))),TREND($E31:$F31,$E$9:$F$9,BD$9))</f>
        <v>0.29999918572384393</v>
      </c>
      <c r="BE31" s="36">
        <f>IF($G31="s-curve",$E31+($F31-$E31)*$U$2/(1+EXP($U$3*(COUNT($N$9:BE$9)+$U$4))),TREND($E31:$F31,$E$9:$F$9,BE$9))</f>
        <v>0.2999994541738728</v>
      </c>
      <c r="BF31" s="36">
        <f>IF($G31="s-curve",$E31+($F31-$E31)*$U$2/(1+EXP($U$3*(COUNT($N$9:BF$9)+$U$4))),TREND($E31:$F31,$E$9:$F$9,BF$9))</f>
        <v>0.29999963412158204</v>
      </c>
    </row>
    <row r="32" spans="1:58" x14ac:dyDescent="0.25">
      <c r="C32" t="s">
        <v>2</v>
      </c>
      <c r="D32">
        <v>0</v>
      </c>
      <c r="E32">
        <v>0</v>
      </c>
      <c r="F32" s="17">
        <f>E32</f>
        <v>0</v>
      </c>
      <c r="G32" s="5" t="str">
        <f>IF(E32=F32,"n/a",IF(OR(C32="battery electric vehicle",C32="natural gas vehicle",C32="plugin hybrid vehicle"),"s-curve","linear"))</f>
        <v>n/a</v>
      </c>
      <c r="H32" s="33"/>
      <c r="I32">
        <f t="shared" si="22"/>
        <v>0</v>
      </c>
      <c r="J32">
        <f t="shared" si="22"/>
        <v>0</v>
      </c>
      <c r="K32">
        <f t="shared" si="22"/>
        <v>0</v>
      </c>
      <c r="L32" s="36">
        <f t="shared" ref="L32:L37" si="28">D32</f>
        <v>0</v>
      </c>
      <c r="M32" s="36">
        <f t="shared" ref="M32:M37" si="29">E32</f>
        <v>0</v>
      </c>
      <c r="N32" s="36">
        <f>IF($G32="s-curve",$E32+($F32-$E32)*$L$2/(1+EXP($L$3*(COUNT($L$9:N$9)+$L$4))),TREND($E32:$F32,$E$9:$F$9,N$9))</f>
        <v>0</v>
      </c>
      <c r="O32" s="36">
        <f>IF($G32="s-curve",$E32+($F32-$E32)*$L$2/(1+EXP($L$3*(COUNT($L$9:O$9)+$L$4))),TREND($E32:$F32,$E$9:$F$9,O$9))</f>
        <v>0</v>
      </c>
      <c r="P32" s="36">
        <f>IF($G32="s-curve",$E32+($F32-$E32)*$L$2/(1+EXP($L$3*(COUNT($L$9:P$9)+$L$4))),TREND($E32:$F32,$E$9:$F$9,P$9))</f>
        <v>0</v>
      </c>
      <c r="Q32" s="36">
        <f>IF($G32="s-curve",$E32+($F32-$E32)*$L$2/(1+EXP($L$3*(COUNT($L$9:Q$9)+$L$4))),TREND($E32:$F32,$E$9:$F$9,Q$9))</f>
        <v>0</v>
      </c>
      <c r="R32" s="36">
        <f>IF($G32="s-curve",$E32+($F32-$E32)*$L$2/(1+EXP($L$3*(COUNT($L$9:R$9)+$L$4))),TREND($E32:$F32,$E$9:$F$9,R$9))</f>
        <v>0</v>
      </c>
      <c r="S32" s="36">
        <f>IF($G32="s-curve",$E32+($F32-$E32)*$L$2/(1+EXP($L$3*(COUNT($L$9:S$9)+$L$4))),TREND($E32:$F32,$E$9:$F$9,S$9))</f>
        <v>0</v>
      </c>
      <c r="T32" s="36">
        <f>IF($G32="s-curve",$E32+($F32-$E32)*$L$2/(1+EXP($L$3*(COUNT($L$9:T$9)+$L$4))),TREND($E32:$F32,$E$9:$F$9,T$9))</f>
        <v>0</v>
      </c>
      <c r="U32" s="36">
        <f>IF($G32="s-curve",$E32+($F32-$E32)*$L$2/(1+EXP($L$3*(COUNT($L$9:U$9)+$L$4))),TREND($E32:$F32,$E$9:$F$9,U$9))</f>
        <v>0</v>
      </c>
      <c r="V32" s="36">
        <f>IF($G32="s-curve",$E32+($F32-$E32)*$L$2/(1+EXP($L$3*(COUNT($L$9:V$9)+$L$4))),TREND($E32:$F32,$E$9:$F$9,V$9))</f>
        <v>0</v>
      </c>
      <c r="W32" s="36">
        <f>IF($G32="s-curve",$E32+($F32-$E32)*$L$2/(1+EXP($L$3*(COUNT($L$9:W$9)+$L$4))),TREND($E32:$F32,$E$9:$F$9,W$9))</f>
        <v>0</v>
      </c>
      <c r="X32" s="36">
        <f>IF($G32="s-curve",$E32+($F32-$E32)*$L$2/(1+EXP($L$3*(COUNT($L$9:X$9)+$L$4))),TREND($E32:$F32,$E$9:$F$9,X$9))</f>
        <v>0</v>
      </c>
      <c r="Y32" s="36">
        <f>IF($G32="s-curve",$E32+($F32-$E32)*$L$2/(1+EXP($L$3*(COUNT($L$9:Y$9)+$L$4))),TREND($E32:$F32,$E$9:$F$9,Y$9))</f>
        <v>0</v>
      </c>
      <c r="Z32" s="36">
        <f>IF($G32="s-curve",$E32+($F32-$E32)*$L$2/(1+EXP($L$3*(COUNT($L$9:Z$9)+$L$4))),TREND($E32:$F32,$E$9:$F$9,Z$9))</f>
        <v>0</v>
      </c>
      <c r="AA32" s="36">
        <f>IF($G32="s-curve",$E32+($F32-$E32)*$L$2/(1+EXP($L$3*(COUNT($L$9:AA$9)+$L$4))),TREND($E32:$F32,$E$9:$F$9,AA$9))</f>
        <v>0</v>
      </c>
      <c r="AB32" s="36">
        <f>IF($G32="s-curve",$E32+($F32-$E32)*$L$2/(1+EXP($L$3*(COUNT($L$9:AB$9)+$L$4))),TREND($E32:$F32,$E$9:$F$9,AB$9))</f>
        <v>0</v>
      </c>
      <c r="AC32" s="36">
        <f>IF($G32="s-curve",$E32+($F32-$E32)*$L$2/(1+EXP($L$3*(COUNT($L$9:AC$9)+$L$4))),TREND($E32:$F32,$E$9:$F$9,AC$9))</f>
        <v>0</v>
      </c>
      <c r="AD32" s="36">
        <f>IF($G32="s-curve",$E32+($F32-$E32)*$L$2/(1+EXP($L$3*(COUNT($L$9:AD$9)+$L$4))),TREND($E32:$F32,$E$9:$F$9,AD$9))</f>
        <v>0</v>
      </c>
      <c r="AE32" s="36">
        <f>IF($G32="s-curve",$E32+($F32-$E32)*$L$2/(1+EXP($L$3*(COUNT($L$9:AE$9)+$L$4))),TREND($E32:$F32,$E$9:$F$9,AE$9))</f>
        <v>0</v>
      </c>
      <c r="AF32" s="36">
        <f>IF($G32="s-curve",$E32+($F32-$E32)*$L$2/(1+EXP($L$3*(COUNT($L$9:AF$9)+$L$4))),TREND($E32:$F32,$E$9:$F$9,AF$9))</f>
        <v>0</v>
      </c>
      <c r="AG32" s="36">
        <f>IF($G32="s-curve",$E32+($F32-$E32)*$L$2/(1+EXP($L$3*(COUNT($L$9:AG$9)+$L$4))),TREND($E32:$F32,$E$9:$F$9,AG$9))</f>
        <v>0</v>
      </c>
      <c r="AH32" s="36">
        <f>IF($G32="s-curve",$E32+($F32-$E32)*$L$2/(1+EXP($L$3*(COUNT($L$9:AH$9)+$L$4))),TREND($E32:$F32,$E$9:$F$9,AH$9))</f>
        <v>0</v>
      </c>
      <c r="AI32" s="36">
        <f>IF($G32="s-curve",$E32+($F32-$E32)*$L$2/(1+EXP($L$3*(COUNT($L$9:AI$9)+$L$4))),TREND($E32:$F32,$E$9:$F$9,AI$9))</f>
        <v>0</v>
      </c>
      <c r="AJ32" s="36">
        <f>IF($G32="s-curve",$E32+($F32-$E32)*$L$2/(1+EXP($L$3*(COUNT($L$9:AJ$9)+$L$4))),TREND($E32:$F32,$E$9:$F$9,AJ$9))</f>
        <v>0</v>
      </c>
      <c r="AK32" s="36">
        <f>IF($G32="s-curve",$E32+($F32-$E32)*$L$2/(1+EXP($L$3*(COUNT($L$9:AK$9)+$L$4))),TREND($E32:$F32,$E$9:$F$9,AK$9))</f>
        <v>0</v>
      </c>
      <c r="AL32" s="36">
        <f>IF($G32="s-curve",$E32+($F32-$E32)*$L$2/(1+EXP($L$3*(COUNT($L$9:AL$9)+$L$4))),TREND($E32:$F32,$E$9:$F$9,AL$9))</f>
        <v>0</v>
      </c>
      <c r="AM32" s="36">
        <f>IF($G32="s-curve",$E32+($F32-$E32)*$L$2/(1+EXP($L$3*(COUNT($L$9:AM$9)+$L$4))),TREND($E32:$F32,$E$9:$F$9,AM$9))</f>
        <v>0</v>
      </c>
      <c r="AN32" s="36">
        <f>IF($G32="s-curve",$E32+($F32-$E32)*$L$2/(1+EXP($L$3*(COUNT($L$9:AN$9)+$L$4))),TREND($E32:$F32,$E$9:$F$9,AN$9))</f>
        <v>0</v>
      </c>
      <c r="AO32" s="36">
        <f>IF($G32="s-curve",$E32+($F32-$E32)*$L$2/(1+EXP($L$3*(COUNT($L$9:AO$9)+$L$4))),TREND($E32:$F32,$E$9:$F$9,AO$9))</f>
        <v>0</v>
      </c>
      <c r="AP32" s="36">
        <f>IF($G32="s-curve",$E32+($F32-$E32)*$L$2/(1+EXP($L$3*(COUNT($L$9:AP$9)+$L$4))),TREND($E32:$F32,$E$9:$F$9,AP$9))</f>
        <v>0</v>
      </c>
      <c r="AQ32" s="36">
        <f>IF($G32="s-curve",$E32+($F32-$E32)*$L$2/(1+EXP($L$3*(COUNT($L$9:AQ$9)+$L$4))),TREND($E32:$F32,$E$9:$F$9,AQ$9))</f>
        <v>0</v>
      </c>
      <c r="AR32" s="36">
        <f>IF($G32="s-curve",$E32+($F32-$E32)*$L$2/(1+EXP($L$3*(COUNT($L$9:AR$9)+$L$4))),TREND($E32:$F32,$E$9:$F$9,AR$9))</f>
        <v>0</v>
      </c>
      <c r="AS32" s="36">
        <f>IF($G32="s-curve",$E32+($F32-$E32)*$L$2/(1+EXP($L$3*(COUNT($L$9:AS$9)+$L$4))),TREND($E32:$F32,$E$9:$F$9,AS$9))</f>
        <v>0</v>
      </c>
      <c r="AT32" s="36">
        <f>IF($G32="s-curve",$E32+($F32-$E32)*$L$2/(1+EXP($L$3*(COUNT($L$9:AT$9)+$L$4))),TREND($E32:$F32,$E$9:$F$9,AT$9))</f>
        <v>0</v>
      </c>
      <c r="AU32" s="36">
        <f>IF($G32="s-curve",$E32+($F32-$E32)*$L$2/(1+EXP($L$3*(COUNT($L$9:AU$9)+$L$4))),TREND($E32:$F32,$E$9:$F$9,AU$9))</f>
        <v>0</v>
      </c>
      <c r="AV32" s="36">
        <f>IF($G32="s-curve",$E32+($F32-$E32)*$L$2/(1+EXP($L$3*(COUNT($L$9:AV$9)+$L$4))),TREND($E32:$F32,$E$9:$F$9,AV$9))</f>
        <v>0</v>
      </c>
      <c r="AW32" s="36">
        <f>IF($G32="s-curve",$E32+($F32-$E32)*$L$2/(1+EXP($L$3*(COUNT($L$9:AW$9)+$L$4))),TREND($E32:$F32,$E$9:$F$9,AW$9))</f>
        <v>0</v>
      </c>
      <c r="AX32" s="36">
        <f>IF($G32="s-curve",$E32+($F32-$E32)*$L$2/(1+EXP($L$3*(COUNT($L$9:AX$9)+$L$4))),TREND($E32:$F32,$E$9:$F$9,AX$9))</f>
        <v>0</v>
      </c>
      <c r="AY32" s="36">
        <f>IF($G32="s-curve",$E32+($F32-$E32)*$L$2/(1+EXP($L$3*(COUNT($L$9:AY$9)+$L$4))),TREND($E32:$F32,$E$9:$F$9,AY$9))</f>
        <v>0</v>
      </c>
      <c r="AZ32" s="36">
        <f>IF($G32="s-curve",$E32+($F32-$E32)*$L$2/(1+EXP($L$3*(COUNT($L$9:AZ$9)+$L$4))),TREND($E32:$F32,$E$9:$F$9,AZ$9))</f>
        <v>0</v>
      </c>
      <c r="BA32" s="36">
        <f>IF($G32="s-curve",$E32+($F32-$E32)*$L$2/(1+EXP($L$3*(COUNT($L$9:BA$9)+$L$4))),TREND($E32:$F32,$E$9:$F$9,BA$9))</f>
        <v>0</v>
      </c>
      <c r="BB32" s="36">
        <f>IF($G32="s-curve",$E32+($F32-$E32)*$L$2/(1+EXP($L$3*(COUNT($L$9:BB$9)+$L$4))),TREND($E32:$F32,$E$9:$F$9,BB$9))</f>
        <v>0</v>
      </c>
      <c r="BC32" s="36">
        <f>IF($G32="s-curve",$E32+($F32-$E32)*$L$2/(1+EXP($L$3*(COUNT($L$9:BC$9)+$L$4))),TREND($E32:$F32,$E$9:$F$9,BC$9))</f>
        <v>0</v>
      </c>
      <c r="BD32" s="36">
        <f>IF($G32="s-curve",$E32+($F32-$E32)*$L$2/(1+EXP($L$3*(COUNT($L$9:BD$9)+$L$4))),TREND($E32:$F32,$E$9:$F$9,BD$9))</f>
        <v>0</v>
      </c>
      <c r="BE32" s="36">
        <f>IF($G32="s-curve",$E32+($F32-$E32)*$L$2/(1+EXP($L$3*(COUNT($L$9:BE$9)+$L$4))),TREND($E32:$F32,$E$9:$F$9,BE$9))</f>
        <v>0</v>
      </c>
      <c r="BF32" s="36">
        <f>IF($G32="s-curve",$E32+($F32-$E32)*$L$2/(1+EXP($L$3*(COUNT($L$9:BF$9)+$L$4))),TREND($E32:$F32,$E$9:$F$9,BF$9))</f>
        <v>0</v>
      </c>
    </row>
    <row r="33" spans="1:58" x14ac:dyDescent="0.25">
      <c r="C33" t="s">
        <v>3</v>
      </c>
      <c r="D33">
        <v>0</v>
      </c>
      <c r="E33">
        <v>0</v>
      </c>
      <c r="F33" s="17">
        <f>E33</f>
        <v>0</v>
      </c>
      <c r="G33" s="5" t="str">
        <f>IF(E33=F33,"n/a",IF(OR(C33="battery electric vehicle",C33="natural gas vehicle",C33="plugin hybrid vehicle"),"s-curve","linear"))</f>
        <v>n/a</v>
      </c>
      <c r="H33" s="33"/>
      <c r="I33">
        <f t="shared" si="22"/>
        <v>0</v>
      </c>
      <c r="J33">
        <f t="shared" si="22"/>
        <v>0</v>
      </c>
      <c r="K33">
        <f t="shared" si="22"/>
        <v>0</v>
      </c>
      <c r="L33" s="36">
        <f t="shared" si="28"/>
        <v>0</v>
      </c>
      <c r="M33" s="36">
        <f t="shared" si="29"/>
        <v>0</v>
      </c>
      <c r="N33" s="36">
        <f>IF($G33="s-curve",$E33+($F33-$E33)*$L$2/(1+EXP($L$3*(COUNT($L$9:N$9)+$L$4))),TREND($E33:$F33,$E$9:$F$9,N$9))</f>
        <v>0</v>
      </c>
      <c r="O33" s="36">
        <f>IF($G33="s-curve",$E33+($F33-$E33)*$L$2/(1+EXP($L$3*(COUNT($L$9:O$9)+$L$4))),TREND($E33:$F33,$E$9:$F$9,O$9))</f>
        <v>0</v>
      </c>
      <c r="P33" s="36">
        <f>IF($G33="s-curve",$E33+($F33-$E33)*$L$2/(1+EXP($L$3*(COUNT($L$9:P$9)+$L$4))),TREND($E33:$F33,$E$9:$F$9,P$9))</f>
        <v>0</v>
      </c>
      <c r="Q33" s="36">
        <f>IF($G33="s-curve",$E33+($F33-$E33)*$L$2/(1+EXP($L$3*(COUNT($L$9:Q$9)+$L$4))),TREND($E33:$F33,$E$9:$F$9,Q$9))</f>
        <v>0</v>
      </c>
      <c r="R33" s="36">
        <f>IF($G33="s-curve",$E33+($F33-$E33)*$L$2/(1+EXP($L$3*(COUNT($L$9:R$9)+$L$4))),TREND($E33:$F33,$E$9:$F$9,R$9))</f>
        <v>0</v>
      </c>
      <c r="S33" s="36">
        <f>IF($G33="s-curve",$E33+($F33-$E33)*$L$2/(1+EXP($L$3*(COUNT($L$9:S$9)+$L$4))),TREND($E33:$F33,$E$9:$F$9,S$9))</f>
        <v>0</v>
      </c>
      <c r="T33" s="36">
        <f>IF($G33="s-curve",$E33+($F33-$E33)*$L$2/(1+EXP($L$3*(COUNT($L$9:T$9)+$L$4))),TREND($E33:$F33,$E$9:$F$9,T$9))</f>
        <v>0</v>
      </c>
      <c r="U33" s="36">
        <f>IF($G33="s-curve",$E33+($F33-$E33)*$L$2/(1+EXP($L$3*(COUNT($L$9:U$9)+$L$4))),TREND($E33:$F33,$E$9:$F$9,U$9))</f>
        <v>0</v>
      </c>
      <c r="V33" s="36">
        <f>IF($G33="s-curve",$E33+($F33-$E33)*$L$2/(1+EXP($L$3*(COUNT($L$9:V$9)+$L$4))),TREND($E33:$F33,$E$9:$F$9,V$9))</f>
        <v>0</v>
      </c>
      <c r="W33" s="36">
        <f>IF($G33="s-curve",$E33+($F33-$E33)*$L$2/(1+EXP($L$3*(COUNT($L$9:W$9)+$L$4))),TREND($E33:$F33,$E$9:$F$9,W$9))</f>
        <v>0</v>
      </c>
      <c r="X33" s="36">
        <f>IF($G33="s-curve",$E33+($F33-$E33)*$L$2/(1+EXP($L$3*(COUNT($L$9:X$9)+$L$4))),TREND($E33:$F33,$E$9:$F$9,X$9))</f>
        <v>0</v>
      </c>
      <c r="Y33" s="36">
        <f>IF($G33="s-curve",$E33+($F33-$E33)*$L$2/(1+EXP($L$3*(COUNT($L$9:Y$9)+$L$4))),TREND($E33:$F33,$E$9:$F$9,Y$9))</f>
        <v>0</v>
      </c>
      <c r="Z33" s="36">
        <f>IF($G33="s-curve",$E33+($F33-$E33)*$L$2/(1+EXP($L$3*(COUNT($L$9:Z$9)+$L$4))),TREND($E33:$F33,$E$9:$F$9,Z$9))</f>
        <v>0</v>
      </c>
      <c r="AA33" s="36">
        <f>IF($G33="s-curve",$E33+($F33-$E33)*$L$2/(1+EXP($L$3*(COUNT($L$9:AA$9)+$L$4))),TREND($E33:$F33,$E$9:$F$9,AA$9))</f>
        <v>0</v>
      </c>
      <c r="AB33" s="36">
        <f>IF($G33="s-curve",$E33+($F33-$E33)*$L$2/(1+EXP($L$3*(COUNT($L$9:AB$9)+$L$4))),TREND($E33:$F33,$E$9:$F$9,AB$9))</f>
        <v>0</v>
      </c>
      <c r="AC33" s="36">
        <f>IF($G33="s-curve",$E33+($F33-$E33)*$L$2/(1+EXP($L$3*(COUNT($L$9:AC$9)+$L$4))),TREND($E33:$F33,$E$9:$F$9,AC$9))</f>
        <v>0</v>
      </c>
      <c r="AD33" s="36">
        <f>IF($G33="s-curve",$E33+($F33-$E33)*$L$2/(1+EXP($L$3*(COUNT($L$9:AD$9)+$L$4))),TREND($E33:$F33,$E$9:$F$9,AD$9))</f>
        <v>0</v>
      </c>
      <c r="AE33" s="36">
        <f>IF($G33="s-curve",$E33+($F33-$E33)*$L$2/(1+EXP($L$3*(COUNT($L$9:AE$9)+$L$4))),TREND($E33:$F33,$E$9:$F$9,AE$9))</f>
        <v>0</v>
      </c>
      <c r="AF33" s="36">
        <f>IF($G33="s-curve",$E33+($F33-$E33)*$L$2/(1+EXP($L$3*(COUNT($L$9:AF$9)+$L$4))),TREND($E33:$F33,$E$9:$F$9,AF$9))</f>
        <v>0</v>
      </c>
      <c r="AG33" s="36">
        <f>IF($G33="s-curve",$E33+($F33-$E33)*$L$2/(1+EXP($L$3*(COUNT($L$9:AG$9)+$L$4))),TREND($E33:$F33,$E$9:$F$9,AG$9))</f>
        <v>0</v>
      </c>
      <c r="AH33" s="36">
        <f>IF($G33="s-curve",$E33+($F33-$E33)*$L$2/(1+EXP($L$3*(COUNT($L$9:AH$9)+$L$4))),TREND($E33:$F33,$E$9:$F$9,AH$9))</f>
        <v>0</v>
      </c>
      <c r="AI33" s="36">
        <f>IF($G33="s-curve",$E33+($F33-$E33)*$L$2/(1+EXP($L$3*(COUNT($L$9:AI$9)+$L$4))),TREND($E33:$F33,$E$9:$F$9,AI$9))</f>
        <v>0</v>
      </c>
      <c r="AJ33" s="36">
        <f>IF($G33="s-curve",$E33+($F33-$E33)*$L$2/(1+EXP($L$3*(COUNT($L$9:AJ$9)+$L$4))),TREND($E33:$F33,$E$9:$F$9,AJ$9))</f>
        <v>0</v>
      </c>
      <c r="AK33" s="36">
        <f>IF($G33="s-curve",$E33+($F33-$E33)*$L$2/(1+EXP($L$3*(COUNT($L$9:AK$9)+$L$4))),TREND($E33:$F33,$E$9:$F$9,AK$9))</f>
        <v>0</v>
      </c>
      <c r="AL33" s="36">
        <f>IF($G33="s-curve",$E33+($F33-$E33)*$L$2/(1+EXP($L$3*(COUNT($L$9:AL$9)+$L$4))),TREND($E33:$F33,$E$9:$F$9,AL$9))</f>
        <v>0</v>
      </c>
      <c r="AM33" s="36">
        <f>IF($G33="s-curve",$E33+($F33-$E33)*$L$2/(1+EXP($L$3*(COUNT($L$9:AM$9)+$L$4))),TREND($E33:$F33,$E$9:$F$9,AM$9))</f>
        <v>0</v>
      </c>
      <c r="AN33" s="36">
        <f>IF($G33="s-curve",$E33+($F33-$E33)*$L$2/(1+EXP($L$3*(COUNT($L$9:AN$9)+$L$4))),TREND($E33:$F33,$E$9:$F$9,AN$9))</f>
        <v>0</v>
      </c>
      <c r="AO33" s="36">
        <f>IF($G33="s-curve",$E33+($F33-$E33)*$L$2/(1+EXP($L$3*(COUNT($L$9:AO$9)+$L$4))),TREND($E33:$F33,$E$9:$F$9,AO$9))</f>
        <v>0</v>
      </c>
      <c r="AP33" s="36">
        <f>IF($G33="s-curve",$E33+($F33-$E33)*$L$2/(1+EXP($L$3*(COUNT($L$9:AP$9)+$L$4))),TREND($E33:$F33,$E$9:$F$9,AP$9))</f>
        <v>0</v>
      </c>
      <c r="AQ33" s="36">
        <f>IF($G33="s-curve",$E33+($F33-$E33)*$L$2/(1+EXP($L$3*(COUNT($L$9:AQ$9)+$L$4))),TREND($E33:$F33,$E$9:$F$9,AQ$9))</f>
        <v>0</v>
      </c>
      <c r="AR33" s="36">
        <f>IF($G33="s-curve",$E33+($F33-$E33)*$L$2/(1+EXP($L$3*(COUNT($L$9:AR$9)+$L$4))),TREND($E33:$F33,$E$9:$F$9,AR$9))</f>
        <v>0</v>
      </c>
      <c r="AS33" s="36">
        <f>IF($G33="s-curve",$E33+($F33-$E33)*$L$2/(1+EXP($L$3*(COUNT($L$9:AS$9)+$L$4))),TREND($E33:$F33,$E$9:$F$9,AS$9))</f>
        <v>0</v>
      </c>
      <c r="AT33" s="36">
        <f>IF($G33="s-curve",$E33+($F33-$E33)*$L$2/(1+EXP($L$3*(COUNT($L$9:AT$9)+$L$4))),TREND($E33:$F33,$E$9:$F$9,AT$9))</f>
        <v>0</v>
      </c>
      <c r="AU33" s="36">
        <f>IF($G33="s-curve",$E33+($F33-$E33)*$L$2/(1+EXP($L$3*(COUNT($L$9:AU$9)+$L$4))),TREND($E33:$F33,$E$9:$F$9,AU$9))</f>
        <v>0</v>
      </c>
      <c r="AV33" s="36">
        <f>IF($G33="s-curve",$E33+($F33-$E33)*$L$2/(1+EXP($L$3*(COUNT($L$9:AV$9)+$L$4))),TREND($E33:$F33,$E$9:$F$9,AV$9))</f>
        <v>0</v>
      </c>
      <c r="AW33" s="36">
        <f>IF($G33="s-curve",$E33+($F33-$E33)*$L$2/(1+EXP($L$3*(COUNT($L$9:AW$9)+$L$4))),TREND($E33:$F33,$E$9:$F$9,AW$9))</f>
        <v>0</v>
      </c>
      <c r="AX33" s="36">
        <f>IF($G33="s-curve",$E33+($F33-$E33)*$L$2/(1+EXP($L$3*(COUNT($L$9:AX$9)+$L$4))),TREND($E33:$F33,$E$9:$F$9,AX$9))</f>
        <v>0</v>
      </c>
      <c r="AY33" s="36">
        <f>IF($G33="s-curve",$E33+($F33-$E33)*$L$2/(1+EXP($L$3*(COUNT($L$9:AY$9)+$L$4))),TREND($E33:$F33,$E$9:$F$9,AY$9))</f>
        <v>0</v>
      </c>
      <c r="AZ33" s="36">
        <f>IF($G33="s-curve",$E33+($F33-$E33)*$L$2/(1+EXP($L$3*(COUNT($L$9:AZ$9)+$L$4))),TREND($E33:$F33,$E$9:$F$9,AZ$9))</f>
        <v>0</v>
      </c>
      <c r="BA33" s="36">
        <f>IF($G33="s-curve",$E33+($F33-$E33)*$L$2/(1+EXP($L$3*(COUNT($L$9:BA$9)+$L$4))),TREND($E33:$F33,$E$9:$F$9,BA$9))</f>
        <v>0</v>
      </c>
      <c r="BB33" s="36">
        <f>IF($G33="s-curve",$E33+($F33-$E33)*$L$2/(1+EXP($L$3*(COUNT($L$9:BB$9)+$L$4))),TREND($E33:$F33,$E$9:$F$9,BB$9))</f>
        <v>0</v>
      </c>
      <c r="BC33" s="36">
        <f>IF($G33="s-curve",$E33+($F33-$E33)*$L$2/(1+EXP($L$3*(COUNT($L$9:BC$9)+$L$4))),TREND($E33:$F33,$E$9:$F$9,BC$9))</f>
        <v>0</v>
      </c>
      <c r="BD33" s="36">
        <f>IF($G33="s-curve",$E33+($F33-$E33)*$L$2/(1+EXP($L$3*(COUNT($L$9:BD$9)+$L$4))),TREND($E33:$F33,$E$9:$F$9,BD$9))</f>
        <v>0</v>
      </c>
      <c r="BE33" s="36">
        <f>IF($G33="s-curve",$E33+($F33-$E33)*$L$2/(1+EXP($L$3*(COUNT($L$9:BE$9)+$L$4))),TREND($E33:$F33,$E$9:$F$9,BE$9))</f>
        <v>0</v>
      </c>
      <c r="BF33" s="36">
        <f>IF($G33="s-curve",$E33+($F33-$E33)*$L$2/(1+EXP($L$3*(COUNT($L$9:BF$9)+$L$4))),TREND($E33:$F33,$E$9:$F$9,BF$9))</f>
        <v>0</v>
      </c>
    </row>
    <row r="34" spans="1:58" x14ac:dyDescent="0.25">
      <c r="C34" t="s">
        <v>4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H34" s="33"/>
      <c r="I34">
        <f t="shared" si="22"/>
        <v>1</v>
      </c>
      <c r="J34">
        <f t="shared" si="22"/>
        <v>1</v>
      </c>
      <c r="K34">
        <f t="shared" si="22"/>
        <v>1</v>
      </c>
      <c r="L34" s="36">
        <f t="shared" si="28"/>
        <v>1</v>
      </c>
      <c r="M34" s="36">
        <f t="shared" si="29"/>
        <v>1</v>
      </c>
      <c r="N34" s="36">
        <f>IF($G34="s-curve",$E34+($F34-$E34)*$L$2/(1+EXP($L$3*(COUNT($L$9:N$9)+$L$4))),TREND($E34:$F34,$E$9:$F$9,N$9))</f>
        <v>1</v>
      </c>
      <c r="O34" s="36">
        <f>IF($G34="s-curve",$E34+($F34-$E34)*$L$2/(1+EXP($L$3*(COUNT($L$9:O$9)+$L$4))),TREND($E34:$F34,$E$9:$F$9,O$9))</f>
        <v>1</v>
      </c>
      <c r="P34" s="36">
        <f>IF($G34="s-curve",$E34+($F34-$E34)*$L$2/(1+EXP($L$3*(COUNT($L$9:P$9)+$L$4))),TREND($E34:$F34,$E$9:$F$9,P$9))</f>
        <v>1</v>
      </c>
      <c r="Q34" s="36">
        <f>IF($G34="s-curve",$E34+($F34-$E34)*$L$2/(1+EXP($L$3*(COUNT($L$9:Q$9)+$L$4))),TREND($E34:$F34,$E$9:$F$9,Q$9))</f>
        <v>1</v>
      </c>
      <c r="R34" s="36">
        <f>IF($G34="s-curve",$E34+($F34-$E34)*$L$2/(1+EXP($L$3*(COUNT($L$9:R$9)+$L$4))),TREND($E34:$F34,$E$9:$F$9,R$9))</f>
        <v>1</v>
      </c>
      <c r="S34" s="36">
        <f>IF($G34="s-curve",$E34+($F34-$E34)*$L$2/(1+EXP($L$3*(COUNT($L$9:S$9)+$L$4))),TREND($E34:$F34,$E$9:$F$9,S$9))</f>
        <v>1</v>
      </c>
      <c r="T34" s="36">
        <f>IF($G34="s-curve",$E34+($F34-$E34)*$L$2/(1+EXP($L$3*(COUNT($L$9:T$9)+$L$4))),TREND($E34:$F34,$E$9:$F$9,T$9))</f>
        <v>1</v>
      </c>
      <c r="U34" s="36">
        <f>IF($G34="s-curve",$E34+($F34-$E34)*$L$2/(1+EXP($L$3*(COUNT($L$9:U$9)+$L$4))),TREND($E34:$F34,$E$9:$F$9,U$9))</f>
        <v>1</v>
      </c>
      <c r="V34" s="36">
        <f>IF($G34="s-curve",$E34+($F34-$E34)*$L$2/(1+EXP($L$3*(COUNT($L$9:V$9)+$L$4))),TREND($E34:$F34,$E$9:$F$9,V$9))</f>
        <v>1</v>
      </c>
      <c r="W34" s="36">
        <f>IF($G34="s-curve",$E34+($F34-$E34)*$L$2/(1+EXP($L$3*(COUNT($L$9:W$9)+$L$4))),TREND($E34:$F34,$E$9:$F$9,W$9))</f>
        <v>1</v>
      </c>
      <c r="X34" s="36">
        <f>IF($G34="s-curve",$E34+($F34-$E34)*$L$2/(1+EXP($L$3*(COUNT($L$9:X$9)+$L$4))),TREND($E34:$F34,$E$9:$F$9,X$9))</f>
        <v>1</v>
      </c>
      <c r="Y34" s="36">
        <f>IF($G34="s-curve",$E34+($F34-$E34)*$L$2/(1+EXP($L$3*(COUNT($L$9:Y$9)+$L$4))),TREND($E34:$F34,$E$9:$F$9,Y$9))</f>
        <v>1</v>
      </c>
      <c r="Z34" s="36">
        <f>IF($G34="s-curve",$E34+($F34-$E34)*$L$2/(1+EXP($L$3*(COUNT($L$9:Z$9)+$L$4))),TREND($E34:$F34,$E$9:$F$9,Z$9))</f>
        <v>1</v>
      </c>
      <c r="AA34" s="36">
        <f>IF($G34="s-curve",$E34+($F34-$E34)*$L$2/(1+EXP($L$3*(COUNT($L$9:AA$9)+$L$4))),TREND($E34:$F34,$E$9:$F$9,AA$9))</f>
        <v>1</v>
      </c>
      <c r="AB34" s="36">
        <f>IF($G34="s-curve",$E34+($F34-$E34)*$L$2/(1+EXP($L$3*(COUNT($L$9:AB$9)+$L$4))),TREND($E34:$F34,$E$9:$F$9,AB$9))</f>
        <v>1</v>
      </c>
      <c r="AC34" s="36">
        <f>IF($G34="s-curve",$E34+($F34-$E34)*$L$2/(1+EXP($L$3*(COUNT($L$9:AC$9)+$L$4))),TREND($E34:$F34,$E$9:$F$9,AC$9))</f>
        <v>1</v>
      </c>
      <c r="AD34" s="36">
        <f>IF($G34="s-curve",$E34+($F34-$E34)*$L$2/(1+EXP($L$3*(COUNT($L$9:AD$9)+$L$4))),TREND($E34:$F34,$E$9:$F$9,AD$9))</f>
        <v>1</v>
      </c>
      <c r="AE34" s="36">
        <f>IF($G34="s-curve",$E34+($F34-$E34)*$L$2/(1+EXP($L$3*(COUNT($L$9:AE$9)+$L$4))),TREND($E34:$F34,$E$9:$F$9,AE$9))</f>
        <v>1</v>
      </c>
      <c r="AF34" s="36">
        <f>IF($G34="s-curve",$E34+($F34-$E34)*$L$2/(1+EXP($L$3*(COUNT($L$9:AF$9)+$L$4))),TREND($E34:$F34,$E$9:$F$9,AF$9))</f>
        <v>1</v>
      </c>
      <c r="AG34" s="36">
        <f>IF($G34="s-curve",$E34+($F34-$E34)*$L$2/(1+EXP($L$3*(COUNT($L$9:AG$9)+$L$4))),TREND($E34:$F34,$E$9:$F$9,AG$9))</f>
        <v>1</v>
      </c>
      <c r="AH34" s="36">
        <f>IF($G34="s-curve",$E34+($F34-$E34)*$L$2/(1+EXP($L$3*(COUNT($L$9:AH$9)+$L$4))),TREND($E34:$F34,$E$9:$F$9,AH$9))</f>
        <v>1</v>
      </c>
      <c r="AI34" s="36">
        <f>IF($G34="s-curve",$E34+($F34-$E34)*$L$2/(1+EXP($L$3*(COUNT($L$9:AI$9)+$L$4))),TREND($E34:$F34,$E$9:$F$9,AI$9))</f>
        <v>1</v>
      </c>
      <c r="AJ34" s="36">
        <f>IF($G34="s-curve",$E34+($F34-$E34)*$L$2/(1+EXP($L$3*(COUNT($L$9:AJ$9)+$L$4))),TREND($E34:$F34,$E$9:$F$9,AJ$9))</f>
        <v>1</v>
      </c>
      <c r="AK34" s="36">
        <f>IF($G34="s-curve",$E34+($F34-$E34)*$L$2/(1+EXP($L$3*(COUNT($L$9:AK$9)+$L$4))),TREND($E34:$F34,$E$9:$F$9,AK$9))</f>
        <v>1</v>
      </c>
      <c r="AL34" s="36">
        <f>IF($G34="s-curve",$E34+($F34-$E34)*$L$2/(1+EXP($L$3*(COUNT($L$9:AL$9)+$L$4))),TREND($E34:$F34,$E$9:$F$9,AL$9))</f>
        <v>1</v>
      </c>
      <c r="AM34" s="36">
        <f>IF($G34="s-curve",$E34+($F34-$E34)*$L$2/(1+EXP($L$3*(COUNT($L$9:AM$9)+$L$4))),TREND($E34:$F34,$E$9:$F$9,AM$9))</f>
        <v>1</v>
      </c>
      <c r="AN34" s="36">
        <f>IF($G34="s-curve",$E34+($F34-$E34)*$L$2/(1+EXP($L$3*(COUNT($L$9:AN$9)+$L$4))),TREND($E34:$F34,$E$9:$F$9,AN$9))</f>
        <v>1</v>
      </c>
      <c r="AO34" s="36">
        <f>IF($G34="s-curve",$E34+($F34-$E34)*$L$2/(1+EXP($L$3*(COUNT($L$9:AO$9)+$L$4))),TREND($E34:$F34,$E$9:$F$9,AO$9))</f>
        <v>1</v>
      </c>
      <c r="AP34" s="36">
        <f>IF($G34="s-curve",$E34+($F34-$E34)*$L$2/(1+EXP($L$3*(COUNT($L$9:AP$9)+$L$4))),TREND($E34:$F34,$E$9:$F$9,AP$9))</f>
        <v>1</v>
      </c>
      <c r="AQ34" s="36">
        <f>IF($G34="s-curve",$E34+($F34-$E34)*$L$2/(1+EXP($L$3*(COUNT($L$9:AQ$9)+$L$4))),TREND($E34:$F34,$E$9:$F$9,AQ$9))</f>
        <v>1</v>
      </c>
      <c r="AR34" s="36">
        <f>IF($G34="s-curve",$E34+($F34-$E34)*$L$2/(1+EXP($L$3*(COUNT($L$9:AR$9)+$L$4))),TREND($E34:$F34,$E$9:$F$9,AR$9))</f>
        <v>1</v>
      </c>
      <c r="AS34" s="36">
        <f>IF($G34="s-curve",$E34+($F34-$E34)*$L$2/(1+EXP($L$3*(COUNT($L$9:AS$9)+$L$4))),TREND($E34:$F34,$E$9:$F$9,AS$9))</f>
        <v>1</v>
      </c>
      <c r="AT34" s="36">
        <f>IF($G34="s-curve",$E34+($F34-$E34)*$L$2/(1+EXP($L$3*(COUNT($L$9:AT$9)+$L$4))),TREND($E34:$F34,$E$9:$F$9,AT$9))</f>
        <v>1</v>
      </c>
      <c r="AU34" s="36">
        <f>IF($G34="s-curve",$E34+($F34-$E34)*$L$2/(1+EXP($L$3*(COUNT($L$9:AU$9)+$L$4))),TREND($E34:$F34,$E$9:$F$9,AU$9))</f>
        <v>1</v>
      </c>
      <c r="AV34" s="36">
        <f>IF($G34="s-curve",$E34+($F34-$E34)*$L$2/(1+EXP($L$3*(COUNT($L$9:AV$9)+$L$4))),TREND($E34:$F34,$E$9:$F$9,AV$9))</f>
        <v>1</v>
      </c>
      <c r="AW34" s="36">
        <f>IF($G34="s-curve",$E34+($F34-$E34)*$L$2/(1+EXP($L$3*(COUNT($L$9:AW$9)+$L$4))),TREND($E34:$F34,$E$9:$F$9,AW$9))</f>
        <v>1</v>
      </c>
      <c r="AX34" s="36">
        <f>IF($G34="s-curve",$E34+($F34-$E34)*$L$2/(1+EXP($L$3*(COUNT($L$9:AX$9)+$L$4))),TREND($E34:$F34,$E$9:$F$9,AX$9))</f>
        <v>1</v>
      </c>
      <c r="AY34" s="36">
        <f>IF($G34="s-curve",$E34+($F34-$E34)*$L$2/(1+EXP($L$3*(COUNT($L$9:AY$9)+$L$4))),TREND($E34:$F34,$E$9:$F$9,AY$9))</f>
        <v>1</v>
      </c>
      <c r="AZ34" s="36">
        <f>IF($G34="s-curve",$E34+($F34-$E34)*$L$2/(1+EXP($L$3*(COUNT($L$9:AZ$9)+$L$4))),TREND($E34:$F34,$E$9:$F$9,AZ$9))</f>
        <v>1</v>
      </c>
      <c r="BA34" s="36">
        <f>IF($G34="s-curve",$E34+($F34-$E34)*$L$2/(1+EXP($L$3*(COUNT($L$9:BA$9)+$L$4))),TREND($E34:$F34,$E$9:$F$9,BA$9))</f>
        <v>1</v>
      </c>
      <c r="BB34" s="36">
        <f>IF($G34="s-curve",$E34+($F34-$E34)*$L$2/(1+EXP($L$3*(COUNT($L$9:BB$9)+$L$4))),TREND($E34:$F34,$E$9:$F$9,BB$9))</f>
        <v>1</v>
      </c>
      <c r="BC34" s="36">
        <f>IF($G34="s-curve",$E34+($F34-$E34)*$L$2/(1+EXP($L$3*(COUNT($L$9:BC$9)+$L$4))),TREND($E34:$F34,$E$9:$F$9,BC$9))</f>
        <v>1</v>
      </c>
      <c r="BD34" s="36">
        <f>IF($G34="s-curve",$E34+($F34-$E34)*$L$2/(1+EXP($L$3*(COUNT($L$9:BD$9)+$L$4))),TREND($E34:$F34,$E$9:$F$9,BD$9))</f>
        <v>1</v>
      </c>
      <c r="BE34" s="36">
        <f>IF($G34="s-curve",$E34+($F34-$E34)*$L$2/(1+EXP($L$3*(COUNT($L$9:BE$9)+$L$4))),TREND($E34:$F34,$E$9:$F$9,BE$9))</f>
        <v>1</v>
      </c>
      <c r="BF34" s="36">
        <f>IF($G34="s-curve",$E34+($F34-$E34)*$L$2/(1+EXP($L$3*(COUNT($L$9:BF$9)+$L$4))),TREND($E34:$F34,$E$9:$F$9,BF$9))</f>
        <v>1</v>
      </c>
    </row>
    <row r="35" spans="1:58" x14ac:dyDescent="0.25">
      <c r="C35" t="s">
        <v>5</v>
      </c>
      <c r="D35">
        <v>0</v>
      </c>
      <c r="E35">
        <v>0</v>
      </c>
      <c r="F35" s="17">
        <f>E35</f>
        <v>0</v>
      </c>
      <c r="G35" s="5" t="str">
        <f>IF(E35=F35,"n/a",IF(OR(C35="battery electric vehicle",C35="natural gas vehicle",C35="plugin hybrid vehicle"),"s-curve","linear"))</f>
        <v>n/a</v>
      </c>
      <c r="H35" s="33"/>
      <c r="I35">
        <f t="shared" si="22"/>
        <v>0</v>
      </c>
      <c r="J35">
        <f t="shared" si="22"/>
        <v>0</v>
      </c>
      <c r="K35">
        <f t="shared" si="22"/>
        <v>0</v>
      </c>
      <c r="L35" s="36">
        <f t="shared" si="28"/>
        <v>0</v>
      </c>
      <c r="M35" s="36">
        <f t="shared" si="29"/>
        <v>0</v>
      </c>
      <c r="N35" s="36">
        <f>IF($G35="s-curve",$E35+($F35-$E35)*$L$2/(1+EXP($L$3*(COUNT($L$9:N$9)+$L$4))),TREND($E35:$F35,$E$9:$F$9,N$9))</f>
        <v>0</v>
      </c>
      <c r="O35" s="36">
        <f>IF($G35="s-curve",$E35+($F35-$E35)*$L$2/(1+EXP($L$3*(COUNT($L$9:O$9)+$L$4))),TREND($E35:$F35,$E$9:$F$9,O$9))</f>
        <v>0</v>
      </c>
      <c r="P35" s="36">
        <f>IF($G35="s-curve",$E35+($F35-$E35)*$L$2/(1+EXP($L$3*(COUNT($L$9:P$9)+$L$4))),TREND($E35:$F35,$E$9:$F$9,P$9))</f>
        <v>0</v>
      </c>
      <c r="Q35" s="36">
        <f>IF($G35="s-curve",$E35+($F35-$E35)*$L$2/(1+EXP($L$3*(COUNT($L$9:Q$9)+$L$4))),TREND($E35:$F35,$E$9:$F$9,Q$9))</f>
        <v>0</v>
      </c>
      <c r="R35" s="36">
        <f>IF($G35="s-curve",$E35+($F35-$E35)*$L$2/(1+EXP($L$3*(COUNT($L$9:R$9)+$L$4))),TREND($E35:$F35,$E$9:$F$9,R$9))</f>
        <v>0</v>
      </c>
      <c r="S35" s="36">
        <f>IF($G35="s-curve",$E35+($F35-$E35)*$L$2/(1+EXP($L$3*(COUNT($L$9:S$9)+$L$4))),TREND($E35:$F35,$E$9:$F$9,S$9))</f>
        <v>0</v>
      </c>
      <c r="T35" s="36">
        <f>IF($G35="s-curve",$E35+($F35-$E35)*$L$2/(1+EXP($L$3*(COUNT($L$9:T$9)+$L$4))),TREND($E35:$F35,$E$9:$F$9,T$9))</f>
        <v>0</v>
      </c>
      <c r="U35" s="36">
        <f>IF($G35="s-curve",$E35+($F35-$E35)*$L$2/(1+EXP($L$3*(COUNT($L$9:U$9)+$L$4))),TREND($E35:$F35,$E$9:$F$9,U$9))</f>
        <v>0</v>
      </c>
      <c r="V35" s="36">
        <f>IF($G35="s-curve",$E35+($F35-$E35)*$L$2/(1+EXP($L$3*(COUNT($L$9:V$9)+$L$4))),TREND($E35:$F35,$E$9:$F$9,V$9))</f>
        <v>0</v>
      </c>
      <c r="W35" s="36">
        <f>IF($G35="s-curve",$E35+($F35-$E35)*$L$2/(1+EXP($L$3*(COUNT($L$9:W$9)+$L$4))),TREND($E35:$F35,$E$9:$F$9,W$9))</f>
        <v>0</v>
      </c>
      <c r="X35" s="36">
        <f>IF($G35="s-curve",$E35+($F35-$E35)*$L$2/(1+EXP($L$3*(COUNT($L$9:X$9)+$L$4))),TREND($E35:$F35,$E$9:$F$9,X$9))</f>
        <v>0</v>
      </c>
      <c r="Y35" s="36">
        <f>IF($G35="s-curve",$E35+($F35-$E35)*$L$2/(1+EXP($L$3*(COUNT($L$9:Y$9)+$L$4))),TREND($E35:$F35,$E$9:$F$9,Y$9))</f>
        <v>0</v>
      </c>
      <c r="Z35" s="36">
        <f>IF($G35="s-curve",$E35+($F35-$E35)*$L$2/(1+EXP($L$3*(COUNT($L$9:Z$9)+$L$4))),TREND($E35:$F35,$E$9:$F$9,Z$9))</f>
        <v>0</v>
      </c>
      <c r="AA35" s="36">
        <f>IF($G35="s-curve",$E35+($F35-$E35)*$L$2/(1+EXP($L$3*(COUNT($L$9:AA$9)+$L$4))),TREND($E35:$F35,$E$9:$F$9,AA$9))</f>
        <v>0</v>
      </c>
      <c r="AB35" s="36">
        <f>IF($G35="s-curve",$E35+($F35-$E35)*$L$2/(1+EXP($L$3*(COUNT($L$9:AB$9)+$L$4))),TREND($E35:$F35,$E$9:$F$9,AB$9))</f>
        <v>0</v>
      </c>
      <c r="AC35" s="36">
        <f>IF($G35="s-curve",$E35+($F35-$E35)*$L$2/(1+EXP($L$3*(COUNT($L$9:AC$9)+$L$4))),TREND($E35:$F35,$E$9:$F$9,AC$9))</f>
        <v>0</v>
      </c>
      <c r="AD35" s="36">
        <f>IF($G35="s-curve",$E35+($F35-$E35)*$L$2/(1+EXP($L$3*(COUNT($L$9:AD$9)+$L$4))),TREND($E35:$F35,$E$9:$F$9,AD$9))</f>
        <v>0</v>
      </c>
      <c r="AE35" s="36">
        <f>IF($G35="s-curve",$E35+($F35-$E35)*$L$2/(1+EXP($L$3*(COUNT($L$9:AE$9)+$L$4))),TREND($E35:$F35,$E$9:$F$9,AE$9))</f>
        <v>0</v>
      </c>
      <c r="AF35" s="36">
        <f>IF($G35="s-curve",$E35+($F35-$E35)*$L$2/(1+EXP($L$3*(COUNT($L$9:AF$9)+$L$4))),TREND($E35:$F35,$E$9:$F$9,AF$9))</f>
        <v>0</v>
      </c>
      <c r="AG35" s="36">
        <f>IF($G35="s-curve",$E35+($F35-$E35)*$L$2/(1+EXP($L$3*(COUNT($L$9:AG$9)+$L$4))),TREND($E35:$F35,$E$9:$F$9,AG$9))</f>
        <v>0</v>
      </c>
      <c r="AH35" s="36">
        <f>IF($G35="s-curve",$E35+($F35-$E35)*$L$2/(1+EXP($L$3*(COUNT($L$9:AH$9)+$L$4))),TREND($E35:$F35,$E$9:$F$9,AH$9))</f>
        <v>0</v>
      </c>
      <c r="AI35" s="36">
        <f>IF($G35="s-curve",$E35+($F35-$E35)*$L$2/(1+EXP($L$3*(COUNT($L$9:AI$9)+$L$4))),TREND($E35:$F35,$E$9:$F$9,AI$9))</f>
        <v>0</v>
      </c>
      <c r="AJ35" s="36">
        <f>IF($G35="s-curve",$E35+($F35-$E35)*$L$2/(1+EXP($L$3*(COUNT($L$9:AJ$9)+$L$4))),TREND($E35:$F35,$E$9:$F$9,AJ$9))</f>
        <v>0</v>
      </c>
      <c r="AK35" s="36">
        <f>IF($G35="s-curve",$E35+($F35-$E35)*$L$2/(1+EXP($L$3*(COUNT($L$9:AK$9)+$L$4))),TREND($E35:$F35,$E$9:$F$9,AK$9))</f>
        <v>0</v>
      </c>
      <c r="AL35" s="36">
        <f>IF($G35="s-curve",$E35+($F35-$E35)*$L$2/(1+EXP($L$3*(COUNT($L$9:AL$9)+$L$4))),TREND($E35:$F35,$E$9:$F$9,AL$9))</f>
        <v>0</v>
      </c>
      <c r="AM35" s="36">
        <f>IF($G35="s-curve",$E35+($F35-$E35)*$L$2/(1+EXP($L$3*(COUNT($L$9:AM$9)+$L$4))),TREND($E35:$F35,$E$9:$F$9,AM$9))</f>
        <v>0</v>
      </c>
      <c r="AN35" s="36">
        <f>IF($G35="s-curve",$E35+($F35-$E35)*$L$2/(1+EXP($L$3*(COUNT($L$9:AN$9)+$L$4))),TREND($E35:$F35,$E$9:$F$9,AN$9))</f>
        <v>0</v>
      </c>
      <c r="AO35" s="36">
        <f>IF($G35="s-curve",$E35+($F35-$E35)*$L$2/(1+EXP($L$3*(COUNT($L$9:AO$9)+$L$4))),TREND($E35:$F35,$E$9:$F$9,AO$9))</f>
        <v>0</v>
      </c>
      <c r="AP35" s="36">
        <f>IF($G35="s-curve",$E35+($F35-$E35)*$L$2/(1+EXP($L$3*(COUNT($L$9:AP$9)+$L$4))),TREND($E35:$F35,$E$9:$F$9,AP$9))</f>
        <v>0</v>
      </c>
      <c r="AQ35" s="36">
        <f>IF($G35="s-curve",$E35+($F35-$E35)*$L$2/(1+EXP($L$3*(COUNT($L$9:AQ$9)+$L$4))),TREND($E35:$F35,$E$9:$F$9,AQ$9))</f>
        <v>0</v>
      </c>
      <c r="AR35" s="36">
        <f>IF($G35="s-curve",$E35+($F35-$E35)*$L$2/(1+EXP($L$3*(COUNT($L$9:AR$9)+$L$4))),TREND($E35:$F35,$E$9:$F$9,AR$9))</f>
        <v>0</v>
      </c>
      <c r="AS35" s="36">
        <f>IF($G35="s-curve",$E35+($F35-$E35)*$L$2/(1+EXP($L$3*(COUNT($L$9:AS$9)+$L$4))),TREND($E35:$F35,$E$9:$F$9,AS$9))</f>
        <v>0</v>
      </c>
      <c r="AT35" s="36">
        <f>IF($G35="s-curve",$E35+($F35-$E35)*$L$2/(1+EXP($L$3*(COUNT($L$9:AT$9)+$L$4))),TREND($E35:$F35,$E$9:$F$9,AT$9))</f>
        <v>0</v>
      </c>
      <c r="AU35" s="36">
        <f>IF($G35="s-curve",$E35+($F35-$E35)*$L$2/(1+EXP($L$3*(COUNT($L$9:AU$9)+$L$4))),TREND($E35:$F35,$E$9:$F$9,AU$9))</f>
        <v>0</v>
      </c>
      <c r="AV35" s="36">
        <f>IF($G35="s-curve",$E35+($F35-$E35)*$L$2/(1+EXP($L$3*(COUNT($L$9:AV$9)+$L$4))),TREND($E35:$F35,$E$9:$F$9,AV$9))</f>
        <v>0</v>
      </c>
      <c r="AW35" s="36">
        <f>IF($G35="s-curve",$E35+($F35-$E35)*$L$2/(1+EXP($L$3*(COUNT($L$9:AW$9)+$L$4))),TREND($E35:$F35,$E$9:$F$9,AW$9))</f>
        <v>0</v>
      </c>
      <c r="AX35" s="36">
        <f>IF($G35="s-curve",$E35+($F35-$E35)*$L$2/(1+EXP($L$3*(COUNT($L$9:AX$9)+$L$4))),TREND($E35:$F35,$E$9:$F$9,AX$9))</f>
        <v>0</v>
      </c>
      <c r="AY35" s="36">
        <f>IF($G35="s-curve",$E35+($F35-$E35)*$L$2/(1+EXP($L$3*(COUNT($L$9:AY$9)+$L$4))),TREND($E35:$F35,$E$9:$F$9,AY$9))</f>
        <v>0</v>
      </c>
      <c r="AZ35" s="36">
        <f>IF($G35="s-curve",$E35+($F35-$E35)*$L$2/(1+EXP($L$3*(COUNT($L$9:AZ$9)+$L$4))),TREND($E35:$F35,$E$9:$F$9,AZ$9))</f>
        <v>0</v>
      </c>
      <c r="BA35" s="36">
        <f>IF($G35="s-curve",$E35+($F35-$E35)*$L$2/(1+EXP($L$3*(COUNT($L$9:BA$9)+$L$4))),TREND($E35:$F35,$E$9:$F$9,BA$9))</f>
        <v>0</v>
      </c>
      <c r="BB35" s="36">
        <f>IF($G35="s-curve",$E35+($F35-$E35)*$L$2/(1+EXP($L$3*(COUNT($L$9:BB$9)+$L$4))),TREND($E35:$F35,$E$9:$F$9,BB$9))</f>
        <v>0</v>
      </c>
      <c r="BC35" s="36">
        <f>IF($G35="s-curve",$E35+($F35-$E35)*$L$2/(1+EXP($L$3*(COUNT($L$9:BC$9)+$L$4))),TREND($E35:$F35,$E$9:$F$9,BC$9))</f>
        <v>0</v>
      </c>
      <c r="BD35" s="36">
        <f>IF($G35="s-curve",$E35+($F35-$E35)*$L$2/(1+EXP($L$3*(COUNT($L$9:BD$9)+$L$4))),TREND($E35:$F35,$E$9:$F$9,BD$9))</f>
        <v>0</v>
      </c>
      <c r="BE35" s="36">
        <f>IF($G35="s-curve",$E35+($F35-$E35)*$L$2/(1+EXP($L$3*(COUNT($L$9:BE$9)+$L$4))),TREND($E35:$F35,$E$9:$F$9,BE$9))</f>
        <v>0</v>
      </c>
      <c r="BF35" s="36">
        <f>IF($G35="s-curve",$E35+($F35-$E35)*$L$2/(1+EXP($L$3*(COUNT($L$9:BF$9)+$L$4))),TREND($E35:$F35,$E$9:$F$9,BF$9))</f>
        <v>0</v>
      </c>
    </row>
    <row r="36" spans="1:58" x14ac:dyDescent="0.25">
      <c r="C36" t="s">
        <v>33</v>
      </c>
      <c r="D36">
        <v>0</v>
      </c>
      <c r="E36">
        <v>0</v>
      </c>
      <c r="F36" s="17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H36" s="33"/>
      <c r="I36">
        <f t="shared" si="22"/>
        <v>0</v>
      </c>
      <c r="J36">
        <f t="shared" si="22"/>
        <v>0</v>
      </c>
      <c r="K36">
        <f t="shared" si="22"/>
        <v>0</v>
      </c>
      <c r="L36" s="36">
        <f t="shared" si="28"/>
        <v>0</v>
      </c>
      <c r="M36" s="36">
        <f t="shared" si="29"/>
        <v>0</v>
      </c>
      <c r="N36" s="36">
        <f>IF($G36="s-curve",$E36+($F36-$E36)*$L$2/(1+EXP($L$3*(COUNT($L$9:N$9)+$L$4))),TREND($E36:$F36,$E$9:$F$9,N$9))</f>
        <v>0</v>
      </c>
      <c r="O36" s="36">
        <f>IF($G36="s-curve",$E36+($F36-$E36)*$L$2/(1+EXP($L$3*(COUNT($L$9:O$9)+$L$4))),TREND($E36:$F36,$E$9:$F$9,O$9))</f>
        <v>0</v>
      </c>
      <c r="P36" s="36">
        <f>IF($G36="s-curve",$E36+($F36-$E36)*$L$2/(1+EXP($L$3*(COUNT($L$9:P$9)+$L$4))),TREND($E36:$F36,$E$9:$F$9,P$9))</f>
        <v>0</v>
      </c>
      <c r="Q36" s="36">
        <f>IF($G36="s-curve",$E36+($F36-$E36)*$L$2/(1+EXP($L$3*(COUNT($L$9:Q$9)+$L$4))),TREND($E36:$F36,$E$9:$F$9,Q$9))</f>
        <v>0</v>
      </c>
      <c r="R36" s="36">
        <f>IF($G36="s-curve",$E36+($F36-$E36)*$L$2/(1+EXP($L$3*(COUNT($L$9:R$9)+$L$4))),TREND($E36:$F36,$E$9:$F$9,R$9))</f>
        <v>0</v>
      </c>
      <c r="S36" s="36">
        <f>IF($G36="s-curve",$E36+($F36-$E36)*$L$2/(1+EXP($L$3*(COUNT($L$9:S$9)+$L$4))),TREND($E36:$F36,$E$9:$F$9,S$9))</f>
        <v>0</v>
      </c>
      <c r="T36" s="36">
        <f>IF($G36="s-curve",$E36+($F36-$E36)*$L$2/(1+EXP($L$3*(COUNT($L$9:T$9)+$L$4))),TREND($E36:$F36,$E$9:$F$9,T$9))</f>
        <v>0</v>
      </c>
      <c r="U36" s="36">
        <f>IF($G36="s-curve",$E36+($F36-$E36)*$L$2/(1+EXP($L$3*(COUNT($L$9:U$9)+$L$4))),TREND($E36:$F36,$E$9:$F$9,U$9))</f>
        <v>0</v>
      </c>
      <c r="V36" s="36">
        <f>IF($G36="s-curve",$E36+($F36-$E36)*$L$2/(1+EXP($L$3*(COUNT($L$9:V$9)+$L$4))),TREND($E36:$F36,$E$9:$F$9,V$9))</f>
        <v>0</v>
      </c>
      <c r="W36" s="36">
        <f>IF($G36="s-curve",$E36+($F36-$E36)*$L$2/(1+EXP($L$3*(COUNT($L$9:W$9)+$L$4))),TREND($E36:$F36,$E$9:$F$9,W$9))</f>
        <v>0</v>
      </c>
      <c r="X36" s="36">
        <f>IF($G36="s-curve",$E36+($F36-$E36)*$L$2/(1+EXP($L$3*(COUNT($L$9:X$9)+$L$4))),TREND($E36:$F36,$E$9:$F$9,X$9))</f>
        <v>0</v>
      </c>
      <c r="Y36" s="36">
        <f>IF($G36="s-curve",$E36+($F36-$E36)*$L$2/(1+EXP($L$3*(COUNT($L$9:Y$9)+$L$4))),TREND($E36:$F36,$E$9:$F$9,Y$9))</f>
        <v>0</v>
      </c>
      <c r="Z36" s="36">
        <f>IF($G36="s-curve",$E36+($F36-$E36)*$L$2/(1+EXP($L$3*(COUNT($L$9:Z$9)+$L$4))),TREND($E36:$F36,$E$9:$F$9,Z$9))</f>
        <v>0</v>
      </c>
      <c r="AA36" s="36">
        <f>IF($G36="s-curve",$E36+($F36-$E36)*$L$2/(1+EXP($L$3*(COUNT($L$9:AA$9)+$L$4))),TREND($E36:$F36,$E$9:$F$9,AA$9))</f>
        <v>0</v>
      </c>
      <c r="AB36" s="36">
        <f>IF($G36="s-curve",$E36+($F36-$E36)*$L$2/(1+EXP($L$3*(COUNT($L$9:AB$9)+$L$4))),TREND($E36:$F36,$E$9:$F$9,AB$9))</f>
        <v>0</v>
      </c>
      <c r="AC36" s="36">
        <f>IF($G36="s-curve",$E36+($F36-$E36)*$L$2/(1+EXP($L$3*(COUNT($L$9:AC$9)+$L$4))),TREND($E36:$F36,$E$9:$F$9,AC$9))</f>
        <v>0</v>
      </c>
      <c r="AD36" s="36">
        <f>IF($G36="s-curve",$E36+($F36-$E36)*$L$2/(1+EXP($L$3*(COUNT($L$9:AD$9)+$L$4))),TREND($E36:$F36,$E$9:$F$9,AD$9))</f>
        <v>0</v>
      </c>
      <c r="AE36" s="36">
        <f>IF($G36="s-curve",$E36+($F36-$E36)*$L$2/(1+EXP($L$3*(COUNT($L$9:AE$9)+$L$4))),TREND($E36:$F36,$E$9:$F$9,AE$9))</f>
        <v>0</v>
      </c>
      <c r="AF36" s="36">
        <f>IF($G36="s-curve",$E36+($F36-$E36)*$L$2/(1+EXP($L$3*(COUNT($L$9:AF$9)+$L$4))),TREND($E36:$F36,$E$9:$F$9,AF$9))</f>
        <v>0</v>
      </c>
      <c r="AG36" s="36">
        <f>IF($G36="s-curve",$E36+($F36-$E36)*$L$2/(1+EXP($L$3*(COUNT($L$9:AG$9)+$L$4))),TREND($E36:$F36,$E$9:$F$9,AG$9))</f>
        <v>0</v>
      </c>
      <c r="AH36" s="36">
        <f>IF($G36="s-curve",$E36+($F36-$E36)*$L$2/(1+EXP($L$3*(COUNT($L$9:AH$9)+$L$4))),TREND($E36:$F36,$E$9:$F$9,AH$9))</f>
        <v>0</v>
      </c>
      <c r="AI36" s="36">
        <f>IF($G36="s-curve",$E36+($F36-$E36)*$L$2/(1+EXP($L$3*(COUNT($L$9:AI$9)+$L$4))),TREND($E36:$F36,$E$9:$F$9,AI$9))</f>
        <v>0</v>
      </c>
      <c r="AJ36" s="36">
        <f>IF($G36="s-curve",$E36+($F36-$E36)*$L$2/(1+EXP($L$3*(COUNT($L$9:AJ$9)+$L$4))),TREND($E36:$F36,$E$9:$F$9,AJ$9))</f>
        <v>0</v>
      </c>
      <c r="AK36" s="36">
        <f>IF($G36="s-curve",$E36+($F36-$E36)*$L$2/(1+EXP($L$3*(COUNT($L$9:AK$9)+$L$4))),TREND($E36:$F36,$E$9:$F$9,AK$9))</f>
        <v>0</v>
      </c>
      <c r="AL36" s="36">
        <f>IF($G36="s-curve",$E36+($F36-$E36)*$L$2/(1+EXP($L$3*(COUNT($L$9:AL$9)+$L$4))),TREND($E36:$F36,$E$9:$F$9,AL$9))</f>
        <v>0</v>
      </c>
      <c r="AM36" s="36">
        <f>IF($G36="s-curve",$E36+($F36-$E36)*$L$2/(1+EXP($L$3*(COUNT($L$9:AM$9)+$L$4))),TREND($E36:$F36,$E$9:$F$9,AM$9))</f>
        <v>0</v>
      </c>
      <c r="AN36" s="36">
        <f>IF($G36="s-curve",$E36+($F36-$E36)*$L$2/(1+EXP($L$3*(COUNT($L$9:AN$9)+$L$4))),TREND($E36:$F36,$E$9:$F$9,AN$9))</f>
        <v>0</v>
      </c>
      <c r="AO36" s="36">
        <f>IF($G36="s-curve",$E36+($F36-$E36)*$L$2/(1+EXP($L$3*(COUNT($L$9:AO$9)+$L$4))),TREND($E36:$F36,$E$9:$F$9,AO$9))</f>
        <v>0</v>
      </c>
      <c r="AP36" s="36">
        <f>IF($G36="s-curve",$E36+($F36-$E36)*$L$2/(1+EXP($L$3*(COUNT($L$9:AP$9)+$L$4))),TREND($E36:$F36,$E$9:$F$9,AP$9))</f>
        <v>0</v>
      </c>
      <c r="AQ36" s="36">
        <f>IF($G36="s-curve",$E36+($F36-$E36)*$L$2/(1+EXP($L$3*(COUNT($L$9:AQ$9)+$L$4))),TREND($E36:$F36,$E$9:$F$9,AQ$9))</f>
        <v>0</v>
      </c>
      <c r="AR36" s="36">
        <f>IF($G36="s-curve",$E36+($F36-$E36)*$L$2/(1+EXP($L$3*(COUNT($L$9:AR$9)+$L$4))),TREND($E36:$F36,$E$9:$F$9,AR$9))</f>
        <v>0</v>
      </c>
      <c r="AS36" s="36">
        <f>IF($G36="s-curve",$E36+($F36-$E36)*$L$2/(1+EXP($L$3*(COUNT($L$9:AS$9)+$L$4))),TREND($E36:$F36,$E$9:$F$9,AS$9))</f>
        <v>0</v>
      </c>
      <c r="AT36" s="36">
        <f>IF($G36="s-curve",$E36+($F36-$E36)*$L$2/(1+EXP($L$3*(COUNT($L$9:AT$9)+$L$4))),TREND($E36:$F36,$E$9:$F$9,AT$9))</f>
        <v>0</v>
      </c>
      <c r="AU36" s="36">
        <f>IF($G36="s-curve",$E36+($F36-$E36)*$L$2/(1+EXP($L$3*(COUNT($L$9:AU$9)+$L$4))),TREND($E36:$F36,$E$9:$F$9,AU$9))</f>
        <v>0</v>
      </c>
      <c r="AV36" s="36">
        <f>IF($G36="s-curve",$E36+($F36-$E36)*$L$2/(1+EXP($L$3*(COUNT($L$9:AV$9)+$L$4))),TREND($E36:$F36,$E$9:$F$9,AV$9))</f>
        <v>0</v>
      </c>
      <c r="AW36" s="36">
        <f>IF($G36="s-curve",$E36+($F36-$E36)*$L$2/(1+EXP($L$3*(COUNT($L$9:AW$9)+$L$4))),TREND($E36:$F36,$E$9:$F$9,AW$9))</f>
        <v>0</v>
      </c>
      <c r="AX36" s="36">
        <f>IF($G36="s-curve",$E36+($F36-$E36)*$L$2/(1+EXP($L$3*(COUNT($L$9:AX$9)+$L$4))),TREND($E36:$F36,$E$9:$F$9,AX$9))</f>
        <v>0</v>
      </c>
      <c r="AY36" s="36">
        <f>IF($G36="s-curve",$E36+($F36-$E36)*$L$2/(1+EXP($L$3*(COUNT($L$9:AY$9)+$L$4))),TREND($E36:$F36,$E$9:$F$9,AY$9))</f>
        <v>0</v>
      </c>
      <c r="AZ36" s="36">
        <f>IF($G36="s-curve",$E36+($F36-$E36)*$L$2/(1+EXP($L$3*(COUNT($L$9:AZ$9)+$L$4))),TREND($E36:$F36,$E$9:$F$9,AZ$9))</f>
        <v>0</v>
      </c>
      <c r="BA36" s="36">
        <f>IF($G36="s-curve",$E36+($F36-$E36)*$L$2/(1+EXP($L$3*(COUNT($L$9:BA$9)+$L$4))),TREND($E36:$F36,$E$9:$F$9,BA$9))</f>
        <v>0</v>
      </c>
      <c r="BB36" s="36">
        <f>IF($G36="s-curve",$E36+($F36-$E36)*$L$2/(1+EXP($L$3*(COUNT($L$9:BB$9)+$L$4))),TREND($E36:$F36,$E$9:$F$9,BB$9))</f>
        <v>0</v>
      </c>
      <c r="BC36" s="36">
        <f>IF($G36="s-curve",$E36+($F36-$E36)*$L$2/(1+EXP($L$3*(COUNT($L$9:BC$9)+$L$4))),TREND($E36:$F36,$E$9:$F$9,BC$9))</f>
        <v>0</v>
      </c>
      <c r="BD36" s="36">
        <f>IF($G36="s-curve",$E36+($F36-$E36)*$L$2/(1+EXP($L$3*(COUNT($L$9:BD$9)+$L$4))),TREND($E36:$F36,$E$9:$F$9,BD$9))</f>
        <v>0</v>
      </c>
      <c r="BE36" s="36">
        <f>IF($G36="s-curve",$E36+($F36-$E36)*$L$2/(1+EXP($L$3*(COUNT($L$9:BE$9)+$L$4))),TREND($E36:$F36,$E$9:$F$9,BE$9))</f>
        <v>0</v>
      </c>
      <c r="BF36" s="36">
        <f>IF($G36="s-curve",$E36+($F36-$E36)*$L$2/(1+EXP($L$3*(COUNT($L$9:BF$9)+$L$4))),TREND($E36:$F36,$E$9:$F$9,BF$9))</f>
        <v>0</v>
      </c>
    </row>
    <row r="37" spans="1:58" ht="15.75" thickBot="1" x14ac:dyDescent="0.3">
      <c r="A37" s="18"/>
      <c r="B37" s="18"/>
      <c r="C37" s="18" t="s">
        <v>34</v>
      </c>
      <c r="D37">
        <v>0</v>
      </c>
      <c r="E37">
        <v>0</v>
      </c>
      <c r="F37" s="21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H37" s="34"/>
      <c r="I37">
        <f t="shared" si="22"/>
        <v>0</v>
      </c>
      <c r="J37">
        <f t="shared" si="22"/>
        <v>0</v>
      </c>
      <c r="K37">
        <f t="shared" si="22"/>
        <v>0</v>
      </c>
      <c r="L37" s="36">
        <f t="shared" si="28"/>
        <v>0</v>
      </c>
      <c r="M37" s="36">
        <f t="shared" si="29"/>
        <v>0</v>
      </c>
      <c r="N37" s="36">
        <f>IF($G37="s-curve",$E37+($F37-$E37)*$L$2/(1+EXP($L$3*(COUNT($L$9:N$9)+$L$4))),TREND($E37:$F37,$E$9:$F$9,N$9))</f>
        <v>0</v>
      </c>
      <c r="O37" s="36">
        <f>IF($G37="s-curve",$E37+($F37-$E37)*$L$2/(1+EXP($L$3*(COUNT($L$9:O$9)+$L$4))),TREND($E37:$F37,$E$9:$F$9,O$9))</f>
        <v>0</v>
      </c>
      <c r="P37" s="36">
        <f>IF($G37="s-curve",$E37+($F37-$E37)*$L$2/(1+EXP($L$3*(COUNT($L$9:P$9)+$L$4))),TREND($E37:$F37,$E$9:$F$9,P$9))</f>
        <v>0</v>
      </c>
      <c r="Q37" s="36">
        <f>IF($G37="s-curve",$E37+($F37-$E37)*$L$2/(1+EXP($L$3*(COUNT($L$9:Q$9)+$L$4))),TREND($E37:$F37,$E$9:$F$9,Q$9))</f>
        <v>0</v>
      </c>
      <c r="R37" s="36">
        <f>IF($G37="s-curve",$E37+($F37-$E37)*$L$2/(1+EXP($L$3*(COUNT($L$9:R$9)+$L$4))),TREND($E37:$F37,$E$9:$F$9,R$9))</f>
        <v>0</v>
      </c>
      <c r="S37" s="36">
        <f>IF($G37="s-curve",$E37+($F37-$E37)*$L$2/(1+EXP($L$3*(COUNT($L$9:S$9)+$L$4))),TREND($E37:$F37,$E$9:$F$9,S$9))</f>
        <v>0</v>
      </c>
      <c r="T37" s="36">
        <f>IF($G37="s-curve",$E37+($F37-$E37)*$L$2/(1+EXP($L$3*(COUNT($L$9:T$9)+$L$4))),TREND($E37:$F37,$E$9:$F$9,T$9))</f>
        <v>0</v>
      </c>
      <c r="U37" s="36">
        <f>IF($G37="s-curve",$E37+($F37-$E37)*$L$2/(1+EXP($L$3*(COUNT($L$9:U$9)+$L$4))),TREND($E37:$F37,$E$9:$F$9,U$9))</f>
        <v>0</v>
      </c>
      <c r="V37" s="36">
        <f>IF($G37="s-curve",$E37+($F37-$E37)*$L$2/(1+EXP($L$3*(COUNT($L$9:V$9)+$L$4))),TREND($E37:$F37,$E$9:$F$9,V$9))</f>
        <v>0</v>
      </c>
      <c r="W37" s="36">
        <f>IF($G37="s-curve",$E37+($F37-$E37)*$L$2/(1+EXP($L$3*(COUNT($L$9:W$9)+$L$4))),TREND($E37:$F37,$E$9:$F$9,W$9))</f>
        <v>0</v>
      </c>
      <c r="X37" s="36">
        <f>IF($G37="s-curve",$E37+($F37-$E37)*$L$2/(1+EXP($L$3*(COUNT($L$9:X$9)+$L$4))),TREND($E37:$F37,$E$9:$F$9,X$9))</f>
        <v>0</v>
      </c>
      <c r="Y37" s="36">
        <f>IF($G37="s-curve",$E37+($F37-$E37)*$L$2/(1+EXP($L$3*(COUNT($L$9:Y$9)+$L$4))),TREND($E37:$F37,$E$9:$F$9,Y$9))</f>
        <v>0</v>
      </c>
      <c r="Z37" s="36">
        <f>IF($G37="s-curve",$E37+($F37-$E37)*$L$2/(1+EXP($L$3*(COUNT($L$9:Z$9)+$L$4))),TREND($E37:$F37,$E$9:$F$9,Z$9))</f>
        <v>0</v>
      </c>
      <c r="AA37" s="36">
        <f>IF($G37="s-curve",$E37+($F37-$E37)*$L$2/(1+EXP($L$3*(COUNT($L$9:AA$9)+$L$4))),TREND($E37:$F37,$E$9:$F$9,AA$9))</f>
        <v>0</v>
      </c>
      <c r="AB37" s="36">
        <f>IF($G37="s-curve",$E37+($F37-$E37)*$L$2/(1+EXP($L$3*(COUNT($L$9:AB$9)+$L$4))),TREND($E37:$F37,$E$9:$F$9,AB$9))</f>
        <v>0</v>
      </c>
      <c r="AC37" s="36">
        <f>IF($G37="s-curve",$E37+($F37-$E37)*$L$2/(1+EXP($L$3*(COUNT($L$9:AC$9)+$L$4))),TREND($E37:$F37,$E$9:$F$9,AC$9))</f>
        <v>0</v>
      </c>
      <c r="AD37" s="36">
        <f>IF($G37="s-curve",$E37+($F37-$E37)*$L$2/(1+EXP($L$3*(COUNT($L$9:AD$9)+$L$4))),TREND($E37:$F37,$E$9:$F$9,AD$9))</f>
        <v>0</v>
      </c>
      <c r="AE37" s="36">
        <f>IF($G37="s-curve",$E37+($F37-$E37)*$L$2/(1+EXP($L$3*(COUNT($L$9:AE$9)+$L$4))),TREND($E37:$F37,$E$9:$F$9,AE$9))</f>
        <v>0</v>
      </c>
      <c r="AF37" s="36">
        <f>IF($G37="s-curve",$E37+($F37-$E37)*$L$2/(1+EXP($L$3*(COUNT($L$9:AF$9)+$L$4))),TREND($E37:$F37,$E$9:$F$9,AF$9))</f>
        <v>0</v>
      </c>
      <c r="AG37" s="36">
        <f>IF($G37="s-curve",$E37+($F37-$E37)*$L$2/(1+EXP($L$3*(COUNT($L$9:AG$9)+$L$4))),TREND($E37:$F37,$E$9:$F$9,AG$9))</f>
        <v>0</v>
      </c>
      <c r="AH37" s="36">
        <f>IF($G37="s-curve",$E37+($F37-$E37)*$L$2/(1+EXP($L$3*(COUNT($L$9:AH$9)+$L$4))),TREND($E37:$F37,$E$9:$F$9,AH$9))</f>
        <v>0</v>
      </c>
      <c r="AI37" s="36">
        <f>IF($G37="s-curve",$E37+($F37-$E37)*$L$2/(1+EXP($L$3*(COUNT($L$9:AI$9)+$L$4))),TREND($E37:$F37,$E$9:$F$9,AI$9))</f>
        <v>0</v>
      </c>
      <c r="AJ37" s="36">
        <f>IF($G37="s-curve",$E37+($F37-$E37)*$L$2/(1+EXP($L$3*(COUNT($L$9:AJ$9)+$L$4))),TREND($E37:$F37,$E$9:$F$9,AJ$9))</f>
        <v>0</v>
      </c>
      <c r="AK37" s="36">
        <f>IF($G37="s-curve",$E37+($F37-$E37)*$L$2/(1+EXP($L$3*(COUNT($L$9:AK$9)+$L$4))),TREND($E37:$F37,$E$9:$F$9,AK$9))</f>
        <v>0</v>
      </c>
      <c r="AL37" s="36">
        <f>IF($G37="s-curve",$E37+($F37-$E37)*$L$2/(1+EXP($L$3*(COUNT($L$9:AL$9)+$L$4))),TREND($E37:$F37,$E$9:$F$9,AL$9))</f>
        <v>0</v>
      </c>
      <c r="AM37" s="36">
        <f>IF($G37="s-curve",$E37+($F37-$E37)*$L$2/(1+EXP($L$3*(COUNT($L$9:AM$9)+$L$4))),TREND($E37:$F37,$E$9:$F$9,AM$9))</f>
        <v>0</v>
      </c>
      <c r="AN37" s="36">
        <f>IF($G37="s-curve",$E37+($F37-$E37)*$L$2/(1+EXP($L$3*(COUNT($L$9:AN$9)+$L$4))),TREND($E37:$F37,$E$9:$F$9,AN$9))</f>
        <v>0</v>
      </c>
      <c r="AO37" s="36">
        <f>IF($G37="s-curve",$E37+($F37-$E37)*$L$2/(1+EXP($L$3*(COUNT($L$9:AO$9)+$L$4))),TREND($E37:$F37,$E$9:$F$9,AO$9))</f>
        <v>0</v>
      </c>
      <c r="AP37" s="36">
        <f>IF($G37="s-curve",$E37+($F37-$E37)*$L$2/(1+EXP($L$3*(COUNT($L$9:AP$9)+$L$4))),TREND($E37:$F37,$E$9:$F$9,AP$9))</f>
        <v>0</v>
      </c>
      <c r="AQ37" s="36">
        <f>IF($G37="s-curve",$E37+($F37-$E37)*$L$2/(1+EXP($L$3*(COUNT($L$9:AQ$9)+$L$4))),TREND($E37:$F37,$E$9:$F$9,AQ$9))</f>
        <v>0</v>
      </c>
      <c r="AR37" s="36">
        <f>IF($G37="s-curve",$E37+($F37-$E37)*$L$2/(1+EXP($L$3*(COUNT($L$9:AR$9)+$L$4))),TREND($E37:$F37,$E$9:$F$9,AR$9))</f>
        <v>0</v>
      </c>
      <c r="AS37" s="36">
        <f>IF($G37="s-curve",$E37+($F37-$E37)*$L$2/(1+EXP($L$3*(COUNT($L$9:AS$9)+$L$4))),TREND($E37:$F37,$E$9:$F$9,AS$9))</f>
        <v>0</v>
      </c>
      <c r="AT37" s="36">
        <f>IF($G37="s-curve",$E37+($F37-$E37)*$L$2/(1+EXP($L$3*(COUNT($L$9:AT$9)+$L$4))),TREND($E37:$F37,$E$9:$F$9,AT$9))</f>
        <v>0</v>
      </c>
      <c r="AU37" s="36">
        <f>IF($G37="s-curve",$E37+($F37-$E37)*$L$2/(1+EXP($L$3*(COUNT($L$9:AU$9)+$L$4))),TREND($E37:$F37,$E$9:$F$9,AU$9))</f>
        <v>0</v>
      </c>
      <c r="AV37" s="36">
        <f>IF($G37="s-curve",$E37+($F37-$E37)*$L$2/(1+EXP($L$3*(COUNT($L$9:AV$9)+$L$4))),TREND($E37:$F37,$E$9:$F$9,AV$9))</f>
        <v>0</v>
      </c>
      <c r="AW37" s="36">
        <f>IF($G37="s-curve",$E37+($F37-$E37)*$L$2/(1+EXP($L$3*(COUNT($L$9:AW$9)+$L$4))),TREND($E37:$F37,$E$9:$F$9,AW$9))</f>
        <v>0</v>
      </c>
      <c r="AX37" s="36">
        <f>IF($G37="s-curve",$E37+($F37-$E37)*$L$2/(1+EXP($L$3*(COUNT($L$9:AX$9)+$L$4))),TREND($E37:$F37,$E$9:$F$9,AX$9))</f>
        <v>0</v>
      </c>
      <c r="AY37" s="36">
        <f>IF($G37="s-curve",$E37+($F37-$E37)*$L$2/(1+EXP($L$3*(COUNT($L$9:AY$9)+$L$4))),TREND($E37:$F37,$E$9:$F$9,AY$9))</f>
        <v>0</v>
      </c>
      <c r="AZ37" s="36">
        <f>IF($G37="s-curve",$E37+($F37-$E37)*$L$2/(1+EXP($L$3*(COUNT($L$9:AZ$9)+$L$4))),TREND($E37:$F37,$E$9:$F$9,AZ$9))</f>
        <v>0</v>
      </c>
      <c r="BA37" s="36">
        <f>IF($G37="s-curve",$E37+($F37-$E37)*$L$2/(1+EXP($L$3*(COUNT($L$9:BA$9)+$L$4))),TREND($E37:$F37,$E$9:$F$9,BA$9))</f>
        <v>0</v>
      </c>
      <c r="BB37" s="36">
        <f>IF($G37="s-curve",$E37+($F37-$E37)*$L$2/(1+EXP($L$3*(COUNT($L$9:BB$9)+$L$4))),TREND($E37:$F37,$E$9:$F$9,BB$9))</f>
        <v>0</v>
      </c>
      <c r="BC37" s="36">
        <f>IF($G37="s-curve",$E37+($F37-$E37)*$L$2/(1+EXP($L$3*(COUNT($L$9:BC$9)+$L$4))),TREND($E37:$F37,$E$9:$F$9,BC$9))</f>
        <v>0</v>
      </c>
      <c r="BD37" s="36">
        <f>IF($G37="s-curve",$E37+($F37-$E37)*$L$2/(1+EXP($L$3*(COUNT($L$9:BD$9)+$L$4))),TREND($E37:$F37,$E$9:$F$9,BD$9))</f>
        <v>0</v>
      </c>
      <c r="BE37" s="36">
        <f>IF($G37="s-curve",$E37+($F37-$E37)*$L$2/(1+EXP($L$3*(COUNT($L$9:BE$9)+$L$4))),TREND($E37:$F37,$E$9:$F$9,BE$9))</f>
        <v>0</v>
      </c>
      <c r="BF37" s="36">
        <f>IF($G37="s-curve",$E37+($F37-$E37)*$L$2/(1+EXP($L$3*(COUNT($L$9:BF$9)+$L$4))),TREND($E37:$F37,$E$9:$F$9,BF$9))</f>
        <v>0</v>
      </c>
    </row>
    <row r="38" spans="1:5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H38" s="33"/>
      <c r="I38">
        <f t="shared" si="22"/>
        <v>0</v>
      </c>
      <c r="J38">
        <f t="shared" si="22"/>
        <v>0</v>
      </c>
      <c r="K38">
        <f t="shared" si="22"/>
        <v>0</v>
      </c>
      <c r="L38" s="36">
        <f t="shared" si="23"/>
        <v>0</v>
      </c>
      <c r="M38" s="36">
        <f>IF($G38="s-curve",$E38+($F38-$E38)*$L$2/(1+EXP($L$3*(COUNT($L$9:M$9)+$L$4))),TREND($E38:$F38,$E$9:$F$9,M$9))</f>
        <v>0</v>
      </c>
      <c r="N38" s="36">
        <f>IF($G38="s-curve",$E38+($F38-$E38)*$L$2/(1+EXP($L$3*(COUNT($L$9:N$9)+$L$4))),TREND($E38:$F38,$E$9:$F$9,N$9))</f>
        <v>0</v>
      </c>
      <c r="O38" s="36">
        <f>IF($G38="s-curve",$E38+($F38-$E38)*$L$2/(1+EXP($L$3*(COUNT($L$9:O$9)+$L$4))),TREND($E38:$F38,$E$9:$F$9,O$9))</f>
        <v>0</v>
      </c>
      <c r="P38" s="36">
        <f>IF($G38="s-curve",$E38+($F38-$E38)*$L$2/(1+EXP($L$3*(COUNT($L$9:P$9)+$L$4))),TREND($E38:$F38,$E$9:$F$9,P$9))</f>
        <v>0</v>
      </c>
      <c r="Q38" s="36">
        <f>IF($G38="s-curve",$E38+($F38-$E38)*$L$2/(1+EXP($L$3*(COUNT($L$9:Q$9)+$L$4))),TREND($E38:$F38,$E$9:$F$9,Q$9))</f>
        <v>0</v>
      </c>
      <c r="R38" s="36">
        <f>IF($G38="s-curve",$E38+($F38-$E38)*$L$2/(1+EXP($L$3*(COUNT($L$9:R$9)+$L$4))),TREND($E38:$F38,$E$9:$F$9,R$9))</f>
        <v>0</v>
      </c>
      <c r="S38" s="36">
        <f>IF($G38="s-curve",$E38+($F38-$E38)*$L$2/(1+EXP($L$3*(COUNT($L$9:S$9)+$L$4))),TREND($E38:$F38,$E$9:$F$9,S$9))</f>
        <v>0</v>
      </c>
      <c r="T38" s="36">
        <f>IF($G38="s-curve",$E38+($F38-$E38)*$L$2/(1+EXP($L$3*(COUNT($L$9:T$9)+$L$4))),TREND($E38:$F38,$E$9:$F$9,T$9))</f>
        <v>0</v>
      </c>
      <c r="U38" s="36">
        <f>IF($G38="s-curve",$E38+($F38-$E38)*$L$2/(1+EXP($L$3*(COUNT($L$9:U$9)+$L$4))),TREND($E38:$F38,$E$9:$F$9,U$9))</f>
        <v>0</v>
      </c>
      <c r="V38" s="36">
        <f>IF($G38="s-curve",$E38+($F38-$E38)*$L$2/(1+EXP($L$3*(COUNT($L$9:V$9)+$L$4))),TREND($E38:$F38,$E$9:$F$9,V$9))</f>
        <v>0</v>
      </c>
      <c r="W38" s="36">
        <f>IF($G38="s-curve",$E38+($F38-$E38)*$L$2/(1+EXP($L$3*(COUNT($L$9:W$9)+$L$4))),TREND($E38:$F38,$E$9:$F$9,W$9))</f>
        <v>0</v>
      </c>
      <c r="X38" s="36">
        <f>IF($G38="s-curve",$E38+($F38-$E38)*$L$2/(1+EXP($L$3*(COUNT($L$9:X$9)+$L$4))),TREND($E38:$F38,$E$9:$F$9,X$9))</f>
        <v>0</v>
      </c>
      <c r="Y38" s="36">
        <f>IF($G38="s-curve",$E38+($F38-$E38)*$L$2/(1+EXP($L$3*(COUNT($L$9:Y$9)+$L$4))),TREND($E38:$F38,$E$9:$F$9,Y$9))</f>
        <v>0</v>
      </c>
      <c r="Z38" s="36">
        <f>IF($G38="s-curve",$E38+($F38-$E38)*$L$2/(1+EXP($L$3*(COUNT($L$9:Z$9)+$L$4))),TREND($E38:$F38,$E$9:$F$9,Z$9))</f>
        <v>0</v>
      </c>
      <c r="AA38" s="36">
        <f>IF($G38="s-curve",$E38+($F38-$E38)*$L$2/(1+EXP($L$3*(COUNT($L$9:AA$9)+$L$4))),TREND($E38:$F38,$E$9:$F$9,AA$9))</f>
        <v>0</v>
      </c>
      <c r="AB38" s="36">
        <f>IF($G38="s-curve",$E38+($F38-$E38)*$L$2/(1+EXP($L$3*(COUNT($L$9:AB$9)+$L$4))),TREND($E38:$F38,$E$9:$F$9,AB$9))</f>
        <v>0</v>
      </c>
      <c r="AC38" s="36">
        <f>IF($G38="s-curve",$E38+($F38-$E38)*$L$2/(1+EXP($L$3*(COUNT($L$9:AC$9)+$L$4))),TREND($E38:$F38,$E$9:$F$9,AC$9))</f>
        <v>0</v>
      </c>
      <c r="AD38" s="36">
        <f>IF($G38="s-curve",$E38+($F38-$E38)*$L$2/(1+EXP($L$3*(COUNT($L$9:AD$9)+$L$4))),TREND($E38:$F38,$E$9:$F$9,AD$9))</f>
        <v>0</v>
      </c>
      <c r="AE38" s="36">
        <f>IF($G38="s-curve",$E38+($F38-$E38)*$L$2/(1+EXP($L$3*(COUNT($L$9:AE$9)+$L$4))),TREND($E38:$F38,$E$9:$F$9,AE$9))</f>
        <v>0</v>
      </c>
      <c r="AF38" s="36">
        <f>IF($G38="s-curve",$E38+($F38-$E38)*$L$2/(1+EXP($L$3*(COUNT($L$9:AF$9)+$L$4))),TREND($E38:$F38,$E$9:$F$9,AF$9))</f>
        <v>0</v>
      </c>
      <c r="AG38" s="36">
        <f>IF($G38="s-curve",$E38+($F38-$E38)*$L$2/(1+EXP($L$3*(COUNT($L$9:AG$9)+$L$4))),TREND($E38:$F38,$E$9:$F$9,AG$9))</f>
        <v>0</v>
      </c>
      <c r="AH38" s="36">
        <f>IF($G38="s-curve",$E38+($F38-$E38)*$L$2/(1+EXP($L$3*(COUNT($L$9:AH$9)+$L$4))),TREND($E38:$F38,$E$9:$F$9,AH$9))</f>
        <v>0</v>
      </c>
      <c r="AI38" s="36">
        <f>IF($G38="s-curve",$E38+($F38-$E38)*$L$2/(1+EXP($L$3*(COUNT($L$9:AI$9)+$L$4))),TREND($E38:$F38,$E$9:$F$9,AI$9))</f>
        <v>0</v>
      </c>
      <c r="AJ38" s="36">
        <f>IF($G38="s-curve",$E38+($F38-$E38)*$L$2/(1+EXP($L$3*(COUNT($L$9:AJ$9)+$L$4))),TREND($E38:$F38,$E$9:$F$9,AJ$9))</f>
        <v>0</v>
      </c>
      <c r="AK38" s="36">
        <f>IF($G38="s-curve",$E38+($F38-$E38)*$L$2/(1+EXP($L$3*(COUNT($L$9:AK$9)+$L$4))),TREND($E38:$F38,$E$9:$F$9,AK$9))</f>
        <v>0</v>
      </c>
      <c r="AL38" s="36">
        <f>IF($G38="s-curve",$E38+($F38-$E38)*$L$2/(1+EXP($L$3*(COUNT($L$9:AL$9)+$L$4))),TREND($E38:$F38,$E$9:$F$9,AL$9))</f>
        <v>0</v>
      </c>
      <c r="AM38" s="36">
        <f>IF($G38="s-curve",$E38+($F38-$E38)*$L$2/(1+EXP($L$3*(COUNT($L$9:AM$9)+$L$4))),TREND($E38:$F38,$E$9:$F$9,AM$9))</f>
        <v>0</v>
      </c>
      <c r="AN38" s="36">
        <f>IF($G38="s-curve",$E38+($F38-$E38)*$L$2/(1+EXP($L$3*(COUNT($L$9:AN$9)+$L$4))),TREND($E38:$F38,$E$9:$F$9,AN$9))</f>
        <v>0</v>
      </c>
      <c r="AO38" s="36">
        <f>IF($G38="s-curve",$E38+($F38-$E38)*$L$2/(1+EXP($L$3*(COUNT($L$9:AO$9)+$L$4))),TREND($E38:$F38,$E$9:$F$9,AO$9))</f>
        <v>0</v>
      </c>
      <c r="AP38" s="36">
        <f>IF($G38="s-curve",$E38+($F38-$E38)*$L$2/(1+EXP($L$3*(COUNT($L$9:AP$9)+$L$4))),TREND($E38:$F38,$E$9:$F$9,AP$9))</f>
        <v>0</v>
      </c>
      <c r="AQ38" s="36">
        <f>IF($G38="s-curve",$E38+($F38-$E38)*$L$2/(1+EXP($L$3*(COUNT($L$9:AQ$9)+$L$4))),TREND($E38:$F38,$E$9:$F$9,AQ$9))</f>
        <v>0</v>
      </c>
      <c r="AR38" s="36">
        <f>IF($G38="s-curve",$E38+($F38-$E38)*$L$2/(1+EXP($L$3*(COUNT($L$9:AR$9)+$L$4))),TREND($E38:$F38,$E$9:$F$9,AR$9))</f>
        <v>0</v>
      </c>
      <c r="AS38" s="36">
        <f>IF($G38="s-curve",$E38+($F38-$E38)*$L$2/(1+EXP($L$3*(COUNT($L$9:AS$9)+$L$4))),TREND($E38:$F38,$E$9:$F$9,AS$9))</f>
        <v>0</v>
      </c>
      <c r="AT38" s="36">
        <f>IF($G38="s-curve",$E38+($F38-$E38)*$L$2/(1+EXP($L$3*(COUNT($L$9:AT$9)+$L$4))),TREND($E38:$F38,$E$9:$F$9,AT$9))</f>
        <v>0</v>
      </c>
      <c r="AU38" s="36">
        <f>IF($G38="s-curve",$E38+($F38-$E38)*$L$2/(1+EXP($L$3*(COUNT($L$9:AU$9)+$L$4))),TREND($E38:$F38,$E$9:$F$9,AU$9))</f>
        <v>0</v>
      </c>
      <c r="AV38" s="36">
        <f>IF($G38="s-curve",$E38+($F38-$E38)*$L$2/(1+EXP($L$3*(COUNT($L$9:AV$9)+$L$4))),TREND($E38:$F38,$E$9:$F$9,AV$9))</f>
        <v>0</v>
      </c>
      <c r="AW38" s="36">
        <f>IF($G38="s-curve",$E38+($F38-$E38)*$L$2/(1+EXP($L$3*(COUNT($L$9:AW$9)+$L$4))),TREND($E38:$F38,$E$9:$F$9,AW$9))</f>
        <v>0</v>
      </c>
      <c r="AX38" s="36">
        <f>IF($G38="s-curve",$E38+($F38-$E38)*$L$2/(1+EXP($L$3*(COUNT($L$9:AX$9)+$L$4))),TREND($E38:$F38,$E$9:$F$9,AX$9))</f>
        <v>0</v>
      </c>
      <c r="AY38" s="36">
        <f>IF($G38="s-curve",$E38+($F38-$E38)*$L$2/(1+EXP($L$3*(COUNT($L$9:AY$9)+$L$4))),TREND($E38:$F38,$E$9:$F$9,AY$9))</f>
        <v>0</v>
      </c>
      <c r="AZ38" s="36">
        <f>IF($G38="s-curve",$E38+($F38-$E38)*$L$2/(1+EXP($L$3*(COUNT($L$9:AZ$9)+$L$4))),TREND($E38:$F38,$E$9:$F$9,AZ$9))</f>
        <v>0</v>
      </c>
      <c r="BA38" s="36">
        <f>IF($G38="s-curve",$E38+($F38-$E38)*$L$2/(1+EXP($L$3*(COUNT($L$9:BA$9)+$L$4))),TREND($E38:$F38,$E$9:$F$9,BA$9))</f>
        <v>0</v>
      </c>
      <c r="BB38" s="36">
        <f>IF($G38="s-curve",$E38+($F38-$E38)*$L$2/(1+EXP($L$3*(COUNT($L$9:BB$9)+$L$4))),TREND($E38:$F38,$E$9:$F$9,BB$9))</f>
        <v>0</v>
      </c>
      <c r="BC38" s="36">
        <f>IF($G38="s-curve",$E38+($F38-$E38)*$L$2/(1+EXP($L$3*(COUNT($L$9:BC$9)+$L$4))),TREND($E38:$F38,$E$9:$F$9,BC$9))</f>
        <v>0</v>
      </c>
      <c r="BD38" s="36">
        <f>IF($G38="s-curve",$E38+($F38-$E38)*$L$2/(1+EXP($L$3*(COUNT($L$9:BD$9)+$L$4))),TREND($E38:$F38,$E$9:$F$9,BD$9))</f>
        <v>0</v>
      </c>
      <c r="BE38" s="36">
        <f>IF($G38="s-curve",$E38+($F38-$E38)*$L$2/(1+EXP($L$3*(COUNT($L$9:BE$9)+$L$4))),TREND($E38:$F38,$E$9:$F$9,BE$9))</f>
        <v>0</v>
      </c>
      <c r="BF38" s="36">
        <f>IF($G38="s-curve",$E38+($F38-$E38)*$L$2/(1+EXP($L$3*(COUNT($L$9:BF$9)+$L$4))),TREND($E38:$F38,$E$9:$F$9,BF$9))</f>
        <v>0</v>
      </c>
    </row>
    <row r="39" spans="1:58" x14ac:dyDescent="0.25">
      <c r="C39" t="s">
        <v>2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H39" s="33"/>
      <c r="I39">
        <f t="shared" si="22"/>
        <v>0</v>
      </c>
      <c r="J39">
        <f t="shared" si="22"/>
        <v>0</v>
      </c>
      <c r="K39">
        <f t="shared" si="22"/>
        <v>0</v>
      </c>
      <c r="L39" s="36">
        <f t="shared" si="23"/>
        <v>0</v>
      </c>
      <c r="M39" s="36">
        <f>IF($G39="s-curve",$E39+($F39-$E39)*$L$2/(1+EXP($L$3*(COUNT($L$9:M$9)+$L$4))),TREND($E39:$F39,$E$9:$F$9,M$9))</f>
        <v>0</v>
      </c>
      <c r="N39" s="36">
        <f>IF($G39="s-curve",$E39+($F39-$E39)*$L$2/(1+EXP($L$3*(COUNT($L$9:N$9)+$L$4))),TREND($E39:$F39,$E$9:$F$9,N$9))</f>
        <v>0</v>
      </c>
      <c r="O39" s="36">
        <f>IF($G39="s-curve",$E39+($F39-$E39)*$L$2/(1+EXP($L$3*(COUNT($L$9:O$9)+$L$4))),TREND($E39:$F39,$E$9:$F$9,O$9))</f>
        <v>0</v>
      </c>
      <c r="P39" s="36">
        <f>IF($G39="s-curve",$E39+($F39-$E39)*$L$2/(1+EXP($L$3*(COUNT($L$9:P$9)+$L$4))),TREND($E39:$F39,$E$9:$F$9,P$9))</f>
        <v>0</v>
      </c>
      <c r="Q39" s="36">
        <f>IF($G39="s-curve",$E39+($F39-$E39)*$L$2/(1+EXP($L$3*(COUNT($L$9:Q$9)+$L$4))),TREND($E39:$F39,$E$9:$F$9,Q$9))</f>
        <v>0</v>
      </c>
      <c r="R39" s="36">
        <f>IF($G39="s-curve",$E39+($F39-$E39)*$L$2/(1+EXP($L$3*(COUNT($L$9:R$9)+$L$4))),TREND($E39:$F39,$E$9:$F$9,R$9))</f>
        <v>0</v>
      </c>
      <c r="S39" s="36">
        <f>IF($G39="s-curve",$E39+($F39-$E39)*$L$2/(1+EXP($L$3*(COUNT($L$9:S$9)+$L$4))),TREND($E39:$F39,$E$9:$F$9,S$9))</f>
        <v>0</v>
      </c>
      <c r="T39" s="36">
        <f>IF($G39="s-curve",$E39+($F39-$E39)*$L$2/(1+EXP($L$3*(COUNT($L$9:T$9)+$L$4))),TREND($E39:$F39,$E$9:$F$9,T$9))</f>
        <v>0</v>
      </c>
      <c r="U39" s="36">
        <f>IF($G39="s-curve",$E39+($F39-$E39)*$L$2/(1+EXP($L$3*(COUNT($L$9:U$9)+$L$4))),TREND($E39:$F39,$E$9:$F$9,U$9))</f>
        <v>0</v>
      </c>
      <c r="V39" s="36">
        <f>IF($G39="s-curve",$E39+($F39-$E39)*$L$2/(1+EXP($L$3*(COUNT($L$9:V$9)+$L$4))),TREND($E39:$F39,$E$9:$F$9,V$9))</f>
        <v>0</v>
      </c>
      <c r="W39" s="36">
        <f>IF($G39="s-curve",$E39+($F39-$E39)*$L$2/(1+EXP($L$3*(COUNT($L$9:W$9)+$L$4))),TREND($E39:$F39,$E$9:$F$9,W$9))</f>
        <v>0</v>
      </c>
      <c r="X39" s="36">
        <f>IF($G39="s-curve",$E39+($F39-$E39)*$L$2/(1+EXP($L$3*(COUNT($L$9:X$9)+$L$4))),TREND($E39:$F39,$E$9:$F$9,X$9))</f>
        <v>0</v>
      </c>
      <c r="Y39" s="36">
        <f>IF($G39="s-curve",$E39+($F39-$E39)*$L$2/(1+EXP($L$3*(COUNT($L$9:Y$9)+$L$4))),TREND($E39:$F39,$E$9:$F$9,Y$9))</f>
        <v>0</v>
      </c>
      <c r="Z39" s="36">
        <f>IF($G39="s-curve",$E39+($F39-$E39)*$L$2/(1+EXP($L$3*(COUNT($L$9:Z$9)+$L$4))),TREND($E39:$F39,$E$9:$F$9,Z$9))</f>
        <v>0</v>
      </c>
      <c r="AA39" s="36">
        <f>IF($G39="s-curve",$E39+($F39-$E39)*$L$2/(1+EXP($L$3*(COUNT($L$9:AA$9)+$L$4))),TREND($E39:$F39,$E$9:$F$9,AA$9))</f>
        <v>0</v>
      </c>
      <c r="AB39" s="36">
        <f>IF($G39="s-curve",$E39+($F39-$E39)*$L$2/(1+EXP($L$3*(COUNT($L$9:AB$9)+$L$4))),TREND($E39:$F39,$E$9:$F$9,AB$9))</f>
        <v>0</v>
      </c>
      <c r="AC39" s="36">
        <f>IF($G39="s-curve",$E39+($F39-$E39)*$L$2/(1+EXP($L$3*(COUNT($L$9:AC$9)+$L$4))),TREND($E39:$F39,$E$9:$F$9,AC$9))</f>
        <v>0</v>
      </c>
      <c r="AD39" s="36">
        <f>IF($G39="s-curve",$E39+($F39-$E39)*$L$2/(1+EXP($L$3*(COUNT($L$9:AD$9)+$L$4))),TREND($E39:$F39,$E$9:$F$9,AD$9))</f>
        <v>0</v>
      </c>
      <c r="AE39" s="36">
        <f>IF($G39="s-curve",$E39+($F39-$E39)*$L$2/(1+EXP($L$3*(COUNT($L$9:AE$9)+$L$4))),TREND($E39:$F39,$E$9:$F$9,AE$9))</f>
        <v>0</v>
      </c>
      <c r="AF39" s="36">
        <f>IF($G39="s-curve",$E39+($F39-$E39)*$L$2/(1+EXP($L$3*(COUNT($L$9:AF$9)+$L$4))),TREND($E39:$F39,$E$9:$F$9,AF$9))</f>
        <v>0</v>
      </c>
      <c r="AG39" s="36">
        <f>IF($G39="s-curve",$E39+($F39-$E39)*$L$2/(1+EXP($L$3*(COUNT($L$9:AG$9)+$L$4))),TREND($E39:$F39,$E$9:$F$9,AG$9))</f>
        <v>0</v>
      </c>
      <c r="AH39" s="36">
        <f>IF($G39="s-curve",$E39+($F39-$E39)*$L$2/(1+EXP($L$3*(COUNT($L$9:AH$9)+$L$4))),TREND($E39:$F39,$E$9:$F$9,AH$9))</f>
        <v>0</v>
      </c>
      <c r="AI39" s="36">
        <f>IF($G39="s-curve",$E39+($F39-$E39)*$L$2/(1+EXP($L$3*(COUNT($L$9:AI$9)+$L$4))),TREND($E39:$F39,$E$9:$F$9,AI$9))</f>
        <v>0</v>
      </c>
      <c r="AJ39" s="36">
        <f>IF($G39="s-curve",$E39+($F39-$E39)*$L$2/(1+EXP($L$3*(COUNT($L$9:AJ$9)+$L$4))),TREND($E39:$F39,$E$9:$F$9,AJ$9))</f>
        <v>0</v>
      </c>
      <c r="AK39" s="36">
        <f>IF($G39="s-curve",$E39+($F39-$E39)*$L$2/(1+EXP($L$3*(COUNT($L$9:AK$9)+$L$4))),TREND($E39:$F39,$E$9:$F$9,AK$9))</f>
        <v>0</v>
      </c>
      <c r="AL39" s="36">
        <f>IF($G39="s-curve",$E39+($F39-$E39)*$L$2/(1+EXP($L$3*(COUNT($L$9:AL$9)+$L$4))),TREND($E39:$F39,$E$9:$F$9,AL$9))</f>
        <v>0</v>
      </c>
      <c r="AM39" s="36">
        <f>IF($G39="s-curve",$E39+($F39-$E39)*$L$2/(1+EXP($L$3*(COUNT($L$9:AM$9)+$L$4))),TREND($E39:$F39,$E$9:$F$9,AM$9))</f>
        <v>0</v>
      </c>
      <c r="AN39" s="36">
        <f>IF($G39="s-curve",$E39+($F39-$E39)*$L$2/(1+EXP($L$3*(COUNT($L$9:AN$9)+$L$4))),TREND($E39:$F39,$E$9:$F$9,AN$9))</f>
        <v>0</v>
      </c>
      <c r="AO39" s="36">
        <f>IF($G39="s-curve",$E39+($F39-$E39)*$L$2/(1+EXP($L$3*(COUNT($L$9:AO$9)+$L$4))),TREND($E39:$F39,$E$9:$F$9,AO$9))</f>
        <v>0</v>
      </c>
      <c r="AP39" s="36">
        <f>IF($G39="s-curve",$E39+($F39-$E39)*$L$2/(1+EXP($L$3*(COUNT($L$9:AP$9)+$L$4))),TREND($E39:$F39,$E$9:$F$9,AP$9))</f>
        <v>0</v>
      </c>
      <c r="AQ39" s="36">
        <f>IF($G39="s-curve",$E39+($F39-$E39)*$L$2/(1+EXP($L$3*(COUNT($L$9:AQ$9)+$L$4))),TREND($E39:$F39,$E$9:$F$9,AQ$9))</f>
        <v>0</v>
      </c>
      <c r="AR39" s="36">
        <f>IF($G39="s-curve",$E39+($F39-$E39)*$L$2/(1+EXP($L$3*(COUNT($L$9:AR$9)+$L$4))),TREND($E39:$F39,$E$9:$F$9,AR$9))</f>
        <v>0</v>
      </c>
      <c r="AS39" s="36">
        <f>IF($G39="s-curve",$E39+($F39-$E39)*$L$2/(1+EXP($L$3*(COUNT($L$9:AS$9)+$L$4))),TREND($E39:$F39,$E$9:$F$9,AS$9))</f>
        <v>0</v>
      </c>
      <c r="AT39" s="36">
        <f>IF($G39="s-curve",$E39+($F39-$E39)*$L$2/(1+EXP($L$3*(COUNT($L$9:AT$9)+$L$4))),TREND($E39:$F39,$E$9:$F$9,AT$9))</f>
        <v>0</v>
      </c>
      <c r="AU39" s="36">
        <f>IF($G39="s-curve",$E39+($F39-$E39)*$L$2/(1+EXP($L$3*(COUNT($L$9:AU$9)+$L$4))),TREND($E39:$F39,$E$9:$F$9,AU$9))</f>
        <v>0</v>
      </c>
      <c r="AV39" s="36">
        <f>IF($G39="s-curve",$E39+($F39-$E39)*$L$2/(1+EXP($L$3*(COUNT($L$9:AV$9)+$L$4))),TREND($E39:$F39,$E$9:$F$9,AV$9))</f>
        <v>0</v>
      </c>
      <c r="AW39" s="36">
        <f>IF($G39="s-curve",$E39+($F39-$E39)*$L$2/(1+EXP($L$3*(COUNT($L$9:AW$9)+$L$4))),TREND($E39:$F39,$E$9:$F$9,AW$9))</f>
        <v>0</v>
      </c>
      <c r="AX39" s="36">
        <f>IF($G39="s-curve",$E39+($F39-$E39)*$L$2/(1+EXP($L$3*(COUNT($L$9:AX$9)+$L$4))),TREND($E39:$F39,$E$9:$F$9,AX$9))</f>
        <v>0</v>
      </c>
      <c r="AY39" s="36">
        <f>IF($G39="s-curve",$E39+($F39-$E39)*$L$2/(1+EXP($L$3*(COUNT($L$9:AY$9)+$L$4))),TREND($E39:$F39,$E$9:$F$9,AY$9))</f>
        <v>0</v>
      </c>
      <c r="AZ39" s="36">
        <f>IF($G39="s-curve",$E39+($F39-$E39)*$L$2/(1+EXP($L$3*(COUNT($L$9:AZ$9)+$L$4))),TREND($E39:$F39,$E$9:$F$9,AZ$9))</f>
        <v>0</v>
      </c>
      <c r="BA39" s="36">
        <f>IF($G39="s-curve",$E39+($F39-$E39)*$L$2/(1+EXP($L$3*(COUNT($L$9:BA$9)+$L$4))),TREND($E39:$F39,$E$9:$F$9,BA$9))</f>
        <v>0</v>
      </c>
      <c r="BB39" s="36">
        <f>IF($G39="s-curve",$E39+($F39-$E39)*$L$2/(1+EXP($L$3*(COUNT($L$9:BB$9)+$L$4))),TREND($E39:$F39,$E$9:$F$9,BB$9))</f>
        <v>0</v>
      </c>
      <c r="BC39" s="36">
        <f>IF($G39="s-curve",$E39+($F39-$E39)*$L$2/(1+EXP($L$3*(COUNT($L$9:BC$9)+$L$4))),TREND($E39:$F39,$E$9:$F$9,BC$9))</f>
        <v>0</v>
      </c>
      <c r="BD39" s="36">
        <f>IF($G39="s-curve",$E39+($F39-$E39)*$L$2/(1+EXP($L$3*(COUNT($L$9:BD$9)+$L$4))),TREND($E39:$F39,$E$9:$F$9,BD$9))</f>
        <v>0</v>
      </c>
      <c r="BE39" s="36">
        <f>IF($G39="s-curve",$E39+($F39-$E39)*$L$2/(1+EXP($L$3*(COUNT($L$9:BE$9)+$L$4))),TREND($E39:$F39,$E$9:$F$9,BE$9))</f>
        <v>0</v>
      </c>
      <c r="BF39" s="36">
        <f>IF($G39="s-curve",$E39+($F39-$E39)*$L$2/(1+EXP($L$3*(COUNT($L$9:BF$9)+$L$4))),TREND($E39:$F39,$E$9:$F$9,BF$9))</f>
        <v>0</v>
      </c>
    </row>
    <row r="40" spans="1:58" x14ac:dyDescent="0.25">
      <c r="C40" t="s">
        <v>3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H40" s="33"/>
      <c r="I40">
        <f t="shared" si="22"/>
        <v>0</v>
      </c>
      <c r="J40">
        <f t="shared" si="22"/>
        <v>0</v>
      </c>
      <c r="K40">
        <f t="shared" si="22"/>
        <v>0</v>
      </c>
      <c r="L40" s="36">
        <f t="shared" si="23"/>
        <v>0</v>
      </c>
      <c r="M40" s="36">
        <f>IF($G40="s-curve",$E40+($F40-$E40)*$L$2/(1+EXP($L$3*(COUNT($L$9:M$9)+$L$4))),TREND($E40:$F40,$E$9:$F$9,M$9))</f>
        <v>0</v>
      </c>
      <c r="N40" s="36">
        <f>IF($G40="s-curve",$E40+($F40-$E40)*$L$2/(1+EXP($L$3*(COUNT($L$9:N$9)+$L$4))),TREND($E40:$F40,$E$9:$F$9,N$9))</f>
        <v>0</v>
      </c>
      <c r="O40" s="36">
        <f>IF($G40="s-curve",$E40+($F40-$E40)*$L$2/(1+EXP($L$3*(COUNT($L$9:O$9)+$L$4))),TREND($E40:$F40,$E$9:$F$9,O$9))</f>
        <v>0</v>
      </c>
      <c r="P40" s="36">
        <f>IF($G40="s-curve",$E40+($F40-$E40)*$L$2/(1+EXP($L$3*(COUNT($L$9:P$9)+$L$4))),TREND($E40:$F40,$E$9:$F$9,P$9))</f>
        <v>0</v>
      </c>
      <c r="Q40" s="36">
        <f>IF($G40="s-curve",$E40+($F40-$E40)*$L$2/(1+EXP($L$3*(COUNT($L$9:Q$9)+$L$4))),TREND($E40:$F40,$E$9:$F$9,Q$9))</f>
        <v>0</v>
      </c>
      <c r="R40" s="36">
        <f>IF($G40="s-curve",$E40+($F40-$E40)*$L$2/(1+EXP($L$3*(COUNT($L$9:R$9)+$L$4))),TREND($E40:$F40,$E$9:$F$9,R$9))</f>
        <v>0</v>
      </c>
      <c r="S40" s="36">
        <f>IF($G40="s-curve",$E40+($F40-$E40)*$L$2/(1+EXP($L$3*(COUNT($L$9:S$9)+$L$4))),TREND($E40:$F40,$E$9:$F$9,S$9))</f>
        <v>0</v>
      </c>
      <c r="T40" s="36">
        <f>IF($G40="s-curve",$E40+($F40-$E40)*$L$2/(1+EXP($L$3*(COUNT($L$9:T$9)+$L$4))),TREND($E40:$F40,$E$9:$F$9,T$9))</f>
        <v>0</v>
      </c>
      <c r="U40" s="36">
        <f>IF($G40="s-curve",$E40+($F40-$E40)*$L$2/(1+EXP($L$3*(COUNT($L$9:U$9)+$L$4))),TREND($E40:$F40,$E$9:$F$9,U$9))</f>
        <v>0</v>
      </c>
      <c r="V40" s="36">
        <f>IF($G40="s-curve",$E40+($F40-$E40)*$L$2/(1+EXP($L$3*(COUNT($L$9:V$9)+$L$4))),TREND($E40:$F40,$E$9:$F$9,V$9))</f>
        <v>0</v>
      </c>
      <c r="W40" s="36">
        <f>IF($G40="s-curve",$E40+($F40-$E40)*$L$2/(1+EXP($L$3*(COUNT($L$9:W$9)+$L$4))),TREND($E40:$F40,$E$9:$F$9,W$9))</f>
        <v>0</v>
      </c>
      <c r="X40" s="36">
        <f>IF($G40="s-curve",$E40+($F40-$E40)*$L$2/(1+EXP($L$3*(COUNT($L$9:X$9)+$L$4))),TREND($E40:$F40,$E$9:$F$9,X$9))</f>
        <v>0</v>
      </c>
      <c r="Y40" s="36">
        <f>IF($G40="s-curve",$E40+($F40-$E40)*$L$2/(1+EXP($L$3*(COUNT($L$9:Y$9)+$L$4))),TREND($E40:$F40,$E$9:$F$9,Y$9))</f>
        <v>0</v>
      </c>
      <c r="Z40" s="36">
        <f>IF($G40="s-curve",$E40+($F40-$E40)*$L$2/(1+EXP($L$3*(COUNT($L$9:Z$9)+$L$4))),TREND($E40:$F40,$E$9:$F$9,Z$9))</f>
        <v>0</v>
      </c>
      <c r="AA40" s="36">
        <f>IF($G40="s-curve",$E40+($F40-$E40)*$L$2/(1+EXP($L$3*(COUNT($L$9:AA$9)+$L$4))),TREND($E40:$F40,$E$9:$F$9,AA$9))</f>
        <v>0</v>
      </c>
      <c r="AB40" s="36">
        <f>IF($G40="s-curve",$E40+($F40-$E40)*$L$2/(1+EXP($L$3*(COUNT($L$9:AB$9)+$L$4))),TREND($E40:$F40,$E$9:$F$9,AB$9))</f>
        <v>0</v>
      </c>
      <c r="AC40" s="36">
        <f>IF($G40="s-curve",$E40+($F40-$E40)*$L$2/(1+EXP($L$3*(COUNT($L$9:AC$9)+$L$4))),TREND($E40:$F40,$E$9:$F$9,AC$9))</f>
        <v>0</v>
      </c>
      <c r="AD40" s="36">
        <f>IF($G40="s-curve",$E40+($F40-$E40)*$L$2/(1+EXP($L$3*(COUNT($L$9:AD$9)+$L$4))),TREND($E40:$F40,$E$9:$F$9,AD$9))</f>
        <v>0</v>
      </c>
      <c r="AE40" s="36">
        <f>IF($G40="s-curve",$E40+($F40-$E40)*$L$2/(1+EXP($L$3*(COUNT($L$9:AE$9)+$L$4))),TREND($E40:$F40,$E$9:$F$9,AE$9))</f>
        <v>0</v>
      </c>
      <c r="AF40" s="36">
        <f>IF($G40="s-curve",$E40+($F40-$E40)*$L$2/(1+EXP($L$3*(COUNT($L$9:AF$9)+$L$4))),TREND($E40:$F40,$E$9:$F$9,AF$9))</f>
        <v>0</v>
      </c>
      <c r="AG40" s="36">
        <f>IF($G40="s-curve",$E40+($F40-$E40)*$L$2/(1+EXP($L$3*(COUNT($L$9:AG$9)+$L$4))),TREND($E40:$F40,$E$9:$F$9,AG$9))</f>
        <v>0</v>
      </c>
      <c r="AH40" s="36">
        <f>IF($G40="s-curve",$E40+($F40-$E40)*$L$2/(1+EXP($L$3*(COUNT($L$9:AH$9)+$L$4))),TREND($E40:$F40,$E$9:$F$9,AH$9))</f>
        <v>0</v>
      </c>
      <c r="AI40" s="36">
        <f>IF($G40="s-curve",$E40+($F40-$E40)*$L$2/(1+EXP($L$3*(COUNT($L$9:AI$9)+$L$4))),TREND($E40:$F40,$E$9:$F$9,AI$9))</f>
        <v>0</v>
      </c>
      <c r="AJ40" s="36">
        <f>IF($G40="s-curve",$E40+($F40-$E40)*$L$2/(1+EXP($L$3*(COUNT($L$9:AJ$9)+$L$4))),TREND($E40:$F40,$E$9:$F$9,AJ$9))</f>
        <v>0</v>
      </c>
      <c r="AK40" s="36">
        <f>IF($G40="s-curve",$E40+($F40-$E40)*$L$2/(1+EXP($L$3*(COUNT($L$9:AK$9)+$L$4))),TREND($E40:$F40,$E$9:$F$9,AK$9))</f>
        <v>0</v>
      </c>
      <c r="AL40" s="36">
        <f>IF($G40="s-curve",$E40+($F40-$E40)*$L$2/(1+EXP($L$3*(COUNT($L$9:AL$9)+$L$4))),TREND($E40:$F40,$E$9:$F$9,AL$9))</f>
        <v>0</v>
      </c>
      <c r="AM40" s="36">
        <f>IF($G40="s-curve",$E40+($F40-$E40)*$L$2/(1+EXP($L$3*(COUNT($L$9:AM$9)+$L$4))),TREND($E40:$F40,$E$9:$F$9,AM$9))</f>
        <v>0</v>
      </c>
      <c r="AN40" s="36">
        <f>IF($G40="s-curve",$E40+($F40-$E40)*$L$2/(1+EXP($L$3*(COUNT($L$9:AN$9)+$L$4))),TREND($E40:$F40,$E$9:$F$9,AN$9))</f>
        <v>0</v>
      </c>
      <c r="AO40" s="36">
        <f>IF($G40="s-curve",$E40+($F40-$E40)*$L$2/(1+EXP($L$3*(COUNT($L$9:AO$9)+$L$4))),TREND($E40:$F40,$E$9:$F$9,AO$9))</f>
        <v>0</v>
      </c>
      <c r="AP40" s="36">
        <f>IF($G40="s-curve",$E40+($F40-$E40)*$L$2/(1+EXP($L$3*(COUNT($L$9:AP$9)+$L$4))),TREND($E40:$F40,$E$9:$F$9,AP$9))</f>
        <v>0</v>
      </c>
      <c r="AQ40" s="36">
        <f>IF($G40="s-curve",$E40+($F40-$E40)*$L$2/(1+EXP($L$3*(COUNT($L$9:AQ$9)+$L$4))),TREND($E40:$F40,$E$9:$F$9,AQ$9))</f>
        <v>0</v>
      </c>
      <c r="AR40" s="36">
        <f>IF($G40="s-curve",$E40+($F40-$E40)*$L$2/(1+EXP($L$3*(COUNT($L$9:AR$9)+$L$4))),TREND($E40:$F40,$E$9:$F$9,AR$9))</f>
        <v>0</v>
      </c>
      <c r="AS40" s="36">
        <f>IF($G40="s-curve",$E40+($F40-$E40)*$L$2/(1+EXP($L$3*(COUNT($L$9:AS$9)+$L$4))),TREND($E40:$F40,$E$9:$F$9,AS$9))</f>
        <v>0</v>
      </c>
      <c r="AT40" s="36">
        <f>IF($G40="s-curve",$E40+($F40-$E40)*$L$2/(1+EXP($L$3*(COUNT($L$9:AT$9)+$L$4))),TREND($E40:$F40,$E$9:$F$9,AT$9))</f>
        <v>0</v>
      </c>
      <c r="AU40" s="36">
        <f>IF($G40="s-curve",$E40+($F40-$E40)*$L$2/(1+EXP($L$3*(COUNT($L$9:AU$9)+$L$4))),TREND($E40:$F40,$E$9:$F$9,AU$9))</f>
        <v>0</v>
      </c>
      <c r="AV40" s="36">
        <f>IF($G40="s-curve",$E40+($F40-$E40)*$L$2/(1+EXP($L$3*(COUNT($L$9:AV$9)+$L$4))),TREND($E40:$F40,$E$9:$F$9,AV$9))</f>
        <v>0</v>
      </c>
      <c r="AW40" s="36">
        <f>IF($G40="s-curve",$E40+($F40-$E40)*$L$2/(1+EXP($L$3*(COUNT($L$9:AW$9)+$L$4))),TREND($E40:$F40,$E$9:$F$9,AW$9))</f>
        <v>0</v>
      </c>
      <c r="AX40" s="36">
        <f>IF($G40="s-curve",$E40+($F40-$E40)*$L$2/(1+EXP($L$3*(COUNT($L$9:AX$9)+$L$4))),TREND($E40:$F40,$E$9:$F$9,AX$9))</f>
        <v>0</v>
      </c>
      <c r="AY40" s="36">
        <f>IF($G40="s-curve",$E40+($F40-$E40)*$L$2/(1+EXP($L$3*(COUNT($L$9:AY$9)+$L$4))),TREND($E40:$F40,$E$9:$F$9,AY$9))</f>
        <v>0</v>
      </c>
      <c r="AZ40" s="36">
        <f>IF($G40="s-curve",$E40+($F40-$E40)*$L$2/(1+EXP($L$3*(COUNT($L$9:AZ$9)+$L$4))),TREND($E40:$F40,$E$9:$F$9,AZ$9))</f>
        <v>0</v>
      </c>
      <c r="BA40" s="36">
        <f>IF($G40="s-curve",$E40+($F40-$E40)*$L$2/(1+EXP($L$3*(COUNT($L$9:BA$9)+$L$4))),TREND($E40:$F40,$E$9:$F$9,BA$9))</f>
        <v>0</v>
      </c>
      <c r="BB40" s="36">
        <f>IF($G40="s-curve",$E40+($F40-$E40)*$L$2/(1+EXP($L$3*(COUNT($L$9:BB$9)+$L$4))),TREND($E40:$F40,$E$9:$F$9,BB$9))</f>
        <v>0</v>
      </c>
      <c r="BC40" s="36">
        <f>IF($G40="s-curve",$E40+($F40-$E40)*$L$2/(1+EXP($L$3*(COUNT($L$9:BC$9)+$L$4))),TREND($E40:$F40,$E$9:$F$9,BC$9))</f>
        <v>0</v>
      </c>
      <c r="BD40" s="36">
        <f>IF($G40="s-curve",$E40+($F40-$E40)*$L$2/(1+EXP($L$3*(COUNT($L$9:BD$9)+$L$4))),TREND($E40:$F40,$E$9:$F$9,BD$9))</f>
        <v>0</v>
      </c>
      <c r="BE40" s="36">
        <f>IF($G40="s-curve",$E40+($F40-$E40)*$L$2/(1+EXP($L$3*(COUNT($L$9:BE$9)+$L$4))),TREND($E40:$F40,$E$9:$F$9,BE$9))</f>
        <v>0</v>
      </c>
      <c r="BF40" s="36">
        <f>IF($G40="s-curve",$E40+($F40-$E40)*$L$2/(1+EXP($L$3*(COUNT($L$9:BF$9)+$L$4))),TREND($E40:$F40,$E$9:$F$9,BF$9))</f>
        <v>0</v>
      </c>
    </row>
    <row r="41" spans="1:58" x14ac:dyDescent="0.25">
      <c r="C41" t="s">
        <v>4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H41" s="33"/>
      <c r="I41">
        <f t="shared" si="22"/>
        <v>1</v>
      </c>
      <c r="J41">
        <f t="shared" si="22"/>
        <v>1</v>
      </c>
      <c r="K41">
        <f t="shared" si="22"/>
        <v>1</v>
      </c>
      <c r="L41" s="36">
        <f t="shared" ref="L41:L72" si="30">E41</f>
        <v>1</v>
      </c>
      <c r="M41" s="36">
        <f>IF($G41="s-curve",$E41+($F41-$E41)*$L$2/(1+EXP($L$3*(COUNT($L$9:M$9)+$L$4))),TREND($E41:$F41,$E$9:$F$9,M$9))</f>
        <v>1</v>
      </c>
      <c r="N41" s="36">
        <f>IF($G41="s-curve",$E41+($F41-$E41)*$L$2/(1+EXP($L$3*(COUNT($L$9:N$9)+$L$4))),TREND($E41:$F41,$E$9:$F$9,N$9))</f>
        <v>1</v>
      </c>
      <c r="O41" s="36">
        <f>IF($G41="s-curve",$E41+($F41-$E41)*$L$2/(1+EXP($L$3*(COUNT($L$9:O$9)+$L$4))),TREND($E41:$F41,$E$9:$F$9,O$9))</f>
        <v>1</v>
      </c>
      <c r="P41" s="36">
        <f>IF($G41="s-curve",$E41+($F41-$E41)*$L$2/(1+EXP($L$3*(COUNT($L$9:P$9)+$L$4))),TREND($E41:$F41,$E$9:$F$9,P$9))</f>
        <v>1</v>
      </c>
      <c r="Q41" s="36">
        <f>IF($G41="s-curve",$E41+($F41-$E41)*$L$2/(1+EXP($L$3*(COUNT($L$9:Q$9)+$L$4))),TREND($E41:$F41,$E$9:$F$9,Q$9))</f>
        <v>1</v>
      </c>
      <c r="R41" s="36">
        <f>IF($G41="s-curve",$E41+($F41-$E41)*$L$2/(1+EXP($L$3*(COUNT($L$9:R$9)+$L$4))),TREND($E41:$F41,$E$9:$F$9,R$9))</f>
        <v>1</v>
      </c>
      <c r="S41" s="36">
        <f>IF($G41="s-curve",$E41+($F41-$E41)*$L$2/(1+EXP($L$3*(COUNT($L$9:S$9)+$L$4))),TREND($E41:$F41,$E$9:$F$9,S$9))</f>
        <v>1</v>
      </c>
      <c r="T41" s="36">
        <f>IF($G41="s-curve",$E41+($F41-$E41)*$L$2/(1+EXP($L$3*(COUNT($L$9:T$9)+$L$4))),TREND($E41:$F41,$E$9:$F$9,T$9))</f>
        <v>1</v>
      </c>
      <c r="U41" s="36">
        <f>IF($G41="s-curve",$E41+($F41-$E41)*$L$2/(1+EXP($L$3*(COUNT($L$9:U$9)+$L$4))),TREND($E41:$F41,$E$9:$F$9,U$9))</f>
        <v>1</v>
      </c>
      <c r="V41" s="36">
        <f>IF($G41="s-curve",$E41+($F41-$E41)*$L$2/(1+EXP($L$3*(COUNT($L$9:V$9)+$L$4))),TREND($E41:$F41,$E$9:$F$9,V$9))</f>
        <v>1</v>
      </c>
      <c r="W41" s="36">
        <f>IF($G41="s-curve",$E41+($F41-$E41)*$L$2/(1+EXP($L$3*(COUNT($L$9:W$9)+$L$4))),TREND($E41:$F41,$E$9:$F$9,W$9))</f>
        <v>1</v>
      </c>
      <c r="X41" s="36">
        <f>IF($G41="s-curve",$E41+($F41-$E41)*$L$2/(1+EXP($L$3*(COUNT($L$9:X$9)+$L$4))),TREND($E41:$F41,$E$9:$F$9,X$9))</f>
        <v>1</v>
      </c>
      <c r="Y41" s="36">
        <f>IF($G41="s-curve",$E41+($F41-$E41)*$L$2/(1+EXP($L$3*(COUNT($L$9:Y$9)+$L$4))),TREND($E41:$F41,$E$9:$F$9,Y$9))</f>
        <v>1</v>
      </c>
      <c r="Z41" s="36">
        <f>IF($G41="s-curve",$E41+($F41-$E41)*$L$2/(1+EXP($L$3*(COUNT($L$9:Z$9)+$L$4))),TREND($E41:$F41,$E$9:$F$9,Z$9))</f>
        <v>1</v>
      </c>
      <c r="AA41" s="36">
        <f>IF($G41="s-curve",$E41+($F41-$E41)*$L$2/(1+EXP($L$3*(COUNT($L$9:AA$9)+$L$4))),TREND($E41:$F41,$E$9:$F$9,AA$9))</f>
        <v>1</v>
      </c>
      <c r="AB41" s="36">
        <f>IF($G41="s-curve",$E41+($F41-$E41)*$L$2/(1+EXP($L$3*(COUNT($L$9:AB$9)+$L$4))),TREND($E41:$F41,$E$9:$F$9,AB$9))</f>
        <v>1</v>
      </c>
      <c r="AC41" s="36">
        <f>IF($G41="s-curve",$E41+($F41-$E41)*$L$2/(1+EXP($L$3*(COUNT($L$9:AC$9)+$L$4))),TREND($E41:$F41,$E$9:$F$9,AC$9))</f>
        <v>1</v>
      </c>
      <c r="AD41" s="36">
        <f>IF($G41="s-curve",$E41+($F41-$E41)*$L$2/(1+EXP($L$3*(COUNT($L$9:AD$9)+$L$4))),TREND($E41:$F41,$E$9:$F$9,AD$9))</f>
        <v>1</v>
      </c>
      <c r="AE41" s="36">
        <f>IF($G41="s-curve",$E41+($F41-$E41)*$L$2/(1+EXP($L$3*(COUNT($L$9:AE$9)+$L$4))),TREND($E41:$F41,$E$9:$F$9,AE$9))</f>
        <v>1</v>
      </c>
      <c r="AF41" s="36">
        <f>IF($G41="s-curve",$E41+($F41-$E41)*$L$2/(1+EXP($L$3*(COUNT($L$9:AF$9)+$L$4))),TREND($E41:$F41,$E$9:$F$9,AF$9))</f>
        <v>1</v>
      </c>
      <c r="AG41" s="36">
        <f>IF($G41="s-curve",$E41+($F41-$E41)*$L$2/(1+EXP($L$3*(COUNT($L$9:AG$9)+$L$4))),TREND($E41:$F41,$E$9:$F$9,AG$9))</f>
        <v>1</v>
      </c>
      <c r="AH41" s="36">
        <f>IF($G41="s-curve",$E41+($F41-$E41)*$L$2/(1+EXP($L$3*(COUNT($L$9:AH$9)+$L$4))),TREND($E41:$F41,$E$9:$F$9,AH$9))</f>
        <v>1</v>
      </c>
      <c r="AI41" s="36">
        <f>IF($G41="s-curve",$E41+($F41-$E41)*$L$2/(1+EXP($L$3*(COUNT($L$9:AI$9)+$L$4))),TREND($E41:$F41,$E$9:$F$9,AI$9))</f>
        <v>1</v>
      </c>
      <c r="AJ41" s="36">
        <f>IF($G41="s-curve",$E41+($F41-$E41)*$L$2/(1+EXP($L$3*(COUNT($L$9:AJ$9)+$L$4))),TREND($E41:$F41,$E$9:$F$9,AJ$9))</f>
        <v>1</v>
      </c>
      <c r="AK41" s="36">
        <f>IF($G41="s-curve",$E41+($F41-$E41)*$L$2/(1+EXP($L$3*(COUNT($L$9:AK$9)+$L$4))),TREND($E41:$F41,$E$9:$F$9,AK$9))</f>
        <v>1</v>
      </c>
      <c r="AL41" s="36">
        <f>IF($G41="s-curve",$E41+($F41-$E41)*$L$2/(1+EXP($L$3*(COUNT($L$9:AL$9)+$L$4))),TREND($E41:$F41,$E$9:$F$9,AL$9))</f>
        <v>1</v>
      </c>
      <c r="AM41" s="36">
        <f>IF($G41="s-curve",$E41+($F41-$E41)*$L$2/(1+EXP($L$3*(COUNT($L$9:AM$9)+$L$4))),TREND($E41:$F41,$E$9:$F$9,AM$9))</f>
        <v>1</v>
      </c>
      <c r="AN41" s="36">
        <f>IF($G41="s-curve",$E41+($F41-$E41)*$L$2/(1+EXP($L$3*(COUNT($L$9:AN$9)+$L$4))),TREND($E41:$F41,$E$9:$F$9,AN$9))</f>
        <v>1</v>
      </c>
      <c r="AO41" s="36">
        <f>IF($G41="s-curve",$E41+($F41-$E41)*$L$2/(1+EXP($L$3*(COUNT($L$9:AO$9)+$L$4))),TREND($E41:$F41,$E$9:$F$9,AO$9))</f>
        <v>1</v>
      </c>
      <c r="AP41" s="36">
        <f>IF($G41="s-curve",$E41+($F41-$E41)*$L$2/(1+EXP($L$3*(COUNT($L$9:AP$9)+$L$4))),TREND($E41:$F41,$E$9:$F$9,AP$9))</f>
        <v>1</v>
      </c>
      <c r="AQ41" s="36">
        <f>IF($G41="s-curve",$E41+($F41-$E41)*$L$2/(1+EXP($L$3*(COUNT($L$9:AQ$9)+$L$4))),TREND($E41:$F41,$E$9:$F$9,AQ$9))</f>
        <v>1</v>
      </c>
      <c r="AR41" s="36">
        <f>IF($G41="s-curve",$E41+($F41-$E41)*$L$2/(1+EXP($L$3*(COUNT($L$9:AR$9)+$L$4))),TREND($E41:$F41,$E$9:$F$9,AR$9))</f>
        <v>1</v>
      </c>
      <c r="AS41" s="36">
        <f>IF($G41="s-curve",$E41+($F41-$E41)*$L$2/(1+EXP($L$3*(COUNT($L$9:AS$9)+$L$4))),TREND($E41:$F41,$E$9:$F$9,AS$9))</f>
        <v>1</v>
      </c>
      <c r="AT41" s="36">
        <f>IF($G41="s-curve",$E41+($F41-$E41)*$L$2/(1+EXP($L$3*(COUNT($L$9:AT$9)+$L$4))),TREND($E41:$F41,$E$9:$F$9,AT$9))</f>
        <v>1</v>
      </c>
      <c r="AU41" s="36">
        <f>IF($G41="s-curve",$E41+($F41-$E41)*$L$2/(1+EXP($L$3*(COUNT($L$9:AU$9)+$L$4))),TREND($E41:$F41,$E$9:$F$9,AU$9))</f>
        <v>1</v>
      </c>
      <c r="AV41" s="36">
        <f>IF($G41="s-curve",$E41+($F41-$E41)*$L$2/(1+EXP($L$3*(COUNT($L$9:AV$9)+$L$4))),TREND($E41:$F41,$E$9:$F$9,AV$9))</f>
        <v>1</v>
      </c>
      <c r="AW41" s="36">
        <f>IF($G41="s-curve",$E41+($F41-$E41)*$L$2/(1+EXP($L$3*(COUNT($L$9:AW$9)+$L$4))),TREND($E41:$F41,$E$9:$F$9,AW$9))</f>
        <v>1</v>
      </c>
      <c r="AX41" s="36">
        <f>IF($G41="s-curve",$E41+($F41-$E41)*$L$2/(1+EXP($L$3*(COUNT($L$9:AX$9)+$L$4))),TREND($E41:$F41,$E$9:$F$9,AX$9))</f>
        <v>1</v>
      </c>
      <c r="AY41" s="36">
        <f>IF($G41="s-curve",$E41+($F41-$E41)*$L$2/(1+EXP($L$3*(COUNT($L$9:AY$9)+$L$4))),TREND($E41:$F41,$E$9:$F$9,AY$9))</f>
        <v>1</v>
      </c>
      <c r="AZ41" s="36">
        <f>IF($G41="s-curve",$E41+($F41-$E41)*$L$2/(1+EXP($L$3*(COUNT($L$9:AZ$9)+$L$4))),TREND($E41:$F41,$E$9:$F$9,AZ$9))</f>
        <v>1</v>
      </c>
      <c r="BA41" s="36">
        <f>IF($G41="s-curve",$E41+($F41-$E41)*$L$2/(1+EXP($L$3*(COUNT($L$9:BA$9)+$L$4))),TREND($E41:$F41,$E$9:$F$9,BA$9))</f>
        <v>1</v>
      </c>
      <c r="BB41" s="36">
        <f>IF($G41="s-curve",$E41+($F41-$E41)*$L$2/(1+EXP($L$3*(COUNT($L$9:BB$9)+$L$4))),TREND($E41:$F41,$E$9:$F$9,BB$9))</f>
        <v>1</v>
      </c>
      <c r="BC41" s="36">
        <f>IF($G41="s-curve",$E41+($F41-$E41)*$L$2/(1+EXP($L$3*(COUNT($L$9:BC$9)+$L$4))),TREND($E41:$F41,$E$9:$F$9,BC$9))</f>
        <v>1</v>
      </c>
      <c r="BD41" s="36">
        <f>IF($G41="s-curve",$E41+($F41-$E41)*$L$2/(1+EXP($L$3*(COUNT($L$9:BD$9)+$L$4))),TREND($E41:$F41,$E$9:$F$9,BD$9))</f>
        <v>1</v>
      </c>
      <c r="BE41" s="36">
        <f>IF($G41="s-curve",$E41+($F41-$E41)*$L$2/(1+EXP($L$3*(COUNT($L$9:BE$9)+$L$4))),TREND($E41:$F41,$E$9:$F$9,BE$9))</f>
        <v>1</v>
      </c>
      <c r="BF41" s="36">
        <f>IF($G41="s-curve",$E41+($F41-$E41)*$L$2/(1+EXP($L$3*(COUNT($L$9:BF$9)+$L$4))),TREND($E41:$F41,$E$9:$F$9,BF$9))</f>
        <v>1</v>
      </c>
    </row>
    <row r="42" spans="1:58" x14ac:dyDescent="0.25">
      <c r="C42" t="s">
        <v>5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H42" s="33"/>
      <c r="I42">
        <f t="shared" si="22"/>
        <v>0</v>
      </c>
      <c r="J42">
        <f t="shared" si="22"/>
        <v>0</v>
      </c>
      <c r="K42">
        <f t="shared" si="22"/>
        <v>0</v>
      </c>
      <c r="L42" s="36">
        <f t="shared" si="30"/>
        <v>0</v>
      </c>
      <c r="M42" s="36">
        <f>IF($G42="s-curve",$E42+($F42-$E42)*$L$2/(1+EXP($L$3*(COUNT($L$9:M$9)+$L$4))),TREND($E42:$F42,$E$9:$F$9,M$9))</f>
        <v>0</v>
      </c>
      <c r="N42" s="36">
        <f>IF($G42="s-curve",$E42+($F42-$E42)*$L$2/(1+EXP($L$3*(COUNT($L$9:N$9)+$L$4))),TREND($E42:$F42,$E$9:$F$9,N$9))</f>
        <v>0</v>
      </c>
      <c r="O42" s="36">
        <f>IF($G42="s-curve",$E42+($F42-$E42)*$L$2/(1+EXP($L$3*(COUNT($L$9:O$9)+$L$4))),TREND($E42:$F42,$E$9:$F$9,O$9))</f>
        <v>0</v>
      </c>
      <c r="P42" s="36">
        <f>IF($G42="s-curve",$E42+($F42-$E42)*$L$2/(1+EXP($L$3*(COUNT($L$9:P$9)+$L$4))),TREND($E42:$F42,$E$9:$F$9,P$9))</f>
        <v>0</v>
      </c>
      <c r="Q42" s="36">
        <f>IF($G42="s-curve",$E42+($F42-$E42)*$L$2/(1+EXP($L$3*(COUNT($L$9:Q$9)+$L$4))),TREND($E42:$F42,$E$9:$F$9,Q$9))</f>
        <v>0</v>
      </c>
      <c r="R42" s="36">
        <f>IF($G42="s-curve",$E42+($F42-$E42)*$L$2/(1+EXP($L$3*(COUNT($L$9:R$9)+$L$4))),TREND($E42:$F42,$E$9:$F$9,R$9))</f>
        <v>0</v>
      </c>
      <c r="S42" s="36">
        <f>IF($G42="s-curve",$E42+($F42-$E42)*$L$2/(1+EXP($L$3*(COUNT($L$9:S$9)+$L$4))),TREND($E42:$F42,$E$9:$F$9,S$9))</f>
        <v>0</v>
      </c>
      <c r="T42" s="36">
        <f>IF($G42="s-curve",$E42+($F42-$E42)*$L$2/(1+EXP($L$3*(COUNT($L$9:T$9)+$L$4))),TREND($E42:$F42,$E$9:$F$9,T$9))</f>
        <v>0</v>
      </c>
      <c r="U42" s="36">
        <f>IF($G42="s-curve",$E42+($F42-$E42)*$L$2/(1+EXP($L$3*(COUNT($L$9:U$9)+$L$4))),TREND($E42:$F42,$E$9:$F$9,U$9))</f>
        <v>0</v>
      </c>
      <c r="V42" s="36">
        <f>IF($G42="s-curve",$E42+($F42-$E42)*$L$2/(1+EXP($L$3*(COUNT($L$9:V$9)+$L$4))),TREND($E42:$F42,$E$9:$F$9,V$9))</f>
        <v>0</v>
      </c>
      <c r="W42" s="36">
        <f>IF($G42="s-curve",$E42+($F42-$E42)*$L$2/(1+EXP($L$3*(COUNT($L$9:W$9)+$L$4))),TREND($E42:$F42,$E$9:$F$9,W$9))</f>
        <v>0</v>
      </c>
      <c r="X42" s="36">
        <f>IF($G42="s-curve",$E42+($F42-$E42)*$L$2/(1+EXP($L$3*(COUNT($L$9:X$9)+$L$4))),TREND($E42:$F42,$E$9:$F$9,X$9))</f>
        <v>0</v>
      </c>
      <c r="Y42" s="36">
        <f>IF($G42="s-curve",$E42+($F42-$E42)*$L$2/(1+EXP($L$3*(COUNT($L$9:Y$9)+$L$4))),TREND($E42:$F42,$E$9:$F$9,Y$9))</f>
        <v>0</v>
      </c>
      <c r="Z42" s="36">
        <f>IF($G42="s-curve",$E42+($F42-$E42)*$L$2/(1+EXP($L$3*(COUNT($L$9:Z$9)+$L$4))),TREND($E42:$F42,$E$9:$F$9,Z$9))</f>
        <v>0</v>
      </c>
      <c r="AA42" s="36">
        <f>IF($G42="s-curve",$E42+($F42-$E42)*$L$2/(1+EXP($L$3*(COUNT($L$9:AA$9)+$L$4))),TREND($E42:$F42,$E$9:$F$9,AA$9))</f>
        <v>0</v>
      </c>
      <c r="AB42" s="36">
        <f>IF($G42="s-curve",$E42+($F42-$E42)*$L$2/(1+EXP($L$3*(COUNT($L$9:AB$9)+$L$4))),TREND($E42:$F42,$E$9:$F$9,AB$9))</f>
        <v>0</v>
      </c>
      <c r="AC42" s="36">
        <f>IF($G42="s-curve",$E42+($F42-$E42)*$L$2/(1+EXP($L$3*(COUNT($L$9:AC$9)+$L$4))),TREND($E42:$F42,$E$9:$F$9,AC$9))</f>
        <v>0</v>
      </c>
      <c r="AD42" s="36">
        <f>IF($G42="s-curve",$E42+($F42-$E42)*$L$2/(1+EXP($L$3*(COUNT($L$9:AD$9)+$L$4))),TREND($E42:$F42,$E$9:$F$9,AD$9))</f>
        <v>0</v>
      </c>
      <c r="AE42" s="36">
        <f>IF($G42="s-curve",$E42+($F42-$E42)*$L$2/(1+EXP($L$3*(COUNT($L$9:AE$9)+$L$4))),TREND($E42:$F42,$E$9:$F$9,AE$9))</f>
        <v>0</v>
      </c>
      <c r="AF42" s="36">
        <f>IF($G42="s-curve",$E42+($F42-$E42)*$L$2/(1+EXP($L$3*(COUNT($L$9:AF$9)+$L$4))),TREND($E42:$F42,$E$9:$F$9,AF$9))</f>
        <v>0</v>
      </c>
      <c r="AG42" s="36">
        <f>IF($G42="s-curve",$E42+($F42-$E42)*$L$2/(1+EXP($L$3*(COUNT($L$9:AG$9)+$L$4))),TREND($E42:$F42,$E$9:$F$9,AG$9))</f>
        <v>0</v>
      </c>
      <c r="AH42" s="36">
        <f>IF($G42="s-curve",$E42+($F42-$E42)*$L$2/(1+EXP($L$3*(COUNT($L$9:AH$9)+$L$4))),TREND($E42:$F42,$E$9:$F$9,AH$9))</f>
        <v>0</v>
      </c>
      <c r="AI42" s="36">
        <f>IF($G42="s-curve",$E42+($F42-$E42)*$L$2/(1+EXP($L$3*(COUNT($L$9:AI$9)+$L$4))),TREND($E42:$F42,$E$9:$F$9,AI$9))</f>
        <v>0</v>
      </c>
      <c r="AJ42" s="36">
        <f>IF($G42="s-curve",$E42+($F42-$E42)*$L$2/(1+EXP($L$3*(COUNT($L$9:AJ$9)+$L$4))),TREND($E42:$F42,$E$9:$F$9,AJ$9))</f>
        <v>0</v>
      </c>
      <c r="AK42" s="36">
        <f>IF($G42="s-curve",$E42+($F42-$E42)*$L$2/(1+EXP($L$3*(COUNT($L$9:AK$9)+$L$4))),TREND($E42:$F42,$E$9:$F$9,AK$9))</f>
        <v>0</v>
      </c>
      <c r="AL42" s="36">
        <f>IF($G42="s-curve",$E42+($F42-$E42)*$L$2/(1+EXP($L$3*(COUNT($L$9:AL$9)+$L$4))),TREND($E42:$F42,$E$9:$F$9,AL$9))</f>
        <v>0</v>
      </c>
      <c r="AM42" s="36">
        <f>IF($G42="s-curve",$E42+($F42-$E42)*$L$2/(1+EXP($L$3*(COUNT($L$9:AM$9)+$L$4))),TREND($E42:$F42,$E$9:$F$9,AM$9))</f>
        <v>0</v>
      </c>
      <c r="AN42" s="36">
        <f>IF($G42="s-curve",$E42+($F42-$E42)*$L$2/(1+EXP($L$3*(COUNT($L$9:AN$9)+$L$4))),TREND($E42:$F42,$E$9:$F$9,AN$9))</f>
        <v>0</v>
      </c>
      <c r="AO42" s="36">
        <f>IF($G42="s-curve",$E42+($F42-$E42)*$L$2/(1+EXP($L$3*(COUNT($L$9:AO$9)+$L$4))),TREND($E42:$F42,$E$9:$F$9,AO$9))</f>
        <v>0</v>
      </c>
      <c r="AP42" s="36">
        <f>IF($G42="s-curve",$E42+($F42-$E42)*$L$2/(1+EXP($L$3*(COUNT($L$9:AP$9)+$L$4))),TREND($E42:$F42,$E$9:$F$9,AP$9))</f>
        <v>0</v>
      </c>
      <c r="AQ42" s="36">
        <f>IF($G42="s-curve",$E42+($F42-$E42)*$L$2/(1+EXP($L$3*(COUNT($L$9:AQ$9)+$L$4))),TREND($E42:$F42,$E$9:$F$9,AQ$9))</f>
        <v>0</v>
      </c>
      <c r="AR42" s="36">
        <f>IF($G42="s-curve",$E42+($F42-$E42)*$L$2/(1+EXP($L$3*(COUNT($L$9:AR$9)+$L$4))),TREND($E42:$F42,$E$9:$F$9,AR$9))</f>
        <v>0</v>
      </c>
      <c r="AS42" s="36">
        <f>IF($G42="s-curve",$E42+($F42-$E42)*$L$2/(1+EXP($L$3*(COUNT($L$9:AS$9)+$L$4))),TREND($E42:$F42,$E$9:$F$9,AS$9))</f>
        <v>0</v>
      </c>
      <c r="AT42" s="36">
        <f>IF($G42="s-curve",$E42+($F42-$E42)*$L$2/(1+EXP($L$3*(COUNT($L$9:AT$9)+$L$4))),TREND($E42:$F42,$E$9:$F$9,AT$9))</f>
        <v>0</v>
      </c>
      <c r="AU42" s="36">
        <f>IF($G42="s-curve",$E42+($F42-$E42)*$L$2/(1+EXP($L$3*(COUNT($L$9:AU$9)+$L$4))),TREND($E42:$F42,$E$9:$F$9,AU$9))</f>
        <v>0</v>
      </c>
      <c r="AV42" s="36">
        <f>IF($G42="s-curve",$E42+($F42-$E42)*$L$2/(1+EXP($L$3*(COUNT($L$9:AV$9)+$L$4))),TREND($E42:$F42,$E$9:$F$9,AV$9))</f>
        <v>0</v>
      </c>
      <c r="AW42" s="36">
        <f>IF($G42="s-curve",$E42+($F42-$E42)*$L$2/(1+EXP($L$3*(COUNT($L$9:AW$9)+$L$4))),TREND($E42:$F42,$E$9:$F$9,AW$9))</f>
        <v>0</v>
      </c>
      <c r="AX42" s="36">
        <f>IF($G42="s-curve",$E42+($F42-$E42)*$L$2/(1+EXP($L$3*(COUNT($L$9:AX$9)+$L$4))),TREND($E42:$F42,$E$9:$F$9,AX$9))</f>
        <v>0</v>
      </c>
      <c r="AY42" s="36">
        <f>IF($G42="s-curve",$E42+($F42-$E42)*$L$2/(1+EXP($L$3*(COUNT($L$9:AY$9)+$L$4))),TREND($E42:$F42,$E$9:$F$9,AY$9))</f>
        <v>0</v>
      </c>
      <c r="AZ42" s="36">
        <f>IF($G42="s-curve",$E42+($F42-$E42)*$L$2/(1+EXP($L$3*(COUNT($L$9:AZ$9)+$L$4))),TREND($E42:$F42,$E$9:$F$9,AZ$9))</f>
        <v>0</v>
      </c>
      <c r="BA42" s="36">
        <f>IF($G42="s-curve",$E42+($F42-$E42)*$L$2/(1+EXP($L$3*(COUNT($L$9:BA$9)+$L$4))),TREND($E42:$F42,$E$9:$F$9,BA$9))</f>
        <v>0</v>
      </c>
      <c r="BB42" s="36">
        <f>IF($G42="s-curve",$E42+($F42-$E42)*$L$2/(1+EXP($L$3*(COUNT($L$9:BB$9)+$L$4))),TREND($E42:$F42,$E$9:$F$9,BB$9))</f>
        <v>0</v>
      </c>
      <c r="BC42" s="36">
        <f>IF($G42="s-curve",$E42+($F42-$E42)*$L$2/(1+EXP($L$3*(COUNT($L$9:BC$9)+$L$4))),TREND($E42:$F42,$E$9:$F$9,BC$9))</f>
        <v>0</v>
      </c>
      <c r="BD42" s="36">
        <f>IF($G42="s-curve",$E42+($F42-$E42)*$L$2/(1+EXP($L$3*(COUNT($L$9:BD$9)+$L$4))),TREND($E42:$F42,$E$9:$F$9,BD$9))</f>
        <v>0</v>
      </c>
      <c r="BE42" s="36">
        <f>IF($G42="s-curve",$E42+($F42-$E42)*$L$2/(1+EXP($L$3*(COUNT($L$9:BE$9)+$L$4))),TREND($E42:$F42,$E$9:$F$9,BE$9))</f>
        <v>0</v>
      </c>
      <c r="BF42" s="36">
        <f>IF($G42="s-curve",$E42+($F42-$E42)*$L$2/(1+EXP($L$3*(COUNT($L$9:BF$9)+$L$4))),TREND($E42:$F42,$E$9:$F$9,BF$9))</f>
        <v>0</v>
      </c>
    </row>
    <row r="43" spans="1:58" x14ac:dyDescent="0.25">
      <c r="C43" t="s">
        <v>33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H43" s="33"/>
      <c r="I43">
        <f t="shared" si="22"/>
        <v>0</v>
      </c>
      <c r="J43">
        <f t="shared" si="22"/>
        <v>0</v>
      </c>
      <c r="K43">
        <f t="shared" si="22"/>
        <v>0</v>
      </c>
      <c r="L43" s="36">
        <f t="shared" si="30"/>
        <v>0</v>
      </c>
      <c r="M43" s="36">
        <f>IF($G43="s-curve",$E43+($F43-$E43)*$L$2/(1+EXP($L$3*(COUNT($L$9:M$9)+$L$4))),TREND($E43:$F43,$E$9:$F$9,M$9))</f>
        <v>0</v>
      </c>
      <c r="N43" s="36">
        <f>IF($G43="s-curve",$E43+($F43-$E43)*$L$2/(1+EXP($L$3*(COUNT($L$9:N$9)+$L$4))),TREND($E43:$F43,$E$9:$F$9,N$9))</f>
        <v>0</v>
      </c>
      <c r="O43" s="36">
        <f>IF($G43="s-curve",$E43+($F43-$E43)*$L$2/(1+EXP($L$3*(COUNT($L$9:O$9)+$L$4))),TREND($E43:$F43,$E$9:$F$9,O$9))</f>
        <v>0</v>
      </c>
      <c r="P43" s="36">
        <f>IF($G43="s-curve",$E43+($F43-$E43)*$L$2/(1+EXP($L$3*(COUNT($L$9:P$9)+$L$4))),TREND($E43:$F43,$E$9:$F$9,P$9))</f>
        <v>0</v>
      </c>
      <c r="Q43" s="36">
        <f>IF($G43="s-curve",$E43+($F43-$E43)*$L$2/(1+EXP($L$3*(COUNT($L$9:Q$9)+$L$4))),TREND($E43:$F43,$E$9:$F$9,Q$9))</f>
        <v>0</v>
      </c>
      <c r="R43" s="36">
        <f>IF($G43="s-curve",$E43+($F43-$E43)*$L$2/(1+EXP($L$3*(COUNT($L$9:R$9)+$L$4))),TREND($E43:$F43,$E$9:$F$9,R$9))</f>
        <v>0</v>
      </c>
      <c r="S43" s="36">
        <f>IF($G43="s-curve",$E43+($F43-$E43)*$L$2/(1+EXP($L$3*(COUNT($L$9:S$9)+$L$4))),TREND($E43:$F43,$E$9:$F$9,S$9))</f>
        <v>0</v>
      </c>
      <c r="T43" s="36">
        <f>IF($G43="s-curve",$E43+($F43-$E43)*$L$2/(1+EXP($L$3*(COUNT($L$9:T$9)+$L$4))),TREND($E43:$F43,$E$9:$F$9,T$9))</f>
        <v>0</v>
      </c>
      <c r="U43" s="36">
        <f>IF($G43="s-curve",$E43+($F43-$E43)*$L$2/(1+EXP($L$3*(COUNT($L$9:U$9)+$L$4))),TREND($E43:$F43,$E$9:$F$9,U$9))</f>
        <v>0</v>
      </c>
      <c r="V43" s="36">
        <f>IF($G43="s-curve",$E43+($F43-$E43)*$L$2/(1+EXP($L$3*(COUNT($L$9:V$9)+$L$4))),TREND($E43:$F43,$E$9:$F$9,V$9))</f>
        <v>0</v>
      </c>
      <c r="W43" s="36">
        <f>IF($G43="s-curve",$E43+($F43-$E43)*$L$2/(1+EXP($L$3*(COUNT($L$9:W$9)+$L$4))),TREND($E43:$F43,$E$9:$F$9,W$9))</f>
        <v>0</v>
      </c>
      <c r="X43" s="36">
        <f>IF($G43="s-curve",$E43+($F43-$E43)*$L$2/(1+EXP($L$3*(COUNT($L$9:X$9)+$L$4))),TREND($E43:$F43,$E$9:$F$9,X$9))</f>
        <v>0</v>
      </c>
      <c r="Y43" s="36">
        <f>IF($G43="s-curve",$E43+($F43-$E43)*$L$2/(1+EXP($L$3*(COUNT($L$9:Y$9)+$L$4))),TREND($E43:$F43,$E$9:$F$9,Y$9))</f>
        <v>0</v>
      </c>
      <c r="Z43" s="36">
        <f>IF($G43="s-curve",$E43+($F43-$E43)*$L$2/(1+EXP($L$3*(COUNT($L$9:Z$9)+$L$4))),TREND($E43:$F43,$E$9:$F$9,Z$9))</f>
        <v>0</v>
      </c>
      <c r="AA43" s="36">
        <f>IF($G43="s-curve",$E43+($F43-$E43)*$L$2/(1+EXP($L$3*(COUNT($L$9:AA$9)+$L$4))),TREND($E43:$F43,$E$9:$F$9,AA$9))</f>
        <v>0</v>
      </c>
      <c r="AB43" s="36">
        <f>IF($G43="s-curve",$E43+($F43-$E43)*$L$2/(1+EXP($L$3*(COUNT($L$9:AB$9)+$L$4))),TREND($E43:$F43,$E$9:$F$9,AB$9))</f>
        <v>0</v>
      </c>
      <c r="AC43" s="36">
        <f>IF($G43="s-curve",$E43+($F43-$E43)*$L$2/(1+EXP($L$3*(COUNT($L$9:AC$9)+$L$4))),TREND($E43:$F43,$E$9:$F$9,AC$9))</f>
        <v>0</v>
      </c>
      <c r="AD43" s="36">
        <f>IF($G43="s-curve",$E43+($F43-$E43)*$L$2/(1+EXP($L$3*(COUNT($L$9:AD$9)+$L$4))),TREND($E43:$F43,$E$9:$F$9,AD$9))</f>
        <v>0</v>
      </c>
      <c r="AE43" s="36">
        <f>IF($G43="s-curve",$E43+($F43-$E43)*$L$2/(1+EXP($L$3*(COUNT($L$9:AE$9)+$L$4))),TREND($E43:$F43,$E$9:$F$9,AE$9))</f>
        <v>0</v>
      </c>
      <c r="AF43" s="36">
        <f>IF($G43="s-curve",$E43+($F43-$E43)*$L$2/(1+EXP($L$3*(COUNT($L$9:AF$9)+$L$4))),TREND($E43:$F43,$E$9:$F$9,AF$9))</f>
        <v>0</v>
      </c>
      <c r="AG43" s="36">
        <f>IF($G43="s-curve",$E43+($F43-$E43)*$L$2/(1+EXP($L$3*(COUNT($L$9:AG$9)+$L$4))),TREND($E43:$F43,$E$9:$F$9,AG$9))</f>
        <v>0</v>
      </c>
      <c r="AH43" s="36">
        <f>IF($G43="s-curve",$E43+($F43-$E43)*$L$2/(1+EXP($L$3*(COUNT($L$9:AH$9)+$L$4))),TREND($E43:$F43,$E$9:$F$9,AH$9))</f>
        <v>0</v>
      </c>
      <c r="AI43" s="36">
        <f>IF($G43="s-curve",$E43+($F43-$E43)*$L$2/(1+EXP($L$3*(COUNT($L$9:AI$9)+$L$4))),TREND($E43:$F43,$E$9:$F$9,AI$9))</f>
        <v>0</v>
      </c>
      <c r="AJ43" s="36">
        <f>IF($G43="s-curve",$E43+($F43-$E43)*$L$2/(1+EXP($L$3*(COUNT($L$9:AJ$9)+$L$4))),TREND($E43:$F43,$E$9:$F$9,AJ$9))</f>
        <v>0</v>
      </c>
      <c r="AK43" s="36">
        <f>IF($G43="s-curve",$E43+($F43-$E43)*$L$2/(1+EXP($L$3*(COUNT($L$9:AK$9)+$L$4))),TREND($E43:$F43,$E$9:$F$9,AK$9))</f>
        <v>0</v>
      </c>
      <c r="AL43" s="36">
        <f>IF($G43="s-curve",$E43+($F43-$E43)*$L$2/(1+EXP($L$3*(COUNT($L$9:AL$9)+$L$4))),TREND($E43:$F43,$E$9:$F$9,AL$9))</f>
        <v>0</v>
      </c>
      <c r="AM43" s="36">
        <f>IF($G43="s-curve",$E43+($F43-$E43)*$L$2/(1+EXP($L$3*(COUNT($L$9:AM$9)+$L$4))),TREND($E43:$F43,$E$9:$F$9,AM$9))</f>
        <v>0</v>
      </c>
      <c r="AN43" s="36">
        <f>IF($G43="s-curve",$E43+($F43-$E43)*$L$2/(1+EXP($L$3*(COUNT($L$9:AN$9)+$L$4))),TREND($E43:$F43,$E$9:$F$9,AN$9))</f>
        <v>0</v>
      </c>
      <c r="AO43" s="36">
        <f>IF($G43="s-curve",$E43+($F43-$E43)*$L$2/(1+EXP($L$3*(COUNT($L$9:AO$9)+$L$4))),TREND($E43:$F43,$E$9:$F$9,AO$9))</f>
        <v>0</v>
      </c>
      <c r="AP43" s="36">
        <f>IF($G43="s-curve",$E43+($F43-$E43)*$L$2/(1+EXP($L$3*(COUNT($L$9:AP$9)+$L$4))),TREND($E43:$F43,$E$9:$F$9,AP$9))</f>
        <v>0</v>
      </c>
      <c r="AQ43" s="36">
        <f>IF($G43="s-curve",$E43+($F43-$E43)*$L$2/(1+EXP($L$3*(COUNT($L$9:AQ$9)+$L$4))),TREND($E43:$F43,$E$9:$F$9,AQ$9))</f>
        <v>0</v>
      </c>
      <c r="AR43" s="36">
        <f>IF($G43="s-curve",$E43+($F43-$E43)*$L$2/(1+EXP($L$3*(COUNT($L$9:AR$9)+$L$4))),TREND($E43:$F43,$E$9:$F$9,AR$9))</f>
        <v>0</v>
      </c>
      <c r="AS43" s="36">
        <f>IF($G43="s-curve",$E43+($F43-$E43)*$L$2/(1+EXP($L$3*(COUNT($L$9:AS$9)+$L$4))),TREND($E43:$F43,$E$9:$F$9,AS$9))</f>
        <v>0</v>
      </c>
      <c r="AT43" s="36">
        <f>IF($G43="s-curve",$E43+($F43-$E43)*$L$2/(1+EXP($L$3*(COUNT($L$9:AT$9)+$L$4))),TREND($E43:$F43,$E$9:$F$9,AT$9))</f>
        <v>0</v>
      </c>
      <c r="AU43" s="36">
        <f>IF($G43="s-curve",$E43+($F43-$E43)*$L$2/(1+EXP($L$3*(COUNT($L$9:AU$9)+$L$4))),TREND($E43:$F43,$E$9:$F$9,AU$9))</f>
        <v>0</v>
      </c>
      <c r="AV43" s="36">
        <f>IF($G43="s-curve",$E43+($F43-$E43)*$L$2/(1+EXP($L$3*(COUNT($L$9:AV$9)+$L$4))),TREND($E43:$F43,$E$9:$F$9,AV$9))</f>
        <v>0</v>
      </c>
      <c r="AW43" s="36">
        <f>IF($G43="s-curve",$E43+($F43-$E43)*$L$2/(1+EXP($L$3*(COUNT($L$9:AW$9)+$L$4))),TREND($E43:$F43,$E$9:$F$9,AW$9))</f>
        <v>0</v>
      </c>
      <c r="AX43" s="36">
        <f>IF($G43="s-curve",$E43+($F43-$E43)*$L$2/(1+EXP($L$3*(COUNT($L$9:AX$9)+$L$4))),TREND($E43:$F43,$E$9:$F$9,AX$9))</f>
        <v>0</v>
      </c>
      <c r="AY43" s="36">
        <f>IF($G43="s-curve",$E43+($F43-$E43)*$L$2/(1+EXP($L$3*(COUNT($L$9:AY$9)+$L$4))),TREND($E43:$F43,$E$9:$F$9,AY$9))</f>
        <v>0</v>
      </c>
      <c r="AZ43" s="36">
        <f>IF($G43="s-curve",$E43+($F43-$E43)*$L$2/(1+EXP($L$3*(COUNT($L$9:AZ$9)+$L$4))),TREND($E43:$F43,$E$9:$F$9,AZ$9))</f>
        <v>0</v>
      </c>
      <c r="BA43" s="36">
        <f>IF($G43="s-curve",$E43+($F43-$E43)*$L$2/(1+EXP($L$3*(COUNT($L$9:BA$9)+$L$4))),TREND($E43:$F43,$E$9:$F$9,BA$9))</f>
        <v>0</v>
      </c>
      <c r="BB43" s="36">
        <f>IF($G43="s-curve",$E43+($F43-$E43)*$L$2/(1+EXP($L$3*(COUNT($L$9:BB$9)+$L$4))),TREND($E43:$F43,$E$9:$F$9,BB$9))</f>
        <v>0</v>
      </c>
      <c r="BC43" s="36">
        <f>IF($G43="s-curve",$E43+($F43-$E43)*$L$2/(1+EXP($L$3*(COUNT($L$9:BC$9)+$L$4))),TREND($E43:$F43,$E$9:$F$9,BC$9))</f>
        <v>0</v>
      </c>
      <c r="BD43" s="36">
        <f>IF($G43="s-curve",$E43+($F43-$E43)*$L$2/(1+EXP($L$3*(COUNT($L$9:BD$9)+$L$4))),TREND($E43:$F43,$E$9:$F$9,BD$9))</f>
        <v>0</v>
      </c>
      <c r="BE43" s="36">
        <f>IF($G43="s-curve",$E43+($F43-$E43)*$L$2/(1+EXP($L$3*(COUNT($L$9:BE$9)+$L$4))),TREND($E43:$F43,$E$9:$F$9,BE$9))</f>
        <v>0</v>
      </c>
      <c r="BF43" s="36">
        <f>IF($G43="s-curve",$E43+($F43-$E43)*$L$2/(1+EXP($L$3*(COUNT($L$9:BF$9)+$L$4))),TREND($E43:$F43,$E$9:$F$9,BF$9))</f>
        <v>0</v>
      </c>
    </row>
    <row r="44" spans="1:58" ht="15.75" thickBot="1" x14ac:dyDescent="0.3">
      <c r="A44" s="18"/>
      <c r="B44" s="18"/>
      <c r="C44" s="18" t="s">
        <v>34</v>
      </c>
      <c r="D44" s="18"/>
      <c r="E44" s="18">
        <v>0</v>
      </c>
      <c r="F44" s="18">
        <v>0</v>
      </c>
      <c r="G44" s="6" t="str">
        <f>IF(E44=F44,"n/a",IF(OR(C44="battery electric vehicle",C44="natural gas vehicle",C44="plugin hybrid vehicle",C44="hydrogen vehicle"),"s-curve","linear"))</f>
        <v>n/a</v>
      </c>
      <c r="H44" s="34"/>
      <c r="I44">
        <f t="shared" si="22"/>
        <v>0</v>
      </c>
      <c r="J44">
        <f t="shared" si="22"/>
        <v>0</v>
      </c>
      <c r="K44">
        <f t="shared" si="22"/>
        <v>0</v>
      </c>
      <c r="L44" s="36">
        <f t="shared" si="30"/>
        <v>0</v>
      </c>
      <c r="M44" s="36">
        <f>IF($G44="s-curve",$E44+($F44-$E44)*$L$2/(1+EXP($L$3*(COUNT($L$9:M$9)+$L$4))),TREND($E44:$F44,$E$9:$F$9,M$9))</f>
        <v>0</v>
      </c>
      <c r="N44" s="36">
        <f>IF($G44="s-curve",$E44+($F44-$E44)*$L$2/(1+EXP($L$3*(COUNT($L$9:N$9)+$L$4))),TREND($E44:$F44,$E$9:$F$9,N$9))</f>
        <v>0</v>
      </c>
      <c r="O44" s="36">
        <f>IF($G44="s-curve",$E44+($F44-$E44)*$L$2/(1+EXP($L$3*(COUNT($L$9:O$9)+$L$4))),TREND($E44:$F44,$E$9:$F$9,O$9))</f>
        <v>0</v>
      </c>
      <c r="P44" s="36">
        <f>IF($G44="s-curve",$E44+($F44-$E44)*$L$2/(1+EXP($L$3*(COUNT($L$9:P$9)+$L$4))),TREND($E44:$F44,$E$9:$F$9,P$9))</f>
        <v>0</v>
      </c>
      <c r="Q44" s="36">
        <f>IF($G44="s-curve",$E44+($F44-$E44)*$L$2/(1+EXP($L$3*(COUNT($L$9:Q$9)+$L$4))),TREND($E44:$F44,$E$9:$F$9,Q$9))</f>
        <v>0</v>
      </c>
      <c r="R44" s="36">
        <f>IF($G44="s-curve",$E44+($F44-$E44)*$L$2/(1+EXP($L$3*(COUNT($L$9:R$9)+$L$4))),TREND($E44:$F44,$E$9:$F$9,R$9))</f>
        <v>0</v>
      </c>
      <c r="S44" s="36">
        <f>IF($G44="s-curve",$E44+($F44-$E44)*$L$2/(1+EXP($L$3*(COUNT($L$9:S$9)+$L$4))),TREND($E44:$F44,$E$9:$F$9,S$9))</f>
        <v>0</v>
      </c>
      <c r="T44" s="36">
        <f>IF($G44="s-curve",$E44+($F44-$E44)*$L$2/(1+EXP($L$3*(COUNT($L$9:T$9)+$L$4))),TREND($E44:$F44,$E$9:$F$9,T$9))</f>
        <v>0</v>
      </c>
      <c r="U44" s="36">
        <f>IF($G44="s-curve",$E44+($F44-$E44)*$L$2/(1+EXP($L$3*(COUNT($L$9:U$9)+$L$4))),TREND($E44:$F44,$E$9:$F$9,U$9))</f>
        <v>0</v>
      </c>
      <c r="V44" s="36">
        <f>IF($G44="s-curve",$E44+($F44-$E44)*$L$2/(1+EXP($L$3*(COUNT($L$9:V$9)+$L$4))),TREND($E44:$F44,$E$9:$F$9,V$9))</f>
        <v>0</v>
      </c>
      <c r="W44" s="36">
        <f>IF($G44="s-curve",$E44+($F44-$E44)*$L$2/(1+EXP($L$3*(COUNT($L$9:W$9)+$L$4))),TREND($E44:$F44,$E$9:$F$9,W$9))</f>
        <v>0</v>
      </c>
      <c r="X44" s="36">
        <f>IF($G44="s-curve",$E44+($F44-$E44)*$L$2/(1+EXP($L$3*(COUNT($L$9:X$9)+$L$4))),TREND($E44:$F44,$E$9:$F$9,X$9))</f>
        <v>0</v>
      </c>
      <c r="Y44" s="36">
        <f>IF($G44="s-curve",$E44+($F44-$E44)*$L$2/(1+EXP($L$3*(COUNT($L$9:Y$9)+$L$4))),TREND($E44:$F44,$E$9:$F$9,Y$9))</f>
        <v>0</v>
      </c>
      <c r="Z44" s="36">
        <f>IF($G44="s-curve",$E44+($F44-$E44)*$L$2/(1+EXP($L$3*(COUNT($L$9:Z$9)+$L$4))),TREND($E44:$F44,$E$9:$F$9,Z$9))</f>
        <v>0</v>
      </c>
      <c r="AA44" s="36">
        <f>IF($G44="s-curve",$E44+($F44-$E44)*$L$2/(1+EXP($L$3*(COUNT($L$9:AA$9)+$L$4))),TREND($E44:$F44,$E$9:$F$9,AA$9))</f>
        <v>0</v>
      </c>
      <c r="AB44" s="36">
        <f>IF($G44="s-curve",$E44+($F44-$E44)*$L$2/(1+EXP($L$3*(COUNT($L$9:AB$9)+$L$4))),TREND($E44:$F44,$E$9:$F$9,AB$9))</f>
        <v>0</v>
      </c>
      <c r="AC44" s="36">
        <f>IF($G44="s-curve",$E44+($F44-$E44)*$L$2/(1+EXP($L$3*(COUNT($L$9:AC$9)+$L$4))),TREND($E44:$F44,$E$9:$F$9,AC$9))</f>
        <v>0</v>
      </c>
      <c r="AD44" s="36">
        <f>IF($G44="s-curve",$E44+($F44-$E44)*$L$2/(1+EXP($L$3*(COUNT($L$9:AD$9)+$L$4))),TREND($E44:$F44,$E$9:$F$9,AD$9))</f>
        <v>0</v>
      </c>
      <c r="AE44" s="36">
        <f>IF($G44="s-curve",$E44+($F44-$E44)*$L$2/(1+EXP($L$3*(COUNT($L$9:AE$9)+$L$4))),TREND($E44:$F44,$E$9:$F$9,AE$9))</f>
        <v>0</v>
      </c>
      <c r="AF44" s="36">
        <f>IF($G44="s-curve",$E44+($F44-$E44)*$L$2/(1+EXP($L$3*(COUNT($L$9:AF$9)+$L$4))),TREND($E44:$F44,$E$9:$F$9,AF$9))</f>
        <v>0</v>
      </c>
      <c r="AG44" s="36">
        <f>IF($G44="s-curve",$E44+($F44-$E44)*$L$2/(1+EXP($L$3*(COUNT($L$9:AG$9)+$L$4))),TREND($E44:$F44,$E$9:$F$9,AG$9))</f>
        <v>0</v>
      </c>
      <c r="AH44" s="36">
        <f>IF($G44="s-curve",$E44+($F44-$E44)*$L$2/(1+EXP($L$3*(COUNT($L$9:AH$9)+$L$4))),TREND($E44:$F44,$E$9:$F$9,AH$9))</f>
        <v>0</v>
      </c>
      <c r="AI44" s="36">
        <f>IF($G44="s-curve",$E44+($F44-$E44)*$L$2/(1+EXP($L$3*(COUNT($L$9:AI$9)+$L$4))),TREND($E44:$F44,$E$9:$F$9,AI$9))</f>
        <v>0</v>
      </c>
      <c r="AJ44" s="36">
        <f>IF($G44="s-curve",$E44+($F44-$E44)*$L$2/(1+EXP($L$3*(COUNT($L$9:AJ$9)+$L$4))),TREND($E44:$F44,$E$9:$F$9,AJ$9))</f>
        <v>0</v>
      </c>
      <c r="AK44" s="36">
        <f>IF($G44="s-curve",$E44+($F44-$E44)*$L$2/(1+EXP($L$3*(COUNT($L$9:AK$9)+$L$4))),TREND($E44:$F44,$E$9:$F$9,AK$9))</f>
        <v>0</v>
      </c>
      <c r="AL44" s="36">
        <f>IF($G44="s-curve",$E44+($F44-$E44)*$L$2/(1+EXP($L$3*(COUNT($L$9:AL$9)+$L$4))),TREND($E44:$F44,$E$9:$F$9,AL$9))</f>
        <v>0</v>
      </c>
      <c r="AM44" s="36">
        <f>IF($G44="s-curve",$E44+($F44-$E44)*$L$2/(1+EXP($L$3*(COUNT($L$9:AM$9)+$L$4))),TREND($E44:$F44,$E$9:$F$9,AM$9))</f>
        <v>0</v>
      </c>
      <c r="AN44" s="36">
        <f>IF($G44="s-curve",$E44+($F44-$E44)*$L$2/(1+EXP($L$3*(COUNT($L$9:AN$9)+$L$4))),TREND($E44:$F44,$E$9:$F$9,AN$9))</f>
        <v>0</v>
      </c>
      <c r="AO44" s="36">
        <f>IF($G44="s-curve",$E44+($F44-$E44)*$L$2/(1+EXP($L$3*(COUNT($L$9:AO$9)+$L$4))),TREND($E44:$F44,$E$9:$F$9,AO$9))</f>
        <v>0</v>
      </c>
      <c r="AP44" s="36">
        <f>IF($G44="s-curve",$E44+($F44-$E44)*$L$2/(1+EXP($L$3*(COUNT($L$9:AP$9)+$L$4))),TREND($E44:$F44,$E$9:$F$9,AP$9))</f>
        <v>0</v>
      </c>
      <c r="AQ44" s="36">
        <f>IF($G44="s-curve",$E44+($F44-$E44)*$L$2/(1+EXP($L$3*(COUNT($L$9:AQ$9)+$L$4))),TREND($E44:$F44,$E$9:$F$9,AQ$9))</f>
        <v>0</v>
      </c>
      <c r="AR44" s="36">
        <f>IF($G44="s-curve",$E44+($F44-$E44)*$L$2/(1+EXP($L$3*(COUNT($L$9:AR$9)+$L$4))),TREND($E44:$F44,$E$9:$F$9,AR$9))</f>
        <v>0</v>
      </c>
      <c r="AS44" s="36">
        <f>IF($G44="s-curve",$E44+($F44-$E44)*$L$2/(1+EXP($L$3*(COUNT($L$9:AS$9)+$L$4))),TREND($E44:$F44,$E$9:$F$9,AS$9))</f>
        <v>0</v>
      </c>
      <c r="AT44" s="36">
        <f>IF($G44="s-curve",$E44+($F44-$E44)*$L$2/(1+EXP($L$3*(COUNT($L$9:AT$9)+$L$4))),TREND($E44:$F44,$E$9:$F$9,AT$9))</f>
        <v>0</v>
      </c>
      <c r="AU44" s="36">
        <f>IF($G44="s-curve",$E44+($F44-$E44)*$L$2/(1+EXP($L$3*(COUNT($L$9:AU$9)+$L$4))),TREND($E44:$F44,$E$9:$F$9,AU$9))</f>
        <v>0</v>
      </c>
      <c r="AV44" s="36">
        <f>IF($G44="s-curve",$E44+($F44-$E44)*$L$2/(1+EXP($L$3*(COUNT($L$9:AV$9)+$L$4))),TREND($E44:$F44,$E$9:$F$9,AV$9))</f>
        <v>0</v>
      </c>
      <c r="AW44" s="36">
        <f>IF($G44="s-curve",$E44+($F44-$E44)*$L$2/(1+EXP($L$3*(COUNT($L$9:AW$9)+$L$4))),TREND($E44:$F44,$E$9:$F$9,AW$9))</f>
        <v>0</v>
      </c>
      <c r="AX44" s="36">
        <f>IF($G44="s-curve",$E44+($F44-$E44)*$L$2/(1+EXP($L$3*(COUNT($L$9:AX$9)+$L$4))),TREND($E44:$F44,$E$9:$F$9,AX$9))</f>
        <v>0</v>
      </c>
      <c r="AY44" s="36">
        <f>IF($G44="s-curve",$E44+($F44-$E44)*$L$2/(1+EXP($L$3*(COUNT($L$9:AY$9)+$L$4))),TREND($E44:$F44,$E$9:$F$9,AY$9))</f>
        <v>0</v>
      </c>
      <c r="AZ44" s="36">
        <f>IF($G44="s-curve",$E44+($F44-$E44)*$L$2/(1+EXP($L$3*(COUNT($L$9:AZ$9)+$L$4))),TREND($E44:$F44,$E$9:$F$9,AZ$9))</f>
        <v>0</v>
      </c>
      <c r="BA44" s="36">
        <f>IF($G44="s-curve",$E44+($F44-$E44)*$L$2/(1+EXP($L$3*(COUNT($L$9:BA$9)+$L$4))),TREND($E44:$F44,$E$9:$F$9,BA$9))</f>
        <v>0</v>
      </c>
      <c r="BB44" s="36">
        <f>IF($G44="s-curve",$E44+($F44-$E44)*$L$2/(1+EXP($L$3*(COUNT($L$9:BB$9)+$L$4))),TREND($E44:$F44,$E$9:$F$9,BB$9))</f>
        <v>0</v>
      </c>
      <c r="BC44" s="36">
        <f>IF($G44="s-curve",$E44+($F44-$E44)*$L$2/(1+EXP($L$3*(COUNT($L$9:BC$9)+$L$4))),TREND($E44:$F44,$E$9:$F$9,BC$9))</f>
        <v>0</v>
      </c>
      <c r="BD44" s="36">
        <f>IF($G44="s-curve",$E44+($F44-$E44)*$L$2/(1+EXP($L$3*(COUNT($L$9:BD$9)+$L$4))),TREND($E44:$F44,$E$9:$F$9,BD$9))</f>
        <v>0</v>
      </c>
      <c r="BE44" s="36">
        <f>IF($G44="s-curve",$E44+($F44-$E44)*$L$2/(1+EXP($L$3*(COUNT($L$9:BE$9)+$L$4))),TREND($E44:$F44,$E$9:$F$9,BE$9))</f>
        <v>0</v>
      </c>
      <c r="BF44" s="36">
        <f>IF($G44="s-curve",$E44+($F44-$E44)*$L$2/(1+EXP($L$3*(COUNT($L$9:BF$9)+$L$4))),TREND($E44:$F44,$E$9:$F$9,BF$9))</f>
        <v>0</v>
      </c>
    </row>
    <row r="45" spans="1:5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H45" s="33"/>
      <c r="I45">
        <f t="shared" si="22"/>
        <v>0</v>
      </c>
      <c r="J45">
        <f t="shared" si="22"/>
        <v>0</v>
      </c>
      <c r="K45">
        <f t="shared" si="22"/>
        <v>0</v>
      </c>
      <c r="L45" s="36">
        <f t="shared" si="30"/>
        <v>0</v>
      </c>
      <c r="M45" s="36">
        <f>IF($G45="s-curve",$E45+($F45-$E45)*$L$2/(1+EXP($L$3*(COUNT($L$9:M$9)+$L$4))),TREND($E45:$F45,$E$9:$F$9,M$9))</f>
        <v>0</v>
      </c>
      <c r="N45" s="36">
        <f>IF($G45="s-curve",$E45+($F45-$E45)*$L$2/(1+EXP($L$3*(COUNT($L$9:N$9)+$L$4))),TREND($E45:$F45,$E$9:$F$9,N$9))</f>
        <v>0</v>
      </c>
      <c r="O45" s="36">
        <f>IF($G45="s-curve",$E45+($F45-$E45)*$L$2/(1+EXP($L$3*(COUNT($L$9:O$9)+$L$4))),TREND($E45:$F45,$E$9:$F$9,O$9))</f>
        <v>0</v>
      </c>
      <c r="P45" s="36">
        <f>IF($G45="s-curve",$E45+($F45-$E45)*$L$2/(1+EXP($L$3*(COUNT($L$9:P$9)+$L$4))),TREND($E45:$F45,$E$9:$F$9,P$9))</f>
        <v>0</v>
      </c>
      <c r="Q45" s="36">
        <f>IF($G45="s-curve",$E45+($F45-$E45)*$L$2/(1+EXP($L$3*(COUNT($L$9:Q$9)+$L$4))),TREND($E45:$F45,$E$9:$F$9,Q$9))</f>
        <v>0</v>
      </c>
      <c r="R45" s="36">
        <f>IF($G45="s-curve",$E45+($F45-$E45)*$L$2/(1+EXP($L$3*(COUNT($L$9:R$9)+$L$4))),TREND($E45:$F45,$E$9:$F$9,R$9))</f>
        <v>0</v>
      </c>
      <c r="S45" s="36">
        <f>IF($G45="s-curve",$E45+($F45-$E45)*$L$2/(1+EXP($L$3*(COUNT($L$9:S$9)+$L$4))),TREND($E45:$F45,$E$9:$F$9,S$9))</f>
        <v>0</v>
      </c>
      <c r="T45" s="36">
        <f>IF($G45="s-curve",$E45+($F45-$E45)*$L$2/(1+EXP($L$3*(COUNT($L$9:T$9)+$L$4))),TREND($E45:$F45,$E$9:$F$9,T$9))</f>
        <v>0</v>
      </c>
      <c r="U45" s="36">
        <f>IF($G45="s-curve",$E45+($F45-$E45)*$L$2/(1+EXP($L$3*(COUNT($L$9:U$9)+$L$4))),TREND($E45:$F45,$E$9:$F$9,U$9))</f>
        <v>0</v>
      </c>
      <c r="V45" s="36">
        <f>IF($G45="s-curve",$E45+($F45-$E45)*$L$2/(1+EXP($L$3*(COUNT($L$9:V$9)+$L$4))),TREND($E45:$F45,$E$9:$F$9,V$9))</f>
        <v>0</v>
      </c>
      <c r="W45" s="36">
        <f>IF($G45="s-curve",$E45+($F45-$E45)*$L$2/(1+EXP($L$3*(COUNT($L$9:W$9)+$L$4))),TREND($E45:$F45,$E$9:$F$9,W$9))</f>
        <v>0</v>
      </c>
      <c r="X45" s="36">
        <f>IF($G45="s-curve",$E45+($F45-$E45)*$L$2/(1+EXP($L$3*(COUNT($L$9:X$9)+$L$4))),TREND($E45:$F45,$E$9:$F$9,X$9))</f>
        <v>0</v>
      </c>
      <c r="Y45" s="36">
        <f>IF($G45="s-curve",$E45+($F45-$E45)*$L$2/(1+EXP($L$3*(COUNT($L$9:Y$9)+$L$4))),TREND($E45:$F45,$E$9:$F$9,Y$9))</f>
        <v>0</v>
      </c>
      <c r="Z45" s="36">
        <f>IF($G45="s-curve",$E45+($F45-$E45)*$L$2/(1+EXP($L$3*(COUNT($L$9:Z$9)+$L$4))),TREND($E45:$F45,$E$9:$F$9,Z$9))</f>
        <v>0</v>
      </c>
      <c r="AA45" s="36">
        <f>IF($G45="s-curve",$E45+($F45-$E45)*$L$2/(1+EXP($L$3*(COUNT($L$9:AA$9)+$L$4))),TREND($E45:$F45,$E$9:$F$9,AA$9))</f>
        <v>0</v>
      </c>
      <c r="AB45" s="36">
        <f>IF($G45="s-curve",$E45+($F45-$E45)*$L$2/(1+EXP($L$3*(COUNT($L$9:AB$9)+$L$4))),TREND($E45:$F45,$E$9:$F$9,AB$9))</f>
        <v>0</v>
      </c>
      <c r="AC45" s="36">
        <f>IF($G45="s-curve",$E45+($F45-$E45)*$L$2/(1+EXP($L$3*(COUNT($L$9:AC$9)+$L$4))),TREND($E45:$F45,$E$9:$F$9,AC$9))</f>
        <v>0</v>
      </c>
      <c r="AD45" s="36">
        <f>IF($G45="s-curve",$E45+($F45-$E45)*$L$2/(1+EXP($L$3*(COUNT($L$9:AD$9)+$L$4))),TREND($E45:$F45,$E$9:$F$9,AD$9))</f>
        <v>0</v>
      </c>
      <c r="AE45" s="36">
        <f>IF($G45="s-curve",$E45+($F45-$E45)*$L$2/(1+EXP($L$3*(COUNT($L$9:AE$9)+$L$4))),TREND($E45:$F45,$E$9:$F$9,AE$9))</f>
        <v>0</v>
      </c>
      <c r="AF45" s="36">
        <f>IF($G45="s-curve",$E45+($F45-$E45)*$L$2/(1+EXP($L$3*(COUNT($L$9:AF$9)+$L$4))),TREND($E45:$F45,$E$9:$F$9,AF$9))</f>
        <v>0</v>
      </c>
      <c r="AG45" s="36">
        <f>IF($G45="s-curve",$E45+($F45-$E45)*$L$2/(1+EXP($L$3*(COUNT($L$9:AG$9)+$L$4))),TREND($E45:$F45,$E$9:$F$9,AG$9))</f>
        <v>0</v>
      </c>
      <c r="AH45" s="36">
        <f>IF($G45="s-curve",$E45+($F45-$E45)*$L$2/(1+EXP($L$3*(COUNT($L$9:AH$9)+$L$4))),TREND($E45:$F45,$E$9:$F$9,AH$9))</f>
        <v>0</v>
      </c>
      <c r="AI45" s="36">
        <f>IF($G45="s-curve",$E45+($F45-$E45)*$L$2/(1+EXP($L$3*(COUNT($L$9:AI$9)+$L$4))),TREND($E45:$F45,$E$9:$F$9,AI$9))</f>
        <v>0</v>
      </c>
      <c r="AJ45" s="36">
        <f>IF($G45="s-curve",$E45+($F45-$E45)*$L$2/(1+EXP($L$3*(COUNT($L$9:AJ$9)+$L$4))),TREND($E45:$F45,$E$9:$F$9,AJ$9))</f>
        <v>0</v>
      </c>
      <c r="AK45" s="36">
        <f>IF($G45="s-curve",$E45+($F45-$E45)*$L$2/(1+EXP($L$3*(COUNT($L$9:AK$9)+$L$4))),TREND($E45:$F45,$E$9:$F$9,AK$9))</f>
        <v>0</v>
      </c>
      <c r="AL45" s="36">
        <f>IF($G45="s-curve",$E45+($F45-$E45)*$L$2/(1+EXP($L$3*(COUNT($L$9:AL$9)+$L$4))),TREND($E45:$F45,$E$9:$F$9,AL$9))</f>
        <v>0</v>
      </c>
      <c r="AM45" s="36">
        <f>IF($G45="s-curve",$E45+($F45-$E45)*$L$2/(1+EXP($L$3*(COUNT($L$9:AM$9)+$L$4))),TREND($E45:$F45,$E$9:$F$9,AM$9))</f>
        <v>0</v>
      </c>
      <c r="AN45" s="36">
        <f>IF($G45="s-curve",$E45+($F45-$E45)*$L$2/(1+EXP($L$3*(COUNT($L$9:AN$9)+$L$4))),TREND($E45:$F45,$E$9:$F$9,AN$9))</f>
        <v>0</v>
      </c>
      <c r="AO45" s="36">
        <f>IF($G45="s-curve",$E45+($F45-$E45)*$L$2/(1+EXP($L$3*(COUNT($L$9:AO$9)+$L$4))),TREND($E45:$F45,$E$9:$F$9,AO$9))</f>
        <v>0</v>
      </c>
      <c r="AP45" s="36">
        <f>IF($G45="s-curve",$E45+($F45-$E45)*$L$2/(1+EXP($L$3*(COUNT($L$9:AP$9)+$L$4))),TREND($E45:$F45,$E$9:$F$9,AP$9))</f>
        <v>0</v>
      </c>
      <c r="AQ45" s="36">
        <f>IF($G45="s-curve",$E45+($F45-$E45)*$L$2/(1+EXP($L$3*(COUNT($L$9:AQ$9)+$L$4))),TREND($E45:$F45,$E$9:$F$9,AQ$9))</f>
        <v>0</v>
      </c>
      <c r="AR45" s="36">
        <f>IF($G45="s-curve",$E45+($F45-$E45)*$L$2/(1+EXP($L$3*(COUNT($L$9:AR$9)+$L$4))),TREND($E45:$F45,$E$9:$F$9,AR$9))</f>
        <v>0</v>
      </c>
      <c r="AS45" s="36">
        <f>IF($G45="s-curve",$E45+($F45-$E45)*$L$2/(1+EXP($L$3*(COUNT($L$9:AS$9)+$L$4))),TREND($E45:$F45,$E$9:$F$9,AS$9))</f>
        <v>0</v>
      </c>
      <c r="AT45" s="36">
        <f>IF($G45="s-curve",$E45+($F45-$E45)*$L$2/(1+EXP($L$3*(COUNT($L$9:AT$9)+$L$4))),TREND($E45:$F45,$E$9:$F$9,AT$9))</f>
        <v>0</v>
      </c>
      <c r="AU45" s="36">
        <f>IF($G45="s-curve",$E45+($F45-$E45)*$L$2/(1+EXP($L$3*(COUNT($L$9:AU$9)+$L$4))),TREND($E45:$F45,$E$9:$F$9,AU$9))</f>
        <v>0</v>
      </c>
      <c r="AV45" s="36">
        <f>IF($G45="s-curve",$E45+($F45-$E45)*$L$2/(1+EXP($L$3*(COUNT($L$9:AV$9)+$L$4))),TREND($E45:$F45,$E$9:$F$9,AV$9))</f>
        <v>0</v>
      </c>
      <c r="AW45" s="36">
        <f>IF($G45="s-curve",$E45+($F45-$E45)*$L$2/(1+EXP($L$3*(COUNT($L$9:AW$9)+$L$4))),TREND($E45:$F45,$E$9:$F$9,AW$9))</f>
        <v>0</v>
      </c>
      <c r="AX45" s="36">
        <f>IF($G45="s-curve",$E45+($F45-$E45)*$L$2/(1+EXP($L$3*(COUNT($L$9:AX$9)+$L$4))),TREND($E45:$F45,$E$9:$F$9,AX$9))</f>
        <v>0</v>
      </c>
      <c r="AY45" s="36">
        <f>IF($G45="s-curve",$E45+($F45-$E45)*$L$2/(1+EXP($L$3*(COUNT($L$9:AY$9)+$L$4))),TREND($E45:$F45,$E$9:$F$9,AY$9))</f>
        <v>0</v>
      </c>
      <c r="AZ45" s="36">
        <f>IF($G45="s-curve",$E45+($F45-$E45)*$L$2/(1+EXP($L$3*(COUNT($L$9:AZ$9)+$L$4))),TREND($E45:$F45,$E$9:$F$9,AZ$9))</f>
        <v>0</v>
      </c>
      <c r="BA45" s="36">
        <f>IF($G45="s-curve",$E45+($F45-$E45)*$L$2/(1+EXP($L$3*(COUNT($L$9:BA$9)+$L$4))),TREND($E45:$F45,$E$9:$F$9,BA$9))</f>
        <v>0</v>
      </c>
      <c r="BB45" s="36">
        <f>IF($G45="s-curve",$E45+($F45-$E45)*$L$2/(1+EXP($L$3*(COUNT($L$9:BB$9)+$L$4))),TREND($E45:$F45,$E$9:$F$9,BB$9))</f>
        <v>0</v>
      </c>
      <c r="BC45" s="36">
        <f>IF($G45="s-curve",$E45+($F45-$E45)*$L$2/(1+EXP($L$3*(COUNT($L$9:BC$9)+$L$4))),TREND($E45:$F45,$E$9:$F$9,BC$9))</f>
        <v>0</v>
      </c>
      <c r="BD45" s="36">
        <f>IF($G45="s-curve",$E45+($F45-$E45)*$L$2/(1+EXP($L$3*(COUNT($L$9:BD$9)+$L$4))),TREND($E45:$F45,$E$9:$F$9,BD$9))</f>
        <v>0</v>
      </c>
      <c r="BE45" s="36">
        <f>IF($G45="s-curve",$E45+($F45-$E45)*$L$2/(1+EXP($L$3*(COUNT($L$9:BE$9)+$L$4))),TREND($E45:$F45,$E$9:$F$9,BE$9))</f>
        <v>0</v>
      </c>
      <c r="BF45" s="36">
        <f>IF($G45="s-curve",$E45+($F45-$E45)*$L$2/(1+EXP($L$3*(COUNT($L$9:BF$9)+$L$4))),TREND($E45:$F45,$E$9:$F$9,BF$9))</f>
        <v>0</v>
      </c>
    </row>
    <row r="46" spans="1:58" x14ac:dyDescent="0.25">
      <c r="C46" t="s">
        <v>2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H46" s="33"/>
      <c r="I46">
        <f t="shared" si="22"/>
        <v>0</v>
      </c>
      <c r="J46">
        <f t="shared" si="22"/>
        <v>0</v>
      </c>
      <c r="K46">
        <f t="shared" si="22"/>
        <v>0</v>
      </c>
      <c r="L46" s="36">
        <f t="shared" si="30"/>
        <v>0</v>
      </c>
      <c r="M46" s="36">
        <f>IF($G46="s-curve",$E46+($F46-$E46)*$L$2/(1+EXP($L$3*(COUNT($L$9:M$9)+$L$4))),TREND($E46:$F46,$E$9:$F$9,M$9))</f>
        <v>0</v>
      </c>
      <c r="N46" s="36">
        <f>IF($G46="s-curve",$E46+($F46-$E46)*$L$2/(1+EXP($L$3*(COUNT($L$9:N$9)+$L$4))),TREND($E46:$F46,$E$9:$F$9,N$9))</f>
        <v>0</v>
      </c>
      <c r="O46" s="36">
        <f>IF($G46="s-curve",$E46+($F46-$E46)*$L$2/(1+EXP($L$3*(COUNT($L$9:O$9)+$L$4))),TREND($E46:$F46,$E$9:$F$9,O$9))</f>
        <v>0</v>
      </c>
      <c r="P46" s="36">
        <f>IF($G46="s-curve",$E46+($F46-$E46)*$L$2/(1+EXP($L$3*(COUNT($L$9:P$9)+$L$4))),TREND($E46:$F46,$E$9:$F$9,P$9))</f>
        <v>0</v>
      </c>
      <c r="Q46" s="36">
        <f>IF($G46="s-curve",$E46+($F46-$E46)*$L$2/(1+EXP($L$3*(COUNT($L$9:Q$9)+$L$4))),TREND($E46:$F46,$E$9:$F$9,Q$9))</f>
        <v>0</v>
      </c>
      <c r="R46" s="36">
        <f>IF($G46="s-curve",$E46+($F46-$E46)*$L$2/(1+EXP($L$3*(COUNT($L$9:R$9)+$L$4))),TREND($E46:$F46,$E$9:$F$9,R$9))</f>
        <v>0</v>
      </c>
      <c r="S46" s="36">
        <f>IF($G46="s-curve",$E46+($F46-$E46)*$L$2/(1+EXP($L$3*(COUNT($L$9:S$9)+$L$4))),TREND($E46:$F46,$E$9:$F$9,S$9))</f>
        <v>0</v>
      </c>
      <c r="T46" s="36">
        <f>IF($G46="s-curve",$E46+($F46-$E46)*$L$2/(1+EXP($L$3*(COUNT($L$9:T$9)+$L$4))),TREND($E46:$F46,$E$9:$F$9,T$9))</f>
        <v>0</v>
      </c>
      <c r="U46" s="36">
        <f>IF($G46="s-curve",$E46+($F46-$E46)*$L$2/(1+EXP($L$3*(COUNT($L$9:U$9)+$L$4))),TREND($E46:$F46,$E$9:$F$9,U$9))</f>
        <v>0</v>
      </c>
      <c r="V46" s="36">
        <f>IF($G46="s-curve",$E46+($F46-$E46)*$L$2/(1+EXP($L$3*(COUNT($L$9:V$9)+$L$4))),TREND($E46:$F46,$E$9:$F$9,V$9))</f>
        <v>0</v>
      </c>
      <c r="W46" s="36">
        <f>IF($G46="s-curve",$E46+($F46-$E46)*$L$2/(1+EXP($L$3*(COUNT($L$9:W$9)+$L$4))),TREND($E46:$F46,$E$9:$F$9,W$9))</f>
        <v>0</v>
      </c>
      <c r="X46" s="36">
        <f>IF($G46="s-curve",$E46+($F46-$E46)*$L$2/(1+EXP($L$3*(COUNT($L$9:X$9)+$L$4))),TREND($E46:$F46,$E$9:$F$9,X$9))</f>
        <v>0</v>
      </c>
      <c r="Y46" s="36">
        <f>IF($G46="s-curve",$E46+($F46-$E46)*$L$2/(1+EXP($L$3*(COUNT($L$9:Y$9)+$L$4))),TREND($E46:$F46,$E$9:$F$9,Y$9))</f>
        <v>0</v>
      </c>
      <c r="Z46" s="36">
        <f>IF($G46="s-curve",$E46+($F46-$E46)*$L$2/(1+EXP($L$3*(COUNT($L$9:Z$9)+$L$4))),TREND($E46:$F46,$E$9:$F$9,Z$9))</f>
        <v>0</v>
      </c>
      <c r="AA46" s="36">
        <f>IF($G46="s-curve",$E46+($F46-$E46)*$L$2/(1+EXP($L$3*(COUNT($L$9:AA$9)+$L$4))),TREND($E46:$F46,$E$9:$F$9,AA$9))</f>
        <v>0</v>
      </c>
      <c r="AB46" s="36">
        <f>IF($G46="s-curve",$E46+($F46-$E46)*$L$2/(1+EXP($L$3*(COUNT($L$9:AB$9)+$L$4))),TREND($E46:$F46,$E$9:$F$9,AB$9))</f>
        <v>0</v>
      </c>
      <c r="AC46" s="36">
        <f>IF($G46="s-curve",$E46+($F46-$E46)*$L$2/(1+EXP($L$3*(COUNT($L$9:AC$9)+$L$4))),TREND($E46:$F46,$E$9:$F$9,AC$9))</f>
        <v>0</v>
      </c>
      <c r="AD46" s="36">
        <f>IF($G46="s-curve",$E46+($F46-$E46)*$L$2/(1+EXP($L$3*(COUNT($L$9:AD$9)+$L$4))),TREND($E46:$F46,$E$9:$F$9,AD$9))</f>
        <v>0</v>
      </c>
      <c r="AE46" s="36">
        <f>IF($G46="s-curve",$E46+($F46-$E46)*$L$2/(1+EXP($L$3*(COUNT($L$9:AE$9)+$L$4))),TREND($E46:$F46,$E$9:$F$9,AE$9))</f>
        <v>0</v>
      </c>
      <c r="AF46" s="36">
        <f>IF($G46="s-curve",$E46+($F46-$E46)*$L$2/(1+EXP($L$3*(COUNT($L$9:AF$9)+$L$4))),TREND($E46:$F46,$E$9:$F$9,AF$9))</f>
        <v>0</v>
      </c>
      <c r="AG46" s="36">
        <f>IF($G46="s-curve",$E46+($F46-$E46)*$L$2/(1+EXP($L$3*(COUNT($L$9:AG$9)+$L$4))),TREND($E46:$F46,$E$9:$F$9,AG$9))</f>
        <v>0</v>
      </c>
      <c r="AH46" s="36">
        <f>IF($G46="s-curve",$E46+($F46-$E46)*$L$2/(1+EXP($L$3*(COUNT($L$9:AH$9)+$L$4))),TREND($E46:$F46,$E$9:$F$9,AH$9))</f>
        <v>0</v>
      </c>
      <c r="AI46" s="36">
        <f>IF($G46="s-curve",$E46+($F46-$E46)*$L$2/(1+EXP($L$3*(COUNT($L$9:AI$9)+$L$4))),TREND($E46:$F46,$E$9:$F$9,AI$9))</f>
        <v>0</v>
      </c>
      <c r="AJ46" s="36">
        <f>IF($G46="s-curve",$E46+($F46-$E46)*$L$2/(1+EXP($L$3*(COUNT($L$9:AJ$9)+$L$4))),TREND($E46:$F46,$E$9:$F$9,AJ$9))</f>
        <v>0</v>
      </c>
      <c r="AK46" s="36">
        <f>IF($G46="s-curve",$E46+($F46-$E46)*$L$2/(1+EXP($L$3*(COUNT($L$9:AK$9)+$L$4))),TREND($E46:$F46,$E$9:$F$9,AK$9))</f>
        <v>0</v>
      </c>
      <c r="AL46" s="36">
        <f>IF($G46="s-curve",$E46+($F46-$E46)*$L$2/(1+EXP($L$3*(COUNT($L$9:AL$9)+$L$4))),TREND($E46:$F46,$E$9:$F$9,AL$9))</f>
        <v>0</v>
      </c>
      <c r="AM46" s="36">
        <f>IF($G46="s-curve",$E46+($F46-$E46)*$L$2/(1+EXP($L$3*(COUNT($L$9:AM$9)+$L$4))),TREND($E46:$F46,$E$9:$F$9,AM$9))</f>
        <v>0</v>
      </c>
      <c r="AN46" s="36">
        <f>IF($G46="s-curve",$E46+($F46-$E46)*$L$2/(1+EXP($L$3*(COUNT($L$9:AN$9)+$L$4))),TREND($E46:$F46,$E$9:$F$9,AN$9))</f>
        <v>0</v>
      </c>
      <c r="AO46" s="36">
        <f>IF($G46="s-curve",$E46+($F46-$E46)*$L$2/(1+EXP($L$3*(COUNT($L$9:AO$9)+$L$4))),TREND($E46:$F46,$E$9:$F$9,AO$9))</f>
        <v>0</v>
      </c>
      <c r="AP46" s="36">
        <f>IF($G46="s-curve",$E46+($F46-$E46)*$L$2/(1+EXP($L$3*(COUNT($L$9:AP$9)+$L$4))),TREND($E46:$F46,$E$9:$F$9,AP$9))</f>
        <v>0</v>
      </c>
      <c r="AQ46" s="36">
        <f>IF($G46="s-curve",$E46+($F46-$E46)*$L$2/(1+EXP($L$3*(COUNT($L$9:AQ$9)+$L$4))),TREND($E46:$F46,$E$9:$F$9,AQ$9))</f>
        <v>0</v>
      </c>
      <c r="AR46" s="36">
        <f>IF($G46="s-curve",$E46+($F46-$E46)*$L$2/(1+EXP($L$3*(COUNT($L$9:AR$9)+$L$4))),TREND($E46:$F46,$E$9:$F$9,AR$9))</f>
        <v>0</v>
      </c>
      <c r="AS46" s="36">
        <f>IF($G46="s-curve",$E46+($F46-$E46)*$L$2/(1+EXP($L$3*(COUNT($L$9:AS$9)+$L$4))),TREND($E46:$F46,$E$9:$F$9,AS$9))</f>
        <v>0</v>
      </c>
      <c r="AT46" s="36">
        <f>IF($G46="s-curve",$E46+($F46-$E46)*$L$2/(1+EXP($L$3*(COUNT($L$9:AT$9)+$L$4))),TREND($E46:$F46,$E$9:$F$9,AT$9))</f>
        <v>0</v>
      </c>
      <c r="AU46" s="36">
        <f>IF($G46="s-curve",$E46+($F46-$E46)*$L$2/(1+EXP($L$3*(COUNT($L$9:AU$9)+$L$4))),TREND($E46:$F46,$E$9:$F$9,AU$9))</f>
        <v>0</v>
      </c>
      <c r="AV46" s="36">
        <f>IF($G46="s-curve",$E46+($F46-$E46)*$L$2/(1+EXP($L$3*(COUNT($L$9:AV$9)+$L$4))),TREND($E46:$F46,$E$9:$F$9,AV$9))</f>
        <v>0</v>
      </c>
      <c r="AW46" s="36">
        <f>IF($G46="s-curve",$E46+($F46-$E46)*$L$2/(1+EXP($L$3*(COUNT($L$9:AW$9)+$L$4))),TREND($E46:$F46,$E$9:$F$9,AW$9))</f>
        <v>0</v>
      </c>
      <c r="AX46" s="36">
        <f>IF($G46="s-curve",$E46+($F46-$E46)*$L$2/(1+EXP($L$3*(COUNT($L$9:AX$9)+$L$4))),TREND($E46:$F46,$E$9:$F$9,AX$9))</f>
        <v>0</v>
      </c>
      <c r="AY46" s="36">
        <f>IF($G46="s-curve",$E46+($F46-$E46)*$L$2/(1+EXP($L$3*(COUNT($L$9:AY$9)+$L$4))),TREND($E46:$F46,$E$9:$F$9,AY$9))</f>
        <v>0</v>
      </c>
      <c r="AZ46" s="36">
        <f>IF($G46="s-curve",$E46+($F46-$E46)*$L$2/(1+EXP($L$3*(COUNT($L$9:AZ$9)+$L$4))),TREND($E46:$F46,$E$9:$F$9,AZ$9))</f>
        <v>0</v>
      </c>
      <c r="BA46" s="36">
        <f>IF($G46="s-curve",$E46+($F46-$E46)*$L$2/(1+EXP($L$3*(COUNT($L$9:BA$9)+$L$4))),TREND($E46:$F46,$E$9:$F$9,BA$9))</f>
        <v>0</v>
      </c>
      <c r="BB46" s="36">
        <f>IF($G46="s-curve",$E46+($F46-$E46)*$L$2/(1+EXP($L$3*(COUNT($L$9:BB$9)+$L$4))),TREND($E46:$F46,$E$9:$F$9,BB$9))</f>
        <v>0</v>
      </c>
      <c r="BC46" s="36">
        <f>IF($G46="s-curve",$E46+($F46-$E46)*$L$2/(1+EXP($L$3*(COUNT($L$9:BC$9)+$L$4))),TREND($E46:$F46,$E$9:$F$9,BC$9))</f>
        <v>0</v>
      </c>
      <c r="BD46" s="36">
        <f>IF($G46="s-curve",$E46+($F46-$E46)*$L$2/(1+EXP($L$3*(COUNT($L$9:BD$9)+$L$4))),TREND($E46:$F46,$E$9:$F$9,BD$9))</f>
        <v>0</v>
      </c>
      <c r="BE46" s="36">
        <f>IF($G46="s-curve",$E46+($F46-$E46)*$L$2/(1+EXP($L$3*(COUNT($L$9:BE$9)+$L$4))),TREND($E46:$F46,$E$9:$F$9,BE$9))</f>
        <v>0</v>
      </c>
      <c r="BF46" s="36">
        <f>IF($G46="s-curve",$E46+($F46-$E46)*$L$2/(1+EXP($L$3*(COUNT($L$9:BF$9)+$L$4))),TREND($E46:$F46,$E$9:$F$9,BF$9))</f>
        <v>0</v>
      </c>
    </row>
    <row r="47" spans="1:58" x14ac:dyDescent="0.25">
      <c r="C47" t="s">
        <v>3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H47" s="33"/>
      <c r="I47">
        <f t="shared" si="22"/>
        <v>0</v>
      </c>
      <c r="J47">
        <f t="shared" si="22"/>
        <v>0</v>
      </c>
      <c r="K47">
        <f t="shared" si="22"/>
        <v>0</v>
      </c>
      <c r="L47" s="36">
        <f t="shared" si="30"/>
        <v>0</v>
      </c>
      <c r="M47" s="36">
        <f>IF($G47="s-curve",$E47+($F47-$E47)*$L$2/(1+EXP($L$3*(COUNT($L$9:M$9)+$L$4))),TREND($E47:$F47,$E$9:$F$9,M$9))</f>
        <v>0</v>
      </c>
      <c r="N47" s="36">
        <f>IF($G47="s-curve",$E47+($F47-$E47)*$L$2/(1+EXP($L$3*(COUNT($L$9:N$9)+$L$4))),TREND($E47:$F47,$E$9:$F$9,N$9))</f>
        <v>0</v>
      </c>
      <c r="O47" s="36">
        <f>IF($G47="s-curve",$E47+($F47-$E47)*$L$2/(1+EXP($L$3*(COUNT($L$9:O$9)+$L$4))),TREND($E47:$F47,$E$9:$F$9,O$9))</f>
        <v>0</v>
      </c>
      <c r="P47" s="36">
        <f>IF($G47="s-curve",$E47+($F47-$E47)*$L$2/(1+EXP($L$3*(COUNT($L$9:P$9)+$L$4))),TREND($E47:$F47,$E$9:$F$9,P$9))</f>
        <v>0</v>
      </c>
      <c r="Q47" s="36">
        <f>IF($G47="s-curve",$E47+($F47-$E47)*$L$2/(1+EXP($L$3*(COUNT($L$9:Q$9)+$L$4))),TREND($E47:$F47,$E$9:$F$9,Q$9))</f>
        <v>0</v>
      </c>
      <c r="R47" s="36">
        <f>IF($G47="s-curve",$E47+($F47-$E47)*$L$2/(1+EXP($L$3*(COUNT($L$9:R$9)+$L$4))),TREND($E47:$F47,$E$9:$F$9,R$9))</f>
        <v>0</v>
      </c>
      <c r="S47" s="36">
        <f>IF($G47="s-curve",$E47+($F47-$E47)*$L$2/(1+EXP($L$3*(COUNT($L$9:S$9)+$L$4))),TREND($E47:$F47,$E$9:$F$9,S$9))</f>
        <v>0</v>
      </c>
      <c r="T47" s="36">
        <f>IF($G47="s-curve",$E47+($F47-$E47)*$L$2/(1+EXP($L$3*(COUNT($L$9:T$9)+$L$4))),TREND($E47:$F47,$E$9:$F$9,T$9))</f>
        <v>0</v>
      </c>
      <c r="U47" s="36">
        <f>IF($G47="s-curve",$E47+($F47-$E47)*$L$2/(1+EXP($L$3*(COUNT($L$9:U$9)+$L$4))),TREND($E47:$F47,$E$9:$F$9,U$9))</f>
        <v>0</v>
      </c>
      <c r="V47" s="36">
        <f>IF($G47="s-curve",$E47+($F47-$E47)*$L$2/(1+EXP($L$3*(COUNT($L$9:V$9)+$L$4))),TREND($E47:$F47,$E$9:$F$9,V$9))</f>
        <v>0</v>
      </c>
      <c r="W47" s="36">
        <f>IF($G47="s-curve",$E47+($F47-$E47)*$L$2/(1+EXP($L$3*(COUNT($L$9:W$9)+$L$4))),TREND($E47:$F47,$E$9:$F$9,W$9))</f>
        <v>0</v>
      </c>
      <c r="X47" s="36">
        <f>IF($G47="s-curve",$E47+($F47-$E47)*$L$2/(1+EXP($L$3*(COUNT($L$9:X$9)+$L$4))),TREND($E47:$F47,$E$9:$F$9,X$9))</f>
        <v>0</v>
      </c>
      <c r="Y47" s="36">
        <f>IF($G47="s-curve",$E47+($F47-$E47)*$L$2/(1+EXP($L$3*(COUNT($L$9:Y$9)+$L$4))),TREND($E47:$F47,$E$9:$F$9,Y$9))</f>
        <v>0</v>
      </c>
      <c r="Z47" s="36">
        <f>IF($G47="s-curve",$E47+($F47-$E47)*$L$2/(1+EXP($L$3*(COUNT($L$9:Z$9)+$L$4))),TREND($E47:$F47,$E$9:$F$9,Z$9))</f>
        <v>0</v>
      </c>
      <c r="AA47" s="36">
        <f>IF($G47="s-curve",$E47+($F47-$E47)*$L$2/(1+EXP($L$3*(COUNT($L$9:AA$9)+$L$4))),TREND($E47:$F47,$E$9:$F$9,AA$9))</f>
        <v>0</v>
      </c>
      <c r="AB47" s="36">
        <f>IF($G47="s-curve",$E47+($F47-$E47)*$L$2/(1+EXP($L$3*(COUNT($L$9:AB$9)+$L$4))),TREND($E47:$F47,$E$9:$F$9,AB$9))</f>
        <v>0</v>
      </c>
      <c r="AC47" s="36">
        <f>IF($G47="s-curve",$E47+($F47-$E47)*$L$2/(1+EXP($L$3*(COUNT($L$9:AC$9)+$L$4))),TREND($E47:$F47,$E$9:$F$9,AC$9))</f>
        <v>0</v>
      </c>
      <c r="AD47" s="36">
        <f>IF($G47="s-curve",$E47+($F47-$E47)*$L$2/(1+EXP($L$3*(COUNT($L$9:AD$9)+$L$4))),TREND($E47:$F47,$E$9:$F$9,AD$9))</f>
        <v>0</v>
      </c>
      <c r="AE47" s="36">
        <f>IF($G47="s-curve",$E47+($F47-$E47)*$L$2/(1+EXP($L$3*(COUNT($L$9:AE$9)+$L$4))),TREND($E47:$F47,$E$9:$F$9,AE$9))</f>
        <v>0</v>
      </c>
      <c r="AF47" s="36">
        <f>IF($G47="s-curve",$E47+($F47-$E47)*$L$2/(1+EXP($L$3*(COUNT($L$9:AF$9)+$L$4))),TREND($E47:$F47,$E$9:$F$9,AF$9))</f>
        <v>0</v>
      </c>
      <c r="AG47" s="36">
        <f>IF($G47="s-curve",$E47+($F47-$E47)*$L$2/(1+EXP($L$3*(COUNT($L$9:AG$9)+$L$4))),TREND($E47:$F47,$E$9:$F$9,AG$9))</f>
        <v>0</v>
      </c>
      <c r="AH47" s="36">
        <f>IF($G47="s-curve",$E47+($F47-$E47)*$L$2/(1+EXP($L$3*(COUNT($L$9:AH$9)+$L$4))),TREND($E47:$F47,$E$9:$F$9,AH$9))</f>
        <v>0</v>
      </c>
      <c r="AI47" s="36">
        <f>IF($G47="s-curve",$E47+($F47-$E47)*$L$2/(1+EXP($L$3*(COUNT($L$9:AI$9)+$L$4))),TREND($E47:$F47,$E$9:$F$9,AI$9))</f>
        <v>0</v>
      </c>
      <c r="AJ47" s="36">
        <f>IF($G47="s-curve",$E47+($F47-$E47)*$L$2/(1+EXP($L$3*(COUNT($L$9:AJ$9)+$L$4))),TREND($E47:$F47,$E$9:$F$9,AJ$9))</f>
        <v>0</v>
      </c>
      <c r="AK47" s="36">
        <f>IF($G47="s-curve",$E47+($F47-$E47)*$L$2/(1+EXP($L$3*(COUNT($L$9:AK$9)+$L$4))),TREND($E47:$F47,$E$9:$F$9,AK$9))</f>
        <v>0</v>
      </c>
      <c r="AL47" s="36">
        <f>IF($G47="s-curve",$E47+($F47-$E47)*$L$2/(1+EXP($L$3*(COUNT($L$9:AL$9)+$L$4))),TREND($E47:$F47,$E$9:$F$9,AL$9))</f>
        <v>0</v>
      </c>
      <c r="AM47" s="36">
        <f>IF($G47="s-curve",$E47+($F47-$E47)*$L$2/(1+EXP($L$3*(COUNT($L$9:AM$9)+$L$4))),TREND($E47:$F47,$E$9:$F$9,AM$9))</f>
        <v>0</v>
      </c>
      <c r="AN47" s="36">
        <f>IF($G47="s-curve",$E47+($F47-$E47)*$L$2/(1+EXP($L$3*(COUNT($L$9:AN$9)+$L$4))),TREND($E47:$F47,$E$9:$F$9,AN$9))</f>
        <v>0</v>
      </c>
      <c r="AO47" s="36">
        <f>IF($G47="s-curve",$E47+($F47-$E47)*$L$2/(1+EXP($L$3*(COUNT($L$9:AO$9)+$L$4))),TREND($E47:$F47,$E$9:$F$9,AO$9))</f>
        <v>0</v>
      </c>
      <c r="AP47" s="36">
        <f>IF($G47="s-curve",$E47+($F47-$E47)*$L$2/(1+EXP($L$3*(COUNT($L$9:AP$9)+$L$4))),TREND($E47:$F47,$E$9:$F$9,AP$9))</f>
        <v>0</v>
      </c>
      <c r="AQ47" s="36">
        <f>IF($G47="s-curve",$E47+($F47-$E47)*$L$2/(1+EXP($L$3*(COUNT($L$9:AQ$9)+$L$4))),TREND($E47:$F47,$E$9:$F$9,AQ$9))</f>
        <v>0</v>
      </c>
      <c r="AR47" s="36">
        <f>IF($G47="s-curve",$E47+($F47-$E47)*$L$2/(1+EXP($L$3*(COUNT($L$9:AR$9)+$L$4))),TREND($E47:$F47,$E$9:$F$9,AR$9))</f>
        <v>0</v>
      </c>
      <c r="AS47" s="36">
        <f>IF($G47="s-curve",$E47+($F47-$E47)*$L$2/(1+EXP($L$3*(COUNT($L$9:AS$9)+$L$4))),TREND($E47:$F47,$E$9:$F$9,AS$9))</f>
        <v>0</v>
      </c>
      <c r="AT47" s="36">
        <f>IF($G47="s-curve",$E47+($F47-$E47)*$L$2/(1+EXP($L$3*(COUNT($L$9:AT$9)+$L$4))),TREND($E47:$F47,$E$9:$F$9,AT$9))</f>
        <v>0</v>
      </c>
      <c r="AU47" s="36">
        <f>IF($G47="s-curve",$E47+($F47-$E47)*$L$2/(1+EXP($L$3*(COUNT($L$9:AU$9)+$L$4))),TREND($E47:$F47,$E$9:$F$9,AU$9))</f>
        <v>0</v>
      </c>
      <c r="AV47" s="36">
        <f>IF($G47="s-curve",$E47+($F47-$E47)*$L$2/(1+EXP($L$3*(COUNT($L$9:AV$9)+$L$4))),TREND($E47:$F47,$E$9:$F$9,AV$9))</f>
        <v>0</v>
      </c>
      <c r="AW47" s="36">
        <f>IF($G47="s-curve",$E47+($F47-$E47)*$L$2/(1+EXP($L$3*(COUNT($L$9:AW$9)+$L$4))),TREND($E47:$F47,$E$9:$F$9,AW$9))</f>
        <v>0</v>
      </c>
      <c r="AX47" s="36">
        <f>IF($G47="s-curve",$E47+($F47-$E47)*$L$2/(1+EXP($L$3*(COUNT($L$9:AX$9)+$L$4))),TREND($E47:$F47,$E$9:$F$9,AX$9))</f>
        <v>0</v>
      </c>
      <c r="AY47" s="36">
        <f>IF($G47="s-curve",$E47+($F47-$E47)*$L$2/(1+EXP($L$3*(COUNT($L$9:AY$9)+$L$4))),TREND($E47:$F47,$E$9:$F$9,AY$9))</f>
        <v>0</v>
      </c>
      <c r="AZ47" s="36">
        <f>IF($G47="s-curve",$E47+($F47-$E47)*$L$2/(1+EXP($L$3*(COUNT($L$9:AZ$9)+$L$4))),TREND($E47:$F47,$E$9:$F$9,AZ$9))</f>
        <v>0</v>
      </c>
      <c r="BA47" s="36">
        <f>IF($G47="s-curve",$E47+($F47-$E47)*$L$2/(1+EXP($L$3*(COUNT($L$9:BA$9)+$L$4))),TREND($E47:$F47,$E$9:$F$9,BA$9))</f>
        <v>0</v>
      </c>
      <c r="BB47" s="36">
        <f>IF($G47="s-curve",$E47+($F47-$E47)*$L$2/(1+EXP($L$3*(COUNT($L$9:BB$9)+$L$4))),TREND($E47:$F47,$E$9:$F$9,BB$9))</f>
        <v>0</v>
      </c>
      <c r="BC47" s="36">
        <f>IF($G47="s-curve",$E47+($F47-$E47)*$L$2/(1+EXP($L$3*(COUNT($L$9:BC$9)+$L$4))),TREND($E47:$F47,$E$9:$F$9,BC$9))</f>
        <v>0</v>
      </c>
      <c r="BD47" s="36">
        <f>IF($G47="s-curve",$E47+($F47-$E47)*$L$2/(1+EXP($L$3*(COUNT($L$9:BD$9)+$L$4))),TREND($E47:$F47,$E$9:$F$9,BD$9))</f>
        <v>0</v>
      </c>
      <c r="BE47" s="36">
        <f>IF($G47="s-curve",$E47+($F47-$E47)*$L$2/(1+EXP($L$3*(COUNT($L$9:BE$9)+$L$4))),TREND($E47:$F47,$E$9:$F$9,BE$9))</f>
        <v>0</v>
      </c>
      <c r="BF47" s="36">
        <f>IF($G47="s-curve",$E47+($F47-$E47)*$L$2/(1+EXP($L$3*(COUNT($L$9:BF$9)+$L$4))),TREND($E47:$F47,$E$9:$F$9,BF$9))</f>
        <v>0</v>
      </c>
    </row>
    <row r="48" spans="1:58" x14ac:dyDescent="0.25">
      <c r="C48" t="s">
        <v>4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H48" s="33"/>
      <c r="I48">
        <f t="shared" si="22"/>
        <v>1</v>
      </c>
      <c r="J48">
        <f t="shared" si="22"/>
        <v>1</v>
      </c>
      <c r="K48">
        <f t="shared" si="22"/>
        <v>1</v>
      </c>
      <c r="L48" s="36">
        <f t="shared" si="30"/>
        <v>1</v>
      </c>
      <c r="M48" s="36">
        <f>IF($G48="s-curve",$E48+($F48-$E48)*$L$2/(1+EXP($L$3*(COUNT($L$9:M$9)+$L$4))),TREND($E48:$F48,$E$9:$F$9,M$9))</f>
        <v>1</v>
      </c>
      <c r="N48" s="36">
        <f>IF($G48="s-curve",$E48+($F48-$E48)*$L$2/(1+EXP($L$3*(COUNT($L$9:N$9)+$L$4))),TREND($E48:$F48,$E$9:$F$9,N$9))</f>
        <v>1</v>
      </c>
      <c r="O48" s="36">
        <f>IF($G48="s-curve",$E48+($F48-$E48)*$L$2/(1+EXP($L$3*(COUNT($L$9:O$9)+$L$4))),TREND($E48:$F48,$E$9:$F$9,O$9))</f>
        <v>1</v>
      </c>
      <c r="P48" s="36">
        <f>IF($G48="s-curve",$E48+($F48-$E48)*$L$2/(1+EXP($L$3*(COUNT($L$9:P$9)+$L$4))),TREND($E48:$F48,$E$9:$F$9,P$9))</f>
        <v>1</v>
      </c>
      <c r="Q48" s="36">
        <f>IF($G48="s-curve",$E48+($F48-$E48)*$L$2/(1+EXP($L$3*(COUNT($L$9:Q$9)+$L$4))),TREND($E48:$F48,$E$9:$F$9,Q$9))</f>
        <v>1</v>
      </c>
      <c r="R48" s="36">
        <f>IF($G48="s-curve",$E48+($F48-$E48)*$L$2/(1+EXP($L$3*(COUNT($L$9:R$9)+$L$4))),TREND($E48:$F48,$E$9:$F$9,R$9))</f>
        <v>1</v>
      </c>
      <c r="S48" s="36">
        <f>IF($G48="s-curve",$E48+($F48-$E48)*$L$2/(1+EXP($L$3*(COUNT($L$9:S$9)+$L$4))),TREND($E48:$F48,$E$9:$F$9,S$9))</f>
        <v>1</v>
      </c>
      <c r="T48" s="36">
        <f>IF($G48="s-curve",$E48+($F48-$E48)*$L$2/(1+EXP($L$3*(COUNT($L$9:T$9)+$L$4))),TREND($E48:$F48,$E$9:$F$9,T$9))</f>
        <v>1</v>
      </c>
      <c r="U48" s="36">
        <f>IF($G48="s-curve",$E48+($F48-$E48)*$L$2/(1+EXP($L$3*(COUNT($L$9:U$9)+$L$4))),TREND($E48:$F48,$E$9:$F$9,U$9))</f>
        <v>1</v>
      </c>
      <c r="V48" s="36">
        <f>IF($G48="s-curve",$E48+($F48-$E48)*$L$2/(1+EXP($L$3*(COUNT($L$9:V$9)+$L$4))),TREND($E48:$F48,$E$9:$F$9,V$9))</f>
        <v>1</v>
      </c>
      <c r="W48" s="36">
        <f>IF($G48="s-curve",$E48+($F48-$E48)*$L$2/(1+EXP($L$3*(COUNT($L$9:W$9)+$L$4))),TREND($E48:$F48,$E$9:$F$9,W$9))</f>
        <v>1</v>
      </c>
      <c r="X48" s="36">
        <f>IF($G48="s-curve",$E48+($F48-$E48)*$L$2/(1+EXP($L$3*(COUNT($L$9:X$9)+$L$4))),TREND($E48:$F48,$E$9:$F$9,X$9))</f>
        <v>1</v>
      </c>
      <c r="Y48" s="36">
        <f>IF($G48="s-curve",$E48+($F48-$E48)*$L$2/(1+EXP($L$3*(COUNT($L$9:Y$9)+$L$4))),TREND($E48:$F48,$E$9:$F$9,Y$9))</f>
        <v>1</v>
      </c>
      <c r="Z48" s="36">
        <f>IF($G48="s-curve",$E48+($F48-$E48)*$L$2/(1+EXP($L$3*(COUNT($L$9:Z$9)+$L$4))),TREND($E48:$F48,$E$9:$F$9,Z$9))</f>
        <v>1</v>
      </c>
      <c r="AA48" s="36">
        <f>IF($G48="s-curve",$E48+($F48-$E48)*$L$2/(1+EXP($L$3*(COUNT($L$9:AA$9)+$L$4))),TREND($E48:$F48,$E$9:$F$9,AA$9))</f>
        <v>1</v>
      </c>
      <c r="AB48" s="36">
        <f>IF($G48="s-curve",$E48+($F48-$E48)*$L$2/(1+EXP($L$3*(COUNT($L$9:AB$9)+$L$4))),TREND($E48:$F48,$E$9:$F$9,AB$9))</f>
        <v>1</v>
      </c>
      <c r="AC48" s="36">
        <f>IF($G48="s-curve",$E48+($F48-$E48)*$L$2/(1+EXP($L$3*(COUNT($L$9:AC$9)+$L$4))),TREND($E48:$F48,$E$9:$F$9,AC$9))</f>
        <v>1</v>
      </c>
      <c r="AD48" s="36">
        <f>IF($G48="s-curve",$E48+($F48-$E48)*$L$2/(1+EXP($L$3*(COUNT($L$9:AD$9)+$L$4))),TREND($E48:$F48,$E$9:$F$9,AD$9))</f>
        <v>1</v>
      </c>
      <c r="AE48" s="36">
        <f>IF($G48="s-curve",$E48+($F48-$E48)*$L$2/(1+EXP($L$3*(COUNT($L$9:AE$9)+$L$4))),TREND($E48:$F48,$E$9:$F$9,AE$9))</f>
        <v>1</v>
      </c>
      <c r="AF48" s="36">
        <f>IF($G48="s-curve",$E48+($F48-$E48)*$L$2/(1+EXP($L$3*(COUNT($L$9:AF$9)+$L$4))),TREND($E48:$F48,$E$9:$F$9,AF$9))</f>
        <v>1</v>
      </c>
      <c r="AG48" s="36">
        <f>IF($G48="s-curve",$E48+($F48-$E48)*$L$2/(1+EXP($L$3*(COUNT($L$9:AG$9)+$L$4))),TREND($E48:$F48,$E$9:$F$9,AG$9))</f>
        <v>1</v>
      </c>
      <c r="AH48" s="36">
        <f>IF($G48="s-curve",$E48+($F48-$E48)*$L$2/(1+EXP($L$3*(COUNT($L$9:AH$9)+$L$4))),TREND($E48:$F48,$E$9:$F$9,AH$9))</f>
        <v>1</v>
      </c>
      <c r="AI48" s="36">
        <f>IF($G48="s-curve",$E48+($F48-$E48)*$L$2/(1+EXP($L$3*(COUNT($L$9:AI$9)+$L$4))),TREND($E48:$F48,$E$9:$F$9,AI$9))</f>
        <v>1</v>
      </c>
      <c r="AJ48" s="36">
        <f>IF($G48="s-curve",$E48+($F48-$E48)*$L$2/(1+EXP($L$3*(COUNT($L$9:AJ$9)+$L$4))),TREND($E48:$F48,$E$9:$F$9,AJ$9))</f>
        <v>1</v>
      </c>
      <c r="AK48" s="36">
        <f>IF($G48="s-curve",$E48+($F48-$E48)*$L$2/(1+EXP($L$3*(COUNT($L$9:AK$9)+$L$4))),TREND($E48:$F48,$E$9:$F$9,AK$9))</f>
        <v>1</v>
      </c>
      <c r="AL48" s="36">
        <f>IF($G48="s-curve",$E48+($F48-$E48)*$L$2/(1+EXP($L$3*(COUNT($L$9:AL$9)+$L$4))),TREND($E48:$F48,$E$9:$F$9,AL$9))</f>
        <v>1</v>
      </c>
      <c r="AM48" s="36">
        <f>IF($G48="s-curve",$E48+($F48-$E48)*$L$2/(1+EXP($L$3*(COUNT($L$9:AM$9)+$L$4))),TREND($E48:$F48,$E$9:$F$9,AM$9))</f>
        <v>1</v>
      </c>
      <c r="AN48" s="36">
        <f>IF($G48="s-curve",$E48+($F48-$E48)*$L$2/(1+EXP($L$3*(COUNT($L$9:AN$9)+$L$4))),TREND($E48:$F48,$E$9:$F$9,AN$9))</f>
        <v>1</v>
      </c>
      <c r="AO48" s="36">
        <f>IF($G48="s-curve",$E48+($F48-$E48)*$L$2/(1+EXP($L$3*(COUNT($L$9:AO$9)+$L$4))),TREND($E48:$F48,$E$9:$F$9,AO$9))</f>
        <v>1</v>
      </c>
      <c r="AP48" s="36">
        <f>IF($G48="s-curve",$E48+($F48-$E48)*$L$2/(1+EXP($L$3*(COUNT($L$9:AP$9)+$L$4))),TREND($E48:$F48,$E$9:$F$9,AP$9))</f>
        <v>1</v>
      </c>
      <c r="AQ48" s="36">
        <f>IF($G48="s-curve",$E48+($F48-$E48)*$L$2/(1+EXP($L$3*(COUNT($L$9:AQ$9)+$L$4))),TREND($E48:$F48,$E$9:$F$9,AQ$9))</f>
        <v>1</v>
      </c>
      <c r="AR48" s="36">
        <f>IF($G48="s-curve",$E48+($F48-$E48)*$L$2/(1+EXP($L$3*(COUNT($L$9:AR$9)+$L$4))),TREND($E48:$F48,$E$9:$F$9,AR$9))</f>
        <v>1</v>
      </c>
      <c r="AS48" s="36">
        <f>IF($G48="s-curve",$E48+($F48-$E48)*$L$2/(1+EXP($L$3*(COUNT($L$9:AS$9)+$L$4))),TREND($E48:$F48,$E$9:$F$9,AS$9))</f>
        <v>1</v>
      </c>
      <c r="AT48" s="36">
        <f>IF($G48="s-curve",$E48+($F48-$E48)*$L$2/(1+EXP($L$3*(COUNT($L$9:AT$9)+$L$4))),TREND($E48:$F48,$E$9:$F$9,AT$9))</f>
        <v>1</v>
      </c>
      <c r="AU48" s="36">
        <f>IF($G48="s-curve",$E48+($F48-$E48)*$L$2/(1+EXP($L$3*(COUNT($L$9:AU$9)+$L$4))),TREND($E48:$F48,$E$9:$F$9,AU$9))</f>
        <v>1</v>
      </c>
      <c r="AV48" s="36">
        <f>IF($G48="s-curve",$E48+($F48-$E48)*$L$2/(1+EXP($L$3*(COUNT($L$9:AV$9)+$L$4))),TREND($E48:$F48,$E$9:$F$9,AV$9))</f>
        <v>1</v>
      </c>
      <c r="AW48" s="36">
        <f>IF($G48="s-curve",$E48+($F48-$E48)*$L$2/(1+EXP($L$3*(COUNT($L$9:AW$9)+$L$4))),TREND($E48:$F48,$E$9:$F$9,AW$9))</f>
        <v>1</v>
      </c>
      <c r="AX48" s="36">
        <f>IF($G48="s-curve",$E48+($F48-$E48)*$L$2/(1+EXP($L$3*(COUNT($L$9:AX$9)+$L$4))),TREND($E48:$F48,$E$9:$F$9,AX$9))</f>
        <v>1</v>
      </c>
      <c r="AY48" s="36">
        <f>IF($G48="s-curve",$E48+($F48-$E48)*$L$2/(1+EXP($L$3*(COUNT($L$9:AY$9)+$L$4))),TREND($E48:$F48,$E$9:$F$9,AY$9))</f>
        <v>1</v>
      </c>
      <c r="AZ48" s="36">
        <f>IF($G48="s-curve",$E48+($F48-$E48)*$L$2/(1+EXP($L$3*(COUNT($L$9:AZ$9)+$L$4))),TREND($E48:$F48,$E$9:$F$9,AZ$9))</f>
        <v>1</v>
      </c>
      <c r="BA48" s="36">
        <f>IF($G48="s-curve",$E48+($F48-$E48)*$L$2/(1+EXP($L$3*(COUNT($L$9:BA$9)+$L$4))),TREND($E48:$F48,$E$9:$F$9,BA$9))</f>
        <v>1</v>
      </c>
      <c r="BB48" s="36">
        <f>IF($G48="s-curve",$E48+($F48-$E48)*$L$2/(1+EXP($L$3*(COUNT($L$9:BB$9)+$L$4))),TREND($E48:$F48,$E$9:$F$9,BB$9))</f>
        <v>1</v>
      </c>
      <c r="BC48" s="36">
        <f>IF($G48="s-curve",$E48+($F48-$E48)*$L$2/(1+EXP($L$3*(COUNT($L$9:BC$9)+$L$4))),TREND($E48:$F48,$E$9:$F$9,BC$9))</f>
        <v>1</v>
      </c>
      <c r="BD48" s="36">
        <f>IF($G48="s-curve",$E48+($F48-$E48)*$L$2/(1+EXP($L$3*(COUNT($L$9:BD$9)+$L$4))),TREND($E48:$F48,$E$9:$F$9,BD$9))</f>
        <v>1</v>
      </c>
      <c r="BE48" s="36">
        <f>IF($G48="s-curve",$E48+($F48-$E48)*$L$2/(1+EXP($L$3*(COUNT($L$9:BE$9)+$L$4))),TREND($E48:$F48,$E$9:$F$9,BE$9))</f>
        <v>1</v>
      </c>
      <c r="BF48" s="36">
        <f>IF($G48="s-curve",$E48+($F48-$E48)*$L$2/(1+EXP($L$3*(COUNT($L$9:BF$9)+$L$4))),TREND($E48:$F48,$E$9:$F$9,BF$9))</f>
        <v>1</v>
      </c>
    </row>
    <row r="49" spans="1:58" x14ac:dyDescent="0.25">
      <c r="C49" t="s">
        <v>5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H49" s="33"/>
      <c r="I49">
        <f t="shared" si="22"/>
        <v>0</v>
      </c>
      <c r="J49">
        <f t="shared" si="22"/>
        <v>0</v>
      </c>
      <c r="K49">
        <f t="shared" si="22"/>
        <v>0</v>
      </c>
      <c r="L49" s="36">
        <f t="shared" si="30"/>
        <v>0</v>
      </c>
      <c r="M49" s="36">
        <f>IF($G49="s-curve",$E49+($F49-$E49)*$L$2/(1+EXP($L$3*(COUNT($L$9:M$9)+$L$4))),TREND($E49:$F49,$E$9:$F$9,M$9))</f>
        <v>0</v>
      </c>
      <c r="N49" s="36">
        <f>IF($G49="s-curve",$E49+($F49-$E49)*$L$2/(1+EXP($L$3*(COUNT($L$9:N$9)+$L$4))),TREND($E49:$F49,$E$9:$F$9,N$9))</f>
        <v>0</v>
      </c>
      <c r="O49" s="36">
        <f>IF($G49="s-curve",$E49+($F49-$E49)*$L$2/(1+EXP($L$3*(COUNT($L$9:O$9)+$L$4))),TREND($E49:$F49,$E$9:$F$9,O$9))</f>
        <v>0</v>
      </c>
      <c r="P49" s="36">
        <f>IF($G49="s-curve",$E49+($F49-$E49)*$L$2/(1+EXP($L$3*(COUNT($L$9:P$9)+$L$4))),TREND($E49:$F49,$E$9:$F$9,P$9))</f>
        <v>0</v>
      </c>
      <c r="Q49" s="36">
        <f>IF($G49="s-curve",$E49+($F49-$E49)*$L$2/(1+EXP($L$3*(COUNT($L$9:Q$9)+$L$4))),TREND($E49:$F49,$E$9:$F$9,Q$9))</f>
        <v>0</v>
      </c>
      <c r="R49" s="36">
        <f>IF($G49="s-curve",$E49+($F49-$E49)*$L$2/(1+EXP($L$3*(COUNT($L$9:R$9)+$L$4))),TREND($E49:$F49,$E$9:$F$9,R$9))</f>
        <v>0</v>
      </c>
      <c r="S49" s="36">
        <f>IF($G49="s-curve",$E49+($F49-$E49)*$L$2/(1+EXP($L$3*(COUNT($L$9:S$9)+$L$4))),TREND($E49:$F49,$E$9:$F$9,S$9))</f>
        <v>0</v>
      </c>
      <c r="T49" s="36">
        <f>IF($G49="s-curve",$E49+($F49-$E49)*$L$2/(1+EXP($L$3*(COUNT($L$9:T$9)+$L$4))),TREND($E49:$F49,$E$9:$F$9,T$9))</f>
        <v>0</v>
      </c>
      <c r="U49" s="36">
        <f>IF($G49="s-curve",$E49+($F49-$E49)*$L$2/(1+EXP($L$3*(COUNT($L$9:U$9)+$L$4))),TREND($E49:$F49,$E$9:$F$9,U$9))</f>
        <v>0</v>
      </c>
      <c r="V49" s="36">
        <f>IF($G49="s-curve",$E49+($F49-$E49)*$L$2/(1+EXP($L$3*(COUNT($L$9:V$9)+$L$4))),TREND($E49:$F49,$E$9:$F$9,V$9))</f>
        <v>0</v>
      </c>
      <c r="W49" s="36">
        <f>IF($G49="s-curve",$E49+($F49-$E49)*$L$2/(1+EXP($L$3*(COUNT($L$9:W$9)+$L$4))),TREND($E49:$F49,$E$9:$F$9,W$9))</f>
        <v>0</v>
      </c>
      <c r="X49" s="36">
        <f>IF($G49="s-curve",$E49+($F49-$E49)*$L$2/(1+EXP($L$3*(COUNT($L$9:X$9)+$L$4))),TREND($E49:$F49,$E$9:$F$9,X$9))</f>
        <v>0</v>
      </c>
      <c r="Y49" s="36">
        <f>IF($G49="s-curve",$E49+($F49-$E49)*$L$2/(1+EXP($L$3*(COUNT($L$9:Y$9)+$L$4))),TREND($E49:$F49,$E$9:$F$9,Y$9))</f>
        <v>0</v>
      </c>
      <c r="Z49" s="36">
        <f>IF($G49="s-curve",$E49+($F49-$E49)*$L$2/(1+EXP($L$3*(COUNT($L$9:Z$9)+$L$4))),TREND($E49:$F49,$E$9:$F$9,Z$9))</f>
        <v>0</v>
      </c>
      <c r="AA49" s="36">
        <f>IF($G49="s-curve",$E49+($F49-$E49)*$L$2/(1+EXP($L$3*(COUNT($L$9:AA$9)+$L$4))),TREND($E49:$F49,$E$9:$F$9,AA$9))</f>
        <v>0</v>
      </c>
      <c r="AB49" s="36">
        <f>IF($G49="s-curve",$E49+($F49-$E49)*$L$2/(1+EXP($L$3*(COUNT($L$9:AB$9)+$L$4))),TREND($E49:$F49,$E$9:$F$9,AB$9))</f>
        <v>0</v>
      </c>
      <c r="AC49" s="36">
        <f>IF($G49="s-curve",$E49+($F49-$E49)*$L$2/(1+EXP($L$3*(COUNT($L$9:AC$9)+$L$4))),TREND($E49:$F49,$E$9:$F$9,AC$9))</f>
        <v>0</v>
      </c>
      <c r="AD49" s="36">
        <f>IF($G49="s-curve",$E49+($F49-$E49)*$L$2/(1+EXP($L$3*(COUNT($L$9:AD$9)+$L$4))),TREND($E49:$F49,$E$9:$F$9,AD$9))</f>
        <v>0</v>
      </c>
      <c r="AE49" s="36">
        <f>IF($G49="s-curve",$E49+($F49-$E49)*$L$2/(1+EXP($L$3*(COUNT($L$9:AE$9)+$L$4))),TREND($E49:$F49,$E$9:$F$9,AE$9))</f>
        <v>0</v>
      </c>
      <c r="AF49" s="36">
        <f>IF($G49="s-curve",$E49+($F49-$E49)*$L$2/(1+EXP($L$3*(COUNT($L$9:AF$9)+$L$4))),TREND($E49:$F49,$E$9:$F$9,AF$9))</f>
        <v>0</v>
      </c>
      <c r="AG49" s="36">
        <f>IF($G49="s-curve",$E49+($F49-$E49)*$L$2/(1+EXP($L$3*(COUNT($L$9:AG$9)+$L$4))),TREND($E49:$F49,$E$9:$F$9,AG$9))</f>
        <v>0</v>
      </c>
      <c r="AH49" s="36">
        <f>IF($G49="s-curve",$E49+($F49-$E49)*$L$2/(1+EXP($L$3*(COUNT($L$9:AH$9)+$L$4))),TREND($E49:$F49,$E$9:$F$9,AH$9))</f>
        <v>0</v>
      </c>
      <c r="AI49" s="36">
        <f>IF($G49="s-curve",$E49+($F49-$E49)*$L$2/(1+EXP($L$3*(COUNT($L$9:AI$9)+$L$4))),TREND($E49:$F49,$E$9:$F$9,AI$9))</f>
        <v>0</v>
      </c>
      <c r="AJ49" s="36">
        <f>IF($G49="s-curve",$E49+($F49-$E49)*$L$2/(1+EXP($L$3*(COUNT($L$9:AJ$9)+$L$4))),TREND($E49:$F49,$E$9:$F$9,AJ$9))</f>
        <v>0</v>
      </c>
      <c r="AK49" s="36">
        <f>IF($G49="s-curve",$E49+($F49-$E49)*$L$2/(1+EXP($L$3*(COUNT($L$9:AK$9)+$L$4))),TREND($E49:$F49,$E$9:$F$9,AK$9))</f>
        <v>0</v>
      </c>
      <c r="AL49" s="36">
        <f>IF($G49="s-curve",$E49+($F49-$E49)*$L$2/(1+EXP($L$3*(COUNT($L$9:AL$9)+$L$4))),TREND($E49:$F49,$E$9:$F$9,AL$9))</f>
        <v>0</v>
      </c>
      <c r="AM49" s="36">
        <f>IF($G49="s-curve",$E49+($F49-$E49)*$L$2/(1+EXP($L$3*(COUNT($L$9:AM$9)+$L$4))),TREND($E49:$F49,$E$9:$F$9,AM$9))</f>
        <v>0</v>
      </c>
      <c r="AN49" s="36">
        <f>IF($G49="s-curve",$E49+($F49-$E49)*$L$2/(1+EXP($L$3*(COUNT($L$9:AN$9)+$L$4))),TREND($E49:$F49,$E$9:$F$9,AN$9))</f>
        <v>0</v>
      </c>
      <c r="AO49" s="36">
        <f>IF($G49="s-curve",$E49+($F49-$E49)*$L$2/(1+EXP($L$3*(COUNT($L$9:AO$9)+$L$4))),TREND($E49:$F49,$E$9:$F$9,AO$9))</f>
        <v>0</v>
      </c>
      <c r="AP49" s="36">
        <f>IF($G49="s-curve",$E49+($F49-$E49)*$L$2/(1+EXP($L$3*(COUNT($L$9:AP$9)+$L$4))),TREND($E49:$F49,$E$9:$F$9,AP$9))</f>
        <v>0</v>
      </c>
      <c r="AQ49" s="36">
        <f>IF($G49="s-curve",$E49+($F49-$E49)*$L$2/(1+EXP($L$3*(COUNT($L$9:AQ$9)+$L$4))),TREND($E49:$F49,$E$9:$F$9,AQ$9))</f>
        <v>0</v>
      </c>
      <c r="AR49" s="36">
        <f>IF($G49="s-curve",$E49+($F49-$E49)*$L$2/(1+EXP($L$3*(COUNT($L$9:AR$9)+$L$4))),TREND($E49:$F49,$E$9:$F$9,AR$9))</f>
        <v>0</v>
      </c>
      <c r="AS49" s="36">
        <f>IF($G49="s-curve",$E49+($F49-$E49)*$L$2/(1+EXP($L$3*(COUNT($L$9:AS$9)+$L$4))),TREND($E49:$F49,$E$9:$F$9,AS$9))</f>
        <v>0</v>
      </c>
      <c r="AT49" s="36">
        <f>IF($G49="s-curve",$E49+($F49-$E49)*$L$2/(1+EXP($L$3*(COUNT($L$9:AT$9)+$L$4))),TREND($E49:$F49,$E$9:$F$9,AT$9))</f>
        <v>0</v>
      </c>
      <c r="AU49" s="36">
        <f>IF($G49="s-curve",$E49+($F49-$E49)*$L$2/(1+EXP($L$3*(COUNT($L$9:AU$9)+$L$4))),TREND($E49:$F49,$E$9:$F$9,AU$9))</f>
        <v>0</v>
      </c>
      <c r="AV49" s="36">
        <f>IF($G49="s-curve",$E49+($F49-$E49)*$L$2/(1+EXP($L$3*(COUNT($L$9:AV$9)+$L$4))),TREND($E49:$F49,$E$9:$F$9,AV$9))</f>
        <v>0</v>
      </c>
      <c r="AW49" s="36">
        <f>IF($G49="s-curve",$E49+($F49-$E49)*$L$2/(1+EXP($L$3*(COUNT($L$9:AW$9)+$L$4))),TREND($E49:$F49,$E$9:$F$9,AW$9))</f>
        <v>0</v>
      </c>
      <c r="AX49" s="36">
        <f>IF($G49="s-curve",$E49+($F49-$E49)*$L$2/(1+EXP($L$3*(COUNT($L$9:AX$9)+$L$4))),TREND($E49:$F49,$E$9:$F$9,AX$9))</f>
        <v>0</v>
      </c>
      <c r="AY49" s="36">
        <f>IF($G49="s-curve",$E49+($F49-$E49)*$L$2/(1+EXP($L$3*(COUNT($L$9:AY$9)+$L$4))),TREND($E49:$F49,$E$9:$F$9,AY$9))</f>
        <v>0</v>
      </c>
      <c r="AZ49" s="36">
        <f>IF($G49="s-curve",$E49+($F49-$E49)*$L$2/(1+EXP($L$3*(COUNT($L$9:AZ$9)+$L$4))),TREND($E49:$F49,$E$9:$F$9,AZ$9))</f>
        <v>0</v>
      </c>
      <c r="BA49" s="36">
        <f>IF($G49="s-curve",$E49+($F49-$E49)*$L$2/(1+EXP($L$3*(COUNT($L$9:BA$9)+$L$4))),TREND($E49:$F49,$E$9:$F$9,BA$9))</f>
        <v>0</v>
      </c>
      <c r="BB49" s="36">
        <f>IF($G49="s-curve",$E49+($F49-$E49)*$L$2/(1+EXP($L$3*(COUNT($L$9:BB$9)+$L$4))),TREND($E49:$F49,$E$9:$F$9,BB$9))</f>
        <v>0</v>
      </c>
      <c r="BC49" s="36">
        <f>IF($G49="s-curve",$E49+($F49-$E49)*$L$2/(1+EXP($L$3*(COUNT($L$9:BC$9)+$L$4))),TREND($E49:$F49,$E$9:$F$9,BC$9))</f>
        <v>0</v>
      </c>
      <c r="BD49" s="36">
        <f>IF($G49="s-curve",$E49+($F49-$E49)*$L$2/(1+EXP($L$3*(COUNT($L$9:BD$9)+$L$4))),TREND($E49:$F49,$E$9:$F$9,BD$9))</f>
        <v>0</v>
      </c>
      <c r="BE49" s="36">
        <f>IF($G49="s-curve",$E49+($F49-$E49)*$L$2/(1+EXP($L$3*(COUNT($L$9:BE$9)+$L$4))),TREND($E49:$F49,$E$9:$F$9,BE$9))</f>
        <v>0</v>
      </c>
      <c r="BF49" s="36">
        <f>IF($G49="s-curve",$E49+($F49-$E49)*$L$2/(1+EXP($L$3*(COUNT($L$9:BF$9)+$L$4))),TREND($E49:$F49,$E$9:$F$9,BF$9))</f>
        <v>0</v>
      </c>
    </row>
    <row r="50" spans="1:58" x14ac:dyDescent="0.25">
      <c r="C50" t="s">
        <v>33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H50" s="33"/>
      <c r="I50">
        <f t="shared" si="22"/>
        <v>0</v>
      </c>
      <c r="J50">
        <f t="shared" si="22"/>
        <v>0</v>
      </c>
      <c r="K50">
        <f t="shared" si="22"/>
        <v>0</v>
      </c>
      <c r="L50" s="36">
        <f t="shared" si="30"/>
        <v>0</v>
      </c>
      <c r="M50" s="36">
        <f>IF($G50="s-curve",$E50+($F50-$E50)*$L$2/(1+EXP($L$3*(COUNT($L$9:M$9)+$L$4))),TREND($E50:$F50,$E$9:$F$9,M$9))</f>
        <v>0</v>
      </c>
      <c r="N50" s="36">
        <f>IF($G50="s-curve",$E50+($F50-$E50)*$L$2/(1+EXP($L$3*(COUNT($L$9:N$9)+$L$4))),TREND($E50:$F50,$E$9:$F$9,N$9))</f>
        <v>0</v>
      </c>
      <c r="O50" s="36">
        <f>IF($G50="s-curve",$E50+($F50-$E50)*$L$2/(1+EXP($L$3*(COUNT($L$9:O$9)+$L$4))),TREND($E50:$F50,$E$9:$F$9,O$9))</f>
        <v>0</v>
      </c>
      <c r="P50" s="36">
        <f>IF($G50="s-curve",$E50+($F50-$E50)*$L$2/(1+EXP($L$3*(COUNT($L$9:P$9)+$L$4))),TREND($E50:$F50,$E$9:$F$9,P$9))</f>
        <v>0</v>
      </c>
      <c r="Q50" s="36">
        <f>IF($G50="s-curve",$E50+($F50-$E50)*$L$2/(1+EXP($L$3*(COUNT($L$9:Q$9)+$L$4))),TREND($E50:$F50,$E$9:$F$9,Q$9))</f>
        <v>0</v>
      </c>
      <c r="R50" s="36">
        <f>IF($G50="s-curve",$E50+($F50-$E50)*$L$2/(1+EXP($L$3*(COUNT($L$9:R$9)+$L$4))),TREND($E50:$F50,$E$9:$F$9,R$9))</f>
        <v>0</v>
      </c>
      <c r="S50" s="36">
        <f>IF($G50="s-curve",$E50+($F50-$E50)*$L$2/(1+EXP($L$3*(COUNT($L$9:S$9)+$L$4))),TREND($E50:$F50,$E$9:$F$9,S$9))</f>
        <v>0</v>
      </c>
      <c r="T50" s="36">
        <f>IF($G50="s-curve",$E50+($F50-$E50)*$L$2/(1+EXP($L$3*(COUNT($L$9:T$9)+$L$4))),TREND($E50:$F50,$E$9:$F$9,T$9))</f>
        <v>0</v>
      </c>
      <c r="U50" s="36">
        <f>IF($G50="s-curve",$E50+($F50-$E50)*$L$2/(1+EXP($L$3*(COUNT($L$9:U$9)+$L$4))),TREND($E50:$F50,$E$9:$F$9,U$9))</f>
        <v>0</v>
      </c>
      <c r="V50" s="36">
        <f>IF($G50="s-curve",$E50+($F50-$E50)*$L$2/(1+EXP($L$3*(COUNT($L$9:V$9)+$L$4))),TREND($E50:$F50,$E$9:$F$9,V$9))</f>
        <v>0</v>
      </c>
      <c r="W50" s="36">
        <f>IF($G50="s-curve",$E50+($F50-$E50)*$L$2/(1+EXP($L$3*(COUNT($L$9:W$9)+$L$4))),TREND($E50:$F50,$E$9:$F$9,W$9))</f>
        <v>0</v>
      </c>
      <c r="X50" s="36">
        <f>IF($G50="s-curve",$E50+($F50-$E50)*$L$2/(1+EXP($L$3*(COUNT($L$9:X$9)+$L$4))),TREND($E50:$F50,$E$9:$F$9,X$9))</f>
        <v>0</v>
      </c>
      <c r="Y50" s="36">
        <f>IF($G50="s-curve",$E50+($F50-$E50)*$L$2/(1+EXP($L$3*(COUNT($L$9:Y$9)+$L$4))),TREND($E50:$F50,$E$9:$F$9,Y$9))</f>
        <v>0</v>
      </c>
      <c r="Z50" s="36">
        <f>IF($G50="s-curve",$E50+($F50-$E50)*$L$2/(1+EXP($L$3*(COUNT($L$9:Z$9)+$L$4))),TREND($E50:$F50,$E$9:$F$9,Z$9))</f>
        <v>0</v>
      </c>
      <c r="AA50" s="36">
        <f>IF($G50="s-curve",$E50+($F50-$E50)*$L$2/(1+EXP($L$3*(COUNT($L$9:AA$9)+$L$4))),TREND($E50:$F50,$E$9:$F$9,AA$9))</f>
        <v>0</v>
      </c>
      <c r="AB50" s="36">
        <f>IF($G50="s-curve",$E50+($F50-$E50)*$L$2/(1+EXP($L$3*(COUNT($L$9:AB$9)+$L$4))),TREND($E50:$F50,$E$9:$F$9,AB$9))</f>
        <v>0</v>
      </c>
      <c r="AC50" s="36">
        <f>IF($G50="s-curve",$E50+($F50-$E50)*$L$2/(1+EXP($L$3*(COUNT($L$9:AC$9)+$L$4))),TREND($E50:$F50,$E$9:$F$9,AC$9))</f>
        <v>0</v>
      </c>
      <c r="AD50" s="36">
        <f>IF($G50="s-curve",$E50+($F50-$E50)*$L$2/(1+EXP($L$3*(COUNT($L$9:AD$9)+$L$4))),TREND($E50:$F50,$E$9:$F$9,AD$9))</f>
        <v>0</v>
      </c>
      <c r="AE50" s="36">
        <f>IF($G50="s-curve",$E50+($F50-$E50)*$L$2/(1+EXP($L$3*(COUNT($L$9:AE$9)+$L$4))),TREND($E50:$F50,$E$9:$F$9,AE$9))</f>
        <v>0</v>
      </c>
      <c r="AF50" s="36">
        <f>IF($G50="s-curve",$E50+($F50-$E50)*$L$2/(1+EXP($L$3*(COUNT($L$9:AF$9)+$L$4))),TREND($E50:$F50,$E$9:$F$9,AF$9))</f>
        <v>0</v>
      </c>
      <c r="AG50" s="36">
        <f>IF($G50="s-curve",$E50+($F50-$E50)*$L$2/(1+EXP($L$3*(COUNT($L$9:AG$9)+$L$4))),TREND($E50:$F50,$E$9:$F$9,AG$9))</f>
        <v>0</v>
      </c>
      <c r="AH50" s="36">
        <f>IF($G50="s-curve",$E50+($F50-$E50)*$L$2/(1+EXP($L$3*(COUNT($L$9:AH$9)+$L$4))),TREND($E50:$F50,$E$9:$F$9,AH$9))</f>
        <v>0</v>
      </c>
      <c r="AI50" s="36">
        <f>IF($G50="s-curve",$E50+($F50-$E50)*$L$2/(1+EXP($L$3*(COUNT($L$9:AI$9)+$L$4))),TREND($E50:$F50,$E$9:$F$9,AI$9))</f>
        <v>0</v>
      </c>
      <c r="AJ50" s="36">
        <f>IF($G50="s-curve",$E50+($F50-$E50)*$L$2/(1+EXP($L$3*(COUNT($L$9:AJ$9)+$L$4))),TREND($E50:$F50,$E$9:$F$9,AJ$9))</f>
        <v>0</v>
      </c>
      <c r="AK50" s="36">
        <f>IF($G50="s-curve",$E50+($F50-$E50)*$L$2/(1+EXP($L$3*(COUNT($L$9:AK$9)+$L$4))),TREND($E50:$F50,$E$9:$F$9,AK$9))</f>
        <v>0</v>
      </c>
      <c r="AL50" s="36">
        <f>IF($G50="s-curve",$E50+($F50-$E50)*$L$2/(1+EXP($L$3*(COUNT($L$9:AL$9)+$L$4))),TREND($E50:$F50,$E$9:$F$9,AL$9))</f>
        <v>0</v>
      </c>
      <c r="AM50" s="36">
        <f>IF($G50="s-curve",$E50+($F50-$E50)*$L$2/(1+EXP($L$3*(COUNT($L$9:AM$9)+$L$4))),TREND($E50:$F50,$E$9:$F$9,AM$9))</f>
        <v>0</v>
      </c>
      <c r="AN50" s="36">
        <f>IF($G50="s-curve",$E50+($F50-$E50)*$L$2/(1+EXP($L$3*(COUNT($L$9:AN$9)+$L$4))),TREND($E50:$F50,$E$9:$F$9,AN$9))</f>
        <v>0</v>
      </c>
      <c r="AO50" s="36">
        <f>IF($G50="s-curve",$E50+($F50-$E50)*$L$2/(1+EXP($L$3*(COUNT($L$9:AO$9)+$L$4))),TREND($E50:$F50,$E$9:$F$9,AO$9))</f>
        <v>0</v>
      </c>
      <c r="AP50" s="36">
        <f>IF($G50="s-curve",$E50+($F50-$E50)*$L$2/(1+EXP($L$3*(COUNT($L$9:AP$9)+$L$4))),TREND($E50:$F50,$E$9:$F$9,AP$9))</f>
        <v>0</v>
      </c>
      <c r="AQ50" s="36">
        <f>IF($G50="s-curve",$E50+($F50-$E50)*$L$2/(1+EXP($L$3*(COUNT($L$9:AQ$9)+$L$4))),TREND($E50:$F50,$E$9:$F$9,AQ$9))</f>
        <v>0</v>
      </c>
      <c r="AR50" s="36">
        <f>IF($G50="s-curve",$E50+($F50-$E50)*$L$2/(1+EXP($L$3*(COUNT($L$9:AR$9)+$L$4))),TREND($E50:$F50,$E$9:$F$9,AR$9))</f>
        <v>0</v>
      </c>
      <c r="AS50" s="36">
        <f>IF($G50="s-curve",$E50+($F50-$E50)*$L$2/(1+EXP($L$3*(COUNT($L$9:AS$9)+$L$4))),TREND($E50:$F50,$E$9:$F$9,AS$9))</f>
        <v>0</v>
      </c>
      <c r="AT50" s="36">
        <f>IF($G50="s-curve",$E50+($F50-$E50)*$L$2/(1+EXP($L$3*(COUNT($L$9:AT$9)+$L$4))),TREND($E50:$F50,$E$9:$F$9,AT$9))</f>
        <v>0</v>
      </c>
      <c r="AU50" s="36">
        <f>IF($G50="s-curve",$E50+($F50-$E50)*$L$2/(1+EXP($L$3*(COUNT($L$9:AU$9)+$L$4))),TREND($E50:$F50,$E$9:$F$9,AU$9))</f>
        <v>0</v>
      </c>
      <c r="AV50" s="36">
        <f>IF($G50="s-curve",$E50+($F50-$E50)*$L$2/(1+EXP($L$3*(COUNT($L$9:AV$9)+$L$4))),TREND($E50:$F50,$E$9:$F$9,AV$9))</f>
        <v>0</v>
      </c>
      <c r="AW50" s="36">
        <f>IF($G50="s-curve",$E50+($F50-$E50)*$L$2/(1+EXP($L$3*(COUNT($L$9:AW$9)+$L$4))),TREND($E50:$F50,$E$9:$F$9,AW$9))</f>
        <v>0</v>
      </c>
      <c r="AX50" s="36">
        <f>IF($G50="s-curve",$E50+($F50-$E50)*$L$2/(1+EXP($L$3*(COUNT($L$9:AX$9)+$L$4))),TREND($E50:$F50,$E$9:$F$9,AX$9))</f>
        <v>0</v>
      </c>
      <c r="AY50" s="36">
        <f>IF($G50="s-curve",$E50+($F50-$E50)*$L$2/(1+EXP($L$3*(COUNT($L$9:AY$9)+$L$4))),TREND($E50:$F50,$E$9:$F$9,AY$9))</f>
        <v>0</v>
      </c>
      <c r="AZ50" s="36">
        <f>IF($G50="s-curve",$E50+($F50-$E50)*$L$2/(1+EXP($L$3*(COUNT($L$9:AZ$9)+$L$4))),TREND($E50:$F50,$E$9:$F$9,AZ$9))</f>
        <v>0</v>
      </c>
      <c r="BA50" s="36">
        <f>IF($G50="s-curve",$E50+($F50-$E50)*$L$2/(1+EXP($L$3*(COUNT($L$9:BA$9)+$L$4))),TREND($E50:$F50,$E$9:$F$9,BA$9))</f>
        <v>0</v>
      </c>
      <c r="BB50" s="36">
        <f>IF($G50="s-curve",$E50+($F50-$E50)*$L$2/(1+EXP($L$3*(COUNT($L$9:BB$9)+$L$4))),TREND($E50:$F50,$E$9:$F$9,BB$9))</f>
        <v>0</v>
      </c>
      <c r="BC50" s="36">
        <f>IF($G50="s-curve",$E50+($F50-$E50)*$L$2/(1+EXP($L$3*(COUNT($L$9:BC$9)+$L$4))),TREND($E50:$F50,$E$9:$F$9,BC$9))</f>
        <v>0</v>
      </c>
      <c r="BD50" s="36">
        <f>IF($G50="s-curve",$E50+($F50-$E50)*$L$2/(1+EXP($L$3*(COUNT($L$9:BD$9)+$L$4))),TREND($E50:$F50,$E$9:$F$9,BD$9))</f>
        <v>0</v>
      </c>
      <c r="BE50" s="36">
        <f>IF($G50="s-curve",$E50+($F50-$E50)*$L$2/(1+EXP($L$3*(COUNT($L$9:BE$9)+$L$4))),TREND($E50:$F50,$E$9:$F$9,BE$9))</f>
        <v>0</v>
      </c>
      <c r="BF50" s="36">
        <f>IF($G50="s-curve",$E50+($F50-$E50)*$L$2/(1+EXP($L$3*(COUNT($L$9:BF$9)+$L$4))),TREND($E50:$F50,$E$9:$F$9,BF$9))</f>
        <v>0</v>
      </c>
    </row>
    <row r="51" spans="1:58" ht="15.75" thickBot="1" x14ac:dyDescent="0.3">
      <c r="A51" s="18"/>
      <c r="B51" s="18"/>
      <c r="C51" s="18" t="s">
        <v>34</v>
      </c>
      <c r="D51" s="18"/>
      <c r="E51" s="18">
        <v>0</v>
      </c>
      <c r="F51" s="18">
        <v>0</v>
      </c>
      <c r="G51" s="6" t="str">
        <f>IF(E51=F51,"n/a",IF(OR(C51="battery electric vehicle",C51="natural gas vehicle",C51="plugin hybrid vehicle",C51="hydrogen vehicle"),"s-curve","linear"))</f>
        <v>n/a</v>
      </c>
      <c r="H51" s="34"/>
      <c r="I51">
        <f t="shared" si="22"/>
        <v>0</v>
      </c>
      <c r="J51">
        <f t="shared" si="22"/>
        <v>0</v>
      </c>
      <c r="K51">
        <f t="shared" si="22"/>
        <v>0</v>
      </c>
      <c r="L51" s="36">
        <f t="shared" si="30"/>
        <v>0</v>
      </c>
      <c r="M51" s="36">
        <f>IF($G51="s-curve",$E51+($F51-$E51)*$L$2/(1+EXP($L$3*(COUNT($L$9:M$9)+$L$4))),TREND($E51:$F51,$E$9:$F$9,M$9))</f>
        <v>0</v>
      </c>
      <c r="N51" s="36">
        <f>IF($G51="s-curve",$E51+($F51-$E51)*$L$2/(1+EXP($L$3*(COUNT($L$9:N$9)+$L$4))),TREND($E51:$F51,$E$9:$F$9,N$9))</f>
        <v>0</v>
      </c>
      <c r="O51" s="36">
        <f>IF($G51="s-curve",$E51+($F51-$E51)*$L$2/(1+EXP($L$3*(COUNT($L$9:O$9)+$L$4))),TREND($E51:$F51,$E$9:$F$9,O$9))</f>
        <v>0</v>
      </c>
      <c r="P51" s="36">
        <f>IF($G51="s-curve",$E51+($F51-$E51)*$L$2/(1+EXP($L$3*(COUNT($L$9:P$9)+$L$4))),TREND($E51:$F51,$E$9:$F$9,P$9))</f>
        <v>0</v>
      </c>
      <c r="Q51" s="36">
        <f>IF($G51="s-curve",$E51+($F51-$E51)*$L$2/(1+EXP($L$3*(COUNT($L$9:Q$9)+$L$4))),TREND($E51:$F51,$E$9:$F$9,Q$9))</f>
        <v>0</v>
      </c>
      <c r="R51" s="36">
        <f>IF($G51="s-curve",$E51+($F51-$E51)*$L$2/(1+EXP($L$3*(COUNT($L$9:R$9)+$L$4))),TREND($E51:$F51,$E$9:$F$9,R$9))</f>
        <v>0</v>
      </c>
      <c r="S51" s="36">
        <f>IF($G51="s-curve",$E51+($F51-$E51)*$L$2/(1+EXP($L$3*(COUNT($L$9:S$9)+$L$4))),TREND($E51:$F51,$E$9:$F$9,S$9))</f>
        <v>0</v>
      </c>
      <c r="T51" s="36">
        <f>IF($G51="s-curve",$E51+($F51-$E51)*$L$2/(1+EXP($L$3*(COUNT($L$9:T$9)+$L$4))),TREND($E51:$F51,$E$9:$F$9,T$9))</f>
        <v>0</v>
      </c>
      <c r="U51" s="36">
        <f>IF($G51="s-curve",$E51+($F51-$E51)*$L$2/(1+EXP($L$3*(COUNT($L$9:U$9)+$L$4))),TREND($E51:$F51,$E$9:$F$9,U$9))</f>
        <v>0</v>
      </c>
      <c r="V51" s="36">
        <f>IF($G51="s-curve",$E51+($F51-$E51)*$L$2/(1+EXP($L$3*(COUNT($L$9:V$9)+$L$4))),TREND($E51:$F51,$E$9:$F$9,V$9))</f>
        <v>0</v>
      </c>
      <c r="W51" s="36">
        <f>IF($G51="s-curve",$E51+($F51-$E51)*$L$2/(1+EXP($L$3*(COUNT($L$9:W$9)+$L$4))),TREND($E51:$F51,$E$9:$F$9,W$9))</f>
        <v>0</v>
      </c>
      <c r="X51" s="36">
        <f>IF($G51="s-curve",$E51+($F51-$E51)*$L$2/(1+EXP($L$3*(COUNT($L$9:X$9)+$L$4))),TREND($E51:$F51,$E$9:$F$9,X$9))</f>
        <v>0</v>
      </c>
      <c r="Y51" s="36">
        <f>IF($G51="s-curve",$E51+($F51-$E51)*$L$2/(1+EXP($L$3*(COUNT($L$9:Y$9)+$L$4))),TREND($E51:$F51,$E$9:$F$9,Y$9))</f>
        <v>0</v>
      </c>
      <c r="Z51" s="36">
        <f>IF($G51="s-curve",$E51+($F51-$E51)*$L$2/(1+EXP($L$3*(COUNT($L$9:Z$9)+$L$4))),TREND($E51:$F51,$E$9:$F$9,Z$9))</f>
        <v>0</v>
      </c>
      <c r="AA51" s="36">
        <f>IF($G51="s-curve",$E51+($F51-$E51)*$L$2/(1+EXP($L$3*(COUNT($L$9:AA$9)+$L$4))),TREND($E51:$F51,$E$9:$F$9,AA$9))</f>
        <v>0</v>
      </c>
      <c r="AB51" s="36">
        <f>IF($G51="s-curve",$E51+($F51-$E51)*$L$2/(1+EXP($L$3*(COUNT($L$9:AB$9)+$L$4))),TREND($E51:$F51,$E$9:$F$9,AB$9))</f>
        <v>0</v>
      </c>
      <c r="AC51" s="36">
        <f>IF($G51="s-curve",$E51+($F51-$E51)*$L$2/(1+EXP($L$3*(COUNT($L$9:AC$9)+$L$4))),TREND($E51:$F51,$E$9:$F$9,AC$9))</f>
        <v>0</v>
      </c>
      <c r="AD51" s="36">
        <f>IF($G51="s-curve",$E51+($F51-$E51)*$L$2/(1+EXP($L$3*(COUNT($L$9:AD$9)+$L$4))),TREND($E51:$F51,$E$9:$F$9,AD$9))</f>
        <v>0</v>
      </c>
      <c r="AE51" s="36">
        <f>IF($G51="s-curve",$E51+($F51-$E51)*$L$2/(1+EXP($L$3*(COUNT($L$9:AE$9)+$L$4))),TREND($E51:$F51,$E$9:$F$9,AE$9))</f>
        <v>0</v>
      </c>
      <c r="AF51" s="36">
        <f>IF($G51="s-curve",$E51+($F51-$E51)*$L$2/(1+EXP($L$3*(COUNT($L$9:AF$9)+$L$4))),TREND($E51:$F51,$E$9:$F$9,AF$9))</f>
        <v>0</v>
      </c>
      <c r="AG51" s="36">
        <f>IF($G51="s-curve",$E51+($F51-$E51)*$L$2/(1+EXP($L$3*(COUNT($L$9:AG$9)+$L$4))),TREND($E51:$F51,$E$9:$F$9,AG$9))</f>
        <v>0</v>
      </c>
      <c r="AH51" s="36">
        <f>IF($G51="s-curve",$E51+($F51-$E51)*$L$2/(1+EXP($L$3*(COUNT($L$9:AH$9)+$L$4))),TREND($E51:$F51,$E$9:$F$9,AH$9))</f>
        <v>0</v>
      </c>
      <c r="AI51" s="36">
        <f>IF($G51="s-curve",$E51+($F51-$E51)*$L$2/(1+EXP($L$3*(COUNT($L$9:AI$9)+$L$4))),TREND($E51:$F51,$E$9:$F$9,AI$9))</f>
        <v>0</v>
      </c>
      <c r="AJ51" s="36">
        <f>IF($G51="s-curve",$E51+($F51-$E51)*$L$2/(1+EXP($L$3*(COUNT($L$9:AJ$9)+$L$4))),TREND($E51:$F51,$E$9:$F$9,AJ$9))</f>
        <v>0</v>
      </c>
      <c r="AK51" s="36">
        <f>IF($G51="s-curve",$E51+($F51-$E51)*$L$2/(1+EXP($L$3*(COUNT($L$9:AK$9)+$L$4))),TREND($E51:$F51,$E$9:$F$9,AK$9))</f>
        <v>0</v>
      </c>
      <c r="AL51" s="36">
        <f>IF($G51="s-curve",$E51+($F51-$E51)*$L$2/(1+EXP($L$3*(COUNT($L$9:AL$9)+$L$4))),TREND($E51:$F51,$E$9:$F$9,AL$9))</f>
        <v>0</v>
      </c>
      <c r="AM51" s="36">
        <f>IF($G51="s-curve",$E51+($F51-$E51)*$L$2/(1+EXP($L$3*(COUNT($L$9:AM$9)+$L$4))),TREND($E51:$F51,$E$9:$F$9,AM$9))</f>
        <v>0</v>
      </c>
      <c r="AN51" s="36">
        <f>IF($G51="s-curve",$E51+($F51-$E51)*$L$2/(1+EXP($L$3*(COUNT($L$9:AN$9)+$L$4))),TREND($E51:$F51,$E$9:$F$9,AN$9))</f>
        <v>0</v>
      </c>
      <c r="AO51" s="36">
        <f>IF($G51="s-curve",$E51+($F51-$E51)*$L$2/(1+EXP($L$3*(COUNT($L$9:AO$9)+$L$4))),TREND($E51:$F51,$E$9:$F$9,AO$9))</f>
        <v>0</v>
      </c>
      <c r="AP51" s="36">
        <f>IF($G51="s-curve",$E51+($F51-$E51)*$L$2/(1+EXP($L$3*(COUNT($L$9:AP$9)+$L$4))),TREND($E51:$F51,$E$9:$F$9,AP$9))</f>
        <v>0</v>
      </c>
      <c r="AQ51" s="36">
        <f>IF($G51="s-curve",$E51+($F51-$E51)*$L$2/(1+EXP($L$3*(COUNT($L$9:AQ$9)+$L$4))),TREND($E51:$F51,$E$9:$F$9,AQ$9))</f>
        <v>0</v>
      </c>
      <c r="AR51" s="36">
        <f>IF($G51="s-curve",$E51+($F51-$E51)*$L$2/(1+EXP($L$3*(COUNT($L$9:AR$9)+$L$4))),TREND($E51:$F51,$E$9:$F$9,AR$9))</f>
        <v>0</v>
      </c>
      <c r="AS51" s="36">
        <f>IF($G51="s-curve",$E51+($F51-$E51)*$L$2/(1+EXP($L$3*(COUNT($L$9:AS$9)+$L$4))),TREND($E51:$F51,$E$9:$F$9,AS$9))</f>
        <v>0</v>
      </c>
      <c r="AT51" s="36">
        <f>IF($G51="s-curve",$E51+($F51-$E51)*$L$2/(1+EXP($L$3*(COUNT($L$9:AT$9)+$L$4))),TREND($E51:$F51,$E$9:$F$9,AT$9))</f>
        <v>0</v>
      </c>
      <c r="AU51" s="36">
        <f>IF($G51="s-curve",$E51+($F51-$E51)*$L$2/(1+EXP($L$3*(COUNT($L$9:AU$9)+$L$4))),TREND($E51:$F51,$E$9:$F$9,AU$9))</f>
        <v>0</v>
      </c>
      <c r="AV51" s="36">
        <f>IF($G51="s-curve",$E51+($F51-$E51)*$L$2/(1+EXP($L$3*(COUNT($L$9:AV$9)+$L$4))),TREND($E51:$F51,$E$9:$F$9,AV$9))</f>
        <v>0</v>
      </c>
      <c r="AW51" s="36">
        <f>IF($G51="s-curve",$E51+($F51-$E51)*$L$2/(1+EXP($L$3*(COUNT($L$9:AW$9)+$L$4))),TREND($E51:$F51,$E$9:$F$9,AW$9))</f>
        <v>0</v>
      </c>
      <c r="AX51" s="36">
        <f>IF($G51="s-curve",$E51+($F51-$E51)*$L$2/(1+EXP($L$3*(COUNT($L$9:AX$9)+$L$4))),TREND($E51:$F51,$E$9:$F$9,AX$9))</f>
        <v>0</v>
      </c>
      <c r="AY51" s="36">
        <f>IF($G51="s-curve",$E51+($F51-$E51)*$L$2/(1+EXP($L$3*(COUNT($L$9:AY$9)+$L$4))),TREND($E51:$F51,$E$9:$F$9,AY$9))</f>
        <v>0</v>
      </c>
      <c r="AZ51" s="36">
        <f>IF($G51="s-curve",$E51+($F51-$E51)*$L$2/(1+EXP($L$3*(COUNT($L$9:AZ$9)+$L$4))),TREND($E51:$F51,$E$9:$F$9,AZ$9))</f>
        <v>0</v>
      </c>
      <c r="BA51" s="36">
        <f>IF($G51="s-curve",$E51+($F51-$E51)*$L$2/(1+EXP($L$3*(COUNT($L$9:BA$9)+$L$4))),TREND($E51:$F51,$E$9:$F$9,BA$9))</f>
        <v>0</v>
      </c>
      <c r="BB51" s="36">
        <f>IF($G51="s-curve",$E51+($F51-$E51)*$L$2/(1+EXP($L$3*(COUNT($L$9:BB$9)+$L$4))),TREND($E51:$F51,$E$9:$F$9,BB$9))</f>
        <v>0</v>
      </c>
      <c r="BC51" s="36">
        <f>IF($G51="s-curve",$E51+($F51-$E51)*$L$2/(1+EXP($L$3*(COUNT($L$9:BC$9)+$L$4))),TREND($E51:$F51,$E$9:$F$9,BC$9))</f>
        <v>0</v>
      </c>
      <c r="BD51" s="36">
        <f>IF($G51="s-curve",$E51+($F51-$E51)*$L$2/(1+EXP($L$3*(COUNT($L$9:BD$9)+$L$4))),TREND($E51:$F51,$E$9:$F$9,BD$9))</f>
        <v>0</v>
      </c>
      <c r="BE51" s="36">
        <f>IF($G51="s-curve",$E51+($F51-$E51)*$L$2/(1+EXP($L$3*(COUNT($L$9:BE$9)+$L$4))),TREND($E51:$F51,$E$9:$F$9,BE$9))</f>
        <v>0</v>
      </c>
      <c r="BF51" s="36">
        <f>IF($G51="s-curve",$E51+($F51-$E51)*$L$2/(1+EXP($L$3*(COUNT($L$9:BF$9)+$L$4))),TREND($E51:$F51,$E$9:$F$9,BF$9))</f>
        <v>0</v>
      </c>
    </row>
    <row r="52" spans="1:58" x14ac:dyDescent="0.25">
      <c r="A52" t="s">
        <v>15</v>
      </c>
      <c r="B52" t="s">
        <v>19</v>
      </c>
      <c r="C52" t="s">
        <v>1</v>
      </c>
      <c r="E52" s="17">
        <f>'SYVbT-passenger'!B5/SUM('SYVbT-passenger'!B5:H5)</f>
        <v>0.93664816810144857</v>
      </c>
      <c r="F52">
        <v>1</v>
      </c>
      <c r="G52" s="5" t="str">
        <f>IF(E52=F52,"n/a",IF(OR(C52="battery electric vehicle",C52="natural gas vehicle",C52="plugin hybrid vehicle"),"s-curve","linear"))</f>
        <v>s-curve</v>
      </c>
      <c r="H52" s="33"/>
      <c r="I52">
        <f t="shared" si="22"/>
        <v>0.93524643494238013</v>
      </c>
      <c r="J52">
        <f t="shared" si="22"/>
        <v>0.93577203557240574</v>
      </c>
      <c r="K52">
        <f t="shared" si="22"/>
        <v>0.93629763620243134</v>
      </c>
      <c r="L52" s="36">
        <f t="shared" si="30"/>
        <v>0.93664816810144857</v>
      </c>
      <c r="M52" s="36">
        <f>IF($G52="s-curve",$E52+($F52-$E52)*$L$2/(1+EXP($L$3*(COUNT($L$9:M$9)+$L$4))),TREND($E52:$F52,$E$9:$F$9,M$9))</f>
        <v>0.93758413007374464</v>
      </c>
      <c r="N52" s="36">
        <f>IF($G52="s-curve",$E52+($F52-$E52)*$L$2/(1+EXP($L$3*(COUNT($L$9:N$9)+$L$4))),TREND($E52:$F52,$E$9:$F$9,N$9))</f>
        <v>0.93790508781512971</v>
      </c>
      <c r="O52" s="36">
        <f>IF($G52="s-curve",$E52+($F52-$E52)*$L$2/(1+EXP($L$3*(COUNT($L$9:O$9)+$L$4))),TREND($E52:$F52,$E$9:$F$9,O$9))</f>
        <v>0.93833313636753701</v>
      </c>
      <c r="P52" s="36">
        <f>IF($G52="s-curve",$E52+($F52-$E52)*$L$2/(1+EXP($L$3*(COUNT($L$9:P$9)+$L$4))),TREND($E52:$F52,$E$9:$F$9,P$9))</f>
        <v>0.93890166810468023</v>
      </c>
      <c r="Q52" s="36">
        <f>IF($G52="s-curve",$E52+($F52-$E52)*$L$2/(1+EXP($L$3*(COUNT($L$9:Q$9)+$L$4))),TREND($E52:$F52,$E$9:$F$9,Q$9))</f>
        <v>0.93965268404663582</v>
      </c>
      <c r="R52" s="36">
        <f>IF($G52="s-curve",$E52+($F52-$E52)*$L$2/(1+EXP($L$3*(COUNT($L$9:R$9)+$L$4))),TREND($E52:$F52,$E$9:$F$9,R$9))</f>
        <v>0.94063764556845908</v>
      </c>
      <c r="S52" s="36">
        <f>IF($G52="s-curve",$E52+($F52-$E52)*$L$2/(1+EXP($L$3*(COUNT($L$9:S$9)+$L$4))),TREND($E52:$F52,$E$9:$F$9,S$9))</f>
        <v>0.94191731078828078</v>
      </c>
      <c r="T52" s="36">
        <f>IF($G52="s-curve",$E52+($F52-$E52)*$L$2/(1+EXP($L$3*(COUNT($L$9:T$9)+$L$4))),TREND($E52:$F52,$E$9:$F$9,T$9))</f>
        <v>0.94355965157849941</v>
      </c>
      <c r="U52" s="36">
        <f>IF($G52="s-curve",$E52+($F52-$E52)*$L$2/(1+EXP($L$3*(COUNT($L$9:U$9)+$L$4))),TREND($E52:$F52,$E$9:$F$9,U$9))</f>
        <v>0.94563469291965474</v>
      </c>
      <c r="V52" s="36">
        <f>IF($G52="s-curve",$E52+($F52-$E52)*$L$2/(1+EXP($L$3*(COUNT($L$9:V$9)+$L$4))),TREND($E52:$F52,$E$9:$F$9,V$9))</f>
        <v>0.94820515921963411</v>
      </c>
      <c r="W52" s="36">
        <f>IF($G52="s-curve",$E52+($F52-$E52)*$L$2/(1+EXP($L$3*(COUNT($L$9:W$9)+$L$4))),TREND($E52:$F52,$E$9:$F$9,W$9))</f>
        <v>0.95131254710589963</v>
      </c>
      <c r="X52" s="36">
        <f>IF($G52="s-curve",$E52+($F52-$E52)*$L$2/(1+EXP($L$3*(COUNT($L$9:X$9)+$L$4))),TREND($E52:$F52,$E$9:$F$9,X$9))</f>
        <v>0.95496004662134204</v>
      </c>
      <c r="Y52" s="36">
        <f>IF($G52="s-curve",$E52+($F52-$E52)*$L$2/(1+EXP($L$3*(COUNT($L$9:Y$9)+$L$4))),TREND($E52:$F52,$E$9:$F$9,Y$9))</f>
        <v>0.95909649022374377</v>
      </c>
      <c r="Z52" s="36">
        <f>IF($G52="s-curve",$E52+($F52-$E52)*$L$2/(1+EXP($L$3*(COUNT($L$9:Z$9)+$L$4))),TREND($E52:$F52,$E$9:$F$9,Z$9))</f>
        <v>0.96360801423956699</v>
      </c>
      <c r="AA52" s="36">
        <f>IF($G52="s-curve",$E52+($F52-$E52)*$L$2/(1+EXP($L$3*(COUNT($L$9:AA$9)+$L$4))),TREND($E52:$F52,$E$9:$F$9,AA$9))</f>
        <v>0.96832408405072434</v>
      </c>
      <c r="AB52" s="36">
        <f>IF($G52="s-curve",$E52+($F52-$E52)*$L$2/(1+EXP($L$3*(COUNT($L$9:AB$9)+$L$4))),TREND($E52:$F52,$E$9:$F$9,AB$9))</f>
        <v>0.97304015386188158</v>
      </c>
      <c r="AC52" s="36">
        <f>IF($G52="s-curve",$E52+($F52-$E52)*$L$2/(1+EXP($L$3*(COUNT($L$9:AC$9)+$L$4))),TREND($E52:$F52,$E$9:$F$9,AC$9))</f>
        <v>0.97755167787770481</v>
      </c>
      <c r="AD52" s="36">
        <f>IF($G52="s-curve",$E52+($F52-$E52)*$L$2/(1+EXP($L$3*(COUNT($L$9:AD$9)+$L$4))),TREND($E52:$F52,$E$9:$F$9,AD$9))</f>
        <v>0.98168812148010653</v>
      </c>
      <c r="AE52" s="36">
        <f>IF($G52="s-curve",$E52+($F52-$E52)*$L$2/(1+EXP($L$3*(COUNT($L$9:AE$9)+$L$4))),TREND($E52:$F52,$E$9:$F$9,AE$9))</f>
        <v>0.98533562099554894</v>
      </c>
      <c r="AF52" s="36">
        <f>IF($G52="s-curve",$E52+($F52-$E52)*$L$2/(1+EXP($L$3*(COUNT($L$9:AF$9)+$L$4))),TREND($E52:$F52,$E$9:$F$9,AF$9))</f>
        <v>0.98844300888181458</v>
      </c>
      <c r="AG52" s="36">
        <f>IF($G52="s-curve",$E52+($F52-$E52)*$L$2/(1+EXP($L$3*(COUNT($L$9:AG$9)+$L$4))),TREND($E52:$F52,$E$9:$F$9,AG$9))</f>
        <v>0.99101347518179383</v>
      </c>
      <c r="AH52" s="36">
        <f>IF($G52="s-curve",$E52+($F52-$E52)*$L$2/(1+EXP($L$3*(COUNT($L$9:AH$9)+$L$4))),TREND($E52:$F52,$E$9:$F$9,AH$9))</f>
        <v>0.99308851652294916</v>
      </c>
      <c r="AI52" s="36">
        <f>IF($G52="s-curve",$E52+($F52-$E52)*$L$2/(1+EXP($L$3*(COUNT($L$9:AI$9)+$L$4))),TREND($E52:$F52,$E$9:$F$9,AI$9))</f>
        <v>0.99473085731316779</v>
      </c>
      <c r="AJ52" s="36">
        <f>IF($G52="s-curve",$E52+($F52-$E52)*$L$2/(1+EXP($L$3*(COUNT($L$9:AJ$9)+$L$4))),TREND($E52:$F52,$E$9:$F$9,AJ$9))</f>
        <v>0.9960105225329895</v>
      </c>
      <c r="AK52" s="36">
        <f>IF($G52="s-curve",$E52+($F52-$E52)*$L$2/(1+EXP($L$3*(COUNT($L$9:AK$9)+$L$4))),TREND($E52:$F52,$E$9:$F$9,AK$9))</f>
        <v>0.99699548405481275</v>
      </c>
      <c r="AL52" s="36">
        <f>IF($G52="s-curve",$E52+($F52-$E52)*$L$2/(1+EXP($L$3*(COUNT($L$9:AL$9)+$L$4))),TREND($E52:$F52,$E$9:$F$9,AL$9))</f>
        <v>0.99774649999676845</v>
      </c>
      <c r="AM52" s="36">
        <f>IF($G52="s-curve",$E52+($F52-$E52)*$L$2/(1+EXP($L$3*(COUNT($L$9:AM$9)+$L$4))),TREND($E52:$F52,$E$9:$F$9,AM$9))</f>
        <v>0.99831503173391156</v>
      </c>
      <c r="AN52" s="36">
        <f>IF($G52="s-curve",$E52+($F52-$E52)*$L$2/(1+EXP($L$3*(COUNT($L$9:AN$9)+$L$4))),TREND($E52:$F52,$E$9:$F$9,AN$9))</f>
        <v>0.99874308028631886</v>
      </c>
      <c r="AO52" s="36">
        <f>IF($G52="s-curve",$E52+($F52-$E52)*$L$2/(1+EXP($L$3*(COUNT($L$9:AO$9)+$L$4))),TREND($E52:$F52,$E$9:$F$9,AO$9))</f>
        <v>0.99906403802770394</v>
      </c>
      <c r="AP52" s="36">
        <f>IF($G52="s-curve",$E52+($F52-$E52)*$L$2/(1+EXP($L$3*(COUNT($L$9:AP$9)+$L$4))),TREND($E52:$F52,$E$9:$F$9,AP$9))</f>
        <v>0.99930395705738762</v>
      </c>
      <c r="AQ52" s="36">
        <f>IF($G52="s-curve",$E52+($F52-$E52)*$L$2/(1+EXP($L$3*(COUNT($L$9:AQ$9)+$L$4))),TREND($E52:$F52,$E$9:$F$9,AQ$9))</f>
        <v>0.99948288616444503</v>
      </c>
      <c r="AR52" s="36">
        <f>IF($G52="s-curve",$E52+($F52-$E52)*$L$2/(1+EXP($L$3*(COUNT($L$9:AR$9)+$L$4))),TREND($E52:$F52,$E$9:$F$9,AR$9))</f>
        <v>0.9996161004745665</v>
      </c>
      <c r="AS52" s="36">
        <f>IF($G52="s-curve",$E52+($F52-$E52)*$L$2/(1+EXP($L$3*(COUNT($L$9:AS$9)+$L$4))),TREND($E52:$F52,$E$9:$F$9,AS$9))</f>
        <v>0.99971515285853807</v>
      </c>
      <c r="AT52" s="36">
        <f>IF($G52="s-curve",$E52+($F52-$E52)*$L$2/(1+EXP($L$3*(COUNT($L$9:AT$9)+$L$4))),TREND($E52:$F52,$E$9:$F$9,AT$9))</f>
        <v>0.99978873384804667</v>
      </c>
      <c r="AU52" s="36">
        <f>IF($G52="s-curve",$E52+($F52-$E52)*$L$2/(1+EXP($L$3*(COUNT($L$9:AU$9)+$L$4))),TREND($E52:$F52,$E$9:$F$9,AU$9))</f>
        <v>0.99984335479343245</v>
      </c>
      <c r="AV52" s="36">
        <f>IF($G52="s-curve",$E52+($F52-$E52)*$L$2/(1+EXP($L$3*(COUNT($L$9:AV$9)+$L$4))),TREND($E52:$F52,$E$9:$F$9,AV$9))</f>
        <v>0.99988387996023487</v>
      </c>
      <c r="AW52" s="36">
        <f>IF($G52="s-curve",$E52+($F52-$E52)*$L$2/(1+EXP($L$3*(COUNT($L$9:AW$9)+$L$4))),TREND($E52:$F52,$E$9:$F$9,AW$9))</f>
        <v>0.99991393527246963</v>
      </c>
      <c r="AX52" s="36">
        <f>IF($G52="s-curve",$E52+($F52-$E52)*$L$2/(1+EXP($L$3*(COUNT($L$9:AX$9)+$L$4))),TREND($E52:$F52,$E$9:$F$9,AX$9))</f>
        <v>0.99993621922424558</v>
      </c>
      <c r="AY52" s="36">
        <f>IF($G52="s-curve",$E52+($F52-$E52)*$L$2/(1+EXP($L$3*(COUNT($L$9:AY$9)+$L$4))),TREND($E52:$F52,$E$9:$F$9,AY$9))</f>
        <v>0.99995273770672732</v>
      </c>
      <c r="AZ52" s="36">
        <f>IF($G52="s-curve",$E52+($F52-$E52)*$L$2/(1+EXP($L$3*(COUNT($L$9:AZ$9)+$L$4))),TREND($E52:$F52,$E$9:$F$9,AZ$9))</f>
        <v>0.99996498046071647</v>
      </c>
      <c r="BA52" s="36">
        <f>IF($G52="s-curve",$E52+($F52-$E52)*$L$2/(1+EXP($L$3*(COUNT($L$9:BA$9)+$L$4))),TREND($E52:$F52,$E$9:$F$9,BA$9))</f>
        <v>0.99997405316981269</v>
      </c>
      <c r="BB52" s="36">
        <f>IF($G52="s-curve",$E52+($F52-$E52)*$L$2/(1+EXP($L$3*(COUNT($L$9:BB$9)+$L$4))),TREND($E52:$F52,$E$9:$F$9,BB$9))</f>
        <v>0.99998077607476354</v>
      </c>
      <c r="BC52" s="36">
        <f>IF($G52="s-curve",$E52+($F52-$E52)*$L$2/(1+EXP($L$3*(COUNT($L$9:BC$9)+$L$4))),TREND($E52:$F52,$E$9:$F$9,BC$9))</f>
        <v>0.99998575744576423</v>
      </c>
      <c r="BD52" s="36">
        <f>IF($G52="s-curve",$E52+($F52-$E52)*$L$2/(1+EXP($L$3*(COUNT($L$9:BD$9)+$L$4))),TREND($E52:$F52,$E$9:$F$9,BD$9))</f>
        <v>0.99998944824147884</v>
      </c>
      <c r="BE52" s="36">
        <f>IF($G52="s-curve",$E52+($F52-$E52)*$L$2/(1+EXP($L$3*(COUNT($L$9:BE$9)+$L$4))),TREND($E52:$F52,$E$9:$F$9,BE$9))</f>
        <v>0.99999218272756496</v>
      </c>
      <c r="BF52" s="36">
        <f>IF($G52="s-curve",$E52+($F52-$E52)*$L$2/(1+EXP($L$3*(COUNT($L$9:BF$9)+$L$4))),TREND($E52:$F52,$E$9:$F$9,BF$9))</f>
        <v>0.9999942086369269</v>
      </c>
    </row>
    <row r="53" spans="1:58" x14ac:dyDescent="0.25">
      <c r="C53" t="s">
        <v>2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H53" s="33"/>
      <c r="I53">
        <f t="shared" si="22"/>
        <v>0</v>
      </c>
      <c r="J53">
        <f t="shared" si="22"/>
        <v>0</v>
      </c>
      <c r="K53">
        <f t="shared" si="22"/>
        <v>0</v>
      </c>
      <c r="L53" s="36">
        <f t="shared" si="30"/>
        <v>0</v>
      </c>
      <c r="M53" s="36">
        <f>IF($G53="s-curve",$E53+($F53-$E53)*$L$2/(1+EXP($L$3*(COUNT($L$9:M$9)+$L$4))),TREND($E53:$F53,$E$9:$F$9,M$9))</f>
        <v>0</v>
      </c>
      <c r="N53" s="36">
        <f>IF($G53="s-curve",$E53+($F53-$E53)*$L$2/(1+EXP($L$3*(COUNT($L$9:N$9)+$L$4))),TREND($E53:$F53,$E$9:$F$9,N$9))</f>
        <v>0</v>
      </c>
      <c r="O53" s="36">
        <f>IF($G53="s-curve",$E53+($F53-$E53)*$L$2/(1+EXP($L$3*(COUNT($L$9:O$9)+$L$4))),TREND($E53:$F53,$E$9:$F$9,O$9))</f>
        <v>0</v>
      </c>
      <c r="P53" s="36">
        <f>IF($G53="s-curve",$E53+($F53-$E53)*$L$2/(1+EXP($L$3*(COUNT($L$9:P$9)+$L$4))),TREND($E53:$F53,$E$9:$F$9,P$9))</f>
        <v>0</v>
      </c>
      <c r="Q53" s="36">
        <f>IF($G53="s-curve",$E53+($F53-$E53)*$L$2/(1+EXP($L$3*(COUNT($L$9:Q$9)+$L$4))),TREND($E53:$F53,$E$9:$F$9,Q$9))</f>
        <v>0</v>
      </c>
      <c r="R53" s="36">
        <f>IF($G53="s-curve",$E53+($F53-$E53)*$L$2/(1+EXP($L$3*(COUNT($L$9:R$9)+$L$4))),TREND($E53:$F53,$E$9:$F$9,R$9))</f>
        <v>0</v>
      </c>
      <c r="S53" s="36">
        <f>IF($G53="s-curve",$E53+($F53-$E53)*$L$2/(1+EXP($L$3*(COUNT($L$9:S$9)+$L$4))),TREND($E53:$F53,$E$9:$F$9,S$9))</f>
        <v>0</v>
      </c>
      <c r="T53" s="36">
        <f>IF($G53="s-curve",$E53+($F53-$E53)*$L$2/(1+EXP($L$3*(COUNT($L$9:T$9)+$L$4))),TREND($E53:$F53,$E$9:$F$9,T$9))</f>
        <v>0</v>
      </c>
      <c r="U53" s="36">
        <f>IF($G53="s-curve",$E53+($F53-$E53)*$L$2/(1+EXP($L$3*(COUNT($L$9:U$9)+$L$4))),TREND($E53:$F53,$E$9:$F$9,U$9))</f>
        <v>0</v>
      </c>
      <c r="V53" s="36">
        <f>IF($G53="s-curve",$E53+($F53-$E53)*$L$2/(1+EXP($L$3*(COUNT($L$9:V$9)+$L$4))),TREND($E53:$F53,$E$9:$F$9,V$9))</f>
        <v>0</v>
      </c>
      <c r="W53" s="36">
        <f>IF($G53="s-curve",$E53+($F53-$E53)*$L$2/(1+EXP($L$3*(COUNT($L$9:W$9)+$L$4))),TREND($E53:$F53,$E$9:$F$9,W$9))</f>
        <v>0</v>
      </c>
      <c r="X53" s="36">
        <f>IF($G53="s-curve",$E53+($F53-$E53)*$L$2/(1+EXP($L$3*(COUNT($L$9:X$9)+$L$4))),TREND($E53:$F53,$E$9:$F$9,X$9))</f>
        <v>0</v>
      </c>
      <c r="Y53" s="36">
        <f>IF($G53="s-curve",$E53+($F53-$E53)*$L$2/(1+EXP($L$3*(COUNT($L$9:Y$9)+$L$4))),TREND($E53:$F53,$E$9:$F$9,Y$9))</f>
        <v>0</v>
      </c>
      <c r="Z53" s="36">
        <f>IF($G53="s-curve",$E53+($F53-$E53)*$L$2/(1+EXP($L$3*(COUNT($L$9:Z$9)+$L$4))),TREND($E53:$F53,$E$9:$F$9,Z$9))</f>
        <v>0</v>
      </c>
      <c r="AA53" s="36">
        <f>IF($G53="s-curve",$E53+($F53-$E53)*$L$2/(1+EXP($L$3*(COUNT($L$9:AA$9)+$L$4))),TREND($E53:$F53,$E$9:$F$9,AA$9))</f>
        <v>0</v>
      </c>
      <c r="AB53" s="36">
        <f>IF($G53="s-curve",$E53+($F53-$E53)*$L$2/(1+EXP($L$3*(COUNT($L$9:AB$9)+$L$4))),TREND($E53:$F53,$E$9:$F$9,AB$9))</f>
        <v>0</v>
      </c>
      <c r="AC53" s="36">
        <f>IF($G53="s-curve",$E53+($F53-$E53)*$L$2/(1+EXP($L$3*(COUNT($L$9:AC$9)+$L$4))),TREND($E53:$F53,$E$9:$F$9,AC$9))</f>
        <v>0</v>
      </c>
      <c r="AD53" s="36">
        <f>IF($G53="s-curve",$E53+($F53-$E53)*$L$2/(1+EXP($L$3*(COUNT($L$9:AD$9)+$L$4))),TREND($E53:$F53,$E$9:$F$9,AD$9))</f>
        <v>0</v>
      </c>
      <c r="AE53" s="36">
        <f>IF($G53="s-curve",$E53+($F53-$E53)*$L$2/(1+EXP($L$3*(COUNT($L$9:AE$9)+$L$4))),TREND($E53:$F53,$E$9:$F$9,AE$9))</f>
        <v>0</v>
      </c>
      <c r="AF53" s="36">
        <f>IF($G53="s-curve",$E53+($F53-$E53)*$L$2/(1+EXP($L$3*(COUNT($L$9:AF$9)+$L$4))),TREND($E53:$F53,$E$9:$F$9,AF$9))</f>
        <v>0</v>
      </c>
      <c r="AG53" s="36">
        <f>IF($G53="s-curve",$E53+($F53-$E53)*$L$2/(1+EXP($L$3*(COUNT($L$9:AG$9)+$L$4))),TREND($E53:$F53,$E$9:$F$9,AG$9))</f>
        <v>0</v>
      </c>
      <c r="AH53" s="36">
        <f>IF($G53="s-curve",$E53+($F53-$E53)*$L$2/(1+EXP($L$3*(COUNT($L$9:AH$9)+$L$4))),TREND($E53:$F53,$E$9:$F$9,AH$9))</f>
        <v>0</v>
      </c>
      <c r="AI53" s="36">
        <f>IF($G53="s-curve",$E53+($F53-$E53)*$L$2/(1+EXP($L$3*(COUNT($L$9:AI$9)+$L$4))),TREND($E53:$F53,$E$9:$F$9,AI$9))</f>
        <v>0</v>
      </c>
      <c r="AJ53" s="36">
        <f>IF($G53="s-curve",$E53+($F53-$E53)*$L$2/(1+EXP($L$3*(COUNT($L$9:AJ$9)+$L$4))),TREND($E53:$F53,$E$9:$F$9,AJ$9))</f>
        <v>0</v>
      </c>
      <c r="AK53" s="36">
        <f>IF($G53="s-curve",$E53+($F53-$E53)*$L$2/(1+EXP($L$3*(COUNT($L$9:AK$9)+$L$4))),TREND($E53:$F53,$E$9:$F$9,AK$9))</f>
        <v>0</v>
      </c>
      <c r="AL53" s="36">
        <f>IF($G53="s-curve",$E53+($F53-$E53)*$L$2/(1+EXP($L$3*(COUNT($L$9:AL$9)+$L$4))),TREND($E53:$F53,$E$9:$F$9,AL$9))</f>
        <v>0</v>
      </c>
      <c r="AM53" s="36">
        <f>IF($G53="s-curve",$E53+($F53-$E53)*$L$2/(1+EXP($L$3*(COUNT($L$9:AM$9)+$L$4))),TREND($E53:$F53,$E$9:$F$9,AM$9))</f>
        <v>0</v>
      </c>
      <c r="AN53" s="36">
        <f>IF($G53="s-curve",$E53+($F53-$E53)*$L$2/(1+EXP($L$3*(COUNT($L$9:AN$9)+$L$4))),TREND($E53:$F53,$E$9:$F$9,AN$9))</f>
        <v>0</v>
      </c>
      <c r="AO53" s="36">
        <f>IF($G53="s-curve",$E53+($F53-$E53)*$L$2/(1+EXP($L$3*(COUNT($L$9:AO$9)+$L$4))),TREND($E53:$F53,$E$9:$F$9,AO$9))</f>
        <v>0</v>
      </c>
      <c r="AP53" s="36">
        <f>IF($G53="s-curve",$E53+($F53-$E53)*$L$2/(1+EXP($L$3*(COUNT($L$9:AP$9)+$L$4))),TREND($E53:$F53,$E$9:$F$9,AP$9))</f>
        <v>0</v>
      </c>
      <c r="AQ53" s="36">
        <f>IF($G53="s-curve",$E53+($F53-$E53)*$L$2/(1+EXP($L$3*(COUNT($L$9:AQ$9)+$L$4))),TREND($E53:$F53,$E$9:$F$9,AQ$9))</f>
        <v>0</v>
      </c>
      <c r="AR53" s="36">
        <f>IF($G53="s-curve",$E53+($F53-$E53)*$L$2/(1+EXP($L$3*(COUNT($L$9:AR$9)+$L$4))),TREND($E53:$F53,$E$9:$F$9,AR$9))</f>
        <v>0</v>
      </c>
      <c r="AS53" s="36">
        <f>IF($G53="s-curve",$E53+($F53-$E53)*$L$2/(1+EXP($L$3*(COUNT($L$9:AS$9)+$L$4))),TREND($E53:$F53,$E$9:$F$9,AS$9))</f>
        <v>0</v>
      </c>
      <c r="AT53" s="36">
        <f>IF($G53="s-curve",$E53+($F53-$E53)*$L$2/(1+EXP($L$3*(COUNT($L$9:AT$9)+$L$4))),TREND($E53:$F53,$E$9:$F$9,AT$9))</f>
        <v>0</v>
      </c>
      <c r="AU53" s="36">
        <f>IF($G53="s-curve",$E53+($F53-$E53)*$L$2/(1+EXP($L$3*(COUNT($L$9:AU$9)+$L$4))),TREND($E53:$F53,$E$9:$F$9,AU$9))</f>
        <v>0</v>
      </c>
      <c r="AV53" s="36">
        <f>IF($G53="s-curve",$E53+($F53-$E53)*$L$2/(1+EXP($L$3*(COUNT($L$9:AV$9)+$L$4))),TREND($E53:$F53,$E$9:$F$9,AV$9))</f>
        <v>0</v>
      </c>
      <c r="AW53" s="36">
        <f>IF($G53="s-curve",$E53+($F53-$E53)*$L$2/(1+EXP($L$3*(COUNT($L$9:AW$9)+$L$4))),TREND($E53:$F53,$E$9:$F$9,AW$9))</f>
        <v>0</v>
      </c>
      <c r="AX53" s="36">
        <f>IF($G53="s-curve",$E53+($F53-$E53)*$L$2/(1+EXP($L$3*(COUNT($L$9:AX$9)+$L$4))),TREND($E53:$F53,$E$9:$F$9,AX$9))</f>
        <v>0</v>
      </c>
      <c r="AY53" s="36">
        <f>IF($G53="s-curve",$E53+($F53-$E53)*$L$2/(1+EXP($L$3*(COUNT($L$9:AY$9)+$L$4))),TREND($E53:$F53,$E$9:$F$9,AY$9))</f>
        <v>0</v>
      </c>
      <c r="AZ53" s="36">
        <f>IF($G53="s-curve",$E53+($F53-$E53)*$L$2/(1+EXP($L$3*(COUNT($L$9:AZ$9)+$L$4))),TREND($E53:$F53,$E$9:$F$9,AZ$9))</f>
        <v>0</v>
      </c>
      <c r="BA53" s="36">
        <f>IF($G53="s-curve",$E53+($F53-$E53)*$L$2/(1+EXP($L$3*(COUNT($L$9:BA$9)+$L$4))),TREND($E53:$F53,$E$9:$F$9,BA$9))</f>
        <v>0</v>
      </c>
      <c r="BB53" s="36">
        <f>IF($G53="s-curve",$E53+($F53-$E53)*$L$2/(1+EXP($L$3*(COUNT($L$9:BB$9)+$L$4))),TREND($E53:$F53,$E$9:$F$9,BB$9))</f>
        <v>0</v>
      </c>
      <c r="BC53" s="36">
        <f>IF($G53="s-curve",$E53+($F53-$E53)*$L$2/(1+EXP($L$3*(COUNT($L$9:BC$9)+$L$4))),TREND($E53:$F53,$E$9:$F$9,BC$9))</f>
        <v>0</v>
      </c>
      <c r="BD53" s="36">
        <f>IF($G53="s-curve",$E53+($F53-$E53)*$L$2/(1+EXP($L$3*(COUNT($L$9:BD$9)+$L$4))),TREND($E53:$F53,$E$9:$F$9,BD$9))</f>
        <v>0</v>
      </c>
      <c r="BE53" s="36">
        <f>IF($G53="s-curve",$E53+($F53-$E53)*$L$2/(1+EXP($L$3*(COUNT($L$9:BE$9)+$L$4))),TREND($E53:$F53,$E$9:$F$9,BE$9))</f>
        <v>0</v>
      </c>
      <c r="BF53" s="36">
        <f>IF($G53="s-curve",$E53+($F53-$E53)*$L$2/(1+EXP($L$3*(COUNT($L$9:BF$9)+$L$4))),TREND($E53:$F53,$E$9:$F$9,BF$9))</f>
        <v>0</v>
      </c>
    </row>
    <row r="54" spans="1:58" x14ac:dyDescent="0.25">
      <c r="C54" t="s">
        <v>3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H54" s="33"/>
      <c r="I54">
        <f t="shared" si="22"/>
        <v>0</v>
      </c>
      <c r="J54">
        <f t="shared" si="22"/>
        <v>0</v>
      </c>
      <c r="K54">
        <f t="shared" si="22"/>
        <v>0</v>
      </c>
      <c r="L54" s="36">
        <f t="shared" si="30"/>
        <v>0</v>
      </c>
      <c r="M54" s="36">
        <f>IF($G54="s-curve",$E54+($F54-$E54)*$L$2/(1+EXP($L$3*(COUNT($L$9:M$9)+$L$4))),TREND($E54:$F54,$E$9:$F$9,M$9))</f>
        <v>0</v>
      </c>
      <c r="N54" s="36">
        <f>IF($G54="s-curve",$E54+($F54-$E54)*$L$2/(1+EXP($L$3*(COUNT($L$9:N$9)+$L$4))),TREND($E54:$F54,$E$9:$F$9,N$9))</f>
        <v>0</v>
      </c>
      <c r="O54" s="36">
        <f>IF($G54="s-curve",$E54+($F54-$E54)*$L$2/(1+EXP($L$3*(COUNT($L$9:O$9)+$L$4))),TREND($E54:$F54,$E$9:$F$9,O$9))</f>
        <v>0</v>
      </c>
      <c r="P54" s="36">
        <f>IF($G54="s-curve",$E54+($F54-$E54)*$L$2/(1+EXP($L$3*(COUNT($L$9:P$9)+$L$4))),TREND($E54:$F54,$E$9:$F$9,P$9))</f>
        <v>0</v>
      </c>
      <c r="Q54" s="36">
        <f>IF($G54="s-curve",$E54+($F54-$E54)*$L$2/(1+EXP($L$3*(COUNT($L$9:Q$9)+$L$4))),TREND($E54:$F54,$E$9:$F$9,Q$9))</f>
        <v>0</v>
      </c>
      <c r="R54" s="36">
        <f>IF($G54="s-curve",$E54+($F54-$E54)*$L$2/(1+EXP($L$3*(COUNT($L$9:R$9)+$L$4))),TREND($E54:$F54,$E$9:$F$9,R$9))</f>
        <v>0</v>
      </c>
      <c r="S54" s="36">
        <f>IF($G54="s-curve",$E54+($F54-$E54)*$L$2/(1+EXP($L$3*(COUNT($L$9:S$9)+$L$4))),TREND($E54:$F54,$E$9:$F$9,S$9))</f>
        <v>0</v>
      </c>
      <c r="T54" s="36">
        <f>IF($G54="s-curve",$E54+($F54-$E54)*$L$2/(1+EXP($L$3*(COUNT($L$9:T$9)+$L$4))),TREND($E54:$F54,$E$9:$F$9,T$9))</f>
        <v>0</v>
      </c>
      <c r="U54" s="36">
        <f>IF($G54="s-curve",$E54+($F54-$E54)*$L$2/(1+EXP($L$3*(COUNT($L$9:U$9)+$L$4))),TREND($E54:$F54,$E$9:$F$9,U$9))</f>
        <v>0</v>
      </c>
      <c r="V54" s="36">
        <f>IF($G54="s-curve",$E54+($F54-$E54)*$L$2/(1+EXP($L$3*(COUNT($L$9:V$9)+$L$4))),TREND($E54:$F54,$E$9:$F$9,V$9))</f>
        <v>0</v>
      </c>
      <c r="W54" s="36">
        <f>IF($G54="s-curve",$E54+($F54-$E54)*$L$2/(1+EXP($L$3*(COUNT($L$9:W$9)+$L$4))),TREND($E54:$F54,$E$9:$F$9,W$9))</f>
        <v>0</v>
      </c>
      <c r="X54" s="36">
        <f>IF($G54="s-curve",$E54+($F54-$E54)*$L$2/(1+EXP($L$3*(COUNT($L$9:X$9)+$L$4))),TREND($E54:$F54,$E$9:$F$9,X$9))</f>
        <v>0</v>
      </c>
      <c r="Y54" s="36">
        <f>IF($G54="s-curve",$E54+($F54-$E54)*$L$2/(1+EXP($L$3*(COUNT($L$9:Y$9)+$L$4))),TREND($E54:$F54,$E$9:$F$9,Y$9))</f>
        <v>0</v>
      </c>
      <c r="Z54" s="36">
        <f>IF($G54="s-curve",$E54+($F54-$E54)*$L$2/(1+EXP($L$3*(COUNT($L$9:Z$9)+$L$4))),TREND($E54:$F54,$E$9:$F$9,Z$9))</f>
        <v>0</v>
      </c>
      <c r="AA54" s="36">
        <f>IF($G54="s-curve",$E54+($F54-$E54)*$L$2/(1+EXP($L$3*(COUNT($L$9:AA$9)+$L$4))),TREND($E54:$F54,$E$9:$F$9,AA$9))</f>
        <v>0</v>
      </c>
      <c r="AB54" s="36">
        <f>IF($G54="s-curve",$E54+($F54-$E54)*$L$2/(1+EXP($L$3*(COUNT($L$9:AB$9)+$L$4))),TREND($E54:$F54,$E$9:$F$9,AB$9))</f>
        <v>0</v>
      </c>
      <c r="AC54" s="36">
        <f>IF($G54="s-curve",$E54+($F54-$E54)*$L$2/(1+EXP($L$3*(COUNT($L$9:AC$9)+$L$4))),TREND($E54:$F54,$E$9:$F$9,AC$9))</f>
        <v>0</v>
      </c>
      <c r="AD54" s="36">
        <f>IF($G54="s-curve",$E54+($F54-$E54)*$L$2/(1+EXP($L$3*(COUNT($L$9:AD$9)+$L$4))),TREND($E54:$F54,$E$9:$F$9,AD$9))</f>
        <v>0</v>
      </c>
      <c r="AE54" s="36">
        <f>IF($G54="s-curve",$E54+($F54-$E54)*$L$2/(1+EXP($L$3*(COUNT($L$9:AE$9)+$L$4))),TREND($E54:$F54,$E$9:$F$9,AE$9))</f>
        <v>0</v>
      </c>
      <c r="AF54" s="36">
        <f>IF($G54="s-curve",$E54+($F54-$E54)*$L$2/(1+EXP($L$3*(COUNT($L$9:AF$9)+$L$4))),TREND($E54:$F54,$E$9:$F$9,AF$9))</f>
        <v>0</v>
      </c>
      <c r="AG54" s="36">
        <f>IF($G54="s-curve",$E54+($F54-$E54)*$L$2/(1+EXP($L$3*(COUNT($L$9:AG$9)+$L$4))),TREND($E54:$F54,$E$9:$F$9,AG$9))</f>
        <v>0</v>
      </c>
      <c r="AH54" s="36">
        <f>IF($G54="s-curve",$E54+($F54-$E54)*$L$2/(1+EXP($L$3*(COUNT($L$9:AH$9)+$L$4))),TREND($E54:$F54,$E$9:$F$9,AH$9))</f>
        <v>0</v>
      </c>
      <c r="AI54" s="36">
        <f>IF($G54="s-curve",$E54+($F54-$E54)*$L$2/(1+EXP($L$3*(COUNT($L$9:AI$9)+$L$4))),TREND($E54:$F54,$E$9:$F$9,AI$9))</f>
        <v>0</v>
      </c>
      <c r="AJ54" s="36">
        <f>IF($G54="s-curve",$E54+($F54-$E54)*$L$2/(1+EXP($L$3*(COUNT($L$9:AJ$9)+$L$4))),TREND($E54:$F54,$E$9:$F$9,AJ$9))</f>
        <v>0</v>
      </c>
      <c r="AK54" s="36">
        <f>IF($G54="s-curve",$E54+($F54-$E54)*$L$2/(1+EXP($L$3*(COUNT($L$9:AK$9)+$L$4))),TREND($E54:$F54,$E$9:$F$9,AK$9))</f>
        <v>0</v>
      </c>
      <c r="AL54" s="36">
        <f>IF($G54="s-curve",$E54+($F54-$E54)*$L$2/(1+EXP($L$3*(COUNT($L$9:AL$9)+$L$4))),TREND($E54:$F54,$E$9:$F$9,AL$9))</f>
        <v>0</v>
      </c>
      <c r="AM54" s="36">
        <f>IF($G54="s-curve",$E54+($F54-$E54)*$L$2/(1+EXP($L$3*(COUNT($L$9:AM$9)+$L$4))),TREND($E54:$F54,$E$9:$F$9,AM$9))</f>
        <v>0</v>
      </c>
      <c r="AN54" s="36">
        <f>IF($G54="s-curve",$E54+($F54-$E54)*$L$2/(1+EXP($L$3*(COUNT($L$9:AN$9)+$L$4))),TREND($E54:$F54,$E$9:$F$9,AN$9))</f>
        <v>0</v>
      </c>
      <c r="AO54" s="36">
        <f>IF($G54="s-curve",$E54+($F54-$E54)*$L$2/(1+EXP($L$3*(COUNT($L$9:AO$9)+$L$4))),TREND($E54:$F54,$E$9:$F$9,AO$9))</f>
        <v>0</v>
      </c>
      <c r="AP54" s="36">
        <f>IF($G54="s-curve",$E54+($F54-$E54)*$L$2/(1+EXP($L$3*(COUNT($L$9:AP$9)+$L$4))),TREND($E54:$F54,$E$9:$F$9,AP$9))</f>
        <v>0</v>
      </c>
      <c r="AQ54" s="36">
        <f>IF($G54="s-curve",$E54+($F54-$E54)*$L$2/(1+EXP($L$3*(COUNT($L$9:AQ$9)+$L$4))),TREND($E54:$F54,$E$9:$F$9,AQ$9))</f>
        <v>0</v>
      </c>
      <c r="AR54" s="36">
        <f>IF($G54="s-curve",$E54+($F54-$E54)*$L$2/(1+EXP($L$3*(COUNT($L$9:AR$9)+$L$4))),TREND($E54:$F54,$E$9:$F$9,AR$9))</f>
        <v>0</v>
      </c>
      <c r="AS54" s="36">
        <f>IF($G54="s-curve",$E54+($F54-$E54)*$L$2/(1+EXP($L$3*(COUNT($L$9:AS$9)+$L$4))),TREND($E54:$F54,$E$9:$F$9,AS$9))</f>
        <v>0</v>
      </c>
      <c r="AT54" s="36">
        <f>IF($G54="s-curve",$E54+($F54-$E54)*$L$2/(1+EXP($L$3*(COUNT($L$9:AT$9)+$L$4))),TREND($E54:$F54,$E$9:$F$9,AT$9))</f>
        <v>0</v>
      </c>
      <c r="AU54" s="36">
        <f>IF($G54="s-curve",$E54+($F54-$E54)*$L$2/(1+EXP($L$3*(COUNT($L$9:AU$9)+$L$4))),TREND($E54:$F54,$E$9:$F$9,AU$9))</f>
        <v>0</v>
      </c>
      <c r="AV54" s="36">
        <f>IF($G54="s-curve",$E54+($F54-$E54)*$L$2/(1+EXP($L$3*(COUNT($L$9:AV$9)+$L$4))),TREND($E54:$F54,$E$9:$F$9,AV$9))</f>
        <v>0</v>
      </c>
      <c r="AW54" s="36">
        <f>IF($G54="s-curve",$E54+($F54-$E54)*$L$2/(1+EXP($L$3*(COUNT($L$9:AW$9)+$L$4))),TREND($E54:$F54,$E$9:$F$9,AW$9))</f>
        <v>0</v>
      </c>
      <c r="AX54" s="36">
        <f>IF($G54="s-curve",$E54+($F54-$E54)*$L$2/(1+EXP($L$3*(COUNT($L$9:AX$9)+$L$4))),TREND($E54:$F54,$E$9:$F$9,AX$9))</f>
        <v>0</v>
      </c>
      <c r="AY54" s="36">
        <f>IF($G54="s-curve",$E54+($F54-$E54)*$L$2/(1+EXP($L$3*(COUNT($L$9:AY$9)+$L$4))),TREND($E54:$F54,$E$9:$F$9,AY$9))</f>
        <v>0</v>
      </c>
      <c r="AZ54" s="36">
        <f>IF($G54="s-curve",$E54+($F54-$E54)*$L$2/(1+EXP($L$3*(COUNT($L$9:AZ$9)+$L$4))),TREND($E54:$F54,$E$9:$F$9,AZ$9))</f>
        <v>0</v>
      </c>
      <c r="BA54" s="36">
        <f>IF($G54="s-curve",$E54+($F54-$E54)*$L$2/(1+EXP($L$3*(COUNT($L$9:BA$9)+$L$4))),TREND($E54:$F54,$E$9:$F$9,BA$9))</f>
        <v>0</v>
      </c>
      <c r="BB54" s="36">
        <f>IF($G54="s-curve",$E54+($F54-$E54)*$L$2/(1+EXP($L$3*(COUNT($L$9:BB$9)+$L$4))),TREND($E54:$F54,$E$9:$F$9,BB$9))</f>
        <v>0</v>
      </c>
      <c r="BC54" s="36">
        <f>IF($G54="s-curve",$E54+($F54-$E54)*$L$2/(1+EXP($L$3*(COUNT($L$9:BC$9)+$L$4))),TREND($E54:$F54,$E$9:$F$9,BC$9))</f>
        <v>0</v>
      </c>
      <c r="BD54" s="36">
        <f>IF($G54="s-curve",$E54+($F54-$E54)*$L$2/(1+EXP($L$3*(COUNT($L$9:BD$9)+$L$4))),TREND($E54:$F54,$E$9:$F$9,BD$9))</f>
        <v>0</v>
      </c>
      <c r="BE54" s="36">
        <f>IF($G54="s-curve",$E54+($F54-$E54)*$L$2/(1+EXP($L$3*(COUNT($L$9:BE$9)+$L$4))),TREND($E54:$F54,$E$9:$F$9,BE$9))</f>
        <v>0</v>
      </c>
      <c r="BF54" s="36">
        <f>IF($G54="s-curve",$E54+($F54-$E54)*$L$2/(1+EXP($L$3*(COUNT($L$9:BF$9)+$L$4))),TREND($E54:$F54,$E$9:$F$9,BF$9))</f>
        <v>0</v>
      </c>
    </row>
    <row r="55" spans="1:58" x14ac:dyDescent="0.25">
      <c r="C55" t="s">
        <v>4</v>
      </c>
      <c r="E55" s="17">
        <f>1-E52</f>
        <v>6.3351831898551425E-2</v>
      </c>
      <c r="F55">
        <v>1</v>
      </c>
      <c r="G55" s="5" t="str">
        <f>IF(E55=F55,"n/a",IF(OR(C55="battery electric vehicle",C55="natural gas vehicle",C55="plugin hybrid vehicle"),"s-curve","linear"))</f>
        <v>linear</v>
      </c>
      <c r="H55" s="33"/>
      <c r="I55">
        <f t="shared" si="22"/>
        <v>0</v>
      </c>
      <c r="J55">
        <f t="shared" si="22"/>
        <v>0</v>
      </c>
      <c r="K55">
        <f t="shared" si="22"/>
        <v>1.8392719829684268E-2</v>
      </c>
      <c r="L55" s="36">
        <f t="shared" si="30"/>
        <v>6.3351831898551425E-2</v>
      </c>
      <c r="M55" s="36">
        <f>MIN(IF($G55="s-curve",$E55+($F55-$E55)*$L$2/(1+EXP($L$3*(COUNT($L$9:M$9)+$L$4))),TREND($E55:$F55,$E$9:$F$9,M$9)),1)</f>
        <v>6.3351831898557975E-2</v>
      </c>
      <c r="N55" s="36">
        <f>MIN(IF($G55="s-curve",$E55+($F55-$E55)*$L$2/(1+EXP($L$3*(COUNT($L$9:N$9)+$L$4))),TREND($E55:$F55,$E$9:$F$9,N$9)),1)</f>
        <v>0.10081775862262532</v>
      </c>
      <c r="O55" s="36">
        <f>MIN(IF($G55="s-curve",$E55+($F55-$E55)*$L$2/(1+EXP($L$3*(COUNT($L$9:O$9)+$L$4))),TREND($E55:$F55,$E$9:$F$9,O$9)),1)</f>
        <v>0.13828368534667845</v>
      </c>
      <c r="P55" s="36">
        <f>MIN(IF($G55="s-curve",$E55+($F55-$E55)*$L$2/(1+EXP($L$3*(COUNT($L$9:P$9)+$L$4))),TREND($E55:$F55,$E$9:$F$9,P$9)),1)</f>
        <v>0.17574961207073159</v>
      </c>
      <c r="Q55" s="36">
        <f>MIN(IF($G55="s-curve",$E55+($F55-$E55)*$L$2/(1+EXP($L$3*(COUNT($L$9:Q$9)+$L$4))),TREND($E55:$F55,$E$9:$F$9,Q$9)),1)</f>
        <v>0.21321553879479893</v>
      </c>
      <c r="R55" s="36">
        <f>MIN(IF($G55="s-curve",$E55+($F55-$E55)*$L$2/(1+EXP($L$3*(COUNT($L$9:R$9)+$L$4))),TREND($E55:$F55,$E$9:$F$9,R$9)),1)</f>
        <v>0.25068146551885206</v>
      </c>
      <c r="S55" s="36">
        <f>MIN(IF($G55="s-curve",$E55+($F55-$E55)*$L$2/(1+EXP($L$3*(COUNT($L$9:S$9)+$L$4))),TREND($E55:$F55,$E$9:$F$9,S$9)),1)</f>
        <v>0.2881473922429052</v>
      </c>
      <c r="T55" s="36">
        <f>MIN(IF($G55="s-curve",$E55+($F55-$E55)*$L$2/(1+EXP($L$3*(COUNT($L$9:T$9)+$L$4))),TREND($E55:$F55,$E$9:$F$9,T$9)),1)</f>
        <v>0.32561331896697254</v>
      </c>
      <c r="U55" s="36">
        <f>MIN(IF($G55="s-curve",$E55+($F55-$E55)*$L$2/(1+EXP($L$3*(COUNT($L$9:U$9)+$L$4))),TREND($E55:$F55,$E$9:$F$9,U$9)),1)</f>
        <v>0.36307924569102568</v>
      </c>
      <c r="V55" s="36">
        <f>MIN(IF($G55="s-curve",$E55+($F55-$E55)*$L$2/(1+EXP($L$3*(COUNT($L$9:V$9)+$L$4))),TREND($E55:$F55,$E$9:$F$9,V$9)),1)</f>
        <v>0.40054517241507881</v>
      </c>
      <c r="W55" s="36">
        <f>MIN(IF($G55="s-curve",$E55+($F55-$E55)*$L$2/(1+EXP($L$3*(COUNT($L$9:W$9)+$L$4))),TREND($E55:$F55,$E$9:$F$9,W$9)),1)</f>
        <v>0.43801109913914615</v>
      </c>
      <c r="X55" s="36">
        <f>MIN(IF($G55="s-curve",$E55+($F55-$E55)*$L$2/(1+EXP($L$3*(COUNT($L$9:X$9)+$L$4))),TREND($E55:$F55,$E$9:$F$9,X$9)),1)</f>
        <v>0.47547702586319929</v>
      </c>
      <c r="Y55" s="36">
        <f>MIN(IF($G55="s-curve",$E55+($F55-$E55)*$L$2/(1+EXP($L$3*(COUNT($L$9:Y$9)+$L$4))),TREND($E55:$F55,$E$9:$F$9,Y$9)),1)</f>
        <v>0.51294295258725242</v>
      </c>
      <c r="Z55" s="36">
        <f>MIN(IF($G55="s-curve",$E55+($F55-$E55)*$L$2/(1+EXP($L$3*(COUNT($L$9:Z$9)+$L$4))),TREND($E55:$F55,$E$9:$F$9,Z$9)),1)</f>
        <v>0.55040887931131977</v>
      </c>
      <c r="AA55" s="36">
        <f>MIN(IF($G55="s-curve",$E55+($F55-$E55)*$L$2/(1+EXP($L$3*(COUNT($L$9:AA$9)+$L$4))),TREND($E55:$F55,$E$9:$F$9,AA$9)),1)</f>
        <v>0.5878748060353729</v>
      </c>
      <c r="AB55" s="36">
        <f>MIN(IF($G55="s-curve",$E55+($F55-$E55)*$L$2/(1+EXP($L$3*(COUNT($L$9:AB$9)+$L$4))),TREND($E55:$F55,$E$9:$F$9,AB$9)),1)</f>
        <v>0.62534073275942603</v>
      </c>
      <c r="AC55" s="36">
        <f>MIN(IF($G55="s-curve",$E55+($F55-$E55)*$L$2/(1+EXP($L$3*(COUNT($L$9:AC$9)+$L$4))),TREND($E55:$F55,$E$9:$F$9,AC$9)),1)</f>
        <v>0.66280665948349338</v>
      </c>
      <c r="AD55" s="36">
        <f>MIN(IF($G55="s-curve",$E55+($F55-$E55)*$L$2/(1+EXP($L$3*(COUNT($L$9:AD$9)+$L$4))),TREND($E55:$F55,$E$9:$F$9,AD$9)),1)</f>
        <v>0.70027258620754651</v>
      </c>
      <c r="AE55" s="36">
        <f>MIN(IF($G55="s-curve",$E55+($F55-$E55)*$L$2/(1+EXP($L$3*(COUNT($L$9:AE$9)+$L$4))),TREND($E55:$F55,$E$9:$F$9,AE$9)),1)</f>
        <v>0.73773851293159964</v>
      </c>
      <c r="AF55" s="36">
        <f>MIN(IF($G55="s-curve",$E55+($F55-$E55)*$L$2/(1+EXP($L$3*(COUNT($L$9:AF$9)+$L$4))),TREND($E55:$F55,$E$9:$F$9,AF$9)),1)</f>
        <v>0.77520443965566699</v>
      </c>
      <c r="AG55" s="36">
        <f>MIN(IF($G55="s-curve",$E55+($F55-$E55)*$L$2/(1+EXP($L$3*(COUNT($L$9:AG$9)+$L$4))),TREND($E55:$F55,$E$9:$F$9,AG$9)),1)</f>
        <v>0.81267036637972012</v>
      </c>
      <c r="AH55" s="36">
        <f>MIN(IF($G55="s-curve",$E55+($F55-$E55)*$L$2/(1+EXP($L$3*(COUNT($L$9:AH$9)+$L$4))),TREND($E55:$F55,$E$9:$F$9,AH$9)),1)</f>
        <v>0.85013629310377326</v>
      </c>
      <c r="AI55" s="36">
        <f>MIN(IF($G55="s-curve",$E55+($F55-$E55)*$L$2/(1+EXP($L$3*(COUNT($L$9:AI$9)+$L$4))),TREND($E55:$F55,$E$9:$F$9,AI$9)),1)</f>
        <v>0.8876022198278406</v>
      </c>
      <c r="AJ55" s="36">
        <f>MIN(IF($G55="s-curve",$E55+($F55-$E55)*$L$2/(1+EXP($L$3*(COUNT($L$9:AJ$9)+$L$4))),TREND($E55:$F55,$E$9:$F$9,AJ$9)),1)</f>
        <v>0.92506814655189373</v>
      </c>
      <c r="AK55" s="36">
        <f>MIN(IF($G55="s-curve",$E55+($F55-$E55)*$L$2/(1+EXP($L$3*(COUNT($L$9:AK$9)+$L$4))),TREND($E55:$F55,$E$9:$F$9,AK$9)),1)</f>
        <v>0.96253407327594687</v>
      </c>
      <c r="AL55" s="36">
        <f>MIN(IF($G55="s-curve",$E55+($F55-$E55)*$L$2/(1+EXP($L$3*(COUNT($L$9:AL$9)+$L$4))),TREND($E55:$F55,$E$9:$F$9,AL$9)),1)</f>
        <v>1</v>
      </c>
      <c r="AM55" s="36">
        <f>MIN(IF($G55="s-curve",$E55+($F55-$E55)*$L$2/(1+EXP($L$3*(COUNT($L$9:AM$9)+$L$4))),TREND($E55:$F55,$E$9:$F$9,AM$9)),1)</f>
        <v>1</v>
      </c>
      <c r="AN55" s="36">
        <f>MIN(IF($G55="s-curve",$E55+($F55-$E55)*$L$2/(1+EXP($L$3*(COUNT($L$9:AN$9)+$L$4))),TREND($E55:$F55,$E$9:$F$9,AN$9)),1)</f>
        <v>1</v>
      </c>
      <c r="AO55" s="36">
        <f>MIN(IF($G55="s-curve",$E55+($F55-$E55)*$L$2/(1+EXP($L$3*(COUNT($L$9:AO$9)+$L$4))),TREND($E55:$F55,$E$9:$F$9,AO$9)),1)</f>
        <v>1</v>
      </c>
      <c r="AP55" s="36">
        <f>MIN(IF($G55="s-curve",$E55+($F55-$E55)*$L$2/(1+EXP($L$3*(COUNT($L$9:AP$9)+$L$4))),TREND($E55:$F55,$E$9:$F$9,AP$9)),1)</f>
        <v>1</v>
      </c>
      <c r="AQ55" s="36">
        <f>MIN(IF($G55="s-curve",$E55+($F55-$E55)*$L$2/(1+EXP($L$3*(COUNT($L$9:AQ$9)+$L$4))),TREND($E55:$F55,$E$9:$F$9,AQ$9)),1)</f>
        <v>1</v>
      </c>
      <c r="AR55" s="36">
        <f>MIN(IF($G55="s-curve",$E55+($F55-$E55)*$L$2/(1+EXP($L$3*(COUNT($L$9:AR$9)+$L$4))),TREND($E55:$F55,$E$9:$F$9,AR$9)),1)</f>
        <v>1</v>
      </c>
      <c r="AS55" s="36">
        <f>MIN(IF($G55="s-curve",$E55+($F55-$E55)*$L$2/(1+EXP($L$3*(COUNT($L$9:AS$9)+$L$4))),TREND($E55:$F55,$E$9:$F$9,AS$9)),1)</f>
        <v>1</v>
      </c>
      <c r="AT55" s="36">
        <f>MIN(IF($G55="s-curve",$E55+($F55-$E55)*$L$2/(1+EXP($L$3*(COUNT($L$9:AT$9)+$L$4))),TREND($E55:$F55,$E$9:$F$9,AT$9)),1)</f>
        <v>1</v>
      </c>
      <c r="AU55" s="36">
        <f>MIN(IF($G55="s-curve",$E55+($F55-$E55)*$L$2/(1+EXP($L$3*(COUNT($L$9:AU$9)+$L$4))),TREND($E55:$F55,$E$9:$F$9,AU$9)),1)</f>
        <v>1</v>
      </c>
      <c r="AV55" s="36">
        <f>MIN(IF($G55="s-curve",$E55+($F55-$E55)*$L$2/(1+EXP($L$3*(COUNT($L$9:AV$9)+$L$4))),TREND($E55:$F55,$E$9:$F$9,AV$9)),1)</f>
        <v>1</v>
      </c>
      <c r="AW55" s="36">
        <f>MIN(IF($G55="s-curve",$E55+($F55-$E55)*$L$2/(1+EXP($L$3*(COUNT($L$9:AW$9)+$L$4))),TREND($E55:$F55,$E$9:$F$9,AW$9)),1)</f>
        <v>1</v>
      </c>
      <c r="AX55" s="36">
        <f>MIN(IF($G55="s-curve",$E55+($F55-$E55)*$L$2/(1+EXP($L$3*(COUNT($L$9:AX$9)+$L$4))),TREND($E55:$F55,$E$9:$F$9,AX$9)),1)</f>
        <v>1</v>
      </c>
      <c r="AY55" s="36">
        <f>MIN(IF($G55="s-curve",$E55+($F55-$E55)*$L$2/(1+EXP($L$3*(COUNT($L$9:AY$9)+$L$4))),TREND($E55:$F55,$E$9:$F$9,AY$9)),1)</f>
        <v>1</v>
      </c>
      <c r="AZ55" s="36">
        <f>MIN(IF($G55="s-curve",$E55+($F55-$E55)*$L$2/(1+EXP($L$3*(COUNT($L$9:AZ$9)+$L$4))),TREND($E55:$F55,$E$9:$F$9,AZ$9)),1)</f>
        <v>1</v>
      </c>
      <c r="BA55" s="36">
        <f>MIN(IF($G55="s-curve",$E55+($F55-$E55)*$L$2/(1+EXP($L$3*(COUNT($L$9:BA$9)+$L$4))),TREND($E55:$F55,$E$9:$F$9,BA$9)),1)</f>
        <v>1</v>
      </c>
      <c r="BB55" s="36">
        <f>MIN(IF($G55="s-curve",$E55+($F55-$E55)*$L$2/(1+EXP($L$3*(COUNT($L$9:BB$9)+$L$4))),TREND($E55:$F55,$E$9:$F$9,BB$9)),1)</f>
        <v>1</v>
      </c>
      <c r="BC55" s="36">
        <f>MIN(IF($G55="s-curve",$E55+($F55-$E55)*$L$2/(1+EXP($L$3*(COUNT($L$9:BC$9)+$L$4))),TREND($E55:$F55,$E$9:$F$9,BC$9)),1)</f>
        <v>1</v>
      </c>
      <c r="BD55" s="36">
        <f>MIN(IF($G55="s-curve",$E55+($F55-$E55)*$L$2/(1+EXP($L$3*(COUNT($L$9:BD$9)+$L$4))),TREND($E55:$F55,$E$9:$F$9,BD$9)),1)</f>
        <v>1</v>
      </c>
      <c r="BE55" s="36">
        <f>MIN(IF($G55="s-curve",$E55+($F55-$E55)*$L$2/(1+EXP($L$3*(COUNT($L$9:BE$9)+$L$4))),TREND($E55:$F55,$E$9:$F$9,BE$9)),1)</f>
        <v>1</v>
      </c>
      <c r="BF55" s="36">
        <f>MIN(IF($G55="s-curve",$E55+($F55-$E55)*$L$2/(1+EXP($L$3*(COUNT($L$9:BF$9)+$L$4))),TREND($E55:$F55,$E$9:$F$9,BF$9)),1)</f>
        <v>1</v>
      </c>
    </row>
    <row r="56" spans="1:58" x14ac:dyDescent="0.25">
      <c r="C56" t="s">
        <v>5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H56" s="33"/>
      <c r="I56">
        <f t="shared" si="22"/>
        <v>0</v>
      </c>
      <c r="J56">
        <f t="shared" si="22"/>
        <v>0</v>
      </c>
      <c r="K56">
        <f t="shared" si="22"/>
        <v>0</v>
      </c>
      <c r="L56" s="36">
        <f t="shared" si="30"/>
        <v>0</v>
      </c>
      <c r="M56" s="36">
        <f>IF($G56="s-curve",$E56+($F56-$E56)*$L$2/(1+EXP($L$3*(COUNT($L$9:M$9)+$L$4))),TREND($E56:$F56,$E$9:$F$9,M$9))</f>
        <v>0</v>
      </c>
      <c r="N56" s="36">
        <f>IF($G56="s-curve",$E56+($F56-$E56)*$L$2/(1+EXP($L$3*(COUNT($L$9:N$9)+$L$4))),TREND($E56:$F56,$E$9:$F$9,N$9))</f>
        <v>0</v>
      </c>
      <c r="O56" s="36">
        <f>IF($G56="s-curve",$E56+($F56-$E56)*$L$2/(1+EXP($L$3*(COUNT($L$9:O$9)+$L$4))),TREND($E56:$F56,$E$9:$F$9,O$9))</f>
        <v>0</v>
      </c>
      <c r="P56" s="36">
        <f>IF($G56="s-curve",$E56+($F56-$E56)*$L$2/(1+EXP($L$3*(COUNT($L$9:P$9)+$L$4))),TREND($E56:$F56,$E$9:$F$9,P$9))</f>
        <v>0</v>
      </c>
      <c r="Q56" s="36">
        <f>IF($G56="s-curve",$E56+($F56-$E56)*$L$2/(1+EXP($L$3*(COUNT($L$9:Q$9)+$L$4))),TREND($E56:$F56,$E$9:$F$9,Q$9))</f>
        <v>0</v>
      </c>
      <c r="R56" s="36">
        <f>IF($G56="s-curve",$E56+($F56-$E56)*$L$2/(1+EXP($L$3*(COUNT($L$9:R$9)+$L$4))),TREND($E56:$F56,$E$9:$F$9,R$9))</f>
        <v>0</v>
      </c>
      <c r="S56" s="36">
        <f>IF($G56="s-curve",$E56+($F56-$E56)*$L$2/(1+EXP($L$3*(COUNT($L$9:S$9)+$L$4))),TREND($E56:$F56,$E$9:$F$9,S$9))</f>
        <v>0</v>
      </c>
      <c r="T56" s="36">
        <f>IF($G56="s-curve",$E56+($F56-$E56)*$L$2/(1+EXP($L$3*(COUNT($L$9:T$9)+$L$4))),TREND($E56:$F56,$E$9:$F$9,T$9))</f>
        <v>0</v>
      </c>
      <c r="U56" s="36">
        <f>IF($G56="s-curve",$E56+($F56-$E56)*$L$2/(1+EXP($L$3*(COUNT($L$9:U$9)+$L$4))),TREND($E56:$F56,$E$9:$F$9,U$9))</f>
        <v>0</v>
      </c>
      <c r="V56" s="36">
        <f>IF($G56="s-curve",$E56+($F56-$E56)*$L$2/(1+EXP($L$3*(COUNT($L$9:V$9)+$L$4))),TREND($E56:$F56,$E$9:$F$9,V$9))</f>
        <v>0</v>
      </c>
      <c r="W56" s="36">
        <f>IF($G56="s-curve",$E56+($F56-$E56)*$L$2/(1+EXP($L$3*(COUNT($L$9:W$9)+$L$4))),TREND($E56:$F56,$E$9:$F$9,W$9))</f>
        <v>0</v>
      </c>
      <c r="X56" s="36">
        <f>IF($G56="s-curve",$E56+($F56-$E56)*$L$2/(1+EXP($L$3*(COUNT($L$9:X$9)+$L$4))),TREND($E56:$F56,$E$9:$F$9,X$9))</f>
        <v>0</v>
      </c>
      <c r="Y56" s="36">
        <f>IF($G56="s-curve",$E56+($F56-$E56)*$L$2/(1+EXP($L$3*(COUNT($L$9:Y$9)+$L$4))),TREND($E56:$F56,$E$9:$F$9,Y$9))</f>
        <v>0</v>
      </c>
      <c r="Z56" s="36">
        <f>IF($G56="s-curve",$E56+($F56-$E56)*$L$2/(1+EXP($L$3*(COUNT($L$9:Z$9)+$L$4))),TREND($E56:$F56,$E$9:$F$9,Z$9))</f>
        <v>0</v>
      </c>
      <c r="AA56" s="36">
        <f>IF($G56="s-curve",$E56+($F56-$E56)*$L$2/(1+EXP($L$3*(COUNT($L$9:AA$9)+$L$4))),TREND($E56:$F56,$E$9:$F$9,AA$9))</f>
        <v>0</v>
      </c>
      <c r="AB56" s="36">
        <f>IF($G56="s-curve",$E56+($F56-$E56)*$L$2/(1+EXP($L$3*(COUNT($L$9:AB$9)+$L$4))),TREND($E56:$F56,$E$9:$F$9,AB$9))</f>
        <v>0</v>
      </c>
      <c r="AC56" s="36">
        <f>IF($G56="s-curve",$E56+($F56-$E56)*$L$2/(1+EXP($L$3*(COUNT($L$9:AC$9)+$L$4))),TREND($E56:$F56,$E$9:$F$9,AC$9))</f>
        <v>0</v>
      </c>
      <c r="AD56" s="36">
        <f>IF($G56="s-curve",$E56+($F56-$E56)*$L$2/(1+EXP($L$3*(COUNT($L$9:AD$9)+$L$4))),TREND($E56:$F56,$E$9:$F$9,AD$9))</f>
        <v>0</v>
      </c>
      <c r="AE56" s="36">
        <f>IF($G56="s-curve",$E56+($F56-$E56)*$L$2/(1+EXP($L$3*(COUNT($L$9:AE$9)+$L$4))),TREND($E56:$F56,$E$9:$F$9,AE$9))</f>
        <v>0</v>
      </c>
      <c r="AF56" s="36">
        <f>IF($G56="s-curve",$E56+($F56-$E56)*$L$2/(1+EXP($L$3*(COUNT($L$9:AF$9)+$L$4))),TREND($E56:$F56,$E$9:$F$9,AF$9))</f>
        <v>0</v>
      </c>
      <c r="AG56" s="36">
        <f>IF($G56="s-curve",$E56+($F56-$E56)*$L$2/(1+EXP($L$3*(COUNT($L$9:AG$9)+$L$4))),TREND($E56:$F56,$E$9:$F$9,AG$9))</f>
        <v>0</v>
      </c>
      <c r="AH56" s="36">
        <f>IF($G56="s-curve",$E56+($F56-$E56)*$L$2/(1+EXP($L$3*(COUNT($L$9:AH$9)+$L$4))),TREND($E56:$F56,$E$9:$F$9,AH$9))</f>
        <v>0</v>
      </c>
      <c r="AI56" s="36">
        <f>IF($G56="s-curve",$E56+($F56-$E56)*$L$2/(1+EXP($L$3*(COUNT($L$9:AI$9)+$L$4))),TREND($E56:$F56,$E$9:$F$9,AI$9))</f>
        <v>0</v>
      </c>
      <c r="AJ56" s="36">
        <f>IF($G56="s-curve",$E56+($F56-$E56)*$L$2/(1+EXP($L$3*(COUNT($L$9:AJ$9)+$L$4))),TREND($E56:$F56,$E$9:$F$9,AJ$9))</f>
        <v>0</v>
      </c>
      <c r="AK56" s="36">
        <f>IF($G56="s-curve",$E56+($F56-$E56)*$L$2/(1+EXP($L$3*(COUNT($L$9:AK$9)+$L$4))),TREND($E56:$F56,$E$9:$F$9,AK$9))</f>
        <v>0</v>
      </c>
      <c r="AL56" s="36">
        <f>IF($G56="s-curve",$E56+($F56-$E56)*$L$2/(1+EXP($L$3*(COUNT($L$9:AL$9)+$L$4))),TREND($E56:$F56,$E$9:$F$9,AL$9))</f>
        <v>0</v>
      </c>
      <c r="AM56" s="36">
        <f>IF($G56="s-curve",$E56+($F56-$E56)*$L$2/(1+EXP($L$3*(COUNT($L$9:AM$9)+$L$4))),TREND($E56:$F56,$E$9:$F$9,AM$9))</f>
        <v>0</v>
      </c>
      <c r="AN56" s="36">
        <f>IF($G56="s-curve",$E56+($F56-$E56)*$L$2/(1+EXP($L$3*(COUNT($L$9:AN$9)+$L$4))),TREND($E56:$F56,$E$9:$F$9,AN$9))</f>
        <v>0</v>
      </c>
      <c r="AO56" s="36">
        <f>IF($G56="s-curve",$E56+($F56-$E56)*$L$2/(1+EXP($L$3*(COUNT($L$9:AO$9)+$L$4))),TREND($E56:$F56,$E$9:$F$9,AO$9))</f>
        <v>0</v>
      </c>
      <c r="AP56" s="36">
        <f>IF($G56="s-curve",$E56+($F56-$E56)*$L$2/(1+EXP($L$3*(COUNT($L$9:AP$9)+$L$4))),TREND($E56:$F56,$E$9:$F$9,AP$9))</f>
        <v>0</v>
      </c>
      <c r="AQ56" s="36">
        <f>IF($G56="s-curve",$E56+($F56-$E56)*$L$2/(1+EXP($L$3*(COUNT($L$9:AQ$9)+$L$4))),TREND($E56:$F56,$E$9:$F$9,AQ$9))</f>
        <v>0</v>
      </c>
      <c r="AR56" s="36">
        <f>IF($G56="s-curve",$E56+($F56-$E56)*$L$2/(1+EXP($L$3*(COUNT($L$9:AR$9)+$L$4))),TREND($E56:$F56,$E$9:$F$9,AR$9))</f>
        <v>0</v>
      </c>
      <c r="AS56" s="36">
        <f>IF($G56="s-curve",$E56+($F56-$E56)*$L$2/(1+EXP($L$3*(COUNT($L$9:AS$9)+$L$4))),TREND($E56:$F56,$E$9:$F$9,AS$9))</f>
        <v>0</v>
      </c>
      <c r="AT56" s="36">
        <f>IF($G56="s-curve",$E56+($F56-$E56)*$L$2/(1+EXP($L$3*(COUNT($L$9:AT$9)+$L$4))),TREND($E56:$F56,$E$9:$F$9,AT$9))</f>
        <v>0</v>
      </c>
      <c r="AU56" s="36">
        <f>IF($G56="s-curve",$E56+($F56-$E56)*$L$2/(1+EXP($L$3*(COUNT($L$9:AU$9)+$L$4))),TREND($E56:$F56,$E$9:$F$9,AU$9))</f>
        <v>0</v>
      </c>
      <c r="AV56" s="36">
        <f>IF($G56="s-curve",$E56+($F56-$E56)*$L$2/(1+EXP($L$3*(COUNT($L$9:AV$9)+$L$4))),TREND($E56:$F56,$E$9:$F$9,AV$9))</f>
        <v>0</v>
      </c>
      <c r="AW56" s="36">
        <f>IF($G56="s-curve",$E56+($F56-$E56)*$L$2/(1+EXP($L$3*(COUNT($L$9:AW$9)+$L$4))),TREND($E56:$F56,$E$9:$F$9,AW$9))</f>
        <v>0</v>
      </c>
      <c r="AX56" s="36">
        <f>IF($G56="s-curve",$E56+($F56-$E56)*$L$2/(1+EXP($L$3*(COUNT($L$9:AX$9)+$L$4))),TREND($E56:$F56,$E$9:$F$9,AX$9))</f>
        <v>0</v>
      </c>
      <c r="AY56" s="36">
        <f>IF($G56="s-curve",$E56+($F56-$E56)*$L$2/(1+EXP($L$3*(COUNT($L$9:AY$9)+$L$4))),TREND($E56:$F56,$E$9:$F$9,AY$9))</f>
        <v>0</v>
      </c>
      <c r="AZ56" s="36">
        <f>IF($G56="s-curve",$E56+($F56-$E56)*$L$2/(1+EXP($L$3*(COUNT($L$9:AZ$9)+$L$4))),TREND($E56:$F56,$E$9:$F$9,AZ$9))</f>
        <v>0</v>
      </c>
      <c r="BA56" s="36">
        <f>IF($G56="s-curve",$E56+($F56-$E56)*$L$2/(1+EXP($L$3*(COUNT($L$9:BA$9)+$L$4))),TREND($E56:$F56,$E$9:$F$9,BA$9))</f>
        <v>0</v>
      </c>
      <c r="BB56" s="36">
        <f>IF($G56="s-curve",$E56+($F56-$E56)*$L$2/(1+EXP($L$3*(COUNT($L$9:BB$9)+$L$4))),TREND($E56:$F56,$E$9:$F$9,BB$9))</f>
        <v>0</v>
      </c>
      <c r="BC56" s="36">
        <f>IF($G56="s-curve",$E56+($F56-$E56)*$L$2/(1+EXP($L$3*(COUNT($L$9:BC$9)+$L$4))),TREND($E56:$F56,$E$9:$F$9,BC$9))</f>
        <v>0</v>
      </c>
      <c r="BD56" s="36">
        <f>IF($G56="s-curve",$E56+($F56-$E56)*$L$2/(1+EXP($L$3*(COUNT($L$9:BD$9)+$L$4))),TREND($E56:$F56,$E$9:$F$9,BD$9))</f>
        <v>0</v>
      </c>
      <c r="BE56" s="36">
        <f>IF($G56="s-curve",$E56+($F56-$E56)*$L$2/(1+EXP($L$3*(COUNT($L$9:BE$9)+$L$4))),TREND($E56:$F56,$E$9:$F$9,BE$9))</f>
        <v>0</v>
      </c>
      <c r="BF56" s="36">
        <f>IF($G56="s-curve",$E56+($F56-$E56)*$L$2/(1+EXP($L$3*(COUNT($L$9:BF$9)+$L$4))),TREND($E56:$F56,$E$9:$F$9,BF$9))</f>
        <v>0</v>
      </c>
    </row>
    <row r="57" spans="1:58" x14ac:dyDescent="0.25">
      <c r="C57" t="s">
        <v>33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H57" s="33"/>
      <c r="I57">
        <f t="shared" si="22"/>
        <v>0</v>
      </c>
      <c r="J57">
        <f t="shared" si="22"/>
        <v>0</v>
      </c>
      <c r="K57">
        <f t="shared" si="22"/>
        <v>0</v>
      </c>
      <c r="L57" s="36">
        <f t="shared" si="30"/>
        <v>0</v>
      </c>
      <c r="M57" s="36">
        <f>IF($G57="s-curve",$E57+($F57-$E57)*$L$2/(1+EXP($L$3*(COUNT($L$9:M$9)+$L$4))),TREND($E57:$F57,$E$9:$F$9,M$9))</f>
        <v>0</v>
      </c>
      <c r="N57" s="36">
        <f>IF($G57="s-curve",$E57+($F57-$E57)*$L$2/(1+EXP($L$3*(COUNT($L$9:N$9)+$L$4))),TREND($E57:$F57,$E$9:$F$9,N$9))</f>
        <v>0</v>
      </c>
      <c r="O57" s="36">
        <f>IF($G57="s-curve",$E57+($F57-$E57)*$L$2/(1+EXP($L$3*(COUNT($L$9:O$9)+$L$4))),TREND($E57:$F57,$E$9:$F$9,O$9))</f>
        <v>0</v>
      </c>
      <c r="P57" s="36">
        <f>IF($G57="s-curve",$E57+($F57-$E57)*$L$2/(1+EXP($L$3*(COUNT($L$9:P$9)+$L$4))),TREND($E57:$F57,$E$9:$F$9,P$9))</f>
        <v>0</v>
      </c>
      <c r="Q57" s="36">
        <f>IF($G57="s-curve",$E57+($F57-$E57)*$L$2/(1+EXP($L$3*(COUNT($L$9:Q$9)+$L$4))),TREND($E57:$F57,$E$9:$F$9,Q$9))</f>
        <v>0</v>
      </c>
      <c r="R57" s="36">
        <f>IF($G57="s-curve",$E57+($F57-$E57)*$L$2/(1+EXP($L$3*(COUNT($L$9:R$9)+$L$4))),TREND($E57:$F57,$E$9:$F$9,R$9))</f>
        <v>0</v>
      </c>
      <c r="S57" s="36">
        <f>IF($G57="s-curve",$E57+($F57-$E57)*$L$2/(1+EXP($L$3*(COUNT($L$9:S$9)+$L$4))),TREND($E57:$F57,$E$9:$F$9,S$9))</f>
        <v>0</v>
      </c>
      <c r="T57" s="36">
        <f>IF($G57="s-curve",$E57+($F57-$E57)*$L$2/(1+EXP($L$3*(COUNT($L$9:T$9)+$L$4))),TREND($E57:$F57,$E$9:$F$9,T$9))</f>
        <v>0</v>
      </c>
      <c r="U57" s="36">
        <f>IF($G57="s-curve",$E57+($F57-$E57)*$L$2/(1+EXP($L$3*(COUNT($L$9:U$9)+$L$4))),TREND($E57:$F57,$E$9:$F$9,U$9))</f>
        <v>0</v>
      </c>
      <c r="V57" s="36">
        <f>IF($G57="s-curve",$E57+($F57-$E57)*$L$2/(1+EXP($L$3*(COUNT($L$9:V$9)+$L$4))),TREND($E57:$F57,$E$9:$F$9,V$9))</f>
        <v>0</v>
      </c>
      <c r="W57" s="36">
        <f>IF($G57="s-curve",$E57+($F57-$E57)*$L$2/(1+EXP($L$3*(COUNT($L$9:W$9)+$L$4))),TREND($E57:$F57,$E$9:$F$9,W$9))</f>
        <v>0</v>
      </c>
      <c r="X57" s="36">
        <f>IF($G57="s-curve",$E57+($F57-$E57)*$L$2/(1+EXP($L$3*(COUNT($L$9:X$9)+$L$4))),TREND($E57:$F57,$E$9:$F$9,X$9))</f>
        <v>0</v>
      </c>
      <c r="Y57" s="36">
        <f>IF($G57="s-curve",$E57+($F57-$E57)*$L$2/(1+EXP($L$3*(COUNT($L$9:Y$9)+$L$4))),TREND($E57:$F57,$E$9:$F$9,Y$9))</f>
        <v>0</v>
      </c>
      <c r="Z57" s="36">
        <f>IF($G57="s-curve",$E57+($F57-$E57)*$L$2/(1+EXP($L$3*(COUNT($L$9:Z$9)+$L$4))),TREND($E57:$F57,$E$9:$F$9,Z$9))</f>
        <v>0</v>
      </c>
      <c r="AA57" s="36">
        <f>IF($G57="s-curve",$E57+($F57-$E57)*$L$2/(1+EXP($L$3*(COUNT($L$9:AA$9)+$L$4))),TREND($E57:$F57,$E$9:$F$9,AA$9))</f>
        <v>0</v>
      </c>
      <c r="AB57" s="36">
        <f>IF($G57="s-curve",$E57+($F57-$E57)*$L$2/(1+EXP($L$3*(COUNT($L$9:AB$9)+$L$4))),TREND($E57:$F57,$E$9:$F$9,AB$9))</f>
        <v>0</v>
      </c>
      <c r="AC57" s="36">
        <f>IF($G57="s-curve",$E57+($F57-$E57)*$L$2/(1+EXP($L$3*(COUNT($L$9:AC$9)+$L$4))),TREND($E57:$F57,$E$9:$F$9,AC$9))</f>
        <v>0</v>
      </c>
      <c r="AD57" s="36">
        <f>IF($G57="s-curve",$E57+($F57-$E57)*$L$2/(1+EXP($L$3*(COUNT($L$9:AD$9)+$L$4))),TREND($E57:$F57,$E$9:$F$9,AD$9))</f>
        <v>0</v>
      </c>
      <c r="AE57" s="36">
        <f>IF($G57="s-curve",$E57+($F57-$E57)*$L$2/(1+EXP($L$3*(COUNT($L$9:AE$9)+$L$4))),TREND($E57:$F57,$E$9:$F$9,AE$9))</f>
        <v>0</v>
      </c>
      <c r="AF57" s="36">
        <f>IF($G57="s-curve",$E57+($F57-$E57)*$L$2/(1+EXP($L$3*(COUNT($L$9:AF$9)+$L$4))),TREND($E57:$F57,$E$9:$F$9,AF$9))</f>
        <v>0</v>
      </c>
      <c r="AG57" s="36">
        <f>IF($G57="s-curve",$E57+($F57-$E57)*$L$2/(1+EXP($L$3*(COUNT($L$9:AG$9)+$L$4))),TREND($E57:$F57,$E$9:$F$9,AG$9))</f>
        <v>0</v>
      </c>
      <c r="AH57" s="36">
        <f>IF($G57="s-curve",$E57+($F57-$E57)*$L$2/(1+EXP($L$3*(COUNT($L$9:AH$9)+$L$4))),TREND($E57:$F57,$E$9:$F$9,AH$9))</f>
        <v>0</v>
      </c>
      <c r="AI57" s="36">
        <f>IF($G57="s-curve",$E57+($F57-$E57)*$L$2/(1+EXP($L$3*(COUNT($L$9:AI$9)+$L$4))),TREND($E57:$F57,$E$9:$F$9,AI$9))</f>
        <v>0</v>
      </c>
      <c r="AJ57" s="36">
        <f>IF($G57="s-curve",$E57+($F57-$E57)*$L$2/(1+EXP($L$3*(COUNT($L$9:AJ$9)+$L$4))),TREND($E57:$F57,$E$9:$F$9,AJ$9))</f>
        <v>0</v>
      </c>
      <c r="AK57" s="36">
        <f>IF($G57="s-curve",$E57+($F57-$E57)*$L$2/(1+EXP($L$3*(COUNT($L$9:AK$9)+$L$4))),TREND($E57:$F57,$E$9:$F$9,AK$9))</f>
        <v>0</v>
      </c>
      <c r="AL57" s="36">
        <f>IF($G57="s-curve",$E57+($F57-$E57)*$L$2/(1+EXP($L$3*(COUNT($L$9:AL$9)+$L$4))),TREND($E57:$F57,$E$9:$F$9,AL$9))</f>
        <v>0</v>
      </c>
      <c r="AM57" s="36">
        <f>IF($G57="s-curve",$E57+($F57-$E57)*$L$2/(1+EXP($L$3*(COUNT($L$9:AM$9)+$L$4))),TREND($E57:$F57,$E$9:$F$9,AM$9))</f>
        <v>0</v>
      </c>
      <c r="AN57" s="36">
        <f>IF($G57="s-curve",$E57+($F57-$E57)*$L$2/(1+EXP($L$3*(COUNT($L$9:AN$9)+$L$4))),TREND($E57:$F57,$E$9:$F$9,AN$9))</f>
        <v>0</v>
      </c>
      <c r="AO57" s="36">
        <f>IF($G57="s-curve",$E57+($F57-$E57)*$L$2/(1+EXP($L$3*(COUNT($L$9:AO$9)+$L$4))),TREND($E57:$F57,$E$9:$F$9,AO$9))</f>
        <v>0</v>
      </c>
      <c r="AP57" s="36">
        <f>IF($G57="s-curve",$E57+($F57-$E57)*$L$2/(1+EXP($L$3*(COUNT($L$9:AP$9)+$L$4))),TREND($E57:$F57,$E$9:$F$9,AP$9))</f>
        <v>0</v>
      </c>
      <c r="AQ57" s="36">
        <f>IF($G57="s-curve",$E57+($F57-$E57)*$L$2/(1+EXP($L$3*(COUNT($L$9:AQ$9)+$L$4))),TREND($E57:$F57,$E$9:$F$9,AQ$9))</f>
        <v>0</v>
      </c>
      <c r="AR57" s="36">
        <f>IF($G57="s-curve",$E57+($F57-$E57)*$L$2/(1+EXP($L$3*(COUNT($L$9:AR$9)+$L$4))),TREND($E57:$F57,$E$9:$F$9,AR$9))</f>
        <v>0</v>
      </c>
      <c r="AS57" s="36">
        <f>IF($G57="s-curve",$E57+($F57-$E57)*$L$2/(1+EXP($L$3*(COUNT($L$9:AS$9)+$L$4))),TREND($E57:$F57,$E$9:$F$9,AS$9))</f>
        <v>0</v>
      </c>
      <c r="AT57" s="36">
        <f>IF($G57="s-curve",$E57+($F57-$E57)*$L$2/(1+EXP($L$3*(COUNT($L$9:AT$9)+$L$4))),TREND($E57:$F57,$E$9:$F$9,AT$9))</f>
        <v>0</v>
      </c>
      <c r="AU57" s="36">
        <f>IF($G57="s-curve",$E57+($F57-$E57)*$L$2/(1+EXP($L$3*(COUNT($L$9:AU$9)+$L$4))),TREND($E57:$F57,$E$9:$F$9,AU$9))</f>
        <v>0</v>
      </c>
      <c r="AV57" s="36">
        <f>IF($G57="s-curve",$E57+($F57-$E57)*$L$2/(1+EXP($L$3*(COUNT($L$9:AV$9)+$L$4))),TREND($E57:$F57,$E$9:$F$9,AV$9))</f>
        <v>0</v>
      </c>
      <c r="AW57" s="36">
        <f>IF($G57="s-curve",$E57+($F57-$E57)*$L$2/(1+EXP($L$3*(COUNT($L$9:AW$9)+$L$4))),TREND($E57:$F57,$E$9:$F$9,AW$9))</f>
        <v>0</v>
      </c>
      <c r="AX57" s="36">
        <f>IF($G57="s-curve",$E57+($F57-$E57)*$L$2/(1+EXP($L$3*(COUNT($L$9:AX$9)+$L$4))),TREND($E57:$F57,$E$9:$F$9,AX$9))</f>
        <v>0</v>
      </c>
      <c r="AY57" s="36">
        <f>IF($G57="s-curve",$E57+($F57-$E57)*$L$2/(1+EXP($L$3*(COUNT($L$9:AY$9)+$L$4))),TREND($E57:$F57,$E$9:$F$9,AY$9))</f>
        <v>0</v>
      </c>
      <c r="AZ57" s="36">
        <f>IF($G57="s-curve",$E57+($F57-$E57)*$L$2/(1+EXP($L$3*(COUNT($L$9:AZ$9)+$L$4))),TREND($E57:$F57,$E$9:$F$9,AZ$9))</f>
        <v>0</v>
      </c>
      <c r="BA57" s="36">
        <f>IF($G57="s-curve",$E57+($F57-$E57)*$L$2/(1+EXP($L$3*(COUNT($L$9:BA$9)+$L$4))),TREND($E57:$F57,$E$9:$F$9,BA$9))</f>
        <v>0</v>
      </c>
      <c r="BB57" s="36">
        <f>IF($G57="s-curve",$E57+($F57-$E57)*$L$2/(1+EXP($L$3*(COUNT($L$9:BB$9)+$L$4))),TREND($E57:$F57,$E$9:$F$9,BB$9))</f>
        <v>0</v>
      </c>
      <c r="BC57" s="36">
        <f>IF($G57="s-curve",$E57+($F57-$E57)*$L$2/(1+EXP($L$3*(COUNT($L$9:BC$9)+$L$4))),TREND($E57:$F57,$E$9:$F$9,BC$9))</f>
        <v>0</v>
      </c>
      <c r="BD57" s="36">
        <f>IF($G57="s-curve",$E57+($F57-$E57)*$L$2/(1+EXP($L$3*(COUNT($L$9:BD$9)+$L$4))),TREND($E57:$F57,$E$9:$F$9,BD$9))</f>
        <v>0</v>
      </c>
      <c r="BE57" s="36">
        <f>IF($G57="s-curve",$E57+($F57-$E57)*$L$2/(1+EXP($L$3*(COUNT($L$9:BE$9)+$L$4))),TREND($E57:$F57,$E$9:$F$9,BE$9))</f>
        <v>0</v>
      </c>
      <c r="BF57" s="36">
        <f>IF($G57="s-curve",$E57+($F57-$E57)*$L$2/(1+EXP($L$3*(COUNT($L$9:BF$9)+$L$4))),TREND($E57:$F57,$E$9:$F$9,BF$9))</f>
        <v>0</v>
      </c>
    </row>
    <row r="58" spans="1:58" ht="15.75" thickBot="1" x14ac:dyDescent="0.3">
      <c r="A58" s="18"/>
      <c r="B58" s="18"/>
      <c r="C58" s="18" t="s">
        <v>34</v>
      </c>
      <c r="D58" s="18"/>
      <c r="E58" s="18">
        <v>0</v>
      </c>
      <c r="F58" s="18">
        <v>0</v>
      </c>
      <c r="G58" s="6" t="str">
        <f>IF(E58=F58,"n/a",IF(OR(C58="battery electric vehicle",C58="natural gas vehicle",C58="plugin hybrid vehicle",C58="hydrogen vehicle"),"s-curve","linear"))</f>
        <v>n/a</v>
      </c>
      <c r="H58" s="34"/>
      <c r="I58">
        <f t="shared" si="22"/>
        <v>0</v>
      </c>
      <c r="J58">
        <f t="shared" si="22"/>
        <v>0</v>
      </c>
      <c r="K58">
        <f t="shared" si="22"/>
        <v>0</v>
      </c>
      <c r="L58" s="36">
        <f t="shared" si="30"/>
        <v>0</v>
      </c>
      <c r="M58" s="36">
        <f>IF($G58="s-curve",$E58+($F58-$E58)*$L$2/(1+EXP($L$3*(COUNT($L$9:M$9)+$L$4))),TREND($E58:$F58,$E$9:$F$9,M$9))</f>
        <v>0</v>
      </c>
      <c r="N58" s="36">
        <f>IF($G58="s-curve",$E58+($F58-$E58)*$L$2/(1+EXP($L$3*(COUNT($L$9:N$9)+$L$4))),TREND($E58:$F58,$E$9:$F$9,N$9))</f>
        <v>0</v>
      </c>
      <c r="O58" s="36">
        <f>IF($G58="s-curve",$E58+($F58-$E58)*$L$2/(1+EXP($L$3*(COUNT($L$9:O$9)+$L$4))),TREND($E58:$F58,$E$9:$F$9,O$9))</f>
        <v>0</v>
      </c>
      <c r="P58" s="36">
        <f>IF($G58="s-curve",$E58+($F58-$E58)*$L$2/(1+EXP($L$3*(COUNT($L$9:P$9)+$L$4))),TREND($E58:$F58,$E$9:$F$9,P$9))</f>
        <v>0</v>
      </c>
      <c r="Q58" s="36">
        <f>IF($G58="s-curve",$E58+($F58-$E58)*$L$2/(1+EXP($L$3*(COUNT($L$9:Q$9)+$L$4))),TREND($E58:$F58,$E$9:$F$9,Q$9))</f>
        <v>0</v>
      </c>
      <c r="R58" s="36">
        <f>IF($G58="s-curve",$E58+($F58-$E58)*$L$2/(1+EXP($L$3*(COUNT($L$9:R$9)+$L$4))),TREND($E58:$F58,$E$9:$F$9,R$9))</f>
        <v>0</v>
      </c>
      <c r="S58" s="36">
        <f>IF($G58="s-curve",$E58+($F58-$E58)*$L$2/(1+EXP($L$3*(COUNT($L$9:S$9)+$L$4))),TREND($E58:$F58,$E$9:$F$9,S$9))</f>
        <v>0</v>
      </c>
      <c r="T58" s="36">
        <f>IF($G58="s-curve",$E58+($F58-$E58)*$L$2/(1+EXP($L$3*(COUNT($L$9:T$9)+$L$4))),TREND($E58:$F58,$E$9:$F$9,T$9))</f>
        <v>0</v>
      </c>
      <c r="U58" s="36">
        <f>IF($G58="s-curve",$E58+($F58-$E58)*$L$2/(1+EXP($L$3*(COUNT($L$9:U$9)+$L$4))),TREND($E58:$F58,$E$9:$F$9,U$9))</f>
        <v>0</v>
      </c>
      <c r="V58" s="36">
        <f>IF($G58="s-curve",$E58+($F58-$E58)*$L$2/(1+EXP($L$3*(COUNT($L$9:V$9)+$L$4))),TREND($E58:$F58,$E$9:$F$9,V$9))</f>
        <v>0</v>
      </c>
      <c r="W58" s="36">
        <f>IF($G58="s-curve",$E58+($F58-$E58)*$L$2/(1+EXP($L$3*(COUNT($L$9:W$9)+$L$4))),TREND($E58:$F58,$E$9:$F$9,W$9))</f>
        <v>0</v>
      </c>
      <c r="X58" s="36">
        <f>IF($G58="s-curve",$E58+($F58-$E58)*$L$2/(1+EXP($L$3*(COUNT($L$9:X$9)+$L$4))),TREND($E58:$F58,$E$9:$F$9,X$9))</f>
        <v>0</v>
      </c>
      <c r="Y58" s="36">
        <f>IF($G58="s-curve",$E58+($F58-$E58)*$L$2/(1+EXP($L$3*(COUNT($L$9:Y$9)+$L$4))),TREND($E58:$F58,$E$9:$F$9,Y$9))</f>
        <v>0</v>
      </c>
      <c r="Z58" s="36">
        <f>IF($G58="s-curve",$E58+($F58-$E58)*$L$2/(1+EXP($L$3*(COUNT($L$9:Z$9)+$L$4))),TREND($E58:$F58,$E$9:$F$9,Z$9))</f>
        <v>0</v>
      </c>
      <c r="AA58" s="36">
        <f>IF($G58="s-curve",$E58+($F58-$E58)*$L$2/(1+EXP($L$3*(COUNT($L$9:AA$9)+$L$4))),TREND($E58:$F58,$E$9:$F$9,AA$9))</f>
        <v>0</v>
      </c>
      <c r="AB58" s="36">
        <f>IF($G58="s-curve",$E58+($F58-$E58)*$L$2/(1+EXP($L$3*(COUNT($L$9:AB$9)+$L$4))),TREND($E58:$F58,$E$9:$F$9,AB$9))</f>
        <v>0</v>
      </c>
      <c r="AC58" s="36">
        <f>IF($G58="s-curve",$E58+($F58-$E58)*$L$2/(1+EXP($L$3*(COUNT($L$9:AC$9)+$L$4))),TREND($E58:$F58,$E$9:$F$9,AC$9))</f>
        <v>0</v>
      </c>
      <c r="AD58" s="36">
        <f>IF($G58="s-curve",$E58+($F58-$E58)*$L$2/(1+EXP($L$3*(COUNT($L$9:AD$9)+$L$4))),TREND($E58:$F58,$E$9:$F$9,AD$9))</f>
        <v>0</v>
      </c>
      <c r="AE58" s="36">
        <f>IF($G58="s-curve",$E58+($F58-$E58)*$L$2/(1+EXP($L$3*(COUNT($L$9:AE$9)+$L$4))),TREND($E58:$F58,$E$9:$F$9,AE$9))</f>
        <v>0</v>
      </c>
      <c r="AF58" s="36">
        <f>IF($G58="s-curve",$E58+($F58-$E58)*$L$2/(1+EXP($L$3*(COUNT($L$9:AF$9)+$L$4))),TREND($E58:$F58,$E$9:$F$9,AF$9))</f>
        <v>0</v>
      </c>
      <c r="AG58" s="36">
        <f>IF($G58="s-curve",$E58+($F58-$E58)*$L$2/(1+EXP($L$3*(COUNT($L$9:AG$9)+$L$4))),TREND($E58:$F58,$E$9:$F$9,AG$9))</f>
        <v>0</v>
      </c>
      <c r="AH58" s="36">
        <f>IF($G58="s-curve",$E58+($F58-$E58)*$L$2/(1+EXP($L$3*(COUNT($L$9:AH$9)+$L$4))),TREND($E58:$F58,$E$9:$F$9,AH$9))</f>
        <v>0</v>
      </c>
      <c r="AI58" s="36">
        <f>IF($G58="s-curve",$E58+($F58-$E58)*$L$2/(1+EXP($L$3*(COUNT($L$9:AI$9)+$L$4))),TREND($E58:$F58,$E$9:$F$9,AI$9))</f>
        <v>0</v>
      </c>
      <c r="AJ58" s="36">
        <f>IF($G58="s-curve",$E58+($F58-$E58)*$L$2/(1+EXP($L$3*(COUNT($L$9:AJ$9)+$L$4))),TREND($E58:$F58,$E$9:$F$9,AJ$9))</f>
        <v>0</v>
      </c>
      <c r="AK58" s="36">
        <f>IF($G58="s-curve",$E58+($F58-$E58)*$L$2/(1+EXP($L$3*(COUNT($L$9:AK$9)+$L$4))),TREND($E58:$F58,$E$9:$F$9,AK$9))</f>
        <v>0</v>
      </c>
      <c r="AL58" s="36">
        <f>IF($G58="s-curve",$E58+($F58-$E58)*$L$2/(1+EXP($L$3*(COUNT($L$9:AL$9)+$L$4))),TREND($E58:$F58,$E$9:$F$9,AL$9))</f>
        <v>0</v>
      </c>
      <c r="AM58" s="36">
        <f>IF($G58="s-curve",$E58+($F58-$E58)*$L$2/(1+EXP($L$3*(COUNT($L$9:AM$9)+$L$4))),TREND($E58:$F58,$E$9:$F$9,AM$9))</f>
        <v>0</v>
      </c>
      <c r="AN58" s="36">
        <f>IF($G58="s-curve",$E58+($F58-$E58)*$L$2/(1+EXP($L$3*(COUNT($L$9:AN$9)+$L$4))),TREND($E58:$F58,$E$9:$F$9,AN$9))</f>
        <v>0</v>
      </c>
      <c r="AO58" s="36">
        <f>IF($G58="s-curve",$E58+($F58-$E58)*$L$2/(1+EXP($L$3*(COUNT($L$9:AO$9)+$L$4))),TREND($E58:$F58,$E$9:$F$9,AO$9))</f>
        <v>0</v>
      </c>
      <c r="AP58" s="36">
        <f>IF($G58="s-curve",$E58+($F58-$E58)*$L$2/(1+EXP($L$3*(COUNT($L$9:AP$9)+$L$4))),TREND($E58:$F58,$E$9:$F$9,AP$9))</f>
        <v>0</v>
      </c>
      <c r="AQ58" s="36">
        <f>IF($G58="s-curve",$E58+($F58-$E58)*$L$2/(1+EXP($L$3*(COUNT($L$9:AQ$9)+$L$4))),TREND($E58:$F58,$E$9:$F$9,AQ$9))</f>
        <v>0</v>
      </c>
      <c r="AR58" s="36">
        <f>IF($G58="s-curve",$E58+($F58-$E58)*$L$2/(1+EXP($L$3*(COUNT($L$9:AR$9)+$L$4))),TREND($E58:$F58,$E$9:$F$9,AR$9))</f>
        <v>0</v>
      </c>
      <c r="AS58" s="36">
        <f>IF($G58="s-curve",$E58+($F58-$E58)*$L$2/(1+EXP($L$3*(COUNT($L$9:AS$9)+$L$4))),TREND($E58:$F58,$E$9:$F$9,AS$9))</f>
        <v>0</v>
      </c>
      <c r="AT58" s="36">
        <f>IF($G58="s-curve",$E58+($F58-$E58)*$L$2/(1+EXP($L$3*(COUNT($L$9:AT$9)+$L$4))),TREND($E58:$F58,$E$9:$F$9,AT$9))</f>
        <v>0</v>
      </c>
      <c r="AU58" s="36">
        <f>IF($G58="s-curve",$E58+($F58-$E58)*$L$2/(1+EXP($L$3*(COUNT($L$9:AU$9)+$L$4))),TREND($E58:$F58,$E$9:$F$9,AU$9))</f>
        <v>0</v>
      </c>
      <c r="AV58" s="36">
        <f>IF($G58="s-curve",$E58+($F58-$E58)*$L$2/(1+EXP($L$3*(COUNT($L$9:AV$9)+$L$4))),TREND($E58:$F58,$E$9:$F$9,AV$9))</f>
        <v>0</v>
      </c>
      <c r="AW58" s="36">
        <f>IF($G58="s-curve",$E58+($F58-$E58)*$L$2/(1+EXP($L$3*(COUNT($L$9:AW$9)+$L$4))),TREND($E58:$F58,$E$9:$F$9,AW$9))</f>
        <v>0</v>
      </c>
      <c r="AX58" s="36">
        <f>IF($G58="s-curve",$E58+($F58-$E58)*$L$2/(1+EXP($L$3*(COUNT($L$9:AX$9)+$L$4))),TREND($E58:$F58,$E$9:$F$9,AX$9))</f>
        <v>0</v>
      </c>
      <c r="AY58" s="36">
        <f>IF($G58="s-curve",$E58+($F58-$E58)*$L$2/(1+EXP($L$3*(COUNT($L$9:AY$9)+$L$4))),TREND($E58:$F58,$E$9:$F$9,AY$9))</f>
        <v>0</v>
      </c>
      <c r="AZ58" s="36">
        <f>IF($G58="s-curve",$E58+($F58-$E58)*$L$2/(1+EXP($L$3*(COUNT($L$9:AZ$9)+$L$4))),TREND($E58:$F58,$E$9:$F$9,AZ$9))</f>
        <v>0</v>
      </c>
      <c r="BA58" s="36">
        <f>IF($G58="s-curve",$E58+($F58-$E58)*$L$2/(1+EXP($L$3*(COUNT($L$9:BA$9)+$L$4))),TREND($E58:$F58,$E$9:$F$9,BA$9))</f>
        <v>0</v>
      </c>
      <c r="BB58" s="36">
        <f>IF($G58="s-curve",$E58+($F58-$E58)*$L$2/(1+EXP($L$3*(COUNT($L$9:BB$9)+$L$4))),TREND($E58:$F58,$E$9:$F$9,BB$9))</f>
        <v>0</v>
      </c>
      <c r="BC58" s="36">
        <f>IF($G58="s-curve",$E58+($F58-$E58)*$L$2/(1+EXP($L$3*(COUNT($L$9:BC$9)+$L$4))),TREND($E58:$F58,$E$9:$F$9,BC$9))</f>
        <v>0</v>
      </c>
      <c r="BD58" s="36">
        <f>IF($G58="s-curve",$E58+($F58-$E58)*$L$2/(1+EXP($L$3*(COUNT($L$9:BD$9)+$L$4))),TREND($E58:$F58,$E$9:$F$9,BD$9))</f>
        <v>0</v>
      </c>
      <c r="BE58" s="36">
        <f>IF($G58="s-curve",$E58+($F58-$E58)*$L$2/(1+EXP($L$3*(COUNT($L$9:BE$9)+$L$4))),TREND($E58:$F58,$E$9:$F$9,BE$9))</f>
        <v>0</v>
      </c>
      <c r="BF58" s="36">
        <f>IF($G58="s-curve",$E58+($F58-$E58)*$L$2/(1+EXP($L$3*(COUNT($L$9:BF$9)+$L$4))),TREND($E58:$F58,$E$9:$F$9,BF$9))</f>
        <v>0</v>
      </c>
    </row>
    <row r="59" spans="1:5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H59" s="33"/>
      <c r="I59">
        <f t="shared" si="22"/>
        <v>0</v>
      </c>
      <c r="J59">
        <f t="shared" si="22"/>
        <v>0</v>
      </c>
      <c r="K59">
        <f t="shared" si="22"/>
        <v>0</v>
      </c>
      <c r="L59" s="36">
        <f t="shared" si="30"/>
        <v>0</v>
      </c>
      <c r="M59" s="36">
        <f>IF($G59="s-curve",$E59+($F59-$E59)*$L$2/(1+EXP($L$3*(COUNT($L$9:M$9)+$L$4))),TREND($E59:$F59,$E$9:$F$9,M$9))</f>
        <v>0</v>
      </c>
      <c r="N59" s="36">
        <f>IF($G59="s-curve",$E59+($F59-$E59)*$L$2/(1+EXP($L$3*(COUNT($L$9:N$9)+$L$4))),TREND($E59:$F59,$E$9:$F$9,N$9))</f>
        <v>0</v>
      </c>
      <c r="O59" s="36">
        <f>IF($G59="s-curve",$E59+($F59-$E59)*$L$2/(1+EXP($L$3*(COUNT($L$9:O$9)+$L$4))),TREND($E59:$F59,$E$9:$F$9,O$9))</f>
        <v>0</v>
      </c>
      <c r="P59" s="36">
        <f>IF($G59="s-curve",$E59+($F59-$E59)*$L$2/(1+EXP($L$3*(COUNT($L$9:P$9)+$L$4))),TREND($E59:$F59,$E$9:$F$9,P$9))</f>
        <v>0</v>
      </c>
      <c r="Q59" s="36">
        <f>IF($G59="s-curve",$E59+($F59-$E59)*$L$2/(1+EXP($L$3*(COUNT($L$9:Q$9)+$L$4))),TREND($E59:$F59,$E$9:$F$9,Q$9))</f>
        <v>0</v>
      </c>
      <c r="R59" s="36">
        <f>IF($G59="s-curve",$E59+($F59-$E59)*$L$2/(1+EXP($L$3*(COUNT($L$9:R$9)+$L$4))),TREND($E59:$F59,$E$9:$F$9,R$9))</f>
        <v>0</v>
      </c>
      <c r="S59" s="36">
        <f>IF($G59="s-curve",$E59+($F59-$E59)*$L$2/(1+EXP($L$3*(COUNT($L$9:S$9)+$L$4))),TREND($E59:$F59,$E$9:$F$9,S$9))</f>
        <v>0</v>
      </c>
      <c r="T59" s="36">
        <f>IF($G59="s-curve",$E59+($F59-$E59)*$L$2/(1+EXP($L$3*(COUNT($L$9:T$9)+$L$4))),TREND($E59:$F59,$E$9:$F$9,T$9))</f>
        <v>0</v>
      </c>
      <c r="U59" s="36">
        <f>IF($G59="s-curve",$E59+($F59-$E59)*$L$2/(1+EXP($L$3*(COUNT($L$9:U$9)+$L$4))),TREND($E59:$F59,$E$9:$F$9,U$9))</f>
        <v>0</v>
      </c>
      <c r="V59" s="36">
        <f>IF($G59="s-curve",$E59+($F59-$E59)*$L$2/(1+EXP($L$3*(COUNT($L$9:V$9)+$L$4))),TREND($E59:$F59,$E$9:$F$9,V$9))</f>
        <v>0</v>
      </c>
      <c r="W59" s="36">
        <f>IF($G59="s-curve",$E59+($F59-$E59)*$L$2/(1+EXP($L$3*(COUNT($L$9:W$9)+$L$4))),TREND($E59:$F59,$E$9:$F$9,W$9))</f>
        <v>0</v>
      </c>
      <c r="X59" s="36">
        <f>IF($G59="s-curve",$E59+($F59-$E59)*$L$2/(1+EXP($L$3*(COUNT($L$9:X$9)+$L$4))),TREND($E59:$F59,$E$9:$F$9,X$9))</f>
        <v>0</v>
      </c>
      <c r="Y59" s="36">
        <f>IF($G59="s-curve",$E59+($F59-$E59)*$L$2/(1+EXP($L$3*(COUNT($L$9:Y$9)+$L$4))),TREND($E59:$F59,$E$9:$F$9,Y$9))</f>
        <v>0</v>
      </c>
      <c r="Z59" s="36">
        <f>IF($G59="s-curve",$E59+($F59-$E59)*$L$2/(1+EXP($L$3*(COUNT($L$9:Z$9)+$L$4))),TREND($E59:$F59,$E$9:$F$9,Z$9))</f>
        <v>0</v>
      </c>
      <c r="AA59" s="36">
        <f>IF($G59="s-curve",$E59+($F59-$E59)*$L$2/(1+EXP($L$3*(COUNT($L$9:AA$9)+$L$4))),TREND($E59:$F59,$E$9:$F$9,AA$9))</f>
        <v>0</v>
      </c>
      <c r="AB59" s="36">
        <f>IF($G59="s-curve",$E59+($F59-$E59)*$L$2/(1+EXP($L$3*(COUNT($L$9:AB$9)+$L$4))),TREND($E59:$F59,$E$9:$F$9,AB$9))</f>
        <v>0</v>
      </c>
      <c r="AC59" s="36">
        <f>IF($G59="s-curve",$E59+($F59-$E59)*$L$2/(1+EXP($L$3*(COUNT($L$9:AC$9)+$L$4))),TREND($E59:$F59,$E$9:$F$9,AC$9))</f>
        <v>0</v>
      </c>
      <c r="AD59" s="36">
        <f>IF($G59="s-curve",$E59+($F59-$E59)*$L$2/(1+EXP($L$3*(COUNT($L$9:AD$9)+$L$4))),TREND($E59:$F59,$E$9:$F$9,AD$9))</f>
        <v>0</v>
      </c>
      <c r="AE59" s="36">
        <f>IF($G59="s-curve",$E59+($F59-$E59)*$L$2/(1+EXP($L$3*(COUNT($L$9:AE$9)+$L$4))),TREND($E59:$F59,$E$9:$F$9,AE$9))</f>
        <v>0</v>
      </c>
      <c r="AF59" s="36">
        <f>IF($G59="s-curve",$E59+($F59-$E59)*$L$2/(1+EXP($L$3*(COUNT($L$9:AF$9)+$L$4))),TREND($E59:$F59,$E$9:$F$9,AF$9))</f>
        <v>0</v>
      </c>
      <c r="AG59" s="36">
        <f>IF($G59="s-curve",$E59+($F59-$E59)*$L$2/(1+EXP($L$3*(COUNT($L$9:AG$9)+$L$4))),TREND($E59:$F59,$E$9:$F$9,AG$9))</f>
        <v>0</v>
      </c>
      <c r="AH59" s="36">
        <f>IF($G59="s-curve",$E59+($F59-$E59)*$L$2/(1+EXP($L$3*(COUNT($L$9:AH$9)+$L$4))),TREND($E59:$F59,$E$9:$F$9,AH$9))</f>
        <v>0</v>
      </c>
      <c r="AI59" s="36">
        <f>IF($G59="s-curve",$E59+($F59-$E59)*$L$2/(1+EXP($L$3*(COUNT($L$9:AI$9)+$L$4))),TREND($E59:$F59,$E$9:$F$9,AI$9))</f>
        <v>0</v>
      </c>
      <c r="AJ59" s="36">
        <f>IF($G59="s-curve",$E59+($F59-$E59)*$L$2/(1+EXP($L$3*(COUNT($L$9:AJ$9)+$L$4))),TREND($E59:$F59,$E$9:$F$9,AJ$9))</f>
        <v>0</v>
      </c>
      <c r="AK59" s="36">
        <f>IF($G59="s-curve",$E59+($F59-$E59)*$L$2/(1+EXP($L$3*(COUNT($L$9:AK$9)+$L$4))),TREND($E59:$F59,$E$9:$F$9,AK$9))</f>
        <v>0</v>
      </c>
      <c r="AL59" s="36">
        <f>IF($G59="s-curve",$E59+($F59-$E59)*$L$2/(1+EXP($L$3*(COUNT($L$9:AL$9)+$L$4))),TREND($E59:$F59,$E$9:$F$9,AL$9))</f>
        <v>0</v>
      </c>
      <c r="AM59" s="36">
        <f>IF($G59="s-curve",$E59+($F59-$E59)*$L$2/(1+EXP($L$3*(COUNT($L$9:AM$9)+$L$4))),TREND($E59:$F59,$E$9:$F$9,AM$9))</f>
        <v>0</v>
      </c>
      <c r="AN59" s="36">
        <f>IF($G59="s-curve",$E59+($F59-$E59)*$L$2/(1+EXP($L$3*(COUNT($L$9:AN$9)+$L$4))),TREND($E59:$F59,$E$9:$F$9,AN$9))</f>
        <v>0</v>
      </c>
      <c r="AO59" s="36">
        <f>IF($G59="s-curve",$E59+($F59-$E59)*$L$2/(1+EXP($L$3*(COUNT($L$9:AO$9)+$L$4))),TREND($E59:$F59,$E$9:$F$9,AO$9))</f>
        <v>0</v>
      </c>
      <c r="AP59" s="36">
        <f>IF($G59="s-curve",$E59+($F59-$E59)*$L$2/(1+EXP($L$3*(COUNT($L$9:AP$9)+$L$4))),TREND($E59:$F59,$E$9:$F$9,AP$9))</f>
        <v>0</v>
      </c>
      <c r="AQ59" s="36">
        <f>IF($G59="s-curve",$E59+($F59-$E59)*$L$2/(1+EXP($L$3*(COUNT($L$9:AQ$9)+$L$4))),TREND($E59:$F59,$E$9:$F$9,AQ$9))</f>
        <v>0</v>
      </c>
      <c r="AR59" s="36">
        <f>IF($G59="s-curve",$E59+($F59-$E59)*$L$2/(1+EXP($L$3*(COUNT($L$9:AR$9)+$L$4))),TREND($E59:$F59,$E$9:$F$9,AR$9))</f>
        <v>0</v>
      </c>
      <c r="AS59" s="36">
        <f>IF($G59="s-curve",$E59+($F59-$E59)*$L$2/(1+EXP($L$3*(COUNT($L$9:AS$9)+$L$4))),TREND($E59:$F59,$E$9:$F$9,AS$9))</f>
        <v>0</v>
      </c>
      <c r="AT59" s="36">
        <f>IF($G59="s-curve",$E59+($F59-$E59)*$L$2/(1+EXP($L$3*(COUNT($L$9:AT$9)+$L$4))),TREND($E59:$F59,$E$9:$F$9,AT$9))</f>
        <v>0</v>
      </c>
      <c r="AU59" s="36">
        <f>IF($G59="s-curve",$E59+($F59-$E59)*$L$2/(1+EXP($L$3*(COUNT($L$9:AU$9)+$L$4))),TREND($E59:$F59,$E$9:$F$9,AU$9))</f>
        <v>0</v>
      </c>
      <c r="AV59" s="36">
        <f>IF($G59="s-curve",$E59+($F59-$E59)*$L$2/(1+EXP($L$3*(COUNT($L$9:AV$9)+$L$4))),TREND($E59:$F59,$E$9:$F$9,AV$9))</f>
        <v>0</v>
      </c>
      <c r="AW59" s="36">
        <f>IF($G59="s-curve",$E59+($F59-$E59)*$L$2/(1+EXP($L$3*(COUNT($L$9:AW$9)+$L$4))),TREND($E59:$F59,$E$9:$F$9,AW$9))</f>
        <v>0</v>
      </c>
      <c r="AX59" s="36">
        <f>IF($G59="s-curve",$E59+($F59-$E59)*$L$2/(1+EXP($L$3*(COUNT($L$9:AX$9)+$L$4))),TREND($E59:$F59,$E$9:$F$9,AX$9))</f>
        <v>0</v>
      </c>
      <c r="AY59" s="36">
        <f>IF($G59="s-curve",$E59+($F59-$E59)*$L$2/(1+EXP($L$3*(COUNT($L$9:AY$9)+$L$4))),TREND($E59:$F59,$E$9:$F$9,AY$9))</f>
        <v>0</v>
      </c>
      <c r="AZ59" s="36">
        <f>IF($G59="s-curve",$E59+($F59-$E59)*$L$2/(1+EXP($L$3*(COUNT($L$9:AZ$9)+$L$4))),TREND($E59:$F59,$E$9:$F$9,AZ$9))</f>
        <v>0</v>
      </c>
      <c r="BA59" s="36">
        <f>IF($G59="s-curve",$E59+($F59-$E59)*$L$2/(1+EXP($L$3*(COUNT($L$9:BA$9)+$L$4))),TREND($E59:$F59,$E$9:$F$9,BA$9))</f>
        <v>0</v>
      </c>
      <c r="BB59" s="36">
        <f>IF($G59="s-curve",$E59+($F59-$E59)*$L$2/(1+EXP($L$3*(COUNT($L$9:BB$9)+$L$4))),TREND($E59:$F59,$E$9:$F$9,BB$9))</f>
        <v>0</v>
      </c>
      <c r="BC59" s="36">
        <f>IF($G59="s-curve",$E59+($F59-$E59)*$L$2/(1+EXP($L$3*(COUNT($L$9:BC$9)+$L$4))),TREND($E59:$F59,$E$9:$F$9,BC$9))</f>
        <v>0</v>
      </c>
      <c r="BD59" s="36">
        <f>IF($G59="s-curve",$E59+($F59-$E59)*$L$2/(1+EXP($L$3*(COUNT($L$9:BD$9)+$L$4))),TREND($E59:$F59,$E$9:$F$9,BD$9))</f>
        <v>0</v>
      </c>
      <c r="BE59" s="36">
        <f>IF($G59="s-curve",$E59+($F59-$E59)*$L$2/(1+EXP($L$3*(COUNT($L$9:BE$9)+$L$4))),TREND($E59:$F59,$E$9:$F$9,BE$9))</f>
        <v>0</v>
      </c>
      <c r="BF59" s="36">
        <f>IF($G59="s-curve",$E59+($F59-$E59)*$L$2/(1+EXP($L$3*(COUNT($L$9:BF$9)+$L$4))),TREND($E59:$F59,$E$9:$F$9,BF$9))</f>
        <v>0</v>
      </c>
    </row>
    <row r="60" spans="1:58" x14ac:dyDescent="0.25">
      <c r="C60" t="s">
        <v>2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H60" s="33"/>
      <c r="I60">
        <f t="shared" si="22"/>
        <v>0</v>
      </c>
      <c r="J60">
        <f t="shared" si="22"/>
        <v>0</v>
      </c>
      <c r="K60">
        <f t="shared" si="22"/>
        <v>0</v>
      </c>
      <c r="L60" s="36">
        <f t="shared" si="30"/>
        <v>0</v>
      </c>
      <c r="M60" s="36">
        <f>IF($G60="s-curve",$E60+($F60-$E60)*$L$2/(1+EXP($L$3*(COUNT($L$9:M$9)+$L$4))),TREND($E60:$F60,$E$9:$F$9,M$9))</f>
        <v>0</v>
      </c>
      <c r="N60" s="36">
        <f>IF($G60="s-curve",$E60+($F60-$E60)*$L$2/(1+EXP($L$3*(COUNT($L$9:N$9)+$L$4))),TREND($E60:$F60,$E$9:$F$9,N$9))</f>
        <v>0</v>
      </c>
      <c r="O60" s="36">
        <f>IF($G60="s-curve",$E60+($F60-$E60)*$L$2/(1+EXP($L$3*(COUNT($L$9:O$9)+$L$4))),TREND($E60:$F60,$E$9:$F$9,O$9))</f>
        <v>0</v>
      </c>
      <c r="P60" s="36">
        <f>IF($G60="s-curve",$E60+($F60-$E60)*$L$2/(1+EXP($L$3*(COUNT($L$9:P$9)+$L$4))),TREND($E60:$F60,$E$9:$F$9,P$9))</f>
        <v>0</v>
      </c>
      <c r="Q60" s="36">
        <f>IF($G60="s-curve",$E60+($F60-$E60)*$L$2/(1+EXP($L$3*(COUNT($L$9:Q$9)+$L$4))),TREND($E60:$F60,$E$9:$F$9,Q$9))</f>
        <v>0</v>
      </c>
      <c r="R60" s="36">
        <f>IF($G60="s-curve",$E60+($F60-$E60)*$L$2/(1+EXP($L$3*(COUNT($L$9:R$9)+$L$4))),TREND($E60:$F60,$E$9:$F$9,R$9))</f>
        <v>0</v>
      </c>
      <c r="S60" s="36">
        <f>IF($G60="s-curve",$E60+($F60-$E60)*$L$2/(1+EXP($L$3*(COUNT($L$9:S$9)+$L$4))),TREND($E60:$F60,$E$9:$F$9,S$9))</f>
        <v>0</v>
      </c>
      <c r="T60" s="36">
        <f>IF($G60="s-curve",$E60+($F60-$E60)*$L$2/(1+EXP($L$3*(COUNT($L$9:T$9)+$L$4))),TREND($E60:$F60,$E$9:$F$9,T$9))</f>
        <v>0</v>
      </c>
      <c r="U60" s="36">
        <f>IF($G60="s-curve",$E60+($F60-$E60)*$L$2/(1+EXP($L$3*(COUNT($L$9:U$9)+$L$4))),TREND($E60:$F60,$E$9:$F$9,U$9))</f>
        <v>0</v>
      </c>
      <c r="V60" s="36">
        <f>IF($G60="s-curve",$E60+($F60-$E60)*$L$2/(1+EXP($L$3*(COUNT($L$9:V$9)+$L$4))),TREND($E60:$F60,$E$9:$F$9,V$9))</f>
        <v>0</v>
      </c>
      <c r="W60" s="36">
        <f>IF($G60="s-curve",$E60+($F60-$E60)*$L$2/(1+EXP($L$3*(COUNT($L$9:W$9)+$L$4))),TREND($E60:$F60,$E$9:$F$9,W$9))</f>
        <v>0</v>
      </c>
      <c r="X60" s="36">
        <f>IF($G60="s-curve",$E60+($F60-$E60)*$L$2/(1+EXP($L$3*(COUNT($L$9:X$9)+$L$4))),TREND($E60:$F60,$E$9:$F$9,X$9))</f>
        <v>0</v>
      </c>
      <c r="Y60" s="36">
        <f>IF($G60="s-curve",$E60+($F60-$E60)*$L$2/(1+EXP($L$3*(COUNT($L$9:Y$9)+$L$4))),TREND($E60:$F60,$E$9:$F$9,Y$9))</f>
        <v>0</v>
      </c>
      <c r="Z60" s="36">
        <f>IF($G60="s-curve",$E60+($F60-$E60)*$L$2/(1+EXP($L$3*(COUNT($L$9:Z$9)+$L$4))),TREND($E60:$F60,$E$9:$F$9,Z$9))</f>
        <v>0</v>
      </c>
      <c r="AA60" s="36">
        <f>IF($G60="s-curve",$E60+($F60-$E60)*$L$2/(1+EXP($L$3*(COUNT($L$9:AA$9)+$L$4))),TREND($E60:$F60,$E$9:$F$9,AA$9))</f>
        <v>0</v>
      </c>
      <c r="AB60" s="36">
        <f>IF($G60="s-curve",$E60+($F60-$E60)*$L$2/(1+EXP($L$3*(COUNT($L$9:AB$9)+$L$4))),TREND($E60:$F60,$E$9:$F$9,AB$9))</f>
        <v>0</v>
      </c>
      <c r="AC60" s="36">
        <f>IF($G60="s-curve",$E60+($F60-$E60)*$L$2/(1+EXP($L$3*(COUNT($L$9:AC$9)+$L$4))),TREND($E60:$F60,$E$9:$F$9,AC$9))</f>
        <v>0</v>
      </c>
      <c r="AD60" s="36">
        <f>IF($G60="s-curve",$E60+($F60-$E60)*$L$2/(1+EXP($L$3*(COUNT($L$9:AD$9)+$L$4))),TREND($E60:$F60,$E$9:$F$9,AD$9))</f>
        <v>0</v>
      </c>
      <c r="AE60" s="36">
        <f>IF($G60="s-curve",$E60+($F60-$E60)*$L$2/(1+EXP($L$3*(COUNT($L$9:AE$9)+$L$4))),TREND($E60:$F60,$E$9:$F$9,AE$9))</f>
        <v>0</v>
      </c>
      <c r="AF60" s="36">
        <f>IF($G60="s-curve",$E60+($F60-$E60)*$L$2/(1+EXP($L$3*(COUNT($L$9:AF$9)+$L$4))),TREND($E60:$F60,$E$9:$F$9,AF$9))</f>
        <v>0</v>
      </c>
      <c r="AG60" s="36">
        <f>IF($G60="s-curve",$E60+($F60-$E60)*$L$2/(1+EXP($L$3*(COUNT($L$9:AG$9)+$L$4))),TREND($E60:$F60,$E$9:$F$9,AG$9))</f>
        <v>0</v>
      </c>
      <c r="AH60" s="36">
        <f>IF($G60="s-curve",$E60+($F60-$E60)*$L$2/(1+EXP($L$3*(COUNT($L$9:AH$9)+$L$4))),TREND($E60:$F60,$E$9:$F$9,AH$9))</f>
        <v>0</v>
      </c>
      <c r="AI60" s="36">
        <f>IF($G60="s-curve",$E60+($F60-$E60)*$L$2/(1+EXP($L$3*(COUNT($L$9:AI$9)+$L$4))),TREND($E60:$F60,$E$9:$F$9,AI$9))</f>
        <v>0</v>
      </c>
      <c r="AJ60" s="36">
        <f>IF($G60="s-curve",$E60+($F60-$E60)*$L$2/(1+EXP($L$3*(COUNT($L$9:AJ$9)+$L$4))),TREND($E60:$F60,$E$9:$F$9,AJ$9))</f>
        <v>0</v>
      </c>
      <c r="AK60" s="36">
        <f>IF($G60="s-curve",$E60+($F60-$E60)*$L$2/(1+EXP($L$3*(COUNT($L$9:AK$9)+$L$4))),TREND($E60:$F60,$E$9:$F$9,AK$9))</f>
        <v>0</v>
      </c>
      <c r="AL60" s="36">
        <f>IF($G60="s-curve",$E60+($F60-$E60)*$L$2/(1+EXP($L$3*(COUNT($L$9:AL$9)+$L$4))),TREND($E60:$F60,$E$9:$F$9,AL$9))</f>
        <v>0</v>
      </c>
      <c r="AM60" s="36">
        <f>IF($G60="s-curve",$E60+($F60-$E60)*$L$2/(1+EXP($L$3*(COUNT($L$9:AM$9)+$L$4))),TREND($E60:$F60,$E$9:$F$9,AM$9))</f>
        <v>0</v>
      </c>
      <c r="AN60" s="36">
        <f>IF($G60="s-curve",$E60+($F60-$E60)*$L$2/(1+EXP($L$3*(COUNT($L$9:AN$9)+$L$4))),TREND($E60:$F60,$E$9:$F$9,AN$9))</f>
        <v>0</v>
      </c>
      <c r="AO60" s="36">
        <f>IF($G60="s-curve",$E60+($F60-$E60)*$L$2/(1+EXP($L$3*(COUNT($L$9:AO$9)+$L$4))),TREND($E60:$F60,$E$9:$F$9,AO$9))</f>
        <v>0</v>
      </c>
      <c r="AP60" s="36">
        <f>IF($G60="s-curve",$E60+($F60-$E60)*$L$2/(1+EXP($L$3*(COUNT($L$9:AP$9)+$L$4))),TREND($E60:$F60,$E$9:$F$9,AP$9))</f>
        <v>0</v>
      </c>
      <c r="AQ60" s="36">
        <f>IF($G60="s-curve",$E60+($F60-$E60)*$L$2/(1+EXP($L$3*(COUNT($L$9:AQ$9)+$L$4))),TREND($E60:$F60,$E$9:$F$9,AQ$9))</f>
        <v>0</v>
      </c>
      <c r="AR60" s="36">
        <f>IF($G60="s-curve",$E60+($F60-$E60)*$L$2/(1+EXP($L$3*(COUNT($L$9:AR$9)+$L$4))),TREND($E60:$F60,$E$9:$F$9,AR$9))</f>
        <v>0</v>
      </c>
      <c r="AS60" s="36">
        <f>IF($G60="s-curve",$E60+($F60-$E60)*$L$2/(1+EXP($L$3*(COUNT($L$9:AS$9)+$L$4))),TREND($E60:$F60,$E$9:$F$9,AS$9))</f>
        <v>0</v>
      </c>
      <c r="AT60" s="36">
        <f>IF($G60="s-curve",$E60+($F60-$E60)*$L$2/(1+EXP($L$3*(COUNT($L$9:AT$9)+$L$4))),TREND($E60:$F60,$E$9:$F$9,AT$9))</f>
        <v>0</v>
      </c>
      <c r="AU60" s="36">
        <f>IF($G60="s-curve",$E60+($F60-$E60)*$L$2/(1+EXP($L$3*(COUNT($L$9:AU$9)+$L$4))),TREND($E60:$F60,$E$9:$F$9,AU$9))</f>
        <v>0</v>
      </c>
      <c r="AV60" s="36">
        <f>IF($G60="s-curve",$E60+($F60-$E60)*$L$2/(1+EXP($L$3*(COUNT($L$9:AV$9)+$L$4))),TREND($E60:$F60,$E$9:$F$9,AV$9))</f>
        <v>0</v>
      </c>
      <c r="AW60" s="36">
        <f>IF($G60="s-curve",$E60+($F60-$E60)*$L$2/(1+EXP($L$3*(COUNT($L$9:AW$9)+$L$4))),TREND($E60:$F60,$E$9:$F$9,AW$9))</f>
        <v>0</v>
      </c>
      <c r="AX60" s="36">
        <f>IF($G60="s-curve",$E60+($F60-$E60)*$L$2/(1+EXP($L$3*(COUNT($L$9:AX$9)+$L$4))),TREND($E60:$F60,$E$9:$F$9,AX$9))</f>
        <v>0</v>
      </c>
      <c r="AY60" s="36">
        <f>IF($G60="s-curve",$E60+($F60-$E60)*$L$2/(1+EXP($L$3*(COUNT($L$9:AY$9)+$L$4))),TREND($E60:$F60,$E$9:$F$9,AY$9))</f>
        <v>0</v>
      </c>
      <c r="AZ60" s="36">
        <f>IF($G60="s-curve",$E60+($F60-$E60)*$L$2/(1+EXP($L$3*(COUNT($L$9:AZ$9)+$L$4))),TREND($E60:$F60,$E$9:$F$9,AZ$9))</f>
        <v>0</v>
      </c>
      <c r="BA60" s="36">
        <f>IF($G60="s-curve",$E60+($F60-$E60)*$L$2/(1+EXP($L$3*(COUNT($L$9:BA$9)+$L$4))),TREND($E60:$F60,$E$9:$F$9,BA$9))</f>
        <v>0</v>
      </c>
      <c r="BB60" s="36">
        <f>IF($G60="s-curve",$E60+($F60-$E60)*$L$2/(1+EXP($L$3*(COUNT($L$9:BB$9)+$L$4))),TREND($E60:$F60,$E$9:$F$9,BB$9))</f>
        <v>0</v>
      </c>
      <c r="BC60" s="36">
        <f>IF($G60="s-curve",$E60+($F60-$E60)*$L$2/(1+EXP($L$3*(COUNT($L$9:BC$9)+$L$4))),TREND($E60:$F60,$E$9:$F$9,BC$9))</f>
        <v>0</v>
      </c>
      <c r="BD60" s="36">
        <f>IF($G60="s-curve",$E60+($F60-$E60)*$L$2/(1+EXP($L$3*(COUNT($L$9:BD$9)+$L$4))),TREND($E60:$F60,$E$9:$F$9,BD$9))</f>
        <v>0</v>
      </c>
      <c r="BE60" s="36">
        <f>IF($G60="s-curve",$E60+($F60-$E60)*$L$2/(1+EXP($L$3*(COUNT($L$9:BE$9)+$L$4))),TREND($E60:$F60,$E$9:$F$9,BE$9))</f>
        <v>0</v>
      </c>
      <c r="BF60" s="36">
        <f>IF($G60="s-curve",$E60+($F60-$E60)*$L$2/(1+EXP($L$3*(COUNT($L$9:BF$9)+$L$4))),TREND($E60:$F60,$E$9:$F$9,BF$9))</f>
        <v>0</v>
      </c>
    </row>
    <row r="61" spans="1:58" x14ac:dyDescent="0.25">
      <c r="C61" t="s">
        <v>3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H61" s="33"/>
      <c r="I61">
        <f t="shared" si="22"/>
        <v>0</v>
      </c>
      <c r="J61">
        <f t="shared" si="22"/>
        <v>0</v>
      </c>
      <c r="K61">
        <f t="shared" si="22"/>
        <v>0</v>
      </c>
      <c r="L61" s="36">
        <f t="shared" si="30"/>
        <v>0</v>
      </c>
      <c r="M61" s="36">
        <f>IF($G61="s-curve",$E61+($F61-$E61)*$L$2/(1+EXP($L$3*(COUNT($L$9:M$9)+$L$4))),TREND($E61:$F61,$E$9:$F$9,M$9))</f>
        <v>0</v>
      </c>
      <c r="N61" s="36">
        <f>IF($G61="s-curve",$E61+($F61-$E61)*$L$2/(1+EXP($L$3*(COUNT($L$9:N$9)+$L$4))),TREND($E61:$F61,$E$9:$F$9,N$9))</f>
        <v>0</v>
      </c>
      <c r="O61" s="36">
        <f>IF($G61="s-curve",$E61+($F61-$E61)*$L$2/(1+EXP($L$3*(COUNT($L$9:O$9)+$L$4))),TREND($E61:$F61,$E$9:$F$9,O$9))</f>
        <v>0</v>
      </c>
      <c r="P61" s="36">
        <f>IF($G61="s-curve",$E61+($F61-$E61)*$L$2/(1+EXP($L$3*(COUNT($L$9:P$9)+$L$4))),TREND($E61:$F61,$E$9:$F$9,P$9))</f>
        <v>0</v>
      </c>
      <c r="Q61" s="36">
        <f>IF($G61="s-curve",$E61+($F61-$E61)*$L$2/(1+EXP($L$3*(COUNT($L$9:Q$9)+$L$4))),TREND($E61:$F61,$E$9:$F$9,Q$9))</f>
        <v>0</v>
      </c>
      <c r="R61" s="36">
        <f>IF($G61="s-curve",$E61+($F61-$E61)*$L$2/(1+EXP($L$3*(COUNT($L$9:R$9)+$L$4))),TREND($E61:$F61,$E$9:$F$9,R$9))</f>
        <v>0</v>
      </c>
      <c r="S61" s="36">
        <f>IF($G61="s-curve",$E61+($F61-$E61)*$L$2/(1+EXP($L$3*(COUNT($L$9:S$9)+$L$4))),TREND($E61:$F61,$E$9:$F$9,S$9))</f>
        <v>0</v>
      </c>
      <c r="T61" s="36">
        <f>IF($G61="s-curve",$E61+($F61-$E61)*$L$2/(1+EXP($L$3*(COUNT($L$9:T$9)+$L$4))),TREND($E61:$F61,$E$9:$F$9,T$9))</f>
        <v>0</v>
      </c>
      <c r="U61" s="36">
        <f>IF($G61="s-curve",$E61+($F61-$E61)*$L$2/(1+EXP($L$3*(COUNT($L$9:U$9)+$L$4))),TREND($E61:$F61,$E$9:$F$9,U$9))</f>
        <v>0</v>
      </c>
      <c r="V61" s="36">
        <f>IF($G61="s-curve",$E61+($F61-$E61)*$L$2/(1+EXP($L$3*(COUNT($L$9:V$9)+$L$4))),TREND($E61:$F61,$E$9:$F$9,V$9))</f>
        <v>0</v>
      </c>
      <c r="W61" s="36">
        <f>IF($G61="s-curve",$E61+($F61-$E61)*$L$2/(1+EXP($L$3*(COUNT($L$9:W$9)+$L$4))),TREND($E61:$F61,$E$9:$F$9,W$9))</f>
        <v>0</v>
      </c>
      <c r="X61" s="36">
        <f>IF($G61="s-curve",$E61+($F61-$E61)*$L$2/(1+EXP($L$3*(COUNT($L$9:X$9)+$L$4))),TREND($E61:$F61,$E$9:$F$9,X$9))</f>
        <v>0</v>
      </c>
      <c r="Y61" s="36">
        <f>IF($G61="s-curve",$E61+($F61-$E61)*$L$2/(1+EXP($L$3*(COUNT($L$9:Y$9)+$L$4))),TREND($E61:$F61,$E$9:$F$9,Y$9))</f>
        <v>0</v>
      </c>
      <c r="Z61" s="36">
        <f>IF($G61="s-curve",$E61+($F61-$E61)*$L$2/(1+EXP($L$3*(COUNT($L$9:Z$9)+$L$4))),TREND($E61:$F61,$E$9:$F$9,Z$9))</f>
        <v>0</v>
      </c>
      <c r="AA61" s="36">
        <f>IF($G61="s-curve",$E61+($F61-$E61)*$L$2/(1+EXP($L$3*(COUNT($L$9:AA$9)+$L$4))),TREND($E61:$F61,$E$9:$F$9,AA$9))</f>
        <v>0</v>
      </c>
      <c r="AB61" s="36">
        <f>IF($G61="s-curve",$E61+($F61-$E61)*$L$2/(1+EXP($L$3*(COUNT($L$9:AB$9)+$L$4))),TREND($E61:$F61,$E$9:$F$9,AB$9))</f>
        <v>0</v>
      </c>
      <c r="AC61" s="36">
        <f>IF($G61="s-curve",$E61+($F61-$E61)*$L$2/(1+EXP($L$3*(COUNT($L$9:AC$9)+$L$4))),TREND($E61:$F61,$E$9:$F$9,AC$9))</f>
        <v>0</v>
      </c>
      <c r="AD61" s="36">
        <f>IF($G61="s-curve",$E61+($F61-$E61)*$L$2/(1+EXP($L$3*(COUNT($L$9:AD$9)+$L$4))),TREND($E61:$F61,$E$9:$F$9,AD$9))</f>
        <v>0</v>
      </c>
      <c r="AE61" s="36">
        <f>IF($G61="s-curve",$E61+($F61-$E61)*$L$2/(1+EXP($L$3*(COUNT($L$9:AE$9)+$L$4))),TREND($E61:$F61,$E$9:$F$9,AE$9))</f>
        <v>0</v>
      </c>
      <c r="AF61" s="36">
        <f>IF($G61="s-curve",$E61+($F61-$E61)*$L$2/(1+EXP($L$3*(COUNT($L$9:AF$9)+$L$4))),TREND($E61:$F61,$E$9:$F$9,AF$9))</f>
        <v>0</v>
      </c>
      <c r="AG61" s="36">
        <f>IF($G61="s-curve",$E61+($F61-$E61)*$L$2/(1+EXP($L$3*(COUNT($L$9:AG$9)+$L$4))),TREND($E61:$F61,$E$9:$F$9,AG$9))</f>
        <v>0</v>
      </c>
      <c r="AH61" s="36">
        <f>IF($G61="s-curve",$E61+($F61-$E61)*$L$2/(1+EXP($L$3*(COUNT($L$9:AH$9)+$L$4))),TREND($E61:$F61,$E$9:$F$9,AH$9))</f>
        <v>0</v>
      </c>
      <c r="AI61" s="36">
        <f>IF($G61="s-curve",$E61+($F61-$E61)*$L$2/(1+EXP($L$3*(COUNT($L$9:AI$9)+$L$4))),TREND($E61:$F61,$E$9:$F$9,AI$9))</f>
        <v>0</v>
      </c>
      <c r="AJ61" s="36">
        <f>IF($G61="s-curve",$E61+($F61-$E61)*$L$2/(1+EXP($L$3*(COUNT($L$9:AJ$9)+$L$4))),TREND($E61:$F61,$E$9:$F$9,AJ$9))</f>
        <v>0</v>
      </c>
      <c r="AK61" s="36">
        <f>IF($G61="s-curve",$E61+($F61-$E61)*$L$2/(1+EXP($L$3*(COUNT($L$9:AK$9)+$L$4))),TREND($E61:$F61,$E$9:$F$9,AK$9))</f>
        <v>0</v>
      </c>
      <c r="AL61" s="36">
        <f>IF($G61="s-curve",$E61+($F61-$E61)*$L$2/(1+EXP($L$3*(COUNT($L$9:AL$9)+$L$4))),TREND($E61:$F61,$E$9:$F$9,AL$9))</f>
        <v>0</v>
      </c>
      <c r="AM61" s="36">
        <f>IF($G61="s-curve",$E61+($F61-$E61)*$L$2/(1+EXP($L$3*(COUNT($L$9:AM$9)+$L$4))),TREND($E61:$F61,$E$9:$F$9,AM$9))</f>
        <v>0</v>
      </c>
      <c r="AN61" s="36">
        <f>IF($G61="s-curve",$E61+($F61-$E61)*$L$2/(1+EXP($L$3*(COUNT($L$9:AN$9)+$L$4))),TREND($E61:$F61,$E$9:$F$9,AN$9))</f>
        <v>0</v>
      </c>
      <c r="AO61" s="36">
        <f>IF($G61="s-curve",$E61+($F61-$E61)*$L$2/(1+EXP($L$3*(COUNT($L$9:AO$9)+$L$4))),TREND($E61:$F61,$E$9:$F$9,AO$9))</f>
        <v>0</v>
      </c>
      <c r="AP61" s="36">
        <f>IF($G61="s-curve",$E61+($F61-$E61)*$L$2/(1+EXP($L$3*(COUNT($L$9:AP$9)+$L$4))),TREND($E61:$F61,$E$9:$F$9,AP$9))</f>
        <v>0</v>
      </c>
      <c r="AQ61" s="36">
        <f>IF($G61="s-curve",$E61+($F61-$E61)*$L$2/(1+EXP($L$3*(COUNT($L$9:AQ$9)+$L$4))),TREND($E61:$F61,$E$9:$F$9,AQ$9))</f>
        <v>0</v>
      </c>
      <c r="AR61" s="36">
        <f>IF($G61="s-curve",$E61+($F61-$E61)*$L$2/(1+EXP($L$3*(COUNT($L$9:AR$9)+$L$4))),TREND($E61:$F61,$E$9:$F$9,AR$9))</f>
        <v>0</v>
      </c>
      <c r="AS61" s="36">
        <f>IF($G61="s-curve",$E61+($F61-$E61)*$L$2/(1+EXP($L$3*(COUNT($L$9:AS$9)+$L$4))),TREND($E61:$F61,$E$9:$F$9,AS$9))</f>
        <v>0</v>
      </c>
      <c r="AT61" s="36">
        <f>IF($G61="s-curve",$E61+($F61-$E61)*$L$2/(1+EXP($L$3*(COUNT($L$9:AT$9)+$L$4))),TREND($E61:$F61,$E$9:$F$9,AT$9))</f>
        <v>0</v>
      </c>
      <c r="AU61" s="36">
        <f>IF($G61="s-curve",$E61+($F61-$E61)*$L$2/(1+EXP($L$3*(COUNT($L$9:AU$9)+$L$4))),TREND($E61:$F61,$E$9:$F$9,AU$9))</f>
        <v>0</v>
      </c>
      <c r="AV61" s="36">
        <f>IF($G61="s-curve",$E61+($F61-$E61)*$L$2/(1+EXP($L$3*(COUNT($L$9:AV$9)+$L$4))),TREND($E61:$F61,$E$9:$F$9,AV$9))</f>
        <v>0</v>
      </c>
      <c r="AW61" s="36">
        <f>IF($G61="s-curve",$E61+($F61-$E61)*$L$2/(1+EXP($L$3*(COUNT($L$9:AW$9)+$L$4))),TREND($E61:$F61,$E$9:$F$9,AW$9))</f>
        <v>0</v>
      </c>
      <c r="AX61" s="36">
        <f>IF($G61="s-curve",$E61+($F61-$E61)*$L$2/(1+EXP($L$3*(COUNT($L$9:AX$9)+$L$4))),TREND($E61:$F61,$E$9:$F$9,AX$9))</f>
        <v>0</v>
      </c>
      <c r="AY61" s="36">
        <f>IF($G61="s-curve",$E61+($F61-$E61)*$L$2/(1+EXP($L$3*(COUNT($L$9:AY$9)+$L$4))),TREND($E61:$F61,$E$9:$F$9,AY$9))</f>
        <v>0</v>
      </c>
      <c r="AZ61" s="36">
        <f>IF($G61="s-curve",$E61+($F61-$E61)*$L$2/(1+EXP($L$3*(COUNT($L$9:AZ$9)+$L$4))),TREND($E61:$F61,$E$9:$F$9,AZ$9))</f>
        <v>0</v>
      </c>
      <c r="BA61" s="36">
        <f>IF($G61="s-curve",$E61+($F61-$E61)*$L$2/(1+EXP($L$3*(COUNT($L$9:BA$9)+$L$4))),TREND($E61:$F61,$E$9:$F$9,BA$9))</f>
        <v>0</v>
      </c>
      <c r="BB61" s="36">
        <f>IF($G61="s-curve",$E61+($F61-$E61)*$L$2/(1+EXP($L$3*(COUNT($L$9:BB$9)+$L$4))),TREND($E61:$F61,$E$9:$F$9,BB$9))</f>
        <v>0</v>
      </c>
      <c r="BC61" s="36">
        <f>IF($G61="s-curve",$E61+($F61-$E61)*$L$2/(1+EXP($L$3*(COUNT($L$9:BC$9)+$L$4))),TREND($E61:$F61,$E$9:$F$9,BC$9))</f>
        <v>0</v>
      </c>
      <c r="BD61" s="36">
        <f>IF($G61="s-curve",$E61+($F61-$E61)*$L$2/(1+EXP($L$3*(COUNT($L$9:BD$9)+$L$4))),TREND($E61:$F61,$E$9:$F$9,BD$9))</f>
        <v>0</v>
      </c>
      <c r="BE61" s="36">
        <f>IF($G61="s-curve",$E61+($F61-$E61)*$L$2/(1+EXP($L$3*(COUNT($L$9:BE$9)+$L$4))),TREND($E61:$F61,$E$9:$F$9,BE$9))</f>
        <v>0</v>
      </c>
      <c r="BF61" s="36">
        <f>IF($G61="s-curve",$E61+($F61-$E61)*$L$2/(1+EXP($L$3*(COUNT($L$9:BF$9)+$L$4))),TREND($E61:$F61,$E$9:$F$9,BF$9))</f>
        <v>0</v>
      </c>
    </row>
    <row r="62" spans="1:58" x14ac:dyDescent="0.25">
      <c r="C62" t="s">
        <v>4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H62" s="33"/>
      <c r="I62">
        <f t="shared" si="22"/>
        <v>1</v>
      </c>
      <c r="J62">
        <f t="shared" si="22"/>
        <v>1</v>
      </c>
      <c r="K62">
        <f t="shared" si="22"/>
        <v>1</v>
      </c>
      <c r="L62" s="36">
        <f t="shared" si="30"/>
        <v>1</v>
      </c>
      <c r="M62" s="36">
        <f>IF($G62="s-curve",$E62+($F62-$E62)*$L$2/(1+EXP($L$3*(COUNT($L$9:M$9)+$L$4))),TREND($E62:$F62,$E$9:$F$9,M$9))</f>
        <v>1</v>
      </c>
      <c r="N62" s="36">
        <f>IF($G62="s-curve",$E62+($F62-$E62)*$L$2/(1+EXP($L$3*(COUNT($L$9:N$9)+$L$4))),TREND($E62:$F62,$E$9:$F$9,N$9))</f>
        <v>1</v>
      </c>
      <c r="O62" s="36">
        <f>IF($G62="s-curve",$E62+($F62-$E62)*$L$2/(1+EXP($L$3*(COUNT($L$9:O$9)+$L$4))),TREND($E62:$F62,$E$9:$F$9,O$9))</f>
        <v>1</v>
      </c>
      <c r="P62" s="36">
        <f>IF($G62="s-curve",$E62+($F62-$E62)*$L$2/(1+EXP($L$3*(COUNT($L$9:P$9)+$L$4))),TREND($E62:$F62,$E$9:$F$9,P$9))</f>
        <v>1</v>
      </c>
      <c r="Q62" s="36">
        <f>IF($G62="s-curve",$E62+($F62-$E62)*$L$2/(1+EXP($L$3*(COUNT($L$9:Q$9)+$L$4))),TREND($E62:$F62,$E$9:$F$9,Q$9))</f>
        <v>1</v>
      </c>
      <c r="R62" s="36">
        <f>IF($G62="s-curve",$E62+($F62-$E62)*$L$2/(1+EXP($L$3*(COUNT($L$9:R$9)+$L$4))),TREND($E62:$F62,$E$9:$F$9,R$9))</f>
        <v>1</v>
      </c>
      <c r="S62" s="36">
        <f>IF($G62="s-curve",$E62+($F62-$E62)*$L$2/(1+EXP($L$3*(COUNT($L$9:S$9)+$L$4))),TREND($E62:$F62,$E$9:$F$9,S$9))</f>
        <v>1</v>
      </c>
      <c r="T62" s="36">
        <f>IF($G62="s-curve",$E62+($F62-$E62)*$L$2/(1+EXP($L$3*(COUNT($L$9:T$9)+$L$4))),TREND($E62:$F62,$E$9:$F$9,T$9))</f>
        <v>1</v>
      </c>
      <c r="U62" s="36">
        <f>IF($G62="s-curve",$E62+($F62-$E62)*$L$2/(1+EXP($L$3*(COUNT($L$9:U$9)+$L$4))),TREND($E62:$F62,$E$9:$F$9,U$9))</f>
        <v>1</v>
      </c>
      <c r="V62" s="36">
        <f>IF($G62="s-curve",$E62+($F62-$E62)*$L$2/(1+EXP($L$3*(COUNT($L$9:V$9)+$L$4))),TREND($E62:$F62,$E$9:$F$9,V$9))</f>
        <v>1</v>
      </c>
      <c r="W62" s="36">
        <f>IF($G62="s-curve",$E62+($F62-$E62)*$L$2/(1+EXP($L$3*(COUNT($L$9:W$9)+$L$4))),TREND($E62:$F62,$E$9:$F$9,W$9))</f>
        <v>1</v>
      </c>
      <c r="X62" s="36">
        <f>IF($G62="s-curve",$E62+($F62-$E62)*$L$2/(1+EXP($L$3*(COUNT($L$9:X$9)+$L$4))),TREND($E62:$F62,$E$9:$F$9,X$9))</f>
        <v>1</v>
      </c>
      <c r="Y62" s="36">
        <f>IF($G62="s-curve",$E62+($F62-$E62)*$L$2/(1+EXP($L$3*(COUNT($L$9:Y$9)+$L$4))),TREND($E62:$F62,$E$9:$F$9,Y$9))</f>
        <v>1</v>
      </c>
      <c r="Z62" s="36">
        <f>IF($G62="s-curve",$E62+($F62-$E62)*$L$2/(1+EXP($L$3*(COUNT($L$9:Z$9)+$L$4))),TREND($E62:$F62,$E$9:$F$9,Z$9))</f>
        <v>1</v>
      </c>
      <c r="AA62" s="36">
        <f>IF($G62="s-curve",$E62+($F62-$E62)*$L$2/(1+EXP($L$3*(COUNT($L$9:AA$9)+$L$4))),TREND($E62:$F62,$E$9:$F$9,AA$9))</f>
        <v>1</v>
      </c>
      <c r="AB62" s="36">
        <f>IF($G62="s-curve",$E62+($F62-$E62)*$L$2/(1+EXP($L$3*(COUNT($L$9:AB$9)+$L$4))),TREND($E62:$F62,$E$9:$F$9,AB$9))</f>
        <v>1</v>
      </c>
      <c r="AC62" s="36">
        <f>IF($G62="s-curve",$E62+($F62-$E62)*$L$2/(1+EXP($L$3*(COUNT($L$9:AC$9)+$L$4))),TREND($E62:$F62,$E$9:$F$9,AC$9))</f>
        <v>1</v>
      </c>
      <c r="AD62" s="36">
        <f>IF($G62="s-curve",$E62+($F62-$E62)*$L$2/(1+EXP($L$3*(COUNT($L$9:AD$9)+$L$4))),TREND($E62:$F62,$E$9:$F$9,AD$9))</f>
        <v>1</v>
      </c>
      <c r="AE62" s="36">
        <f>IF($G62="s-curve",$E62+($F62-$E62)*$L$2/(1+EXP($L$3*(COUNT($L$9:AE$9)+$L$4))),TREND($E62:$F62,$E$9:$F$9,AE$9))</f>
        <v>1</v>
      </c>
      <c r="AF62" s="36">
        <f>IF($G62="s-curve",$E62+($F62-$E62)*$L$2/(1+EXP($L$3*(COUNT($L$9:AF$9)+$L$4))),TREND($E62:$F62,$E$9:$F$9,AF$9))</f>
        <v>1</v>
      </c>
      <c r="AG62" s="36">
        <f>IF($G62="s-curve",$E62+($F62-$E62)*$L$2/(1+EXP($L$3*(COUNT($L$9:AG$9)+$L$4))),TREND($E62:$F62,$E$9:$F$9,AG$9))</f>
        <v>1</v>
      </c>
      <c r="AH62" s="36">
        <f>IF($G62="s-curve",$E62+($F62-$E62)*$L$2/(1+EXP($L$3*(COUNT($L$9:AH$9)+$L$4))),TREND($E62:$F62,$E$9:$F$9,AH$9))</f>
        <v>1</v>
      </c>
      <c r="AI62" s="36">
        <f>IF($G62="s-curve",$E62+($F62-$E62)*$L$2/(1+EXP($L$3*(COUNT($L$9:AI$9)+$L$4))),TREND($E62:$F62,$E$9:$F$9,AI$9))</f>
        <v>1</v>
      </c>
      <c r="AJ62" s="36">
        <f>IF($G62="s-curve",$E62+($F62-$E62)*$L$2/(1+EXP($L$3*(COUNT($L$9:AJ$9)+$L$4))),TREND($E62:$F62,$E$9:$F$9,AJ$9))</f>
        <v>1</v>
      </c>
      <c r="AK62" s="36">
        <f>IF($G62="s-curve",$E62+($F62-$E62)*$L$2/(1+EXP($L$3*(COUNT($L$9:AK$9)+$L$4))),TREND($E62:$F62,$E$9:$F$9,AK$9))</f>
        <v>1</v>
      </c>
      <c r="AL62" s="36">
        <f>IF($G62="s-curve",$E62+($F62-$E62)*$L$2/(1+EXP($L$3*(COUNT($L$9:AL$9)+$L$4))),TREND($E62:$F62,$E$9:$F$9,AL$9))</f>
        <v>1</v>
      </c>
      <c r="AM62" s="36">
        <f>IF($G62="s-curve",$E62+($F62-$E62)*$L$2/(1+EXP($L$3*(COUNT($L$9:AM$9)+$L$4))),TREND($E62:$F62,$E$9:$F$9,AM$9))</f>
        <v>1</v>
      </c>
      <c r="AN62" s="36">
        <f>IF($G62="s-curve",$E62+($F62-$E62)*$L$2/(1+EXP($L$3*(COUNT($L$9:AN$9)+$L$4))),TREND($E62:$F62,$E$9:$F$9,AN$9))</f>
        <v>1</v>
      </c>
      <c r="AO62" s="36">
        <f>IF($G62="s-curve",$E62+($F62-$E62)*$L$2/(1+EXP($L$3*(COUNT($L$9:AO$9)+$L$4))),TREND($E62:$F62,$E$9:$F$9,AO$9))</f>
        <v>1</v>
      </c>
      <c r="AP62" s="36">
        <f>IF($G62="s-curve",$E62+($F62-$E62)*$L$2/(1+EXP($L$3*(COUNT($L$9:AP$9)+$L$4))),TREND($E62:$F62,$E$9:$F$9,AP$9))</f>
        <v>1</v>
      </c>
      <c r="AQ62" s="36">
        <f>IF($G62="s-curve",$E62+($F62-$E62)*$L$2/(1+EXP($L$3*(COUNT($L$9:AQ$9)+$L$4))),TREND($E62:$F62,$E$9:$F$9,AQ$9))</f>
        <v>1</v>
      </c>
      <c r="AR62" s="36">
        <f>IF($G62="s-curve",$E62+($F62-$E62)*$L$2/(1+EXP($L$3*(COUNT($L$9:AR$9)+$L$4))),TREND($E62:$F62,$E$9:$F$9,AR$9))</f>
        <v>1</v>
      </c>
      <c r="AS62" s="36">
        <f>IF($G62="s-curve",$E62+($F62-$E62)*$L$2/(1+EXP($L$3*(COUNT($L$9:AS$9)+$L$4))),TREND($E62:$F62,$E$9:$F$9,AS$9))</f>
        <v>1</v>
      </c>
      <c r="AT62" s="36">
        <f>IF($G62="s-curve",$E62+($F62-$E62)*$L$2/(1+EXP($L$3*(COUNT($L$9:AT$9)+$L$4))),TREND($E62:$F62,$E$9:$F$9,AT$9))</f>
        <v>1</v>
      </c>
      <c r="AU62" s="36">
        <f>IF($G62="s-curve",$E62+($F62-$E62)*$L$2/(1+EXP($L$3*(COUNT($L$9:AU$9)+$L$4))),TREND($E62:$F62,$E$9:$F$9,AU$9))</f>
        <v>1</v>
      </c>
      <c r="AV62" s="36">
        <f>IF($G62="s-curve",$E62+($F62-$E62)*$L$2/(1+EXP($L$3*(COUNT($L$9:AV$9)+$L$4))),TREND($E62:$F62,$E$9:$F$9,AV$9))</f>
        <v>1</v>
      </c>
      <c r="AW62" s="36">
        <f>IF($G62="s-curve",$E62+($F62-$E62)*$L$2/(1+EXP($L$3*(COUNT($L$9:AW$9)+$L$4))),TREND($E62:$F62,$E$9:$F$9,AW$9))</f>
        <v>1</v>
      </c>
      <c r="AX62" s="36">
        <f>IF($G62="s-curve",$E62+($F62-$E62)*$L$2/(1+EXP($L$3*(COUNT($L$9:AX$9)+$L$4))),TREND($E62:$F62,$E$9:$F$9,AX$9))</f>
        <v>1</v>
      </c>
      <c r="AY62" s="36">
        <f>IF($G62="s-curve",$E62+($F62-$E62)*$L$2/(1+EXP($L$3*(COUNT($L$9:AY$9)+$L$4))),TREND($E62:$F62,$E$9:$F$9,AY$9))</f>
        <v>1</v>
      </c>
      <c r="AZ62" s="36">
        <f>IF($G62="s-curve",$E62+($F62-$E62)*$L$2/(1+EXP($L$3*(COUNT($L$9:AZ$9)+$L$4))),TREND($E62:$F62,$E$9:$F$9,AZ$9))</f>
        <v>1</v>
      </c>
      <c r="BA62" s="36">
        <f>IF($G62="s-curve",$E62+($F62-$E62)*$L$2/(1+EXP($L$3*(COUNT($L$9:BA$9)+$L$4))),TREND($E62:$F62,$E$9:$F$9,BA$9))</f>
        <v>1</v>
      </c>
      <c r="BB62" s="36">
        <f>IF($G62="s-curve",$E62+($F62-$E62)*$L$2/(1+EXP($L$3*(COUNT($L$9:BB$9)+$L$4))),TREND($E62:$F62,$E$9:$F$9,BB$9))</f>
        <v>1</v>
      </c>
      <c r="BC62" s="36">
        <f>IF($G62="s-curve",$E62+($F62-$E62)*$L$2/(1+EXP($L$3*(COUNT($L$9:BC$9)+$L$4))),TREND($E62:$F62,$E$9:$F$9,BC$9))</f>
        <v>1</v>
      </c>
      <c r="BD62" s="36">
        <f>IF($G62="s-curve",$E62+($F62-$E62)*$L$2/(1+EXP($L$3*(COUNT($L$9:BD$9)+$L$4))),TREND($E62:$F62,$E$9:$F$9,BD$9))</f>
        <v>1</v>
      </c>
      <c r="BE62" s="36">
        <f>IF($G62="s-curve",$E62+($F62-$E62)*$L$2/(1+EXP($L$3*(COUNT($L$9:BE$9)+$L$4))),TREND($E62:$F62,$E$9:$F$9,BE$9))</f>
        <v>1</v>
      </c>
      <c r="BF62" s="36">
        <f>IF($G62="s-curve",$E62+($F62-$E62)*$L$2/(1+EXP($L$3*(COUNT($L$9:BF$9)+$L$4))),TREND($E62:$F62,$E$9:$F$9,BF$9))</f>
        <v>1</v>
      </c>
    </row>
    <row r="63" spans="1:58" x14ac:dyDescent="0.25">
      <c r="C63" t="s">
        <v>5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H63" s="33"/>
      <c r="I63">
        <f t="shared" si="22"/>
        <v>0</v>
      </c>
      <c r="J63">
        <f t="shared" si="22"/>
        <v>0</v>
      </c>
      <c r="K63">
        <f t="shared" si="22"/>
        <v>0</v>
      </c>
      <c r="L63" s="36">
        <f t="shared" si="30"/>
        <v>0</v>
      </c>
      <c r="M63" s="36">
        <f>IF($G63="s-curve",$E63+($F63-$E63)*$L$2/(1+EXP($L$3*(COUNT($L$9:M$9)+$L$4))),TREND($E63:$F63,$E$9:$F$9,M$9))</f>
        <v>0</v>
      </c>
      <c r="N63" s="36">
        <f>IF($G63="s-curve",$E63+($F63-$E63)*$L$2/(1+EXP($L$3*(COUNT($L$9:N$9)+$L$4))),TREND($E63:$F63,$E$9:$F$9,N$9))</f>
        <v>0</v>
      </c>
      <c r="O63" s="36">
        <f>IF($G63="s-curve",$E63+($F63-$E63)*$L$2/(1+EXP($L$3*(COUNT($L$9:O$9)+$L$4))),TREND($E63:$F63,$E$9:$F$9,O$9))</f>
        <v>0</v>
      </c>
      <c r="P63" s="36">
        <f>IF($G63="s-curve",$E63+($F63-$E63)*$L$2/(1+EXP($L$3*(COUNT($L$9:P$9)+$L$4))),TREND($E63:$F63,$E$9:$F$9,P$9))</f>
        <v>0</v>
      </c>
      <c r="Q63" s="36">
        <f>IF($G63="s-curve",$E63+($F63-$E63)*$L$2/(1+EXP($L$3*(COUNT($L$9:Q$9)+$L$4))),TREND($E63:$F63,$E$9:$F$9,Q$9))</f>
        <v>0</v>
      </c>
      <c r="R63" s="36">
        <f>IF($G63="s-curve",$E63+($F63-$E63)*$L$2/(1+EXP($L$3*(COUNT($L$9:R$9)+$L$4))),TREND($E63:$F63,$E$9:$F$9,R$9))</f>
        <v>0</v>
      </c>
      <c r="S63" s="36">
        <f>IF($G63="s-curve",$E63+($F63-$E63)*$L$2/(1+EXP($L$3*(COUNT($L$9:S$9)+$L$4))),TREND($E63:$F63,$E$9:$F$9,S$9))</f>
        <v>0</v>
      </c>
      <c r="T63" s="36">
        <f>IF($G63="s-curve",$E63+($F63-$E63)*$L$2/(1+EXP($L$3*(COUNT($L$9:T$9)+$L$4))),TREND($E63:$F63,$E$9:$F$9,T$9))</f>
        <v>0</v>
      </c>
      <c r="U63" s="36">
        <f>IF($G63="s-curve",$E63+($F63-$E63)*$L$2/(1+EXP($L$3*(COUNT($L$9:U$9)+$L$4))),TREND($E63:$F63,$E$9:$F$9,U$9))</f>
        <v>0</v>
      </c>
      <c r="V63" s="36">
        <f>IF($G63="s-curve",$E63+($F63-$E63)*$L$2/(1+EXP($L$3*(COUNT($L$9:V$9)+$L$4))),TREND($E63:$F63,$E$9:$F$9,V$9))</f>
        <v>0</v>
      </c>
      <c r="W63" s="36">
        <f>IF($G63="s-curve",$E63+($F63-$E63)*$L$2/(1+EXP($L$3*(COUNT($L$9:W$9)+$L$4))),TREND($E63:$F63,$E$9:$F$9,W$9))</f>
        <v>0</v>
      </c>
      <c r="X63" s="36">
        <f>IF($G63="s-curve",$E63+($F63-$E63)*$L$2/(1+EXP($L$3*(COUNT($L$9:X$9)+$L$4))),TREND($E63:$F63,$E$9:$F$9,X$9))</f>
        <v>0</v>
      </c>
      <c r="Y63" s="36">
        <f>IF($G63="s-curve",$E63+($F63-$E63)*$L$2/(1+EXP($L$3*(COUNT($L$9:Y$9)+$L$4))),TREND($E63:$F63,$E$9:$F$9,Y$9))</f>
        <v>0</v>
      </c>
      <c r="Z63" s="36">
        <f>IF($G63="s-curve",$E63+($F63-$E63)*$L$2/(1+EXP($L$3*(COUNT($L$9:Z$9)+$L$4))),TREND($E63:$F63,$E$9:$F$9,Z$9))</f>
        <v>0</v>
      </c>
      <c r="AA63" s="36">
        <f>IF($G63="s-curve",$E63+($F63-$E63)*$L$2/(1+EXP($L$3*(COUNT($L$9:AA$9)+$L$4))),TREND($E63:$F63,$E$9:$F$9,AA$9))</f>
        <v>0</v>
      </c>
      <c r="AB63" s="36">
        <f>IF($G63="s-curve",$E63+($F63-$E63)*$L$2/(1+EXP($L$3*(COUNT($L$9:AB$9)+$L$4))),TREND($E63:$F63,$E$9:$F$9,AB$9))</f>
        <v>0</v>
      </c>
      <c r="AC63" s="36">
        <f>IF($G63="s-curve",$E63+($F63-$E63)*$L$2/(1+EXP($L$3*(COUNT($L$9:AC$9)+$L$4))),TREND($E63:$F63,$E$9:$F$9,AC$9))</f>
        <v>0</v>
      </c>
      <c r="AD63" s="36">
        <f>IF($G63="s-curve",$E63+($F63-$E63)*$L$2/(1+EXP($L$3*(COUNT($L$9:AD$9)+$L$4))),TREND($E63:$F63,$E$9:$F$9,AD$9))</f>
        <v>0</v>
      </c>
      <c r="AE63" s="36">
        <f>IF($G63="s-curve",$E63+($F63-$E63)*$L$2/(1+EXP($L$3*(COUNT($L$9:AE$9)+$L$4))),TREND($E63:$F63,$E$9:$F$9,AE$9))</f>
        <v>0</v>
      </c>
      <c r="AF63" s="36">
        <f>IF($G63="s-curve",$E63+($F63-$E63)*$L$2/(1+EXP($L$3*(COUNT($L$9:AF$9)+$L$4))),TREND($E63:$F63,$E$9:$F$9,AF$9))</f>
        <v>0</v>
      </c>
      <c r="AG63" s="36">
        <f>IF($G63="s-curve",$E63+($F63-$E63)*$L$2/(1+EXP($L$3*(COUNT($L$9:AG$9)+$L$4))),TREND($E63:$F63,$E$9:$F$9,AG$9))</f>
        <v>0</v>
      </c>
      <c r="AH63" s="36">
        <f>IF($G63="s-curve",$E63+($F63-$E63)*$L$2/(1+EXP($L$3*(COUNT($L$9:AH$9)+$L$4))),TREND($E63:$F63,$E$9:$F$9,AH$9))</f>
        <v>0</v>
      </c>
      <c r="AI63" s="36">
        <f>IF($G63="s-curve",$E63+($F63-$E63)*$L$2/(1+EXP($L$3*(COUNT($L$9:AI$9)+$L$4))),TREND($E63:$F63,$E$9:$F$9,AI$9))</f>
        <v>0</v>
      </c>
      <c r="AJ63" s="36">
        <f>IF($G63="s-curve",$E63+($F63-$E63)*$L$2/(1+EXP($L$3*(COUNT($L$9:AJ$9)+$L$4))),TREND($E63:$F63,$E$9:$F$9,AJ$9))</f>
        <v>0</v>
      </c>
      <c r="AK63" s="36">
        <f>IF($G63="s-curve",$E63+($F63-$E63)*$L$2/(1+EXP($L$3*(COUNT($L$9:AK$9)+$L$4))),TREND($E63:$F63,$E$9:$F$9,AK$9))</f>
        <v>0</v>
      </c>
      <c r="AL63" s="36">
        <f>IF($G63="s-curve",$E63+($F63-$E63)*$L$2/(1+EXP($L$3*(COUNT($L$9:AL$9)+$L$4))),TREND($E63:$F63,$E$9:$F$9,AL$9))</f>
        <v>0</v>
      </c>
      <c r="AM63" s="36">
        <f>IF($G63="s-curve",$E63+($F63-$E63)*$L$2/(1+EXP($L$3*(COUNT($L$9:AM$9)+$L$4))),TREND($E63:$F63,$E$9:$F$9,AM$9))</f>
        <v>0</v>
      </c>
      <c r="AN63" s="36">
        <f>IF($G63="s-curve",$E63+($F63-$E63)*$L$2/(1+EXP($L$3*(COUNT($L$9:AN$9)+$L$4))),TREND($E63:$F63,$E$9:$F$9,AN$9))</f>
        <v>0</v>
      </c>
      <c r="AO63" s="36">
        <f>IF($G63="s-curve",$E63+($F63-$E63)*$L$2/(1+EXP($L$3*(COUNT($L$9:AO$9)+$L$4))),TREND($E63:$F63,$E$9:$F$9,AO$9))</f>
        <v>0</v>
      </c>
      <c r="AP63" s="36">
        <f>IF($G63="s-curve",$E63+($F63-$E63)*$L$2/(1+EXP($L$3*(COUNT($L$9:AP$9)+$L$4))),TREND($E63:$F63,$E$9:$F$9,AP$9))</f>
        <v>0</v>
      </c>
      <c r="AQ63" s="36">
        <f>IF($G63="s-curve",$E63+($F63-$E63)*$L$2/(1+EXP($L$3*(COUNT($L$9:AQ$9)+$L$4))),TREND($E63:$F63,$E$9:$F$9,AQ$9))</f>
        <v>0</v>
      </c>
      <c r="AR63" s="36">
        <f>IF($G63="s-curve",$E63+($F63-$E63)*$L$2/(1+EXP($L$3*(COUNT($L$9:AR$9)+$L$4))),TREND($E63:$F63,$E$9:$F$9,AR$9))</f>
        <v>0</v>
      </c>
      <c r="AS63" s="36">
        <f>IF($G63="s-curve",$E63+($F63-$E63)*$L$2/(1+EXP($L$3*(COUNT($L$9:AS$9)+$L$4))),TREND($E63:$F63,$E$9:$F$9,AS$9))</f>
        <v>0</v>
      </c>
      <c r="AT63" s="36">
        <f>IF($G63="s-curve",$E63+($F63-$E63)*$L$2/(1+EXP($L$3*(COUNT($L$9:AT$9)+$L$4))),TREND($E63:$F63,$E$9:$F$9,AT$9))</f>
        <v>0</v>
      </c>
      <c r="AU63" s="36">
        <f>IF($G63="s-curve",$E63+($F63-$E63)*$L$2/(1+EXP($L$3*(COUNT($L$9:AU$9)+$L$4))),TREND($E63:$F63,$E$9:$F$9,AU$9))</f>
        <v>0</v>
      </c>
      <c r="AV63" s="36">
        <f>IF($G63="s-curve",$E63+($F63-$E63)*$L$2/(1+EXP($L$3*(COUNT($L$9:AV$9)+$L$4))),TREND($E63:$F63,$E$9:$F$9,AV$9))</f>
        <v>0</v>
      </c>
      <c r="AW63" s="36">
        <f>IF($G63="s-curve",$E63+($F63-$E63)*$L$2/(1+EXP($L$3*(COUNT($L$9:AW$9)+$L$4))),TREND($E63:$F63,$E$9:$F$9,AW$9))</f>
        <v>0</v>
      </c>
      <c r="AX63" s="36">
        <f>IF($G63="s-curve",$E63+($F63-$E63)*$L$2/(1+EXP($L$3*(COUNT($L$9:AX$9)+$L$4))),TREND($E63:$F63,$E$9:$F$9,AX$9))</f>
        <v>0</v>
      </c>
      <c r="AY63" s="36">
        <f>IF($G63="s-curve",$E63+($F63-$E63)*$L$2/(1+EXP($L$3*(COUNT($L$9:AY$9)+$L$4))),TREND($E63:$F63,$E$9:$F$9,AY$9))</f>
        <v>0</v>
      </c>
      <c r="AZ63" s="36">
        <f>IF($G63="s-curve",$E63+($F63-$E63)*$L$2/(1+EXP($L$3*(COUNT($L$9:AZ$9)+$L$4))),TREND($E63:$F63,$E$9:$F$9,AZ$9))</f>
        <v>0</v>
      </c>
      <c r="BA63" s="36">
        <f>IF($G63="s-curve",$E63+($F63-$E63)*$L$2/(1+EXP($L$3*(COUNT($L$9:BA$9)+$L$4))),TREND($E63:$F63,$E$9:$F$9,BA$9))</f>
        <v>0</v>
      </c>
      <c r="BB63" s="36">
        <f>IF($G63="s-curve",$E63+($F63-$E63)*$L$2/(1+EXP($L$3*(COUNT($L$9:BB$9)+$L$4))),TREND($E63:$F63,$E$9:$F$9,BB$9))</f>
        <v>0</v>
      </c>
      <c r="BC63" s="36">
        <f>IF($G63="s-curve",$E63+($F63-$E63)*$L$2/(1+EXP($L$3*(COUNT($L$9:BC$9)+$L$4))),TREND($E63:$F63,$E$9:$F$9,BC$9))</f>
        <v>0</v>
      </c>
      <c r="BD63" s="36">
        <f>IF($G63="s-curve",$E63+($F63-$E63)*$L$2/(1+EXP($L$3*(COUNT($L$9:BD$9)+$L$4))),TREND($E63:$F63,$E$9:$F$9,BD$9))</f>
        <v>0</v>
      </c>
      <c r="BE63" s="36">
        <f>IF($G63="s-curve",$E63+($F63-$E63)*$L$2/(1+EXP($L$3*(COUNT($L$9:BE$9)+$L$4))),TREND($E63:$F63,$E$9:$F$9,BE$9))</f>
        <v>0</v>
      </c>
      <c r="BF63" s="36">
        <f>IF($G63="s-curve",$E63+($F63-$E63)*$L$2/(1+EXP($L$3*(COUNT($L$9:BF$9)+$L$4))),TREND($E63:$F63,$E$9:$F$9,BF$9))</f>
        <v>0</v>
      </c>
    </row>
    <row r="64" spans="1:58" x14ac:dyDescent="0.25">
      <c r="C64" t="s">
        <v>33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H64" s="33"/>
      <c r="I64">
        <f t="shared" si="22"/>
        <v>0</v>
      </c>
      <c r="J64">
        <f t="shared" si="22"/>
        <v>0</v>
      </c>
      <c r="K64">
        <f t="shared" si="22"/>
        <v>0</v>
      </c>
      <c r="L64" s="36">
        <f t="shared" si="30"/>
        <v>0</v>
      </c>
      <c r="M64" s="36">
        <f>IF($G64="s-curve",$E64+($F64-$E64)*$L$2/(1+EXP($L$3*(COUNT($L$9:M$9)+$L$4))),TREND($E64:$F64,$E$9:$F$9,M$9))</f>
        <v>0</v>
      </c>
      <c r="N64" s="36">
        <f>IF($G64="s-curve",$E64+($F64-$E64)*$L$2/(1+EXP($L$3*(COUNT($L$9:N$9)+$L$4))),TREND($E64:$F64,$E$9:$F$9,N$9))</f>
        <v>0</v>
      </c>
      <c r="O64" s="36">
        <f>IF($G64="s-curve",$E64+($F64-$E64)*$L$2/(1+EXP($L$3*(COUNT($L$9:O$9)+$L$4))),TREND($E64:$F64,$E$9:$F$9,O$9))</f>
        <v>0</v>
      </c>
      <c r="P64" s="36">
        <f>IF($G64="s-curve",$E64+($F64-$E64)*$L$2/(1+EXP($L$3*(COUNT($L$9:P$9)+$L$4))),TREND($E64:$F64,$E$9:$F$9,P$9))</f>
        <v>0</v>
      </c>
      <c r="Q64" s="36">
        <f>IF($G64="s-curve",$E64+($F64-$E64)*$L$2/(1+EXP($L$3*(COUNT($L$9:Q$9)+$L$4))),TREND($E64:$F64,$E$9:$F$9,Q$9))</f>
        <v>0</v>
      </c>
      <c r="R64" s="36">
        <f>IF($G64="s-curve",$E64+($F64-$E64)*$L$2/(1+EXP($L$3*(COUNT($L$9:R$9)+$L$4))),TREND($E64:$F64,$E$9:$F$9,R$9))</f>
        <v>0</v>
      </c>
      <c r="S64" s="36">
        <f>IF($G64="s-curve",$E64+($F64-$E64)*$L$2/(1+EXP($L$3*(COUNT($L$9:S$9)+$L$4))),TREND($E64:$F64,$E$9:$F$9,S$9))</f>
        <v>0</v>
      </c>
      <c r="T64" s="36">
        <f>IF($G64="s-curve",$E64+($F64-$E64)*$L$2/(1+EXP($L$3*(COUNT($L$9:T$9)+$L$4))),TREND($E64:$F64,$E$9:$F$9,T$9))</f>
        <v>0</v>
      </c>
      <c r="U64" s="36">
        <f>IF($G64="s-curve",$E64+($F64-$E64)*$L$2/(1+EXP($L$3*(COUNT($L$9:U$9)+$L$4))),TREND($E64:$F64,$E$9:$F$9,U$9))</f>
        <v>0</v>
      </c>
      <c r="V64" s="36">
        <f>IF($G64="s-curve",$E64+($F64-$E64)*$L$2/(1+EXP($L$3*(COUNT($L$9:V$9)+$L$4))),TREND($E64:$F64,$E$9:$F$9,V$9))</f>
        <v>0</v>
      </c>
      <c r="W64" s="36">
        <f>IF($G64="s-curve",$E64+($F64-$E64)*$L$2/(1+EXP($L$3*(COUNT($L$9:W$9)+$L$4))),TREND($E64:$F64,$E$9:$F$9,W$9))</f>
        <v>0</v>
      </c>
      <c r="X64" s="36">
        <f>IF($G64="s-curve",$E64+($F64-$E64)*$L$2/(1+EXP($L$3*(COUNT($L$9:X$9)+$L$4))),TREND($E64:$F64,$E$9:$F$9,X$9))</f>
        <v>0</v>
      </c>
      <c r="Y64" s="36">
        <f>IF($G64="s-curve",$E64+($F64-$E64)*$L$2/(1+EXP($L$3*(COUNT($L$9:Y$9)+$L$4))),TREND($E64:$F64,$E$9:$F$9,Y$9))</f>
        <v>0</v>
      </c>
      <c r="Z64" s="36">
        <f>IF($G64="s-curve",$E64+($F64-$E64)*$L$2/(1+EXP($L$3*(COUNT($L$9:Z$9)+$L$4))),TREND($E64:$F64,$E$9:$F$9,Z$9))</f>
        <v>0</v>
      </c>
      <c r="AA64" s="36">
        <f>IF($G64="s-curve",$E64+($F64-$E64)*$L$2/(1+EXP($L$3*(COUNT($L$9:AA$9)+$L$4))),TREND($E64:$F64,$E$9:$F$9,AA$9))</f>
        <v>0</v>
      </c>
      <c r="AB64" s="36">
        <f>IF($G64="s-curve",$E64+($F64-$E64)*$L$2/(1+EXP($L$3*(COUNT($L$9:AB$9)+$L$4))),TREND($E64:$F64,$E$9:$F$9,AB$9))</f>
        <v>0</v>
      </c>
      <c r="AC64" s="36">
        <f>IF($G64="s-curve",$E64+($F64-$E64)*$L$2/(1+EXP($L$3*(COUNT($L$9:AC$9)+$L$4))),TREND($E64:$F64,$E$9:$F$9,AC$9))</f>
        <v>0</v>
      </c>
      <c r="AD64" s="36">
        <f>IF($G64="s-curve",$E64+($F64-$E64)*$L$2/(1+EXP($L$3*(COUNT($L$9:AD$9)+$L$4))),TREND($E64:$F64,$E$9:$F$9,AD$9))</f>
        <v>0</v>
      </c>
      <c r="AE64" s="36">
        <f>IF($G64="s-curve",$E64+($F64-$E64)*$L$2/(1+EXP($L$3*(COUNT($L$9:AE$9)+$L$4))),TREND($E64:$F64,$E$9:$F$9,AE$9))</f>
        <v>0</v>
      </c>
      <c r="AF64" s="36">
        <f>IF($G64="s-curve",$E64+($F64-$E64)*$L$2/(1+EXP($L$3*(COUNT($L$9:AF$9)+$L$4))),TREND($E64:$F64,$E$9:$F$9,AF$9))</f>
        <v>0</v>
      </c>
      <c r="AG64" s="36">
        <f>IF($G64="s-curve",$E64+($F64-$E64)*$L$2/(1+EXP($L$3*(COUNT($L$9:AG$9)+$L$4))),TREND($E64:$F64,$E$9:$F$9,AG$9))</f>
        <v>0</v>
      </c>
      <c r="AH64" s="36">
        <f>IF($G64="s-curve",$E64+($F64-$E64)*$L$2/(1+EXP($L$3*(COUNT($L$9:AH$9)+$L$4))),TREND($E64:$F64,$E$9:$F$9,AH$9))</f>
        <v>0</v>
      </c>
      <c r="AI64" s="36">
        <f>IF($G64="s-curve",$E64+($F64-$E64)*$L$2/(1+EXP($L$3*(COUNT($L$9:AI$9)+$L$4))),TREND($E64:$F64,$E$9:$F$9,AI$9))</f>
        <v>0</v>
      </c>
      <c r="AJ64" s="36">
        <f>IF($G64="s-curve",$E64+($F64-$E64)*$L$2/(1+EXP($L$3*(COUNT($L$9:AJ$9)+$L$4))),TREND($E64:$F64,$E$9:$F$9,AJ$9))</f>
        <v>0</v>
      </c>
      <c r="AK64" s="36">
        <f>IF($G64="s-curve",$E64+($F64-$E64)*$L$2/(1+EXP($L$3*(COUNT($L$9:AK$9)+$L$4))),TREND($E64:$F64,$E$9:$F$9,AK$9))</f>
        <v>0</v>
      </c>
      <c r="AL64" s="36">
        <f>IF($G64="s-curve",$E64+($F64-$E64)*$L$2/(1+EXP($L$3*(COUNT($L$9:AL$9)+$L$4))),TREND($E64:$F64,$E$9:$F$9,AL$9))</f>
        <v>0</v>
      </c>
      <c r="AM64" s="36">
        <f>IF($G64="s-curve",$E64+($F64-$E64)*$L$2/(1+EXP($L$3*(COUNT($L$9:AM$9)+$L$4))),TREND($E64:$F64,$E$9:$F$9,AM$9))</f>
        <v>0</v>
      </c>
      <c r="AN64" s="36">
        <f>IF($G64="s-curve",$E64+($F64-$E64)*$L$2/(1+EXP($L$3*(COUNT($L$9:AN$9)+$L$4))),TREND($E64:$F64,$E$9:$F$9,AN$9))</f>
        <v>0</v>
      </c>
      <c r="AO64" s="36">
        <f>IF($G64="s-curve",$E64+($F64-$E64)*$L$2/(1+EXP($L$3*(COUNT($L$9:AO$9)+$L$4))),TREND($E64:$F64,$E$9:$F$9,AO$9))</f>
        <v>0</v>
      </c>
      <c r="AP64" s="36">
        <f>IF($G64="s-curve",$E64+($F64-$E64)*$L$2/(1+EXP($L$3*(COUNT($L$9:AP$9)+$L$4))),TREND($E64:$F64,$E$9:$F$9,AP$9))</f>
        <v>0</v>
      </c>
      <c r="AQ64" s="36">
        <f>IF($G64="s-curve",$E64+($F64-$E64)*$L$2/(1+EXP($L$3*(COUNT($L$9:AQ$9)+$L$4))),TREND($E64:$F64,$E$9:$F$9,AQ$9))</f>
        <v>0</v>
      </c>
      <c r="AR64" s="36">
        <f>IF($G64="s-curve",$E64+($F64-$E64)*$L$2/(1+EXP($L$3*(COUNT($L$9:AR$9)+$L$4))),TREND($E64:$F64,$E$9:$F$9,AR$9))</f>
        <v>0</v>
      </c>
      <c r="AS64" s="36">
        <f>IF($G64="s-curve",$E64+($F64-$E64)*$L$2/(1+EXP($L$3*(COUNT($L$9:AS$9)+$L$4))),TREND($E64:$F64,$E$9:$F$9,AS$9))</f>
        <v>0</v>
      </c>
      <c r="AT64" s="36">
        <f>IF($G64="s-curve",$E64+($F64-$E64)*$L$2/(1+EXP($L$3*(COUNT($L$9:AT$9)+$L$4))),TREND($E64:$F64,$E$9:$F$9,AT$9))</f>
        <v>0</v>
      </c>
      <c r="AU64" s="36">
        <f>IF($G64="s-curve",$E64+($F64-$E64)*$L$2/(1+EXP($L$3*(COUNT($L$9:AU$9)+$L$4))),TREND($E64:$F64,$E$9:$F$9,AU$9))</f>
        <v>0</v>
      </c>
      <c r="AV64" s="36">
        <f>IF($G64="s-curve",$E64+($F64-$E64)*$L$2/(1+EXP($L$3*(COUNT($L$9:AV$9)+$L$4))),TREND($E64:$F64,$E$9:$F$9,AV$9))</f>
        <v>0</v>
      </c>
      <c r="AW64" s="36">
        <f>IF($G64="s-curve",$E64+($F64-$E64)*$L$2/(1+EXP($L$3*(COUNT($L$9:AW$9)+$L$4))),TREND($E64:$F64,$E$9:$F$9,AW$9))</f>
        <v>0</v>
      </c>
      <c r="AX64" s="36">
        <f>IF($G64="s-curve",$E64+($F64-$E64)*$L$2/(1+EXP($L$3*(COUNT($L$9:AX$9)+$L$4))),TREND($E64:$F64,$E$9:$F$9,AX$9))</f>
        <v>0</v>
      </c>
      <c r="AY64" s="36">
        <f>IF($G64="s-curve",$E64+($F64-$E64)*$L$2/(1+EXP($L$3*(COUNT($L$9:AY$9)+$L$4))),TREND($E64:$F64,$E$9:$F$9,AY$9))</f>
        <v>0</v>
      </c>
      <c r="AZ64" s="36">
        <f>IF($G64="s-curve",$E64+($F64-$E64)*$L$2/(1+EXP($L$3*(COUNT($L$9:AZ$9)+$L$4))),TREND($E64:$F64,$E$9:$F$9,AZ$9))</f>
        <v>0</v>
      </c>
      <c r="BA64" s="36">
        <f>IF($G64="s-curve",$E64+($F64-$E64)*$L$2/(1+EXP($L$3*(COUNT($L$9:BA$9)+$L$4))),TREND($E64:$F64,$E$9:$F$9,BA$9))</f>
        <v>0</v>
      </c>
      <c r="BB64" s="36">
        <f>IF($G64="s-curve",$E64+($F64-$E64)*$L$2/(1+EXP($L$3*(COUNT($L$9:BB$9)+$L$4))),TREND($E64:$F64,$E$9:$F$9,BB$9))</f>
        <v>0</v>
      </c>
      <c r="BC64" s="36">
        <f>IF($G64="s-curve",$E64+($F64-$E64)*$L$2/(1+EXP($L$3*(COUNT($L$9:BC$9)+$L$4))),TREND($E64:$F64,$E$9:$F$9,BC$9))</f>
        <v>0</v>
      </c>
      <c r="BD64" s="36">
        <f>IF($G64="s-curve",$E64+($F64-$E64)*$L$2/(1+EXP($L$3*(COUNT($L$9:BD$9)+$L$4))),TREND($E64:$F64,$E$9:$F$9,BD$9))</f>
        <v>0</v>
      </c>
      <c r="BE64" s="36">
        <f>IF($G64="s-curve",$E64+($F64-$E64)*$L$2/(1+EXP($L$3*(COUNT($L$9:BE$9)+$L$4))),TREND($E64:$F64,$E$9:$F$9,BE$9))</f>
        <v>0</v>
      </c>
      <c r="BF64" s="36">
        <f>IF($G64="s-curve",$E64+($F64-$E64)*$L$2/(1+EXP($L$3*(COUNT($L$9:BF$9)+$L$4))),TREND($E64:$F64,$E$9:$F$9,BF$9))</f>
        <v>0</v>
      </c>
    </row>
    <row r="65" spans="1:58" ht="15.75" thickBot="1" x14ac:dyDescent="0.3">
      <c r="A65" s="18"/>
      <c r="B65" s="18"/>
      <c r="C65" s="18" t="s">
        <v>34</v>
      </c>
      <c r="D65" s="18"/>
      <c r="E65" s="18">
        <v>0</v>
      </c>
      <c r="F65" s="18">
        <v>0</v>
      </c>
      <c r="G65" s="6" t="str">
        <f>IF(E65=F65,"n/a",IF(OR(C65="battery electric vehicle",C65="natural gas vehicle",C65="plugin hybrid vehicle",C65="hydrogen vehicle"),"s-curve","linear"))</f>
        <v>n/a</v>
      </c>
      <c r="H65" s="34"/>
      <c r="I65">
        <f t="shared" si="22"/>
        <v>0</v>
      </c>
      <c r="J65">
        <f t="shared" si="22"/>
        <v>0</v>
      </c>
      <c r="K65">
        <f t="shared" si="22"/>
        <v>0</v>
      </c>
      <c r="L65" s="36">
        <f t="shared" si="30"/>
        <v>0</v>
      </c>
      <c r="M65" s="36">
        <f>IF($G65="s-curve",$E65+($F65-$E65)*$L$2/(1+EXP($L$3*(COUNT($L$9:M$9)+$L$4))),TREND($E65:$F65,$E$9:$F$9,M$9))</f>
        <v>0</v>
      </c>
      <c r="N65" s="36">
        <f>IF($G65="s-curve",$E65+($F65-$E65)*$L$2/(1+EXP($L$3*(COUNT($L$9:N$9)+$L$4))),TREND($E65:$F65,$E$9:$F$9,N$9))</f>
        <v>0</v>
      </c>
      <c r="O65" s="36">
        <f>IF($G65="s-curve",$E65+($F65-$E65)*$L$2/(1+EXP($L$3*(COUNT($L$9:O$9)+$L$4))),TREND($E65:$F65,$E$9:$F$9,O$9))</f>
        <v>0</v>
      </c>
      <c r="P65" s="36">
        <f>IF($G65="s-curve",$E65+($F65-$E65)*$L$2/(1+EXP($L$3*(COUNT($L$9:P$9)+$L$4))),TREND($E65:$F65,$E$9:$F$9,P$9))</f>
        <v>0</v>
      </c>
      <c r="Q65" s="36">
        <f>IF($G65="s-curve",$E65+($F65-$E65)*$L$2/(1+EXP($L$3*(COUNT($L$9:Q$9)+$L$4))),TREND($E65:$F65,$E$9:$F$9,Q$9))</f>
        <v>0</v>
      </c>
      <c r="R65" s="36">
        <f>IF($G65="s-curve",$E65+($F65-$E65)*$L$2/(1+EXP($L$3*(COUNT($L$9:R$9)+$L$4))),TREND($E65:$F65,$E$9:$F$9,R$9))</f>
        <v>0</v>
      </c>
      <c r="S65" s="36">
        <f>IF($G65="s-curve",$E65+($F65-$E65)*$L$2/(1+EXP($L$3*(COUNT($L$9:S$9)+$L$4))),TREND($E65:$F65,$E$9:$F$9,S$9))</f>
        <v>0</v>
      </c>
      <c r="T65" s="36">
        <f>IF($G65="s-curve",$E65+($F65-$E65)*$L$2/(1+EXP($L$3*(COUNT($L$9:T$9)+$L$4))),TREND($E65:$F65,$E$9:$F$9,T$9))</f>
        <v>0</v>
      </c>
      <c r="U65" s="36">
        <f>IF($G65="s-curve",$E65+($F65-$E65)*$L$2/(1+EXP($L$3*(COUNT($L$9:U$9)+$L$4))),TREND($E65:$F65,$E$9:$F$9,U$9))</f>
        <v>0</v>
      </c>
      <c r="V65" s="36">
        <f>IF($G65="s-curve",$E65+($F65-$E65)*$L$2/(1+EXP($L$3*(COUNT($L$9:V$9)+$L$4))),TREND($E65:$F65,$E$9:$F$9,V$9))</f>
        <v>0</v>
      </c>
      <c r="W65" s="36">
        <f>IF($G65="s-curve",$E65+($F65-$E65)*$L$2/(1+EXP($L$3*(COUNT($L$9:W$9)+$L$4))),TREND($E65:$F65,$E$9:$F$9,W$9))</f>
        <v>0</v>
      </c>
      <c r="X65" s="36">
        <f>IF($G65="s-curve",$E65+($F65-$E65)*$L$2/(1+EXP($L$3*(COUNT($L$9:X$9)+$L$4))),TREND($E65:$F65,$E$9:$F$9,X$9))</f>
        <v>0</v>
      </c>
      <c r="Y65" s="36">
        <f>IF($G65="s-curve",$E65+($F65-$E65)*$L$2/(1+EXP($L$3*(COUNT($L$9:Y$9)+$L$4))),TREND($E65:$F65,$E$9:$F$9,Y$9))</f>
        <v>0</v>
      </c>
      <c r="Z65" s="36">
        <f>IF($G65="s-curve",$E65+($F65-$E65)*$L$2/(1+EXP($L$3*(COUNT($L$9:Z$9)+$L$4))),TREND($E65:$F65,$E$9:$F$9,Z$9))</f>
        <v>0</v>
      </c>
      <c r="AA65" s="36">
        <f>IF($G65="s-curve",$E65+($F65-$E65)*$L$2/(1+EXP($L$3*(COUNT($L$9:AA$9)+$L$4))),TREND($E65:$F65,$E$9:$F$9,AA$9))</f>
        <v>0</v>
      </c>
      <c r="AB65" s="36">
        <f>IF($G65="s-curve",$E65+($F65-$E65)*$L$2/(1+EXP($L$3*(COUNT($L$9:AB$9)+$L$4))),TREND($E65:$F65,$E$9:$F$9,AB$9))</f>
        <v>0</v>
      </c>
      <c r="AC65" s="36">
        <f>IF($G65="s-curve",$E65+($F65-$E65)*$L$2/(1+EXP($L$3*(COUNT($L$9:AC$9)+$L$4))),TREND($E65:$F65,$E$9:$F$9,AC$9))</f>
        <v>0</v>
      </c>
      <c r="AD65" s="36">
        <f>IF($G65="s-curve",$E65+($F65-$E65)*$L$2/(1+EXP($L$3*(COUNT($L$9:AD$9)+$L$4))),TREND($E65:$F65,$E$9:$F$9,AD$9))</f>
        <v>0</v>
      </c>
      <c r="AE65" s="36">
        <f>IF($G65="s-curve",$E65+($F65-$E65)*$L$2/(1+EXP($L$3*(COUNT($L$9:AE$9)+$L$4))),TREND($E65:$F65,$E$9:$F$9,AE$9))</f>
        <v>0</v>
      </c>
      <c r="AF65" s="36">
        <f>IF($G65="s-curve",$E65+($F65-$E65)*$L$2/(1+EXP($L$3*(COUNT($L$9:AF$9)+$L$4))),TREND($E65:$F65,$E$9:$F$9,AF$9))</f>
        <v>0</v>
      </c>
      <c r="AG65" s="36">
        <f>IF($G65="s-curve",$E65+($F65-$E65)*$L$2/(1+EXP($L$3*(COUNT($L$9:AG$9)+$L$4))),TREND($E65:$F65,$E$9:$F$9,AG$9))</f>
        <v>0</v>
      </c>
      <c r="AH65" s="36">
        <f>IF($G65="s-curve",$E65+($F65-$E65)*$L$2/(1+EXP($L$3*(COUNT($L$9:AH$9)+$L$4))),TREND($E65:$F65,$E$9:$F$9,AH$9))</f>
        <v>0</v>
      </c>
      <c r="AI65" s="36">
        <f>IF($G65="s-curve",$E65+($F65-$E65)*$L$2/(1+EXP($L$3*(COUNT($L$9:AI$9)+$L$4))),TREND($E65:$F65,$E$9:$F$9,AI$9))</f>
        <v>0</v>
      </c>
      <c r="AJ65" s="36">
        <f>IF($G65="s-curve",$E65+($F65-$E65)*$L$2/(1+EXP($L$3*(COUNT($L$9:AJ$9)+$L$4))),TREND($E65:$F65,$E$9:$F$9,AJ$9))</f>
        <v>0</v>
      </c>
      <c r="AK65" s="36">
        <f>IF($G65="s-curve",$E65+($F65-$E65)*$L$2/(1+EXP($L$3*(COUNT($L$9:AK$9)+$L$4))),TREND($E65:$F65,$E$9:$F$9,AK$9))</f>
        <v>0</v>
      </c>
      <c r="AL65" s="36">
        <f>IF($G65="s-curve",$E65+($F65-$E65)*$L$2/(1+EXP($L$3*(COUNT($L$9:AL$9)+$L$4))),TREND($E65:$F65,$E$9:$F$9,AL$9))</f>
        <v>0</v>
      </c>
      <c r="AM65" s="36">
        <f>IF($G65="s-curve",$E65+($F65-$E65)*$L$2/(1+EXP($L$3*(COUNT($L$9:AM$9)+$L$4))),TREND($E65:$F65,$E$9:$F$9,AM$9))</f>
        <v>0</v>
      </c>
      <c r="AN65" s="36">
        <f>IF($G65="s-curve",$E65+($F65-$E65)*$L$2/(1+EXP($L$3*(COUNT($L$9:AN$9)+$L$4))),TREND($E65:$F65,$E$9:$F$9,AN$9))</f>
        <v>0</v>
      </c>
      <c r="AO65" s="36">
        <f>IF($G65="s-curve",$E65+($F65-$E65)*$L$2/(1+EXP($L$3*(COUNT($L$9:AO$9)+$L$4))),TREND($E65:$F65,$E$9:$F$9,AO$9))</f>
        <v>0</v>
      </c>
      <c r="AP65" s="36">
        <f>IF($G65="s-curve",$E65+($F65-$E65)*$L$2/(1+EXP($L$3*(COUNT($L$9:AP$9)+$L$4))),TREND($E65:$F65,$E$9:$F$9,AP$9))</f>
        <v>0</v>
      </c>
      <c r="AQ65" s="36">
        <f>IF($G65="s-curve",$E65+($F65-$E65)*$L$2/(1+EXP($L$3*(COUNT($L$9:AQ$9)+$L$4))),TREND($E65:$F65,$E$9:$F$9,AQ$9))</f>
        <v>0</v>
      </c>
      <c r="AR65" s="36">
        <f>IF($G65="s-curve",$E65+($F65-$E65)*$L$2/(1+EXP($L$3*(COUNT($L$9:AR$9)+$L$4))),TREND($E65:$F65,$E$9:$F$9,AR$9))</f>
        <v>0</v>
      </c>
      <c r="AS65" s="36">
        <f>IF($G65="s-curve",$E65+($F65-$E65)*$L$2/(1+EXP($L$3*(COUNT($L$9:AS$9)+$L$4))),TREND($E65:$F65,$E$9:$F$9,AS$9))</f>
        <v>0</v>
      </c>
      <c r="AT65" s="36">
        <f>IF($G65="s-curve",$E65+($F65-$E65)*$L$2/(1+EXP($L$3*(COUNT($L$9:AT$9)+$L$4))),TREND($E65:$F65,$E$9:$F$9,AT$9))</f>
        <v>0</v>
      </c>
      <c r="AU65" s="36">
        <f>IF($G65="s-curve",$E65+($F65-$E65)*$L$2/(1+EXP($L$3*(COUNT($L$9:AU$9)+$L$4))),TREND($E65:$F65,$E$9:$F$9,AU$9))</f>
        <v>0</v>
      </c>
      <c r="AV65" s="36">
        <f>IF($G65="s-curve",$E65+($F65-$E65)*$L$2/(1+EXP($L$3*(COUNT($L$9:AV$9)+$L$4))),TREND($E65:$F65,$E$9:$F$9,AV$9))</f>
        <v>0</v>
      </c>
      <c r="AW65" s="36">
        <f>IF($G65="s-curve",$E65+($F65-$E65)*$L$2/(1+EXP($L$3*(COUNT($L$9:AW$9)+$L$4))),TREND($E65:$F65,$E$9:$F$9,AW$9))</f>
        <v>0</v>
      </c>
      <c r="AX65" s="36">
        <f>IF($G65="s-curve",$E65+($F65-$E65)*$L$2/(1+EXP($L$3*(COUNT($L$9:AX$9)+$L$4))),TREND($E65:$F65,$E$9:$F$9,AX$9))</f>
        <v>0</v>
      </c>
      <c r="AY65" s="36">
        <f>IF($G65="s-curve",$E65+($F65-$E65)*$L$2/(1+EXP($L$3*(COUNT($L$9:AY$9)+$L$4))),TREND($E65:$F65,$E$9:$F$9,AY$9))</f>
        <v>0</v>
      </c>
      <c r="AZ65" s="36">
        <f>IF($G65="s-curve",$E65+($F65-$E65)*$L$2/(1+EXP($L$3*(COUNT($L$9:AZ$9)+$L$4))),TREND($E65:$F65,$E$9:$F$9,AZ$9))</f>
        <v>0</v>
      </c>
      <c r="BA65" s="36">
        <f>IF($G65="s-curve",$E65+($F65-$E65)*$L$2/(1+EXP($L$3*(COUNT($L$9:BA$9)+$L$4))),TREND($E65:$F65,$E$9:$F$9,BA$9))</f>
        <v>0</v>
      </c>
      <c r="BB65" s="36">
        <f>IF($G65="s-curve",$E65+($F65-$E65)*$L$2/(1+EXP($L$3*(COUNT($L$9:BB$9)+$L$4))),TREND($E65:$F65,$E$9:$F$9,BB$9))</f>
        <v>0</v>
      </c>
      <c r="BC65" s="36">
        <f>IF($G65="s-curve",$E65+($F65-$E65)*$L$2/(1+EXP($L$3*(COUNT($L$9:BC$9)+$L$4))),TREND($E65:$F65,$E$9:$F$9,BC$9))</f>
        <v>0</v>
      </c>
      <c r="BD65" s="36">
        <f>IF($G65="s-curve",$E65+($F65-$E65)*$L$2/(1+EXP($L$3*(COUNT($L$9:BD$9)+$L$4))),TREND($E65:$F65,$E$9:$F$9,BD$9))</f>
        <v>0</v>
      </c>
      <c r="BE65" s="36">
        <f>IF($G65="s-curve",$E65+($F65-$E65)*$L$2/(1+EXP($L$3*(COUNT($L$9:BE$9)+$L$4))),TREND($E65:$F65,$E$9:$F$9,BE$9))</f>
        <v>0</v>
      </c>
      <c r="BF65" s="36">
        <f>IF($G65="s-curve",$E65+($F65-$E65)*$L$2/(1+EXP($L$3*(COUNT($L$9:BF$9)+$L$4))),TREND($E65:$F65,$E$9:$F$9,BF$9))</f>
        <v>0</v>
      </c>
    </row>
    <row r="66" spans="1:5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H66" s="33"/>
      <c r="I66">
        <f t="shared" si="22"/>
        <v>0</v>
      </c>
      <c r="J66">
        <f t="shared" si="22"/>
        <v>0</v>
      </c>
      <c r="K66">
        <f t="shared" si="22"/>
        <v>0</v>
      </c>
      <c r="L66" s="36">
        <f t="shared" si="30"/>
        <v>0</v>
      </c>
      <c r="M66" s="36">
        <f>IF($G66="s-curve",$E66+($F66-$E66)*$L$2/(1+EXP($L$3*(COUNT($L$9:M$9)+$L$4))),TREND($E66:$F66,$E$9:$F$9,M$9))</f>
        <v>0</v>
      </c>
      <c r="N66" s="36">
        <f>IF($G66="s-curve",$E66+($F66-$E66)*$L$2/(1+EXP($L$3*(COUNT($L$9:N$9)+$L$4))),TREND($E66:$F66,$E$9:$F$9,N$9))</f>
        <v>0</v>
      </c>
      <c r="O66" s="36">
        <f>IF($G66="s-curve",$E66+($F66-$E66)*$L$2/(1+EXP($L$3*(COUNT($L$9:O$9)+$L$4))),TREND($E66:$F66,$E$9:$F$9,O$9))</f>
        <v>0</v>
      </c>
      <c r="P66" s="36">
        <f>IF($G66="s-curve",$E66+($F66-$E66)*$L$2/(1+EXP($L$3*(COUNT($L$9:P$9)+$L$4))),TREND($E66:$F66,$E$9:$F$9,P$9))</f>
        <v>0</v>
      </c>
      <c r="Q66" s="36">
        <f>IF($G66="s-curve",$E66+($F66-$E66)*$L$2/(1+EXP($L$3*(COUNT($L$9:Q$9)+$L$4))),TREND($E66:$F66,$E$9:$F$9,Q$9))</f>
        <v>0</v>
      </c>
      <c r="R66" s="36">
        <f>IF($G66="s-curve",$E66+($F66-$E66)*$L$2/(1+EXP($L$3*(COUNT($L$9:R$9)+$L$4))),TREND($E66:$F66,$E$9:$F$9,R$9))</f>
        <v>0</v>
      </c>
      <c r="S66" s="36">
        <f>IF($G66="s-curve",$E66+($F66-$E66)*$L$2/(1+EXP($L$3*(COUNT($L$9:S$9)+$L$4))),TREND($E66:$F66,$E$9:$F$9,S$9))</f>
        <v>0</v>
      </c>
      <c r="T66" s="36">
        <f>IF($G66="s-curve",$E66+($F66-$E66)*$L$2/(1+EXP($L$3*(COUNT($L$9:T$9)+$L$4))),TREND($E66:$F66,$E$9:$F$9,T$9))</f>
        <v>0</v>
      </c>
      <c r="U66" s="36">
        <f>IF($G66="s-curve",$E66+($F66-$E66)*$L$2/(1+EXP($L$3*(COUNT($L$9:U$9)+$L$4))),TREND($E66:$F66,$E$9:$F$9,U$9))</f>
        <v>0</v>
      </c>
      <c r="V66" s="36">
        <f>IF($G66="s-curve",$E66+($F66-$E66)*$L$2/(1+EXP($L$3*(COUNT($L$9:V$9)+$L$4))),TREND($E66:$F66,$E$9:$F$9,V$9))</f>
        <v>0</v>
      </c>
      <c r="W66" s="36">
        <f>IF($G66="s-curve",$E66+($F66-$E66)*$L$2/(1+EXP($L$3*(COUNT($L$9:W$9)+$L$4))),TREND($E66:$F66,$E$9:$F$9,W$9))</f>
        <v>0</v>
      </c>
      <c r="X66" s="36">
        <f>IF($G66="s-curve",$E66+($F66-$E66)*$L$2/(1+EXP($L$3*(COUNT($L$9:X$9)+$L$4))),TREND($E66:$F66,$E$9:$F$9,X$9))</f>
        <v>0</v>
      </c>
      <c r="Y66" s="36">
        <f>IF($G66="s-curve",$E66+($F66-$E66)*$L$2/(1+EXP($L$3*(COUNT($L$9:Y$9)+$L$4))),TREND($E66:$F66,$E$9:$F$9,Y$9))</f>
        <v>0</v>
      </c>
      <c r="Z66" s="36">
        <f>IF($G66="s-curve",$E66+($F66-$E66)*$L$2/(1+EXP($L$3*(COUNT($L$9:Z$9)+$L$4))),TREND($E66:$F66,$E$9:$F$9,Z$9))</f>
        <v>0</v>
      </c>
      <c r="AA66" s="36">
        <f>IF($G66="s-curve",$E66+($F66-$E66)*$L$2/(1+EXP($L$3*(COUNT($L$9:AA$9)+$L$4))),TREND($E66:$F66,$E$9:$F$9,AA$9))</f>
        <v>0</v>
      </c>
      <c r="AB66" s="36">
        <f>IF($G66="s-curve",$E66+($F66-$E66)*$L$2/(1+EXP($L$3*(COUNT($L$9:AB$9)+$L$4))),TREND($E66:$F66,$E$9:$F$9,AB$9))</f>
        <v>0</v>
      </c>
      <c r="AC66" s="36">
        <f>IF($G66="s-curve",$E66+($F66-$E66)*$L$2/(1+EXP($L$3*(COUNT($L$9:AC$9)+$L$4))),TREND($E66:$F66,$E$9:$F$9,AC$9))</f>
        <v>0</v>
      </c>
      <c r="AD66" s="36">
        <f>IF($G66="s-curve",$E66+($F66-$E66)*$L$2/(1+EXP($L$3*(COUNT($L$9:AD$9)+$L$4))),TREND($E66:$F66,$E$9:$F$9,AD$9))</f>
        <v>0</v>
      </c>
      <c r="AE66" s="36">
        <f>IF($G66="s-curve",$E66+($F66-$E66)*$L$2/(1+EXP($L$3*(COUNT($L$9:AE$9)+$L$4))),TREND($E66:$F66,$E$9:$F$9,AE$9))</f>
        <v>0</v>
      </c>
      <c r="AF66" s="36">
        <f>IF($G66="s-curve",$E66+($F66-$E66)*$L$2/(1+EXP($L$3*(COUNT($L$9:AF$9)+$L$4))),TREND($E66:$F66,$E$9:$F$9,AF$9))</f>
        <v>0</v>
      </c>
      <c r="AG66" s="36">
        <f>IF($G66="s-curve",$E66+($F66-$E66)*$L$2/(1+EXP($L$3*(COUNT($L$9:AG$9)+$L$4))),TREND($E66:$F66,$E$9:$F$9,AG$9))</f>
        <v>0</v>
      </c>
      <c r="AH66" s="36">
        <f>IF($G66="s-curve",$E66+($F66-$E66)*$L$2/(1+EXP($L$3*(COUNT($L$9:AH$9)+$L$4))),TREND($E66:$F66,$E$9:$F$9,AH$9))</f>
        <v>0</v>
      </c>
      <c r="AI66" s="36">
        <f>IF($G66="s-curve",$E66+($F66-$E66)*$L$2/(1+EXP($L$3*(COUNT($L$9:AI$9)+$L$4))),TREND($E66:$F66,$E$9:$F$9,AI$9))</f>
        <v>0</v>
      </c>
      <c r="AJ66" s="36">
        <f>IF($G66="s-curve",$E66+($F66-$E66)*$L$2/(1+EXP($L$3*(COUNT($L$9:AJ$9)+$L$4))),TREND($E66:$F66,$E$9:$F$9,AJ$9))</f>
        <v>0</v>
      </c>
      <c r="AK66" s="36">
        <f>IF($G66="s-curve",$E66+($F66-$E66)*$L$2/(1+EXP($L$3*(COUNT($L$9:AK$9)+$L$4))),TREND($E66:$F66,$E$9:$F$9,AK$9))</f>
        <v>0</v>
      </c>
      <c r="AL66" s="36">
        <f>IF($G66="s-curve",$E66+($F66-$E66)*$L$2/(1+EXP($L$3*(COUNT($L$9:AL$9)+$L$4))),TREND($E66:$F66,$E$9:$F$9,AL$9))</f>
        <v>0</v>
      </c>
      <c r="AM66" s="36">
        <f>IF($G66="s-curve",$E66+($F66-$E66)*$L$2/(1+EXP($L$3*(COUNT($L$9:AM$9)+$L$4))),TREND($E66:$F66,$E$9:$F$9,AM$9))</f>
        <v>0</v>
      </c>
      <c r="AN66" s="36">
        <f>IF($G66="s-curve",$E66+($F66-$E66)*$L$2/(1+EXP($L$3*(COUNT($L$9:AN$9)+$L$4))),TREND($E66:$F66,$E$9:$F$9,AN$9))</f>
        <v>0</v>
      </c>
      <c r="AO66" s="36">
        <f>IF($G66="s-curve",$E66+($F66-$E66)*$L$2/(1+EXP($L$3*(COUNT($L$9:AO$9)+$L$4))),TREND($E66:$F66,$E$9:$F$9,AO$9))</f>
        <v>0</v>
      </c>
      <c r="AP66" s="36">
        <f>IF($G66="s-curve",$E66+($F66-$E66)*$L$2/(1+EXP($L$3*(COUNT($L$9:AP$9)+$L$4))),TREND($E66:$F66,$E$9:$F$9,AP$9))</f>
        <v>0</v>
      </c>
      <c r="AQ66" s="36">
        <f>IF($G66="s-curve",$E66+($F66-$E66)*$L$2/(1+EXP($L$3*(COUNT($L$9:AQ$9)+$L$4))),TREND($E66:$F66,$E$9:$F$9,AQ$9))</f>
        <v>0</v>
      </c>
      <c r="AR66" s="36">
        <f>IF($G66="s-curve",$E66+($F66-$E66)*$L$2/(1+EXP($L$3*(COUNT($L$9:AR$9)+$L$4))),TREND($E66:$F66,$E$9:$F$9,AR$9))</f>
        <v>0</v>
      </c>
      <c r="AS66" s="36">
        <f>IF($G66="s-curve",$E66+($F66-$E66)*$L$2/(1+EXP($L$3*(COUNT($L$9:AS$9)+$L$4))),TREND($E66:$F66,$E$9:$F$9,AS$9))</f>
        <v>0</v>
      </c>
      <c r="AT66" s="36">
        <f>IF($G66="s-curve",$E66+($F66-$E66)*$L$2/(1+EXP($L$3*(COUNT($L$9:AT$9)+$L$4))),TREND($E66:$F66,$E$9:$F$9,AT$9))</f>
        <v>0</v>
      </c>
      <c r="AU66" s="36">
        <f>IF($G66="s-curve",$E66+($F66-$E66)*$L$2/(1+EXP($L$3*(COUNT($L$9:AU$9)+$L$4))),TREND($E66:$F66,$E$9:$F$9,AU$9))</f>
        <v>0</v>
      </c>
      <c r="AV66" s="36">
        <f>IF($G66="s-curve",$E66+($F66-$E66)*$L$2/(1+EXP($L$3*(COUNT($L$9:AV$9)+$L$4))),TREND($E66:$F66,$E$9:$F$9,AV$9))</f>
        <v>0</v>
      </c>
      <c r="AW66" s="36">
        <f>IF($G66="s-curve",$E66+($F66-$E66)*$L$2/(1+EXP($L$3*(COUNT($L$9:AW$9)+$L$4))),TREND($E66:$F66,$E$9:$F$9,AW$9))</f>
        <v>0</v>
      </c>
      <c r="AX66" s="36">
        <f>IF($G66="s-curve",$E66+($F66-$E66)*$L$2/(1+EXP($L$3*(COUNT($L$9:AX$9)+$L$4))),TREND($E66:$F66,$E$9:$F$9,AX$9))</f>
        <v>0</v>
      </c>
      <c r="AY66" s="36">
        <f>IF($G66="s-curve",$E66+($F66-$E66)*$L$2/(1+EXP($L$3*(COUNT($L$9:AY$9)+$L$4))),TREND($E66:$F66,$E$9:$F$9,AY$9))</f>
        <v>0</v>
      </c>
      <c r="AZ66" s="36">
        <f>IF($G66="s-curve",$E66+($F66-$E66)*$L$2/(1+EXP($L$3*(COUNT($L$9:AZ$9)+$L$4))),TREND($E66:$F66,$E$9:$F$9,AZ$9))</f>
        <v>0</v>
      </c>
      <c r="BA66" s="36">
        <f>IF($G66="s-curve",$E66+($F66-$E66)*$L$2/(1+EXP($L$3*(COUNT($L$9:BA$9)+$L$4))),TREND($E66:$F66,$E$9:$F$9,BA$9))</f>
        <v>0</v>
      </c>
      <c r="BB66" s="36">
        <f>IF($G66="s-curve",$E66+($F66-$E66)*$L$2/(1+EXP($L$3*(COUNT($L$9:BB$9)+$L$4))),TREND($E66:$F66,$E$9:$F$9,BB$9))</f>
        <v>0</v>
      </c>
      <c r="BC66" s="36">
        <f>IF($G66="s-curve",$E66+($F66-$E66)*$L$2/(1+EXP($L$3*(COUNT($L$9:BC$9)+$L$4))),TREND($E66:$F66,$E$9:$F$9,BC$9))</f>
        <v>0</v>
      </c>
      <c r="BD66" s="36">
        <f>IF($G66="s-curve",$E66+($F66-$E66)*$L$2/(1+EXP($L$3*(COUNT($L$9:BD$9)+$L$4))),TREND($E66:$F66,$E$9:$F$9,BD$9))</f>
        <v>0</v>
      </c>
      <c r="BE66" s="36">
        <f>IF($G66="s-curve",$E66+($F66-$E66)*$L$2/(1+EXP($L$3*(COUNT($L$9:BE$9)+$L$4))),TREND($E66:$F66,$E$9:$F$9,BE$9))</f>
        <v>0</v>
      </c>
      <c r="BF66" s="36">
        <f>IF($G66="s-curve",$E66+($F66-$E66)*$L$2/(1+EXP($L$3*(COUNT($L$9:BF$9)+$L$4))),TREND($E66:$F66,$E$9:$F$9,BF$9))</f>
        <v>0</v>
      </c>
    </row>
    <row r="67" spans="1:58" x14ac:dyDescent="0.25">
      <c r="C67" t="s">
        <v>2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H67" s="33"/>
      <c r="I67">
        <f t="shared" si="22"/>
        <v>0</v>
      </c>
      <c r="J67">
        <f t="shared" si="22"/>
        <v>0</v>
      </c>
      <c r="K67">
        <f t="shared" si="22"/>
        <v>0</v>
      </c>
      <c r="L67" s="36">
        <f t="shared" si="30"/>
        <v>0</v>
      </c>
      <c r="M67" s="36">
        <f>IF($G67="s-curve",$E67+($F67-$E67)*$L$2/(1+EXP($L$3*(COUNT($L$9:M$9)+$L$4))),TREND($E67:$F67,$E$9:$F$9,M$9))</f>
        <v>0</v>
      </c>
      <c r="N67" s="36">
        <f>IF($G67="s-curve",$E67+($F67-$E67)*$L$2/(1+EXP($L$3*(COUNT($L$9:N$9)+$L$4))),TREND($E67:$F67,$E$9:$F$9,N$9))</f>
        <v>0</v>
      </c>
      <c r="O67" s="36">
        <f>IF($G67="s-curve",$E67+($F67-$E67)*$L$2/(1+EXP($L$3*(COUNT($L$9:O$9)+$L$4))),TREND($E67:$F67,$E$9:$F$9,O$9))</f>
        <v>0</v>
      </c>
      <c r="P67" s="36">
        <f>IF($G67="s-curve",$E67+($F67-$E67)*$L$2/(1+EXP($L$3*(COUNT($L$9:P$9)+$L$4))),TREND($E67:$F67,$E$9:$F$9,P$9))</f>
        <v>0</v>
      </c>
      <c r="Q67" s="36">
        <f>IF($G67="s-curve",$E67+($F67-$E67)*$L$2/(1+EXP($L$3*(COUNT($L$9:Q$9)+$L$4))),TREND($E67:$F67,$E$9:$F$9,Q$9))</f>
        <v>0</v>
      </c>
      <c r="R67" s="36">
        <f>IF($G67="s-curve",$E67+($F67-$E67)*$L$2/(1+EXP($L$3*(COUNT($L$9:R$9)+$L$4))),TREND($E67:$F67,$E$9:$F$9,R$9))</f>
        <v>0</v>
      </c>
      <c r="S67" s="36">
        <f>IF($G67="s-curve",$E67+($F67-$E67)*$L$2/(1+EXP($L$3*(COUNT($L$9:S$9)+$L$4))),TREND($E67:$F67,$E$9:$F$9,S$9))</f>
        <v>0</v>
      </c>
      <c r="T67" s="36">
        <f>IF($G67="s-curve",$E67+($F67-$E67)*$L$2/(1+EXP($L$3*(COUNT($L$9:T$9)+$L$4))),TREND($E67:$F67,$E$9:$F$9,T$9))</f>
        <v>0</v>
      </c>
      <c r="U67" s="36">
        <f>IF($G67="s-curve",$E67+($F67-$E67)*$L$2/(1+EXP($L$3*(COUNT($L$9:U$9)+$L$4))),TREND($E67:$F67,$E$9:$F$9,U$9))</f>
        <v>0</v>
      </c>
      <c r="V67" s="36">
        <f>IF($G67="s-curve",$E67+($F67-$E67)*$L$2/(1+EXP($L$3*(COUNT($L$9:V$9)+$L$4))),TREND($E67:$F67,$E$9:$F$9,V$9))</f>
        <v>0</v>
      </c>
      <c r="W67" s="36">
        <f>IF($G67="s-curve",$E67+($F67-$E67)*$L$2/(1+EXP($L$3*(COUNT($L$9:W$9)+$L$4))),TREND($E67:$F67,$E$9:$F$9,W$9))</f>
        <v>0</v>
      </c>
      <c r="X67" s="36">
        <f>IF($G67="s-curve",$E67+($F67-$E67)*$L$2/(1+EXP($L$3*(COUNT($L$9:X$9)+$L$4))),TREND($E67:$F67,$E$9:$F$9,X$9))</f>
        <v>0</v>
      </c>
      <c r="Y67" s="36">
        <f>IF($G67="s-curve",$E67+($F67-$E67)*$L$2/(1+EXP($L$3*(COUNT($L$9:Y$9)+$L$4))),TREND($E67:$F67,$E$9:$F$9,Y$9))</f>
        <v>0</v>
      </c>
      <c r="Z67" s="36">
        <f>IF($G67="s-curve",$E67+($F67-$E67)*$L$2/(1+EXP($L$3*(COUNT($L$9:Z$9)+$L$4))),TREND($E67:$F67,$E$9:$F$9,Z$9))</f>
        <v>0</v>
      </c>
      <c r="AA67" s="36">
        <f>IF($G67="s-curve",$E67+($F67-$E67)*$L$2/(1+EXP($L$3*(COUNT($L$9:AA$9)+$L$4))),TREND($E67:$F67,$E$9:$F$9,AA$9))</f>
        <v>0</v>
      </c>
      <c r="AB67" s="36">
        <f>IF($G67="s-curve",$E67+($F67-$E67)*$L$2/(1+EXP($L$3*(COUNT($L$9:AB$9)+$L$4))),TREND($E67:$F67,$E$9:$F$9,AB$9))</f>
        <v>0</v>
      </c>
      <c r="AC67" s="36">
        <f>IF($G67="s-curve",$E67+($F67-$E67)*$L$2/(1+EXP($L$3*(COUNT($L$9:AC$9)+$L$4))),TREND($E67:$F67,$E$9:$F$9,AC$9))</f>
        <v>0</v>
      </c>
      <c r="AD67" s="36">
        <f>IF($G67="s-curve",$E67+($F67-$E67)*$L$2/(1+EXP($L$3*(COUNT($L$9:AD$9)+$L$4))),TREND($E67:$F67,$E$9:$F$9,AD$9))</f>
        <v>0</v>
      </c>
      <c r="AE67" s="36">
        <f>IF($G67="s-curve",$E67+($F67-$E67)*$L$2/(1+EXP($L$3*(COUNT($L$9:AE$9)+$L$4))),TREND($E67:$F67,$E$9:$F$9,AE$9))</f>
        <v>0</v>
      </c>
      <c r="AF67" s="36">
        <f>IF($G67="s-curve",$E67+($F67-$E67)*$L$2/(1+EXP($L$3*(COUNT($L$9:AF$9)+$L$4))),TREND($E67:$F67,$E$9:$F$9,AF$9))</f>
        <v>0</v>
      </c>
      <c r="AG67" s="36">
        <f>IF($G67="s-curve",$E67+($F67-$E67)*$L$2/(1+EXP($L$3*(COUNT($L$9:AG$9)+$L$4))),TREND($E67:$F67,$E$9:$F$9,AG$9))</f>
        <v>0</v>
      </c>
      <c r="AH67" s="36">
        <f>IF($G67="s-curve",$E67+($F67-$E67)*$L$2/(1+EXP($L$3*(COUNT($L$9:AH$9)+$L$4))),TREND($E67:$F67,$E$9:$F$9,AH$9))</f>
        <v>0</v>
      </c>
      <c r="AI67" s="36">
        <f>IF($G67="s-curve",$E67+($F67-$E67)*$L$2/(1+EXP($L$3*(COUNT($L$9:AI$9)+$L$4))),TREND($E67:$F67,$E$9:$F$9,AI$9))</f>
        <v>0</v>
      </c>
      <c r="AJ67" s="36">
        <f>IF($G67="s-curve",$E67+($F67-$E67)*$L$2/(1+EXP($L$3*(COUNT($L$9:AJ$9)+$L$4))),TREND($E67:$F67,$E$9:$F$9,AJ$9))</f>
        <v>0</v>
      </c>
      <c r="AK67" s="36">
        <f>IF($G67="s-curve",$E67+($F67-$E67)*$L$2/(1+EXP($L$3*(COUNT($L$9:AK$9)+$L$4))),TREND($E67:$F67,$E$9:$F$9,AK$9))</f>
        <v>0</v>
      </c>
      <c r="AL67" s="36">
        <f>IF($G67="s-curve",$E67+($F67-$E67)*$L$2/(1+EXP($L$3*(COUNT($L$9:AL$9)+$L$4))),TREND($E67:$F67,$E$9:$F$9,AL$9))</f>
        <v>0</v>
      </c>
      <c r="AM67" s="36">
        <f>IF($G67="s-curve",$E67+($F67-$E67)*$L$2/(1+EXP($L$3*(COUNT($L$9:AM$9)+$L$4))),TREND($E67:$F67,$E$9:$F$9,AM$9))</f>
        <v>0</v>
      </c>
      <c r="AN67" s="36">
        <f>IF($G67="s-curve",$E67+($F67-$E67)*$L$2/(1+EXP($L$3*(COUNT($L$9:AN$9)+$L$4))),TREND($E67:$F67,$E$9:$F$9,AN$9))</f>
        <v>0</v>
      </c>
      <c r="AO67" s="36">
        <f>IF($G67="s-curve",$E67+($F67-$E67)*$L$2/(1+EXP($L$3*(COUNT($L$9:AO$9)+$L$4))),TREND($E67:$F67,$E$9:$F$9,AO$9))</f>
        <v>0</v>
      </c>
      <c r="AP67" s="36">
        <f>IF($G67="s-curve",$E67+($F67-$E67)*$L$2/(1+EXP($L$3*(COUNT($L$9:AP$9)+$L$4))),TREND($E67:$F67,$E$9:$F$9,AP$9))</f>
        <v>0</v>
      </c>
      <c r="AQ67" s="36">
        <f>IF($G67="s-curve",$E67+($F67-$E67)*$L$2/(1+EXP($L$3*(COUNT($L$9:AQ$9)+$L$4))),TREND($E67:$F67,$E$9:$F$9,AQ$9))</f>
        <v>0</v>
      </c>
      <c r="AR67" s="36">
        <f>IF($G67="s-curve",$E67+($F67-$E67)*$L$2/(1+EXP($L$3*(COUNT($L$9:AR$9)+$L$4))),TREND($E67:$F67,$E$9:$F$9,AR$9))</f>
        <v>0</v>
      </c>
      <c r="AS67" s="36">
        <f>IF($G67="s-curve",$E67+($F67-$E67)*$L$2/(1+EXP($L$3*(COUNT($L$9:AS$9)+$L$4))),TREND($E67:$F67,$E$9:$F$9,AS$9))</f>
        <v>0</v>
      </c>
      <c r="AT67" s="36">
        <f>IF($G67="s-curve",$E67+($F67-$E67)*$L$2/(1+EXP($L$3*(COUNT($L$9:AT$9)+$L$4))),TREND($E67:$F67,$E$9:$F$9,AT$9))</f>
        <v>0</v>
      </c>
      <c r="AU67" s="36">
        <f>IF($G67="s-curve",$E67+($F67-$E67)*$L$2/(1+EXP($L$3*(COUNT($L$9:AU$9)+$L$4))),TREND($E67:$F67,$E$9:$F$9,AU$9))</f>
        <v>0</v>
      </c>
      <c r="AV67" s="36">
        <f>IF($G67="s-curve",$E67+($F67-$E67)*$L$2/(1+EXP($L$3*(COUNT($L$9:AV$9)+$L$4))),TREND($E67:$F67,$E$9:$F$9,AV$9))</f>
        <v>0</v>
      </c>
      <c r="AW67" s="36">
        <f>IF($G67="s-curve",$E67+($F67-$E67)*$L$2/(1+EXP($L$3*(COUNT($L$9:AW$9)+$L$4))),TREND($E67:$F67,$E$9:$F$9,AW$9))</f>
        <v>0</v>
      </c>
      <c r="AX67" s="36">
        <f>IF($G67="s-curve",$E67+($F67-$E67)*$L$2/(1+EXP($L$3*(COUNT($L$9:AX$9)+$L$4))),TREND($E67:$F67,$E$9:$F$9,AX$9))</f>
        <v>0</v>
      </c>
      <c r="AY67" s="36">
        <f>IF($G67="s-curve",$E67+($F67-$E67)*$L$2/(1+EXP($L$3*(COUNT($L$9:AY$9)+$L$4))),TREND($E67:$F67,$E$9:$F$9,AY$9))</f>
        <v>0</v>
      </c>
      <c r="AZ67" s="36">
        <f>IF($G67="s-curve",$E67+($F67-$E67)*$L$2/(1+EXP($L$3*(COUNT($L$9:AZ$9)+$L$4))),TREND($E67:$F67,$E$9:$F$9,AZ$9))</f>
        <v>0</v>
      </c>
      <c r="BA67" s="36">
        <f>IF($G67="s-curve",$E67+($F67-$E67)*$L$2/(1+EXP($L$3*(COUNT($L$9:BA$9)+$L$4))),TREND($E67:$F67,$E$9:$F$9,BA$9))</f>
        <v>0</v>
      </c>
      <c r="BB67" s="36">
        <f>IF($G67="s-curve",$E67+($F67-$E67)*$L$2/(1+EXP($L$3*(COUNT($L$9:BB$9)+$L$4))),TREND($E67:$F67,$E$9:$F$9,BB$9))</f>
        <v>0</v>
      </c>
      <c r="BC67" s="36">
        <f>IF($G67="s-curve",$E67+($F67-$E67)*$L$2/(1+EXP($L$3*(COUNT($L$9:BC$9)+$L$4))),TREND($E67:$F67,$E$9:$F$9,BC$9))</f>
        <v>0</v>
      </c>
      <c r="BD67" s="36">
        <f>IF($G67="s-curve",$E67+($F67-$E67)*$L$2/(1+EXP($L$3*(COUNT($L$9:BD$9)+$L$4))),TREND($E67:$F67,$E$9:$F$9,BD$9))</f>
        <v>0</v>
      </c>
      <c r="BE67" s="36">
        <f>IF($G67="s-curve",$E67+($F67-$E67)*$L$2/(1+EXP($L$3*(COUNT($L$9:BE$9)+$L$4))),TREND($E67:$F67,$E$9:$F$9,BE$9))</f>
        <v>0</v>
      </c>
      <c r="BF67" s="36">
        <f>IF($G67="s-curve",$E67+($F67-$E67)*$L$2/(1+EXP($L$3*(COUNT($L$9:BF$9)+$L$4))),TREND($E67:$F67,$E$9:$F$9,BF$9))</f>
        <v>0</v>
      </c>
    </row>
    <row r="68" spans="1:58" x14ac:dyDescent="0.25">
      <c r="C68" t="s">
        <v>3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H68" s="33"/>
      <c r="I68">
        <f t="shared" si="22"/>
        <v>0</v>
      </c>
      <c r="J68">
        <f t="shared" si="22"/>
        <v>0</v>
      </c>
      <c r="K68">
        <f t="shared" si="22"/>
        <v>0</v>
      </c>
      <c r="L68" s="36">
        <f t="shared" si="30"/>
        <v>0</v>
      </c>
      <c r="M68" s="36">
        <f>IF($G68="s-curve",$E68+($F68-$E68)*$L$2/(1+EXP($L$3*(COUNT($L$9:M$9)+$L$4))),TREND($E68:$F68,$E$9:$F$9,M$9))</f>
        <v>0</v>
      </c>
      <c r="N68" s="36">
        <f>IF($G68="s-curve",$E68+($F68-$E68)*$L$2/(1+EXP($L$3*(COUNT($L$9:N$9)+$L$4))),TREND($E68:$F68,$E$9:$F$9,N$9))</f>
        <v>0</v>
      </c>
      <c r="O68" s="36">
        <f>IF($G68="s-curve",$E68+($F68-$E68)*$L$2/(1+EXP($L$3*(COUNT($L$9:O$9)+$L$4))),TREND($E68:$F68,$E$9:$F$9,O$9))</f>
        <v>0</v>
      </c>
      <c r="P68" s="36">
        <f>IF($G68="s-curve",$E68+($F68-$E68)*$L$2/(1+EXP($L$3*(COUNT($L$9:P$9)+$L$4))),TREND($E68:$F68,$E$9:$F$9,P$9))</f>
        <v>0</v>
      </c>
      <c r="Q68" s="36">
        <f>IF($G68="s-curve",$E68+($F68-$E68)*$L$2/(1+EXP($L$3*(COUNT($L$9:Q$9)+$L$4))),TREND($E68:$F68,$E$9:$F$9,Q$9))</f>
        <v>0</v>
      </c>
      <c r="R68" s="36">
        <f>IF($G68="s-curve",$E68+($F68-$E68)*$L$2/(1+EXP($L$3*(COUNT($L$9:R$9)+$L$4))),TREND($E68:$F68,$E$9:$F$9,R$9))</f>
        <v>0</v>
      </c>
      <c r="S68" s="36">
        <f>IF($G68="s-curve",$E68+($F68-$E68)*$L$2/(1+EXP($L$3*(COUNT($L$9:S$9)+$L$4))),TREND($E68:$F68,$E$9:$F$9,S$9))</f>
        <v>0</v>
      </c>
      <c r="T68" s="36">
        <f>IF($G68="s-curve",$E68+($F68-$E68)*$L$2/(1+EXP($L$3*(COUNT($L$9:T$9)+$L$4))),TREND($E68:$F68,$E$9:$F$9,T$9))</f>
        <v>0</v>
      </c>
      <c r="U68" s="36">
        <f>IF($G68="s-curve",$E68+($F68-$E68)*$L$2/(1+EXP($L$3*(COUNT($L$9:U$9)+$L$4))),TREND($E68:$F68,$E$9:$F$9,U$9))</f>
        <v>0</v>
      </c>
      <c r="V68" s="36">
        <f>IF($G68="s-curve",$E68+($F68-$E68)*$L$2/(1+EXP($L$3*(COUNT($L$9:V$9)+$L$4))),TREND($E68:$F68,$E$9:$F$9,V$9))</f>
        <v>0</v>
      </c>
      <c r="W68" s="36">
        <f>IF($G68="s-curve",$E68+($F68-$E68)*$L$2/(1+EXP($L$3*(COUNT($L$9:W$9)+$L$4))),TREND($E68:$F68,$E$9:$F$9,W$9))</f>
        <v>0</v>
      </c>
      <c r="X68" s="36">
        <f>IF($G68="s-curve",$E68+($F68-$E68)*$L$2/(1+EXP($L$3*(COUNT($L$9:X$9)+$L$4))),TREND($E68:$F68,$E$9:$F$9,X$9))</f>
        <v>0</v>
      </c>
      <c r="Y68" s="36">
        <f>IF($G68="s-curve",$E68+($F68-$E68)*$L$2/(1+EXP($L$3*(COUNT($L$9:Y$9)+$L$4))),TREND($E68:$F68,$E$9:$F$9,Y$9))</f>
        <v>0</v>
      </c>
      <c r="Z68" s="36">
        <f>IF($G68="s-curve",$E68+($F68-$E68)*$L$2/(1+EXP($L$3*(COUNT($L$9:Z$9)+$L$4))),TREND($E68:$F68,$E$9:$F$9,Z$9))</f>
        <v>0</v>
      </c>
      <c r="AA68" s="36">
        <f>IF($G68="s-curve",$E68+($F68-$E68)*$L$2/(1+EXP($L$3*(COUNT($L$9:AA$9)+$L$4))),TREND($E68:$F68,$E$9:$F$9,AA$9))</f>
        <v>0</v>
      </c>
      <c r="AB68" s="36">
        <f>IF($G68="s-curve",$E68+($F68-$E68)*$L$2/(1+EXP($L$3*(COUNT($L$9:AB$9)+$L$4))),TREND($E68:$F68,$E$9:$F$9,AB$9))</f>
        <v>0</v>
      </c>
      <c r="AC68" s="36">
        <f>IF($G68="s-curve",$E68+($F68-$E68)*$L$2/(1+EXP($L$3*(COUNT($L$9:AC$9)+$L$4))),TREND($E68:$F68,$E$9:$F$9,AC$9))</f>
        <v>0</v>
      </c>
      <c r="AD68" s="36">
        <f>IF($G68="s-curve",$E68+($F68-$E68)*$L$2/(1+EXP($L$3*(COUNT($L$9:AD$9)+$L$4))),TREND($E68:$F68,$E$9:$F$9,AD$9))</f>
        <v>0</v>
      </c>
      <c r="AE68" s="36">
        <f>IF($G68="s-curve",$E68+($F68-$E68)*$L$2/(1+EXP($L$3*(COUNT($L$9:AE$9)+$L$4))),TREND($E68:$F68,$E$9:$F$9,AE$9))</f>
        <v>0</v>
      </c>
      <c r="AF68" s="36">
        <f>IF($G68="s-curve",$E68+($F68-$E68)*$L$2/(1+EXP($L$3*(COUNT($L$9:AF$9)+$L$4))),TREND($E68:$F68,$E$9:$F$9,AF$9))</f>
        <v>0</v>
      </c>
      <c r="AG68" s="36">
        <f>IF($G68="s-curve",$E68+($F68-$E68)*$L$2/(1+EXP($L$3*(COUNT($L$9:AG$9)+$L$4))),TREND($E68:$F68,$E$9:$F$9,AG$9))</f>
        <v>0</v>
      </c>
      <c r="AH68" s="36">
        <f>IF($G68="s-curve",$E68+($F68-$E68)*$L$2/(1+EXP($L$3*(COUNT($L$9:AH$9)+$L$4))),TREND($E68:$F68,$E$9:$F$9,AH$9))</f>
        <v>0</v>
      </c>
      <c r="AI68" s="36">
        <f>IF($G68="s-curve",$E68+($F68-$E68)*$L$2/(1+EXP($L$3*(COUNT($L$9:AI$9)+$L$4))),TREND($E68:$F68,$E$9:$F$9,AI$9))</f>
        <v>0</v>
      </c>
      <c r="AJ68" s="36">
        <f>IF($G68="s-curve",$E68+($F68-$E68)*$L$2/(1+EXP($L$3*(COUNT($L$9:AJ$9)+$L$4))),TREND($E68:$F68,$E$9:$F$9,AJ$9))</f>
        <v>0</v>
      </c>
      <c r="AK68" s="36">
        <f>IF($G68="s-curve",$E68+($F68-$E68)*$L$2/(1+EXP($L$3*(COUNT($L$9:AK$9)+$L$4))),TREND($E68:$F68,$E$9:$F$9,AK$9))</f>
        <v>0</v>
      </c>
      <c r="AL68" s="36">
        <f>IF($G68="s-curve",$E68+($F68-$E68)*$L$2/(1+EXP($L$3*(COUNT($L$9:AL$9)+$L$4))),TREND($E68:$F68,$E$9:$F$9,AL$9))</f>
        <v>0</v>
      </c>
      <c r="AM68" s="36">
        <f>IF($G68="s-curve",$E68+($F68-$E68)*$L$2/(1+EXP($L$3*(COUNT($L$9:AM$9)+$L$4))),TREND($E68:$F68,$E$9:$F$9,AM$9))</f>
        <v>0</v>
      </c>
      <c r="AN68" s="36">
        <f>IF($G68="s-curve",$E68+($F68-$E68)*$L$2/(1+EXP($L$3*(COUNT($L$9:AN$9)+$L$4))),TREND($E68:$F68,$E$9:$F$9,AN$9))</f>
        <v>0</v>
      </c>
      <c r="AO68" s="36">
        <f>IF($G68="s-curve",$E68+($F68-$E68)*$L$2/(1+EXP($L$3*(COUNT($L$9:AO$9)+$L$4))),TREND($E68:$F68,$E$9:$F$9,AO$9))</f>
        <v>0</v>
      </c>
      <c r="AP68" s="36">
        <f>IF($G68="s-curve",$E68+($F68-$E68)*$L$2/(1+EXP($L$3*(COUNT($L$9:AP$9)+$L$4))),TREND($E68:$F68,$E$9:$F$9,AP$9))</f>
        <v>0</v>
      </c>
      <c r="AQ68" s="36">
        <f>IF($G68="s-curve",$E68+($F68-$E68)*$L$2/(1+EXP($L$3*(COUNT($L$9:AQ$9)+$L$4))),TREND($E68:$F68,$E$9:$F$9,AQ$9))</f>
        <v>0</v>
      </c>
      <c r="AR68" s="36">
        <f>IF($G68="s-curve",$E68+($F68-$E68)*$L$2/(1+EXP($L$3*(COUNT($L$9:AR$9)+$L$4))),TREND($E68:$F68,$E$9:$F$9,AR$9))</f>
        <v>0</v>
      </c>
      <c r="AS68" s="36">
        <f>IF($G68="s-curve",$E68+($F68-$E68)*$L$2/(1+EXP($L$3*(COUNT($L$9:AS$9)+$L$4))),TREND($E68:$F68,$E$9:$F$9,AS$9))</f>
        <v>0</v>
      </c>
      <c r="AT68" s="36">
        <f>IF($G68="s-curve",$E68+($F68-$E68)*$L$2/(1+EXP($L$3*(COUNT($L$9:AT$9)+$L$4))),TREND($E68:$F68,$E$9:$F$9,AT$9))</f>
        <v>0</v>
      </c>
      <c r="AU68" s="36">
        <f>IF($G68="s-curve",$E68+($F68-$E68)*$L$2/(1+EXP($L$3*(COUNT($L$9:AU$9)+$L$4))),TREND($E68:$F68,$E$9:$F$9,AU$9))</f>
        <v>0</v>
      </c>
      <c r="AV68" s="36">
        <f>IF($G68="s-curve",$E68+($F68-$E68)*$L$2/(1+EXP($L$3*(COUNT($L$9:AV$9)+$L$4))),TREND($E68:$F68,$E$9:$F$9,AV$9))</f>
        <v>0</v>
      </c>
      <c r="AW68" s="36">
        <f>IF($G68="s-curve",$E68+($F68-$E68)*$L$2/(1+EXP($L$3*(COUNT($L$9:AW$9)+$L$4))),TREND($E68:$F68,$E$9:$F$9,AW$9))</f>
        <v>0</v>
      </c>
      <c r="AX68" s="36">
        <f>IF($G68="s-curve",$E68+($F68-$E68)*$L$2/(1+EXP($L$3*(COUNT($L$9:AX$9)+$L$4))),TREND($E68:$F68,$E$9:$F$9,AX$9))</f>
        <v>0</v>
      </c>
      <c r="AY68" s="36">
        <f>IF($G68="s-curve",$E68+($F68-$E68)*$L$2/(1+EXP($L$3*(COUNT($L$9:AY$9)+$L$4))),TREND($E68:$F68,$E$9:$F$9,AY$9))</f>
        <v>0</v>
      </c>
      <c r="AZ68" s="36">
        <f>IF($G68="s-curve",$E68+($F68-$E68)*$L$2/(1+EXP($L$3*(COUNT($L$9:AZ$9)+$L$4))),TREND($E68:$F68,$E$9:$F$9,AZ$9))</f>
        <v>0</v>
      </c>
      <c r="BA68" s="36">
        <f>IF($G68="s-curve",$E68+($F68-$E68)*$L$2/(1+EXP($L$3*(COUNT($L$9:BA$9)+$L$4))),TREND($E68:$F68,$E$9:$F$9,BA$9))</f>
        <v>0</v>
      </c>
      <c r="BB68" s="36">
        <f>IF($G68="s-curve",$E68+($F68-$E68)*$L$2/(1+EXP($L$3*(COUNT($L$9:BB$9)+$L$4))),TREND($E68:$F68,$E$9:$F$9,BB$9))</f>
        <v>0</v>
      </c>
      <c r="BC68" s="36">
        <f>IF($G68="s-curve",$E68+($F68-$E68)*$L$2/(1+EXP($L$3*(COUNT($L$9:BC$9)+$L$4))),TREND($E68:$F68,$E$9:$F$9,BC$9))</f>
        <v>0</v>
      </c>
      <c r="BD68" s="36">
        <f>IF($G68="s-curve",$E68+($F68-$E68)*$L$2/(1+EXP($L$3*(COUNT($L$9:BD$9)+$L$4))),TREND($E68:$F68,$E$9:$F$9,BD$9))</f>
        <v>0</v>
      </c>
      <c r="BE68" s="36">
        <f>IF($G68="s-curve",$E68+($F68-$E68)*$L$2/(1+EXP($L$3*(COUNT($L$9:BE$9)+$L$4))),TREND($E68:$F68,$E$9:$F$9,BE$9))</f>
        <v>0</v>
      </c>
      <c r="BF68" s="36">
        <f>IF($G68="s-curve",$E68+($F68-$E68)*$L$2/(1+EXP($L$3*(COUNT($L$9:BF$9)+$L$4))),TREND($E68:$F68,$E$9:$F$9,BF$9))</f>
        <v>0</v>
      </c>
    </row>
    <row r="69" spans="1:58" x14ac:dyDescent="0.25">
      <c r="C69" t="s">
        <v>4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H69" s="33"/>
      <c r="I69">
        <f t="shared" si="22"/>
        <v>1</v>
      </c>
      <c r="J69">
        <f t="shared" si="22"/>
        <v>1</v>
      </c>
      <c r="K69">
        <f t="shared" si="22"/>
        <v>1</v>
      </c>
      <c r="L69" s="36">
        <f t="shared" si="30"/>
        <v>1</v>
      </c>
      <c r="M69" s="36">
        <f>IF($G69="s-curve",$E69+($F69-$E69)*$L$2/(1+EXP($L$3*(COUNT($L$9:M$9)+$L$4))),TREND($E69:$F69,$E$9:$F$9,M$9))</f>
        <v>1</v>
      </c>
      <c r="N69" s="36">
        <f>IF($G69="s-curve",$E69+($F69-$E69)*$L$2/(1+EXP($L$3*(COUNT($L$9:N$9)+$L$4))),TREND($E69:$F69,$E$9:$F$9,N$9))</f>
        <v>1</v>
      </c>
      <c r="O69" s="36">
        <f>IF($G69="s-curve",$E69+($F69-$E69)*$L$2/(1+EXP($L$3*(COUNT($L$9:O$9)+$L$4))),TREND($E69:$F69,$E$9:$F$9,O$9))</f>
        <v>1</v>
      </c>
      <c r="P69" s="36">
        <f>IF($G69="s-curve",$E69+($F69-$E69)*$L$2/(1+EXP($L$3*(COUNT($L$9:P$9)+$L$4))),TREND($E69:$F69,$E$9:$F$9,P$9))</f>
        <v>1</v>
      </c>
      <c r="Q69" s="36">
        <f>IF($G69="s-curve",$E69+($F69-$E69)*$L$2/(1+EXP($L$3*(COUNT($L$9:Q$9)+$L$4))),TREND($E69:$F69,$E$9:$F$9,Q$9))</f>
        <v>1</v>
      </c>
      <c r="R69" s="36">
        <f>IF($G69="s-curve",$E69+($F69-$E69)*$L$2/(1+EXP($L$3*(COUNT($L$9:R$9)+$L$4))),TREND($E69:$F69,$E$9:$F$9,R$9))</f>
        <v>1</v>
      </c>
      <c r="S69" s="36">
        <f>IF($G69="s-curve",$E69+($F69-$E69)*$L$2/(1+EXP($L$3*(COUNT($L$9:S$9)+$L$4))),TREND($E69:$F69,$E$9:$F$9,S$9))</f>
        <v>1</v>
      </c>
      <c r="T69" s="36">
        <f>IF($G69="s-curve",$E69+($F69-$E69)*$L$2/(1+EXP($L$3*(COUNT($L$9:T$9)+$L$4))),TREND($E69:$F69,$E$9:$F$9,T$9))</f>
        <v>1</v>
      </c>
      <c r="U69" s="36">
        <f>IF($G69="s-curve",$E69+($F69-$E69)*$L$2/(1+EXP($L$3*(COUNT($L$9:U$9)+$L$4))),TREND($E69:$F69,$E$9:$F$9,U$9))</f>
        <v>1</v>
      </c>
      <c r="V69" s="36">
        <f>IF($G69="s-curve",$E69+($F69-$E69)*$L$2/(1+EXP($L$3*(COUNT($L$9:V$9)+$L$4))),TREND($E69:$F69,$E$9:$F$9,V$9))</f>
        <v>1</v>
      </c>
      <c r="W69" s="36">
        <f>IF($G69="s-curve",$E69+($F69-$E69)*$L$2/(1+EXP($L$3*(COUNT($L$9:W$9)+$L$4))),TREND($E69:$F69,$E$9:$F$9,W$9))</f>
        <v>1</v>
      </c>
      <c r="X69" s="36">
        <f>IF($G69="s-curve",$E69+($F69-$E69)*$L$2/(1+EXP($L$3*(COUNT($L$9:X$9)+$L$4))),TREND($E69:$F69,$E$9:$F$9,X$9))</f>
        <v>1</v>
      </c>
      <c r="Y69" s="36">
        <f>IF($G69="s-curve",$E69+($F69-$E69)*$L$2/(1+EXP($L$3*(COUNT($L$9:Y$9)+$L$4))),TREND($E69:$F69,$E$9:$F$9,Y$9))</f>
        <v>1</v>
      </c>
      <c r="Z69" s="36">
        <f>IF($G69="s-curve",$E69+($F69-$E69)*$L$2/(1+EXP($L$3*(COUNT($L$9:Z$9)+$L$4))),TREND($E69:$F69,$E$9:$F$9,Z$9))</f>
        <v>1</v>
      </c>
      <c r="AA69" s="36">
        <f>IF($G69="s-curve",$E69+($F69-$E69)*$L$2/(1+EXP($L$3*(COUNT($L$9:AA$9)+$L$4))),TREND($E69:$F69,$E$9:$F$9,AA$9))</f>
        <v>1</v>
      </c>
      <c r="AB69" s="36">
        <f>IF($G69="s-curve",$E69+($F69-$E69)*$L$2/(1+EXP($L$3*(COUNT($L$9:AB$9)+$L$4))),TREND($E69:$F69,$E$9:$F$9,AB$9))</f>
        <v>1</v>
      </c>
      <c r="AC69" s="36">
        <f>IF($G69="s-curve",$E69+($F69-$E69)*$L$2/(1+EXP($L$3*(COUNT($L$9:AC$9)+$L$4))),TREND($E69:$F69,$E$9:$F$9,AC$9))</f>
        <v>1</v>
      </c>
      <c r="AD69" s="36">
        <f>IF($G69="s-curve",$E69+($F69-$E69)*$L$2/(1+EXP($L$3*(COUNT($L$9:AD$9)+$L$4))),TREND($E69:$F69,$E$9:$F$9,AD$9))</f>
        <v>1</v>
      </c>
      <c r="AE69" s="36">
        <f>IF($G69="s-curve",$E69+($F69-$E69)*$L$2/(1+EXP($L$3*(COUNT($L$9:AE$9)+$L$4))),TREND($E69:$F69,$E$9:$F$9,AE$9))</f>
        <v>1</v>
      </c>
      <c r="AF69" s="36">
        <f>IF($G69="s-curve",$E69+($F69-$E69)*$L$2/(1+EXP($L$3*(COUNT($L$9:AF$9)+$L$4))),TREND($E69:$F69,$E$9:$F$9,AF$9))</f>
        <v>1</v>
      </c>
      <c r="AG69" s="36">
        <f>IF($G69="s-curve",$E69+($F69-$E69)*$L$2/(1+EXP($L$3*(COUNT($L$9:AG$9)+$L$4))),TREND($E69:$F69,$E$9:$F$9,AG$9))</f>
        <v>1</v>
      </c>
      <c r="AH69" s="36">
        <f>IF($G69="s-curve",$E69+($F69-$E69)*$L$2/(1+EXP($L$3*(COUNT($L$9:AH$9)+$L$4))),TREND($E69:$F69,$E$9:$F$9,AH$9))</f>
        <v>1</v>
      </c>
      <c r="AI69" s="36">
        <f>IF($G69="s-curve",$E69+($F69-$E69)*$L$2/(1+EXP($L$3*(COUNT($L$9:AI$9)+$L$4))),TREND($E69:$F69,$E$9:$F$9,AI$9))</f>
        <v>1</v>
      </c>
      <c r="AJ69" s="36">
        <f>IF($G69="s-curve",$E69+($F69-$E69)*$L$2/(1+EXP($L$3*(COUNT($L$9:AJ$9)+$L$4))),TREND($E69:$F69,$E$9:$F$9,AJ$9))</f>
        <v>1</v>
      </c>
      <c r="AK69" s="36">
        <f>IF($G69="s-curve",$E69+($F69-$E69)*$L$2/(1+EXP($L$3*(COUNT($L$9:AK$9)+$L$4))),TREND($E69:$F69,$E$9:$F$9,AK$9))</f>
        <v>1</v>
      </c>
      <c r="AL69" s="36">
        <f>IF($G69="s-curve",$E69+($F69-$E69)*$L$2/(1+EXP($L$3*(COUNT($L$9:AL$9)+$L$4))),TREND($E69:$F69,$E$9:$F$9,AL$9))</f>
        <v>1</v>
      </c>
      <c r="AM69" s="36">
        <f>IF($G69="s-curve",$E69+($F69-$E69)*$L$2/(1+EXP($L$3*(COUNT($L$9:AM$9)+$L$4))),TREND($E69:$F69,$E$9:$F$9,AM$9))</f>
        <v>1</v>
      </c>
      <c r="AN69" s="36">
        <f>IF($G69="s-curve",$E69+($F69-$E69)*$L$2/(1+EXP($L$3*(COUNT($L$9:AN$9)+$L$4))),TREND($E69:$F69,$E$9:$F$9,AN$9))</f>
        <v>1</v>
      </c>
      <c r="AO69" s="36">
        <f>IF($G69="s-curve",$E69+($F69-$E69)*$L$2/(1+EXP($L$3*(COUNT($L$9:AO$9)+$L$4))),TREND($E69:$F69,$E$9:$F$9,AO$9))</f>
        <v>1</v>
      </c>
      <c r="AP69" s="36">
        <f>IF($G69="s-curve",$E69+($F69-$E69)*$L$2/(1+EXP($L$3*(COUNT($L$9:AP$9)+$L$4))),TREND($E69:$F69,$E$9:$F$9,AP$9))</f>
        <v>1</v>
      </c>
      <c r="AQ69" s="36">
        <f>IF($G69="s-curve",$E69+($F69-$E69)*$L$2/(1+EXP($L$3*(COUNT($L$9:AQ$9)+$L$4))),TREND($E69:$F69,$E$9:$F$9,AQ$9))</f>
        <v>1</v>
      </c>
      <c r="AR69" s="36">
        <f>IF($G69="s-curve",$E69+($F69-$E69)*$L$2/(1+EXP($L$3*(COUNT($L$9:AR$9)+$L$4))),TREND($E69:$F69,$E$9:$F$9,AR$9))</f>
        <v>1</v>
      </c>
      <c r="AS69" s="36">
        <f>IF($G69="s-curve",$E69+($F69-$E69)*$L$2/(1+EXP($L$3*(COUNT($L$9:AS$9)+$L$4))),TREND($E69:$F69,$E$9:$F$9,AS$9))</f>
        <v>1</v>
      </c>
      <c r="AT69" s="36">
        <f>IF($G69="s-curve",$E69+($F69-$E69)*$L$2/(1+EXP($L$3*(COUNT($L$9:AT$9)+$L$4))),TREND($E69:$F69,$E$9:$F$9,AT$9))</f>
        <v>1</v>
      </c>
      <c r="AU69" s="36">
        <f>IF($G69="s-curve",$E69+($F69-$E69)*$L$2/(1+EXP($L$3*(COUNT($L$9:AU$9)+$L$4))),TREND($E69:$F69,$E$9:$F$9,AU$9))</f>
        <v>1</v>
      </c>
      <c r="AV69" s="36">
        <f>IF($G69="s-curve",$E69+($F69-$E69)*$L$2/(1+EXP($L$3*(COUNT($L$9:AV$9)+$L$4))),TREND($E69:$F69,$E$9:$F$9,AV$9))</f>
        <v>1</v>
      </c>
      <c r="AW69" s="36">
        <f>IF($G69="s-curve",$E69+($F69-$E69)*$L$2/(1+EXP($L$3*(COUNT($L$9:AW$9)+$L$4))),TREND($E69:$F69,$E$9:$F$9,AW$9))</f>
        <v>1</v>
      </c>
      <c r="AX69" s="36">
        <f>IF($G69="s-curve",$E69+($F69-$E69)*$L$2/(1+EXP($L$3*(COUNT($L$9:AX$9)+$L$4))),TREND($E69:$F69,$E$9:$F$9,AX$9))</f>
        <v>1</v>
      </c>
      <c r="AY69" s="36">
        <f>IF($G69="s-curve",$E69+($F69-$E69)*$L$2/(1+EXP($L$3*(COUNT($L$9:AY$9)+$L$4))),TREND($E69:$F69,$E$9:$F$9,AY$9))</f>
        <v>1</v>
      </c>
      <c r="AZ69" s="36">
        <f>IF($G69="s-curve",$E69+($F69-$E69)*$L$2/(1+EXP($L$3*(COUNT($L$9:AZ$9)+$L$4))),TREND($E69:$F69,$E$9:$F$9,AZ$9))</f>
        <v>1</v>
      </c>
      <c r="BA69" s="36">
        <f>IF($G69="s-curve",$E69+($F69-$E69)*$L$2/(1+EXP($L$3*(COUNT($L$9:BA$9)+$L$4))),TREND($E69:$F69,$E$9:$F$9,BA$9))</f>
        <v>1</v>
      </c>
      <c r="BB69" s="36">
        <f>IF($G69="s-curve",$E69+($F69-$E69)*$L$2/(1+EXP($L$3*(COUNT($L$9:BB$9)+$L$4))),TREND($E69:$F69,$E$9:$F$9,BB$9))</f>
        <v>1</v>
      </c>
      <c r="BC69" s="36">
        <f>IF($G69="s-curve",$E69+($F69-$E69)*$L$2/(1+EXP($L$3*(COUNT($L$9:BC$9)+$L$4))),TREND($E69:$F69,$E$9:$F$9,BC$9))</f>
        <v>1</v>
      </c>
      <c r="BD69" s="36">
        <f>IF($G69="s-curve",$E69+($F69-$E69)*$L$2/(1+EXP($L$3*(COUNT($L$9:BD$9)+$L$4))),TREND($E69:$F69,$E$9:$F$9,BD$9))</f>
        <v>1</v>
      </c>
      <c r="BE69" s="36">
        <f>IF($G69="s-curve",$E69+($F69-$E69)*$L$2/(1+EXP($L$3*(COUNT($L$9:BE$9)+$L$4))),TREND($E69:$F69,$E$9:$F$9,BE$9))</f>
        <v>1</v>
      </c>
      <c r="BF69" s="36">
        <f>IF($G69="s-curve",$E69+($F69-$E69)*$L$2/(1+EXP($L$3*(COUNT($L$9:BF$9)+$L$4))),TREND($E69:$F69,$E$9:$F$9,BF$9))</f>
        <v>1</v>
      </c>
    </row>
    <row r="70" spans="1:58" x14ac:dyDescent="0.25">
      <c r="C70" t="s">
        <v>5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H70" s="33"/>
      <c r="I70">
        <f t="shared" si="22"/>
        <v>0</v>
      </c>
      <c r="J70">
        <f t="shared" si="22"/>
        <v>0</v>
      </c>
      <c r="K70">
        <f t="shared" si="22"/>
        <v>0</v>
      </c>
      <c r="L70" s="36">
        <f t="shared" si="30"/>
        <v>0</v>
      </c>
      <c r="M70" s="36">
        <f>IF($G70="s-curve",$E70+($F70-$E70)*$L$2/(1+EXP($L$3*(COUNT($L$9:M$9)+$L$4))),TREND($E70:$F70,$E$9:$F$9,M$9))</f>
        <v>0</v>
      </c>
      <c r="N70" s="36">
        <f>IF($G70="s-curve",$E70+($F70-$E70)*$L$2/(1+EXP($L$3*(COUNT($L$9:N$9)+$L$4))),TREND($E70:$F70,$E$9:$F$9,N$9))</f>
        <v>0</v>
      </c>
      <c r="O70" s="36">
        <f>IF($G70="s-curve",$E70+($F70-$E70)*$L$2/(1+EXP($L$3*(COUNT($L$9:O$9)+$L$4))),TREND($E70:$F70,$E$9:$F$9,O$9))</f>
        <v>0</v>
      </c>
      <c r="P70" s="36">
        <f>IF($G70="s-curve",$E70+($F70-$E70)*$L$2/(1+EXP($L$3*(COUNT($L$9:P$9)+$L$4))),TREND($E70:$F70,$E$9:$F$9,P$9))</f>
        <v>0</v>
      </c>
      <c r="Q70" s="36">
        <f>IF($G70="s-curve",$E70+($F70-$E70)*$L$2/(1+EXP($L$3*(COUNT($L$9:Q$9)+$L$4))),TREND($E70:$F70,$E$9:$F$9,Q$9))</f>
        <v>0</v>
      </c>
      <c r="R70" s="36">
        <f>IF($G70="s-curve",$E70+($F70-$E70)*$L$2/(1+EXP($L$3*(COUNT($L$9:R$9)+$L$4))),TREND($E70:$F70,$E$9:$F$9,R$9))</f>
        <v>0</v>
      </c>
      <c r="S70" s="36">
        <f>IF($G70="s-curve",$E70+($F70-$E70)*$L$2/(1+EXP($L$3*(COUNT($L$9:S$9)+$L$4))),TREND($E70:$F70,$E$9:$F$9,S$9))</f>
        <v>0</v>
      </c>
      <c r="T70" s="36">
        <f>IF($G70="s-curve",$E70+($F70-$E70)*$L$2/(1+EXP($L$3*(COUNT($L$9:T$9)+$L$4))),TREND($E70:$F70,$E$9:$F$9,T$9))</f>
        <v>0</v>
      </c>
      <c r="U70" s="36">
        <f>IF($G70="s-curve",$E70+($F70-$E70)*$L$2/(1+EXP($L$3*(COUNT($L$9:U$9)+$L$4))),TREND($E70:$F70,$E$9:$F$9,U$9))</f>
        <v>0</v>
      </c>
      <c r="V70" s="36">
        <f>IF($G70="s-curve",$E70+($F70-$E70)*$L$2/(1+EXP($L$3*(COUNT($L$9:V$9)+$L$4))),TREND($E70:$F70,$E$9:$F$9,V$9))</f>
        <v>0</v>
      </c>
      <c r="W70" s="36">
        <f>IF($G70="s-curve",$E70+($F70-$E70)*$L$2/(1+EXP($L$3*(COUNT($L$9:W$9)+$L$4))),TREND($E70:$F70,$E$9:$F$9,W$9))</f>
        <v>0</v>
      </c>
      <c r="X70" s="36">
        <f>IF($G70="s-curve",$E70+($F70-$E70)*$L$2/(1+EXP($L$3*(COUNT($L$9:X$9)+$L$4))),TREND($E70:$F70,$E$9:$F$9,X$9))</f>
        <v>0</v>
      </c>
      <c r="Y70" s="36">
        <f>IF($G70="s-curve",$E70+($F70-$E70)*$L$2/(1+EXP($L$3*(COUNT($L$9:Y$9)+$L$4))),TREND($E70:$F70,$E$9:$F$9,Y$9))</f>
        <v>0</v>
      </c>
      <c r="Z70" s="36">
        <f>IF($G70="s-curve",$E70+($F70-$E70)*$L$2/(1+EXP($L$3*(COUNT($L$9:Z$9)+$L$4))),TREND($E70:$F70,$E$9:$F$9,Z$9))</f>
        <v>0</v>
      </c>
      <c r="AA70" s="36">
        <f>IF($G70="s-curve",$E70+($F70-$E70)*$L$2/(1+EXP($L$3*(COUNT($L$9:AA$9)+$L$4))),TREND($E70:$F70,$E$9:$F$9,AA$9))</f>
        <v>0</v>
      </c>
      <c r="AB70" s="36">
        <f>IF($G70="s-curve",$E70+($F70-$E70)*$L$2/(1+EXP($L$3*(COUNT($L$9:AB$9)+$L$4))),TREND($E70:$F70,$E$9:$F$9,AB$9))</f>
        <v>0</v>
      </c>
      <c r="AC70" s="36">
        <f>IF($G70="s-curve",$E70+($F70-$E70)*$L$2/(1+EXP($L$3*(COUNT($L$9:AC$9)+$L$4))),TREND($E70:$F70,$E$9:$F$9,AC$9))</f>
        <v>0</v>
      </c>
      <c r="AD70" s="36">
        <f>IF($G70="s-curve",$E70+($F70-$E70)*$L$2/(1+EXP($L$3*(COUNT($L$9:AD$9)+$L$4))),TREND($E70:$F70,$E$9:$F$9,AD$9))</f>
        <v>0</v>
      </c>
      <c r="AE70" s="36">
        <f>IF($G70="s-curve",$E70+($F70-$E70)*$L$2/(1+EXP($L$3*(COUNT($L$9:AE$9)+$L$4))),TREND($E70:$F70,$E$9:$F$9,AE$9))</f>
        <v>0</v>
      </c>
      <c r="AF70" s="36">
        <f>IF($G70="s-curve",$E70+($F70-$E70)*$L$2/(1+EXP($L$3*(COUNT($L$9:AF$9)+$L$4))),TREND($E70:$F70,$E$9:$F$9,AF$9))</f>
        <v>0</v>
      </c>
      <c r="AG70" s="36">
        <f>IF($G70="s-curve",$E70+($F70-$E70)*$L$2/(1+EXP($L$3*(COUNT($L$9:AG$9)+$L$4))),TREND($E70:$F70,$E$9:$F$9,AG$9))</f>
        <v>0</v>
      </c>
      <c r="AH70" s="36">
        <f>IF($G70="s-curve",$E70+($F70-$E70)*$L$2/(1+EXP($L$3*(COUNT($L$9:AH$9)+$L$4))),TREND($E70:$F70,$E$9:$F$9,AH$9))</f>
        <v>0</v>
      </c>
      <c r="AI70" s="36">
        <f>IF($G70="s-curve",$E70+($F70-$E70)*$L$2/(1+EXP($L$3*(COUNT($L$9:AI$9)+$L$4))),TREND($E70:$F70,$E$9:$F$9,AI$9))</f>
        <v>0</v>
      </c>
      <c r="AJ70" s="36">
        <f>IF($G70="s-curve",$E70+($F70-$E70)*$L$2/(1+EXP($L$3*(COUNT($L$9:AJ$9)+$L$4))),TREND($E70:$F70,$E$9:$F$9,AJ$9))</f>
        <v>0</v>
      </c>
      <c r="AK70" s="36">
        <f>IF($G70="s-curve",$E70+($F70-$E70)*$L$2/(1+EXP($L$3*(COUNT($L$9:AK$9)+$L$4))),TREND($E70:$F70,$E$9:$F$9,AK$9))</f>
        <v>0</v>
      </c>
      <c r="AL70" s="36">
        <f>IF($G70="s-curve",$E70+($F70-$E70)*$L$2/(1+EXP($L$3*(COUNT($L$9:AL$9)+$L$4))),TREND($E70:$F70,$E$9:$F$9,AL$9))</f>
        <v>0</v>
      </c>
      <c r="AM70" s="36">
        <f>IF($G70="s-curve",$E70+($F70-$E70)*$L$2/(1+EXP($L$3*(COUNT($L$9:AM$9)+$L$4))),TREND($E70:$F70,$E$9:$F$9,AM$9))</f>
        <v>0</v>
      </c>
      <c r="AN70" s="36">
        <f>IF($G70="s-curve",$E70+($F70-$E70)*$L$2/(1+EXP($L$3*(COUNT($L$9:AN$9)+$L$4))),TREND($E70:$F70,$E$9:$F$9,AN$9))</f>
        <v>0</v>
      </c>
      <c r="AO70" s="36">
        <f>IF($G70="s-curve",$E70+($F70-$E70)*$L$2/(1+EXP($L$3*(COUNT($L$9:AO$9)+$L$4))),TREND($E70:$F70,$E$9:$F$9,AO$9))</f>
        <v>0</v>
      </c>
      <c r="AP70" s="36">
        <f>IF($G70="s-curve",$E70+($F70-$E70)*$L$2/(1+EXP($L$3*(COUNT($L$9:AP$9)+$L$4))),TREND($E70:$F70,$E$9:$F$9,AP$9))</f>
        <v>0</v>
      </c>
      <c r="AQ70" s="36">
        <f>IF($G70="s-curve",$E70+($F70-$E70)*$L$2/(1+EXP($L$3*(COUNT($L$9:AQ$9)+$L$4))),TREND($E70:$F70,$E$9:$F$9,AQ$9))</f>
        <v>0</v>
      </c>
      <c r="AR70" s="36">
        <f>IF($G70="s-curve",$E70+($F70-$E70)*$L$2/(1+EXP($L$3*(COUNT($L$9:AR$9)+$L$4))),TREND($E70:$F70,$E$9:$F$9,AR$9))</f>
        <v>0</v>
      </c>
      <c r="AS70" s="36">
        <f>IF($G70="s-curve",$E70+($F70-$E70)*$L$2/(1+EXP($L$3*(COUNT($L$9:AS$9)+$L$4))),TREND($E70:$F70,$E$9:$F$9,AS$9))</f>
        <v>0</v>
      </c>
      <c r="AT70" s="36">
        <f>IF($G70="s-curve",$E70+($F70-$E70)*$L$2/(1+EXP($L$3*(COUNT($L$9:AT$9)+$L$4))),TREND($E70:$F70,$E$9:$F$9,AT$9))</f>
        <v>0</v>
      </c>
      <c r="AU70" s="36">
        <f>IF($G70="s-curve",$E70+($F70-$E70)*$L$2/(1+EXP($L$3*(COUNT($L$9:AU$9)+$L$4))),TREND($E70:$F70,$E$9:$F$9,AU$9))</f>
        <v>0</v>
      </c>
      <c r="AV70" s="36">
        <f>IF($G70="s-curve",$E70+($F70-$E70)*$L$2/(1+EXP($L$3*(COUNT($L$9:AV$9)+$L$4))),TREND($E70:$F70,$E$9:$F$9,AV$9))</f>
        <v>0</v>
      </c>
      <c r="AW70" s="36">
        <f>IF($G70="s-curve",$E70+($F70-$E70)*$L$2/(1+EXP($L$3*(COUNT($L$9:AW$9)+$L$4))),TREND($E70:$F70,$E$9:$F$9,AW$9))</f>
        <v>0</v>
      </c>
      <c r="AX70" s="36">
        <f>IF($G70="s-curve",$E70+($F70-$E70)*$L$2/(1+EXP($L$3*(COUNT($L$9:AX$9)+$L$4))),TREND($E70:$F70,$E$9:$F$9,AX$9))</f>
        <v>0</v>
      </c>
      <c r="AY70" s="36">
        <f>IF($G70="s-curve",$E70+($F70-$E70)*$L$2/(1+EXP($L$3*(COUNT($L$9:AY$9)+$L$4))),TREND($E70:$F70,$E$9:$F$9,AY$9))</f>
        <v>0</v>
      </c>
      <c r="AZ70" s="36">
        <f>IF($G70="s-curve",$E70+($F70-$E70)*$L$2/(1+EXP($L$3*(COUNT($L$9:AZ$9)+$L$4))),TREND($E70:$F70,$E$9:$F$9,AZ$9))</f>
        <v>0</v>
      </c>
      <c r="BA70" s="36">
        <f>IF($G70="s-curve",$E70+($F70-$E70)*$L$2/(1+EXP($L$3*(COUNT($L$9:BA$9)+$L$4))),TREND($E70:$F70,$E$9:$F$9,BA$9))</f>
        <v>0</v>
      </c>
      <c r="BB70" s="36">
        <f>IF($G70="s-curve",$E70+($F70-$E70)*$L$2/(1+EXP($L$3*(COUNT($L$9:BB$9)+$L$4))),TREND($E70:$F70,$E$9:$F$9,BB$9))</f>
        <v>0</v>
      </c>
      <c r="BC70" s="36">
        <f>IF($G70="s-curve",$E70+($F70-$E70)*$L$2/(1+EXP($L$3*(COUNT($L$9:BC$9)+$L$4))),TREND($E70:$F70,$E$9:$F$9,BC$9))</f>
        <v>0</v>
      </c>
      <c r="BD70" s="36">
        <f>IF($G70="s-curve",$E70+($F70-$E70)*$L$2/(1+EXP($L$3*(COUNT($L$9:BD$9)+$L$4))),TREND($E70:$F70,$E$9:$F$9,BD$9))</f>
        <v>0</v>
      </c>
      <c r="BE70" s="36">
        <f>IF($G70="s-curve",$E70+($F70-$E70)*$L$2/(1+EXP($L$3*(COUNT($L$9:BE$9)+$L$4))),TREND($E70:$F70,$E$9:$F$9,BE$9))</f>
        <v>0</v>
      </c>
      <c r="BF70" s="36">
        <f>IF($G70="s-curve",$E70+($F70-$E70)*$L$2/(1+EXP($L$3*(COUNT($L$9:BF$9)+$L$4))),TREND($E70:$F70,$E$9:$F$9,BF$9))</f>
        <v>0</v>
      </c>
    </row>
    <row r="71" spans="1:58" x14ac:dyDescent="0.25">
      <c r="C71" t="s">
        <v>33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H71" s="33"/>
      <c r="I71">
        <f t="shared" si="22"/>
        <v>0</v>
      </c>
      <c r="J71">
        <f t="shared" si="22"/>
        <v>0</v>
      </c>
      <c r="K71">
        <f t="shared" si="22"/>
        <v>0</v>
      </c>
      <c r="L71" s="36">
        <f t="shared" si="30"/>
        <v>0</v>
      </c>
      <c r="M71" s="36">
        <f>IF($G71="s-curve",$E71+($F71-$E71)*$L$2/(1+EXP($L$3*(COUNT($L$9:M$9)+$L$4))),TREND($E71:$F71,$E$9:$F$9,M$9))</f>
        <v>0</v>
      </c>
      <c r="N71" s="36">
        <f>IF($G71="s-curve",$E71+($F71-$E71)*$L$2/(1+EXP($L$3*(COUNT($L$9:N$9)+$L$4))),TREND($E71:$F71,$E$9:$F$9,N$9))</f>
        <v>0</v>
      </c>
      <c r="O71" s="36">
        <f>IF($G71="s-curve",$E71+($F71-$E71)*$L$2/(1+EXP($L$3*(COUNT($L$9:O$9)+$L$4))),TREND($E71:$F71,$E$9:$F$9,O$9))</f>
        <v>0</v>
      </c>
      <c r="P71" s="36">
        <f>IF($G71="s-curve",$E71+($F71-$E71)*$L$2/(1+EXP($L$3*(COUNT($L$9:P$9)+$L$4))),TREND($E71:$F71,$E$9:$F$9,P$9))</f>
        <v>0</v>
      </c>
      <c r="Q71" s="36">
        <f>IF($G71="s-curve",$E71+($F71-$E71)*$L$2/(1+EXP($L$3*(COUNT($L$9:Q$9)+$L$4))),TREND($E71:$F71,$E$9:$F$9,Q$9))</f>
        <v>0</v>
      </c>
      <c r="R71" s="36">
        <f>IF($G71="s-curve",$E71+($F71-$E71)*$L$2/(1+EXP($L$3*(COUNT($L$9:R$9)+$L$4))),TREND($E71:$F71,$E$9:$F$9,R$9))</f>
        <v>0</v>
      </c>
      <c r="S71" s="36">
        <f>IF($G71="s-curve",$E71+($F71-$E71)*$L$2/(1+EXP($L$3*(COUNT($L$9:S$9)+$L$4))),TREND($E71:$F71,$E$9:$F$9,S$9))</f>
        <v>0</v>
      </c>
      <c r="T71" s="36">
        <f>IF($G71="s-curve",$E71+($F71-$E71)*$L$2/(1+EXP($L$3*(COUNT($L$9:T$9)+$L$4))),TREND($E71:$F71,$E$9:$F$9,T$9))</f>
        <v>0</v>
      </c>
      <c r="U71" s="36">
        <f>IF($G71="s-curve",$E71+($F71-$E71)*$L$2/(1+EXP($L$3*(COUNT($L$9:U$9)+$L$4))),TREND($E71:$F71,$E$9:$F$9,U$9))</f>
        <v>0</v>
      </c>
      <c r="V71" s="36">
        <f>IF($G71="s-curve",$E71+($F71-$E71)*$L$2/(1+EXP($L$3*(COUNT($L$9:V$9)+$L$4))),TREND($E71:$F71,$E$9:$F$9,V$9))</f>
        <v>0</v>
      </c>
      <c r="W71" s="36">
        <f>IF($G71="s-curve",$E71+($F71-$E71)*$L$2/(1+EXP($L$3*(COUNT($L$9:W$9)+$L$4))),TREND($E71:$F71,$E$9:$F$9,W$9))</f>
        <v>0</v>
      </c>
      <c r="X71" s="36">
        <f>IF($G71="s-curve",$E71+($F71-$E71)*$L$2/(1+EXP($L$3*(COUNT($L$9:X$9)+$L$4))),TREND($E71:$F71,$E$9:$F$9,X$9))</f>
        <v>0</v>
      </c>
      <c r="Y71" s="36">
        <f>IF($G71="s-curve",$E71+($F71-$E71)*$L$2/(1+EXP($L$3*(COUNT($L$9:Y$9)+$L$4))),TREND($E71:$F71,$E$9:$F$9,Y$9))</f>
        <v>0</v>
      </c>
      <c r="Z71" s="36">
        <f>IF($G71="s-curve",$E71+($F71-$E71)*$L$2/(1+EXP($L$3*(COUNT($L$9:Z$9)+$L$4))),TREND($E71:$F71,$E$9:$F$9,Z$9))</f>
        <v>0</v>
      </c>
      <c r="AA71" s="36">
        <f>IF($G71="s-curve",$E71+($F71-$E71)*$L$2/(1+EXP($L$3*(COUNT($L$9:AA$9)+$L$4))),TREND($E71:$F71,$E$9:$F$9,AA$9))</f>
        <v>0</v>
      </c>
      <c r="AB71" s="36">
        <f>IF($G71="s-curve",$E71+($F71-$E71)*$L$2/(1+EXP($L$3*(COUNT($L$9:AB$9)+$L$4))),TREND($E71:$F71,$E$9:$F$9,AB$9))</f>
        <v>0</v>
      </c>
      <c r="AC71" s="36">
        <f>IF($G71="s-curve",$E71+($F71-$E71)*$L$2/(1+EXP($L$3*(COUNT($L$9:AC$9)+$L$4))),TREND($E71:$F71,$E$9:$F$9,AC$9))</f>
        <v>0</v>
      </c>
      <c r="AD71" s="36">
        <f>IF($G71="s-curve",$E71+($F71-$E71)*$L$2/(1+EXP($L$3*(COUNT($L$9:AD$9)+$L$4))),TREND($E71:$F71,$E$9:$F$9,AD$9))</f>
        <v>0</v>
      </c>
      <c r="AE71" s="36">
        <f>IF($G71="s-curve",$E71+($F71-$E71)*$L$2/(1+EXP($L$3*(COUNT($L$9:AE$9)+$L$4))),TREND($E71:$F71,$E$9:$F$9,AE$9))</f>
        <v>0</v>
      </c>
      <c r="AF71" s="36">
        <f>IF($G71="s-curve",$E71+($F71-$E71)*$L$2/(1+EXP($L$3*(COUNT($L$9:AF$9)+$L$4))),TREND($E71:$F71,$E$9:$F$9,AF$9))</f>
        <v>0</v>
      </c>
      <c r="AG71" s="36">
        <f>IF($G71="s-curve",$E71+($F71-$E71)*$L$2/(1+EXP($L$3*(COUNT($L$9:AG$9)+$L$4))),TREND($E71:$F71,$E$9:$F$9,AG$9))</f>
        <v>0</v>
      </c>
      <c r="AH71" s="36">
        <f>IF($G71="s-curve",$E71+($F71-$E71)*$L$2/(1+EXP($L$3*(COUNT($L$9:AH$9)+$L$4))),TREND($E71:$F71,$E$9:$F$9,AH$9))</f>
        <v>0</v>
      </c>
      <c r="AI71" s="36">
        <f>IF($G71="s-curve",$E71+($F71-$E71)*$L$2/(1+EXP($L$3*(COUNT($L$9:AI$9)+$L$4))),TREND($E71:$F71,$E$9:$F$9,AI$9))</f>
        <v>0</v>
      </c>
      <c r="AJ71" s="36">
        <f>IF($G71="s-curve",$E71+($F71-$E71)*$L$2/(1+EXP($L$3*(COUNT($L$9:AJ$9)+$L$4))),TREND($E71:$F71,$E$9:$F$9,AJ$9))</f>
        <v>0</v>
      </c>
      <c r="AK71" s="36">
        <f>IF($G71="s-curve",$E71+($F71-$E71)*$L$2/(1+EXP($L$3*(COUNT($L$9:AK$9)+$L$4))),TREND($E71:$F71,$E$9:$F$9,AK$9))</f>
        <v>0</v>
      </c>
      <c r="AL71" s="36">
        <f>IF($G71="s-curve",$E71+($F71-$E71)*$L$2/(1+EXP($L$3*(COUNT($L$9:AL$9)+$L$4))),TREND($E71:$F71,$E$9:$F$9,AL$9))</f>
        <v>0</v>
      </c>
      <c r="AM71" s="36">
        <f>IF($G71="s-curve",$E71+($F71-$E71)*$L$2/(1+EXP($L$3*(COUNT($L$9:AM$9)+$L$4))),TREND($E71:$F71,$E$9:$F$9,AM$9))</f>
        <v>0</v>
      </c>
      <c r="AN71" s="36">
        <f>IF($G71="s-curve",$E71+($F71-$E71)*$L$2/(1+EXP($L$3*(COUNT($L$9:AN$9)+$L$4))),TREND($E71:$F71,$E$9:$F$9,AN$9))</f>
        <v>0</v>
      </c>
      <c r="AO71" s="36">
        <f>IF($G71="s-curve",$E71+($F71-$E71)*$L$2/(1+EXP($L$3*(COUNT($L$9:AO$9)+$L$4))),TREND($E71:$F71,$E$9:$F$9,AO$9))</f>
        <v>0</v>
      </c>
      <c r="AP71" s="36">
        <f>IF($G71="s-curve",$E71+($F71-$E71)*$L$2/(1+EXP($L$3*(COUNT($L$9:AP$9)+$L$4))),TREND($E71:$F71,$E$9:$F$9,AP$9))</f>
        <v>0</v>
      </c>
      <c r="AQ71" s="36">
        <f>IF($G71="s-curve",$E71+($F71-$E71)*$L$2/(1+EXP($L$3*(COUNT($L$9:AQ$9)+$L$4))),TREND($E71:$F71,$E$9:$F$9,AQ$9))</f>
        <v>0</v>
      </c>
      <c r="AR71" s="36">
        <f>IF($G71="s-curve",$E71+($F71-$E71)*$L$2/(1+EXP($L$3*(COUNT($L$9:AR$9)+$L$4))),TREND($E71:$F71,$E$9:$F$9,AR$9))</f>
        <v>0</v>
      </c>
      <c r="AS71" s="36">
        <f>IF($G71="s-curve",$E71+($F71-$E71)*$L$2/(1+EXP($L$3*(COUNT($L$9:AS$9)+$L$4))),TREND($E71:$F71,$E$9:$F$9,AS$9))</f>
        <v>0</v>
      </c>
      <c r="AT71" s="36">
        <f>IF($G71="s-curve",$E71+($F71-$E71)*$L$2/(1+EXP($L$3*(COUNT($L$9:AT$9)+$L$4))),TREND($E71:$F71,$E$9:$F$9,AT$9))</f>
        <v>0</v>
      </c>
      <c r="AU71" s="36">
        <f>IF($G71="s-curve",$E71+($F71-$E71)*$L$2/(1+EXP($L$3*(COUNT($L$9:AU$9)+$L$4))),TREND($E71:$F71,$E$9:$F$9,AU$9))</f>
        <v>0</v>
      </c>
      <c r="AV71" s="36">
        <f>IF($G71="s-curve",$E71+($F71-$E71)*$L$2/(1+EXP($L$3*(COUNT($L$9:AV$9)+$L$4))),TREND($E71:$F71,$E$9:$F$9,AV$9))</f>
        <v>0</v>
      </c>
      <c r="AW71" s="36">
        <f>IF($G71="s-curve",$E71+($F71-$E71)*$L$2/(1+EXP($L$3*(COUNT($L$9:AW$9)+$L$4))),TREND($E71:$F71,$E$9:$F$9,AW$9))</f>
        <v>0</v>
      </c>
      <c r="AX71" s="36">
        <f>IF($G71="s-curve",$E71+($F71-$E71)*$L$2/(1+EXP($L$3*(COUNT($L$9:AX$9)+$L$4))),TREND($E71:$F71,$E$9:$F$9,AX$9))</f>
        <v>0</v>
      </c>
      <c r="AY71" s="36">
        <f>IF($G71="s-curve",$E71+($F71-$E71)*$L$2/(1+EXP($L$3*(COUNT($L$9:AY$9)+$L$4))),TREND($E71:$F71,$E$9:$F$9,AY$9))</f>
        <v>0</v>
      </c>
      <c r="AZ71" s="36">
        <f>IF($G71="s-curve",$E71+($F71-$E71)*$L$2/(1+EXP($L$3*(COUNT($L$9:AZ$9)+$L$4))),TREND($E71:$F71,$E$9:$F$9,AZ$9))</f>
        <v>0</v>
      </c>
      <c r="BA71" s="36">
        <f>IF($G71="s-curve",$E71+($F71-$E71)*$L$2/(1+EXP($L$3*(COUNT($L$9:BA$9)+$L$4))),TREND($E71:$F71,$E$9:$F$9,BA$9))</f>
        <v>0</v>
      </c>
      <c r="BB71" s="36">
        <f>IF($G71="s-curve",$E71+($F71-$E71)*$L$2/(1+EXP($L$3*(COUNT($L$9:BB$9)+$L$4))),TREND($E71:$F71,$E$9:$F$9,BB$9))</f>
        <v>0</v>
      </c>
      <c r="BC71" s="36">
        <f>IF($G71="s-curve",$E71+($F71-$E71)*$L$2/(1+EXP($L$3*(COUNT($L$9:BC$9)+$L$4))),TREND($E71:$F71,$E$9:$F$9,BC$9))</f>
        <v>0</v>
      </c>
      <c r="BD71" s="36">
        <f>IF($G71="s-curve",$E71+($F71-$E71)*$L$2/(1+EXP($L$3*(COUNT($L$9:BD$9)+$L$4))),TREND($E71:$F71,$E$9:$F$9,BD$9))</f>
        <v>0</v>
      </c>
      <c r="BE71" s="36">
        <f>IF($G71="s-curve",$E71+($F71-$E71)*$L$2/(1+EXP($L$3*(COUNT($L$9:BE$9)+$L$4))),TREND($E71:$F71,$E$9:$F$9,BE$9))</f>
        <v>0</v>
      </c>
      <c r="BF71" s="36">
        <f>IF($G71="s-curve",$E71+($F71-$E71)*$L$2/(1+EXP($L$3*(COUNT($L$9:BF$9)+$L$4))),TREND($E71:$F71,$E$9:$F$9,BF$9))</f>
        <v>0</v>
      </c>
    </row>
    <row r="72" spans="1:58" ht="15.75" thickBot="1" x14ac:dyDescent="0.3">
      <c r="A72" s="18"/>
      <c r="B72" s="18"/>
      <c r="C72" s="18" t="s">
        <v>34</v>
      </c>
      <c r="D72" s="18"/>
      <c r="E72" s="18">
        <v>0</v>
      </c>
      <c r="F72" s="18">
        <v>0</v>
      </c>
      <c r="G72" s="6" t="str">
        <f>IF(E72=F72,"n/a",IF(OR(C72="battery electric vehicle",C72="natural gas vehicle",C72="plugin hybrid vehicle",C72="hydrogen vehicle"),"s-curve","linear"))</f>
        <v>n/a</v>
      </c>
      <c r="H72" s="34"/>
      <c r="I72">
        <f t="shared" si="22"/>
        <v>0</v>
      </c>
      <c r="J72">
        <f t="shared" si="22"/>
        <v>0</v>
      </c>
      <c r="K72">
        <f t="shared" si="22"/>
        <v>0</v>
      </c>
      <c r="L72" s="36">
        <f t="shared" si="30"/>
        <v>0</v>
      </c>
      <c r="M72" s="36">
        <f>IF($G72="s-curve",$E72+($F72-$E72)*$L$2/(1+EXP($L$3*(COUNT($L$9:M$9)+$L$4))),TREND($E72:$F72,$E$9:$F$9,M$9))</f>
        <v>0</v>
      </c>
      <c r="N72" s="36">
        <f>IF($G72="s-curve",$E72+($F72-$E72)*$L$2/(1+EXP($L$3*(COUNT($L$9:N$9)+$L$4))),TREND($E72:$F72,$E$9:$F$9,N$9))</f>
        <v>0</v>
      </c>
      <c r="O72" s="36">
        <f>IF($G72="s-curve",$E72+($F72-$E72)*$L$2/(1+EXP($L$3*(COUNT($L$9:O$9)+$L$4))),TREND($E72:$F72,$E$9:$F$9,O$9))</f>
        <v>0</v>
      </c>
      <c r="P72" s="36">
        <f>IF($G72="s-curve",$E72+($F72-$E72)*$L$2/(1+EXP($L$3*(COUNT($L$9:P$9)+$L$4))),TREND($E72:$F72,$E$9:$F$9,P$9))</f>
        <v>0</v>
      </c>
      <c r="Q72" s="36">
        <f>IF($G72="s-curve",$E72+($F72-$E72)*$L$2/(1+EXP($L$3*(COUNT($L$9:Q$9)+$L$4))),TREND($E72:$F72,$E$9:$F$9,Q$9))</f>
        <v>0</v>
      </c>
      <c r="R72" s="36">
        <f>IF($G72="s-curve",$E72+($F72-$E72)*$L$2/(1+EXP($L$3*(COUNT($L$9:R$9)+$L$4))),TREND($E72:$F72,$E$9:$F$9,R$9))</f>
        <v>0</v>
      </c>
      <c r="S72" s="36">
        <f>IF($G72="s-curve",$E72+($F72-$E72)*$L$2/(1+EXP($L$3*(COUNT($L$9:S$9)+$L$4))),TREND($E72:$F72,$E$9:$F$9,S$9))</f>
        <v>0</v>
      </c>
      <c r="T72" s="36">
        <f>IF($G72="s-curve",$E72+($F72-$E72)*$L$2/(1+EXP($L$3*(COUNT($L$9:T$9)+$L$4))),TREND($E72:$F72,$E$9:$F$9,T$9))</f>
        <v>0</v>
      </c>
      <c r="U72" s="36">
        <f>IF($G72="s-curve",$E72+($F72-$E72)*$L$2/(1+EXP($L$3*(COUNT($L$9:U$9)+$L$4))),TREND($E72:$F72,$E$9:$F$9,U$9))</f>
        <v>0</v>
      </c>
      <c r="V72" s="36">
        <f>IF($G72="s-curve",$E72+($F72-$E72)*$L$2/(1+EXP($L$3*(COUNT($L$9:V$9)+$L$4))),TREND($E72:$F72,$E$9:$F$9,V$9))</f>
        <v>0</v>
      </c>
      <c r="W72" s="36">
        <f>IF($G72="s-curve",$E72+($F72-$E72)*$L$2/(1+EXP($L$3*(COUNT($L$9:W$9)+$L$4))),TREND($E72:$F72,$E$9:$F$9,W$9))</f>
        <v>0</v>
      </c>
      <c r="X72" s="36">
        <f>IF($G72="s-curve",$E72+($F72-$E72)*$L$2/(1+EXP($L$3*(COUNT($L$9:X$9)+$L$4))),TREND($E72:$F72,$E$9:$F$9,X$9))</f>
        <v>0</v>
      </c>
      <c r="Y72" s="36">
        <f>IF($G72="s-curve",$E72+($F72-$E72)*$L$2/(1+EXP($L$3*(COUNT($L$9:Y$9)+$L$4))),TREND($E72:$F72,$E$9:$F$9,Y$9))</f>
        <v>0</v>
      </c>
      <c r="Z72" s="36">
        <f>IF($G72="s-curve",$E72+($F72-$E72)*$L$2/(1+EXP($L$3*(COUNT($L$9:Z$9)+$L$4))),TREND($E72:$F72,$E$9:$F$9,Z$9))</f>
        <v>0</v>
      </c>
      <c r="AA72" s="36">
        <f>IF($G72="s-curve",$E72+($F72-$E72)*$L$2/(1+EXP($L$3*(COUNT($L$9:AA$9)+$L$4))),TREND($E72:$F72,$E$9:$F$9,AA$9))</f>
        <v>0</v>
      </c>
      <c r="AB72" s="36">
        <f>IF($G72="s-curve",$E72+($F72-$E72)*$L$2/(1+EXP($L$3*(COUNT($L$9:AB$9)+$L$4))),TREND($E72:$F72,$E$9:$F$9,AB$9))</f>
        <v>0</v>
      </c>
      <c r="AC72" s="36">
        <f>IF($G72="s-curve",$E72+($F72-$E72)*$L$2/(1+EXP($L$3*(COUNT($L$9:AC$9)+$L$4))),TREND($E72:$F72,$E$9:$F$9,AC$9))</f>
        <v>0</v>
      </c>
      <c r="AD72" s="36">
        <f>IF($G72="s-curve",$E72+($F72-$E72)*$L$2/(1+EXP($L$3*(COUNT($L$9:AD$9)+$L$4))),TREND($E72:$F72,$E$9:$F$9,AD$9))</f>
        <v>0</v>
      </c>
      <c r="AE72" s="36">
        <f>IF($G72="s-curve",$E72+($F72-$E72)*$L$2/(1+EXP($L$3*(COUNT($L$9:AE$9)+$L$4))),TREND($E72:$F72,$E$9:$F$9,AE$9))</f>
        <v>0</v>
      </c>
      <c r="AF72" s="36">
        <f>IF($G72="s-curve",$E72+($F72-$E72)*$L$2/(1+EXP($L$3*(COUNT($L$9:AF$9)+$L$4))),TREND($E72:$F72,$E$9:$F$9,AF$9))</f>
        <v>0</v>
      </c>
      <c r="AG72" s="36">
        <f>IF($G72="s-curve",$E72+($F72-$E72)*$L$2/(1+EXP($L$3*(COUNT($L$9:AG$9)+$L$4))),TREND($E72:$F72,$E$9:$F$9,AG$9))</f>
        <v>0</v>
      </c>
      <c r="AH72" s="36">
        <f>IF($G72="s-curve",$E72+($F72-$E72)*$L$2/(1+EXP($L$3*(COUNT($L$9:AH$9)+$L$4))),TREND($E72:$F72,$E$9:$F$9,AH$9))</f>
        <v>0</v>
      </c>
      <c r="AI72" s="36">
        <f>IF($G72="s-curve",$E72+($F72-$E72)*$L$2/(1+EXP($L$3*(COUNT($L$9:AI$9)+$L$4))),TREND($E72:$F72,$E$9:$F$9,AI$9))</f>
        <v>0</v>
      </c>
      <c r="AJ72" s="36">
        <f>IF($G72="s-curve",$E72+($F72-$E72)*$L$2/(1+EXP($L$3*(COUNT($L$9:AJ$9)+$L$4))),TREND($E72:$F72,$E$9:$F$9,AJ$9))</f>
        <v>0</v>
      </c>
      <c r="AK72" s="36">
        <f>IF($G72="s-curve",$E72+($F72-$E72)*$L$2/(1+EXP($L$3*(COUNT($L$9:AK$9)+$L$4))),TREND($E72:$F72,$E$9:$F$9,AK$9))</f>
        <v>0</v>
      </c>
      <c r="AL72" s="36">
        <f>IF($G72="s-curve",$E72+($F72-$E72)*$L$2/(1+EXP($L$3*(COUNT($L$9:AL$9)+$L$4))),TREND($E72:$F72,$E$9:$F$9,AL$9))</f>
        <v>0</v>
      </c>
      <c r="AM72" s="36">
        <f>IF($G72="s-curve",$E72+($F72-$E72)*$L$2/(1+EXP($L$3*(COUNT($L$9:AM$9)+$L$4))),TREND($E72:$F72,$E$9:$F$9,AM$9))</f>
        <v>0</v>
      </c>
      <c r="AN72" s="36">
        <f>IF($G72="s-curve",$E72+($F72-$E72)*$L$2/(1+EXP($L$3*(COUNT($L$9:AN$9)+$L$4))),TREND($E72:$F72,$E$9:$F$9,AN$9))</f>
        <v>0</v>
      </c>
      <c r="AO72" s="36">
        <f>IF($G72="s-curve",$E72+($F72-$E72)*$L$2/(1+EXP($L$3*(COUNT($L$9:AO$9)+$L$4))),TREND($E72:$F72,$E$9:$F$9,AO$9))</f>
        <v>0</v>
      </c>
      <c r="AP72" s="36">
        <f>IF($G72="s-curve",$E72+($F72-$E72)*$L$2/(1+EXP($L$3*(COUNT($L$9:AP$9)+$L$4))),TREND($E72:$F72,$E$9:$F$9,AP$9))</f>
        <v>0</v>
      </c>
      <c r="AQ72" s="36">
        <f>IF($G72="s-curve",$E72+($F72-$E72)*$L$2/(1+EXP($L$3*(COUNT($L$9:AQ$9)+$L$4))),TREND($E72:$F72,$E$9:$F$9,AQ$9))</f>
        <v>0</v>
      </c>
      <c r="AR72" s="36">
        <f>IF($G72="s-curve",$E72+($F72-$E72)*$L$2/(1+EXP($L$3*(COUNT($L$9:AR$9)+$L$4))),TREND($E72:$F72,$E$9:$F$9,AR$9))</f>
        <v>0</v>
      </c>
      <c r="AS72" s="36">
        <f>IF($G72="s-curve",$E72+($F72-$E72)*$L$2/(1+EXP($L$3*(COUNT($L$9:AS$9)+$L$4))),TREND($E72:$F72,$E$9:$F$9,AS$9))</f>
        <v>0</v>
      </c>
      <c r="AT72" s="36">
        <f>IF($G72="s-curve",$E72+($F72-$E72)*$L$2/(1+EXP($L$3*(COUNT($L$9:AT$9)+$L$4))),TREND($E72:$F72,$E$9:$F$9,AT$9))</f>
        <v>0</v>
      </c>
      <c r="AU72" s="36">
        <f>IF($G72="s-curve",$E72+($F72-$E72)*$L$2/(1+EXP($L$3*(COUNT($L$9:AU$9)+$L$4))),TREND($E72:$F72,$E$9:$F$9,AU$9))</f>
        <v>0</v>
      </c>
      <c r="AV72" s="36">
        <f>IF($G72="s-curve",$E72+($F72-$E72)*$L$2/(1+EXP($L$3*(COUNT($L$9:AV$9)+$L$4))),TREND($E72:$F72,$E$9:$F$9,AV$9))</f>
        <v>0</v>
      </c>
      <c r="AW72" s="36">
        <f>IF($G72="s-curve",$E72+($F72-$E72)*$L$2/(1+EXP($L$3*(COUNT($L$9:AW$9)+$L$4))),TREND($E72:$F72,$E$9:$F$9,AW$9))</f>
        <v>0</v>
      </c>
      <c r="AX72" s="36">
        <f>IF($G72="s-curve",$E72+($F72-$E72)*$L$2/(1+EXP($L$3*(COUNT($L$9:AX$9)+$L$4))),TREND($E72:$F72,$E$9:$F$9,AX$9))</f>
        <v>0</v>
      </c>
      <c r="AY72" s="36">
        <f>IF($G72="s-curve",$E72+($F72-$E72)*$L$2/(1+EXP($L$3*(COUNT($L$9:AY$9)+$L$4))),TREND($E72:$F72,$E$9:$F$9,AY$9))</f>
        <v>0</v>
      </c>
      <c r="AZ72" s="36">
        <f>IF($G72="s-curve",$E72+($F72-$E72)*$L$2/(1+EXP($L$3*(COUNT($L$9:AZ$9)+$L$4))),TREND($E72:$F72,$E$9:$F$9,AZ$9))</f>
        <v>0</v>
      </c>
      <c r="BA72" s="36">
        <f>IF($G72="s-curve",$E72+($F72-$E72)*$L$2/(1+EXP($L$3*(COUNT($L$9:BA$9)+$L$4))),TREND($E72:$F72,$E$9:$F$9,BA$9))</f>
        <v>0</v>
      </c>
      <c r="BB72" s="36">
        <f>IF($G72="s-curve",$E72+($F72-$E72)*$L$2/(1+EXP($L$3*(COUNT($L$9:BB$9)+$L$4))),TREND($E72:$F72,$E$9:$F$9,BB$9))</f>
        <v>0</v>
      </c>
      <c r="BC72" s="36">
        <f>IF($G72="s-curve",$E72+($F72-$E72)*$L$2/(1+EXP($L$3*(COUNT($L$9:BC$9)+$L$4))),TREND($E72:$F72,$E$9:$F$9,BC$9))</f>
        <v>0</v>
      </c>
      <c r="BD72" s="36">
        <f>IF($G72="s-curve",$E72+($F72-$E72)*$L$2/(1+EXP($L$3*(COUNT($L$9:BD$9)+$L$4))),TREND($E72:$F72,$E$9:$F$9,BD$9))</f>
        <v>0</v>
      </c>
      <c r="BE72" s="36">
        <f>IF($G72="s-curve",$E72+($F72-$E72)*$L$2/(1+EXP($L$3*(COUNT($L$9:BE$9)+$L$4))),TREND($E72:$F72,$E$9:$F$9,BE$9))</f>
        <v>0</v>
      </c>
      <c r="BF72" s="36">
        <f>IF($G72="s-curve",$E72+($F72-$E72)*$L$2/(1+EXP($L$3*(COUNT($L$9:BF$9)+$L$4))),TREND($E72:$F72,$E$9:$F$9,BF$9))</f>
        <v>0</v>
      </c>
    </row>
    <row r="73" spans="1:5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H73" s="33"/>
      <c r="I73">
        <f t="shared" si="22"/>
        <v>0</v>
      </c>
      <c r="J73">
        <f t="shared" si="22"/>
        <v>0</v>
      </c>
      <c r="K73">
        <f t="shared" si="22"/>
        <v>0</v>
      </c>
      <c r="L73" s="36">
        <f t="shared" ref="L73:L93" si="31">E73</f>
        <v>0</v>
      </c>
      <c r="M73" s="36">
        <f>IF($G73="s-curve",$E73+($F73-$E73)*$L$2/(1+EXP($L$3*(COUNT($L$9:M$9)+$L$4))),TREND($E73:$F73,$E$9:$F$9,M$9))</f>
        <v>0</v>
      </c>
      <c r="N73" s="36">
        <f>IF($G73="s-curve",$E73+($F73-$E73)*$L$2/(1+EXP($L$3*(COUNT($L$9:N$9)+$L$4))),TREND($E73:$F73,$E$9:$F$9,N$9))</f>
        <v>0</v>
      </c>
      <c r="O73" s="36">
        <f>IF($G73="s-curve",$E73+($F73-$E73)*$L$2/(1+EXP($L$3*(COUNT($L$9:O$9)+$L$4))),TREND($E73:$F73,$E$9:$F$9,O$9))</f>
        <v>0</v>
      </c>
      <c r="P73" s="36">
        <f>IF($G73="s-curve",$E73+($F73-$E73)*$L$2/(1+EXP($L$3*(COUNT($L$9:P$9)+$L$4))),TREND($E73:$F73,$E$9:$F$9,P$9))</f>
        <v>0</v>
      </c>
      <c r="Q73" s="36">
        <f>IF($G73="s-curve",$E73+($F73-$E73)*$L$2/(1+EXP($L$3*(COUNT($L$9:Q$9)+$L$4))),TREND($E73:$F73,$E$9:$F$9,Q$9))</f>
        <v>0</v>
      </c>
      <c r="R73" s="36">
        <f>IF($G73="s-curve",$E73+($F73-$E73)*$L$2/(1+EXP($L$3*(COUNT($L$9:R$9)+$L$4))),TREND($E73:$F73,$E$9:$F$9,R$9))</f>
        <v>0</v>
      </c>
      <c r="S73" s="36">
        <f>IF($G73="s-curve",$E73+($F73-$E73)*$L$2/(1+EXP($L$3*(COUNT($L$9:S$9)+$L$4))),TREND($E73:$F73,$E$9:$F$9,S$9))</f>
        <v>0</v>
      </c>
      <c r="T73" s="36">
        <f>IF($G73="s-curve",$E73+($F73-$E73)*$L$2/(1+EXP($L$3*(COUNT($L$9:T$9)+$L$4))),TREND($E73:$F73,$E$9:$F$9,T$9))</f>
        <v>0</v>
      </c>
      <c r="U73" s="36">
        <f>IF($G73="s-curve",$E73+($F73-$E73)*$L$2/(1+EXP($L$3*(COUNT($L$9:U$9)+$L$4))),TREND($E73:$F73,$E$9:$F$9,U$9))</f>
        <v>0</v>
      </c>
      <c r="V73" s="36">
        <f>IF($G73="s-curve",$E73+($F73-$E73)*$L$2/(1+EXP($L$3*(COUNT($L$9:V$9)+$L$4))),TREND($E73:$F73,$E$9:$F$9,V$9))</f>
        <v>0</v>
      </c>
      <c r="W73" s="36">
        <f>IF($G73="s-curve",$E73+($F73-$E73)*$L$2/(1+EXP($L$3*(COUNT($L$9:W$9)+$L$4))),TREND($E73:$F73,$E$9:$F$9,W$9))</f>
        <v>0</v>
      </c>
      <c r="X73" s="36">
        <f>IF($G73="s-curve",$E73+($F73-$E73)*$L$2/(1+EXP($L$3*(COUNT($L$9:X$9)+$L$4))),TREND($E73:$F73,$E$9:$F$9,X$9))</f>
        <v>0</v>
      </c>
      <c r="Y73" s="36">
        <f>IF($G73="s-curve",$E73+($F73-$E73)*$L$2/(1+EXP($L$3*(COUNT($L$9:Y$9)+$L$4))),TREND($E73:$F73,$E$9:$F$9,Y$9))</f>
        <v>0</v>
      </c>
      <c r="Z73" s="36">
        <f>IF($G73="s-curve",$E73+($F73-$E73)*$L$2/(1+EXP($L$3*(COUNT($L$9:Z$9)+$L$4))),TREND($E73:$F73,$E$9:$F$9,Z$9))</f>
        <v>0</v>
      </c>
      <c r="AA73" s="36">
        <f>IF($G73="s-curve",$E73+($F73-$E73)*$L$2/(1+EXP($L$3*(COUNT($L$9:AA$9)+$L$4))),TREND($E73:$F73,$E$9:$F$9,AA$9))</f>
        <v>0</v>
      </c>
      <c r="AB73" s="36">
        <f>IF($G73="s-curve",$E73+($F73-$E73)*$L$2/(1+EXP($L$3*(COUNT($L$9:AB$9)+$L$4))),TREND($E73:$F73,$E$9:$F$9,AB$9))</f>
        <v>0</v>
      </c>
      <c r="AC73" s="36">
        <f>IF($G73="s-curve",$E73+($F73-$E73)*$L$2/(1+EXP($L$3*(COUNT($L$9:AC$9)+$L$4))),TREND($E73:$F73,$E$9:$F$9,AC$9))</f>
        <v>0</v>
      </c>
      <c r="AD73" s="36">
        <f>IF($G73="s-curve",$E73+($F73-$E73)*$L$2/(1+EXP($L$3*(COUNT($L$9:AD$9)+$L$4))),TREND($E73:$F73,$E$9:$F$9,AD$9))</f>
        <v>0</v>
      </c>
      <c r="AE73" s="36">
        <f>IF($G73="s-curve",$E73+($F73-$E73)*$L$2/(1+EXP($L$3*(COUNT($L$9:AE$9)+$L$4))),TREND($E73:$F73,$E$9:$F$9,AE$9))</f>
        <v>0</v>
      </c>
      <c r="AF73" s="36">
        <f>IF($G73="s-curve",$E73+($F73-$E73)*$L$2/(1+EXP($L$3*(COUNT($L$9:AF$9)+$L$4))),TREND($E73:$F73,$E$9:$F$9,AF$9))</f>
        <v>0</v>
      </c>
      <c r="AG73" s="36">
        <f>IF($G73="s-curve",$E73+($F73-$E73)*$L$2/(1+EXP($L$3*(COUNT($L$9:AG$9)+$L$4))),TREND($E73:$F73,$E$9:$F$9,AG$9))</f>
        <v>0</v>
      </c>
      <c r="AH73" s="36">
        <f>IF($G73="s-curve",$E73+($F73-$E73)*$L$2/(1+EXP($L$3*(COUNT($L$9:AH$9)+$L$4))),TREND($E73:$F73,$E$9:$F$9,AH$9))</f>
        <v>0</v>
      </c>
      <c r="AI73" s="36">
        <f>IF($G73="s-curve",$E73+($F73-$E73)*$L$2/(1+EXP($L$3*(COUNT($L$9:AI$9)+$L$4))),TREND($E73:$F73,$E$9:$F$9,AI$9))</f>
        <v>0</v>
      </c>
      <c r="AJ73" s="36">
        <f>IF($G73="s-curve",$E73+($F73-$E73)*$L$2/(1+EXP($L$3*(COUNT($L$9:AJ$9)+$L$4))),TREND($E73:$F73,$E$9:$F$9,AJ$9))</f>
        <v>0</v>
      </c>
      <c r="AK73" s="36">
        <f>IF($G73="s-curve",$E73+($F73-$E73)*$L$2/(1+EXP($L$3*(COUNT($L$9:AK$9)+$L$4))),TREND($E73:$F73,$E$9:$F$9,AK$9))</f>
        <v>0</v>
      </c>
      <c r="AL73" s="36">
        <f>IF($G73="s-curve",$E73+($F73-$E73)*$L$2/(1+EXP($L$3*(COUNT($L$9:AL$9)+$L$4))),TREND($E73:$F73,$E$9:$F$9,AL$9))</f>
        <v>0</v>
      </c>
      <c r="AM73" s="36">
        <f>IF($G73="s-curve",$E73+($F73-$E73)*$L$2/(1+EXP($L$3*(COUNT($L$9:AM$9)+$L$4))),TREND($E73:$F73,$E$9:$F$9,AM$9))</f>
        <v>0</v>
      </c>
      <c r="AN73" s="36">
        <f>IF($G73="s-curve",$E73+($F73-$E73)*$L$2/(1+EXP($L$3*(COUNT($L$9:AN$9)+$L$4))),TREND($E73:$F73,$E$9:$F$9,AN$9))</f>
        <v>0</v>
      </c>
      <c r="AO73" s="36">
        <f>IF($G73="s-curve",$E73+($F73-$E73)*$L$2/(1+EXP($L$3*(COUNT($L$9:AO$9)+$L$4))),TREND($E73:$F73,$E$9:$F$9,AO$9))</f>
        <v>0</v>
      </c>
      <c r="AP73" s="36">
        <f>IF($G73="s-curve",$E73+($F73-$E73)*$L$2/(1+EXP($L$3*(COUNT($L$9:AP$9)+$L$4))),TREND($E73:$F73,$E$9:$F$9,AP$9))</f>
        <v>0</v>
      </c>
      <c r="AQ73" s="36">
        <f>IF($G73="s-curve",$E73+($F73-$E73)*$L$2/(1+EXP($L$3*(COUNT($L$9:AQ$9)+$L$4))),TREND($E73:$F73,$E$9:$F$9,AQ$9))</f>
        <v>0</v>
      </c>
      <c r="AR73" s="36">
        <f>IF($G73="s-curve",$E73+($F73-$E73)*$L$2/(1+EXP($L$3*(COUNT($L$9:AR$9)+$L$4))),TREND($E73:$F73,$E$9:$F$9,AR$9))</f>
        <v>0</v>
      </c>
      <c r="AS73" s="36">
        <f>IF($G73="s-curve",$E73+($F73-$E73)*$L$2/(1+EXP($L$3*(COUNT($L$9:AS$9)+$L$4))),TREND($E73:$F73,$E$9:$F$9,AS$9))</f>
        <v>0</v>
      </c>
      <c r="AT73" s="36">
        <f>IF($G73="s-curve",$E73+($F73-$E73)*$L$2/(1+EXP($L$3*(COUNT($L$9:AT$9)+$L$4))),TREND($E73:$F73,$E$9:$F$9,AT$9))</f>
        <v>0</v>
      </c>
      <c r="AU73" s="36">
        <f>IF($G73="s-curve",$E73+($F73-$E73)*$L$2/(1+EXP($L$3*(COUNT($L$9:AU$9)+$L$4))),TREND($E73:$F73,$E$9:$F$9,AU$9))</f>
        <v>0</v>
      </c>
      <c r="AV73" s="36">
        <f>IF($G73="s-curve",$E73+($F73-$E73)*$L$2/(1+EXP($L$3*(COUNT($L$9:AV$9)+$L$4))),TREND($E73:$F73,$E$9:$F$9,AV$9))</f>
        <v>0</v>
      </c>
      <c r="AW73" s="36">
        <f>IF($G73="s-curve",$E73+($F73-$E73)*$L$2/(1+EXP($L$3*(COUNT($L$9:AW$9)+$L$4))),TREND($E73:$F73,$E$9:$F$9,AW$9))</f>
        <v>0</v>
      </c>
      <c r="AX73" s="36">
        <f>IF($G73="s-curve",$E73+($F73-$E73)*$L$2/(1+EXP($L$3*(COUNT($L$9:AX$9)+$L$4))),TREND($E73:$F73,$E$9:$F$9,AX$9))</f>
        <v>0</v>
      </c>
      <c r="AY73" s="36">
        <f>IF($G73="s-curve",$E73+($F73-$E73)*$L$2/(1+EXP($L$3*(COUNT($L$9:AY$9)+$L$4))),TREND($E73:$F73,$E$9:$F$9,AY$9))</f>
        <v>0</v>
      </c>
      <c r="AZ73" s="36">
        <f>IF($G73="s-curve",$E73+($F73-$E73)*$L$2/(1+EXP($L$3*(COUNT($L$9:AZ$9)+$L$4))),TREND($E73:$F73,$E$9:$F$9,AZ$9))</f>
        <v>0</v>
      </c>
      <c r="BA73" s="36">
        <f>IF($G73="s-curve",$E73+($F73-$E73)*$L$2/(1+EXP($L$3*(COUNT($L$9:BA$9)+$L$4))),TREND($E73:$F73,$E$9:$F$9,BA$9))</f>
        <v>0</v>
      </c>
      <c r="BB73" s="36">
        <f>IF($G73="s-curve",$E73+($F73-$E73)*$L$2/(1+EXP($L$3*(COUNT($L$9:BB$9)+$L$4))),TREND($E73:$F73,$E$9:$F$9,BB$9))</f>
        <v>0</v>
      </c>
      <c r="BC73" s="36">
        <f>IF($G73="s-curve",$E73+($F73-$E73)*$L$2/(1+EXP($L$3*(COUNT($L$9:BC$9)+$L$4))),TREND($E73:$F73,$E$9:$F$9,BC$9))</f>
        <v>0</v>
      </c>
      <c r="BD73" s="36">
        <f>IF($G73="s-curve",$E73+($F73-$E73)*$L$2/(1+EXP($L$3*(COUNT($L$9:BD$9)+$L$4))),TREND($E73:$F73,$E$9:$F$9,BD$9))</f>
        <v>0</v>
      </c>
      <c r="BE73" s="36">
        <f>IF($G73="s-curve",$E73+($F73-$E73)*$L$2/(1+EXP($L$3*(COUNT($L$9:BE$9)+$L$4))),TREND($E73:$F73,$E$9:$F$9,BE$9))</f>
        <v>0</v>
      </c>
      <c r="BF73" s="36">
        <f>IF($G73="s-curve",$E73+($F73-$E73)*$L$2/(1+EXP($L$3*(COUNT($L$9:BF$9)+$L$4))),TREND($E73:$F73,$E$9:$F$9,BF$9))</f>
        <v>0</v>
      </c>
    </row>
    <row r="74" spans="1:58" x14ac:dyDescent="0.25">
      <c r="C74" t="s">
        <v>2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H74" s="33"/>
      <c r="I74">
        <f t="shared" si="22"/>
        <v>0</v>
      </c>
      <c r="J74">
        <f t="shared" si="22"/>
        <v>0</v>
      </c>
      <c r="K74">
        <f t="shared" si="22"/>
        <v>0</v>
      </c>
      <c r="L74" s="36">
        <f t="shared" si="31"/>
        <v>0</v>
      </c>
      <c r="M74" s="36">
        <f>IF($G74="s-curve",$E74+($F74-$E74)*$L$2/(1+EXP($L$3*(COUNT($L$9:M$9)+$L$4))),TREND($E74:$F74,$E$9:$F$9,M$9))</f>
        <v>0</v>
      </c>
      <c r="N74" s="36">
        <f>IF($G74="s-curve",$E74+($F74-$E74)*$L$2/(1+EXP($L$3*(COUNT($L$9:N$9)+$L$4))),TREND($E74:$F74,$E$9:$F$9,N$9))</f>
        <v>0</v>
      </c>
      <c r="O74" s="36">
        <f>IF($G74="s-curve",$E74+($F74-$E74)*$L$2/(1+EXP($L$3*(COUNT($L$9:O$9)+$L$4))),TREND($E74:$F74,$E$9:$F$9,O$9))</f>
        <v>0</v>
      </c>
      <c r="P74" s="36">
        <f>IF($G74="s-curve",$E74+($F74-$E74)*$L$2/(1+EXP($L$3*(COUNT($L$9:P$9)+$L$4))),TREND($E74:$F74,$E$9:$F$9,P$9))</f>
        <v>0</v>
      </c>
      <c r="Q74" s="36">
        <f>IF($G74="s-curve",$E74+($F74-$E74)*$L$2/(1+EXP($L$3*(COUNT($L$9:Q$9)+$L$4))),TREND($E74:$F74,$E$9:$F$9,Q$9))</f>
        <v>0</v>
      </c>
      <c r="R74" s="36">
        <f>IF($G74="s-curve",$E74+($F74-$E74)*$L$2/(1+EXP($L$3*(COUNT($L$9:R$9)+$L$4))),TREND($E74:$F74,$E$9:$F$9,R$9))</f>
        <v>0</v>
      </c>
      <c r="S74" s="36">
        <f>IF($G74="s-curve",$E74+($F74-$E74)*$L$2/(1+EXP($L$3*(COUNT($L$9:S$9)+$L$4))),TREND($E74:$F74,$E$9:$F$9,S$9))</f>
        <v>0</v>
      </c>
      <c r="T74" s="36">
        <f>IF($G74="s-curve",$E74+($F74-$E74)*$L$2/(1+EXP($L$3*(COUNT($L$9:T$9)+$L$4))),TREND($E74:$F74,$E$9:$F$9,T$9))</f>
        <v>0</v>
      </c>
      <c r="U74" s="36">
        <f>IF($G74="s-curve",$E74+($F74-$E74)*$L$2/(1+EXP($L$3*(COUNT($L$9:U$9)+$L$4))),TREND($E74:$F74,$E$9:$F$9,U$9))</f>
        <v>0</v>
      </c>
      <c r="V74" s="36">
        <f>IF($G74="s-curve",$E74+($F74-$E74)*$L$2/(1+EXP($L$3*(COUNT($L$9:V$9)+$L$4))),TREND($E74:$F74,$E$9:$F$9,V$9))</f>
        <v>0</v>
      </c>
      <c r="W74" s="36">
        <f>IF($G74="s-curve",$E74+($F74-$E74)*$L$2/(1+EXP($L$3*(COUNT($L$9:W$9)+$L$4))),TREND($E74:$F74,$E$9:$F$9,W$9))</f>
        <v>0</v>
      </c>
      <c r="X74" s="36">
        <f>IF($G74="s-curve",$E74+($F74-$E74)*$L$2/(1+EXP($L$3*(COUNT($L$9:X$9)+$L$4))),TREND($E74:$F74,$E$9:$F$9,X$9))</f>
        <v>0</v>
      </c>
      <c r="Y74" s="36">
        <f>IF($G74="s-curve",$E74+($F74-$E74)*$L$2/(1+EXP($L$3*(COUNT($L$9:Y$9)+$L$4))),TREND($E74:$F74,$E$9:$F$9,Y$9))</f>
        <v>0</v>
      </c>
      <c r="Z74" s="36">
        <f>IF($G74="s-curve",$E74+($F74-$E74)*$L$2/(1+EXP($L$3*(COUNT($L$9:Z$9)+$L$4))),TREND($E74:$F74,$E$9:$F$9,Z$9))</f>
        <v>0</v>
      </c>
      <c r="AA74" s="36">
        <f>IF($G74="s-curve",$E74+($F74-$E74)*$L$2/(1+EXP($L$3*(COUNT($L$9:AA$9)+$L$4))),TREND($E74:$F74,$E$9:$F$9,AA$9))</f>
        <v>0</v>
      </c>
      <c r="AB74" s="36">
        <f>IF($G74="s-curve",$E74+($F74-$E74)*$L$2/(1+EXP($L$3*(COUNT($L$9:AB$9)+$L$4))),TREND($E74:$F74,$E$9:$F$9,AB$9))</f>
        <v>0</v>
      </c>
      <c r="AC74" s="36">
        <f>IF($G74="s-curve",$E74+($F74-$E74)*$L$2/(1+EXP($L$3*(COUNT($L$9:AC$9)+$L$4))),TREND($E74:$F74,$E$9:$F$9,AC$9))</f>
        <v>0</v>
      </c>
      <c r="AD74" s="36">
        <f>IF($G74="s-curve",$E74+($F74-$E74)*$L$2/(1+EXP($L$3*(COUNT($L$9:AD$9)+$L$4))),TREND($E74:$F74,$E$9:$F$9,AD$9))</f>
        <v>0</v>
      </c>
      <c r="AE74" s="36">
        <f>IF($G74="s-curve",$E74+($F74-$E74)*$L$2/(1+EXP($L$3*(COUNT($L$9:AE$9)+$L$4))),TREND($E74:$F74,$E$9:$F$9,AE$9))</f>
        <v>0</v>
      </c>
      <c r="AF74" s="36">
        <f>IF($G74="s-curve",$E74+($F74-$E74)*$L$2/(1+EXP($L$3*(COUNT($L$9:AF$9)+$L$4))),TREND($E74:$F74,$E$9:$F$9,AF$9))</f>
        <v>0</v>
      </c>
      <c r="AG74" s="36">
        <f>IF($G74="s-curve",$E74+($F74-$E74)*$L$2/(1+EXP($L$3*(COUNT($L$9:AG$9)+$L$4))),TREND($E74:$F74,$E$9:$F$9,AG$9))</f>
        <v>0</v>
      </c>
      <c r="AH74" s="36">
        <f>IF($G74="s-curve",$E74+($F74-$E74)*$L$2/(1+EXP($L$3*(COUNT($L$9:AH$9)+$L$4))),TREND($E74:$F74,$E$9:$F$9,AH$9))</f>
        <v>0</v>
      </c>
      <c r="AI74" s="36">
        <f>IF($G74="s-curve",$E74+($F74-$E74)*$L$2/(1+EXP($L$3*(COUNT($L$9:AI$9)+$L$4))),TREND($E74:$F74,$E$9:$F$9,AI$9))</f>
        <v>0</v>
      </c>
      <c r="AJ74" s="36">
        <f>IF($G74="s-curve",$E74+($F74-$E74)*$L$2/(1+EXP($L$3*(COUNT($L$9:AJ$9)+$L$4))),TREND($E74:$F74,$E$9:$F$9,AJ$9))</f>
        <v>0</v>
      </c>
      <c r="AK74" s="36">
        <f>IF($G74="s-curve",$E74+($F74-$E74)*$L$2/(1+EXP($L$3*(COUNT($L$9:AK$9)+$L$4))),TREND($E74:$F74,$E$9:$F$9,AK$9))</f>
        <v>0</v>
      </c>
      <c r="AL74" s="36">
        <f>IF($G74="s-curve",$E74+($F74-$E74)*$L$2/(1+EXP($L$3*(COUNT($L$9:AL$9)+$L$4))),TREND($E74:$F74,$E$9:$F$9,AL$9))</f>
        <v>0</v>
      </c>
      <c r="AM74" s="36">
        <f>IF($G74="s-curve",$E74+($F74-$E74)*$L$2/(1+EXP($L$3*(COUNT($L$9:AM$9)+$L$4))),TREND($E74:$F74,$E$9:$F$9,AM$9))</f>
        <v>0</v>
      </c>
      <c r="AN74" s="36">
        <f>IF($G74="s-curve",$E74+($F74-$E74)*$L$2/(1+EXP($L$3*(COUNT($L$9:AN$9)+$L$4))),TREND($E74:$F74,$E$9:$F$9,AN$9))</f>
        <v>0</v>
      </c>
      <c r="AO74" s="36">
        <f>IF($G74="s-curve",$E74+($F74-$E74)*$L$2/(1+EXP($L$3*(COUNT($L$9:AO$9)+$L$4))),TREND($E74:$F74,$E$9:$F$9,AO$9))</f>
        <v>0</v>
      </c>
      <c r="AP74" s="36">
        <f>IF($G74="s-curve",$E74+($F74-$E74)*$L$2/(1+EXP($L$3*(COUNT($L$9:AP$9)+$L$4))),TREND($E74:$F74,$E$9:$F$9,AP$9))</f>
        <v>0</v>
      </c>
      <c r="AQ74" s="36">
        <f>IF($G74="s-curve",$E74+($F74-$E74)*$L$2/(1+EXP($L$3*(COUNT($L$9:AQ$9)+$L$4))),TREND($E74:$F74,$E$9:$F$9,AQ$9))</f>
        <v>0</v>
      </c>
      <c r="AR74" s="36">
        <f>IF($G74="s-curve",$E74+($F74-$E74)*$L$2/(1+EXP($L$3*(COUNT($L$9:AR$9)+$L$4))),TREND($E74:$F74,$E$9:$F$9,AR$9))</f>
        <v>0</v>
      </c>
      <c r="AS74" s="36">
        <f>IF($G74="s-curve",$E74+($F74-$E74)*$L$2/(1+EXP($L$3*(COUNT($L$9:AS$9)+$L$4))),TREND($E74:$F74,$E$9:$F$9,AS$9))</f>
        <v>0</v>
      </c>
      <c r="AT74" s="36">
        <f>IF($G74="s-curve",$E74+($F74-$E74)*$L$2/(1+EXP($L$3*(COUNT($L$9:AT$9)+$L$4))),TREND($E74:$F74,$E$9:$F$9,AT$9))</f>
        <v>0</v>
      </c>
      <c r="AU74" s="36">
        <f>IF($G74="s-curve",$E74+($F74-$E74)*$L$2/(1+EXP($L$3*(COUNT($L$9:AU$9)+$L$4))),TREND($E74:$F74,$E$9:$F$9,AU$9))</f>
        <v>0</v>
      </c>
      <c r="AV74" s="36">
        <f>IF($G74="s-curve",$E74+($F74-$E74)*$L$2/(1+EXP($L$3*(COUNT($L$9:AV$9)+$L$4))),TREND($E74:$F74,$E$9:$F$9,AV$9))</f>
        <v>0</v>
      </c>
      <c r="AW74" s="36">
        <f>IF($G74="s-curve",$E74+($F74-$E74)*$L$2/(1+EXP($L$3*(COUNT($L$9:AW$9)+$L$4))),TREND($E74:$F74,$E$9:$F$9,AW$9))</f>
        <v>0</v>
      </c>
      <c r="AX74" s="36">
        <f>IF($G74="s-curve",$E74+($F74-$E74)*$L$2/(1+EXP($L$3*(COUNT($L$9:AX$9)+$L$4))),TREND($E74:$F74,$E$9:$F$9,AX$9))</f>
        <v>0</v>
      </c>
      <c r="AY74" s="36">
        <f>IF($G74="s-curve",$E74+($F74-$E74)*$L$2/(1+EXP($L$3*(COUNT($L$9:AY$9)+$L$4))),TREND($E74:$F74,$E$9:$F$9,AY$9))</f>
        <v>0</v>
      </c>
      <c r="AZ74" s="36">
        <f>IF($G74="s-curve",$E74+($F74-$E74)*$L$2/(1+EXP($L$3*(COUNT($L$9:AZ$9)+$L$4))),TREND($E74:$F74,$E$9:$F$9,AZ$9))</f>
        <v>0</v>
      </c>
      <c r="BA74" s="36">
        <f>IF($G74="s-curve",$E74+($F74-$E74)*$L$2/(1+EXP($L$3*(COUNT($L$9:BA$9)+$L$4))),TREND($E74:$F74,$E$9:$F$9,BA$9))</f>
        <v>0</v>
      </c>
      <c r="BB74" s="36">
        <f>IF($G74="s-curve",$E74+($F74-$E74)*$L$2/(1+EXP($L$3*(COUNT($L$9:BB$9)+$L$4))),TREND($E74:$F74,$E$9:$F$9,BB$9))</f>
        <v>0</v>
      </c>
      <c r="BC74" s="36">
        <f>IF($G74="s-curve",$E74+($F74-$E74)*$L$2/(1+EXP($L$3*(COUNT($L$9:BC$9)+$L$4))),TREND($E74:$F74,$E$9:$F$9,BC$9))</f>
        <v>0</v>
      </c>
      <c r="BD74" s="36">
        <f>IF($G74="s-curve",$E74+($F74-$E74)*$L$2/(1+EXP($L$3*(COUNT($L$9:BD$9)+$L$4))),TREND($E74:$F74,$E$9:$F$9,BD$9))</f>
        <v>0</v>
      </c>
      <c r="BE74" s="36">
        <f>IF($G74="s-curve",$E74+($F74-$E74)*$L$2/(1+EXP($L$3*(COUNT($L$9:BE$9)+$L$4))),TREND($E74:$F74,$E$9:$F$9,BE$9))</f>
        <v>0</v>
      </c>
      <c r="BF74" s="36">
        <f>IF($G74="s-curve",$E74+($F74-$E74)*$L$2/(1+EXP($L$3*(COUNT($L$9:BF$9)+$L$4))),TREND($E74:$F74,$E$9:$F$9,BF$9))</f>
        <v>0</v>
      </c>
    </row>
    <row r="75" spans="1:58" x14ac:dyDescent="0.25">
      <c r="C75" t="s">
        <v>3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H75" s="33"/>
      <c r="I75">
        <f t="shared" ref="I75:K93" si="32">MAX(_xlfn.FORECAST.LINEAR(I$9,$L75:$P75,$L$9:$P$9),0)</f>
        <v>0</v>
      </c>
      <c r="J75">
        <f t="shared" si="32"/>
        <v>0</v>
      </c>
      <c r="K75">
        <f t="shared" si="32"/>
        <v>0</v>
      </c>
      <c r="L75" s="36">
        <f t="shared" si="31"/>
        <v>0</v>
      </c>
      <c r="M75" s="36">
        <f>IF($G75="s-curve",$E75+($F75-$E75)*$L$2/(1+EXP($L$3*(COUNT($L$9:M$9)+$L$4))),TREND($E75:$F75,$E$9:$F$9,M$9))</f>
        <v>0</v>
      </c>
      <c r="N75" s="36">
        <f>IF($G75="s-curve",$E75+($F75-$E75)*$L$2/(1+EXP($L$3*(COUNT($L$9:N$9)+$L$4))),TREND($E75:$F75,$E$9:$F$9,N$9))</f>
        <v>0</v>
      </c>
      <c r="O75" s="36">
        <f>IF($G75="s-curve",$E75+($F75-$E75)*$L$2/(1+EXP($L$3*(COUNT($L$9:O$9)+$L$4))),TREND($E75:$F75,$E$9:$F$9,O$9))</f>
        <v>0</v>
      </c>
      <c r="P75" s="36">
        <f>IF($G75="s-curve",$E75+($F75-$E75)*$L$2/(1+EXP($L$3*(COUNT($L$9:P$9)+$L$4))),TREND($E75:$F75,$E$9:$F$9,P$9))</f>
        <v>0</v>
      </c>
      <c r="Q75" s="36">
        <f>IF($G75="s-curve",$E75+($F75-$E75)*$L$2/(1+EXP($L$3*(COUNT($L$9:Q$9)+$L$4))),TREND($E75:$F75,$E$9:$F$9,Q$9))</f>
        <v>0</v>
      </c>
      <c r="R75" s="36">
        <f>IF($G75="s-curve",$E75+($F75-$E75)*$L$2/(1+EXP($L$3*(COUNT($L$9:R$9)+$L$4))),TREND($E75:$F75,$E$9:$F$9,R$9))</f>
        <v>0</v>
      </c>
      <c r="S75" s="36">
        <f>IF($G75="s-curve",$E75+($F75-$E75)*$L$2/(1+EXP($L$3*(COUNT($L$9:S$9)+$L$4))),TREND($E75:$F75,$E$9:$F$9,S$9))</f>
        <v>0</v>
      </c>
      <c r="T75" s="36">
        <f>IF($G75="s-curve",$E75+($F75-$E75)*$L$2/(1+EXP($L$3*(COUNT($L$9:T$9)+$L$4))),TREND($E75:$F75,$E$9:$F$9,T$9))</f>
        <v>0</v>
      </c>
      <c r="U75" s="36">
        <f>IF($G75="s-curve",$E75+($F75-$E75)*$L$2/(1+EXP($L$3*(COUNT($L$9:U$9)+$L$4))),TREND($E75:$F75,$E$9:$F$9,U$9))</f>
        <v>0</v>
      </c>
      <c r="V75" s="36">
        <f>IF($G75="s-curve",$E75+($F75-$E75)*$L$2/(1+EXP($L$3*(COUNT($L$9:V$9)+$L$4))),TREND($E75:$F75,$E$9:$F$9,V$9))</f>
        <v>0</v>
      </c>
      <c r="W75" s="36">
        <f>IF($G75="s-curve",$E75+($F75-$E75)*$L$2/(1+EXP($L$3*(COUNT($L$9:W$9)+$L$4))),TREND($E75:$F75,$E$9:$F$9,W$9))</f>
        <v>0</v>
      </c>
      <c r="X75" s="36">
        <f>IF($G75="s-curve",$E75+($F75-$E75)*$L$2/(1+EXP($L$3*(COUNT($L$9:X$9)+$L$4))),TREND($E75:$F75,$E$9:$F$9,X$9))</f>
        <v>0</v>
      </c>
      <c r="Y75" s="36">
        <f>IF($G75="s-curve",$E75+($F75-$E75)*$L$2/(1+EXP($L$3*(COUNT($L$9:Y$9)+$L$4))),TREND($E75:$F75,$E$9:$F$9,Y$9))</f>
        <v>0</v>
      </c>
      <c r="Z75" s="36">
        <f>IF($G75="s-curve",$E75+($F75-$E75)*$L$2/(1+EXP($L$3*(COUNT($L$9:Z$9)+$L$4))),TREND($E75:$F75,$E$9:$F$9,Z$9))</f>
        <v>0</v>
      </c>
      <c r="AA75" s="36">
        <f>IF($G75="s-curve",$E75+($F75-$E75)*$L$2/(1+EXP($L$3*(COUNT($L$9:AA$9)+$L$4))),TREND($E75:$F75,$E$9:$F$9,AA$9))</f>
        <v>0</v>
      </c>
      <c r="AB75" s="36">
        <f>IF($G75="s-curve",$E75+($F75-$E75)*$L$2/(1+EXP($L$3*(COUNT($L$9:AB$9)+$L$4))),TREND($E75:$F75,$E$9:$F$9,AB$9))</f>
        <v>0</v>
      </c>
      <c r="AC75" s="36">
        <f>IF($G75="s-curve",$E75+($F75-$E75)*$L$2/(1+EXP($L$3*(COUNT($L$9:AC$9)+$L$4))),TREND($E75:$F75,$E$9:$F$9,AC$9))</f>
        <v>0</v>
      </c>
      <c r="AD75" s="36">
        <f>IF($G75="s-curve",$E75+($F75-$E75)*$L$2/(1+EXP($L$3*(COUNT($L$9:AD$9)+$L$4))),TREND($E75:$F75,$E$9:$F$9,AD$9))</f>
        <v>0</v>
      </c>
      <c r="AE75" s="36">
        <f>IF($G75="s-curve",$E75+($F75-$E75)*$L$2/(1+EXP($L$3*(COUNT($L$9:AE$9)+$L$4))),TREND($E75:$F75,$E$9:$F$9,AE$9))</f>
        <v>0</v>
      </c>
      <c r="AF75" s="36">
        <f>IF($G75="s-curve",$E75+($F75-$E75)*$L$2/(1+EXP($L$3*(COUNT($L$9:AF$9)+$L$4))),TREND($E75:$F75,$E$9:$F$9,AF$9))</f>
        <v>0</v>
      </c>
      <c r="AG75" s="36">
        <f>IF($G75="s-curve",$E75+($F75-$E75)*$L$2/(1+EXP($L$3*(COUNT($L$9:AG$9)+$L$4))),TREND($E75:$F75,$E$9:$F$9,AG$9))</f>
        <v>0</v>
      </c>
      <c r="AH75" s="36">
        <f>IF($G75="s-curve",$E75+($F75-$E75)*$L$2/(1+EXP($L$3*(COUNT($L$9:AH$9)+$L$4))),TREND($E75:$F75,$E$9:$F$9,AH$9))</f>
        <v>0</v>
      </c>
      <c r="AI75" s="36">
        <f>IF($G75="s-curve",$E75+($F75-$E75)*$L$2/(1+EXP($L$3*(COUNT($L$9:AI$9)+$L$4))),TREND($E75:$F75,$E$9:$F$9,AI$9))</f>
        <v>0</v>
      </c>
      <c r="AJ75" s="36">
        <f>IF($G75="s-curve",$E75+($F75-$E75)*$L$2/(1+EXP($L$3*(COUNT($L$9:AJ$9)+$L$4))),TREND($E75:$F75,$E$9:$F$9,AJ$9))</f>
        <v>0</v>
      </c>
      <c r="AK75" s="36">
        <f>IF($G75="s-curve",$E75+($F75-$E75)*$L$2/(1+EXP($L$3*(COUNT($L$9:AK$9)+$L$4))),TREND($E75:$F75,$E$9:$F$9,AK$9))</f>
        <v>0</v>
      </c>
      <c r="AL75" s="36">
        <f>IF($G75="s-curve",$E75+($F75-$E75)*$L$2/(1+EXP($L$3*(COUNT($L$9:AL$9)+$L$4))),TREND($E75:$F75,$E$9:$F$9,AL$9))</f>
        <v>0</v>
      </c>
      <c r="AM75" s="36">
        <f>IF($G75="s-curve",$E75+($F75-$E75)*$L$2/(1+EXP($L$3*(COUNT($L$9:AM$9)+$L$4))),TREND($E75:$F75,$E$9:$F$9,AM$9))</f>
        <v>0</v>
      </c>
      <c r="AN75" s="36">
        <f>IF($G75="s-curve",$E75+($F75-$E75)*$L$2/(1+EXP($L$3*(COUNT($L$9:AN$9)+$L$4))),TREND($E75:$F75,$E$9:$F$9,AN$9))</f>
        <v>0</v>
      </c>
      <c r="AO75" s="36">
        <f>IF($G75="s-curve",$E75+($F75-$E75)*$L$2/(1+EXP($L$3*(COUNT($L$9:AO$9)+$L$4))),TREND($E75:$F75,$E$9:$F$9,AO$9))</f>
        <v>0</v>
      </c>
      <c r="AP75" s="36">
        <f>IF($G75="s-curve",$E75+($F75-$E75)*$L$2/(1+EXP($L$3*(COUNT($L$9:AP$9)+$L$4))),TREND($E75:$F75,$E$9:$F$9,AP$9))</f>
        <v>0</v>
      </c>
      <c r="AQ75" s="36">
        <f>IF($G75="s-curve",$E75+($F75-$E75)*$L$2/(1+EXP($L$3*(COUNT($L$9:AQ$9)+$L$4))),TREND($E75:$F75,$E$9:$F$9,AQ$9))</f>
        <v>0</v>
      </c>
      <c r="AR75" s="36">
        <f>IF($G75="s-curve",$E75+($F75-$E75)*$L$2/(1+EXP($L$3*(COUNT($L$9:AR$9)+$L$4))),TREND($E75:$F75,$E$9:$F$9,AR$9))</f>
        <v>0</v>
      </c>
      <c r="AS75" s="36">
        <f>IF($G75="s-curve",$E75+($F75-$E75)*$L$2/(1+EXP($L$3*(COUNT($L$9:AS$9)+$L$4))),TREND($E75:$F75,$E$9:$F$9,AS$9))</f>
        <v>0</v>
      </c>
      <c r="AT75" s="36">
        <f>IF($G75="s-curve",$E75+($F75-$E75)*$L$2/(1+EXP($L$3*(COUNT($L$9:AT$9)+$L$4))),TREND($E75:$F75,$E$9:$F$9,AT$9))</f>
        <v>0</v>
      </c>
      <c r="AU75" s="36">
        <f>IF($G75="s-curve",$E75+($F75-$E75)*$L$2/(1+EXP($L$3*(COUNT($L$9:AU$9)+$L$4))),TREND($E75:$F75,$E$9:$F$9,AU$9))</f>
        <v>0</v>
      </c>
      <c r="AV75" s="36">
        <f>IF($G75="s-curve",$E75+($F75-$E75)*$L$2/(1+EXP($L$3*(COUNT($L$9:AV$9)+$L$4))),TREND($E75:$F75,$E$9:$F$9,AV$9))</f>
        <v>0</v>
      </c>
      <c r="AW75" s="36">
        <f>IF($G75="s-curve",$E75+($F75-$E75)*$L$2/(1+EXP($L$3*(COUNT($L$9:AW$9)+$L$4))),TREND($E75:$F75,$E$9:$F$9,AW$9))</f>
        <v>0</v>
      </c>
      <c r="AX75" s="36">
        <f>IF($G75="s-curve",$E75+($F75-$E75)*$L$2/(1+EXP($L$3*(COUNT($L$9:AX$9)+$L$4))),TREND($E75:$F75,$E$9:$F$9,AX$9))</f>
        <v>0</v>
      </c>
      <c r="AY75" s="36">
        <f>IF($G75="s-curve",$E75+($F75-$E75)*$L$2/(1+EXP($L$3*(COUNT($L$9:AY$9)+$L$4))),TREND($E75:$F75,$E$9:$F$9,AY$9))</f>
        <v>0</v>
      </c>
      <c r="AZ75" s="36">
        <f>IF($G75="s-curve",$E75+($F75-$E75)*$L$2/(1+EXP($L$3*(COUNT($L$9:AZ$9)+$L$4))),TREND($E75:$F75,$E$9:$F$9,AZ$9))</f>
        <v>0</v>
      </c>
      <c r="BA75" s="36">
        <f>IF($G75="s-curve",$E75+($F75-$E75)*$L$2/(1+EXP($L$3*(COUNT($L$9:BA$9)+$L$4))),TREND($E75:$F75,$E$9:$F$9,BA$9))</f>
        <v>0</v>
      </c>
      <c r="BB75" s="36">
        <f>IF($G75="s-curve",$E75+($F75-$E75)*$L$2/(1+EXP($L$3*(COUNT($L$9:BB$9)+$L$4))),TREND($E75:$F75,$E$9:$F$9,BB$9))</f>
        <v>0</v>
      </c>
      <c r="BC75" s="36">
        <f>IF($G75="s-curve",$E75+($F75-$E75)*$L$2/(1+EXP($L$3*(COUNT($L$9:BC$9)+$L$4))),TREND($E75:$F75,$E$9:$F$9,BC$9))</f>
        <v>0</v>
      </c>
      <c r="BD75" s="36">
        <f>IF($G75="s-curve",$E75+($F75-$E75)*$L$2/(1+EXP($L$3*(COUNT($L$9:BD$9)+$L$4))),TREND($E75:$F75,$E$9:$F$9,BD$9))</f>
        <v>0</v>
      </c>
      <c r="BE75" s="36">
        <f>IF($G75="s-curve",$E75+($F75-$E75)*$L$2/(1+EXP($L$3*(COUNT($L$9:BE$9)+$L$4))),TREND($E75:$F75,$E$9:$F$9,BE$9))</f>
        <v>0</v>
      </c>
      <c r="BF75" s="36">
        <f>IF($G75="s-curve",$E75+($F75-$E75)*$L$2/(1+EXP($L$3*(COUNT($L$9:BF$9)+$L$4))),TREND($E75:$F75,$E$9:$F$9,BF$9))</f>
        <v>0</v>
      </c>
    </row>
    <row r="76" spans="1:58" x14ac:dyDescent="0.25">
      <c r="C76" t="s">
        <v>4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H76" s="33"/>
      <c r="I76">
        <f t="shared" si="32"/>
        <v>1</v>
      </c>
      <c r="J76">
        <f t="shared" si="32"/>
        <v>1</v>
      </c>
      <c r="K76">
        <f t="shared" si="32"/>
        <v>1</v>
      </c>
      <c r="L76" s="36">
        <f t="shared" si="31"/>
        <v>1</v>
      </c>
      <c r="M76" s="36">
        <f>IF($G76="s-curve",$E76+($F76-$E76)*$L$2/(1+EXP($L$3*(COUNT($L$9:M$9)+$L$4))),TREND($E76:$F76,$E$9:$F$9,M$9))</f>
        <v>1</v>
      </c>
      <c r="N76" s="36">
        <f>IF($G76="s-curve",$E76+($F76-$E76)*$L$2/(1+EXP($L$3*(COUNT($L$9:N$9)+$L$4))),TREND($E76:$F76,$E$9:$F$9,N$9))</f>
        <v>1</v>
      </c>
      <c r="O76" s="36">
        <f>IF($G76="s-curve",$E76+($F76-$E76)*$L$2/(1+EXP($L$3*(COUNT($L$9:O$9)+$L$4))),TREND($E76:$F76,$E$9:$F$9,O$9))</f>
        <v>1</v>
      </c>
      <c r="P76" s="36">
        <f>IF($G76="s-curve",$E76+($F76-$E76)*$L$2/(1+EXP($L$3*(COUNT($L$9:P$9)+$L$4))),TREND($E76:$F76,$E$9:$F$9,P$9))</f>
        <v>1</v>
      </c>
      <c r="Q76" s="36">
        <f>IF($G76="s-curve",$E76+($F76-$E76)*$L$2/(1+EXP($L$3*(COUNT($L$9:Q$9)+$L$4))),TREND($E76:$F76,$E$9:$F$9,Q$9))</f>
        <v>1</v>
      </c>
      <c r="R76" s="36">
        <f>IF($G76="s-curve",$E76+($F76-$E76)*$L$2/(1+EXP($L$3*(COUNT($L$9:R$9)+$L$4))),TREND($E76:$F76,$E$9:$F$9,R$9))</f>
        <v>1</v>
      </c>
      <c r="S76" s="36">
        <f>IF($G76="s-curve",$E76+($F76-$E76)*$L$2/(1+EXP($L$3*(COUNT($L$9:S$9)+$L$4))),TREND($E76:$F76,$E$9:$F$9,S$9))</f>
        <v>1</v>
      </c>
      <c r="T76" s="36">
        <f>IF($G76="s-curve",$E76+($F76-$E76)*$L$2/(1+EXP($L$3*(COUNT($L$9:T$9)+$L$4))),TREND($E76:$F76,$E$9:$F$9,T$9))</f>
        <v>1</v>
      </c>
      <c r="U76" s="36">
        <f>IF($G76="s-curve",$E76+($F76-$E76)*$L$2/(1+EXP($L$3*(COUNT($L$9:U$9)+$L$4))),TREND($E76:$F76,$E$9:$F$9,U$9))</f>
        <v>1</v>
      </c>
      <c r="V76" s="36">
        <f>IF($G76="s-curve",$E76+($F76-$E76)*$L$2/(1+EXP($L$3*(COUNT($L$9:V$9)+$L$4))),TREND($E76:$F76,$E$9:$F$9,V$9))</f>
        <v>1</v>
      </c>
      <c r="W76" s="36">
        <f>IF($G76="s-curve",$E76+($F76-$E76)*$L$2/(1+EXP($L$3*(COUNT($L$9:W$9)+$L$4))),TREND($E76:$F76,$E$9:$F$9,W$9))</f>
        <v>1</v>
      </c>
      <c r="X76" s="36">
        <f>IF($G76="s-curve",$E76+($F76-$E76)*$L$2/(1+EXP($L$3*(COUNT($L$9:X$9)+$L$4))),TREND($E76:$F76,$E$9:$F$9,X$9))</f>
        <v>1</v>
      </c>
      <c r="Y76" s="36">
        <f>IF($G76="s-curve",$E76+($F76-$E76)*$L$2/(1+EXP($L$3*(COUNT($L$9:Y$9)+$L$4))),TREND($E76:$F76,$E$9:$F$9,Y$9))</f>
        <v>1</v>
      </c>
      <c r="Z76" s="36">
        <f>IF($G76="s-curve",$E76+($F76-$E76)*$L$2/(1+EXP($L$3*(COUNT($L$9:Z$9)+$L$4))),TREND($E76:$F76,$E$9:$F$9,Z$9))</f>
        <v>1</v>
      </c>
      <c r="AA76" s="36">
        <f>IF($G76="s-curve",$E76+($F76-$E76)*$L$2/(1+EXP($L$3*(COUNT($L$9:AA$9)+$L$4))),TREND($E76:$F76,$E$9:$F$9,AA$9))</f>
        <v>1</v>
      </c>
      <c r="AB76" s="36">
        <f>IF($G76="s-curve",$E76+($F76-$E76)*$L$2/(1+EXP($L$3*(COUNT($L$9:AB$9)+$L$4))),TREND($E76:$F76,$E$9:$F$9,AB$9))</f>
        <v>1</v>
      </c>
      <c r="AC76" s="36">
        <f>IF($G76="s-curve",$E76+($F76-$E76)*$L$2/(1+EXP($L$3*(COUNT($L$9:AC$9)+$L$4))),TREND($E76:$F76,$E$9:$F$9,AC$9))</f>
        <v>1</v>
      </c>
      <c r="AD76" s="36">
        <f>IF($G76="s-curve",$E76+($F76-$E76)*$L$2/(1+EXP($L$3*(COUNT($L$9:AD$9)+$L$4))),TREND($E76:$F76,$E$9:$F$9,AD$9))</f>
        <v>1</v>
      </c>
      <c r="AE76" s="36">
        <f>IF($G76="s-curve",$E76+($F76-$E76)*$L$2/(1+EXP($L$3*(COUNT($L$9:AE$9)+$L$4))),TREND($E76:$F76,$E$9:$F$9,AE$9))</f>
        <v>1</v>
      </c>
      <c r="AF76" s="36">
        <f>IF($G76="s-curve",$E76+($F76-$E76)*$L$2/(1+EXP($L$3*(COUNT($L$9:AF$9)+$L$4))),TREND($E76:$F76,$E$9:$F$9,AF$9))</f>
        <v>1</v>
      </c>
      <c r="AG76" s="36">
        <f>IF($G76="s-curve",$E76+($F76-$E76)*$L$2/(1+EXP($L$3*(COUNT($L$9:AG$9)+$L$4))),TREND($E76:$F76,$E$9:$F$9,AG$9))</f>
        <v>1</v>
      </c>
      <c r="AH76" s="36">
        <f>IF($G76="s-curve",$E76+($F76-$E76)*$L$2/(1+EXP($L$3*(COUNT($L$9:AH$9)+$L$4))),TREND($E76:$F76,$E$9:$F$9,AH$9))</f>
        <v>1</v>
      </c>
      <c r="AI76" s="36">
        <f>IF($G76="s-curve",$E76+($F76-$E76)*$L$2/(1+EXP($L$3*(COUNT($L$9:AI$9)+$L$4))),TREND($E76:$F76,$E$9:$F$9,AI$9))</f>
        <v>1</v>
      </c>
      <c r="AJ76" s="36">
        <f>IF($G76="s-curve",$E76+($F76-$E76)*$L$2/(1+EXP($L$3*(COUNT($L$9:AJ$9)+$L$4))),TREND($E76:$F76,$E$9:$F$9,AJ$9))</f>
        <v>1</v>
      </c>
      <c r="AK76" s="36">
        <f>IF($G76="s-curve",$E76+($F76-$E76)*$L$2/(1+EXP($L$3*(COUNT($L$9:AK$9)+$L$4))),TREND($E76:$F76,$E$9:$F$9,AK$9))</f>
        <v>1</v>
      </c>
      <c r="AL76" s="36">
        <f>IF($G76="s-curve",$E76+($F76-$E76)*$L$2/(1+EXP($L$3*(COUNT($L$9:AL$9)+$L$4))),TREND($E76:$F76,$E$9:$F$9,AL$9))</f>
        <v>1</v>
      </c>
      <c r="AM76" s="36">
        <f>IF($G76="s-curve",$E76+($F76-$E76)*$L$2/(1+EXP($L$3*(COUNT($L$9:AM$9)+$L$4))),TREND($E76:$F76,$E$9:$F$9,AM$9))</f>
        <v>1</v>
      </c>
      <c r="AN76" s="36">
        <f>IF($G76="s-curve",$E76+($F76-$E76)*$L$2/(1+EXP($L$3*(COUNT($L$9:AN$9)+$L$4))),TREND($E76:$F76,$E$9:$F$9,AN$9))</f>
        <v>1</v>
      </c>
      <c r="AO76" s="36">
        <f>IF($G76="s-curve",$E76+($F76-$E76)*$L$2/(1+EXP($L$3*(COUNT($L$9:AO$9)+$L$4))),TREND($E76:$F76,$E$9:$F$9,AO$9))</f>
        <v>1</v>
      </c>
      <c r="AP76" s="36">
        <f>IF($G76="s-curve",$E76+($F76-$E76)*$L$2/(1+EXP($L$3*(COUNT($L$9:AP$9)+$L$4))),TREND($E76:$F76,$E$9:$F$9,AP$9))</f>
        <v>1</v>
      </c>
      <c r="AQ76" s="36">
        <f>IF($G76="s-curve",$E76+($F76-$E76)*$L$2/(1+EXP($L$3*(COUNT($L$9:AQ$9)+$L$4))),TREND($E76:$F76,$E$9:$F$9,AQ$9))</f>
        <v>1</v>
      </c>
      <c r="AR76" s="36">
        <f>IF($G76="s-curve",$E76+($F76-$E76)*$L$2/(1+EXP($L$3*(COUNT($L$9:AR$9)+$L$4))),TREND($E76:$F76,$E$9:$F$9,AR$9))</f>
        <v>1</v>
      </c>
      <c r="AS76" s="36">
        <f>IF($G76="s-curve",$E76+($F76-$E76)*$L$2/(1+EXP($L$3*(COUNT($L$9:AS$9)+$L$4))),TREND($E76:$F76,$E$9:$F$9,AS$9))</f>
        <v>1</v>
      </c>
      <c r="AT76" s="36">
        <f>IF($G76="s-curve",$E76+($F76-$E76)*$L$2/(1+EXP($L$3*(COUNT($L$9:AT$9)+$L$4))),TREND($E76:$F76,$E$9:$F$9,AT$9))</f>
        <v>1</v>
      </c>
      <c r="AU76" s="36">
        <f>IF($G76="s-curve",$E76+($F76-$E76)*$L$2/(1+EXP($L$3*(COUNT($L$9:AU$9)+$L$4))),TREND($E76:$F76,$E$9:$F$9,AU$9))</f>
        <v>1</v>
      </c>
      <c r="AV76" s="36">
        <f>IF($G76="s-curve",$E76+($F76-$E76)*$L$2/(1+EXP($L$3*(COUNT($L$9:AV$9)+$L$4))),TREND($E76:$F76,$E$9:$F$9,AV$9))</f>
        <v>1</v>
      </c>
      <c r="AW76" s="36">
        <f>IF($G76="s-curve",$E76+($F76-$E76)*$L$2/(1+EXP($L$3*(COUNT($L$9:AW$9)+$L$4))),TREND($E76:$F76,$E$9:$F$9,AW$9))</f>
        <v>1</v>
      </c>
      <c r="AX76" s="36">
        <f>IF($G76="s-curve",$E76+($F76-$E76)*$L$2/(1+EXP($L$3*(COUNT($L$9:AX$9)+$L$4))),TREND($E76:$F76,$E$9:$F$9,AX$9))</f>
        <v>1</v>
      </c>
      <c r="AY76" s="36">
        <f>IF($G76="s-curve",$E76+($F76-$E76)*$L$2/(1+EXP($L$3*(COUNT($L$9:AY$9)+$L$4))),TREND($E76:$F76,$E$9:$F$9,AY$9))</f>
        <v>1</v>
      </c>
      <c r="AZ76" s="36">
        <f>IF($G76="s-curve",$E76+($F76-$E76)*$L$2/(1+EXP($L$3*(COUNT($L$9:AZ$9)+$L$4))),TREND($E76:$F76,$E$9:$F$9,AZ$9))</f>
        <v>1</v>
      </c>
      <c r="BA76" s="36">
        <f>IF($G76="s-curve",$E76+($F76-$E76)*$L$2/(1+EXP($L$3*(COUNT($L$9:BA$9)+$L$4))),TREND($E76:$F76,$E$9:$F$9,BA$9))</f>
        <v>1</v>
      </c>
      <c r="BB76" s="36">
        <f>IF($G76="s-curve",$E76+($F76-$E76)*$L$2/(1+EXP($L$3*(COUNT($L$9:BB$9)+$L$4))),TREND($E76:$F76,$E$9:$F$9,BB$9))</f>
        <v>1</v>
      </c>
      <c r="BC76" s="36">
        <f>IF($G76="s-curve",$E76+($F76-$E76)*$L$2/(1+EXP($L$3*(COUNT($L$9:BC$9)+$L$4))),TREND($E76:$F76,$E$9:$F$9,BC$9))</f>
        <v>1</v>
      </c>
      <c r="BD76" s="36">
        <f>IF($G76="s-curve",$E76+($F76-$E76)*$L$2/(1+EXP($L$3*(COUNT($L$9:BD$9)+$L$4))),TREND($E76:$F76,$E$9:$F$9,BD$9))</f>
        <v>1</v>
      </c>
      <c r="BE76" s="36">
        <f>IF($G76="s-curve",$E76+($F76-$E76)*$L$2/(1+EXP($L$3*(COUNT($L$9:BE$9)+$L$4))),TREND($E76:$F76,$E$9:$F$9,BE$9))</f>
        <v>1</v>
      </c>
      <c r="BF76" s="36">
        <f>IF($G76="s-curve",$E76+($F76-$E76)*$L$2/(1+EXP($L$3*(COUNT($L$9:BF$9)+$L$4))),TREND($E76:$F76,$E$9:$F$9,BF$9))</f>
        <v>1</v>
      </c>
    </row>
    <row r="77" spans="1:58" x14ac:dyDescent="0.25">
      <c r="C77" t="s">
        <v>5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H77" s="33"/>
      <c r="I77">
        <f t="shared" si="32"/>
        <v>0</v>
      </c>
      <c r="J77">
        <f t="shared" si="32"/>
        <v>0</v>
      </c>
      <c r="K77">
        <f t="shared" si="32"/>
        <v>0</v>
      </c>
      <c r="L77" s="36">
        <f t="shared" si="31"/>
        <v>0</v>
      </c>
      <c r="M77" s="36">
        <f>IF($G77="s-curve",$E77+($F77-$E77)*$L$2/(1+EXP($L$3*(COUNT($L$9:M$9)+$L$4))),TREND($E77:$F77,$E$9:$F$9,M$9))</f>
        <v>0</v>
      </c>
      <c r="N77" s="36">
        <f>IF($G77="s-curve",$E77+($F77-$E77)*$L$2/(1+EXP($L$3*(COUNT($L$9:N$9)+$L$4))),TREND($E77:$F77,$E$9:$F$9,N$9))</f>
        <v>0</v>
      </c>
      <c r="O77" s="36">
        <f>IF($G77="s-curve",$E77+($F77-$E77)*$L$2/(1+EXP($L$3*(COUNT($L$9:O$9)+$L$4))),TREND($E77:$F77,$E$9:$F$9,O$9))</f>
        <v>0</v>
      </c>
      <c r="P77" s="36">
        <f>IF($G77="s-curve",$E77+($F77-$E77)*$L$2/(1+EXP($L$3*(COUNT($L$9:P$9)+$L$4))),TREND($E77:$F77,$E$9:$F$9,P$9))</f>
        <v>0</v>
      </c>
      <c r="Q77" s="36">
        <f>IF($G77="s-curve",$E77+($F77-$E77)*$L$2/(1+EXP($L$3*(COUNT($L$9:Q$9)+$L$4))),TREND($E77:$F77,$E$9:$F$9,Q$9))</f>
        <v>0</v>
      </c>
      <c r="R77" s="36">
        <f>IF($G77="s-curve",$E77+($F77-$E77)*$L$2/(1+EXP($L$3*(COUNT($L$9:R$9)+$L$4))),TREND($E77:$F77,$E$9:$F$9,R$9))</f>
        <v>0</v>
      </c>
      <c r="S77" s="36">
        <f>IF($G77="s-curve",$E77+($F77-$E77)*$L$2/(1+EXP($L$3*(COUNT($L$9:S$9)+$L$4))),TREND($E77:$F77,$E$9:$F$9,S$9))</f>
        <v>0</v>
      </c>
      <c r="T77" s="36">
        <f>IF($G77="s-curve",$E77+($F77-$E77)*$L$2/(1+EXP($L$3*(COUNT($L$9:T$9)+$L$4))),TREND($E77:$F77,$E$9:$F$9,T$9))</f>
        <v>0</v>
      </c>
      <c r="U77" s="36">
        <f>IF($G77="s-curve",$E77+($F77-$E77)*$L$2/(1+EXP($L$3*(COUNT($L$9:U$9)+$L$4))),TREND($E77:$F77,$E$9:$F$9,U$9))</f>
        <v>0</v>
      </c>
      <c r="V77" s="36">
        <f>IF($G77="s-curve",$E77+($F77-$E77)*$L$2/(1+EXP($L$3*(COUNT($L$9:V$9)+$L$4))),TREND($E77:$F77,$E$9:$F$9,V$9))</f>
        <v>0</v>
      </c>
      <c r="W77" s="36">
        <f>IF($G77="s-curve",$E77+($F77-$E77)*$L$2/(1+EXP($L$3*(COUNT($L$9:W$9)+$L$4))),TREND($E77:$F77,$E$9:$F$9,W$9))</f>
        <v>0</v>
      </c>
      <c r="X77" s="36">
        <f>IF($G77="s-curve",$E77+($F77-$E77)*$L$2/(1+EXP($L$3*(COUNT($L$9:X$9)+$L$4))),TREND($E77:$F77,$E$9:$F$9,X$9))</f>
        <v>0</v>
      </c>
      <c r="Y77" s="36">
        <f>IF($G77="s-curve",$E77+($F77-$E77)*$L$2/(1+EXP($L$3*(COUNT($L$9:Y$9)+$L$4))),TREND($E77:$F77,$E$9:$F$9,Y$9))</f>
        <v>0</v>
      </c>
      <c r="Z77" s="36">
        <f>IF($G77="s-curve",$E77+($F77-$E77)*$L$2/(1+EXP($L$3*(COUNT($L$9:Z$9)+$L$4))),TREND($E77:$F77,$E$9:$F$9,Z$9))</f>
        <v>0</v>
      </c>
      <c r="AA77" s="36">
        <f>IF($G77="s-curve",$E77+($F77-$E77)*$L$2/(1+EXP($L$3*(COUNT($L$9:AA$9)+$L$4))),TREND($E77:$F77,$E$9:$F$9,AA$9))</f>
        <v>0</v>
      </c>
      <c r="AB77" s="36">
        <f>IF($G77="s-curve",$E77+($F77-$E77)*$L$2/(1+EXP($L$3*(COUNT($L$9:AB$9)+$L$4))),TREND($E77:$F77,$E$9:$F$9,AB$9))</f>
        <v>0</v>
      </c>
      <c r="AC77" s="36">
        <f>IF($G77="s-curve",$E77+($F77-$E77)*$L$2/(1+EXP($L$3*(COUNT($L$9:AC$9)+$L$4))),TREND($E77:$F77,$E$9:$F$9,AC$9))</f>
        <v>0</v>
      </c>
      <c r="AD77" s="36">
        <f>IF($G77="s-curve",$E77+($F77-$E77)*$L$2/(1+EXP($L$3*(COUNT($L$9:AD$9)+$L$4))),TREND($E77:$F77,$E$9:$F$9,AD$9))</f>
        <v>0</v>
      </c>
      <c r="AE77" s="36">
        <f>IF($G77="s-curve",$E77+($F77-$E77)*$L$2/(1+EXP($L$3*(COUNT($L$9:AE$9)+$L$4))),TREND($E77:$F77,$E$9:$F$9,AE$9))</f>
        <v>0</v>
      </c>
      <c r="AF77" s="36">
        <f>IF($G77="s-curve",$E77+($F77-$E77)*$L$2/(1+EXP($L$3*(COUNT($L$9:AF$9)+$L$4))),TREND($E77:$F77,$E$9:$F$9,AF$9))</f>
        <v>0</v>
      </c>
      <c r="AG77" s="36">
        <f>IF($G77="s-curve",$E77+($F77-$E77)*$L$2/(1+EXP($L$3*(COUNT($L$9:AG$9)+$L$4))),TREND($E77:$F77,$E$9:$F$9,AG$9))</f>
        <v>0</v>
      </c>
      <c r="AH77" s="36">
        <f>IF($G77="s-curve",$E77+($F77-$E77)*$L$2/(1+EXP($L$3*(COUNT($L$9:AH$9)+$L$4))),TREND($E77:$F77,$E$9:$F$9,AH$9))</f>
        <v>0</v>
      </c>
      <c r="AI77" s="36">
        <f>IF($G77="s-curve",$E77+($F77-$E77)*$L$2/(1+EXP($L$3*(COUNT($L$9:AI$9)+$L$4))),TREND($E77:$F77,$E$9:$F$9,AI$9))</f>
        <v>0</v>
      </c>
      <c r="AJ77" s="36">
        <f>IF($G77="s-curve",$E77+($F77-$E77)*$L$2/(1+EXP($L$3*(COUNT($L$9:AJ$9)+$L$4))),TREND($E77:$F77,$E$9:$F$9,AJ$9))</f>
        <v>0</v>
      </c>
      <c r="AK77" s="36">
        <f>IF($G77="s-curve",$E77+($F77-$E77)*$L$2/(1+EXP($L$3*(COUNT($L$9:AK$9)+$L$4))),TREND($E77:$F77,$E$9:$F$9,AK$9))</f>
        <v>0</v>
      </c>
      <c r="AL77" s="36">
        <f>IF($G77="s-curve",$E77+($F77-$E77)*$L$2/(1+EXP($L$3*(COUNT($L$9:AL$9)+$L$4))),TREND($E77:$F77,$E$9:$F$9,AL$9))</f>
        <v>0</v>
      </c>
      <c r="AM77" s="36">
        <f>IF($G77="s-curve",$E77+($F77-$E77)*$L$2/(1+EXP($L$3*(COUNT($L$9:AM$9)+$L$4))),TREND($E77:$F77,$E$9:$F$9,AM$9))</f>
        <v>0</v>
      </c>
      <c r="AN77" s="36">
        <f>IF($G77="s-curve",$E77+($F77-$E77)*$L$2/(1+EXP($L$3*(COUNT($L$9:AN$9)+$L$4))),TREND($E77:$F77,$E$9:$F$9,AN$9))</f>
        <v>0</v>
      </c>
      <c r="AO77" s="36">
        <f>IF($G77="s-curve",$E77+($F77-$E77)*$L$2/(1+EXP($L$3*(COUNT($L$9:AO$9)+$L$4))),TREND($E77:$F77,$E$9:$F$9,AO$9))</f>
        <v>0</v>
      </c>
      <c r="AP77" s="36">
        <f>IF($G77="s-curve",$E77+($F77-$E77)*$L$2/(1+EXP($L$3*(COUNT($L$9:AP$9)+$L$4))),TREND($E77:$F77,$E$9:$F$9,AP$9))</f>
        <v>0</v>
      </c>
      <c r="AQ77" s="36">
        <f>IF($G77="s-curve",$E77+($F77-$E77)*$L$2/(1+EXP($L$3*(COUNT($L$9:AQ$9)+$L$4))),TREND($E77:$F77,$E$9:$F$9,AQ$9))</f>
        <v>0</v>
      </c>
      <c r="AR77" s="36">
        <f>IF($G77="s-curve",$E77+($F77-$E77)*$L$2/(1+EXP($L$3*(COUNT($L$9:AR$9)+$L$4))),TREND($E77:$F77,$E$9:$F$9,AR$9))</f>
        <v>0</v>
      </c>
      <c r="AS77" s="36">
        <f>IF($G77="s-curve",$E77+($F77-$E77)*$L$2/(1+EXP($L$3*(COUNT($L$9:AS$9)+$L$4))),TREND($E77:$F77,$E$9:$F$9,AS$9))</f>
        <v>0</v>
      </c>
      <c r="AT77" s="36">
        <f>IF($G77="s-curve",$E77+($F77-$E77)*$L$2/(1+EXP($L$3*(COUNT($L$9:AT$9)+$L$4))),TREND($E77:$F77,$E$9:$F$9,AT$9))</f>
        <v>0</v>
      </c>
      <c r="AU77" s="36">
        <f>IF($G77="s-curve",$E77+($F77-$E77)*$L$2/(1+EXP($L$3*(COUNT($L$9:AU$9)+$L$4))),TREND($E77:$F77,$E$9:$F$9,AU$9))</f>
        <v>0</v>
      </c>
      <c r="AV77" s="36">
        <f>IF($G77="s-curve",$E77+($F77-$E77)*$L$2/(1+EXP($L$3*(COUNT($L$9:AV$9)+$L$4))),TREND($E77:$F77,$E$9:$F$9,AV$9))</f>
        <v>0</v>
      </c>
      <c r="AW77" s="36">
        <f>IF($G77="s-curve",$E77+($F77-$E77)*$L$2/(1+EXP($L$3*(COUNT($L$9:AW$9)+$L$4))),TREND($E77:$F77,$E$9:$F$9,AW$9))</f>
        <v>0</v>
      </c>
      <c r="AX77" s="36">
        <f>IF($G77="s-curve",$E77+($F77-$E77)*$L$2/(1+EXP($L$3*(COUNT($L$9:AX$9)+$L$4))),TREND($E77:$F77,$E$9:$F$9,AX$9))</f>
        <v>0</v>
      </c>
      <c r="AY77" s="36">
        <f>IF($G77="s-curve",$E77+($F77-$E77)*$L$2/(1+EXP($L$3*(COUNT($L$9:AY$9)+$L$4))),TREND($E77:$F77,$E$9:$F$9,AY$9))</f>
        <v>0</v>
      </c>
      <c r="AZ77" s="36">
        <f>IF($G77="s-curve",$E77+($F77-$E77)*$L$2/(1+EXP($L$3*(COUNT($L$9:AZ$9)+$L$4))),TREND($E77:$F77,$E$9:$F$9,AZ$9))</f>
        <v>0</v>
      </c>
      <c r="BA77" s="36">
        <f>IF($G77="s-curve",$E77+($F77-$E77)*$L$2/(1+EXP($L$3*(COUNT($L$9:BA$9)+$L$4))),TREND($E77:$F77,$E$9:$F$9,BA$9))</f>
        <v>0</v>
      </c>
      <c r="BB77" s="36">
        <f>IF($G77="s-curve",$E77+($F77-$E77)*$L$2/(1+EXP($L$3*(COUNT($L$9:BB$9)+$L$4))),TREND($E77:$F77,$E$9:$F$9,BB$9))</f>
        <v>0</v>
      </c>
      <c r="BC77" s="36">
        <f>IF($G77="s-curve",$E77+($F77-$E77)*$L$2/(1+EXP($L$3*(COUNT($L$9:BC$9)+$L$4))),TREND($E77:$F77,$E$9:$F$9,BC$9))</f>
        <v>0</v>
      </c>
      <c r="BD77" s="36">
        <f>IF($G77="s-curve",$E77+($F77-$E77)*$L$2/(1+EXP($L$3*(COUNT($L$9:BD$9)+$L$4))),TREND($E77:$F77,$E$9:$F$9,BD$9))</f>
        <v>0</v>
      </c>
      <c r="BE77" s="36">
        <f>IF($G77="s-curve",$E77+($F77-$E77)*$L$2/(1+EXP($L$3*(COUNT($L$9:BE$9)+$L$4))),TREND($E77:$F77,$E$9:$F$9,BE$9))</f>
        <v>0</v>
      </c>
      <c r="BF77" s="36">
        <f>IF($G77="s-curve",$E77+($F77-$E77)*$L$2/(1+EXP($L$3*(COUNT($L$9:BF$9)+$L$4))),TREND($E77:$F77,$E$9:$F$9,BF$9))</f>
        <v>0</v>
      </c>
    </row>
    <row r="78" spans="1:58" x14ac:dyDescent="0.25">
      <c r="C78" t="s">
        <v>33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H78" s="33"/>
      <c r="I78">
        <f t="shared" si="32"/>
        <v>0</v>
      </c>
      <c r="J78">
        <f t="shared" si="32"/>
        <v>0</v>
      </c>
      <c r="K78">
        <f t="shared" si="32"/>
        <v>0</v>
      </c>
      <c r="L78" s="36">
        <f t="shared" si="31"/>
        <v>0</v>
      </c>
      <c r="M78" s="36">
        <f>IF($G78="s-curve",$E78+($F78-$E78)*$L$2/(1+EXP($L$3*(COUNT($L$9:M$9)+$L$4))),TREND($E78:$F78,$E$9:$F$9,M$9))</f>
        <v>0</v>
      </c>
      <c r="N78" s="36">
        <f>IF($G78="s-curve",$E78+($F78-$E78)*$L$2/(1+EXP($L$3*(COUNT($L$9:N$9)+$L$4))),TREND($E78:$F78,$E$9:$F$9,N$9))</f>
        <v>0</v>
      </c>
      <c r="O78" s="36">
        <f>IF($G78="s-curve",$E78+($F78-$E78)*$L$2/(1+EXP($L$3*(COUNT($L$9:O$9)+$L$4))),TREND($E78:$F78,$E$9:$F$9,O$9))</f>
        <v>0</v>
      </c>
      <c r="P78" s="36">
        <f>IF($G78="s-curve",$E78+($F78-$E78)*$L$2/(1+EXP($L$3*(COUNT($L$9:P$9)+$L$4))),TREND($E78:$F78,$E$9:$F$9,P$9))</f>
        <v>0</v>
      </c>
      <c r="Q78" s="36">
        <f>IF($G78="s-curve",$E78+($F78-$E78)*$L$2/(1+EXP($L$3*(COUNT($L$9:Q$9)+$L$4))),TREND($E78:$F78,$E$9:$F$9,Q$9))</f>
        <v>0</v>
      </c>
      <c r="R78" s="36">
        <f>IF($G78="s-curve",$E78+($F78-$E78)*$L$2/(1+EXP($L$3*(COUNT($L$9:R$9)+$L$4))),TREND($E78:$F78,$E$9:$F$9,R$9))</f>
        <v>0</v>
      </c>
      <c r="S78" s="36">
        <f>IF($G78="s-curve",$E78+($F78-$E78)*$L$2/(1+EXP($L$3*(COUNT($L$9:S$9)+$L$4))),TREND($E78:$F78,$E$9:$F$9,S$9))</f>
        <v>0</v>
      </c>
      <c r="T78" s="36">
        <f>IF($G78="s-curve",$E78+($F78-$E78)*$L$2/(1+EXP($L$3*(COUNT($L$9:T$9)+$L$4))),TREND($E78:$F78,$E$9:$F$9,T$9))</f>
        <v>0</v>
      </c>
      <c r="U78" s="36">
        <f>IF($G78="s-curve",$E78+($F78-$E78)*$L$2/(1+EXP($L$3*(COUNT($L$9:U$9)+$L$4))),TREND($E78:$F78,$E$9:$F$9,U$9))</f>
        <v>0</v>
      </c>
      <c r="V78" s="36">
        <f>IF($G78="s-curve",$E78+($F78-$E78)*$L$2/(1+EXP($L$3*(COUNT($L$9:V$9)+$L$4))),TREND($E78:$F78,$E$9:$F$9,V$9))</f>
        <v>0</v>
      </c>
      <c r="W78" s="36">
        <f>IF($G78="s-curve",$E78+($F78-$E78)*$L$2/(1+EXP($L$3*(COUNT($L$9:W$9)+$L$4))),TREND($E78:$F78,$E$9:$F$9,W$9))</f>
        <v>0</v>
      </c>
      <c r="X78" s="36">
        <f>IF($G78="s-curve",$E78+($F78-$E78)*$L$2/(1+EXP($L$3*(COUNT($L$9:X$9)+$L$4))),TREND($E78:$F78,$E$9:$F$9,X$9))</f>
        <v>0</v>
      </c>
      <c r="Y78" s="36">
        <f>IF($G78="s-curve",$E78+($F78-$E78)*$L$2/(1+EXP($L$3*(COUNT($L$9:Y$9)+$L$4))),TREND($E78:$F78,$E$9:$F$9,Y$9))</f>
        <v>0</v>
      </c>
      <c r="Z78" s="36">
        <f>IF($G78="s-curve",$E78+($F78-$E78)*$L$2/(1+EXP($L$3*(COUNT($L$9:Z$9)+$L$4))),TREND($E78:$F78,$E$9:$F$9,Z$9))</f>
        <v>0</v>
      </c>
      <c r="AA78" s="36">
        <f>IF($G78="s-curve",$E78+($F78-$E78)*$L$2/(1+EXP($L$3*(COUNT($L$9:AA$9)+$L$4))),TREND($E78:$F78,$E$9:$F$9,AA$9))</f>
        <v>0</v>
      </c>
      <c r="AB78" s="36">
        <f>IF($G78="s-curve",$E78+($F78-$E78)*$L$2/(1+EXP($L$3*(COUNT($L$9:AB$9)+$L$4))),TREND($E78:$F78,$E$9:$F$9,AB$9))</f>
        <v>0</v>
      </c>
      <c r="AC78" s="36">
        <f>IF($G78="s-curve",$E78+($F78-$E78)*$L$2/(1+EXP($L$3*(COUNT($L$9:AC$9)+$L$4))),TREND($E78:$F78,$E$9:$F$9,AC$9))</f>
        <v>0</v>
      </c>
      <c r="AD78" s="36">
        <f>IF($G78="s-curve",$E78+($F78-$E78)*$L$2/(1+EXP($L$3*(COUNT($L$9:AD$9)+$L$4))),TREND($E78:$F78,$E$9:$F$9,AD$9))</f>
        <v>0</v>
      </c>
      <c r="AE78" s="36">
        <f>IF($G78="s-curve",$E78+($F78-$E78)*$L$2/(1+EXP($L$3*(COUNT($L$9:AE$9)+$L$4))),TREND($E78:$F78,$E$9:$F$9,AE$9))</f>
        <v>0</v>
      </c>
      <c r="AF78" s="36">
        <f>IF($G78="s-curve",$E78+($F78-$E78)*$L$2/(1+EXP($L$3*(COUNT($L$9:AF$9)+$L$4))),TREND($E78:$F78,$E$9:$F$9,AF$9))</f>
        <v>0</v>
      </c>
      <c r="AG78" s="36">
        <f>IF($G78="s-curve",$E78+($F78-$E78)*$L$2/(1+EXP($L$3*(COUNT($L$9:AG$9)+$L$4))),TREND($E78:$F78,$E$9:$F$9,AG$9))</f>
        <v>0</v>
      </c>
      <c r="AH78" s="36">
        <f>IF($G78="s-curve",$E78+($F78-$E78)*$L$2/(1+EXP($L$3*(COUNT($L$9:AH$9)+$L$4))),TREND($E78:$F78,$E$9:$F$9,AH$9))</f>
        <v>0</v>
      </c>
      <c r="AI78" s="36">
        <f>IF($G78="s-curve",$E78+($F78-$E78)*$L$2/(1+EXP($L$3*(COUNT($L$9:AI$9)+$L$4))),TREND($E78:$F78,$E$9:$F$9,AI$9))</f>
        <v>0</v>
      </c>
      <c r="AJ78" s="36">
        <f>IF($G78="s-curve",$E78+($F78-$E78)*$L$2/(1+EXP($L$3*(COUNT($L$9:AJ$9)+$L$4))),TREND($E78:$F78,$E$9:$F$9,AJ$9))</f>
        <v>0</v>
      </c>
      <c r="AK78" s="36">
        <f>IF($G78="s-curve",$E78+($F78-$E78)*$L$2/(1+EXP($L$3*(COUNT($L$9:AK$9)+$L$4))),TREND($E78:$F78,$E$9:$F$9,AK$9))</f>
        <v>0</v>
      </c>
      <c r="AL78" s="36">
        <f>IF($G78="s-curve",$E78+($F78-$E78)*$L$2/(1+EXP($L$3*(COUNT($L$9:AL$9)+$L$4))),TREND($E78:$F78,$E$9:$F$9,AL$9))</f>
        <v>0</v>
      </c>
      <c r="AM78" s="36">
        <f>IF($G78="s-curve",$E78+($F78-$E78)*$L$2/(1+EXP($L$3*(COUNT($L$9:AM$9)+$L$4))),TREND($E78:$F78,$E$9:$F$9,AM$9))</f>
        <v>0</v>
      </c>
      <c r="AN78" s="36">
        <f>IF($G78="s-curve",$E78+($F78-$E78)*$L$2/(1+EXP($L$3*(COUNT($L$9:AN$9)+$L$4))),TREND($E78:$F78,$E$9:$F$9,AN$9))</f>
        <v>0</v>
      </c>
      <c r="AO78" s="36">
        <f>IF($G78="s-curve",$E78+($F78-$E78)*$L$2/(1+EXP($L$3*(COUNT($L$9:AO$9)+$L$4))),TREND($E78:$F78,$E$9:$F$9,AO$9))</f>
        <v>0</v>
      </c>
      <c r="AP78" s="36">
        <f>IF($G78="s-curve",$E78+($F78-$E78)*$L$2/(1+EXP($L$3*(COUNT($L$9:AP$9)+$L$4))),TREND($E78:$F78,$E$9:$F$9,AP$9))</f>
        <v>0</v>
      </c>
      <c r="AQ78" s="36">
        <f>IF($G78="s-curve",$E78+($F78-$E78)*$L$2/(1+EXP($L$3*(COUNT($L$9:AQ$9)+$L$4))),TREND($E78:$F78,$E$9:$F$9,AQ$9))</f>
        <v>0</v>
      </c>
      <c r="AR78" s="36">
        <f>IF($G78="s-curve",$E78+($F78-$E78)*$L$2/(1+EXP($L$3*(COUNT($L$9:AR$9)+$L$4))),TREND($E78:$F78,$E$9:$F$9,AR$9))</f>
        <v>0</v>
      </c>
      <c r="AS78" s="36">
        <f>IF($G78="s-curve",$E78+($F78-$E78)*$L$2/(1+EXP($L$3*(COUNT($L$9:AS$9)+$L$4))),TREND($E78:$F78,$E$9:$F$9,AS$9))</f>
        <v>0</v>
      </c>
      <c r="AT78" s="36">
        <f>IF($G78="s-curve",$E78+($F78-$E78)*$L$2/(1+EXP($L$3*(COUNT($L$9:AT$9)+$L$4))),TREND($E78:$F78,$E$9:$F$9,AT$9))</f>
        <v>0</v>
      </c>
      <c r="AU78" s="36">
        <f>IF($G78="s-curve",$E78+($F78-$E78)*$L$2/(1+EXP($L$3*(COUNT($L$9:AU$9)+$L$4))),TREND($E78:$F78,$E$9:$F$9,AU$9))</f>
        <v>0</v>
      </c>
      <c r="AV78" s="36">
        <f>IF($G78="s-curve",$E78+($F78-$E78)*$L$2/(1+EXP($L$3*(COUNT($L$9:AV$9)+$L$4))),TREND($E78:$F78,$E$9:$F$9,AV$9))</f>
        <v>0</v>
      </c>
      <c r="AW78" s="36">
        <f>IF($G78="s-curve",$E78+($F78-$E78)*$L$2/(1+EXP($L$3*(COUNT($L$9:AW$9)+$L$4))),TREND($E78:$F78,$E$9:$F$9,AW$9))</f>
        <v>0</v>
      </c>
      <c r="AX78" s="36">
        <f>IF($G78="s-curve",$E78+($F78-$E78)*$L$2/(1+EXP($L$3*(COUNT($L$9:AX$9)+$L$4))),TREND($E78:$F78,$E$9:$F$9,AX$9))</f>
        <v>0</v>
      </c>
      <c r="AY78" s="36">
        <f>IF($G78="s-curve",$E78+($F78-$E78)*$L$2/(1+EXP($L$3*(COUNT($L$9:AY$9)+$L$4))),TREND($E78:$F78,$E$9:$F$9,AY$9))</f>
        <v>0</v>
      </c>
      <c r="AZ78" s="36">
        <f>IF($G78="s-curve",$E78+($F78-$E78)*$L$2/(1+EXP($L$3*(COUNT($L$9:AZ$9)+$L$4))),TREND($E78:$F78,$E$9:$F$9,AZ$9))</f>
        <v>0</v>
      </c>
      <c r="BA78" s="36">
        <f>IF($G78="s-curve",$E78+($F78-$E78)*$L$2/(1+EXP($L$3*(COUNT($L$9:BA$9)+$L$4))),TREND($E78:$F78,$E$9:$F$9,BA$9))</f>
        <v>0</v>
      </c>
      <c r="BB78" s="36">
        <f>IF($G78="s-curve",$E78+($F78-$E78)*$L$2/(1+EXP($L$3*(COUNT($L$9:BB$9)+$L$4))),TREND($E78:$F78,$E$9:$F$9,BB$9))</f>
        <v>0</v>
      </c>
      <c r="BC78" s="36">
        <f>IF($G78="s-curve",$E78+($F78-$E78)*$L$2/(1+EXP($L$3*(COUNT($L$9:BC$9)+$L$4))),TREND($E78:$F78,$E$9:$F$9,BC$9))</f>
        <v>0</v>
      </c>
      <c r="BD78" s="36">
        <f>IF($G78="s-curve",$E78+($F78-$E78)*$L$2/(1+EXP($L$3*(COUNT($L$9:BD$9)+$L$4))),TREND($E78:$F78,$E$9:$F$9,BD$9))</f>
        <v>0</v>
      </c>
      <c r="BE78" s="36">
        <f>IF($G78="s-curve",$E78+($F78-$E78)*$L$2/(1+EXP($L$3*(COUNT($L$9:BE$9)+$L$4))),TREND($E78:$F78,$E$9:$F$9,BE$9))</f>
        <v>0</v>
      </c>
      <c r="BF78" s="36">
        <f>IF($G78="s-curve",$E78+($F78-$E78)*$L$2/(1+EXP($L$3*(COUNT($L$9:BF$9)+$L$4))),TREND($E78:$F78,$E$9:$F$9,BF$9))</f>
        <v>0</v>
      </c>
    </row>
    <row r="79" spans="1:58" ht="15.75" thickBot="1" x14ac:dyDescent="0.3">
      <c r="A79" s="18"/>
      <c r="B79" s="18"/>
      <c r="C79" s="18" t="s">
        <v>34</v>
      </c>
      <c r="D79" s="18"/>
      <c r="E79" s="18">
        <v>0</v>
      </c>
      <c r="F79" s="18">
        <v>0</v>
      </c>
      <c r="G79" s="6" t="str">
        <f>IF(E79=F79,"n/a",IF(OR(C79="battery electric vehicle",C79="natural gas vehicle",C79="plugin hybrid vehicle",C79="hydrogen vehicle"),"s-curve","linear"))</f>
        <v>n/a</v>
      </c>
      <c r="H79" s="34"/>
      <c r="I79">
        <f t="shared" si="32"/>
        <v>0</v>
      </c>
      <c r="J79">
        <f t="shared" si="32"/>
        <v>0</v>
      </c>
      <c r="K79">
        <f t="shared" si="32"/>
        <v>0</v>
      </c>
      <c r="L79" s="36">
        <f t="shared" si="31"/>
        <v>0</v>
      </c>
      <c r="M79" s="36">
        <f>IF($G79="s-curve",$E79+($F79-$E79)*$L$2/(1+EXP($L$3*(COUNT($L$9:M$9)+$L$4))),TREND($E79:$F79,$E$9:$F$9,M$9))</f>
        <v>0</v>
      </c>
      <c r="N79" s="36">
        <f>IF($G79="s-curve",$E79+($F79-$E79)*$L$2/(1+EXP($L$3*(COUNT($L$9:N$9)+$L$4))),TREND($E79:$F79,$E$9:$F$9,N$9))</f>
        <v>0</v>
      </c>
      <c r="O79" s="36">
        <f>IF($G79="s-curve",$E79+($F79-$E79)*$L$2/(1+EXP($L$3*(COUNT($L$9:O$9)+$L$4))),TREND($E79:$F79,$E$9:$F$9,O$9))</f>
        <v>0</v>
      </c>
      <c r="P79" s="36">
        <f>IF($G79="s-curve",$E79+($F79-$E79)*$L$2/(1+EXP($L$3*(COUNT($L$9:P$9)+$L$4))),TREND($E79:$F79,$E$9:$F$9,P$9))</f>
        <v>0</v>
      </c>
      <c r="Q79" s="36">
        <f>IF($G79="s-curve",$E79+($F79-$E79)*$L$2/(1+EXP($L$3*(COUNT($L$9:Q$9)+$L$4))),TREND($E79:$F79,$E$9:$F$9,Q$9))</f>
        <v>0</v>
      </c>
      <c r="R79" s="36">
        <f>IF($G79="s-curve",$E79+($F79-$E79)*$L$2/(1+EXP($L$3*(COUNT($L$9:R$9)+$L$4))),TREND($E79:$F79,$E$9:$F$9,R$9))</f>
        <v>0</v>
      </c>
      <c r="S79" s="36">
        <f>IF($G79="s-curve",$E79+($F79-$E79)*$L$2/(1+EXP($L$3*(COUNT($L$9:S$9)+$L$4))),TREND($E79:$F79,$E$9:$F$9,S$9))</f>
        <v>0</v>
      </c>
      <c r="T79" s="36">
        <f>IF($G79="s-curve",$E79+($F79-$E79)*$L$2/(1+EXP($L$3*(COUNT($L$9:T$9)+$L$4))),TREND($E79:$F79,$E$9:$F$9,T$9))</f>
        <v>0</v>
      </c>
      <c r="U79" s="36">
        <f>IF($G79="s-curve",$E79+($F79-$E79)*$L$2/(1+EXP($L$3*(COUNT($L$9:U$9)+$L$4))),TREND($E79:$F79,$E$9:$F$9,U$9))</f>
        <v>0</v>
      </c>
      <c r="V79" s="36">
        <f>IF($G79="s-curve",$E79+($F79-$E79)*$L$2/(1+EXP($L$3*(COUNT($L$9:V$9)+$L$4))),TREND($E79:$F79,$E$9:$F$9,V$9))</f>
        <v>0</v>
      </c>
      <c r="W79" s="36">
        <f>IF($G79="s-curve",$E79+($F79-$E79)*$L$2/(1+EXP($L$3*(COUNT($L$9:W$9)+$L$4))),TREND($E79:$F79,$E$9:$F$9,W$9))</f>
        <v>0</v>
      </c>
      <c r="X79" s="36">
        <f>IF($G79="s-curve",$E79+($F79-$E79)*$L$2/(1+EXP($L$3*(COUNT($L$9:X$9)+$L$4))),TREND($E79:$F79,$E$9:$F$9,X$9))</f>
        <v>0</v>
      </c>
      <c r="Y79" s="36">
        <f>IF($G79="s-curve",$E79+($F79-$E79)*$L$2/(1+EXP($L$3*(COUNT($L$9:Y$9)+$L$4))),TREND($E79:$F79,$E$9:$F$9,Y$9))</f>
        <v>0</v>
      </c>
      <c r="Z79" s="36">
        <f>IF($G79="s-curve",$E79+($F79-$E79)*$L$2/(1+EXP($L$3*(COUNT($L$9:Z$9)+$L$4))),TREND($E79:$F79,$E$9:$F$9,Z$9))</f>
        <v>0</v>
      </c>
      <c r="AA79" s="36">
        <f>IF($G79="s-curve",$E79+($F79-$E79)*$L$2/(1+EXP($L$3*(COUNT($L$9:AA$9)+$L$4))),TREND($E79:$F79,$E$9:$F$9,AA$9))</f>
        <v>0</v>
      </c>
      <c r="AB79" s="36">
        <f>IF($G79="s-curve",$E79+($F79-$E79)*$L$2/(1+EXP($L$3*(COUNT($L$9:AB$9)+$L$4))),TREND($E79:$F79,$E$9:$F$9,AB$9))</f>
        <v>0</v>
      </c>
      <c r="AC79" s="36">
        <f>IF($G79="s-curve",$E79+($F79-$E79)*$L$2/(1+EXP($L$3*(COUNT($L$9:AC$9)+$L$4))),TREND($E79:$F79,$E$9:$F$9,AC$9))</f>
        <v>0</v>
      </c>
      <c r="AD79" s="36">
        <f>IF($G79="s-curve",$E79+($F79-$E79)*$L$2/(1+EXP($L$3*(COUNT($L$9:AD$9)+$L$4))),TREND($E79:$F79,$E$9:$F$9,AD$9))</f>
        <v>0</v>
      </c>
      <c r="AE79" s="36">
        <f>IF($G79="s-curve",$E79+($F79-$E79)*$L$2/(1+EXP($L$3*(COUNT($L$9:AE$9)+$L$4))),TREND($E79:$F79,$E$9:$F$9,AE$9))</f>
        <v>0</v>
      </c>
      <c r="AF79" s="36">
        <f>IF($G79="s-curve",$E79+($F79-$E79)*$L$2/(1+EXP($L$3*(COUNT($L$9:AF$9)+$L$4))),TREND($E79:$F79,$E$9:$F$9,AF$9))</f>
        <v>0</v>
      </c>
      <c r="AG79" s="36">
        <f>IF($G79="s-curve",$E79+($F79-$E79)*$L$2/(1+EXP($L$3*(COUNT($L$9:AG$9)+$L$4))),TREND($E79:$F79,$E$9:$F$9,AG$9))</f>
        <v>0</v>
      </c>
      <c r="AH79" s="36">
        <f>IF($G79="s-curve",$E79+($F79-$E79)*$L$2/(1+EXP($L$3*(COUNT($L$9:AH$9)+$L$4))),TREND($E79:$F79,$E$9:$F$9,AH$9))</f>
        <v>0</v>
      </c>
      <c r="AI79" s="36">
        <f>IF($G79="s-curve",$E79+($F79-$E79)*$L$2/(1+EXP($L$3*(COUNT($L$9:AI$9)+$L$4))),TREND($E79:$F79,$E$9:$F$9,AI$9))</f>
        <v>0</v>
      </c>
      <c r="AJ79" s="36">
        <f>IF($G79="s-curve",$E79+($F79-$E79)*$L$2/(1+EXP($L$3*(COUNT($L$9:AJ$9)+$L$4))),TREND($E79:$F79,$E$9:$F$9,AJ$9))</f>
        <v>0</v>
      </c>
      <c r="AK79" s="36">
        <f>IF($G79="s-curve",$E79+($F79-$E79)*$L$2/(1+EXP($L$3*(COUNT($L$9:AK$9)+$L$4))),TREND($E79:$F79,$E$9:$F$9,AK$9))</f>
        <v>0</v>
      </c>
      <c r="AL79" s="36">
        <f>IF($G79="s-curve",$E79+($F79-$E79)*$L$2/(1+EXP($L$3*(COUNT($L$9:AL$9)+$L$4))),TREND($E79:$F79,$E$9:$F$9,AL$9))</f>
        <v>0</v>
      </c>
      <c r="AM79" s="36">
        <f>IF($G79="s-curve",$E79+($F79-$E79)*$L$2/(1+EXP($L$3*(COUNT($L$9:AM$9)+$L$4))),TREND($E79:$F79,$E$9:$F$9,AM$9))</f>
        <v>0</v>
      </c>
      <c r="AN79" s="36">
        <f>IF($G79="s-curve",$E79+($F79-$E79)*$L$2/(1+EXP($L$3*(COUNT($L$9:AN$9)+$L$4))),TREND($E79:$F79,$E$9:$F$9,AN$9))</f>
        <v>0</v>
      </c>
      <c r="AO79" s="36">
        <f>IF($G79="s-curve",$E79+($F79-$E79)*$L$2/(1+EXP($L$3*(COUNT($L$9:AO$9)+$L$4))),TREND($E79:$F79,$E$9:$F$9,AO$9))</f>
        <v>0</v>
      </c>
      <c r="AP79" s="36">
        <f>IF($G79="s-curve",$E79+($F79-$E79)*$L$2/(1+EXP($L$3*(COUNT($L$9:AP$9)+$L$4))),TREND($E79:$F79,$E$9:$F$9,AP$9))</f>
        <v>0</v>
      </c>
      <c r="AQ79" s="36">
        <f>IF($G79="s-curve",$E79+($F79-$E79)*$L$2/(1+EXP($L$3*(COUNT($L$9:AQ$9)+$L$4))),TREND($E79:$F79,$E$9:$F$9,AQ$9))</f>
        <v>0</v>
      </c>
      <c r="AR79" s="36">
        <f>IF($G79="s-curve",$E79+($F79-$E79)*$L$2/(1+EXP($L$3*(COUNT($L$9:AR$9)+$L$4))),TREND($E79:$F79,$E$9:$F$9,AR$9))</f>
        <v>0</v>
      </c>
      <c r="AS79" s="36">
        <f>IF($G79="s-curve",$E79+($F79-$E79)*$L$2/(1+EXP($L$3*(COUNT($L$9:AS$9)+$L$4))),TREND($E79:$F79,$E$9:$F$9,AS$9))</f>
        <v>0</v>
      </c>
      <c r="AT79" s="36">
        <f>IF($G79="s-curve",$E79+($F79-$E79)*$L$2/(1+EXP($L$3*(COUNT($L$9:AT$9)+$L$4))),TREND($E79:$F79,$E$9:$F$9,AT$9))</f>
        <v>0</v>
      </c>
      <c r="AU79" s="36">
        <f>IF($G79="s-curve",$E79+($F79-$E79)*$L$2/(1+EXP($L$3*(COUNT($L$9:AU$9)+$L$4))),TREND($E79:$F79,$E$9:$F$9,AU$9))</f>
        <v>0</v>
      </c>
      <c r="AV79" s="36">
        <f>IF($G79="s-curve",$E79+($F79-$E79)*$L$2/(1+EXP($L$3*(COUNT($L$9:AV$9)+$L$4))),TREND($E79:$F79,$E$9:$F$9,AV$9))</f>
        <v>0</v>
      </c>
      <c r="AW79" s="36">
        <f>IF($G79="s-curve",$E79+($F79-$E79)*$L$2/(1+EXP($L$3*(COUNT($L$9:AW$9)+$L$4))),TREND($E79:$F79,$E$9:$F$9,AW$9))</f>
        <v>0</v>
      </c>
      <c r="AX79" s="36">
        <f>IF($G79="s-curve",$E79+($F79-$E79)*$L$2/(1+EXP($L$3*(COUNT($L$9:AX$9)+$L$4))),TREND($E79:$F79,$E$9:$F$9,AX$9))</f>
        <v>0</v>
      </c>
      <c r="AY79" s="36">
        <f>IF($G79="s-curve",$E79+($F79-$E79)*$L$2/(1+EXP($L$3*(COUNT($L$9:AY$9)+$L$4))),TREND($E79:$F79,$E$9:$F$9,AY$9))</f>
        <v>0</v>
      </c>
      <c r="AZ79" s="36">
        <f>IF($G79="s-curve",$E79+($F79-$E79)*$L$2/(1+EXP($L$3*(COUNT($L$9:AZ$9)+$L$4))),TREND($E79:$F79,$E$9:$F$9,AZ$9))</f>
        <v>0</v>
      </c>
      <c r="BA79" s="36">
        <f>IF($G79="s-curve",$E79+($F79-$E79)*$L$2/(1+EXP($L$3*(COUNT($L$9:BA$9)+$L$4))),TREND($E79:$F79,$E$9:$F$9,BA$9))</f>
        <v>0</v>
      </c>
      <c r="BB79" s="36">
        <f>IF($G79="s-curve",$E79+($F79-$E79)*$L$2/(1+EXP($L$3*(COUNT($L$9:BB$9)+$L$4))),TREND($E79:$F79,$E$9:$F$9,BB$9))</f>
        <v>0</v>
      </c>
      <c r="BC79" s="36">
        <f>IF($G79="s-curve",$E79+($F79-$E79)*$L$2/(1+EXP($L$3*(COUNT($L$9:BC$9)+$L$4))),TREND($E79:$F79,$E$9:$F$9,BC$9))</f>
        <v>0</v>
      </c>
      <c r="BD79" s="36">
        <f>IF($G79="s-curve",$E79+($F79-$E79)*$L$2/(1+EXP($L$3*(COUNT($L$9:BD$9)+$L$4))),TREND($E79:$F79,$E$9:$F$9,BD$9))</f>
        <v>0</v>
      </c>
      <c r="BE79" s="36">
        <f>IF($G79="s-curve",$E79+($F79-$E79)*$L$2/(1+EXP($L$3*(COUNT($L$9:BE$9)+$L$4))),TREND($E79:$F79,$E$9:$F$9,BE$9))</f>
        <v>0</v>
      </c>
      <c r="BF79" s="36">
        <f>IF($G79="s-curve",$E79+($F79-$E79)*$L$2/(1+EXP($L$3*(COUNT($L$9:BF$9)+$L$4))),TREND($E79:$F79,$E$9:$F$9,BF$9))</f>
        <v>0</v>
      </c>
    </row>
    <row r="80" spans="1:58" x14ac:dyDescent="0.25">
      <c r="A80" t="s">
        <v>17</v>
      </c>
      <c r="B80" t="s">
        <v>19</v>
      </c>
      <c r="C80" t="s">
        <v>1</v>
      </c>
      <c r="D80">
        <f>D10</f>
        <v>0.05</v>
      </c>
      <c r="E80">
        <f>E10</f>
        <v>0.06</v>
      </c>
      <c r="F80">
        <f>F10</f>
        <v>0.7</v>
      </c>
      <c r="G80" s="5" t="str">
        <f>IF(E80=F80,"n/a",IF(OR(C80="battery electric vehicle",C80="natural gas vehicle",C80="plugin hybrid vehicle"),"s-curve","linear"))</f>
        <v>s-curve</v>
      </c>
      <c r="H80" s="33"/>
      <c r="I80">
        <f t="shared" si="32"/>
        <v>2.3338003262953322E-2</v>
      </c>
      <c r="J80">
        <f t="shared" si="32"/>
        <v>3.5950648082781811E-2</v>
      </c>
      <c r="K80">
        <f t="shared" si="32"/>
        <v>4.8563292902613853E-2</v>
      </c>
      <c r="L80" s="36">
        <f t="shared" si="31"/>
        <v>0.06</v>
      </c>
      <c r="M80" s="36">
        <f>IF($G80="s-curve",$E80+($F80-$E80)*$R$2/(1+EXP($R$3*(COUNT($L$9:M$9)+$R$4))),TREND($E80:$F80,$E$9:$F$9,M$9))</f>
        <v>7.7022075889194144E-2</v>
      </c>
      <c r="N80" s="36">
        <f>IF($G80="s-curve",$E80+($F80-$E80)*$R$2/(1+EXP($R$3*(COUNT($L$9:N$9)+$R$4))),TREND($E80:$F80,$E$9:$F$9,N$9))</f>
        <v>8.5066062589929187E-2</v>
      </c>
      <c r="O80" s="36">
        <f>IF($G80="s-curve",$E80+($F80-$E80)*$R$2/(1+EXP($R$3*(COUNT($L$9:O$9)+$R$4))),TREND($E80:$F80,$E$9:$F$9,O$9))</f>
        <v>9.6687472575275976E-2</v>
      </c>
      <c r="P80" s="36">
        <f>IF($G80="s-curve",$E80+($F80-$E80)*$R$2/(1+EXP($R$3*(COUNT($L$9:P$9)+$R$4))),TREND($E80:$F80,$E$9:$F$9,P$9))</f>
        <v>0.11323052575611028</v>
      </c>
      <c r="Q80" s="36">
        <f>IF($G80="s-curve",$E80+($F80-$E80)*$R$2/(1+EXP($R$3*(COUNT($L$9:Q$9)+$R$4))),TREND($E80:$F80,$E$9:$F$9,Q$9))</f>
        <v>0.13628987009415522</v>
      </c>
      <c r="R80" s="36">
        <f>IF($G80="s-curve",$E80+($F80-$E80)*$R$2/(1+EXP($R$3*(COUNT($L$9:R$9)+$R$4))),TREND($E80:$F80,$E$9:$F$9,R$9))</f>
        <v>0.16750823351428831</v>
      </c>
      <c r="S80" s="36">
        <f>IF($G80="s-curve",$E80+($F80-$E80)*$R$2/(1+EXP($R$3*(COUNT($L$9:S$9)+$R$4))),TREND($E80:$F80,$E$9:$F$9,S$9))</f>
        <v>0.20814413856062866</v>
      </c>
      <c r="T80" s="36">
        <f>IF($G80="s-curve",$E80+($F80-$E80)*$R$2/(1+EXP($R$3*(COUNT($L$9:T$9)+$R$4))),TREND($E80:$F80,$E$9:$F$9,T$9))</f>
        <v>0.25841633207832798</v>
      </c>
      <c r="U80" s="36">
        <f>IF($G80="s-curve",$E80+($F80-$E80)*$R$2/(1+EXP($R$3*(COUNT($L$9:U$9)+$R$4))),TREND($E80:$F80,$E$9:$F$9,U$9))</f>
        <v>0.31683989752803066</v>
      </c>
      <c r="V80" s="36">
        <f>IF($G80="s-curve",$E80+($F80-$E80)*$R$2/(1+EXP($R$3*(COUNT($L$9:V$9)+$R$4))),TREND($E80:$F80,$E$9:$F$9,V$9))</f>
        <v>0.37999999999999995</v>
      </c>
      <c r="W80" s="36">
        <f>IF($G80="s-curve",$E80+($F80-$E80)*$R$2/(1+EXP($R$3*(COUNT($L$9:W$9)+$R$4))),TREND($E80:$F80,$E$9:$F$9,W$9))</f>
        <v>0.44316010247196919</v>
      </c>
      <c r="X80" s="36">
        <f>IF($G80="s-curve",$E80+($F80-$E80)*$R$2/(1+EXP($R$3*(COUNT($L$9:X$9)+$R$4))),TREND($E80:$F80,$E$9:$F$9,X$9))</f>
        <v>0.50158366792167186</v>
      </c>
      <c r="Y80" s="36">
        <f>IF($G80="s-curve",$E80+($F80-$E80)*$R$2/(1+EXP($R$3*(COUNT($L$9:Y$9)+$R$4))),TREND($E80:$F80,$E$9:$F$9,Y$9))</f>
        <v>0.55185586143937126</v>
      </c>
      <c r="Z80" s="36">
        <f>IF($G80="s-curve",$E80+($F80-$E80)*$R$2/(1+EXP($R$3*(COUNT($L$9:Z$9)+$R$4))),TREND($E80:$F80,$E$9:$F$9,Z$9))</f>
        <v>0.59249176648571167</v>
      </c>
      <c r="AA80" s="36">
        <f>IF($G80="s-curve",$E80+($F80-$E80)*$R$2/(1+EXP($R$3*(COUNT($L$9:AA$9)+$R$4))),TREND($E80:$F80,$E$9:$F$9,AA$9))</f>
        <v>0.62371012990584451</v>
      </c>
      <c r="AB80" s="36">
        <f>IF($G80="s-curve",$E80+($F80-$E80)*$R$2/(1+EXP($R$3*(COUNT($L$9:AB$9)+$R$4))),TREND($E80:$F80,$E$9:$F$9,AB$9))</f>
        <v>0.64676947424388964</v>
      </c>
      <c r="AC80" s="36">
        <f>IF($G80="s-curve",$E80+($F80-$E80)*$R$2/(1+EXP($R$3*(COUNT($L$9:AC$9)+$R$4))),TREND($E80:$F80,$E$9:$F$9,AC$9))</f>
        <v>0.66331252742472402</v>
      </c>
      <c r="AD80" s="36">
        <f>IF($G80="s-curve",$E80+($F80-$E80)*$R$2/(1+EXP($R$3*(COUNT($L$9:AD$9)+$R$4))),TREND($E80:$F80,$E$9:$F$9,AD$9))</f>
        <v>0.67493393741007068</v>
      </c>
      <c r="AE80" s="36">
        <f>IF($G80="s-curve",$E80+($F80-$E80)*$R$2/(1+EXP($R$3*(COUNT($L$9:AE$9)+$R$4))),TREND($E80:$F80,$E$9:$F$9,AE$9))</f>
        <v>0.6829779241108056</v>
      </c>
      <c r="AF80" s="36">
        <f>IF($G80="s-curve",$E80+($F80-$E80)*$R$2/(1+EXP($R$3*(COUNT($L$9:AF$9)+$R$4))),TREND($E80:$F80,$E$9:$F$9,AF$9))</f>
        <v>0.68848882562426117</v>
      </c>
      <c r="AG80" s="36">
        <f>IF($G80="s-curve",$E80+($F80-$E80)*$R$2/(1+EXP($R$3*(COUNT($L$9:AG$9)+$R$4))),TREND($E80:$F80,$E$9:$F$9,AG$9))</f>
        <v>0.69223780161006432</v>
      </c>
      <c r="AH80" s="36">
        <f>IF($G80="s-curve",$E80+($F80-$E80)*$R$2/(1+EXP($R$3*(COUNT($L$9:AH$9)+$R$4))),TREND($E80:$F80,$E$9:$F$9,AH$9))</f>
        <v>0.6947759544619776</v>
      </c>
      <c r="AI80" s="36">
        <f>IF($G80="s-curve",$E80+($F80-$E80)*$R$2/(1+EXP($R$3*(COUNT($L$9:AI$9)+$R$4))),TREND($E80:$F80,$E$9:$F$9,AI$9))</f>
        <v>0.6964887687043515</v>
      </c>
      <c r="AJ80" s="36">
        <f>IF($G80="s-curve",$E80+($F80-$E80)*$R$2/(1+EXP($R$3*(COUNT($L$9:AJ$9)+$R$4))),TREND($E80:$F80,$E$9:$F$9,AJ$9))</f>
        <v>0.69764208646436088</v>
      </c>
      <c r="AK80" s="36">
        <f>IF($G80="s-curve",$E80+($F80-$E80)*$R$2/(1+EXP($R$3*(COUNT($L$9:AK$9)+$R$4))),TREND($E80:$F80,$E$9:$F$9,AK$9))</f>
        <v>0.69841752117975364</v>
      </c>
      <c r="AL80" s="36">
        <f>IF($G80="s-curve",$E80+($F80-$E80)*$R$2/(1+EXP($R$3*(COUNT($L$9:AL$9)+$R$4))),TREND($E80:$F80,$E$9:$F$9,AL$9))</f>
        <v>0.69893836730868819</v>
      </c>
      <c r="AM80" s="36">
        <f>IF($G80="s-curve",$E80+($F80-$E80)*$R$2/(1+EXP($R$3*(COUNT($L$9:AM$9)+$R$4))),TREND($E80:$F80,$E$9:$F$9,AM$9))</f>
        <v>0.69928797693896927</v>
      </c>
      <c r="AN80" s="36">
        <f>IF($G80="s-curve",$E80+($F80-$E80)*$R$2/(1+EXP($R$3*(COUNT($L$9:AN$9)+$R$4))),TREND($E80:$F80,$E$9:$F$9,AN$9))</f>
        <v>0.69952254154634441</v>
      </c>
      <c r="AO80" s="36">
        <f>IF($G80="s-curve",$E80+($F80-$E80)*$R$2/(1+EXP($R$3*(COUNT($L$9:AO$9)+$R$4))),TREND($E80:$F80,$E$9:$F$9,AO$9))</f>
        <v>0.69967987129146891</v>
      </c>
      <c r="AP80" s="36">
        <f>IF($G80="s-curve",$E80+($F80-$E80)*$R$2/(1+EXP($R$3*(COUNT($L$9:AP$9)+$R$4))),TREND($E80:$F80,$E$9:$F$9,AP$9))</f>
        <v>0.69978537591650136</v>
      </c>
      <c r="AQ80" s="36">
        <f>IF($G80="s-curve",$E80+($F80-$E80)*$R$2/(1+EXP($R$3*(COUNT($L$9:AQ$9)+$R$4))),TREND($E80:$F80,$E$9:$F$9,AQ$9))</f>
        <v>0.69985611726705055</v>
      </c>
      <c r="AR80" s="36">
        <f>IF($G80="s-curve",$E80+($F80-$E80)*$R$2/(1+EXP($R$3*(COUNT($L$9:AR$9)+$R$4))),TREND($E80:$F80,$E$9:$F$9,AR$9))</f>
        <v>0.69990354537084176</v>
      </c>
      <c r="AS80" s="36">
        <f>IF($G80="s-curve",$E80+($F80-$E80)*$R$2/(1+EXP($R$3*(COUNT($L$9:AS$9)+$R$4))),TREND($E80:$F80,$E$9:$F$9,AS$9))</f>
        <v>0.69993534131589907</v>
      </c>
      <c r="AT80" s="36">
        <f>IF($G80="s-curve",$E80+($F80-$E80)*$R$2/(1+EXP($R$3*(COUNT($L$9:AT$9)+$R$4))),TREND($E80:$F80,$E$9:$F$9,AT$9))</f>
        <v>0.69995665654424322</v>
      </c>
      <c r="AU80" s="36">
        <f>IF($G80="s-curve",$E80+($F80-$E80)*$R$2/(1+EXP($R$3*(COUNT($L$9:AU$9)+$R$4))),TREND($E80:$F80,$E$9:$F$9,AU$9))</f>
        <v>0.69997094536403037</v>
      </c>
      <c r="AV80" s="36">
        <f>IF($G80="s-curve",$E80+($F80-$E80)*$R$2/(1+EXP($R$3*(COUNT($L$9:AV$9)+$R$4))),TREND($E80:$F80,$E$9:$F$9,AV$9))</f>
        <v>0.69998052380358344</v>
      </c>
      <c r="AW80" s="36">
        <f>IF($G80="s-curve",$E80+($F80-$E80)*$R$2/(1+EXP($R$3*(COUNT($L$9:AW$9)+$R$4))),TREND($E80:$F80,$E$9:$F$9,AW$9))</f>
        <v>0.69998694458414068</v>
      </c>
      <c r="AX80" s="36">
        <f>IF($G80="s-curve",$E80+($F80-$E80)*$R$2/(1+EXP($R$3*(COUNT($L$9:AX$9)+$R$4))),TREND($E80:$F80,$E$9:$F$9,AX$9))</f>
        <v>0.69999124863418571</v>
      </c>
      <c r="AY80" s="36">
        <f>IF($G80="s-curve",$E80+($F80-$E80)*$R$2/(1+EXP($R$3*(COUNT($L$9:AY$9)+$R$4))),TREND($E80:$F80,$E$9:$F$9,AY$9))</f>
        <v>0.69999413375761921</v>
      </c>
      <c r="AZ80" s="36">
        <f>IF($G80="s-curve",$E80+($F80-$E80)*$R$2/(1+EXP($R$3*(COUNT($L$9:AZ$9)+$R$4))),TREND($E80:$F80,$E$9:$F$9,AZ$9))</f>
        <v>0.6999960677282544</v>
      </c>
      <c r="BA80" s="36">
        <f>IF($G80="s-curve",$E80+($F80-$E80)*$R$2/(1+EXP($R$3*(COUNT($L$9:BA$9)+$R$4))),TREND($E80:$F80,$E$9:$F$9,BA$9))</f>
        <v>0.69999736411408309</v>
      </c>
      <c r="BB80" s="36">
        <f>IF($G80="s-curve",$E80+($F80-$E80)*$R$2/(1+EXP($R$3*(COUNT($L$9:BB$9)+$R$4))),TREND($E80:$F80,$E$9:$F$9,BB$9))</f>
        <v>0.69999823311043174</v>
      </c>
      <c r="BC80" s="36">
        <f>IF($G80="s-curve",$E80+($F80-$E80)*$R$2/(1+EXP($R$3*(COUNT($L$9:BC$9)+$R$4))),TREND($E80:$F80,$E$9:$F$9,BC$9))</f>
        <v>0.69999881561742527</v>
      </c>
      <c r="BD80" s="36">
        <f>IF($G80="s-curve",$E80+($F80-$E80)*$R$2/(1+EXP($R$3*(COUNT($L$9:BD$9)+$R$4))),TREND($E80:$F80,$E$9:$F$9,BD$9))</f>
        <v>0.69999920608413357</v>
      </c>
      <c r="BE80" s="36">
        <f>IF($G80="s-curve",$E80+($F80-$E80)*$R$2/(1+EXP($R$3*(COUNT($L$9:BE$9)+$R$4))),TREND($E80:$F80,$E$9:$F$9,BE$9))</f>
        <v>0.69999946782206202</v>
      </c>
      <c r="BF80" s="36">
        <f>IF($G80="s-curve",$E80+($F80-$E80)*$R$2/(1+EXP($R$3*(COUNT($L$9:BF$9)+$R$4))),TREND($E80:$F80,$E$9:$F$9,BF$9))</f>
        <v>0.69999964327036235</v>
      </c>
    </row>
    <row r="81" spans="1:58" x14ac:dyDescent="0.25">
      <c r="C81" t="s">
        <v>2</v>
      </c>
      <c r="D81">
        <f t="shared" ref="D81:E81" si="33">D11</f>
        <v>1.0005073039100001E-4</v>
      </c>
      <c r="E81">
        <f t="shared" si="33"/>
        <v>9.1114481822700006E-5</v>
      </c>
      <c r="F81">
        <f t="shared" ref="F81" si="34">F11</f>
        <v>9.1114481822700006E-5</v>
      </c>
      <c r="G81" s="5" t="str">
        <f>IF(E81=F81,"n/a",IF(OR(C81="battery electric vehicle",C81="natural gas vehicle",C81="plugin hybrid vehicle"),"s-curve","linear"))</f>
        <v>n/a</v>
      </c>
      <c r="H81" s="33"/>
      <c r="I81">
        <f t="shared" si="32"/>
        <v>9.1114481822700006E-5</v>
      </c>
      <c r="J81">
        <f t="shared" si="32"/>
        <v>9.1114481822700006E-5</v>
      </c>
      <c r="K81">
        <f t="shared" si="32"/>
        <v>9.1114481822700006E-5</v>
      </c>
      <c r="L81" s="36">
        <f t="shared" si="31"/>
        <v>9.1114481822700006E-5</v>
      </c>
      <c r="M81" s="36">
        <f>IF($G81="s-curve",$E81+($F81-$E81)*$L$2/(1+EXP($L$3*(COUNT($L$9:M$9)+$L$4))),TREND($E81:$F81,$E$9:$F$9,M$9))</f>
        <v>9.1114481822700006E-5</v>
      </c>
      <c r="N81" s="36">
        <f>IF($G81="s-curve",$E81+($F81-$E81)*$L$2/(1+EXP($L$3*(COUNT($L$9:N$9)+$L$4))),TREND($E81:$F81,$E$9:$F$9,N$9))</f>
        <v>9.1114481822700006E-5</v>
      </c>
      <c r="O81" s="36">
        <f>IF($G81="s-curve",$E81+($F81-$E81)*$L$2/(1+EXP($L$3*(COUNT($L$9:O$9)+$L$4))),TREND($E81:$F81,$E$9:$F$9,O$9))</f>
        <v>9.1114481822700006E-5</v>
      </c>
      <c r="P81" s="36">
        <f>IF($G81="s-curve",$E81+($F81-$E81)*$L$2/(1+EXP($L$3*(COUNT($L$9:P$9)+$L$4))),TREND($E81:$F81,$E$9:$F$9,P$9))</f>
        <v>9.1114481822700006E-5</v>
      </c>
      <c r="Q81" s="36">
        <f>IF($G81="s-curve",$E81+($F81-$E81)*$L$2/(1+EXP($L$3*(COUNT($L$9:Q$9)+$L$4))),TREND($E81:$F81,$E$9:$F$9,Q$9))</f>
        <v>9.1114481822700006E-5</v>
      </c>
      <c r="R81" s="36">
        <f>IF($G81="s-curve",$E81+($F81-$E81)*$L$2/(1+EXP($L$3*(COUNT($L$9:R$9)+$L$4))),TREND($E81:$F81,$E$9:$F$9,R$9))</f>
        <v>9.1114481822700006E-5</v>
      </c>
      <c r="S81" s="36">
        <f>IF($G81="s-curve",$E81+($F81-$E81)*$L$2/(1+EXP($L$3*(COUNT($L$9:S$9)+$L$4))),TREND($E81:$F81,$E$9:$F$9,S$9))</f>
        <v>9.1114481822700006E-5</v>
      </c>
      <c r="T81" s="36">
        <f>IF($G81="s-curve",$E81+($F81-$E81)*$L$2/(1+EXP($L$3*(COUNT($L$9:T$9)+$L$4))),TREND($E81:$F81,$E$9:$F$9,T$9))</f>
        <v>9.1114481822700006E-5</v>
      </c>
      <c r="U81" s="36">
        <f>IF($G81="s-curve",$E81+($F81-$E81)*$L$2/(1+EXP($L$3*(COUNT($L$9:U$9)+$L$4))),TREND($E81:$F81,$E$9:$F$9,U$9))</f>
        <v>9.1114481822700006E-5</v>
      </c>
      <c r="V81" s="36">
        <f>IF($G81="s-curve",$E81+($F81-$E81)*$L$2/(1+EXP($L$3*(COUNT($L$9:V$9)+$L$4))),TREND($E81:$F81,$E$9:$F$9,V$9))</f>
        <v>9.1114481822700006E-5</v>
      </c>
      <c r="W81" s="36">
        <f>IF($G81="s-curve",$E81+($F81-$E81)*$L$2/(1+EXP($L$3*(COUNT($L$9:W$9)+$L$4))),TREND($E81:$F81,$E$9:$F$9,W$9))</f>
        <v>9.1114481822700006E-5</v>
      </c>
      <c r="X81" s="36">
        <f>IF($G81="s-curve",$E81+($F81-$E81)*$L$2/(1+EXP($L$3*(COUNT($L$9:X$9)+$L$4))),TREND($E81:$F81,$E$9:$F$9,X$9))</f>
        <v>9.1114481822700006E-5</v>
      </c>
      <c r="Y81" s="36">
        <f>IF($G81="s-curve",$E81+($F81-$E81)*$L$2/(1+EXP($L$3*(COUNT($L$9:Y$9)+$L$4))),TREND($E81:$F81,$E$9:$F$9,Y$9))</f>
        <v>9.1114481822700006E-5</v>
      </c>
      <c r="Z81" s="36">
        <f>IF($G81="s-curve",$E81+($F81-$E81)*$L$2/(1+EXP($L$3*(COUNT($L$9:Z$9)+$L$4))),TREND($E81:$F81,$E$9:$F$9,Z$9))</f>
        <v>9.1114481822700006E-5</v>
      </c>
      <c r="AA81" s="36">
        <f>IF($G81="s-curve",$E81+($F81-$E81)*$L$2/(1+EXP($L$3*(COUNT($L$9:AA$9)+$L$4))),TREND($E81:$F81,$E$9:$F$9,AA$9))</f>
        <v>9.1114481822700006E-5</v>
      </c>
      <c r="AB81" s="36">
        <f>IF($G81="s-curve",$E81+($F81-$E81)*$L$2/(1+EXP($L$3*(COUNT($L$9:AB$9)+$L$4))),TREND($E81:$F81,$E$9:$F$9,AB$9))</f>
        <v>9.1114481822700006E-5</v>
      </c>
      <c r="AC81" s="36">
        <f>IF($G81="s-curve",$E81+($F81-$E81)*$L$2/(1+EXP($L$3*(COUNT($L$9:AC$9)+$L$4))),TREND($E81:$F81,$E$9:$F$9,AC$9))</f>
        <v>9.1114481822700006E-5</v>
      </c>
      <c r="AD81" s="36">
        <f>IF($G81="s-curve",$E81+($F81-$E81)*$L$2/(1+EXP($L$3*(COUNT($L$9:AD$9)+$L$4))),TREND($E81:$F81,$E$9:$F$9,AD$9))</f>
        <v>9.1114481822700006E-5</v>
      </c>
      <c r="AE81" s="36">
        <f>IF($G81="s-curve",$E81+($F81-$E81)*$L$2/(1+EXP($L$3*(COUNT($L$9:AE$9)+$L$4))),TREND($E81:$F81,$E$9:$F$9,AE$9))</f>
        <v>9.1114481822700006E-5</v>
      </c>
      <c r="AF81" s="36">
        <f>IF($G81="s-curve",$E81+($F81-$E81)*$L$2/(1+EXP($L$3*(COUNT($L$9:AF$9)+$L$4))),TREND($E81:$F81,$E$9:$F$9,AF$9))</f>
        <v>9.1114481822700006E-5</v>
      </c>
      <c r="AG81" s="36">
        <f>IF($G81="s-curve",$E81+($F81-$E81)*$L$2/(1+EXP($L$3*(COUNT($L$9:AG$9)+$L$4))),TREND($E81:$F81,$E$9:$F$9,AG$9))</f>
        <v>9.1114481822700006E-5</v>
      </c>
      <c r="AH81" s="36">
        <f>IF($G81="s-curve",$E81+($F81-$E81)*$L$2/(1+EXP($L$3*(COUNT($L$9:AH$9)+$L$4))),TREND($E81:$F81,$E$9:$F$9,AH$9))</f>
        <v>9.1114481822700006E-5</v>
      </c>
      <c r="AI81" s="36">
        <f>IF($G81="s-curve",$E81+($F81-$E81)*$L$2/(1+EXP($L$3*(COUNT($L$9:AI$9)+$L$4))),TREND($E81:$F81,$E$9:$F$9,AI$9))</f>
        <v>9.1114481822700006E-5</v>
      </c>
      <c r="AJ81" s="36">
        <f>IF($G81="s-curve",$E81+($F81-$E81)*$L$2/(1+EXP($L$3*(COUNT($L$9:AJ$9)+$L$4))),TREND($E81:$F81,$E$9:$F$9,AJ$9))</f>
        <v>9.1114481822700006E-5</v>
      </c>
      <c r="AK81" s="36">
        <f>IF($G81="s-curve",$E81+($F81-$E81)*$L$2/(1+EXP($L$3*(COUNT($L$9:AK$9)+$L$4))),TREND($E81:$F81,$E$9:$F$9,AK$9))</f>
        <v>9.1114481822700006E-5</v>
      </c>
      <c r="AL81" s="36">
        <f>IF($G81="s-curve",$E81+($F81-$E81)*$L$2/(1+EXP($L$3*(COUNT($L$9:AL$9)+$L$4))),TREND($E81:$F81,$E$9:$F$9,AL$9))</f>
        <v>9.1114481822700006E-5</v>
      </c>
      <c r="AM81" s="36">
        <f>IF($G81="s-curve",$E81+($F81-$E81)*$L$2/(1+EXP($L$3*(COUNT($L$9:AM$9)+$L$4))),TREND($E81:$F81,$E$9:$F$9,AM$9))</f>
        <v>9.1114481822700006E-5</v>
      </c>
      <c r="AN81" s="36">
        <f>IF($G81="s-curve",$E81+($F81-$E81)*$L$2/(1+EXP($L$3*(COUNT($L$9:AN$9)+$L$4))),TREND($E81:$F81,$E$9:$F$9,AN$9))</f>
        <v>9.1114481822700006E-5</v>
      </c>
      <c r="AO81" s="36">
        <f>IF($G81="s-curve",$E81+($F81-$E81)*$L$2/(1+EXP($L$3*(COUNT($L$9:AO$9)+$L$4))),TREND($E81:$F81,$E$9:$F$9,AO$9))</f>
        <v>9.1114481822700006E-5</v>
      </c>
      <c r="AP81" s="36">
        <f>IF($G81="s-curve",$E81+($F81-$E81)*$L$2/(1+EXP($L$3*(COUNT($L$9:AP$9)+$L$4))),TREND($E81:$F81,$E$9:$F$9,AP$9))</f>
        <v>9.1114481822700006E-5</v>
      </c>
      <c r="AQ81" s="36">
        <f>IF($G81="s-curve",$E81+($F81-$E81)*$L$2/(1+EXP($L$3*(COUNT($L$9:AQ$9)+$L$4))),TREND($E81:$F81,$E$9:$F$9,AQ$9))</f>
        <v>9.1114481822700006E-5</v>
      </c>
      <c r="AR81" s="36">
        <f>IF($G81="s-curve",$E81+($F81-$E81)*$L$2/(1+EXP($L$3*(COUNT($L$9:AR$9)+$L$4))),TREND($E81:$F81,$E$9:$F$9,AR$9))</f>
        <v>9.1114481822700006E-5</v>
      </c>
      <c r="AS81" s="36">
        <f>IF($G81="s-curve",$E81+($F81-$E81)*$L$2/(1+EXP($L$3*(COUNT($L$9:AS$9)+$L$4))),TREND($E81:$F81,$E$9:$F$9,AS$9))</f>
        <v>9.1114481822700006E-5</v>
      </c>
      <c r="AT81" s="36">
        <f>IF($G81="s-curve",$E81+($F81-$E81)*$L$2/(1+EXP($L$3*(COUNT($L$9:AT$9)+$L$4))),TREND($E81:$F81,$E$9:$F$9,AT$9))</f>
        <v>9.1114481822700006E-5</v>
      </c>
      <c r="AU81" s="36">
        <f>IF($G81="s-curve",$E81+($F81-$E81)*$L$2/(1+EXP($L$3*(COUNT($L$9:AU$9)+$L$4))),TREND($E81:$F81,$E$9:$F$9,AU$9))</f>
        <v>9.1114481822700006E-5</v>
      </c>
      <c r="AV81" s="36">
        <f>IF($G81="s-curve",$E81+($F81-$E81)*$L$2/(1+EXP($L$3*(COUNT($L$9:AV$9)+$L$4))),TREND($E81:$F81,$E$9:$F$9,AV$9))</f>
        <v>9.1114481822700006E-5</v>
      </c>
      <c r="AW81" s="36">
        <f>IF($G81="s-curve",$E81+($F81-$E81)*$L$2/(1+EXP($L$3*(COUNT($L$9:AW$9)+$L$4))),TREND($E81:$F81,$E$9:$F$9,AW$9))</f>
        <v>9.1114481822700006E-5</v>
      </c>
      <c r="AX81" s="36">
        <f>IF($G81="s-curve",$E81+($F81-$E81)*$L$2/(1+EXP($L$3*(COUNT($L$9:AX$9)+$L$4))),TREND($E81:$F81,$E$9:$F$9,AX$9))</f>
        <v>9.1114481822700006E-5</v>
      </c>
      <c r="AY81" s="36">
        <f>IF($G81="s-curve",$E81+($F81-$E81)*$L$2/(1+EXP($L$3*(COUNT($L$9:AY$9)+$L$4))),TREND($E81:$F81,$E$9:$F$9,AY$9))</f>
        <v>9.1114481822700006E-5</v>
      </c>
      <c r="AZ81" s="36">
        <f>IF($G81="s-curve",$E81+($F81-$E81)*$L$2/(1+EXP($L$3*(COUNT($L$9:AZ$9)+$L$4))),TREND($E81:$F81,$E$9:$F$9,AZ$9))</f>
        <v>9.1114481822700006E-5</v>
      </c>
      <c r="BA81" s="36">
        <f>IF($G81="s-curve",$E81+($F81-$E81)*$L$2/(1+EXP($L$3*(COUNT($L$9:BA$9)+$L$4))),TREND($E81:$F81,$E$9:$F$9,BA$9))</f>
        <v>9.1114481822700006E-5</v>
      </c>
      <c r="BB81" s="36">
        <f>IF($G81="s-curve",$E81+($F81-$E81)*$L$2/(1+EXP($L$3*(COUNT($L$9:BB$9)+$L$4))),TREND($E81:$F81,$E$9:$F$9,BB$9))</f>
        <v>9.1114481822700006E-5</v>
      </c>
      <c r="BC81" s="36">
        <f>IF($G81="s-curve",$E81+($F81-$E81)*$L$2/(1+EXP($L$3*(COUNT($L$9:BC$9)+$L$4))),TREND($E81:$F81,$E$9:$F$9,BC$9))</f>
        <v>9.1114481822700006E-5</v>
      </c>
      <c r="BD81" s="36">
        <f>IF($G81="s-curve",$E81+($F81-$E81)*$L$2/(1+EXP($L$3*(COUNT($L$9:BD$9)+$L$4))),TREND($E81:$F81,$E$9:$F$9,BD$9))</f>
        <v>9.1114481822700006E-5</v>
      </c>
      <c r="BE81" s="36">
        <f>IF($G81="s-curve",$E81+($F81-$E81)*$L$2/(1+EXP($L$3*(COUNT($L$9:BE$9)+$L$4))),TREND($E81:$F81,$E$9:$F$9,BE$9))</f>
        <v>9.1114481822700006E-5</v>
      </c>
      <c r="BF81" s="36">
        <f>IF($G81="s-curve",$E81+($F81-$E81)*$L$2/(1+EXP($L$3*(COUNT($L$9:BF$9)+$L$4))),TREND($E81:$F81,$E$9:$F$9,BF$9))</f>
        <v>9.1114481822700006E-5</v>
      </c>
    </row>
    <row r="82" spans="1:58" x14ac:dyDescent="0.25">
      <c r="C82" t="s">
        <v>3</v>
      </c>
      <c r="D82">
        <f t="shared" ref="D82:E82" si="35">D12</f>
        <v>1</v>
      </c>
      <c r="E82">
        <f t="shared" si="35"/>
        <v>1</v>
      </c>
      <c r="F82">
        <f t="shared" ref="F82" si="36">F12</f>
        <v>1</v>
      </c>
      <c r="G82" s="5" t="str">
        <f>IF(E82=F82,"n/a",IF(OR(C82="battery electric vehicle",C82="natural gas vehicle",C82="plugin hybrid vehicle"),"s-curve","linear"))</f>
        <v>n/a</v>
      </c>
      <c r="H82" s="33"/>
      <c r="I82">
        <f t="shared" si="32"/>
        <v>1</v>
      </c>
      <c r="J82">
        <f t="shared" si="32"/>
        <v>1</v>
      </c>
      <c r="K82">
        <f t="shared" si="32"/>
        <v>1</v>
      </c>
      <c r="L82" s="36">
        <f t="shared" si="31"/>
        <v>1</v>
      </c>
      <c r="M82" s="36">
        <f>IF($G82="s-curve",$E82+($F82-$E82)*$L$2/(1+EXP($L$3*(COUNT($L$9:M$9)+$L$4))),TREND($E82:$F82,$E$9:$F$9,M$9))</f>
        <v>1</v>
      </c>
      <c r="N82" s="36">
        <f>IF($G82="s-curve",$E82+($F82-$E82)*$L$2/(1+EXP($L$3*(COUNT($L$9:N$9)+$L$4))),TREND($E82:$F82,$E$9:$F$9,N$9))</f>
        <v>1</v>
      </c>
      <c r="O82" s="36">
        <f>IF($G82="s-curve",$E82+($F82-$E82)*$L$2/(1+EXP($L$3*(COUNT($L$9:O$9)+$L$4))),TREND($E82:$F82,$E$9:$F$9,O$9))</f>
        <v>1</v>
      </c>
      <c r="P82" s="36">
        <f>IF($G82="s-curve",$E82+($F82-$E82)*$L$2/(1+EXP($L$3*(COUNT($L$9:P$9)+$L$4))),TREND($E82:$F82,$E$9:$F$9,P$9))</f>
        <v>1</v>
      </c>
      <c r="Q82" s="36">
        <f>IF($G82="s-curve",$E82+($F82-$E82)*$L$2/(1+EXP($L$3*(COUNT($L$9:Q$9)+$L$4))),TREND($E82:$F82,$E$9:$F$9,Q$9))</f>
        <v>1</v>
      </c>
      <c r="R82" s="36">
        <f>IF($G82="s-curve",$E82+($F82-$E82)*$L$2/(1+EXP($L$3*(COUNT($L$9:R$9)+$L$4))),TREND($E82:$F82,$E$9:$F$9,R$9))</f>
        <v>1</v>
      </c>
      <c r="S82" s="36">
        <f>IF($G82="s-curve",$E82+($F82-$E82)*$L$2/(1+EXP($L$3*(COUNT($L$9:S$9)+$L$4))),TREND($E82:$F82,$E$9:$F$9,S$9))</f>
        <v>1</v>
      </c>
      <c r="T82" s="36">
        <f>IF($G82="s-curve",$E82+($F82-$E82)*$L$2/(1+EXP($L$3*(COUNT($L$9:T$9)+$L$4))),TREND($E82:$F82,$E$9:$F$9,T$9))</f>
        <v>1</v>
      </c>
      <c r="U82" s="36">
        <f>IF($G82="s-curve",$E82+($F82-$E82)*$L$2/(1+EXP($L$3*(COUNT($L$9:U$9)+$L$4))),TREND($E82:$F82,$E$9:$F$9,U$9))</f>
        <v>1</v>
      </c>
      <c r="V82" s="36">
        <f>IF($G82="s-curve",$E82+($F82-$E82)*$L$2/(1+EXP($L$3*(COUNT($L$9:V$9)+$L$4))),TREND($E82:$F82,$E$9:$F$9,V$9))</f>
        <v>1</v>
      </c>
      <c r="W82" s="36">
        <f>IF($G82="s-curve",$E82+($F82-$E82)*$L$2/(1+EXP($L$3*(COUNT($L$9:W$9)+$L$4))),TREND($E82:$F82,$E$9:$F$9,W$9))</f>
        <v>1</v>
      </c>
      <c r="X82" s="36">
        <f>IF($G82="s-curve",$E82+($F82-$E82)*$L$2/(1+EXP($L$3*(COUNT($L$9:X$9)+$L$4))),TREND($E82:$F82,$E$9:$F$9,X$9))</f>
        <v>1</v>
      </c>
      <c r="Y82" s="36">
        <f>IF($G82="s-curve",$E82+($F82-$E82)*$L$2/(1+EXP($L$3*(COUNT($L$9:Y$9)+$L$4))),TREND($E82:$F82,$E$9:$F$9,Y$9))</f>
        <v>1</v>
      </c>
      <c r="Z82" s="36">
        <f>IF($G82="s-curve",$E82+($F82-$E82)*$L$2/(1+EXP($L$3*(COUNT($L$9:Z$9)+$L$4))),TREND($E82:$F82,$E$9:$F$9,Z$9))</f>
        <v>1</v>
      </c>
      <c r="AA82" s="36">
        <f>IF($G82="s-curve",$E82+($F82-$E82)*$L$2/(1+EXP($L$3*(COUNT($L$9:AA$9)+$L$4))),TREND($E82:$F82,$E$9:$F$9,AA$9))</f>
        <v>1</v>
      </c>
      <c r="AB82" s="36">
        <f>IF($G82="s-curve",$E82+($F82-$E82)*$L$2/(1+EXP($L$3*(COUNT($L$9:AB$9)+$L$4))),TREND($E82:$F82,$E$9:$F$9,AB$9))</f>
        <v>1</v>
      </c>
      <c r="AC82" s="36">
        <f>IF($G82="s-curve",$E82+($F82-$E82)*$L$2/(1+EXP($L$3*(COUNT($L$9:AC$9)+$L$4))),TREND($E82:$F82,$E$9:$F$9,AC$9))</f>
        <v>1</v>
      </c>
      <c r="AD82" s="36">
        <f>IF($G82="s-curve",$E82+($F82-$E82)*$L$2/(1+EXP($L$3*(COUNT($L$9:AD$9)+$L$4))),TREND($E82:$F82,$E$9:$F$9,AD$9))</f>
        <v>1</v>
      </c>
      <c r="AE82" s="36">
        <f>IF($G82="s-curve",$E82+($F82-$E82)*$L$2/(1+EXP($L$3*(COUNT($L$9:AE$9)+$L$4))),TREND($E82:$F82,$E$9:$F$9,AE$9))</f>
        <v>1</v>
      </c>
      <c r="AF82" s="36">
        <f>IF($G82="s-curve",$E82+($F82-$E82)*$L$2/(1+EXP($L$3*(COUNT($L$9:AF$9)+$L$4))),TREND($E82:$F82,$E$9:$F$9,AF$9))</f>
        <v>1</v>
      </c>
      <c r="AG82" s="36">
        <f>IF($G82="s-curve",$E82+($F82-$E82)*$L$2/(1+EXP($L$3*(COUNT($L$9:AG$9)+$L$4))),TREND($E82:$F82,$E$9:$F$9,AG$9))</f>
        <v>1</v>
      </c>
      <c r="AH82" s="36">
        <f>IF($G82="s-curve",$E82+($F82-$E82)*$L$2/(1+EXP($L$3*(COUNT($L$9:AH$9)+$L$4))),TREND($E82:$F82,$E$9:$F$9,AH$9))</f>
        <v>1</v>
      </c>
      <c r="AI82" s="36">
        <f>IF($G82="s-curve",$E82+($F82-$E82)*$L$2/(1+EXP($L$3*(COUNT($L$9:AI$9)+$L$4))),TREND($E82:$F82,$E$9:$F$9,AI$9))</f>
        <v>1</v>
      </c>
      <c r="AJ82" s="36">
        <f>IF($G82="s-curve",$E82+($F82-$E82)*$L$2/(1+EXP($L$3*(COUNT($L$9:AJ$9)+$L$4))),TREND($E82:$F82,$E$9:$F$9,AJ$9))</f>
        <v>1</v>
      </c>
      <c r="AK82" s="36">
        <f>IF($G82="s-curve",$E82+($F82-$E82)*$L$2/(1+EXP($L$3*(COUNT($L$9:AK$9)+$L$4))),TREND($E82:$F82,$E$9:$F$9,AK$9))</f>
        <v>1</v>
      </c>
      <c r="AL82" s="36">
        <f>IF($G82="s-curve",$E82+($F82-$E82)*$L$2/(1+EXP($L$3*(COUNT($L$9:AL$9)+$L$4))),TREND($E82:$F82,$E$9:$F$9,AL$9))</f>
        <v>1</v>
      </c>
      <c r="AM82" s="36">
        <f>IF($G82="s-curve",$E82+($F82-$E82)*$L$2/(1+EXP($L$3*(COUNT($L$9:AM$9)+$L$4))),TREND($E82:$F82,$E$9:$F$9,AM$9))</f>
        <v>1</v>
      </c>
      <c r="AN82" s="36">
        <f>IF($G82="s-curve",$E82+($F82-$E82)*$L$2/(1+EXP($L$3*(COUNT($L$9:AN$9)+$L$4))),TREND($E82:$F82,$E$9:$F$9,AN$9))</f>
        <v>1</v>
      </c>
      <c r="AO82" s="36">
        <f>IF($G82="s-curve",$E82+($F82-$E82)*$L$2/(1+EXP($L$3*(COUNT($L$9:AO$9)+$L$4))),TREND($E82:$F82,$E$9:$F$9,AO$9))</f>
        <v>1</v>
      </c>
      <c r="AP82" s="36">
        <f>IF($G82="s-curve",$E82+($F82-$E82)*$L$2/(1+EXP($L$3*(COUNT($L$9:AP$9)+$L$4))),TREND($E82:$F82,$E$9:$F$9,AP$9))</f>
        <v>1</v>
      </c>
      <c r="AQ82" s="36">
        <f>IF($G82="s-curve",$E82+($F82-$E82)*$L$2/(1+EXP($L$3*(COUNT($L$9:AQ$9)+$L$4))),TREND($E82:$F82,$E$9:$F$9,AQ$9))</f>
        <v>1</v>
      </c>
      <c r="AR82" s="36">
        <f>IF($G82="s-curve",$E82+($F82-$E82)*$L$2/(1+EXP($L$3*(COUNT($L$9:AR$9)+$L$4))),TREND($E82:$F82,$E$9:$F$9,AR$9))</f>
        <v>1</v>
      </c>
      <c r="AS82" s="36">
        <f>IF($G82="s-curve",$E82+($F82-$E82)*$L$2/(1+EXP($L$3*(COUNT($L$9:AS$9)+$L$4))),TREND($E82:$F82,$E$9:$F$9,AS$9))</f>
        <v>1</v>
      </c>
      <c r="AT82" s="36">
        <f>IF($G82="s-curve",$E82+($F82-$E82)*$L$2/(1+EXP($L$3*(COUNT($L$9:AT$9)+$L$4))),TREND($E82:$F82,$E$9:$F$9,AT$9))</f>
        <v>1</v>
      </c>
      <c r="AU82" s="36">
        <f>IF($G82="s-curve",$E82+($F82-$E82)*$L$2/(1+EXP($L$3*(COUNT($L$9:AU$9)+$L$4))),TREND($E82:$F82,$E$9:$F$9,AU$9))</f>
        <v>1</v>
      </c>
      <c r="AV82" s="36">
        <f>IF($G82="s-curve",$E82+($F82-$E82)*$L$2/(1+EXP($L$3*(COUNT($L$9:AV$9)+$L$4))),TREND($E82:$F82,$E$9:$F$9,AV$9))</f>
        <v>1</v>
      </c>
      <c r="AW82" s="36">
        <f>IF($G82="s-curve",$E82+($F82-$E82)*$L$2/(1+EXP($L$3*(COUNT($L$9:AW$9)+$L$4))),TREND($E82:$F82,$E$9:$F$9,AW$9))</f>
        <v>1</v>
      </c>
      <c r="AX82" s="36">
        <f>IF($G82="s-curve",$E82+($F82-$E82)*$L$2/(1+EXP($L$3*(COUNT($L$9:AX$9)+$L$4))),TREND($E82:$F82,$E$9:$F$9,AX$9))</f>
        <v>1</v>
      </c>
      <c r="AY82" s="36">
        <f>IF($G82="s-curve",$E82+($F82-$E82)*$L$2/(1+EXP($L$3*(COUNT($L$9:AY$9)+$L$4))),TREND($E82:$F82,$E$9:$F$9,AY$9))</f>
        <v>1</v>
      </c>
      <c r="AZ82" s="36">
        <f>IF($G82="s-curve",$E82+($F82-$E82)*$L$2/(1+EXP($L$3*(COUNT($L$9:AZ$9)+$L$4))),TREND($E82:$F82,$E$9:$F$9,AZ$9))</f>
        <v>1</v>
      </c>
      <c r="BA82" s="36">
        <f>IF($G82="s-curve",$E82+($F82-$E82)*$L$2/(1+EXP($L$3*(COUNT($L$9:BA$9)+$L$4))),TREND($E82:$F82,$E$9:$F$9,BA$9))</f>
        <v>1</v>
      </c>
      <c r="BB82" s="36">
        <f>IF($G82="s-curve",$E82+($F82-$E82)*$L$2/(1+EXP($L$3*(COUNT($L$9:BB$9)+$L$4))),TREND($E82:$F82,$E$9:$F$9,BB$9))</f>
        <v>1</v>
      </c>
      <c r="BC82" s="36">
        <f>IF($G82="s-curve",$E82+($F82-$E82)*$L$2/(1+EXP($L$3*(COUNT($L$9:BC$9)+$L$4))),TREND($E82:$F82,$E$9:$F$9,BC$9))</f>
        <v>1</v>
      </c>
      <c r="BD82" s="36">
        <f>IF($G82="s-curve",$E82+($F82-$E82)*$L$2/(1+EXP($L$3*(COUNT($L$9:BD$9)+$L$4))),TREND($E82:$F82,$E$9:$F$9,BD$9))</f>
        <v>1</v>
      </c>
      <c r="BE82" s="36">
        <f>IF($G82="s-curve",$E82+($F82-$E82)*$L$2/(1+EXP($L$3*(COUNT($L$9:BE$9)+$L$4))),TREND($E82:$F82,$E$9:$F$9,BE$9))</f>
        <v>1</v>
      </c>
      <c r="BF82" s="36">
        <f>IF($G82="s-curve",$E82+($F82-$E82)*$L$2/(1+EXP($L$3*(COUNT($L$9:BF$9)+$L$4))),TREND($E82:$F82,$E$9:$F$9,BF$9))</f>
        <v>1</v>
      </c>
    </row>
    <row r="83" spans="1:58" x14ac:dyDescent="0.25">
      <c r="C83" t="s">
        <v>4</v>
      </c>
      <c r="D83">
        <f t="shared" ref="D83:E83" si="37">D13</f>
        <v>6.6777915503600002E-2</v>
      </c>
      <c r="E83">
        <f t="shared" si="37"/>
        <v>6.08023121013E-2</v>
      </c>
      <c r="F83">
        <f t="shared" ref="F83" si="38">F13</f>
        <v>6.08023121013E-2</v>
      </c>
      <c r="G83" s="5" t="str">
        <f>IF(E83=F83,"n/a",IF(OR(C83="battery electric vehicle",C83="natural gas vehicle",C83="plugin hybrid vehicle"),"s-curve","linear"))</f>
        <v>n/a</v>
      </c>
      <c r="H83" s="33"/>
      <c r="I83">
        <f t="shared" si="32"/>
        <v>6.0802312101300007E-2</v>
      </c>
      <c r="J83">
        <f t="shared" si="32"/>
        <v>6.0802312101300007E-2</v>
      </c>
      <c r="K83">
        <f t="shared" si="32"/>
        <v>6.0802312101300007E-2</v>
      </c>
      <c r="L83" s="36">
        <f t="shared" si="31"/>
        <v>6.08023121013E-2</v>
      </c>
      <c r="M83" s="36">
        <f>IF($G83="s-curve",$E83+($F83-$E83)*$L$2/(1+EXP($L$3*(COUNT($L$9:M$9)+$L$4))),TREND($E83:$F83,$E$9:$F$9,M$9))</f>
        <v>6.08023121013E-2</v>
      </c>
      <c r="N83" s="36">
        <f>IF($G83="s-curve",$E83+($F83-$E83)*$L$2/(1+EXP($L$3*(COUNT($L$9:N$9)+$L$4))),TREND($E83:$F83,$E$9:$F$9,N$9))</f>
        <v>6.08023121013E-2</v>
      </c>
      <c r="O83" s="36">
        <f>IF($G83="s-curve",$E83+($F83-$E83)*$L$2/(1+EXP($L$3*(COUNT($L$9:O$9)+$L$4))),TREND($E83:$F83,$E$9:$F$9,O$9))</f>
        <v>6.08023121013E-2</v>
      </c>
      <c r="P83" s="36">
        <f>IF($G83="s-curve",$E83+($F83-$E83)*$L$2/(1+EXP($L$3*(COUNT($L$9:P$9)+$L$4))),TREND($E83:$F83,$E$9:$F$9,P$9))</f>
        <v>6.08023121013E-2</v>
      </c>
      <c r="Q83" s="36">
        <f>IF($G83="s-curve",$E83+($F83-$E83)*$L$2/(1+EXP($L$3*(COUNT($L$9:Q$9)+$L$4))),TREND($E83:$F83,$E$9:$F$9,Q$9))</f>
        <v>6.08023121013E-2</v>
      </c>
      <c r="R83" s="36">
        <f>IF($G83="s-curve",$E83+($F83-$E83)*$L$2/(1+EXP($L$3*(COUNT($L$9:R$9)+$L$4))),TREND($E83:$F83,$E$9:$F$9,R$9))</f>
        <v>6.08023121013E-2</v>
      </c>
      <c r="S83" s="36">
        <f>IF($G83="s-curve",$E83+($F83-$E83)*$L$2/(1+EXP($L$3*(COUNT($L$9:S$9)+$L$4))),TREND($E83:$F83,$E$9:$F$9,S$9))</f>
        <v>6.08023121013E-2</v>
      </c>
      <c r="T83" s="36">
        <f>IF($G83="s-curve",$E83+($F83-$E83)*$L$2/(1+EXP($L$3*(COUNT($L$9:T$9)+$L$4))),TREND($E83:$F83,$E$9:$F$9,T$9))</f>
        <v>6.08023121013E-2</v>
      </c>
      <c r="U83" s="36">
        <f>IF($G83="s-curve",$E83+($F83-$E83)*$L$2/(1+EXP($L$3*(COUNT($L$9:U$9)+$L$4))),TREND($E83:$F83,$E$9:$F$9,U$9))</f>
        <v>6.08023121013E-2</v>
      </c>
      <c r="V83" s="36">
        <f>IF($G83="s-curve",$E83+($F83-$E83)*$L$2/(1+EXP($L$3*(COUNT($L$9:V$9)+$L$4))),TREND($E83:$F83,$E$9:$F$9,V$9))</f>
        <v>6.08023121013E-2</v>
      </c>
      <c r="W83" s="36">
        <f>IF($G83="s-curve",$E83+($F83-$E83)*$L$2/(1+EXP($L$3*(COUNT($L$9:W$9)+$L$4))),TREND($E83:$F83,$E$9:$F$9,W$9))</f>
        <v>6.08023121013E-2</v>
      </c>
      <c r="X83" s="36">
        <f>IF($G83="s-curve",$E83+($F83-$E83)*$L$2/(1+EXP($L$3*(COUNT($L$9:X$9)+$L$4))),TREND($E83:$F83,$E$9:$F$9,X$9))</f>
        <v>6.08023121013E-2</v>
      </c>
      <c r="Y83" s="36">
        <f>IF($G83="s-curve",$E83+($F83-$E83)*$L$2/(1+EXP($L$3*(COUNT($L$9:Y$9)+$L$4))),TREND($E83:$F83,$E$9:$F$9,Y$9))</f>
        <v>6.08023121013E-2</v>
      </c>
      <c r="Z83" s="36">
        <f>IF($G83="s-curve",$E83+($F83-$E83)*$L$2/(1+EXP($L$3*(COUNT($L$9:Z$9)+$L$4))),TREND($E83:$F83,$E$9:$F$9,Z$9))</f>
        <v>6.08023121013E-2</v>
      </c>
      <c r="AA83" s="36">
        <f>IF($G83="s-curve",$E83+($F83-$E83)*$L$2/(1+EXP($L$3*(COUNT($L$9:AA$9)+$L$4))),TREND($E83:$F83,$E$9:$F$9,AA$9))</f>
        <v>6.08023121013E-2</v>
      </c>
      <c r="AB83" s="36">
        <f>IF($G83="s-curve",$E83+($F83-$E83)*$L$2/(1+EXP($L$3*(COUNT($L$9:AB$9)+$L$4))),TREND($E83:$F83,$E$9:$F$9,AB$9))</f>
        <v>6.08023121013E-2</v>
      </c>
      <c r="AC83" s="36">
        <f>IF($G83="s-curve",$E83+($F83-$E83)*$L$2/(1+EXP($L$3*(COUNT($L$9:AC$9)+$L$4))),TREND($E83:$F83,$E$9:$F$9,AC$9))</f>
        <v>6.08023121013E-2</v>
      </c>
      <c r="AD83" s="36">
        <f>IF($G83="s-curve",$E83+($F83-$E83)*$L$2/(1+EXP($L$3*(COUNT($L$9:AD$9)+$L$4))),TREND($E83:$F83,$E$9:$F$9,AD$9))</f>
        <v>6.08023121013E-2</v>
      </c>
      <c r="AE83" s="36">
        <f>IF($G83="s-curve",$E83+($F83-$E83)*$L$2/(1+EXP($L$3*(COUNT($L$9:AE$9)+$L$4))),TREND($E83:$F83,$E$9:$F$9,AE$9))</f>
        <v>6.08023121013E-2</v>
      </c>
      <c r="AF83" s="36">
        <f>IF($G83="s-curve",$E83+($F83-$E83)*$L$2/(1+EXP($L$3*(COUNT($L$9:AF$9)+$L$4))),TREND($E83:$F83,$E$9:$F$9,AF$9))</f>
        <v>6.08023121013E-2</v>
      </c>
      <c r="AG83" s="36">
        <f>IF($G83="s-curve",$E83+($F83-$E83)*$L$2/(1+EXP($L$3*(COUNT($L$9:AG$9)+$L$4))),TREND($E83:$F83,$E$9:$F$9,AG$9))</f>
        <v>6.08023121013E-2</v>
      </c>
      <c r="AH83" s="36">
        <f>IF($G83="s-curve",$E83+($F83-$E83)*$L$2/(1+EXP($L$3*(COUNT($L$9:AH$9)+$L$4))),TREND($E83:$F83,$E$9:$F$9,AH$9))</f>
        <v>6.08023121013E-2</v>
      </c>
      <c r="AI83" s="36">
        <f>IF($G83="s-curve",$E83+($F83-$E83)*$L$2/(1+EXP($L$3*(COUNT($L$9:AI$9)+$L$4))),TREND($E83:$F83,$E$9:$F$9,AI$9))</f>
        <v>6.08023121013E-2</v>
      </c>
      <c r="AJ83" s="36">
        <f>IF($G83="s-curve",$E83+($F83-$E83)*$L$2/(1+EXP($L$3*(COUNT($L$9:AJ$9)+$L$4))),TREND($E83:$F83,$E$9:$F$9,AJ$9))</f>
        <v>6.08023121013E-2</v>
      </c>
      <c r="AK83" s="36">
        <f>IF($G83="s-curve",$E83+($F83-$E83)*$L$2/(1+EXP($L$3*(COUNT($L$9:AK$9)+$L$4))),TREND($E83:$F83,$E$9:$F$9,AK$9))</f>
        <v>6.08023121013E-2</v>
      </c>
      <c r="AL83" s="36">
        <f>IF($G83="s-curve",$E83+($F83-$E83)*$L$2/(1+EXP($L$3*(COUNT($L$9:AL$9)+$L$4))),TREND($E83:$F83,$E$9:$F$9,AL$9))</f>
        <v>6.08023121013E-2</v>
      </c>
      <c r="AM83" s="36">
        <f>IF($G83="s-curve",$E83+($F83-$E83)*$L$2/(1+EXP($L$3*(COUNT($L$9:AM$9)+$L$4))),TREND($E83:$F83,$E$9:$F$9,AM$9))</f>
        <v>6.08023121013E-2</v>
      </c>
      <c r="AN83" s="36">
        <f>IF($G83="s-curve",$E83+($F83-$E83)*$L$2/(1+EXP($L$3*(COUNT($L$9:AN$9)+$L$4))),TREND($E83:$F83,$E$9:$F$9,AN$9))</f>
        <v>6.08023121013E-2</v>
      </c>
      <c r="AO83" s="36">
        <f>IF($G83="s-curve",$E83+($F83-$E83)*$L$2/(1+EXP($L$3*(COUNT($L$9:AO$9)+$L$4))),TREND($E83:$F83,$E$9:$F$9,AO$9))</f>
        <v>6.08023121013E-2</v>
      </c>
      <c r="AP83" s="36">
        <f>IF($G83="s-curve",$E83+($F83-$E83)*$L$2/(1+EXP($L$3*(COUNT($L$9:AP$9)+$L$4))),TREND($E83:$F83,$E$9:$F$9,AP$9))</f>
        <v>6.08023121013E-2</v>
      </c>
      <c r="AQ83" s="36">
        <f>IF($G83="s-curve",$E83+($F83-$E83)*$L$2/(1+EXP($L$3*(COUNT($L$9:AQ$9)+$L$4))),TREND($E83:$F83,$E$9:$F$9,AQ$9))</f>
        <v>6.08023121013E-2</v>
      </c>
      <c r="AR83" s="36">
        <f>IF($G83="s-curve",$E83+($F83-$E83)*$L$2/(1+EXP($L$3*(COUNT($L$9:AR$9)+$L$4))),TREND($E83:$F83,$E$9:$F$9,AR$9))</f>
        <v>6.08023121013E-2</v>
      </c>
      <c r="AS83" s="36">
        <f>IF($G83="s-curve",$E83+($F83-$E83)*$L$2/(1+EXP($L$3*(COUNT($L$9:AS$9)+$L$4))),TREND($E83:$F83,$E$9:$F$9,AS$9))</f>
        <v>6.08023121013E-2</v>
      </c>
      <c r="AT83" s="36">
        <f>IF($G83="s-curve",$E83+($F83-$E83)*$L$2/(1+EXP($L$3*(COUNT($L$9:AT$9)+$L$4))),TREND($E83:$F83,$E$9:$F$9,AT$9))</f>
        <v>6.08023121013E-2</v>
      </c>
      <c r="AU83" s="36">
        <f>IF($G83="s-curve",$E83+($F83-$E83)*$L$2/(1+EXP($L$3*(COUNT($L$9:AU$9)+$L$4))),TREND($E83:$F83,$E$9:$F$9,AU$9))</f>
        <v>6.08023121013E-2</v>
      </c>
      <c r="AV83" s="36">
        <f>IF($G83="s-curve",$E83+($F83-$E83)*$L$2/(1+EXP($L$3*(COUNT($L$9:AV$9)+$L$4))),TREND($E83:$F83,$E$9:$F$9,AV$9))</f>
        <v>6.08023121013E-2</v>
      </c>
      <c r="AW83" s="36">
        <f>IF($G83="s-curve",$E83+($F83-$E83)*$L$2/(1+EXP($L$3*(COUNT($L$9:AW$9)+$L$4))),TREND($E83:$F83,$E$9:$F$9,AW$9))</f>
        <v>6.08023121013E-2</v>
      </c>
      <c r="AX83" s="36">
        <f>IF($G83="s-curve",$E83+($F83-$E83)*$L$2/(1+EXP($L$3*(COUNT($L$9:AX$9)+$L$4))),TREND($E83:$F83,$E$9:$F$9,AX$9))</f>
        <v>6.08023121013E-2</v>
      </c>
      <c r="AY83" s="36">
        <f>IF($G83="s-curve",$E83+($F83-$E83)*$L$2/(1+EXP($L$3*(COUNT($L$9:AY$9)+$L$4))),TREND($E83:$F83,$E$9:$F$9,AY$9))</f>
        <v>6.08023121013E-2</v>
      </c>
      <c r="AZ83" s="36">
        <f>IF($G83="s-curve",$E83+($F83-$E83)*$L$2/(1+EXP($L$3*(COUNT($L$9:AZ$9)+$L$4))),TREND($E83:$F83,$E$9:$F$9,AZ$9))</f>
        <v>6.08023121013E-2</v>
      </c>
      <c r="BA83" s="36">
        <f>IF($G83="s-curve",$E83+($F83-$E83)*$L$2/(1+EXP($L$3*(COUNT($L$9:BA$9)+$L$4))),TREND($E83:$F83,$E$9:$F$9,BA$9))</f>
        <v>6.08023121013E-2</v>
      </c>
      <c r="BB83" s="36">
        <f>IF($G83="s-curve",$E83+($F83-$E83)*$L$2/(1+EXP($L$3*(COUNT($L$9:BB$9)+$L$4))),TREND($E83:$F83,$E$9:$F$9,BB$9))</f>
        <v>6.08023121013E-2</v>
      </c>
      <c r="BC83" s="36">
        <f>IF($G83="s-curve",$E83+($F83-$E83)*$L$2/(1+EXP($L$3*(COUNT($L$9:BC$9)+$L$4))),TREND($E83:$F83,$E$9:$F$9,BC$9))</f>
        <v>6.08023121013E-2</v>
      </c>
      <c r="BD83" s="36">
        <f>IF($G83="s-curve",$E83+($F83-$E83)*$L$2/(1+EXP($L$3*(COUNT($L$9:BD$9)+$L$4))),TREND($E83:$F83,$E$9:$F$9,BD$9))</f>
        <v>6.08023121013E-2</v>
      </c>
      <c r="BE83" s="36">
        <f>IF($G83="s-curve",$E83+($F83-$E83)*$L$2/(1+EXP($L$3*(COUNT($L$9:BE$9)+$L$4))),TREND($E83:$F83,$E$9:$F$9,BE$9))</f>
        <v>6.08023121013E-2</v>
      </c>
      <c r="BF83" s="36">
        <f>IF($G83="s-curve",$E83+($F83-$E83)*$L$2/(1+EXP($L$3*(COUNT($L$9:BF$9)+$L$4))),TREND($E83:$F83,$E$9:$F$9,BF$9))</f>
        <v>6.08023121013E-2</v>
      </c>
    </row>
    <row r="84" spans="1:58" x14ac:dyDescent="0.25">
      <c r="C84" t="s">
        <v>5</v>
      </c>
      <c r="D84">
        <f t="shared" ref="D84:E84" si="39">D14</f>
        <v>1.5463740197399999E-2</v>
      </c>
      <c r="E84">
        <f t="shared" si="39"/>
        <v>1.5463740197399999E-2</v>
      </c>
      <c r="F84">
        <f t="shared" ref="F84" si="40">F14</f>
        <v>0.21649236276359995</v>
      </c>
      <c r="G84" s="5" t="str">
        <f>IF(E84=F84,"n/a",IF(OR(C84="battery electric vehicle",C84="natural gas vehicle",C84="plugin hybrid vehicle"),"s-curve","linear"))</f>
        <v>s-curve</v>
      </c>
      <c r="H84" s="33"/>
      <c r="I84">
        <f t="shared" si="32"/>
        <v>1.101574749177292E-2</v>
      </c>
      <c r="J84">
        <f t="shared" si="32"/>
        <v>1.2683588302487614E-2</v>
      </c>
      <c r="K84">
        <f t="shared" si="32"/>
        <v>1.4351429113202752E-2</v>
      </c>
      <c r="L84" s="36">
        <f t="shared" si="31"/>
        <v>1.5463740197399999E-2</v>
      </c>
      <c r="M84" s="36">
        <f>IF($G84="s-curve",$E84+($F84-$E84)*$L$2/(1+EXP($L$3*(COUNT($L$9:M$9)+$L$4))),TREND($E84:$F84,$E$9:$F$9,M$9))</f>
        <v>1.8433743438448065E-2</v>
      </c>
      <c r="N84" s="36">
        <f>IF($G84="s-curve",$E84+($F84-$E84)*$L$2/(1+EXP($L$3*(COUNT($L$9:N$9)+$L$4))),TREND($E84:$F84,$E$9:$F$9,N$9))</f>
        <v>1.9452209530413881E-2</v>
      </c>
      <c r="O84" s="36">
        <f>IF($G84="s-curve",$E84+($F84-$E84)*$L$2/(1+EXP($L$3*(COUNT($L$9:O$9)+$L$4))),TREND($E84:$F84,$E$9:$F$9,O$9))</f>
        <v>2.0810497180559412E-2</v>
      </c>
      <c r="P84" s="36">
        <f>IF($G84="s-curve",$E84+($F84-$E84)*$L$2/(1+EXP($L$3*(COUNT($L$9:P$9)+$L$4))),TREND($E84:$F84,$E$9:$F$9,P$9))</f>
        <v>2.261456737991964E-2</v>
      </c>
      <c r="Q84" s="36">
        <f>IF($G84="s-curve",$E84+($F84-$E84)*$L$2/(1+EXP($L$3*(COUNT($L$9:Q$9)+$L$4))),TREND($E84:$F84,$E$9:$F$9,Q$9))</f>
        <v>2.4997698156285539E-2</v>
      </c>
      <c r="R84" s="36">
        <f>IF($G84="s-curve",$E84+($F84-$E84)*$L$2/(1+EXP($L$3*(COUNT($L$9:R$9)+$L$4))),TREND($E84:$F84,$E$9:$F$9,R$9))</f>
        <v>2.8123187223908871E-2</v>
      </c>
      <c r="S84" s="36">
        <f>IF($G84="s-curve",$E84+($F84-$E84)*$L$2/(1+EXP($L$3*(COUNT($L$9:S$9)+$L$4))),TREND($E84:$F84,$E$9:$F$9,S$9))</f>
        <v>3.2183832808689819E-2</v>
      </c>
      <c r="T84" s="36">
        <f>IF($G84="s-curve",$E84+($F84-$E84)*$L$2/(1+EXP($L$3*(COUNT($L$9:T$9)+$L$4))),TREND($E84:$F84,$E$9:$F$9,T$9))</f>
        <v>3.7395323888705076E-2</v>
      </c>
      <c r="U84" s="36">
        <f>IF($G84="s-curve",$E84+($F84-$E84)*$L$2/(1+EXP($L$3*(COUNT($L$9:U$9)+$L$4))),TREND($E84:$F84,$E$9:$F$9,U$9))</f>
        <v>4.3979864383893702E-2</v>
      </c>
      <c r="V84" s="36">
        <f>IF($G84="s-curve",$E84+($F84-$E84)*$L$2/(1+EXP($L$3*(COUNT($L$9:V$9)+$L$4))),TREND($E84:$F84,$E$9:$F$9,V$9))</f>
        <v>5.2136491969109341E-2</v>
      </c>
      <c r="W84" s="36">
        <f>IF($G84="s-curve",$E84+($F84-$E84)*$L$2/(1+EXP($L$3*(COUNT($L$9:W$9)+$L$4))),TREND($E84:$F84,$E$9:$F$9,W$9))</f>
        <v>6.1996884128805413E-2</v>
      </c>
      <c r="X84" s="36">
        <f>IF($G84="s-curve",$E84+($F84-$E84)*$L$2/(1+EXP($L$3*(COUNT($L$9:X$9)+$L$4))),TREND($E84:$F84,$E$9:$F$9,X$9))</f>
        <v>7.3571163536770456E-2</v>
      </c>
      <c r="Y84" s="36">
        <f>IF($G84="s-curve",$E84+($F84-$E84)*$L$2/(1+EXP($L$3*(COUNT($L$9:Y$9)+$L$4))),TREND($E84:$F84,$E$9:$F$9,Y$9))</f>
        <v>8.6696964871847707E-2</v>
      </c>
      <c r="Z84" s="36">
        <f>IF($G84="s-curve",$E84+($F84-$E84)*$L$2/(1+EXP($L$3*(COUNT($L$9:Z$9)+$L$4))),TREND($E84:$F84,$E$9:$F$9,Z$9))</f>
        <v>0.10101297486549099</v>
      </c>
      <c r="AA84" s="36">
        <f>IF($G84="s-curve",$E84+($F84-$E84)*$L$2/(1+EXP($L$3*(COUNT($L$9:AA$9)+$L$4))),TREND($E84:$F84,$E$9:$F$9,AA$9))</f>
        <v>0.11597805148049999</v>
      </c>
      <c r="AB84" s="36">
        <f>IF($G84="s-curve",$E84+($F84-$E84)*$L$2/(1+EXP($L$3*(COUNT($L$9:AB$9)+$L$4))),TREND($E84:$F84,$E$9:$F$9,AB$9))</f>
        <v>0.13094312809550898</v>
      </c>
      <c r="AC84" s="36">
        <f>IF($G84="s-curve",$E84+($F84-$E84)*$L$2/(1+EXP($L$3*(COUNT($L$9:AC$9)+$L$4))),TREND($E84:$F84,$E$9:$F$9,AC$9))</f>
        <v>0.14525913808915225</v>
      </c>
      <c r="AD84" s="36">
        <f>IF($G84="s-curve",$E84+($F84-$E84)*$L$2/(1+EXP($L$3*(COUNT($L$9:AD$9)+$L$4))),TREND($E84:$F84,$E$9:$F$9,AD$9))</f>
        <v>0.15838493942422949</v>
      </c>
      <c r="AE84" s="36">
        <f>IF($G84="s-curve",$E84+($F84-$E84)*$L$2/(1+EXP($L$3*(COUNT($L$9:AE$9)+$L$4))),TREND($E84:$F84,$E$9:$F$9,AE$9))</f>
        <v>0.16995921883219453</v>
      </c>
      <c r="AF84" s="36">
        <f>IF($G84="s-curve",$E84+($F84-$E84)*$L$2/(1+EXP($L$3*(COUNT($L$9:AF$9)+$L$4))),TREND($E84:$F84,$E$9:$F$9,AF$9))</f>
        <v>0.17981961099189062</v>
      </c>
      <c r="AG84" s="36">
        <f>IF($G84="s-curve",$E84+($F84-$E84)*$L$2/(1+EXP($L$3*(COUNT($L$9:AG$9)+$L$4))),TREND($E84:$F84,$E$9:$F$9,AG$9))</f>
        <v>0.18797623857710627</v>
      </c>
      <c r="AH84" s="36">
        <f>IF($G84="s-curve",$E84+($F84-$E84)*$L$2/(1+EXP($L$3*(COUNT($L$9:AH$9)+$L$4))),TREND($E84:$F84,$E$9:$F$9,AH$9))</f>
        <v>0.19456077907229488</v>
      </c>
      <c r="AI84" s="36">
        <f>IF($G84="s-curve",$E84+($F84-$E84)*$L$2/(1+EXP($L$3*(COUNT($L$9:AI$9)+$L$4))),TREND($E84:$F84,$E$9:$F$9,AI$9))</f>
        <v>0.19977227015231014</v>
      </c>
      <c r="AJ84" s="36">
        <f>IF($G84="s-curve",$E84+($F84-$E84)*$L$2/(1+EXP($L$3*(COUNT($L$9:AJ$9)+$L$4))),TREND($E84:$F84,$E$9:$F$9,AJ$9))</f>
        <v>0.20383291573709109</v>
      </c>
      <c r="AK84" s="36">
        <f>IF($G84="s-curve",$E84+($F84-$E84)*$L$2/(1+EXP($L$3*(COUNT($L$9:AK$9)+$L$4))),TREND($E84:$F84,$E$9:$F$9,AK$9))</f>
        <v>0.20695840480471445</v>
      </c>
      <c r="AL84" s="36">
        <f>IF($G84="s-curve",$E84+($F84-$E84)*$L$2/(1+EXP($L$3*(COUNT($L$9:AL$9)+$L$4))),TREND($E84:$F84,$E$9:$F$9,AL$9))</f>
        <v>0.20934153558108032</v>
      </c>
      <c r="AM84" s="36">
        <f>IF($G84="s-curve",$E84+($F84-$E84)*$L$2/(1+EXP($L$3*(COUNT($L$9:AM$9)+$L$4))),TREND($E84:$F84,$E$9:$F$9,AM$9))</f>
        <v>0.21114560578044053</v>
      </c>
      <c r="AN84" s="36">
        <f>IF($G84="s-curve",$E84+($F84-$E84)*$L$2/(1+EXP($L$3*(COUNT($L$9:AN$9)+$L$4))),TREND($E84:$F84,$E$9:$F$9,AN$9))</f>
        <v>0.21250389343058609</v>
      </c>
      <c r="AO84" s="36">
        <f>IF($G84="s-curve",$E84+($F84-$E84)*$L$2/(1+EXP($L$3*(COUNT($L$9:AO$9)+$L$4))),TREND($E84:$F84,$E$9:$F$9,AO$9))</f>
        <v>0.21352235952255189</v>
      </c>
      <c r="AP84" s="36">
        <f>IF($G84="s-curve",$E84+($F84-$E84)*$L$2/(1+EXP($L$3*(COUNT($L$9:AP$9)+$L$4))),TREND($E84:$F84,$E$9:$F$9,AP$9))</f>
        <v>0.21428367282035796</v>
      </c>
      <c r="AQ84" s="36">
        <f>IF($G84="s-curve",$E84+($F84-$E84)*$L$2/(1+EXP($L$3*(COUNT($L$9:AQ$9)+$L$4))),TREND($E84:$F84,$E$9:$F$9,AQ$9))</f>
        <v>0.21485145232808162</v>
      </c>
      <c r="AR84" s="36">
        <f>IF($G84="s-curve",$E84+($F84-$E84)*$L$2/(1+EXP($L$3*(COUNT($L$9:AR$9)+$L$4))),TREND($E84:$F84,$E$9:$F$9,AR$9))</f>
        <v>0.21527416921672218</v>
      </c>
      <c r="AS84" s="36">
        <f>IF($G84="s-curve",$E84+($F84-$E84)*$L$2/(1+EXP($L$3*(COUNT($L$9:AS$9)+$L$4))),TREND($E84:$F84,$E$9:$F$9,AS$9))</f>
        <v>0.21558848316337459</v>
      </c>
      <c r="AT84" s="36">
        <f>IF($G84="s-curve",$E84+($F84-$E84)*$L$2/(1+EXP($L$3*(COUNT($L$9:AT$9)+$L$4))),TREND($E84:$F84,$E$9:$F$9,AT$9))</f>
        <v>0.21582197104406695</v>
      </c>
      <c r="AU84" s="36">
        <f>IF($G84="s-curve",$E84+($F84-$E84)*$L$2/(1+EXP($L$3*(COUNT($L$9:AU$9)+$L$4))),TREND($E84:$F84,$E$9:$F$9,AU$9))</f>
        <v>0.21599529473629639</v>
      </c>
      <c r="AV84" s="36">
        <f>IF($G84="s-curve",$E84+($F84-$E84)*$L$2/(1+EXP($L$3*(COUNT($L$9:AV$9)+$L$4))),TREND($E84:$F84,$E$9:$F$9,AV$9))</f>
        <v>0.21612388957274267</v>
      </c>
      <c r="AW84" s="36">
        <f>IF($G84="s-curve",$E84+($F84-$E84)*$L$2/(1+EXP($L$3*(COUNT($L$9:AW$9)+$L$4))),TREND($E84:$F84,$E$9:$F$9,AW$9))</f>
        <v>0.21621926136923653</v>
      </c>
      <c r="AX84" s="36">
        <f>IF($G84="s-curve",$E84+($F84-$E84)*$L$2/(1+EXP($L$3*(COUNT($L$9:AX$9)+$L$4))),TREND($E84:$F84,$E$9:$F$9,AX$9))</f>
        <v>0.2162899730123983</v>
      </c>
      <c r="AY84" s="36">
        <f>IF($G84="s-curve",$E84+($F84-$E84)*$L$2/(1+EXP($L$3*(COUNT($L$9:AY$9)+$L$4))),TREND($E84:$F84,$E$9:$F$9,AY$9))</f>
        <v>0.21634238961473912</v>
      </c>
      <c r="AZ84" s="36">
        <f>IF($G84="s-curve",$E84+($F84-$E84)*$L$2/(1+EXP($L$3*(COUNT($L$9:AZ$9)+$L$4))),TREND($E84:$F84,$E$9:$F$9,AZ$9))</f>
        <v>0.2163812384356352</v>
      </c>
      <c r="BA84" s="36">
        <f>IF($G84="s-curve",$E84+($F84-$E84)*$L$2/(1+EXP($L$3*(COUNT($L$9:BA$9)+$L$4))),TREND($E84:$F84,$E$9:$F$9,BA$9))</f>
        <v>0.21641002804057446</v>
      </c>
      <c r="BB84" s="36">
        <f>IF($G84="s-curve",$E84+($F84-$E84)*$L$2/(1+EXP($L$3*(COUNT($L$9:BB$9)+$L$4))),TREND($E84:$F84,$E$9:$F$9,BB$9))</f>
        <v>0.21643136122513146</v>
      </c>
      <c r="BC84" s="36">
        <f>IF($G84="s-curve",$E84+($F84-$E84)*$L$2/(1+EXP($L$3*(COUNT($L$9:BC$9)+$L$4))),TREND($E84:$F84,$E$9:$F$9,BC$9))</f>
        <v>0.21644716815795015</v>
      </c>
      <c r="BD84" s="36">
        <f>IF($G84="s-curve",$E84+($F84-$E84)*$L$2/(1+EXP($L$3*(COUNT($L$9:BD$9)+$L$4))),TREND($E84:$F84,$E$9:$F$9,BD$9))</f>
        <v>0.21645887982526049</v>
      </c>
      <c r="BE84" s="36">
        <f>IF($G84="s-curve",$E84+($F84-$E84)*$L$2/(1+EXP($L$3*(COUNT($L$9:BE$9)+$L$4))),TREND($E84:$F84,$E$9:$F$9,BE$9))</f>
        <v>0.21646755692195729</v>
      </c>
      <c r="BF84" s="36">
        <f>IF($G84="s-curve",$E84+($F84-$E84)*$L$2/(1+EXP($L$3*(COUNT($L$9:BF$9)+$L$4))),TREND($E84:$F84,$E$9:$F$9,BF$9))</f>
        <v>0.21647398555639877</v>
      </c>
    </row>
    <row r="85" spans="1:58" x14ac:dyDescent="0.25">
      <c r="C85" t="s">
        <v>33</v>
      </c>
      <c r="D85">
        <f t="shared" ref="D85:E85" si="41">D15</f>
        <v>0</v>
      </c>
      <c r="E85">
        <f t="shared" si="41"/>
        <v>0</v>
      </c>
      <c r="F85">
        <f t="shared" ref="F85" si="42">F15</f>
        <v>0</v>
      </c>
      <c r="G85" s="5" t="str">
        <f>IF(E85=F85,"n/a",IF(OR(C85="battery electric vehicle",C85="natural gas vehicle",C85="plugin hybrid vehicle",C85="hydrogen vehicle"),"s-curve","linear"))</f>
        <v>n/a</v>
      </c>
      <c r="H85" s="33"/>
      <c r="I85">
        <f t="shared" si="32"/>
        <v>0</v>
      </c>
      <c r="J85">
        <f t="shared" si="32"/>
        <v>0</v>
      </c>
      <c r="K85">
        <f t="shared" si="32"/>
        <v>0</v>
      </c>
      <c r="L85" s="36">
        <f t="shared" si="31"/>
        <v>0</v>
      </c>
      <c r="M85" s="36">
        <f>IF($G85="s-curve",$E85+($F85-$E85)*$L$2/(1+EXP($L$3*(COUNT($L$9:M$9)+$L$4))),TREND($E85:$F85,$E$9:$F$9,M$9))</f>
        <v>0</v>
      </c>
      <c r="N85" s="36">
        <f>IF($G85="s-curve",$E85+($F85-$E85)*$L$2/(1+EXP($L$3*(COUNT($L$9:N$9)+$L$4))),TREND($E85:$F85,$E$9:$F$9,N$9))</f>
        <v>0</v>
      </c>
      <c r="O85" s="36">
        <f>IF($G85="s-curve",$E85+($F85-$E85)*$L$2/(1+EXP($L$3*(COUNT($L$9:O$9)+$L$4))),TREND($E85:$F85,$E$9:$F$9,O$9))</f>
        <v>0</v>
      </c>
      <c r="P85" s="36">
        <f>IF($G85="s-curve",$E85+($F85-$E85)*$L$2/(1+EXP($L$3*(COUNT($L$9:P$9)+$L$4))),TREND($E85:$F85,$E$9:$F$9,P$9))</f>
        <v>0</v>
      </c>
      <c r="Q85" s="36">
        <f>IF($G85="s-curve",$E85+($F85-$E85)*$L$2/(1+EXP($L$3*(COUNT($L$9:Q$9)+$L$4))),TREND($E85:$F85,$E$9:$F$9,Q$9))</f>
        <v>0</v>
      </c>
      <c r="R85" s="36">
        <f>IF($G85="s-curve",$E85+($F85-$E85)*$L$2/(1+EXP($L$3*(COUNT($L$9:R$9)+$L$4))),TREND($E85:$F85,$E$9:$F$9,R$9))</f>
        <v>0</v>
      </c>
      <c r="S85" s="36">
        <f>IF($G85="s-curve",$E85+($F85-$E85)*$L$2/(1+EXP($L$3*(COUNT($L$9:S$9)+$L$4))),TREND($E85:$F85,$E$9:$F$9,S$9))</f>
        <v>0</v>
      </c>
      <c r="T85" s="36">
        <f>IF($G85="s-curve",$E85+($F85-$E85)*$L$2/(1+EXP($L$3*(COUNT($L$9:T$9)+$L$4))),TREND($E85:$F85,$E$9:$F$9,T$9))</f>
        <v>0</v>
      </c>
      <c r="U85" s="36">
        <f>IF($G85="s-curve",$E85+($F85-$E85)*$L$2/(1+EXP($L$3*(COUNT($L$9:U$9)+$L$4))),TREND($E85:$F85,$E$9:$F$9,U$9))</f>
        <v>0</v>
      </c>
      <c r="V85" s="36">
        <f>IF($G85="s-curve",$E85+($F85-$E85)*$L$2/(1+EXP($L$3*(COUNT($L$9:V$9)+$L$4))),TREND($E85:$F85,$E$9:$F$9,V$9))</f>
        <v>0</v>
      </c>
      <c r="W85" s="36">
        <f>IF($G85="s-curve",$E85+($F85-$E85)*$L$2/(1+EXP($L$3*(COUNT($L$9:W$9)+$L$4))),TREND($E85:$F85,$E$9:$F$9,W$9))</f>
        <v>0</v>
      </c>
      <c r="X85" s="36">
        <f>IF($G85="s-curve",$E85+($F85-$E85)*$L$2/(1+EXP($L$3*(COUNT($L$9:X$9)+$L$4))),TREND($E85:$F85,$E$9:$F$9,X$9))</f>
        <v>0</v>
      </c>
      <c r="Y85" s="36">
        <f>IF($G85="s-curve",$E85+($F85-$E85)*$L$2/(1+EXP($L$3*(COUNT($L$9:Y$9)+$L$4))),TREND($E85:$F85,$E$9:$F$9,Y$9))</f>
        <v>0</v>
      </c>
      <c r="Z85" s="36">
        <f>IF($G85="s-curve",$E85+($F85-$E85)*$L$2/(1+EXP($L$3*(COUNT($L$9:Z$9)+$L$4))),TREND($E85:$F85,$E$9:$F$9,Z$9))</f>
        <v>0</v>
      </c>
      <c r="AA85" s="36">
        <f>IF($G85="s-curve",$E85+($F85-$E85)*$L$2/(1+EXP($L$3*(COUNT($L$9:AA$9)+$L$4))),TREND($E85:$F85,$E$9:$F$9,AA$9))</f>
        <v>0</v>
      </c>
      <c r="AB85" s="36">
        <f>IF($G85="s-curve",$E85+($F85-$E85)*$L$2/(1+EXP($L$3*(COUNT($L$9:AB$9)+$L$4))),TREND($E85:$F85,$E$9:$F$9,AB$9))</f>
        <v>0</v>
      </c>
      <c r="AC85" s="36">
        <f>IF($G85="s-curve",$E85+($F85-$E85)*$L$2/(1+EXP($L$3*(COUNT($L$9:AC$9)+$L$4))),TREND($E85:$F85,$E$9:$F$9,AC$9))</f>
        <v>0</v>
      </c>
      <c r="AD85" s="36">
        <f>IF($G85="s-curve",$E85+($F85-$E85)*$L$2/(1+EXP($L$3*(COUNT($L$9:AD$9)+$L$4))),TREND($E85:$F85,$E$9:$F$9,AD$9))</f>
        <v>0</v>
      </c>
      <c r="AE85" s="36">
        <f>IF($G85="s-curve",$E85+($F85-$E85)*$L$2/(1+EXP($L$3*(COUNT($L$9:AE$9)+$L$4))),TREND($E85:$F85,$E$9:$F$9,AE$9))</f>
        <v>0</v>
      </c>
      <c r="AF85" s="36">
        <f>IF($G85="s-curve",$E85+($F85-$E85)*$L$2/(1+EXP($L$3*(COUNT($L$9:AF$9)+$L$4))),TREND($E85:$F85,$E$9:$F$9,AF$9))</f>
        <v>0</v>
      </c>
      <c r="AG85" s="36">
        <f>IF($G85="s-curve",$E85+($F85-$E85)*$L$2/(1+EXP($L$3*(COUNT($L$9:AG$9)+$L$4))),TREND($E85:$F85,$E$9:$F$9,AG$9))</f>
        <v>0</v>
      </c>
      <c r="AH85" s="36">
        <f>IF($G85="s-curve",$E85+($F85-$E85)*$L$2/(1+EXP($L$3*(COUNT($L$9:AH$9)+$L$4))),TREND($E85:$F85,$E$9:$F$9,AH$9))</f>
        <v>0</v>
      </c>
      <c r="AI85" s="36">
        <f>IF($G85="s-curve",$E85+($F85-$E85)*$L$2/(1+EXP($L$3*(COUNT($L$9:AI$9)+$L$4))),TREND($E85:$F85,$E$9:$F$9,AI$9))</f>
        <v>0</v>
      </c>
      <c r="AJ85" s="36">
        <f>IF($G85="s-curve",$E85+($F85-$E85)*$L$2/(1+EXP($L$3*(COUNT($L$9:AJ$9)+$L$4))),TREND($E85:$F85,$E$9:$F$9,AJ$9))</f>
        <v>0</v>
      </c>
      <c r="AK85" s="36">
        <f>IF($G85="s-curve",$E85+($F85-$E85)*$L$2/(1+EXP($L$3*(COUNT($L$9:AK$9)+$L$4))),TREND($E85:$F85,$E$9:$F$9,AK$9))</f>
        <v>0</v>
      </c>
      <c r="AL85" s="36">
        <f>IF($G85="s-curve",$E85+($F85-$E85)*$L$2/(1+EXP($L$3*(COUNT($L$9:AL$9)+$L$4))),TREND($E85:$F85,$E$9:$F$9,AL$9))</f>
        <v>0</v>
      </c>
      <c r="AM85" s="36">
        <f>IF($G85="s-curve",$E85+($F85-$E85)*$L$2/(1+EXP($L$3*(COUNT($L$9:AM$9)+$L$4))),TREND($E85:$F85,$E$9:$F$9,AM$9))</f>
        <v>0</v>
      </c>
      <c r="AN85" s="36">
        <f>IF($G85="s-curve",$E85+($F85-$E85)*$L$2/(1+EXP($L$3*(COUNT($L$9:AN$9)+$L$4))),TREND($E85:$F85,$E$9:$F$9,AN$9))</f>
        <v>0</v>
      </c>
      <c r="AO85" s="36">
        <f>IF($G85="s-curve",$E85+($F85-$E85)*$L$2/(1+EXP($L$3*(COUNT($L$9:AO$9)+$L$4))),TREND($E85:$F85,$E$9:$F$9,AO$9))</f>
        <v>0</v>
      </c>
      <c r="AP85" s="36">
        <f>IF($G85="s-curve",$E85+($F85-$E85)*$L$2/(1+EXP($L$3*(COUNT($L$9:AP$9)+$L$4))),TREND($E85:$F85,$E$9:$F$9,AP$9))</f>
        <v>0</v>
      </c>
      <c r="AQ85" s="36">
        <f>IF($G85="s-curve",$E85+($F85-$E85)*$L$2/(1+EXP($L$3*(COUNT($L$9:AQ$9)+$L$4))),TREND($E85:$F85,$E$9:$F$9,AQ$9))</f>
        <v>0</v>
      </c>
      <c r="AR85" s="36">
        <f>IF($G85="s-curve",$E85+($F85-$E85)*$L$2/(1+EXP($L$3*(COUNT($L$9:AR$9)+$L$4))),TREND($E85:$F85,$E$9:$F$9,AR$9))</f>
        <v>0</v>
      </c>
      <c r="AS85" s="36">
        <f>IF($G85="s-curve",$E85+($F85-$E85)*$L$2/(1+EXP($L$3*(COUNT($L$9:AS$9)+$L$4))),TREND($E85:$F85,$E$9:$F$9,AS$9))</f>
        <v>0</v>
      </c>
      <c r="AT85" s="36">
        <f>IF($G85="s-curve",$E85+($F85-$E85)*$L$2/(1+EXP($L$3*(COUNT($L$9:AT$9)+$L$4))),TREND($E85:$F85,$E$9:$F$9,AT$9))</f>
        <v>0</v>
      </c>
      <c r="AU85" s="36">
        <f>IF($G85="s-curve",$E85+($F85-$E85)*$L$2/(1+EXP($L$3*(COUNT($L$9:AU$9)+$L$4))),TREND($E85:$F85,$E$9:$F$9,AU$9))</f>
        <v>0</v>
      </c>
      <c r="AV85" s="36">
        <f>IF($G85="s-curve",$E85+($F85-$E85)*$L$2/(1+EXP($L$3*(COUNT($L$9:AV$9)+$L$4))),TREND($E85:$F85,$E$9:$F$9,AV$9))</f>
        <v>0</v>
      </c>
      <c r="AW85" s="36">
        <f>IF($G85="s-curve",$E85+($F85-$E85)*$L$2/(1+EXP($L$3*(COUNT($L$9:AW$9)+$L$4))),TREND($E85:$F85,$E$9:$F$9,AW$9))</f>
        <v>0</v>
      </c>
      <c r="AX85" s="36">
        <f>IF($G85="s-curve",$E85+($F85-$E85)*$L$2/(1+EXP($L$3*(COUNT($L$9:AX$9)+$L$4))),TREND($E85:$F85,$E$9:$F$9,AX$9))</f>
        <v>0</v>
      </c>
      <c r="AY85" s="36">
        <f>IF($G85="s-curve",$E85+($F85-$E85)*$L$2/(1+EXP($L$3*(COUNT($L$9:AY$9)+$L$4))),TREND($E85:$F85,$E$9:$F$9,AY$9))</f>
        <v>0</v>
      </c>
      <c r="AZ85" s="36">
        <f>IF($G85="s-curve",$E85+($F85-$E85)*$L$2/(1+EXP($L$3*(COUNT($L$9:AZ$9)+$L$4))),TREND($E85:$F85,$E$9:$F$9,AZ$9))</f>
        <v>0</v>
      </c>
      <c r="BA85" s="36">
        <f>IF($G85="s-curve",$E85+($F85-$E85)*$L$2/(1+EXP($L$3*(COUNT($L$9:BA$9)+$L$4))),TREND($E85:$F85,$E$9:$F$9,BA$9))</f>
        <v>0</v>
      </c>
      <c r="BB85" s="36">
        <f>IF($G85="s-curve",$E85+($F85-$E85)*$L$2/(1+EXP($L$3*(COUNT($L$9:BB$9)+$L$4))),TREND($E85:$F85,$E$9:$F$9,BB$9))</f>
        <v>0</v>
      </c>
      <c r="BC85" s="36">
        <f>IF($G85="s-curve",$E85+($F85-$E85)*$L$2/(1+EXP($L$3*(COUNT($L$9:BC$9)+$L$4))),TREND($E85:$F85,$E$9:$F$9,BC$9))</f>
        <v>0</v>
      </c>
      <c r="BD85" s="36">
        <f>IF($G85="s-curve",$E85+($F85-$E85)*$L$2/(1+EXP($L$3*(COUNT($L$9:BD$9)+$L$4))),TREND($E85:$F85,$E$9:$F$9,BD$9))</f>
        <v>0</v>
      </c>
      <c r="BE85" s="36">
        <f>IF($G85="s-curve",$E85+($F85-$E85)*$L$2/(1+EXP($L$3*(COUNT($L$9:BE$9)+$L$4))),TREND($E85:$F85,$E$9:$F$9,BE$9))</f>
        <v>0</v>
      </c>
      <c r="BF85" s="36">
        <f>IF($G85="s-curve",$E85+($F85-$E85)*$L$2/(1+EXP($L$3*(COUNT($L$9:BF$9)+$L$4))),TREND($E85:$F85,$E$9:$F$9,BF$9))</f>
        <v>0</v>
      </c>
    </row>
    <row r="86" spans="1:58" ht="15.75" thickBot="1" x14ac:dyDescent="0.3">
      <c r="A86" s="18"/>
      <c r="B86" s="18"/>
      <c r="C86" s="18" t="s">
        <v>34</v>
      </c>
      <c r="D86">
        <f t="shared" ref="D86:E86" si="43">D16</f>
        <v>0</v>
      </c>
      <c r="E86">
        <f t="shared" si="43"/>
        <v>0</v>
      </c>
      <c r="F86">
        <f t="shared" ref="F86" si="44">F16</f>
        <v>0</v>
      </c>
      <c r="G86" s="6" t="str">
        <f>IF(E86=F86,"n/a",IF(OR(C86="battery electric vehicle",C86="natural gas vehicle",C86="plugin hybrid vehicle",C86="hydrogen vehicle"),"s-curve","linear"))</f>
        <v>n/a</v>
      </c>
      <c r="H86" s="34"/>
      <c r="I86">
        <f t="shared" si="32"/>
        <v>0</v>
      </c>
      <c r="J86">
        <f t="shared" si="32"/>
        <v>0</v>
      </c>
      <c r="K86">
        <f t="shared" si="32"/>
        <v>0</v>
      </c>
      <c r="L86" s="36">
        <f t="shared" si="31"/>
        <v>0</v>
      </c>
      <c r="M86" s="36">
        <f>IF($G86="s-curve",$E86+($F86-$E86)*$L$2/(1+EXP($L$3*(COUNT($L$9:M$9)+$L$4))),TREND($E86:$F86,$E$9:$F$9,M$9))</f>
        <v>0</v>
      </c>
      <c r="N86" s="36">
        <f>IF($G86="s-curve",$E86+($F86-$E86)*$L$2/(1+EXP($L$3*(COUNT($L$9:N$9)+$L$4))),TREND($E86:$F86,$E$9:$F$9,N$9))</f>
        <v>0</v>
      </c>
      <c r="O86" s="36">
        <f>IF($G86="s-curve",$E86+($F86-$E86)*$L$2/(1+EXP($L$3*(COUNT($L$9:O$9)+$L$4))),TREND($E86:$F86,$E$9:$F$9,O$9))</f>
        <v>0</v>
      </c>
      <c r="P86" s="36">
        <f>IF($G86="s-curve",$E86+($F86-$E86)*$L$2/(1+EXP($L$3*(COUNT($L$9:P$9)+$L$4))),TREND($E86:$F86,$E$9:$F$9,P$9))</f>
        <v>0</v>
      </c>
      <c r="Q86" s="36">
        <f>IF($G86="s-curve",$E86+($F86-$E86)*$L$2/(1+EXP($L$3*(COUNT($L$9:Q$9)+$L$4))),TREND($E86:$F86,$E$9:$F$9,Q$9))</f>
        <v>0</v>
      </c>
      <c r="R86" s="36">
        <f>IF($G86="s-curve",$E86+($F86-$E86)*$L$2/(1+EXP($L$3*(COUNT($L$9:R$9)+$L$4))),TREND($E86:$F86,$E$9:$F$9,R$9))</f>
        <v>0</v>
      </c>
      <c r="S86" s="36">
        <f>IF($G86="s-curve",$E86+($F86-$E86)*$L$2/(1+EXP($L$3*(COUNT($L$9:S$9)+$L$4))),TREND($E86:$F86,$E$9:$F$9,S$9))</f>
        <v>0</v>
      </c>
      <c r="T86" s="36">
        <f>IF($G86="s-curve",$E86+($F86-$E86)*$L$2/(1+EXP($L$3*(COUNT($L$9:T$9)+$L$4))),TREND($E86:$F86,$E$9:$F$9,T$9))</f>
        <v>0</v>
      </c>
      <c r="U86" s="36">
        <f>IF($G86="s-curve",$E86+($F86-$E86)*$L$2/(1+EXP($L$3*(COUNT($L$9:U$9)+$L$4))),TREND($E86:$F86,$E$9:$F$9,U$9))</f>
        <v>0</v>
      </c>
      <c r="V86" s="36">
        <f>IF($G86="s-curve",$E86+($F86-$E86)*$L$2/(1+EXP($L$3*(COUNT($L$9:V$9)+$L$4))),TREND($E86:$F86,$E$9:$F$9,V$9))</f>
        <v>0</v>
      </c>
      <c r="W86" s="36">
        <f>IF($G86="s-curve",$E86+($F86-$E86)*$L$2/(1+EXP($L$3*(COUNT($L$9:W$9)+$L$4))),TREND($E86:$F86,$E$9:$F$9,W$9))</f>
        <v>0</v>
      </c>
      <c r="X86" s="36">
        <f>IF($G86="s-curve",$E86+($F86-$E86)*$L$2/(1+EXP($L$3*(COUNT($L$9:X$9)+$L$4))),TREND($E86:$F86,$E$9:$F$9,X$9))</f>
        <v>0</v>
      </c>
      <c r="Y86" s="36">
        <f>IF($G86="s-curve",$E86+($F86-$E86)*$L$2/(1+EXP($L$3*(COUNT($L$9:Y$9)+$L$4))),TREND($E86:$F86,$E$9:$F$9,Y$9))</f>
        <v>0</v>
      </c>
      <c r="Z86" s="36">
        <f>IF($G86="s-curve",$E86+($F86-$E86)*$L$2/(1+EXP($L$3*(COUNT($L$9:Z$9)+$L$4))),TREND($E86:$F86,$E$9:$F$9,Z$9))</f>
        <v>0</v>
      </c>
      <c r="AA86" s="36">
        <f>IF($G86="s-curve",$E86+($F86-$E86)*$L$2/(1+EXP($L$3*(COUNT($L$9:AA$9)+$L$4))),TREND($E86:$F86,$E$9:$F$9,AA$9))</f>
        <v>0</v>
      </c>
      <c r="AB86" s="36">
        <f>IF($G86="s-curve",$E86+($F86-$E86)*$L$2/(1+EXP($L$3*(COUNT($L$9:AB$9)+$L$4))),TREND($E86:$F86,$E$9:$F$9,AB$9))</f>
        <v>0</v>
      </c>
      <c r="AC86" s="36">
        <f>IF($G86="s-curve",$E86+($F86-$E86)*$L$2/(1+EXP($L$3*(COUNT($L$9:AC$9)+$L$4))),TREND($E86:$F86,$E$9:$F$9,AC$9))</f>
        <v>0</v>
      </c>
      <c r="AD86" s="36">
        <f>IF($G86="s-curve",$E86+($F86-$E86)*$L$2/(1+EXP($L$3*(COUNT($L$9:AD$9)+$L$4))),TREND($E86:$F86,$E$9:$F$9,AD$9))</f>
        <v>0</v>
      </c>
      <c r="AE86" s="36">
        <f>IF($G86="s-curve",$E86+($F86-$E86)*$L$2/(1+EXP($L$3*(COUNT($L$9:AE$9)+$L$4))),TREND($E86:$F86,$E$9:$F$9,AE$9))</f>
        <v>0</v>
      </c>
      <c r="AF86" s="36">
        <f>IF($G86="s-curve",$E86+($F86-$E86)*$L$2/(1+EXP($L$3*(COUNT($L$9:AF$9)+$L$4))),TREND($E86:$F86,$E$9:$F$9,AF$9))</f>
        <v>0</v>
      </c>
      <c r="AG86" s="36">
        <f>IF($G86="s-curve",$E86+($F86-$E86)*$L$2/(1+EXP($L$3*(COUNT($L$9:AG$9)+$L$4))),TREND($E86:$F86,$E$9:$F$9,AG$9))</f>
        <v>0</v>
      </c>
      <c r="AH86" s="36">
        <f>IF($G86="s-curve",$E86+($F86-$E86)*$L$2/(1+EXP($L$3*(COUNT($L$9:AH$9)+$L$4))),TREND($E86:$F86,$E$9:$F$9,AH$9))</f>
        <v>0</v>
      </c>
      <c r="AI86" s="36">
        <f>IF($G86="s-curve",$E86+($F86-$E86)*$L$2/(1+EXP($L$3*(COUNT($L$9:AI$9)+$L$4))),TREND($E86:$F86,$E$9:$F$9,AI$9))</f>
        <v>0</v>
      </c>
      <c r="AJ86" s="36">
        <f>IF($G86="s-curve",$E86+($F86-$E86)*$L$2/(1+EXP($L$3*(COUNT($L$9:AJ$9)+$L$4))),TREND($E86:$F86,$E$9:$F$9,AJ$9))</f>
        <v>0</v>
      </c>
      <c r="AK86" s="36">
        <f>IF($G86="s-curve",$E86+($F86-$E86)*$L$2/(1+EXP($L$3*(COUNT($L$9:AK$9)+$L$4))),TREND($E86:$F86,$E$9:$F$9,AK$9))</f>
        <v>0</v>
      </c>
      <c r="AL86" s="36">
        <f>IF($G86="s-curve",$E86+($F86-$E86)*$L$2/(1+EXP($L$3*(COUNT($L$9:AL$9)+$L$4))),TREND($E86:$F86,$E$9:$F$9,AL$9))</f>
        <v>0</v>
      </c>
      <c r="AM86" s="36">
        <f>IF($G86="s-curve",$E86+($F86-$E86)*$L$2/(1+EXP($L$3*(COUNT($L$9:AM$9)+$L$4))),TREND($E86:$F86,$E$9:$F$9,AM$9))</f>
        <v>0</v>
      </c>
      <c r="AN86" s="36">
        <f>IF($G86="s-curve",$E86+($F86-$E86)*$L$2/(1+EXP($L$3*(COUNT($L$9:AN$9)+$L$4))),TREND($E86:$F86,$E$9:$F$9,AN$9))</f>
        <v>0</v>
      </c>
      <c r="AO86" s="36">
        <f>IF($G86="s-curve",$E86+($F86-$E86)*$L$2/(1+EXP($L$3*(COUNT($L$9:AO$9)+$L$4))),TREND($E86:$F86,$E$9:$F$9,AO$9))</f>
        <v>0</v>
      </c>
      <c r="AP86" s="36">
        <f>IF($G86="s-curve",$E86+($F86-$E86)*$L$2/(1+EXP($L$3*(COUNT($L$9:AP$9)+$L$4))),TREND($E86:$F86,$E$9:$F$9,AP$9))</f>
        <v>0</v>
      </c>
      <c r="AQ86" s="36">
        <f>IF($G86="s-curve",$E86+($F86-$E86)*$L$2/(1+EXP($L$3*(COUNT($L$9:AQ$9)+$L$4))),TREND($E86:$F86,$E$9:$F$9,AQ$9))</f>
        <v>0</v>
      </c>
      <c r="AR86" s="36">
        <f>IF($G86="s-curve",$E86+($F86-$E86)*$L$2/(1+EXP($L$3*(COUNT($L$9:AR$9)+$L$4))),TREND($E86:$F86,$E$9:$F$9,AR$9))</f>
        <v>0</v>
      </c>
      <c r="AS86" s="36">
        <f>IF($G86="s-curve",$E86+($F86-$E86)*$L$2/(1+EXP($L$3*(COUNT($L$9:AS$9)+$L$4))),TREND($E86:$F86,$E$9:$F$9,AS$9))</f>
        <v>0</v>
      </c>
      <c r="AT86" s="36">
        <f>IF($G86="s-curve",$E86+($F86-$E86)*$L$2/(1+EXP($L$3*(COUNT($L$9:AT$9)+$L$4))),TREND($E86:$F86,$E$9:$F$9,AT$9))</f>
        <v>0</v>
      </c>
      <c r="AU86" s="36">
        <f>IF($G86="s-curve",$E86+($F86-$E86)*$L$2/(1+EXP($L$3*(COUNT($L$9:AU$9)+$L$4))),TREND($E86:$F86,$E$9:$F$9,AU$9))</f>
        <v>0</v>
      </c>
      <c r="AV86" s="36">
        <f>IF($G86="s-curve",$E86+($F86-$E86)*$L$2/(1+EXP($L$3*(COUNT($L$9:AV$9)+$L$4))),TREND($E86:$F86,$E$9:$F$9,AV$9))</f>
        <v>0</v>
      </c>
      <c r="AW86" s="36">
        <f>IF($G86="s-curve",$E86+($F86-$E86)*$L$2/(1+EXP($L$3*(COUNT($L$9:AW$9)+$L$4))),TREND($E86:$F86,$E$9:$F$9,AW$9))</f>
        <v>0</v>
      </c>
      <c r="AX86" s="36">
        <f>IF($G86="s-curve",$E86+($F86-$E86)*$L$2/(1+EXP($L$3*(COUNT($L$9:AX$9)+$L$4))),TREND($E86:$F86,$E$9:$F$9,AX$9))</f>
        <v>0</v>
      </c>
      <c r="AY86" s="36">
        <f>IF($G86="s-curve",$E86+($F86-$E86)*$L$2/(1+EXP($L$3*(COUNT($L$9:AY$9)+$L$4))),TREND($E86:$F86,$E$9:$F$9,AY$9))</f>
        <v>0</v>
      </c>
      <c r="AZ86" s="36">
        <f>IF($G86="s-curve",$E86+($F86-$E86)*$L$2/(1+EXP($L$3*(COUNT($L$9:AZ$9)+$L$4))),TREND($E86:$F86,$E$9:$F$9,AZ$9))</f>
        <v>0</v>
      </c>
      <c r="BA86" s="36">
        <f>IF($G86="s-curve",$E86+($F86-$E86)*$L$2/(1+EXP($L$3*(COUNT($L$9:BA$9)+$L$4))),TREND($E86:$F86,$E$9:$F$9,BA$9))</f>
        <v>0</v>
      </c>
      <c r="BB86" s="36">
        <f>IF($G86="s-curve",$E86+($F86-$E86)*$L$2/(1+EXP($L$3*(COUNT($L$9:BB$9)+$L$4))),TREND($E86:$F86,$E$9:$F$9,BB$9))</f>
        <v>0</v>
      </c>
      <c r="BC86" s="36">
        <f>IF($G86="s-curve",$E86+($F86-$E86)*$L$2/(1+EXP($L$3*(COUNT($L$9:BC$9)+$L$4))),TREND($E86:$F86,$E$9:$F$9,BC$9))</f>
        <v>0</v>
      </c>
      <c r="BD86" s="36">
        <f>IF($G86="s-curve",$E86+($F86-$E86)*$L$2/(1+EXP($L$3*(COUNT($L$9:BD$9)+$L$4))),TREND($E86:$F86,$E$9:$F$9,BD$9))</f>
        <v>0</v>
      </c>
      <c r="BE86" s="36">
        <f>IF($G86="s-curve",$E86+($F86-$E86)*$L$2/(1+EXP($L$3*(COUNT($L$9:BE$9)+$L$4))),TREND($E86:$F86,$E$9:$F$9,BE$9))</f>
        <v>0</v>
      </c>
      <c r="BF86" s="36">
        <f>IF($G86="s-curve",$E86+($F86-$E86)*$L$2/(1+EXP($L$3*(COUNT($L$9:BF$9)+$L$4))),TREND($E86:$F86,$E$9:$F$9,BF$9))</f>
        <v>0</v>
      </c>
    </row>
    <row r="87" spans="1:5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H87" s="33"/>
      <c r="I87">
        <f t="shared" si="32"/>
        <v>0</v>
      </c>
      <c r="J87">
        <f t="shared" si="32"/>
        <v>0</v>
      </c>
      <c r="K87">
        <f t="shared" si="32"/>
        <v>0</v>
      </c>
      <c r="L87" s="36">
        <f t="shared" si="31"/>
        <v>0</v>
      </c>
      <c r="M87" s="36">
        <f>IF($G87="s-curve",$E87+($F87-$E87)*$L$2/(1+EXP($L$3*(COUNT($L$9:M$9)+$L$4))),TREND($E87:$F87,$E$9:$F$9,M$9))</f>
        <v>0</v>
      </c>
      <c r="N87" s="36">
        <f>IF($G87="s-curve",$E87+($F87-$E87)*$L$2/(1+EXP($L$3*(COUNT($L$9:N$9)+$L$4))),TREND($E87:$F87,$E$9:$F$9,N$9))</f>
        <v>0</v>
      </c>
      <c r="O87" s="36">
        <f>IF($G87="s-curve",$E87+($F87-$E87)*$L$2/(1+EXP($L$3*(COUNT($L$9:O$9)+$L$4))),TREND($E87:$F87,$E$9:$F$9,O$9))</f>
        <v>0</v>
      </c>
      <c r="P87" s="36">
        <f>IF($G87="s-curve",$E87+($F87-$E87)*$L$2/(1+EXP($L$3*(COUNT($L$9:P$9)+$L$4))),TREND($E87:$F87,$E$9:$F$9,P$9))</f>
        <v>0</v>
      </c>
      <c r="Q87" s="36">
        <f>IF($G87="s-curve",$E87+($F87-$E87)*$L$2/(1+EXP($L$3*(COUNT($L$9:Q$9)+$L$4))),TREND($E87:$F87,$E$9:$F$9,Q$9))</f>
        <v>0</v>
      </c>
      <c r="R87" s="36">
        <f>IF($G87="s-curve",$E87+($F87-$E87)*$L$2/(1+EXP($L$3*(COUNT($L$9:R$9)+$L$4))),TREND($E87:$F87,$E$9:$F$9,R$9))</f>
        <v>0</v>
      </c>
      <c r="S87" s="36">
        <f>IF($G87="s-curve",$E87+($F87-$E87)*$L$2/(1+EXP($L$3*(COUNT($L$9:S$9)+$L$4))),TREND($E87:$F87,$E$9:$F$9,S$9))</f>
        <v>0</v>
      </c>
      <c r="T87" s="36">
        <f>IF($G87="s-curve",$E87+($F87-$E87)*$L$2/(1+EXP($L$3*(COUNT($L$9:T$9)+$L$4))),TREND($E87:$F87,$E$9:$F$9,T$9))</f>
        <v>0</v>
      </c>
      <c r="U87" s="36">
        <f>IF($G87="s-curve",$E87+($F87-$E87)*$L$2/(1+EXP($L$3*(COUNT($L$9:U$9)+$L$4))),TREND($E87:$F87,$E$9:$F$9,U$9))</f>
        <v>0</v>
      </c>
      <c r="V87" s="36">
        <f>IF($G87="s-curve",$E87+($F87-$E87)*$L$2/(1+EXP($L$3*(COUNT($L$9:V$9)+$L$4))),TREND($E87:$F87,$E$9:$F$9,V$9))</f>
        <v>0</v>
      </c>
      <c r="W87" s="36">
        <f>IF($G87="s-curve",$E87+($F87-$E87)*$L$2/(1+EXP($L$3*(COUNT($L$9:W$9)+$L$4))),TREND($E87:$F87,$E$9:$F$9,W$9))</f>
        <v>0</v>
      </c>
      <c r="X87" s="36">
        <f>IF($G87="s-curve",$E87+($F87-$E87)*$L$2/(1+EXP($L$3*(COUNT($L$9:X$9)+$L$4))),TREND($E87:$F87,$E$9:$F$9,X$9))</f>
        <v>0</v>
      </c>
      <c r="Y87" s="36">
        <f>IF($G87="s-curve",$E87+($F87-$E87)*$L$2/(1+EXP($L$3*(COUNT($L$9:Y$9)+$L$4))),TREND($E87:$F87,$E$9:$F$9,Y$9))</f>
        <v>0</v>
      </c>
      <c r="Z87" s="36">
        <f>IF($G87="s-curve",$E87+($F87-$E87)*$L$2/(1+EXP($L$3*(COUNT($L$9:Z$9)+$L$4))),TREND($E87:$F87,$E$9:$F$9,Z$9))</f>
        <v>0</v>
      </c>
      <c r="AA87" s="36">
        <f>IF($G87="s-curve",$E87+($F87-$E87)*$L$2/(1+EXP($L$3*(COUNT($L$9:AA$9)+$L$4))),TREND($E87:$F87,$E$9:$F$9,AA$9))</f>
        <v>0</v>
      </c>
      <c r="AB87" s="36">
        <f>IF($G87="s-curve",$E87+($F87-$E87)*$L$2/(1+EXP($L$3*(COUNT($L$9:AB$9)+$L$4))),TREND($E87:$F87,$E$9:$F$9,AB$9))</f>
        <v>0</v>
      </c>
      <c r="AC87" s="36">
        <f>IF($G87="s-curve",$E87+($F87-$E87)*$L$2/(1+EXP($L$3*(COUNT($L$9:AC$9)+$L$4))),TREND($E87:$F87,$E$9:$F$9,AC$9))</f>
        <v>0</v>
      </c>
      <c r="AD87" s="36">
        <f>IF($G87="s-curve",$E87+($F87-$E87)*$L$2/(1+EXP($L$3*(COUNT($L$9:AD$9)+$L$4))),TREND($E87:$F87,$E$9:$F$9,AD$9))</f>
        <v>0</v>
      </c>
      <c r="AE87" s="36">
        <f>IF($G87="s-curve",$E87+($F87-$E87)*$L$2/(1+EXP($L$3*(COUNT($L$9:AE$9)+$L$4))),TREND($E87:$F87,$E$9:$F$9,AE$9))</f>
        <v>0</v>
      </c>
      <c r="AF87" s="36">
        <f>IF($G87="s-curve",$E87+($F87-$E87)*$L$2/(1+EXP($L$3*(COUNT($L$9:AF$9)+$L$4))),TREND($E87:$F87,$E$9:$F$9,AF$9))</f>
        <v>0</v>
      </c>
      <c r="AG87" s="36">
        <f>IF($G87="s-curve",$E87+($F87-$E87)*$L$2/(1+EXP($L$3*(COUNT($L$9:AG$9)+$L$4))),TREND($E87:$F87,$E$9:$F$9,AG$9))</f>
        <v>0</v>
      </c>
      <c r="AH87" s="36">
        <f>IF($G87="s-curve",$E87+($F87-$E87)*$L$2/(1+EXP($L$3*(COUNT($L$9:AH$9)+$L$4))),TREND($E87:$F87,$E$9:$F$9,AH$9))</f>
        <v>0</v>
      </c>
      <c r="AI87" s="36">
        <f>IF($G87="s-curve",$E87+($F87-$E87)*$L$2/(1+EXP($L$3*(COUNT($L$9:AI$9)+$L$4))),TREND($E87:$F87,$E$9:$F$9,AI$9))</f>
        <v>0</v>
      </c>
      <c r="AJ87" s="36">
        <f>IF($G87="s-curve",$E87+($F87-$E87)*$L$2/(1+EXP($L$3*(COUNT($L$9:AJ$9)+$L$4))),TREND($E87:$F87,$E$9:$F$9,AJ$9))</f>
        <v>0</v>
      </c>
      <c r="AK87" s="36">
        <f>IF($G87="s-curve",$E87+($F87-$E87)*$L$2/(1+EXP($L$3*(COUNT($L$9:AK$9)+$L$4))),TREND($E87:$F87,$E$9:$F$9,AK$9))</f>
        <v>0</v>
      </c>
      <c r="AL87" s="36">
        <f>IF($G87="s-curve",$E87+($F87-$E87)*$L$2/(1+EXP($L$3*(COUNT($L$9:AL$9)+$L$4))),TREND($E87:$F87,$E$9:$F$9,AL$9))</f>
        <v>0</v>
      </c>
      <c r="AM87" s="36">
        <f>IF($G87="s-curve",$E87+($F87-$E87)*$L$2/(1+EXP($L$3*(COUNT($L$9:AM$9)+$L$4))),TREND($E87:$F87,$E$9:$F$9,AM$9))</f>
        <v>0</v>
      </c>
      <c r="AN87" s="36">
        <f>IF($G87="s-curve",$E87+($F87-$E87)*$L$2/(1+EXP($L$3*(COUNT($L$9:AN$9)+$L$4))),TREND($E87:$F87,$E$9:$F$9,AN$9))</f>
        <v>0</v>
      </c>
      <c r="AO87" s="36">
        <f>IF($G87="s-curve",$E87+($F87-$E87)*$L$2/(1+EXP($L$3*(COUNT($L$9:AO$9)+$L$4))),TREND($E87:$F87,$E$9:$F$9,AO$9))</f>
        <v>0</v>
      </c>
      <c r="AP87" s="36">
        <f>IF($G87="s-curve",$E87+($F87-$E87)*$L$2/(1+EXP($L$3*(COUNT($L$9:AP$9)+$L$4))),TREND($E87:$F87,$E$9:$F$9,AP$9))</f>
        <v>0</v>
      </c>
      <c r="AQ87" s="36">
        <f>IF($G87="s-curve",$E87+($F87-$E87)*$L$2/(1+EXP($L$3*(COUNT($L$9:AQ$9)+$L$4))),TREND($E87:$F87,$E$9:$F$9,AQ$9))</f>
        <v>0</v>
      </c>
      <c r="AR87" s="36">
        <f>IF($G87="s-curve",$E87+($F87-$E87)*$L$2/(1+EXP($L$3*(COUNT($L$9:AR$9)+$L$4))),TREND($E87:$F87,$E$9:$F$9,AR$9))</f>
        <v>0</v>
      </c>
      <c r="AS87" s="36">
        <f>IF($G87="s-curve",$E87+($F87-$E87)*$L$2/(1+EXP($L$3*(COUNT($L$9:AS$9)+$L$4))),TREND($E87:$F87,$E$9:$F$9,AS$9))</f>
        <v>0</v>
      </c>
      <c r="AT87" s="36">
        <f>IF($G87="s-curve",$E87+($F87-$E87)*$L$2/(1+EXP($L$3*(COUNT($L$9:AT$9)+$L$4))),TREND($E87:$F87,$E$9:$F$9,AT$9))</f>
        <v>0</v>
      </c>
      <c r="AU87" s="36">
        <f>IF($G87="s-curve",$E87+($F87-$E87)*$L$2/(1+EXP($L$3*(COUNT($L$9:AU$9)+$L$4))),TREND($E87:$F87,$E$9:$F$9,AU$9))</f>
        <v>0</v>
      </c>
      <c r="AV87" s="36">
        <f>IF($G87="s-curve",$E87+($F87-$E87)*$L$2/(1+EXP($L$3*(COUNT($L$9:AV$9)+$L$4))),TREND($E87:$F87,$E$9:$F$9,AV$9))</f>
        <v>0</v>
      </c>
      <c r="AW87" s="36">
        <f>IF($G87="s-curve",$E87+($F87-$E87)*$L$2/(1+EXP($L$3*(COUNT($L$9:AW$9)+$L$4))),TREND($E87:$F87,$E$9:$F$9,AW$9))</f>
        <v>0</v>
      </c>
      <c r="AX87" s="36">
        <f>IF($G87="s-curve",$E87+($F87-$E87)*$L$2/(1+EXP($L$3*(COUNT($L$9:AX$9)+$L$4))),TREND($E87:$F87,$E$9:$F$9,AX$9))</f>
        <v>0</v>
      </c>
      <c r="AY87" s="36">
        <f>IF($G87="s-curve",$E87+($F87-$E87)*$L$2/(1+EXP($L$3*(COUNT($L$9:AY$9)+$L$4))),TREND($E87:$F87,$E$9:$F$9,AY$9))</f>
        <v>0</v>
      </c>
      <c r="AZ87" s="36">
        <f>IF($G87="s-curve",$E87+($F87-$E87)*$L$2/(1+EXP($L$3*(COUNT($L$9:AZ$9)+$L$4))),TREND($E87:$F87,$E$9:$F$9,AZ$9))</f>
        <v>0</v>
      </c>
      <c r="BA87" s="36">
        <f>IF($G87="s-curve",$E87+($F87-$E87)*$L$2/(1+EXP($L$3*(COUNT($L$9:BA$9)+$L$4))),TREND($E87:$F87,$E$9:$F$9,BA$9))</f>
        <v>0</v>
      </c>
      <c r="BB87" s="36">
        <f>IF($G87="s-curve",$E87+($F87-$E87)*$L$2/(1+EXP($L$3*(COUNT($L$9:BB$9)+$L$4))),TREND($E87:$F87,$E$9:$F$9,BB$9))</f>
        <v>0</v>
      </c>
      <c r="BC87" s="36">
        <f>IF($G87="s-curve",$E87+($F87-$E87)*$L$2/(1+EXP($L$3*(COUNT($L$9:BC$9)+$L$4))),TREND($E87:$F87,$E$9:$F$9,BC$9))</f>
        <v>0</v>
      </c>
      <c r="BD87" s="36">
        <f>IF($G87="s-curve",$E87+($F87-$E87)*$L$2/(1+EXP($L$3*(COUNT($L$9:BD$9)+$L$4))),TREND($E87:$F87,$E$9:$F$9,BD$9))</f>
        <v>0</v>
      </c>
      <c r="BE87" s="36">
        <f>IF($G87="s-curve",$E87+($F87-$E87)*$L$2/(1+EXP($L$3*(COUNT($L$9:BE$9)+$L$4))),TREND($E87:$F87,$E$9:$F$9,BE$9))</f>
        <v>0</v>
      </c>
      <c r="BF87" s="36">
        <f>IF($G87="s-curve",$E87+($F87-$E87)*$L$2/(1+EXP($L$3*(COUNT($L$9:BF$9)+$L$4))),TREND($E87:$F87,$E$9:$F$9,BF$9))</f>
        <v>0</v>
      </c>
    </row>
    <row r="88" spans="1:58" x14ac:dyDescent="0.25">
      <c r="C88" t="s">
        <v>2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H88" s="33"/>
      <c r="I88">
        <f t="shared" si="32"/>
        <v>0</v>
      </c>
      <c r="J88">
        <f t="shared" si="32"/>
        <v>0</v>
      </c>
      <c r="K88">
        <f t="shared" si="32"/>
        <v>0</v>
      </c>
      <c r="L88" s="36">
        <f t="shared" si="31"/>
        <v>0</v>
      </c>
      <c r="M88" s="36">
        <f>IF($G88="s-curve",$E88+($F88-$E88)*$L$2/(1+EXP($L$3*(COUNT($L$9:M$9)+$L$4))),TREND($E88:$F88,$E$9:$F$9,M$9))</f>
        <v>0</v>
      </c>
      <c r="N88" s="36">
        <f>IF($G88="s-curve",$E88+($F88-$E88)*$L$2/(1+EXP($L$3*(COUNT($L$9:N$9)+$L$4))),TREND($E88:$F88,$E$9:$F$9,N$9))</f>
        <v>0</v>
      </c>
      <c r="O88" s="36">
        <f>IF($G88="s-curve",$E88+($F88-$E88)*$L$2/(1+EXP($L$3*(COUNT($L$9:O$9)+$L$4))),TREND($E88:$F88,$E$9:$F$9,O$9))</f>
        <v>0</v>
      </c>
      <c r="P88" s="36">
        <f>IF($G88="s-curve",$E88+($F88-$E88)*$L$2/(1+EXP($L$3*(COUNT($L$9:P$9)+$L$4))),TREND($E88:$F88,$E$9:$F$9,P$9))</f>
        <v>0</v>
      </c>
      <c r="Q88" s="36">
        <f>IF($G88="s-curve",$E88+($F88-$E88)*$L$2/(1+EXP($L$3*(COUNT($L$9:Q$9)+$L$4))),TREND($E88:$F88,$E$9:$F$9,Q$9))</f>
        <v>0</v>
      </c>
      <c r="R88" s="36">
        <f>IF($G88="s-curve",$E88+($F88-$E88)*$L$2/(1+EXP($L$3*(COUNT($L$9:R$9)+$L$4))),TREND($E88:$F88,$E$9:$F$9,R$9))</f>
        <v>0</v>
      </c>
      <c r="S88" s="36">
        <f>IF($G88="s-curve",$E88+($F88-$E88)*$L$2/(1+EXP($L$3*(COUNT($L$9:S$9)+$L$4))),TREND($E88:$F88,$E$9:$F$9,S$9))</f>
        <v>0</v>
      </c>
      <c r="T88" s="36">
        <f>IF($G88="s-curve",$E88+($F88-$E88)*$L$2/(1+EXP($L$3*(COUNT($L$9:T$9)+$L$4))),TREND($E88:$F88,$E$9:$F$9,T$9))</f>
        <v>0</v>
      </c>
      <c r="U88" s="36">
        <f>IF($G88="s-curve",$E88+($F88-$E88)*$L$2/(1+EXP($L$3*(COUNT($L$9:U$9)+$L$4))),TREND($E88:$F88,$E$9:$F$9,U$9))</f>
        <v>0</v>
      </c>
      <c r="V88" s="36">
        <f>IF($G88="s-curve",$E88+($F88-$E88)*$L$2/(1+EXP($L$3*(COUNT($L$9:V$9)+$L$4))),TREND($E88:$F88,$E$9:$F$9,V$9))</f>
        <v>0</v>
      </c>
      <c r="W88" s="36">
        <f>IF($G88="s-curve",$E88+($F88-$E88)*$L$2/(1+EXP($L$3*(COUNT($L$9:W$9)+$L$4))),TREND($E88:$F88,$E$9:$F$9,W$9))</f>
        <v>0</v>
      </c>
      <c r="X88" s="36">
        <f>IF($G88="s-curve",$E88+($F88-$E88)*$L$2/(1+EXP($L$3*(COUNT($L$9:X$9)+$L$4))),TREND($E88:$F88,$E$9:$F$9,X$9))</f>
        <v>0</v>
      </c>
      <c r="Y88" s="36">
        <f>IF($G88="s-curve",$E88+($F88-$E88)*$L$2/(1+EXP($L$3*(COUNT($L$9:Y$9)+$L$4))),TREND($E88:$F88,$E$9:$F$9,Y$9))</f>
        <v>0</v>
      </c>
      <c r="Z88" s="36">
        <f>IF($G88="s-curve",$E88+($F88-$E88)*$L$2/(1+EXP($L$3*(COUNT($L$9:Z$9)+$L$4))),TREND($E88:$F88,$E$9:$F$9,Z$9))</f>
        <v>0</v>
      </c>
      <c r="AA88" s="36">
        <f>IF($G88="s-curve",$E88+($F88-$E88)*$L$2/(1+EXP($L$3*(COUNT($L$9:AA$9)+$L$4))),TREND($E88:$F88,$E$9:$F$9,AA$9))</f>
        <v>0</v>
      </c>
      <c r="AB88" s="36">
        <f>IF($G88="s-curve",$E88+($F88-$E88)*$L$2/(1+EXP($L$3*(COUNT($L$9:AB$9)+$L$4))),TREND($E88:$F88,$E$9:$F$9,AB$9))</f>
        <v>0</v>
      </c>
      <c r="AC88" s="36">
        <f>IF($G88="s-curve",$E88+($F88-$E88)*$L$2/(1+EXP($L$3*(COUNT($L$9:AC$9)+$L$4))),TREND($E88:$F88,$E$9:$F$9,AC$9))</f>
        <v>0</v>
      </c>
      <c r="AD88" s="36">
        <f>IF($G88="s-curve",$E88+($F88-$E88)*$L$2/(1+EXP($L$3*(COUNT($L$9:AD$9)+$L$4))),TREND($E88:$F88,$E$9:$F$9,AD$9))</f>
        <v>0</v>
      </c>
      <c r="AE88" s="36">
        <f>IF($G88="s-curve",$E88+($F88-$E88)*$L$2/(1+EXP($L$3*(COUNT($L$9:AE$9)+$L$4))),TREND($E88:$F88,$E$9:$F$9,AE$9))</f>
        <v>0</v>
      </c>
      <c r="AF88" s="36">
        <f>IF($G88="s-curve",$E88+($F88-$E88)*$L$2/(1+EXP($L$3*(COUNT($L$9:AF$9)+$L$4))),TREND($E88:$F88,$E$9:$F$9,AF$9))</f>
        <v>0</v>
      </c>
      <c r="AG88" s="36">
        <f>IF($G88="s-curve",$E88+($F88-$E88)*$L$2/(1+EXP($L$3*(COUNT($L$9:AG$9)+$L$4))),TREND($E88:$F88,$E$9:$F$9,AG$9))</f>
        <v>0</v>
      </c>
      <c r="AH88" s="36">
        <f>IF($G88="s-curve",$E88+($F88-$E88)*$L$2/(1+EXP($L$3*(COUNT($L$9:AH$9)+$L$4))),TREND($E88:$F88,$E$9:$F$9,AH$9))</f>
        <v>0</v>
      </c>
      <c r="AI88" s="36">
        <f>IF($G88="s-curve",$E88+($F88-$E88)*$L$2/(1+EXP($L$3*(COUNT($L$9:AI$9)+$L$4))),TREND($E88:$F88,$E$9:$F$9,AI$9))</f>
        <v>0</v>
      </c>
      <c r="AJ88" s="36">
        <f>IF($G88="s-curve",$E88+($F88-$E88)*$L$2/(1+EXP($L$3*(COUNT($L$9:AJ$9)+$L$4))),TREND($E88:$F88,$E$9:$F$9,AJ$9))</f>
        <v>0</v>
      </c>
      <c r="AK88" s="36">
        <f>IF($G88="s-curve",$E88+($F88-$E88)*$L$2/(1+EXP($L$3*(COUNT($L$9:AK$9)+$L$4))),TREND($E88:$F88,$E$9:$F$9,AK$9))</f>
        <v>0</v>
      </c>
      <c r="AL88" s="36">
        <f>IF($G88="s-curve",$E88+($F88-$E88)*$L$2/(1+EXP($L$3*(COUNT($L$9:AL$9)+$L$4))),TREND($E88:$F88,$E$9:$F$9,AL$9))</f>
        <v>0</v>
      </c>
      <c r="AM88" s="36">
        <f>IF($G88="s-curve",$E88+($F88-$E88)*$L$2/(1+EXP($L$3*(COUNT($L$9:AM$9)+$L$4))),TREND($E88:$F88,$E$9:$F$9,AM$9))</f>
        <v>0</v>
      </c>
      <c r="AN88" s="36">
        <f>IF($G88="s-curve",$E88+($F88-$E88)*$L$2/(1+EXP($L$3*(COUNT($L$9:AN$9)+$L$4))),TREND($E88:$F88,$E$9:$F$9,AN$9))</f>
        <v>0</v>
      </c>
      <c r="AO88" s="36">
        <f>IF($G88="s-curve",$E88+($F88-$E88)*$L$2/(1+EXP($L$3*(COUNT($L$9:AO$9)+$L$4))),TREND($E88:$F88,$E$9:$F$9,AO$9))</f>
        <v>0</v>
      </c>
      <c r="AP88" s="36">
        <f>IF($G88="s-curve",$E88+($F88-$E88)*$L$2/(1+EXP($L$3*(COUNT($L$9:AP$9)+$L$4))),TREND($E88:$F88,$E$9:$F$9,AP$9))</f>
        <v>0</v>
      </c>
      <c r="AQ88" s="36">
        <f>IF($G88="s-curve",$E88+($F88-$E88)*$L$2/(1+EXP($L$3*(COUNT($L$9:AQ$9)+$L$4))),TREND($E88:$F88,$E$9:$F$9,AQ$9))</f>
        <v>0</v>
      </c>
      <c r="AR88" s="36">
        <f>IF($G88="s-curve",$E88+($F88-$E88)*$L$2/(1+EXP($L$3*(COUNT($L$9:AR$9)+$L$4))),TREND($E88:$F88,$E$9:$F$9,AR$9))</f>
        <v>0</v>
      </c>
      <c r="AS88" s="36">
        <f>IF($G88="s-curve",$E88+($F88-$E88)*$L$2/(1+EXP($L$3*(COUNT($L$9:AS$9)+$L$4))),TREND($E88:$F88,$E$9:$F$9,AS$9))</f>
        <v>0</v>
      </c>
      <c r="AT88" s="36">
        <f>IF($G88="s-curve",$E88+($F88-$E88)*$L$2/(1+EXP($L$3*(COUNT($L$9:AT$9)+$L$4))),TREND($E88:$F88,$E$9:$F$9,AT$9))</f>
        <v>0</v>
      </c>
      <c r="AU88" s="36">
        <f>IF($G88="s-curve",$E88+($F88-$E88)*$L$2/(1+EXP($L$3*(COUNT($L$9:AU$9)+$L$4))),TREND($E88:$F88,$E$9:$F$9,AU$9))</f>
        <v>0</v>
      </c>
      <c r="AV88" s="36">
        <f>IF($G88="s-curve",$E88+($F88-$E88)*$L$2/(1+EXP($L$3*(COUNT($L$9:AV$9)+$L$4))),TREND($E88:$F88,$E$9:$F$9,AV$9))</f>
        <v>0</v>
      </c>
      <c r="AW88" s="36">
        <f>IF($G88="s-curve",$E88+($F88-$E88)*$L$2/(1+EXP($L$3*(COUNT($L$9:AW$9)+$L$4))),TREND($E88:$F88,$E$9:$F$9,AW$9))</f>
        <v>0</v>
      </c>
      <c r="AX88" s="36">
        <f>IF($G88="s-curve",$E88+($F88-$E88)*$L$2/(1+EXP($L$3*(COUNT($L$9:AX$9)+$L$4))),TREND($E88:$F88,$E$9:$F$9,AX$9))</f>
        <v>0</v>
      </c>
      <c r="AY88" s="36">
        <f>IF($G88="s-curve",$E88+($F88-$E88)*$L$2/(1+EXP($L$3*(COUNT($L$9:AY$9)+$L$4))),TREND($E88:$F88,$E$9:$F$9,AY$9))</f>
        <v>0</v>
      </c>
      <c r="AZ88" s="36">
        <f>IF($G88="s-curve",$E88+($F88-$E88)*$L$2/(1+EXP($L$3*(COUNT($L$9:AZ$9)+$L$4))),TREND($E88:$F88,$E$9:$F$9,AZ$9))</f>
        <v>0</v>
      </c>
      <c r="BA88" s="36">
        <f>IF($G88="s-curve",$E88+($F88-$E88)*$L$2/(1+EXP($L$3*(COUNT($L$9:BA$9)+$L$4))),TREND($E88:$F88,$E$9:$F$9,BA$9))</f>
        <v>0</v>
      </c>
      <c r="BB88" s="36">
        <f>IF($G88="s-curve",$E88+($F88-$E88)*$L$2/(1+EXP($L$3*(COUNT($L$9:BB$9)+$L$4))),TREND($E88:$F88,$E$9:$F$9,BB$9))</f>
        <v>0</v>
      </c>
      <c r="BC88" s="36">
        <f>IF($G88="s-curve",$E88+($F88-$E88)*$L$2/(1+EXP($L$3*(COUNT($L$9:BC$9)+$L$4))),TREND($E88:$F88,$E$9:$F$9,BC$9))</f>
        <v>0</v>
      </c>
      <c r="BD88" s="36">
        <f>IF($G88="s-curve",$E88+($F88-$E88)*$L$2/(1+EXP($L$3*(COUNT($L$9:BD$9)+$L$4))),TREND($E88:$F88,$E$9:$F$9,BD$9))</f>
        <v>0</v>
      </c>
      <c r="BE88" s="36">
        <f>IF($G88="s-curve",$E88+($F88-$E88)*$L$2/(1+EXP($L$3*(COUNT($L$9:BE$9)+$L$4))),TREND($E88:$F88,$E$9:$F$9,BE$9))</f>
        <v>0</v>
      </c>
      <c r="BF88" s="36">
        <f>IF($G88="s-curve",$E88+($F88-$E88)*$L$2/(1+EXP($L$3*(COUNT($L$9:BF$9)+$L$4))),TREND($E88:$F88,$E$9:$F$9,BF$9))</f>
        <v>0</v>
      </c>
    </row>
    <row r="89" spans="1:58" x14ac:dyDescent="0.25">
      <c r="C89" t="s">
        <v>3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H89" s="33"/>
      <c r="I89">
        <f t="shared" si="32"/>
        <v>0</v>
      </c>
      <c r="J89">
        <f t="shared" si="32"/>
        <v>0</v>
      </c>
      <c r="K89">
        <f t="shared" si="32"/>
        <v>0</v>
      </c>
      <c r="L89" s="36">
        <f t="shared" si="31"/>
        <v>0</v>
      </c>
      <c r="M89" s="36">
        <f>IF($G89="s-curve",$E89+($F89-$E89)*$L$2/(1+EXP($L$3*(COUNT($L$9:M$9)+$L$4))),TREND($E89:$F89,$E$9:$F$9,M$9))</f>
        <v>0</v>
      </c>
      <c r="N89" s="36">
        <f>IF($G89="s-curve",$E89+($F89-$E89)*$L$2/(1+EXP($L$3*(COUNT($L$9:N$9)+$L$4))),TREND($E89:$F89,$E$9:$F$9,N$9))</f>
        <v>0</v>
      </c>
      <c r="O89" s="36">
        <f>IF($G89="s-curve",$E89+($F89-$E89)*$L$2/(1+EXP($L$3*(COUNT($L$9:O$9)+$L$4))),TREND($E89:$F89,$E$9:$F$9,O$9))</f>
        <v>0</v>
      </c>
      <c r="P89" s="36">
        <f>IF($G89="s-curve",$E89+($F89-$E89)*$L$2/(1+EXP($L$3*(COUNT($L$9:P$9)+$L$4))),TREND($E89:$F89,$E$9:$F$9,P$9))</f>
        <v>0</v>
      </c>
      <c r="Q89" s="36">
        <f>IF($G89="s-curve",$E89+($F89-$E89)*$L$2/(1+EXP($L$3*(COUNT($L$9:Q$9)+$L$4))),TREND($E89:$F89,$E$9:$F$9,Q$9))</f>
        <v>0</v>
      </c>
      <c r="R89" s="36">
        <f>IF($G89="s-curve",$E89+($F89-$E89)*$L$2/(1+EXP($L$3*(COUNT($L$9:R$9)+$L$4))),TREND($E89:$F89,$E$9:$F$9,R$9))</f>
        <v>0</v>
      </c>
      <c r="S89" s="36">
        <f>IF($G89="s-curve",$E89+($F89-$E89)*$L$2/(1+EXP($L$3*(COUNT($L$9:S$9)+$L$4))),TREND($E89:$F89,$E$9:$F$9,S$9))</f>
        <v>0</v>
      </c>
      <c r="T89" s="36">
        <f>IF($G89="s-curve",$E89+($F89-$E89)*$L$2/(1+EXP($L$3*(COUNT($L$9:T$9)+$L$4))),TREND($E89:$F89,$E$9:$F$9,T$9))</f>
        <v>0</v>
      </c>
      <c r="U89" s="36">
        <f>IF($G89="s-curve",$E89+($F89-$E89)*$L$2/(1+EXP($L$3*(COUNT($L$9:U$9)+$L$4))),TREND($E89:$F89,$E$9:$F$9,U$9))</f>
        <v>0</v>
      </c>
      <c r="V89" s="36">
        <f>IF($G89="s-curve",$E89+($F89-$E89)*$L$2/(1+EXP($L$3*(COUNT($L$9:V$9)+$L$4))),TREND($E89:$F89,$E$9:$F$9,V$9))</f>
        <v>0</v>
      </c>
      <c r="W89" s="36">
        <f>IF($G89="s-curve",$E89+($F89-$E89)*$L$2/(1+EXP($L$3*(COUNT($L$9:W$9)+$L$4))),TREND($E89:$F89,$E$9:$F$9,W$9))</f>
        <v>0</v>
      </c>
      <c r="X89" s="36">
        <f>IF($G89="s-curve",$E89+($F89-$E89)*$L$2/(1+EXP($L$3*(COUNT($L$9:X$9)+$L$4))),TREND($E89:$F89,$E$9:$F$9,X$9))</f>
        <v>0</v>
      </c>
      <c r="Y89" s="36">
        <f>IF($G89="s-curve",$E89+($F89-$E89)*$L$2/(1+EXP($L$3*(COUNT($L$9:Y$9)+$L$4))),TREND($E89:$F89,$E$9:$F$9,Y$9))</f>
        <v>0</v>
      </c>
      <c r="Z89" s="36">
        <f>IF($G89="s-curve",$E89+($F89-$E89)*$L$2/(1+EXP($L$3*(COUNT($L$9:Z$9)+$L$4))),TREND($E89:$F89,$E$9:$F$9,Z$9))</f>
        <v>0</v>
      </c>
      <c r="AA89" s="36">
        <f>IF($G89="s-curve",$E89+($F89-$E89)*$L$2/(1+EXP($L$3*(COUNT($L$9:AA$9)+$L$4))),TREND($E89:$F89,$E$9:$F$9,AA$9))</f>
        <v>0</v>
      </c>
      <c r="AB89" s="36">
        <f>IF($G89="s-curve",$E89+($F89-$E89)*$L$2/(1+EXP($L$3*(COUNT($L$9:AB$9)+$L$4))),TREND($E89:$F89,$E$9:$F$9,AB$9))</f>
        <v>0</v>
      </c>
      <c r="AC89" s="36">
        <f>IF($G89="s-curve",$E89+($F89-$E89)*$L$2/(1+EXP($L$3*(COUNT($L$9:AC$9)+$L$4))),TREND($E89:$F89,$E$9:$F$9,AC$9))</f>
        <v>0</v>
      </c>
      <c r="AD89" s="36">
        <f>IF($G89="s-curve",$E89+($F89-$E89)*$L$2/(1+EXP($L$3*(COUNT($L$9:AD$9)+$L$4))),TREND($E89:$F89,$E$9:$F$9,AD$9))</f>
        <v>0</v>
      </c>
      <c r="AE89" s="36">
        <f>IF($G89="s-curve",$E89+($F89-$E89)*$L$2/(1+EXP($L$3*(COUNT($L$9:AE$9)+$L$4))),TREND($E89:$F89,$E$9:$F$9,AE$9))</f>
        <v>0</v>
      </c>
      <c r="AF89" s="36">
        <f>IF($G89="s-curve",$E89+($F89-$E89)*$L$2/(1+EXP($L$3*(COUNT($L$9:AF$9)+$L$4))),TREND($E89:$F89,$E$9:$F$9,AF$9))</f>
        <v>0</v>
      </c>
      <c r="AG89" s="36">
        <f>IF($G89="s-curve",$E89+($F89-$E89)*$L$2/(1+EXP($L$3*(COUNT($L$9:AG$9)+$L$4))),TREND($E89:$F89,$E$9:$F$9,AG$9))</f>
        <v>0</v>
      </c>
      <c r="AH89" s="36">
        <f>IF($G89="s-curve",$E89+($F89-$E89)*$L$2/(1+EXP($L$3*(COUNT($L$9:AH$9)+$L$4))),TREND($E89:$F89,$E$9:$F$9,AH$9))</f>
        <v>0</v>
      </c>
      <c r="AI89" s="36">
        <f>IF($G89="s-curve",$E89+($F89-$E89)*$L$2/(1+EXP($L$3*(COUNT($L$9:AI$9)+$L$4))),TREND($E89:$F89,$E$9:$F$9,AI$9))</f>
        <v>0</v>
      </c>
      <c r="AJ89" s="36">
        <f>IF($G89="s-curve",$E89+($F89-$E89)*$L$2/(1+EXP($L$3*(COUNT($L$9:AJ$9)+$L$4))),TREND($E89:$F89,$E$9:$F$9,AJ$9))</f>
        <v>0</v>
      </c>
      <c r="AK89" s="36">
        <f>IF($G89="s-curve",$E89+($F89-$E89)*$L$2/(1+EXP($L$3*(COUNT($L$9:AK$9)+$L$4))),TREND($E89:$F89,$E$9:$F$9,AK$9))</f>
        <v>0</v>
      </c>
      <c r="AL89" s="36">
        <f>IF($G89="s-curve",$E89+($F89-$E89)*$L$2/(1+EXP($L$3*(COUNT($L$9:AL$9)+$L$4))),TREND($E89:$F89,$E$9:$F$9,AL$9))</f>
        <v>0</v>
      </c>
      <c r="AM89" s="36">
        <f>IF($G89="s-curve",$E89+($F89-$E89)*$L$2/(1+EXP($L$3*(COUNT($L$9:AM$9)+$L$4))),TREND($E89:$F89,$E$9:$F$9,AM$9))</f>
        <v>0</v>
      </c>
      <c r="AN89" s="36">
        <f>IF($G89="s-curve",$E89+($F89-$E89)*$L$2/(1+EXP($L$3*(COUNT($L$9:AN$9)+$L$4))),TREND($E89:$F89,$E$9:$F$9,AN$9))</f>
        <v>0</v>
      </c>
      <c r="AO89" s="36">
        <f>IF($G89="s-curve",$E89+($F89-$E89)*$L$2/(1+EXP($L$3*(COUNT($L$9:AO$9)+$L$4))),TREND($E89:$F89,$E$9:$F$9,AO$9))</f>
        <v>0</v>
      </c>
      <c r="AP89" s="36">
        <f>IF($G89="s-curve",$E89+($F89-$E89)*$L$2/(1+EXP($L$3*(COUNT($L$9:AP$9)+$L$4))),TREND($E89:$F89,$E$9:$F$9,AP$9))</f>
        <v>0</v>
      </c>
      <c r="AQ89" s="36">
        <f>IF($G89="s-curve",$E89+($F89-$E89)*$L$2/(1+EXP($L$3*(COUNT($L$9:AQ$9)+$L$4))),TREND($E89:$F89,$E$9:$F$9,AQ$9))</f>
        <v>0</v>
      </c>
      <c r="AR89" s="36">
        <f>IF($G89="s-curve",$E89+($F89-$E89)*$L$2/(1+EXP($L$3*(COUNT($L$9:AR$9)+$L$4))),TREND($E89:$F89,$E$9:$F$9,AR$9))</f>
        <v>0</v>
      </c>
      <c r="AS89" s="36">
        <f>IF($G89="s-curve",$E89+($F89-$E89)*$L$2/(1+EXP($L$3*(COUNT($L$9:AS$9)+$L$4))),TREND($E89:$F89,$E$9:$F$9,AS$9))</f>
        <v>0</v>
      </c>
      <c r="AT89" s="36">
        <f>IF($G89="s-curve",$E89+($F89-$E89)*$L$2/(1+EXP($L$3*(COUNT($L$9:AT$9)+$L$4))),TREND($E89:$F89,$E$9:$F$9,AT$9))</f>
        <v>0</v>
      </c>
      <c r="AU89" s="36">
        <f>IF($G89="s-curve",$E89+($F89-$E89)*$L$2/(1+EXP($L$3*(COUNT($L$9:AU$9)+$L$4))),TREND($E89:$F89,$E$9:$F$9,AU$9))</f>
        <v>0</v>
      </c>
      <c r="AV89" s="36">
        <f>IF($G89="s-curve",$E89+($F89-$E89)*$L$2/(1+EXP($L$3*(COUNT($L$9:AV$9)+$L$4))),TREND($E89:$F89,$E$9:$F$9,AV$9))</f>
        <v>0</v>
      </c>
      <c r="AW89" s="36">
        <f>IF($G89="s-curve",$E89+($F89-$E89)*$L$2/(1+EXP($L$3*(COUNT($L$9:AW$9)+$L$4))),TREND($E89:$F89,$E$9:$F$9,AW$9))</f>
        <v>0</v>
      </c>
      <c r="AX89" s="36">
        <f>IF($G89="s-curve",$E89+($F89-$E89)*$L$2/(1+EXP($L$3*(COUNT($L$9:AX$9)+$L$4))),TREND($E89:$F89,$E$9:$F$9,AX$9))</f>
        <v>0</v>
      </c>
      <c r="AY89" s="36">
        <f>IF($G89="s-curve",$E89+($F89-$E89)*$L$2/(1+EXP($L$3*(COUNT($L$9:AY$9)+$L$4))),TREND($E89:$F89,$E$9:$F$9,AY$9))</f>
        <v>0</v>
      </c>
      <c r="AZ89" s="36">
        <f>IF($G89="s-curve",$E89+($F89-$E89)*$L$2/(1+EXP($L$3*(COUNT($L$9:AZ$9)+$L$4))),TREND($E89:$F89,$E$9:$F$9,AZ$9))</f>
        <v>0</v>
      </c>
      <c r="BA89" s="36">
        <f>IF($G89="s-curve",$E89+($F89-$E89)*$L$2/(1+EXP($L$3*(COUNT($L$9:BA$9)+$L$4))),TREND($E89:$F89,$E$9:$F$9,BA$9))</f>
        <v>0</v>
      </c>
      <c r="BB89" s="36">
        <f>IF($G89="s-curve",$E89+($F89-$E89)*$L$2/(1+EXP($L$3*(COUNT($L$9:BB$9)+$L$4))),TREND($E89:$F89,$E$9:$F$9,BB$9))</f>
        <v>0</v>
      </c>
      <c r="BC89" s="36">
        <f>IF($G89="s-curve",$E89+($F89-$E89)*$L$2/(1+EXP($L$3*(COUNT($L$9:BC$9)+$L$4))),TREND($E89:$F89,$E$9:$F$9,BC$9))</f>
        <v>0</v>
      </c>
      <c r="BD89" s="36">
        <f>IF($G89="s-curve",$E89+($F89-$E89)*$L$2/(1+EXP($L$3*(COUNT($L$9:BD$9)+$L$4))),TREND($E89:$F89,$E$9:$F$9,BD$9))</f>
        <v>0</v>
      </c>
      <c r="BE89" s="36">
        <f>IF($G89="s-curve",$E89+($F89-$E89)*$L$2/(1+EXP($L$3*(COUNT($L$9:BE$9)+$L$4))),TREND($E89:$F89,$E$9:$F$9,BE$9))</f>
        <v>0</v>
      </c>
      <c r="BF89" s="36">
        <f>IF($G89="s-curve",$E89+($F89-$E89)*$L$2/(1+EXP($L$3*(COUNT($L$9:BF$9)+$L$4))),TREND($E89:$F89,$E$9:$F$9,BF$9))</f>
        <v>0</v>
      </c>
    </row>
    <row r="90" spans="1:58" x14ac:dyDescent="0.25">
      <c r="C90" t="s">
        <v>4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H90" s="33"/>
      <c r="I90">
        <f t="shared" si="32"/>
        <v>0</v>
      </c>
      <c r="J90">
        <f t="shared" si="32"/>
        <v>0</v>
      </c>
      <c r="K90">
        <f t="shared" si="32"/>
        <v>0</v>
      </c>
      <c r="L90" s="36">
        <f t="shared" si="31"/>
        <v>0</v>
      </c>
      <c r="M90" s="36">
        <f>IF($G90="s-curve",$E90+($F90-$E90)*$L$2/(1+EXP($L$3*(COUNT($L$9:M$9)+$L$4))),TREND($E90:$F90,$E$9:$F$9,M$9))</f>
        <v>0</v>
      </c>
      <c r="N90" s="36">
        <f>IF($G90="s-curve",$E90+($F90-$E90)*$L$2/(1+EXP($L$3*(COUNT($L$9:N$9)+$L$4))),TREND($E90:$F90,$E$9:$F$9,N$9))</f>
        <v>0</v>
      </c>
      <c r="O90" s="36">
        <f>IF($G90="s-curve",$E90+($F90-$E90)*$L$2/(1+EXP($L$3*(COUNT($L$9:O$9)+$L$4))),TREND($E90:$F90,$E$9:$F$9,O$9))</f>
        <v>0</v>
      </c>
      <c r="P90" s="36">
        <f>IF($G90="s-curve",$E90+($F90-$E90)*$L$2/(1+EXP($L$3*(COUNT($L$9:P$9)+$L$4))),TREND($E90:$F90,$E$9:$F$9,P$9))</f>
        <v>0</v>
      </c>
      <c r="Q90" s="36">
        <f>IF($G90="s-curve",$E90+($F90-$E90)*$L$2/(1+EXP($L$3*(COUNT($L$9:Q$9)+$L$4))),TREND($E90:$F90,$E$9:$F$9,Q$9))</f>
        <v>0</v>
      </c>
      <c r="R90" s="36">
        <f>IF($G90="s-curve",$E90+($F90-$E90)*$L$2/(1+EXP($L$3*(COUNT($L$9:R$9)+$L$4))),TREND($E90:$F90,$E$9:$F$9,R$9))</f>
        <v>0</v>
      </c>
      <c r="S90" s="36">
        <f>IF($G90="s-curve",$E90+($F90-$E90)*$L$2/(1+EXP($L$3*(COUNT($L$9:S$9)+$L$4))),TREND($E90:$F90,$E$9:$F$9,S$9))</f>
        <v>0</v>
      </c>
      <c r="T90" s="36">
        <f>IF($G90="s-curve",$E90+($F90-$E90)*$L$2/(1+EXP($L$3*(COUNT($L$9:T$9)+$L$4))),TREND($E90:$F90,$E$9:$F$9,T$9))</f>
        <v>0</v>
      </c>
      <c r="U90" s="36">
        <f>IF($G90="s-curve",$E90+($F90-$E90)*$L$2/(1+EXP($L$3*(COUNT($L$9:U$9)+$L$4))),TREND($E90:$F90,$E$9:$F$9,U$9))</f>
        <v>0</v>
      </c>
      <c r="V90" s="36">
        <f>IF($G90="s-curve",$E90+($F90-$E90)*$L$2/(1+EXP($L$3*(COUNT($L$9:V$9)+$L$4))),TREND($E90:$F90,$E$9:$F$9,V$9))</f>
        <v>0</v>
      </c>
      <c r="W90" s="36">
        <f>IF($G90="s-curve",$E90+($F90-$E90)*$L$2/(1+EXP($L$3*(COUNT($L$9:W$9)+$L$4))),TREND($E90:$F90,$E$9:$F$9,W$9))</f>
        <v>0</v>
      </c>
      <c r="X90" s="36">
        <f>IF($G90="s-curve",$E90+($F90-$E90)*$L$2/(1+EXP($L$3*(COUNT($L$9:X$9)+$L$4))),TREND($E90:$F90,$E$9:$F$9,X$9))</f>
        <v>0</v>
      </c>
      <c r="Y90" s="36">
        <f>IF($G90="s-curve",$E90+($F90-$E90)*$L$2/(1+EXP($L$3*(COUNT($L$9:Y$9)+$L$4))),TREND($E90:$F90,$E$9:$F$9,Y$9))</f>
        <v>0</v>
      </c>
      <c r="Z90" s="36">
        <f>IF($G90="s-curve",$E90+($F90-$E90)*$L$2/(1+EXP($L$3*(COUNT($L$9:Z$9)+$L$4))),TREND($E90:$F90,$E$9:$F$9,Z$9))</f>
        <v>0</v>
      </c>
      <c r="AA90" s="36">
        <f>IF($G90="s-curve",$E90+($F90-$E90)*$L$2/(1+EXP($L$3*(COUNT($L$9:AA$9)+$L$4))),TREND($E90:$F90,$E$9:$F$9,AA$9))</f>
        <v>0</v>
      </c>
      <c r="AB90" s="36">
        <f>IF($G90="s-curve",$E90+($F90-$E90)*$L$2/(1+EXP($L$3*(COUNT($L$9:AB$9)+$L$4))),TREND($E90:$F90,$E$9:$F$9,AB$9))</f>
        <v>0</v>
      </c>
      <c r="AC90" s="36">
        <f>IF($G90="s-curve",$E90+($F90-$E90)*$L$2/(1+EXP($L$3*(COUNT($L$9:AC$9)+$L$4))),TREND($E90:$F90,$E$9:$F$9,AC$9))</f>
        <v>0</v>
      </c>
      <c r="AD90" s="36">
        <f>IF($G90="s-curve",$E90+($F90-$E90)*$L$2/(1+EXP($L$3*(COUNT($L$9:AD$9)+$L$4))),TREND($E90:$F90,$E$9:$F$9,AD$9))</f>
        <v>0</v>
      </c>
      <c r="AE90" s="36">
        <f>IF($G90="s-curve",$E90+($F90-$E90)*$L$2/(1+EXP($L$3*(COUNT($L$9:AE$9)+$L$4))),TREND($E90:$F90,$E$9:$F$9,AE$9))</f>
        <v>0</v>
      </c>
      <c r="AF90" s="36">
        <f>IF($G90="s-curve",$E90+($F90-$E90)*$L$2/(1+EXP($L$3*(COUNT($L$9:AF$9)+$L$4))),TREND($E90:$F90,$E$9:$F$9,AF$9))</f>
        <v>0</v>
      </c>
      <c r="AG90" s="36">
        <f>IF($G90="s-curve",$E90+($F90-$E90)*$L$2/(1+EXP($L$3*(COUNT($L$9:AG$9)+$L$4))),TREND($E90:$F90,$E$9:$F$9,AG$9))</f>
        <v>0</v>
      </c>
      <c r="AH90" s="36">
        <f>IF($G90="s-curve",$E90+($F90-$E90)*$L$2/(1+EXP($L$3*(COUNT($L$9:AH$9)+$L$4))),TREND($E90:$F90,$E$9:$F$9,AH$9))</f>
        <v>0</v>
      </c>
      <c r="AI90" s="36">
        <f>IF($G90="s-curve",$E90+($F90-$E90)*$L$2/(1+EXP($L$3*(COUNT($L$9:AI$9)+$L$4))),TREND($E90:$F90,$E$9:$F$9,AI$9))</f>
        <v>0</v>
      </c>
      <c r="AJ90" s="36">
        <f>IF($G90="s-curve",$E90+($F90-$E90)*$L$2/(1+EXP($L$3*(COUNT($L$9:AJ$9)+$L$4))),TREND($E90:$F90,$E$9:$F$9,AJ$9))</f>
        <v>0</v>
      </c>
      <c r="AK90" s="36">
        <f>IF($G90="s-curve",$E90+($F90-$E90)*$L$2/(1+EXP($L$3*(COUNT($L$9:AK$9)+$L$4))),TREND($E90:$F90,$E$9:$F$9,AK$9))</f>
        <v>0</v>
      </c>
      <c r="AL90" s="36">
        <f>IF($G90="s-curve",$E90+($F90-$E90)*$L$2/(1+EXP($L$3*(COUNT($L$9:AL$9)+$L$4))),TREND($E90:$F90,$E$9:$F$9,AL$9))</f>
        <v>0</v>
      </c>
      <c r="AM90" s="36">
        <f>IF($G90="s-curve",$E90+($F90-$E90)*$L$2/(1+EXP($L$3*(COUNT($L$9:AM$9)+$L$4))),TREND($E90:$F90,$E$9:$F$9,AM$9))</f>
        <v>0</v>
      </c>
      <c r="AN90" s="36">
        <f>IF($G90="s-curve",$E90+($F90-$E90)*$L$2/(1+EXP($L$3*(COUNT($L$9:AN$9)+$L$4))),TREND($E90:$F90,$E$9:$F$9,AN$9))</f>
        <v>0</v>
      </c>
      <c r="AO90" s="36">
        <f>IF($G90="s-curve",$E90+($F90-$E90)*$L$2/(1+EXP($L$3*(COUNT($L$9:AO$9)+$L$4))),TREND($E90:$F90,$E$9:$F$9,AO$9))</f>
        <v>0</v>
      </c>
      <c r="AP90" s="36">
        <f>IF($G90="s-curve",$E90+($F90-$E90)*$L$2/(1+EXP($L$3*(COUNT($L$9:AP$9)+$L$4))),TREND($E90:$F90,$E$9:$F$9,AP$9))</f>
        <v>0</v>
      </c>
      <c r="AQ90" s="36">
        <f>IF($G90="s-curve",$E90+($F90-$E90)*$L$2/(1+EXP($L$3*(COUNT($L$9:AQ$9)+$L$4))),TREND($E90:$F90,$E$9:$F$9,AQ$9))</f>
        <v>0</v>
      </c>
      <c r="AR90" s="36">
        <f>IF($G90="s-curve",$E90+($F90-$E90)*$L$2/(1+EXP($L$3*(COUNT($L$9:AR$9)+$L$4))),TREND($E90:$F90,$E$9:$F$9,AR$9))</f>
        <v>0</v>
      </c>
      <c r="AS90" s="36">
        <f>IF($G90="s-curve",$E90+($F90-$E90)*$L$2/(1+EXP($L$3*(COUNT($L$9:AS$9)+$L$4))),TREND($E90:$F90,$E$9:$F$9,AS$9))</f>
        <v>0</v>
      </c>
      <c r="AT90" s="36">
        <f>IF($G90="s-curve",$E90+($F90-$E90)*$L$2/(1+EXP($L$3*(COUNT($L$9:AT$9)+$L$4))),TREND($E90:$F90,$E$9:$F$9,AT$9))</f>
        <v>0</v>
      </c>
      <c r="AU90" s="36">
        <f>IF($G90="s-curve",$E90+($F90-$E90)*$L$2/(1+EXP($L$3*(COUNT($L$9:AU$9)+$L$4))),TREND($E90:$F90,$E$9:$F$9,AU$9))</f>
        <v>0</v>
      </c>
      <c r="AV90" s="36">
        <f>IF($G90="s-curve",$E90+($F90-$E90)*$L$2/(1+EXP($L$3*(COUNT($L$9:AV$9)+$L$4))),TREND($E90:$F90,$E$9:$F$9,AV$9))</f>
        <v>0</v>
      </c>
      <c r="AW90" s="36">
        <f>IF($G90="s-curve",$E90+($F90-$E90)*$L$2/(1+EXP($L$3*(COUNT($L$9:AW$9)+$L$4))),TREND($E90:$F90,$E$9:$F$9,AW$9))</f>
        <v>0</v>
      </c>
      <c r="AX90" s="36">
        <f>IF($G90="s-curve",$E90+($F90-$E90)*$L$2/(1+EXP($L$3*(COUNT($L$9:AX$9)+$L$4))),TREND($E90:$F90,$E$9:$F$9,AX$9))</f>
        <v>0</v>
      </c>
      <c r="AY90" s="36">
        <f>IF($G90="s-curve",$E90+($F90-$E90)*$L$2/(1+EXP($L$3*(COUNT($L$9:AY$9)+$L$4))),TREND($E90:$F90,$E$9:$F$9,AY$9))</f>
        <v>0</v>
      </c>
      <c r="AZ90" s="36">
        <f>IF($G90="s-curve",$E90+($F90-$E90)*$L$2/(1+EXP($L$3*(COUNT($L$9:AZ$9)+$L$4))),TREND($E90:$F90,$E$9:$F$9,AZ$9))</f>
        <v>0</v>
      </c>
      <c r="BA90" s="36">
        <f>IF($G90="s-curve",$E90+($F90-$E90)*$L$2/(1+EXP($L$3*(COUNT($L$9:BA$9)+$L$4))),TREND($E90:$F90,$E$9:$F$9,BA$9))</f>
        <v>0</v>
      </c>
      <c r="BB90" s="36">
        <f>IF($G90="s-curve",$E90+($F90-$E90)*$L$2/(1+EXP($L$3*(COUNT($L$9:BB$9)+$L$4))),TREND($E90:$F90,$E$9:$F$9,BB$9))</f>
        <v>0</v>
      </c>
      <c r="BC90" s="36">
        <f>IF($G90="s-curve",$E90+($F90-$E90)*$L$2/(1+EXP($L$3*(COUNT($L$9:BC$9)+$L$4))),TREND($E90:$F90,$E$9:$F$9,BC$9))</f>
        <v>0</v>
      </c>
      <c r="BD90" s="36">
        <f>IF($G90="s-curve",$E90+($F90-$E90)*$L$2/(1+EXP($L$3*(COUNT($L$9:BD$9)+$L$4))),TREND($E90:$F90,$E$9:$F$9,BD$9))</f>
        <v>0</v>
      </c>
      <c r="BE90" s="36">
        <f>IF($G90="s-curve",$E90+($F90-$E90)*$L$2/(1+EXP($L$3*(COUNT($L$9:BE$9)+$L$4))),TREND($E90:$F90,$E$9:$F$9,BE$9))</f>
        <v>0</v>
      </c>
      <c r="BF90" s="36">
        <f>IF($G90="s-curve",$E90+($F90-$E90)*$L$2/(1+EXP($L$3*(COUNT($L$9:BF$9)+$L$4))),TREND($E90:$F90,$E$9:$F$9,BF$9))</f>
        <v>0</v>
      </c>
    </row>
    <row r="91" spans="1:58" x14ac:dyDescent="0.25">
      <c r="C91" t="s">
        <v>5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H91" s="33"/>
      <c r="I91">
        <f t="shared" si="32"/>
        <v>0</v>
      </c>
      <c r="J91">
        <f t="shared" si="32"/>
        <v>0</v>
      </c>
      <c r="K91">
        <f t="shared" si="32"/>
        <v>0</v>
      </c>
      <c r="L91" s="36">
        <f t="shared" si="31"/>
        <v>0</v>
      </c>
      <c r="M91" s="36">
        <f>IF($G91="s-curve",$E91+($F91-$E91)*$L$2/(1+EXP($L$3*(COUNT($L$9:M$9)+$L$4))),TREND($E91:$F91,$E$9:$F$9,M$9))</f>
        <v>0</v>
      </c>
      <c r="N91" s="36">
        <f>IF($G91="s-curve",$E91+($F91-$E91)*$L$2/(1+EXP($L$3*(COUNT($L$9:N$9)+$L$4))),TREND($E91:$F91,$E$9:$F$9,N$9))</f>
        <v>0</v>
      </c>
      <c r="O91" s="36">
        <f>IF($G91="s-curve",$E91+($F91-$E91)*$L$2/(1+EXP($L$3*(COUNT($L$9:O$9)+$L$4))),TREND($E91:$F91,$E$9:$F$9,O$9))</f>
        <v>0</v>
      </c>
      <c r="P91" s="36">
        <f>IF($G91="s-curve",$E91+($F91-$E91)*$L$2/(1+EXP($L$3*(COUNT($L$9:P$9)+$L$4))),TREND($E91:$F91,$E$9:$F$9,P$9))</f>
        <v>0</v>
      </c>
      <c r="Q91" s="36">
        <f>IF($G91="s-curve",$E91+($F91-$E91)*$L$2/(1+EXP($L$3*(COUNT($L$9:Q$9)+$L$4))),TREND($E91:$F91,$E$9:$F$9,Q$9))</f>
        <v>0</v>
      </c>
      <c r="R91" s="36">
        <f>IF($G91="s-curve",$E91+($F91-$E91)*$L$2/(1+EXP($L$3*(COUNT($L$9:R$9)+$L$4))),TREND($E91:$F91,$E$9:$F$9,R$9))</f>
        <v>0</v>
      </c>
      <c r="S91" s="36">
        <f>IF($G91="s-curve",$E91+($F91-$E91)*$L$2/(1+EXP($L$3*(COUNT($L$9:S$9)+$L$4))),TREND($E91:$F91,$E$9:$F$9,S$9))</f>
        <v>0</v>
      </c>
      <c r="T91" s="36">
        <f>IF($G91="s-curve",$E91+($F91-$E91)*$L$2/(1+EXP($L$3*(COUNT($L$9:T$9)+$L$4))),TREND($E91:$F91,$E$9:$F$9,T$9))</f>
        <v>0</v>
      </c>
      <c r="U91" s="36">
        <f>IF($G91="s-curve",$E91+($F91-$E91)*$L$2/(1+EXP($L$3*(COUNT($L$9:U$9)+$L$4))),TREND($E91:$F91,$E$9:$F$9,U$9))</f>
        <v>0</v>
      </c>
      <c r="V91" s="36">
        <f>IF($G91="s-curve",$E91+($F91-$E91)*$L$2/(1+EXP($L$3*(COUNT($L$9:V$9)+$L$4))),TREND($E91:$F91,$E$9:$F$9,V$9))</f>
        <v>0</v>
      </c>
      <c r="W91" s="36">
        <f>IF($G91="s-curve",$E91+($F91-$E91)*$L$2/(1+EXP($L$3*(COUNT($L$9:W$9)+$L$4))),TREND($E91:$F91,$E$9:$F$9,W$9))</f>
        <v>0</v>
      </c>
      <c r="X91" s="36">
        <f>IF($G91="s-curve",$E91+($F91-$E91)*$L$2/(1+EXP($L$3*(COUNT($L$9:X$9)+$L$4))),TREND($E91:$F91,$E$9:$F$9,X$9))</f>
        <v>0</v>
      </c>
      <c r="Y91" s="36">
        <f>IF($G91="s-curve",$E91+($F91-$E91)*$L$2/(1+EXP($L$3*(COUNT($L$9:Y$9)+$L$4))),TREND($E91:$F91,$E$9:$F$9,Y$9))</f>
        <v>0</v>
      </c>
      <c r="Z91" s="36">
        <f>IF($G91="s-curve",$E91+($F91-$E91)*$L$2/(1+EXP($L$3*(COUNT($L$9:Z$9)+$L$4))),TREND($E91:$F91,$E$9:$F$9,Z$9))</f>
        <v>0</v>
      </c>
      <c r="AA91" s="36">
        <f>IF($G91="s-curve",$E91+($F91-$E91)*$L$2/(1+EXP($L$3*(COUNT($L$9:AA$9)+$L$4))),TREND($E91:$F91,$E$9:$F$9,AA$9))</f>
        <v>0</v>
      </c>
      <c r="AB91" s="36">
        <f>IF($G91="s-curve",$E91+($F91-$E91)*$L$2/(1+EXP($L$3*(COUNT($L$9:AB$9)+$L$4))),TREND($E91:$F91,$E$9:$F$9,AB$9))</f>
        <v>0</v>
      </c>
      <c r="AC91" s="36">
        <f>IF($G91="s-curve",$E91+($F91-$E91)*$L$2/(1+EXP($L$3*(COUNT($L$9:AC$9)+$L$4))),TREND($E91:$F91,$E$9:$F$9,AC$9))</f>
        <v>0</v>
      </c>
      <c r="AD91" s="36">
        <f>IF($G91="s-curve",$E91+($F91-$E91)*$L$2/(1+EXP($L$3*(COUNT($L$9:AD$9)+$L$4))),TREND($E91:$F91,$E$9:$F$9,AD$9))</f>
        <v>0</v>
      </c>
      <c r="AE91" s="36">
        <f>IF($G91="s-curve",$E91+($F91-$E91)*$L$2/(1+EXP($L$3*(COUNT($L$9:AE$9)+$L$4))),TREND($E91:$F91,$E$9:$F$9,AE$9))</f>
        <v>0</v>
      </c>
      <c r="AF91" s="36">
        <f>IF($G91="s-curve",$E91+($F91-$E91)*$L$2/(1+EXP($L$3*(COUNT($L$9:AF$9)+$L$4))),TREND($E91:$F91,$E$9:$F$9,AF$9))</f>
        <v>0</v>
      </c>
      <c r="AG91" s="36">
        <f>IF($G91="s-curve",$E91+($F91-$E91)*$L$2/(1+EXP($L$3*(COUNT($L$9:AG$9)+$L$4))),TREND($E91:$F91,$E$9:$F$9,AG$9))</f>
        <v>0</v>
      </c>
      <c r="AH91" s="36">
        <f>IF($G91="s-curve",$E91+($F91-$E91)*$L$2/(1+EXP($L$3*(COUNT($L$9:AH$9)+$L$4))),TREND($E91:$F91,$E$9:$F$9,AH$9))</f>
        <v>0</v>
      </c>
      <c r="AI91" s="36">
        <f>IF($G91="s-curve",$E91+($F91-$E91)*$L$2/(1+EXP($L$3*(COUNT($L$9:AI$9)+$L$4))),TREND($E91:$F91,$E$9:$F$9,AI$9))</f>
        <v>0</v>
      </c>
      <c r="AJ91" s="36">
        <f>IF($G91="s-curve",$E91+($F91-$E91)*$L$2/(1+EXP($L$3*(COUNT($L$9:AJ$9)+$L$4))),TREND($E91:$F91,$E$9:$F$9,AJ$9))</f>
        <v>0</v>
      </c>
      <c r="AK91" s="36">
        <f>IF($G91="s-curve",$E91+($F91-$E91)*$L$2/(1+EXP($L$3*(COUNT($L$9:AK$9)+$L$4))),TREND($E91:$F91,$E$9:$F$9,AK$9))</f>
        <v>0</v>
      </c>
      <c r="AL91" s="36">
        <f>IF($G91="s-curve",$E91+($F91-$E91)*$L$2/(1+EXP($L$3*(COUNT($L$9:AL$9)+$L$4))),TREND($E91:$F91,$E$9:$F$9,AL$9))</f>
        <v>0</v>
      </c>
      <c r="AM91" s="36">
        <f>IF($G91="s-curve",$E91+($F91-$E91)*$L$2/(1+EXP($L$3*(COUNT($L$9:AM$9)+$L$4))),TREND($E91:$F91,$E$9:$F$9,AM$9))</f>
        <v>0</v>
      </c>
      <c r="AN91" s="36">
        <f>IF($G91="s-curve",$E91+($F91-$E91)*$L$2/(1+EXP($L$3*(COUNT($L$9:AN$9)+$L$4))),TREND($E91:$F91,$E$9:$F$9,AN$9))</f>
        <v>0</v>
      </c>
      <c r="AO91" s="36">
        <f>IF($G91="s-curve",$E91+($F91-$E91)*$L$2/(1+EXP($L$3*(COUNT($L$9:AO$9)+$L$4))),TREND($E91:$F91,$E$9:$F$9,AO$9))</f>
        <v>0</v>
      </c>
      <c r="AP91" s="36">
        <f>IF($G91="s-curve",$E91+($F91-$E91)*$L$2/(1+EXP($L$3*(COUNT($L$9:AP$9)+$L$4))),TREND($E91:$F91,$E$9:$F$9,AP$9))</f>
        <v>0</v>
      </c>
      <c r="AQ91" s="36">
        <f>IF($G91="s-curve",$E91+($F91-$E91)*$L$2/(1+EXP($L$3*(COUNT($L$9:AQ$9)+$L$4))),TREND($E91:$F91,$E$9:$F$9,AQ$9))</f>
        <v>0</v>
      </c>
      <c r="AR91" s="36">
        <f>IF($G91="s-curve",$E91+($F91-$E91)*$L$2/(1+EXP($L$3*(COUNT($L$9:AR$9)+$L$4))),TREND($E91:$F91,$E$9:$F$9,AR$9))</f>
        <v>0</v>
      </c>
      <c r="AS91" s="36">
        <f>IF($G91="s-curve",$E91+($F91-$E91)*$L$2/(1+EXP($L$3*(COUNT($L$9:AS$9)+$L$4))),TREND($E91:$F91,$E$9:$F$9,AS$9))</f>
        <v>0</v>
      </c>
      <c r="AT91" s="36">
        <f>IF($G91="s-curve",$E91+($F91-$E91)*$L$2/(1+EXP($L$3*(COUNT($L$9:AT$9)+$L$4))),TREND($E91:$F91,$E$9:$F$9,AT$9))</f>
        <v>0</v>
      </c>
      <c r="AU91" s="36">
        <f>IF($G91="s-curve",$E91+($F91-$E91)*$L$2/(1+EXP($L$3*(COUNT($L$9:AU$9)+$L$4))),TREND($E91:$F91,$E$9:$F$9,AU$9))</f>
        <v>0</v>
      </c>
      <c r="AV91" s="36">
        <f>IF($G91="s-curve",$E91+($F91-$E91)*$L$2/(1+EXP($L$3*(COUNT($L$9:AV$9)+$L$4))),TREND($E91:$F91,$E$9:$F$9,AV$9))</f>
        <v>0</v>
      </c>
      <c r="AW91" s="36">
        <f>IF($G91="s-curve",$E91+($F91-$E91)*$L$2/(1+EXP($L$3*(COUNT($L$9:AW$9)+$L$4))),TREND($E91:$F91,$E$9:$F$9,AW$9))</f>
        <v>0</v>
      </c>
      <c r="AX91" s="36">
        <f>IF($G91="s-curve",$E91+($F91-$E91)*$L$2/(1+EXP($L$3*(COUNT($L$9:AX$9)+$L$4))),TREND($E91:$F91,$E$9:$F$9,AX$9))</f>
        <v>0</v>
      </c>
      <c r="AY91" s="36">
        <f>IF($G91="s-curve",$E91+($F91-$E91)*$L$2/(1+EXP($L$3*(COUNT($L$9:AY$9)+$L$4))),TREND($E91:$F91,$E$9:$F$9,AY$9))</f>
        <v>0</v>
      </c>
      <c r="AZ91" s="36">
        <f>IF($G91="s-curve",$E91+($F91-$E91)*$L$2/(1+EXP($L$3*(COUNT($L$9:AZ$9)+$L$4))),TREND($E91:$F91,$E$9:$F$9,AZ$9))</f>
        <v>0</v>
      </c>
      <c r="BA91" s="36">
        <f>IF($G91="s-curve",$E91+($F91-$E91)*$L$2/(1+EXP($L$3*(COUNT($L$9:BA$9)+$L$4))),TREND($E91:$F91,$E$9:$F$9,BA$9))</f>
        <v>0</v>
      </c>
      <c r="BB91" s="36">
        <f>IF($G91="s-curve",$E91+($F91-$E91)*$L$2/(1+EXP($L$3*(COUNT($L$9:BB$9)+$L$4))),TREND($E91:$F91,$E$9:$F$9,BB$9))</f>
        <v>0</v>
      </c>
      <c r="BC91" s="36">
        <f>IF($G91="s-curve",$E91+($F91-$E91)*$L$2/(1+EXP($L$3*(COUNT($L$9:BC$9)+$L$4))),TREND($E91:$F91,$E$9:$F$9,BC$9))</f>
        <v>0</v>
      </c>
      <c r="BD91" s="36">
        <f>IF($G91="s-curve",$E91+($F91-$E91)*$L$2/(1+EXP($L$3*(COUNT($L$9:BD$9)+$L$4))),TREND($E91:$F91,$E$9:$F$9,BD$9))</f>
        <v>0</v>
      </c>
      <c r="BE91" s="36">
        <f>IF($G91="s-curve",$E91+($F91-$E91)*$L$2/(1+EXP($L$3*(COUNT($L$9:BE$9)+$L$4))),TREND($E91:$F91,$E$9:$F$9,BE$9))</f>
        <v>0</v>
      </c>
      <c r="BF91" s="36">
        <f>IF($G91="s-curve",$E91+($F91-$E91)*$L$2/(1+EXP($L$3*(COUNT($L$9:BF$9)+$L$4))),TREND($E91:$F91,$E$9:$F$9,BF$9))</f>
        <v>0</v>
      </c>
    </row>
    <row r="92" spans="1:58" x14ac:dyDescent="0.25">
      <c r="C92" t="s">
        <v>33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H92" s="33"/>
      <c r="I92">
        <f t="shared" si="32"/>
        <v>0</v>
      </c>
      <c r="J92">
        <f t="shared" si="32"/>
        <v>0</v>
      </c>
      <c r="K92">
        <f t="shared" si="32"/>
        <v>0</v>
      </c>
      <c r="L92" s="36">
        <f t="shared" si="31"/>
        <v>0</v>
      </c>
      <c r="M92" s="36">
        <f>IF($G92="s-curve",$E92+($F92-$E92)*$L$2/(1+EXP($L$3*(COUNT($L$9:M$9)+$L$4))),TREND($E92:$F92,$E$9:$F$9,M$9))</f>
        <v>0</v>
      </c>
      <c r="N92" s="36">
        <f>IF($G92="s-curve",$E92+($F92-$E92)*$L$2/(1+EXP($L$3*(COUNT($L$9:N$9)+$L$4))),TREND($E92:$F92,$E$9:$F$9,N$9))</f>
        <v>0</v>
      </c>
      <c r="O92" s="36">
        <f>IF($G92="s-curve",$E92+($F92-$E92)*$L$2/(1+EXP($L$3*(COUNT($L$9:O$9)+$L$4))),TREND($E92:$F92,$E$9:$F$9,O$9))</f>
        <v>0</v>
      </c>
      <c r="P92" s="36">
        <f>IF($G92="s-curve",$E92+($F92-$E92)*$L$2/(1+EXP($L$3*(COUNT($L$9:P$9)+$L$4))),TREND($E92:$F92,$E$9:$F$9,P$9))</f>
        <v>0</v>
      </c>
      <c r="Q92" s="36">
        <f>IF($G92="s-curve",$E92+($F92-$E92)*$L$2/(1+EXP($L$3*(COUNT($L$9:Q$9)+$L$4))),TREND($E92:$F92,$E$9:$F$9,Q$9))</f>
        <v>0</v>
      </c>
      <c r="R92" s="36">
        <f>IF($G92="s-curve",$E92+($F92-$E92)*$L$2/(1+EXP($L$3*(COUNT($L$9:R$9)+$L$4))),TREND($E92:$F92,$E$9:$F$9,R$9))</f>
        <v>0</v>
      </c>
      <c r="S92" s="36">
        <f>IF($G92="s-curve",$E92+($F92-$E92)*$L$2/(1+EXP($L$3*(COUNT($L$9:S$9)+$L$4))),TREND($E92:$F92,$E$9:$F$9,S$9))</f>
        <v>0</v>
      </c>
      <c r="T92" s="36">
        <f>IF($G92="s-curve",$E92+($F92-$E92)*$L$2/(1+EXP($L$3*(COUNT($L$9:T$9)+$L$4))),TREND($E92:$F92,$E$9:$F$9,T$9))</f>
        <v>0</v>
      </c>
      <c r="U92" s="36">
        <f>IF($G92="s-curve",$E92+($F92-$E92)*$L$2/(1+EXP($L$3*(COUNT($L$9:U$9)+$L$4))),TREND($E92:$F92,$E$9:$F$9,U$9))</f>
        <v>0</v>
      </c>
      <c r="V92" s="36">
        <f>IF($G92="s-curve",$E92+($F92-$E92)*$L$2/(1+EXP($L$3*(COUNT($L$9:V$9)+$L$4))),TREND($E92:$F92,$E$9:$F$9,V$9))</f>
        <v>0</v>
      </c>
      <c r="W92" s="36">
        <f>IF($G92="s-curve",$E92+($F92-$E92)*$L$2/(1+EXP($L$3*(COUNT($L$9:W$9)+$L$4))),TREND($E92:$F92,$E$9:$F$9,W$9))</f>
        <v>0</v>
      </c>
      <c r="X92" s="36">
        <f>IF($G92="s-curve",$E92+($F92-$E92)*$L$2/(1+EXP($L$3*(COUNT($L$9:X$9)+$L$4))),TREND($E92:$F92,$E$9:$F$9,X$9))</f>
        <v>0</v>
      </c>
      <c r="Y92" s="36">
        <f>IF($G92="s-curve",$E92+($F92-$E92)*$L$2/(1+EXP($L$3*(COUNT($L$9:Y$9)+$L$4))),TREND($E92:$F92,$E$9:$F$9,Y$9))</f>
        <v>0</v>
      </c>
      <c r="Z92" s="36">
        <f>IF($G92="s-curve",$E92+($F92-$E92)*$L$2/(1+EXP($L$3*(COUNT($L$9:Z$9)+$L$4))),TREND($E92:$F92,$E$9:$F$9,Z$9))</f>
        <v>0</v>
      </c>
      <c r="AA92" s="36">
        <f>IF($G92="s-curve",$E92+($F92-$E92)*$L$2/(1+EXP($L$3*(COUNT($L$9:AA$9)+$L$4))),TREND($E92:$F92,$E$9:$F$9,AA$9))</f>
        <v>0</v>
      </c>
      <c r="AB92" s="36">
        <f>IF($G92="s-curve",$E92+($F92-$E92)*$L$2/(1+EXP($L$3*(COUNT($L$9:AB$9)+$L$4))),TREND($E92:$F92,$E$9:$F$9,AB$9))</f>
        <v>0</v>
      </c>
      <c r="AC92" s="36">
        <f>IF($G92="s-curve",$E92+($F92-$E92)*$L$2/(1+EXP($L$3*(COUNT($L$9:AC$9)+$L$4))),TREND($E92:$F92,$E$9:$F$9,AC$9))</f>
        <v>0</v>
      </c>
      <c r="AD92" s="36">
        <f>IF($G92="s-curve",$E92+($F92-$E92)*$L$2/(1+EXP($L$3*(COUNT($L$9:AD$9)+$L$4))),TREND($E92:$F92,$E$9:$F$9,AD$9))</f>
        <v>0</v>
      </c>
      <c r="AE92" s="36">
        <f>IF($G92="s-curve",$E92+($F92-$E92)*$L$2/(1+EXP($L$3*(COUNT($L$9:AE$9)+$L$4))),TREND($E92:$F92,$E$9:$F$9,AE$9))</f>
        <v>0</v>
      </c>
      <c r="AF92" s="36">
        <f>IF($G92="s-curve",$E92+($F92-$E92)*$L$2/(1+EXP($L$3*(COUNT($L$9:AF$9)+$L$4))),TREND($E92:$F92,$E$9:$F$9,AF$9))</f>
        <v>0</v>
      </c>
      <c r="AG92" s="36">
        <f>IF($G92="s-curve",$E92+($F92-$E92)*$L$2/(1+EXP($L$3*(COUNT($L$9:AG$9)+$L$4))),TREND($E92:$F92,$E$9:$F$9,AG$9))</f>
        <v>0</v>
      </c>
      <c r="AH92" s="36">
        <f>IF($G92="s-curve",$E92+($F92-$E92)*$L$2/(1+EXP($L$3*(COUNT($L$9:AH$9)+$L$4))),TREND($E92:$F92,$E$9:$F$9,AH$9))</f>
        <v>0</v>
      </c>
      <c r="AI92" s="36">
        <f>IF($G92="s-curve",$E92+($F92-$E92)*$L$2/(1+EXP($L$3*(COUNT($L$9:AI$9)+$L$4))),TREND($E92:$F92,$E$9:$F$9,AI$9))</f>
        <v>0</v>
      </c>
      <c r="AJ92" s="36">
        <f>IF($G92="s-curve",$E92+($F92-$E92)*$L$2/(1+EXP($L$3*(COUNT($L$9:AJ$9)+$L$4))),TREND($E92:$F92,$E$9:$F$9,AJ$9))</f>
        <v>0</v>
      </c>
      <c r="AK92" s="36">
        <f>IF($G92="s-curve",$E92+($F92-$E92)*$L$2/(1+EXP($L$3*(COUNT($L$9:AK$9)+$L$4))),TREND($E92:$F92,$E$9:$F$9,AK$9))</f>
        <v>0</v>
      </c>
      <c r="AL92" s="36">
        <f>IF($G92="s-curve",$E92+($F92-$E92)*$L$2/(1+EXP($L$3*(COUNT($L$9:AL$9)+$L$4))),TREND($E92:$F92,$E$9:$F$9,AL$9))</f>
        <v>0</v>
      </c>
      <c r="AM92" s="36">
        <f>IF($G92="s-curve",$E92+($F92-$E92)*$L$2/(1+EXP($L$3*(COUNT($L$9:AM$9)+$L$4))),TREND($E92:$F92,$E$9:$F$9,AM$9))</f>
        <v>0</v>
      </c>
      <c r="AN92" s="36">
        <f>IF($G92="s-curve",$E92+($F92-$E92)*$L$2/(1+EXP($L$3*(COUNT($L$9:AN$9)+$L$4))),TREND($E92:$F92,$E$9:$F$9,AN$9))</f>
        <v>0</v>
      </c>
      <c r="AO92" s="36">
        <f>IF($G92="s-curve",$E92+($F92-$E92)*$L$2/(1+EXP($L$3*(COUNT($L$9:AO$9)+$L$4))),TREND($E92:$F92,$E$9:$F$9,AO$9))</f>
        <v>0</v>
      </c>
      <c r="AP92" s="36">
        <f>IF($G92="s-curve",$E92+($F92-$E92)*$L$2/(1+EXP($L$3*(COUNT($L$9:AP$9)+$L$4))),TREND($E92:$F92,$E$9:$F$9,AP$9))</f>
        <v>0</v>
      </c>
      <c r="AQ92" s="36">
        <f>IF($G92="s-curve",$E92+($F92-$E92)*$L$2/(1+EXP($L$3*(COUNT($L$9:AQ$9)+$L$4))),TREND($E92:$F92,$E$9:$F$9,AQ$9))</f>
        <v>0</v>
      </c>
      <c r="AR92" s="36">
        <f>IF($G92="s-curve",$E92+($F92-$E92)*$L$2/(1+EXP($L$3*(COUNT($L$9:AR$9)+$L$4))),TREND($E92:$F92,$E$9:$F$9,AR$9))</f>
        <v>0</v>
      </c>
      <c r="AS92" s="36">
        <f>IF($G92="s-curve",$E92+($F92-$E92)*$L$2/(1+EXP($L$3*(COUNT($L$9:AS$9)+$L$4))),TREND($E92:$F92,$E$9:$F$9,AS$9))</f>
        <v>0</v>
      </c>
      <c r="AT92" s="36">
        <f>IF($G92="s-curve",$E92+($F92-$E92)*$L$2/(1+EXP($L$3*(COUNT($L$9:AT$9)+$L$4))),TREND($E92:$F92,$E$9:$F$9,AT$9))</f>
        <v>0</v>
      </c>
      <c r="AU92" s="36">
        <f>IF($G92="s-curve",$E92+($F92-$E92)*$L$2/(1+EXP($L$3*(COUNT($L$9:AU$9)+$L$4))),TREND($E92:$F92,$E$9:$F$9,AU$9))</f>
        <v>0</v>
      </c>
      <c r="AV92" s="36">
        <f>IF($G92="s-curve",$E92+($F92-$E92)*$L$2/(1+EXP($L$3*(COUNT($L$9:AV$9)+$L$4))),TREND($E92:$F92,$E$9:$F$9,AV$9))</f>
        <v>0</v>
      </c>
      <c r="AW92" s="36">
        <f>IF($G92="s-curve",$E92+($F92-$E92)*$L$2/(1+EXP($L$3*(COUNT($L$9:AW$9)+$L$4))),TREND($E92:$F92,$E$9:$F$9,AW$9))</f>
        <v>0</v>
      </c>
      <c r="AX92" s="36">
        <f>IF($G92="s-curve",$E92+($F92-$E92)*$L$2/(1+EXP($L$3*(COUNT($L$9:AX$9)+$L$4))),TREND($E92:$F92,$E$9:$F$9,AX$9))</f>
        <v>0</v>
      </c>
      <c r="AY92" s="36">
        <f>IF($G92="s-curve",$E92+($F92-$E92)*$L$2/(1+EXP($L$3*(COUNT($L$9:AY$9)+$L$4))),TREND($E92:$F92,$E$9:$F$9,AY$9))</f>
        <v>0</v>
      </c>
      <c r="AZ92" s="36">
        <f>IF($G92="s-curve",$E92+($F92-$E92)*$L$2/(1+EXP($L$3*(COUNT($L$9:AZ$9)+$L$4))),TREND($E92:$F92,$E$9:$F$9,AZ$9))</f>
        <v>0</v>
      </c>
      <c r="BA92" s="36">
        <f>IF($G92="s-curve",$E92+($F92-$E92)*$L$2/(1+EXP($L$3*(COUNT($L$9:BA$9)+$L$4))),TREND($E92:$F92,$E$9:$F$9,BA$9))</f>
        <v>0</v>
      </c>
      <c r="BB92" s="36">
        <f>IF($G92="s-curve",$E92+($F92-$E92)*$L$2/(1+EXP($L$3*(COUNT($L$9:BB$9)+$L$4))),TREND($E92:$F92,$E$9:$F$9,BB$9))</f>
        <v>0</v>
      </c>
      <c r="BC92" s="36">
        <f>IF($G92="s-curve",$E92+($F92-$E92)*$L$2/(1+EXP($L$3*(COUNT($L$9:BC$9)+$L$4))),TREND($E92:$F92,$E$9:$F$9,BC$9))</f>
        <v>0</v>
      </c>
      <c r="BD92" s="36">
        <f>IF($G92="s-curve",$E92+($F92-$E92)*$L$2/(1+EXP($L$3*(COUNT($L$9:BD$9)+$L$4))),TREND($E92:$F92,$E$9:$F$9,BD$9))</f>
        <v>0</v>
      </c>
      <c r="BE92" s="36">
        <f>IF($G92="s-curve",$E92+($F92-$E92)*$L$2/(1+EXP($L$3*(COUNT($L$9:BE$9)+$L$4))),TREND($E92:$F92,$E$9:$F$9,BE$9))</f>
        <v>0</v>
      </c>
      <c r="BF92" s="36">
        <f>IF($G92="s-curve",$E92+($F92-$E92)*$L$2/(1+EXP($L$3*(COUNT($L$9:BF$9)+$L$4))),TREND($E92:$F92,$E$9:$F$9,BF$9))</f>
        <v>0</v>
      </c>
    </row>
    <row r="93" spans="1:58" ht="15.75" thickBot="1" x14ac:dyDescent="0.3">
      <c r="A93" s="18"/>
      <c r="B93" s="18"/>
      <c r="C93" s="18" t="s">
        <v>34</v>
      </c>
      <c r="D93" s="18"/>
      <c r="E93" s="18">
        <v>0</v>
      </c>
      <c r="F93" s="18">
        <v>0</v>
      </c>
      <c r="G93" s="6" t="str">
        <f>IF(E93=F93,"n/a",IF(OR(C93="battery electric vehicle",C93="natural gas vehicle",C93="plugin hybrid vehicle",C93="hydrogen vehicle"),"s-curve","linear"))</f>
        <v>n/a</v>
      </c>
      <c r="H93" s="34"/>
      <c r="I93">
        <f t="shared" si="32"/>
        <v>0</v>
      </c>
      <c r="J93">
        <f t="shared" si="32"/>
        <v>0</v>
      </c>
      <c r="K93">
        <f t="shared" si="32"/>
        <v>0</v>
      </c>
      <c r="L93" s="36">
        <f t="shared" si="31"/>
        <v>0</v>
      </c>
      <c r="M93" s="36">
        <f>IF($G93="s-curve",$E93+($F93-$E93)*$L$2/(1+EXP($L$3*(COUNT($L$9:M$9)+$L$4))),TREND($E93:$F93,$E$9:$F$9,M$9))</f>
        <v>0</v>
      </c>
      <c r="N93" s="36">
        <f>IF($G93="s-curve",$E93+($F93-$E93)*$L$2/(1+EXP($L$3*(COUNT($L$9:N$9)+$L$4))),TREND($E93:$F93,$E$9:$F$9,N$9))</f>
        <v>0</v>
      </c>
      <c r="O93" s="36">
        <f>IF($G93="s-curve",$E93+($F93-$E93)*$L$2/(1+EXP($L$3*(COUNT($L$9:O$9)+$L$4))),TREND($E93:$F93,$E$9:$F$9,O$9))</f>
        <v>0</v>
      </c>
      <c r="P93" s="36">
        <f>IF($G93="s-curve",$E93+($F93-$E93)*$L$2/(1+EXP($L$3*(COUNT($L$9:P$9)+$L$4))),TREND($E93:$F93,$E$9:$F$9,P$9))</f>
        <v>0</v>
      </c>
      <c r="Q93" s="36">
        <f>IF($G93="s-curve",$E93+($F93-$E93)*$L$2/(1+EXP($L$3*(COUNT($L$9:Q$9)+$L$4))),TREND($E93:$F93,$E$9:$F$9,Q$9))</f>
        <v>0</v>
      </c>
      <c r="R93" s="36">
        <f>IF($G93="s-curve",$E93+($F93-$E93)*$L$2/(1+EXP($L$3*(COUNT($L$9:R$9)+$L$4))),TREND($E93:$F93,$E$9:$F$9,R$9))</f>
        <v>0</v>
      </c>
      <c r="S93" s="36">
        <f>IF($G93="s-curve",$E93+($F93-$E93)*$L$2/(1+EXP($L$3*(COUNT($L$9:S$9)+$L$4))),TREND($E93:$F93,$E$9:$F$9,S$9))</f>
        <v>0</v>
      </c>
      <c r="T93" s="36">
        <f>IF($G93="s-curve",$E93+($F93-$E93)*$L$2/(1+EXP($L$3*(COUNT($L$9:T$9)+$L$4))),TREND($E93:$F93,$E$9:$F$9,T$9))</f>
        <v>0</v>
      </c>
      <c r="U93" s="36">
        <f>IF($G93="s-curve",$E93+($F93-$E93)*$L$2/(1+EXP($L$3*(COUNT($L$9:U$9)+$L$4))),TREND($E93:$F93,$E$9:$F$9,U$9))</f>
        <v>0</v>
      </c>
      <c r="V93" s="36">
        <f>IF($G93="s-curve",$E93+($F93-$E93)*$L$2/(1+EXP($L$3*(COUNT($L$9:V$9)+$L$4))),TREND($E93:$F93,$E$9:$F$9,V$9))</f>
        <v>0</v>
      </c>
      <c r="W93" s="36">
        <f>IF($G93="s-curve",$E93+($F93-$E93)*$L$2/(1+EXP($L$3*(COUNT($L$9:W$9)+$L$4))),TREND($E93:$F93,$E$9:$F$9,W$9))</f>
        <v>0</v>
      </c>
      <c r="X93" s="36">
        <f>IF($G93="s-curve",$E93+($F93-$E93)*$L$2/(1+EXP($L$3*(COUNT($L$9:X$9)+$L$4))),TREND($E93:$F93,$E$9:$F$9,X$9))</f>
        <v>0</v>
      </c>
      <c r="Y93" s="36">
        <f>IF($G93="s-curve",$E93+($F93-$E93)*$L$2/(1+EXP($L$3*(COUNT($L$9:Y$9)+$L$4))),TREND($E93:$F93,$E$9:$F$9,Y$9))</f>
        <v>0</v>
      </c>
      <c r="Z93" s="36">
        <f>IF($G93="s-curve",$E93+($F93-$E93)*$L$2/(1+EXP($L$3*(COUNT($L$9:Z$9)+$L$4))),TREND($E93:$F93,$E$9:$F$9,Z$9))</f>
        <v>0</v>
      </c>
      <c r="AA93" s="36">
        <f>IF($G93="s-curve",$E93+($F93-$E93)*$L$2/(1+EXP($L$3*(COUNT($L$9:AA$9)+$L$4))),TREND($E93:$F93,$E$9:$F$9,AA$9))</f>
        <v>0</v>
      </c>
      <c r="AB93" s="36">
        <f>IF($G93="s-curve",$E93+($F93-$E93)*$L$2/(1+EXP($L$3*(COUNT($L$9:AB$9)+$L$4))),TREND($E93:$F93,$E$9:$F$9,AB$9))</f>
        <v>0</v>
      </c>
      <c r="AC93" s="36">
        <f>IF($G93="s-curve",$E93+($F93-$E93)*$L$2/(1+EXP($L$3*(COUNT($L$9:AC$9)+$L$4))),TREND($E93:$F93,$E$9:$F$9,AC$9))</f>
        <v>0</v>
      </c>
      <c r="AD93" s="36">
        <f>IF($G93="s-curve",$E93+($F93-$E93)*$L$2/(1+EXP($L$3*(COUNT($L$9:AD$9)+$L$4))),TREND($E93:$F93,$E$9:$F$9,AD$9))</f>
        <v>0</v>
      </c>
      <c r="AE93" s="36">
        <f>IF($G93="s-curve",$E93+($F93-$E93)*$L$2/(1+EXP($L$3*(COUNT($L$9:AE$9)+$L$4))),TREND($E93:$F93,$E$9:$F$9,AE$9))</f>
        <v>0</v>
      </c>
      <c r="AF93" s="36">
        <f>IF($G93="s-curve",$E93+($F93-$E93)*$L$2/(1+EXP($L$3*(COUNT($L$9:AF$9)+$L$4))),TREND($E93:$F93,$E$9:$F$9,AF$9))</f>
        <v>0</v>
      </c>
      <c r="AG93" s="36">
        <f>IF($G93="s-curve",$E93+($F93-$E93)*$L$2/(1+EXP($L$3*(COUNT($L$9:AG$9)+$L$4))),TREND($E93:$F93,$E$9:$F$9,AG$9))</f>
        <v>0</v>
      </c>
      <c r="AH93" s="36">
        <f>IF($G93="s-curve",$E93+($F93-$E93)*$L$2/(1+EXP($L$3*(COUNT($L$9:AH$9)+$L$4))),TREND($E93:$F93,$E$9:$F$9,AH$9))</f>
        <v>0</v>
      </c>
      <c r="AI93" s="36">
        <f>IF($G93="s-curve",$E93+($F93-$E93)*$L$2/(1+EXP($L$3*(COUNT($L$9:AI$9)+$L$4))),TREND($E93:$F93,$E$9:$F$9,AI$9))</f>
        <v>0</v>
      </c>
      <c r="AJ93" s="36">
        <f>IF($G93="s-curve",$E93+($F93-$E93)*$L$2/(1+EXP($L$3*(COUNT($L$9:AJ$9)+$L$4))),TREND($E93:$F93,$E$9:$F$9,AJ$9))</f>
        <v>0</v>
      </c>
      <c r="AK93" s="36">
        <f>IF($G93="s-curve",$E93+($F93-$E93)*$L$2/(1+EXP($L$3*(COUNT($L$9:AK$9)+$L$4))),TREND($E93:$F93,$E$9:$F$9,AK$9))</f>
        <v>0</v>
      </c>
      <c r="AL93" s="36">
        <f>IF($G93="s-curve",$E93+($F93-$E93)*$L$2/(1+EXP($L$3*(COUNT($L$9:AL$9)+$L$4))),TREND($E93:$F93,$E$9:$F$9,AL$9))</f>
        <v>0</v>
      </c>
      <c r="AM93" s="36">
        <f>IF($G93="s-curve",$E93+($F93-$E93)*$L$2/(1+EXP($L$3*(COUNT($L$9:AM$9)+$L$4))),TREND($E93:$F93,$E$9:$F$9,AM$9))</f>
        <v>0</v>
      </c>
      <c r="AN93" s="36">
        <f>IF($G93="s-curve",$E93+($F93-$E93)*$L$2/(1+EXP($L$3*(COUNT($L$9:AN$9)+$L$4))),TREND($E93:$F93,$E$9:$F$9,AN$9))</f>
        <v>0</v>
      </c>
      <c r="AO93" s="36">
        <f>IF($G93="s-curve",$E93+($F93-$E93)*$L$2/(1+EXP($L$3*(COUNT($L$9:AO$9)+$L$4))),TREND($E93:$F93,$E$9:$F$9,AO$9))</f>
        <v>0</v>
      </c>
      <c r="AP93" s="36">
        <f>IF($G93="s-curve",$E93+($F93-$E93)*$L$2/(1+EXP($L$3*(COUNT($L$9:AP$9)+$L$4))),TREND($E93:$F93,$E$9:$F$9,AP$9))</f>
        <v>0</v>
      </c>
      <c r="AQ93" s="36">
        <f>IF($G93="s-curve",$E93+($F93-$E93)*$L$2/(1+EXP($L$3*(COUNT($L$9:AQ$9)+$L$4))),TREND($E93:$F93,$E$9:$F$9,AQ$9))</f>
        <v>0</v>
      </c>
      <c r="AR93" s="36">
        <f>IF($G93="s-curve",$E93+($F93-$E93)*$L$2/(1+EXP($L$3*(COUNT($L$9:AR$9)+$L$4))),TREND($E93:$F93,$E$9:$F$9,AR$9))</f>
        <v>0</v>
      </c>
      <c r="AS93" s="36">
        <f>IF($G93="s-curve",$E93+($F93-$E93)*$L$2/(1+EXP($L$3*(COUNT($L$9:AS$9)+$L$4))),TREND($E93:$F93,$E$9:$F$9,AS$9))</f>
        <v>0</v>
      </c>
      <c r="AT93" s="36">
        <f>IF($G93="s-curve",$E93+($F93-$E93)*$L$2/(1+EXP($L$3*(COUNT($L$9:AT$9)+$L$4))),TREND($E93:$F93,$E$9:$F$9,AT$9))</f>
        <v>0</v>
      </c>
      <c r="AU93" s="36">
        <f>IF($G93="s-curve",$E93+($F93-$E93)*$L$2/(1+EXP($L$3*(COUNT($L$9:AU$9)+$L$4))),TREND($E93:$F93,$E$9:$F$9,AU$9))</f>
        <v>0</v>
      </c>
      <c r="AV93" s="36">
        <f>IF($G93="s-curve",$E93+($F93-$E93)*$L$2/(1+EXP($L$3*(COUNT($L$9:AV$9)+$L$4))),TREND($E93:$F93,$E$9:$F$9,AV$9))</f>
        <v>0</v>
      </c>
      <c r="AW93" s="36">
        <f>IF($G93="s-curve",$E93+($F93-$E93)*$L$2/(1+EXP($L$3*(COUNT($L$9:AW$9)+$L$4))),TREND($E93:$F93,$E$9:$F$9,AW$9))</f>
        <v>0</v>
      </c>
      <c r="AX93" s="36">
        <f>IF($G93="s-curve",$E93+($F93-$E93)*$L$2/(1+EXP($L$3*(COUNT($L$9:AX$9)+$L$4))),TREND($E93:$F93,$E$9:$F$9,AX$9))</f>
        <v>0</v>
      </c>
      <c r="AY93" s="36">
        <f>IF($G93="s-curve",$E93+($F93-$E93)*$L$2/(1+EXP($L$3*(COUNT($L$9:AY$9)+$L$4))),TREND($E93:$F93,$E$9:$F$9,AY$9))</f>
        <v>0</v>
      </c>
      <c r="AZ93" s="36">
        <f>IF($G93="s-curve",$E93+($F93-$E93)*$L$2/(1+EXP($L$3*(COUNT($L$9:AZ$9)+$L$4))),TREND($E93:$F93,$E$9:$F$9,AZ$9))</f>
        <v>0</v>
      </c>
      <c r="BA93" s="36">
        <f>IF($G93="s-curve",$E93+($F93-$E93)*$L$2/(1+EXP($L$3*(COUNT($L$9:BA$9)+$L$4))),TREND($E93:$F93,$E$9:$F$9,BA$9))</f>
        <v>0</v>
      </c>
      <c r="BB93" s="36">
        <f>IF($G93="s-curve",$E93+($F93-$E93)*$L$2/(1+EXP($L$3*(COUNT($L$9:BB$9)+$L$4))),TREND($E93:$F93,$E$9:$F$9,BB$9))</f>
        <v>0</v>
      </c>
      <c r="BC93" s="36">
        <f>IF($G93="s-curve",$E93+($F93-$E93)*$L$2/(1+EXP($L$3*(COUNT($L$9:BC$9)+$L$4))),TREND($E93:$F93,$E$9:$F$9,BC$9))</f>
        <v>0</v>
      </c>
      <c r="BD93" s="36">
        <f>IF($G93="s-curve",$E93+($F93-$E93)*$L$2/(1+EXP($L$3*(COUNT($L$9:BD$9)+$L$4))),TREND($E93:$F93,$E$9:$F$9,BD$9))</f>
        <v>0</v>
      </c>
      <c r="BE93" s="36">
        <f>IF($G93="s-curve",$E93+($F93-$E93)*$L$2/(1+EXP($L$3*(COUNT($L$9:BE$9)+$L$4))),TREND($E93:$F93,$E$9:$F$9,BE$9))</f>
        <v>0</v>
      </c>
      <c r="BF93" s="36">
        <f>IF($G93="s-curve",$E93+($F93-$E93)*$L$2/(1+EXP($L$3*(COUNT($L$9:BF$9)+$L$4))),TREND($E93:$F93,$E$9:$F$9,BF$9))</f>
        <v>0</v>
      </c>
    </row>
  </sheetData>
  <mergeCells count="1">
    <mergeCell ref="D8:E8"/>
  </mergeCells>
  <conditionalFormatting sqref="I10:BF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1" width="24.42578125" customWidth="1"/>
    <col min="2" max="4" width="8.5703125" customWidth="1"/>
    <col min="5" max="5" width="13.5703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Data!I10</f>
        <v>2.5142762036445276E-2</v>
      </c>
      <c r="C2">
        <f>Data!J10</f>
        <v>3.3858182143351456E-2</v>
      </c>
      <c r="D2">
        <f>Data!K10</f>
        <v>4.2573602250257636E-2</v>
      </c>
      <c r="E2">
        <f>Data!L10</f>
        <v>0.05</v>
      </c>
      <c r="F2">
        <f>Data!M10</f>
        <v>0.06</v>
      </c>
      <c r="G2">
        <f>Data!N10</f>
        <v>7.151117437573859E-2</v>
      </c>
      <c r="H2">
        <f>Data!O10</f>
        <v>7.7022075889194144E-2</v>
      </c>
      <c r="I2">
        <f>Data!P10</f>
        <v>8.5066062589929187E-2</v>
      </c>
      <c r="J2">
        <f>Data!Q10</f>
        <v>9.6687472575275976E-2</v>
      </c>
      <c r="K2">
        <f>Data!R10</f>
        <v>0.11323052575611028</v>
      </c>
      <c r="L2">
        <f>Data!S10</f>
        <v>0.13628987009415522</v>
      </c>
      <c r="M2">
        <f>Data!T10</f>
        <v>0.16750823351428831</v>
      </c>
      <c r="N2">
        <f>Data!U10</f>
        <v>0.20814413856062866</v>
      </c>
      <c r="O2">
        <f>Data!V10</f>
        <v>0.25841633207832798</v>
      </c>
      <c r="P2">
        <f>Data!W10</f>
        <v>0.31683989752803066</v>
      </c>
      <c r="Q2">
        <f>Data!X10</f>
        <v>0.37999999999999995</v>
      </c>
      <c r="R2">
        <f>Data!Y10</f>
        <v>0.44316010247196919</v>
      </c>
      <c r="S2">
        <f>Data!Z10</f>
        <v>0.50158366792167186</v>
      </c>
      <c r="T2">
        <f>Data!AA10</f>
        <v>0.55185586143937126</v>
      </c>
      <c r="U2">
        <f>Data!AB10</f>
        <v>0.59249176648571167</v>
      </c>
      <c r="V2">
        <f>Data!AC10</f>
        <v>0.62371012990584451</v>
      </c>
      <c r="W2">
        <f>Data!AD10</f>
        <v>0.64676947424388964</v>
      </c>
      <c r="X2">
        <f>Data!AE10</f>
        <v>0.66331252742472402</v>
      </c>
      <c r="Y2">
        <f>Data!AF10</f>
        <v>0.67493393741007068</v>
      </c>
      <c r="Z2">
        <f>Data!AG10</f>
        <v>0.6829779241108056</v>
      </c>
      <c r="AA2">
        <f>Data!AH10</f>
        <v>0.68848882562426117</v>
      </c>
      <c r="AB2">
        <f>Data!AI10</f>
        <v>0.69223780161006432</v>
      </c>
      <c r="AC2">
        <f>Data!AJ10</f>
        <v>0.6947759544619776</v>
      </c>
      <c r="AD2">
        <f>Data!AK10</f>
        <v>0.6964887687043515</v>
      </c>
      <c r="AE2">
        <f>Data!AL10</f>
        <v>0.69764208646436088</v>
      </c>
    </row>
    <row r="3" spans="1:31" x14ac:dyDescent="0.25">
      <c r="A3" t="s">
        <v>2</v>
      </c>
      <c r="B3">
        <f>Data!I11</f>
        <v>9.1114481822700006E-5</v>
      </c>
      <c r="C3">
        <f>Data!J11</f>
        <v>9.1114481822700006E-5</v>
      </c>
      <c r="D3">
        <f>Data!K11</f>
        <v>9.1114481822700006E-5</v>
      </c>
      <c r="E3">
        <f>Data!L11</f>
        <v>9.1114481822700006E-5</v>
      </c>
      <c r="F3">
        <f>Data!M11</f>
        <v>9.1114481822700006E-5</v>
      </c>
      <c r="G3">
        <f>Data!N11</f>
        <v>9.1114481822700006E-5</v>
      </c>
      <c r="H3">
        <f>Data!O11</f>
        <v>9.1114481822700006E-5</v>
      </c>
      <c r="I3">
        <f>Data!P11</f>
        <v>9.1114481822700006E-5</v>
      </c>
      <c r="J3">
        <f>Data!Q11</f>
        <v>9.1114481822700006E-5</v>
      </c>
      <c r="K3">
        <f>Data!R11</f>
        <v>9.1114481822700006E-5</v>
      </c>
      <c r="L3">
        <f>Data!S11</f>
        <v>9.1114481822700006E-5</v>
      </c>
      <c r="M3">
        <f>Data!T11</f>
        <v>9.1114481822700006E-5</v>
      </c>
      <c r="N3">
        <f>Data!U11</f>
        <v>9.1114481822700006E-5</v>
      </c>
      <c r="O3">
        <f>Data!V11</f>
        <v>9.1114481822700006E-5</v>
      </c>
      <c r="P3">
        <f>Data!W11</f>
        <v>9.1114481822700006E-5</v>
      </c>
      <c r="Q3">
        <f>Data!X11</f>
        <v>9.1114481822700006E-5</v>
      </c>
      <c r="R3">
        <f>Data!Y11</f>
        <v>9.1114481822700006E-5</v>
      </c>
      <c r="S3">
        <f>Data!Z11</f>
        <v>9.1114481822700006E-5</v>
      </c>
      <c r="T3">
        <f>Data!AA11</f>
        <v>9.1114481822700006E-5</v>
      </c>
      <c r="U3">
        <f>Data!AB11</f>
        <v>9.1114481822700006E-5</v>
      </c>
      <c r="V3">
        <f>Data!AC11</f>
        <v>9.1114481822700006E-5</v>
      </c>
      <c r="W3">
        <f>Data!AD11</f>
        <v>9.1114481822700006E-5</v>
      </c>
      <c r="X3">
        <f>Data!AE11</f>
        <v>9.1114481822700006E-5</v>
      </c>
      <c r="Y3">
        <f>Data!AF11</f>
        <v>9.1114481822700006E-5</v>
      </c>
      <c r="Z3">
        <f>Data!AG11</f>
        <v>9.1114481822700006E-5</v>
      </c>
      <c r="AA3">
        <f>Data!AH11</f>
        <v>9.1114481822700006E-5</v>
      </c>
      <c r="AB3">
        <f>Data!AI11</f>
        <v>9.1114481822700006E-5</v>
      </c>
      <c r="AC3">
        <f>Data!AJ11</f>
        <v>9.1114481822700006E-5</v>
      </c>
      <c r="AD3">
        <f>Data!AK11</f>
        <v>9.1114481822700006E-5</v>
      </c>
      <c r="AE3">
        <f>Data!AL11</f>
        <v>9.1114481822700006E-5</v>
      </c>
    </row>
    <row r="4" spans="1:31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25">
      <c r="A5" t="s">
        <v>4</v>
      </c>
      <c r="B5">
        <f>Data!I13</f>
        <v>6.0802312101300007E-2</v>
      </c>
      <c r="C5">
        <f>Data!J13</f>
        <v>6.0802312101300007E-2</v>
      </c>
      <c r="D5">
        <f>Data!K13</f>
        <v>6.0802312101300007E-2</v>
      </c>
      <c r="E5">
        <f>Data!L13</f>
        <v>6.08023121013E-2</v>
      </c>
      <c r="F5">
        <f>Data!M13</f>
        <v>6.08023121013E-2</v>
      </c>
      <c r="G5">
        <f>Data!N13</f>
        <v>6.08023121013E-2</v>
      </c>
      <c r="H5">
        <f>Data!O13</f>
        <v>6.08023121013E-2</v>
      </c>
      <c r="I5">
        <f>Data!P13</f>
        <v>6.08023121013E-2</v>
      </c>
      <c r="J5">
        <f>Data!Q13</f>
        <v>6.08023121013E-2</v>
      </c>
      <c r="K5">
        <f>Data!R13</f>
        <v>6.08023121013E-2</v>
      </c>
      <c r="L5">
        <f>Data!S13</f>
        <v>6.08023121013E-2</v>
      </c>
      <c r="M5">
        <f>Data!T13</f>
        <v>6.08023121013E-2</v>
      </c>
      <c r="N5">
        <f>Data!U13</f>
        <v>6.08023121013E-2</v>
      </c>
      <c r="O5">
        <f>Data!V13</f>
        <v>6.08023121013E-2</v>
      </c>
      <c r="P5">
        <f>Data!W13</f>
        <v>6.08023121013E-2</v>
      </c>
      <c r="Q5">
        <f>Data!X13</f>
        <v>6.08023121013E-2</v>
      </c>
      <c r="R5">
        <f>Data!Y13</f>
        <v>6.08023121013E-2</v>
      </c>
      <c r="S5">
        <f>Data!Z13</f>
        <v>6.08023121013E-2</v>
      </c>
      <c r="T5">
        <f>Data!AA13</f>
        <v>6.08023121013E-2</v>
      </c>
      <c r="U5">
        <f>Data!AB13</f>
        <v>6.08023121013E-2</v>
      </c>
      <c r="V5">
        <f>Data!AC13</f>
        <v>6.08023121013E-2</v>
      </c>
      <c r="W5">
        <f>Data!AD13</f>
        <v>6.08023121013E-2</v>
      </c>
      <c r="X5">
        <f>Data!AE13</f>
        <v>6.08023121013E-2</v>
      </c>
      <c r="Y5">
        <f>Data!AF13</f>
        <v>6.08023121013E-2</v>
      </c>
      <c r="Z5">
        <f>Data!AG13</f>
        <v>6.08023121013E-2</v>
      </c>
      <c r="AA5">
        <f>Data!AH13</f>
        <v>6.08023121013E-2</v>
      </c>
      <c r="AB5">
        <f>Data!AI13</f>
        <v>6.08023121013E-2</v>
      </c>
      <c r="AC5">
        <f>Data!AJ13</f>
        <v>6.08023121013E-2</v>
      </c>
      <c r="AD5">
        <f>Data!AK13</f>
        <v>6.08023121013E-2</v>
      </c>
      <c r="AE5">
        <f>Data!AL13</f>
        <v>6.08023121013E-2</v>
      </c>
    </row>
    <row r="6" spans="1:31" x14ac:dyDescent="0.25">
      <c r="A6" t="s">
        <v>5</v>
      </c>
      <c r="B6">
        <f>Data!I14</f>
        <v>2.0521233328807398E-4</v>
      </c>
      <c r="C6">
        <f>Data!J14</f>
        <v>4.7016108676150026E-3</v>
      </c>
      <c r="D6">
        <f>Data!K14</f>
        <v>9.1980094019419312E-3</v>
      </c>
      <c r="E6">
        <f>Data!L14</f>
        <v>1.5463740197399999E-2</v>
      </c>
      <c r="F6">
        <f>Data!M14</f>
        <v>1.5463740197399999E-2</v>
      </c>
      <c r="G6">
        <f>Data!N14</f>
        <v>2.3337171503043153E-2</v>
      </c>
      <c r="H6">
        <f>Data!O14</f>
        <v>2.6987540318092137E-2</v>
      </c>
      <c r="I6">
        <f>Data!P14</f>
        <v>3.2183832808689819E-2</v>
      </c>
      <c r="J6">
        <f>Data!Q14</f>
        <v>3.9426939417372436E-2</v>
      </c>
      <c r="K6">
        <f>Data!R14</f>
        <v>4.9232852850373057E-2</v>
      </c>
      <c r="L6">
        <f>Data!S14</f>
        <v>6.1996884128805399E-2</v>
      </c>
      <c r="M6">
        <f>Data!T14</f>
        <v>7.7787743216687494E-2</v>
      </c>
      <c r="N6">
        <f>Data!U14</f>
        <v>9.6139007103812443E-2</v>
      </c>
      <c r="O6">
        <f>Data!V14</f>
        <v>0.11597805148049999</v>
      </c>
      <c r="P6">
        <f>Data!W14</f>
        <v>0.13581709585718751</v>
      </c>
      <c r="Q6">
        <f>Data!X14</f>
        <v>0.15416835974431245</v>
      </c>
      <c r="R6">
        <f>Data!Y14</f>
        <v>0.16995921883219456</v>
      </c>
      <c r="S6">
        <f>Data!Z14</f>
        <v>0.18272325011062687</v>
      </c>
      <c r="T6">
        <f>Data!AA14</f>
        <v>0.19252916354362751</v>
      </c>
      <c r="U6">
        <f>Data!AB14</f>
        <v>0.19977227015231014</v>
      </c>
      <c r="V6">
        <f>Data!AC14</f>
        <v>0.20496856264290783</v>
      </c>
      <c r="W6">
        <f>Data!AD14</f>
        <v>0.20861893145795682</v>
      </c>
      <c r="X6">
        <f>Data!AE14</f>
        <v>0.21114560578044053</v>
      </c>
      <c r="Y6">
        <f>Data!AF14</f>
        <v>0.21287661974973421</v>
      </c>
      <c r="Z6">
        <f>Data!AG14</f>
        <v>0.2140542001848276</v>
      </c>
      <c r="AA6">
        <f>Data!AH14</f>
        <v>0.21485145232808162</v>
      </c>
      <c r="AB6">
        <f>Data!AI14</f>
        <v>0.21538945965285697</v>
      </c>
      <c r="AC6">
        <f>Data!AJ14</f>
        <v>0.21575172509141291</v>
      </c>
      <c r="AD6">
        <f>Data!AK14</f>
        <v>0.21599529473629639</v>
      </c>
      <c r="AE6">
        <f>Data!AL14</f>
        <v>0.21615889626734117</v>
      </c>
    </row>
    <row r="7" spans="1:31" x14ac:dyDescent="0.25">
      <c r="A7" t="s">
        <v>33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  <c r="AC7">
        <f>Data!AJ15</f>
        <v>0</v>
      </c>
      <c r="AD7">
        <f>Data!AK15</f>
        <v>0</v>
      </c>
      <c r="AE7">
        <f>Data!AL15</f>
        <v>0</v>
      </c>
    </row>
    <row r="8" spans="1:31" x14ac:dyDescent="0.25">
      <c r="A8" t="s">
        <v>34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  <c r="AC8">
        <f>Data!AJ16</f>
        <v>0</v>
      </c>
      <c r="AD8">
        <f>Data!AK16</f>
        <v>0</v>
      </c>
      <c r="AE8">
        <f>Data!AL16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1" width="24.42578125" customWidth="1"/>
    <col min="2" max="4" width="8.710937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Data!I17</f>
        <v>8.0688953357942239E-2</v>
      </c>
      <c r="C2">
        <f>Data!J17</f>
        <v>8.979385099897641E-2</v>
      </c>
      <c r="D2">
        <f>Data!K17</f>
        <v>9.8898748640010581E-2</v>
      </c>
      <c r="E2">
        <f>Data!L17</f>
        <v>0.139546683447</v>
      </c>
      <c r="F2">
        <f>Data!M17</f>
        <v>6.2019274287835199E-2</v>
      </c>
      <c r="G2">
        <f>Data!N17</f>
        <v>0.14191438128525985</v>
      </c>
      <c r="H2">
        <f>Data!O17</f>
        <v>0.14301211999875416</v>
      </c>
      <c r="I2">
        <f>Data!P17</f>
        <v>0.14457474879671367</v>
      </c>
      <c r="J2">
        <f>Data!Q17</f>
        <v>0.14675289542604564</v>
      </c>
      <c r="K2">
        <f>Data!R17</f>
        <v>0.149701729185583</v>
      </c>
      <c r="L2">
        <f>Data!S17</f>
        <v>0.15354012798430811</v>
      </c>
      <c r="M2">
        <f>Data!T17</f>
        <v>0.15828875427890052</v>
      </c>
      <c r="N2">
        <f>Data!U17</f>
        <v>0.16380734536684707</v>
      </c>
      <c r="O2">
        <f>Data!V17</f>
        <v>0.1697733417235</v>
      </c>
      <c r="P2">
        <f>Data!W17</f>
        <v>0.17573933808015293</v>
      </c>
      <c r="Q2">
        <f>Data!X17</f>
        <v>0.18125792916809949</v>
      </c>
      <c r="R2">
        <f>Data!Y17</f>
        <v>0.1860065554626919</v>
      </c>
      <c r="S2">
        <f>Data!Z17</f>
        <v>0.18984495426141701</v>
      </c>
      <c r="T2">
        <f>Data!AA17</f>
        <v>0.19279378802095437</v>
      </c>
      <c r="U2">
        <f>Data!AB17</f>
        <v>0.19497193465028634</v>
      </c>
      <c r="V2">
        <f>Data!AC17</f>
        <v>0.19653456344824585</v>
      </c>
      <c r="W2">
        <f>Data!AD17</f>
        <v>0.19763230216174016</v>
      </c>
      <c r="X2">
        <f>Data!AE17</f>
        <v>0.19839212352793961</v>
      </c>
      <c r="Y2">
        <f>Data!AF17</f>
        <v>0.19891267395557297</v>
      </c>
      <c r="Z2">
        <f>Data!AG17</f>
        <v>0.1992667958806032</v>
      </c>
      <c r="AA2">
        <f>Data!AH17</f>
        <v>0.19950654550219166</v>
      </c>
      <c r="AB2">
        <f>Data!AI17</f>
        <v>0.19966833503592715</v>
      </c>
      <c r="AC2">
        <f>Data!AJ17</f>
        <v>0.19977727547910223</v>
      </c>
      <c r="AD2">
        <f>Data!AK17</f>
        <v>0.19985052172959569</v>
      </c>
      <c r="AE2">
        <f>Data!AL17</f>
        <v>0.19989971997320177</v>
      </c>
    </row>
    <row r="3" spans="1:31" x14ac:dyDescent="0.2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  <c r="AC3">
        <f>Data!AJ18</f>
        <v>0</v>
      </c>
      <c r="AD3">
        <f>Data!AK18</f>
        <v>0</v>
      </c>
      <c r="AE3">
        <f>Data!AL18</f>
        <v>0</v>
      </c>
    </row>
    <row r="4" spans="1:31" x14ac:dyDescent="0.25">
      <c r="A4" t="s">
        <v>3</v>
      </c>
      <c r="B4">
        <f>Data!I19</f>
        <v>0.73938953825319942</v>
      </c>
      <c r="C4">
        <f>Data!J19</f>
        <v>0.72915442924999851</v>
      </c>
      <c r="D4">
        <f>Data!K19</f>
        <v>0.71891932024680116</v>
      </c>
      <c r="E4">
        <f>Data!L19</f>
        <v>0.72915442924999996</v>
      </c>
      <c r="F4">
        <f>Data!M19</f>
        <v>0.67797888423399999</v>
      </c>
      <c r="G4">
        <f>Data!N19</f>
        <v>0.67797888423399999</v>
      </c>
      <c r="H4">
        <f>Data!O19</f>
        <v>0.67797888423399999</v>
      </c>
      <c r="I4">
        <f>Data!P19</f>
        <v>0.67797888423399999</v>
      </c>
      <c r="J4">
        <f>Data!Q19</f>
        <v>0.67797888423399999</v>
      </c>
      <c r="K4">
        <f>Data!R19</f>
        <v>0.67797888423399999</v>
      </c>
      <c r="L4">
        <f>Data!S19</f>
        <v>0.67797888423399999</v>
      </c>
      <c r="M4">
        <f>Data!T19</f>
        <v>0.67797888423399999</v>
      </c>
      <c r="N4">
        <f>Data!U19</f>
        <v>0.67797888423399999</v>
      </c>
      <c r="O4">
        <f>Data!V19</f>
        <v>0.67797888423399999</v>
      </c>
      <c r="P4">
        <f>Data!W19</f>
        <v>0.67797888423399999</v>
      </c>
      <c r="Q4">
        <f>Data!X19</f>
        <v>0.67797888423399999</v>
      </c>
      <c r="R4">
        <f>Data!Y19</f>
        <v>0.67797888423399999</v>
      </c>
      <c r="S4">
        <f>Data!Z19</f>
        <v>0.67797888423399999</v>
      </c>
      <c r="T4">
        <f>Data!AA19</f>
        <v>0.67797888423399999</v>
      </c>
      <c r="U4">
        <f>Data!AB19</f>
        <v>0.67797888423399999</v>
      </c>
      <c r="V4">
        <f>Data!AC19</f>
        <v>0.67797888423399999</v>
      </c>
      <c r="W4">
        <f>Data!AD19</f>
        <v>0.67797888423399999</v>
      </c>
      <c r="X4">
        <f>Data!AE19</f>
        <v>0.67797888423399999</v>
      </c>
      <c r="Y4">
        <f>Data!AF19</f>
        <v>0.67797888423399999</v>
      </c>
      <c r="Z4">
        <f>Data!AG19</f>
        <v>0.67797888423399999</v>
      </c>
      <c r="AA4">
        <f>Data!AH19</f>
        <v>0.67797888423399999</v>
      </c>
      <c r="AB4">
        <f>Data!AI19</f>
        <v>0.67797888423399999</v>
      </c>
      <c r="AC4">
        <f>Data!AJ19</f>
        <v>0.67797888423399999</v>
      </c>
      <c r="AD4">
        <f>Data!AK19</f>
        <v>0.67797888423399999</v>
      </c>
      <c r="AE4">
        <f>Data!AL19</f>
        <v>0.67797888423399999</v>
      </c>
    </row>
    <row r="5" spans="1:31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25">
      <c r="A6" t="s">
        <v>5</v>
      </c>
      <c r="B6">
        <f>Data!I21</f>
        <v>0</v>
      </c>
      <c r="C6">
        <f>Data!J21</f>
        <v>0</v>
      </c>
      <c r="D6">
        <f>Data!K21</f>
        <v>7.9730252224741172E-5</v>
      </c>
      <c r="E6">
        <f>Data!L21</f>
        <v>0</v>
      </c>
      <c r="F6">
        <f>Data!M21</f>
        <v>6.4220413235999997E-4</v>
      </c>
      <c r="G6">
        <f>Data!N21</f>
        <v>7.034131712916232E-4</v>
      </c>
      <c r="H6">
        <f>Data!O21</f>
        <v>7.3179159465514107E-4</v>
      </c>
      <c r="I6">
        <f>Data!P21</f>
        <v>7.7218822187015597E-4</v>
      </c>
      <c r="J6">
        <f>Data!Q21</f>
        <v>8.284970378344221E-4</v>
      </c>
      <c r="K6">
        <f>Data!R21</f>
        <v>9.0472943433103864E-4</v>
      </c>
      <c r="L6">
        <f>Data!S21</f>
        <v>1.0039586086411079E-3</v>
      </c>
      <c r="M6">
        <f>Data!T21</f>
        <v>1.126718720611755E-3</v>
      </c>
      <c r="N6">
        <f>Data!U21</f>
        <v>1.2693837394716313E-3</v>
      </c>
      <c r="O6">
        <f>Data!V21</f>
        <v>1.4236149497888558E-3</v>
      </c>
      <c r="P6">
        <f>Data!W21</f>
        <v>1.5778461601060802E-3</v>
      </c>
      <c r="Q6">
        <f>Data!X21</f>
        <v>1.7205111789659567E-3</v>
      </c>
      <c r="R6">
        <f>Data!Y21</f>
        <v>1.8432712909366039E-3</v>
      </c>
      <c r="S6">
        <f>Data!Z21</f>
        <v>1.942500465246673E-3</v>
      </c>
      <c r="T6">
        <f>Data!AA21</f>
        <v>2.0187328617432897E-3</v>
      </c>
      <c r="U6">
        <f>Data!AB21</f>
        <v>2.075041677707556E-3</v>
      </c>
      <c r="V6">
        <f>Data!AC21</f>
        <v>2.1154383049225706E-3</v>
      </c>
      <c r="W6">
        <f>Data!AD21</f>
        <v>2.1438167282860888E-3</v>
      </c>
      <c r="X6">
        <f>Data!AE21</f>
        <v>2.163459410233614E-3</v>
      </c>
      <c r="Y6">
        <f>Data!AF21</f>
        <v>2.1769165291598619E-3</v>
      </c>
      <c r="Z6">
        <f>Data!AG21</f>
        <v>2.1860711866273229E-3</v>
      </c>
      <c r="AA6">
        <f>Data!AH21</f>
        <v>2.1922691244234882E-3</v>
      </c>
      <c r="AB6">
        <f>Data!AI21</f>
        <v>2.1964516606023544E-3</v>
      </c>
      <c r="AC6">
        <f>Data!AJ21</f>
        <v>2.1992679573948674E-3</v>
      </c>
      <c r="AD6">
        <f>Data!AK21</f>
        <v>2.2011614982536728E-3</v>
      </c>
      <c r="AE6">
        <f>Data!AL21</f>
        <v>2.2024333570016897E-3</v>
      </c>
    </row>
    <row r="7" spans="1:31" x14ac:dyDescent="0.25">
      <c r="A7" t="s">
        <v>33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  <c r="AC7">
        <f>Data!AJ22</f>
        <v>0</v>
      </c>
      <c r="AD7">
        <f>Data!AK22</f>
        <v>0</v>
      </c>
      <c r="AE7">
        <f>Data!AL22</f>
        <v>0</v>
      </c>
    </row>
    <row r="8" spans="1:31" x14ac:dyDescent="0.25">
      <c r="A8" t="s">
        <v>34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  <c r="AC8">
        <f>Data!AJ23</f>
        <v>0</v>
      </c>
      <c r="AD8">
        <f>Data!AK23</f>
        <v>0</v>
      </c>
      <c r="AE8">
        <f>Data!AL23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1" width="24.42578125" customWidth="1"/>
    <col min="2" max="2" width="8.7109375" customWidth="1"/>
    <col min="3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Data!I24</f>
        <v>0</v>
      </c>
      <c r="C2">
        <f>Data!J24</f>
        <v>0</v>
      </c>
      <c r="D2">
        <f>Data!K24</f>
        <v>9.9588918402311322E-3</v>
      </c>
      <c r="E2">
        <f>Data!L24</f>
        <v>3.0938506857799999E-2</v>
      </c>
      <c r="F2">
        <f>Data!M24</f>
        <v>3.0393141812799999E-2</v>
      </c>
      <c r="G2">
        <f>Data!N24</f>
        <v>5.6618778403372177E-2</v>
      </c>
      <c r="H2">
        <f>Data!O24</f>
        <v>6.8777803134611903E-2</v>
      </c>
      <c r="I2">
        <f>Data!P24</f>
        <v>8.608614979905288E-2</v>
      </c>
      <c r="J2">
        <f>Data!Q24</f>
        <v>0.11021223591476392</v>
      </c>
      <c r="K2">
        <f>Data!R24</f>
        <v>0.14287478317648508</v>
      </c>
      <c r="L2">
        <f>Data!S24</f>
        <v>0.18539053428222468</v>
      </c>
      <c r="M2">
        <f>Data!T24</f>
        <v>0.2379883554627959</v>
      </c>
      <c r="N2">
        <f>Data!U24</f>
        <v>0.29911463687665474</v>
      </c>
      <c r="O2">
        <f>Data!V24</f>
        <v>0.36519657090640001</v>
      </c>
      <c r="P2">
        <f>Data!W24</f>
        <v>0.43127850493614522</v>
      </c>
      <c r="Q2">
        <f>Data!X24</f>
        <v>0.49240478635000412</v>
      </c>
      <c r="R2">
        <f>Data!Y24</f>
        <v>0.54500260753057528</v>
      </c>
      <c r="S2">
        <f>Data!Z24</f>
        <v>0.58751835863631485</v>
      </c>
      <c r="T2">
        <f>Data!AA24</f>
        <v>0.62018090589803598</v>
      </c>
      <c r="U2">
        <f>Data!AB24</f>
        <v>0.64430699201374708</v>
      </c>
      <c r="V2">
        <f>Data!AC24</f>
        <v>0.66161533867818811</v>
      </c>
      <c r="W2">
        <f>Data!AD24</f>
        <v>0.67377436340942776</v>
      </c>
      <c r="X2">
        <f>Data!AE24</f>
        <v>0.68219047069376959</v>
      </c>
      <c r="Y2">
        <f>Data!AF24</f>
        <v>0.68795631045658845</v>
      </c>
      <c r="Z2">
        <f>Data!AG24</f>
        <v>0.69187871675545232</v>
      </c>
      <c r="AA2">
        <f>Data!AH24</f>
        <v>0.69453428637540304</v>
      </c>
      <c r="AB2">
        <f>Data!AI24</f>
        <v>0.69632633663086296</v>
      </c>
      <c r="AC2">
        <f>Data!AJ24</f>
        <v>0.6975330076961308</v>
      </c>
      <c r="AD2">
        <f>Data!AK24</f>
        <v>0.69834431457660484</v>
      </c>
      <c r="AE2">
        <f>Data!AL24</f>
        <v>0.69888925542034686</v>
      </c>
    </row>
    <row r="3" spans="1:31" x14ac:dyDescent="0.2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  <c r="AC3">
        <f>Data!AJ25</f>
        <v>0</v>
      </c>
      <c r="AD3">
        <f>Data!AK25</f>
        <v>0</v>
      </c>
      <c r="AE3">
        <f>Data!AL25</f>
        <v>0</v>
      </c>
    </row>
    <row r="4" spans="1:31" x14ac:dyDescent="0.2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  <c r="AC4">
        <f>Data!AJ26</f>
        <v>0</v>
      </c>
      <c r="AD4">
        <f>Data!AK26</f>
        <v>0</v>
      </c>
      <c r="AE4">
        <f>Data!AL26</f>
        <v>0</v>
      </c>
    </row>
    <row r="5" spans="1:31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2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  <c r="AC6">
        <f>Data!AJ28</f>
        <v>0</v>
      </c>
      <c r="AD6">
        <f>Data!AK28</f>
        <v>0</v>
      </c>
      <c r="AE6">
        <f>Data!AL28</f>
        <v>0</v>
      </c>
    </row>
    <row r="7" spans="1:31" x14ac:dyDescent="0.25">
      <c r="A7" t="s">
        <v>33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  <c r="AC7">
        <f>Data!AJ29</f>
        <v>0</v>
      </c>
      <c r="AD7">
        <f>Data!AK29</f>
        <v>0</v>
      </c>
      <c r="AE7">
        <f>Data!AL29</f>
        <v>0</v>
      </c>
    </row>
    <row r="8" spans="1:31" x14ac:dyDescent="0.25">
      <c r="A8" t="s">
        <v>34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  <c r="AC8">
        <f>Data!AJ30</f>
        <v>0</v>
      </c>
      <c r="AD8">
        <f>Data!AK30</f>
        <v>0</v>
      </c>
      <c r="AE8">
        <f>Data!AL30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1" width="24.42578125" customWidth="1"/>
    <col min="2" max="4" width="15.5703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Data!I31</f>
        <v>0</v>
      </c>
      <c r="C2">
        <f>Data!J31</f>
        <v>0</v>
      </c>
      <c r="D2">
        <f>Data!K31</f>
        <v>0</v>
      </c>
      <c r="E2">
        <f>Data!L31</f>
        <v>3.9969151262900003E-3</v>
      </c>
      <c r="F2">
        <f>Data!M31</f>
        <v>5.0541532112899999E-3</v>
      </c>
      <c r="G2">
        <f>Data!N31</f>
        <v>1.0359111139078626E-2</v>
      </c>
      <c r="H2">
        <f>Data!O31</f>
        <v>1.289882600385258E-2</v>
      </c>
      <c r="I2">
        <f>Data!P31</f>
        <v>1.6605920486673545E-2</v>
      </c>
      <c r="J2">
        <f>Data!Q31</f>
        <v>2.1961680813246801E-2</v>
      </c>
      <c r="K2">
        <f>Data!R31</f>
        <v>2.9585594608390296E-2</v>
      </c>
      <c r="L2">
        <f>Data!S31</f>
        <v>4.0212559986792025E-2</v>
      </c>
      <c r="M2">
        <f>Data!T31</f>
        <v>5.4599632852899593E-2</v>
      </c>
      <c r="N2">
        <f>Data!U31</f>
        <v>7.3326806952772217E-2</v>
      </c>
      <c r="O2">
        <f>Data!V31</f>
        <v>9.6494892401215532E-2</v>
      </c>
      <c r="P2">
        <f>Data!W31</f>
        <v>0.12341956112618145</v>
      </c>
      <c r="Q2">
        <f>Data!X31</f>
        <v>0.15252707660564499</v>
      </c>
      <c r="R2">
        <f>Data!Y31</f>
        <v>0.18163459208510854</v>
      </c>
      <c r="S2">
        <f>Data!Z31</f>
        <v>0.20855926081007445</v>
      </c>
      <c r="T2">
        <f>Data!AA31</f>
        <v>0.23172734625851779</v>
      </c>
      <c r="U2">
        <f>Data!AB31</f>
        <v>0.25045452035839039</v>
      </c>
      <c r="V2">
        <f>Data!AC31</f>
        <v>0.26484159322449791</v>
      </c>
      <c r="W2">
        <f>Data!AD31</f>
        <v>0.2754685586028997</v>
      </c>
      <c r="X2">
        <f>Data!AE31</f>
        <v>0.28309247239804319</v>
      </c>
      <c r="Y2">
        <f>Data!AF31</f>
        <v>0.28844823272461645</v>
      </c>
      <c r="Z2">
        <f>Data!AG31</f>
        <v>0.29215532720743737</v>
      </c>
      <c r="AA2">
        <f>Data!AH31</f>
        <v>0.29469504207221137</v>
      </c>
      <c r="AB2">
        <f>Data!AI31</f>
        <v>0.29642276847334142</v>
      </c>
      <c r="AC2">
        <f>Data!AJ31</f>
        <v>0.29759248353925816</v>
      </c>
      <c r="AD2">
        <f>Data!AK31</f>
        <v>0.29838183892536557</v>
      </c>
      <c r="AE2">
        <f>Data!AL31</f>
        <v>0.29891334874308811</v>
      </c>
    </row>
    <row r="3" spans="1:31" x14ac:dyDescent="0.2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  <c r="AC3">
        <f>Data!AJ32</f>
        <v>0</v>
      </c>
      <c r="AD3">
        <f>Data!AK32</f>
        <v>0</v>
      </c>
      <c r="AE3">
        <f>Data!AL32</f>
        <v>0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  <c r="AC5">
        <f>Data!AJ34</f>
        <v>1</v>
      </c>
      <c r="AD5">
        <f>Data!AK34</f>
        <v>1</v>
      </c>
      <c r="AE5">
        <f>Data!AL34</f>
        <v>1</v>
      </c>
    </row>
    <row r="6" spans="1:31" x14ac:dyDescent="0.2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  <c r="AC6">
        <f>Data!AJ35</f>
        <v>0</v>
      </c>
      <c r="AD6">
        <f>Data!AK35</f>
        <v>0</v>
      </c>
      <c r="AE6">
        <f>Data!AL35</f>
        <v>0</v>
      </c>
    </row>
    <row r="7" spans="1:31" x14ac:dyDescent="0.25">
      <c r="A7" t="s">
        <v>33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  <c r="AC7">
        <f>Data!AJ36</f>
        <v>0</v>
      </c>
      <c r="AD7">
        <f>Data!AK36</f>
        <v>0</v>
      </c>
      <c r="AE7">
        <f>Data!AL36</f>
        <v>0</v>
      </c>
    </row>
    <row r="8" spans="1:31" x14ac:dyDescent="0.25">
      <c r="A8" t="s">
        <v>34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  <c r="AC8">
        <f>Data!AJ37</f>
        <v>0</v>
      </c>
      <c r="AD8">
        <f>Data!AK37</f>
        <v>0</v>
      </c>
      <c r="AE8">
        <f>Data!AL37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B1" sqref="B1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33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34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>
      <selection activeCell="D1" sqref="B1:D1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33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34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Data!I52</f>
        <v>0.93524643494238013</v>
      </c>
      <c r="C2">
        <f>Data!J52</f>
        <v>0.93577203557240574</v>
      </c>
      <c r="D2">
        <f>Data!K52</f>
        <v>0.93629763620243134</v>
      </c>
      <c r="E2">
        <f>Data!L52</f>
        <v>0.93664816810144857</v>
      </c>
      <c r="F2">
        <f>Data!M52</f>
        <v>0.93758413007374464</v>
      </c>
      <c r="G2">
        <f>Data!N52</f>
        <v>0.93790508781512971</v>
      </c>
      <c r="H2">
        <f>Data!O52</f>
        <v>0.93833313636753701</v>
      </c>
      <c r="I2">
        <f>Data!P52</f>
        <v>0.93890166810468023</v>
      </c>
      <c r="J2">
        <f>Data!Q52</f>
        <v>0.93965268404663582</v>
      </c>
      <c r="K2">
        <f>Data!R52</f>
        <v>0.94063764556845908</v>
      </c>
      <c r="L2">
        <f>Data!S52</f>
        <v>0.94191731078828078</v>
      </c>
      <c r="M2">
        <f>Data!T52</f>
        <v>0.94355965157849941</v>
      </c>
      <c r="N2">
        <f>Data!U52</f>
        <v>0.94563469291965474</v>
      </c>
      <c r="O2">
        <f>Data!V52</f>
        <v>0.94820515921963411</v>
      </c>
      <c r="P2">
        <f>Data!W52</f>
        <v>0.95131254710589963</v>
      </c>
      <c r="Q2">
        <f>Data!X52</f>
        <v>0.95496004662134204</v>
      </c>
      <c r="R2">
        <f>Data!Y52</f>
        <v>0.95909649022374377</v>
      </c>
      <c r="S2">
        <f>Data!Z52</f>
        <v>0.96360801423956699</v>
      </c>
      <c r="T2">
        <f>Data!AA52</f>
        <v>0.96832408405072434</v>
      </c>
      <c r="U2">
        <f>Data!AB52</f>
        <v>0.97304015386188158</v>
      </c>
      <c r="V2">
        <f>Data!AC52</f>
        <v>0.97755167787770481</v>
      </c>
      <c r="W2">
        <f>Data!AD52</f>
        <v>0.98168812148010653</v>
      </c>
      <c r="X2">
        <f>Data!AE52</f>
        <v>0.98533562099554894</v>
      </c>
      <c r="Y2">
        <f>Data!AF52</f>
        <v>0.98844300888181458</v>
      </c>
      <c r="Z2">
        <f>Data!AG52</f>
        <v>0.99101347518179383</v>
      </c>
      <c r="AA2">
        <f>Data!AH52</f>
        <v>0.99308851652294916</v>
      </c>
      <c r="AB2">
        <f>Data!AI52</f>
        <v>0.99473085731316779</v>
      </c>
      <c r="AC2">
        <f>Data!AJ52</f>
        <v>0.9960105225329895</v>
      </c>
      <c r="AD2">
        <f>Data!AK52</f>
        <v>0.99699548405481275</v>
      </c>
      <c r="AE2">
        <f>Data!AL52</f>
        <v>0.99774649999676845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0</v>
      </c>
      <c r="C5">
        <f>Data!J55</f>
        <v>0</v>
      </c>
      <c r="D5">
        <f>Data!K55</f>
        <v>1.8392719829684268E-2</v>
      </c>
      <c r="E5">
        <f>Data!L55</f>
        <v>6.3351831898551425E-2</v>
      </c>
      <c r="F5">
        <f>Data!M55</f>
        <v>6.3351831898557975E-2</v>
      </c>
      <c r="G5">
        <f>Data!N55</f>
        <v>0.10081775862262532</v>
      </c>
      <c r="H5">
        <f>Data!O55</f>
        <v>0.13828368534667845</v>
      </c>
      <c r="I5">
        <f>Data!P55</f>
        <v>0.17574961207073159</v>
      </c>
      <c r="J5">
        <f>Data!Q55</f>
        <v>0.21321553879479893</v>
      </c>
      <c r="K5">
        <f>Data!R55</f>
        <v>0.25068146551885206</v>
      </c>
      <c r="L5">
        <f>Data!S55</f>
        <v>0.2881473922429052</v>
      </c>
      <c r="M5">
        <f>Data!T55</f>
        <v>0.32561331896697254</v>
      </c>
      <c r="N5">
        <f>Data!U55</f>
        <v>0.36307924569102568</v>
      </c>
      <c r="O5">
        <f>Data!V55</f>
        <v>0.40054517241507881</v>
      </c>
      <c r="P5">
        <f>Data!W55</f>
        <v>0.43801109913914615</v>
      </c>
      <c r="Q5">
        <f>Data!X55</f>
        <v>0.47547702586319929</v>
      </c>
      <c r="R5">
        <f>Data!Y55</f>
        <v>0.51294295258725242</v>
      </c>
      <c r="S5">
        <f>Data!Z55</f>
        <v>0.55040887931131977</v>
      </c>
      <c r="T5">
        <f>Data!AA55</f>
        <v>0.5878748060353729</v>
      </c>
      <c r="U5">
        <f>Data!AB55</f>
        <v>0.62534073275942603</v>
      </c>
      <c r="V5">
        <f>Data!AC55</f>
        <v>0.66280665948349338</v>
      </c>
      <c r="W5">
        <f>Data!AD55</f>
        <v>0.70027258620754651</v>
      </c>
      <c r="X5">
        <f>Data!AE55</f>
        <v>0.73773851293159964</v>
      </c>
      <c r="Y5">
        <f>Data!AF55</f>
        <v>0.77520443965566699</v>
      </c>
      <c r="Z5">
        <f>Data!AG55</f>
        <v>0.81267036637972012</v>
      </c>
      <c r="AA5">
        <f>Data!AH55</f>
        <v>0.85013629310377326</v>
      </c>
      <c r="AB5">
        <f>Data!AI55</f>
        <v>0.8876022198278406</v>
      </c>
      <c r="AC5">
        <f>Data!AJ55</f>
        <v>0.92506814655189373</v>
      </c>
      <c r="AD5">
        <f>Data!AK55</f>
        <v>0.96253407327594687</v>
      </c>
      <c r="AE5">
        <f>Data!AL55</f>
        <v>1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33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34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>
      <selection activeCell="D1" sqref="B1:D1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33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34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>
      <selection activeCell="B1" sqref="B1:D1"/>
    </sheetView>
  </sheetViews>
  <sheetFormatPr defaultColWidth="9.140625" defaultRowHeight="15" x14ac:dyDescent="0.25"/>
  <cols>
    <col min="1" max="1" width="24.42578125" customWidth="1"/>
    <col min="2" max="4" width="11.285156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33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34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B2" sqref="B2"/>
    </sheetView>
  </sheetViews>
  <sheetFormatPr defaultColWidth="9.140625" defaultRowHeight="15" x14ac:dyDescent="0.25"/>
  <cols>
    <col min="1" max="1" width="24.42578125" customWidth="1"/>
    <col min="2" max="4" width="9.285156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33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34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workbookViewId="0">
      <selection activeCell="D1" sqref="B1:D1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Data!I80</f>
        <v>2.3338003262953322E-2</v>
      </c>
      <c r="C2">
        <f>Data!J80</f>
        <v>3.5950648082781811E-2</v>
      </c>
      <c r="D2">
        <f>Data!K80</f>
        <v>4.8563292902613853E-2</v>
      </c>
      <c r="E2">
        <f>Data!L80</f>
        <v>0.06</v>
      </c>
      <c r="F2">
        <f>Data!M80</f>
        <v>7.7022075889194144E-2</v>
      </c>
      <c r="G2">
        <f>Data!N80</f>
        <v>8.5066062589929187E-2</v>
      </c>
      <c r="H2">
        <f>Data!O80</f>
        <v>9.6687472575275976E-2</v>
      </c>
      <c r="I2">
        <f>Data!P80</f>
        <v>0.11323052575611028</v>
      </c>
      <c r="J2">
        <f>Data!Q80</f>
        <v>0.13628987009415522</v>
      </c>
      <c r="K2">
        <f>Data!R80</f>
        <v>0.16750823351428831</v>
      </c>
      <c r="L2">
        <f>Data!S80</f>
        <v>0.20814413856062866</v>
      </c>
      <c r="M2">
        <f>Data!T80</f>
        <v>0.25841633207832798</v>
      </c>
      <c r="N2">
        <f>Data!U80</f>
        <v>0.31683989752803066</v>
      </c>
      <c r="O2">
        <f>Data!V80</f>
        <v>0.37999999999999995</v>
      </c>
      <c r="P2">
        <f>Data!W80</f>
        <v>0.44316010247196919</v>
      </c>
      <c r="Q2">
        <f>Data!X80</f>
        <v>0.50158366792167186</v>
      </c>
      <c r="R2">
        <f>Data!Y80</f>
        <v>0.55185586143937126</v>
      </c>
      <c r="S2">
        <f>Data!Z80</f>
        <v>0.59249176648571167</v>
      </c>
      <c r="T2">
        <f>Data!AA80</f>
        <v>0.62371012990584451</v>
      </c>
      <c r="U2">
        <f>Data!AB80</f>
        <v>0.64676947424388964</v>
      </c>
      <c r="V2">
        <f>Data!AC80</f>
        <v>0.66331252742472402</v>
      </c>
      <c r="W2">
        <f>Data!AD80</f>
        <v>0.67493393741007068</v>
      </c>
      <c r="X2">
        <f>Data!AE80</f>
        <v>0.6829779241108056</v>
      </c>
      <c r="Y2">
        <f>Data!AF80</f>
        <v>0.68848882562426117</v>
      </c>
      <c r="Z2">
        <f>Data!AG80</f>
        <v>0.69223780161006432</v>
      </c>
      <c r="AA2">
        <f>Data!AH80</f>
        <v>0.6947759544619776</v>
      </c>
      <c r="AB2">
        <f>Data!AI80</f>
        <v>0.6964887687043515</v>
      </c>
      <c r="AC2">
        <f>Data!AJ80</f>
        <v>0.69764208646436088</v>
      </c>
      <c r="AD2">
        <f>Data!AK80</f>
        <v>0.69841752117975364</v>
      </c>
      <c r="AE2">
        <f>Data!AL80</f>
        <v>0.69893836730868819</v>
      </c>
    </row>
    <row r="3" spans="1:31" x14ac:dyDescent="0.25">
      <c r="A3" t="s">
        <v>2</v>
      </c>
      <c r="B3">
        <f>Data!I81</f>
        <v>9.1114481822700006E-5</v>
      </c>
      <c r="C3">
        <f>Data!J81</f>
        <v>9.1114481822700006E-5</v>
      </c>
      <c r="D3">
        <f>Data!K81</f>
        <v>9.1114481822700006E-5</v>
      </c>
      <c r="E3">
        <f>Data!L81</f>
        <v>9.1114481822700006E-5</v>
      </c>
      <c r="F3">
        <f>Data!M81</f>
        <v>9.1114481822700006E-5</v>
      </c>
      <c r="G3">
        <f>Data!N81</f>
        <v>9.1114481822700006E-5</v>
      </c>
      <c r="H3">
        <f>Data!O81</f>
        <v>9.1114481822700006E-5</v>
      </c>
      <c r="I3">
        <f>Data!P81</f>
        <v>9.1114481822700006E-5</v>
      </c>
      <c r="J3">
        <f>Data!Q81</f>
        <v>9.1114481822700006E-5</v>
      </c>
      <c r="K3">
        <f>Data!R81</f>
        <v>9.1114481822700006E-5</v>
      </c>
      <c r="L3">
        <f>Data!S81</f>
        <v>9.1114481822700006E-5</v>
      </c>
      <c r="M3">
        <f>Data!T81</f>
        <v>9.1114481822700006E-5</v>
      </c>
      <c r="N3">
        <f>Data!U81</f>
        <v>9.1114481822700006E-5</v>
      </c>
      <c r="O3">
        <f>Data!V81</f>
        <v>9.1114481822700006E-5</v>
      </c>
      <c r="P3">
        <f>Data!W81</f>
        <v>9.1114481822700006E-5</v>
      </c>
      <c r="Q3">
        <f>Data!X81</f>
        <v>9.1114481822700006E-5</v>
      </c>
      <c r="R3">
        <f>Data!Y81</f>
        <v>9.1114481822700006E-5</v>
      </c>
      <c r="S3">
        <f>Data!Z81</f>
        <v>9.1114481822700006E-5</v>
      </c>
      <c r="T3">
        <f>Data!AA81</f>
        <v>9.1114481822700006E-5</v>
      </c>
      <c r="U3">
        <f>Data!AB81</f>
        <v>9.1114481822700006E-5</v>
      </c>
      <c r="V3">
        <f>Data!AC81</f>
        <v>9.1114481822700006E-5</v>
      </c>
      <c r="W3">
        <f>Data!AD81</f>
        <v>9.1114481822700006E-5</v>
      </c>
      <c r="X3">
        <f>Data!AE81</f>
        <v>9.1114481822700006E-5</v>
      </c>
      <c r="Y3">
        <f>Data!AF81</f>
        <v>9.1114481822700006E-5</v>
      </c>
      <c r="Z3">
        <f>Data!AG81</f>
        <v>9.1114481822700006E-5</v>
      </c>
      <c r="AA3">
        <f>Data!AH81</f>
        <v>9.1114481822700006E-5</v>
      </c>
      <c r="AB3">
        <f>Data!AI81</f>
        <v>9.1114481822700006E-5</v>
      </c>
      <c r="AC3">
        <f>Data!AJ81</f>
        <v>9.1114481822700006E-5</v>
      </c>
      <c r="AD3">
        <f>Data!AK81</f>
        <v>9.1114481822700006E-5</v>
      </c>
      <c r="AE3">
        <f>Data!AL81</f>
        <v>9.1114481822700006E-5</v>
      </c>
    </row>
    <row r="4" spans="1:31" x14ac:dyDescent="0.2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  <c r="AC4">
        <f>Data!AJ82</f>
        <v>1</v>
      </c>
      <c r="AD4">
        <f>Data!AK82</f>
        <v>1</v>
      </c>
      <c r="AE4">
        <f>Data!AL82</f>
        <v>1</v>
      </c>
    </row>
    <row r="5" spans="1:31" x14ac:dyDescent="0.25">
      <c r="A5" t="s">
        <v>4</v>
      </c>
      <c r="B5">
        <f>Data!I83</f>
        <v>6.0802312101300007E-2</v>
      </c>
      <c r="C5">
        <f>Data!J83</f>
        <v>6.0802312101300007E-2</v>
      </c>
      <c r="D5">
        <f>Data!K83</f>
        <v>6.0802312101300007E-2</v>
      </c>
      <c r="E5">
        <f>Data!L83</f>
        <v>6.08023121013E-2</v>
      </c>
      <c r="F5">
        <f>Data!M83</f>
        <v>6.08023121013E-2</v>
      </c>
      <c r="G5">
        <f>Data!N83</f>
        <v>6.08023121013E-2</v>
      </c>
      <c r="H5">
        <f>Data!O83</f>
        <v>6.08023121013E-2</v>
      </c>
      <c r="I5">
        <f>Data!P83</f>
        <v>6.08023121013E-2</v>
      </c>
      <c r="J5">
        <f>Data!Q83</f>
        <v>6.08023121013E-2</v>
      </c>
      <c r="K5">
        <f>Data!R83</f>
        <v>6.08023121013E-2</v>
      </c>
      <c r="L5">
        <f>Data!S83</f>
        <v>6.08023121013E-2</v>
      </c>
      <c r="M5">
        <f>Data!T83</f>
        <v>6.08023121013E-2</v>
      </c>
      <c r="N5">
        <f>Data!U83</f>
        <v>6.08023121013E-2</v>
      </c>
      <c r="O5">
        <f>Data!V83</f>
        <v>6.08023121013E-2</v>
      </c>
      <c r="P5">
        <f>Data!W83</f>
        <v>6.08023121013E-2</v>
      </c>
      <c r="Q5">
        <f>Data!X83</f>
        <v>6.08023121013E-2</v>
      </c>
      <c r="R5">
        <f>Data!Y83</f>
        <v>6.08023121013E-2</v>
      </c>
      <c r="S5">
        <f>Data!Z83</f>
        <v>6.08023121013E-2</v>
      </c>
      <c r="T5">
        <f>Data!AA83</f>
        <v>6.08023121013E-2</v>
      </c>
      <c r="U5">
        <f>Data!AB83</f>
        <v>6.08023121013E-2</v>
      </c>
      <c r="V5">
        <f>Data!AC83</f>
        <v>6.08023121013E-2</v>
      </c>
      <c r="W5">
        <f>Data!AD83</f>
        <v>6.08023121013E-2</v>
      </c>
      <c r="X5">
        <f>Data!AE83</f>
        <v>6.08023121013E-2</v>
      </c>
      <c r="Y5">
        <f>Data!AF83</f>
        <v>6.08023121013E-2</v>
      </c>
      <c r="Z5">
        <f>Data!AG83</f>
        <v>6.08023121013E-2</v>
      </c>
      <c r="AA5">
        <f>Data!AH83</f>
        <v>6.08023121013E-2</v>
      </c>
      <c r="AB5">
        <f>Data!AI83</f>
        <v>6.08023121013E-2</v>
      </c>
      <c r="AC5">
        <f>Data!AJ83</f>
        <v>6.08023121013E-2</v>
      </c>
      <c r="AD5">
        <f>Data!AK83</f>
        <v>6.08023121013E-2</v>
      </c>
      <c r="AE5">
        <f>Data!AL83</f>
        <v>6.08023121013E-2</v>
      </c>
    </row>
    <row r="6" spans="1:31" x14ac:dyDescent="0.25">
      <c r="A6" t="s">
        <v>5</v>
      </c>
      <c r="B6">
        <f>Data!I84</f>
        <v>1.101574749177292E-2</v>
      </c>
      <c r="C6">
        <f>Data!J84</f>
        <v>1.2683588302487614E-2</v>
      </c>
      <c r="D6">
        <f>Data!K84</f>
        <v>1.4351429113202752E-2</v>
      </c>
      <c r="E6">
        <f>Data!L84</f>
        <v>1.5463740197399999E-2</v>
      </c>
      <c r="F6">
        <f>Data!M84</f>
        <v>1.8433743438448065E-2</v>
      </c>
      <c r="G6">
        <f>Data!N84</f>
        <v>1.9452209530413881E-2</v>
      </c>
      <c r="H6">
        <f>Data!O84</f>
        <v>2.0810497180559412E-2</v>
      </c>
      <c r="I6">
        <f>Data!P84</f>
        <v>2.261456737991964E-2</v>
      </c>
      <c r="J6">
        <f>Data!Q84</f>
        <v>2.4997698156285539E-2</v>
      </c>
      <c r="K6">
        <f>Data!R84</f>
        <v>2.8123187223908871E-2</v>
      </c>
      <c r="L6">
        <f>Data!S84</f>
        <v>3.2183832808689819E-2</v>
      </c>
      <c r="M6">
        <f>Data!T84</f>
        <v>3.7395323888705076E-2</v>
      </c>
      <c r="N6">
        <f>Data!U84</f>
        <v>4.3979864383893702E-2</v>
      </c>
      <c r="O6">
        <f>Data!V84</f>
        <v>5.2136491969109341E-2</v>
      </c>
      <c r="P6">
        <f>Data!W84</f>
        <v>6.1996884128805413E-2</v>
      </c>
      <c r="Q6">
        <f>Data!X84</f>
        <v>7.3571163536770456E-2</v>
      </c>
      <c r="R6">
        <f>Data!Y84</f>
        <v>8.6696964871847707E-2</v>
      </c>
      <c r="S6">
        <f>Data!Z84</f>
        <v>0.10101297486549099</v>
      </c>
      <c r="T6">
        <f>Data!AA84</f>
        <v>0.11597805148049999</v>
      </c>
      <c r="U6">
        <f>Data!AB84</f>
        <v>0.13094312809550898</v>
      </c>
      <c r="V6">
        <f>Data!AC84</f>
        <v>0.14525913808915225</v>
      </c>
      <c r="W6">
        <f>Data!AD84</f>
        <v>0.15838493942422949</v>
      </c>
      <c r="X6">
        <f>Data!AE84</f>
        <v>0.16995921883219453</v>
      </c>
      <c r="Y6">
        <f>Data!AF84</f>
        <v>0.17981961099189062</v>
      </c>
      <c r="Z6">
        <f>Data!AG84</f>
        <v>0.18797623857710627</v>
      </c>
      <c r="AA6">
        <f>Data!AH84</f>
        <v>0.19456077907229488</v>
      </c>
      <c r="AB6">
        <f>Data!AI84</f>
        <v>0.19977227015231014</v>
      </c>
      <c r="AC6">
        <f>Data!AJ84</f>
        <v>0.20383291573709109</v>
      </c>
      <c r="AD6">
        <f>Data!AK84</f>
        <v>0.20695840480471445</v>
      </c>
      <c r="AE6">
        <f>Data!AL84</f>
        <v>0.20934153558108032</v>
      </c>
    </row>
    <row r="7" spans="1:31" x14ac:dyDescent="0.25">
      <c r="A7" t="s">
        <v>33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34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abSelected="1" workbookViewId="0">
      <selection activeCell="E2" sqref="B2:E8"/>
    </sheetView>
  </sheetViews>
  <sheetFormatPr defaultColWidth="9.140625" defaultRowHeight="15" x14ac:dyDescent="0.25"/>
  <cols>
    <col min="1" max="4" width="24.42578125" customWidth="1"/>
  </cols>
  <sheetData>
    <row r="1" spans="1:31" ht="45" x14ac:dyDescent="0.25">
      <c r="A1" s="20" t="s">
        <v>35</v>
      </c>
      <c r="B1">
        <v>2021</v>
      </c>
      <c r="C1">
        <v>2022</v>
      </c>
      <c r="D1"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34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Manufacturing Capacity Checks</vt:lpstr>
      <vt:lpstr>AEO Table 38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2026-02-12T01:27:29Z</dcterms:modified>
</cp:coreProperties>
</file>