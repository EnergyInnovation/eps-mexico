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trans\TTS\"/>
    </mc:Choice>
  </mc:AlternateContent>
  <xr:revisionPtr revIDLastSave="0" documentId="13_ncr:1_{2D14389C-FB75-40EA-9E0F-2E721D314F0B}" xr6:coauthVersionLast="47" xr6:coauthVersionMax="47" xr10:uidLastSave="{00000000-0000-0000-0000-000000000000}"/>
  <bookViews>
    <workbookView xWindow="-120" yWindow="-120" windowWidth="29040" windowHeight="17520" firstSheet="14" activeTab="20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8" i="18" l="1"/>
  <c r="AH8" i="18" s="1"/>
  <c r="AI8" i="18" s="1"/>
  <c r="AJ8" i="18" s="1"/>
  <c r="AK8" i="18" s="1"/>
  <c r="AL8" i="18" s="1"/>
  <c r="AM8" i="18" s="1"/>
  <c r="AN8" i="18" s="1"/>
  <c r="AO8" i="18" s="1"/>
  <c r="AP8" i="18" s="1"/>
  <c r="AQ8" i="18" s="1"/>
  <c r="AR8" i="18" s="1"/>
  <c r="AS8" i="18" s="1"/>
  <c r="AT8" i="18" s="1"/>
  <c r="AU8" i="18" s="1"/>
  <c r="AV8" i="18" s="1"/>
  <c r="AW8" i="18" s="1"/>
  <c r="AX8" i="18" s="1"/>
  <c r="AY8" i="18" s="1"/>
  <c r="AZ8" i="18" s="1"/>
  <c r="BA8" i="18" s="1"/>
  <c r="AF8" i="18"/>
  <c r="AF7" i="18"/>
  <c r="AG7" i="18" s="1"/>
  <c r="AH7" i="18" s="1"/>
  <c r="AI7" i="18" s="1"/>
  <c r="AJ7" i="18" s="1"/>
  <c r="AK7" i="18" s="1"/>
  <c r="AL7" i="18" s="1"/>
  <c r="AM7" i="18" s="1"/>
  <c r="AN7" i="18" s="1"/>
  <c r="AO7" i="18" s="1"/>
  <c r="AP7" i="18" s="1"/>
  <c r="AQ7" i="18" s="1"/>
  <c r="AR7" i="18" s="1"/>
  <c r="AS7" i="18" s="1"/>
  <c r="AT7" i="18" s="1"/>
  <c r="AU7" i="18" s="1"/>
  <c r="AV7" i="18" s="1"/>
  <c r="AW7" i="18" s="1"/>
  <c r="AX7" i="18" s="1"/>
  <c r="AY7" i="18" s="1"/>
  <c r="AZ7" i="18" s="1"/>
  <c r="BA7" i="18" s="1"/>
  <c r="AF6" i="18"/>
  <c r="AG6" i="18" s="1"/>
  <c r="AH6" i="18" s="1"/>
  <c r="AI6" i="18" s="1"/>
  <c r="AJ6" i="18" s="1"/>
  <c r="AK6" i="18" s="1"/>
  <c r="AL6" i="18" s="1"/>
  <c r="AM6" i="18" s="1"/>
  <c r="AN6" i="18" s="1"/>
  <c r="AO6" i="18" s="1"/>
  <c r="AP6" i="18" s="1"/>
  <c r="AQ6" i="18" s="1"/>
  <c r="AR6" i="18" s="1"/>
  <c r="AS6" i="18" s="1"/>
  <c r="AT6" i="18" s="1"/>
  <c r="AU6" i="18" s="1"/>
  <c r="AV6" i="18" s="1"/>
  <c r="AW6" i="18" s="1"/>
  <c r="AX6" i="18" s="1"/>
  <c r="AY6" i="18" s="1"/>
  <c r="AZ6" i="18" s="1"/>
  <c r="BA6" i="18" s="1"/>
  <c r="AF5" i="18"/>
  <c r="AG5" i="18" s="1"/>
  <c r="AH5" i="18" s="1"/>
  <c r="AI5" i="18" s="1"/>
  <c r="AJ5" i="18" s="1"/>
  <c r="AK5" i="18" s="1"/>
  <c r="AL5" i="18" s="1"/>
  <c r="AM5" i="18" s="1"/>
  <c r="AN5" i="18" s="1"/>
  <c r="AO5" i="18" s="1"/>
  <c r="AP5" i="18" s="1"/>
  <c r="AQ5" i="18" s="1"/>
  <c r="AR5" i="18" s="1"/>
  <c r="AS5" i="18" s="1"/>
  <c r="AT5" i="18" s="1"/>
  <c r="AU5" i="18" s="1"/>
  <c r="AV5" i="18" s="1"/>
  <c r="AW5" i="18" s="1"/>
  <c r="AX5" i="18" s="1"/>
  <c r="AY5" i="18" s="1"/>
  <c r="AZ5" i="18" s="1"/>
  <c r="BA5" i="18" s="1"/>
  <c r="AG4" i="18"/>
  <c r="AH4" i="18" s="1"/>
  <c r="AI4" i="18" s="1"/>
  <c r="AJ4" i="18" s="1"/>
  <c r="AK4" i="18" s="1"/>
  <c r="AL4" i="18" s="1"/>
  <c r="AM4" i="18" s="1"/>
  <c r="AN4" i="18" s="1"/>
  <c r="AO4" i="18" s="1"/>
  <c r="AP4" i="18" s="1"/>
  <c r="AQ4" i="18" s="1"/>
  <c r="AR4" i="18" s="1"/>
  <c r="AS4" i="18" s="1"/>
  <c r="AT4" i="18" s="1"/>
  <c r="AU4" i="18" s="1"/>
  <c r="AV4" i="18" s="1"/>
  <c r="AW4" i="18" s="1"/>
  <c r="AX4" i="18" s="1"/>
  <c r="AY4" i="18" s="1"/>
  <c r="AZ4" i="18" s="1"/>
  <c r="BA4" i="18" s="1"/>
  <c r="AF4" i="18"/>
  <c r="AF3" i="18"/>
  <c r="AG3" i="18" s="1"/>
  <c r="AH3" i="18" s="1"/>
  <c r="AI3" i="18" s="1"/>
  <c r="AJ3" i="18" s="1"/>
  <c r="AK3" i="18" s="1"/>
  <c r="AL3" i="18" s="1"/>
  <c r="AM3" i="18" s="1"/>
  <c r="AN3" i="18" s="1"/>
  <c r="AO3" i="18" s="1"/>
  <c r="AP3" i="18" s="1"/>
  <c r="AQ3" i="18" s="1"/>
  <c r="AR3" i="18" s="1"/>
  <c r="AS3" i="18" s="1"/>
  <c r="AT3" i="18" s="1"/>
  <c r="AU3" i="18" s="1"/>
  <c r="AV3" i="18" s="1"/>
  <c r="AW3" i="18" s="1"/>
  <c r="AX3" i="18" s="1"/>
  <c r="AY3" i="18" s="1"/>
  <c r="AZ3" i="18" s="1"/>
  <c r="BA3" i="18" s="1"/>
  <c r="AF2" i="18"/>
  <c r="AG2" i="18" s="1"/>
  <c r="AH2" i="18" s="1"/>
  <c r="AI2" i="18" s="1"/>
  <c r="AJ2" i="18" s="1"/>
  <c r="AK2" i="18" s="1"/>
  <c r="AL2" i="18" s="1"/>
  <c r="AM2" i="18" s="1"/>
  <c r="AN2" i="18" s="1"/>
  <c r="AO2" i="18" s="1"/>
  <c r="AP2" i="18" s="1"/>
  <c r="AQ2" i="18" s="1"/>
  <c r="AR2" i="18" s="1"/>
  <c r="AS2" i="18" s="1"/>
  <c r="AT2" i="18" s="1"/>
  <c r="AU2" i="18" s="1"/>
  <c r="AV2" i="18" s="1"/>
  <c r="AW2" i="18" s="1"/>
  <c r="AX2" i="18" s="1"/>
  <c r="AY2" i="18" s="1"/>
  <c r="AZ2" i="18" s="1"/>
  <c r="BA2" i="18" s="1"/>
  <c r="AF8" i="17"/>
  <c r="AG8" i="17" s="1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AF7" i="17"/>
  <c r="AG7" i="17" s="1"/>
  <c r="AH7" i="17" s="1"/>
  <c r="AI7" i="17" s="1"/>
  <c r="AJ7" i="17" s="1"/>
  <c r="AK7" i="17" s="1"/>
  <c r="AL7" i="17" s="1"/>
  <c r="AM7" i="17" s="1"/>
  <c r="AN7" i="17" s="1"/>
  <c r="AO7" i="17" s="1"/>
  <c r="AP7" i="17" s="1"/>
  <c r="AQ7" i="17" s="1"/>
  <c r="AR7" i="17" s="1"/>
  <c r="AS7" i="17" s="1"/>
  <c r="AT7" i="17" s="1"/>
  <c r="AU7" i="17" s="1"/>
  <c r="AV7" i="17" s="1"/>
  <c r="AW7" i="17" s="1"/>
  <c r="AX7" i="17" s="1"/>
  <c r="AY7" i="17" s="1"/>
  <c r="AZ7" i="17" s="1"/>
  <c r="BA7" i="17" s="1"/>
  <c r="AF6" i="17"/>
  <c r="AG6" i="17" s="1"/>
  <c r="AH6" i="17" s="1"/>
  <c r="AI6" i="17" s="1"/>
  <c r="AJ6" i="17" s="1"/>
  <c r="AK6" i="17" s="1"/>
  <c r="AL6" i="17" s="1"/>
  <c r="AM6" i="17" s="1"/>
  <c r="AN6" i="17" s="1"/>
  <c r="AO6" i="17" s="1"/>
  <c r="AP6" i="17" s="1"/>
  <c r="AQ6" i="17" s="1"/>
  <c r="AR6" i="17" s="1"/>
  <c r="AS6" i="17" s="1"/>
  <c r="AT6" i="17" s="1"/>
  <c r="AU6" i="17" s="1"/>
  <c r="AV6" i="17" s="1"/>
  <c r="AW6" i="17" s="1"/>
  <c r="AX6" i="17" s="1"/>
  <c r="AY6" i="17" s="1"/>
  <c r="AZ6" i="17" s="1"/>
  <c r="BA6" i="17" s="1"/>
  <c r="AF5" i="17"/>
  <c r="AG5" i="17" s="1"/>
  <c r="AH5" i="17" s="1"/>
  <c r="AI5" i="17" s="1"/>
  <c r="AJ5" i="17" s="1"/>
  <c r="AK5" i="17" s="1"/>
  <c r="AL5" i="17" s="1"/>
  <c r="AM5" i="17" s="1"/>
  <c r="AN5" i="17" s="1"/>
  <c r="AO5" i="17" s="1"/>
  <c r="AP5" i="17" s="1"/>
  <c r="AQ5" i="17" s="1"/>
  <c r="AR5" i="17" s="1"/>
  <c r="AS5" i="17" s="1"/>
  <c r="AT5" i="17" s="1"/>
  <c r="AU5" i="17" s="1"/>
  <c r="AV5" i="17" s="1"/>
  <c r="AW5" i="17" s="1"/>
  <c r="AX5" i="17" s="1"/>
  <c r="AY5" i="17" s="1"/>
  <c r="AZ5" i="17" s="1"/>
  <c r="BA5" i="17" s="1"/>
  <c r="AF4" i="17"/>
  <c r="AG4" i="17" s="1"/>
  <c r="AH4" i="17" s="1"/>
  <c r="AI4" i="17" s="1"/>
  <c r="AJ4" i="17" s="1"/>
  <c r="AK4" i="17" s="1"/>
  <c r="AL4" i="17" s="1"/>
  <c r="AM4" i="17" s="1"/>
  <c r="AN4" i="17" s="1"/>
  <c r="AO4" i="17" s="1"/>
  <c r="AP4" i="17" s="1"/>
  <c r="AQ4" i="17" s="1"/>
  <c r="AR4" i="17" s="1"/>
  <c r="AS4" i="17" s="1"/>
  <c r="AT4" i="17" s="1"/>
  <c r="AU4" i="17" s="1"/>
  <c r="AV4" i="17" s="1"/>
  <c r="AW4" i="17" s="1"/>
  <c r="AX4" i="17" s="1"/>
  <c r="AY4" i="17" s="1"/>
  <c r="AZ4" i="17" s="1"/>
  <c r="BA4" i="17" s="1"/>
  <c r="AF3" i="17"/>
  <c r="AG3" i="17" s="1"/>
  <c r="AH3" i="17" s="1"/>
  <c r="AI3" i="17" s="1"/>
  <c r="AJ3" i="17" s="1"/>
  <c r="AK3" i="17" s="1"/>
  <c r="AL3" i="17" s="1"/>
  <c r="AM3" i="17" s="1"/>
  <c r="AN3" i="17" s="1"/>
  <c r="AO3" i="17" s="1"/>
  <c r="AP3" i="17" s="1"/>
  <c r="AQ3" i="17" s="1"/>
  <c r="AR3" i="17" s="1"/>
  <c r="AS3" i="17" s="1"/>
  <c r="AT3" i="17" s="1"/>
  <c r="AU3" i="17" s="1"/>
  <c r="AV3" i="17" s="1"/>
  <c r="AW3" i="17" s="1"/>
  <c r="AX3" i="17" s="1"/>
  <c r="AY3" i="17" s="1"/>
  <c r="AZ3" i="17" s="1"/>
  <c r="BA3" i="17" s="1"/>
  <c r="AF2" i="17"/>
  <c r="AG2" i="17" s="1"/>
  <c r="AH2" i="17" s="1"/>
  <c r="AI2" i="17" s="1"/>
  <c r="AJ2" i="17" s="1"/>
  <c r="AK2" i="17" s="1"/>
  <c r="AL2" i="17" s="1"/>
  <c r="AM2" i="17" s="1"/>
  <c r="AN2" i="17" s="1"/>
  <c r="AO2" i="17" s="1"/>
  <c r="AP2" i="17" s="1"/>
  <c r="AQ2" i="17" s="1"/>
  <c r="AR2" i="17" s="1"/>
  <c r="AS2" i="17" s="1"/>
  <c r="AT2" i="17" s="1"/>
  <c r="AU2" i="17" s="1"/>
  <c r="AV2" i="17" s="1"/>
  <c r="AW2" i="17" s="1"/>
  <c r="AX2" i="17" s="1"/>
  <c r="AY2" i="17" s="1"/>
  <c r="AZ2" i="17" s="1"/>
  <c r="BA2" i="17" s="1"/>
  <c r="AF8" i="16"/>
  <c r="AG8" i="16" s="1"/>
  <c r="AH8" i="16" s="1"/>
  <c r="AI8" i="16" s="1"/>
  <c r="AJ8" i="16" s="1"/>
  <c r="AK8" i="16" s="1"/>
  <c r="AL8" i="16" s="1"/>
  <c r="AM8" i="16" s="1"/>
  <c r="AN8" i="16" s="1"/>
  <c r="AO8" i="16" s="1"/>
  <c r="AP8" i="16" s="1"/>
  <c r="AQ8" i="16" s="1"/>
  <c r="AR8" i="16" s="1"/>
  <c r="AS8" i="16" s="1"/>
  <c r="AT8" i="16" s="1"/>
  <c r="AU8" i="16" s="1"/>
  <c r="AV8" i="16" s="1"/>
  <c r="AW8" i="16" s="1"/>
  <c r="AX8" i="16" s="1"/>
  <c r="AY8" i="16" s="1"/>
  <c r="AZ8" i="16" s="1"/>
  <c r="BA8" i="16" s="1"/>
  <c r="AG7" i="16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AF7" i="16"/>
  <c r="AG6" i="16"/>
  <c r="AH6" i="16" s="1"/>
  <c r="AI6" i="16" s="1"/>
  <c r="AJ6" i="16" s="1"/>
  <c r="AK6" i="16" s="1"/>
  <c r="AL6" i="16" s="1"/>
  <c r="AM6" i="16" s="1"/>
  <c r="AN6" i="16" s="1"/>
  <c r="AO6" i="16" s="1"/>
  <c r="AP6" i="16" s="1"/>
  <c r="AQ6" i="16" s="1"/>
  <c r="AR6" i="16" s="1"/>
  <c r="AS6" i="16" s="1"/>
  <c r="AT6" i="16" s="1"/>
  <c r="AU6" i="16" s="1"/>
  <c r="AV6" i="16" s="1"/>
  <c r="AW6" i="16" s="1"/>
  <c r="AX6" i="16" s="1"/>
  <c r="AY6" i="16" s="1"/>
  <c r="AZ6" i="16" s="1"/>
  <c r="BA6" i="16" s="1"/>
  <c r="AF6" i="16"/>
  <c r="AG5" i="16"/>
  <c r="AH5" i="16" s="1"/>
  <c r="AI5" i="16" s="1"/>
  <c r="AJ5" i="16" s="1"/>
  <c r="AK5" i="16" s="1"/>
  <c r="AL5" i="16" s="1"/>
  <c r="AM5" i="16" s="1"/>
  <c r="AN5" i="16" s="1"/>
  <c r="AO5" i="16" s="1"/>
  <c r="AP5" i="16" s="1"/>
  <c r="AQ5" i="16" s="1"/>
  <c r="AR5" i="16" s="1"/>
  <c r="AS5" i="16" s="1"/>
  <c r="AT5" i="16" s="1"/>
  <c r="AU5" i="16" s="1"/>
  <c r="AV5" i="16" s="1"/>
  <c r="AW5" i="16" s="1"/>
  <c r="AX5" i="16" s="1"/>
  <c r="AY5" i="16" s="1"/>
  <c r="AZ5" i="16" s="1"/>
  <c r="BA5" i="16" s="1"/>
  <c r="AF5" i="16"/>
  <c r="AF4" i="16"/>
  <c r="AG4" i="16" s="1"/>
  <c r="AH4" i="16" s="1"/>
  <c r="AI4" i="16" s="1"/>
  <c r="AJ4" i="16" s="1"/>
  <c r="AK4" i="16" s="1"/>
  <c r="AL4" i="16" s="1"/>
  <c r="AM4" i="16" s="1"/>
  <c r="AN4" i="16" s="1"/>
  <c r="AO4" i="16" s="1"/>
  <c r="AP4" i="16" s="1"/>
  <c r="AQ4" i="16" s="1"/>
  <c r="AR4" i="16" s="1"/>
  <c r="AS4" i="16" s="1"/>
  <c r="AT4" i="16" s="1"/>
  <c r="AU4" i="16" s="1"/>
  <c r="AV4" i="16" s="1"/>
  <c r="AW4" i="16" s="1"/>
  <c r="AX4" i="16" s="1"/>
  <c r="AY4" i="16" s="1"/>
  <c r="AZ4" i="16" s="1"/>
  <c r="BA4" i="16" s="1"/>
  <c r="AG3" i="16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AU3" i="16" s="1"/>
  <c r="AV3" i="16" s="1"/>
  <c r="AW3" i="16" s="1"/>
  <c r="AX3" i="16" s="1"/>
  <c r="AY3" i="16" s="1"/>
  <c r="AZ3" i="16" s="1"/>
  <c r="BA3" i="16" s="1"/>
  <c r="AF3" i="16"/>
  <c r="AG2" i="16"/>
  <c r="AH2" i="16" s="1"/>
  <c r="AI2" i="16" s="1"/>
  <c r="AJ2" i="16" s="1"/>
  <c r="AK2" i="16" s="1"/>
  <c r="AL2" i="16" s="1"/>
  <c r="AM2" i="16" s="1"/>
  <c r="AN2" i="16" s="1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AF2" i="16"/>
  <c r="AF8" i="15"/>
  <c r="AG8" i="15" s="1"/>
  <c r="AH8" i="15" s="1"/>
  <c r="AI8" i="15" s="1"/>
  <c r="AJ8" i="15" s="1"/>
  <c r="AK8" i="15" s="1"/>
  <c r="AL8" i="15" s="1"/>
  <c r="AM8" i="15" s="1"/>
  <c r="AN8" i="15" s="1"/>
  <c r="AO8" i="15" s="1"/>
  <c r="AP8" i="15" s="1"/>
  <c r="AQ8" i="15" s="1"/>
  <c r="AR8" i="15" s="1"/>
  <c r="AS8" i="15" s="1"/>
  <c r="AT8" i="15" s="1"/>
  <c r="AU8" i="15" s="1"/>
  <c r="AV8" i="15" s="1"/>
  <c r="AW8" i="15" s="1"/>
  <c r="AX8" i="15" s="1"/>
  <c r="AY8" i="15" s="1"/>
  <c r="AZ8" i="15" s="1"/>
  <c r="BA8" i="15" s="1"/>
  <c r="AG7" i="15"/>
  <c r="AH7" i="15" s="1"/>
  <c r="AI7" i="15" s="1"/>
  <c r="AJ7" i="15" s="1"/>
  <c r="AK7" i="15" s="1"/>
  <c r="AL7" i="15" s="1"/>
  <c r="AM7" i="15" s="1"/>
  <c r="AN7" i="15" s="1"/>
  <c r="AO7" i="15" s="1"/>
  <c r="AP7" i="15" s="1"/>
  <c r="AQ7" i="15" s="1"/>
  <c r="AR7" i="15" s="1"/>
  <c r="AS7" i="15" s="1"/>
  <c r="AT7" i="15" s="1"/>
  <c r="AU7" i="15" s="1"/>
  <c r="AV7" i="15" s="1"/>
  <c r="AW7" i="15" s="1"/>
  <c r="AX7" i="15" s="1"/>
  <c r="AY7" i="15" s="1"/>
  <c r="AZ7" i="15" s="1"/>
  <c r="BA7" i="15" s="1"/>
  <c r="AF7" i="15"/>
  <c r="AF6" i="15"/>
  <c r="AG6" i="15" s="1"/>
  <c r="AH6" i="15" s="1"/>
  <c r="AI6" i="15" s="1"/>
  <c r="AJ6" i="15" s="1"/>
  <c r="AK6" i="15" s="1"/>
  <c r="AL6" i="15" s="1"/>
  <c r="AM6" i="15" s="1"/>
  <c r="AN6" i="15" s="1"/>
  <c r="AO6" i="15" s="1"/>
  <c r="AP6" i="15" s="1"/>
  <c r="AQ6" i="15" s="1"/>
  <c r="AR6" i="15" s="1"/>
  <c r="AS6" i="15" s="1"/>
  <c r="AT6" i="15" s="1"/>
  <c r="AU6" i="15" s="1"/>
  <c r="AV6" i="15" s="1"/>
  <c r="AW6" i="15" s="1"/>
  <c r="AX6" i="15" s="1"/>
  <c r="AY6" i="15" s="1"/>
  <c r="AZ6" i="15" s="1"/>
  <c r="BA6" i="15" s="1"/>
  <c r="AG5" i="15"/>
  <c r="AH5" i="15" s="1"/>
  <c r="AI5" i="15" s="1"/>
  <c r="AJ5" i="15" s="1"/>
  <c r="AK5" i="15" s="1"/>
  <c r="AL5" i="15" s="1"/>
  <c r="AM5" i="15" s="1"/>
  <c r="AN5" i="15" s="1"/>
  <c r="AO5" i="15" s="1"/>
  <c r="AP5" i="15" s="1"/>
  <c r="AQ5" i="15" s="1"/>
  <c r="AR5" i="15" s="1"/>
  <c r="AS5" i="15" s="1"/>
  <c r="AT5" i="15" s="1"/>
  <c r="AU5" i="15" s="1"/>
  <c r="AV5" i="15" s="1"/>
  <c r="AW5" i="15" s="1"/>
  <c r="AX5" i="15" s="1"/>
  <c r="AY5" i="15" s="1"/>
  <c r="AZ5" i="15" s="1"/>
  <c r="BA5" i="15" s="1"/>
  <c r="AF5" i="15"/>
  <c r="AF4" i="15"/>
  <c r="AG4" i="15" s="1"/>
  <c r="AH4" i="15" s="1"/>
  <c r="AI4" i="15" s="1"/>
  <c r="AJ4" i="15" s="1"/>
  <c r="AK4" i="15" s="1"/>
  <c r="AL4" i="15" s="1"/>
  <c r="AM4" i="15" s="1"/>
  <c r="AN4" i="15" s="1"/>
  <c r="AO4" i="15" s="1"/>
  <c r="AP4" i="15" s="1"/>
  <c r="AQ4" i="15" s="1"/>
  <c r="AR4" i="15" s="1"/>
  <c r="AS4" i="15" s="1"/>
  <c r="AT4" i="15" s="1"/>
  <c r="AU4" i="15" s="1"/>
  <c r="AV4" i="15" s="1"/>
  <c r="AW4" i="15" s="1"/>
  <c r="AX4" i="15" s="1"/>
  <c r="AY4" i="15" s="1"/>
  <c r="AZ4" i="15" s="1"/>
  <c r="BA4" i="15" s="1"/>
  <c r="AG3" i="15"/>
  <c r="AH3" i="15" s="1"/>
  <c r="AI3" i="15" s="1"/>
  <c r="AJ3" i="15" s="1"/>
  <c r="AK3" i="15" s="1"/>
  <c r="AL3" i="15" s="1"/>
  <c r="AM3" i="15" s="1"/>
  <c r="AN3" i="15" s="1"/>
  <c r="AO3" i="15" s="1"/>
  <c r="AP3" i="15" s="1"/>
  <c r="AQ3" i="15" s="1"/>
  <c r="AR3" i="15" s="1"/>
  <c r="AS3" i="15" s="1"/>
  <c r="AT3" i="15" s="1"/>
  <c r="AU3" i="15" s="1"/>
  <c r="AV3" i="15" s="1"/>
  <c r="AW3" i="15" s="1"/>
  <c r="AX3" i="15" s="1"/>
  <c r="AY3" i="15" s="1"/>
  <c r="AZ3" i="15" s="1"/>
  <c r="BA3" i="15" s="1"/>
  <c r="AF3" i="15"/>
  <c r="AF2" i="15"/>
  <c r="AG2" i="15" s="1"/>
  <c r="AH2" i="15" s="1"/>
  <c r="AI2" i="15" s="1"/>
  <c r="AJ2" i="15" s="1"/>
  <c r="AK2" i="15" s="1"/>
  <c r="AL2" i="15" s="1"/>
  <c r="AM2" i="15" s="1"/>
  <c r="AN2" i="15" s="1"/>
  <c r="AO2" i="15" s="1"/>
  <c r="AP2" i="15" s="1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AG8" i="14"/>
  <c r="AH8" i="14" s="1"/>
  <c r="AI8" i="14" s="1"/>
  <c r="AJ8" i="14" s="1"/>
  <c r="AK8" i="14" s="1"/>
  <c r="AL8" i="14" s="1"/>
  <c r="AM8" i="14" s="1"/>
  <c r="AN8" i="14" s="1"/>
  <c r="AO8" i="14" s="1"/>
  <c r="AP8" i="14" s="1"/>
  <c r="AQ8" i="14" s="1"/>
  <c r="AR8" i="14" s="1"/>
  <c r="AS8" i="14" s="1"/>
  <c r="AT8" i="14" s="1"/>
  <c r="AU8" i="14" s="1"/>
  <c r="AV8" i="14" s="1"/>
  <c r="AW8" i="14" s="1"/>
  <c r="AX8" i="14" s="1"/>
  <c r="AY8" i="14" s="1"/>
  <c r="AZ8" i="14" s="1"/>
  <c r="BA8" i="14" s="1"/>
  <c r="AF8" i="14"/>
  <c r="AF7" i="14"/>
  <c r="AG7" i="14" s="1"/>
  <c r="AH7" i="14" s="1"/>
  <c r="AI7" i="14" s="1"/>
  <c r="AJ7" i="14" s="1"/>
  <c r="AK7" i="14" s="1"/>
  <c r="AL7" i="14" s="1"/>
  <c r="AM7" i="14" s="1"/>
  <c r="AN7" i="14" s="1"/>
  <c r="AO7" i="14" s="1"/>
  <c r="AP7" i="14" s="1"/>
  <c r="AQ7" i="14" s="1"/>
  <c r="AR7" i="14" s="1"/>
  <c r="AS7" i="14" s="1"/>
  <c r="AT7" i="14" s="1"/>
  <c r="AU7" i="14" s="1"/>
  <c r="AV7" i="14" s="1"/>
  <c r="AW7" i="14" s="1"/>
  <c r="AX7" i="14" s="1"/>
  <c r="AY7" i="14" s="1"/>
  <c r="AZ7" i="14" s="1"/>
  <c r="BA7" i="14" s="1"/>
  <c r="AF6" i="14"/>
  <c r="AG6" i="14" s="1"/>
  <c r="AH6" i="14" s="1"/>
  <c r="AI6" i="14" s="1"/>
  <c r="AJ6" i="14" s="1"/>
  <c r="AK6" i="14" s="1"/>
  <c r="AL6" i="14" s="1"/>
  <c r="AM6" i="14" s="1"/>
  <c r="AN6" i="14" s="1"/>
  <c r="AO6" i="14" s="1"/>
  <c r="AP6" i="14" s="1"/>
  <c r="AQ6" i="14" s="1"/>
  <c r="AR6" i="14" s="1"/>
  <c r="AS6" i="14" s="1"/>
  <c r="AT6" i="14" s="1"/>
  <c r="AU6" i="14" s="1"/>
  <c r="AV6" i="14" s="1"/>
  <c r="AW6" i="14" s="1"/>
  <c r="AX6" i="14" s="1"/>
  <c r="AY6" i="14" s="1"/>
  <c r="AZ6" i="14" s="1"/>
  <c r="BA6" i="14" s="1"/>
  <c r="AF5" i="14"/>
  <c r="AG5" i="14" s="1"/>
  <c r="AH5" i="14" s="1"/>
  <c r="AI5" i="14" s="1"/>
  <c r="AJ5" i="14" s="1"/>
  <c r="AK5" i="14" s="1"/>
  <c r="AL5" i="14" s="1"/>
  <c r="AM5" i="14" s="1"/>
  <c r="AN5" i="14" s="1"/>
  <c r="AO5" i="14" s="1"/>
  <c r="AP5" i="14" s="1"/>
  <c r="AQ5" i="14" s="1"/>
  <c r="AR5" i="14" s="1"/>
  <c r="AS5" i="14" s="1"/>
  <c r="AT5" i="14" s="1"/>
  <c r="AU5" i="14" s="1"/>
  <c r="AV5" i="14" s="1"/>
  <c r="AW5" i="14" s="1"/>
  <c r="AX5" i="14" s="1"/>
  <c r="AY5" i="14" s="1"/>
  <c r="AZ5" i="14" s="1"/>
  <c r="BA5" i="14" s="1"/>
  <c r="AG4" i="14"/>
  <c r="AH4" i="14" s="1"/>
  <c r="AI4" i="14" s="1"/>
  <c r="AJ4" i="14" s="1"/>
  <c r="AK4" i="14" s="1"/>
  <c r="AL4" i="14" s="1"/>
  <c r="AM4" i="14" s="1"/>
  <c r="AN4" i="14" s="1"/>
  <c r="AO4" i="14" s="1"/>
  <c r="AP4" i="14" s="1"/>
  <c r="AQ4" i="14" s="1"/>
  <c r="AR4" i="14" s="1"/>
  <c r="AS4" i="14" s="1"/>
  <c r="AT4" i="14" s="1"/>
  <c r="AU4" i="14" s="1"/>
  <c r="AV4" i="14" s="1"/>
  <c r="AW4" i="14" s="1"/>
  <c r="AX4" i="14" s="1"/>
  <c r="AY4" i="14" s="1"/>
  <c r="AZ4" i="14" s="1"/>
  <c r="BA4" i="14" s="1"/>
  <c r="AF4" i="14"/>
  <c r="AF3" i="14"/>
  <c r="AG3" i="14" s="1"/>
  <c r="AH3" i="14" s="1"/>
  <c r="AI3" i="14" s="1"/>
  <c r="AJ3" i="14" s="1"/>
  <c r="AK3" i="14" s="1"/>
  <c r="AL3" i="14" s="1"/>
  <c r="AM3" i="14" s="1"/>
  <c r="AN3" i="14" s="1"/>
  <c r="AO3" i="14" s="1"/>
  <c r="AP3" i="14" s="1"/>
  <c r="AQ3" i="14" s="1"/>
  <c r="AR3" i="14" s="1"/>
  <c r="AS3" i="14" s="1"/>
  <c r="AT3" i="14" s="1"/>
  <c r="AU3" i="14" s="1"/>
  <c r="AV3" i="14" s="1"/>
  <c r="AW3" i="14" s="1"/>
  <c r="AX3" i="14" s="1"/>
  <c r="AY3" i="14" s="1"/>
  <c r="AZ3" i="14" s="1"/>
  <c r="BA3" i="14" s="1"/>
  <c r="AF2" i="14"/>
  <c r="AG2" i="14" s="1"/>
  <c r="AH2" i="14" s="1"/>
  <c r="AI2" i="14" s="1"/>
  <c r="AJ2" i="14" s="1"/>
  <c r="AK2" i="14" s="1"/>
  <c r="AL2" i="14" s="1"/>
  <c r="AM2" i="14" s="1"/>
  <c r="AN2" i="14" s="1"/>
  <c r="AO2" i="14" s="1"/>
  <c r="AP2" i="14" s="1"/>
  <c r="AQ2" i="14" s="1"/>
  <c r="AR2" i="14" s="1"/>
  <c r="AS2" i="14" s="1"/>
  <c r="AT2" i="14" s="1"/>
  <c r="AU2" i="14" s="1"/>
  <c r="AV2" i="14" s="1"/>
  <c r="AW2" i="14" s="1"/>
  <c r="AX2" i="14" s="1"/>
  <c r="AY2" i="14" s="1"/>
  <c r="AZ2" i="14" s="1"/>
  <c r="BA2" i="14" s="1"/>
  <c r="AG8" i="13"/>
  <c r="AH8" i="13" s="1"/>
  <c r="AI8" i="13" s="1"/>
  <c r="AJ8" i="13" s="1"/>
  <c r="AK8" i="13" s="1"/>
  <c r="AL8" i="13" s="1"/>
  <c r="AM8" i="13" s="1"/>
  <c r="AN8" i="13" s="1"/>
  <c r="AO8" i="13" s="1"/>
  <c r="AP8" i="13" s="1"/>
  <c r="AQ8" i="13" s="1"/>
  <c r="AR8" i="13" s="1"/>
  <c r="AS8" i="13" s="1"/>
  <c r="AT8" i="13" s="1"/>
  <c r="AU8" i="13" s="1"/>
  <c r="AV8" i="13" s="1"/>
  <c r="AW8" i="13" s="1"/>
  <c r="AX8" i="13" s="1"/>
  <c r="AY8" i="13" s="1"/>
  <c r="AZ8" i="13" s="1"/>
  <c r="BA8" i="13" s="1"/>
  <c r="AF8" i="13"/>
  <c r="AF7" i="13"/>
  <c r="AG7" i="13" s="1"/>
  <c r="AH7" i="13" s="1"/>
  <c r="AI7" i="13" s="1"/>
  <c r="AJ7" i="13" s="1"/>
  <c r="AK7" i="13" s="1"/>
  <c r="AL7" i="13" s="1"/>
  <c r="AM7" i="13" s="1"/>
  <c r="AN7" i="13" s="1"/>
  <c r="AO7" i="13" s="1"/>
  <c r="AP7" i="13" s="1"/>
  <c r="AQ7" i="13" s="1"/>
  <c r="AR7" i="13" s="1"/>
  <c r="AS7" i="13" s="1"/>
  <c r="AT7" i="13" s="1"/>
  <c r="AU7" i="13" s="1"/>
  <c r="AV7" i="13" s="1"/>
  <c r="AW7" i="13" s="1"/>
  <c r="AX7" i="13" s="1"/>
  <c r="AY7" i="13" s="1"/>
  <c r="AZ7" i="13" s="1"/>
  <c r="BA7" i="13" s="1"/>
  <c r="AF6" i="13"/>
  <c r="AG6" i="13" s="1"/>
  <c r="AH6" i="13" s="1"/>
  <c r="AI6" i="13" s="1"/>
  <c r="AJ6" i="13" s="1"/>
  <c r="AK6" i="13" s="1"/>
  <c r="AL6" i="13" s="1"/>
  <c r="AM6" i="13" s="1"/>
  <c r="AN6" i="13" s="1"/>
  <c r="AO6" i="13" s="1"/>
  <c r="AP6" i="13" s="1"/>
  <c r="AQ6" i="13" s="1"/>
  <c r="AR6" i="13" s="1"/>
  <c r="AS6" i="13" s="1"/>
  <c r="AT6" i="13" s="1"/>
  <c r="AU6" i="13" s="1"/>
  <c r="AV6" i="13" s="1"/>
  <c r="AW6" i="13" s="1"/>
  <c r="AX6" i="13" s="1"/>
  <c r="AY6" i="13" s="1"/>
  <c r="AZ6" i="13" s="1"/>
  <c r="BA6" i="13" s="1"/>
  <c r="AF5" i="13"/>
  <c r="AG5" i="13" s="1"/>
  <c r="AH5" i="13" s="1"/>
  <c r="AI5" i="13" s="1"/>
  <c r="AJ5" i="13" s="1"/>
  <c r="AK5" i="13" s="1"/>
  <c r="AL5" i="13" s="1"/>
  <c r="AM5" i="13" s="1"/>
  <c r="AN5" i="13" s="1"/>
  <c r="AO5" i="13" s="1"/>
  <c r="AP5" i="13" s="1"/>
  <c r="AQ5" i="13" s="1"/>
  <c r="AR5" i="13" s="1"/>
  <c r="AS5" i="13" s="1"/>
  <c r="AT5" i="13" s="1"/>
  <c r="AU5" i="13" s="1"/>
  <c r="AV5" i="13" s="1"/>
  <c r="AW5" i="13" s="1"/>
  <c r="AX5" i="13" s="1"/>
  <c r="AY5" i="13" s="1"/>
  <c r="AZ5" i="13" s="1"/>
  <c r="BA5" i="13" s="1"/>
  <c r="AG4" i="13"/>
  <c r="AH4" i="13" s="1"/>
  <c r="AI4" i="13" s="1"/>
  <c r="AJ4" i="13" s="1"/>
  <c r="AK4" i="13" s="1"/>
  <c r="AL4" i="13" s="1"/>
  <c r="AM4" i="13" s="1"/>
  <c r="AN4" i="13" s="1"/>
  <c r="AO4" i="13" s="1"/>
  <c r="AP4" i="13" s="1"/>
  <c r="AQ4" i="13" s="1"/>
  <c r="AR4" i="13" s="1"/>
  <c r="AS4" i="13" s="1"/>
  <c r="AT4" i="13" s="1"/>
  <c r="AU4" i="13" s="1"/>
  <c r="AV4" i="13" s="1"/>
  <c r="AW4" i="13" s="1"/>
  <c r="AX4" i="13" s="1"/>
  <c r="AY4" i="13" s="1"/>
  <c r="AZ4" i="13" s="1"/>
  <c r="BA4" i="13" s="1"/>
  <c r="AF4" i="13"/>
  <c r="AF3" i="13"/>
  <c r="AG3" i="13" s="1"/>
  <c r="AH3" i="13" s="1"/>
  <c r="AI3" i="13" s="1"/>
  <c r="AJ3" i="13" s="1"/>
  <c r="AK3" i="13" s="1"/>
  <c r="AL3" i="13" s="1"/>
  <c r="AM3" i="13" s="1"/>
  <c r="AN3" i="13" s="1"/>
  <c r="AO3" i="13" s="1"/>
  <c r="AP3" i="13" s="1"/>
  <c r="AQ3" i="13" s="1"/>
  <c r="AR3" i="13" s="1"/>
  <c r="AS3" i="13" s="1"/>
  <c r="AT3" i="13" s="1"/>
  <c r="AU3" i="13" s="1"/>
  <c r="AV3" i="13" s="1"/>
  <c r="AW3" i="13" s="1"/>
  <c r="AX3" i="13" s="1"/>
  <c r="AY3" i="13" s="1"/>
  <c r="AZ3" i="13" s="1"/>
  <c r="BA3" i="13" s="1"/>
  <c r="AF2" i="13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AF8" i="12"/>
  <c r="AG8" i="12" s="1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AF7" i="12"/>
  <c r="AG7" i="12" s="1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AF6" i="12"/>
  <c r="AG6" i="12" s="1"/>
  <c r="AH6" i="12" s="1"/>
  <c r="AI6" i="12" s="1"/>
  <c r="AJ6" i="12" s="1"/>
  <c r="AK6" i="12" s="1"/>
  <c r="AL6" i="12" s="1"/>
  <c r="AM6" i="12" s="1"/>
  <c r="AN6" i="12" s="1"/>
  <c r="AO6" i="12" s="1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AF5" i="12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AF4" i="12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AF3" i="12"/>
  <c r="AG3" i="12" s="1"/>
  <c r="AH3" i="12" s="1"/>
  <c r="AI3" i="12" s="1"/>
  <c r="AJ3" i="12" s="1"/>
  <c r="AK3" i="12" s="1"/>
  <c r="AL3" i="12" s="1"/>
  <c r="AM3" i="12" s="1"/>
  <c r="AN3" i="12" s="1"/>
  <c r="AO3" i="12" s="1"/>
  <c r="AP3" i="12" s="1"/>
  <c r="AQ3" i="12" s="1"/>
  <c r="AR3" i="12" s="1"/>
  <c r="AS3" i="12" s="1"/>
  <c r="AT3" i="12" s="1"/>
  <c r="AU3" i="12" s="1"/>
  <c r="AV3" i="12" s="1"/>
  <c r="AW3" i="12" s="1"/>
  <c r="AX3" i="12" s="1"/>
  <c r="AY3" i="12" s="1"/>
  <c r="AZ3" i="12" s="1"/>
  <c r="BA3" i="12" s="1"/>
  <c r="AF2" i="12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AG8" i="1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AF8" i="11"/>
  <c r="AF7" i="1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AF6" i="1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AF5" i="11"/>
  <c r="AG5" i="11" s="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AG4" i="1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AF4" i="11"/>
  <c r="AF3" i="1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AF2" i="11"/>
  <c r="AG2" i="11" s="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AG8" i="10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AF8" i="10"/>
  <c r="AF7" i="10"/>
  <c r="AG7" i="10" s="1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AF6" i="10"/>
  <c r="AG6" i="10" s="1"/>
  <c r="AH6" i="10" s="1"/>
  <c r="AI6" i="10" s="1"/>
  <c r="AJ6" i="10" s="1"/>
  <c r="AK6" i="10" s="1"/>
  <c r="AL6" i="10" s="1"/>
  <c r="AM6" i="10" s="1"/>
  <c r="AN6" i="10" s="1"/>
  <c r="AO6" i="10" s="1"/>
  <c r="AP6" i="10" s="1"/>
  <c r="AQ6" i="10" s="1"/>
  <c r="AR6" i="10" s="1"/>
  <c r="AS6" i="10" s="1"/>
  <c r="AT6" i="10" s="1"/>
  <c r="AU6" i="10" s="1"/>
  <c r="AV6" i="10" s="1"/>
  <c r="AW6" i="10" s="1"/>
  <c r="AX6" i="10" s="1"/>
  <c r="AY6" i="10" s="1"/>
  <c r="AZ6" i="10" s="1"/>
  <c r="BA6" i="10" s="1"/>
  <c r="AF5" i="10"/>
  <c r="AG5" i="10" s="1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AG4" i="10"/>
  <c r="AH4" i="10" s="1"/>
  <c r="AI4" i="10" s="1"/>
  <c r="AJ4" i="10" s="1"/>
  <c r="AK4" i="10" s="1"/>
  <c r="AL4" i="10" s="1"/>
  <c r="AM4" i="10" s="1"/>
  <c r="AN4" i="10" s="1"/>
  <c r="AO4" i="10" s="1"/>
  <c r="AP4" i="10" s="1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AF4" i="10"/>
  <c r="AF3" i="10"/>
  <c r="AG3" i="10" s="1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AF2" i="10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AF8" i="9"/>
  <c r="AG8" i="9" s="1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AG7" i="9"/>
  <c r="AH7" i="9" s="1"/>
  <c r="AI7" i="9" s="1"/>
  <c r="AJ7" i="9" s="1"/>
  <c r="AK7" i="9" s="1"/>
  <c r="AL7" i="9" s="1"/>
  <c r="AM7" i="9" s="1"/>
  <c r="AN7" i="9" s="1"/>
  <c r="AO7" i="9" s="1"/>
  <c r="AP7" i="9" s="1"/>
  <c r="AQ7" i="9" s="1"/>
  <c r="AR7" i="9" s="1"/>
  <c r="AS7" i="9" s="1"/>
  <c r="AT7" i="9" s="1"/>
  <c r="AU7" i="9" s="1"/>
  <c r="AV7" i="9" s="1"/>
  <c r="AW7" i="9" s="1"/>
  <c r="AX7" i="9" s="1"/>
  <c r="AY7" i="9" s="1"/>
  <c r="AZ7" i="9" s="1"/>
  <c r="BA7" i="9" s="1"/>
  <c r="AF7" i="9"/>
  <c r="AG6" i="9"/>
  <c r="AH6" i="9" s="1"/>
  <c r="AI6" i="9" s="1"/>
  <c r="AJ6" i="9" s="1"/>
  <c r="AK6" i="9" s="1"/>
  <c r="AL6" i="9" s="1"/>
  <c r="AM6" i="9" s="1"/>
  <c r="AN6" i="9" s="1"/>
  <c r="AO6" i="9" s="1"/>
  <c r="AP6" i="9" s="1"/>
  <c r="AQ6" i="9" s="1"/>
  <c r="AR6" i="9" s="1"/>
  <c r="AS6" i="9" s="1"/>
  <c r="AT6" i="9" s="1"/>
  <c r="AU6" i="9" s="1"/>
  <c r="AV6" i="9" s="1"/>
  <c r="AW6" i="9" s="1"/>
  <c r="AX6" i="9" s="1"/>
  <c r="AY6" i="9" s="1"/>
  <c r="AZ6" i="9" s="1"/>
  <c r="BA6" i="9" s="1"/>
  <c r="AF6" i="9"/>
  <c r="AF5" i="9"/>
  <c r="AG5" i="9" s="1"/>
  <c r="AH5" i="9" s="1"/>
  <c r="AI5" i="9" s="1"/>
  <c r="AJ5" i="9" s="1"/>
  <c r="AK5" i="9" s="1"/>
  <c r="AL5" i="9" s="1"/>
  <c r="AM5" i="9" s="1"/>
  <c r="AN5" i="9" s="1"/>
  <c r="AO5" i="9" s="1"/>
  <c r="AP5" i="9" s="1"/>
  <c r="AQ5" i="9" s="1"/>
  <c r="AR5" i="9" s="1"/>
  <c r="AS5" i="9" s="1"/>
  <c r="AT5" i="9" s="1"/>
  <c r="AU5" i="9" s="1"/>
  <c r="AV5" i="9" s="1"/>
  <c r="AW5" i="9" s="1"/>
  <c r="AX5" i="9" s="1"/>
  <c r="AY5" i="9" s="1"/>
  <c r="AZ5" i="9" s="1"/>
  <c r="BA5" i="9" s="1"/>
  <c r="AF4" i="9"/>
  <c r="AG4" i="9" s="1"/>
  <c r="AH4" i="9" s="1"/>
  <c r="AI4" i="9" s="1"/>
  <c r="AJ4" i="9" s="1"/>
  <c r="AK4" i="9" s="1"/>
  <c r="AL4" i="9" s="1"/>
  <c r="AM4" i="9" s="1"/>
  <c r="AN4" i="9" s="1"/>
  <c r="AO4" i="9" s="1"/>
  <c r="AP4" i="9" s="1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AG3" i="9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AF3" i="9"/>
  <c r="AG2" i="9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A2" i="9" s="1"/>
  <c r="AF2" i="9"/>
  <c r="AG8" i="8"/>
  <c r="AH8" i="8" s="1"/>
  <c r="AI8" i="8" s="1"/>
  <c r="AJ8" i="8" s="1"/>
  <c r="AK8" i="8" s="1"/>
  <c r="AL8" i="8" s="1"/>
  <c r="AM8" i="8" s="1"/>
  <c r="AN8" i="8" s="1"/>
  <c r="AO8" i="8" s="1"/>
  <c r="AP8" i="8" s="1"/>
  <c r="AQ8" i="8" s="1"/>
  <c r="AR8" i="8" s="1"/>
  <c r="AS8" i="8" s="1"/>
  <c r="AT8" i="8" s="1"/>
  <c r="AU8" i="8" s="1"/>
  <c r="AV8" i="8" s="1"/>
  <c r="AW8" i="8" s="1"/>
  <c r="AX8" i="8" s="1"/>
  <c r="AY8" i="8" s="1"/>
  <c r="AZ8" i="8" s="1"/>
  <c r="BA8" i="8" s="1"/>
  <c r="AF8" i="8"/>
  <c r="AF7" i="8"/>
  <c r="AG7" i="8" s="1"/>
  <c r="AH7" i="8" s="1"/>
  <c r="AI7" i="8" s="1"/>
  <c r="AJ7" i="8" s="1"/>
  <c r="AK7" i="8" s="1"/>
  <c r="AL7" i="8" s="1"/>
  <c r="AM7" i="8" s="1"/>
  <c r="AN7" i="8" s="1"/>
  <c r="AO7" i="8" s="1"/>
  <c r="AP7" i="8" s="1"/>
  <c r="AQ7" i="8" s="1"/>
  <c r="AR7" i="8" s="1"/>
  <c r="AS7" i="8" s="1"/>
  <c r="AT7" i="8" s="1"/>
  <c r="AU7" i="8" s="1"/>
  <c r="AV7" i="8" s="1"/>
  <c r="AW7" i="8" s="1"/>
  <c r="AX7" i="8" s="1"/>
  <c r="AY7" i="8" s="1"/>
  <c r="AZ7" i="8" s="1"/>
  <c r="BA7" i="8" s="1"/>
  <c r="AF6" i="8"/>
  <c r="AG6" i="8" s="1"/>
  <c r="AH6" i="8" s="1"/>
  <c r="AI6" i="8" s="1"/>
  <c r="AJ6" i="8" s="1"/>
  <c r="AK6" i="8" s="1"/>
  <c r="AL6" i="8" s="1"/>
  <c r="AM6" i="8" s="1"/>
  <c r="AN6" i="8" s="1"/>
  <c r="AO6" i="8" s="1"/>
  <c r="AP6" i="8" s="1"/>
  <c r="AQ6" i="8" s="1"/>
  <c r="AR6" i="8" s="1"/>
  <c r="AS6" i="8" s="1"/>
  <c r="AT6" i="8" s="1"/>
  <c r="AU6" i="8" s="1"/>
  <c r="AV6" i="8" s="1"/>
  <c r="AW6" i="8" s="1"/>
  <c r="AX6" i="8" s="1"/>
  <c r="AY6" i="8" s="1"/>
  <c r="AZ6" i="8" s="1"/>
  <c r="BA6" i="8" s="1"/>
  <c r="AF5" i="8"/>
  <c r="AG5" i="8" s="1"/>
  <c r="AH5" i="8" s="1"/>
  <c r="AI5" i="8" s="1"/>
  <c r="AJ5" i="8" s="1"/>
  <c r="AK5" i="8" s="1"/>
  <c r="AL5" i="8" s="1"/>
  <c r="AM5" i="8" s="1"/>
  <c r="AN5" i="8" s="1"/>
  <c r="AO5" i="8" s="1"/>
  <c r="AP5" i="8" s="1"/>
  <c r="AQ5" i="8" s="1"/>
  <c r="AR5" i="8" s="1"/>
  <c r="AS5" i="8" s="1"/>
  <c r="AT5" i="8" s="1"/>
  <c r="AU5" i="8" s="1"/>
  <c r="AV5" i="8" s="1"/>
  <c r="AW5" i="8" s="1"/>
  <c r="AX5" i="8" s="1"/>
  <c r="AY5" i="8" s="1"/>
  <c r="AZ5" i="8" s="1"/>
  <c r="BA5" i="8" s="1"/>
  <c r="AG4" i="8"/>
  <c r="AH4" i="8" s="1"/>
  <c r="AI4" i="8" s="1"/>
  <c r="AJ4" i="8" s="1"/>
  <c r="AK4" i="8" s="1"/>
  <c r="AL4" i="8" s="1"/>
  <c r="AM4" i="8" s="1"/>
  <c r="AN4" i="8" s="1"/>
  <c r="AO4" i="8" s="1"/>
  <c r="AP4" i="8" s="1"/>
  <c r="AQ4" i="8" s="1"/>
  <c r="AR4" i="8" s="1"/>
  <c r="AS4" i="8" s="1"/>
  <c r="AT4" i="8" s="1"/>
  <c r="AU4" i="8" s="1"/>
  <c r="AV4" i="8" s="1"/>
  <c r="AW4" i="8" s="1"/>
  <c r="AX4" i="8" s="1"/>
  <c r="AY4" i="8" s="1"/>
  <c r="AZ4" i="8" s="1"/>
  <c r="BA4" i="8" s="1"/>
  <c r="AF4" i="8"/>
  <c r="AF3" i="8"/>
  <c r="AG3" i="8" s="1"/>
  <c r="AH3" i="8" s="1"/>
  <c r="AI3" i="8" s="1"/>
  <c r="AJ3" i="8" s="1"/>
  <c r="AK3" i="8" s="1"/>
  <c r="AL3" i="8" s="1"/>
  <c r="AM3" i="8" s="1"/>
  <c r="AN3" i="8" s="1"/>
  <c r="AO3" i="8" s="1"/>
  <c r="AP3" i="8" s="1"/>
  <c r="AQ3" i="8" s="1"/>
  <c r="AR3" i="8" s="1"/>
  <c r="AS3" i="8" s="1"/>
  <c r="AT3" i="8" s="1"/>
  <c r="AU3" i="8" s="1"/>
  <c r="AV3" i="8" s="1"/>
  <c r="AW3" i="8" s="1"/>
  <c r="AX3" i="8" s="1"/>
  <c r="AY3" i="8" s="1"/>
  <c r="AZ3" i="8" s="1"/>
  <c r="BA3" i="8" s="1"/>
  <c r="AF2" i="8"/>
  <c r="AG2" i="8" s="1"/>
  <c r="AH2" i="8" s="1"/>
  <c r="AI2" i="8" s="1"/>
  <c r="AJ2" i="8" s="1"/>
  <c r="AK2" i="8" s="1"/>
  <c r="AL2" i="8" s="1"/>
  <c r="AM2" i="8" s="1"/>
  <c r="AN2" i="8" s="1"/>
  <c r="AO2" i="8" s="1"/>
  <c r="AP2" i="8" s="1"/>
  <c r="AQ2" i="8" s="1"/>
  <c r="AR2" i="8" s="1"/>
  <c r="AS2" i="8" s="1"/>
  <c r="AT2" i="8" s="1"/>
  <c r="AU2" i="8" s="1"/>
  <c r="AV2" i="8" s="1"/>
  <c r="AW2" i="8" s="1"/>
  <c r="AX2" i="8" s="1"/>
  <c r="AY2" i="8" s="1"/>
  <c r="AZ2" i="8" s="1"/>
  <c r="BA2" i="8" s="1"/>
  <c r="AG2" i="2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AG3" i="2"/>
  <c r="AH3" i="2"/>
  <c r="AI3" i="2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AG4" i="2"/>
  <c r="AH4" i="2"/>
  <c r="AI4" i="2"/>
  <c r="AJ4" i="2" s="1"/>
  <c r="AK4" i="2" s="1"/>
  <c r="AL4" i="2" s="1"/>
  <c r="AM4" i="2" s="1"/>
  <c r="AN4" i="2" s="1"/>
  <c r="AO4" i="2" s="1"/>
  <c r="AP4" i="2" s="1"/>
  <c r="AQ4" i="2" s="1"/>
  <c r="AR4" i="2" s="1"/>
  <c r="AS4" i="2" s="1"/>
  <c r="AT4" i="2" s="1"/>
  <c r="AU4" i="2" s="1"/>
  <c r="AV4" i="2" s="1"/>
  <c r="AW4" i="2" s="1"/>
  <c r="AX4" i="2" s="1"/>
  <c r="AY4" i="2" s="1"/>
  <c r="AZ4" i="2" s="1"/>
  <c r="BA4" i="2" s="1"/>
  <c r="AG5" i="2"/>
  <c r="AH5" i="2" s="1"/>
  <c r="AI5" i="2" s="1"/>
  <c r="AJ5" i="2" s="1"/>
  <c r="AK5" i="2" s="1"/>
  <c r="AL5" i="2" s="1"/>
  <c r="AM5" i="2" s="1"/>
  <c r="AN5" i="2" s="1"/>
  <c r="AO5" i="2" s="1"/>
  <c r="AP5" i="2" s="1"/>
  <c r="AQ5" i="2" s="1"/>
  <c r="AR5" i="2" s="1"/>
  <c r="AS5" i="2" s="1"/>
  <c r="AT5" i="2" s="1"/>
  <c r="AU5" i="2" s="1"/>
  <c r="AV5" i="2" s="1"/>
  <c r="AW5" i="2" s="1"/>
  <c r="AX5" i="2" s="1"/>
  <c r="AY5" i="2" s="1"/>
  <c r="AZ5" i="2" s="1"/>
  <c r="BA5" i="2" s="1"/>
  <c r="AG6" i="2"/>
  <c r="AH6" i="2" s="1"/>
  <c r="AI6" i="2" s="1"/>
  <c r="AJ6" i="2" s="1"/>
  <c r="AK6" i="2" s="1"/>
  <c r="AL6" i="2" s="1"/>
  <c r="AM6" i="2" s="1"/>
  <c r="AN6" i="2" s="1"/>
  <c r="AO6" i="2" s="1"/>
  <c r="AP6" i="2" s="1"/>
  <c r="AQ6" i="2" s="1"/>
  <c r="AR6" i="2" s="1"/>
  <c r="AS6" i="2" s="1"/>
  <c r="AT6" i="2" s="1"/>
  <c r="AU6" i="2" s="1"/>
  <c r="AV6" i="2" s="1"/>
  <c r="AW6" i="2" s="1"/>
  <c r="AX6" i="2" s="1"/>
  <c r="AY6" i="2" s="1"/>
  <c r="AZ6" i="2" s="1"/>
  <c r="BA6" i="2" s="1"/>
  <c r="AG7" i="2"/>
  <c r="AH7" i="2"/>
  <c r="AI7" i="2"/>
  <c r="AJ7" i="2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AG8" i="2"/>
  <c r="AH8" i="2"/>
  <c r="AI8" i="2" s="1"/>
  <c r="AJ8" i="2" s="1"/>
  <c r="AK8" i="2" s="1"/>
  <c r="AL8" i="2" s="1"/>
  <c r="AM8" i="2" s="1"/>
  <c r="AN8" i="2" s="1"/>
  <c r="AO8" i="2" s="1"/>
  <c r="AP8" i="2" s="1"/>
  <c r="AQ8" i="2" s="1"/>
  <c r="AR8" i="2" s="1"/>
  <c r="AS8" i="2" s="1"/>
  <c r="AT8" i="2" s="1"/>
  <c r="AU8" i="2" s="1"/>
  <c r="AV8" i="2" s="1"/>
  <c r="AW8" i="2" s="1"/>
  <c r="AX8" i="2" s="1"/>
  <c r="AY8" i="2" s="1"/>
  <c r="AZ8" i="2" s="1"/>
  <c r="BA8" i="2" s="1"/>
  <c r="AF3" i="2"/>
  <c r="AF4" i="2"/>
  <c r="AF5" i="2"/>
  <c r="AF6" i="2"/>
  <c r="AF7" i="2"/>
  <c r="AF8" i="2"/>
  <c r="AF2" i="2"/>
  <c r="C71" i="7"/>
  <c r="C72" i="7"/>
  <c r="B72" i="7"/>
  <c r="B71" i="7"/>
  <c r="T14" i="3"/>
  <c r="K14" i="3" l="1"/>
  <c r="K10" i="3"/>
  <c r="J10" i="3"/>
  <c r="J24" i="3" l="1"/>
  <c r="AE148" i="7"/>
  <c r="AD148" i="7"/>
  <c r="AC148" i="7"/>
  <c r="AB148" i="7"/>
  <c r="AA148" i="7"/>
  <c r="Z148" i="7"/>
  <c r="Y148" i="7"/>
  <c r="X148" i="7"/>
  <c r="W148" i="7"/>
  <c r="V148" i="7"/>
  <c r="U148" i="7"/>
  <c r="T148" i="7"/>
  <c r="S148" i="7"/>
  <c r="R148" i="7"/>
  <c r="Q148" i="7"/>
  <c r="P148" i="7"/>
  <c r="O148" i="7"/>
  <c r="N148" i="7"/>
  <c r="M148" i="7"/>
  <c r="L148" i="7"/>
  <c r="K148" i="7"/>
  <c r="J148" i="7"/>
  <c r="I148" i="7"/>
  <c r="H148" i="7"/>
  <c r="G148" i="7"/>
  <c r="F148" i="7"/>
  <c r="E148" i="7"/>
  <c r="D148" i="7"/>
  <c r="C148" i="7"/>
  <c r="B148" i="7"/>
  <c r="AE147" i="7"/>
  <c r="AD147" i="7"/>
  <c r="AC147" i="7"/>
  <c r="AB147" i="7"/>
  <c r="AA147" i="7"/>
  <c r="Z147" i="7"/>
  <c r="Y147" i="7"/>
  <c r="X147" i="7"/>
  <c r="W147" i="7"/>
  <c r="V147" i="7"/>
  <c r="U147" i="7"/>
  <c r="T147" i="7"/>
  <c r="S147" i="7"/>
  <c r="R147" i="7"/>
  <c r="Q147" i="7"/>
  <c r="P147" i="7"/>
  <c r="O147" i="7"/>
  <c r="N147" i="7"/>
  <c r="M147" i="7"/>
  <c r="L147" i="7"/>
  <c r="K147" i="7"/>
  <c r="J147" i="7"/>
  <c r="I147" i="7"/>
  <c r="H147" i="7"/>
  <c r="G147" i="7"/>
  <c r="F147" i="7"/>
  <c r="E147" i="7"/>
  <c r="D147" i="7"/>
  <c r="C147" i="7"/>
  <c r="B147" i="7"/>
  <c r="AE146" i="7"/>
  <c r="AD146" i="7"/>
  <c r="AC146" i="7"/>
  <c r="AB146" i="7"/>
  <c r="AA146" i="7"/>
  <c r="Z146" i="7"/>
  <c r="Y146" i="7"/>
  <c r="X146" i="7"/>
  <c r="W146" i="7"/>
  <c r="V146" i="7"/>
  <c r="U146" i="7"/>
  <c r="T146" i="7"/>
  <c r="S146" i="7"/>
  <c r="R146" i="7"/>
  <c r="Q146" i="7"/>
  <c r="P146" i="7"/>
  <c r="O146" i="7"/>
  <c r="N146" i="7"/>
  <c r="M146" i="7"/>
  <c r="L146" i="7"/>
  <c r="K146" i="7"/>
  <c r="J146" i="7"/>
  <c r="I146" i="7"/>
  <c r="H146" i="7"/>
  <c r="G146" i="7"/>
  <c r="F146" i="7"/>
  <c r="E146" i="7"/>
  <c r="D146" i="7"/>
  <c r="C146" i="7"/>
  <c r="B146" i="7"/>
  <c r="C130" i="7"/>
  <c r="D130" i="7"/>
  <c r="E130" i="7"/>
  <c r="F130" i="7"/>
  <c r="F133" i="7" s="1"/>
  <c r="G130" i="7"/>
  <c r="H130" i="7"/>
  <c r="I130" i="7"/>
  <c r="J130" i="7"/>
  <c r="K130" i="7"/>
  <c r="K133" i="7" s="1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D133" i="7" s="1"/>
  <c r="AE130" i="7"/>
  <c r="C131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V133" i="7" s="1"/>
  <c r="W131" i="7"/>
  <c r="X131" i="7"/>
  <c r="Y131" i="7"/>
  <c r="Z131" i="7"/>
  <c r="AA131" i="7"/>
  <c r="AB131" i="7"/>
  <c r="AC131" i="7"/>
  <c r="AD131" i="7"/>
  <c r="AE131" i="7"/>
  <c r="C132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Q133" i="7"/>
  <c r="B132" i="7"/>
  <c r="B131" i="7"/>
  <c r="B130" i="7"/>
  <c r="I24" i="3"/>
  <c r="C115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C116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C117" i="7" s="1"/>
  <c r="AD116" i="7"/>
  <c r="AE116" i="7"/>
  <c r="B116" i="7"/>
  <c r="B115" i="7"/>
  <c r="B117" i="7" s="1"/>
  <c r="C133" i="7" l="1"/>
  <c r="N133" i="7"/>
  <c r="AA133" i="7"/>
  <c r="U117" i="7"/>
  <c r="Y133" i="7"/>
  <c r="I133" i="7"/>
  <c r="S133" i="7"/>
  <c r="AB133" i="7"/>
  <c r="T133" i="7"/>
  <c r="AE133" i="7"/>
  <c r="H133" i="7"/>
  <c r="L133" i="7"/>
  <c r="D133" i="7"/>
  <c r="X133" i="7"/>
  <c r="P133" i="7"/>
  <c r="AB117" i="7"/>
  <c r="T117" i="7"/>
  <c r="L117" i="7"/>
  <c r="X117" i="7"/>
  <c r="AD117" i="7"/>
  <c r="M117" i="7"/>
  <c r="D117" i="7"/>
  <c r="P117" i="7"/>
  <c r="AE117" i="7"/>
  <c r="O117" i="7"/>
  <c r="V117" i="7"/>
  <c r="W117" i="7"/>
  <c r="Z117" i="7"/>
  <c r="R117" i="7"/>
  <c r="F117" i="7"/>
  <c r="E117" i="7"/>
  <c r="N117" i="7"/>
  <c r="C117" i="7"/>
  <c r="J117" i="7"/>
  <c r="I117" i="7"/>
  <c r="H117" i="7"/>
  <c r="Y117" i="7"/>
  <c r="Q117" i="7"/>
  <c r="AA117" i="7"/>
  <c r="S117" i="7"/>
  <c r="K117" i="7"/>
  <c r="G117" i="7"/>
  <c r="B133" i="7"/>
  <c r="AC133" i="7"/>
  <c r="U133" i="7"/>
  <c r="W133" i="7"/>
  <c r="O133" i="7"/>
  <c r="G133" i="7"/>
  <c r="Z133" i="7"/>
  <c r="U149" i="7"/>
  <c r="D149" i="7"/>
  <c r="M149" i="7"/>
  <c r="AC149" i="7"/>
  <c r="L149" i="7"/>
  <c r="T149" i="7"/>
  <c r="AB149" i="7"/>
  <c r="M133" i="7"/>
  <c r="E133" i="7"/>
  <c r="R133" i="7"/>
  <c r="J133" i="7"/>
  <c r="V149" i="7"/>
  <c r="AD149" i="7"/>
  <c r="F149" i="7"/>
  <c r="B149" i="7"/>
  <c r="J149" i="7"/>
  <c r="R149" i="7"/>
  <c r="Z149" i="7"/>
  <c r="C149" i="7"/>
  <c r="K149" i="7"/>
  <c r="S149" i="7"/>
  <c r="AA149" i="7"/>
  <c r="E149" i="7"/>
  <c r="N149" i="7"/>
  <c r="AE149" i="7"/>
  <c r="H149" i="7"/>
  <c r="P149" i="7"/>
  <c r="X149" i="7"/>
  <c r="O149" i="7"/>
  <c r="I149" i="7"/>
  <c r="Q149" i="7"/>
  <c r="Y149" i="7"/>
  <c r="G149" i="7"/>
  <c r="W149" i="7"/>
  <c r="C104" i="7"/>
  <c r="C103" i="7"/>
  <c r="J14" i="3"/>
  <c r="I14" i="3"/>
  <c r="I10" i="3"/>
  <c r="D92" i="7" l="1"/>
  <c r="C92" i="7" l="1"/>
  <c r="E92" i="7"/>
  <c r="F92" i="7"/>
  <c r="G92" i="7"/>
  <c r="H92" i="7"/>
  <c r="I92" i="7"/>
  <c r="J92" i="7"/>
  <c r="K92" i="7"/>
  <c r="L92" i="7"/>
  <c r="M92" i="7"/>
  <c r="N92" i="7"/>
  <c r="O92" i="7"/>
  <c r="P92" i="7"/>
  <c r="Q92" i="7"/>
  <c r="R92" i="7"/>
  <c r="S92" i="7"/>
  <c r="S94" i="7" s="1"/>
  <c r="T92" i="7"/>
  <c r="U92" i="7"/>
  <c r="V92" i="7"/>
  <c r="W92" i="7"/>
  <c r="X92" i="7"/>
  <c r="Y92" i="7"/>
  <c r="Z92" i="7"/>
  <c r="AA92" i="7"/>
  <c r="AB92" i="7"/>
  <c r="AC92" i="7"/>
  <c r="AD92" i="7"/>
  <c r="AE92" i="7"/>
  <c r="C93" i="7"/>
  <c r="D93" i="7"/>
  <c r="D94" i="7" s="1"/>
  <c r="E93" i="7"/>
  <c r="F93" i="7"/>
  <c r="G93" i="7"/>
  <c r="H93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B93" i="7"/>
  <c r="B92" i="7"/>
  <c r="C96" i="7"/>
  <c r="D96" i="7"/>
  <c r="E96" i="7"/>
  <c r="F96" i="7"/>
  <c r="G96" i="7"/>
  <c r="H96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C97" i="7"/>
  <c r="D97" i="7"/>
  <c r="E97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B97" i="7"/>
  <c r="B96" i="7"/>
  <c r="B2" i="2"/>
  <c r="K94" i="7" l="1"/>
  <c r="K98" i="7"/>
  <c r="C98" i="7"/>
  <c r="Q98" i="7"/>
  <c r="AD94" i="7"/>
  <c r="N94" i="7"/>
  <c r="Q94" i="7"/>
  <c r="V94" i="7"/>
  <c r="F94" i="7"/>
  <c r="Y94" i="7"/>
  <c r="Y98" i="7"/>
  <c r="B94" i="7"/>
  <c r="E94" i="7"/>
  <c r="AB94" i="7"/>
  <c r="T94" i="7"/>
  <c r="L94" i="7"/>
  <c r="M94" i="7"/>
  <c r="C94" i="7"/>
  <c r="X94" i="7"/>
  <c r="P94" i="7"/>
  <c r="U94" i="7"/>
  <c r="W94" i="7"/>
  <c r="G94" i="7"/>
  <c r="AC94" i="7"/>
  <c r="AE94" i="7"/>
  <c r="O94" i="7"/>
  <c r="H94" i="7"/>
  <c r="I94" i="7"/>
  <c r="I98" i="7"/>
  <c r="J94" i="7"/>
  <c r="AA94" i="7"/>
  <c r="X98" i="7"/>
  <c r="P98" i="7"/>
  <c r="H98" i="7"/>
  <c r="AB98" i="7"/>
  <c r="T98" i="7"/>
  <c r="B98" i="7"/>
  <c r="AE98" i="7"/>
  <c r="G98" i="7"/>
  <c r="L98" i="7"/>
  <c r="W98" i="7"/>
  <c r="V98" i="7"/>
  <c r="N98" i="7"/>
  <c r="F98" i="7"/>
  <c r="AD98" i="7"/>
  <c r="O98" i="7"/>
  <c r="AA98" i="7"/>
  <c r="Z98" i="7"/>
  <c r="D98" i="7"/>
  <c r="S98" i="7"/>
  <c r="R98" i="7"/>
  <c r="AC98" i="7"/>
  <c r="U98" i="7"/>
  <c r="M98" i="7"/>
  <c r="E98" i="7"/>
  <c r="J98" i="7"/>
  <c r="Z94" i="7"/>
  <c r="R94" i="7"/>
  <c r="J9" i="3"/>
  <c r="K9" i="3" s="1"/>
  <c r="C70" i="7"/>
  <c r="B70" i="7"/>
  <c r="I31" i="3" l="1"/>
  <c r="E80" i="3"/>
  <c r="E29" i="3"/>
  <c r="E28" i="3"/>
  <c r="E26" i="3"/>
  <c r="F26" i="3" s="1"/>
  <c r="E25" i="3"/>
  <c r="E23" i="3" l="1"/>
  <c r="E22" i="3"/>
  <c r="E21" i="3"/>
  <c r="E18" i="3"/>
  <c r="E52" i="3" l="1"/>
  <c r="E55" i="3" l="1"/>
  <c r="F36" i="3" l="1"/>
  <c r="E30" i="3"/>
  <c r="E36" i="3"/>
  <c r="E86" i="3"/>
  <c r="E85" i="3"/>
  <c r="E84" i="3"/>
  <c r="E83" i="3"/>
  <c r="E81" i="3"/>
  <c r="F29" i="3" l="1"/>
  <c r="G29" i="3" s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F16" i="3"/>
  <c r="F23" i="3" s="1"/>
  <c r="G23" i="3" s="1"/>
  <c r="F15" i="3"/>
  <c r="F22" i="3" s="1"/>
  <c r="G22" i="3" s="1"/>
  <c r="I27" i="3"/>
  <c r="I29" i="3"/>
  <c r="B7" i="9" s="1"/>
  <c r="I30" i="3"/>
  <c r="B8" i="9" s="1"/>
  <c r="I34" i="3"/>
  <c r="I36" i="3"/>
  <c r="B7" i="10" s="1"/>
  <c r="I37" i="3"/>
  <c r="B8" i="10" s="1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I19" i="3"/>
  <c r="I22" i="3"/>
  <c r="B7" i="8" s="1"/>
  <c r="I23" i="3"/>
  <c r="B8" i="8" s="1"/>
  <c r="E16" i="3"/>
  <c r="E15" i="3"/>
  <c r="I15" i="3" s="1"/>
  <c r="B7" i="2" s="1"/>
  <c r="G16" i="3" l="1"/>
  <c r="I16" i="3"/>
  <c r="B8" i="2" s="1"/>
  <c r="G15" i="3"/>
  <c r="I18" i="3" l="1"/>
  <c r="E11" i="3"/>
  <c r="F11" i="3"/>
  <c r="F18" i="3" s="1"/>
  <c r="B1" i="18" l="1"/>
  <c r="B1" i="16"/>
  <c r="B1" i="14"/>
  <c r="B1" i="12"/>
  <c r="B1" i="10"/>
  <c r="J36" i="3"/>
  <c r="C7" i="10" s="1"/>
  <c r="B1" i="13"/>
  <c r="B1" i="9"/>
  <c r="B1" i="11"/>
  <c r="B1" i="8"/>
  <c r="B1" i="15"/>
  <c r="B1" i="17"/>
  <c r="F28" i="3"/>
  <c r="F32" i="3"/>
  <c r="F25" i="3" s="1"/>
  <c r="I35" i="3"/>
  <c r="I33" i="3"/>
  <c r="E32" i="3"/>
  <c r="I32" i="3" s="1"/>
  <c r="E13" i="3"/>
  <c r="J37" i="3" l="1"/>
  <c r="C8" i="10" s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J30" i="3"/>
  <c r="C8" i="9" s="1"/>
  <c r="J15" i="3"/>
  <c r="C7" i="2" s="1"/>
  <c r="J86" i="3"/>
  <c r="C8" i="17" s="1"/>
  <c r="J29" i="3"/>
  <c r="C7" i="9" s="1"/>
  <c r="J22" i="3"/>
  <c r="C7" i="8" s="1"/>
  <c r="J18" i="3"/>
  <c r="J16" i="3"/>
  <c r="C8" i="2" s="1"/>
  <c r="J23" i="3"/>
  <c r="C8" i="8" s="1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F13" i="3"/>
  <c r="AL14" i="3" l="1"/>
  <c r="L14" i="3"/>
  <c r="U14" i="3"/>
  <c r="V14" i="3"/>
  <c r="W14" i="3"/>
  <c r="X14" i="3"/>
  <c r="Y14" i="3"/>
  <c r="Z14" i="3"/>
  <c r="AA14" i="3"/>
  <c r="AB14" i="3"/>
  <c r="AC14" i="3"/>
  <c r="AD14" i="3"/>
  <c r="AE14" i="3"/>
  <c r="AF14" i="3"/>
  <c r="M14" i="3"/>
  <c r="AG14" i="3"/>
  <c r="N14" i="3"/>
  <c r="AH14" i="3"/>
  <c r="AI14" i="3"/>
  <c r="AJ14" i="3"/>
  <c r="AK14" i="3"/>
  <c r="C6" i="2"/>
  <c r="B6" i="2"/>
  <c r="K36" i="3"/>
  <c r="D7" i="10" s="1"/>
  <c r="K37" i="3"/>
  <c r="D8" i="10" s="1"/>
  <c r="K23" i="3"/>
  <c r="D8" i="8" s="1"/>
  <c r="K16" i="3"/>
  <c r="D8" i="2" s="1"/>
  <c r="K57" i="3"/>
  <c r="D7" i="13" s="1"/>
  <c r="K44" i="3"/>
  <c r="D8" i="11" s="1"/>
  <c r="K50" i="3"/>
  <c r="D7" i="12" s="1"/>
  <c r="K58" i="3"/>
  <c r="D8" i="13" s="1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D1" i="11"/>
  <c r="D1" i="13"/>
  <c r="D1" i="2"/>
  <c r="I12" i="3"/>
  <c r="B4" i="2" s="1"/>
  <c r="I81" i="3"/>
  <c r="L36" i="3" l="1"/>
  <c r="E7" i="10" s="1"/>
  <c r="L37" i="3"/>
  <c r="E8" i="10" s="1"/>
  <c r="L43" i="3"/>
  <c r="E7" i="11" s="1"/>
  <c r="L51" i="3"/>
  <c r="E8" i="12" s="1"/>
  <c r="L57" i="3"/>
  <c r="E7" i="13" s="1"/>
  <c r="L44" i="3"/>
  <c r="E8" i="11" s="1"/>
  <c r="L50" i="3"/>
  <c r="E7" i="12" s="1"/>
  <c r="L58" i="3"/>
  <c r="E8" i="13" s="1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I20" i="3"/>
  <c r="M36" i="3" l="1"/>
  <c r="F7" i="10" s="1"/>
  <c r="M37" i="3"/>
  <c r="F8" i="10" s="1"/>
  <c r="M58" i="3"/>
  <c r="F8" i="13" s="1"/>
  <c r="M64" i="3"/>
  <c r="F7" i="14" s="1"/>
  <c r="M43" i="3"/>
  <c r="F7" i="11" s="1"/>
  <c r="M51" i="3"/>
  <c r="F8" i="12" s="1"/>
  <c r="M57" i="3"/>
  <c r="F7" i="13" s="1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I25" i="3"/>
  <c r="N23" i="3" l="1"/>
  <c r="G8" i="8" s="1"/>
  <c r="N36" i="3"/>
  <c r="G7" i="10" s="1"/>
  <c r="N37" i="3"/>
  <c r="G8" i="10" s="1"/>
  <c r="N44" i="3"/>
  <c r="G8" i="11" s="1"/>
  <c r="N50" i="3"/>
  <c r="G7" i="12" s="1"/>
  <c r="N58" i="3"/>
  <c r="G8" i="13" s="1"/>
  <c r="N64" i="3"/>
  <c r="G7" i="14" s="1"/>
  <c r="N43" i="3"/>
  <c r="G7" i="11" s="1"/>
  <c r="N51" i="3"/>
  <c r="G8" i="12" s="1"/>
  <c r="N57" i="3"/>
  <c r="G7" i="13" s="1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I21" i="3"/>
  <c r="I17" i="3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J12" i="3" s="1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36" i="3" l="1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E3" i="13" s="1"/>
  <c r="M53" i="3"/>
  <c r="F3" i="13" s="1"/>
  <c r="J53" i="3"/>
  <c r="C3" i="13" s="1"/>
  <c r="N53" i="3"/>
  <c r="G3" i="13" s="1"/>
  <c r="K53" i="3"/>
  <c r="D3" i="13" s="1"/>
  <c r="O53" i="3"/>
  <c r="H3" i="13" s="1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H7" i="13" s="1"/>
  <c r="O44" i="3"/>
  <c r="H8" i="11" s="1"/>
  <c r="O50" i="3"/>
  <c r="H7" i="12" s="1"/>
  <c r="O58" i="3"/>
  <c r="H8" i="13" s="1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D2" i="13" s="1"/>
  <c r="O52" i="3"/>
  <c r="H2" i="13" s="1"/>
  <c r="L52" i="3"/>
  <c r="E2" i="13" s="1"/>
  <c r="J52" i="3"/>
  <c r="C2" i="13" s="1"/>
  <c r="M52" i="3"/>
  <c r="F2" i="13" s="1"/>
  <c r="N52" i="3"/>
  <c r="G2" i="13" s="1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C4" i="2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D6" i="13" s="1"/>
  <c r="O56" i="3"/>
  <c r="H6" i="13" s="1"/>
  <c r="L56" i="3"/>
  <c r="E6" i="13" s="1"/>
  <c r="J56" i="3"/>
  <c r="C6" i="13" s="1"/>
  <c r="M56" i="3"/>
  <c r="F6" i="13" s="1"/>
  <c r="N56" i="3"/>
  <c r="G6" i="13" s="1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J34" i="3"/>
  <c r="C5" i="10" s="1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F5" i="13" s="1"/>
  <c r="J55" i="3"/>
  <c r="C5" i="13" s="1"/>
  <c r="N55" i="3"/>
  <c r="G5" i="13" s="1"/>
  <c r="L55" i="3"/>
  <c r="E5" i="13" s="1"/>
  <c r="O55" i="3"/>
  <c r="H5" i="13" s="1"/>
  <c r="K55" i="3"/>
  <c r="D5" i="13" s="1"/>
  <c r="N12" i="3"/>
  <c r="G4" i="2" s="1"/>
  <c r="J27" i="3"/>
  <c r="C5" i="9" s="1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J19" i="3"/>
  <c r="C4" i="8" s="1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D4" i="13" s="1"/>
  <c r="O54" i="3"/>
  <c r="H4" i="13" s="1"/>
  <c r="L54" i="3"/>
  <c r="E4" i="13" s="1"/>
  <c r="J54" i="3"/>
  <c r="C4" i="13" s="1"/>
  <c r="M54" i="3"/>
  <c r="F4" i="13" s="1"/>
  <c r="N54" i="3"/>
  <c r="G4" i="13" s="1"/>
  <c r="J20" i="3"/>
  <c r="C5" i="8" s="1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H2" i="11"/>
  <c r="B5" i="8"/>
  <c r="P36" i="3" l="1"/>
  <c r="I7" i="10" s="1"/>
  <c r="P37" i="3"/>
  <c r="I8" i="10" s="1"/>
  <c r="P43" i="3"/>
  <c r="I7" i="11" s="1"/>
  <c r="P51" i="3"/>
  <c r="I8" i="12" s="1"/>
  <c r="P57" i="3"/>
  <c r="I7" i="13" s="1"/>
  <c r="P44" i="3"/>
  <c r="I8" i="11" s="1"/>
  <c r="P50" i="3"/>
  <c r="I7" i="12" s="1"/>
  <c r="P58" i="3"/>
  <c r="I8" i="13" s="1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I3" i="13" s="1"/>
  <c r="P88" i="3"/>
  <c r="P87" i="3"/>
  <c r="P91" i="3"/>
  <c r="P89" i="3"/>
  <c r="P42" i="3"/>
  <c r="I6" i="11" s="1"/>
  <c r="P52" i="3"/>
  <c r="I2" i="13" s="1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I4" i="13" s="1"/>
  <c r="P45" i="3"/>
  <c r="I2" i="12" s="1"/>
  <c r="P27" i="3"/>
  <c r="I5" i="9" s="1"/>
  <c r="P68" i="3"/>
  <c r="I4" i="15" s="1"/>
  <c r="P56" i="3"/>
  <c r="I6" i="13" s="1"/>
  <c r="P67" i="3"/>
  <c r="I3" i="15" s="1"/>
  <c r="P74" i="3"/>
  <c r="I3" i="16" s="1"/>
  <c r="P60" i="3"/>
  <c r="I3" i="14" s="1"/>
  <c r="P55" i="3"/>
  <c r="I5" i="13" s="1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F21" i="3"/>
  <c r="F17" i="3"/>
  <c r="I84" i="3"/>
  <c r="I83" i="3"/>
  <c r="I80" i="3"/>
  <c r="I28" i="3"/>
  <c r="I26" i="3"/>
  <c r="Q36" i="3" l="1"/>
  <c r="J7" i="10" s="1"/>
  <c r="Q37" i="3"/>
  <c r="J8" i="10" s="1"/>
  <c r="Q58" i="3"/>
  <c r="J8" i="13" s="1"/>
  <c r="Q64" i="3"/>
  <c r="J7" i="14" s="1"/>
  <c r="Q43" i="3"/>
  <c r="J7" i="11" s="1"/>
  <c r="Q51" i="3"/>
  <c r="J8" i="12" s="1"/>
  <c r="Q57" i="3"/>
  <c r="J7" i="13" s="1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J3" i="13" s="1"/>
  <c r="Q91" i="3"/>
  <c r="Q89" i="3"/>
  <c r="Q23" i="3"/>
  <c r="J8" i="8" s="1"/>
  <c r="Q90" i="3"/>
  <c r="Q88" i="3"/>
  <c r="Q87" i="3"/>
  <c r="Q42" i="3"/>
  <c r="J6" i="11" s="1"/>
  <c r="Q52" i="3"/>
  <c r="J2" i="13" s="1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J6" i="13" s="1"/>
  <c r="Q47" i="3"/>
  <c r="J4" i="12" s="1"/>
  <c r="Q74" i="3"/>
  <c r="J3" i="16" s="1"/>
  <c r="Q60" i="3"/>
  <c r="J3" i="14" s="1"/>
  <c r="Q55" i="3"/>
  <c r="J5" i="13" s="1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J4" i="13" s="1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J31" i="3" s="1"/>
  <c r="G32" i="3"/>
  <c r="G81" i="3"/>
  <c r="G24" i="3"/>
  <c r="G33" i="3"/>
  <c r="G83" i="3"/>
  <c r="G80" i="3"/>
  <c r="G35" i="3"/>
  <c r="G84" i="3"/>
  <c r="R24" i="3" l="1"/>
  <c r="L24" i="3"/>
  <c r="E2" i="9" s="1"/>
  <c r="M24" i="3"/>
  <c r="F2" i="9" s="1"/>
  <c r="N24" i="3"/>
  <c r="G2" i="9" s="1"/>
  <c r="Q24" i="3"/>
  <c r="J2" i="9" s="1"/>
  <c r="O24" i="3"/>
  <c r="K24" i="3"/>
  <c r="D2" i="9" s="1"/>
  <c r="P24" i="3"/>
  <c r="I2" i="9" s="1"/>
  <c r="L31" i="3"/>
  <c r="E2" i="10" s="1"/>
  <c r="M31" i="3"/>
  <c r="N31" i="3"/>
  <c r="G2" i="10" s="1"/>
  <c r="O31" i="3"/>
  <c r="H2" i="10" s="1"/>
  <c r="C2" i="10"/>
  <c r="K31" i="3"/>
  <c r="D2" i="10" s="1"/>
  <c r="P31" i="3"/>
  <c r="I2" i="10" s="1"/>
  <c r="Q31" i="3"/>
  <c r="J2" i="10" s="1"/>
  <c r="R31" i="3"/>
  <c r="K2" i="10" s="1"/>
  <c r="F2" i="10"/>
  <c r="C2" i="9"/>
  <c r="K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J35" i="3"/>
  <c r="C6" i="10" s="1"/>
  <c r="N35" i="3"/>
  <c r="G6" i="10" s="1"/>
  <c r="R35" i="3"/>
  <c r="K6" i="10" s="1"/>
  <c r="R44" i="3"/>
  <c r="K8" i="11" s="1"/>
  <c r="R50" i="3"/>
  <c r="K7" i="12" s="1"/>
  <c r="R58" i="3"/>
  <c r="K8" i="13" s="1"/>
  <c r="R64" i="3"/>
  <c r="K7" i="14" s="1"/>
  <c r="R43" i="3"/>
  <c r="K7" i="11" s="1"/>
  <c r="R51" i="3"/>
  <c r="K8" i="12" s="1"/>
  <c r="R57" i="3"/>
  <c r="K7" i="13" s="1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K3" i="13" s="1"/>
  <c r="R52" i="3"/>
  <c r="K2" i="13" s="1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K4" i="13" s="1"/>
  <c r="R38" i="3"/>
  <c r="K2" i="11" s="1"/>
  <c r="R45" i="3"/>
  <c r="K2" i="12" s="1"/>
  <c r="R27" i="3"/>
  <c r="K5" i="9" s="1"/>
  <c r="R39" i="3"/>
  <c r="K3" i="11" s="1"/>
  <c r="R77" i="3"/>
  <c r="K6" i="16" s="1"/>
  <c r="R56" i="3"/>
  <c r="K6" i="13" s="1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K5" i="13" s="1"/>
  <c r="R19" i="3"/>
  <c r="K4" i="8" s="1"/>
  <c r="R63" i="3"/>
  <c r="K6" i="14" s="1"/>
  <c r="R20" i="3"/>
  <c r="K5" i="8" s="1"/>
  <c r="J32" i="3"/>
  <c r="C3" i="10" s="1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J33" i="3"/>
  <c r="C4" i="10" s="1"/>
  <c r="N33" i="3"/>
  <c r="G4" i="10" s="1"/>
  <c r="R33" i="3"/>
  <c r="K4" i="10" s="1"/>
  <c r="K33" i="3"/>
  <c r="D4" i="10" s="1"/>
  <c r="O33" i="3"/>
  <c r="H4" i="10" s="1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H2" i="9"/>
  <c r="J28" i="3"/>
  <c r="C6" i="9" s="1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J26" i="3"/>
  <c r="C4" i="9" s="1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J25" i="3"/>
  <c r="C3" i="9" s="1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G21" i="3"/>
  <c r="B4" i="9"/>
  <c r="B2" i="17"/>
  <c r="B3" i="17"/>
  <c r="B6" i="17"/>
  <c r="G11" i="3"/>
  <c r="J11" i="3" s="1"/>
  <c r="B5" i="17"/>
  <c r="B3" i="10"/>
  <c r="G10" i="3"/>
  <c r="L10" i="3" s="1"/>
  <c r="B6" i="10"/>
  <c r="G17" i="3"/>
  <c r="B3" i="9"/>
  <c r="K17" i="3" l="1"/>
  <c r="AE17" i="3"/>
  <c r="AG17" i="3"/>
  <c r="N17" i="3"/>
  <c r="AI17" i="3"/>
  <c r="P17" i="3"/>
  <c r="Q17" i="3"/>
  <c r="J2" i="8" s="1"/>
  <c r="R17" i="3"/>
  <c r="K2" i="8" s="1"/>
  <c r="S17" i="3"/>
  <c r="L2" i="8" s="1"/>
  <c r="J17" i="3"/>
  <c r="U17" i="3"/>
  <c r="V17" i="3"/>
  <c r="X17" i="3"/>
  <c r="Z17" i="3"/>
  <c r="AB17" i="3"/>
  <c r="AD17" i="3"/>
  <c r="L17" i="3"/>
  <c r="E2" i="8" s="1"/>
  <c r="AF17" i="3"/>
  <c r="M17" i="3"/>
  <c r="F2" i="8" s="1"/>
  <c r="AH17" i="3"/>
  <c r="O17" i="3"/>
  <c r="AJ17" i="3"/>
  <c r="AK17" i="3"/>
  <c r="AL17" i="3"/>
  <c r="T17" i="3"/>
  <c r="W17" i="3"/>
  <c r="Y17" i="3"/>
  <c r="AA17" i="3"/>
  <c r="AC17" i="3"/>
  <c r="N10" i="3"/>
  <c r="O10" i="3"/>
  <c r="H2" i="2" s="1"/>
  <c r="P10" i="3"/>
  <c r="I2" i="2" s="1"/>
  <c r="Q10" i="3"/>
  <c r="J2" i="2" s="1"/>
  <c r="M10" i="3"/>
  <c r="F2" i="2" s="1"/>
  <c r="R10" i="3"/>
  <c r="K2" i="2" s="1"/>
  <c r="S10" i="3"/>
  <c r="L2" i="2" s="1"/>
  <c r="S24" i="3"/>
  <c r="L2" i="9" s="1"/>
  <c r="S31" i="3"/>
  <c r="L2" i="10" s="1"/>
  <c r="E2" i="2"/>
  <c r="G2" i="2"/>
  <c r="D2" i="2"/>
  <c r="S80" i="3"/>
  <c r="L2" i="17" s="1"/>
  <c r="L6" i="2"/>
  <c r="D2" i="8"/>
  <c r="I2" i="8"/>
  <c r="C2" i="8"/>
  <c r="G2" i="8"/>
  <c r="H2" i="8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L7" i="13" s="1"/>
  <c r="S44" i="3"/>
  <c r="L8" i="11" s="1"/>
  <c r="S50" i="3"/>
  <c r="L7" i="12" s="1"/>
  <c r="S58" i="3"/>
  <c r="L8" i="13" s="1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L3" i="13" s="1"/>
  <c r="S89" i="3"/>
  <c r="S76" i="3"/>
  <c r="L5" i="16" s="1"/>
  <c r="S52" i="3"/>
  <c r="L2" i="13" s="1"/>
  <c r="S61" i="3"/>
  <c r="L4" i="14" s="1"/>
  <c r="S56" i="3"/>
  <c r="L6" i="13" s="1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L4" i="13" s="1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L5" i="13" s="1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J21" i="3"/>
  <c r="C6" i="8" s="1"/>
  <c r="N21" i="3"/>
  <c r="G6" i="8" s="1"/>
  <c r="R21" i="3"/>
  <c r="K6" i="8" s="1"/>
  <c r="M21" i="3"/>
  <c r="F6" i="8" s="1"/>
  <c r="K21" i="3"/>
  <c r="D6" i="8" s="1"/>
  <c r="O21" i="3"/>
  <c r="H6" i="8" s="1"/>
  <c r="S21" i="3"/>
  <c r="L6" i="8" s="1"/>
  <c r="Q21" i="3"/>
  <c r="J6" i="8" s="1"/>
  <c r="L21" i="3"/>
  <c r="E6" i="8" s="1"/>
  <c r="P21" i="3"/>
  <c r="I6" i="8" s="1"/>
  <c r="T9" i="3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10" i="3" l="1"/>
  <c r="M2" i="2" s="1"/>
  <c r="T24" i="3"/>
  <c r="M2" i="9" s="1"/>
  <c r="T31" i="3"/>
  <c r="M2" i="10" s="1"/>
  <c r="M2" i="8"/>
  <c r="T13" i="3"/>
  <c r="M5" i="2" s="1"/>
  <c r="M6" i="2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M7" i="13" s="1"/>
  <c r="T44" i="3"/>
  <c r="M8" i="11" s="1"/>
  <c r="T50" i="3"/>
  <c r="M7" i="12" s="1"/>
  <c r="T58" i="3"/>
  <c r="M8" i="13" s="1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M3" i="13" s="1"/>
  <c r="T91" i="3"/>
  <c r="T89" i="3"/>
  <c r="T88" i="3"/>
  <c r="T87" i="3"/>
  <c r="T42" i="3"/>
  <c r="M6" i="11" s="1"/>
  <c r="T76" i="3"/>
  <c r="M5" i="16" s="1"/>
  <c r="T61" i="3"/>
  <c r="M4" i="14" s="1"/>
  <c r="T52" i="3"/>
  <c r="M2" i="13" s="1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M4" i="13" s="1"/>
  <c r="T45" i="3"/>
  <c r="M2" i="12" s="1"/>
  <c r="T27" i="3"/>
  <c r="M5" i="9" s="1"/>
  <c r="T77" i="3"/>
  <c r="M6" i="16" s="1"/>
  <c r="T68" i="3"/>
  <c r="M4" i="15" s="1"/>
  <c r="T56" i="3"/>
  <c r="M6" i="13" s="1"/>
  <c r="T67" i="3"/>
  <c r="M3" i="15" s="1"/>
  <c r="T74" i="3"/>
  <c r="M3" i="16" s="1"/>
  <c r="T60" i="3"/>
  <c r="M3" i="14" s="1"/>
  <c r="T55" i="3"/>
  <c r="M5" i="13" s="1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T21" i="3"/>
  <c r="M6" i="8" s="1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U24" i="3" l="1"/>
  <c r="N2" i="9" s="1"/>
  <c r="U10" i="3"/>
  <c r="N2" i="2" s="1"/>
  <c r="N2" i="8"/>
  <c r="U31" i="3"/>
  <c r="N2" i="10" s="1"/>
  <c r="U80" i="3"/>
  <c r="N2" i="17" s="1"/>
  <c r="N6" i="2"/>
  <c r="U36" i="3"/>
  <c r="N7" i="10" s="1"/>
  <c r="U37" i="3"/>
  <c r="N8" i="10" s="1"/>
  <c r="U58" i="3"/>
  <c r="N8" i="13" s="1"/>
  <c r="U64" i="3"/>
  <c r="N7" i="14" s="1"/>
  <c r="U43" i="3"/>
  <c r="N7" i="11" s="1"/>
  <c r="U51" i="3"/>
  <c r="N8" i="12" s="1"/>
  <c r="U57" i="3"/>
  <c r="N7" i="13" s="1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N3" i="13" s="1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N2" i="13" s="1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N6" i="13" s="1"/>
  <c r="U38" i="3"/>
  <c r="N2" i="11" s="1"/>
  <c r="U67" i="3"/>
  <c r="N3" i="15" s="1"/>
  <c r="U74" i="3"/>
  <c r="N3" i="16" s="1"/>
  <c r="U60" i="3"/>
  <c r="N3" i="14" s="1"/>
  <c r="U55" i="3"/>
  <c r="N5" i="13" s="1"/>
  <c r="U39" i="3"/>
  <c r="N3" i="11" s="1"/>
  <c r="U63" i="3"/>
  <c r="N6" i="14" s="1"/>
  <c r="U20" i="3"/>
  <c r="N5" i="8" s="1"/>
  <c r="U54" i="3"/>
  <c r="N4" i="13" s="1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U21" i="3"/>
  <c r="N6" i="8" s="1"/>
  <c r="U35" i="3"/>
  <c r="N6" i="10" s="1"/>
  <c r="U25" i="3"/>
  <c r="N3" i="9" s="1"/>
  <c r="V9" i="3"/>
  <c r="V31" i="3" s="1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V24" i="3" l="1"/>
  <c r="O2" i="9" s="1"/>
  <c r="V10" i="3"/>
  <c r="O2" i="2" s="1"/>
  <c r="O2" i="10"/>
  <c r="O6" i="2"/>
  <c r="V80" i="3"/>
  <c r="O2" i="17" s="1"/>
  <c r="O2" i="8"/>
  <c r="V25" i="3"/>
  <c r="O3" i="9" s="1"/>
  <c r="V32" i="3"/>
  <c r="O3" i="10" s="1"/>
  <c r="V21" i="3"/>
  <c r="O6" i="8" s="1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O8" i="13" s="1"/>
  <c r="V64" i="3"/>
  <c r="O7" i="14" s="1"/>
  <c r="V43" i="3"/>
  <c r="O7" i="11" s="1"/>
  <c r="V51" i="3"/>
  <c r="O8" i="12" s="1"/>
  <c r="V57" i="3"/>
  <c r="O7" i="13" s="1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O3" i="13" s="1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O2" i="13" s="1"/>
  <c r="V41" i="3"/>
  <c r="O5" i="11" s="1"/>
  <c r="V34" i="3"/>
  <c r="O5" i="10" s="1"/>
  <c r="V49" i="3"/>
  <c r="O6" i="12" s="1"/>
  <c r="V74" i="3"/>
  <c r="O3" i="16" s="1"/>
  <c r="V55" i="3"/>
  <c r="O5" i="13" s="1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O6" i="13" s="1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O4" i="13" s="1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W10" i="3" l="1"/>
  <c r="P2" i="2" s="1"/>
  <c r="W24" i="3"/>
  <c r="P2" i="9" s="1"/>
  <c r="W31" i="3"/>
  <c r="P2" i="10" s="1"/>
  <c r="P2" i="8"/>
  <c r="P6" i="2"/>
  <c r="W80" i="3"/>
  <c r="P2" i="17" s="1"/>
  <c r="W36" i="3"/>
  <c r="P7" i="10" s="1"/>
  <c r="W37" i="3"/>
  <c r="P8" i="10" s="1"/>
  <c r="W57" i="3"/>
  <c r="P7" i="13" s="1"/>
  <c r="W44" i="3"/>
  <c r="P8" i="11" s="1"/>
  <c r="W50" i="3"/>
  <c r="P7" i="12" s="1"/>
  <c r="W58" i="3"/>
  <c r="P8" i="13" s="1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P3" i="13" s="1"/>
  <c r="W89" i="3"/>
  <c r="W52" i="3"/>
  <c r="P2" i="13" s="1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P6" i="13" s="1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P4" i="13" s="1"/>
  <c r="W38" i="3"/>
  <c r="P2" i="11" s="1"/>
  <c r="W55" i="3"/>
  <c r="P5" i="13" s="1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W21" i="3"/>
  <c r="P6" i="8" s="1"/>
  <c r="W25" i="3"/>
  <c r="P3" i="9" s="1"/>
  <c r="W32" i="3"/>
  <c r="P3" i="10" s="1"/>
  <c r="W35" i="3"/>
  <c r="P6" i="10" s="1"/>
  <c r="X9" i="3"/>
  <c r="X24" i="3" s="1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X10" i="3" l="1"/>
  <c r="X31" i="3"/>
  <c r="Q2" i="10" s="1"/>
  <c r="Q2" i="8"/>
  <c r="Q2" i="2"/>
  <c r="Q2" i="9"/>
  <c r="Q6" i="2"/>
  <c r="X80" i="3"/>
  <c r="Q2" i="17" s="1"/>
  <c r="X11" i="3"/>
  <c r="Q3" i="2" s="1"/>
  <c r="X36" i="3"/>
  <c r="Q7" i="10" s="1"/>
  <c r="X37" i="3"/>
  <c r="Q8" i="10" s="1"/>
  <c r="X21" i="3"/>
  <c r="Q6" i="8" s="1"/>
  <c r="X25" i="3"/>
  <c r="Q3" i="9" s="1"/>
  <c r="X28" i="3"/>
  <c r="Q6" i="9" s="1"/>
  <c r="X32" i="3"/>
  <c r="Q3" i="10" s="1"/>
  <c r="X43" i="3"/>
  <c r="Q7" i="11" s="1"/>
  <c r="X51" i="3"/>
  <c r="Q8" i="12" s="1"/>
  <c r="X57" i="3"/>
  <c r="Q7" i="13" s="1"/>
  <c r="X44" i="3"/>
  <c r="Q8" i="11" s="1"/>
  <c r="X50" i="3"/>
  <c r="Q7" i="12" s="1"/>
  <c r="X58" i="3"/>
  <c r="Q8" i="13" s="1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Q3" i="13" s="1"/>
  <c r="X88" i="3"/>
  <c r="X91" i="3"/>
  <c r="X89" i="3"/>
  <c r="X42" i="3"/>
  <c r="Q6" i="11" s="1"/>
  <c r="X52" i="3"/>
  <c r="Q2" i="13" s="1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Q6" i="13" s="1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Q5" i="13" s="1"/>
  <c r="X27" i="3"/>
  <c r="Q5" i="9" s="1"/>
  <c r="X77" i="3"/>
  <c r="Q6" i="16" s="1"/>
  <c r="X68" i="3"/>
  <c r="Q4" i="15" s="1"/>
  <c r="X54" i="3"/>
  <c r="Q4" i="13" s="1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Y24" i="3" l="1"/>
  <c r="R2" i="9" s="1"/>
  <c r="Y10" i="3"/>
  <c r="R2" i="2" s="1"/>
  <c r="R2" i="8"/>
  <c r="Y31" i="3"/>
  <c r="R2" i="10" s="1"/>
  <c r="R6" i="2"/>
  <c r="Y80" i="3"/>
  <c r="R2" i="17" s="1"/>
  <c r="Y36" i="3"/>
  <c r="R7" i="10" s="1"/>
  <c r="Y37" i="3"/>
  <c r="R8" i="10" s="1"/>
  <c r="Y21" i="3"/>
  <c r="R6" i="8" s="1"/>
  <c r="Y58" i="3"/>
  <c r="R8" i="13" s="1"/>
  <c r="Y43" i="3"/>
  <c r="R7" i="11" s="1"/>
  <c r="Y51" i="3"/>
  <c r="R8" i="12" s="1"/>
  <c r="Y57" i="3"/>
  <c r="R7" i="13" s="1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R2" i="13" s="1"/>
  <c r="Y53" i="3"/>
  <c r="R3" i="13" s="1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R5" i="13" s="1"/>
  <c r="Y27" i="3"/>
  <c r="R5" i="9" s="1"/>
  <c r="Y39" i="3"/>
  <c r="R3" i="11" s="1"/>
  <c r="Y63" i="3"/>
  <c r="R6" i="14" s="1"/>
  <c r="Y54" i="3"/>
  <c r="R4" i="13" s="1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R6" i="13" s="1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Z24" i="3" l="1"/>
  <c r="S2" i="9" s="1"/>
  <c r="Z10" i="3"/>
  <c r="S2" i="2" s="1"/>
  <c r="Z31" i="3"/>
  <c r="S2" i="10" s="1"/>
  <c r="Z80" i="3"/>
  <c r="S2" i="17" s="1"/>
  <c r="S6" i="2"/>
  <c r="S2" i="8"/>
  <c r="Z11" i="3"/>
  <c r="S3" i="2" s="1"/>
  <c r="Z36" i="3"/>
  <c r="S7" i="10" s="1"/>
  <c r="Z37" i="3"/>
  <c r="S8" i="10" s="1"/>
  <c r="Z44" i="3"/>
  <c r="S8" i="11" s="1"/>
  <c r="Z50" i="3"/>
  <c r="S7" i="12" s="1"/>
  <c r="Z58" i="3"/>
  <c r="S8" i="13" s="1"/>
  <c r="Z64" i="3"/>
  <c r="S7" i="14" s="1"/>
  <c r="Z43" i="3"/>
  <c r="S7" i="11" s="1"/>
  <c r="Z51" i="3"/>
  <c r="S8" i="12" s="1"/>
  <c r="Z57" i="3"/>
  <c r="S7" i="13" s="1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S3" i="13" s="1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S2" i="13" s="1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S5" i="13" s="1"/>
  <c r="Z73" i="3"/>
  <c r="S2" i="16" s="1"/>
  <c r="Z63" i="3"/>
  <c r="S6" i="14" s="1"/>
  <c r="Z54" i="3"/>
  <c r="S4" i="13" s="1"/>
  <c r="Z47" i="3"/>
  <c r="S4" i="12" s="1"/>
  <c r="Z69" i="3"/>
  <c r="S5" i="15" s="1"/>
  <c r="Z39" i="3"/>
  <c r="S3" i="11" s="1"/>
  <c r="Z59" i="3"/>
  <c r="S2" i="14" s="1"/>
  <c r="Z56" i="3"/>
  <c r="S6" i="13" s="1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Z21" i="3"/>
  <c r="S6" i="8" s="1"/>
  <c r="AA9" i="3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AA31" i="3" l="1"/>
  <c r="AA24" i="3"/>
  <c r="T2" i="9" s="1"/>
  <c r="AA10" i="3"/>
  <c r="T2" i="2" s="1"/>
  <c r="T6" i="2"/>
  <c r="AA80" i="3"/>
  <c r="T2" i="17" s="1"/>
  <c r="T2" i="8"/>
  <c r="AA21" i="3"/>
  <c r="T6" i="8" s="1"/>
  <c r="AA36" i="3"/>
  <c r="T7" i="10" s="1"/>
  <c r="AA37" i="3"/>
  <c r="T8" i="10" s="1"/>
  <c r="AA57" i="3"/>
  <c r="T7" i="13" s="1"/>
  <c r="AA44" i="3"/>
  <c r="T8" i="11" s="1"/>
  <c r="AA50" i="3"/>
  <c r="T7" i="12" s="1"/>
  <c r="AA58" i="3"/>
  <c r="T8" i="13" s="1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T3" i="13" s="1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T2" i="13" s="1"/>
  <c r="AA76" i="3"/>
  <c r="T5" i="16" s="1"/>
  <c r="AA70" i="3"/>
  <c r="T6" i="15" s="1"/>
  <c r="AA61" i="3"/>
  <c r="T4" i="14" s="1"/>
  <c r="AA38" i="3"/>
  <c r="T2" i="11" s="1"/>
  <c r="AA55" i="3"/>
  <c r="T5" i="13" s="1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T6" i="13" s="1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T4" i="13" s="1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T2" i="10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AB24" i="3" l="1"/>
  <c r="U2" i="9" s="1"/>
  <c r="AB10" i="3"/>
  <c r="U2" i="2" s="1"/>
  <c r="AB31" i="3"/>
  <c r="U6" i="2"/>
  <c r="AB80" i="3"/>
  <c r="U2" i="17" s="1"/>
  <c r="U2" i="8"/>
  <c r="AB11" i="3"/>
  <c r="U3" i="2" s="1"/>
  <c r="AB36" i="3"/>
  <c r="U7" i="10" s="1"/>
  <c r="AB37" i="3"/>
  <c r="U8" i="10" s="1"/>
  <c r="AB43" i="3"/>
  <c r="U7" i="11" s="1"/>
  <c r="AB51" i="3"/>
  <c r="U8" i="12" s="1"/>
  <c r="AB57" i="3"/>
  <c r="U7" i="13" s="1"/>
  <c r="AB44" i="3"/>
  <c r="U8" i="11" s="1"/>
  <c r="AB50" i="3"/>
  <c r="U7" i="12" s="1"/>
  <c r="AB58" i="3"/>
  <c r="U8" i="13" s="1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U3" i="13" s="1"/>
  <c r="AB62" i="3"/>
  <c r="U5" i="14" s="1"/>
  <c r="AB41" i="3"/>
  <c r="U5" i="11" s="1"/>
  <c r="AB75" i="3"/>
  <c r="U4" i="16" s="1"/>
  <c r="AB70" i="3"/>
  <c r="U6" i="15" s="1"/>
  <c r="AB66" i="3"/>
  <c r="U2" i="15" s="1"/>
  <c r="AB52" i="3"/>
  <c r="U2" i="13" s="1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U5" i="13" s="1"/>
  <c r="AB27" i="3"/>
  <c r="U5" i="9" s="1"/>
  <c r="AB48" i="3"/>
  <c r="U5" i="12" s="1"/>
  <c r="AB77" i="3"/>
  <c r="U6" i="16" s="1"/>
  <c r="AB68" i="3"/>
  <c r="U4" i="15" s="1"/>
  <c r="AB56" i="3"/>
  <c r="U6" i="13" s="1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U4" i="13" s="1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U2" i="10"/>
  <c r="AB28" i="3"/>
  <c r="U6" i="9" s="1"/>
  <c r="AB35" i="3"/>
  <c r="U6" i="10" s="1"/>
  <c r="AB32" i="3"/>
  <c r="U3" i="10" s="1"/>
  <c r="AB21" i="3"/>
  <c r="U6" i="8" s="1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AC24" i="3" l="1"/>
  <c r="V2" i="9" s="1"/>
  <c r="AC10" i="3"/>
  <c r="V2" i="2" s="1"/>
  <c r="AC31" i="3"/>
  <c r="V6" i="2"/>
  <c r="AC80" i="3"/>
  <c r="V2" i="17" s="1"/>
  <c r="V2" i="8"/>
  <c r="AC36" i="3"/>
  <c r="V7" i="10" s="1"/>
  <c r="AC37" i="3"/>
  <c r="V8" i="10" s="1"/>
  <c r="AC58" i="3"/>
  <c r="V8" i="13" s="1"/>
  <c r="AC43" i="3"/>
  <c r="V7" i="11" s="1"/>
  <c r="AC51" i="3"/>
  <c r="V8" i="12" s="1"/>
  <c r="AC57" i="3"/>
  <c r="V7" i="13" s="1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V3" i="13" s="1"/>
  <c r="AC52" i="3"/>
  <c r="V2" i="13" s="1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V6" i="13" s="1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V5" i="13" s="1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V4" i="13" s="1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V2" i="10"/>
  <c r="AC32" i="3"/>
  <c r="V3" i="10" s="1"/>
  <c r="AC25" i="3"/>
  <c r="V3" i="9" s="1"/>
  <c r="AC28" i="3"/>
  <c r="V6" i="9" s="1"/>
  <c r="AC21" i="3"/>
  <c r="V6" i="8" s="1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AD24" i="3" l="1"/>
  <c r="W2" i="9" s="1"/>
  <c r="AD10" i="3"/>
  <c r="W2" i="2" s="1"/>
  <c r="AD31" i="3"/>
  <c r="W6" i="2"/>
  <c r="AD80" i="3"/>
  <c r="W2" i="17" s="1"/>
  <c r="W2" i="8"/>
  <c r="AD11" i="3"/>
  <c r="W3" i="2" s="1"/>
  <c r="AD36" i="3"/>
  <c r="W7" i="10" s="1"/>
  <c r="AD37" i="3"/>
  <c r="W8" i="10" s="1"/>
  <c r="AD44" i="3"/>
  <c r="W8" i="11" s="1"/>
  <c r="AD50" i="3"/>
  <c r="W7" i="12" s="1"/>
  <c r="AD58" i="3"/>
  <c r="W8" i="13" s="1"/>
  <c r="AD64" i="3"/>
  <c r="W7" i="14" s="1"/>
  <c r="AD43" i="3"/>
  <c r="W7" i="11" s="1"/>
  <c r="AD51" i="3"/>
  <c r="W8" i="12" s="1"/>
  <c r="AD57" i="3"/>
  <c r="W7" i="13" s="1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W3" i="13" s="1"/>
  <c r="AD87" i="3"/>
  <c r="AD91" i="3"/>
  <c r="AD89" i="3"/>
  <c r="AD90" i="3"/>
  <c r="AD42" i="3"/>
  <c r="W6" i="11" s="1"/>
  <c r="AD88" i="3"/>
  <c r="AD52" i="3"/>
  <c r="W2" i="13" s="1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W6" i="13" s="1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W5" i="13" s="1"/>
  <c r="AD63" i="3"/>
  <c r="W6" i="14" s="1"/>
  <c r="AD47" i="3"/>
  <c r="W4" i="12" s="1"/>
  <c r="AD69" i="3"/>
  <c r="W5" i="15" s="1"/>
  <c r="AD39" i="3"/>
  <c r="W3" i="11" s="1"/>
  <c r="AD59" i="3"/>
  <c r="W2" i="14" s="1"/>
  <c r="AD54" i="3"/>
  <c r="W4" i="13" s="1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W2" i="10"/>
  <c r="AD28" i="3"/>
  <c r="W6" i="9" s="1"/>
  <c r="AD32" i="3"/>
  <c r="W3" i="10" s="1"/>
  <c r="AD25" i="3"/>
  <c r="W3" i="9" s="1"/>
  <c r="AD21" i="3"/>
  <c r="W6" i="8" s="1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AE24" i="3" l="1"/>
  <c r="X2" i="9" s="1"/>
  <c r="AE10" i="3"/>
  <c r="X2" i="2" s="1"/>
  <c r="AE31" i="3"/>
  <c r="X6" i="2"/>
  <c r="AE80" i="3"/>
  <c r="X2" i="17" s="1"/>
  <c r="X2" i="8"/>
  <c r="AE36" i="3"/>
  <c r="X7" i="10" s="1"/>
  <c r="AE37" i="3"/>
  <c r="X8" i="10" s="1"/>
  <c r="AE57" i="3"/>
  <c r="X7" i="13" s="1"/>
  <c r="AE44" i="3"/>
  <c r="X8" i="11" s="1"/>
  <c r="AE50" i="3"/>
  <c r="X7" i="12" s="1"/>
  <c r="AE58" i="3"/>
  <c r="X8" i="13" s="1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X3" i="13" s="1"/>
  <c r="AE89" i="3"/>
  <c r="AE52" i="3"/>
  <c r="X2" i="13" s="1"/>
  <c r="AE90" i="3"/>
  <c r="AE42" i="3"/>
  <c r="X6" i="11" s="1"/>
  <c r="AE61" i="3"/>
  <c r="X4" i="14" s="1"/>
  <c r="AE56" i="3"/>
  <c r="X6" i="13" s="1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X5" i="13" s="1"/>
  <c r="AE68" i="3"/>
  <c r="X4" i="15" s="1"/>
  <c r="AE59" i="3"/>
  <c r="X2" i="14" s="1"/>
  <c r="AE54" i="3"/>
  <c r="X4" i="13" s="1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X2" i="10"/>
  <c r="AE25" i="3"/>
  <c r="X3" i="9" s="1"/>
  <c r="AE32" i="3"/>
  <c r="X3" i="10" s="1"/>
  <c r="AE21" i="3"/>
  <c r="X6" i="8" s="1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AF24" i="3" l="1"/>
  <c r="Y2" i="9" s="1"/>
  <c r="AF10" i="3"/>
  <c r="AF31" i="3"/>
  <c r="Y6" i="2"/>
  <c r="AF80" i="3"/>
  <c r="Y2" i="17" s="1"/>
  <c r="Y2" i="8"/>
  <c r="Y2" i="2"/>
  <c r="AF36" i="3"/>
  <c r="Y7" i="10" s="1"/>
  <c r="AF37" i="3"/>
  <c r="Y8" i="10" s="1"/>
  <c r="AF43" i="3"/>
  <c r="Y7" i="11" s="1"/>
  <c r="AF51" i="3"/>
  <c r="Y8" i="12" s="1"/>
  <c r="AF57" i="3"/>
  <c r="Y7" i="13" s="1"/>
  <c r="AF44" i="3"/>
  <c r="Y8" i="11" s="1"/>
  <c r="AF50" i="3"/>
  <c r="Y7" i="12" s="1"/>
  <c r="AF58" i="3"/>
  <c r="Y8" i="13" s="1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Y3" i="13" s="1"/>
  <c r="AF91" i="3"/>
  <c r="AF89" i="3"/>
  <c r="AF42" i="3"/>
  <c r="Y6" i="11" s="1"/>
  <c r="AF52" i="3"/>
  <c r="Y2" i="13" s="1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Y5" i="13" s="1"/>
  <c r="AF77" i="3"/>
  <c r="Y6" i="16" s="1"/>
  <c r="AF73" i="3"/>
  <c r="Y2" i="16" s="1"/>
  <c r="AF59" i="3"/>
  <c r="Y2" i="14" s="1"/>
  <c r="AF54" i="3"/>
  <c r="Y4" i="13" s="1"/>
  <c r="AF45" i="3"/>
  <c r="Y2" i="12" s="1"/>
  <c r="AF27" i="3"/>
  <c r="Y5" i="9" s="1"/>
  <c r="AF68" i="3"/>
  <c r="Y4" i="15" s="1"/>
  <c r="AF56" i="3"/>
  <c r="Y6" i="13" s="1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Y2" i="10"/>
  <c r="AF32" i="3"/>
  <c r="Y3" i="10" s="1"/>
  <c r="AF28" i="3"/>
  <c r="Y6" i="9" s="1"/>
  <c r="AF21" i="3"/>
  <c r="Y6" i="8" s="1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AG10" i="3" l="1"/>
  <c r="Z2" i="2" s="1"/>
  <c r="AG24" i="3"/>
  <c r="AG31" i="3"/>
  <c r="Z6" i="2"/>
  <c r="AG80" i="3"/>
  <c r="Z2" i="17" s="1"/>
  <c r="Z2" i="9"/>
  <c r="Z2" i="8"/>
  <c r="AG36" i="3"/>
  <c r="Z7" i="10" s="1"/>
  <c r="AG37" i="3"/>
  <c r="Z8" i="10" s="1"/>
  <c r="AG58" i="3"/>
  <c r="Z8" i="13" s="1"/>
  <c r="AG43" i="3"/>
  <c r="Z7" i="11" s="1"/>
  <c r="AG51" i="3"/>
  <c r="Z8" i="12" s="1"/>
  <c r="AG57" i="3"/>
  <c r="Z7" i="13" s="1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Z3" i="13" s="1"/>
  <c r="AG42" i="3"/>
  <c r="AG91" i="3"/>
  <c r="AG89" i="3"/>
  <c r="AG90" i="3"/>
  <c r="AG88" i="3"/>
  <c r="AG87" i="3"/>
  <c r="AG75" i="3"/>
  <c r="Z4" i="16" s="1"/>
  <c r="AG52" i="3"/>
  <c r="Z2" i="13" s="1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Z6" i="13" s="1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Z4" i="13" s="1"/>
  <c r="AG38" i="3"/>
  <c r="Z2" i="11" s="1"/>
  <c r="AG67" i="3"/>
  <c r="Z3" i="15" s="1"/>
  <c r="AG45" i="3"/>
  <c r="Z2" i="12" s="1"/>
  <c r="AG60" i="3"/>
  <c r="Z3" i="14" s="1"/>
  <c r="AG55" i="3"/>
  <c r="Z5" i="13" s="1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Z2" i="10"/>
  <c r="AG28" i="3"/>
  <c r="Z6" i="9" s="1"/>
  <c r="AG21" i="3"/>
  <c r="Z6" i="8" s="1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H10" i="3" l="1"/>
  <c r="AA2" i="2" s="1"/>
  <c r="AH24" i="3"/>
  <c r="AA2" i="9" s="1"/>
  <c r="AH31" i="3"/>
  <c r="AA6" i="2"/>
  <c r="AH80" i="3"/>
  <c r="AA2" i="17" s="1"/>
  <c r="AA2" i="8"/>
  <c r="AH36" i="3"/>
  <c r="AA7" i="10" s="1"/>
  <c r="AH37" i="3"/>
  <c r="AA8" i="10" s="1"/>
  <c r="AH44" i="3"/>
  <c r="AA8" i="11" s="1"/>
  <c r="AH50" i="3"/>
  <c r="AA7" i="12" s="1"/>
  <c r="AH58" i="3"/>
  <c r="AA8" i="13" s="1"/>
  <c r="AH64" i="3"/>
  <c r="AA7" i="14" s="1"/>
  <c r="AH43" i="3"/>
  <c r="AA7" i="11" s="1"/>
  <c r="AH51" i="3"/>
  <c r="AA8" i="12" s="1"/>
  <c r="AH57" i="3"/>
  <c r="AA7" i="13" s="1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A3" i="13" s="1"/>
  <c r="AH91" i="3"/>
  <c r="AH89" i="3"/>
  <c r="AH88" i="3"/>
  <c r="AH90" i="3"/>
  <c r="AH87" i="3"/>
  <c r="AH42" i="3"/>
  <c r="AA6" i="11" s="1"/>
  <c r="AH52" i="3"/>
  <c r="AA2" i="13" s="1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A6" i="13" s="1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A5" i="13" s="1"/>
  <c r="AH39" i="3"/>
  <c r="AA3" i="11" s="1"/>
  <c r="AH63" i="3"/>
  <c r="AA6" i="14" s="1"/>
  <c r="AH54" i="3"/>
  <c r="AA4" i="13" s="1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A2" i="10"/>
  <c r="AH32" i="3"/>
  <c r="AA3" i="10" s="1"/>
  <c r="AH21" i="3"/>
  <c r="AA6" i="8" s="1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I24" i="3" l="1"/>
  <c r="AB2" i="9" s="1"/>
  <c r="AI10" i="3"/>
  <c r="AB2" i="2" s="1"/>
  <c r="AI31" i="3"/>
  <c r="AB2" i="10" s="1"/>
  <c r="AB6" i="2"/>
  <c r="AI80" i="3"/>
  <c r="AB2" i="17" s="1"/>
  <c r="AB2" i="8"/>
  <c r="AI36" i="3"/>
  <c r="AB7" i="10" s="1"/>
  <c r="AI37" i="3"/>
  <c r="AB8" i="10" s="1"/>
  <c r="AI57" i="3"/>
  <c r="AB7" i="13" s="1"/>
  <c r="AI44" i="3"/>
  <c r="AB8" i="11" s="1"/>
  <c r="AI50" i="3"/>
  <c r="AB7" i="12" s="1"/>
  <c r="AI58" i="3"/>
  <c r="AB8" i="13" s="1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B3" i="13" s="1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B2" i="13" s="1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B5" i="13" s="1"/>
  <c r="AI59" i="3"/>
  <c r="AB2" i="14" s="1"/>
  <c r="AI54" i="3"/>
  <c r="AB4" i="13" s="1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B6" i="13" s="1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I21" i="3"/>
  <c r="AB6" i="8" s="1"/>
  <c r="AI25" i="3"/>
  <c r="AB3" i="9" s="1"/>
  <c r="AJ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  <c r="AJ24" i="3" l="1"/>
  <c r="AC2" i="9" s="1"/>
  <c r="AJ10" i="3"/>
  <c r="AC2" i="2" s="1"/>
  <c r="AJ31" i="3"/>
  <c r="AC2" i="10" s="1"/>
  <c r="AC6" i="2"/>
  <c r="AC2" i="8"/>
  <c r="AJ80" i="3"/>
  <c r="AC2" i="17" s="1"/>
  <c r="AJ36" i="3"/>
  <c r="AC7" i="10" s="1"/>
  <c r="AJ37" i="3"/>
  <c r="AC8" i="10" s="1"/>
  <c r="AJ43" i="3"/>
  <c r="AC7" i="11" s="1"/>
  <c r="AJ51" i="3"/>
  <c r="AC8" i="12" s="1"/>
  <c r="AJ57" i="3"/>
  <c r="AC7" i="13" s="1"/>
  <c r="AJ44" i="3"/>
  <c r="AC8" i="11" s="1"/>
  <c r="AJ50" i="3"/>
  <c r="AC7" i="12" s="1"/>
  <c r="AJ58" i="3"/>
  <c r="AC8" i="13" s="1"/>
  <c r="AJ72" i="3"/>
  <c r="AC8" i="15" s="1"/>
  <c r="AJ78" i="3"/>
  <c r="AC7" i="16" s="1"/>
  <c r="AJ86" i="3"/>
  <c r="AC8" i="17" s="1"/>
  <c r="AJ64" i="3"/>
  <c r="AC7" i="14" s="1"/>
  <c r="AJ65" i="3"/>
  <c r="AC8" i="14" s="1"/>
  <c r="AJ71" i="3"/>
  <c r="AC7" i="15" s="1"/>
  <c r="AJ79" i="3"/>
  <c r="AC8" i="16" s="1"/>
  <c r="AJ85" i="3"/>
  <c r="AC7" i="17" s="1"/>
  <c r="AJ93" i="3"/>
  <c r="AJ92" i="3"/>
  <c r="AJ30" i="3"/>
  <c r="AC8" i="9" s="1"/>
  <c r="AJ29" i="3"/>
  <c r="AC7" i="9" s="1"/>
  <c r="AJ22" i="3"/>
  <c r="AC7" i="8" s="1"/>
  <c r="AJ15" i="3"/>
  <c r="AC7" i="2" s="1"/>
  <c r="AJ18" i="3"/>
  <c r="AC3" i="8" s="1"/>
  <c r="AJ16" i="3"/>
  <c r="AC8" i="2" s="1"/>
  <c r="AJ23" i="3"/>
  <c r="AC8" i="8" s="1"/>
  <c r="AJ90" i="3"/>
  <c r="AJ53" i="3"/>
  <c r="AC3" i="13" s="1"/>
  <c r="AJ88" i="3"/>
  <c r="AJ87" i="3"/>
  <c r="AJ91" i="3"/>
  <c r="AJ89" i="3"/>
  <c r="AJ42" i="3"/>
  <c r="AC6" i="11" s="1"/>
  <c r="AJ76" i="3"/>
  <c r="AC5" i="16" s="1"/>
  <c r="AJ61" i="3"/>
  <c r="AC4" i="14" s="1"/>
  <c r="AJ46" i="3"/>
  <c r="AC3" i="12" s="1"/>
  <c r="AJ82" i="3"/>
  <c r="AC4" i="17" s="1"/>
  <c r="AJ62" i="3"/>
  <c r="AC5" i="14" s="1"/>
  <c r="AJ41" i="3"/>
  <c r="AC5" i="11" s="1"/>
  <c r="AJ75" i="3"/>
  <c r="AC4" i="16" s="1"/>
  <c r="AJ70" i="3"/>
  <c r="AC6" i="15" s="1"/>
  <c r="AJ52" i="3"/>
  <c r="AC2" i="13" s="1"/>
  <c r="AJ66" i="3"/>
  <c r="AC2" i="15" s="1"/>
  <c r="AJ34" i="3"/>
  <c r="AC5" i="10" s="1"/>
  <c r="AJ49" i="3"/>
  <c r="AC6" i="12" s="1"/>
  <c r="AJ40" i="3"/>
  <c r="AC4" i="11" s="1"/>
  <c r="AJ47" i="3"/>
  <c r="AC4" i="12" s="1"/>
  <c r="AJ74" i="3"/>
  <c r="AC3" i="16" s="1"/>
  <c r="AJ69" i="3"/>
  <c r="AC5" i="15" s="1"/>
  <c r="AJ55" i="3"/>
  <c r="AC5" i="13" s="1"/>
  <c r="AJ19" i="3"/>
  <c r="AC4" i="8" s="1"/>
  <c r="AJ77" i="3"/>
  <c r="AC6" i="16" s="1"/>
  <c r="AJ73" i="3"/>
  <c r="AC2" i="16" s="1"/>
  <c r="AJ59" i="3"/>
  <c r="AC2" i="14" s="1"/>
  <c r="AJ54" i="3"/>
  <c r="AC4" i="13" s="1"/>
  <c r="AJ45" i="3"/>
  <c r="AC2" i="12" s="1"/>
  <c r="AJ27" i="3"/>
  <c r="AC5" i="9" s="1"/>
  <c r="AJ68" i="3"/>
  <c r="AC4" i="15" s="1"/>
  <c r="AJ56" i="3"/>
  <c r="AC6" i="13" s="1"/>
  <c r="AJ38" i="3"/>
  <c r="AC2" i="11" s="1"/>
  <c r="AJ67" i="3"/>
  <c r="AC3" i="15" s="1"/>
  <c r="AJ60" i="3"/>
  <c r="AC3" i="14" s="1"/>
  <c r="AJ48" i="3"/>
  <c r="AC5" i="12" s="1"/>
  <c r="AJ39" i="3"/>
  <c r="AC3" i="11" s="1"/>
  <c r="AJ63" i="3"/>
  <c r="AC6" i="14" s="1"/>
  <c r="AJ20" i="3"/>
  <c r="AC5" i="8" s="1"/>
  <c r="AJ81" i="3"/>
  <c r="AC3" i="17" s="1"/>
  <c r="AJ84" i="3"/>
  <c r="AC6" i="17" s="1"/>
  <c r="AJ33" i="3"/>
  <c r="AC4" i="10" s="1"/>
  <c r="AJ26" i="3"/>
  <c r="AC4" i="9" s="1"/>
  <c r="AJ83" i="3"/>
  <c r="AC5" i="17" s="1"/>
  <c r="AJ35" i="3"/>
  <c r="AC6" i="10" s="1"/>
  <c r="AJ32" i="3"/>
  <c r="AC3" i="10" s="1"/>
  <c r="AJ28" i="3"/>
  <c r="AC6" i="9" s="1"/>
  <c r="AJ21" i="3"/>
  <c r="AC6" i="8" s="1"/>
  <c r="AJ25" i="3"/>
  <c r="AC3" i="9" s="1"/>
  <c r="AK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J12" i="3"/>
  <c r="AC4" i="2" s="1"/>
  <c r="AJ13" i="3"/>
  <c r="AC5" i="2" s="1"/>
  <c r="AJ11" i="3"/>
  <c r="AC3" i="2" s="1"/>
  <c r="AK10" i="3" l="1"/>
  <c r="AD2" i="2" s="1"/>
  <c r="AK24" i="3"/>
  <c r="AD2" i="9" s="1"/>
  <c r="AK31" i="3"/>
  <c r="AD2" i="10" s="1"/>
  <c r="AD6" i="2"/>
  <c r="AK80" i="3"/>
  <c r="AD2" i="17" s="1"/>
  <c r="AD2" i="8"/>
  <c r="AK36" i="3"/>
  <c r="AD7" i="10" s="1"/>
  <c r="AK37" i="3"/>
  <c r="AD8" i="10" s="1"/>
  <c r="AK58" i="3"/>
  <c r="AD8" i="13" s="1"/>
  <c r="AK43" i="3"/>
  <c r="AD7" i="11" s="1"/>
  <c r="AK51" i="3"/>
  <c r="AD8" i="12" s="1"/>
  <c r="AK57" i="3"/>
  <c r="AD7" i="13" s="1"/>
  <c r="AK44" i="3"/>
  <c r="AD8" i="11" s="1"/>
  <c r="AK50" i="3"/>
  <c r="AD7" i="12" s="1"/>
  <c r="AK72" i="3"/>
  <c r="AD8" i="15" s="1"/>
  <c r="AK78" i="3"/>
  <c r="AD7" i="16" s="1"/>
  <c r="AK64" i="3"/>
  <c r="AD7" i="14" s="1"/>
  <c r="AK65" i="3"/>
  <c r="AD8" i="14" s="1"/>
  <c r="AK71" i="3"/>
  <c r="AD7" i="15" s="1"/>
  <c r="AK79" i="3"/>
  <c r="AD8" i="16" s="1"/>
  <c r="AK85" i="3"/>
  <c r="AD7" i="17" s="1"/>
  <c r="AK92" i="3"/>
  <c r="AK93" i="3"/>
  <c r="AK22" i="3"/>
  <c r="AD7" i="8" s="1"/>
  <c r="AK30" i="3"/>
  <c r="AD8" i="9" s="1"/>
  <c r="AK86" i="3"/>
  <c r="AD8" i="17" s="1"/>
  <c r="AK29" i="3"/>
  <c r="AD7" i="9" s="1"/>
  <c r="AK15" i="3"/>
  <c r="AD7" i="2" s="1"/>
  <c r="AK18" i="3"/>
  <c r="AD3" i="8" s="1"/>
  <c r="AK23" i="3"/>
  <c r="AD8" i="8" s="1"/>
  <c r="AK16" i="3"/>
  <c r="AD8" i="2" s="1"/>
  <c r="AK87" i="3"/>
  <c r="AK53" i="3"/>
  <c r="AD3" i="13" s="1"/>
  <c r="AK91" i="3"/>
  <c r="AK89" i="3"/>
  <c r="AK90" i="3"/>
  <c r="AK88" i="3"/>
  <c r="AK42" i="3"/>
  <c r="AD6" i="11" s="1"/>
  <c r="AK76" i="3"/>
  <c r="AD5" i="16" s="1"/>
  <c r="AK82" i="3"/>
  <c r="AD4" i="17" s="1"/>
  <c r="AK61" i="3"/>
  <c r="AD4" i="14" s="1"/>
  <c r="AK52" i="3"/>
  <c r="AD2" i="13" s="1"/>
  <c r="AK75" i="3"/>
  <c r="AD4" i="16" s="1"/>
  <c r="AK62" i="3"/>
  <c r="AD5" i="14" s="1"/>
  <c r="AK41" i="3"/>
  <c r="AD5" i="11" s="1"/>
  <c r="AK70" i="3"/>
  <c r="AD6" i="15" s="1"/>
  <c r="AK46" i="3"/>
  <c r="AD3" i="12" s="1"/>
  <c r="AK66" i="3"/>
  <c r="AD2" i="15" s="1"/>
  <c r="AK67" i="3"/>
  <c r="AD3" i="15" s="1"/>
  <c r="AK45" i="3"/>
  <c r="AD2" i="12" s="1"/>
  <c r="AK19" i="3"/>
  <c r="AD4" i="8" s="1"/>
  <c r="AK77" i="3"/>
  <c r="AD6" i="16" s="1"/>
  <c r="AK56" i="3"/>
  <c r="AD6" i="13" s="1"/>
  <c r="AK38" i="3"/>
  <c r="AD2" i="11" s="1"/>
  <c r="AK74" i="3"/>
  <c r="AD3" i="16" s="1"/>
  <c r="AK73" i="3"/>
  <c r="AD2" i="16" s="1"/>
  <c r="AK59" i="3"/>
  <c r="AD2" i="14" s="1"/>
  <c r="AK47" i="3"/>
  <c r="AD4" i="12" s="1"/>
  <c r="AK49" i="3"/>
  <c r="AD6" i="12" s="1"/>
  <c r="AK40" i="3"/>
  <c r="AD4" i="11" s="1"/>
  <c r="AK69" i="3"/>
  <c r="AD5" i="15" s="1"/>
  <c r="AK68" i="3"/>
  <c r="AD4" i="15" s="1"/>
  <c r="AK34" i="3"/>
  <c r="AD5" i="10" s="1"/>
  <c r="AK60" i="3"/>
  <c r="AD3" i="14" s="1"/>
  <c r="AK55" i="3"/>
  <c r="AD5" i="13" s="1"/>
  <c r="AK27" i="3"/>
  <c r="AD5" i="9" s="1"/>
  <c r="AK48" i="3"/>
  <c r="AD5" i="12" s="1"/>
  <c r="AK39" i="3"/>
  <c r="AD3" i="11" s="1"/>
  <c r="AK63" i="3"/>
  <c r="AD6" i="14" s="1"/>
  <c r="AK54" i="3"/>
  <c r="AD4" i="13" s="1"/>
  <c r="AK20" i="3"/>
  <c r="AD5" i="8" s="1"/>
  <c r="AK84" i="3"/>
  <c r="AD6" i="17" s="1"/>
  <c r="AK81" i="3"/>
  <c r="AD3" i="17" s="1"/>
  <c r="AK33" i="3"/>
  <c r="AD4" i="10" s="1"/>
  <c r="AK26" i="3"/>
  <c r="AD4" i="9" s="1"/>
  <c r="AK83" i="3"/>
  <c r="AD5" i="17" s="1"/>
  <c r="AK35" i="3"/>
  <c r="AD6" i="10" s="1"/>
  <c r="AK28" i="3"/>
  <c r="AD6" i="9" s="1"/>
  <c r="AK32" i="3"/>
  <c r="AD3" i="10" s="1"/>
  <c r="AK25" i="3"/>
  <c r="AD3" i="9" s="1"/>
  <c r="AK21" i="3"/>
  <c r="AD6" i="8" s="1"/>
  <c r="AL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K12" i="3"/>
  <c r="AD4" i="2" s="1"/>
  <c r="AK13" i="3"/>
  <c r="AD5" i="2" s="1"/>
  <c r="AK11" i="3"/>
  <c r="AD3" i="2" s="1"/>
  <c r="AL24" i="3" l="1"/>
  <c r="AE2" i="9" s="1"/>
  <c r="AL10" i="3"/>
  <c r="AE2" i="2" s="1"/>
  <c r="AL31" i="3"/>
  <c r="AE6" i="2"/>
  <c r="AL80" i="3"/>
  <c r="AE2" i="17" s="1"/>
  <c r="AE2" i="8"/>
  <c r="AL36" i="3"/>
  <c r="AE7" i="10" s="1"/>
  <c r="AL37" i="3"/>
  <c r="AE8" i="10" s="1"/>
  <c r="AL44" i="3"/>
  <c r="AE8" i="11" s="1"/>
  <c r="AL50" i="3"/>
  <c r="AE7" i="12" s="1"/>
  <c r="AL58" i="3"/>
  <c r="AE8" i="13" s="1"/>
  <c r="AL64" i="3"/>
  <c r="AE7" i="14" s="1"/>
  <c r="AL29" i="3"/>
  <c r="AE7" i="9" s="1"/>
  <c r="AL43" i="3"/>
  <c r="AE7" i="11" s="1"/>
  <c r="AL51" i="3"/>
  <c r="AE8" i="12" s="1"/>
  <c r="AL57" i="3"/>
  <c r="AE7" i="13" s="1"/>
  <c r="AL65" i="3"/>
  <c r="AE8" i="14" s="1"/>
  <c r="AL71" i="3"/>
  <c r="AE7" i="15" s="1"/>
  <c r="AL79" i="3"/>
  <c r="AE8" i="16" s="1"/>
  <c r="AL85" i="3"/>
  <c r="AE7" i="17" s="1"/>
  <c r="AL72" i="3"/>
  <c r="AE8" i="15" s="1"/>
  <c r="AL78" i="3"/>
  <c r="AE7" i="16" s="1"/>
  <c r="AL92" i="3"/>
  <c r="AL93" i="3"/>
  <c r="AL30" i="3"/>
  <c r="AE8" i="9" s="1"/>
  <c r="AL22" i="3"/>
  <c r="AE7" i="8" s="1"/>
  <c r="AL86" i="3"/>
  <c r="AE8" i="17" s="1"/>
  <c r="AL15" i="3"/>
  <c r="AE7" i="2" s="1"/>
  <c r="AL18" i="3"/>
  <c r="AE3" i="8" s="1"/>
  <c r="AL16" i="3"/>
  <c r="AE8" i="2" s="1"/>
  <c r="AL23" i="3"/>
  <c r="AE8" i="8" s="1"/>
  <c r="AL90" i="3"/>
  <c r="AL88" i="3"/>
  <c r="AL42" i="3"/>
  <c r="AE6" i="11" s="1"/>
  <c r="AL53" i="3"/>
  <c r="AE3" i="13" s="1"/>
  <c r="AL91" i="3"/>
  <c r="AL89" i="3"/>
  <c r="AL87" i="3"/>
  <c r="AL82" i="3"/>
  <c r="AE4" i="17" s="1"/>
  <c r="AL75" i="3"/>
  <c r="AE4" i="16" s="1"/>
  <c r="AL70" i="3"/>
  <c r="AE6" i="15" s="1"/>
  <c r="AL66" i="3"/>
  <c r="AE2" i="15" s="1"/>
  <c r="AL52" i="3"/>
  <c r="AE2" i="13" s="1"/>
  <c r="AL76" i="3"/>
  <c r="AE5" i="16" s="1"/>
  <c r="AL61" i="3"/>
  <c r="AE4" i="14" s="1"/>
  <c r="AL62" i="3"/>
  <c r="AE5" i="14" s="1"/>
  <c r="AL46" i="3"/>
  <c r="AE3" i="12" s="1"/>
  <c r="AL41" i="3"/>
  <c r="AE5" i="11" s="1"/>
  <c r="AL34" i="3"/>
  <c r="AE5" i="10" s="1"/>
  <c r="AL74" i="3"/>
  <c r="AE3" i="16" s="1"/>
  <c r="AL55" i="3"/>
  <c r="AE5" i="13" s="1"/>
  <c r="AL39" i="3"/>
  <c r="AE3" i="11" s="1"/>
  <c r="AL63" i="3"/>
  <c r="AE6" i="14" s="1"/>
  <c r="AL56" i="3"/>
  <c r="AE6" i="13" s="1"/>
  <c r="AL47" i="3"/>
  <c r="AE4" i="12" s="1"/>
  <c r="AL69" i="3"/>
  <c r="AE5" i="15" s="1"/>
  <c r="AL59" i="3"/>
  <c r="AE2" i="14" s="1"/>
  <c r="AL38" i="3"/>
  <c r="AE2" i="11" s="1"/>
  <c r="AL49" i="3"/>
  <c r="AE6" i="12" s="1"/>
  <c r="AL45" i="3"/>
  <c r="AE2" i="12" s="1"/>
  <c r="AL40" i="3"/>
  <c r="AE4" i="11" s="1"/>
  <c r="AL27" i="3"/>
  <c r="AE5" i="9" s="1"/>
  <c r="AL19" i="3"/>
  <c r="AE4" i="8" s="1"/>
  <c r="AL48" i="3"/>
  <c r="AE5" i="12" s="1"/>
  <c r="AL77" i="3"/>
  <c r="AE6" i="16" s="1"/>
  <c r="AL73" i="3"/>
  <c r="AE2" i="16" s="1"/>
  <c r="AL67" i="3"/>
  <c r="AE3" i="15" s="1"/>
  <c r="AL60" i="3"/>
  <c r="AE3" i="14" s="1"/>
  <c r="AL68" i="3"/>
  <c r="AE4" i="15" s="1"/>
  <c r="AL54" i="3"/>
  <c r="AE4" i="13" s="1"/>
  <c r="AL20" i="3"/>
  <c r="AE5" i="8" s="1"/>
  <c r="AL84" i="3"/>
  <c r="AE6" i="17" s="1"/>
  <c r="AL81" i="3"/>
  <c r="AE3" i="17" s="1"/>
  <c r="AL26" i="3"/>
  <c r="AE4" i="9" s="1"/>
  <c r="AL33" i="3"/>
  <c r="AE4" i="10" s="1"/>
  <c r="AL83" i="3"/>
  <c r="AE5" i="17" s="1"/>
  <c r="AE2" i="10"/>
  <c r="AL35" i="3"/>
  <c r="AE6" i="10" s="1"/>
  <c r="AL28" i="3"/>
  <c r="AE6" i="9" s="1"/>
  <c r="AL25" i="3"/>
  <c r="AE3" i="9" s="1"/>
  <c r="AL21" i="3"/>
  <c r="AE6" i="8" s="1"/>
  <c r="AL32" i="3"/>
  <c r="AE3" i="10" s="1"/>
  <c r="AE1" i="18"/>
  <c r="AE1" i="16"/>
  <c r="AE1" i="14"/>
  <c r="AE1" i="12"/>
  <c r="AE1" i="10"/>
  <c r="AE1" i="17"/>
  <c r="AE1" i="15"/>
  <c r="AE1" i="13"/>
  <c r="AE1" i="11"/>
  <c r="AE1" i="8"/>
  <c r="AE1" i="2"/>
  <c r="AE1" i="9"/>
  <c r="AL12" i="3"/>
  <c r="AE4" i="2" s="1"/>
  <c r="AL13" i="3"/>
  <c r="AE5" i="2" s="1"/>
  <c r="AL11" i="3"/>
  <c r="AE3" i="2" s="1"/>
</calcChain>
</file>

<file path=xl/sharedStrings.xml><?xml version="1.0" encoding="utf-8"?>
<sst xmlns="http://schemas.openxmlformats.org/spreadsheetml/2006/main" count="1833" uniqueCount="1001">
  <si>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</si>
  <si>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</si>
  <si>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</si>
  <si>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</si>
  <si>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</si>
  <si>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</si>
  <si>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</si>
  <si>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</si>
  <si>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</si>
  <si>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</si>
  <si>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</si>
  <si>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</si>
  <si>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</si>
  <si>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</si>
  <si>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</si>
  <si>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</si>
  <si>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</si>
  <si>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</si>
  <si>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</si>
  <si>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</si>
  <si>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</si>
  <si>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</si>
  <si>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</si>
  <si>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</si>
  <si>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</si>
  <si>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</si>
  <si>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</si>
  <si>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</si>
  <si>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</si>
  <si>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</si>
  <si>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</si>
  <si>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</si>
  <si>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</si>
  <si>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</si>
  <si>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</si>
  <si>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</si>
  <si>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</si>
  <si>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</si>
  <si>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</si>
  <si>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</si>
  <si>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</si>
  <si>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</si>
  <si>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First and Last Simulated Year Values</t>
  </si>
  <si>
    <t>See SYVbT variable.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</si>
  <si>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</si>
  <si>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</si>
  <si>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</si>
  <si>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</si>
  <si>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</si>
  <si>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</si>
  <si>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</si>
  <si>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</si>
  <si>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</si>
  <si>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</si>
  <si>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</si>
  <si>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</si>
  <si>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</si>
  <si>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</si>
  <si>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</si>
  <si>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</si>
  <si>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</si>
  <si>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</si>
  <si>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</si>
  <si>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</si>
  <si>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</si>
  <si>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</si>
  <si>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</si>
  <si>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</si>
  <si>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</si>
  <si>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</si>
  <si>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</si>
  <si>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</si>
  <si>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</si>
  <si>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</si>
  <si>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</si>
  <si>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</si>
  <si>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</si>
  <si>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</si>
  <si>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</si>
  <si>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</si>
  <si>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</si>
  <si>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</si>
  <si>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</si>
  <si>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</si>
  <si>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</si>
  <si>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</si>
  <si>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</si>
  <si>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</si>
  <si>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</si>
  <si>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</si>
  <si>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</si>
  <si>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</si>
  <si>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</si>
  <si>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</si>
  <si>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</si>
  <si>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</si>
  <si>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</si>
  <si>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</si>
  <si>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</si>
  <si>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</si>
  <si>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</si>
  <si>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</si>
  <si>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</si>
  <si>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</si>
  <si>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</si>
  <si>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</si>
  <si>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</si>
  <si>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</si>
  <si>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</si>
  <si>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</si>
  <si>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</si>
  <si>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</si>
  <si>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</si>
  <si>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</si>
  <si>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</si>
  <si>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</si>
  <si>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</si>
  <si>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</si>
  <si>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</si>
  <si>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</si>
  <si>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</si>
  <si>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</si>
  <si>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</si>
  <si>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</si>
  <si>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</si>
  <si>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</si>
  <si>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</si>
  <si>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</si>
  <si>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</si>
  <si>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</si>
  <si>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</si>
  <si>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</si>
  <si>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</si>
  <si>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</si>
  <si>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</si>
  <si>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</si>
  <si>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</si>
  <si>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</si>
  <si>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</si>
  <si>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</si>
  <si>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</si>
  <si>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</si>
  <si>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</si>
  <si>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</si>
  <si>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</si>
  <si>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</si>
  <si>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</si>
  <si>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</si>
  <si>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</si>
  <si>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</si>
  <si>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</si>
  <si>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</si>
  <si>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</si>
  <si>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</si>
  <si>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</si>
  <si>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</si>
  <si>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</si>
  <si>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</si>
  <si>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</si>
  <si>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</si>
  <si>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</si>
  <si>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</si>
  <si>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</si>
  <si>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</si>
  <si>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</si>
  <si>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</si>
  <si>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</si>
  <si>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</si>
  <si>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</si>
  <si>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</si>
  <si>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</si>
  <si>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</si>
  <si>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</si>
  <si>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</si>
  <si>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</si>
  <si>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</si>
  <si>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</si>
  <si>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</si>
  <si>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</si>
  <si>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</si>
  <si>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</si>
  <si>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</si>
  <si>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</si>
  <si>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</si>
  <si>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</si>
  <si>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</si>
  <si>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</si>
  <si>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</si>
  <si>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</si>
  <si>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</si>
  <si>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</si>
  <si>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</si>
  <si>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</si>
  <si>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</si>
  <si>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</si>
  <si>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</si>
  <si>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</si>
  <si>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</si>
  <si>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</si>
  <si>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</si>
  <si>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</si>
  <si>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</si>
  <si>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</si>
  <si>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</si>
  <si>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</si>
  <si>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</si>
  <si>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</si>
  <si>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</si>
  <si>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</si>
  <si>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</si>
  <si>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</si>
  <si>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</si>
  <si>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</si>
  <si>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</si>
  <si>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</si>
  <si>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</si>
  <si>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</si>
  <si>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</si>
  <si>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</si>
  <si>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</si>
  <si>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</si>
  <si>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</si>
  <si>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</si>
  <si>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</si>
  <si>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</si>
  <si>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</si>
  <si>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</si>
  <si>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</si>
  <si>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</si>
  <si>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</si>
  <si>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</si>
  <si>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</si>
  <si>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</si>
  <si>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</si>
  <si>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</si>
  <si>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</si>
  <si>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</si>
  <si>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</si>
  <si>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</si>
  <si>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</si>
  <si>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</si>
  <si>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</si>
  <si>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</si>
  <si>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</si>
  <si>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</si>
  <si>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</si>
  <si>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</si>
  <si>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</si>
  <si>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</si>
  <si>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</si>
  <si>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</si>
  <si>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</si>
  <si>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</si>
  <si>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</si>
  <si>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</si>
  <si>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</si>
  <si>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</si>
  <si>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</si>
  <si>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</si>
  <si>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</si>
  <si>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</si>
  <si>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</si>
  <si>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</si>
  <si>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</si>
  <si>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</si>
  <si>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</si>
  <si>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</si>
  <si>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</si>
  <si>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</si>
  <si>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</si>
  <si>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</si>
  <si>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</si>
  <si>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</si>
  <si>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</si>
  <si>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</si>
  <si>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</si>
  <si>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</si>
  <si>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</si>
  <si>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</si>
  <si>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</si>
  <si>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</si>
  <si>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</si>
  <si>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</si>
  <si>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</si>
  <si>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</si>
  <si>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</si>
  <si>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</si>
  <si>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</si>
  <si>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</si>
  <si>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</si>
  <si>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</si>
  <si>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</si>
  <si>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</si>
  <si>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</si>
  <si>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</si>
  <si>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</si>
  <si>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</si>
  <si>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</si>
  <si>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</si>
  <si>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</si>
  <si>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</si>
  <si>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</si>
  <si>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</si>
  <si>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</si>
  <si>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</si>
  <si>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</si>
  <si>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</si>
  <si>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</si>
  <si>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</si>
  <si>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</si>
  <si>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</si>
  <si>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</si>
  <si>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</si>
  <si>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</si>
  <si>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</si>
  <si>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</si>
  <si>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</si>
  <si>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</si>
  <si>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</si>
  <si>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</si>
  <si>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</si>
  <si>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</si>
  <si>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</si>
  <si>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</si>
  <si>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</si>
  <si>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</si>
  <si>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</si>
  <si>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</si>
  <si>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</si>
  <si>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</si>
  <si>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</si>
  <si>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</si>
  <si>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</si>
  <si>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</si>
  <si>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</si>
  <si>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</si>
  <si>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</si>
  <si>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</si>
  <si>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</si>
  <si>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</si>
  <si>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</si>
  <si>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</si>
  <si>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</si>
  <si>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</si>
  <si>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</si>
  <si>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</si>
  <si>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</si>
  <si>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</si>
  <si>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</si>
  <si>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</si>
  <si>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</si>
  <si>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</si>
  <si>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</si>
  <si>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</si>
  <si>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</si>
  <si>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</si>
  <si>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</si>
  <si>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</si>
  <si>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</si>
  <si>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</si>
  <si>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</si>
  <si>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</si>
  <si>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</si>
  <si>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</si>
  <si>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</si>
  <si>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</si>
  <si>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</si>
  <si>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</si>
  <si>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</si>
  <si>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</si>
  <si>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</si>
  <si>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</si>
  <si>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</si>
  <si>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</si>
  <si>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</si>
  <si>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</si>
  <si>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</si>
  <si>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</si>
  <si>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</si>
  <si>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</si>
  <si>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</si>
  <si>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</si>
  <si>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</si>
  <si>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</si>
  <si>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</si>
  <si>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</si>
  <si>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</si>
  <si>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</si>
  <si>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</si>
  <si>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</si>
  <si>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</si>
  <si>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</si>
  <si>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</si>
  <si>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</si>
  <si>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</si>
  <si>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</si>
  <si>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</si>
  <si>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</si>
  <si>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</si>
  <si>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</si>
  <si>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</si>
  <si>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</si>
  <si>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</si>
  <si>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</si>
  <si>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</si>
  <si>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</si>
  <si>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</si>
  <si>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</si>
  <si>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</si>
  <si>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</si>
  <si>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</si>
  <si>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</si>
  <si>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</si>
  <si>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</si>
  <si>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</si>
  <si>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</si>
  <si>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</si>
  <si>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</si>
  <si>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</si>
  <si>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</si>
  <si>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</si>
  <si>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</si>
  <si>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</si>
  <si>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</si>
  <si>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</si>
  <si>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</si>
  <si>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</si>
  <si>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</si>
  <si>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</si>
  <si>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</si>
  <si>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</si>
  <si>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</si>
  <si>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</si>
  <si>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</si>
  <si>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</si>
  <si>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</si>
  <si>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</si>
  <si>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</si>
  <si>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</si>
  <si>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</si>
  <si>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</si>
  <si>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</si>
  <si>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</si>
  <si>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</si>
  <si>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</si>
  <si>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</si>
  <si>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</si>
  <si>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</si>
  <si>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</si>
  <si>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</si>
  <si>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</si>
  <si>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</si>
  <si>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</si>
  <si>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</si>
  <si>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</si>
  <si>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</si>
  <si>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</si>
  <si>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</si>
  <si>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</si>
  <si>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</si>
  <si>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</si>
  <si>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</si>
  <si>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</si>
  <si>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</si>
  <si>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</si>
  <si>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</si>
  <si>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</si>
  <si>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</si>
  <si>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</si>
  <si>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</si>
  <si>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</si>
  <si>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</si>
  <si>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</si>
  <si>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</si>
  <si>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</si>
  <si>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</si>
  <si>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</si>
  <si>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</si>
  <si>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</si>
  <si>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</si>
  <si>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</si>
  <si>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</si>
  <si>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</si>
  <si>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</si>
  <si>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</si>
  <si>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</si>
  <si>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</si>
  <si>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</si>
  <si>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</si>
  <si>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</si>
  <si>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</si>
  <si>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</si>
  <si>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</si>
  <si>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</si>
  <si>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</si>
  <si>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</si>
  <si>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</si>
  <si>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</si>
  <si>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</si>
  <si>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</si>
  <si>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</si>
  <si>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</si>
  <si>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</si>
  <si>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</si>
  <si>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</si>
  <si>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</si>
  <si>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</si>
  <si>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</si>
  <si>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</si>
  <si>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</si>
  <si>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</si>
  <si>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</si>
  <si>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</si>
  <si>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</si>
  <si>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</si>
  <si>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</si>
  <si>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</si>
  <si>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</si>
  <si>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</si>
  <si>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</si>
  <si>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</si>
  <si>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</si>
  <si>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</si>
  <si>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</si>
  <si>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</si>
  <si>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</si>
  <si>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</si>
  <si>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</si>
  <si>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</si>
  <si>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</si>
  <si>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</si>
  <si>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</si>
  <si>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</si>
  <si>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</si>
  <si>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</si>
  <si>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</si>
  <si>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</si>
  <si>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</si>
  <si>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</si>
  <si>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</si>
  <si>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</si>
  <si>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</si>
  <si>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</si>
  <si>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</si>
  <si>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</si>
  <si>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</si>
  <si>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</si>
  <si>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</si>
  <si>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</si>
  <si>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</si>
  <si>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</si>
  <si>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</si>
  <si>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</si>
  <si>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</si>
  <si>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</si>
  <si>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</si>
  <si>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</si>
  <si>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</si>
  <si>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</si>
  <si>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</si>
  <si>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</si>
  <si>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</si>
  <si>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</si>
  <si>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</si>
  <si>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</si>
  <si>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</si>
  <si>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</si>
  <si>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</si>
  <si>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</si>
  <si>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</si>
  <si>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</si>
  <si>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</si>
  <si>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</si>
  <si>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</si>
  <si>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</si>
  <si>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</si>
  <si>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</si>
  <si>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</si>
  <si>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</si>
  <si>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</si>
  <si>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</si>
  <si>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</si>
  <si>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</si>
  <si>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</si>
  <si>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</si>
  <si>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</si>
  <si>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</si>
  <si>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</si>
  <si>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</si>
  <si>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</si>
  <si>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</si>
  <si>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</si>
  <si>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</si>
  <si>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</si>
  <si>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</si>
  <si>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</si>
  <si>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</si>
  <si>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</si>
  <si>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</si>
  <si>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</si>
  <si>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</si>
  <si>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</si>
  <si>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</si>
  <si>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</si>
  <si>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</si>
  <si>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</si>
  <si>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</si>
  <si>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</si>
  <si>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</si>
  <si>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</si>
  <si>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</si>
  <si>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</si>
  <si>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</si>
  <si>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</si>
  <si>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</si>
  <si>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</si>
  <si>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</si>
  <si>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</si>
  <si>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</si>
  <si>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</si>
  <si>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</si>
  <si>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</si>
  <si>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</si>
  <si>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</si>
  <si>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</si>
  <si>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</si>
  <si>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</si>
  <si>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</si>
  <si>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</si>
  <si>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</si>
  <si>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</si>
  <si>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</si>
  <si>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</si>
  <si>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</si>
  <si>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</si>
  <si>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</si>
  <si>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</si>
  <si>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</si>
  <si>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</si>
  <si>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</si>
  <si>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</si>
  <si>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</si>
  <si>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</si>
  <si>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</si>
  <si>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</si>
  <si>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</si>
  <si>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</si>
  <si>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</si>
  <si>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</si>
  <si>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</si>
  <si>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</si>
  <si>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</si>
  <si>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</si>
  <si>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</si>
  <si>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</si>
  <si>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</si>
  <si>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</si>
  <si>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</si>
  <si>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</si>
  <si>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</si>
  <si>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</si>
  <si>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</si>
  <si>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</si>
  <si>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</si>
  <si>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</si>
  <si>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</si>
  <si>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</si>
  <si>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</si>
  <si>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</si>
  <si>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</si>
  <si>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</si>
  <si>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</si>
  <si>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</si>
  <si>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</si>
  <si>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</si>
  <si>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</si>
  <si>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</si>
  <si>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</si>
  <si>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</si>
  <si>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</si>
  <si>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</si>
  <si>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</si>
  <si>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</si>
  <si>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</si>
  <si>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</si>
  <si>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</si>
  <si>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</si>
  <si>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</si>
  <si>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</si>
  <si>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</si>
  <si>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</si>
  <si>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</si>
  <si>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</si>
  <si>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</si>
  <si>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</si>
  <si>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</si>
  <si>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</si>
  <si>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</si>
  <si>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</si>
  <si>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</si>
  <si>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</si>
  <si>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</si>
  <si>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</si>
  <si>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</si>
  <si>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</si>
  <si>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</si>
  <si>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</si>
  <si>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</si>
  <si>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</si>
  <si>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</si>
  <si>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</si>
  <si>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</si>
  <si>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</si>
  <si>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</si>
  <si>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</si>
  <si>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</si>
  <si>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</si>
  <si>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</si>
  <si>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</si>
  <si>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</si>
  <si>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</si>
  <si>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</si>
  <si>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</si>
  <si>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</si>
  <si>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</si>
  <si>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</si>
  <si>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</si>
  <si>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</si>
  <si>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</si>
  <si>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</si>
  <si>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</si>
  <si>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</si>
  <si>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</si>
  <si>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</si>
  <si>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</si>
  <si>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</si>
  <si>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</si>
  <si>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</si>
  <si>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</si>
  <si>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</si>
  <si>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</si>
  <si>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</si>
  <si>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</si>
  <si>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</si>
  <si>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</si>
  <si>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</si>
  <si>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</si>
  <si>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</si>
  <si>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</si>
  <si>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</si>
  <si>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</si>
  <si>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</si>
  <si>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</si>
  <si>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</si>
  <si>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</si>
  <si>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</si>
  <si>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</si>
  <si>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</si>
  <si>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</si>
  <si>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</si>
  <si>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</si>
  <si>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</si>
  <si>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</si>
  <si>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</si>
  <si>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</si>
  <si>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</si>
  <si>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</si>
  <si>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</si>
  <si>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</si>
  <si>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</si>
  <si>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</si>
  <si>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</si>
  <si>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</si>
  <si>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</si>
  <si>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</si>
  <si>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</si>
  <si>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</si>
  <si>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</si>
  <si>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</si>
  <si>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</si>
  <si>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</si>
  <si>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</si>
  <si>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</si>
  <si>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</si>
  <si>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</si>
  <si>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</si>
  <si>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</si>
  <si>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</si>
  <si>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</si>
  <si>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</si>
  <si>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</si>
  <si>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</si>
  <si>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</si>
  <si>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</si>
  <si>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</si>
  <si>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</si>
  <si>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</si>
  <si>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</si>
  <si>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</si>
  <si>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</si>
  <si>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</si>
  <si>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</si>
  <si>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</si>
  <si>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</si>
  <si>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</si>
  <si>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</si>
  <si>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</si>
  <si>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</si>
  <si>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</si>
  <si>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</si>
  <si>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</si>
  <si>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</si>
  <si>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</si>
  <si>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</si>
  <si>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</si>
  <si>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</si>
  <si>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</si>
  <si>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</si>
  <si>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</si>
  <si>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</si>
  <si>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</si>
  <si>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</si>
  <si>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</si>
  <si>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</si>
  <si>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</si>
  <si>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</si>
  <si>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</si>
  <si>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</si>
  <si>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</si>
  <si>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</si>
  <si>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</si>
  <si>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</si>
  <si>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</si>
  <si>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</si>
  <si>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</si>
  <si>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</si>
  <si>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</si>
  <si>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</si>
  <si>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</si>
  <si>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</si>
  <si>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</si>
  <si>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</si>
  <si>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</si>
  <si>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</si>
  <si>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</si>
  <si>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</si>
  <si>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</si>
  <si>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</si>
  <si>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</si>
  <si>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</si>
  <si>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</si>
  <si>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</si>
  <si>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</si>
  <si>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</si>
  <si>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</si>
  <si>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</si>
  <si>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</si>
  <si>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</si>
  <si>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</si>
  <si>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</si>
  <si>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</si>
  <si>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</si>
  <si>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</si>
  <si>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</si>
  <si>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</si>
  <si>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</si>
  <si>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</si>
  <si>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</si>
  <si>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</si>
  <si>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</si>
  <si>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</si>
  <si>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</si>
  <si>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</si>
  <si>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</si>
  <si>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</si>
  <si>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</si>
  <si>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</si>
  <si>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</si>
  <si>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</si>
  <si>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</si>
  <si>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</si>
  <si>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</si>
  <si>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</si>
  <si>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</si>
  <si>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</si>
  <si>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</si>
  <si>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</si>
  <si>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</si>
  <si>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</si>
  <si>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</si>
  <si>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</si>
  <si>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</si>
  <si>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</si>
  <si>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</si>
  <si>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</si>
  <si>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</si>
  <si>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</si>
  <si>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</si>
  <si>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</si>
  <si>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</si>
  <si>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</si>
  <si>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</si>
  <si>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</si>
  <si>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</si>
  <si>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Psgr LDVs only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</si>
  <si>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</si>
  <si>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</si>
  <si>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</si>
  <si>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</si>
  <si>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</si>
  <si>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</si>
  <si>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</si>
  <si>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</si>
  <si>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</si>
  <si>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</si>
  <si>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</si>
  <si>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</si>
  <si>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</si>
  <si>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</si>
  <si>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LDV BEV and PHEV sales</t>
  </si>
  <si>
    <t>BEV sales share</t>
  </si>
  <si>
    <t>PHEV sales share</t>
  </si>
  <si>
    <t>Total sales share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</si>
  <si>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</si>
  <si>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</si>
  <si>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</si>
  <si>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</si>
  <si>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</si>
  <si>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</si>
  <si>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</si>
  <si>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Deloitte</t>
  </si>
  <si>
    <t>Electric vehicles: Setting a course for 2030</t>
  </si>
  <si>
    <t>https://www2.deloitte.com/us/en/insights/focus/future-of-mobility/electric-vehicle-trends-2030.html</t>
  </si>
  <si>
    <t>Our approach is to use values of TTS that align with historical sales percentages for 2021 and 2022.</t>
  </si>
  <si>
    <t>BEV</t>
  </si>
  <si>
    <t>PHEV</t>
  </si>
  <si>
    <t>HEV</t>
  </si>
  <si>
    <t>Total LDV</t>
  </si>
  <si>
    <t>2021 Total</t>
  </si>
  <si>
    <t>2022 Total</t>
  </si>
  <si>
    <t xml:space="preserve">Buses: </t>
  </si>
  <si>
    <t>https://www.iea.org/data-and-statistics/charts/electric-bus-registrations-and-sales-share-by-region-2015-2022</t>
  </si>
  <si>
    <t>IEA</t>
  </si>
  <si>
    <t>EPS</t>
  </si>
  <si>
    <t>EV Sales Share</t>
  </si>
  <si>
    <t>FCEV Sales Share</t>
  </si>
  <si>
    <t>Freight LDVs:</t>
  </si>
  <si>
    <t>PHEV Sales Share</t>
  </si>
  <si>
    <t>Total ZEV</t>
  </si>
  <si>
    <t>Freight HDVs:</t>
  </si>
  <si>
    <t>Sigmoidal Curve Values for battery electric passenger HDV Technologies</t>
  </si>
  <si>
    <t>Total</t>
  </si>
  <si>
    <t>Sigmoidal Curve Values for PHEV passenger LDV Technologies</t>
  </si>
  <si>
    <t>2027-2032, LDV PHEVs</t>
  </si>
  <si>
    <t>2023, LDV BEVs</t>
  </si>
  <si>
    <t>2033, LDV PHEVs</t>
  </si>
  <si>
    <t>Historical Year Values</t>
  </si>
  <si>
    <t>For certain onroad technologies, we calibrate historical year values</t>
  </si>
  <si>
    <t>to match with real-world sales.</t>
  </si>
  <si>
    <t>PHEV Values, passengre LDVs</t>
  </si>
  <si>
    <t>We also use calibration for PHEV values between 2027-2032,</t>
  </si>
  <si>
    <t>in order to align with EPA's projected split between BEVs and PHEVs</t>
  </si>
  <si>
    <t>in their tailpipe rules analysis.</t>
  </si>
  <si>
    <t>https://www.anl.gov/sites/www/files/2024-08/Total%20Sales%20for%20Website_July%202024.pdf</t>
  </si>
  <si>
    <t>2023 Total</t>
  </si>
  <si>
    <t>Time (Year)</t>
  </si>
  <si>
    <t>New Vehicles[LDVs,passenger,battery electric vehicle] : NDC</t>
  </si>
  <si>
    <t>New Vehicles[LDVs,passenger,natural gas vehicle] : NDC</t>
  </si>
  <si>
    <t>New Vehicles[LDVs,passenger,gasoline vehicle] : NDC</t>
  </si>
  <si>
    <t>New Vehicles[LDVs,passenger,diesel vehicle] : NDC</t>
  </si>
  <si>
    <t>New Vehicles[LDVs,passenger,plugin hybrid vehicle] : NDC</t>
  </si>
  <si>
    <t>New Vehicles[LDVs,passenger,LPG vehicle] : NDC</t>
  </si>
  <si>
    <t>New Vehicles[LDVs,passenger,hydrogen vehicle] : NDC</t>
  </si>
  <si>
    <t>New Vehicles Allocated before ZEV Standards[LDVs,passenger,battery electric vehicle] : NDC</t>
  </si>
  <si>
    <t>New Vehicles Allocated before ZEV Standards[LDVs,passenger,natural gas vehicle] : NDC</t>
  </si>
  <si>
    <t>New Vehicles Allocated before ZEV Standards[LDVs,passenger,gasoline vehicle] : NDC</t>
  </si>
  <si>
    <t>New Vehicles Allocated before ZEV Standards[LDVs,passenger,diesel vehicle] : NDC</t>
  </si>
  <si>
    <t>New Vehicles Allocated before ZEV Standards[LDVs,passenger,plugin hybrid vehicle] : NDC</t>
  </si>
  <si>
    <t>New Vehicles Allocated before ZEV Standards[LDVs,passenger,LPG vehicle] : NDC</t>
  </si>
  <si>
    <t>New Vehicles Allocated before ZEV Standards[LDVs,passenger,hydrogen vehicle] : NDC</t>
  </si>
  <si>
    <t>New Vehicles[HDVs,passenger,battery electric vehicle] : NDC</t>
  </si>
  <si>
    <t>New Vehicles[HDVs,passenger,natural gas vehicle] : NDC</t>
  </si>
  <si>
    <t>New Vehicles[HDVs,passenger,gasoline vehicle] : NDC</t>
  </si>
  <si>
    <t>New Vehicles[HDVs,passenger,diesel vehicle] : NDC</t>
  </si>
  <si>
    <t>New Vehicles[HDVs,passenger,plugin hybrid vehicle] : NDC</t>
  </si>
  <si>
    <t>New Vehicles[HDVs,passenger,LPG vehicle] : NDC</t>
  </si>
  <si>
    <t>New Vehicles[HDVs,passenger,hydrogen vehicle] : NDC</t>
  </si>
  <si>
    <t>New Vehicles[LDVs,freight,battery electric vehicle] : NDC</t>
  </si>
  <si>
    <t>New Vehicles[LDVs,freight,natural gas vehicle] : NDC</t>
  </si>
  <si>
    <t>New Vehicles[LDVs,freight,gasoline vehicle] : NDC</t>
  </si>
  <si>
    <t>New Vehicles[LDVs,freight,diesel vehicle] : NDC</t>
  </si>
  <si>
    <t>New Vehicles[LDVs,freight,plugin hybrid vehicle] : NDC</t>
  </si>
  <si>
    <t>New Vehicles[LDVs,freight,LPG vehicle] : NDC</t>
  </si>
  <si>
    <t>New Vehicles[LDVs,freight,hydrogen vehicle] : NDC</t>
  </si>
  <si>
    <t>New Vehicles[HDVs,freight,battery electric vehicle] : NDC</t>
  </si>
  <si>
    <t>New Vehicles[HDVs,freight,natural gas vehicle] : NDC</t>
  </si>
  <si>
    <t>New Vehicles[HDVs,freight,gasoline vehicle] : NDC</t>
  </si>
  <si>
    <t>New Vehicles[HDVs,freight,diesel vehicle] : NDC</t>
  </si>
  <si>
    <t>New Vehicles[HDVs,freight,plugin hybrid vehicle] : NDC</t>
  </si>
  <si>
    <t>New Vehicles[HDVs,freight,LPG vehicle] : NDC</t>
  </si>
  <si>
    <t>New Vehicles[HDVs,freight,hydrogen vehicle] : NDC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</si>
</sst>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5" applyNumberFormat="0" applyAlignment="0" applyProtection="0"/>
    <xf numFmtId="0" fontId="17" fillId="9" borderId="16" applyNumberFormat="0" applyAlignment="0" applyProtection="0"/>
    <xf numFmtId="0" fontId="18" fillId="9" borderId="15" applyNumberFormat="0" applyAlignment="0" applyProtection="0"/>
    <xf numFmtId="0" fontId="19" fillId="0" borderId="17" applyNumberFormat="0" applyFill="0" applyAlignment="0" applyProtection="0"/>
    <xf numFmtId="0" fontId="20" fillId="10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9" fontId="28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31" fillId="0" borderId="0"/>
    <xf numFmtId="0" fontId="7" fillId="0" borderId="0"/>
    <xf numFmtId="0" fontId="7" fillId="0" borderId="0"/>
    <xf numFmtId="0" fontId="32" fillId="0" borderId="0"/>
    <xf numFmtId="9" fontId="32" fillId="0" borderId="0" applyFont="0" applyFill="0" applyBorder="0" applyAlignment="0" applyProtection="0"/>
    <xf numFmtId="0" fontId="28" fillId="0" borderId="0"/>
    <xf numFmtId="0" fontId="29" fillId="0" borderId="0"/>
    <xf numFmtId="43" fontId="29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5" fillId="0" borderId="0"/>
    <xf numFmtId="9" fontId="35" fillId="0" borderId="0" applyFont="0" applyFill="0" applyBorder="0" applyAlignment="0" applyProtection="0"/>
    <xf numFmtId="0" fontId="7" fillId="0" borderId="0"/>
    <xf numFmtId="0" fontId="32" fillId="0" borderId="0"/>
    <xf numFmtId="9" fontId="7" fillId="0" borderId="0" applyFont="0" applyFill="0" applyBorder="0" applyAlignment="0" applyProtection="0"/>
    <xf numFmtId="0" fontId="36" fillId="0" borderId="0"/>
    <xf numFmtId="0" fontId="26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4" fillId="0" borderId="0" xfId="0" applyFont="1"/>
    <xf numFmtId="0" fontId="25" fillId="0" borderId="0" xfId="0" applyFont="1"/>
    <xf numFmtId="0" fontId="24" fillId="0" borderId="0" xfId="0" quotePrefix="1" applyFont="1"/>
    <xf numFmtId="0" fontId="25" fillId="0" borderId="0" xfId="0" applyFont="1" applyAlignment="1">
      <alignment horizontal="center"/>
    </xf>
    <xf numFmtId="165" fontId="25" fillId="0" borderId="0" xfId="0" applyNumberFormat="1" applyFont="1"/>
    <xf numFmtId="3" fontId="25" fillId="0" borderId="0" xfId="0" applyNumberFormat="1" applyFont="1"/>
    <xf numFmtId="11" fontId="0" fillId="0" borderId="0" xfId="0" applyNumberFormat="1"/>
    <xf numFmtId="167" fontId="0" fillId="0" borderId="0" xfId="0" applyNumberFormat="1"/>
    <xf numFmtId="164" fontId="5" fillId="0" borderId="0" xfId="0" applyNumberFormat="1" applyFont="1"/>
    <xf numFmtId="16" fontId="0" fillId="0" borderId="0" xfId="0" applyNumberFormat="1"/>
    <xf numFmtId="3" fontId="25" fillId="0" borderId="0" xfId="0" applyNumberFormat="1" applyFont="1" applyAlignment="1">
      <alignment horizontal="center"/>
    </xf>
    <xf numFmtId="167" fontId="0" fillId="0" borderId="0" xfId="10" applyNumberFormat="1" applyFont="1"/>
    <xf numFmtId="0" fontId="0" fillId="0" borderId="0" xfId="0" applyAlignment="1">
      <alignment wrapText="1"/>
    </xf>
    <xf numFmtId="167" fontId="0" fillId="3" borderId="0" xfId="10" applyNumberFormat="1" applyFont="1" applyFill="1" applyAlignment="1"/>
    <xf numFmtId="9" fontId="0" fillId="0" borderId="0" xfId="10" applyFont="1"/>
    <xf numFmtId="9" fontId="0" fillId="0" borderId="0" xfId="0" applyNumberFormat="1"/>
    <xf numFmtId="0" fontId="1" fillId="2" borderId="0" xfId="0" applyFont="1" applyFill="1" applyAlignment="1">
      <alignment wrapText="1"/>
    </xf>
    <xf numFmtId="164" fontId="0" fillId="3" borderId="0" xfId="0" applyNumberFormat="1" applyFill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ZEV Sales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After ZEV Stds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Assumptions!$B$74:$AE$74</c:f>
              <c:numCache>
                <c:formatCode>General</c:formatCode>
                <c:ptCount val="3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</c:numCache>
            </c:numRef>
          </c:cat>
          <c:val>
            <c:numRef>
              <c:f>Assumptions!$B$94:$AE$94</c:f>
              <c:numCache>
                <c:formatCode>0.0%</c:formatCode>
                <c:ptCount val="30"/>
                <c:pt idx="0">
                  <c:v>4.2154660961797416E-2</c:v>
                </c:pt>
                <c:pt idx="1">
                  <c:v>6.6744368518300623E-2</c:v>
                </c:pt>
                <c:pt idx="2">
                  <c:v>9.7026267057023635E-2</c:v>
                </c:pt>
                <c:pt idx="3">
                  <c:v>0.1314369839516514</c:v>
                </c:pt>
                <c:pt idx="4">
                  <c:v>0.16698110336755112</c:v>
                </c:pt>
                <c:pt idx="5">
                  <c:v>0.23578518867409873</c:v>
                </c:pt>
                <c:pt idx="6">
                  <c:v>0.31882121112614947</c:v>
                </c:pt>
                <c:pt idx="7">
                  <c:v>0.37102784439830427</c:v>
                </c:pt>
                <c:pt idx="8">
                  <c:v>0.4616136186472703</c:v>
                </c:pt>
                <c:pt idx="9">
                  <c:v>0.53109765073005244</c:v>
                </c:pt>
                <c:pt idx="10">
                  <c:v>0.60778663132743416</c:v>
                </c:pt>
                <c:pt idx="11">
                  <c:v>0.68101820781423272</c:v>
                </c:pt>
                <c:pt idx="12">
                  <c:v>0.67993729735449548</c:v>
                </c:pt>
                <c:pt idx="13">
                  <c:v>0.67885259818875765</c:v>
                </c:pt>
                <c:pt idx="14">
                  <c:v>0.68947395249133514</c:v>
                </c:pt>
                <c:pt idx="15">
                  <c:v>0.70560681892340715</c:v>
                </c:pt>
                <c:pt idx="16">
                  <c:v>0.71952256315576024</c:v>
                </c:pt>
                <c:pt idx="17">
                  <c:v>0.73081610357931914</c:v>
                </c:pt>
                <c:pt idx="18">
                  <c:v>0.74046108021165746</c:v>
                </c:pt>
                <c:pt idx="19">
                  <c:v>0.74829107615694423</c:v>
                </c:pt>
                <c:pt idx="20">
                  <c:v>0.75520828252518302</c:v>
                </c:pt>
                <c:pt idx="21">
                  <c:v>0.76101282443203511</c:v>
                </c:pt>
                <c:pt idx="22">
                  <c:v>0.76630998249647331</c:v>
                </c:pt>
                <c:pt idx="23">
                  <c:v>0.77080264964403677</c:v>
                </c:pt>
                <c:pt idx="24">
                  <c:v>0.77483995791013416</c:v>
                </c:pt>
                <c:pt idx="25">
                  <c:v>0.7788385078158846</c:v>
                </c:pt>
                <c:pt idx="26">
                  <c:v>0.78209941825359219</c:v>
                </c:pt>
                <c:pt idx="27">
                  <c:v>0.78671753938925337</c:v>
                </c:pt>
                <c:pt idx="28">
                  <c:v>0.7898297852399041</c:v>
                </c:pt>
                <c:pt idx="29">
                  <c:v>0.79386824433876724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0E-40C4-A2A1-117B16D6B030}"/>
            </c:ext>
          </c:extLst>
        </c:ser>
        <c:ser>
          <c:idx val="1"/>
          <c:order val="1"/>
          <c:tx>
            <c:v>Before ZEV Stds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Assumptions!$B$98:$AE$98</c:f>
              <c:numCache>
                <c:formatCode>0.0%</c:formatCode>
                <c:ptCount val="30"/>
                <c:pt idx="0">
                  <c:v>9.5146314183178898E-3</c:v>
                </c:pt>
                <c:pt idx="1">
                  <c:v>3.3818840712404541E-2</c:v>
                </c:pt>
                <c:pt idx="2">
                  <c:v>6.6426050497899819E-2</c:v>
                </c:pt>
                <c:pt idx="3">
                  <c:v>0.104671378234619</c:v>
                </c:pt>
                <c:pt idx="4">
                  <c:v>0.13469954763370084</c:v>
                </c:pt>
                <c:pt idx="5">
                  <c:v>0.17450266790359065</c:v>
                </c:pt>
                <c:pt idx="6">
                  <c:v>0.22192672154611381</c:v>
                </c:pt>
                <c:pt idx="7">
                  <c:v>0.2673966520134316</c:v>
                </c:pt>
                <c:pt idx="8">
                  <c:v>0.32083914359424814</c:v>
                </c:pt>
                <c:pt idx="9">
                  <c:v>0.36051139989101233</c:v>
                </c:pt>
                <c:pt idx="10">
                  <c:v>0.4103876287530655</c:v>
                </c:pt>
                <c:pt idx="11">
                  <c:v>0.45602931048542517</c:v>
                </c:pt>
                <c:pt idx="12">
                  <c:v>0.47310701297850605</c:v>
                </c:pt>
                <c:pt idx="13">
                  <c:v>0.50815053704308233</c:v>
                </c:pt>
                <c:pt idx="14">
                  <c:v>0.53767558675712968</c:v>
                </c:pt>
                <c:pt idx="15">
                  <c:v>0.56205711578746231</c:v>
                </c:pt>
                <c:pt idx="16">
                  <c:v>0.58308814715125223</c:v>
                </c:pt>
                <c:pt idx="17">
                  <c:v>0.60015554057443099</c:v>
                </c:pt>
                <c:pt idx="18">
                  <c:v>0.61473486202134753</c:v>
                </c:pt>
                <c:pt idx="19">
                  <c:v>0.62656838758221967</c:v>
                </c:pt>
                <c:pt idx="20">
                  <c:v>0.63702358221846689</c:v>
                </c:pt>
                <c:pt idx="21">
                  <c:v>0.64579522041286785</c:v>
                </c:pt>
                <c:pt idx="22">
                  <c:v>0.65380174913167644</c:v>
                </c:pt>
                <c:pt idx="23">
                  <c:v>0.66059190765928999</c:v>
                </c:pt>
                <c:pt idx="24">
                  <c:v>0.66669388082269865</c:v>
                </c:pt>
                <c:pt idx="25">
                  <c:v>0.67273587892126485</c:v>
                </c:pt>
                <c:pt idx="26">
                  <c:v>0.67766562297066535</c:v>
                </c:pt>
                <c:pt idx="27">
                  <c:v>0.68464561200303753</c:v>
                </c:pt>
                <c:pt idx="28">
                  <c:v>0.68934836518248166</c:v>
                </c:pt>
                <c:pt idx="29">
                  <c:v>0.69545082982795037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15-4AFC-B68C-098EF54FC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2580063"/>
        <c:axId val="43444287"/>
      </c:lineChart>
      <c:catAx>
        <c:axId val="184258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44287"/>
        <c:crosses val="autoZero"/>
        <c:auto val="1"/>
        <c:lblAlgn val="ctr"/>
        <c:lblOffset val="100"/>
        <c:noMultiLvlLbl val="0"/>
      </c:catAx>
      <c:valAx>
        <c:axId val="4344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258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0.05</c:v>
                </c:pt>
                <c:pt idx="1">
                  <c:v>8.0680691463527979E-2</c:v>
                </c:pt>
                <c:pt idx="2">
                  <c:v>9.505457951868844E-2</c:v>
                </c:pt>
                <c:pt idx="3">
                  <c:v>0.11568149932617947</c:v>
                </c:pt>
                <c:pt idx="4">
                  <c:v>0.14476296466370087</c:v>
                </c:pt>
                <c:pt idx="5">
                  <c:v>0.18475851165546336</c:v>
                </c:pt>
                <c:pt idx="6">
                  <c:v>0.23792530586934729</c:v>
                </c:pt>
                <c:pt idx="7">
                  <c:v>0.30549435030149535</c:v>
                </c:pt>
                <c:pt idx="8">
                  <c:v>0.38662650908549429</c:v>
                </c:pt>
                <c:pt idx="9">
                  <c:v>0.47765770255314599</c:v>
                </c:pt>
                <c:pt idx="10">
                  <c:v>0.57234229744685405</c:v>
                </c:pt>
                <c:pt idx="11">
                  <c:v>0.6633734909145057</c:v>
                </c:pt>
                <c:pt idx="12">
                  <c:v>0.74450564969850463</c:v>
                </c:pt>
                <c:pt idx="13">
                  <c:v>0.8120746941306527</c:v>
                </c:pt>
                <c:pt idx="14">
                  <c:v>0.86524148834453662</c:v>
                </c:pt>
                <c:pt idx="15">
                  <c:v>0.90523703533629907</c:v>
                </c:pt>
                <c:pt idx="16">
                  <c:v>0.93431850067382061</c:v>
                </c:pt>
                <c:pt idx="17">
                  <c:v>0.9549454204813117</c:v>
                </c:pt>
                <c:pt idx="18">
                  <c:v>0.96931930853647208</c:v>
                </c:pt>
                <c:pt idx="19">
                  <c:v>0.97921279261067595</c:v>
                </c:pt>
                <c:pt idx="20">
                  <c:v>0.98596466989139064</c:v>
                </c:pt>
                <c:pt idx="21">
                  <c:v>0.9905457882264409</c:v>
                </c:pt>
                <c:pt idx="22">
                  <c:v>0.99364179162192945</c:v>
                </c:pt>
                <c:pt idx="23">
                  <c:v>0.99572854049710591</c:v>
                </c:pt>
                <c:pt idx="24">
                  <c:v>0.99713250449152702</c:v>
                </c:pt>
                <c:pt idx="25">
                  <c:v>0.99807594563040258</c:v>
                </c:pt>
                <c:pt idx="26">
                  <c:v>0.99870940604709257</c:v>
                </c:pt>
                <c:pt idx="27">
                  <c:v>0.99913450136531945</c:v>
                </c:pt>
                <c:pt idx="28">
                  <c:v>0.99941966460853737</c:v>
                </c:pt>
                <c:pt idx="29">
                  <c:v>0.99961091119326329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6-4178-8258-F69654CF1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0846560"/>
        <c:axId val="1290876240"/>
      </c:lineChart>
      <c:catAx>
        <c:axId val="720846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876240"/>
        <c:crosses val="autoZero"/>
        <c:auto val="1"/>
        <c:lblAlgn val="ctr"/>
        <c:lblOffset val="100"/>
        <c:noMultiLvlLbl val="0"/>
      </c:catAx>
      <c:valAx>
        <c:axId val="129087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846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Data!$I$10:$AM$10</c:f>
              <c:numCache>
                <c:formatCode>0.0000</c:formatCode>
                <c:ptCount val="31"/>
                <c:pt idx="0" formatCode="General">
                  <c:v>0.02</c:v>
                </c:pt>
                <c:pt idx="1">
                  <c:v>6.8000000000000005E-2</c:v>
                </c:pt>
                <c:pt idx="2">
                  <c:v>9.9000000000000005E-2</c:v>
                </c:pt>
                <c:pt idx="3" formatCode="General">
                  <c:v>0.13550148435693454</c:v>
                </c:pt>
                <c:pt idx="4" formatCode="General">
                  <c:v>0.15686570128597005</c:v>
                </c:pt>
                <c:pt idx="5" formatCode="General">
                  <c:v>0.18408372983067212</c:v>
                </c:pt>
                <c:pt idx="6" formatCode="General">
                  <c:v>0.21815354100537743</c:v>
                </c:pt>
                <c:pt idx="7" formatCode="General">
                  <c:v>0.25987118651848296</c:v>
                </c:pt>
                <c:pt idx="8" formatCode="General">
                  <c:v>0.30959779396223247</c:v>
                </c:pt>
                <c:pt idx="9" formatCode="General">
                  <c:v>0.36700545236853371</c:v>
                </c:pt>
                <c:pt idx="10" formatCode="General">
                  <c:v>0.43088423395932512</c:v>
                </c:pt>
                <c:pt idx="11" formatCode="General">
                  <c:v>0.49911538413962542</c:v>
                </c:pt>
                <c:pt idx="12" formatCode="General">
                  <c:v>0.56888461586037464</c:v>
                </c:pt>
                <c:pt idx="13" formatCode="General">
                  <c:v>0.63711576604067499</c:v>
                </c:pt>
                <c:pt idx="14" formatCode="General">
                  <c:v>0.70099454763146607</c:v>
                </c:pt>
                <c:pt idx="15" formatCode="General">
                  <c:v>0.75840220603776753</c:v>
                </c:pt>
                <c:pt idx="16" formatCode="General">
                  <c:v>0.80812881348151699</c:v>
                </c:pt>
                <c:pt idx="17" formatCode="General">
                  <c:v>0.84984645899462241</c:v>
                </c:pt>
                <c:pt idx="18" formatCode="General">
                  <c:v>0.88391627016932772</c:v>
                </c:pt>
                <c:pt idx="19" formatCode="General">
                  <c:v>0.91113429871403007</c:v>
                </c:pt>
                <c:pt idx="20" formatCode="General">
                  <c:v>0.93249851564306541</c:v>
                </c:pt>
                <c:pt idx="21" formatCode="General">
                  <c:v>0.94903701235474314</c:v>
                </c:pt>
                <c:pt idx="22" formatCode="General">
                  <c:v>0.96170292871716656</c:v>
                </c:pt>
                <c:pt idx="23" formatCode="General">
                  <c:v>0.9713234230791381</c:v>
                </c:pt>
                <c:pt idx="24" formatCode="General">
                  <c:v>0.97858509124385606</c:v>
                </c:pt>
                <c:pt idx="25" formatCode="General">
                  <c:v>0.98404040094974166</c:v>
                </c:pt>
                <c:pt idx="26" formatCode="General">
                  <c:v>0.9881241302994479</c:v>
                </c:pt>
                <c:pt idx="27" formatCode="General">
                  <c:v>0.99117298738162618</c:v>
                </c:pt>
                <c:pt idx="28" formatCode="General">
                  <c:v>0.99344469677154446</c:v>
                </c:pt>
                <c:pt idx="29" formatCode="General">
                  <c:v>0.99513484285360354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9-40DF-B5F6-DC2BB01C1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05919"/>
        <c:axId val="145909759"/>
      </c:lineChart>
      <c:catAx>
        <c:axId val="145905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9759"/>
        <c:crosses val="autoZero"/>
        <c:auto val="1"/>
        <c:lblAlgn val="ctr"/>
        <c:lblOffset val="100"/>
        <c:noMultiLvlLbl val="0"/>
      </c:catAx>
      <c:valAx>
        <c:axId val="14590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5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Data!$I$14:$AL$14</c:f>
              <c:numCache>
                <c:formatCode>General</c:formatCode>
                <c:ptCount val="30"/>
                <c:pt idx="0">
                  <c:v>2.5000000000000001E-3</c:v>
                </c:pt>
                <c:pt idx="1">
                  <c:v>8.0000000000000002E-3</c:v>
                </c:pt>
                <c:pt idx="2">
                  <c:v>1.8679140068700261E-2</c:v>
                </c:pt>
                <c:pt idx="3">
                  <c:v>2.0151128112044503E-2</c:v>
                </c:pt>
                <c:pt idx="4">
                  <c:v>2.6021242730178792E-2</c:v>
                </c:pt>
                <c:pt idx="5">
                  <c:v>3.4401430729338323E-2</c:v>
                </c:pt>
                <c:pt idx="6">
                  <c:v>5.1499999999999997E-2</c:v>
                </c:pt>
                <c:pt idx="7">
                  <c:v>5.5E-2</c:v>
                </c:pt>
                <c:pt idx="8">
                  <c:v>7.4999999999999997E-2</c:v>
                </c:pt>
                <c:pt idx="9">
                  <c:v>8.8999999999999996E-2</c:v>
                </c:pt>
                <c:pt idx="10">
                  <c:v>0.11799999999999999</c:v>
                </c:pt>
                <c:pt idx="11">
                  <c:v>0.15</c:v>
                </c:pt>
                <c:pt idx="12">
                  <c:v>0.17702858227261439</c:v>
                </c:pt>
                <c:pt idx="13">
                  <c:v>0.19652431808271453</c:v>
                </c:pt>
                <c:pt idx="14">
                  <c:v>0.21198289652972047</c:v>
                </c:pt>
                <c:pt idx="15">
                  <c:v>0.22359856927066168</c:v>
                </c:pt>
                <c:pt idx="16">
                  <c:v>0.2319787572698212</c:v>
                </c:pt>
                <c:pt idx="17">
                  <c:v>0.23784887188795553</c:v>
                </c:pt>
                <c:pt idx="18">
                  <c:v>0.24187624796588125</c:v>
                </c:pt>
                <c:pt idx="19">
                  <c:v>0.24460014783483416</c:v>
                </c:pt>
                <c:pt idx="20">
                  <c:v>0.24642468433022793</c:v>
                </c:pt>
                <c:pt idx="21">
                  <c:v>0.2476388869188586</c:v>
                </c:pt>
                <c:pt idx="22">
                  <c:v>0.24844342975100567</c:v>
                </c:pt>
                <c:pt idx="23">
                  <c:v>0.24897499940691589</c:v>
                </c:pt>
                <c:pt idx="24">
                  <c:v>0.24932554691499179</c:v>
                </c:pt>
                <c:pt idx="25">
                  <c:v>0.24955642877591674</c:v>
                </c:pt>
                <c:pt idx="26">
                  <c:v>0.24970836961542547</c:v>
                </c:pt>
                <c:pt idx="27">
                  <c:v>0.24980830595850836</c:v>
                </c:pt>
                <c:pt idx="28">
                  <c:v>0.24987401381406515</c:v>
                </c:pt>
                <c:pt idx="29">
                  <c:v>0.24991720639498693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E-4CC5-851D-14400ED7F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440415"/>
        <c:axId val="144438495"/>
      </c:lineChart>
      <c:catAx>
        <c:axId val="1444404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38495"/>
        <c:crosses val="autoZero"/>
        <c:auto val="1"/>
        <c:lblAlgn val="ctr"/>
        <c:lblOffset val="100"/>
        <c:noMultiLvlLbl val="0"/>
      </c:catAx>
      <c:valAx>
        <c:axId val="14443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4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0.05</c:v>
                </c:pt>
                <c:pt idx="1">
                  <c:v>8.0680691463527979E-2</c:v>
                </c:pt>
                <c:pt idx="2">
                  <c:v>9.505457951868844E-2</c:v>
                </c:pt>
                <c:pt idx="3">
                  <c:v>0.11568149932617947</c:v>
                </c:pt>
                <c:pt idx="4">
                  <c:v>0.14476296466370087</c:v>
                </c:pt>
                <c:pt idx="5">
                  <c:v>0.18475851165546336</c:v>
                </c:pt>
                <c:pt idx="6">
                  <c:v>0.23792530586934729</c:v>
                </c:pt>
                <c:pt idx="7">
                  <c:v>0.30549435030149535</c:v>
                </c:pt>
                <c:pt idx="8">
                  <c:v>0.38662650908549429</c:v>
                </c:pt>
                <c:pt idx="9">
                  <c:v>0.47765770255314599</c:v>
                </c:pt>
                <c:pt idx="10">
                  <c:v>0.57234229744685405</c:v>
                </c:pt>
                <c:pt idx="11">
                  <c:v>0.6633734909145057</c:v>
                </c:pt>
                <c:pt idx="12">
                  <c:v>0.74450564969850463</c:v>
                </c:pt>
                <c:pt idx="13">
                  <c:v>0.8120746941306527</c:v>
                </c:pt>
                <c:pt idx="14">
                  <c:v>0.86524148834453662</c:v>
                </c:pt>
                <c:pt idx="15">
                  <c:v>0.90523703533629907</c:v>
                </c:pt>
                <c:pt idx="16">
                  <c:v>0.93431850067382061</c:v>
                </c:pt>
                <c:pt idx="17">
                  <c:v>0.9549454204813117</c:v>
                </c:pt>
                <c:pt idx="18">
                  <c:v>0.96931930853647208</c:v>
                </c:pt>
                <c:pt idx="19">
                  <c:v>0.97921279261067595</c:v>
                </c:pt>
                <c:pt idx="20">
                  <c:v>0.98596466989139064</c:v>
                </c:pt>
                <c:pt idx="21">
                  <c:v>0.9905457882264409</c:v>
                </c:pt>
                <c:pt idx="22">
                  <c:v>0.99364179162192945</c:v>
                </c:pt>
                <c:pt idx="23">
                  <c:v>0.99572854049710591</c:v>
                </c:pt>
                <c:pt idx="24">
                  <c:v>0.99713250449152702</c:v>
                </c:pt>
                <c:pt idx="25">
                  <c:v>0.99807594563040258</c:v>
                </c:pt>
                <c:pt idx="26">
                  <c:v>0.99870940604709257</c:v>
                </c:pt>
                <c:pt idx="27">
                  <c:v>0.99913450136531945</c:v>
                </c:pt>
                <c:pt idx="28">
                  <c:v>0.99941966460853737</c:v>
                </c:pt>
                <c:pt idx="29">
                  <c:v>0.99961091119326329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05-4226-A18C-07289D02E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7983919"/>
        <c:axId val="1637988239"/>
      </c:lineChart>
      <c:catAx>
        <c:axId val="1637983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988239"/>
        <c:crosses val="autoZero"/>
        <c:auto val="1"/>
        <c:lblAlgn val="ctr"/>
        <c:lblOffset val="100"/>
        <c:noMultiLvlLbl val="0"/>
      </c:catAx>
      <c:valAx>
        <c:axId val="163798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98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Data!$I$31:$AL$31</c:f>
              <c:numCache>
                <c:formatCode>General</c:formatCode>
                <c:ptCount val="30"/>
                <c:pt idx="0" formatCode="0.0000">
                  <c:v>0.15</c:v>
                </c:pt>
                <c:pt idx="1">
                  <c:v>0.15127600491822643</c:v>
                </c:pt>
                <c:pt idx="2">
                  <c:v>0.15077439351524055</c:v>
                </c:pt>
                <c:pt idx="3">
                  <c:v>0.15127600491822643</c:v>
                </c:pt>
                <c:pt idx="4">
                  <c:v>0.15210172968313956</c:v>
                </c:pt>
                <c:pt idx="5">
                  <c:v>0.15345961705851172</c:v>
                </c:pt>
                <c:pt idx="6">
                  <c:v>0.15568892328564213</c:v>
                </c:pt>
                <c:pt idx="7">
                  <c:v>0.15933890123600419</c:v>
                </c:pt>
                <c:pt idx="8">
                  <c:v>0.16528827846777783</c:v>
                </c:pt>
                <c:pt idx="9">
                  <c:v>0.17491539613865287</c:v>
                </c:pt>
                <c:pt idx="10">
                  <c:v>0.19031199220093176</c:v>
                </c:pt>
                <c:pt idx="11">
                  <c:v>0.21447945301805701</c:v>
                </c:pt>
                <c:pt idx="12">
                  <c:v>0.25132248371879989</c:v>
                </c:pt>
                <c:pt idx="13">
                  <c:v>0.30506169523540289</c:v>
                </c:pt>
                <c:pt idx="14">
                  <c:v>0.37860020816449586</c:v>
                </c:pt>
                <c:pt idx="15">
                  <c:v>0.47090956847842358</c:v>
                </c:pt>
                <c:pt idx="16">
                  <c:v>0.57499999999999996</c:v>
                </c:pt>
                <c:pt idx="17">
                  <c:v>0.67909043152157644</c:v>
                </c:pt>
                <c:pt idx="18">
                  <c:v>0.77139979183550411</c:v>
                </c:pt>
                <c:pt idx="19">
                  <c:v>0.84493830476459708</c:v>
                </c:pt>
                <c:pt idx="20">
                  <c:v>0.89867751628119996</c:v>
                </c:pt>
                <c:pt idx="21">
                  <c:v>0.93552054698194298</c:v>
                </c:pt>
                <c:pt idx="22">
                  <c:v>0.95968800779906827</c:v>
                </c:pt>
                <c:pt idx="23">
                  <c:v>0.9750846038613471</c:v>
                </c:pt>
                <c:pt idx="24">
                  <c:v>0.9847117215322222</c:v>
                </c:pt>
                <c:pt idx="25">
                  <c:v>0.99066109876399588</c:v>
                </c:pt>
                <c:pt idx="26">
                  <c:v>0.99431107671435792</c:v>
                </c:pt>
                <c:pt idx="27">
                  <c:v>0.99654038294148828</c:v>
                </c:pt>
                <c:pt idx="28">
                  <c:v>0.99789827031686051</c:v>
                </c:pt>
                <c:pt idx="29">
                  <c:v>0.99872399508177356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E8-48A4-922A-6459446F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6857072"/>
        <c:axId val="1896858992"/>
      </c:lineChart>
      <c:catAx>
        <c:axId val="1896857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58992"/>
        <c:crosses val="autoZero"/>
        <c:auto val="1"/>
        <c:lblAlgn val="ctr"/>
        <c:lblOffset val="100"/>
        <c:noMultiLvlLbl val="0"/>
      </c:catAx>
      <c:valAx>
        <c:axId val="189685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5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44823</xdr:colOff>
      <xdr:row>37</xdr:row>
      <xdr:rowOff>150437</xdr:rowOff>
    </xdr:from>
    <xdr:to>
      <xdr:col>25</xdr:col>
      <xdr:colOff>111498</xdr:colOff>
      <xdr:row>74</xdr:row>
      <xdr:rowOff>88525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4F07D-D7A2-EA69-341B-3CEBADFE3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495300</xdr:colOff>
      <xdr:row>33</xdr:row>
      <xdr:rowOff>122237</xdr:rowOff>
    </xdr:from>
    <xdr:to>
      <xdr:col>27</xdr:col>
      <xdr:colOff>596900</xdr:colOff>
      <xdr:row>48</xdr:row>
      <xdr:rowOff>125412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228D84-E7C9-CF7F-FA1E-0DFE7495F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438150</xdr:colOff>
      <xdr:row>3</xdr:row>
      <xdr:rowOff>128587</xdr:rowOff>
    </xdr:from>
    <xdr:to>
      <xdr:col>35</xdr:col>
      <xdr:colOff>133350</xdr:colOff>
      <xdr:row>12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A4F8C5-6199-A6FD-10AB-7EDD21735E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409575</xdr:colOff>
      <xdr:row>2</xdr:row>
      <xdr:rowOff>33337</xdr:rowOff>
    </xdr:from>
    <xdr:to>
      <xdr:col>33</xdr:col>
      <xdr:colOff>104775</xdr:colOff>
      <xdr:row>10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FEF526-BD1E-EFFF-D20B-034FBCB5C9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400050</xdr:colOff>
      <xdr:row>7</xdr:row>
      <xdr:rowOff>52387</xdr:rowOff>
    </xdr:from>
    <xdr:to>
      <xdr:col>28</xdr:col>
      <xdr:colOff>95250</xdr:colOff>
      <xdr:row>16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31E0B0-E8D0-FDE4-AA2E-6B666C6B1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38100</xdr:colOff>
      <xdr:row>33</xdr:row>
      <xdr:rowOff>71437</xdr:rowOff>
    </xdr:from>
    <xdr:to>
      <xdr:col>22</xdr:col>
      <xdr:colOff>0</xdr:colOff>
      <xdr:row>61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1BE2C0A-B1C1-C390-B73A-95D0FD8181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4"/>
  <sheetViews>
    <sheetView topLeftCell="A100" workbookViewId="0">
      <selection activeCell="B86" sqref="B86"/>
    </sheetView>
  </sheetViews>
  <sheetFormatPr defaultColWidth="9.140625" defaultRowHeight="15" x14ac:dyDescent="0.25"/>
  <cols>
    <col min="2" max="2" width="56.28515625" customWidth="1"/>
  </cols>
  <sheetData>
    <row r="1" spans="1:2" x14ac:dyDescent="0.25">
      <c r="A1" s="1" t="s">
        <v>898</v>
      </c>
    </row>
    <row r="3" spans="1:2" x14ac:dyDescent="0.25">
      <c r="A3" s="1" t="s">
        <v>0</v>
      </c>
      <c r="B3" s="12" t="s">
        <v>73</v>
      </c>
    </row>
    <row r="4" spans="1:2" x14ac:dyDescent="0.25">
      <c r="B4" t="s">
        <v>34</v>
      </c>
    </row>
    <row r="5" spans="1:2" x14ac:dyDescent="0.25">
      <c r="B5" s="3">
        <v>2020</v>
      </c>
    </row>
    <row r="6" spans="1:2" x14ac:dyDescent="0.25">
      <c r="B6" t="s">
        <v>125</v>
      </c>
    </row>
    <row r="7" spans="1:2" x14ac:dyDescent="0.25">
      <c r="B7" t="s">
        <v>128</v>
      </c>
    </row>
    <row r="8" spans="1:2" x14ac:dyDescent="0.25">
      <c r="B8" t="s">
        <v>126</v>
      </c>
    </row>
    <row r="10" spans="1:2" x14ac:dyDescent="0.25">
      <c r="B10" s="12" t="s">
        <v>923</v>
      </c>
    </row>
    <row r="11" spans="1:2" x14ac:dyDescent="0.25">
      <c r="B11" t="s">
        <v>924</v>
      </c>
    </row>
    <row r="12" spans="1:2" x14ac:dyDescent="0.25">
      <c r="B12" s="3">
        <v>2021</v>
      </c>
    </row>
    <row r="13" spans="1:2" x14ac:dyDescent="0.25">
      <c r="B13" t="s">
        <v>925</v>
      </c>
    </row>
    <row r="14" spans="1:2" x14ac:dyDescent="0.25">
      <c r="B14" s="28" t="s">
        <v>926</v>
      </c>
    </row>
    <row r="16" spans="1:2" x14ac:dyDescent="0.25">
      <c r="B16" t="s">
        <v>927</v>
      </c>
    </row>
    <row r="17" spans="2:2" x14ac:dyDescent="0.25">
      <c r="B17" s="3">
        <v>2022</v>
      </c>
    </row>
    <row r="18" spans="2:2" x14ac:dyDescent="0.25">
      <c r="B18" t="s">
        <v>928</v>
      </c>
    </row>
    <row r="19" spans="2:2" x14ac:dyDescent="0.25">
      <c r="B19" s="31" t="s">
        <v>929</v>
      </c>
    </row>
    <row r="20" spans="2:2" x14ac:dyDescent="0.25">
      <c r="B20" s="31"/>
    </row>
    <row r="21" spans="2:2" x14ac:dyDescent="0.25">
      <c r="B21" s="3" t="s">
        <v>930</v>
      </c>
    </row>
    <row r="22" spans="2:2" x14ac:dyDescent="0.25">
      <c r="B22" s="3">
        <v>2020</v>
      </c>
    </row>
    <row r="23" spans="2:2" x14ac:dyDescent="0.25">
      <c r="B23" s="3" t="s">
        <v>931</v>
      </c>
    </row>
    <row r="24" spans="2:2" x14ac:dyDescent="0.25">
      <c r="B24" s="31" t="s">
        <v>932</v>
      </c>
    </row>
    <row r="26" spans="2:2" x14ac:dyDescent="0.25">
      <c r="B26" s="12" t="s">
        <v>74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125</v>
      </c>
    </row>
    <row r="30" spans="2:2" x14ac:dyDescent="0.25">
      <c r="B30" t="s">
        <v>129</v>
      </c>
    </row>
    <row r="31" spans="2:2" x14ac:dyDescent="0.25">
      <c r="B31" t="s">
        <v>127</v>
      </c>
    </row>
    <row r="33" spans="1:2" x14ac:dyDescent="0.25">
      <c r="B33" s="12" t="s">
        <v>75</v>
      </c>
    </row>
    <row r="34" spans="1:2" x14ac:dyDescent="0.25">
      <c r="B34" s="13" t="s">
        <v>43</v>
      </c>
    </row>
    <row r="36" spans="1:2" x14ac:dyDescent="0.25">
      <c r="B36" s="12" t="s">
        <v>76</v>
      </c>
    </row>
    <row r="37" spans="1:2" x14ac:dyDescent="0.25">
      <c r="B37" t="s">
        <v>52</v>
      </c>
    </row>
    <row r="38" spans="1:2" x14ac:dyDescent="0.25">
      <c r="B38" s="3">
        <v>2014</v>
      </c>
    </row>
    <row r="39" spans="1:2" x14ac:dyDescent="0.25">
      <c r="B39" t="s">
        <v>53</v>
      </c>
    </row>
    <row r="40" spans="1:2" x14ac:dyDescent="0.25">
      <c r="B40" t="s">
        <v>54</v>
      </c>
    </row>
    <row r="42" spans="1:2" x14ac:dyDescent="0.25">
      <c r="B42" t="s">
        <v>55</v>
      </c>
    </row>
    <row r="43" spans="1:2" x14ac:dyDescent="0.25">
      <c r="B43" s="3">
        <v>2015</v>
      </c>
    </row>
    <row r="44" spans="1:2" x14ac:dyDescent="0.25">
      <c r="B44" t="s">
        <v>56</v>
      </c>
    </row>
    <row r="45" spans="1:2" x14ac:dyDescent="0.25">
      <c r="B45" t="s">
        <v>57</v>
      </c>
    </row>
    <row r="47" spans="1:2" x14ac:dyDescent="0.25">
      <c r="A47" s="1" t="s">
        <v>6</v>
      </c>
    </row>
    <row r="48" spans="1:2" x14ac:dyDescent="0.25">
      <c r="A48" t="s">
        <v>900</v>
      </c>
    </row>
    <row r="49" spans="1:2" x14ac:dyDescent="0.25">
      <c r="A49" t="s">
        <v>901</v>
      </c>
    </row>
    <row r="50" spans="1:2" x14ac:dyDescent="0.25">
      <c r="A50" t="s">
        <v>902</v>
      </c>
    </row>
    <row r="51" spans="1:2" x14ac:dyDescent="0.25">
      <c r="A51" s="31" t="s">
        <v>903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103</v>
      </c>
    </row>
    <row r="57" spans="1:2" x14ac:dyDescent="0.25">
      <c r="A57" t="s">
        <v>35</v>
      </c>
    </row>
    <row r="58" spans="1:2" x14ac:dyDescent="0.25">
      <c r="A58" t="s">
        <v>899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42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956</v>
      </c>
    </row>
    <row r="78" spans="2:2" x14ac:dyDescent="0.25">
      <c r="B78" t="s">
        <v>957</v>
      </c>
    </row>
    <row r="79" spans="2:2" x14ac:dyDescent="0.25">
      <c r="B79" t="s">
        <v>958</v>
      </c>
    </row>
    <row r="81" spans="2:2" x14ac:dyDescent="0.25">
      <c r="B81" s="12" t="s">
        <v>959</v>
      </c>
    </row>
    <row r="83" spans="2:2" x14ac:dyDescent="0.25">
      <c r="B83" t="s">
        <v>960</v>
      </c>
    </row>
    <row r="84" spans="2:2" x14ac:dyDescent="0.25">
      <c r="B84" t="s">
        <v>961</v>
      </c>
    </row>
    <row r="85" spans="2:2" x14ac:dyDescent="0.25">
      <c r="B85" t="s">
        <v>962</v>
      </c>
    </row>
    <row r="87" spans="2:2" x14ac:dyDescent="0.25">
      <c r="B87" s="12" t="s">
        <v>44</v>
      </c>
    </row>
    <row r="89" spans="2:2" x14ac:dyDescent="0.25">
      <c r="B89" t="s">
        <v>70</v>
      </c>
    </row>
    <row r="90" spans="2:2" x14ac:dyDescent="0.25">
      <c r="B90" t="s">
        <v>133</v>
      </c>
    </row>
    <row r="91" spans="2:2" x14ac:dyDescent="0.25">
      <c r="B91" t="s">
        <v>134</v>
      </c>
    </row>
    <row r="92" spans="2:2" x14ac:dyDescent="0.25">
      <c r="B92" t="s">
        <v>135</v>
      </c>
    </row>
    <row r="94" spans="2:2" x14ac:dyDescent="0.25">
      <c r="B94" t="s">
        <v>77</v>
      </c>
    </row>
    <row r="95" spans="2:2" x14ac:dyDescent="0.25">
      <c r="B95" t="s">
        <v>71</v>
      </c>
    </row>
    <row r="96" spans="2:2" x14ac:dyDescent="0.25">
      <c r="B96" t="s">
        <v>81</v>
      </c>
    </row>
    <row r="97" spans="2:2" x14ac:dyDescent="0.25">
      <c r="B97" t="s">
        <v>72</v>
      </c>
    </row>
    <row r="98" spans="2:2" x14ac:dyDescent="0.25">
      <c r="B98" t="s">
        <v>82</v>
      </c>
    </row>
    <row r="99" spans="2:2" x14ac:dyDescent="0.25">
      <c r="B99" t="s">
        <v>78</v>
      </c>
    </row>
    <row r="100" spans="2:2" x14ac:dyDescent="0.25">
      <c r="B100" t="s">
        <v>79</v>
      </c>
    </row>
    <row r="101" spans="2:2" x14ac:dyDescent="0.25">
      <c r="B101" t="s">
        <v>80</v>
      </c>
    </row>
    <row r="103" spans="2:2" x14ac:dyDescent="0.25">
      <c r="B103" t="s">
        <v>104</v>
      </c>
    </row>
    <row r="104" spans="2:2" x14ac:dyDescent="0.25">
      <c r="B104" t="s">
        <v>108</v>
      </c>
    </row>
    <row r="105" spans="2:2" x14ac:dyDescent="0.25">
      <c r="B105" t="s">
        <v>105</v>
      </c>
    </row>
    <row r="106" spans="2:2" x14ac:dyDescent="0.25">
      <c r="B106" t="s">
        <v>106</v>
      </c>
    </row>
    <row r="107" spans="2:2" x14ac:dyDescent="0.25">
      <c r="B107" t="s">
        <v>107</v>
      </c>
    </row>
    <row r="109" spans="2:2" x14ac:dyDescent="0.25">
      <c r="B109" t="s">
        <v>64</v>
      </c>
    </row>
    <row r="110" spans="2:2" x14ac:dyDescent="0.25">
      <c r="B110" t="s">
        <v>65</v>
      </c>
    </row>
    <row r="111" spans="2:2" x14ac:dyDescent="0.25">
      <c r="B111" t="s">
        <v>66</v>
      </c>
    </row>
    <row r="112" spans="2:2" x14ac:dyDescent="0.25">
      <c r="B112" t="s">
        <v>67</v>
      </c>
    </row>
    <row r="113" spans="2:2" x14ac:dyDescent="0.25">
      <c r="B113" t="s">
        <v>68</v>
      </c>
    </row>
    <row r="114" spans="2:2" x14ac:dyDescent="0.25">
      <c r="B114" t="s">
        <v>69</v>
      </c>
    </row>
    <row r="116" spans="2:2" x14ac:dyDescent="0.25">
      <c r="B116" t="s">
        <v>119</v>
      </c>
    </row>
    <row r="118" spans="2:2" x14ac:dyDescent="0.25">
      <c r="B118" t="s">
        <v>45</v>
      </c>
    </row>
    <row r="119" spans="2:2" x14ac:dyDescent="0.25">
      <c r="B119" t="s">
        <v>46</v>
      </c>
    </row>
    <row r="120" spans="2:2" x14ac:dyDescent="0.25">
      <c r="B120" t="s">
        <v>47</v>
      </c>
    </row>
    <row r="121" spans="2:2" x14ac:dyDescent="0.25">
      <c r="B121" t="s">
        <v>48</v>
      </c>
    </row>
    <row r="122" spans="2:2" x14ac:dyDescent="0.25">
      <c r="B122" t="s">
        <v>49</v>
      </c>
    </row>
    <row r="123" spans="2:2" x14ac:dyDescent="0.25">
      <c r="B123" t="s">
        <v>50</v>
      </c>
    </row>
    <row r="124" spans="2:2" x14ac:dyDescent="0.25">
      <c r="B124" t="s">
        <v>51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143</v>
      </c>
    </row>
    <row r="10" spans="1:36" x14ac:dyDescent="0.25">
      <c r="A10" t="s">
        <v>136</v>
      </c>
    </row>
    <row r="11" spans="1:36" x14ac:dyDescent="0.25">
      <c r="A11" t="s">
        <v>137</v>
      </c>
    </row>
    <row r="12" spans="1:36" x14ac:dyDescent="0.25">
      <c r="A12" t="s">
        <v>138</v>
      </c>
    </row>
    <row r="13" spans="1:36" x14ac:dyDescent="0.25">
      <c r="A13" t="s">
        <v>139</v>
      </c>
    </row>
    <row r="14" spans="1:36" x14ac:dyDescent="0.25">
      <c r="B14" t="s">
        <v>140</v>
      </c>
      <c r="C14" t="s">
        <v>141</v>
      </c>
      <c r="D14" t="s">
        <v>142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143</v>
      </c>
    </row>
    <row r="15" spans="1:36" x14ac:dyDescent="0.25">
      <c r="A15" t="s">
        <v>144</v>
      </c>
      <c r="C15" t="s">
        <v>145</v>
      </c>
    </row>
    <row r="16" spans="1:36" x14ac:dyDescent="0.25">
      <c r="A16" t="s">
        <v>146</v>
      </c>
      <c r="C16" t="s">
        <v>147</v>
      </c>
    </row>
    <row r="17" spans="1:36" x14ac:dyDescent="0.25">
      <c r="A17" t="s">
        <v>148</v>
      </c>
      <c r="B17" t="s">
        <v>149</v>
      </c>
      <c r="C17" t="s">
        <v>150</v>
      </c>
      <c r="D17" t="s">
        <v>151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0">
        <v>-1E-3</v>
      </c>
    </row>
    <row r="18" spans="1:36" x14ac:dyDescent="0.25">
      <c r="A18" t="s">
        <v>152</v>
      </c>
      <c r="B18" t="s">
        <v>153</v>
      </c>
      <c r="C18" t="s">
        <v>154</v>
      </c>
      <c r="D18" t="s">
        <v>151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0">
        <v>-8.9999999999999993E-3</v>
      </c>
    </row>
    <row r="19" spans="1:36" x14ac:dyDescent="0.25">
      <c r="A19" t="s">
        <v>155</v>
      </c>
      <c r="B19" t="s">
        <v>156</v>
      </c>
      <c r="C19" t="s">
        <v>157</v>
      </c>
      <c r="D19" t="s">
        <v>151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0">
        <v>-1E-3</v>
      </c>
    </row>
    <row r="20" spans="1:36" x14ac:dyDescent="0.25">
      <c r="A20" t="s">
        <v>158</v>
      </c>
      <c r="C20" t="s">
        <v>159</v>
      </c>
    </row>
    <row r="21" spans="1:36" x14ac:dyDescent="0.25">
      <c r="A21" t="s">
        <v>160</v>
      </c>
      <c r="B21" t="s">
        <v>161</v>
      </c>
      <c r="C21" t="s">
        <v>162</v>
      </c>
      <c r="D21" t="s">
        <v>151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0">
        <v>2E-3</v>
      </c>
    </row>
    <row r="22" spans="1:36" x14ac:dyDescent="0.25">
      <c r="A22" t="s">
        <v>163</v>
      </c>
      <c r="B22" t="s">
        <v>164</v>
      </c>
      <c r="C22" t="s">
        <v>165</v>
      </c>
      <c r="D22" t="s">
        <v>151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0">
        <v>0.02</v>
      </c>
    </row>
    <row r="23" spans="1:36" x14ac:dyDescent="0.25">
      <c r="A23" t="s">
        <v>166</v>
      </c>
      <c r="B23" t="s">
        <v>167</v>
      </c>
      <c r="C23" t="s">
        <v>168</v>
      </c>
      <c r="D23" t="s">
        <v>151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0">
        <v>4.9000000000000002E-2</v>
      </c>
    </row>
    <row r="24" spans="1:36" x14ac:dyDescent="0.25">
      <c r="A24" t="s">
        <v>169</v>
      </c>
      <c r="B24" t="s">
        <v>170</v>
      </c>
      <c r="C24" t="s">
        <v>171</v>
      </c>
      <c r="D24" t="s">
        <v>151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0">
        <v>7.5999999999999998E-2</v>
      </c>
    </row>
    <row r="25" spans="1:36" x14ac:dyDescent="0.25">
      <c r="A25" t="s">
        <v>172</v>
      </c>
      <c r="B25" t="s">
        <v>173</v>
      </c>
      <c r="C25" t="s">
        <v>174</v>
      </c>
      <c r="D25" t="s">
        <v>151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0">
        <v>3.4000000000000002E-2</v>
      </c>
    </row>
    <row r="26" spans="1:36" x14ac:dyDescent="0.25">
      <c r="A26" t="s">
        <v>175</v>
      </c>
      <c r="B26" t="s">
        <v>176</v>
      </c>
      <c r="C26" t="s">
        <v>177</v>
      </c>
      <c r="D26" t="s">
        <v>151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0">
        <v>1.0999999999999999E-2</v>
      </c>
    </row>
    <row r="27" spans="1:36" x14ac:dyDescent="0.25">
      <c r="A27" t="s">
        <v>178</v>
      </c>
      <c r="B27" t="s">
        <v>179</v>
      </c>
      <c r="C27" t="s">
        <v>180</v>
      </c>
      <c r="D27" t="s">
        <v>151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181</v>
      </c>
      <c r="B28" t="s">
        <v>182</v>
      </c>
      <c r="C28" t="s">
        <v>183</v>
      </c>
      <c r="D28" t="s">
        <v>151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0">
        <v>4.9000000000000002E-2</v>
      </c>
    </row>
    <row r="29" spans="1:36" x14ac:dyDescent="0.25">
      <c r="A29" t="s">
        <v>184</v>
      </c>
      <c r="B29" t="s">
        <v>185</v>
      </c>
      <c r="C29" t="s">
        <v>186</v>
      </c>
      <c r="D29" t="s">
        <v>151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0">
        <v>1.2E-2</v>
      </c>
    </row>
    <row r="30" spans="1:36" x14ac:dyDescent="0.25">
      <c r="A30" t="s">
        <v>187</v>
      </c>
      <c r="B30" t="s">
        <v>188</v>
      </c>
      <c r="C30" t="s">
        <v>189</v>
      </c>
      <c r="D30" t="s">
        <v>151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0">
        <v>5.0000000000000001E-3</v>
      </c>
    </row>
    <row r="31" spans="1:36" x14ac:dyDescent="0.25">
      <c r="A31" t="s">
        <v>190</v>
      </c>
      <c r="B31" t="s">
        <v>191</v>
      </c>
      <c r="C31" t="s">
        <v>192</v>
      </c>
      <c r="D31" t="s">
        <v>151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0">
        <v>8.0000000000000002E-3</v>
      </c>
    </row>
    <row r="32" spans="1:36" x14ac:dyDescent="0.25">
      <c r="A32" t="s">
        <v>193</v>
      </c>
      <c r="B32" t="s">
        <v>191</v>
      </c>
      <c r="C32" t="s">
        <v>194</v>
      </c>
      <c r="D32" t="s">
        <v>151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0">
        <v>5.0000000000000001E-3</v>
      </c>
    </row>
    <row r="33" spans="1:36" x14ac:dyDescent="0.25">
      <c r="A33" t="s">
        <v>195</v>
      </c>
      <c r="B33" t="s">
        <v>196</v>
      </c>
      <c r="C33" t="s">
        <v>197</v>
      </c>
      <c r="D33" t="s">
        <v>151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198</v>
      </c>
      <c r="B34" t="s">
        <v>199</v>
      </c>
      <c r="C34" t="s">
        <v>200</v>
      </c>
      <c r="D34" t="s">
        <v>151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0">
        <v>6.8000000000000005E-2</v>
      </c>
    </row>
    <row r="35" spans="1:36" x14ac:dyDescent="0.25">
      <c r="A35" t="s">
        <v>201</v>
      </c>
      <c r="B35" t="s">
        <v>202</v>
      </c>
      <c r="C35" t="s">
        <v>203</v>
      </c>
      <c r="D35" t="s">
        <v>151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0">
        <v>4.9000000000000002E-2</v>
      </c>
    </row>
    <row r="36" spans="1:36" x14ac:dyDescent="0.25">
      <c r="A36" t="s">
        <v>109</v>
      </c>
      <c r="B36" t="s">
        <v>204</v>
      </c>
      <c r="C36" t="s">
        <v>205</v>
      </c>
      <c r="D36" t="s">
        <v>206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0">
        <v>4.2999999999999997E-2</v>
      </c>
    </row>
    <row r="37" spans="1:36" x14ac:dyDescent="0.25">
      <c r="A37" t="s">
        <v>110</v>
      </c>
      <c r="B37" t="s">
        <v>207</v>
      </c>
      <c r="C37" t="s">
        <v>208</v>
      </c>
      <c r="D37" t="s">
        <v>151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0">
        <v>6.0000000000000001E-3</v>
      </c>
    </row>
    <row r="38" spans="1:36" x14ac:dyDescent="0.25">
      <c r="A38" t="s">
        <v>209</v>
      </c>
      <c r="C38" t="s">
        <v>210</v>
      </c>
    </row>
    <row r="39" spans="1:36" x14ac:dyDescent="0.25">
      <c r="A39" t="s">
        <v>211</v>
      </c>
      <c r="C39" t="s">
        <v>212</v>
      </c>
    </row>
    <row r="40" spans="1:36" x14ac:dyDescent="0.25">
      <c r="A40" t="s">
        <v>148</v>
      </c>
      <c r="B40" t="s">
        <v>213</v>
      </c>
      <c r="C40" t="s">
        <v>214</v>
      </c>
      <c r="D40" t="s">
        <v>151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0">
        <v>3.0000000000000001E-3</v>
      </c>
    </row>
    <row r="41" spans="1:36" x14ac:dyDescent="0.25">
      <c r="A41" t="s">
        <v>152</v>
      </c>
      <c r="B41" t="s">
        <v>215</v>
      </c>
      <c r="C41" t="s">
        <v>216</v>
      </c>
      <c r="D41" t="s">
        <v>151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0">
        <v>3.1E-2</v>
      </c>
    </row>
    <row r="42" spans="1:36" x14ac:dyDescent="0.25">
      <c r="A42" t="s">
        <v>217</v>
      </c>
      <c r="B42" t="s">
        <v>218</v>
      </c>
      <c r="C42" t="s">
        <v>219</v>
      </c>
      <c r="D42" t="s">
        <v>151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0">
        <v>3.0000000000000001E-3</v>
      </c>
    </row>
    <row r="43" spans="1:36" x14ac:dyDescent="0.25">
      <c r="A43" t="s">
        <v>220</v>
      </c>
      <c r="C43" t="s">
        <v>221</v>
      </c>
    </row>
    <row r="44" spans="1:36" x14ac:dyDescent="0.25">
      <c r="A44" t="s">
        <v>160</v>
      </c>
      <c r="B44" t="s">
        <v>222</v>
      </c>
      <c r="C44" t="s">
        <v>223</v>
      </c>
      <c r="D44" t="s">
        <v>151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0">
        <v>1E-3</v>
      </c>
    </row>
    <row r="45" spans="1:36" x14ac:dyDescent="0.25">
      <c r="A45" t="s">
        <v>163</v>
      </c>
      <c r="B45" t="s">
        <v>224</v>
      </c>
      <c r="C45" t="s">
        <v>225</v>
      </c>
      <c r="D45" t="s">
        <v>151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166</v>
      </c>
      <c r="B46" t="s">
        <v>226</v>
      </c>
      <c r="C46" t="s">
        <v>227</v>
      </c>
      <c r="D46" t="s">
        <v>151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0">
        <v>8.8999999999999996E-2</v>
      </c>
    </row>
    <row r="47" spans="1:36" x14ac:dyDescent="0.25">
      <c r="A47" t="s">
        <v>169</v>
      </c>
      <c r="B47" t="s">
        <v>228</v>
      </c>
      <c r="C47" t="s">
        <v>229</v>
      </c>
      <c r="D47" t="s">
        <v>151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0">
        <v>9.7000000000000003E-2</v>
      </c>
    </row>
    <row r="48" spans="1:36" x14ac:dyDescent="0.25">
      <c r="A48" t="s">
        <v>172</v>
      </c>
      <c r="B48" t="s">
        <v>230</v>
      </c>
      <c r="C48" t="s">
        <v>231</v>
      </c>
      <c r="D48" t="s">
        <v>151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0">
        <v>9.2999999999999999E-2</v>
      </c>
    </row>
    <row r="49" spans="1:36" x14ac:dyDescent="0.25">
      <c r="A49" t="s">
        <v>175</v>
      </c>
      <c r="B49" t="s">
        <v>232</v>
      </c>
      <c r="C49" t="s">
        <v>233</v>
      </c>
      <c r="D49" t="s">
        <v>151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0">
        <v>7.0000000000000007E-2</v>
      </c>
    </row>
    <row r="50" spans="1:36" x14ac:dyDescent="0.25">
      <c r="A50" t="s">
        <v>178</v>
      </c>
      <c r="B50" t="s">
        <v>234</v>
      </c>
      <c r="C50" t="s">
        <v>235</v>
      </c>
      <c r="D50" t="s">
        <v>151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181</v>
      </c>
      <c r="B51" t="s">
        <v>236</v>
      </c>
      <c r="C51" t="s">
        <v>237</v>
      </c>
      <c r="D51" t="s">
        <v>151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0">
        <v>3.9E-2</v>
      </c>
    </row>
    <row r="52" spans="1:36" x14ac:dyDescent="0.25">
      <c r="A52" t="s">
        <v>184</v>
      </c>
      <c r="B52" t="s">
        <v>238</v>
      </c>
      <c r="C52" t="s">
        <v>239</v>
      </c>
      <c r="D52" t="s">
        <v>151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0">
        <v>1.2E-2</v>
      </c>
    </row>
    <row r="53" spans="1:36" x14ac:dyDescent="0.25">
      <c r="A53" t="s">
        <v>187</v>
      </c>
      <c r="B53" t="s">
        <v>240</v>
      </c>
      <c r="C53" t="s">
        <v>241</v>
      </c>
      <c r="D53" t="s">
        <v>151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0">
        <v>7.0000000000000001E-3</v>
      </c>
    </row>
    <row r="54" spans="1:36" x14ac:dyDescent="0.25">
      <c r="A54" t="s">
        <v>190</v>
      </c>
      <c r="B54" t="s">
        <v>242</v>
      </c>
      <c r="C54" t="s">
        <v>243</v>
      </c>
      <c r="D54" t="s">
        <v>151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0">
        <v>2.3E-2</v>
      </c>
    </row>
    <row r="55" spans="1:36" x14ac:dyDescent="0.25">
      <c r="A55" t="s">
        <v>193</v>
      </c>
      <c r="B55" t="s">
        <v>244</v>
      </c>
      <c r="C55" t="s">
        <v>245</v>
      </c>
      <c r="D55" t="s">
        <v>151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0">
        <v>7.0000000000000001E-3</v>
      </c>
    </row>
    <row r="56" spans="1:36" x14ac:dyDescent="0.25">
      <c r="A56" t="s">
        <v>195</v>
      </c>
      <c r="B56" t="s">
        <v>246</v>
      </c>
      <c r="C56" t="s">
        <v>247</v>
      </c>
      <c r="D56" t="s">
        <v>151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198</v>
      </c>
      <c r="B57" t="s">
        <v>248</v>
      </c>
      <c r="C57" t="s">
        <v>249</v>
      </c>
      <c r="D57" t="s">
        <v>151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0">
        <v>0.14599999999999999</v>
      </c>
    </row>
    <row r="58" spans="1:36" x14ac:dyDescent="0.25">
      <c r="A58" t="s">
        <v>250</v>
      </c>
      <c r="B58" t="s">
        <v>251</v>
      </c>
      <c r="C58" t="s">
        <v>252</v>
      </c>
      <c r="D58" t="s">
        <v>151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0">
        <v>2.8000000000000001E-2</v>
      </c>
    </row>
    <row r="59" spans="1:36" x14ac:dyDescent="0.25">
      <c r="A59" t="s">
        <v>111</v>
      </c>
      <c r="B59" t="s">
        <v>253</v>
      </c>
      <c r="C59" t="s">
        <v>254</v>
      </c>
      <c r="D59" t="s">
        <v>206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0">
        <v>0.02</v>
      </c>
    </row>
    <row r="60" spans="1:36" x14ac:dyDescent="0.25">
      <c r="A60" t="s">
        <v>112</v>
      </c>
      <c r="B60" t="s">
        <v>255</v>
      </c>
      <c r="C60" t="s">
        <v>256</v>
      </c>
      <c r="D60" t="s">
        <v>151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0">
        <v>7.0000000000000001E-3</v>
      </c>
    </row>
    <row r="61" spans="1:36" x14ac:dyDescent="0.25">
      <c r="A61" t="s">
        <v>113</v>
      </c>
      <c r="B61" t="s">
        <v>257</v>
      </c>
      <c r="C61" t="s">
        <v>258</v>
      </c>
      <c r="D61" t="s">
        <v>206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0">
        <v>2.8000000000000001E-2</v>
      </c>
    </row>
    <row r="62" spans="1:36" x14ac:dyDescent="0.25">
      <c r="A62" t="s">
        <v>114</v>
      </c>
      <c r="B62" t="s">
        <v>259</v>
      </c>
      <c r="C62" t="s">
        <v>260</v>
      </c>
      <c r="D62" t="s">
        <v>151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0">
        <v>3.1E-2</v>
      </c>
    </row>
    <row r="63" spans="1:36" x14ac:dyDescent="0.25">
      <c r="A63" t="s">
        <v>115</v>
      </c>
      <c r="B63" t="s">
        <v>261</v>
      </c>
      <c r="C63" t="s">
        <v>262</v>
      </c>
      <c r="D63" t="s">
        <v>151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263</v>
      </c>
      <c r="B64" t="s">
        <v>264</v>
      </c>
      <c r="D64" t="s">
        <v>265</v>
      </c>
    </row>
    <row r="65" spans="1:36" x14ac:dyDescent="0.25">
      <c r="A65" t="s">
        <v>266</v>
      </c>
      <c r="B65" t="s">
        <v>267</v>
      </c>
      <c r="C65" t="s">
        <v>268</v>
      </c>
      <c r="D65" t="s">
        <v>151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0">
        <v>1E-3</v>
      </c>
    </row>
    <row r="66" spans="1:36" x14ac:dyDescent="0.25">
      <c r="A66" t="s">
        <v>269</v>
      </c>
      <c r="B66" t="s">
        <v>270</v>
      </c>
      <c r="C66" t="s">
        <v>271</v>
      </c>
      <c r="D66" t="s">
        <v>151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0">
        <v>3.1E-2</v>
      </c>
    </row>
    <row r="67" spans="1:36" x14ac:dyDescent="0.25">
      <c r="A67" t="s">
        <v>272</v>
      </c>
      <c r="B67" t="s">
        <v>273</v>
      </c>
      <c r="C67" t="s">
        <v>274</v>
      </c>
      <c r="D67" t="s">
        <v>151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0">
        <v>2E-3</v>
      </c>
    </row>
    <row r="68" spans="1:36" x14ac:dyDescent="0.25">
      <c r="A68" t="s">
        <v>275</v>
      </c>
      <c r="B68" t="s">
        <v>276</v>
      </c>
      <c r="C68" t="s">
        <v>277</v>
      </c>
      <c r="D68" t="s">
        <v>151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0">
        <v>7.5999999999999998E-2</v>
      </c>
    </row>
    <row r="69" spans="1:36" x14ac:dyDescent="0.25">
      <c r="A69" t="s">
        <v>278</v>
      </c>
      <c r="B69" t="s">
        <v>279</v>
      </c>
      <c r="C69" t="s">
        <v>280</v>
      </c>
      <c r="D69" t="s">
        <v>151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0">
        <v>5.8000000000000003E-2</v>
      </c>
    </row>
    <row r="70" spans="1:36" x14ac:dyDescent="0.25">
      <c r="A70" t="s">
        <v>281</v>
      </c>
      <c r="B70" t="s">
        <v>282</v>
      </c>
      <c r="C70" t="s">
        <v>283</v>
      </c>
      <c r="D70" t="s">
        <v>151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0">
        <v>4.2999999999999997E-2</v>
      </c>
    </row>
    <row r="71" spans="1:36" x14ac:dyDescent="0.25">
      <c r="A71" t="s">
        <v>284</v>
      </c>
      <c r="B71" t="s">
        <v>285</v>
      </c>
      <c r="C71" t="s">
        <v>286</v>
      </c>
      <c r="D71" t="s">
        <v>151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0">
        <v>8.9999999999999993E-3</v>
      </c>
    </row>
    <row r="72" spans="1:36" x14ac:dyDescent="0.25">
      <c r="A72" t="s">
        <v>287</v>
      </c>
      <c r="B72" t="s">
        <v>288</v>
      </c>
      <c r="C72" t="s">
        <v>289</v>
      </c>
      <c r="D72" t="s">
        <v>151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0">
        <v>7.3999999999999996E-2</v>
      </c>
    </row>
    <row r="73" spans="1:36" x14ac:dyDescent="0.25">
      <c r="A73" t="s">
        <v>116</v>
      </c>
      <c r="B73" t="s">
        <v>290</v>
      </c>
      <c r="C73" t="s">
        <v>291</v>
      </c>
      <c r="D73" t="s">
        <v>151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0">
        <v>7.0000000000000001E-3</v>
      </c>
    </row>
    <row r="74" spans="1:36" x14ac:dyDescent="0.25">
      <c r="A74" t="s">
        <v>292</v>
      </c>
      <c r="B74" t="s">
        <v>293</v>
      </c>
      <c r="C74" t="s">
        <v>294</v>
      </c>
      <c r="D74" t="s">
        <v>151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0">
        <v>1.6E-2</v>
      </c>
    </row>
    <row r="75" spans="1:36" x14ac:dyDescent="0.25">
      <c r="A75" t="s">
        <v>295</v>
      </c>
      <c r="B75" t="s">
        <v>296</v>
      </c>
      <c r="C75" t="s">
        <v>297</v>
      </c>
      <c r="D75" t="s">
        <v>151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117</v>
      </c>
      <c r="B76" t="s">
        <v>298</v>
      </c>
      <c r="C76" t="s">
        <v>299</v>
      </c>
      <c r="D76" t="s">
        <v>151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0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143</v>
      </c>
    </row>
    <row r="10" spans="1:36" x14ac:dyDescent="0.25">
      <c r="A10" t="s">
        <v>300</v>
      </c>
    </row>
    <row r="11" spans="1:36" x14ac:dyDescent="0.25">
      <c r="A11" t="s">
        <v>301</v>
      </c>
    </row>
    <row r="12" spans="1:36" x14ac:dyDescent="0.25">
      <c r="A12" t="s">
        <v>302</v>
      </c>
    </row>
    <row r="13" spans="1:36" x14ac:dyDescent="0.25">
      <c r="A13" t="s">
        <v>139</v>
      </c>
    </row>
    <row r="14" spans="1:36" x14ac:dyDescent="0.25">
      <c r="B14" t="s">
        <v>140</v>
      </c>
      <c r="C14" t="s">
        <v>141</v>
      </c>
      <c r="D14" t="s">
        <v>142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143</v>
      </c>
    </row>
    <row r="15" spans="1:36" x14ac:dyDescent="0.25">
      <c r="A15" t="s">
        <v>303</v>
      </c>
      <c r="C15" t="s">
        <v>344</v>
      </c>
    </row>
    <row r="16" spans="1:36" x14ac:dyDescent="0.25">
      <c r="A16" t="s">
        <v>146</v>
      </c>
      <c r="C16" t="s">
        <v>345</v>
      </c>
    </row>
    <row r="17" spans="1:36" x14ac:dyDescent="0.25">
      <c r="A17" t="s">
        <v>148</v>
      </c>
      <c r="B17" t="s">
        <v>304</v>
      </c>
      <c r="C17" t="s">
        <v>346</v>
      </c>
      <c r="D17" t="s">
        <v>347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0">
        <v>-1.0999999999999999E-2</v>
      </c>
    </row>
    <row r="18" spans="1:36" x14ac:dyDescent="0.25">
      <c r="A18" t="s">
        <v>152</v>
      </c>
      <c r="B18" t="s">
        <v>305</v>
      </c>
      <c r="C18" t="s">
        <v>348</v>
      </c>
      <c r="D18" t="s">
        <v>347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0">
        <v>-0.115</v>
      </c>
    </row>
    <row r="19" spans="1:36" x14ac:dyDescent="0.25">
      <c r="A19" t="s">
        <v>155</v>
      </c>
      <c r="B19" t="s">
        <v>306</v>
      </c>
      <c r="C19" t="s">
        <v>349</v>
      </c>
      <c r="D19" t="s">
        <v>347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0">
        <v>-1.0999999999999999E-2</v>
      </c>
    </row>
    <row r="20" spans="1:36" x14ac:dyDescent="0.25">
      <c r="A20" t="s">
        <v>158</v>
      </c>
      <c r="C20" t="s">
        <v>350</v>
      </c>
    </row>
    <row r="21" spans="1:36" x14ac:dyDescent="0.25">
      <c r="A21" t="s">
        <v>160</v>
      </c>
      <c r="B21" t="s">
        <v>307</v>
      </c>
      <c r="C21" t="s">
        <v>351</v>
      </c>
      <c r="D21" t="s">
        <v>347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0">
        <v>-3.4000000000000002E-2</v>
      </c>
    </row>
    <row r="22" spans="1:36" x14ac:dyDescent="0.25">
      <c r="A22" t="s">
        <v>163</v>
      </c>
      <c r="B22" t="s">
        <v>308</v>
      </c>
      <c r="C22" t="s">
        <v>352</v>
      </c>
      <c r="D22" t="s">
        <v>347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0">
        <v>-3.6999999999999998E-2</v>
      </c>
    </row>
    <row r="23" spans="1:36" x14ac:dyDescent="0.25">
      <c r="A23" t="s">
        <v>166</v>
      </c>
      <c r="B23" t="s">
        <v>309</v>
      </c>
      <c r="C23" t="s">
        <v>353</v>
      </c>
      <c r="D23" t="s">
        <v>347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0">
        <v>8.7999999999999995E-2</v>
      </c>
    </row>
    <row r="24" spans="1:36" x14ac:dyDescent="0.25">
      <c r="A24" t="s">
        <v>169</v>
      </c>
      <c r="B24" t="s">
        <v>310</v>
      </c>
      <c r="C24" t="s">
        <v>354</v>
      </c>
      <c r="D24" t="s">
        <v>347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0">
        <v>0.1</v>
      </c>
    </row>
    <row r="25" spans="1:36" x14ac:dyDescent="0.25">
      <c r="A25" t="s">
        <v>172</v>
      </c>
      <c r="B25" t="s">
        <v>311</v>
      </c>
      <c r="C25" t="s">
        <v>355</v>
      </c>
      <c r="D25" t="s">
        <v>347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0">
        <v>4.5999999999999999E-2</v>
      </c>
    </row>
    <row r="26" spans="1:36" x14ac:dyDescent="0.25">
      <c r="A26" t="s">
        <v>175</v>
      </c>
      <c r="B26" t="s">
        <v>312</v>
      </c>
      <c r="C26" t="s">
        <v>356</v>
      </c>
      <c r="D26" t="s">
        <v>347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0">
        <v>-8.9999999999999993E-3</v>
      </c>
    </row>
    <row r="27" spans="1:36" x14ac:dyDescent="0.25">
      <c r="A27" t="s">
        <v>178</v>
      </c>
      <c r="B27" t="s">
        <v>313</v>
      </c>
      <c r="C27" t="s">
        <v>357</v>
      </c>
      <c r="D27" t="s">
        <v>347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181</v>
      </c>
      <c r="B28" t="s">
        <v>314</v>
      </c>
      <c r="C28" t="s">
        <v>358</v>
      </c>
      <c r="D28" t="s">
        <v>347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0">
        <v>0.02</v>
      </c>
    </row>
    <row r="29" spans="1:36" x14ac:dyDescent="0.25">
      <c r="A29" t="s">
        <v>184</v>
      </c>
      <c r="B29" t="s">
        <v>315</v>
      </c>
      <c r="C29" t="s">
        <v>359</v>
      </c>
      <c r="D29" t="s">
        <v>347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0">
        <v>-2.1000000000000001E-2</v>
      </c>
    </row>
    <row r="30" spans="1:36" x14ac:dyDescent="0.25">
      <c r="A30" t="s">
        <v>187</v>
      </c>
      <c r="B30" t="s">
        <v>316</v>
      </c>
      <c r="C30" t="s">
        <v>360</v>
      </c>
      <c r="D30" t="s">
        <v>347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0">
        <v>-1.6E-2</v>
      </c>
    </row>
    <row r="31" spans="1:36" x14ac:dyDescent="0.25">
      <c r="A31" t="s">
        <v>190</v>
      </c>
      <c r="B31" t="s">
        <v>317</v>
      </c>
      <c r="C31" t="s">
        <v>361</v>
      </c>
      <c r="D31" t="s">
        <v>347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0">
        <v>2.3E-2</v>
      </c>
    </row>
    <row r="32" spans="1:36" x14ac:dyDescent="0.25">
      <c r="A32" t="s">
        <v>193</v>
      </c>
      <c r="B32" t="s">
        <v>318</v>
      </c>
      <c r="C32" t="s">
        <v>362</v>
      </c>
      <c r="D32" t="s">
        <v>347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0">
        <v>4.0000000000000001E-3</v>
      </c>
    </row>
    <row r="33" spans="1:36" x14ac:dyDescent="0.25">
      <c r="A33" t="s">
        <v>195</v>
      </c>
      <c r="B33" t="s">
        <v>319</v>
      </c>
      <c r="C33" t="s">
        <v>363</v>
      </c>
      <c r="D33" t="s">
        <v>347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198</v>
      </c>
      <c r="B34" t="s">
        <v>320</v>
      </c>
      <c r="C34" t="s">
        <v>364</v>
      </c>
      <c r="D34" t="s">
        <v>347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0">
        <v>2.9000000000000001E-2</v>
      </c>
    </row>
    <row r="35" spans="1:36" x14ac:dyDescent="0.25">
      <c r="A35" t="s">
        <v>201</v>
      </c>
      <c r="B35" t="s">
        <v>321</v>
      </c>
      <c r="C35" t="s">
        <v>365</v>
      </c>
      <c r="D35" t="s">
        <v>347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0">
        <v>2.1999999999999999E-2</v>
      </c>
    </row>
    <row r="36" spans="1:36" x14ac:dyDescent="0.25">
      <c r="A36" t="s">
        <v>24</v>
      </c>
      <c r="B36" t="s">
        <v>322</v>
      </c>
      <c r="C36" t="s">
        <v>366</v>
      </c>
      <c r="D36" t="s">
        <v>347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0">
        <v>-7.0000000000000001E-3</v>
      </c>
    </row>
    <row r="37" spans="1:36" x14ac:dyDescent="0.25">
      <c r="A37" t="s">
        <v>323</v>
      </c>
      <c r="C37" t="s">
        <v>367</v>
      </c>
    </row>
    <row r="38" spans="1:36" x14ac:dyDescent="0.25">
      <c r="A38" t="s">
        <v>211</v>
      </c>
      <c r="C38" t="s">
        <v>368</v>
      </c>
    </row>
    <row r="39" spans="1:36" x14ac:dyDescent="0.25">
      <c r="A39" t="s">
        <v>148</v>
      </c>
      <c r="B39" t="s">
        <v>324</v>
      </c>
      <c r="C39" t="s">
        <v>369</v>
      </c>
      <c r="D39" t="s">
        <v>347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0">
        <v>7.0000000000000001E-3</v>
      </c>
    </row>
    <row r="40" spans="1:36" x14ac:dyDescent="0.25">
      <c r="A40" t="s">
        <v>152</v>
      </c>
      <c r="B40" t="s">
        <v>325</v>
      </c>
      <c r="C40" t="s">
        <v>370</v>
      </c>
      <c r="D40" t="s">
        <v>347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0">
        <v>4.7E-2</v>
      </c>
    </row>
    <row r="41" spans="1:36" x14ac:dyDescent="0.25">
      <c r="A41" t="s">
        <v>217</v>
      </c>
      <c r="B41" t="s">
        <v>326</v>
      </c>
      <c r="C41" t="s">
        <v>371</v>
      </c>
      <c r="D41" t="s">
        <v>347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0">
        <v>7.0000000000000001E-3</v>
      </c>
    </row>
    <row r="42" spans="1:36" x14ac:dyDescent="0.25">
      <c r="A42" t="s">
        <v>220</v>
      </c>
      <c r="C42" t="s">
        <v>372</v>
      </c>
    </row>
    <row r="43" spans="1:36" x14ac:dyDescent="0.25">
      <c r="A43" t="s">
        <v>160</v>
      </c>
      <c r="B43" t="s">
        <v>327</v>
      </c>
      <c r="C43" t="s">
        <v>373</v>
      </c>
      <c r="D43" t="s">
        <v>347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0">
        <v>-6.0000000000000001E-3</v>
      </c>
    </row>
    <row r="44" spans="1:36" x14ac:dyDescent="0.25">
      <c r="A44" t="s">
        <v>163</v>
      </c>
      <c r="B44" t="s">
        <v>328</v>
      </c>
      <c r="C44" t="s">
        <v>374</v>
      </c>
      <c r="D44" t="s">
        <v>347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0">
        <v>-0.11600000000000001</v>
      </c>
    </row>
    <row r="45" spans="1:36" x14ac:dyDescent="0.25">
      <c r="A45" t="s">
        <v>166</v>
      </c>
      <c r="B45" t="s">
        <v>329</v>
      </c>
      <c r="C45" t="s">
        <v>375</v>
      </c>
      <c r="D45" t="s">
        <v>347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0">
        <v>0.13700000000000001</v>
      </c>
    </row>
    <row r="46" spans="1:36" x14ac:dyDescent="0.25">
      <c r="A46" t="s">
        <v>169</v>
      </c>
      <c r="B46" t="s">
        <v>330</v>
      </c>
      <c r="C46" t="s">
        <v>376</v>
      </c>
      <c r="D46" t="s">
        <v>347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0">
        <v>0.156</v>
      </c>
    </row>
    <row r="47" spans="1:36" x14ac:dyDescent="0.25">
      <c r="A47" t="s">
        <v>172</v>
      </c>
      <c r="B47" t="s">
        <v>331</v>
      </c>
      <c r="C47" t="s">
        <v>377</v>
      </c>
      <c r="D47" t="s">
        <v>347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0">
        <v>6.9000000000000006E-2</v>
      </c>
    </row>
    <row r="48" spans="1:36" x14ac:dyDescent="0.25">
      <c r="A48" t="s">
        <v>175</v>
      </c>
      <c r="B48" t="s">
        <v>332</v>
      </c>
      <c r="C48" t="s">
        <v>378</v>
      </c>
      <c r="D48" t="s">
        <v>347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0">
        <v>0.14499999999999999</v>
      </c>
    </row>
    <row r="49" spans="1:36" x14ac:dyDescent="0.25">
      <c r="A49" t="s">
        <v>178</v>
      </c>
      <c r="B49" t="s">
        <v>333</v>
      </c>
      <c r="C49" t="s">
        <v>379</v>
      </c>
      <c r="D49" t="s">
        <v>347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181</v>
      </c>
      <c r="B50" t="s">
        <v>334</v>
      </c>
      <c r="C50" t="s">
        <v>380</v>
      </c>
      <c r="D50" t="s">
        <v>347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0">
        <v>8.1000000000000003E-2</v>
      </c>
    </row>
    <row r="51" spans="1:36" x14ac:dyDescent="0.25">
      <c r="A51" t="s">
        <v>184</v>
      </c>
      <c r="B51" t="s">
        <v>335</v>
      </c>
      <c r="C51" t="s">
        <v>381</v>
      </c>
      <c r="D51" t="s">
        <v>347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0">
        <v>-5.0000000000000001E-3</v>
      </c>
    </row>
    <row r="52" spans="1:36" x14ac:dyDescent="0.25">
      <c r="A52" t="s">
        <v>187</v>
      </c>
      <c r="B52" t="s">
        <v>336</v>
      </c>
      <c r="C52" t="s">
        <v>382</v>
      </c>
      <c r="D52" t="s">
        <v>347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0">
        <v>8.0000000000000002E-3</v>
      </c>
    </row>
    <row r="53" spans="1:36" x14ac:dyDescent="0.25">
      <c r="A53" t="s">
        <v>190</v>
      </c>
      <c r="B53" t="s">
        <v>337</v>
      </c>
      <c r="C53" t="s">
        <v>383</v>
      </c>
      <c r="D53" t="s">
        <v>347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0">
        <v>1.4E-2</v>
      </c>
    </row>
    <row r="54" spans="1:36" x14ac:dyDescent="0.25">
      <c r="A54" t="s">
        <v>193</v>
      </c>
      <c r="B54" t="s">
        <v>338</v>
      </c>
      <c r="C54" t="s">
        <v>384</v>
      </c>
      <c r="D54" t="s">
        <v>347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0">
        <v>-2.7E-2</v>
      </c>
    </row>
    <row r="55" spans="1:36" x14ac:dyDescent="0.25">
      <c r="A55" t="s">
        <v>195</v>
      </c>
      <c r="B55" t="s">
        <v>339</v>
      </c>
      <c r="C55" t="s">
        <v>385</v>
      </c>
      <c r="D55" t="s">
        <v>347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198</v>
      </c>
      <c r="B56" t="s">
        <v>340</v>
      </c>
      <c r="C56" t="s">
        <v>386</v>
      </c>
      <c r="D56" t="s">
        <v>347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0">
        <v>0.245</v>
      </c>
    </row>
    <row r="57" spans="1:36" x14ac:dyDescent="0.25">
      <c r="A57" t="s">
        <v>250</v>
      </c>
      <c r="B57" t="s">
        <v>341</v>
      </c>
      <c r="C57" t="s">
        <v>387</v>
      </c>
      <c r="D57" t="s">
        <v>347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0">
        <v>2.1999999999999999E-2</v>
      </c>
    </row>
    <row r="58" spans="1:36" x14ac:dyDescent="0.25">
      <c r="A58" t="s">
        <v>22</v>
      </c>
      <c r="B58" t="s">
        <v>342</v>
      </c>
      <c r="C58" t="s">
        <v>388</v>
      </c>
      <c r="D58" t="s">
        <v>347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0">
        <v>0.01</v>
      </c>
    </row>
    <row r="59" spans="1:36" x14ac:dyDescent="0.25">
      <c r="A59" t="s">
        <v>21</v>
      </c>
      <c r="B59" t="s">
        <v>343</v>
      </c>
      <c r="C59" t="s">
        <v>389</v>
      </c>
      <c r="D59" t="s">
        <v>347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0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RowHeight="15" x14ac:dyDescent="0.25"/>
  <sheetData>
    <row r="1" spans="1:11" x14ac:dyDescent="0.25">
      <c r="A1" t="s">
        <v>905</v>
      </c>
    </row>
    <row r="2" spans="1:11" x14ac:dyDescent="0.25">
      <c r="A2" t="s">
        <v>906</v>
      </c>
    </row>
    <row r="3" spans="1:11" x14ac:dyDescent="0.25">
      <c r="A3" t="s">
        <v>907</v>
      </c>
    </row>
    <row r="4" spans="1:11" x14ac:dyDescent="0.25">
      <c r="A4" t="s">
        <v>139</v>
      </c>
    </row>
    <row r="5" spans="1:11" x14ac:dyDescent="0.25">
      <c r="A5" t="s">
        <v>908</v>
      </c>
      <c r="B5" t="s">
        <v>909</v>
      </c>
      <c r="C5" t="s">
        <v>910</v>
      </c>
      <c r="D5" t="s">
        <v>911</v>
      </c>
      <c r="E5" t="s">
        <v>912</v>
      </c>
      <c r="F5" t="s">
        <v>913</v>
      </c>
      <c r="G5" t="s">
        <v>914</v>
      </c>
      <c r="H5" t="s">
        <v>915</v>
      </c>
      <c r="I5" t="s">
        <v>916</v>
      </c>
      <c r="J5" t="s">
        <v>917</v>
      </c>
      <c r="K5" t="s">
        <v>918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143</v>
      </c>
    </row>
    <row r="11" spans="1:36" x14ac:dyDescent="0.25">
      <c r="A11" t="s">
        <v>390</v>
      </c>
    </row>
    <row r="12" spans="1:36" x14ac:dyDescent="0.25">
      <c r="A12" t="s">
        <v>391</v>
      </c>
    </row>
    <row r="13" spans="1:36" x14ac:dyDescent="0.25">
      <c r="A13" t="s">
        <v>392</v>
      </c>
    </row>
    <row r="14" spans="1:36" x14ac:dyDescent="0.25">
      <c r="A14" t="s">
        <v>139</v>
      </c>
    </row>
    <row r="15" spans="1:36" x14ac:dyDescent="0.25">
      <c r="B15" t="s">
        <v>140</v>
      </c>
      <c r="C15" t="s">
        <v>141</v>
      </c>
      <c r="D15" t="s">
        <v>142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143</v>
      </c>
    </row>
    <row r="16" spans="1:36" x14ac:dyDescent="0.25">
      <c r="A16" t="s">
        <v>41</v>
      </c>
      <c r="C16" t="s">
        <v>643</v>
      </c>
    </row>
    <row r="17" spans="1:36" x14ac:dyDescent="0.25">
      <c r="A17" t="s">
        <v>393</v>
      </c>
      <c r="C17" t="s">
        <v>644</v>
      </c>
    </row>
    <row r="18" spans="1:36" x14ac:dyDescent="0.25">
      <c r="A18" t="s">
        <v>394</v>
      </c>
      <c r="C18" t="s">
        <v>645</v>
      </c>
    </row>
    <row r="19" spans="1:36" x14ac:dyDescent="0.25">
      <c r="A19" t="s">
        <v>395</v>
      </c>
      <c r="B19" t="s">
        <v>396</v>
      </c>
      <c r="C19" t="s">
        <v>646</v>
      </c>
      <c r="D19" t="s">
        <v>647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0">
        <v>1.6E-2</v>
      </c>
    </row>
    <row r="20" spans="1:36" x14ac:dyDescent="0.25">
      <c r="A20" t="s">
        <v>397</v>
      </c>
      <c r="B20" t="s">
        <v>398</v>
      </c>
      <c r="C20" t="s">
        <v>648</v>
      </c>
      <c r="D20" t="s">
        <v>647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0">
        <v>2.4E-2</v>
      </c>
    </row>
    <row r="21" spans="1:36" x14ac:dyDescent="0.25">
      <c r="A21" t="s">
        <v>399</v>
      </c>
      <c r="B21" t="s">
        <v>400</v>
      </c>
      <c r="C21" t="s">
        <v>649</v>
      </c>
      <c r="D21" t="s">
        <v>647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0">
        <v>0.104</v>
      </c>
    </row>
    <row r="22" spans="1:36" x14ac:dyDescent="0.25">
      <c r="A22" t="s">
        <v>401</v>
      </c>
      <c r="B22" t="s">
        <v>402</v>
      </c>
      <c r="C22" t="s">
        <v>650</v>
      </c>
      <c r="D22" t="s">
        <v>647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0">
        <v>7.9000000000000001E-2</v>
      </c>
    </row>
    <row r="23" spans="1:36" x14ac:dyDescent="0.25">
      <c r="A23" t="s">
        <v>403</v>
      </c>
      <c r="B23" t="s">
        <v>404</v>
      </c>
      <c r="C23" t="s">
        <v>651</v>
      </c>
      <c r="D23" t="s">
        <v>647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0">
        <v>5.8000000000000003E-2</v>
      </c>
    </row>
    <row r="24" spans="1:36" x14ac:dyDescent="0.25">
      <c r="A24" t="s">
        <v>275</v>
      </c>
      <c r="B24" t="s">
        <v>405</v>
      </c>
      <c r="C24" t="s">
        <v>652</v>
      </c>
      <c r="D24" t="s">
        <v>647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0">
        <v>0.13600000000000001</v>
      </c>
    </row>
    <row r="25" spans="1:36" x14ac:dyDescent="0.25">
      <c r="A25" t="s">
        <v>406</v>
      </c>
      <c r="B25" t="s">
        <v>407</v>
      </c>
      <c r="C25" t="s">
        <v>653</v>
      </c>
      <c r="D25" t="s">
        <v>647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0">
        <v>0.14399999999999999</v>
      </c>
    </row>
    <row r="26" spans="1:36" x14ac:dyDescent="0.25">
      <c r="A26" t="s">
        <v>408</v>
      </c>
      <c r="B26" t="s">
        <v>409</v>
      </c>
      <c r="C26" t="s">
        <v>654</v>
      </c>
      <c r="D26" t="s">
        <v>647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0">
        <v>0.14399999999999999</v>
      </c>
    </row>
    <row r="27" spans="1:36" x14ac:dyDescent="0.25">
      <c r="A27" t="s">
        <v>287</v>
      </c>
      <c r="B27" t="s">
        <v>410</v>
      </c>
      <c r="C27" t="s">
        <v>655</v>
      </c>
      <c r="D27" t="s">
        <v>647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0">
        <v>0.106</v>
      </c>
    </row>
    <row r="28" spans="1:36" x14ac:dyDescent="0.25">
      <c r="A28" t="s">
        <v>411</v>
      </c>
      <c r="B28" t="s">
        <v>412</v>
      </c>
      <c r="C28" t="s">
        <v>656</v>
      </c>
      <c r="D28" t="s">
        <v>647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0">
        <v>2.3E-2</v>
      </c>
    </row>
    <row r="29" spans="1:36" x14ac:dyDescent="0.25">
      <c r="A29" t="s">
        <v>413</v>
      </c>
      <c r="C29" t="s">
        <v>657</v>
      </c>
    </row>
    <row r="30" spans="1:36" x14ac:dyDescent="0.25">
      <c r="A30" t="s">
        <v>395</v>
      </c>
      <c r="B30" t="s">
        <v>414</v>
      </c>
      <c r="C30" t="s">
        <v>658</v>
      </c>
      <c r="D30" t="s">
        <v>647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0">
        <v>2.5999999999999999E-2</v>
      </c>
    </row>
    <row r="31" spans="1:36" x14ac:dyDescent="0.25">
      <c r="A31" t="s">
        <v>397</v>
      </c>
      <c r="B31" t="s">
        <v>415</v>
      </c>
      <c r="C31" t="s">
        <v>659</v>
      </c>
      <c r="D31" t="s">
        <v>647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0">
        <v>1.7999999999999999E-2</v>
      </c>
    </row>
    <row r="32" spans="1:36" x14ac:dyDescent="0.25">
      <c r="A32" t="s">
        <v>399</v>
      </c>
      <c r="B32" t="s">
        <v>416</v>
      </c>
      <c r="C32" t="s">
        <v>660</v>
      </c>
      <c r="D32" t="s">
        <v>647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0">
        <v>5.1999999999999998E-2</v>
      </c>
    </row>
    <row r="33" spans="1:36" x14ac:dyDescent="0.25">
      <c r="A33" t="s">
        <v>401</v>
      </c>
      <c r="B33" t="s">
        <v>417</v>
      </c>
      <c r="C33" t="s">
        <v>661</v>
      </c>
      <c r="D33" t="s">
        <v>647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0">
        <v>5.8999999999999997E-2</v>
      </c>
    </row>
    <row r="34" spans="1:36" x14ac:dyDescent="0.25">
      <c r="A34" t="s">
        <v>403</v>
      </c>
      <c r="B34" t="s">
        <v>418</v>
      </c>
      <c r="C34" t="s">
        <v>662</v>
      </c>
      <c r="D34" t="s">
        <v>647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0">
        <v>6.9000000000000006E-2</v>
      </c>
    </row>
    <row r="35" spans="1:36" x14ac:dyDescent="0.25">
      <c r="A35" t="s">
        <v>275</v>
      </c>
      <c r="B35" t="s">
        <v>419</v>
      </c>
      <c r="C35" t="s">
        <v>663</v>
      </c>
      <c r="D35" t="s">
        <v>647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0">
        <v>0.129</v>
      </c>
    </row>
    <row r="36" spans="1:36" x14ac:dyDescent="0.25">
      <c r="A36" t="s">
        <v>406</v>
      </c>
      <c r="B36" t="s">
        <v>420</v>
      </c>
      <c r="C36" t="s">
        <v>664</v>
      </c>
      <c r="D36" t="s">
        <v>647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0">
        <v>0.14499999999999999</v>
      </c>
    </row>
    <row r="37" spans="1:36" x14ac:dyDescent="0.25">
      <c r="A37" t="s">
        <v>408</v>
      </c>
      <c r="B37" t="s">
        <v>421</v>
      </c>
      <c r="C37" t="s">
        <v>665</v>
      </c>
      <c r="D37" t="s">
        <v>647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0">
        <v>0.14499999999999999</v>
      </c>
    </row>
    <row r="38" spans="1:36" x14ac:dyDescent="0.25">
      <c r="A38" t="s">
        <v>287</v>
      </c>
      <c r="B38" t="s">
        <v>422</v>
      </c>
      <c r="C38" t="s">
        <v>666</v>
      </c>
      <c r="D38" t="s">
        <v>647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0">
        <v>0.14499999999999999</v>
      </c>
    </row>
    <row r="39" spans="1:36" x14ac:dyDescent="0.25">
      <c r="A39" t="s">
        <v>423</v>
      </c>
      <c r="B39" t="s">
        <v>424</v>
      </c>
      <c r="C39" t="s">
        <v>667</v>
      </c>
      <c r="D39" t="s">
        <v>647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0">
        <v>2.5000000000000001E-2</v>
      </c>
    </row>
    <row r="40" spans="1:36" x14ac:dyDescent="0.25">
      <c r="A40" t="s">
        <v>425</v>
      </c>
      <c r="C40" t="s">
        <v>668</v>
      </c>
    </row>
    <row r="41" spans="1:36" x14ac:dyDescent="0.25">
      <c r="A41" t="s">
        <v>395</v>
      </c>
      <c r="B41" t="s">
        <v>426</v>
      </c>
      <c r="C41" t="s">
        <v>669</v>
      </c>
      <c r="D41" t="s">
        <v>647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0">
        <v>8.9999999999999993E-3</v>
      </c>
    </row>
    <row r="42" spans="1:36" x14ac:dyDescent="0.25">
      <c r="A42" t="s">
        <v>397</v>
      </c>
      <c r="B42" t="s">
        <v>427</v>
      </c>
      <c r="C42" t="s">
        <v>670</v>
      </c>
      <c r="D42" t="s">
        <v>647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0">
        <v>-1.9E-2</v>
      </c>
    </row>
    <row r="43" spans="1:36" x14ac:dyDescent="0.25">
      <c r="A43" t="s">
        <v>399</v>
      </c>
      <c r="B43" t="s">
        <v>428</v>
      </c>
      <c r="C43" t="s">
        <v>671</v>
      </c>
      <c r="D43" t="s">
        <v>647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0">
        <v>2.8000000000000001E-2</v>
      </c>
    </row>
    <row r="44" spans="1:36" x14ac:dyDescent="0.25">
      <c r="A44" t="s">
        <v>401</v>
      </c>
      <c r="B44" t="s">
        <v>429</v>
      </c>
      <c r="C44" t="s">
        <v>672</v>
      </c>
      <c r="D44" t="s">
        <v>647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0">
        <v>2.9000000000000001E-2</v>
      </c>
    </row>
    <row r="45" spans="1:36" x14ac:dyDescent="0.25">
      <c r="A45" t="s">
        <v>403</v>
      </c>
      <c r="B45" t="s">
        <v>430</v>
      </c>
      <c r="C45" t="s">
        <v>673</v>
      </c>
      <c r="D45" t="s">
        <v>647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275</v>
      </c>
      <c r="B46" t="s">
        <v>431</v>
      </c>
      <c r="C46" t="s">
        <v>674</v>
      </c>
      <c r="D46" t="s">
        <v>647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0">
        <v>0.127</v>
      </c>
    </row>
    <row r="47" spans="1:36" x14ac:dyDescent="0.25">
      <c r="A47" t="s">
        <v>406</v>
      </c>
      <c r="B47" t="s">
        <v>432</v>
      </c>
      <c r="C47" t="s">
        <v>675</v>
      </c>
      <c r="D47" t="s">
        <v>647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0">
        <v>0.11600000000000001</v>
      </c>
    </row>
    <row r="48" spans="1:36" x14ac:dyDescent="0.25">
      <c r="A48" t="s">
        <v>408</v>
      </c>
      <c r="B48" t="s">
        <v>433</v>
      </c>
      <c r="C48" t="s">
        <v>676</v>
      </c>
      <c r="D48" t="s">
        <v>647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0">
        <v>0.11600000000000001</v>
      </c>
    </row>
    <row r="49" spans="1:36" x14ac:dyDescent="0.25">
      <c r="A49" t="s">
        <v>287</v>
      </c>
      <c r="B49" t="s">
        <v>434</v>
      </c>
      <c r="C49" t="s">
        <v>677</v>
      </c>
      <c r="D49" t="s">
        <v>647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0">
        <v>0.11899999999999999</v>
      </c>
    </row>
    <row r="50" spans="1:36" x14ac:dyDescent="0.25">
      <c r="A50" t="s">
        <v>435</v>
      </c>
      <c r="B50" t="s">
        <v>436</v>
      </c>
      <c r="C50" t="s">
        <v>678</v>
      </c>
      <c r="D50" t="s">
        <v>647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0">
        <v>8.9999999999999993E-3</v>
      </c>
    </row>
    <row r="51" spans="1:36" x14ac:dyDescent="0.25">
      <c r="A51" t="s">
        <v>437</v>
      </c>
      <c r="B51" t="s">
        <v>438</v>
      </c>
      <c r="C51" t="s">
        <v>679</v>
      </c>
      <c r="D51" t="s">
        <v>647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0">
        <v>1.6E-2</v>
      </c>
    </row>
    <row r="52" spans="1:36" x14ac:dyDescent="0.25">
      <c r="A52" t="s">
        <v>439</v>
      </c>
      <c r="C52" t="s">
        <v>680</v>
      </c>
    </row>
    <row r="53" spans="1:36" x14ac:dyDescent="0.25">
      <c r="A53" t="s">
        <v>394</v>
      </c>
      <c r="C53" t="s">
        <v>681</v>
      </c>
    </row>
    <row r="54" spans="1:36" x14ac:dyDescent="0.25">
      <c r="A54" t="s">
        <v>395</v>
      </c>
      <c r="B54" t="s">
        <v>440</v>
      </c>
      <c r="C54" t="s">
        <v>682</v>
      </c>
      <c r="D54" t="s">
        <v>683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0">
        <v>8.0000000000000002E-3</v>
      </c>
    </row>
    <row r="55" spans="1:36" x14ac:dyDescent="0.25">
      <c r="A55" t="s">
        <v>397</v>
      </c>
      <c r="B55" t="s">
        <v>441</v>
      </c>
      <c r="C55" t="s">
        <v>684</v>
      </c>
      <c r="D55" t="s">
        <v>683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0">
        <v>1.2999999999999999E-2</v>
      </c>
    </row>
    <row r="56" spans="1:36" x14ac:dyDescent="0.25">
      <c r="A56" t="s">
        <v>399</v>
      </c>
      <c r="B56" t="s">
        <v>442</v>
      </c>
      <c r="C56" t="s">
        <v>685</v>
      </c>
      <c r="D56" t="s">
        <v>683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0">
        <v>9.8000000000000004E-2</v>
      </c>
    </row>
    <row r="57" spans="1:36" x14ac:dyDescent="0.25">
      <c r="A57" t="s">
        <v>401</v>
      </c>
      <c r="B57" t="s">
        <v>443</v>
      </c>
      <c r="C57" t="s">
        <v>686</v>
      </c>
      <c r="D57" t="s">
        <v>683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0">
        <v>7.0999999999999994E-2</v>
      </c>
    </row>
    <row r="58" spans="1:36" x14ac:dyDescent="0.25">
      <c r="A58" t="s">
        <v>403</v>
      </c>
      <c r="B58" t="s">
        <v>444</v>
      </c>
      <c r="C58" t="s">
        <v>687</v>
      </c>
      <c r="D58" t="s">
        <v>683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0">
        <v>4.8000000000000001E-2</v>
      </c>
    </row>
    <row r="59" spans="1:36" x14ac:dyDescent="0.25">
      <c r="A59" t="s">
        <v>275</v>
      </c>
      <c r="B59" t="s">
        <v>445</v>
      </c>
      <c r="C59" t="s">
        <v>688</v>
      </c>
      <c r="D59" t="s">
        <v>683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0">
        <v>0.13200000000000001</v>
      </c>
    </row>
    <row r="60" spans="1:36" x14ac:dyDescent="0.25">
      <c r="A60" t="s">
        <v>406</v>
      </c>
      <c r="B60" t="s">
        <v>446</v>
      </c>
      <c r="C60" t="s">
        <v>689</v>
      </c>
      <c r="D60" t="s">
        <v>683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0">
        <v>0.13500000000000001</v>
      </c>
    </row>
    <row r="61" spans="1:36" x14ac:dyDescent="0.25">
      <c r="A61" t="s">
        <v>408</v>
      </c>
      <c r="B61" t="s">
        <v>447</v>
      </c>
      <c r="C61" t="s">
        <v>690</v>
      </c>
      <c r="D61" t="s">
        <v>683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0">
        <v>0.14000000000000001</v>
      </c>
    </row>
    <row r="62" spans="1:36" x14ac:dyDescent="0.25">
      <c r="A62" t="s">
        <v>287</v>
      </c>
      <c r="B62" t="s">
        <v>448</v>
      </c>
      <c r="C62" t="s">
        <v>691</v>
      </c>
      <c r="D62" t="s">
        <v>683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0">
        <v>0.111</v>
      </c>
    </row>
    <row r="63" spans="1:36" x14ac:dyDescent="0.25">
      <c r="A63" t="s">
        <v>411</v>
      </c>
      <c r="B63" t="s">
        <v>449</v>
      </c>
      <c r="C63" t="s">
        <v>692</v>
      </c>
      <c r="D63" t="s">
        <v>683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0">
        <v>1.4999999999999999E-2</v>
      </c>
    </row>
    <row r="64" spans="1:36" x14ac:dyDescent="0.25">
      <c r="A64" t="s">
        <v>413</v>
      </c>
      <c r="C64" t="s">
        <v>693</v>
      </c>
    </row>
    <row r="65" spans="1:36" x14ac:dyDescent="0.25">
      <c r="A65" t="s">
        <v>395</v>
      </c>
      <c r="B65" t="s">
        <v>450</v>
      </c>
      <c r="C65" t="s">
        <v>694</v>
      </c>
      <c r="D65" t="s">
        <v>683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0">
        <v>1.4999999999999999E-2</v>
      </c>
    </row>
    <row r="66" spans="1:36" x14ac:dyDescent="0.25">
      <c r="A66" t="s">
        <v>397</v>
      </c>
      <c r="B66" t="s">
        <v>451</v>
      </c>
      <c r="C66" t="s">
        <v>695</v>
      </c>
      <c r="D66" t="s">
        <v>683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0">
        <v>8.0000000000000002E-3</v>
      </c>
    </row>
    <row r="67" spans="1:36" x14ac:dyDescent="0.25">
      <c r="A67" t="s">
        <v>399</v>
      </c>
      <c r="B67" t="s">
        <v>452</v>
      </c>
      <c r="C67" t="s">
        <v>696</v>
      </c>
      <c r="D67" t="s">
        <v>683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0">
        <v>4.1000000000000002E-2</v>
      </c>
    </row>
    <row r="68" spans="1:36" x14ac:dyDescent="0.25">
      <c r="A68" t="s">
        <v>401</v>
      </c>
      <c r="B68" t="s">
        <v>453</v>
      </c>
      <c r="C68" t="s">
        <v>697</v>
      </c>
      <c r="D68" t="s">
        <v>683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0">
        <v>4.8000000000000001E-2</v>
      </c>
    </row>
    <row r="69" spans="1:36" x14ac:dyDescent="0.25">
      <c r="A69" t="s">
        <v>403</v>
      </c>
      <c r="B69" t="s">
        <v>454</v>
      </c>
      <c r="C69" t="s">
        <v>698</v>
      </c>
      <c r="D69" t="s">
        <v>683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0">
        <v>5.8999999999999997E-2</v>
      </c>
    </row>
    <row r="70" spans="1:36" x14ac:dyDescent="0.25">
      <c r="A70" t="s">
        <v>275</v>
      </c>
      <c r="B70" t="s">
        <v>455</v>
      </c>
      <c r="C70" t="s">
        <v>699</v>
      </c>
      <c r="D70" t="s">
        <v>683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0">
        <v>0.123</v>
      </c>
    </row>
    <row r="71" spans="1:36" x14ac:dyDescent="0.25">
      <c r="A71" t="s">
        <v>406</v>
      </c>
      <c r="B71" t="s">
        <v>456</v>
      </c>
      <c r="C71" t="s">
        <v>700</v>
      </c>
      <c r="D71" t="s">
        <v>683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0">
        <v>0.13500000000000001</v>
      </c>
    </row>
    <row r="72" spans="1:36" x14ac:dyDescent="0.25">
      <c r="A72" t="s">
        <v>408</v>
      </c>
      <c r="B72" t="s">
        <v>457</v>
      </c>
      <c r="C72" t="s">
        <v>701</v>
      </c>
      <c r="D72" t="s">
        <v>683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0">
        <v>0.13600000000000001</v>
      </c>
    </row>
    <row r="73" spans="1:36" x14ac:dyDescent="0.25">
      <c r="A73" t="s">
        <v>287</v>
      </c>
      <c r="B73" t="s">
        <v>458</v>
      </c>
      <c r="C73" t="s">
        <v>702</v>
      </c>
      <c r="D73" t="s">
        <v>683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0">
        <v>0.14499999999999999</v>
      </c>
    </row>
    <row r="74" spans="1:36" x14ac:dyDescent="0.25">
      <c r="A74" t="s">
        <v>423</v>
      </c>
      <c r="B74" t="s">
        <v>459</v>
      </c>
      <c r="C74" t="s">
        <v>703</v>
      </c>
      <c r="D74" t="s">
        <v>683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0">
        <v>1.4E-2</v>
      </c>
    </row>
    <row r="75" spans="1:36" x14ac:dyDescent="0.25">
      <c r="A75" t="s">
        <v>425</v>
      </c>
      <c r="C75" t="s">
        <v>704</v>
      </c>
    </row>
    <row r="76" spans="1:36" x14ac:dyDescent="0.25">
      <c r="A76" t="s">
        <v>395</v>
      </c>
      <c r="B76" t="s">
        <v>460</v>
      </c>
      <c r="C76" t="s">
        <v>705</v>
      </c>
      <c r="D76" t="s">
        <v>683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0">
        <v>0</v>
      </c>
    </row>
    <row r="77" spans="1:36" x14ac:dyDescent="0.25">
      <c r="A77" t="s">
        <v>397</v>
      </c>
      <c r="B77" t="s">
        <v>461</v>
      </c>
      <c r="C77" t="s">
        <v>706</v>
      </c>
      <c r="D77" t="s">
        <v>683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0">
        <v>-2.9000000000000001E-2</v>
      </c>
    </row>
    <row r="78" spans="1:36" x14ac:dyDescent="0.25">
      <c r="A78" t="s">
        <v>399</v>
      </c>
      <c r="B78" t="s">
        <v>462</v>
      </c>
      <c r="C78" t="s">
        <v>707</v>
      </c>
      <c r="D78" t="s">
        <v>683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0">
        <v>0.02</v>
      </c>
    </row>
    <row r="79" spans="1:36" x14ac:dyDescent="0.25">
      <c r="A79" t="s">
        <v>401</v>
      </c>
      <c r="B79" t="s">
        <v>463</v>
      </c>
      <c r="C79" t="s">
        <v>708</v>
      </c>
      <c r="D79" t="s">
        <v>683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0">
        <v>2.1000000000000001E-2</v>
      </c>
    </row>
    <row r="80" spans="1:36" x14ac:dyDescent="0.25">
      <c r="A80" t="s">
        <v>403</v>
      </c>
      <c r="B80" t="s">
        <v>464</v>
      </c>
      <c r="C80" t="s">
        <v>709</v>
      </c>
      <c r="D80" t="s">
        <v>683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275</v>
      </c>
      <c r="B81" t="s">
        <v>465</v>
      </c>
      <c r="C81" t="s">
        <v>710</v>
      </c>
      <c r="D81" t="s">
        <v>683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0">
        <v>0.113</v>
      </c>
    </row>
    <row r="82" spans="1:36" x14ac:dyDescent="0.25">
      <c r="A82" t="s">
        <v>406</v>
      </c>
      <c r="B82" t="s">
        <v>466</v>
      </c>
      <c r="C82" t="s">
        <v>711</v>
      </c>
      <c r="D82" t="s">
        <v>683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0">
        <v>7.2999999999999995E-2</v>
      </c>
    </row>
    <row r="83" spans="1:36" x14ac:dyDescent="0.25">
      <c r="A83" t="s">
        <v>408</v>
      </c>
      <c r="B83" t="s">
        <v>467</v>
      </c>
      <c r="C83" t="s">
        <v>712</v>
      </c>
      <c r="D83" t="s">
        <v>683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0">
        <v>7.2999999999999995E-2</v>
      </c>
    </row>
    <row r="84" spans="1:36" x14ac:dyDescent="0.25">
      <c r="A84" t="s">
        <v>287</v>
      </c>
      <c r="B84" t="s">
        <v>468</v>
      </c>
      <c r="C84" t="s">
        <v>713</v>
      </c>
      <c r="D84" t="s">
        <v>683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0">
        <v>0.11600000000000001</v>
      </c>
    </row>
    <row r="85" spans="1:36" x14ac:dyDescent="0.25">
      <c r="A85" t="s">
        <v>435</v>
      </c>
      <c r="B85" t="s">
        <v>469</v>
      </c>
      <c r="C85" t="s">
        <v>714</v>
      </c>
      <c r="D85" t="s">
        <v>683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0">
        <v>1E-3</v>
      </c>
    </row>
    <row r="86" spans="1:36" x14ac:dyDescent="0.25">
      <c r="A86" t="s">
        <v>394</v>
      </c>
      <c r="B86" t="s">
        <v>470</v>
      </c>
      <c r="C86" t="s">
        <v>715</v>
      </c>
    </row>
    <row r="87" spans="1:36" x14ac:dyDescent="0.25">
      <c r="A87" t="s">
        <v>395</v>
      </c>
      <c r="B87" t="s">
        <v>471</v>
      </c>
      <c r="C87" t="s">
        <v>716</v>
      </c>
      <c r="D87" t="s">
        <v>683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0">
        <v>3.0000000000000001E-3</v>
      </c>
    </row>
    <row r="88" spans="1:36" x14ac:dyDescent="0.25">
      <c r="A88" t="s">
        <v>397</v>
      </c>
      <c r="B88" t="s">
        <v>472</v>
      </c>
      <c r="C88" t="s">
        <v>717</v>
      </c>
      <c r="D88" t="s">
        <v>683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0">
        <v>0.01</v>
      </c>
    </row>
    <row r="89" spans="1:36" x14ac:dyDescent="0.25">
      <c r="A89" t="s">
        <v>399</v>
      </c>
      <c r="B89" t="s">
        <v>473</v>
      </c>
      <c r="C89" t="s">
        <v>718</v>
      </c>
      <c r="D89" t="s">
        <v>683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0">
        <v>4.4999999999999998E-2</v>
      </c>
    </row>
    <row r="90" spans="1:36" x14ac:dyDescent="0.25">
      <c r="A90" t="s">
        <v>401</v>
      </c>
      <c r="B90" t="s">
        <v>474</v>
      </c>
      <c r="C90" t="s">
        <v>719</v>
      </c>
      <c r="D90" t="s">
        <v>683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0">
        <v>2.1999999999999999E-2</v>
      </c>
    </row>
    <row r="91" spans="1:36" x14ac:dyDescent="0.25">
      <c r="A91" t="s">
        <v>403</v>
      </c>
      <c r="B91" t="s">
        <v>475</v>
      </c>
      <c r="C91" t="s">
        <v>720</v>
      </c>
      <c r="D91" t="s">
        <v>683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0">
        <v>5.0999999999999997E-2</v>
      </c>
    </row>
    <row r="92" spans="1:36" x14ac:dyDescent="0.25">
      <c r="A92" t="s">
        <v>275</v>
      </c>
      <c r="B92" t="s">
        <v>476</v>
      </c>
      <c r="C92" t="s">
        <v>721</v>
      </c>
      <c r="D92" t="s">
        <v>683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0">
        <v>0.124</v>
      </c>
    </row>
    <row r="93" spans="1:36" x14ac:dyDescent="0.25">
      <c r="A93" t="s">
        <v>406</v>
      </c>
      <c r="B93" t="s">
        <v>477</v>
      </c>
      <c r="C93" t="s">
        <v>722</v>
      </c>
      <c r="D93" t="s">
        <v>683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0">
        <v>0.11</v>
      </c>
    </row>
    <row r="94" spans="1:36" x14ac:dyDescent="0.25">
      <c r="A94" t="s">
        <v>408</v>
      </c>
      <c r="B94" t="s">
        <v>478</v>
      </c>
      <c r="C94" t="s">
        <v>723</v>
      </c>
      <c r="D94" t="s">
        <v>683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0">
        <v>0.114</v>
      </c>
    </row>
    <row r="95" spans="1:36" x14ac:dyDescent="0.25">
      <c r="A95" t="s">
        <v>287</v>
      </c>
      <c r="B95" t="s">
        <v>479</v>
      </c>
      <c r="C95" t="s">
        <v>724</v>
      </c>
      <c r="D95" t="s">
        <v>683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0">
        <v>0.13400000000000001</v>
      </c>
    </row>
    <row r="96" spans="1:36" x14ac:dyDescent="0.25">
      <c r="A96" t="s">
        <v>480</v>
      </c>
      <c r="B96" t="s">
        <v>481</v>
      </c>
      <c r="C96" t="s">
        <v>725</v>
      </c>
      <c r="D96" t="s">
        <v>683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0">
        <v>5.0000000000000001E-3</v>
      </c>
    </row>
    <row r="97" spans="1:36" x14ac:dyDescent="0.25">
      <c r="A97" t="s">
        <v>482</v>
      </c>
      <c r="C97" t="s">
        <v>726</v>
      </c>
    </row>
    <row r="98" spans="1:36" x14ac:dyDescent="0.25">
      <c r="A98" t="s">
        <v>394</v>
      </c>
      <c r="C98" t="s">
        <v>727</v>
      </c>
    </row>
    <row r="99" spans="1:36" x14ac:dyDescent="0.25">
      <c r="A99" t="s">
        <v>395</v>
      </c>
      <c r="B99" t="s">
        <v>483</v>
      </c>
      <c r="C99" t="s">
        <v>728</v>
      </c>
      <c r="D99" t="s">
        <v>729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0">
        <v>8.0000000000000002E-3</v>
      </c>
    </row>
    <row r="100" spans="1:36" x14ac:dyDescent="0.25">
      <c r="A100" t="s">
        <v>397</v>
      </c>
      <c r="B100" t="s">
        <v>484</v>
      </c>
      <c r="C100" t="s">
        <v>730</v>
      </c>
      <c r="D100" t="s">
        <v>731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0">
        <v>1.0999999999999999E-2</v>
      </c>
    </row>
    <row r="101" spans="1:36" x14ac:dyDescent="0.25">
      <c r="A101" t="s">
        <v>399</v>
      </c>
      <c r="B101" t="s">
        <v>485</v>
      </c>
      <c r="C101" t="s">
        <v>732</v>
      </c>
      <c r="D101" t="s">
        <v>731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0">
        <v>5.0000000000000001E-3</v>
      </c>
    </row>
    <row r="102" spans="1:36" x14ac:dyDescent="0.25">
      <c r="A102" t="s">
        <v>401</v>
      </c>
      <c r="B102" t="s">
        <v>486</v>
      </c>
      <c r="C102" t="s">
        <v>733</v>
      </c>
      <c r="D102" t="s">
        <v>731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0">
        <v>7.0000000000000001E-3</v>
      </c>
    </row>
    <row r="103" spans="1:36" x14ac:dyDescent="0.25">
      <c r="A103" t="s">
        <v>403</v>
      </c>
      <c r="B103" t="s">
        <v>487</v>
      </c>
      <c r="C103" t="s">
        <v>734</v>
      </c>
      <c r="D103" t="s">
        <v>731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0">
        <v>8.9999999999999993E-3</v>
      </c>
    </row>
    <row r="104" spans="1:36" x14ac:dyDescent="0.25">
      <c r="A104" t="s">
        <v>275</v>
      </c>
      <c r="B104" t="s">
        <v>488</v>
      </c>
      <c r="C104" t="s">
        <v>735</v>
      </c>
      <c r="D104" t="s">
        <v>729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0">
        <v>3.0000000000000001E-3</v>
      </c>
    </row>
    <row r="105" spans="1:36" x14ac:dyDescent="0.25">
      <c r="A105" t="s">
        <v>406</v>
      </c>
      <c r="B105" t="s">
        <v>489</v>
      </c>
      <c r="C105" t="s">
        <v>736</v>
      </c>
      <c r="D105" t="s">
        <v>729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0">
        <v>8.0000000000000002E-3</v>
      </c>
    </row>
    <row r="106" spans="1:36" x14ac:dyDescent="0.25">
      <c r="A106" t="s">
        <v>408</v>
      </c>
      <c r="B106" t="s">
        <v>490</v>
      </c>
      <c r="C106" t="s">
        <v>737</v>
      </c>
      <c r="D106" t="s">
        <v>731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0">
        <v>4.0000000000000001E-3</v>
      </c>
    </row>
    <row r="107" spans="1:36" x14ac:dyDescent="0.25">
      <c r="A107" t="s">
        <v>287</v>
      </c>
      <c r="B107" t="s">
        <v>491</v>
      </c>
      <c r="C107" t="s">
        <v>738</v>
      </c>
      <c r="D107" t="s">
        <v>729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0">
        <v>-4.0000000000000001E-3</v>
      </c>
    </row>
    <row r="108" spans="1:36" x14ac:dyDescent="0.25">
      <c r="A108" t="s">
        <v>492</v>
      </c>
      <c r="B108" t="s">
        <v>493</v>
      </c>
      <c r="C108" t="s">
        <v>739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0">
        <v>8.0000000000000002E-3</v>
      </c>
    </row>
    <row r="109" spans="1:36" x14ac:dyDescent="0.25">
      <c r="A109" t="s">
        <v>413</v>
      </c>
      <c r="C109" t="s">
        <v>740</v>
      </c>
    </row>
    <row r="110" spans="1:36" x14ac:dyDescent="0.25">
      <c r="A110" t="s">
        <v>395</v>
      </c>
      <c r="B110" t="s">
        <v>494</v>
      </c>
      <c r="C110" t="s">
        <v>741</v>
      </c>
      <c r="D110" t="s">
        <v>729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0">
        <v>1.2E-2</v>
      </c>
    </row>
    <row r="111" spans="1:36" x14ac:dyDescent="0.25">
      <c r="A111" t="s">
        <v>397</v>
      </c>
      <c r="B111" t="s">
        <v>495</v>
      </c>
      <c r="C111" t="s">
        <v>742</v>
      </c>
      <c r="D111" t="s">
        <v>731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0">
        <v>0.01</v>
      </c>
    </row>
    <row r="112" spans="1:36" x14ac:dyDescent="0.25">
      <c r="A112" t="s">
        <v>399</v>
      </c>
      <c r="B112" t="s">
        <v>496</v>
      </c>
      <c r="C112" t="s">
        <v>743</v>
      </c>
      <c r="D112" t="s">
        <v>731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0">
        <v>0.01</v>
      </c>
    </row>
    <row r="113" spans="1:36" x14ac:dyDescent="0.25">
      <c r="A113" t="s">
        <v>401</v>
      </c>
      <c r="B113" t="s">
        <v>497</v>
      </c>
      <c r="C113" t="s">
        <v>744</v>
      </c>
      <c r="D113" t="s">
        <v>731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0">
        <v>1.0999999999999999E-2</v>
      </c>
    </row>
    <row r="114" spans="1:36" x14ac:dyDescent="0.25">
      <c r="A114" t="s">
        <v>403</v>
      </c>
      <c r="B114" t="s">
        <v>498</v>
      </c>
      <c r="C114" t="s">
        <v>745</v>
      </c>
      <c r="D114" t="s">
        <v>746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0">
        <v>8.9999999999999993E-3</v>
      </c>
    </row>
    <row r="115" spans="1:36" x14ac:dyDescent="0.25">
      <c r="A115" t="s">
        <v>275</v>
      </c>
      <c r="B115" t="s">
        <v>499</v>
      </c>
      <c r="C115" t="s">
        <v>747</v>
      </c>
      <c r="D115" t="s">
        <v>731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0">
        <v>5.0000000000000001E-3</v>
      </c>
    </row>
    <row r="116" spans="1:36" x14ac:dyDescent="0.25">
      <c r="A116" t="s">
        <v>406</v>
      </c>
      <c r="B116" t="s">
        <v>500</v>
      </c>
      <c r="C116" t="s">
        <v>748</v>
      </c>
      <c r="D116" t="s">
        <v>731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0">
        <v>8.0000000000000002E-3</v>
      </c>
    </row>
    <row r="117" spans="1:36" x14ac:dyDescent="0.25">
      <c r="A117" t="s">
        <v>408</v>
      </c>
      <c r="B117" t="s">
        <v>501</v>
      </c>
      <c r="C117" t="s">
        <v>749</v>
      </c>
      <c r="D117" t="s">
        <v>731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0">
        <v>8.0000000000000002E-3</v>
      </c>
    </row>
    <row r="118" spans="1:36" x14ac:dyDescent="0.25">
      <c r="A118" t="s">
        <v>287</v>
      </c>
      <c r="B118" t="s">
        <v>502</v>
      </c>
      <c r="C118" t="s">
        <v>750</v>
      </c>
      <c r="D118" t="s">
        <v>731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0">
        <v>0</v>
      </c>
    </row>
    <row r="119" spans="1:36" x14ac:dyDescent="0.25">
      <c r="A119" t="s">
        <v>503</v>
      </c>
      <c r="B119" t="s">
        <v>504</v>
      </c>
      <c r="C119" t="s">
        <v>751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0">
        <v>1.2E-2</v>
      </c>
    </row>
    <row r="120" spans="1:36" x14ac:dyDescent="0.25">
      <c r="A120" t="s">
        <v>425</v>
      </c>
      <c r="C120" t="s">
        <v>752</v>
      </c>
    </row>
    <row r="121" spans="1:36" x14ac:dyDescent="0.25">
      <c r="A121" t="s">
        <v>395</v>
      </c>
      <c r="B121" t="s">
        <v>505</v>
      </c>
      <c r="C121" t="s">
        <v>753</v>
      </c>
      <c r="D121" t="s">
        <v>729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0">
        <v>8.0000000000000002E-3</v>
      </c>
    </row>
    <row r="122" spans="1:36" x14ac:dyDescent="0.25">
      <c r="A122" t="s">
        <v>397</v>
      </c>
      <c r="B122" t="s">
        <v>506</v>
      </c>
      <c r="C122" t="s">
        <v>754</v>
      </c>
      <c r="D122" t="s">
        <v>731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0">
        <v>0.01</v>
      </c>
    </row>
    <row r="123" spans="1:36" x14ac:dyDescent="0.25">
      <c r="A123" t="s">
        <v>399</v>
      </c>
      <c r="B123" t="s">
        <v>507</v>
      </c>
      <c r="C123" t="s">
        <v>755</v>
      </c>
      <c r="D123" t="s">
        <v>731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0">
        <v>7.0000000000000001E-3</v>
      </c>
    </row>
    <row r="124" spans="1:36" x14ac:dyDescent="0.25">
      <c r="A124" t="s">
        <v>401</v>
      </c>
      <c r="B124" t="s">
        <v>508</v>
      </c>
      <c r="C124" t="s">
        <v>756</v>
      </c>
      <c r="D124" t="s">
        <v>729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0">
        <v>8.0000000000000002E-3</v>
      </c>
    </row>
    <row r="125" spans="1:36" x14ac:dyDescent="0.25">
      <c r="A125" t="s">
        <v>403</v>
      </c>
      <c r="B125" t="s">
        <v>509</v>
      </c>
      <c r="C125" t="s">
        <v>757</v>
      </c>
      <c r="D125" t="s">
        <v>731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275</v>
      </c>
      <c r="B126" t="s">
        <v>510</v>
      </c>
      <c r="C126" t="s">
        <v>758</v>
      </c>
      <c r="D126" t="s">
        <v>729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0">
        <v>1.2E-2</v>
      </c>
    </row>
    <row r="127" spans="1:36" x14ac:dyDescent="0.25">
      <c r="A127" t="s">
        <v>406</v>
      </c>
      <c r="B127" t="s">
        <v>511</v>
      </c>
      <c r="C127" t="s">
        <v>759</v>
      </c>
      <c r="D127" t="s">
        <v>729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0">
        <v>0.04</v>
      </c>
    </row>
    <row r="128" spans="1:36" x14ac:dyDescent="0.25">
      <c r="A128" t="s">
        <v>408</v>
      </c>
      <c r="B128" t="s">
        <v>512</v>
      </c>
      <c r="C128" t="s">
        <v>760</v>
      </c>
      <c r="D128" t="s">
        <v>731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0">
        <v>0.04</v>
      </c>
    </row>
    <row r="129" spans="1:36" x14ac:dyDescent="0.25">
      <c r="A129" t="s">
        <v>287</v>
      </c>
      <c r="B129" t="s">
        <v>513</v>
      </c>
      <c r="C129" t="s">
        <v>761</v>
      </c>
      <c r="D129" t="s">
        <v>729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0">
        <v>2E-3</v>
      </c>
    </row>
    <row r="130" spans="1:36" x14ac:dyDescent="0.25">
      <c r="A130" t="s">
        <v>514</v>
      </c>
      <c r="B130" t="s">
        <v>515</v>
      </c>
      <c r="C130" t="s">
        <v>762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0">
        <v>8.0000000000000002E-3</v>
      </c>
    </row>
    <row r="131" spans="1:36" x14ac:dyDescent="0.25">
      <c r="A131" t="s">
        <v>516</v>
      </c>
      <c r="B131" t="s">
        <v>517</v>
      </c>
      <c r="C131" t="s">
        <v>763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0">
        <v>1.0999999999999999E-2</v>
      </c>
    </row>
    <row r="132" spans="1:36" x14ac:dyDescent="0.25">
      <c r="A132" t="s">
        <v>518</v>
      </c>
      <c r="C132" t="s">
        <v>764</v>
      </c>
    </row>
    <row r="133" spans="1:36" x14ac:dyDescent="0.25">
      <c r="A133" t="s">
        <v>394</v>
      </c>
      <c r="C133" t="s">
        <v>765</v>
      </c>
    </row>
    <row r="134" spans="1:36" x14ac:dyDescent="0.25">
      <c r="A134" t="s">
        <v>395</v>
      </c>
      <c r="B134" t="s">
        <v>519</v>
      </c>
      <c r="C134" t="s">
        <v>766</v>
      </c>
      <c r="D134" t="s">
        <v>347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0">
        <v>2.1999999999999999E-2</v>
      </c>
    </row>
    <row r="135" spans="1:36" x14ac:dyDescent="0.25">
      <c r="A135" t="s">
        <v>397</v>
      </c>
      <c r="B135" t="s">
        <v>520</v>
      </c>
      <c r="C135" t="s">
        <v>767</v>
      </c>
      <c r="D135" t="s">
        <v>347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0">
        <v>2.1000000000000001E-2</v>
      </c>
    </row>
    <row r="136" spans="1:36" x14ac:dyDescent="0.25">
      <c r="A136" t="s">
        <v>399</v>
      </c>
      <c r="B136" t="s">
        <v>521</v>
      </c>
      <c r="C136" t="s">
        <v>768</v>
      </c>
      <c r="D136" t="s">
        <v>347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0">
        <v>0.11600000000000001</v>
      </c>
    </row>
    <row r="137" spans="1:36" x14ac:dyDescent="0.25">
      <c r="A137" t="s">
        <v>401</v>
      </c>
      <c r="B137" t="s">
        <v>522</v>
      </c>
      <c r="C137" t="s">
        <v>769</v>
      </c>
      <c r="D137" t="s">
        <v>347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0">
        <v>0.10100000000000001</v>
      </c>
    </row>
    <row r="138" spans="1:36" x14ac:dyDescent="0.25">
      <c r="A138" t="s">
        <v>403</v>
      </c>
      <c r="B138" t="s">
        <v>523</v>
      </c>
      <c r="C138" t="s">
        <v>770</v>
      </c>
      <c r="D138" t="s">
        <v>347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0">
        <v>6.6000000000000003E-2</v>
      </c>
    </row>
    <row r="139" spans="1:36" x14ac:dyDescent="0.25">
      <c r="A139" t="s">
        <v>275</v>
      </c>
      <c r="B139" t="s">
        <v>524</v>
      </c>
      <c r="C139" t="s">
        <v>771</v>
      </c>
      <c r="D139" t="s">
        <v>347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0">
        <v>0.14299999999999999</v>
      </c>
    </row>
    <row r="140" spans="1:36" x14ac:dyDescent="0.25">
      <c r="A140" t="s">
        <v>406</v>
      </c>
      <c r="B140" t="s">
        <v>525</v>
      </c>
      <c r="C140" t="s">
        <v>772</v>
      </c>
      <c r="D140" t="s">
        <v>347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0">
        <v>0.153</v>
      </c>
    </row>
    <row r="141" spans="1:36" x14ac:dyDescent="0.25">
      <c r="A141" t="s">
        <v>408</v>
      </c>
      <c r="B141" t="s">
        <v>526</v>
      </c>
      <c r="C141" t="s">
        <v>773</v>
      </c>
      <c r="D141" t="s">
        <v>347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0">
        <v>0.153</v>
      </c>
    </row>
    <row r="142" spans="1:36" x14ac:dyDescent="0.25">
      <c r="A142" t="s">
        <v>287</v>
      </c>
      <c r="B142" t="s">
        <v>527</v>
      </c>
      <c r="C142" t="s">
        <v>774</v>
      </c>
      <c r="D142" t="s">
        <v>347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0">
        <v>0.123</v>
      </c>
    </row>
    <row r="143" spans="1:36" x14ac:dyDescent="0.25">
      <c r="A143" t="s">
        <v>411</v>
      </c>
      <c r="B143" t="s">
        <v>528</v>
      </c>
      <c r="C143" t="s">
        <v>775</v>
      </c>
      <c r="D143" t="s">
        <v>347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0">
        <v>2.7E-2</v>
      </c>
    </row>
    <row r="144" spans="1:36" x14ac:dyDescent="0.25">
      <c r="A144" t="s">
        <v>413</v>
      </c>
      <c r="C144" t="s">
        <v>776</v>
      </c>
    </row>
    <row r="145" spans="1:36" x14ac:dyDescent="0.25">
      <c r="A145" t="s">
        <v>395</v>
      </c>
      <c r="B145" t="s">
        <v>529</v>
      </c>
      <c r="C145" t="s">
        <v>777</v>
      </c>
      <c r="D145" t="s">
        <v>347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0">
        <v>2.1000000000000001E-2</v>
      </c>
    </row>
    <row r="146" spans="1:36" x14ac:dyDescent="0.25">
      <c r="A146" t="s">
        <v>397</v>
      </c>
      <c r="B146" t="s">
        <v>530</v>
      </c>
      <c r="C146" t="s">
        <v>778</v>
      </c>
      <c r="D146" t="s">
        <v>347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0">
        <v>1.4E-2</v>
      </c>
    </row>
    <row r="147" spans="1:36" x14ac:dyDescent="0.25">
      <c r="A147" t="s">
        <v>399</v>
      </c>
      <c r="B147" t="s">
        <v>531</v>
      </c>
      <c r="C147" t="s">
        <v>779</v>
      </c>
      <c r="D147" t="s">
        <v>347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0">
        <v>4.2999999999999997E-2</v>
      </c>
    </row>
    <row r="148" spans="1:36" x14ac:dyDescent="0.25">
      <c r="A148" t="s">
        <v>401</v>
      </c>
      <c r="B148" t="s">
        <v>532</v>
      </c>
      <c r="C148" t="s">
        <v>780</v>
      </c>
      <c r="D148" t="s">
        <v>347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0">
        <v>6.4000000000000001E-2</v>
      </c>
    </row>
    <row r="149" spans="1:36" x14ac:dyDescent="0.25">
      <c r="A149" t="s">
        <v>403</v>
      </c>
      <c r="B149" t="s">
        <v>533</v>
      </c>
      <c r="C149" t="s">
        <v>781</v>
      </c>
      <c r="D149" t="s">
        <v>347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0">
        <v>7.3999999999999996E-2</v>
      </c>
    </row>
    <row r="150" spans="1:36" x14ac:dyDescent="0.25">
      <c r="A150" t="s">
        <v>275</v>
      </c>
      <c r="B150" t="s">
        <v>534</v>
      </c>
      <c r="C150" t="s">
        <v>782</v>
      </c>
      <c r="D150" t="s">
        <v>347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0">
        <v>0.13900000000000001</v>
      </c>
    </row>
    <row r="151" spans="1:36" x14ac:dyDescent="0.25">
      <c r="A151" t="s">
        <v>406</v>
      </c>
      <c r="B151" t="s">
        <v>535</v>
      </c>
      <c r="C151" t="s">
        <v>783</v>
      </c>
      <c r="D151" t="s">
        <v>347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0">
        <v>0.157</v>
      </c>
    </row>
    <row r="152" spans="1:36" x14ac:dyDescent="0.25">
      <c r="A152" t="s">
        <v>408</v>
      </c>
      <c r="B152" t="s">
        <v>536</v>
      </c>
      <c r="C152" t="s">
        <v>784</v>
      </c>
      <c r="D152" t="s">
        <v>347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0">
        <v>0.157</v>
      </c>
    </row>
    <row r="153" spans="1:36" x14ac:dyDescent="0.25">
      <c r="A153" t="s">
        <v>287</v>
      </c>
      <c r="B153" t="s">
        <v>537</v>
      </c>
      <c r="C153" t="s">
        <v>785</v>
      </c>
      <c r="D153" t="s">
        <v>347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0">
        <v>0.157</v>
      </c>
    </row>
    <row r="154" spans="1:36" x14ac:dyDescent="0.25">
      <c r="A154" t="s">
        <v>423</v>
      </c>
      <c r="B154" t="s">
        <v>538</v>
      </c>
      <c r="C154" t="s">
        <v>786</v>
      </c>
      <c r="D154" t="s">
        <v>347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0">
        <v>0.02</v>
      </c>
    </row>
    <row r="155" spans="1:36" x14ac:dyDescent="0.25">
      <c r="A155" t="s">
        <v>425</v>
      </c>
      <c r="C155" t="s">
        <v>787</v>
      </c>
    </row>
    <row r="156" spans="1:36" x14ac:dyDescent="0.25">
      <c r="A156" t="s">
        <v>395</v>
      </c>
      <c r="B156" t="s">
        <v>539</v>
      </c>
      <c r="C156" t="s">
        <v>788</v>
      </c>
      <c r="D156" t="s">
        <v>347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0">
        <v>8.0000000000000002E-3</v>
      </c>
    </row>
    <row r="157" spans="1:36" x14ac:dyDescent="0.25">
      <c r="A157" t="s">
        <v>397</v>
      </c>
      <c r="B157" t="s">
        <v>540</v>
      </c>
      <c r="C157" t="s">
        <v>789</v>
      </c>
      <c r="D157" t="s">
        <v>347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0">
        <v>-4.2000000000000003E-2</v>
      </c>
    </row>
    <row r="158" spans="1:36" x14ac:dyDescent="0.25">
      <c r="A158" t="s">
        <v>399</v>
      </c>
      <c r="B158" t="s">
        <v>541</v>
      </c>
      <c r="C158" t="s">
        <v>790</v>
      </c>
      <c r="D158" t="s">
        <v>347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0">
        <v>0.02</v>
      </c>
    </row>
    <row r="159" spans="1:36" x14ac:dyDescent="0.25">
      <c r="A159" t="s">
        <v>401</v>
      </c>
      <c r="B159" t="s">
        <v>542</v>
      </c>
      <c r="C159" t="s">
        <v>791</v>
      </c>
      <c r="D159" t="s">
        <v>347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0">
        <v>3.4000000000000002E-2</v>
      </c>
    </row>
    <row r="160" spans="1:36" x14ac:dyDescent="0.25">
      <c r="A160" t="s">
        <v>403</v>
      </c>
      <c r="B160" t="s">
        <v>543</v>
      </c>
      <c r="C160" t="s">
        <v>792</v>
      </c>
      <c r="D160" t="s">
        <v>347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275</v>
      </c>
      <c r="B161" t="s">
        <v>544</v>
      </c>
      <c r="C161" t="s">
        <v>793</v>
      </c>
      <c r="D161" t="s">
        <v>347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0">
        <v>0.13700000000000001</v>
      </c>
    </row>
    <row r="162" spans="1:36" x14ac:dyDescent="0.25">
      <c r="A162" t="s">
        <v>406</v>
      </c>
      <c r="B162" t="s">
        <v>545</v>
      </c>
      <c r="C162" t="s">
        <v>794</v>
      </c>
      <c r="D162" t="s">
        <v>347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0">
        <v>0.124</v>
      </c>
    </row>
    <row r="163" spans="1:36" x14ac:dyDescent="0.25">
      <c r="A163" t="s">
        <v>408</v>
      </c>
      <c r="B163" t="s">
        <v>546</v>
      </c>
      <c r="C163" t="s">
        <v>795</v>
      </c>
      <c r="D163" t="s">
        <v>347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0">
        <v>0.123</v>
      </c>
    </row>
    <row r="164" spans="1:36" x14ac:dyDescent="0.25">
      <c r="A164" t="s">
        <v>287</v>
      </c>
      <c r="B164" t="s">
        <v>547</v>
      </c>
      <c r="C164" t="s">
        <v>796</v>
      </c>
      <c r="D164" t="s">
        <v>347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0">
        <v>0.126</v>
      </c>
    </row>
    <row r="165" spans="1:36" x14ac:dyDescent="0.25">
      <c r="A165" t="s">
        <v>435</v>
      </c>
      <c r="B165" t="s">
        <v>548</v>
      </c>
      <c r="C165" t="s">
        <v>797</v>
      </c>
      <c r="D165" t="s">
        <v>347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0">
        <v>8.9999999999999993E-3</v>
      </c>
    </row>
    <row r="166" spans="1:36" x14ac:dyDescent="0.25">
      <c r="A166" t="s">
        <v>21</v>
      </c>
      <c r="B166" t="s">
        <v>549</v>
      </c>
      <c r="C166" t="s">
        <v>798</v>
      </c>
      <c r="D166" t="s">
        <v>347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0">
        <v>1.7999999999999999E-2</v>
      </c>
    </row>
    <row r="167" spans="1:36" x14ac:dyDescent="0.25">
      <c r="A167" t="s">
        <v>40</v>
      </c>
      <c r="C167" t="s">
        <v>799</v>
      </c>
    </row>
    <row r="168" spans="1:36" x14ac:dyDescent="0.25">
      <c r="A168" t="s">
        <v>482</v>
      </c>
      <c r="C168" t="s">
        <v>800</v>
      </c>
    </row>
    <row r="169" spans="1:36" x14ac:dyDescent="0.25">
      <c r="A169" t="s">
        <v>394</v>
      </c>
      <c r="C169" t="s">
        <v>801</v>
      </c>
    </row>
    <row r="170" spans="1:36" x14ac:dyDescent="0.25">
      <c r="A170" t="s">
        <v>395</v>
      </c>
      <c r="B170" t="s">
        <v>550</v>
      </c>
      <c r="C170" t="s">
        <v>802</v>
      </c>
      <c r="D170" t="s">
        <v>729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0">
        <v>4.0000000000000001E-3</v>
      </c>
    </row>
    <row r="171" spans="1:36" x14ac:dyDescent="0.25">
      <c r="A171" t="s">
        <v>397</v>
      </c>
      <c r="B171" t="s">
        <v>551</v>
      </c>
      <c r="C171" t="s">
        <v>803</v>
      </c>
      <c r="D171" t="s">
        <v>731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0">
        <v>7.0000000000000001E-3</v>
      </c>
    </row>
    <row r="172" spans="1:36" x14ac:dyDescent="0.25">
      <c r="A172" t="s">
        <v>399</v>
      </c>
      <c r="B172" t="s">
        <v>552</v>
      </c>
      <c r="C172" t="s">
        <v>804</v>
      </c>
      <c r="D172" t="s">
        <v>731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0">
        <v>4.0000000000000001E-3</v>
      </c>
    </row>
    <row r="173" spans="1:36" x14ac:dyDescent="0.25">
      <c r="A173" t="s">
        <v>401</v>
      </c>
      <c r="B173" t="s">
        <v>553</v>
      </c>
      <c r="C173" t="s">
        <v>805</v>
      </c>
      <c r="D173" t="s">
        <v>731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0">
        <v>4.0000000000000001E-3</v>
      </c>
    </row>
    <row r="174" spans="1:36" x14ac:dyDescent="0.25">
      <c r="A174" t="s">
        <v>403</v>
      </c>
      <c r="B174" t="s">
        <v>554</v>
      </c>
      <c r="C174" t="s">
        <v>806</v>
      </c>
      <c r="D174" t="s">
        <v>731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0">
        <v>7.0000000000000001E-3</v>
      </c>
    </row>
    <row r="175" spans="1:36" x14ac:dyDescent="0.25">
      <c r="A175" t="s">
        <v>275</v>
      </c>
      <c r="B175" t="s">
        <v>555</v>
      </c>
      <c r="C175" t="s">
        <v>807</v>
      </c>
      <c r="D175" t="s">
        <v>729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0">
        <v>3.0000000000000001E-3</v>
      </c>
    </row>
    <row r="176" spans="1:36" x14ac:dyDescent="0.25">
      <c r="A176" t="s">
        <v>406</v>
      </c>
      <c r="B176" t="s">
        <v>556</v>
      </c>
      <c r="C176" t="s">
        <v>808</v>
      </c>
      <c r="D176" t="s">
        <v>729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0">
        <v>8.0000000000000002E-3</v>
      </c>
    </row>
    <row r="177" spans="1:36" x14ac:dyDescent="0.25">
      <c r="A177" t="s">
        <v>408</v>
      </c>
      <c r="B177" t="s">
        <v>557</v>
      </c>
      <c r="C177" t="s">
        <v>809</v>
      </c>
      <c r="D177" t="s">
        <v>731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0">
        <v>4.0000000000000001E-3</v>
      </c>
    </row>
    <row r="178" spans="1:36" x14ac:dyDescent="0.25">
      <c r="A178" t="s">
        <v>287</v>
      </c>
      <c r="B178" t="s">
        <v>558</v>
      </c>
      <c r="C178" t="s">
        <v>810</v>
      </c>
      <c r="D178" t="s">
        <v>729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0">
        <v>-4.0000000000000001E-3</v>
      </c>
    </row>
    <row r="179" spans="1:36" x14ac:dyDescent="0.25">
      <c r="A179" t="s">
        <v>492</v>
      </c>
      <c r="B179" t="s">
        <v>559</v>
      </c>
      <c r="C179" t="s">
        <v>811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0">
        <v>4.0000000000000001E-3</v>
      </c>
    </row>
    <row r="180" spans="1:36" x14ac:dyDescent="0.25">
      <c r="A180" t="s">
        <v>413</v>
      </c>
      <c r="C180" t="s">
        <v>812</v>
      </c>
    </row>
    <row r="181" spans="1:36" x14ac:dyDescent="0.25">
      <c r="A181" t="s">
        <v>395</v>
      </c>
      <c r="B181" t="s">
        <v>560</v>
      </c>
      <c r="C181" t="s">
        <v>813</v>
      </c>
      <c r="D181" t="s">
        <v>729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0">
        <v>0.01</v>
      </c>
    </row>
    <row r="182" spans="1:36" x14ac:dyDescent="0.25">
      <c r="A182" t="s">
        <v>397</v>
      </c>
      <c r="B182" t="s">
        <v>561</v>
      </c>
      <c r="C182" t="s">
        <v>814</v>
      </c>
      <c r="D182" t="s">
        <v>731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0">
        <v>8.9999999999999993E-3</v>
      </c>
    </row>
    <row r="183" spans="1:36" x14ac:dyDescent="0.25">
      <c r="A183" t="s">
        <v>399</v>
      </c>
      <c r="B183" t="s">
        <v>562</v>
      </c>
      <c r="C183" t="s">
        <v>815</v>
      </c>
      <c r="D183" t="s">
        <v>731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0">
        <v>0.01</v>
      </c>
    </row>
    <row r="184" spans="1:36" x14ac:dyDescent="0.25">
      <c r="A184" t="s">
        <v>401</v>
      </c>
      <c r="B184" t="s">
        <v>563</v>
      </c>
      <c r="C184" t="s">
        <v>816</v>
      </c>
      <c r="D184" t="s">
        <v>731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0">
        <v>0.01</v>
      </c>
    </row>
    <row r="185" spans="1:36" x14ac:dyDescent="0.25">
      <c r="A185" t="s">
        <v>403</v>
      </c>
      <c r="B185" t="s">
        <v>564</v>
      </c>
      <c r="C185" t="s">
        <v>817</v>
      </c>
      <c r="D185" t="s">
        <v>746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0">
        <v>8.9999999999999993E-3</v>
      </c>
    </row>
    <row r="186" spans="1:36" x14ac:dyDescent="0.25">
      <c r="A186" t="s">
        <v>275</v>
      </c>
      <c r="B186" t="s">
        <v>565</v>
      </c>
      <c r="C186" t="s">
        <v>818</v>
      </c>
      <c r="D186" t="s">
        <v>731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0">
        <v>7.0000000000000001E-3</v>
      </c>
    </row>
    <row r="187" spans="1:36" x14ac:dyDescent="0.25">
      <c r="A187" t="s">
        <v>406</v>
      </c>
      <c r="B187" t="s">
        <v>566</v>
      </c>
      <c r="C187" t="s">
        <v>819</v>
      </c>
      <c r="D187" t="s">
        <v>731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0">
        <v>8.9999999999999993E-3</v>
      </c>
    </row>
    <row r="188" spans="1:36" x14ac:dyDescent="0.25">
      <c r="A188" t="s">
        <v>408</v>
      </c>
      <c r="B188" t="s">
        <v>567</v>
      </c>
      <c r="C188" t="s">
        <v>820</v>
      </c>
      <c r="D188" t="s">
        <v>731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0">
        <v>8.0000000000000002E-3</v>
      </c>
    </row>
    <row r="189" spans="1:36" x14ac:dyDescent="0.25">
      <c r="A189" t="s">
        <v>287</v>
      </c>
      <c r="B189" t="s">
        <v>568</v>
      </c>
      <c r="C189" t="s">
        <v>821</v>
      </c>
      <c r="D189" t="s">
        <v>731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0">
        <v>0</v>
      </c>
    </row>
    <row r="190" spans="1:36" x14ac:dyDescent="0.25">
      <c r="A190" t="s">
        <v>503</v>
      </c>
      <c r="B190" t="s">
        <v>569</v>
      </c>
      <c r="C190" t="s">
        <v>822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0">
        <v>8.9999999999999993E-3</v>
      </c>
    </row>
    <row r="191" spans="1:36" x14ac:dyDescent="0.25">
      <c r="A191" t="s">
        <v>425</v>
      </c>
      <c r="C191" t="s">
        <v>823</v>
      </c>
    </row>
    <row r="192" spans="1:36" x14ac:dyDescent="0.25">
      <c r="A192" t="s">
        <v>395</v>
      </c>
      <c r="B192" t="s">
        <v>570</v>
      </c>
      <c r="C192" t="s">
        <v>824</v>
      </c>
      <c r="D192" t="s">
        <v>729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0">
        <v>8.0000000000000002E-3</v>
      </c>
    </row>
    <row r="193" spans="1:36" x14ac:dyDescent="0.25">
      <c r="A193" t="s">
        <v>397</v>
      </c>
      <c r="B193" t="s">
        <v>571</v>
      </c>
      <c r="C193" t="s">
        <v>825</v>
      </c>
      <c r="D193" t="s">
        <v>731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0">
        <v>7.0000000000000001E-3</v>
      </c>
    </row>
    <row r="194" spans="1:36" x14ac:dyDescent="0.25">
      <c r="A194" t="s">
        <v>399</v>
      </c>
      <c r="B194" t="s">
        <v>572</v>
      </c>
      <c r="C194" t="s">
        <v>826</v>
      </c>
      <c r="D194" t="s">
        <v>731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0">
        <v>6.0000000000000001E-3</v>
      </c>
    </row>
    <row r="195" spans="1:36" x14ac:dyDescent="0.25">
      <c r="A195" t="s">
        <v>401</v>
      </c>
      <c r="B195" t="s">
        <v>573</v>
      </c>
      <c r="C195" t="s">
        <v>827</v>
      </c>
      <c r="D195" t="s">
        <v>729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0">
        <v>8.9999999999999993E-3</v>
      </c>
    </row>
    <row r="196" spans="1:36" x14ac:dyDescent="0.25">
      <c r="A196" t="s">
        <v>403</v>
      </c>
      <c r="B196" t="s">
        <v>574</v>
      </c>
      <c r="C196" t="s">
        <v>828</v>
      </c>
      <c r="D196" t="s">
        <v>731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275</v>
      </c>
      <c r="B197" t="s">
        <v>575</v>
      </c>
      <c r="C197" t="s">
        <v>829</v>
      </c>
      <c r="D197" t="s">
        <v>729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0">
        <v>1.7000000000000001E-2</v>
      </c>
    </row>
    <row r="198" spans="1:36" x14ac:dyDescent="0.25">
      <c r="A198" t="s">
        <v>406</v>
      </c>
      <c r="B198" t="s">
        <v>576</v>
      </c>
      <c r="C198" t="s">
        <v>830</v>
      </c>
      <c r="D198" t="s">
        <v>729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0">
        <v>0.01</v>
      </c>
    </row>
    <row r="199" spans="1:36" x14ac:dyDescent="0.25">
      <c r="A199" t="s">
        <v>408</v>
      </c>
      <c r="B199" t="s">
        <v>577</v>
      </c>
      <c r="C199" t="s">
        <v>831</v>
      </c>
      <c r="D199" t="s">
        <v>731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0">
        <v>7.0000000000000001E-3</v>
      </c>
    </row>
    <row r="200" spans="1:36" x14ac:dyDescent="0.25">
      <c r="A200" t="s">
        <v>287</v>
      </c>
      <c r="B200" t="s">
        <v>578</v>
      </c>
      <c r="C200" t="s">
        <v>832</v>
      </c>
      <c r="D200" t="s">
        <v>729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0">
        <v>3.0000000000000001E-3</v>
      </c>
    </row>
    <row r="201" spans="1:36" x14ac:dyDescent="0.25">
      <c r="A201" t="s">
        <v>514</v>
      </c>
      <c r="B201" t="s">
        <v>579</v>
      </c>
      <c r="C201" t="s">
        <v>833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0">
        <v>8.0000000000000002E-3</v>
      </c>
    </row>
    <row r="202" spans="1:36" x14ac:dyDescent="0.25">
      <c r="A202" t="s">
        <v>516</v>
      </c>
      <c r="B202" t="s">
        <v>580</v>
      </c>
      <c r="C202" t="s">
        <v>834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0">
        <v>8.9999999999999993E-3</v>
      </c>
    </row>
    <row r="203" spans="1:36" x14ac:dyDescent="0.25">
      <c r="A203" t="s">
        <v>581</v>
      </c>
      <c r="C203" t="s">
        <v>835</v>
      </c>
    </row>
    <row r="204" spans="1:36" x14ac:dyDescent="0.25">
      <c r="A204" t="s">
        <v>394</v>
      </c>
      <c r="C204" t="s">
        <v>836</v>
      </c>
    </row>
    <row r="205" spans="1:36" x14ac:dyDescent="0.25">
      <c r="A205" t="s">
        <v>395</v>
      </c>
      <c r="B205" t="s">
        <v>582</v>
      </c>
      <c r="C205" t="s">
        <v>837</v>
      </c>
      <c r="D205" t="s">
        <v>151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0">
        <v>7.0000000000000001E-3</v>
      </c>
    </row>
    <row r="206" spans="1:36" x14ac:dyDescent="0.25">
      <c r="A206" t="s">
        <v>397</v>
      </c>
      <c r="B206" t="s">
        <v>583</v>
      </c>
      <c r="C206" t="s">
        <v>838</v>
      </c>
      <c r="D206" t="s">
        <v>151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0">
        <v>2.7E-2</v>
      </c>
    </row>
    <row r="207" spans="1:36" x14ac:dyDescent="0.25">
      <c r="A207" t="s">
        <v>399</v>
      </c>
      <c r="B207" t="s">
        <v>584</v>
      </c>
      <c r="C207" t="s">
        <v>839</v>
      </c>
      <c r="D207" t="s">
        <v>151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0">
        <v>4.9000000000000002E-2</v>
      </c>
    </row>
    <row r="208" spans="1:36" x14ac:dyDescent="0.25">
      <c r="A208" t="s">
        <v>401</v>
      </c>
      <c r="B208" t="s">
        <v>585</v>
      </c>
      <c r="C208" t="s">
        <v>840</v>
      </c>
      <c r="D208" t="s">
        <v>151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0">
        <v>2.4E-2</v>
      </c>
    </row>
    <row r="209" spans="1:36" x14ac:dyDescent="0.25">
      <c r="A209" t="s">
        <v>403</v>
      </c>
      <c r="B209" t="s">
        <v>586</v>
      </c>
      <c r="C209" t="s">
        <v>841</v>
      </c>
      <c r="D209" t="s">
        <v>151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0">
        <v>4.8000000000000001E-2</v>
      </c>
    </row>
    <row r="210" spans="1:36" x14ac:dyDescent="0.25">
      <c r="A210" t="s">
        <v>275</v>
      </c>
      <c r="B210" t="s">
        <v>587</v>
      </c>
      <c r="C210" t="s">
        <v>842</v>
      </c>
      <c r="D210" t="s">
        <v>151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0">
        <v>4.8000000000000001E-2</v>
      </c>
    </row>
    <row r="211" spans="1:36" x14ac:dyDescent="0.25">
      <c r="A211" t="s">
        <v>406</v>
      </c>
      <c r="B211" t="s">
        <v>588</v>
      </c>
      <c r="C211" t="s">
        <v>843</v>
      </c>
      <c r="D211" t="s">
        <v>151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0">
        <v>4.9000000000000002E-2</v>
      </c>
    </row>
    <row r="212" spans="1:36" x14ac:dyDescent="0.25">
      <c r="A212" t="s">
        <v>408</v>
      </c>
      <c r="B212" t="s">
        <v>589</v>
      </c>
      <c r="C212" t="s">
        <v>844</v>
      </c>
      <c r="D212" t="s">
        <v>151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0">
        <v>4.9000000000000002E-2</v>
      </c>
    </row>
    <row r="213" spans="1:36" x14ac:dyDescent="0.25">
      <c r="A213" t="s">
        <v>287</v>
      </c>
      <c r="B213" t="s">
        <v>590</v>
      </c>
      <c r="C213" t="s">
        <v>845</v>
      </c>
      <c r="D213" t="s">
        <v>151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0">
        <v>-4.0000000000000001E-3</v>
      </c>
    </row>
    <row r="214" spans="1:36" x14ac:dyDescent="0.25">
      <c r="A214" t="s">
        <v>411</v>
      </c>
      <c r="B214" t="s">
        <v>591</v>
      </c>
      <c r="C214" t="s">
        <v>846</v>
      </c>
      <c r="D214" t="s">
        <v>151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0">
        <v>1.9E-2</v>
      </c>
    </row>
    <row r="215" spans="1:36" x14ac:dyDescent="0.25">
      <c r="A215" t="s">
        <v>413</v>
      </c>
      <c r="C215" t="s">
        <v>847</v>
      </c>
    </row>
    <row r="216" spans="1:36" x14ac:dyDescent="0.25">
      <c r="A216" t="s">
        <v>395</v>
      </c>
      <c r="B216" t="s">
        <v>592</v>
      </c>
      <c r="C216" t="s">
        <v>848</v>
      </c>
      <c r="D216" t="s">
        <v>151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0">
        <v>2.9000000000000001E-2</v>
      </c>
    </row>
    <row r="217" spans="1:36" x14ac:dyDescent="0.25">
      <c r="A217" t="s">
        <v>397</v>
      </c>
      <c r="B217" t="s">
        <v>593</v>
      </c>
      <c r="C217" t="s">
        <v>849</v>
      </c>
      <c r="D217" t="s">
        <v>151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0">
        <v>2.5999999999999999E-2</v>
      </c>
    </row>
    <row r="218" spans="1:36" x14ac:dyDescent="0.25">
      <c r="A218" t="s">
        <v>399</v>
      </c>
      <c r="B218" t="s">
        <v>594</v>
      </c>
      <c r="C218" t="s">
        <v>850</v>
      </c>
      <c r="D218" t="s">
        <v>151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0">
        <v>0.06</v>
      </c>
    </row>
    <row r="219" spans="1:36" x14ac:dyDescent="0.25">
      <c r="A219" t="s">
        <v>401</v>
      </c>
      <c r="B219" t="s">
        <v>595</v>
      </c>
      <c r="C219" t="s">
        <v>851</v>
      </c>
      <c r="D219" t="s">
        <v>151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0">
        <v>3.2000000000000001E-2</v>
      </c>
    </row>
    <row r="220" spans="1:36" x14ac:dyDescent="0.25">
      <c r="A220" t="s">
        <v>403</v>
      </c>
      <c r="B220" t="s">
        <v>596</v>
      </c>
      <c r="C220" t="s">
        <v>852</v>
      </c>
      <c r="D220" t="s">
        <v>151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0">
        <v>5.3999999999999999E-2</v>
      </c>
    </row>
    <row r="221" spans="1:36" x14ac:dyDescent="0.25">
      <c r="A221" t="s">
        <v>275</v>
      </c>
      <c r="B221" t="s">
        <v>597</v>
      </c>
      <c r="C221" t="s">
        <v>853</v>
      </c>
      <c r="D221" t="s">
        <v>151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0">
        <v>0.06</v>
      </c>
    </row>
    <row r="222" spans="1:36" x14ac:dyDescent="0.25">
      <c r="A222" t="s">
        <v>406</v>
      </c>
      <c r="B222" t="s">
        <v>598</v>
      </c>
      <c r="C222" t="s">
        <v>854</v>
      </c>
      <c r="D222" t="s">
        <v>151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0">
        <v>0.06</v>
      </c>
    </row>
    <row r="223" spans="1:36" x14ac:dyDescent="0.25">
      <c r="A223" t="s">
        <v>408</v>
      </c>
      <c r="B223" t="s">
        <v>599</v>
      </c>
      <c r="C223" t="s">
        <v>855</v>
      </c>
      <c r="D223" t="s">
        <v>151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0">
        <v>0.06</v>
      </c>
    </row>
    <row r="224" spans="1:36" x14ac:dyDescent="0.25">
      <c r="A224" t="s">
        <v>287</v>
      </c>
      <c r="B224" t="s">
        <v>600</v>
      </c>
      <c r="C224" t="s">
        <v>856</v>
      </c>
      <c r="D224" t="s">
        <v>151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0">
        <v>0.06</v>
      </c>
    </row>
    <row r="225" spans="1:36" x14ac:dyDescent="0.25">
      <c r="A225" t="s">
        <v>423</v>
      </c>
      <c r="B225" t="s">
        <v>601</v>
      </c>
      <c r="C225" t="s">
        <v>857</v>
      </c>
      <c r="D225" t="s">
        <v>151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0">
        <v>2.9000000000000001E-2</v>
      </c>
    </row>
    <row r="226" spans="1:36" x14ac:dyDescent="0.25">
      <c r="A226" t="s">
        <v>425</v>
      </c>
      <c r="C226" t="s">
        <v>858</v>
      </c>
    </row>
    <row r="227" spans="1:36" x14ac:dyDescent="0.25">
      <c r="A227" t="s">
        <v>395</v>
      </c>
      <c r="B227" t="s">
        <v>602</v>
      </c>
      <c r="C227" t="s">
        <v>859</v>
      </c>
      <c r="D227" t="s">
        <v>151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0">
        <v>6.0000000000000001E-3</v>
      </c>
    </row>
    <row r="228" spans="1:36" x14ac:dyDescent="0.25">
      <c r="A228" t="s">
        <v>397</v>
      </c>
      <c r="B228" t="s">
        <v>603</v>
      </c>
      <c r="C228" t="s">
        <v>860</v>
      </c>
      <c r="D228" t="s">
        <v>151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0">
        <v>6.0000000000000001E-3</v>
      </c>
    </row>
    <row r="229" spans="1:36" x14ac:dyDescent="0.25">
      <c r="A229" t="s">
        <v>399</v>
      </c>
      <c r="B229" t="s">
        <v>604</v>
      </c>
      <c r="C229" t="s">
        <v>861</v>
      </c>
      <c r="D229" t="s">
        <v>151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0">
        <v>5.0000000000000001E-3</v>
      </c>
    </row>
    <row r="230" spans="1:36" x14ac:dyDescent="0.25">
      <c r="A230" t="s">
        <v>401</v>
      </c>
      <c r="B230" t="s">
        <v>605</v>
      </c>
      <c r="C230" t="s">
        <v>862</v>
      </c>
      <c r="D230" t="s">
        <v>151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0">
        <v>3.1E-2</v>
      </c>
    </row>
    <row r="231" spans="1:36" x14ac:dyDescent="0.25">
      <c r="A231" t="s">
        <v>403</v>
      </c>
      <c r="B231" t="s">
        <v>606</v>
      </c>
      <c r="C231" t="s">
        <v>863</v>
      </c>
      <c r="D231" t="s">
        <v>151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275</v>
      </c>
      <c r="B232" t="s">
        <v>607</v>
      </c>
      <c r="C232" t="s">
        <v>864</v>
      </c>
      <c r="D232" t="s">
        <v>151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0">
        <v>3.5999999999999997E-2</v>
      </c>
    </row>
    <row r="233" spans="1:36" x14ac:dyDescent="0.25">
      <c r="A233" t="s">
        <v>406</v>
      </c>
      <c r="B233" t="s">
        <v>608</v>
      </c>
      <c r="C233" t="s">
        <v>865</v>
      </c>
      <c r="D233" t="s">
        <v>151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0">
        <v>3.6999999999999998E-2</v>
      </c>
    </row>
    <row r="234" spans="1:36" x14ac:dyDescent="0.25">
      <c r="A234" t="s">
        <v>408</v>
      </c>
      <c r="B234" t="s">
        <v>609</v>
      </c>
      <c r="C234" t="s">
        <v>866</v>
      </c>
      <c r="D234" t="s">
        <v>151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0">
        <v>3.6999999999999998E-2</v>
      </c>
    </row>
    <row r="235" spans="1:36" x14ac:dyDescent="0.25">
      <c r="A235" t="s">
        <v>287</v>
      </c>
      <c r="B235" t="s">
        <v>610</v>
      </c>
      <c r="C235" t="s">
        <v>867</v>
      </c>
      <c r="D235" t="s">
        <v>151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0">
        <v>3.6999999999999998E-2</v>
      </c>
    </row>
    <row r="236" spans="1:36" x14ac:dyDescent="0.25">
      <c r="A236" t="s">
        <v>435</v>
      </c>
      <c r="B236" t="s">
        <v>611</v>
      </c>
      <c r="C236" t="s">
        <v>868</v>
      </c>
      <c r="D236" t="s">
        <v>151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0">
        <v>6.0000000000000001E-3</v>
      </c>
    </row>
    <row r="237" spans="1:36" x14ac:dyDescent="0.25">
      <c r="A237" t="s">
        <v>263</v>
      </c>
      <c r="B237" t="s">
        <v>612</v>
      </c>
      <c r="C237" t="s">
        <v>869</v>
      </c>
      <c r="D237" t="s">
        <v>151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0">
        <v>1.7999999999999999E-2</v>
      </c>
    </row>
    <row r="238" spans="1:36" x14ac:dyDescent="0.25">
      <c r="A238" t="s">
        <v>39</v>
      </c>
      <c r="C238" t="s">
        <v>870</v>
      </c>
    </row>
    <row r="239" spans="1:36" x14ac:dyDescent="0.25">
      <c r="A239" t="s">
        <v>613</v>
      </c>
      <c r="B239" t="s">
        <v>614</v>
      </c>
      <c r="C239" t="s">
        <v>871</v>
      </c>
      <c r="D239" t="s">
        <v>872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0">
        <v>8.0000000000000002E-3</v>
      </c>
    </row>
    <row r="240" spans="1:36" x14ac:dyDescent="0.25">
      <c r="A240" t="s">
        <v>615</v>
      </c>
      <c r="B240" t="s">
        <v>616</v>
      </c>
      <c r="C240" t="s">
        <v>873</v>
      </c>
      <c r="D240" t="s">
        <v>874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0">
        <v>6.0000000000000001E-3</v>
      </c>
    </row>
    <row r="241" spans="1:36" x14ac:dyDescent="0.25">
      <c r="A241" t="s">
        <v>617</v>
      </c>
      <c r="C241" t="s">
        <v>875</v>
      </c>
    </row>
    <row r="242" spans="1:36" x14ac:dyDescent="0.25">
      <c r="A242" t="s">
        <v>618</v>
      </c>
      <c r="B242" t="s">
        <v>619</v>
      </c>
      <c r="C242" t="s">
        <v>876</v>
      </c>
      <c r="D242" t="s">
        <v>683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0">
        <v>-1.7000000000000001E-2</v>
      </c>
    </row>
    <row r="243" spans="1:36" x14ac:dyDescent="0.25">
      <c r="A243" t="s">
        <v>620</v>
      </c>
      <c r="B243" t="s">
        <v>621</v>
      </c>
      <c r="C243" t="s">
        <v>877</v>
      </c>
      <c r="D243" t="s">
        <v>683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622</v>
      </c>
      <c r="B244" t="s">
        <v>623</v>
      </c>
      <c r="C244" t="s">
        <v>878</v>
      </c>
      <c r="D244" t="s">
        <v>683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624</v>
      </c>
      <c r="B245" t="s">
        <v>625</v>
      </c>
      <c r="C245" t="s">
        <v>879</v>
      </c>
      <c r="D245" t="s">
        <v>683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0">
        <v>0.223</v>
      </c>
    </row>
    <row r="246" spans="1:36" x14ac:dyDescent="0.25">
      <c r="A246" t="s">
        <v>38</v>
      </c>
      <c r="C246" t="s">
        <v>880</v>
      </c>
    </row>
    <row r="247" spans="1:36" x14ac:dyDescent="0.25">
      <c r="A247" t="s">
        <v>626</v>
      </c>
      <c r="B247" t="s">
        <v>627</v>
      </c>
      <c r="C247" t="s">
        <v>881</v>
      </c>
      <c r="D247" t="s">
        <v>872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0">
        <v>-8.0000000000000002E-3</v>
      </c>
    </row>
    <row r="248" spans="1:36" x14ac:dyDescent="0.25">
      <c r="A248" t="s">
        <v>615</v>
      </c>
      <c r="B248" t="s">
        <v>628</v>
      </c>
      <c r="C248" t="s">
        <v>882</v>
      </c>
      <c r="D248" t="s">
        <v>874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0">
        <v>6.0000000000000001E-3</v>
      </c>
    </row>
    <row r="249" spans="1:36" x14ac:dyDescent="0.25">
      <c r="A249" t="s">
        <v>617</v>
      </c>
      <c r="C249" t="s">
        <v>883</v>
      </c>
    </row>
    <row r="250" spans="1:36" x14ac:dyDescent="0.25">
      <c r="A250" t="s">
        <v>618</v>
      </c>
      <c r="B250" t="s">
        <v>629</v>
      </c>
      <c r="C250" t="s">
        <v>884</v>
      </c>
      <c r="D250" t="s">
        <v>683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0">
        <v>-1.4E-2</v>
      </c>
    </row>
    <row r="251" spans="1:36" x14ac:dyDescent="0.25">
      <c r="A251" t="s">
        <v>620</v>
      </c>
      <c r="B251" t="s">
        <v>630</v>
      </c>
      <c r="C251" t="s">
        <v>885</v>
      </c>
      <c r="D251" t="s">
        <v>683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0">
        <v>-6.0999999999999999E-2</v>
      </c>
    </row>
    <row r="252" spans="1:36" x14ac:dyDescent="0.25">
      <c r="A252" t="s">
        <v>622</v>
      </c>
      <c r="B252" t="s">
        <v>631</v>
      </c>
      <c r="C252" t="s">
        <v>886</v>
      </c>
      <c r="D252" t="s">
        <v>683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624</v>
      </c>
      <c r="B253" t="s">
        <v>632</v>
      </c>
      <c r="C253" t="s">
        <v>887</v>
      </c>
      <c r="D253" t="s">
        <v>683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0">
        <v>4.8000000000000001E-2</v>
      </c>
    </row>
    <row r="254" spans="1:36" x14ac:dyDescent="0.25">
      <c r="A254" t="s">
        <v>37</v>
      </c>
      <c r="C254" t="s">
        <v>888</v>
      </c>
    </row>
    <row r="255" spans="1:36" x14ac:dyDescent="0.25">
      <c r="A255" t="s">
        <v>633</v>
      </c>
      <c r="B255" t="s">
        <v>634</v>
      </c>
      <c r="C255" t="s">
        <v>889</v>
      </c>
      <c r="D255" t="s">
        <v>890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0">
        <v>0.04</v>
      </c>
    </row>
    <row r="256" spans="1:36" x14ac:dyDescent="0.25">
      <c r="A256" t="s">
        <v>635</v>
      </c>
      <c r="B256" t="s">
        <v>636</v>
      </c>
      <c r="C256" t="s">
        <v>891</v>
      </c>
      <c r="D256" t="s">
        <v>890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0">
        <v>4.2000000000000003E-2</v>
      </c>
    </row>
    <row r="257" spans="1:36" x14ac:dyDescent="0.25">
      <c r="A257" t="s">
        <v>637</v>
      </c>
      <c r="B257" t="s">
        <v>638</v>
      </c>
      <c r="C257" t="s">
        <v>892</v>
      </c>
      <c r="D257" t="s">
        <v>890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0">
        <v>3.7999999999999999E-2</v>
      </c>
    </row>
    <row r="258" spans="1:36" x14ac:dyDescent="0.25">
      <c r="A258" t="s">
        <v>617</v>
      </c>
      <c r="C258" t="s">
        <v>893</v>
      </c>
    </row>
    <row r="259" spans="1:36" x14ac:dyDescent="0.25">
      <c r="A259" t="s">
        <v>618</v>
      </c>
      <c r="B259" t="s">
        <v>639</v>
      </c>
      <c r="C259" t="s">
        <v>894</v>
      </c>
      <c r="D259" t="s">
        <v>683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0">
        <v>-0.01</v>
      </c>
    </row>
    <row r="260" spans="1:36" x14ac:dyDescent="0.25">
      <c r="A260" t="s">
        <v>620</v>
      </c>
      <c r="B260" t="s">
        <v>640</v>
      </c>
      <c r="C260" t="s">
        <v>895</v>
      </c>
      <c r="D260" t="s">
        <v>683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0">
        <v>5.0000000000000001E-3</v>
      </c>
    </row>
    <row r="261" spans="1:36" x14ac:dyDescent="0.25">
      <c r="A261" t="s">
        <v>622</v>
      </c>
      <c r="B261" t="s">
        <v>641</v>
      </c>
      <c r="C261" t="s">
        <v>896</v>
      </c>
      <c r="D261" t="s">
        <v>683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624</v>
      </c>
      <c r="B262" t="s">
        <v>642</v>
      </c>
      <c r="C262" t="s">
        <v>897</v>
      </c>
      <c r="D262" t="s">
        <v>683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0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124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120</v>
      </c>
      <c r="H1" s="4" t="s">
        <v>121</v>
      </c>
    </row>
    <row r="2" spans="1:10" x14ac:dyDescent="0.25">
      <c r="A2" s="1" t="s">
        <v>12</v>
      </c>
      <c r="B2" s="5">
        <v>878899.00000000012</v>
      </c>
      <c r="C2" s="5">
        <v>97967</v>
      </c>
      <c r="D2" s="5">
        <v>254657419</v>
      </c>
      <c r="E2" s="5">
        <v>1084721</v>
      </c>
      <c r="F2" s="5">
        <v>608975</v>
      </c>
      <c r="G2" s="5">
        <v>82014.999999999985</v>
      </c>
      <c r="H2" s="5">
        <v>7638</v>
      </c>
      <c r="J2" s="5"/>
    </row>
    <row r="3" spans="1:10" x14ac:dyDescent="0.25">
      <c r="A3" s="1" t="s">
        <v>13</v>
      </c>
      <c r="B3" s="5">
        <v>300</v>
      </c>
      <c r="C3" s="5">
        <v>142618.8307345309</v>
      </c>
      <c r="D3" s="5">
        <v>100403.17008274974</v>
      </c>
      <c r="E3" s="5">
        <v>760039.90490723506</v>
      </c>
      <c r="F3" s="5">
        <v>0</v>
      </c>
      <c r="G3" s="5">
        <v>7242.0778798241154</v>
      </c>
      <c r="H3" s="5">
        <v>85.609939732677148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5561.7944340000004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2563.6060360683009</v>
      </c>
      <c r="C5" s="5">
        <v>0</v>
      </c>
      <c r="D5" s="5">
        <v>0</v>
      </c>
      <c r="E5" s="5">
        <v>173.39396393169866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10280629.278619969</v>
      </c>
      <c r="E6" s="5">
        <v>2424370.5267950557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/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5703125" bestFit="1" customWidth="1"/>
  </cols>
  <sheetData>
    <row r="1" spans="1:10" ht="30" x14ac:dyDescent="0.25">
      <c r="A1" s="25" t="s">
        <v>124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120</v>
      </c>
      <c r="H1" s="4" t="s">
        <v>121</v>
      </c>
    </row>
    <row r="2" spans="1:10" x14ac:dyDescent="0.25">
      <c r="A2" s="1" t="s">
        <v>12</v>
      </c>
      <c r="B2" s="5">
        <v>1500.7950000000001</v>
      </c>
      <c r="C2" s="5">
        <v>15152.819</v>
      </c>
      <c r="D2" s="5">
        <v>12396598.304</v>
      </c>
      <c r="E2" s="5">
        <v>10118227.405999999</v>
      </c>
      <c r="F2" s="5">
        <v>2848.8989999999999</v>
      </c>
      <c r="G2" s="5">
        <v>5509.268</v>
      </c>
      <c r="H2" s="5">
        <v>286</v>
      </c>
      <c r="I2" s="24"/>
      <c r="J2" s="5"/>
    </row>
    <row r="3" spans="1:10" x14ac:dyDescent="0.25">
      <c r="A3" s="1" t="s">
        <v>13</v>
      </c>
      <c r="B3" s="5">
        <v>113</v>
      </c>
      <c r="C3" s="5">
        <v>44406</v>
      </c>
      <c r="D3" s="5">
        <v>47628</v>
      </c>
      <c r="E3" s="5">
        <v>4927361</v>
      </c>
      <c r="F3" s="5">
        <v>501.00000000000006</v>
      </c>
      <c r="G3" s="5">
        <v>3747</v>
      </c>
      <c r="H3" s="5">
        <v>297</v>
      </c>
      <c r="J3" s="5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1152.675293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0</v>
      </c>
      <c r="C5" s="5">
        <v>0</v>
      </c>
      <c r="D5" s="5">
        <v>0</v>
      </c>
      <c r="E5" s="5">
        <v>24937.136094674559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0</v>
      </c>
      <c r="E6" s="5">
        <v>10524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49"/>
  <sheetViews>
    <sheetView topLeftCell="A93" zoomScale="85" zoomScaleNormal="85" workbookViewId="0">
      <selection activeCell="A137" sqref="A137:AE144"/>
    </sheetView>
  </sheetViews>
  <sheetFormatPr defaultColWidth="9.140625" defaultRowHeight="15" x14ac:dyDescent="0.25"/>
  <cols>
    <col min="1" max="1" width="58.28515625" customWidth="1"/>
    <col min="6" max="6" width="13" customWidth="1"/>
    <col min="7" max="7" width="14.28515625" customWidth="1"/>
  </cols>
  <sheetData>
    <row r="1" spans="1:14" x14ac:dyDescent="0.25">
      <c r="A1" s="1" t="s">
        <v>63</v>
      </c>
    </row>
    <row r="2" spans="1:14" x14ac:dyDescent="0.25">
      <c r="A2" s="15">
        <v>5</v>
      </c>
    </row>
    <row r="4" spans="1:14" x14ac:dyDescent="0.25">
      <c r="A4" t="s">
        <v>58</v>
      </c>
    </row>
    <row r="5" spans="1:14" x14ac:dyDescent="0.25">
      <c r="A5" t="s">
        <v>59</v>
      </c>
    </row>
    <row r="6" spans="1:14" x14ac:dyDescent="0.25">
      <c r="A6" t="s">
        <v>60</v>
      </c>
    </row>
    <row r="7" spans="1:14" x14ac:dyDescent="0.25">
      <c r="A7" t="s">
        <v>61</v>
      </c>
    </row>
    <row r="8" spans="1:14" x14ac:dyDescent="0.25">
      <c r="A8" t="s">
        <v>62</v>
      </c>
    </row>
    <row r="10" spans="1:14" x14ac:dyDescent="0.25">
      <c r="A10" s="1" t="s">
        <v>122</v>
      </c>
    </row>
    <row r="11" spans="1:14" x14ac:dyDescent="0.25">
      <c r="A11" s="15">
        <v>4</v>
      </c>
    </row>
    <row r="13" spans="1:14" x14ac:dyDescent="0.25">
      <c r="A13" t="s">
        <v>83</v>
      </c>
    </row>
    <row r="14" spans="1:14" x14ac:dyDescent="0.25">
      <c r="A14" t="s">
        <v>84</v>
      </c>
    </row>
    <row r="15" spans="1:14" x14ac:dyDescent="0.25">
      <c r="A15" t="s">
        <v>60</v>
      </c>
      <c r="N15" s="33"/>
    </row>
    <row r="16" spans="1:14" x14ac:dyDescent="0.25">
      <c r="A16" t="s">
        <v>85</v>
      </c>
      <c r="N16" s="35"/>
    </row>
    <row r="17" spans="1:17" x14ac:dyDescent="0.25">
      <c r="A17" t="s">
        <v>86</v>
      </c>
      <c r="N17" s="34"/>
      <c r="O17" s="36"/>
      <c r="P17" s="36"/>
      <c r="Q17" s="36"/>
    </row>
    <row r="18" spans="1:17" x14ac:dyDescent="0.25">
      <c r="N18" s="36"/>
      <c r="O18" s="37"/>
      <c r="P18" s="37"/>
      <c r="Q18" s="37"/>
    </row>
    <row r="19" spans="1:17" x14ac:dyDescent="0.25">
      <c r="A19" t="s">
        <v>87</v>
      </c>
      <c r="N19" s="36"/>
      <c r="O19" s="37"/>
      <c r="P19" s="37"/>
      <c r="Q19" s="37"/>
    </row>
    <row r="20" spans="1:17" x14ac:dyDescent="0.25">
      <c r="A20" t="s">
        <v>88</v>
      </c>
      <c r="N20" s="36"/>
      <c r="O20" s="37"/>
      <c r="P20" s="37"/>
      <c r="Q20" s="37"/>
    </row>
    <row r="21" spans="1:17" x14ac:dyDescent="0.25">
      <c r="A21" t="s">
        <v>89</v>
      </c>
      <c r="N21" s="36"/>
      <c r="O21" s="37"/>
      <c r="P21" s="37"/>
      <c r="Q21" s="37"/>
    </row>
    <row r="22" spans="1:17" x14ac:dyDescent="0.25">
      <c r="A22" t="s">
        <v>90</v>
      </c>
      <c r="N22" s="36"/>
      <c r="O22" s="37"/>
      <c r="P22" s="37"/>
      <c r="Q22" s="37"/>
    </row>
    <row r="23" spans="1:17" x14ac:dyDescent="0.25">
      <c r="A23" t="s">
        <v>91</v>
      </c>
      <c r="N23" s="36"/>
      <c r="O23" s="37"/>
      <c r="P23" s="37"/>
      <c r="Q23" s="37"/>
    </row>
    <row r="24" spans="1:17" x14ac:dyDescent="0.25">
      <c r="A24" t="s">
        <v>92</v>
      </c>
      <c r="N24" s="36"/>
      <c r="O24" s="37"/>
      <c r="P24" s="37"/>
      <c r="Q24" s="37"/>
    </row>
    <row r="25" spans="1:17" x14ac:dyDescent="0.25">
      <c r="A25" t="s">
        <v>93</v>
      </c>
      <c r="N25" s="36"/>
      <c r="O25" s="38"/>
      <c r="P25" s="37"/>
      <c r="Q25" s="37"/>
    </row>
    <row r="26" spans="1:17" x14ac:dyDescent="0.25">
      <c r="N26" s="36"/>
      <c r="O26" s="38"/>
      <c r="P26" s="37"/>
      <c r="Q26" s="37"/>
    </row>
    <row r="27" spans="1:17" x14ac:dyDescent="0.25">
      <c r="A27" s="1" t="s">
        <v>919</v>
      </c>
      <c r="N27" s="36"/>
      <c r="O27" s="38"/>
      <c r="P27" s="37"/>
      <c r="Q27" s="37"/>
    </row>
    <row r="28" spans="1:17" x14ac:dyDescent="0.25">
      <c r="N28" s="36"/>
      <c r="O28" s="38"/>
      <c r="P28" s="37"/>
      <c r="Q28" s="37"/>
    </row>
    <row r="29" spans="1:17" x14ac:dyDescent="0.25">
      <c r="A29" t="s">
        <v>933</v>
      </c>
      <c r="N29" s="36"/>
      <c r="O29" s="38"/>
      <c r="P29" s="37"/>
      <c r="Q29" s="37"/>
    </row>
    <row r="30" spans="1:17" x14ac:dyDescent="0.25">
      <c r="N30" s="36"/>
      <c r="O30" s="38"/>
      <c r="P30" s="37"/>
      <c r="Q30" s="37"/>
    </row>
    <row r="31" spans="1:17" x14ac:dyDescent="0.25">
      <c r="A31" s="28" t="s">
        <v>963</v>
      </c>
      <c r="N31" s="36"/>
      <c r="O31" s="38"/>
      <c r="P31" s="37"/>
      <c r="Q31" s="37"/>
    </row>
    <row r="32" spans="1:17" x14ac:dyDescent="0.25">
      <c r="A32" s="28"/>
      <c r="B32" t="s">
        <v>934</v>
      </c>
      <c r="C32" t="s">
        <v>935</v>
      </c>
      <c r="D32" t="s">
        <v>936</v>
      </c>
      <c r="E32" t="s">
        <v>937</v>
      </c>
      <c r="N32" s="36"/>
      <c r="O32" s="38"/>
      <c r="P32" s="37"/>
      <c r="Q32" s="37"/>
    </row>
    <row r="33" spans="1:30" x14ac:dyDescent="0.25">
      <c r="A33" s="42">
        <v>44947</v>
      </c>
      <c r="B33" s="11">
        <v>25103</v>
      </c>
      <c r="C33" s="11">
        <v>7463</v>
      </c>
      <c r="D33" s="11">
        <v>46843</v>
      </c>
      <c r="E33" s="11">
        <v>1106286</v>
      </c>
      <c r="N33" s="36"/>
      <c r="O33" s="38"/>
      <c r="P33" s="37"/>
      <c r="Q33" s="37"/>
    </row>
    <row r="34" spans="1:30" x14ac:dyDescent="0.25">
      <c r="A34" s="42">
        <v>44978</v>
      </c>
      <c r="B34" s="11">
        <v>26215</v>
      </c>
      <c r="C34" s="11">
        <v>9046</v>
      </c>
      <c r="D34" s="11">
        <v>54045</v>
      </c>
      <c r="E34" s="11">
        <v>1193776</v>
      </c>
      <c r="N34" s="36"/>
      <c r="O34" s="38"/>
      <c r="P34" s="37"/>
      <c r="Q34" s="37"/>
    </row>
    <row r="35" spans="1:30" x14ac:dyDescent="0.25">
      <c r="A35" s="42">
        <v>45006</v>
      </c>
      <c r="B35" s="11">
        <v>40755</v>
      </c>
      <c r="C35" s="11">
        <v>12261</v>
      </c>
      <c r="D35" s="11">
        <v>78123</v>
      </c>
      <c r="E35" s="11">
        <v>1597152</v>
      </c>
      <c r="N35" s="36"/>
      <c r="O35" s="38"/>
      <c r="P35" s="37"/>
      <c r="Q35" s="37"/>
    </row>
    <row r="36" spans="1:30" x14ac:dyDescent="0.25">
      <c r="A36" s="42">
        <v>45037</v>
      </c>
      <c r="B36" s="11">
        <v>33547</v>
      </c>
      <c r="C36" s="11">
        <v>18604</v>
      </c>
      <c r="D36" s="11">
        <v>76397</v>
      </c>
      <c r="E36" s="11">
        <v>1518415</v>
      </c>
      <c r="N36" s="36"/>
      <c r="O36" s="38"/>
      <c r="P36" s="37"/>
      <c r="Q36" s="37"/>
    </row>
    <row r="37" spans="1:30" x14ac:dyDescent="0.25">
      <c r="A37" s="42">
        <v>45067</v>
      </c>
      <c r="B37" s="11">
        <v>29796</v>
      </c>
      <c r="C37" s="11">
        <v>20807</v>
      </c>
      <c r="D37" s="11">
        <v>82511</v>
      </c>
      <c r="E37" s="11">
        <v>1570313</v>
      </c>
      <c r="N37" s="36"/>
      <c r="O37" s="38"/>
      <c r="P37" s="37"/>
      <c r="Q37" s="37"/>
    </row>
    <row r="38" spans="1:30" x14ac:dyDescent="0.25">
      <c r="A38" s="42">
        <v>45098</v>
      </c>
      <c r="B38" s="11">
        <v>45913</v>
      </c>
      <c r="C38" s="11">
        <v>16648</v>
      </c>
      <c r="D38" s="11">
        <v>65960</v>
      </c>
      <c r="E38" s="11">
        <v>1302213</v>
      </c>
      <c r="N38" s="36"/>
      <c r="O38" s="38"/>
      <c r="P38" s="37"/>
      <c r="Q38" s="37"/>
    </row>
    <row r="39" spans="1:30" x14ac:dyDescent="0.25">
      <c r="A39" s="42">
        <v>45128</v>
      </c>
      <c r="B39" s="11">
        <v>42013</v>
      </c>
      <c r="C39" s="11">
        <v>15669</v>
      </c>
      <c r="D39" s="11">
        <v>74298</v>
      </c>
      <c r="E39" s="11">
        <v>1280803</v>
      </c>
      <c r="O39" s="38"/>
      <c r="P39" s="37"/>
      <c r="Q39" s="37"/>
      <c r="R39" s="11"/>
      <c r="S39" s="11"/>
      <c r="T39" s="11"/>
      <c r="U39" s="42"/>
      <c r="V39" s="11"/>
      <c r="W39" s="11"/>
      <c r="X39" s="11"/>
      <c r="Y39" s="11"/>
      <c r="Z39" s="42"/>
      <c r="AA39" s="11"/>
      <c r="AB39" s="11"/>
      <c r="AC39" s="11"/>
      <c r="AD39" s="11"/>
    </row>
    <row r="40" spans="1:30" x14ac:dyDescent="0.25">
      <c r="A40" s="42">
        <v>45159</v>
      </c>
      <c r="B40" s="11">
        <v>35499</v>
      </c>
      <c r="C40" s="11">
        <v>14067</v>
      </c>
      <c r="D40" s="11">
        <v>67976</v>
      </c>
      <c r="E40" s="11">
        <v>1092661</v>
      </c>
      <c r="N40" s="36"/>
      <c r="O40" s="38"/>
      <c r="P40" s="37"/>
      <c r="Q40" s="37"/>
    </row>
    <row r="41" spans="1:30" x14ac:dyDescent="0.25">
      <c r="A41" s="42">
        <v>45190</v>
      </c>
      <c r="B41" s="11">
        <v>42020</v>
      </c>
      <c r="C41" s="11">
        <v>12554</v>
      </c>
      <c r="D41" s="43">
        <v>60102</v>
      </c>
      <c r="E41" s="11">
        <v>1015935</v>
      </c>
      <c r="N41" s="36"/>
      <c r="O41" s="38"/>
      <c r="P41" s="37"/>
      <c r="Q41" s="37"/>
    </row>
    <row r="42" spans="1:30" x14ac:dyDescent="0.25">
      <c r="A42" s="42">
        <v>45220</v>
      </c>
      <c r="B42" s="11">
        <v>42485</v>
      </c>
      <c r="C42" s="11">
        <v>18275</v>
      </c>
      <c r="D42" s="11">
        <v>63482</v>
      </c>
      <c r="E42" s="11">
        <v>1051015</v>
      </c>
      <c r="N42" s="36"/>
      <c r="O42" s="38"/>
      <c r="P42" s="37"/>
      <c r="Q42" s="37"/>
    </row>
    <row r="43" spans="1:30" x14ac:dyDescent="0.25">
      <c r="A43" s="42">
        <v>45251</v>
      </c>
      <c r="B43" s="11">
        <v>46687</v>
      </c>
      <c r="C43" s="11">
        <v>14170</v>
      </c>
      <c r="D43" s="11">
        <v>59326</v>
      </c>
      <c r="E43" s="11">
        <v>1014411</v>
      </c>
      <c r="N43" s="36"/>
      <c r="O43" s="38"/>
      <c r="P43" s="37"/>
      <c r="Q43" s="37"/>
    </row>
    <row r="44" spans="1:30" x14ac:dyDescent="0.25">
      <c r="A44" s="42">
        <v>45281</v>
      </c>
      <c r="B44" s="11">
        <v>49441</v>
      </c>
      <c r="C44" s="11">
        <v>16553</v>
      </c>
      <c r="D44" s="11">
        <v>69983</v>
      </c>
      <c r="E44" s="11">
        <v>1203993</v>
      </c>
      <c r="N44" s="36"/>
      <c r="O44" s="38"/>
      <c r="P44" s="37"/>
      <c r="Q44" s="37"/>
    </row>
    <row r="45" spans="1:30" x14ac:dyDescent="0.25">
      <c r="A45" s="42">
        <v>44948</v>
      </c>
      <c r="B45" s="11">
        <v>42780</v>
      </c>
      <c r="C45" s="11">
        <v>11983</v>
      </c>
      <c r="D45" s="11">
        <v>63093</v>
      </c>
      <c r="E45" s="11">
        <v>991573</v>
      </c>
      <c r="N45" s="36"/>
      <c r="O45" s="38"/>
      <c r="P45" s="37"/>
      <c r="Q45" s="37"/>
    </row>
    <row r="46" spans="1:30" x14ac:dyDescent="0.25">
      <c r="A46" s="42">
        <v>44979</v>
      </c>
      <c r="B46" s="11">
        <v>46859</v>
      </c>
      <c r="C46" s="11">
        <v>12563</v>
      </c>
      <c r="D46" s="11">
        <v>58175</v>
      </c>
      <c r="E46" s="11">
        <v>1045624</v>
      </c>
      <c r="N46" s="36"/>
      <c r="O46" s="38"/>
      <c r="P46" s="37"/>
      <c r="Q46" s="37"/>
    </row>
    <row r="47" spans="1:30" x14ac:dyDescent="0.25">
      <c r="A47" s="42">
        <v>45007</v>
      </c>
      <c r="B47" s="11">
        <v>64160</v>
      </c>
      <c r="C47" s="11">
        <v>16200</v>
      </c>
      <c r="D47" s="11">
        <v>76683</v>
      </c>
      <c r="E47" s="11">
        <v>1257821</v>
      </c>
      <c r="N47" s="36"/>
      <c r="O47" s="38"/>
      <c r="P47" s="37"/>
      <c r="Q47" s="37"/>
    </row>
    <row r="48" spans="1:30" x14ac:dyDescent="0.25">
      <c r="A48" s="42">
        <v>45038</v>
      </c>
      <c r="B48" s="11">
        <v>52537</v>
      </c>
      <c r="C48" s="11">
        <v>17875</v>
      </c>
      <c r="D48" s="11">
        <v>71849</v>
      </c>
      <c r="E48" s="11">
        <v>1236432</v>
      </c>
      <c r="N48" s="36"/>
      <c r="O48" s="38"/>
      <c r="P48" s="37"/>
      <c r="Q48" s="37"/>
    </row>
    <row r="49" spans="1:17" x14ac:dyDescent="0.25">
      <c r="A49" s="42">
        <v>45068</v>
      </c>
      <c r="B49" s="11">
        <v>52502</v>
      </c>
      <c r="C49" s="11">
        <v>15263</v>
      </c>
      <c r="D49" s="11">
        <v>68737</v>
      </c>
      <c r="E49" s="11">
        <v>1108063</v>
      </c>
      <c r="N49" s="36"/>
      <c r="O49" s="38"/>
      <c r="P49" s="37"/>
      <c r="Q49" s="37"/>
    </row>
    <row r="50" spans="1:17" x14ac:dyDescent="0.25">
      <c r="A50" s="42">
        <v>45099</v>
      </c>
      <c r="B50" s="11">
        <v>74262</v>
      </c>
      <c r="C50" s="11">
        <v>14838</v>
      </c>
      <c r="D50" s="11">
        <v>61039</v>
      </c>
      <c r="E50" s="11">
        <v>1143820</v>
      </c>
      <c r="N50" s="36"/>
      <c r="O50" s="38"/>
      <c r="P50" s="37"/>
      <c r="Q50" s="37"/>
    </row>
    <row r="51" spans="1:17" x14ac:dyDescent="0.25">
      <c r="A51" s="42">
        <v>45129</v>
      </c>
      <c r="B51" s="11">
        <v>64310</v>
      </c>
      <c r="C51" s="11">
        <v>13932</v>
      </c>
      <c r="D51" s="11">
        <v>59229</v>
      </c>
      <c r="E51" s="11">
        <v>1126523</v>
      </c>
      <c r="N51" s="36"/>
      <c r="O51" s="38"/>
      <c r="P51" s="37"/>
      <c r="Q51" s="37"/>
    </row>
    <row r="52" spans="1:17" x14ac:dyDescent="0.25">
      <c r="A52" s="42">
        <v>45160</v>
      </c>
      <c r="B52" s="11">
        <v>59836</v>
      </c>
      <c r="C52" s="11">
        <v>13797</v>
      </c>
      <c r="D52" s="11">
        <v>58869</v>
      </c>
      <c r="E52" s="11">
        <v>1134265</v>
      </c>
      <c r="N52" s="36"/>
      <c r="O52" s="38"/>
      <c r="P52" s="37"/>
      <c r="Q52" s="37"/>
    </row>
    <row r="53" spans="1:17" x14ac:dyDescent="0.25">
      <c r="A53" s="42">
        <v>45191</v>
      </c>
      <c r="B53" s="11">
        <v>70056</v>
      </c>
      <c r="C53" s="11">
        <v>13562</v>
      </c>
      <c r="D53" s="11">
        <v>55891</v>
      </c>
      <c r="E53" s="11">
        <v>1124206</v>
      </c>
      <c r="N53" s="36"/>
      <c r="O53" s="38"/>
      <c r="P53" s="37"/>
      <c r="Q53" s="37"/>
    </row>
    <row r="54" spans="1:17" x14ac:dyDescent="0.25">
      <c r="A54" s="42">
        <v>45221</v>
      </c>
      <c r="B54" s="11">
        <v>69705</v>
      </c>
      <c r="C54" s="11">
        <v>17397</v>
      </c>
      <c r="D54" s="11">
        <v>66419</v>
      </c>
      <c r="E54" s="11">
        <v>1176991</v>
      </c>
      <c r="N54" s="36"/>
      <c r="O54" s="38"/>
      <c r="P54" s="37"/>
      <c r="Q54" s="37"/>
    </row>
    <row r="55" spans="1:17" x14ac:dyDescent="0.25">
      <c r="A55" s="42">
        <v>45252</v>
      </c>
      <c r="B55" s="11">
        <v>69924</v>
      </c>
      <c r="C55" s="11">
        <v>16144</v>
      </c>
      <c r="D55" s="11">
        <v>57086</v>
      </c>
      <c r="E55" s="11">
        <v>1135484</v>
      </c>
      <c r="N55" s="36"/>
      <c r="O55" s="38"/>
      <c r="P55" s="37"/>
      <c r="Q55" s="37"/>
    </row>
    <row r="56" spans="1:17" x14ac:dyDescent="0.25">
      <c r="A56" s="42">
        <v>45282</v>
      </c>
      <c r="B56" s="11">
        <v>79262</v>
      </c>
      <c r="C56" s="11">
        <v>19719</v>
      </c>
      <c r="D56" s="11">
        <v>69099</v>
      </c>
      <c r="E56" s="11">
        <v>1268897</v>
      </c>
      <c r="N56" s="36"/>
      <c r="O56" s="38"/>
      <c r="P56" s="37"/>
      <c r="Q56" s="37"/>
    </row>
    <row r="57" spans="1:17" x14ac:dyDescent="0.25">
      <c r="A57" s="42">
        <v>45314</v>
      </c>
      <c r="B57" s="11">
        <v>72944</v>
      </c>
      <c r="C57" s="11">
        <v>15593</v>
      </c>
      <c r="D57" s="11">
        <v>60069</v>
      </c>
      <c r="E57" s="11">
        <v>1046919</v>
      </c>
      <c r="N57" s="36"/>
      <c r="O57" s="38"/>
      <c r="P57" s="37"/>
      <c r="Q57" s="37"/>
    </row>
    <row r="58" spans="1:17" x14ac:dyDescent="0.25">
      <c r="A58" s="42">
        <v>45345</v>
      </c>
      <c r="B58" s="11">
        <v>81158</v>
      </c>
      <c r="C58" s="11">
        <v>17789</v>
      </c>
      <c r="D58" s="11">
        <v>66320</v>
      </c>
      <c r="E58" s="11">
        <v>1138756</v>
      </c>
      <c r="N58" s="36"/>
      <c r="O58" s="38"/>
      <c r="P58" s="37"/>
      <c r="Q58" s="37"/>
    </row>
    <row r="59" spans="1:17" x14ac:dyDescent="0.25">
      <c r="A59" s="42">
        <v>45374</v>
      </c>
      <c r="B59" s="11">
        <v>92077</v>
      </c>
      <c r="C59" s="11">
        <v>21397</v>
      </c>
      <c r="D59" s="11">
        <v>94289</v>
      </c>
      <c r="E59" s="11">
        <v>1374992</v>
      </c>
      <c r="N59" s="36"/>
      <c r="O59" s="38"/>
      <c r="P59" s="37"/>
      <c r="Q59" s="37"/>
    </row>
    <row r="60" spans="1:17" x14ac:dyDescent="0.25">
      <c r="A60" s="42">
        <v>45405</v>
      </c>
      <c r="B60" s="11">
        <v>92880</v>
      </c>
      <c r="C60" s="11">
        <v>24165</v>
      </c>
      <c r="D60" s="11">
        <v>100528</v>
      </c>
      <c r="E60" s="11">
        <v>1357844</v>
      </c>
      <c r="N60" s="36"/>
      <c r="O60" s="38"/>
      <c r="P60" s="37"/>
      <c r="Q60" s="37"/>
    </row>
    <row r="61" spans="1:17" x14ac:dyDescent="0.25">
      <c r="A61" s="42">
        <v>45435</v>
      </c>
      <c r="B61" s="11">
        <v>95898</v>
      </c>
      <c r="C61" s="11">
        <v>25125</v>
      </c>
      <c r="D61" s="11">
        <v>103832</v>
      </c>
      <c r="E61" s="11">
        <v>1363818</v>
      </c>
      <c r="N61" s="36"/>
      <c r="O61" s="38"/>
      <c r="P61" s="37"/>
      <c r="Q61" s="37"/>
    </row>
    <row r="62" spans="1:17" x14ac:dyDescent="0.25">
      <c r="A62" s="42">
        <v>45466</v>
      </c>
      <c r="B62" s="11">
        <v>102525</v>
      </c>
      <c r="C62" s="11">
        <v>22560</v>
      </c>
      <c r="D62" s="11">
        <v>100762</v>
      </c>
      <c r="E62" s="11">
        <v>1368713</v>
      </c>
      <c r="N62" s="36"/>
      <c r="O62" s="38"/>
      <c r="P62" s="37"/>
      <c r="Q62" s="37"/>
    </row>
    <row r="63" spans="1:17" x14ac:dyDescent="0.25">
      <c r="A63" s="42">
        <v>45496</v>
      </c>
      <c r="B63" s="11">
        <v>101234</v>
      </c>
      <c r="C63" s="11">
        <v>23194</v>
      </c>
      <c r="D63" s="11">
        <v>103757</v>
      </c>
      <c r="E63" s="11">
        <v>1299271</v>
      </c>
      <c r="N63" s="36"/>
      <c r="O63" s="38"/>
      <c r="P63" s="37"/>
      <c r="Q63" s="37"/>
    </row>
    <row r="64" spans="1:17" x14ac:dyDescent="0.25">
      <c r="A64" s="42">
        <v>45527</v>
      </c>
      <c r="B64" s="11">
        <v>92277</v>
      </c>
      <c r="C64" s="11">
        <v>28148</v>
      </c>
      <c r="D64" s="11">
        <v>107325</v>
      </c>
      <c r="E64" s="11">
        <v>1316366</v>
      </c>
      <c r="N64" s="36"/>
      <c r="O64" s="38"/>
      <c r="P64" s="37"/>
      <c r="Q64" s="37"/>
    </row>
    <row r="65" spans="1:31" x14ac:dyDescent="0.25">
      <c r="A65" s="42">
        <v>45558</v>
      </c>
      <c r="B65" s="11">
        <v>101719</v>
      </c>
      <c r="C65" s="11">
        <v>29632</v>
      </c>
      <c r="D65" s="11">
        <v>109269</v>
      </c>
      <c r="E65" s="11">
        <v>1331167</v>
      </c>
      <c r="N65" s="36"/>
      <c r="O65" s="38"/>
      <c r="P65" s="37"/>
      <c r="Q65" s="37"/>
    </row>
    <row r="66" spans="1:31" x14ac:dyDescent="0.25">
      <c r="A66" s="42">
        <v>45588</v>
      </c>
      <c r="B66" s="11">
        <v>90509</v>
      </c>
      <c r="C66" s="11">
        <v>22037</v>
      </c>
      <c r="D66" s="11">
        <v>103799</v>
      </c>
      <c r="E66" s="11">
        <v>1193974</v>
      </c>
      <c r="N66" s="36"/>
      <c r="O66" s="38"/>
      <c r="P66" s="37"/>
      <c r="Q66" s="37"/>
    </row>
    <row r="67" spans="1:31" x14ac:dyDescent="0.25">
      <c r="A67" s="42">
        <v>45619</v>
      </c>
      <c r="B67" s="11">
        <v>102323</v>
      </c>
      <c r="C67" s="11">
        <v>24530</v>
      </c>
      <c r="D67" s="11">
        <v>108549</v>
      </c>
      <c r="E67" s="11">
        <v>1235583</v>
      </c>
      <c r="N67" s="36"/>
      <c r="O67" s="38"/>
      <c r="P67" s="37"/>
      <c r="Q67" s="37"/>
    </row>
    <row r="68" spans="1:31" x14ac:dyDescent="0.25">
      <c r="A68" s="42">
        <v>45649</v>
      </c>
      <c r="B68" s="11">
        <v>121647</v>
      </c>
      <c r="C68" s="11">
        <v>41121</v>
      </c>
      <c r="D68" s="11">
        <v>117098</v>
      </c>
      <c r="E68" s="11">
        <v>1458853</v>
      </c>
      <c r="N68" s="36"/>
      <c r="O68" s="38"/>
      <c r="P68" s="37"/>
      <c r="Q68" s="37"/>
    </row>
    <row r="69" spans="1:31" x14ac:dyDescent="0.25">
      <c r="N69" s="36"/>
      <c r="O69" s="38"/>
      <c r="P69" s="37"/>
      <c r="Q69" s="37"/>
    </row>
    <row r="70" spans="1:31" x14ac:dyDescent="0.25">
      <c r="A70" t="s">
        <v>938</v>
      </c>
      <c r="B70" s="44">
        <f>SUM(B33:B44)/SUM($E33:$E44)</f>
        <v>3.0740270956534144E-2</v>
      </c>
      <c r="C70" s="44">
        <f>SUM(C33:C44)/SUM($E33:$E44)</f>
        <v>1.1782787056616747E-2</v>
      </c>
      <c r="N70" s="36"/>
      <c r="O70" s="38"/>
      <c r="P70" s="37"/>
      <c r="Q70" s="37"/>
    </row>
    <row r="71" spans="1:31" x14ac:dyDescent="0.25">
      <c r="A71" t="s">
        <v>939</v>
      </c>
      <c r="B71" s="44">
        <f>SUM(B45:B56)/SUM($E45:$E56)</f>
        <v>5.4269769832779612E-2</v>
      </c>
      <c r="C71" s="44">
        <f>SUM(C45:C56)/SUM($E45:$E56)</f>
        <v>1.3329237243666206E-2</v>
      </c>
      <c r="N71" s="36"/>
      <c r="O71" s="38"/>
      <c r="P71" s="37"/>
      <c r="Q71" s="37"/>
    </row>
    <row r="72" spans="1:31" x14ac:dyDescent="0.25">
      <c r="A72" t="s">
        <v>964</v>
      </c>
      <c r="B72" s="44">
        <f>SUM(B57:B68)/SUM($E$57:$E$68)</f>
        <v>7.4078008267459874E-2</v>
      </c>
      <c r="C72" s="44">
        <f>SUM(C57:C68)/SUM($E$57:$E$68)</f>
        <v>1.9067939984977647E-2</v>
      </c>
      <c r="N72" s="36"/>
      <c r="O72" s="38"/>
      <c r="P72" s="37"/>
      <c r="Q72" s="37"/>
    </row>
    <row r="74" spans="1:31" x14ac:dyDescent="0.25">
      <c r="A74" t="s">
        <v>965</v>
      </c>
      <c r="B74">
        <v>2021</v>
      </c>
      <c r="C74">
        <v>2022</v>
      </c>
      <c r="D74">
        <v>2023</v>
      </c>
      <c r="E74">
        <v>2024</v>
      </c>
      <c r="F74">
        <v>2025</v>
      </c>
      <c r="G74">
        <v>2026</v>
      </c>
      <c r="H74">
        <v>2027</v>
      </c>
      <c r="I74">
        <v>2028</v>
      </c>
      <c r="J74">
        <v>2029</v>
      </c>
      <c r="K74">
        <v>2030</v>
      </c>
      <c r="L74">
        <v>2031</v>
      </c>
      <c r="M74">
        <v>2032</v>
      </c>
      <c r="N74">
        <v>2033</v>
      </c>
      <c r="O74">
        <v>2034</v>
      </c>
      <c r="P74">
        <v>2035</v>
      </c>
      <c r="Q74">
        <v>2036</v>
      </c>
      <c r="R74">
        <v>2037</v>
      </c>
      <c r="S74">
        <v>2038</v>
      </c>
      <c r="T74">
        <v>2039</v>
      </c>
      <c r="U74">
        <v>2040</v>
      </c>
      <c r="V74">
        <v>2041</v>
      </c>
      <c r="W74">
        <v>2042</v>
      </c>
      <c r="X74">
        <v>2043</v>
      </c>
      <c r="Y74">
        <v>2044</v>
      </c>
      <c r="Z74">
        <v>2045</v>
      </c>
      <c r="AA74">
        <v>2046</v>
      </c>
      <c r="AB74">
        <v>2047</v>
      </c>
      <c r="AC74">
        <v>2048</v>
      </c>
      <c r="AD74">
        <v>2049</v>
      </c>
      <c r="AE74">
        <v>2050</v>
      </c>
    </row>
    <row r="75" spans="1:31" x14ac:dyDescent="0.25">
      <c r="A75" t="s">
        <v>966</v>
      </c>
      <c r="B75" s="39">
        <v>463311</v>
      </c>
      <c r="C75" s="39">
        <v>807492</v>
      </c>
      <c r="D75" s="39">
        <v>1167320</v>
      </c>
      <c r="E75" s="39">
        <v>1726420</v>
      </c>
      <c r="F75" s="39">
        <v>2209270</v>
      </c>
      <c r="G75" s="39">
        <v>3129840</v>
      </c>
      <c r="H75" s="39">
        <v>4152910</v>
      </c>
      <c r="I75" s="39">
        <v>4989540</v>
      </c>
      <c r="J75" s="39">
        <v>6162480</v>
      </c>
      <c r="K75" s="39">
        <v>7139260</v>
      </c>
      <c r="L75" s="39">
        <v>8082380</v>
      </c>
      <c r="M75" s="39">
        <v>8980930</v>
      </c>
      <c r="N75" s="39">
        <v>8965160</v>
      </c>
      <c r="O75" s="39">
        <v>9037440</v>
      </c>
      <c r="P75" s="39">
        <v>9277120</v>
      </c>
      <c r="Q75" s="39">
        <v>9595900</v>
      </c>
      <c r="R75" s="39">
        <v>9890790</v>
      </c>
      <c r="S75" s="39">
        <v>10156600</v>
      </c>
      <c r="T75" s="39">
        <v>10401700</v>
      </c>
      <c r="U75" s="39">
        <v>10625400</v>
      </c>
      <c r="V75" s="39">
        <v>10834400</v>
      </c>
      <c r="W75" s="39">
        <v>11027500</v>
      </c>
      <c r="X75" s="39">
        <v>11211000</v>
      </c>
      <c r="Y75" s="39">
        <v>11381800</v>
      </c>
      <c r="Z75" s="39">
        <v>11545500</v>
      </c>
      <c r="AA75" s="39">
        <v>11712200</v>
      </c>
      <c r="AB75" s="39">
        <v>11862700</v>
      </c>
      <c r="AC75" s="39">
        <v>12034800</v>
      </c>
      <c r="AD75" s="39">
        <v>12183100</v>
      </c>
      <c r="AE75" s="39">
        <v>12352000</v>
      </c>
    </row>
    <row r="76" spans="1:31" x14ac:dyDescent="0.25">
      <c r="A76" t="s">
        <v>967</v>
      </c>
      <c r="B76">
        <v>3516</v>
      </c>
      <c r="C76">
        <v>4470</v>
      </c>
      <c r="D76">
        <v>4062</v>
      </c>
      <c r="E76">
        <v>4176</v>
      </c>
      <c r="F76">
        <v>3870</v>
      </c>
      <c r="G76">
        <v>3540</v>
      </c>
      <c r="H76">
        <v>3210</v>
      </c>
      <c r="I76">
        <v>3030</v>
      </c>
      <c r="J76">
        <v>2694</v>
      </c>
      <c r="K76">
        <v>2463</v>
      </c>
      <c r="L76">
        <v>2178</v>
      </c>
      <c r="M76">
        <v>1887</v>
      </c>
      <c r="N76">
        <v>2028</v>
      </c>
      <c r="O76">
        <v>2190</v>
      </c>
      <c r="P76">
        <v>2286</v>
      </c>
      <c r="Q76">
        <v>2334</v>
      </c>
      <c r="R76">
        <v>2385</v>
      </c>
      <c r="S76">
        <v>2433</v>
      </c>
      <c r="T76">
        <v>2481</v>
      </c>
      <c r="U76">
        <v>2517</v>
      </c>
      <c r="V76">
        <v>2541</v>
      </c>
      <c r="W76">
        <v>2562</v>
      </c>
      <c r="X76">
        <v>2565</v>
      </c>
      <c r="Y76">
        <v>2571</v>
      </c>
      <c r="Z76">
        <v>2565</v>
      </c>
      <c r="AA76">
        <v>2544</v>
      </c>
      <c r="AB76">
        <v>2532</v>
      </c>
      <c r="AC76">
        <v>2502</v>
      </c>
      <c r="AD76">
        <v>2481</v>
      </c>
      <c r="AE76">
        <v>2451</v>
      </c>
    </row>
    <row r="77" spans="1:31" x14ac:dyDescent="0.25">
      <c r="A77" t="s">
        <v>968</v>
      </c>
      <c r="B77" s="39">
        <v>14511600</v>
      </c>
      <c r="C77" s="39">
        <v>14288700</v>
      </c>
      <c r="D77" s="39">
        <v>13843600</v>
      </c>
      <c r="E77" s="39">
        <v>13360600</v>
      </c>
      <c r="F77" s="39">
        <v>12864200</v>
      </c>
      <c r="G77" s="39">
        <v>11848800</v>
      </c>
      <c r="H77" s="39">
        <v>10599800</v>
      </c>
      <c r="I77" s="39">
        <v>9815180</v>
      </c>
      <c r="J77" s="39">
        <v>8425310</v>
      </c>
      <c r="K77" s="39">
        <v>7354610</v>
      </c>
      <c r="L77" s="39">
        <v>6162040</v>
      </c>
      <c r="M77" s="39">
        <v>5018510</v>
      </c>
      <c r="N77" s="39">
        <v>5040260</v>
      </c>
      <c r="O77" s="39">
        <v>5061460</v>
      </c>
      <c r="P77" s="39">
        <v>4899020</v>
      </c>
      <c r="Q77" s="39">
        <v>4652280</v>
      </c>
      <c r="R77" s="39">
        <v>4442140</v>
      </c>
      <c r="S77" s="39">
        <v>4275890</v>
      </c>
      <c r="T77" s="39">
        <v>4136900</v>
      </c>
      <c r="U77" s="39">
        <v>4029200</v>
      </c>
      <c r="V77" s="39">
        <v>3936020</v>
      </c>
      <c r="W77" s="39">
        <v>3860780</v>
      </c>
      <c r="X77" s="39">
        <v>3793520</v>
      </c>
      <c r="Y77" s="39">
        <v>3738370</v>
      </c>
      <c r="Z77" s="39">
        <v>3690880</v>
      </c>
      <c r="AA77" s="39">
        <v>3643840</v>
      </c>
      <c r="AB77" s="39">
        <v>3607970</v>
      </c>
      <c r="AC77" s="39">
        <v>3548650</v>
      </c>
      <c r="AD77" s="39">
        <v>3514410</v>
      </c>
      <c r="AE77" s="39">
        <v>3464980</v>
      </c>
    </row>
    <row r="78" spans="1:31" x14ac:dyDescent="0.25">
      <c r="A78" t="s">
        <v>969</v>
      </c>
      <c r="B78">
        <v>52776</v>
      </c>
      <c r="C78">
        <v>50499</v>
      </c>
      <c r="D78">
        <v>60435</v>
      </c>
      <c r="E78">
        <v>68004</v>
      </c>
      <c r="F78">
        <v>75276</v>
      </c>
      <c r="G78">
        <v>78180</v>
      </c>
      <c r="H78">
        <v>77799</v>
      </c>
      <c r="I78">
        <v>79809</v>
      </c>
      <c r="J78">
        <v>74904</v>
      </c>
      <c r="K78">
        <v>71088</v>
      </c>
      <c r="L78">
        <v>64242</v>
      </c>
      <c r="M78">
        <v>56232</v>
      </c>
      <c r="N78">
        <v>60468</v>
      </c>
      <c r="O78">
        <v>64773</v>
      </c>
      <c r="P78">
        <v>66630</v>
      </c>
      <c r="Q78">
        <v>67236</v>
      </c>
      <c r="R78">
        <v>67806</v>
      </c>
      <c r="S78">
        <v>68808</v>
      </c>
      <c r="T78">
        <v>70164</v>
      </c>
      <c r="U78">
        <v>71637</v>
      </c>
      <c r="V78">
        <v>73212</v>
      </c>
      <c r="W78">
        <v>75114</v>
      </c>
      <c r="X78">
        <v>76824</v>
      </c>
      <c r="Y78">
        <v>79089</v>
      </c>
      <c r="Z78">
        <v>81180</v>
      </c>
      <c r="AA78">
        <v>83421</v>
      </c>
      <c r="AB78">
        <v>85611</v>
      </c>
      <c r="AC78">
        <v>87495</v>
      </c>
      <c r="AD78">
        <v>89817</v>
      </c>
      <c r="AE78">
        <v>91863</v>
      </c>
    </row>
    <row r="79" spans="1:31" x14ac:dyDescent="0.25">
      <c r="A79" t="s">
        <v>970</v>
      </c>
      <c r="B79" s="39">
        <v>177957</v>
      </c>
      <c r="C79" s="39">
        <v>218646</v>
      </c>
      <c r="D79" s="39">
        <v>327606</v>
      </c>
      <c r="E79" s="39">
        <v>307017</v>
      </c>
      <c r="F79" s="39">
        <v>386229</v>
      </c>
      <c r="G79" s="39">
        <v>552588</v>
      </c>
      <c r="H79" s="39">
        <v>848292</v>
      </c>
      <c r="I79" s="39">
        <v>851853</v>
      </c>
      <c r="J79" s="39">
        <v>1131360</v>
      </c>
      <c r="K79" s="39">
        <v>1278360</v>
      </c>
      <c r="L79" s="39">
        <v>1574540</v>
      </c>
      <c r="M79" s="39">
        <v>1863670</v>
      </c>
      <c r="N79" s="39">
        <v>1881280</v>
      </c>
      <c r="O79" s="39">
        <v>1809630</v>
      </c>
      <c r="P79" s="39">
        <v>1760230</v>
      </c>
      <c r="Q79" s="39">
        <v>1728870</v>
      </c>
      <c r="R79" s="39">
        <v>1692780</v>
      </c>
      <c r="S79" s="39">
        <v>1653940</v>
      </c>
      <c r="T79" s="39">
        <v>1616960</v>
      </c>
      <c r="U79" s="39">
        <v>1582600</v>
      </c>
      <c r="V79" s="39">
        <v>1552200</v>
      </c>
      <c r="W79" s="39">
        <v>1524160</v>
      </c>
      <c r="X79" s="39">
        <v>1499740</v>
      </c>
      <c r="Y79" s="39">
        <v>1476450</v>
      </c>
      <c r="Z79" s="39">
        <v>1455800</v>
      </c>
      <c r="AA79" s="39">
        <v>1434830</v>
      </c>
      <c r="AB79" s="39">
        <v>1416200</v>
      </c>
      <c r="AC79" s="39">
        <v>1399870</v>
      </c>
      <c r="AD79" s="39">
        <v>1384600</v>
      </c>
      <c r="AE79" s="39">
        <v>1369780</v>
      </c>
    </row>
    <row r="80" spans="1:31" x14ac:dyDescent="0.25">
      <c r="A80" t="s">
        <v>971</v>
      </c>
      <c r="B80">
        <v>3021</v>
      </c>
      <c r="C80">
        <v>4275</v>
      </c>
      <c r="D80">
        <v>4326</v>
      </c>
      <c r="E80">
        <v>4512</v>
      </c>
      <c r="F80">
        <v>4728</v>
      </c>
      <c r="G80">
        <v>4656</v>
      </c>
      <c r="H80">
        <v>4383</v>
      </c>
      <c r="I80">
        <v>4233</v>
      </c>
      <c r="J80">
        <v>3801</v>
      </c>
      <c r="K80">
        <v>3456</v>
      </c>
      <c r="L80">
        <v>3009</v>
      </c>
      <c r="M80">
        <v>2541</v>
      </c>
      <c r="N80">
        <v>2643</v>
      </c>
      <c r="O80">
        <v>2742</v>
      </c>
      <c r="P80">
        <v>2745</v>
      </c>
      <c r="Q80">
        <v>2694</v>
      </c>
      <c r="R80">
        <v>2649</v>
      </c>
      <c r="S80">
        <v>2622</v>
      </c>
      <c r="T80">
        <v>2610</v>
      </c>
      <c r="U80">
        <v>2607</v>
      </c>
      <c r="V80">
        <v>2613</v>
      </c>
      <c r="W80">
        <v>2628</v>
      </c>
      <c r="X80">
        <v>2646</v>
      </c>
      <c r="Y80">
        <v>2679</v>
      </c>
      <c r="Z80">
        <v>2706</v>
      </c>
      <c r="AA80">
        <v>2739</v>
      </c>
      <c r="AB80">
        <v>2769</v>
      </c>
      <c r="AC80">
        <v>2787</v>
      </c>
      <c r="AD80">
        <v>2814</v>
      </c>
      <c r="AE80">
        <v>2841</v>
      </c>
    </row>
    <row r="81" spans="1:31" x14ac:dyDescent="0.25">
      <c r="A81" t="s">
        <v>972</v>
      </c>
      <c r="B81">
        <v>87</v>
      </c>
      <c r="C81">
        <v>69</v>
      </c>
      <c r="D81">
        <v>87</v>
      </c>
      <c r="E81">
        <v>84</v>
      </c>
      <c r="F81">
        <v>96</v>
      </c>
      <c r="G81">
        <v>120</v>
      </c>
      <c r="H81">
        <v>147</v>
      </c>
      <c r="I81">
        <v>168</v>
      </c>
      <c r="J81">
        <v>198</v>
      </c>
      <c r="K81">
        <v>240</v>
      </c>
      <c r="L81">
        <v>279</v>
      </c>
      <c r="M81">
        <v>327</v>
      </c>
      <c r="N81">
        <v>279</v>
      </c>
      <c r="O81">
        <v>300</v>
      </c>
      <c r="P81">
        <v>333</v>
      </c>
      <c r="Q81">
        <v>375</v>
      </c>
      <c r="R81">
        <v>417</v>
      </c>
      <c r="S81">
        <v>462</v>
      </c>
      <c r="T81">
        <v>504</v>
      </c>
      <c r="U81">
        <v>546</v>
      </c>
      <c r="V81">
        <v>582</v>
      </c>
      <c r="W81">
        <v>618</v>
      </c>
      <c r="X81">
        <v>648</v>
      </c>
      <c r="Y81">
        <v>678</v>
      </c>
      <c r="Z81">
        <v>705</v>
      </c>
      <c r="AA81">
        <v>729</v>
      </c>
      <c r="AB81">
        <v>750</v>
      </c>
      <c r="AC81">
        <v>762</v>
      </c>
      <c r="AD81">
        <v>783</v>
      </c>
      <c r="AE81">
        <v>792</v>
      </c>
    </row>
    <row r="83" spans="1:31" x14ac:dyDescent="0.25">
      <c r="A83" t="s">
        <v>965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31" x14ac:dyDescent="0.25">
      <c r="A84" t="s">
        <v>973</v>
      </c>
      <c r="B84">
        <v>104573</v>
      </c>
      <c r="C84" s="39">
        <v>409151</v>
      </c>
      <c r="D84" s="39">
        <v>799171</v>
      </c>
      <c r="E84" s="39">
        <v>1374860</v>
      </c>
      <c r="F84" s="39">
        <v>1782170</v>
      </c>
      <c r="G84" s="39">
        <v>2316370</v>
      </c>
      <c r="H84" s="39">
        <v>2890770</v>
      </c>
      <c r="I84" s="39">
        <v>3595910</v>
      </c>
      <c r="J84" s="39">
        <v>4283150</v>
      </c>
      <c r="K84" s="39">
        <v>4846180</v>
      </c>
      <c r="L84" s="39">
        <v>5457360</v>
      </c>
      <c r="M84" s="39">
        <v>6013890</v>
      </c>
      <c r="N84" s="39">
        <v>6238040</v>
      </c>
      <c r="O84" s="39">
        <v>6764920</v>
      </c>
      <c r="P84" s="39">
        <v>7234620</v>
      </c>
      <c r="Q84" s="39">
        <v>7643700</v>
      </c>
      <c r="R84" s="39">
        <v>8015320</v>
      </c>
      <c r="S84" s="39">
        <v>8340710</v>
      </c>
      <c r="T84" s="39">
        <v>8635580</v>
      </c>
      <c r="U84" s="39">
        <v>8897010</v>
      </c>
      <c r="V84" s="39">
        <v>9138920</v>
      </c>
      <c r="W84" s="39">
        <v>9357930</v>
      </c>
      <c r="X84" s="39">
        <v>9565050</v>
      </c>
      <c r="Y84" s="39">
        <v>9754430</v>
      </c>
      <c r="Z84" s="39">
        <v>9934100</v>
      </c>
      <c r="AA84" s="39">
        <v>10116600</v>
      </c>
      <c r="AB84" s="39">
        <v>10278700</v>
      </c>
      <c r="AC84" s="39">
        <v>10473400</v>
      </c>
      <c r="AD84" s="39">
        <v>10633200</v>
      </c>
      <c r="AE84" s="39">
        <v>10820700</v>
      </c>
    </row>
    <row r="85" spans="1:31" x14ac:dyDescent="0.25">
      <c r="A85" t="s">
        <v>974</v>
      </c>
      <c r="B85">
        <v>3638.33</v>
      </c>
      <c r="C85">
        <v>4629.22</v>
      </c>
      <c r="D85">
        <v>4202.0600000000004</v>
      </c>
      <c r="E85">
        <v>4305</v>
      </c>
      <c r="F85">
        <v>4021.97</v>
      </c>
      <c r="G85">
        <v>3824.2</v>
      </c>
      <c r="H85">
        <v>3666.92</v>
      </c>
      <c r="I85">
        <v>3530.88</v>
      </c>
      <c r="J85">
        <v>3401.86</v>
      </c>
      <c r="K85">
        <v>3362.38</v>
      </c>
      <c r="L85">
        <v>3274.56</v>
      </c>
      <c r="M85">
        <v>3220.16</v>
      </c>
      <c r="N85">
        <v>3342.01</v>
      </c>
      <c r="O85">
        <v>3358.36</v>
      </c>
      <c r="P85">
        <v>3403.94</v>
      </c>
      <c r="Q85">
        <v>3475.46</v>
      </c>
      <c r="R85">
        <v>3545.57</v>
      </c>
      <c r="S85">
        <v>3617.34</v>
      </c>
      <c r="T85">
        <v>3684.35</v>
      </c>
      <c r="U85">
        <v>3735.01</v>
      </c>
      <c r="V85">
        <v>3769.83</v>
      </c>
      <c r="W85">
        <v>3797.95</v>
      </c>
      <c r="X85">
        <v>3804.43</v>
      </c>
      <c r="Y85">
        <v>3811.51</v>
      </c>
      <c r="Z85">
        <v>3800.7</v>
      </c>
      <c r="AA85">
        <v>3767.45</v>
      </c>
      <c r="AB85">
        <v>3747.52</v>
      </c>
      <c r="AC85">
        <v>3702.44</v>
      </c>
      <c r="AD85">
        <v>3670.26</v>
      </c>
      <c r="AE85">
        <v>3625.18</v>
      </c>
    </row>
    <row r="86" spans="1:31" x14ac:dyDescent="0.25">
      <c r="A86" t="s">
        <v>975</v>
      </c>
      <c r="B86" s="39">
        <v>15006200</v>
      </c>
      <c r="C86" s="39">
        <v>14792900</v>
      </c>
      <c r="D86" s="39">
        <v>14312800</v>
      </c>
      <c r="E86" s="39">
        <v>13772400</v>
      </c>
      <c r="F86" s="39">
        <v>13362800</v>
      </c>
      <c r="G86" s="39">
        <v>12799000</v>
      </c>
      <c r="H86" s="39">
        <v>12107600</v>
      </c>
      <c r="I86" s="39">
        <v>11432400</v>
      </c>
      <c r="J86" s="39">
        <v>10628400</v>
      </c>
      <c r="K86" s="39">
        <v>10030400</v>
      </c>
      <c r="L86" s="39">
        <v>9263600</v>
      </c>
      <c r="M86" s="39">
        <v>8558570</v>
      </c>
      <c r="N86" s="39">
        <v>8297620</v>
      </c>
      <c r="O86" s="39">
        <v>7752050</v>
      </c>
      <c r="P86" s="39">
        <v>7294100</v>
      </c>
      <c r="Q86" s="39">
        <v>6921040</v>
      </c>
      <c r="R86" s="39">
        <v>6603230</v>
      </c>
      <c r="S86" s="39">
        <v>6351670</v>
      </c>
      <c r="T86" s="39">
        <v>6141240</v>
      </c>
      <c r="U86" s="39">
        <v>5978010</v>
      </c>
      <c r="V86" s="39">
        <v>5836690</v>
      </c>
      <c r="W86" s="39">
        <v>5722470</v>
      </c>
      <c r="X86" s="39">
        <v>5620280</v>
      </c>
      <c r="Y86" s="39">
        <v>5536400</v>
      </c>
      <c r="Z86" s="39">
        <v>5464070</v>
      </c>
      <c r="AA86" s="39">
        <v>5392400</v>
      </c>
      <c r="AB86" s="39">
        <v>5337620</v>
      </c>
      <c r="AC86" s="39">
        <v>5247410</v>
      </c>
      <c r="AD86" s="39">
        <v>5195100</v>
      </c>
      <c r="AE86" s="39">
        <v>5119790</v>
      </c>
    </row>
    <row r="87" spans="1:31" x14ac:dyDescent="0.25">
      <c r="A87" t="s">
        <v>976</v>
      </c>
      <c r="B87">
        <v>54575</v>
      </c>
      <c r="C87">
        <v>52281.4</v>
      </c>
      <c r="D87">
        <v>62485.5</v>
      </c>
      <c r="E87">
        <v>70102</v>
      </c>
      <c r="F87">
        <v>78194.7</v>
      </c>
      <c r="G87">
        <v>84450.6</v>
      </c>
      <c r="H87">
        <v>88866.2</v>
      </c>
      <c r="I87">
        <v>92960.2</v>
      </c>
      <c r="J87">
        <v>94490.8</v>
      </c>
      <c r="K87">
        <v>96954.4</v>
      </c>
      <c r="L87">
        <v>96577.3</v>
      </c>
      <c r="M87">
        <v>95901.3</v>
      </c>
      <c r="N87">
        <v>99547.9</v>
      </c>
      <c r="O87">
        <v>99205.6</v>
      </c>
      <c r="P87">
        <v>99206.5</v>
      </c>
      <c r="Q87">
        <v>100029</v>
      </c>
      <c r="R87">
        <v>100796</v>
      </c>
      <c r="S87">
        <v>102215</v>
      </c>
      <c r="T87">
        <v>104161</v>
      </c>
      <c r="U87">
        <v>106288</v>
      </c>
      <c r="V87">
        <v>108569</v>
      </c>
      <c r="W87">
        <v>111335</v>
      </c>
      <c r="X87">
        <v>113822</v>
      </c>
      <c r="Y87">
        <v>117128</v>
      </c>
      <c r="Z87">
        <v>120183</v>
      </c>
      <c r="AA87">
        <v>123454</v>
      </c>
      <c r="AB87">
        <v>126656</v>
      </c>
      <c r="AC87">
        <v>129383</v>
      </c>
      <c r="AD87">
        <v>132773</v>
      </c>
      <c r="AE87">
        <v>135736</v>
      </c>
    </row>
    <row r="88" spans="1:31" x14ac:dyDescent="0.25">
      <c r="A88" t="s">
        <v>977</v>
      </c>
      <c r="B88">
        <v>40166.400000000001</v>
      </c>
      <c r="C88" s="39">
        <v>110787</v>
      </c>
      <c r="D88" s="39">
        <v>224287</v>
      </c>
      <c r="E88" s="39">
        <v>244499</v>
      </c>
      <c r="F88" s="39">
        <v>311565</v>
      </c>
      <c r="G88" s="39">
        <v>408966</v>
      </c>
      <c r="H88" s="39">
        <v>590483</v>
      </c>
      <c r="I88" s="39">
        <v>613924</v>
      </c>
      <c r="J88" s="39">
        <v>786338</v>
      </c>
      <c r="K88" s="39">
        <v>867758</v>
      </c>
      <c r="L88" s="39">
        <v>1063160</v>
      </c>
      <c r="M88" s="39">
        <v>1247970</v>
      </c>
      <c r="N88" s="39">
        <v>1309020</v>
      </c>
      <c r="O88" s="39">
        <v>1354590</v>
      </c>
      <c r="P88" s="39">
        <v>1372690</v>
      </c>
      <c r="Q88" s="39">
        <v>1377150</v>
      </c>
      <c r="R88" s="39">
        <v>1371800</v>
      </c>
      <c r="S88" s="39">
        <v>1358240</v>
      </c>
      <c r="T88" s="39">
        <v>1342410</v>
      </c>
      <c r="U88" s="39">
        <v>1325160</v>
      </c>
      <c r="V88" s="39">
        <v>1309290</v>
      </c>
      <c r="W88" s="39">
        <v>1293400</v>
      </c>
      <c r="X88" s="39">
        <v>1279550</v>
      </c>
      <c r="Y88" s="39">
        <v>1265340</v>
      </c>
      <c r="Z88" s="39">
        <v>1252610</v>
      </c>
      <c r="AA88" s="39">
        <v>1239360</v>
      </c>
      <c r="AB88" s="39">
        <v>1227090</v>
      </c>
      <c r="AC88" s="39">
        <v>1218240</v>
      </c>
      <c r="AD88" s="39">
        <v>1208460</v>
      </c>
      <c r="AE88" s="39">
        <v>1199970</v>
      </c>
    </row>
    <row r="89" spans="1:31" x14ac:dyDescent="0.25">
      <c r="A89" t="s">
        <v>978</v>
      </c>
      <c r="B89">
        <v>3124.15</v>
      </c>
      <c r="C89">
        <v>4426.42</v>
      </c>
      <c r="D89">
        <v>4473.63</v>
      </c>
      <c r="E89">
        <v>4651.57</v>
      </c>
      <c r="F89">
        <v>4911.43</v>
      </c>
      <c r="G89">
        <v>5031.38</v>
      </c>
      <c r="H89">
        <v>5008.46</v>
      </c>
      <c r="I89">
        <v>4933.28</v>
      </c>
      <c r="J89">
        <v>4795.88</v>
      </c>
      <c r="K89">
        <v>4716.55</v>
      </c>
      <c r="L89">
        <v>4524.03</v>
      </c>
      <c r="M89">
        <v>4337.05</v>
      </c>
      <c r="N89">
        <v>4354.97</v>
      </c>
      <c r="O89">
        <v>4202.08</v>
      </c>
      <c r="P89">
        <v>4088.06</v>
      </c>
      <c r="Q89">
        <v>4008.56</v>
      </c>
      <c r="R89">
        <v>3941.36</v>
      </c>
      <c r="S89">
        <v>3895.27</v>
      </c>
      <c r="T89">
        <v>3876.84</v>
      </c>
      <c r="U89">
        <v>3871.76</v>
      </c>
      <c r="V89">
        <v>3874.88</v>
      </c>
      <c r="W89">
        <v>3896.32</v>
      </c>
      <c r="X89">
        <v>3924</v>
      </c>
      <c r="Y89">
        <v>3968.6</v>
      </c>
      <c r="Z89">
        <v>4009.51</v>
      </c>
      <c r="AA89">
        <v>4053.4</v>
      </c>
      <c r="AB89">
        <v>4100.88</v>
      </c>
      <c r="AC89">
        <v>4121.57</v>
      </c>
      <c r="AD89">
        <v>4162.1099999999997</v>
      </c>
      <c r="AE89">
        <v>4199.1000000000004</v>
      </c>
    </row>
    <row r="90" spans="1:31" x14ac:dyDescent="0.25">
      <c r="A90" t="s">
        <v>979</v>
      </c>
      <c r="B90">
        <v>20.2271</v>
      </c>
      <c r="C90">
        <v>36.170299999999997</v>
      </c>
      <c r="D90">
        <v>60.139699999999998</v>
      </c>
      <c r="E90">
        <v>68.810900000000004</v>
      </c>
      <c r="F90">
        <v>78.781700000000001</v>
      </c>
      <c r="G90">
        <v>90.389600000000002</v>
      </c>
      <c r="H90">
        <v>103.08799999999999</v>
      </c>
      <c r="I90">
        <v>121.408</v>
      </c>
      <c r="J90">
        <v>138.869</v>
      </c>
      <c r="K90">
        <v>163.53</v>
      </c>
      <c r="L90">
        <v>189.69200000000001</v>
      </c>
      <c r="M90">
        <v>219.50899999999999</v>
      </c>
      <c r="N90">
        <v>195.45</v>
      </c>
      <c r="O90">
        <v>226.393</v>
      </c>
      <c r="P90">
        <v>261.99700000000001</v>
      </c>
      <c r="Q90">
        <v>300.37599999999998</v>
      </c>
      <c r="R90">
        <v>339.49099999999999</v>
      </c>
      <c r="S90">
        <v>379.642</v>
      </c>
      <c r="T90">
        <v>419.44099999999997</v>
      </c>
      <c r="U90">
        <v>457.21499999999997</v>
      </c>
      <c r="V90">
        <v>492.59100000000001</v>
      </c>
      <c r="W90">
        <v>525.99699999999996</v>
      </c>
      <c r="X90">
        <v>554.86699999999996</v>
      </c>
      <c r="Y90">
        <v>582.49199999999996</v>
      </c>
      <c r="Z90">
        <v>606.83500000000004</v>
      </c>
      <c r="AA90">
        <v>630.28200000000004</v>
      </c>
      <c r="AB90">
        <v>650.85400000000004</v>
      </c>
      <c r="AC90">
        <v>665.40800000000002</v>
      </c>
      <c r="AD90">
        <v>683.63699999999994</v>
      </c>
      <c r="AE90">
        <v>695.59699999999998</v>
      </c>
    </row>
    <row r="92" spans="1:31" x14ac:dyDescent="0.25">
      <c r="A92" t="s">
        <v>920</v>
      </c>
      <c r="B92" s="46">
        <f>B75/SUM(B$75:B$81)</f>
        <v>3.0456405317076982E-2</v>
      </c>
      <c r="C92" s="46">
        <f t="shared" ref="C92:AE92" si="0">C75/SUM(C$75:C$81)</f>
        <v>5.2522705156206675E-2</v>
      </c>
      <c r="D92" s="46">
        <f>D75/SUM(D$75:D$81)</f>
        <v>7.5763417092889432E-2</v>
      </c>
      <c r="E92" s="32">
        <f t="shared" si="0"/>
        <v>0.11159206694567377</v>
      </c>
      <c r="F92" s="32">
        <f t="shared" si="0"/>
        <v>0.14213310898475773</v>
      </c>
      <c r="G92" s="32">
        <f t="shared" si="0"/>
        <v>0.20040308050007799</v>
      </c>
      <c r="H92" s="32">
        <f t="shared" si="0"/>
        <v>0.2647435148386123</v>
      </c>
      <c r="I92" s="32">
        <f t="shared" si="0"/>
        <v>0.31692068497002601</v>
      </c>
      <c r="J92" s="32">
        <f t="shared" si="0"/>
        <v>0.39001194057470828</v>
      </c>
      <c r="K92" s="32">
        <f t="shared" si="0"/>
        <v>0.45044136156669395</v>
      </c>
      <c r="L92" s="32">
        <f t="shared" si="0"/>
        <v>0.50868833057623208</v>
      </c>
      <c r="M92" s="32">
        <f t="shared" si="0"/>
        <v>0.56398362808264735</v>
      </c>
      <c r="N92" s="32">
        <f t="shared" si="0"/>
        <v>0.56200436832275191</v>
      </c>
      <c r="O92" s="32">
        <f t="shared" si="0"/>
        <v>0.56559878612150616</v>
      </c>
      <c r="P92" s="32">
        <f t="shared" si="0"/>
        <v>0.57951705745821369</v>
      </c>
      <c r="Q92" s="32">
        <f t="shared" si="0"/>
        <v>0.5978869746323433</v>
      </c>
      <c r="R92" s="32">
        <f t="shared" si="0"/>
        <v>0.6143742017733187</v>
      </c>
      <c r="S92" s="32">
        <f t="shared" si="0"/>
        <v>0.62847311279701967</v>
      </c>
      <c r="T92" s="32">
        <f t="shared" si="0"/>
        <v>0.64084132657364445</v>
      </c>
      <c r="U92" s="32">
        <f t="shared" si="0"/>
        <v>0.6512853866807008</v>
      </c>
      <c r="V92" s="32">
        <f t="shared" si="0"/>
        <v>0.66057098931029035</v>
      </c>
      <c r="W92" s="32">
        <f t="shared" si="0"/>
        <v>0.66860231407035142</v>
      </c>
      <c r="X92" s="32">
        <f t="shared" si="0"/>
        <v>0.67589308047902497</v>
      </c>
      <c r="Y92" s="32">
        <f t="shared" si="0"/>
        <v>0.68229514885139875</v>
      </c>
      <c r="Z92" s="32">
        <f t="shared" si="0"/>
        <v>0.68807847938678857</v>
      </c>
      <c r="AA92" s="32">
        <f t="shared" si="0"/>
        <v>0.69383825633935603</v>
      </c>
      <c r="AB92" s="32">
        <f t="shared" si="0"/>
        <v>0.69868820225447048</v>
      </c>
      <c r="AC92" s="32">
        <f t="shared" si="0"/>
        <v>0.70474289603256246</v>
      </c>
      <c r="AD92" s="32">
        <f t="shared" si="0"/>
        <v>0.70922671171652352</v>
      </c>
      <c r="AE92" s="32">
        <f t="shared" si="0"/>
        <v>0.71462015526210543</v>
      </c>
    </row>
    <row r="93" spans="1:31" x14ac:dyDescent="0.25">
      <c r="A93" t="s">
        <v>921</v>
      </c>
      <c r="B93" s="46">
        <f>B79/SUM(B$75:B$81)</f>
        <v>1.1698255644720433E-2</v>
      </c>
      <c r="C93" s="46">
        <f t="shared" ref="C93:AE93" si="1">C79/SUM(C$75:C$81)</f>
        <v>1.4221663362093946E-2</v>
      </c>
      <c r="D93" s="46">
        <f t="shared" si="1"/>
        <v>2.12628499641342E-2</v>
      </c>
      <c r="E93" s="32">
        <f t="shared" si="1"/>
        <v>1.9844917005977642E-2</v>
      </c>
      <c r="F93" s="32">
        <f t="shared" si="1"/>
        <v>2.4847994382793406E-2</v>
      </c>
      <c r="G93" s="32">
        <f t="shared" si="1"/>
        <v>3.5382108174020745E-2</v>
      </c>
      <c r="H93" s="32">
        <f t="shared" si="1"/>
        <v>5.4077696287537197E-2</v>
      </c>
      <c r="I93" s="32">
        <f t="shared" si="1"/>
        <v>5.4107159428278269E-2</v>
      </c>
      <c r="J93" s="32">
        <f t="shared" si="1"/>
        <v>7.1601678072562014E-2</v>
      </c>
      <c r="K93" s="32">
        <f t="shared" si="1"/>
        <v>8.0656289163358513E-2</v>
      </c>
      <c r="L93" s="32">
        <f t="shared" si="1"/>
        <v>9.9098300751202045E-2</v>
      </c>
      <c r="M93" s="32">
        <f t="shared" si="1"/>
        <v>0.1170345797315854</v>
      </c>
      <c r="N93" s="32">
        <f t="shared" si="1"/>
        <v>0.11793292903174363</v>
      </c>
      <c r="O93" s="32">
        <f t="shared" si="1"/>
        <v>0.11325381206725148</v>
      </c>
      <c r="P93" s="32">
        <f t="shared" si="1"/>
        <v>0.10995689503312144</v>
      </c>
      <c r="Q93" s="32">
        <f t="shared" si="1"/>
        <v>0.10771984429106383</v>
      </c>
      <c r="R93" s="32">
        <f t="shared" si="1"/>
        <v>0.10514836138244149</v>
      </c>
      <c r="S93" s="32">
        <f t="shared" si="1"/>
        <v>0.10234299078229947</v>
      </c>
      <c r="T93" s="32">
        <f t="shared" si="1"/>
        <v>9.9619753638013023E-2</v>
      </c>
      <c r="U93" s="32">
        <f t="shared" si="1"/>
        <v>9.700568947624344E-2</v>
      </c>
      <c r="V93" s="32">
        <f t="shared" si="1"/>
        <v>9.4637293214892629E-2</v>
      </c>
      <c r="W93" s="32">
        <f t="shared" si="1"/>
        <v>9.2410510361683684E-2</v>
      </c>
      <c r="X93" s="32">
        <f t="shared" si="1"/>
        <v>9.04169020174483E-2</v>
      </c>
      <c r="Y93" s="32">
        <f t="shared" si="1"/>
        <v>8.8507500792638041E-2</v>
      </c>
      <c r="Z93" s="32">
        <f t="shared" si="1"/>
        <v>8.676147852334562E-2</v>
      </c>
      <c r="AA93" s="32">
        <f t="shared" si="1"/>
        <v>8.5000251476528593E-2</v>
      </c>
      <c r="AB93" s="32">
        <f t="shared" si="1"/>
        <v>8.3411215999121713E-2</v>
      </c>
      <c r="AC93" s="32">
        <f t="shared" si="1"/>
        <v>8.1974643356690857E-2</v>
      </c>
      <c r="AD93" s="32">
        <f t="shared" si="1"/>
        <v>8.0603073523380628E-2</v>
      </c>
      <c r="AE93" s="32">
        <f t="shared" si="1"/>
        <v>7.924808907666181E-2</v>
      </c>
    </row>
    <row r="94" spans="1:31" x14ac:dyDescent="0.25">
      <c r="A94" t="s">
        <v>922</v>
      </c>
      <c r="B94" s="40">
        <f t="shared" ref="B94:AE94" si="2">SUM(B92:B93)</f>
        <v>4.2154660961797416E-2</v>
      </c>
      <c r="C94" s="40">
        <f t="shared" si="2"/>
        <v>6.6744368518300623E-2</v>
      </c>
      <c r="D94" s="40">
        <f t="shared" si="2"/>
        <v>9.7026267057023635E-2</v>
      </c>
      <c r="E94" s="40">
        <f t="shared" si="2"/>
        <v>0.1314369839516514</v>
      </c>
      <c r="F94" s="40">
        <f t="shared" si="2"/>
        <v>0.16698110336755112</v>
      </c>
      <c r="G94" s="40">
        <f t="shared" si="2"/>
        <v>0.23578518867409873</v>
      </c>
      <c r="H94" s="40">
        <f t="shared" si="2"/>
        <v>0.31882121112614947</v>
      </c>
      <c r="I94" s="40">
        <f t="shared" si="2"/>
        <v>0.37102784439830427</v>
      </c>
      <c r="J94" s="40">
        <f t="shared" si="2"/>
        <v>0.4616136186472703</v>
      </c>
      <c r="K94" s="40">
        <f t="shared" si="2"/>
        <v>0.53109765073005244</v>
      </c>
      <c r="L94" s="40">
        <f t="shared" si="2"/>
        <v>0.60778663132743416</v>
      </c>
      <c r="M94" s="40">
        <f t="shared" si="2"/>
        <v>0.68101820781423272</v>
      </c>
      <c r="N94" s="40">
        <f t="shared" si="2"/>
        <v>0.67993729735449548</v>
      </c>
      <c r="O94" s="40">
        <f t="shared" si="2"/>
        <v>0.67885259818875765</v>
      </c>
      <c r="P94" s="40">
        <f t="shared" si="2"/>
        <v>0.68947395249133514</v>
      </c>
      <c r="Q94" s="40">
        <f t="shared" si="2"/>
        <v>0.70560681892340715</v>
      </c>
      <c r="R94" s="40">
        <f t="shared" si="2"/>
        <v>0.71952256315576024</v>
      </c>
      <c r="S94" s="40">
        <f t="shared" si="2"/>
        <v>0.73081610357931914</v>
      </c>
      <c r="T94" s="40">
        <f t="shared" si="2"/>
        <v>0.74046108021165746</v>
      </c>
      <c r="U94" s="40">
        <f t="shared" si="2"/>
        <v>0.74829107615694423</v>
      </c>
      <c r="V94" s="40">
        <f t="shared" si="2"/>
        <v>0.75520828252518302</v>
      </c>
      <c r="W94" s="40">
        <f t="shared" si="2"/>
        <v>0.76101282443203511</v>
      </c>
      <c r="X94" s="40">
        <f t="shared" si="2"/>
        <v>0.76630998249647331</v>
      </c>
      <c r="Y94" s="40">
        <f t="shared" si="2"/>
        <v>0.77080264964403677</v>
      </c>
      <c r="Z94" s="40">
        <f t="shared" si="2"/>
        <v>0.77483995791013416</v>
      </c>
      <c r="AA94" s="40">
        <f t="shared" si="2"/>
        <v>0.7788385078158846</v>
      </c>
      <c r="AB94" s="40">
        <f t="shared" si="2"/>
        <v>0.78209941825359219</v>
      </c>
      <c r="AC94" s="40">
        <f t="shared" si="2"/>
        <v>0.78671753938925337</v>
      </c>
      <c r="AD94" s="40">
        <f t="shared" si="2"/>
        <v>0.7898297852399041</v>
      </c>
      <c r="AE94" s="40">
        <f t="shared" si="2"/>
        <v>0.79386824433876724</v>
      </c>
    </row>
    <row r="96" spans="1:31" x14ac:dyDescent="0.25">
      <c r="A96" t="s">
        <v>920</v>
      </c>
      <c r="B96" s="32">
        <f>B84/SUM(B84:B90)</f>
        <v>6.8742412315358267E-3</v>
      </c>
      <c r="C96" s="32">
        <f t="shared" ref="C96:AE96" si="3">C84/SUM(C84:C90)</f>
        <v>2.6612812482105619E-2</v>
      </c>
      <c r="D96" s="32">
        <f t="shared" si="3"/>
        <v>5.1869029508252514E-2</v>
      </c>
      <c r="E96" s="32">
        <f t="shared" si="3"/>
        <v>8.8867564931339058E-2</v>
      </c>
      <c r="F96" s="32">
        <f t="shared" si="3"/>
        <v>0.11465514633244066</v>
      </c>
      <c r="G96" s="32">
        <f t="shared" si="3"/>
        <v>0.14831666438627761</v>
      </c>
      <c r="H96" s="32">
        <f t="shared" si="3"/>
        <v>0.18428396581456719</v>
      </c>
      <c r="I96" s="32">
        <f t="shared" si="3"/>
        <v>0.22840195003926966</v>
      </c>
      <c r="J96" s="32">
        <f t="shared" si="3"/>
        <v>0.27107316910222568</v>
      </c>
      <c r="K96" s="32">
        <f t="shared" si="3"/>
        <v>0.3057616543833388</v>
      </c>
      <c r="L96" s="32">
        <f t="shared" si="3"/>
        <v>0.34347460473272523</v>
      </c>
      <c r="M96" s="32">
        <f t="shared" si="3"/>
        <v>0.37765945777461885</v>
      </c>
      <c r="N96" s="32">
        <f t="shared" si="3"/>
        <v>0.39104770218342505</v>
      </c>
      <c r="O96" s="32">
        <f t="shared" si="3"/>
        <v>0.42337502276042382</v>
      </c>
      <c r="P96" s="32">
        <f t="shared" si="3"/>
        <v>0.4519273214819573</v>
      </c>
      <c r="Q96" s="32">
        <f t="shared" si="3"/>
        <v>0.4762517917873178</v>
      </c>
      <c r="R96" s="32">
        <f t="shared" si="3"/>
        <v>0.49787773967141946</v>
      </c>
      <c r="S96" s="32">
        <f t="shared" si="3"/>
        <v>0.51610981795189814</v>
      </c>
      <c r="T96" s="32">
        <f t="shared" si="3"/>
        <v>0.53203020646185339</v>
      </c>
      <c r="U96" s="32">
        <f t="shared" si="3"/>
        <v>0.54534264348987394</v>
      </c>
      <c r="V96" s="32">
        <f t="shared" si="3"/>
        <v>0.55719664478489539</v>
      </c>
      <c r="W96" s="32">
        <f t="shared" si="3"/>
        <v>0.56737576123903666</v>
      </c>
      <c r="X96" s="32">
        <f t="shared" si="3"/>
        <v>0.57665994324658743</v>
      </c>
      <c r="Y96" s="32">
        <f t="shared" si="3"/>
        <v>0.58473974700279663</v>
      </c>
      <c r="Z96" s="32">
        <f t="shared" si="3"/>
        <v>0.59204213584519227</v>
      </c>
      <c r="AA96" s="32">
        <f t="shared" si="3"/>
        <v>0.59931523118211649</v>
      </c>
      <c r="AB96" s="32">
        <f t="shared" si="3"/>
        <v>0.60539273173146546</v>
      </c>
      <c r="AC96" s="32">
        <f t="shared" si="3"/>
        <v>0.61330723087202599</v>
      </c>
      <c r="AD96" s="32">
        <f t="shared" si="3"/>
        <v>0.61899928191303955</v>
      </c>
      <c r="AE96" s="32">
        <f t="shared" si="3"/>
        <v>0.62602706790214713</v>
      </c>
    </row>
    <row r="97" spans="1:31" x14ac:dyDescent="0.25">
      <c r="A97" t="s">
        <v>921</v>
      </c>
      <c r="B97" s="32">
        <f>B88/SUM(B84:B90)</f>
        <v>2.6403901867820627E-3</v>
      </c>
      <c r="C97" s="32">
        <f t="shared" ref="C97:AE97" si="4">C88/SUM(C84:C90)</f>
        <v>7.2060282302989246E-3</v>
      </c>
      <c r="D97" s="32">
        <f t="shared" si="4"/>
        <v>1.4557020989647312E-2</v>
      </c>
      <c r="E97" s="32">
        <f t="shared" si="4"/>
        <v>1.5803813303279946E-2</v>
      </c>
      <c r="F97" s="32">
        <f t="shared" si="4"/>
        <v>2.004440130126019E-2</v>
      </c>
      <c r="G97" s="32">
        <f t="shared" si="4"/>
        <v>2.6186003517313039E-2</v>
      </c>
      <c r="H97" s="32">
        <f t="shared" si="4"/>
        <v>3.7642755731546643E-2</v>
      </c>
      <c r="I97" s="32">
        <f t="shared" si="4"/>
        <v>3.8994701974161917E-2</v>
      </c>
      <c r="J97" s="32">
        <f t="shared" si="4"/>
        <v>4.9765974492022441E-2</v>
      </c>
      <c r="K97" s="32">
        <f t="shared" si="4"/>
        <v>5.4749745507673531E-2</v>
      </c>
      <c r="L97" s="32">
        <f t="shared" si="4"/>
        <v>6.6913024020340273E-2</v>
      </c>
      <c r="M97" s="32">
        <f t="shared" si="4"/>
        <v>7.836985271080632E-2</v>
      </c>
      <c r="N97" s="32">
        <f t="shared" si="4"/>
        <v>8.2059310795080997E-2</v>
      </c>
      <c r="O97" s="32">
        <f t="shared" si="4"/>
        <v>8.4775514282658559E-2</v>
      </c>
      <c r="P97" s="32">
        <f t="shared" si="4"/>
        <v>8.5748265275172431E-2</v>
      </c>
      <c r="Q97" s="32">
        <f t="shared" si="4"/>
        <v>8.5805324000144526E-2</v>
      </c>
      <c r="R97" s="32">
        <f t="shared" si="4"/>
        <v>8.5210407479832773E-2</v>
      </c>
      <c r="S97" s="32">
        <f t="shared" si="4"/>
        <v>8.4045722622532876E-2</v>
      </c>
      <c r="T97" s="32">
        <f t="shared" si="4"/>
        <v>8.2704655559494161E-2</v>
      </c>
      <c r="U97" s="32">
        <f t="shared" si="4"/>
        <v>8.1225744092345786E-2</v>
      </c>
      <c r="V97" s="32">
        <f t="shared" si="4"/>
        <v>7.9826937433571554E-2</v>
      </c>
      <c r="W97" s="32">
        <f t="shared" si="4"/>
        <v>7.8419459173831182E-2</v>
      </c>
      <c r="X97" s="32">
        <f t="shared" si="4"/>
        <v>7.7141805885089038E-2</v>
      </c>
      <c r="Y97" s="32">
        <f t="shared" si="4"/>
        <v>7.5852160656493375E-2</v>
      </c>
      <c r="Z97" s="32">
        <f t="shared" si="4"/>
        <v>7.4651744977506401E-2</v>
      </c>
      <c r="AA97" s="32">
        <f t="shared" si="4"/>
        <v>7.3420647739148318E-2</v>
      </c>
      <c r="AB97" s="32">
        <f t="shared" si="4"/>
        <v>7.2272891239199888E-2</v>
      </c>
      <c r="AC97" s="32">
        <f t="shared" si="4"/>
        <v>7.1338381131011597E-2</v>
      </c>
      <c r="AD97" s="32">
        <f t="shared" si="4"/>
        <v>7.0349083269442114E-2</v>
      </c>
      <c r="AE97" s="32">
        <f t="shared" si="4"/>
        <v>6.9423761925803282E-2</v>
      </c>
    </row>
    <row r="98" spans="1:31" x14ac:dyDescent="0.25">
      <c r="A98" t="s">
        <v>922</v>
      </c>
      <c r="B98" s="40">
        <f>SUM(B96:B97)</f>
        <v>9.5146314183178898E-3</v>
      </c>
      <c r="C98" s="40">
        <f t="shared" ref="C98:AE98" si="5">SUM(C96:C97)</f>
        <v>3.3818840712404541E-2</v>
      </c>
      <c r="D98" s="40">
        <f t="shared" si="5"/>
        <v>6.6426050497899819E-2</v>
      </c>
      <c r="E98" s="40">
        <f t="shared" si="5"/>
        <v>0.104671378234619</v>
      </c>
      <c r="F98" s="40">
        <f t="shared" si="5"/>
        <v>0.13469954763370084</v>
      </c>
      <c r="G98" s="40">
        <f t="shared" si="5"/>
        <v>0.17450266790359065</v>
      </c>
      <c r="H98" s="40">
        <f t="shared" si="5"/>
        <v>0.22192672154611381</v>
      </c>
      <c r="I98" s="40">
        <f t="shared" si="5"/>
        <v>0.2673966520134316</v>
      </c>
      <c r="J98" s="40">
        <f t="shared" si="5"/>
        <v>0.32083914359424814</v>
      </c>
      <c r="K98" s="40">
        <f t="shared" si="5"/>
        <v>0.36051139989101233</v>
      </c>
      <c r="L98" s="40">
        <f t="shared" si="5"/>
        <v>0.4103876287530655</v>
      </c>
      <c r="M98" s="40">
        <f t="shared" si="5"/>
        <v>0.45602931048542517</v>
      </c>
      <c r="N98" s="40">
        <f t="shared" si="5"/>
        <v>0.47310701297850605</v>
      </c>
      <c r="O98" s="40">
        <f t="shared" si="5"/>
        <v>0.50815053704308233</v>
      </c>
      <c r="P98" s="40">
        <f t="shared" si="5"/>
        <v>0.53767558675712968</v>
      </c>
      <c r="Q98" s="40">
        <f t="shared" si="5"/>
        <v>0.56205711578746231</v>
      </c>
      <c r="R98" s="40">
        <f t="shared" si="5"/>
        <v>0.58308814715125223</v>
      </c>
      <c r="S98" s="40">
        <f t="shared" si="5"/>
        <v>0.60015554057443099</v>
      </c>
      <c r="T98" s="40">
        <f t="shared" si="5"/>
        <v>0.61473486202134753</v>
      </c>
      <c r="U98" s="40">
        <f t="shared" si="5"/>
        <v>0.62656838758221967</v>
      </c>
      <c r="V98" s="40">
        <f t="shared" si="5"/>
        <v>0.63702358221846689</v>
      </c>
      <c r="W98" s="40">
        <f t="shared" si="5"/>
        <v>0.64579522041286785</v>
      </c>
      <c r="X98" s="40">
        <f t="shared" si="5"/>
        <v>0.65380174913167644</v>
      </c>
      <c r="Y98" s="40">
        <f t="shared" si="5"/>
        <v>0.66059190765928999</v>
      </c>
      <c r="Z98" s="40">
        <f t="shared" si="5"/>
        <v>0.66669388082269865</v>
      </c>
      <c r="AA98" s="40">
        <f t="shared" si="5"/>
        <v>0.67273587892126485</v>
      </c>
      <c r="AB98" s="40">
        <f t="shared" si="5"/>
        <v>0.67766562297066535</v>
      </c>
      <c r="AC98" s="40">
        <f t="shared" si="5"/>
        <v>0.68464561200303753</v>
      </c>
      <c r="AD98" s="40">
        <f t="shared" si="5"/>
        <v>0.68934836518248166</v>
      </c>
      <c r="AE98" s="40">
        <f t="shared" si="5"/>
        <v>0.69545082982795037</v>
      </c>
    </row>
    <row r="99" spans="1:31" x14ac:dyDescent="0.25"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</row>
    <row r="100" spans="1:31" x14ac:dyDescent="0.25">
      <c r="A100" s="1" t="s">
        <v>940</v>
      </c>
      <c r="B100" t="s">
        <v>941</v>
      </c>
    </row>
    <row r="102" spans="1:31" x14ac:dyDescent="0.25">
      <c r="B102" t="s">
        <v>942</v>
      </c>
      <c r="C102" t="s">
        <v>943</v>
      </c>
    </row>
    <row r="103" spans="1:31" x14ac:dyDescent="0.25">
      <c r="A103">
        <v>2021</v>
      </c>
      <c r="B103" s="44">
        <v>0.01</v>
      </c>
      <c r="C103" s="44">
        <f>B107/SUM(B107:B113)</f>
        <v>9.9649732547720544E-3</v>
      </c>
    </row>
    <row r="104" spans="1:31" x14ac:dyDescent="0.25">
      <c r="A104">
        <v>2022</v>
      </c>
      <c r="B104" s="44">
        <v>0.02</v>
      </c>
      <c r="C104" s="44">
        <f>C107/SUM(C107:C113)</f>
        <v>1.626220809222113E-2</v>
      </c>
    </row>
    <row r="106" spans="1:31" x14ac:dyDescent="0.25">
      <c r="A106" t="s">
        <v>965</v>
      </c>
      <c r="B106">
        <v>2021</v>
      </c>
      <c r="C106">
        <v>2022</v>
      </c>
      <c r="D106">
        <v>2023</v>
      </c>
      <c r="E106">
        <v>2024</v>
      </c>
      <c r="F106">
        <v>2025</v>
      </c>
      <c r="G106">
        <v>2026</v>
      </c>
      <c r="H106">
        <v>2027</v>
      </c>
      <c r="I106">
        <v>2028</v>
      </c>
      <c r="J106">
        <v>2029</v>
      </c>
      <c r="K106">
        <v>2030</v>
      </c>
      <c r="L106">
        <v>2031</v>
      </c>
      <c r="M106">
        <v>2032</v>
      </c>
      <c r="N106">
        <v>2033</v>
      </c>
      <c r="O106">
        <v>2034</v>
      </c>
      <c r="P106">
        <v>2035</v>
      </c>
      <c r="Q106">
        <v>2036</v>
      </c>
      <c r="R106">
        <v>2037</v>
      </c>
      <c r="S106">
        <v>2038</v>
      </c>
      <c r="T106">
        <v>2039</v>
      </c>
      <c r="U106">
        <v>2040</v>
      </c>
      <c r="V106">
        <v>2041</v>
      </c>
      <c r="W106">
        <v>2042</v>
      </c>
      <c r="X106">
        <v>2043</v>
      </c>
      <c r="Y106">
        <v>2044</v>
      </c>
      <c r="Z106">
        <v>2045</v>
      </c>
      <c r="AA106">
        <v>2046</v>
      </c>
      <c r="AB106">
        <v>2047</v>
      </c>
      <c r="AC106">
        <v>2048</v>
      </c>
      <c r="AD106">
        <v>2049</v>
      </c>
      <c r="AE106">
        <v>2050</v>
      </c>
    </row>
    <row r="107" spans="1:31" x14ac:dyDescent="0.25">
      <c r="A107" t="s">
        <v>980</v>
      </c>
      <c r="B107">
        <v>1101</v>
      </c>
      <c r="C107">
        <v>2133</v>
      </c>
      <c r="D107">
        <v>7974</v>
      </c>
      <c r="E107">
        <v>15552</v>
      </c>
      <c r="F107">
        <v>24525</v>
      </c>
      <c r="G107">
        <v>36483</v>
      </c>
      <c r="H107">
        <v>52311</v>
      </c>
      <c r="I107">
        <v>66918</v>
      </c>
      <c r="J107">
        <v>82059</v>
      </c>
      <c r="K107">
        <v>92814</v>
      </c>
      <c r="L107">
        <v>92127</v>
      </c>
      <c r="M107">
        <v>92145</v>
      </c>
      <c r="N107">
        <v>67338</v>
      </c>
      <c r="O107">
        <v>67404</v>
      </c>
      <c r="P107">
        <v>67428</v>
      </c>
      <c r="Q107">
        <v>67359</v>
      </c>
      <c r="R107">
        <v>67248</v>
      </c>
      <c r="S107">
        <v>67086</v>
      </c>
      <c r="T107">
        <v>67524</v>
      </c>
      <c r="U107">
        <v>67920</v>
      </c>
      <c r="V107">
        <v>68511</v>
      </c>
      <c r="W107">
        <v>68718</v>
      </c>
      <c r="X107">
        <v>69066</v>
      </c>
      <c r="Y107">
        <v>69117</v>
      </c>
      <c r="Z107">
        <v>69222</v>
      </c>
      <c r="AA107">
        <v>69729</v>
      </c>
      <c r="AB107">
        <v>69681</v>
      </c>
      <c r="AC107">
        <v>70272</v>
      </c>
      <c r="AD107">
        <v>69987</v>
      </c>
      <c r="AE107">
        <v>70446</v>
      </c>
    </row>
    <row r="108" spans="1:31" x14ac:dyDescent="0.25">
      <c r="A108" t="s">
        <v>981</v>
      </c>
      <c r="B108">
        <v>60</v>
      </c>
      <c r="C108">
        <v>147</v>
      </c>
      <c r="D108">
        <v>99</v>
      </c>
      <c r="E108">
        <v>99</v>
      </c>
      <c r="F108">
        <v>75</v>
      </c>
      <c r="G108">
        <v>60</v>
      </c>
      <c r="H108">
        <v>51</v>
      </c>
      <c r="I108">
        <v>33</v>
      </c>
      <c r="J108">
        <v>24</v>
      </c>
      <c r="K108">
        <v>18</v>
      </c>
      <c r="L108">
        <v>18</v>
      </c>
      <c r="M108">
        <v>15</v>
      </c>
      <c r="N108">
        <v>18</v>
      </c>
      <c r="O108">
        <v>18</v>
      </c>
      <c r="P108">
        <v>15</v>
      </c>
      <c r="Q108">
        <v>12</v>
      </c>
      <c r="R108">
        <v>12</v>
      </c>
      <c r="S108">
        <v>9</v>
      </c>
      <c r="T108">
        <v>9</v>
      </c>
      <c r="U108">
        <v>9</v>
      </c>
      <c r="V108">
        <v>6</v>
      </c>
      <c r="W108">
        <v>6</v>
      </c>
      <c r="X108">
        <v>6</v>
      </c>
      <c r="Y108">
        <v>6</v>
      </c>
      <c r="Z108">
        <v>6</v>
      </c>
      <c r="AA108">
        <v>6</v>
      </c>
      <c r="AB108">
        <v>6</v>
      </c>
      <c r="AC108">
        <v>3</v>
      </c>
      <c r="AD108">
        <v>3</v>
      </c>
      <c r="AE108">
        <v>3</v>
      </c>
    </row>
    <row r="109" spans="1:31" x14ac:dyDescent="0.25">
      <c r="A109" t="s">
        <v>982</v>
      </c>
      <c r="B109">
        <v>12276</v>
      </c>
      <c r="C109">
        <v>15456</v>
      </c>
      <c r="D109">
        <v>15222</v>
      </c>
      <c r="E109">
        <v>15048</v>
      </c>
      <c r="F109">
        <v>14499</v>
      </c>
      <c r="G109">
        <v>13503</v>
      </c>
      <c r="H109">
        <v>11934</v>
      </c>
      <c r="I109">
        <v>10356</v>
      </c>
      <c r="J109">
        <v>8703</v>
      </c>
      <c r="K109">
        <v>7440</v>
      </c>
      <c r="L109">
        <v>7605</v>
      </c>
      <c r="M109">
        <v>7638</v>
      </c>
      <c r="N109">
        <v>10686</v>
      </c>
      <c r="O109">
        <v>10698</v>
      </c>
      <c r="P109">
        <v>10740</v>
      </c>
      <c r="Q109">
        <v>10692</v>
      </c>
      <c r="R109">
        <v>10725</v>
      </c>
      <c r="S109">
        <v>10731</v>
      </c>
      <c r="T109">
        <v>10629</v>
      </c>
      <c r="U109">
        <v>10551</v>
      </c>
      <c r="V109">
        <v>10503</v>
      </c>
      <c r="W109">
        <v>10416</v>
      </c>
      <c r="X109">
        <v>10365</v>
      </c>
      <c r="Y109">
        <v>10248</v>
      </c>
      <c r="Z109">
        <v>10182</v>
      </c>
      <c r="AA109">
        <v>10008</v>
      </c>
      <c r="AB109">
        <v>9954</v>
      </c>
      <c r="AC109">
        <v>9780</v>
      </c>
      <c r="AD109">
        <v>9708</v>
      </c>
      <c r="AE109">
        <v>9540</v>
      </c>
    </row>
    <row r="110" spans="1:31" x14ac:dyDescent="0.25">
      <c r="A110" t="s">
        <v>983</v>
      </c>
      <c r="B110">
        <v>97050</v>
      </c>
      <c r="C110">
        <v>113415</v>
      </c>
      <c r="D110">
        <v>116379</v>
      </c>
      <c r="E110">
        <v>113814</v>
      </c>
      <c r="F110">
        <v>108417</v>
      </c>
      <c r="G110">
        <v>99657</v>
      </c>
      <c r="H110">
        <v>87042</v>
      </c>
      <c r="I110">
        <v>75279</v>
      </c>
      <c r="J110">
        <v>62715</v>
      </c>
      <c r="K110">
        <v>53865</v>
      </c>
      <c r="L110">
        <v>54708</v>
      </c>
      <c r="M110">
        <v>54939</v>
      </c>
      <c r="N110">
        <v>77082</v>
      </c>
      <c r="O110">
        <v>77259</v>
      </c>
      <c r="P110">
        <v>77367</v>
      </c>
      <c r="Q110">
        <v>77541</v>
      </c>
      <c r="R110">
        <v>77622</v>
      </c>
      <c r="S110">
        <v>77640</v>
      </c>
      <c r="T110">
        <v>77070</v>
      </c>
      <c r="U110">
        <v>76458</v>
      </c>
      <c r="V110">
        <v>75555</v>
      </c>
      <c r="W110">
        <v>75036</v>
      </c>
      <c r="X110">
        <v>74277</v>
      </c>
      <c r="Y110">
        <v>73872</v>
      </c>
      <c r="Z110">
        <v>73326</v>
      </c>
      <c r="AA110">
        <v>72498</v>
      </c>
      <c r="AB110">
        <v>72051</v>
      </c>
      <c r="AC110">
        <v>71121</v>
      </c>
      <c r="AD110">
        <v>70902</v>
      </c>
      <c r="AE110">
        <v>70071</v>
      </c>
    </row>
    <row r="111" spans="1:31" x14ac:dyDescent="0.25">
      <c r="A111" t="s">
        <v>984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x14ac:dyDescent="0.25">
      <c r="A112" t="s">
        <v>985</v>
      </c>
      <c r="B112">
        <v>0</v>
      </c>
      <c r="C112">
        <v>12</v>
      </c>
      <c r="D112">
        <v>15</v>
      </c>
      <c r="E112">
        <v>24</v>
      </c>
      <c r="F112">
        <v>30</v>
      </c>
      <c r="G112">
        <v>33</v>
      </c>
      <c r="H112">
        <v>36</v>
      </c>
      <c r="I112">
        <v>30</v>
      </c>
      <c r="J112">
        <v>27</v>
      </c>
      <c r="K112">
        <v>27</v>
      </c>
      <c r="L112">
        <v>27</v>
      </c>
      <c r="M112">
        <v>30</v>
      </c>
      <c r="N112">
        <v>45</v>
      </c>
      <c r="O112">
        <v>48</v>
      </c>
      <c r="P112">
        <v>51</v>
      </c>
      <c r="Q112">
        <v>54</v>
      </c>
      <c r="R112">
        <v>57</v>
      </c>
      <c r="S112">
        <v>57</v>
      </c>
      <c r="T112">
        <v>57</v>
      </c>
      <c r="U112">
        <v>60</v>
      </c>
      <c r="V112">
        <v>60</v>
      </c>
      <c r="W112">
        <v>60</v>
      </c>
      <c r="X112">
        <v>63</v>
      </c>
      <c r="Y112">
        <v>63</v>
      </c>
      <c r="Z112">
        <v>66</v>
      </c>
      <c r="AA112">
        <v>66</v>
      </c>
      <c r="AB112">
        <v>66</v>
      </c>
      <c r="AC112">
        <v>69</v>
      </c>
      <c r="AD112">
        <v>66</v>
      </c>
      <c r="AE112">
        <v>66</v>
      </c>
    </row>
    <row r="113" spans="1:31" x14ac:dyDescent="0.25">
      <c r="A113" t="s">
        <v>986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3</v>
      </c>
      <c r="H113">
        <v>9</v>
      </c>
      <c r="I113">
        <v>24</v>
      </c>
      <c r="J113">
        <v>51</v>
      </c>
      <c r="K113">
        <v>111</v>
      </c>
      <c r="L113">
        <v>264</v>
      </c>
      <c r="M113">
        <v>363</v>
      </c>
      <c r="N113">
        <v>297</v>
      </c>
      <c r="O113">
        <v>378</v>
      </c>
      <c r="P113">
        <v>471</v>
      </c>
      <c r="Q113">
        <v>639</v>
      </c>
      <c r="R113">
        <v>834</v>
      </c>
      <c r="S113">
        <v>1065</v>
      </c>
      <c r="T113">
        <v>1335</v>
      </c>
      <c r="U113">
        <v>1632</v>
      </c>
      <c r="V113">
        <v>1953</v>
      </c>
      <c r="W113">
        <v>2289</v>
      </c>
      <c r="X113">
        <v>2637</v>
      </c>
      <c r="Y113">
        <v>2997</v>
      </c>
      <c r="Z113">
        <v>3372</v>
      </c>
      <c r="AA113">
        <v>3777</v>
      </c>
      <c r="AB113">
        <v>4170</v>
      </c>
      <c r="AC113">
        <v>4542</v>
      </c>
      <c r="AD113">
        <v>4950</v>
      </c>
      <c r="AE113">
        <v>5343</v>
      </c>
    </row>
    <row r="115" spans="1:31" x14ac:dyDescent="0.25">
      <c r="A115" t="s">
        <v>944</v>
      </c>
      <c r="B115" s="47">
        <f>B107/SUM(B107:B113)</f>
        <v>9.9649732547720544E-3</v>
      </c>
      <c r="C115" s="47">
        <f t="shared" ref="C115:AE115" si="6">C107/SUM(C107:C113)</f>
        <v>1.626220809222113E-2</v>
      </c>
      <c r="D115" s="47">
        <f t="shared" si="6"/>
        <v>5.7083950776367499E-2</v>
      </c>
      <c r="E115" s="47">
        <f t="shared" si="6"/>
        <v>0.10759874634176717</v>
      </c>
      <c r="F115" s="47">
        <f t="shared" si="6"/>
        <v>0.16621934854214956</v>
      </c>
      <c r="G115" s="47">
        <f t="shared" si="6"/>
        <v>0.24364394045639412</v>
      </c>
      <c r="H115" s="47">
        <f t="shared" si="6"/>
        <v>0.34555399219198984</v>
      </c>
      <c r="I115" s="47">
        <f t="shared" si="6"/>
        <v>0.43840408805031444</v>
      </c>
      <c r="J115" s="47">
        <f t="shared" si="6"/>
        <v>0.53431133162737088</v>
      </c>
      <c r="K115" s="47">
        <f t="shared" si="6"/>
        <v>0.60161400097228979</v>
      </c>
      <c r="L115" s="47">
        <f t="shared" si="6"/>
        <v>0.5953317953589361</v>
      </c>
      <c r="M115" s="47">
        <f t="shared" si="6"/>
        <v>0.59398568942177532</v>
      </c>
      <c r="N115" s="47">
        <f t="shared" si="6"/>
        <v>0.43313650573115664</v>
      </c>
      <c r="O115" s="47">
        <f t="shared" si="6"/>
        <v>0.43261769519591797</v>
      </c>
      <c r="P115" s="47">
        <f t="shared" si="6"/>
        <v>0.43203137013685994</v>
      </c>
      <c r="Q115" s="47">
        <f t="shared" si="6"/>
        <v>0.43096796483617728</v>
      </c>
      <c r="R115" s="47">
        <f t="shared" si="6"/>
        <v>0.42970517195107927</v>
      </c>
      <c r="S115" s="47">
        <f t="shared" si="6"/>
        <v>0.42842363399494215</v>
      </c>
      <c r="T115" s="47">
        <f t="shared" si="6"/>
        <v>0.43112166717744405</v>
      </c>
      <c r="U115" s="47">
        <f t="shared" si="6"/>
        <v>0.43363340356253594</v>
      </c>
      <c r="V115" s="47">
        <f t="shared" si="6"/>
        <v>0.43752394819526402</v>
      </c>
      <c r="W115" s="47">
        <f t="shared" si="6"/>
        <v>0.43902252036415906</v>
      </c>
      <c r="X115" s="47">
        <f t="shared" si="6"/>
        <v>0.44155893973685217</v>
      </c>
      <c r="Y115" s="47">
        <f t="shared" si="6"/>
        <v>0.44219880616494883</v>
      </c>
      <c r="Z115" s="47">
        <f t="shared" si="6"/>
        <v>0.44323639018018363</v>
      </c>
      <c r="AA115" s="47">
        <f t="shared" si="6"/>
        <v>0.44674021680633508</v>
      </c>
      <c r="AB115" s="47">
        <f t="shared" si="6"/>
        <v>0.44687932892104049</v>
      </c>
      <c r="AC115" s="47">
        <f t="shared" si="6"/>
        <v>0.45107743264842382</v>
      </c>
      <c r="AD115" s="47">
        <f t="shared" si="6"/>
        <v>0.44974167180752622</v>
      </c>
      <c r="AE115" s="47">
        <f t="shared" si="6"/>
        <v>0.45311927136599578</v>
      </c>
    </row>
    <row r="116" spans="1:31" x14ac:dyDescent="0.25">
      <c r="A116" t="s">
        <v>945</v>
      </c>
      <c r="B116" s="47">
        <f>B113/SUM(B107:B113)</f>
        <v>0</v>
      </c>
      <c r="C116" s="47">
        <f t="shared" ref="C116:AE116" si="7">C113/SUM(C107:C113)</f>
        <v>0</v>
      </c>
      <c r="D116" s="47">
        <f t="shared" si="7"/>
        <v>0</v>
      </c>
      <c r="E116" s="47">
        <f t="shared" si="7"/>
        <v>0</v>
      </c>
      <c r="F116" s="47">
        <f t="shared" si="7"/>
        <v>0</v>
      </c>
      <c r="G116" s="47">
        <f t="shared" si="7"/>
        <v>2.0034860657544126E-5</v>
      </c>
      <c r="H116" s="47">
        <f t="shared" si="7"/>
        <v>5.9451853906977663E-5</v>
      </c>
      <c r="I116" s="47">
        <f t="shared" si="7"/>
        <v>1.5723270440251572E-4</v>
      </c>
      <c r="J116" s="47">
        <f t="shared" si="7"/>
        <v>3.3207665110464323E-4</v>
      </c>
      <c r="K116" s="47">
        <f t="shared" si="7"/>
        <v>7.1949440933398153E-4</v>
      </c>
      <c r="L116" s="47">
        <f t="shared" si="7"/>
        <v>1.7059884070333249E-3</v>
      </c>
      <c r="M116" s="47">
        <f t="shared" si="7"/>
        <v>2.3399729259330885E-3</v>
      </c>
      <c r="N116" s="47">
        <f t="shared" si="7"/>
        <v>1.9103855505383813E-3</v>
      </c>
      <c r="O116" s="47">
        <f t="shared" si="7"/>
        <v>2.4261095600269567E-3</v>
      </c>
      <c r="P116" s="47">
        <f t="shared" si="7"/>
        <v>3.0178379209595571E-3</v>
      </c>
      <c r="Q116" s="47">
        <f t="shared" si="7"/>
        <v>4.0883702182383536E-3</v>
      </c>
      <c r="R116" s="47">
        <f t="shared" si="7"/>
        <v>5.3291415864739483E-3</v>
      </c>
      <c r="S116" s="47">
        <f t="shared" si="7"/>
        <v>6.801287454977393E-3</v>
      </c>
      <c r="T116" s="47">
        <f t="shared" si="7"/>
        <v>8.5235979160281951E-3</v>
      </c>
      <c r="U116" s="47">
        <f t="shared" si="7"/>
        <v>1.0419459873587436E-2</v>
      </c>
      <c r="V116" s="47">
        <f t="shared" si="7"/>
        <v>1.2472220093493754E-2</v>
      </c>
      <c r="W116" s="47">
        <f t="shared" si="7"/>
        <v>1.4623862002874939E-2</v>
      </c>
      <c r="X116" s="47">
        <f t="shared" si="7"/>
        <v>1.6859104683723963E-2</v>
      </c>
      <c r="Y116" s="47">
        <f t="shared" si="7"/>
        <v>1.9174296078770081E-2</v>
      </c>
      <c r="Z116" s="47">
        <f t="shared" si="7"/>
        <v>2.1591302009297323E-2</v>
      </c>
      <c r="AA116" s="47">
        <f t="shared" si="7"/>
        <v>2.4198508495425541E-2</v>
      </c>
      <c r="AB116" s="47">
        <f t="shared" si="7"/>
        <v>2.6743112205633371E-2</v>
      </c>
      <c r="AC116" s="47">
        <f t="shared" si="7"/>
        <v>2.9155192666910589E-2</v>
      </c>
      <c r="AD116" s="47">
        <f t="shared" si="7"/>
        <v>3.180906847624923E-2</v>
      </c>
      <c r="AE116" s="47">
        <f t="shared" si="7"/>
        <v>3.4366979912394111E-2</v>
      </c>
    </row>
    <row r="117" spans="1:31" x14ac:dyDescent="0.25">
      <c r="A117" t="s">
        <v>951</v>
      </c>
      <c r="B117" s="48">
        <f>SUM(B115:B116)</f>
        <v>9.9649732547720544E-3</v>
      </c>
      <c r="C117" s="48">
        <f t="shared" ref="C117:AE117" si="8">SUM(C115:C116)</f>
        <v>1.626220809222113E-2</v>
      </c>
      <c r="D117" s="48">
        <f t="shared" si="8"/>
        <v>5.7083950776367499E-2</v>
      </c>
      <c r="E117" s="48">
        <f t="shared" si="8"/>
        <v>0.10759874634176717</v>
      </c>
      <c r="F117" s="48">
        <f t="shared" si="8"/>
        <v>0.16621934854214956</v>
      </c>
      <c r="G117" s="48">
        <f t="shared" si="8"/>
        <v>0.24366397531705167</v>
      </c>
      <c r="H117" s="48">
        <f t="shared" si="8"/>
        <v>0.34561344404589683</v>
      </c>
      <c r="I117" s="48">
        <f t="shared" si="8"/>
        <v>0.43856132075471699</v>
      </c>
      <c r="J117" s="48">
        <f t="shared" si="8"/>
        <v>0.53464340827847556</v>
      </c>
      <c r="K117" s="48">
        <f t="shared" si="8"/>
        <v>0.60233349538162373</v>
      </c>
      <c r="L117" s="48">
        <f t="shared" si="8"/>
        <v>0.59703778376596939</v>
      </c>
      <c r="M117" s="48">
        <f t="shared" si="8"/>
        <v>0.59632566234770845</v>
      </c>
      <c r="N117" s="48">
        <f t="shared" si="8"/>
        <v>0.43504689128169505</v>
      </c>
      <c r="O117" s="48">
        <f t="shared" si="8"/>
        <v>0.43504380475594495</v>
      </c>
      <c r="P117" s="48">
        <f t="shared" si="8"/>
        <v>0.43504920805781949</v>
      </c>
      <c r="Q117" s="48">
        <f t="shared" si="8"/>
        <v>0.43505633505441565</v>
      </c>
      <c r="R117" s="48">
        <f t="shared" si="8"/>
        <v>0.43503431353755323</v>
      </c>
      <c r="S117" s="48">
        <f t="shared" si="8"/>
        <v>0.43522492144991953</v>
      </c>
      <c r="T117" s="48">
        <f t="shared" si="8"/>
        <v>0.43964526509347224</v>
      </c>
      <c r="U117" s="48">
        <f t="shared" si="8"/>
        <v>0.44405286343612338</v>
      </c>
      <c r="V117" s="48">
        <f t="shared" si="8"/>
        <v>0.44999616828875777</v>
      </c>
      <c r="W117" s="48">
        <f t="shared" si="8"/>
        <v>0.45364638236703403</v>
      </c>
      <c r="X117" s="48">
        <f t="shared" si="8"/>
        <v>0.45841804442057615</v>
      </c>
      <c r="Y117" s="48">
        <f t="shared" si="8"/>
        <v>0.46137310224371891</v>
      </c>
      <c r="Z117" s="48">
        <f t="shared" si="8"/>
        <v>0.46482769218948095</v>
      </c>
      <c r="AA117" s="48">
        <f t="shared" si="8"/>
        <v>0.47093872530176062</v>
      </c>
      <c r="AB117" s="48">
        <f t="shared" si="8"/>
        <v>0.47362244112667384</v>
      </c>
      <c r="AC117" s="48">
        <f t="shared" si="8"/>
        <v>0.48023262531533439</v>
      </c>
      <c r="AD117" s="48">
        <f t="shared" si="8"/>
        <v>0.48155074028377542</v>
      </c>
      <c r="AE117" s="48">
        <f t="shared" si="8"/>
        <v>0.4874862512783899</v>
      </c>
    </row>
    <row r="119" spans="1:31" x14ac:dyDescent="0.25">
      <c r="A119" s="1" t="s">
        <v>946</v>
      </c>
    </row>
    <row r="121" spans="1:31" x14ac:dyDescent="0.25">
      <c r="A121" s="13" t="s">
        <v>965</v>
      </c>
      <c r="B121">
        <v>2021</v>
      </c>
      <c r="C121">
        <v>2022</v>
      </c>
      <c r="D121">
        <v>2023</v>
      </c>
      <c r="E121">
        <v>2024</v>
      </c>
      <c r="F121">
        <v>2025</v>
      </c>
      <c r="G121">
        <v>2026</v>
      </c>
      <c r="H121">
        <v>2027</v>
      </c>
      <c r="I121">
        <v>2028</v>
      </c>
      <c r="J121">
        <v>2029</v>
      </c>
      <c r="K121">
        <v>2030</v>
      </c>
      <c r="L121">
        <v>2031</v>
      </c>
      <c r="M121">
        <v>2032</v>
      </c>
      <c r="N121">
        <v>2033</v>
      </c>
      <c r="O121">
        <v>2034</v>
      </c>
      <c r="P121">
        <v>2035</v>
      </c>
      <c r="Q121">
        <v>2036</v>
      </c>
      <c r="R121">
        <v>2037</v>
      </c>
      <c r="S121">
        <v>2038</v>
      </c>
      <c r="T121">
        <v>2039</v>
      </c>
      <c r="U121">
        <v>2040</v>
      </c>
      <c r="V121">
        <v>2041</v>
      </c>
      <c r="W121">
        <v>2042</v>
      </c>
      <c r="X121">
        <v>2043</v>
      </c>
      <c r="Y121">
        <v>2044</v>
      </c>
      <c r="Z121">
        <v>2045</v>
      </c>
      <c r="AA121">
        <v>2046</v>
      </c>
      <c r="AB121">
        <v>2047</v>
      </c>
      <c r="AC121">
        <v>2048</v>
      </c>
      <c r="AD121">
        <v>2049</v>
      </c>
      <c r="AE121">
        <v>2050</v>
      </c>
    </row>
    <row r="122" spans="1:31" x14ac:dyDescent="0.25">
      <c r="A122" t="s">
        <v>987</v>
      </c>
      <c r="B122">
        <v>7347</v>
      </c>
      <c r="C122">
        <v>11271</v>
      </c>
      <c r="D122">
        <v>20274</v>
      </c>
      <c r="E122">
        <v>33201</v>
      </c>
      <c r="F122">
        <v>52125</v>
      </c>
      <c r="G122">
        <v>72627</v>
      </c>
      <c r="H122">
        <v>202926</v>
      </c>
      <c r="I122">
        <v>263625</v>
      </c>
      <c r="J122">
        <v>324018</v>
      </c>
      <c r="K122">
        <v>384396</v>
      </c>
      <c r="L122">
        <v>553518</v>
      </c>
      <c r="M122">
        <v>722892</v>
      </c>
      <c r="N122">
        <v>723747</v>
      </c>
      <c r="O122">
        <v>722799</v>
      </c>
      <c r="P122">
        <v>721497</v>
      </c>
      <c r="Q122">
        <v>718962</v>
      </c>
      <c r="R122">
        <v>716940</v>
      </c>
      <c r="S122">
        <v>715020</v>
      </c>
      <c r="T122">
        <v>713217</v>
      </c>
      <c r="U122" s="39">
        <v>712041</v>
      </c>
      <c r="V122" s="39">
        <v>711786</v>
      </c>
      <c r="W122" s="39">
        <v>713052</v>
      </c>
      <c r="X122" s="39">
        <v>716232</v>
      </c>
      <c r="Y122" s="39">
        <v>720633</v>
      </c>
      <c r="Z122" s="39">
        <v>725325</v>
      </c>
      <c r="AA122" s="39">
        <v>729951</v>
      </c>
      <c r="AB122" s="39">
        <v>734796</v>
      </c>
      <c r="AC122" s="39">
        <v>740355</v>
      </c>
      <c r="AD122" s="39">
        <v>745575</v>
      </c>
      <c r="AE122" s="39">
        <v>749913</v>
      </c>
    </row>
    <row r="123" spans="1:31" x14ac:dyDescent="0.25">
      <c r="A123" t="s">
        <v>988</v>
      </c>
      <c r="B123">
        <v>342</v>
      </c>
      <c r="C123">
        <v>318</v>
      </c>
      <c r="D123">
        <v>294</v>
      </c>
      <c r="E123">
        <v>303</v>
      </c>
      <c r="F123">
        <v>282</v>
      </c>
      <c r="G123">
        <v>270</v>
      </c>
      <c r="H123">
        <v>237</v>
      </c>
      <c r="I123">
        <v>219</v>
      </c>
      <c r="J123">
        <v>207</v>
      </c>
      <c r="K123">
        <v>192</v>
      </c>
      <c r="L123">
        <v>156</v>
      </c>
      <c r="M123">
        <v>117</v>
      </c>
      <c r="N123">
        <v>117</v>
      </c>
      <c r="O123">
        <v>117</v>
      </c>
      <c r="P123">
        <v>117</v>
      </c>
      <c r="Q123">
        <v>114</v>
      </c>
      <c r="R123">
        <v>114</v>
      </c>
      <c r="S123">
        <v>114</v>
      </c>
      <c r="T123">
        <v>114</v>
      </c>
      <c r="U123">
        <v>111</v>
      </c>
      <c r="V123">
        <v>111</v>
      </c>
      <c r="W123">
        <v>111</v>
      </c>
      <c r="X123">
        <v>111</v>
      </c>
      <c r="Y123">
        <v>111</v>
      </c>
      <c r="Z123">
        <v>111</v>
      </c>
      <c r="AA123">
        <v>111</v>
      </c>
      <c r="AB123">
        <v>111</v>
      </c>
      <c r="AC123">
        <v>111</v>
      </c>
      <c r="AD123">
        <v>111</v>
      </c>
      <c r="AE123">
        <v>111</v>
      </c>
    </row>
    <row r="124" spans="1:31" x14ac:dyDescent="0.25">
      <c r="A124" t="s">
        <v>989</v>
      </c>
      <c r="B124" s="39">
        <v>862224</v>
      </c>
      <c r="C124" s="39">
        <v>737448</v>
      </c>
      <c r="D124" s="39">
        <v>731397</v>
      </c>
      <c r="E124" s="39">
        <v>732237</v>
      </c>
      <c r="F124">
        <v>729291</v>
      </c>
      <c r="G124">
        <v>728367</v>
      </c>
      <c r="H124">
        <v>655545</v>
      </c>
      <c r="I124">
        <v>625401</v>
      </c>
      <c r="J124">
        <v>595767</v>
      </c>
      <c r="K124">
        <v>563820</v>
      </c>
      <c r="L124">
        <v>463563</v>
      </c>
      <c r="M124">
        <v>360552</v>
      </c>
      <c r="N124">
        <v>364605</v>
      </c>
      <c r="O124">
        <v>366792</v>
      </c>
      <c r="P124">
        <v>369513</v>
      </c>
      <c r="Q124">
        <v>371538</v>
      </c>
      <c r="R124">
        <v>374244</v>
      </c>
      <c r="S124">
        <v>376833</v>
      </c>
      <c r="T124">
        <v>379101</v>
      </c>
      <c r="U124">
        <v>381432</v>
      </c>
      <c r="V124">
        <v>383991</v>
      </c>
      <c r="W124">
        <v>386706</v>
      </c>
      <c r="X124">
        <v>390339</v>
      </c>
      <c r="Y124">
        <v>393804</v>
      </c>
      <c r="Z124">
        <v>397497</v>
      </c>
      <c r="AA124">
        <v>400596</v>
      </c>
      <c r="AB124">
        <v>403629</v>
      </c>
      <c r="AC124">
        <v>406893</v>
      </c>
      <c r="AD124">
        <v>410334</v>
      </c>
      <c r="AE124">
        <v>412581</v>
      </c>
    </row>
    <row r="125" spans="1:31" x14ac:dyDescent="0.25">
      <c r="A125" t="s">
        <v>990</v>
      </c>
      <c r="B125">
        <v>604722</v>
      </c>
      <c r="C125">
        <v>505500</v>
      </c>
      <c r="D125">
        <v>508941</v>
      </c>
      <c r="E125">
        <v>505569</v>
      </c>
      <c r="F125">
        <v>502530</v>
      </c>
      <c r="G125">
        <v>496149</v>
      </c>
      <c r="H125">
        <v>445344</v>
      </c>
      <c r="I125">
        <v>423945</v>
      </c>
      <c r="J125">
        <v>401547</v>
      </c>
      <c r="K125">
        <v>380397</v>
      </c>
      <c r="L125">
        <v>310716</v>
      </c>
      <c r="M125">
        <v>241785</v>
      </c>
      <c r="N125">
        <v>242373</v>
      </c>
      <c r="O125">
        <v>243972</v>
      </c>
      <c r="P125">
        <v>244575</v>
      </c>
      <c r="Q125">
        <v>246354</v>
      </c>
      <c r="R125">
        <v>248010</v>
      </c>
      <c r="S125">
        <v>249705</v>
      </c>
      <c r="T125">
        <v>251361</v>
      </c>
      <c r="U125">
        <v>252873</v>
      </c>
      <c r="V125">
        <v>254322</v>
      </c>
      <c r="W125">
        <v>256230</v>
      </c>
      <c r="X125">
        <v>258258</v>
      </c>
      <c r="Y125">
        <v>260976</v>
      </c>
      <c r="Z125">
        <v>263361</v>
      </c>
      <c r="AA125">
        <v>265773</v>
      </c>
      <c r="AB125">
        <v>268137</v>
      </c>
      <c r="AC125">
        <v>270642</v>
      </c>
      <c r="AD125">
        <v>272568</v>
      </c>
      <c r="AE125">
        <v>274524</v>
      </c>
    </row>
    <row r="126" spans="1:31" x14ac:dyDescent="0.25">
      <c r="A126" t="s">
        <v>991</v>
      </c>
      <c r="B126">
        <v>42</v>
      </c>
      <c r="C126">
        <v>561</v>
      </c>
      <c r="D126">
        <v>1008</v>
      </c>
      <c r="E126">
        <v>1641</v>
      </c>
      <c r="F126">
        <v>2601</v>
      </c>
      <c r="G126">
        <v>3633</v>
      </c>
      <c r="H126">
        <v>10194</v>
      </c>
      <c r="I126">
        <v>13440</v>
      </c>
      <c r="J126">
        <v>17043</v>
      </c>
      <c r="K126">
        <v>21744</v>
      </c>
      <c r="L126">
        <v>33156</v>
      </c>
      <c r="M126">
        <v>47076</v>
      </c>
      <c r="N126">
        <v>52152</v>
      </c>
      <c r="O126">
        <v>57942</v>
      </c>
      <c r="P126">
        <v>64704</v>
      </c>
      <c r="Q126">
        <v>72087</v>
      </c>
      <c r="R126">
        <v>79728</v>
      </c>
      <c r="S126">
        <v>87135</v>
      </c>
      <c r="T126">
        <v>93972</v>
      </c>
      <c r="U126">
        <v>100095</v>
      </c>
      <c r="V126">
        <v>105489</v>
      </c>
      <c r="W126">
        <v>110139</v>
      </c>
      <c r="X126">
        <v>114231</v>
      </c>
      <c r="Y126">
        <v>117771</v>
      </c>
      <c r="Z126">
        <v>120846</v>
      </c>
      <c r="AA126">
        <v>123237</v>
      </c>
      <c r="AB126">
        <v>125244</v>
      </c>
      <c r="AC126">
        <v>126993</v>
      </c>
      <c r="AD126">
        <v>128589</v>
      </c>
      <c r="AE126">
        <v>129612</v>
      </c>
    </row>
    <row r="127" spans="1:31" x14ac:dyDescent="0.25">
      <c r="A127" t="s">
        <v>992</v>
      </c>
      <c r="B127">
        <v>126</v>
      </c>
      <c r="C127">
        <v>129</v>
      </c>
      <c r="D127">
        <v>126</v>
      </c>
      <c r="E127">
        <v>129</v>
      </c>
      <c r="F127">
        <v>129</v>
      </c>
      <c r="G127">
        <v>132</v>
      </c>
      <c r="H127">
        <v>120</v>
      </c>
      <c r="I127">
        <v>114</v>
      </c>
      <c r="J127">
        <v>111</v>
      </c>
      <c r="K127">
        <v>105</v>
      </c>
      <c r="L127">
        <v>87</v>
      </c>
      <c r="M127">
        <v>69</v>
      </c>
      <c r="N127">
        <v>72</v>
      </c>
      <c r="O127">
        <v>72</v>
      </c>
      <c r="P127">
        <v>75</v>
      </c>
      <c r="Q127">
        <v>75</v>
      </c>
      <c r="R127">
        <v>78</v>
      </c>
      <c r="S127">
        <v>78</v>
      </c>
      <c r="T127">
        <v>81</v>
      </c>
      <c r="U127">
        <v>81</v>
      </c>
      <c r="V127">
        <v>84</v>
      </c>
      <c r="W127">
        <v>84</v>
      </c>
      <c r="X127">
        <v>87</v>
      </c>
      <c r="Y127">
        <v>87</v>
      </c>
      <c r="Z127">
        <v>90</v>
      </c>
      <c r="AA127">
        <v>93</v>
      </c>
      <c r="AB127">
        <v>93</v>
      </c>
      <c r="AC127">
        <v>96</v>
      </c>
      <c r="AD127">
        <v>99</v>
      </c>
      <c r="AE127">
        <v>99</v>
      </c>
    </row>
    <row r="128" spans="1:31" x14ac:dyDescent="0.25">
      <c r="A128" t="s">
        <v>993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3</v>
      </c>
      <c r="O128">
        <v>3</v>
      </c>
      <c r="P128">
        <v>6</v>
      </c>
      <c r="Q128">
        <v>6</v>
      </c>
      <c r="R128">
        <v>6</v>
      </c>
      <c r="S128">
        <v>9</v>
      </c>
      <c r="T128">
        <v>9</v>
      </c>
      <c r="U128">
        <v>9</v>
      </c>
      <c r="V128">
        <v>12</v>
      </c>
      <c r="W128">
        <v>12</v>
      </c>
      <c r="X128">
        <v>15</v>
      </c>
      <c r="Y128">
        <v>15</v>
      </c>
      <c r="Z128">
        <v>15</v>
      </c>
      <c r="AA128">
        <v>18</v>
      </c>
      <c r="AB128">
        <v>18</v>
      </c>
      <c r="AC128">
        <v>18</v>
      </c>
      <c r="AD128">
        <v>18</v>
      </c>
      <c r="AE128">
        <v>21</v>
      </c>
    </row>
    <row r="130" spans="1:31" x14ac:dyDescent="0.25">
      <c r="A130" t="s">
        <v>944</v>
      </c>
      <c r="B130" s="47">
        <f>B122/SUM(B122:B128)</f>
        <v>4.98168229926302E-3</v>
      </c>
      <c r="C130" s="47">
        <f t="shared" ref="C130:AE130" si="9">C122/SUM(C122:C128)</f>
        <v>8.9792523583383729E-3</v>
      </c>
      <c r="D130" s="47">
        <f t="shared" si="9"/>
        <v>1.6064467053342208E-2</v>
      </c>
      <c r="E130" s="47">
        <f t="shared" si="9"/>
        <v>2.6079272315958149E-2</v>
      </c>
      <c r="F130" s="47">
        <f t="shared" si="9"/>
        <v>4.0502487260656528E-2</v>
      </c>
      <c r="G130" s="47">
        <f t="shared" si="9"/>
        <v>5.581634488133061E-2</v>
      </c>
      <c r="H130" s="47">
        <f t="shared" si="9"/>
        <v>0.15439078612806478</v>
      </c>
      <c r="I130" s="47">
        <f t="shared" si="9"/>
        <v>0.1987007290027315</v>
      </c>
      <c r="J130" s="47">
        <f t="shared" si="9"/>
        <v>0.24204055746911354</v>
      </c>
      <c r="K130" s="47">
        <f t="shared" si="9"/>
        <v>0.28459990493494264</v>
      </c>
      <c r="L130" s="47">
        <f t="shared" si="9"/>
        <v>0.40664002838673846</v>
      </c>
      <c r="M130" s="47">
        <f t="shared" si="9"/>
        <v>0.5266995702713454</v>
      </c>
      <c r="N130" s="47">
        <f t="shared" si="9"/>
        <v>0.5232905950462341</v>
      </c>
      <c r="O130" s="47">
        <f t="shared" si="9"/>
        <v>0.51936520665058561</v>
      </c>
      <c r="P130" s="47">
        <f t="shared" si="9"/>
        <v>0.51517579242077938</v>
      </c>
      <c r="Q130" s="47">
        <f t="shared" si="9"/>
        <v>0.51021476990155668</v>
      </c>
      <c r="R130" s="47">
        <f t="shared" si="9"/>
        <v>0.50520040588533743</v>
      </c>
      <c r="S130" s="47">
        <f t="shared" si="9"/>
        <v>0.50040100945206567</v>
      </c>
      <c r="T130" s="47">
        <f t="shared" si="9"/>
        <v>0.49602845905880633</v>
      </c>
      <c r="U130" s="47">
        <f t="shared" si="9"/>
        <v>0.49220263202644471</v>
      </c>
      <c r="V130" s="47">
        <f t="shared" si="9"/>
        <v>0.4889328511225825</v>
      </c>
      <c r="W130" s="47">
        <f t="shared" si="9"/>
        <v>0.48628211580717629</v>
      </c>
      <c r="X130" s="47">
        <f t="shared" si="9"/>
        <v>0.48417837681077125</v>
      </c>
      <c r="Y130" s="47">
        <f t="shared" si="9"/>
        <v>0.48254616823255975</v>
      </c>
      <c r="Z130" s="47">
        <f t="shared" si="9"/>
        <v>0.48122567996576537</v>
      </c>
      <c r="AA130" s="47">
        <f t="shared" si="9"/>
        <v>0.48030075425440144</v>
      </c>
      <c r="AB130" s="47">
        <f t="shared" si="9"/>
        <v>0.47962308782868196</v>
      </c>
      <c r="AC130" s="47">
        <f t="shared" si="9"/>
        <v>0.47916068003013379</v>
      </c>
      <c r="AD130" s="47">
        <f t="shared" si="9"/>
        <v>0.47876316225452614</v>
      </c>
      <c r="AE130" s="47">
        <f t="shared" si="9"/>
        <v>0.47860850451954579</v>
      </c>
    </row>
    <row r="131" spans="1:31" x14ac:dyDescent="0.25">
      <c r="A131" t="s">
        <v>947</v>
      </c>
      <c r="B131" s="47">
        <f>B126/SUM(B122:B128)</f>
        <v>2.8478379824288396E-5</v>
      </c>
      <c r="C131" s="47">
        <f t="shared" ref="C131:AE131" si="10">C126/SUM(C122:C128)</f>
        <v>4.4693111285847102E-4</v>
      </c>
      <c r="D131" s="47">
        <f t="shared" si="10"/>
        <v>7.9870685556717694E-4</v>
      </c>
      <c r="E131" s="47">
        <f t="shared" si="10"/>
        <v>1.288999905740409E-3</v>
      </c>
      <c r="F131" s="47">
        <f t="shared" si="10"/>
        <v>2.0210449758267168E-3</v>
      </c>
      <c r="G131" s="47">
        <f t="shared" si="10"/>
        <v>2.7920853257586589E-3</v>
      </c>
      <c r="H131" s="47">
        <f t="shared" si="10"/>
        <v>7.7558305677414051E-3</v>
      </c>
      <c r="I131" s="47">
        <f t="shared" si="10"/>
        <v>1.013006277021038E-2</v>
      </c>
      <c r="J131" s="47">
        <f t="shared" si="10"/>
        <v>1.2731074264226375E-2</v>
      </c>
      <c r="K131" s="47">
        <f t="shared" si="10"/>
        <v>1.6098867659667095E-2</v>
      </c>
      <c r="L131" s="47">
        <f t="shared" si="10"/>
        <v>2.435793737726813E-2</v>
      </c>
      <c r="M131" s="47">
        <f t="shared" si="10"/>
        <v>3.429960349553441E-2</v>
      </c>
      <c r="N131" s="47">
        <f t="shared" si="10"/>
        <v>3.7707446266238343E-2</v>
      </c>
      <c r="O131" s="47">
        <f t="shared" si="10"/>
        <v>4.1634062586899306E-2</v>
      </c>
      <c r="P131" s="47">
        <f t="shared" si="10"/>
        <v>4.6201071484419348E-2</v>
      </c>
      <c r="Q131" s="47">
        <f t="shared" si="10"/>
        <v>5.1156879108900773E-2</v>
      </c>
      <c r="R131" s="47">
        <f t="shared" si="10"/>
        <v>5.6181295450701843E-2</v>
      </c>
      <c r="S131" s="47">
        <f t="shared" si="10"/>
        <v>6.0980730551041577E-2</v>
      </c>
      <c r="T131" s="47">
        <f t="shared" si="10"/>
        <v>6.5355686074047806E-2</v>
      </c>
      <c r="U131" s="47">
        <f t="shared" si="10"/>
        <v>6.9191271924913006E-2</v>
      </c>
      <c r="V131" s="47">
        <f t="shared" si="10"/>
        <v>7.246143859540663E-2</v>
      </c>
      <c r="W131" s="47">
        <f t="shared" si="10"/>
        <v>7.5111809451325548E-2</v>
      </c>
      <c r="X131" s="47">
        <f t="shared" si="10"/>
        <v>7.7221040335353916E-2</v>
      </c>
      <c r="Y131" s="47">
        <f t="shared" si="10"/>
        <v>7.8861146768073057E-2</v>
      </c>
      <c r="Z131" s="47">
        <f t="shared" si="10"/>
        <v>8.0176746315297115E-2</v>
      </c>
      <c r="AA131" s="47">
        <f t="shared" si="10"/>
        <v>8.1088763563649718E-2</v>
      </c>
      <c r="AB131" s="47">
        <f t="shared" si="10"/>
        <v>8.1750464090734637E-2</v>
      </c>
      <c r="AC131" s="47">
        <f t="shared" si="10"/>
        <v>8.2190371158520958E-2</v>
      </c>
      <c r="AD131" s="47">
        <f t="shared" si="10"/>
        <v>8.2572076948861289E-2</v>
      </c>
      <c r="AE131" s="47">
        <f t="shared" si="10"/>
        <v>8.2720802930189727E-2</v>
      </c>
    </row>
    <row r="132" spans="1:31" x14ac:dyDescent="0.25">
      <c r="A132" t="s">
        <v>945</v>
      </c>
      <c r="B132" s="47">
        <f>B128/SUM(B122:B128)</f>
        <v>0</v>
      </c>
      <c r="C132" s="47">
        <f t="shared" ref="C132:AE132" si="11">C128/SUM(C122:C128)</f>
        <v>0</v>
      </c>
      <c r="D132" s="47">
        <f t="shared" si="11"/>
        <v>0</v>
      </c>
      <c r="E132" s="47">
        <f t="shared" si="11"/>
        <v>0</v>
      </c>
      <c r="F132" s="47">
        <f t="shared" si="11"/>
        <v>0</v>
      </c>
      <c r="G132" s="47">
        <f t="shared" si="11"/>
        <v>0</v>
      </c>
      <c r="H132" s="47">
        <f t="shared" si="11"/>
        <v>0</v>
      </c>
      <c r="I132" s="47">
        <f t="shared" si="11"/>
        <v>0</v>
      </c>
      <c r="J132" s="47">
        <f t="shared" si="11"/>
        <v>0</v>
      </c>
      <c r="K132" s="47">
        <f t="shared" si="11"/>
        <v>0</v>
      </c>
      <c r="L132" s="47">
        <f t="shared" si="11"/>
        <v>2.2039393211426103E-6</v>
      </c>
      <c r="M132" s="47">
        <f t="shared" si="11"/>
        <v>2.1858019051449404E-6</v>
      </c>
      <c r="N132" s="47">
        <f t="shared" si="11"/>
        <v>2.1690891777633653E-6</v>
      </c>
      <c r="O132" s="47">
        <f t="shared" si="11"/>
        <v>2.1556416375116137E-6</v>
      </c>
      <c r="P132" s="47">
        <f t="shared" si="11"/>
        <v>4.2842239877985304E-6</v>
      </c>
      <c r="Q132" s="47">
        <f t="shared" si="11"/>
        <v>4.2579282624246343E-6</v>
      </c>
      <c r="R132" s="47">
        <f t="shared" si="11"/>
        <v>4.2279722645019451E-6</v>
      </c>
      <c r="S132" s="47">
        <f t="shared" si="11"/>
        <v>6.2985777811370193E-6</v>
      </c>
      <c r="T132" s="47">
        <f t="shared" si="11"/>
        <v>6.2593237843871604E-6</v>
      </c>
      <c r="U132" s="47">
        <f t="shared" si="11"/>
        <v>6.2213042342196619E-6</v>
      </c>
      <c r="V132" s="47">
        <f t="shared" si="11"/>
        <v>8.2429188175532949E-6</v>
      </c>
      <c r="W132" s="47">
        <f t="shared" si="11"/>
        <v>8.1836743879634513E-6</v>
      </c>
      <c r="X132" s="47">
        <f t="shared" si="11"/>
        <v>1.014011612460986E-5</v>
      </c>
      <c r="Y132" s="47">
        <f t="shared" si="11"/>
        <v>1.0044214632813645E-5</v>
      </c>
      <c r="Z132" s="47">
        <f t="shared" si="11"/>
        <v>9.9519321676303457E-6</v>
      </c>
      <c r="AA132" s="47">
        <f t="shared" si="11"/>
        <v>1.1843827293310409E-5</v>
      </c>
      <c r="AB132" s="47">
        <f t="shared" si="11"/>
        <v>1.1749132522382098E-5</v>
      </c>
      <c r="AC132" s="47">
        <f t="shared" si="11"/>
        <v>1.1649671090952865E-5</v>
      </c>
      <c r="AD132" s="47">
        <f t="shared" si="11"/>
        <v>1.1558511109655594E-5</v>
      </c>
      <c r="AE132" s="47">
        <f t="shared" si="11"/>
        <v>1.3402592827315249E-5</v>
      </c>
    </row>
    <row r="133" spans="1:31" x14ac:dyDescent="0.25">
      <c r="A133" t="s">
        <v>948</v>
      </c>
      <c r="B133" s="48">
        <f>SUM(B130:B132)</f>
        <v>5.0101606790873086E-3</v>
      </c>
      <c r="C133" s="48">
        <f t="shared" ref="C133:AE133" si="12">SUM(C130:C132)</f>
        <v>9.4261834711968431E-3</v>
      </c>
      <c r="D133" s="48">
        <f t="shared" si="12"/>
        <v>1.6863173908909384E-2</v>
      </c>
      <c r="E133" s="48">
        <f t="shared" si="12"/>
        <v>2.7368272221698558E-2</v>
      </c>
      <c r="F133" s="48">
        <f t="shared" si="12"/>
        <v>4.2523532236483245E-2</v>
      </c>
      <c r="G133" s="48">
        <f t="shared" si="12"/>
        <v>5.8608430207089265E-2</v>
      </c>
      <c r="H133" s="48">
        <f t="shared" si="12"/>
        <v>0.16214661669580618</v>
      </c>
      <c r="I133" s="48">
        <f t="shared" si="12"/>
        <v>0.20883079177294189</v>
      </c>
      <c r="J133" s="48">
        <f t="shared" si="12"/>
        <v>0.25477163173333994</v>
      </c>
      <c r="K133" s="48">
        <f t="shared" si="12"/>
        <v>0.30069877259460975</v>
      </c>
      <c r="L133" s="48">
        <f t="shared" si="12"/>
        <v>0.43100016970332777</v>
      </c>
      <c r="M133" s="48">
        <f t="shared" si="12"/>
        <v>0.56100135956878494</v>
      </c>
      <c r="N133" s="48">
        <f t="shared" si="12"/>
        <v>0.56100021040165016</v>
      </c>
      <c r="O133" s="48">
        <f t="shared" si="12"/>
        <v>0.56100142487912241</v>
      </c>
      <c r="P133" s="48">
        <f t="shared" si="12"/>
        <v>0.56138114812918649</v>
      </c>
      <c r="Q133" s="48">
        <f t="shared" si="12"/>
        <v>0.56137590693871986</v>
      </c>
      <c r="R133" s="48">
        <f t="shared" si="12"/>
        <v>0.56138592930830378</v>
      </c>
      <c r="S133" s="48">
        <f t="shared" si="12"/>
        <v>0.56138803858088837</v>
      </c>
      <c r="T133" s="48">
        <f t="shared" si="12"/>
        <v>0.56139040445663857</v>
      </c>
      <c r="U133" s="48">
        <f t="shared" si="12"/>
        <v>0.56140012525559191</v>
      </c>
      <c r="V133" s="48">
        <f t="shared" si="12"/>
        <v>0.56140253263680662</v>
      </c>
      <c r="W133" s="48">
        <f t="shared" si="12"/>
        <v>0.56140210893288978</v>
      </c>
      <c r="X133" s="48">
        <f t="shared" si="12"/>
        <v>0.56140955726224984</v>
      </c>
      <c r="Y133" s="48">
        <f t="shared" si="12"/>
        <v>0.56141735921526559</v>
      </c>
      <c r="Z133" s="48">
        <f t="shared" si="12"/>
        <v>0.5614123782132302</v>
      </c>
      <c r="AA133" s="48">
        <f t="shared" si="12"/>
        <v>0.56140136164534449</v>
      </c>
      <c r="AB133" s="48">
        <f t="shared" si="12"/>
        <v>0.56138530105193896</v>
      </c>
      <c r="AC133" s="48">
        <f t="shared" si="12"/>
        <v>0.56136270085974571</v>
      </c>
      <c r="AD133" s="48">
        <f t="shared" si="12"/>
        <v>0.56134679771449714</v>
      </c>
      <c r="AE133" s="48">
        <f t="shared" si="12"/>
        <v>0.56134271004256286</v>
      </c>
    </row>
    <row r="135" spans="1:31" x14ac:dyDescent="0.25">
      <c r="A135" s="1" t="s">
        <v>949</v>
      </c>
    </row>
    <row r="137" spans="1:31" x14ac:dyDescent="0.25">
      <c r="A137" s="13" t="s">
        <v>965</v>
      </c>
      <c r="B137">
        <v>2021</v>
      </c>
      <c r="C137">
        <v>2022</v>
      </c>
      <c r="D137">
        <v>2023</v>
      </c>
      <c r="E137">
        <v>2024</v>
      </c>
      <c r="F137">
        <v>2025</v>
      </c>
      <c r="G137">
        <v>2026</v>
      </c>
      <c r="H137">
        <v>2027</v>
      </c>
      <c r="I137">
        <v>2028</v>
      </c>
      <c r="J137">
        <v>2029</v>
      </c>
      <c r="K137">
        <v>2030</v>
      </c>
      <c r="L137">
        <v>2031</v>
      </c>
      <c r="M137">
        <v>2032</v>
      </c>
      <c r="N137">
        <v>2033</v>
      </c>
      <c r="O137">
        <v>2034</v>
      </c>
      <c r="P137">
        <v>2035</v>
      </c>
      <c r="Q137">
        <v>2036</v>
      </c>
      <c r="R137">
        <v>2037</v>
      </c>
      <c r="S137">
        <v>2038</v>
      </c>
      <c r="T137">
        <v>2039</v>
      </c>
      <c r="U137">
        <v>2040</v>
      </c>
      <c r="V137">
        <v>2041</v>
      </c>
      <c r="W137">
        <v>2042</v>
      </c>
      <c r="X137">
        <v>2043</v>
      </c>
      <c r="Y137">
        <v>2044</v>
      </c>
      <c r="Z137">
        <v>2045</v>
      </c>
      <c r="AA137">
        <v>2046</v>
      </c>
      <c r="AB137">
        <v>2047</v>
      </c>
      <c r="AC137">
        <v>2048</v>
      </c>
      <c r="AD137">
        <v>2049</v>
      </c>
      <c r="AE137">
        <v>2050</v>
      </c>
    </row>
    <row r="138" spans="1:31" x14ac:dyDescent="0.25">
      <c r="A138" t="s">
        <v>994</v>
      </c>
      <c r="B138">
        <v>0</v>
      </c>
      <c r="C138">
        <v>0</v>
      </c>
      <c r="D138">
        <v>12</v>
      </c>
      <c r="E138">
        <v>1575</v>
      </c>
      <c r="F138">
        <v>4365</v>
      </c>
      <c r="G138">
        <v>6357</v>
      </c>
      <c r="H138">
        <v>11655</v>
      </c>
      <c r="I138">
        <v>15957</v>
      </c>
      <c r="J138">
        <v>20703</v>
      </c>
      <c r="K138">
        <v>29718</v>
      </c>
      <c r="L138">
        <v>52710</v>
      </c>
      <c r="M138">
        <v>87363</v>
      </c>
      <c r="N138">
        <v>90498</v>
      </c>
      <c r="O138">
        <v>90522</v>
      </c>
      <c r="P138">
        <v>90606</v>
      </c>
      <c r="Q138">
        <v>90624</v>
      </c>
      <c r="R138">
        <v>90861</v>
      </c>
      <c r="S138">
        <v>91098</v>
      </c>
      <c r="T138">
        <v>91131</v>
      </c>
      <c r="U138" s="39">
        <v>91086</v>
      </c>
      <c r="V138" s="39">
        <v>90768</v>
      </c>
      <c r="W138" s="39">
        <v>90633</v>
      </c>
      <c r="X138" s="39">
        <v>90615</v>
      </c>
      <c r="Y138" s="39">
        <v>90669</v>
      </c>
      <c r="Z138" s="39">
        <v>90732</v>
      </c>
      <c r="AA138" s="39">
        <v>90594</v>
      </c>
      <c r="AB138" s="39">
        <v>90306</v>
      </c>
      <c r="AC138" s="39">
        <v>90180</v>
      </c>
      <c r="AD138" s="39">
        <v>89913</v>
      </c>
      <c r="AE138" s="39">
        <v>89520</v>
      </c>
    </row>
    <row r="139" spans="1:31" x14ac:dyDescent="0.25">
      <c r="A139" t="s">
        <v>995</v>
      </c>
      <c r="B139">
        <v>216</v>
      </c>
      <c r="C139">
        <v>423</v>
      </c>
      <c r="D139">
        <v>246</v>
      </c>
      <c r="E139">
        <v>324</v>
      </c>
      <c r="F139">
        <v>252</v>
      </c>
      <c r="G139">
        <v>237</v>
      </c>
      <c r="H139">
        <v>237</v>
      </c>
      <c r="I139">
        <v>243</v>
      </c>
      <c r="J139">
        <v>261</v>
      </c>
      <c r="K139">
        <v>282</v>
      </c>
      <c r="L139">
        <v>288</v>
      </c>
      <c r="M139">
        <v>279</v>
      </c>
      <c r="N139">
        <v>318</v>
      </c>
      <c r="O139">
        <v>360</v>
      </c>
      <c r="P139">
        <v>405</v>
      </c>
      <c r="Q139">
        <v>447</v>
      </c>
      <c r="R139">
        <v>492</v>
      </c>
      <c r="S139">
        <v>531</v>
      </c>
      <c r="T139">
        <v>564</v>
      </c>
      <c r="U139">
        <v>594</v>
      </c>
      <c r="V139">
        <v>618</v>
      </c>
      <c r="W139">
        <v>639</v>
      </c>
      <c r="X139">
        <v>657</v>
      </c>
      <c r="Y139">
        <v>666</v>
      </c>
      <c r="Z139">
        <v>675</v>
      </c>
      <c r="AA139">
        <v>678</v>
      </c>
      <c r="AB139">
        <v>681</v>
      </c>
      <c r="AC139">
        <v>681</v>
      </c>
      <c r="AD139">
        <v>678</v>
      </c>
      <c r="AE139">
        <v>678</v>
      </c>
    </row>
    <row r="140" spans="1:31" x14ac:dyDescent="0.25">
      <c r="A140" t="s">
        <v>996</v>
      </c>
      <c r="B140" s="39">
        <v>0</v>
      </c>
      <c r="C140" s="39">
        <v>0</v>
      </c>
      <c r="D140" s="39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x14ac:dyDescent="0.25">
      <c r="A141" t="s">
        <v>997</v>
      </c>
      <c r="B141">
        <v>325233</v>
      </c>
      <c r="C141">
        <v>278238</v>
      </c>
      <c r="D141">
        <v>278943</v>
      </c>
      <c r="E141">
        <v>277641</v>
      </c>
      <c r="F141">
        <v>276681</v>
      </c>
      <c r="G141">
        <v>277521</v>
      </c>
      <c r="H141">
        <v>275220</v>
      </c>
      <c r="I141">
        <v>273813</v>
      </c>
      <c r="J141">
        <v>271518</v>
      </c>
      <c r="K141">
        <v>264405</v>
      </c>
      <c r="L141">
        <v>242238</v>
      </c>
      <c r="M141">
        <v>207252</v>
      </c>
      <c r="N141">
        <v>207942</v>
      </c>
      <c r="O141">
        <v>207756</v>
      </c>
      <c r="P141">
        <v>207588</v>
      </c>
      <c r="Q141">
        <v>207552</v>
      </c>
      <c r="R141">
        <v>207936</v>
      </c>
      <c r="S141">
        <v>208428</v>
      </c>
      <c r="T141">
        <v>208497</v>
      </c>
      <c r="U141">
        <v>208443</v>
      </c>
      <c r="V141">
        <v>207777</v>
      </c>
      <c r="W141">
        <v>207612</v>
      </c>
      <c r="X141">
        <v>207681</v>
      </c>
      <c r="Y141">
        <v>208005</v>
      </c>
      <c r="Z141">
        <v>208362</v>
      </c>
      <c r="AA141">
        <v>208269</v>
      </c>
      <c r="AB141">
        <v>207837</v>
      </c>
      <c r="AC141">
        <v>207456</v>
      </c>
      <c r="AD141">
        <v>207105</v>
      </c>
      <c r="AE141">
        <v>206103</v>
      </c>
    </row>
    <row r="142" spans="1:31" x14ac:dyDescent="0.25">
      <c r="A142" t="s">
        <v>998</v>
      </c>
      <c r="B142">
        <v>0</v>
      </c>
      <c r="C142">
        <v>0</v>
      </c>
      <c r="D142">
        <v>0</v>
      </c>
      <c r="E142">
        <v>0</v>
      </c>
      <c r="F142">
        <v>3</v>
      </c>
      <c r="G142">
        <v>3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</row>
    <row r="143" spans="1:31" x14ac:dyDescent="0.25">
      <c r="A143" t="s">
        <v>999</v>
      </c>
      <c r="B143">
        <v>27</v>
      </c>
      <c r="C143">
        <v>63</v>
      </c>
      <c r="D143">
        <v>54</v>
      </c>
      <c r="E143">
        <v>66</v>
      </c>
      <c r="F143">
        <v>78</v>
      </c>
      <c r="G143">
        <v>90</v>
      </c>
      <c r="H143">
        <v>96</v>
      </c>
      <c r="I143">
        <v>102</v>
      </c>
      <c r="J143">
        <v>111</v>
      </c>
      <c r="K143">
        <v>117</v>
      </c>
      <c r="L143">
        <v>114</v>
      </c>
      <c r="M143">
        <v>105</v>
      </c>
      <c r="N143">
        <v>114</v>
      </c>
      <c r="O143">
        <v>120</v>
      </c>
      <c r="P143">
        <v>126</v>
      </c>
      <c r="Q143">
        <v>132</v>
      </c>
      <c r="R143">
        <v>138</v>
      </c>
      <c r="S143">
        <v>144</v>
      </c>
      <c r="T143">
        <v>150</v>
      </c>
      <c r="U143">
        <v>156</v>
      </c>
      <c r="V143">
        <v>159</v>
      </c>
      <c r="W143">
        <v>165</v>
      </c>
      <c r="X143">
        <v>171</v>
      </c>
      <c r="Y143">
        <v>177</v>
      </c>
      <c r="Z143">
        <v>183</v>
      </c>
      <c r="AA143">
        <v>192</v>
      </c>
      <c r="AB143">
        <v>198</v>
      </c>
      <c r="AC143">
        <v>201</v>
      </c>
      <c r="AD143">
        <v>207</v>
      </c>
      <c r="AE143">
        <v>213</v>
      </c>
    </row>
    <row r="144" spans="1:31" x14ac:dyDescent="0.25">
      <c r="A144" t="s">
        <v>1000</v>
      </c>
      <c r="B144">
        <v>0</v>
      </c>
      <c r="C144">
        <v>0</v>
      </c>
      <c r="D144">
        <v>0</v>
      </c>
      <c r="E144">
        <v>6</v>
      </c>
      <c r="F144">
        <v>27</v>
      </c>
      <c r="G144">
        <v>54</v>
      </c>
      <c r="H144">
        <v>132</v>
      </c>
      <c r="I144">
        <v>249</v>
      </c>
      <c r="J144">
        <v>432</v>
      </c>
      <c r="K144">
        <v>1074</v>
      </c>
      <c r="L144">
        <v>2268</v>
      </c>
      <c r="M144">
        <v>4251</v>
      </c>
      <c r="N144">
        <v>1485</v>
      </c>
      <c r="O144">
        <v>1446</v>
      </c>
      <c r="P144">
        <v>1353</v>
      </c>
      <c r="Q144">
        <v>1341</v>
      </c>
      <c r="R144">
        <v>1296</v>
      </c>
      <c r="S144">
        <v>1293</v>
      </c>
      <c r="T144">
        <v>1308</v>
      </c>
      <c r="U144">
        <v>1344</v>
      </c>
      <c r="V144">
        <v>1380</v>
      </c>
      <c r="W144">
        <v>1452</v>
      </c>
      <c r="X144">
        <v>1512</v>
      </c>
      <c r="Y144">
        <v>1608</v>
      </c>
      <c r="Z144">
        <v>1707</v>
      </c>
      <c r="AA144">
        <v>1809</v>
      </c>
      <c r="AB144">
        <v>1908</v>
      </c>
      <c r="AC144">
        <v>1869</v>
      </c>
      <c r="AD144">
        <v>1980</v>
      </c>
      <c r="AE144">
        <v>1935</v>
      </c>
    </row>
    <row r="146" spans="1:31" x14ac:dyDescent="0.25">
      <c r="A146" t="s">
        <v>944</v>
      </c>
      <c r="B146" s="47">
        <f>B138/SUM(B138:B144)</f>
        <v>0</v>
      </c>
      <c r="C146" s="47">
        <f t="shared" ref="C146:AE146" si="13">C138/SUM(C138:C144)</f>
        <v>0</v>
      </c>
      <c r="D146" s="47">
        <f t="shared" si="13"/>
        <v>4.2971477681688779E-5</v>
      </c>
      <c r="E146" s="47">
        <f t="shared" si="13"/>
        <v>5.6328054589931762E-3</v>
      </c>
      <c r="F146" s="47">
        <f t="shared" si="13"/>
        <v>1.55113963454937E-2</v>
      </c>
      <c r="G146" s="47">
        <f t="shared" si="13"/>
        <v>2.2363172003292738E-2</v>
      </c>
      <c r="H146" s="47">
        <f t="shared" si="13"/>
        <v>4.0561703904781789E-2</v>
      </c>
      <c r="I146" s="47">
        <f t="shared" si="13"/>
        <v>5.4955159730545107E-2</v>
      </c>
      <c r="J146" s="47">
        <f t="shared" si="13"/>
        <v>7.0652674686460193E-2</v>
      </c>
      <c r="K146" s="47">
        <f t="shared" si="13"/>
        <v>0.10053586652052125</v>
      </c>
      <c r="L146" s="47">
        <f t="shared" si="13"/>
        <v>0.17710622341390642</v>
      </c>
      <c r="M146" s="47">
        <f t="shared" si="13"/>
        <v>0.29193984962406017</v>
      </c>
      <c r="N146" s="47">
        <f t="shared" si="13"/>
        <v>0.30130145127298513</v>
      </c>
      <c r="O146" s="47">
        <f t="shared" si="13"/>
        <v>0.30153495622976378</v>
      </c>
      <c r="P146" s="47">
        <f t="shared" si="13"/>
        <v>0.30194149521124508</v>
      </c>
      <c r="Q146" s="47">
        <f t="shared" si="13"/>
        <v>0.30198336532309661</v>
      </c>
      <c r="R146" s="47">
        <f t="shared" si="13"/>
        <v>0.30214183817001028</v>
      </c>
      <c r="S146" s="47">
        <f t="shared" si="13"/>
        <v>0.30215526677147803</v>
      </c>
      <c r="T146" s="47">
        <f t="shared" si="13"/>
        <v>0.30210840377921433</v>
      </c>
      <c r="U146" s="47">
        <f t="shared" si="13"/>
        <v>0.30198625436389137</v>
      </c>
      <c r="V146" s="47">
        <f t="shared" si="13"/>
        <v>0.30185366242991402</v>
      </c>
      <c r="W146" s="47">
        <f t="shared" si="13"/>
        <v>0.30160631744985872</v>
      </c>
      <c r="X146" s="47">
        <f t="shared" si="13"/>
        <v>0.30141100866163734</v>
      </c>
      <c r="Y146" s="47">
        <f t="shared" si="13"/>
        <v>0.30110087173100869</v>
      </c>
      <c r="Z146" s="47">
        <f t="shared" si="13"/>
        <v>0.30077670482233249</v>
      </c>
      <c r="AA146" s="47">
        <f t="shared" si="13"/>
        <v>0.30043576019260998</v>
      </c>
      <c r="AB146" s="47">
        <f t="shared" si="13"/>
        <v>0.3000897218622271</v>
      </c>
      <c r="AC146" s="47">
        <f t="shared" si="13"/>
        <v>0.30021272558399664</v>
      </c>
      <c r="AD146" s="47">
        <f t="shared" si="13"/>
        <v>0.29982693250367642</v>
      </c>
      <c r="AE146" s="47">
        <f t="shared" si="13"/>
        <v>0.29995074535347749</v>
      </c>
    </row>
    <row r="147" spans="1:31" x14ac:dyDescent="0.25">
      <c r="A147" t="s">
        <v>947</v>
      </c>
      <c r="B147" s="47">
        <f>B142/SUM(B138:B144)</f>
        <v>0</v>
      </c>
      <c r="C147" s="47">
        <f t="shared" ref="C147:AE147" si="14">C142/SUM(C138:C144)</f>
        <v>0</v>
      </c>
      <c r="D147" s="47">
        <f t="shared" si="14"/>
        <v>0</v>
      </c>
      <c r="E147" s="47">
        <f t="shared" si="14"/>
        <v>0</v>
      </c>
      <c r="F147" s="47">
        <f t="shared" si="14"/>
        <v>1.0660753502057525E-5</v>
      </c>
      <c r="G147" s="47">
        <f t="shared" si="14"/>
        <v>1.0553644173333052E-5</v>
      </c>
      <c r="H147" s="47">
        <f t="shared" si="14"/>
        <v>0</v>
      </c>
      <c r="I147" s="47">
        <f t="shared" si="14"/>
        <v>0</v>
      </c>
      <c r="J147" s="47">
        <f t="shared" si="14"/>
        <v>0</v>
      </c>
      <c r="K147" s="47">
        <f t="shared" si="14"/>
        <v>0</v>
      </c>
      <c r="L147" s="47">
        <f t="shared" si="14"/>
        <v>0</v>
      </c>
      <c r="M147" s="47">
        <f t="shared" si="14"/>
        <v>0</v>
      </c>
      <c r="N147" s="47">
        <f t="shared" si="14"/>
        <v>0</v>
      </c>
      <c r="O147" s="47">
        <f t="shared" si="14"/>
        <v>0</v>
      </c>
      <c r="P147" s="47">
        <f t="shared" si="14"/>
        <v>0</v>
      </c>
      <c r="Q147" s="47">
        <f t="shared" si="14"/>
        <v>0</v>
      </c>
      <c r="R147" s="47">
        <f t="shared" si="14"/>
        <v>0</v>
      </c>
      <c r="S147" s="47">
        <f t="shared" si="14"/>
        <v>0</v>
      </c>
      <c r="T147" s="47">
        <f t="shared" si="14"/>
        <v>0</v>
      </c>
      <c r="U147" s="47">
        <f t="shared" si="14"/>
        <v>0</v>
      </c>
      <c r="V147" s="47">
        <f t="shared" si="14"/>
        <v>0</v>
      </c>
      <c r="W147" s="47">
        <f t="shared" si="14"/>
        <v>0</v>
      </c>
      <c r="X147" s="47">
        <f t="shared" si="14"/>
        <v>0</v>
      </c>
      <c r="Y147" s="47">
        <f t="shared" si="14"/>
        <v>0</v>
      </c>
      <c r="Z147" s="47">
        <f t="shared" si="14"/>
        <v>0</v>
      </c>
      <c r="AA147" s="47">
        <f t="shared" si="14"/>
        <v>0</v>
      </c>
      <c r="AB147" s="47">
        <f t="shared" si="14"/>
        <v>0</v>
      </c>
      <c r="AC147" s="47">
        <f t="shared" si="14"/>
        <v>0</v>
      </c>
      <c r="AD147" s="47">
        <f t="shared" si="14"/>
        <v>0</v>
      </c>
      <c r="AE147" s="47">
        <f t="shared" si="14"/>
        <v>0</v>
      </c>
    </row>
    <row r="148" spans="1:31" x14ac:dyDescent="0.25">
      <c r="A148" t="s">
        <v>945</v>
      </c>
      <c r="B148" s="47">
        <f>B144/SUM(B138:B144)</f>
        <v>0</v>
      </c>
      <c r="C148" s="47">
        <f t="shared" ref="C148:AE148" si="15">C144/SUM(C138:C144)</f>
        <v>0</v>
      </c>
      <c r="D148" s="47">
        <f t="shared" si="15"/>
        <v>0</v>
      </c>
      <c r="E148" s="47">
        <f t="shared" si="15"/>
        <v>2.1458306510450196E-5</v>
      </c>
      <c r="F148" s="47">
        <f t="shared" si="15"/>
        <v>9.5946781518517726E-5</v>
      </c>
      <c r="G148" s="47">
        <f t="shared" si="15"/>
        <v>1.8996559511999492E-4</v>
      </c>
      <c r="H148" s="47">
        <f t="shared" si="15"/>
        <v>4.5938609313008979E-4</v>
      </c>
      <c r="I148" s="47">
        <f t="shared" si="15"/>
        <v>8.5754432367648884E-4</v>
      </c>
      <c r="J148" s="47">
        <f t="shared" si="15"/>
        <v>1.474276938827745E-3</v>
      </c>
      <c r="K148" s="47">
        <f t="shared" si="15"/>
        <v>3.6333373929281856E-3</v>
      </c>
      <c r="L148" s="47">
        <f t="shared" si="15"/>
        <v>7.6205068241840214E-3</v>
      </c>
      <c r="M148" s="47">
        <f t="shared" si="15"/>
        <v>1.4205513784461153E-2</v>
      </c>
      <c r="N148" s="47">
        <f t="shared" si="15"/>
        <v>4.9441165013633772E-3</v>
      </c>
      <c r="O148" s="47">
        <f t="shared" si="15"/>
        <v>4.8167246272534676E-3</v>
      </c>
      <c r="P148" s="47">
        <f t="shared" si="15"/>
        <v>4.5088277047967531E-3</v>
      </c>
      <c r="Q148" s="47">
        <f t="shared" si="15"/>
        <v>4.4685700575815739E-3</v>
      </c>
      <c r="R148" s="47">
        <f t="shared" si="15"/>
        <v>4.3096138306680902E-3</v>
      </c>
      <c r="S148" s="47">
        <f t="shared" si="15"/>
        <v>4.2886425600509462E-3</v>
      </c>
      <c r="T148" s="47">
        <f t="shared" si="15"/>
        <v>4.3361511685728492E-3</v>
      </c>
      <c r="U148" s="47">
        <f t="shared" si="15"/>
        <v>4.4558936155399288E-3</v>
      </c>
      <c r="V148" s="47">
        <f t="shared" si="15"/>
        <v>4.589261128958238E-3</v>
      </c>
      <c r="W148" s="47">
        <f t="shared" si="15"/>
        <v>4.8319306757714613E-3</v>
      </c>
      <c r="X148" s="47">
        <f t="shared" si="15"/>
        <v>5.0293378038558257E-3</v>
      </c>
      <c r="Y148" s="47">
        <f t="shared" si="15"/>
        <v>5.3399750933997509E-3</v>
      </c>
      <c r="Z148" s="47">
        <f t="shared" si="15"/>
        <v>5.6587073483635496E-3</v>
      </c>
      <c r="AA148" s="47">
        <f t="shared" si="15"/>
        <v>5.9991642955210221E-3</v>
      </c>
      <c r="AB148" s="47">
        <f t="shared" si="15"/>
        <v>6.3403449307147842E-3</v>
      </c>
      <c r="AC148" s="47">
        <f t="shared" si="15"/>
        <v>6.2219736539863577E-3</v>
      </c>
      <c r="AD148" s="47">
        <f t="shared" si="15"/>
        <v>6.6025750042516583E-3</v>
      </c>
      <c r="AE148" s="47">
        <f t="shared" si="15"/>
        <v>6.4835197973523119E-3</v>
      </c>
    </row>
    <row r="149" spans="1:31" x14ac:dyDescent="0.25">
      <c r="A149" t="s">
        <v>948</v>
      </c>
      <c r="B149" s="48">
        <f t="shared" ref="B149:AE149" si="16">SUM(B146:B148)</f>
        <v>0</v>
      </c>
      <c r="C149" s="48">
        <f t="shared" si="16"/>
        <v>0</v>
      </c>
      <c r="D149" s="48">
        <f t="shared" si="16"/>
        <v>4.2971477681688779E-5</v>
      </c>
      <c r="E149" s="48">
        <f t="shared" si="16"/>
        <v>5.6542637655036263E-3</v>
      </c>
      <c r="F149" s="48">
        <f t="shared" si="16"/>
        <v>1.5618003880514274E-2</v>
      </c>
      <c r="G149" s="48">
        <f t="shared" si="16"/>
        <v>2.2563691242586066E-2</v>
      </c>
      <c r="H149" s="48">
        <f t="shared" si="16"/>
        <v>4.1021089997911882E-2</v>
      </c>
      <c r="I149" s="48">
        <f t="shared" si="16"/>
        <v>5.5812704054221597E-2</v>
      </c>
      <c r="J149" s="48">
        <f t="shared" si="16"/>
        <v>7.2126951625287941E-2</v>
      </c>
      <c r="K149" s="48">
        <f t="shared" si="16"/>
        <v>0.10416920391344944</v>
      </c>
      <c r="L149" s="48">
        <f t="shared" si="16"/>
        <v>0.18472673023809044</v>
      </c>
      <c r="M149" s="48">
        <f t="shared" si="16"/>
        <v>0.30614536340852133</v>
      </c>
      <c r="N149" s="48">
        <f t="shared" si="16"/>
        <v>0.30624556777434853</v>
      </c>
      <c r="O149" s="48">
        <f t="shared" si="16"/>
        <v>0.30635168085701725</v>
      </c>
      <c r="P149" s="48">
        <f t="shared" si="16"/>
        <v>0.30645032291604185</v>
      </c>
      <c r="Q149" s="48">
        <f t="shared" si="16"/>
        <v>0.30645193538067816</v>
      </c>
      <c r="R149" s="48">
        <f t="shared" si="16"/>
        <v>0.30645145200067836</v>
      </c>
      <c r="S149" s="48">
        <f t="shared" si="16"/>
        <v>0.30644390933152899</v>
      </c>
      <c r="T149" s="48">
        <f t="shared" si="16"/>
        <v>0.30644455494778716</v>
      </c>
      <c r="U149" s="48">
        <f t="shared" si="16"/>
        <v>0.30644214797943131</v>
      </c>
      <c r="V149" s="48">
        <f t="shared" si="16"/>
        <v>0.30644292355887226</v>
      </c>
      <c r="W149" s="48">
        <f t="shared" si="16"/>
        <v>0.3064382481256302</v>
      </c>
      <c r="X149" s="48">
        <f t="shared" si="16"/>
        <v>0.30644034646549317</v>
      </c>
      <c r="Y149" s="48">
        <f t="shared" si="16"/>
        <v>0.30644084682440842</v>
      </c>
      <c r="Z149" s="48">
        <f t="shared" si="16"/>
        <v>0.30643541217069603</v>
      </c>
      <c r="AA149" s="48">
        <f t="shared" si="16"/>
        <v>0.30643492448813098</v>
      </c>
      <c r="AB149" s="48">
        <f t="shared" si="16"/>
        <v>0.30643006679294188</v>
      </c>
      <c r="AC149" s="48">
        <f t="shared" si="16"/>
        <v>0.306434699237983</v>
      </c>
      <c r="AD149" s="48">
        <f t="shared" si="16"/>
        <v>0.30642950750792808</v>
      </c>
      <c r="AE149" s="48">
        <f t="shared" si="16"/>
        <v>0.30643426515082978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8" workbookViewId="0">
      <selection activeCell="E32" sqref="E32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7" max="7" width="13.140625" customWidth="1"/>
    <col min="8" max="9" width="9.140625" customWidth="1"/>
    <col min="14" max="14" width="11.140625" customWidth="1"/>
  </cols>
  <sheetData>
    <row r="1" spans="1:38" x14ac:dyDescent="0.25">
      <c r="A1" t="s">
        <v>98</v>
      </c>
      <c r="H1" s="16" t="s">
        <v>132</v>
      </c>
      <c r="I1" s="17"/>
      <c r="J1" s="18"/>
      <c r="K1" s="18"/>
      <c r="L1" s="18"/>
      <c r="N1" s="16" t="s">
        <v>131</v>
      </c>
      <c r="O1" s="17"/>
      <c r="P1" s="18"/>
      <c r="Q1" s="16" t="s">
        <v>950</v>
      </c>
      <c r="R1" s="17"/>
      <c r="T1" s="16" t="s">
        <v>952</v>
      </c>
      <c r="U1" s="17"/>
      <c r="W1" s="16" t="s">
        <v>131</v>
      </c>
      <c r="X1" s="17"/>
    </row>
    <row r="2" spans="1:38" x14ac:dyDescent="0.25">
      <c r="A2" t="s">
        <v>99</v>
      </c>
      <c r="H2" s="9" t="s">
        <v>94</v>
      </c>
      <c r="I2" s="19">
        <v>1</v>
      </c>
      <c r="N2" s="9" t="s">
        <v>94</v>
      </c>
      <c r="O2" s="19">
        <v>1</v>
      </c>
      <c r="Q2" s="9" t="s">
        <v>94</v>
      </c>
      <c r="R2" s="19">
        <v>1</v>
      </c>
      <c r="T2" s="9" t="s">
        <v>94</v>
      </c>
      <c r="U2" s="19">
        <v>1</v>
      </c>
      <c r="W2" s="9" t="s">
        <v>94</v>
      </c>
      <c r="X2" s="19">
        <v>1</v>
      </c>
    </row>
    <row r="3" spans="1:38" x14ac:dyDescent="0.25">
      <c r="A3" t="s">
        <v>100</v>
      </c>
      <c r="H3" s="9" t="s">
        <v>95</v>
      </c>
      <c r="I3" s="19">
        <v>-0.3</v>
      </c>
      <c r="N3" s="9" t="s">
        <v>95</v>
      </c>
      <c r="O3" s="19">
        <v>-0.3</v>
      </c>
      <c r="Q3" s="9" t="s">
        <v>95</v>
      </c>
      <c r="R3" s="19">
        <v>-0.5</v>
      </c>
      <c r="T3" s="9" t="s">
        <v>95</v>
      </c>
      <c r="U3" s="19">
        <v>-0.42</v>
      </c>
      <c r="W3" s="9" t="s">
        <v>95</v>
      </c>
      <c r="X3" s="19">
        <v>-0.4</v>
      </c>
    </row>
    <row r="4" spans="1:38" ht="15.75" thickBot="1" x14ac:dyDescent="0.3">
      <c r="A4" t="s">
        <v>101</v>
      </c>
      <c r="H4" s="10" t="s">
        <v>96</v>
      </c>
      <c r="I4" s="20">
        <v>-16</v>
      </c>
      <c r="N4" s="10" t="s">
        <v>96</v>
      </c>
      <c r="O4" s="20">
        <v>-10.5</v>
      </c>
      <c r="Q4" s="10" t="s">
        <v>96</v>
      </c>
      <c r="R4" s="20">
        <v>-15</v>
      </c>
      <c r="T4" s="10" t="s">
        <v>96</v>
      </c>
      <c r="U4" s="20">
        <v>-11</v>
      </c>
      <c r="W4" s="10" t="s">
        <v>96</v>
      </c>
      <c r="X4" s="20">
        <v>-10.5</v>
      </c>
    </row>
    <row r="5" spans="1:38" x14ac:dyDescent="0.25">
      <c r="A5" t="s">
        <v>102</v>
      </c>
    </row>
    <row r="6" spans="1:38" ht="60" x14ac:dyDescent="0.25">
      <c r="A6" s="12"/>
      <c r="B6" s="12"/>
      <c r="C6" s="12"/>
      <c r="D6" s="12"/>
      <c r="E6" s="2" t="s">
        <v>20</v>
      </c>
      <c r="F6" s="2" t="s">
        <v>20</v>
      </c>
      <c r="G6" s="2" t="s">
        <v>97</v>
      </c>
      <c r="N6" s="49" t="s">
        <v>954</v>
      </c>
      <c r="O6" s="22">
        <v>9.9000000000000005E-2</v>
      </c>
      <c r="R6" s="49" t="s">
        <v>953</v>
      </c>
      <c r="S6">
        <v>0.05</v>
      </c>
      <c r="T6">
        <v>5.8000000000000003E-2</v>
      </c>
      <c r="U6">
        <v>7.8E-2</v>
      </c>
      <c r="V6">
        <v>0.09</v>
      </c>
      <c r="W6">
        <v>0.12</v>
      </c>
      <c r="X6">
        <v>0.15</v>
      </c>
    </row>
    <row r="7" spans="1:38" ht="30" x14ac:dyDescent="0.25">
      <c r="A7" s="12"/>
      <c r="B7" s="12"/>
      <c r="C7" s="12" t="s">
        <v>904</v>
      </c>
      <c r="D7" s="12"/>
      <c r="E7" s="2">
        <v>2020</v>
      </c>
      <c r="F7" s="2">
        <v>2050</v>
      </c>
      <c r="G7" s="2"/>
      <c r="N7" s="49" t="s">
        <v>955</v>
      </c>
      <c r="O7">
        <v>1.8679140068700261E-2</v>
      </c>
    </row>
    <row r="8" spans="1:38" ht="90" x14ac:dyDescent="0.25">
      <c r="A8" s="12"/>
      <c r="B8" s="12"/>
      <c r="C8" s="12"/>
      <c r="D8" s="12"/>
      <c r="E8" s="27"/>
      <c r="F8" s="27"/>
      <c r="G8" s="27" t="s">
        <v>130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2021</v>
      </c>
      <c r="E9" s="12">
        <v>2022</v>
      </c>
      <c r="F9" s="12">
        <v>2050</v>
      </c>
      <c r="G9" s="6"/>
      <c r="I9" s="21">
        <v>2021</v>
      </c>
      <c r="J9" s="21">
        <f>E9</f>
        <v>2022</v>
      </c>
      <c r="K9" s="21">
        <f t="shared" ref="K9:AL9" si="0">J9+1</f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>
        <v>0.02</v>
      </c>
      <c r="E10" s="22">
        <v>6.8000000000000005E-2</v>
      </c>
      <c r="F10">
        <v>1</v>
      </c>
      <c r="G10" s="7" t="str">
        <f>IF(E10=F10,"n/a",IF(OR(C10="battery electric vehicle",C10="natural gas vehicle",C10="plugin hybrid vehicle"),"s-curve","linear"))</f>
        <v>s-curve</v>
      </c>
      <c r="I10" s="15">
        <f>D10</f>
        <v>0.02</v>
      </c>
      <c r="J10" s="50">
        <f>E10</f>
        <v>6.8000000000000005E-2</v>
      </c>
      <c r="K10" s="50">
        <f>O6</f>
        <v>9.9000000000000005E-2</v>
      </c>
      <c r="L10">
        <f>IF($G10="s-curve",$E10+($F10-$E10)*$O$2/(1+EXP($O$3*(COUNT($K$9:L$9)+$O$4))),TREND($E10:$F10,$E$9:$F$9,L$9))</f>
        <v>0.13550148435693454</v>
      </c>
      <c r="M10">
        <f>IF($G10="s-curve",$E10+($F10-$E10)*$O$2/(1+EXP($O$3*(COUNT($K$9:M$9)+$O$4))),TREND($E10:$F10,$E$9:$F$9,M$9))</f>
        <v>0.15686570128597005</v>
      </c>
      <c r="N10">
        <f>IF($G10="s-curve",$E10+($F10-$E10)*$O$2/(1+EXP($O$3*(COUNT($K$9:N$9)+$O$4))),TREND($E10:$F10,$E$9:$F$9,N$9))</f>
        <v>0.18408372983067212</v>
      </c>
      <c r="O10">
        <f>IF($G10="s-curve",$E10+($F10-$E10)*$O$2/(1+EXP($O$3*(COUNT($K$9:O$9)+$O$4))),TREND($E10:$F10,$E$9:$F$9,O$9))</f>
        <v>0.21815354100537743</v>
      </c>
      <c r="P10">
        <f>IF($G10="s-curve",$E10+($F10-$E10)*$O$2/(1+EXP($O$3*(COUNT($K$9:P$9)+$O$4))),TREND($E10:$F10,$E$9:$F$9,P$9))</f>
        <v>0.25987118651848296</v>
      </c>
      <c r="Q10">
        <f>IF($G10="s-curve",$E10+($F10-$E10)*$O$2/(1+EXP($O$3*(COUNT($K$9:Q$9)+$O$4))),TREND($E10:$F10,$E$9:$F$9,Q$9))</f>
        <v>0.30959779396223247</v>
      </c>
      <c r="R10">
        <f>IF($G10="s-curve",$E10+($F10-$E10)*$O$2/(1+EXP($O$3*(COUNT($K$9:R$9)+$O$4))),TREND($E10:$F10,$E$9:$F$9,R$9))</f>
        <v>0.36700545236853371</v>
      </c>
      <c r="S10">
        <f>IF($G10="s-curve",$E10+($F10-$E10)*$O$2/(1+EXP($O$3*(COUNT($K$9:S$9)+$O$4))),TREND($E10:$F10,$E$9:$F$9,S$9))</f>
        <v>0.43088423395932512</v>
      </c>
      <c r="T10">
        <f>IF($G10="s-curve",$E10+($F10-$E10)*$O$2/(1+EXP($O$3*(COUNT($K$9:T$9)+$O$4))),TREND($E10:$F10,$E$9:$F$9,T$9))</f>
        <v>0.49911538413962542</v>
      </c>
      <c r="U10">
        <f>IF($G10="s-curve",$E10+($F10-$E10)*$O$2/(1+EXP($O$3*(COUNT($K$9:U$9)+$O$4))),TREND($E10:$F10,$E$9:$F$9,U$9))</f>
        <v>0.56888461586037464</v>
      </c>
      <c r="V10">
        <f>IF($G10="s-curve",$E10+($F10-$E10)*$O$2/(1+EXP($O$3*(COUNT($K$9:V$9)+$O$4))),TREND($E10:$F10,$E$9:$F$9,V$9))</f>
        <v>0.63711576604067499</v>
      </c>
      <c r="W10">
        <f>IF($G10="s-curve",$E10+($F10-$E10)*$O$2/(1+EXP($O$3*(COUNT($K$9:W$9)+$O$4))),TREND($E10:$F10,$E$9:$F$9,W$9))</f>
        <v>0.70099454763146607</v>
      </c>
      <c r="X10">
        <f>IF($G10="s-curve",$E10+($F10-$E10)*$O$2/(1+EXP($O$3*(COUNT($K$9:X$9)+$O$4))),TREND($E10:$F10,$E$9:$F$9,X$9))</f>
        <v>0.75840220603776753</v>
      </c>
      <c r="Y10">
        <f>IF($G10="s-curve",$E10+($F10-$E10)*$O$2/(1+EXP($O$3*(COUNT($K$9:Y$9)+$O$4))),TREND($E10:$F10,$E$9:$F$9,Y$9))</f>
        <v>0.80812881348151699</v>
      </c>
      <c r="Z10">
        <f>IF($G10="s-curve",$E10+($F10-$E10)*$O$2/(1+EXP($O$3*(COUNT($K$9:Z$9)+$O$4))),TREND($E10:$F10,$E$9:$F$9,Z$9))</f>
        <v>0.84984645899462241</v>
      </c>
      <c r="AA10">
        <f>IF($G10="s-curve",$E10+($F10-$E10)*$O$2/(1+EXP($O$3*(COUNT($K$9:AA$9)+$O$4))),TREND($E10:$F10,$E$9:$F$9,AA$9))</f>
        <v>0.88391627016932772</v>
      </c>
      <c r="AB10">
        <f>IF($G10="s-curve",$E10+($F10-$E10)*$O$2/(1+EXP($O$3*(COUNT($K$9:AB$9)+$O$4))),TREND($E10:$F10,$E$9:$F$9,AB$9))</f>
        <v>0.91113429871403007</v>
      </c>
      <c r="AC10">
        <f>IF($G10="s-curve",$E10+($F10-$E10)*$O$2/(1+EXP($O$3*(COUNT($K$9:AC$9)+$O$4))),TREND($E10:$F10,$E$9:$F$9,AC$9))</f>
        <v>0.93249851564306541</v>
      </c>
      <c r="AD10">
        <f>IF($G10="s-curve",$E10+($F10-$E10)*$O$2/(1+EXP($O$3*(COUNT($K$9:AD$9)+$O$4))),TREND($E10:$F10,$E$9:$F$9,AD$9))</f>
        <v>0.94903701235474314</v>
      </c>
      <c r="AE10">
        <f>IF($G10="s-curve",$E10+($F10-$E10)*$O$2/(1+EXP($O$3*(COUNT($K$9:AE$9)+$O$4))),TREND($E10:$F10,$E$9:$F$9,AE$9))</f>
        <v>0.96170292871716656</v>
      </c>
      <c r="AF10">
        <f>IF($G10="s-curve",$E10+($F10-$E10)*$O$2/(1+EXP($O$3*(COUNT($K$9:AF$9)+$O$4))),TREND($E10:$F10,$E$9:$F$9,AF$9))</f>
        <v>0.9713234230791381</v>
      </c>
      <c r="AG10">
        <f>IF($G10="s-curve",$E10+($F10-$E10)*$O$2/(1+EXP($O$3*(COUNT($K$9:AG$9)+$O$4))),TREND($E10:$F10,$E$9:$F$9,AG$9))</f>
        <v>0.97858509124385606</v>
      </c>
      <c r="AH10">
        <f>IF($G10="s-curve",$E10+($F10-$E10)*$O$2/(1+EXP($O$3*(COUNT($K$9:AH$9)+$O$4))),TREND($E10:$F10,$E$9:$F$9,AH$9))</f>
        <v>0.98404040094974166</v>
      </c>
      <c r="AI10">
        <f>IF($G10="s-curve",$E10+($F10-$E10)*$O$2/(1+EXP($O$3*(COUNT($K$9:AI$9)+$O$4))),TREND($E10:$F10,$E$9:$F$9,AI$9))</f>
        <v>0.9881241302994479</v>
      </c>
      <c r="AJ10">
        <f>IF($G10="s-curve",$E10+($F10-$E10)*$O$2/(1+EXP($O$3*(COUNT($K$9:AJ$9)+$O$4))),TREND($E10:$F10,$E$9:$F$9,AJ$9))</f>
        <v>0.99117298738162618</v>
      </c>
      <c r="AK10">
        <f>IF($G10="s-curve",$E10+($F10-$E10)*$O$2/(1+EXP($O$3*(COUNT($K$9:AK$9)+$O$4))),TREND($E10:$F10,$E$9:$F$9,AK$9))</f>
        <v>0.99344469677154446</v>
      </c>
      <c r="AL10">
        <f>IF($G10="s-curve",$E10+($F10-$E10)*$O$2/(1+EXP($O$3*(COUNT($K$9:AL$9)+$O$4))),TREND($E10:$F10,$E$9:$F$9,AL$9))</f>
        <v>0.99513484285360354</v>
      </c>
    </row>
    <row r="11" spans="1:38" x14ac:dyDescent="0.25">
      <c r="C11" t="s">
        <v>2</v>
      </c>
      <c r="E11" s="22">
        <f>SUM(SUM(INDEX('AEO 39'!$29:$30,0,MATCH($E$9,'AEO 39'!$1:$1,0))),SUM(INDEX('AEO 39'!$51:$52,0,MATCH($E$9,'AEO 39'!$1:$1,0))))/INDEX('AEO 39'!$59:$59,MATCH($E$9,'AEO 39'!$1:$1,0))</f>
        <v>3.7087168441147616E-4</v>
      </c>
      <c r="F11" s="22">
        <f>SUM(SUM(INDEX('AEO 39'!$29:$30,0,MATCH($F$9,'AEO 39'!$1:$1,0))),SUM(INDEX('AEO 39'!$51:$52,0,MATCH($F$9,'AEO 39'!$1:$1,0))))/INDEX('AEO 39'!$59:$59,MATCH($F$9,'AEO 39'!$1:$1,0))*Assumptions!$A$11</f>
        <v>1.235369525889815E-3</v>
      </c>
      <c r="G11" s="7" t="str">
        <f>IF(E11=F11,"n/a",IF(OR(C11="battery electric vehicle",C11="natural gas vehicle",C11="plugin hybrid vehicle"),"s-curve","linear"))</f>
        <v>s-curve</v>
      </c>
      <c r="I11" s="22">
        <f t="shared" ref="I11:I40" si="1">E11</f>
        <v>3.7087168441147616E-4</v>
      </c>
      <c r="J11">
        <f>IF($G11="s-curve",$E11+($F11-$E11)*$I$2/(1+EXP($I$3*(COUNT($I$9:J$9)+$I$4))),TREND($E11:$F11,$E$9:$F$9,J$9))</f>
        <v>3.8364380292024329E-4</v>
      </c>
      <c r="K11">
        <f>IF($G11="s-curve",$E11+($F11-$E11)*$I$2/(1+EXP($I$3*(COUNT($I$9:K$9)+$I$4))),TREND($E11:$F11,$E$9:$F$9,K$9))</f>
        <v>3.8802358589285646E-4</v>
      </c>
      <c r="L11">
        <f>IF($G11="s-curve",$E11+($F11-$E11)*$I$2/(1+EXP($I$3*(COUNT($I$9:L$9)+$I$4))),TREND($E11:$F11,$E$9:$F$9,L$9))</f>
        <v>3.9386472794848996E-4</v>
      </c>
      <c r="M11">
        <f>IF($G11="s-curve",$E11+($F11-$E11)*$I$2/(1+EXP($I$3*(COUNT($I$9:M$9)+$I$4))),TREND($E11:$F11,$E$9:$F$9,M$9))</f>
        <v>4.016229007564876E-4</v>
      </c>
      <c r="N11">
        <f>IF($G11="s-curve",$E11+($F11-$E11)*$I$2/(1+EXP($I$3*(COUNT($I$9:N$9)+$I$4))),TREND($E11:$F11,$E$9:$F$9,N$9))</f>
        <v>4.118712494037081E-4</v>
      </c>
      <c r="O11">
        <f>IF($G11="s-curve",$E11+($F11-$E11)*$I$2/(1+EXP($I$3*(COUNT($I$9:O$9)+$I$4))),TREND($E11:$F11,$E$9:$F$9,O$9))</f>
        <v>4.253120147933965E-4</v>
      </c>
      <c r="P11">
        <f>IF($G11="s-curve",$E11+($F11-$E11)*$I$2/(1+EXP($I$3*(COUNT($I$9:P$9)+$I$4))),TREND($E11:$F11,$E$9:$F$9,P$9))</f>
        <v>4.4277430100040505E-4</v>
      </c>
      <c r="Q11">
        <f>IF($G11="s-curve",$E11+($F11-$E11)*$I$2/(1+EXP($I$3*(COUNT($I$9:Q$9)+$I$4))),TREND($E11:$F11,$E$9:$F$9,Q$9))</f>
        <v>4.6518565084723181E-4</v>
      </c>
      <c r="R11">
        <f>IF($G11="s-curve",$E11+($F11-$E11)*$I$2/(1+EXP($I$3*(COUNT($I$9:R$9)+$I$4))),TREND($E11:$F11,$E$9:$F$9,R$9))</f>
        <v>4.935016238293516E-4</v>
      </c>
      <c r="S11">
        <f>IF($G11="s-curve",$E11+($F11-$E11)*$I$2/(1+EXP($I$3*(COUNT($I$9:S$9)+$I$4))),TREND($E11:$F11,$E$9:$F$9,S$9))</f>
        <v>5.2857815597262656E-4</v>
      </c>
      <c r="T11">
        <f>IF($G11="s-curve",$E11+($F11-$E11)*$I$2/(1+EXP($I$3*(COUNT($I$9:T$9)+$I$4))),TREND($E11:$F11,$E$9:$F$9,T$9))</f>
        <v>5.7098150943230659E-4</v>
      </c>
      <c r="U11">
        <f>IF($G11="s-curve",$E11+($F11-$E11)*$I$2/(1+EXP($I$3*(COUNT($I$9:U$9)+$I$4))),TREND($E11:$F11,$E$9:$F$9,U$9))</f>
        <v>6.207552154704006E-4</v>
      </c>
      <c r="V11">
        <f>IF($G11="s-curve",$E11+($F11-$E11)*$I$2/(1+EXP($I$3*(COUNT($I$9:V$9)+$I$4))),TREND($E11:$F11,$E$9:$F$9,V$9))</f>
        <v>6.7720104282073751E-4</v>
      </c>
      <c r="W11">
        <f>IF($G11="s-curve",$E11+($F11-$E11)*$I$2/(1+EXP($I$3*(COUNT($I$9:W$9)+$I$4))),TREND($E11:$F11,$E$9:$F$9,W$9))</f>
        <v>7.387652100527514E-4</v>
      </c>
      <c r="X11">
        <f>IF($G11="s-curve",$E11+($F11-$E11)*$I$2/(1+EXP($I$3*(COUNT($I$9:X$9)+$I$4))),TREND($E11:$F11,$E$9:$F$9,X$9))</f>
        <v>8.0312060515064557E-4</v>
      </c>
      <c r="Y11">
        <f>IF($G11="s-curve",$E11+($F11-$E11)*$I$2/(1+EXP($I$3*(COUNT($I$9:Y$9)+$I$4))),TREND($E11:$F11,$E$9:$F$9,Y$9))</f>
        <v>8.6747600024853974E-4</v>
      </c>
      <c r="Z11">
        <f>IF($G11="s-curve",$E11+($F11-$E11)*$I$2/(1+EXP($I$3*(COUNT($I$9:Z$9)+$I$4))),TREND($E11:$F11,$E$9:$F$9,Z$9))</f>
        <v>9.2904016748055363E-4</v>
      </c>
      <c r="AA11">
        <f>IF($G11="s-curve",$E11+($F11-$E11)*$I$2/(1+EXP($I$3*(COUNT($I$9:AA$9)+$I$4))),TREND($E11:$F11,$E$9:$F$9,AA$9))</f>
        <v>9.8548599483089076E-4</v>
      </c>
      <c r="AB11">
        <f>IF($G11="s-curve",$E11+($F11-$E11)*$I$2/(1+EXP($I$3*(COUNT($I$9:AB$9)+$I$4))),TREND($E11:$F11,$E$9:$F$9,AB$9))</f>
        <v>1.0352597008689846E-3</v>
      </c>
      <c r="AC11">
        <f>IF($G11="s-curve",$E11+($F11-$E11)*$I$2/(1+EXP($I$3*(COUNT($I$9:AC$9)+$I$4))),TREND($E11:$F11,$E$9:$F$9,AC$9))</f>
        <v>1.0776630543286646E-3</v>
      </c>
      <c r="AD11">
        <f>IF($G11="s-curve",$E11+($F11-$E11)*$I$2/(1+EXP($I$3*(COUNT($I$9:AD$9)+$I$4))),TREND($E11:$F11,$E$9:$F$9,AD$9))</f>
        <v>1.1127395864719398E-3</v>
      </c>
      <c r="AE11">
        <f>IF($G11="s-curve",$E11+($F11-$E11)*$I$2/(1+EXP($I$3*(COUNT($I$9:AE$9)+$I$4))),TREND($E11:$F11,$E$9:$F$9,AE$9))</f>
        <v>1.1410555594540594E-3</v>
      </c>
      <c r="AF11">
        <f>IF($G11="s-curve",$E11+($F11-$E11)*$I$2/(1+EXP($I$3*(COUNT($I$9:AF$9)+$I$4))),TREND($E11:$F11,$E$9:$F$9,AF$9))</f>
        <v>1.1634669093008863E-3</v>
      </c>
      <c r="AG11">
        <f>IF($G11="s-curve",$E11+($F11-$E11)*$I$2/(1+EXP($I$3*(COUNT($I$9:AG$9)+$I$4))),TREND($E11:$F11,$E$9:$F$9,AG$9))</f>
        <v>1.1809291955078949E-3</v>
      </c>
      <c r="AH11">
        <f>IF($G11="s-curve",$E11+($F11-$E11)*$I$2/(1+EXP($I$3*(COUNT($I$9:AH$9)+$I$4))),TREND($E11:$F11,$E$9:$F$9,AH$9))</f>
        <v>1.1943699608975833E-3</v>
      </c>
      <c r="AI11">
        <f>IF($G11="s-curve",$E11+($F11-$E11)*$I$2/(1+EXP($I$3*(COUNT($I$9:AI$9)+$I$4))),TREND($E11:$F11,$E$9:$F$9,AI$9))</f>
        <v>1.2046183095448036E-3</v>
      </c>
      <c r="AJ11">
        <f>IF($G11="s-curve",$E11+($F11-$E11)*$I$2/(1+EXP($I$3*(COUNT($I$9:AJ$9)+$I$4))),TREND($E11:$F11,$E$9:$F$9,AJ$9))</f>
        <v>1.2123764823528012E-3</v>
      </c>
      <c r="AK11">
        <f>IF($G11="s-curve",$E11+($F11-$E11)*$I$2/(1+EXP($I$3*(COUNT($I$9:AK$9)+$I$4))),TREND($E11:$F11,$E$9:$F$9,AK$9))</f>
        <v>1.2182176244084349E-3</v>
      </c>
      <c r="AL11">
        <f>IF($G11="s-curve",$E11+($F11-$E11)*$I$2/(1+EXP($I$3*(COUNT($I$9:AL$9)+$I$4))),TREND($E11:$F11,$E$9:$F$9,AL$9))</f>
        <v>1.2225974073810479E-3</v>
      </c>
    </row>
    <row r="12" spans="1:38" x14ac:dyDescent="0.25">
      <c r="C12" t="s">
        <v>3</v>
      </c>
      <c r="E12">
        <v>1</v>
      </c>
      <c r="F12">
        <v>1</v>
      </c>
      <c r="G12" s="7" t="str">
        <f>IF(E12=F12,"n/a",IF(OR(C12="battery electric vehicle",C12="natural gas vehicle",C12="plugin hybrid vehicle"),"s-curve","linear"))</f>
        <v>n/a</v>
      </c>
      <c r="I12" s="22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  <c r="AJ12">
        <f>IF($G12="s-curve",$E12+($F12-$E12)*$I$2/(1+EXP($I$3*(COUNT($I$9:AJ$9)+$I$4))),TREND($E12:$F12,$E$9:$F$9,AJ$9))</f>
        <v>1</v>
      </c>
      <c r="AK12">
        <f>IF($G12="s-curve",$E12+($F12-$E12)*$I$2/(1+EXP($I$3*(COUNT($I$9:AK$9)+$I$4))),TREND($E12:$F12,$E$9:$F$9,AK$9))</f>
        <v>1</v>
      </c>
      <c r="AL12">
        <f>IF($G12="s-curve",$E12+($F12-$E12)*$I$2/(1+EXP($I$3*(COUNT($I$9:AL$9)+$I$4))),TREND($E12:$F12,$E$9:$F$9,AL$9))</f>
        <v>1</v>
      </c>
    </row>
    <row r="13" spans="1:38" x14ac:dyDescent="0.25">
      <c r="C13" t="s">
        <v>4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</f>
        <v>4.6260368305253595E-3</v>
      </c>
      <c r="F13" s="22">
        <f>SUM(INDEX('AEO 39'!$18:$18,MATCH(F$9,'AEO 39'!$1:$1,0)),INDEX('AEO 39'!$27:$27,MATCH(F$9,'AEO 39'!$1:$1,0)),INDEX('AEO 39'!$40:$40,MATCH(F$9,'AEO 39'!$1:$1,0)),INDEX('AEO 39'!$49:$49,MATCH(F$9,'AEO 39'!$1:$1,0)))/INDEX('AEO 39'!$59:$59,MATCH(F$9,'AEO 39'!$1:$1,0))*Assumptions!A11</f>
        <v>3.0818463927506295E-2</v>
      </c>
      <c r="G13" s="7" t="str">
        <f>IF(E13=F13,"n/a",IF(OR(C13="battery electric vehicle",C13="natural gas vehicle",C13="plugin hybrid vehicle"),"s-curve","linear"))</f>
        <v>linear</v>
      </c>
      <c r="I13" s="22">
        <f t="shared" si="1"/>
        <v>4.6260368305253595E-3</v>
      </c>
      <c r="J13">
        <f>IF($G13="s-curve",$E13+($F13-$E13)*$I$2/(1+EXP($I$3*(COUNT($I$9:J$9)+$I$4))),TREND($E13:$F13,$E$9:$F$9,J$9))</f>
        <v>4.6260368305253152E-3</v>
      </c>
      <c r="K13">
        <f>IF($G13="s-curve",$E13+($F13-$E13)*$I$2/(1+EXP($I$3*(COUNT($I$9:K$9)+$I$4))),TREND($E13:$F13,$E$9:$F$9,K$9))</f>
        <v>5.5614806554173946E-3</v>
      </c>
      <c r="L13">
        <f>IF($G13="s-curve",$E13+($F13-$E13)*$I$2/(1+EXP($I$3*(COUNT($I$9:L$9)+$I$4))),TREND($E13:$F13,$E$9:$F$9,L$9))</f>
        <v>6.4969244803096959E-3</v>
      </c>
      <c r="M13">
        <f>IF($G13="s-curve",$E13+($F13-$E13)*$I$2/(1+EXP($I$3*(COUNT($I$9:M$9)+$I$4))),TREND($E13:$F13,$E$9:$F$9,M$9))</f>
        <v>7.4323683052017753E-3</v>
      </c>
      <c r="N13">
        <f>IF($G13="s-curve",$E13+($F13-$E13)*$I$2/(1+EXP($I$3*(COUNT($I$9:N$9)+$I$4))),TREND($E13:$F13,$E$9:$F$9,N$9))</f>
        <v>8.3678121300938546E-3</v>
      </c>
      <c r="O13">
        <f>IF($G13="s-curve",$E13+($F13-$E13)*$I$2/(1+EXP($I$3*(COUNT($I$9:O$9)+$I$4))),TREND($E13:$F13,$E$9:$F$9,O$9))</f>
        <v>9.303255954986156E-3</v>
      </c>
      <c r="P13">
        <f>IF($G13="s-curve",$E13+($F13-$E13)*$I$2/(1+EXP($I$3*(COUNT($I$9:P$9)+$I$4))),TREND($E13:$F13,$E$9:$F$9,P$9))</f>
        <v>1.0238699779878235E-2</v>
      </c>
      <c r="Q13">
        <f>IF($G13="s-curve",$E13+($F13-$E13)*$I$2/(1+EXP($I$3*(COUNT($I$9:Q$9)+$I$4))),TREND($E13:$F13,$E$9:$F$9,Q$9))</f>
        <v>1.1174143604770537E-2</v>
      </c>
      <c r="R13">
        <f>IF($G13="s-curve",$E13+($F13-$E13)*$I$2/(1+EXP($I$3*(COUNT($I$9:R$9)+$I$4))),TREND($E13:$F13,$E$9:$F$9,R$9))</f>
        <v>1.2109587429662616E-2</v>
      </c>
      <c r="S13">
        <f>IF($G13="s-curve",$E13+($F13-$E13)*$I$2/(1+EXP($I$3*(COUNT($I$9:S$9)+$I$4))),TREND($E13:$F13,$E$9:$F$9,S$9))</f>
        <v>1.3045031254554917E-2</v>
      </c>
      <c r="T13">
        <f>IF($G13="s-curve",$E13+($F13-$E13)*$I$2/(1+EXP($I$3*(COUNT($I$9:T$9)+$I$4))),TREND($E13:$F13,$E$9:$F$9,T$9))</f>
        <v>1.3980475079446997E-2</v>
      </c>
      <c r="U13">
        <f>IF($G13="s-curve",$E13+($F13-$E13)*$I$2/(1+EXP($I$3*(COUNT($I$9:U$9)+$I$4))),TREND($E13:$F13,$E$9:$F$9,U$9))</f>
        <v>1.4915918904339076E-2</v>
      </c>
      <c r="V13">
        <f>IF($G13="s-curve",$E13+($F13-$E13)*$I$2/(1+EXP($I$3*(COUNT($I$9:V$9)+$I$4))),TREND($E13:$F13,$E$9:$F$9,V$9))</f>
        <v>1.5851362729231377E-2</v>
      </c>
      <c r="W13">
        <f>IF($G13="s-curve",$E13+($F13-$E13)*$I$2/(1+EXP($I$3*(COUNT($I$9:W$9)+$I$4))),TREND($E13:$F13,$E$9:$F$9,W$9))</f>
        <v>1.6786806554123457E-2</v>
      </c>
      <c r="X13">
        <f>IF($G13="s-curve",$E13+($F13-$E13)*$I$2/(1+EXP($I$3*(COUNT($I$9:X$9)+$I$4))),TREND($E13:$F13,$E$9:$F$9,X$9))</f>
        <v>1.7722250379015758E-2</v>
      </c>
      <c r="Y13">
        <f>IF($G13="s-curve",$E13+($F13-$E13)*$I$2/(1+EXP($I$3*(COUNT($I$9:Y$9)+$I$4))),TREND($E13:$F13,$E$9:$F$9,Y$9))</f>
        <v>1.8657694203907838E-2</v>
      </c>
      <c r="Z13">
        <f>IF($G13="s-curve",$E13+($F13-$E13)*$I$2/(1+EXP($I$3*(COUNT($I$9:Z$9)+$I$4))),TREND($E13:$F13,$E$9:$F$9,Z$9))</f>
        <v>1.9593138028800139E-2</v>
      </c>
      <c r="AA13">
        <f>IF($G13="s-curve",$E13+($F13-$E13)*$I$2/(1+EXP($I$3*(COUNT($I$9:AA$9)+$I$4))),TREND($E13:$F13,$E$9:$F$9,AA$9))</f>
        <v>2.0528581853692218E-2</v>
      </c>
      <c r="AB13">
        <f>IF($G13="s-curve",$E13+($F13-$E13)*$I$2/(1+EXP($I$3*(COUNT($I$9:AB$9)+$I$4))),TREND($E13:$F13,$E$9:$F$9,AB$9))</f>
        <v>2.146402567858452E-2</v>
      </c>
      <c r="AC13">
        <f>IF($G13="s-curve",$E13+($F13-$E13)*$I$2/(1+EXP($I$3*(COUNT($I$9:AC$9)+$I$4))),TREND($E13:$F13,$E$9:$F$9,AC$9))</f>
        <v>2.2399469503476599E-2</v>
      </c>
      <c r="AD13">
        <f>IF($G13="s-curve",$E13+($F13-$E13)*$I$2/(1+EXP($I$3*(COUNT($I$9:AD$9)+$I$4))),TREND($E13:$F13,$E$9:$F$9,AD$9))</f>
        <v>2.3334913328368678E-2</v>
      </c>
      <c r="AE13">
        <f>IF($G13="s-curve",$E13+($F13-$E13)*$I$2/(1+EXP($I$3*(COUNT($I$9:AE$9)+$I$4))),TREND($E13:$F13,$E$9:$F$9,AE$9))</f>
        <v>2.427035715326098E-2</v>
      </c>
      <c r="AF13">
        <f>IF($G13="s-curve",$E13+($F13-$E13)*$I$2/(1+EXP($I$3*(COUNT($I$9:AF$9)+$I$4))),TREND($E13:$F13,$E$9:$F$9,AF$9))</f>
        <v>2.5205800978153059E-2</v>
      </c>
      <c r="AG13">
        <f>IF($G13="s-curve",$E13+($F13-$E13)*$I$2/(1+EXP($I$3*(COUNT($I$9:AG$9)+$I$4))),TREND($E13:$F13,$E$9:$F$9,AG$9))</f>
        <v>2.614124480304536E-2</v>
      </c>
      <c r="AH13">
        <f>IF($G13="s-curve",$E13+($F13-$E13)*$I$2/(1+EXP($I$3*(COUNT($I$9:AH$9)+$I$4))),TREND($E13:$F13,$E$9:$F$9,AH$9))</f>
        <v>2.707668862793744E-2</v>
      </c>
      <c r="AI13">
        <f>IF($G13="s-curve",$E13+($F13-$E13)*$I$2/(1+EXP($I$3*(COUNT($I$9:AI$9)+$I$4))),TREND($E13:$F13,$E$9:$F$9,AI$9))</f>
        <v>2.8012132452829741E-2</v>
      </c>
      <c r="AJ13">
        <f>IF($G13="s-curve",$E13+($F13-$E13)*$I$2/(1+EXP($I$3*(COUNT($I$9:AJ$9)+$I$4))),TREND($E13:$F13,$E$9:$F$9,AJ$9))</f>
        <v>2.894757627772182E-2</v>
      </c>
      <c r="AK13">
        <f>IF($G13="s-curve",$E13+($F13-$E13)*$I$2/(1+EXP($I$3*(COUNT($I$9:AK$9)+$I$4))),TREND($E13:$F13,$E$9:$F$9,AK$9))</f>
        <v>2.98830201026139E-2</v>
      </c>
      <c r="AL13">
        <f>IF($G13="s-curve",$E13+($F13-$E13)*$I$2/(1+EXP($I$3*(COUNT($I$9:AL$9)+$I$4))),TREND($E13:$F13,$E$9:$F$9,AL$9))</f>
        <v>3.0818463927506201E-2</v>
      </c>
    </row>
    <row r="14" spans="1:38" x14ac:dyDescent="0.25">
      <c r="C14" t="s">
        <v>5</v>
      </c>
      <c r="D14">
        <v>2.5000000000000001E-3</v>
      </c>
      <c r="E14" s="22">
        <v>8.0000000000000002E-3</v>
      </c>
      <c r="F14" s="41">
        <v>0.25</v>
      </c>
      <c r="G14" s="7" t="str">
        <f>IF(E14=F14,"n/a",IF(OR(C14="battery electric vehicle",C14="natural gas vehicle",C14="plugin hybrid vehicle",C14="hydrogen vehicle"),"s-curve","linear"))</f>
        <v>s-curve</v>
      </c>
      <c r="I14" s="15">
        <f>D14</f>
        <v>2.5000000000000001E-3</v>
      </c>
      <c r="J14" s="15">
        <f>E14</f>
        <v>8.0000000000000002E-3</v>
      </c>
      <c r="K14" s="15">
        <f>O7</f>
        <v>1.8679140068700261E-2</v>
      </c>
      <c r="L14">
        <f>IF($G14="s-curve",$E14+($F14-$E14)*$U$2/(1+EXP($U$3*(COUNT($I$9:L$9)+$U$4))),TREND($E14:$F14,$E$9:$F$9,L$9))</f>
        <v>2.0151128112044503E-2</v>
      </c>
      <c r="M14">
        <f>IF($G14="s-curve",$E14+($F14-$E14)*$U$2/(1+EXP($U$3*(COUNT($I$9:M$9)+$U$4))),TREND($E14:$F14,$E$9:$F$9,M$9))</f>
        <v>2.6021242730178792E-2</v>
      </c>
      <c r="N14">
        <f>IF($G14="s-curve",$E14+($F14-$E14)*$U$2/(1+EXP($U$3*(COUNT($I$9:N$9)+$U$4))),TREND($E14:$F14,$E$9:$F$9,N$9))</f>
        <v>3.4401430729338323E-2</v>
      </c>
      <c r="O14" s="15">
        <v>5.1499999999999997E-2</v>
      </c>
      <c r="P14" s="15">
        <v>5.5E-2</v>
      </c>
      <c r="Q14" s="15">
        <v>7.4999999999999997E-2</v>
      </c>
      <c r="R14" s="15">
        <v>8.8999999999999996E-2</v>
      </c>
      <c r="S14" s="15">
        <v>0.11799999999999999</v>
      </c>
      <c r="T14" s="15">
        <f>X6</f>
        <v>0.15</v>
      </c>
      <c r="U14">
        <f>IF($G14="s-curve",$E14+($F14-$E14)*$U$2/(1+EXP($U$3*(COUNT($I$9:U$9)+$U$4))),TREND($E14:$F14,$E$9:$F$9,U$9))</f>
        <v>0.17702858227261439</v>
      </c>
      <c r="V14">
        <f>IF($G14="s-curve",$E14+($F14-$E14)*$U$2/(1+EXP($U$3*(COUNT($I$9:V$9)+$U$4))),TREND($E14:$F14,$E$9:$F$9,V$9))</f>
        <v>0.19652431808271453</v>
      </c>
      <c r="W14">
        <f>IF($G14="s-curve",$E14+($F14-$E14)*$U$2/(1+EXP($U$3*(COUNT($I$9:W$9)+$U$4))),TREND($E14:$F14,$E$9:$F$9,W$9))</f>
        <v>0.21198289652972047</v>
      </c>
      <c r="X14">
        <f>IF($G14="s-curve",$E14+($F14-$E14)*$U$2/(1+EXP($U$3*(COUNT($I$9:X$9)+$U$4))),TREND($E14:$F14,$E$9:$F$9,X$9))</f>
        <v>0.22359856927066168</v>
      </c>
      <c r="Y14">
        <f>IF($G14="s-curve",$E14+($F14-$E14)*$U$2/(1+EXP($U$3*(COUNT($I$9:Y$9)+$U$4))),TREND($E14:$F14,$E$9:$F$9,Y$9))</f>
        <v>0.2319787572698212</v>
      </c>
      <c r="Z14">
        <f>IF($G14="s-curve",$E14+($F14-$E14)*$U$2/(1+EXP($U$3*(COUNT($I$9:Z$9)+$U$4))),TREND($E14:$F14,$E$9:$F$9,Z$9))</f>
        <v>0.23784887188795553</v>
      </c>
      <c r="AA14">
        <f>IF($G14="s-curve",$E14+($F14-$E14)*$U$2/(1+EXP($U$3*(COUNT($I$9:AA$9)+$U$4))),TREND($E14:$F14,$E$9:$F$9,AA$9))</f>
        <v>0.24187624796588125</v>
      </c>
      <c r="AB14">
        <f>IF($G14="s-curve",$E14+($F14-$E14)*$U$2/(1+EXP($U$3*(COUNT($I$9:AB$9)+$U$4))),TREND($E14:$F14,$E$9:$F$9,AB$9))</f>
        <v>0.24460014783483416</v>
      </c>
      <c r="AC14">
        <f>IF($G14="s-curve",$E14+($F14-$E14)*$U$2/(1+EXP($U$3*(COUNT($I$9:AC$9)+$U$4))),TREND($E14:$F14,$E$9:$F$9,AC$9))</f>
        <v>0.24642468433022793</v>
      </c>
      <c r="AD14">
        <f>IF($G14="s-curve",$E14+($F14-$E14)*$U$2/(1+EXP($U$3*(COUNT($I$9:AD$9)+$U$4))),TREND($E14:$F14,$E$9:$F$9,AD$9))</f>
        <v>0.2476388869188586</v>
      </c>
      <c r="AE14">
        <f>IF($G14="s-curve",$E14+($F14-$E14)*$U$2/(1+EXP($U$3*(COUNT($I$9:AE$9)+$U$4))),TREND($E14:$F14,$E$9:$F$9,AE$9))</f>
        <v>0.24844342975100567</v>
      </c>
      <c r="AF14">
        <f>IF($G14="s-curve",$E14+($F14-$E14)*$U$2/(1+EXP($U$3*(COUNT($I$9:AF$9)+$U$4))),TREND($E14:$F14,$E$9:$F$9,AF$9))</f>
        <v>0.24897499940691589</v>
      </c>
      <c r="AG14">
        <f>IF($G14="s-curve",$E14+($F14-$E14)*$U$2/(1+EXP($U$3*(COUNT($I$9:AG$9)+$U$4))),TREND($E14:$F14,$E$9:$F$9,AG$9))</f>
        <v>0.24932554691499179</v>
      </c>
      <c r="AH14">
        <f>IF($G14="s-curve",$E14+($F14-$E14)*$U$2/(1+EXP($U$3*(COUNT($I$9:AH$9)+$U$4))),TREND($E14:$F14,$E$9:$F$9,AH$9))</f>
        <v>0.24955642877591674</v>
      </c>
      <c r="AI14">
        <f>IF($G14="s-curve",$E14+($F14-$E14)*$U$2/(1+EXP($U$3*(COUNT($I$9:AI$9)+$U$4))),TREND($E14:$F14,$E$9:$F$9,AI$9))</f>
        <v>0.24970836961542547</v>
      </c>
      <c r="AJ14">
        <f>IF($G14="s-curve",$E14+($F14-$E14)*$U$2/(1+EXP($U$3*(COUNT($I$9:AJ$9)+$U$4))),TREND($E14:$F14,$E$9:$F$9,AJ$9))</f>
        <v>0.24980830595850836</v>
      </c>
      <c r="AK14">
        <f>IF($G14="s-curve",$E14+($F14-$E14)*$U$2/(1+EXP($U$3*(COUNT($I$9:AK$9)+$U$4))),TREND($E14:$F14,$E$9:$F$9,AK$9))</f>
        <v>0.24987401381406515</v>
      </c>
      <c r="AL14">
        <f>IF($G14="s-curve",$E14+($F14-$E14)*$U$2/(1+EXP($U$3*(COUNT($I$9:AL$9)+$U$4))),TREND($E14:$F14,$E$9:$F$9,AL$9))</f>
        <v>0.24991720639498693</v>
      </c>
    </row>
    <row r="15" spans="1:38" x14ac:dyDescent="0.25">
      <c r="C15" t="s">
        <v>120</v>
      </c>
      <c r="E15" s="22">
        <f>SUM(SUM(INDEX('AEO 39'!31:32,0,MATCH(E$9,'AEO 39'!$1:$1,0))),SUM(INDEX('AEO 39'!53:54,0,MATCH(E$9,'AEO 39'!$1:$1,0))))/INDEX('AEO 39'!$59:$59,MATCH(E$9,'AEO 39'!$1:$1,0))</f>
        <v>2.9379012033304164E-4</v>
      </c>
      <c r="F15" s="22">
        <f>SUM(SUM(INDEX('AEO 39'!31:32,0,MATCH(F$9,'AEO 39'!$1:$1,0))),SUM(INDEX('AEO 39'!53:54,0,MATCH(F$9,'AEO 39'!$1:$1,0))))/INDEX('AEO 39'!$59:$59,MATCH(F$9,'AEO 39'!$1:$1,0))*Assumptions!A11</f>
        <v>8.6165104068937229E-4</v>
      </c>
      <c r="G15" s="7" t="str">
        <f>IF(E15=F15,"n/a",IF(OR(C15="battery electric vehicle",C15="natural gas vehicle",C15="plugin hybrid vehicle",C15="hydrogen vehicle"),"s-curve","linear"))</f>
        <v>linear</v>
      </c>
      <c r="I15" s="22">
        <f t="shared" si="1"/>
        <v>2.9379012033304164E-4</v>
      </c>
      <c r="J15">
        <f>IF($G15="s-curve",$E15+($F15-$E15)*$I$2/(1+EXP($I$3*(COUNT($I$9:J$9)+$I$4))),TREND($E15:$F15,$E$9:$F$9,J$9))</f>
        <v>2.9379012033303731E-4</v>
      </c>
      <c r="K15">
        <f>IF($G15="s-curve",$E15+($F15-$E15)*$I$2/(1+EXP($I$3*(COUNT($I$9:K$9)+$I$4))),TREND($E15:$F15,$E$9:$F$9,K$9))</f>
        <v>3.1407086748862223E-4</v>
      </c>
      <c r="L15">
        <f>IF($G15="s-curve",$E15+($F15-$E15)*$I$2/(1+EXP($I$3*(COUNT($I$9:L$9)+$I$4))),TREND($E15:$F15,$E$9:$F$9,L$9))</f>
        <v>3.3435161464420715E-4</v>
      </c>
      <c r="M15">
        <f>IF($G15="s-curve",$E15+($F15-$E15)*$I$2/(1+EXP($I$3*(COUNT($I$9:M$9)+$I$4))),TREND($E15:$F15,$E$9:$F$9,M$9))</f>
        <v>3.5463236179979207E-4</v>
      </c>
      <c r="N15">
        <f>IF($G15="s-curve",$E15+($F15-$E15)*$I$2/(1+EXP($I$3*(COUNT($I$9:N$9)+$I$4))),TREND($E15:$F15,$E$9:$F$9,N$9))</f>
        <v>3.7491310895537006E-4</v>
      </c>
      <c r="O15">
        <f>IF($G15="s-curve",$E15+($F15-$E15)*$I$2/(1+EXP($I$3*(COUNT($I$9:O$9)+$I$4))),TREND($E15:$F15,$E$9:$F$9,O$9))</f>
        <v>3.9519385611095498E-4</v>
      </c>
      <c r="P15">
        <f>IF($G15="s-curve",$E15+($F15-$E15)*$I$2/(1+EXP($I$3*(COUNT($I$9:P$9)+$I$4))),TREND($E15:$F15,$E$9:$F$9,P$9))</f>
        <v>4.154746032665399E-4</v>
      </c>
      <c r="Q15">
        <f>IF($G15="s-curve",$E15+($F15-$E15)*$I$2/(1+EXP($I$3*(COUNT($I$9:Q$9)+$I$4))),TREND($E15:$F15,$E$9:$F$9,Q$9))</f>
        <v>4.3575535042212482E-4</v>
      </c>
      <c r="R15">
        <f>IF($G15="s-curve",$E15+($F15-$E15)*$I$2/(1+EXP($I$3*(COUNT($I$9:R$9)+$I$4))),TREND($E15:$F15,$E$9:$F$9,R$9))</f>
        <v>4.560360975777028E-4</v>
      </c>
      <c r="S15">
        <f>IF($G15="s-curve",$E15+($F15-$E15)*$I$2/(1+EXP($I$3*(COUNT($I$9:S$9)+$I$4))),TREND($E15:$F15,$E$9:$F$9,S$9))</f>
        <v>4.7631684473328773E-4</v>
      </c>
      <c r="T15">
        <f>IF($G15="s-curve",$E15+($F15-$E15)*$I$2/(1+EXP($I$3*(COUNT($I$9:T$9)+$I$4))),TREND($E15:$F15,$E$9:$F$9,T$9))</f>
        <v>4.9659759188887265E-4</v>
      </c>
      <c r="U15">
        <f>IF($G15="s-curve",$E15+($F15-$E15)*$I$2/(1+EXP($I$3*(COUNT($I$9:U$9)+$I$4))),TREND($E15:$F15,$E$9:$F$9,U$9))</f>
        <v>5.1687833904445757E-4</v>
      </c>
      <c r="V15">
        <f>IF($G15="s-curve",$E15+($F15-$E15)*$I$2/(1+EXP($I$3*(COUNT($I$9:V$9)+$I$4))),TREND($E15:$F15,$E$9:$F$9,V$9))</f>
        <v>5.3715908620003555E-4</v>
      </c>
      <c r="W15">
        <f>IF($G15="s-curve",$E15+($F15-$E15)*$I$2/(1+EXP($I$3*(COUNT($I$9:W$9)+$I$4))),TREND($E15:$F15,$E$9:$F$9,W$9))</f>
        <v>5.5743983335562047E-4</v>
      </c>
      <c r="X15">
        <f>IF($G15="s-curve",$E15+($F15-$E15)*$I$2/(1+EXP($I$3*(COUNT($I$9:X$9)+$I$4))),TREND($E15:$F15,$E$9:$F$9,X$9))</f>
        <v>5.7772058051120539E-4</v>
      </c>
      <c r="Y15">
        <f>IF($G15="s-curve",$E15+($F15-$E15)*$I$2/(1+EXP($I$3*(COUNT($I$9:Y$9)+$I$4))),TREND($E15:$F15,$E$9:$F$9,Y$9))</f>
        <v>5.9800132766679032E-4</v>
      </c>
      <c r="Z15">
        <f>IF($G15="s-curve",$E15+($F15-$E15)*$I$2/(1+EXP($I$3*(COUNT($I$9:Z$9)+$I$4))),TREND($E15:$F15,$E$9:$F$9,Z$9))</f>
        <v>6.182820748223683E-4</v>
      </c>
      <c r="AA15">
        <f>IF($G15="s-curve",$E15+($F15-$E15)*$I$2/(1+EXP($I$3*(COUNT($I$9:AA$9)+$I$4))),TREND($E15:$F15,$E$9:$F$9,AA$9))</f>
        <v>6.3856282197795322E-4</v>
      </c>
      <c r="AB15">
        <f>IF($G15="s-curve",$E15+($F15-$E15)*$I$2/(1+EXP($I$3*(COUNT($I$9:AB$9)+$I$4))),TREND($E15:$F15,$E$9:$F$9,AB$9))</f>
        <v>6.5884356913353814E-4</v>
      </c>
      <c r="AC15">
        <f>IF($G15="s-curve",$E15+($F15-$E15)*$I$2/(1+EXP($I$3*(COUNT($I$9:AC$9)+$I$4))),TREND($E15:$F15,$E$9:$F$9,AC$9))</f>
        <v>6.7912431628912306E-4</v>
      </c>
      <c r="AD15">
        <f>IF($G15="s-curve",$E15+($F15-$E15)*$I$2/(1+EXP($I$3*(COUNT($I$9:AD$9)+$I$4))),TREND($E15:$F15,$E$9:$F$9,AD$9))</f>
        <v>6.9940506344470105E-4</v>
      </c>
      <c r="AE15">
        <f>IF($G15="s-curve",$E15+($F15-$E15)*$I$2/(1+EXP($I$3*(COUNT($I$9:AE$9)+$I$4))),TREND($E15:$F15,$E$9:$F$9,AE$9))</f>
        <v>7.1968581060028597E-4</v>
      </c>
      <c r="AF15">
        <f>IF($G15="s-curve",$E15+($F15-$E15)*$I$2/(1+EXP($I$3*(COUNT($I$9:AF$9)+$I$4))),TREND($E15:$F15,$E$9:$F$9,AF$9))</f>
        <v>7.3996655775587089E-4</v>
      </c>
      <c r="AG15">
        <f>IF($G15="s-curve",$E15+($F15-$E15)*$I$2/(1+EXP($I$3*(COUNT($I$9:AG$9)+$I$4))),TREND($E15:$F15,$E$9:$F$9,AG$9))</f>
        <v>7.6024730491145581E-4</v>
      </c>
      <c r="AH15">
        <f>IF($G15="s-curve",$E15+($F15-$E15)*$I$2/(1+EXP($I$3*(COUNT($I$9:AH$9)+$I$4))),TREND($E15:$F15,$E$9:$F$9,AH$9))</f>
        <v>7.805280520670338E-4</v>
      </c>
      <c r="AI15">
        <f>IF($G15="s-curve",$E15+($F15-$E15)*$I$2/(1+EXP($I$3*(COUNT($I$9:AI$9)+$I$4))),TREND($E15:$F15,$E$9:$F$9,AI$9))</f>
        <v>8.0080879922261872E-4</v>
      </c>
      <c r="AJ15">
        <f>IF($G15="s-curve",$E15+($F15-$E15)*$I$2/(1+EXP($I$3*(COUNT($I$9:AJ$9)+$I$4))),TREND($E15:$F15,$E$9:$F$9,AJ$9))</f>
        <v>8.2108954637820364E-4</v>
      </c>
      <c r="AK15">
        <f>IF($G15="s-curve",$E15+($F15-$E15)*$I$2/(1+EXP($I$3*(COUNT($I$9:AK$9)+$I$4))),TREND($E15:$F15,$E$9:$F$9,AK$9))</f>
        <v>8.4137029353378856E-4</v>
      </c>
      <c r="AL15">
        <f>IF($G15="s-curve",$E15+($F15-$E15)*$I$2/(1+EXP($I$3*(COUNT($I$9:AL$9)+$I$4))),TREND($E15:$F15,$E$9:$F$9,AL$9))</f>
        <v>8.6165104068937348E-4</v>
      </c>
    </row>
    <row r="16" spans="1:38" ht="15.75" thickBot="1" x14ac:dyDescent="0.3">
      <c r="A16" s="23"/>
      <c r="B16" s="23"/>
      <c r="C16" s="23" t="s">
        <v>121</v>
      </c>
      <c r="D16" s="23"/>
      <c r="E16" s="26">
        <f>SUM(SUM(INDEX('AEO 39'!34:34,0,MATCH(E$9,'AEO 39'!$1:$1,0))),SUM(INDEX('AEO 39'!56:56,0,MATCH(E$9,'AEO 39'!$1:$1,0))))/INDEX('AEO 39'!$59:$59,MATCH(E$9,'AEO 39'!$1:$1,0))</f>
        <v>3.0883943362035788E-5</v>
      </c>
      <c r="F16" s="26">
        <f>SUM(SUM(INDEX('AEO 39'!34:34,0,MATCH(F$9,'AEO 39'!$1:$1,0))),SUM(INDEX('AEO 39'!56:56,0,MATCH(F$9,'AEO 39'!$1:$1,0))))/INDEX('AEO 39'!$59:$59,MATCH(F$9,'AEO 39'!$1:$1,0))*Assumptions!A11</f>
        <v>3.1482251979020537E-4</v>
      </c>
      <c r="G16" s="8" t="str">
        <f>IF(E16=F16,"n/a",IF(OR(C16="battery electric vehicle",C16="natural gas vehicle",C16="plugin hybrid vehicle",C16="hydrogen vehicle"),"s-curve","linear"))</f>
        <v>s-curve</v>
      </c>
      <c r="I16" s="22">
        <f t="shared" si="1"/>
        <v>3.0883943362035788E-5</v>
      </c>
      <c r="J16">
        <f>IF($G16="s-curve",$E16+($F16-$E16)*$I$2/(1+EXP($I$3*(COUNT($I$9:J$9)+$I$4))),TREND($E16:$F16,$E$9:$F$9,J$9))</f>
        <v>3.5078860889128402E-5</v>
      </c>
      <c r="K16">
        <f>IF($G16="s-curve",$E16+($F16-$E16)*$I$2/(1+EXP($I$3*(COUNT($I$9:K$9)+$I$4))),TREND($E16:$F16,$E$9:$F$9,K$9))</f>
        <v>3.6517371528069407E-5</v>
      </c>
      <c r="L16">
        <f>IF($G16="s-curve",$E16+($F16-$E16)*$I$2/(1+EXP($I$3*(COUNT($I$9:L$9)+$I$4))),TREND($E16:$F16,$E$9:$F$9,L$9))</f>
        <v>3.8435855855520251E-5</v>
      </c>
      <c r="M16">
        <f>IF($G16="s-curve",$E16+($F16-$E16)*$I$2/(1+EXP($I$3*(COUNT($I$9:M$9)+$I$4))),TREND($E16:$F16,$E$9:$F$9,M$9))</f>
        <v>4.0983976205965081E-5</v>
      </c>
      <c r="N16">
        <f>IF($G16="s-curve",$E16+($F16-$E16)*$I$2/(1+EXP($I$3*(COUNT($I$9:N$9)+$I$4))),TREND($E16:$F16,$E$9:$F$9,N$9))</f>
        <v>4.4349978277937009E-5</v>
      </c>
      <c r="O16">
        <f>IF($G16="s-curve",$E16+($F16-$E16)*$I$2/(1+EXP($I$3*(COUNT($I$9:O$9)+$I$4))),TREND($E16:$F16,$E$9:$F$9,O$9))</f>
        <v>4.8764508433763626E-5</v>
      </c>
      <c r="P16">
        <f>IF($G16="s-curve",$E16+($F16-$E16)*$I$2/(1+EXP($I$3*(COUNT($I$9:P$9)+$I$4))),TREND($E16:$F16,$E$9:$F$9,P$9))</f>
        <v>5.4499880402212323E-5</v>
      </c>
      <c r="Q16">
        <f>IF($G16="s-curve",$E16+($F16-$E16)*$I$2/(1+EXP($I$3*(COUNT($I$9:Q$9)+$I$4))),TREND($E16:$F16,$E$9:$F$9,Q$9))</f>
        <v>6.1860739465156677E-5</v>
      </c>
      <c r="R16">
        <f>IF($G16="s-curve",$E16+($F16-$E16)*$I$2/(1+EXP($I$3*(COUNT($I$9:R$9)+$I$4))),TREND($E16:$F16,$E$9:$F$9,R$9))</f>
        <v>7.1160932794700195E-5</v>
      </c>
      <c r="S16">
        <f>IF($G16="s-curve",$E16+($F16-$E16)*$I$2/(1+EXP($I$3*(COUNT($I$9:S$9)+$I$4))),TREND($E16:$F16,$E$9:$F$9,S$9))</f>
        <v>8.268158689577577E-5</v>
      </c>
      <c r="T16">
        <f>IF($G16="s-curve",$E16+($F16-$E16)*$I$2/(1+EXP($I$3*(COUNT($I$9:T$9)+$I$4))),TREND($E16:$F16,$E$9:$F$9,T$9))</f>
        <v>9.6608686813727074E-5</v>
      </c>
      <c r="U16">
        <f>IF($G16="s-curve",$E16+($F16-$E16)*$I$2/(1+EXP($I$3*(COUNT($I$9:U$9)+$I$4))),TREND($E16:$F16,$E$9:$F$9,U$9))</f>
        <v>1.1295653010254654E-4</v>
      </c>
      <c r="V16">
        <f>IF($G16="s-curve",$E16+($F16-$E16)*$I$2/(1+EXP($I$3*(COUNT($I$9:V$9)+$I$4))),TREND($E16:$F16,$E$9:$F$9,V$9))</f>
        <v>1.3149578733858268E-4</v>
      </c>
      <c r="W16">
        <f>IF($G16="s-curve",$E16+($F16-$E16)*$I$2/(1+EXP($I$3*(COUNT($I$9:W$9)+$I$4))),TREND($E16:$F16,$E$9:$F$9,W$9))</f>
        <v>1.5171612932688805E-4</v>
      </c>
      <c r="X16">
        <f>IF($G16="s-curve",$E16+($F16-$E16)*$I$2/(1+EXP($I$3*(COUNT($I$9:X$9)+$I$4))),TREND($E16:$F16,$E$9:$F$9,X$9))</f>
        <v>1.7285323157612058E-4</v>
      </c>
      <c r="Y16">
        <f>IF($G16="s-curve",$E16+($F16-$E16)*$I$2/(1+EXP($I$3*(COUNT($I$9:Y$9)+$I$4))),TREND($E16:$F16,$E$9:$F$9,Y$9))</f>
        <v>1.9399033382535313E-4</v>
      </c>
      <c r="Z16">
        <f>IF($G16="s-curve",$E16+($F16-$E16)*$I$2/(1+EXP($I$3*(COUNT($I$9:Z$9)+$I$4))),TREND($E16:$F16,$E$9:$F$9,Z$9))</f>
        <v>2.1421067581365848E-4</v>
      </c>
      <c r="AA16">
        <f>IF($G16="s-curve",$E16+($F16-$E16)*$I$2/(1+EXP($I$3*(COUNT($I$9:AA$9)+$I$4))),TREND($E16:$F16,$E$9:$F$9,AA$9))</f>
        <v>2.3274993304969461E-4</v>
      </c>
      <c r="AB16">
        <f>IF($G16="s-curve",$E16+($F16-$E16)*$I$2/(1+EXP($I$3*(COUNT($I$9:AB$9)+$I$4))),TREND($E16:$F16,$E$9:$F$9,AB$9))</f>
        <v>2.4909777633851408E-4</v>
      </c>
      <c r="AC16">
        <f>IF($G16="s-curve",$E16+($F16-$E16)*$I$2/(1+EXP($I$3*(COUNT($I$9:AC$9)+$I$4))),TREND($E16:$F16,$E$9:$F$9,AC$9))</f>
        <v>2.6302487625646539E-4</v>
      </c>
      <c r="AD16">
        <f>IF($G16="s-curve",$E16+($F16-$E16)*$I$2/(1+EXP($I$3*(COUNT($I$9:AD$9)+$I$4))),TREND($E16:$F16,$E$9:$F$9,AD$9))</f>
        <v>2.7454553035754099E-4</v>
      </c>
      <c r="AE16">
        <f>IF($G16="s-curve",$E16+($F16-$E16)*$I$2/(1+EXP($I$3*(COUNT($I$9:AE$9)+$I$4))),TREND($E16:$F16,$E$9:$F$9,AE$9))</f>
        <v>2.8384572368708451E-4</v>
      </c>
      <c r="AF16">
        <f>IF($G16="s-curve",$E16+($F16-$E16)*$I$2/(1+EXP($I$3*(COUNT($I$9:AF$9)+$I$4))),TREND($E16:$F16,$E$9:$F$9,AF$9))</f>
        <v>2.9120658275002886E-4</v>
      </c>
      <c r="AG16">
        <f>IF($G16="s-curve",$E16+($F16-$E16)*$I$2/(1+EXP($I$3*(COUNT($I$9:AG$9)+$I$4))),TREND($E16:$F16,$E$9:$F$9,AG$9))</f>
        <v>2.9694195471847756E-4</v>
      </c>
      <c r="AH16">
        <f>IF($G16="s-curve",$E16+($F16-$E16)*$I$2/(1+EXP($I$3*(COUNT($I$9:AH$9)+$I$4))),TREND($E16:$F16,$E$9:$F$9,AH$9))</f>
        <v>3.0135648487430419E-4</v>
      </c>
      <c r="AI16">
        <f>IF($G16="s-curve",$E16+($F16-$E16)*$I$2/(1+EXP($I$3*(COUNT($I$9:AI$9)+$I$4))),TREND($E16:$F16,$E$9:$F$9,AI$9))</f>
        <v>3.0472248694627611E-4</v>
      </c>
      <c r="AJ16">
        <f>IF($G16="s-curve",$E16+($F16-$E16)*$I$2/(1+EXP($I$3*(COUNT($I$9:AJ$9)+$I$4))),TREND($E16:$F16,$E$9:$F$9,AJ$9))</f>
        <v>3.0727060729672089E-4</v>
      </c>
      <c r="AK16">
        <f>IF($G16="s-curve",$E16+($F16-$E16)*$I$2/(1+EXP($I$3*(COUNT($I$9:AK$9)+$I$4))),TREND($E16:$F16,$E$9:$F$9,AK$9))</f>
        <v>3.0918909162417176E-4</v>
      </c>
      <c r="AL16">
        <f>IF($G16="s-curve",$E16+($F16-$E16)*$I$2/(1+EXP($I$3*(COUNT($I$9:AL$9)+$I$4))),TREND($E16:$F16,$E$9:$F$9,AL$9))</f>
        <v>3.1062760226311276E-4</v>
      </c>
    </row>
    <row r="17" spans="1:38" x14ac:dyDescent="0.25">
      <c r="A17" t="s">
        <v>12</v>
      </c>
      <c r="B17" t="s">
        <v>18</v>
      </c>
      <c r="C17" t="s">
        <v>1</v>
      </c>
      <c r="E17" s="22">
        <v>0.05</v>
      </c>
      <c r="F17">
        <f>F10</f>
        <v>1</v>
      </c>
      <c r="G17" s="7" t="str">
        <f>IF(E17=F17,"n/a",IF(OR(C17="battery electric vehicle",C17="natural gas vehicle",C17="plugin hybrid vehicle"),"s-curve","linear"))</f>
        <v>s-curve</v>
      </c>
      <c r="I17" s="22">
        <f t="shared" si="1"/>
        <v>0.05</v>
      </c>
      <c r="J17">
        <f>IF($G17="s-curve",$E17+($F17-$E17)*$X$2/(1+EXP($X$3*(COUNT($I$9:J$9)+$X$4))),TREND($E17:$F17,$E$9:$F$9,J$9))</f>
        <v>8.0680691463527979E-2</v>
      </c>
      <c r="K17">
        <f>IF($G17="s-curve",$E17+($F17-$E17)*$X$2/(1+EXP($X$3*(COUNT($I$9:K$9)+$X$4))),TREND($E17:$F17,$E$9:$F$9,K$9))</f>
        <v>9.505457951868844E-2</v>
      </c>
      <c r="L17">
        <f>IF($G17="s-curve",$E17+($F17-$E17)*$X$2/(1+EXP($X$3*(COUNT($I$9:L$9)+$X$4))),TREND($E17:$F17,$E$9:$F$9,L$9))</f>
        <v>0.11568149932617947</v>
      </c>
      <c r="M17">
        <f>IF($G17="s-curve",$E17+($F17-$E17)*$X$2/(1+EXP($X$3*(COUNT($I$9:M$9)+$X$4))),TREND($E17:$F17,$E$9:$F$9,M$9))</f>
        <v>0.14476296466370087</v>
      </c>
      <c r="N17">
        <f>IF($G17="s-curve",$E17+($F17-$E17)*$X$2/(1+EXP($X$3*(COUNT($I$9:N$9)+$X$4))),TREND($E17:$F17,$E$9:$F$9,N$9))</f>
        <v>0.18475851165546336</v>
      </c>
      <c r="O17">
        <f>IF($G17="s-curve",$E17+($F17-$E17)*$X$2/(1+EXP($X$3*(COUNT($I$9:O$9)+$X$4))),TREND($E17:$F17,$E$9:$F$9,O$9))</f>
        <v>0.23792530586934729</v>
      </c>
      <c r="P17">
        <f>IF($G17="s-curve",$E17+($F17-$E17)*$X$2/(1+EXP($X$3*(COUNT($I$9:P$9)+$X$4))),TREND($E17:$F17,$E$9:$F$9,P$9))</f>
        <v>0.30549435030149535</v>
      </c>
      <c r="Q17">
        <f>IF($G17="s-curve",$E17+($F17-$E17)*$X$2/(1+EXP($X$3*(COUNT($I$9:Q$9)+$X$4))),TREND($E17:$F17,$E$9:$F$9,Q$9))</f>
        <v>0.38662650908549429</v>
      </c>
      <c r="R17">
        <f>IF($G17="s-curve",$E17+($F17-$E17)*$X$2/(1+EXP($X$3*(COUNT($I$9:R$9)+$X$4))),TREND($E17:$F17,$E$9:$F$9,R$9))</f>
        <v>0.47765770255314599</v>
      </c>
      <c r="S17">
        <f>IF($G17="s-curve",$E17+($F17-$E17)*$X$2/(1+EXP($X$3*(COUNT($I$9:S$9)+$X$4))),TREND($E17:$F17,$E$9:$F$9,S$9))</f>
        <v>0.57234229744685405</v>
      </c>
      <c r="T17">
        <f>IF($G17="s-curve",$E17+($F17-$E17)*$X$2/(1+EXP($X$3*(COUNT($I$9:T$9)+$X$4))),TREND($E17:$F17,$E$9:$F$9,T$9))</f>
        <v>0.6633734909145057</v>
      </c>
      <c r="U17">
        <f>IF($G17="s-curve",$E17+($F17-$E17)*$X$2/(1+EXP($X$3*(COUNT($I$9:U$9)+$X$4))),TREND($E17:$F17,$E$9:$F$9,U$9))</f>
        <v>0.74450564969850463</v>
      </c>
      <c r="V17">
        <f>IF($G17="s-curve",$E17+($F17-$E17)*$X$2/(1+EXP($X$3*(COUNT($I$9:V$9)+$X$4))),TREND($E17:$F17,$E$9:$F$9,V$9))</f>
        <v>0.8120746941306527</v>
      </c>
      <c r="W17">
        <f>IF($G17="s-curve",$E17+($F17-$E17)*$X$2/(1+EXP($X$3*(COUNT($I$9:W$9)+$X$4))),TREND($E17:$F17,$E$9:$F$9,W$9))</f>
        <v>0.86524148834453662</v>
      </c>
      <c r="X17">
        <f>IF($G17="s-curve",$E17+($F17-$E17)*$X$2/(1+EXP($X$3*(COUNT($I$9:X$9)+$X$4))),TREND($E17:$F17,$E$9:$F$9,X$9))</f>
        <v>0.90523703533629907</v>
      </c>
      <c r="Y17">
        <f>IF($G17="s-curve",$E17+($F17-$E17)*$X$2/(1+EXP($X$3*(COUNT($I$9:Y$9)+$X$4))),TREND($E17:$F17,$E$9:$F$9,Y$9))</f>
        <v>0.93431850067382061</v>
      </c>
      <c r="Z17">
        <f>IF($G17="s-curve",$E17+($F17-$E17)*$X$2/(1+EXP($X$3*(COUNT($I$9:Z$9)+$X$4))),TREND($E17:$F17,$E$9:$F$9,Z$9))</f>
        <v>0.9549454204813117</v>
      </c>
      <c r="AA17">
        <f>IF($G17="s-curve",$E17+($F17-$E17)*$X$2/(1+EXP($X$3*(COUNT($I$9:AA$9)+$X$4))),TREND($E17:$F17,$E$9:$F$9,AA$9))</f>
        <v>0.96931930853647208</v>
      </c>
      <c r="AB17">
        <f>IF($G17="s-curve",$E17+($F17-$E17)*$X$2/(1+EXP($X$3*(COUNT($I$9:AB$9)+$X$4))),TREND($E17:$F17,$E$9:$F$9,AB$9))</f>
        <v>0.97921279261067595</v>
      </c>
      <c r="AC17">
        <f>IF($G17="s-curve",$E17+($F17-$E17)*$X$2/(1+EXP($X$3*(COUNT($I$9:AC$9)+$X$4))),TREND($E17:$F17,$E$9:$F$9,AC$9))</f>
        <v>0.98596466989139064</v>
      </c>
      <c r="AD17">
        <f>IF($G17="s-curve",$E17+($F17-$E17)*$X$2/(1+EXP($X$3*(COUNT($I$9:AD$9)+$X$4))),TREND($E17:$F17,$E$9:$F$9,AD$9))</f>
        <v>0.9905457882264409</v>
      </c>
      <c r="AE17">
        <f>IF($G17="s-curve",$E17+($F17-$E17)*$X$2/(1+EXP($X$3*(COUNT($I$9:AE$9)+$X$4))),TREND($E17:$F17,$E$9:$F$9,AE$9))</f>
        <v>0.99364179162192945</v>
      </c>
      <c r="AF17">
        <f>IF($G17="s-curve",$E17+($F17-$E17)*$X$2/(1+EXP($X$3*(COUNT($I$9:AF$9)+$X$4))),TREND($E17:$F17,$E$9:$F$9,AF$9))</f>
        <v>0.99572854049710591</v>
      </c>
      <c r="AG17">
        <f>IF($G17="s-curve",$E17+($F17-$E17)*$X$2/(1+EXP($X$3*(COUNT($I$9:AG$9)+$X$4))),TREND($E17:$F17,$E$9:$F$9,AG$9))</f>
        <v>0.99713250449152702</v>
      </c>
      <c r="AH17">
        <f>IF($G17="s-curve",$E17+($F17-$E17)*$X$2/(1+EXP($X$3*(COUNT($I$9:AH$9)+$X$4))),TREND($E17:$F17,$E$9:$F$9,AH$9))</f>
        <v>0.99807594563040258</v>
      </c>
      <c r="AI17">
        <f>IF($G17="s-curve",$E17+($F17-$E17)*$X$2/(1+EXP($X$3*(COUNT($I$9:AI$9)+$X$4))),TREND($E17:$F17,$E$9:$F$9,AI$9))</f>
        <v>0.99870940604709257</v>
      </c>
      <c r="AJ17">
        <f>IF($G17="s-curve",$E17+($F17-$E17)*$X$2/(1+EXP($X$3*(COUNT($I$9:AJ$9)+$X$4))),TREND($E17:$F17,$E$9:$F$9,AJ$9))</f>
        <v>0.99913450136531945</v>
      </c>
      <c r="AK17">
        <f>IF($G17="s-curve",$E17+($F17-$E17)*$X$2/(1+EXP($X$3*(COUNT($I$9:AK$9)+$X$4))),TREND($E17:$F17,$E$9:$F$9,AK$9))</f>
        <v>0.99941966460853737</v>
      </c>
      <c r="AL17">
        <f>IF($G17="s-curve",$E17+($F17-$E17)*$X$2/(1+EXP($X$3*(COUNT($I$9:AL$9)+$X$4))),TREND($E17:$F17,$E$9:$F$9,AL$9))</f>
        <v>0.99961091119326329</v>
      </c>
    </row>
    <row r="18" spans="1:38" x14ac:dyDescent="0.25">
      <c r="C18" t="s">
        <v>2</v>
      </c>
      <c r="E18" s="22">
        <f>'SYVbT-freight'!C$2/'SYVbT-freight'!$2:$2</f>
        <v>1.4975764421952546E-3</v>
      </c>
      <c r="F18" s="22">
        <f>F11</f>
        <v>1.235369525889815E-3</v>
      </c>
      <c r="G18" s="7" t="s">
        <v>118</v>
      </c>
      <c r="I18" s="22">
        <f t="shared" si="1"/>
        <v>1.4975764421952546E-3</v>
      </c>
      <c r="J18">
        <f>IF($G18="s-curve",$E18+($F18-$E18)*$I$2/(1+EXP($I$3*(COUNT($I$9:J$9)+$I$4))),TREND($E18:$F18,$E$9:$F$9,J$9))</f>
        <v>1.4975764421952566E-3</v>
      </c>
      <c r="K18">
        <f>IF($G18="s-curve",$E18+($F18-$E18)*$I$2/(1+EXP($I$3*(COUNT($I$9:K$9)+$I$4))),TREND($E18:$F18,$E$9:$F$9,K$9))</f>
        <v>1.4882119094700615E-3</v>
      </c>
      <c r="L18">
        <f>IF($G18="s-curve",$E18+($F18-$E18)*$I$2/(1+EXP($I$3*(COUNT($I$9:L$9)+$I$4))),TREND($E18:$F18,$E$9:$F$9,L$9))</f>
        <v>1.4788473767448664E-3</v>
      </c>
      <c r="M18">
        <f>IF($G18="s-curve",$E18+($F18-$E18)*$I$2/(1+EXP($I$3*(COUNT($I$9:M$9)+$I$4))),TREND($E18:$F18,$E$9:$F$9,M$9))</f>
        <v>1.4694828440196712E-3</v>
      </c>
      <c r="N18">
        <f>IF($G18="s-curve",$E18+($F18-$E18)*$I$2/(1+EXP($I$3*(COUNT($I$9:N$9)+$I$4))),TREND($E18:$F18,$E$9:$F$9,N$9))</f>
        <v>1.4601183112944796E-3</v>
      </c>
      <c r="O18">
        <f>IF($G18="s-curve",$E18+($F18-$E18)*$I$2/(1+EXP($I$3*(COUNT($I$9:O$9)+$I$4))),TREND($E18:$F18,$E$9:$F$9,O$9))</f>
        <v>1.4507537785692845E-3</v>
      </c>
      <c r="P18">
        <f>IF($G18="s-curve",$E18+($F18-$E18)*$I$2/(1+EXP($I$3*(COUNT($I$9:P$9)+$I$4))),TREND($E18:$F18,$E$9:$F$9,P$9))</f>
        <v>1.4413892458440894E-3</v>
      </c>
      <c r="Q18">
        <f>IF($G18="s-curve",$E18+($F18-$E18)*$I$2/(1+EXP($I$3*(COUNT($I$9:Q$9)+$I$4))),TREND($E18:$F18,$E$9:$F$9,Q$9))</f>
        <v>1.4320247131188943E-3</v>
      </c>
      <c r="R18">
        <f>IF($G18="s-curve",$E18+($F18-$E18)*$I$2/(1+EXP($I$3*(COUNT($I$9:R$9)+$I$4))),TREND($E18:$F18,$E$9:$F$9,R$9))</f>
        <v>1.4226601803937027E-3</v>
      </c>
      <c r="S18">
        <f>IF($G18="s-curve",$E18+($F18-$E18)*$I$2/(1+EXP($I$3*(COUNT($I$9:S$9)+$I$4))),TREND($E18:$F18,$E$9:$F$9,S$9))</f>
        <v>1.4132956476685075E-3</v>
      </c>
      <c r="T18">
        <f>IF($G18="s-curve",$E18+($F18-$E18)*$I$2/(1+EXP($I$3*(COUNT($I$9:T$9)+$I$4))),TREND($E18:$F18,$E$9:$F$9,T$9))</f>
        <v>1.4039311149433124E-3</v>
      </c>
      <c r="U18">
        <f>IF($G18="s-curve",$E18+($F18-$E18)*$I$2/(1+EXP($I$3*(COUNT($I$9:U$9)+$I$4))),TREND($E18:$F18,$E$9:$F$9,U$9))</f>
        <v>1.3945665822181173E-3</v>
      </c>
      <c r="V18">
        <f>IF($G18="s-curve",$E18+($F18-$E18)*$I$2/(1+EXP($I$3*(COUNT($I$9:V$9)+$I$4))),TREND($E18:$F18,$E$9:$F$9,V$9))</f>
        <v>1.3852020494929257E-3</v>
      </c>
      <c r="W18">
        <f>IF($G18="s-curve",$E18+($F18-$E18)*$I$2/(1+EXP($I$3*(COUNT($I$9:W$9)+$I$4))),TREND($E18:$F18,$E$9:$F$9,W$9))</f>
        <v>1.3758375167677306E-3</v>
      </c>
      <c r="X18">
        <f>IF($G18="s-curve",$E18+($F18-$E18)*$I$2/(1+EXP($I$3*(COUNT($I$9:X$9)+$I$4))),TREND($E18:$F18,$E$9:$F$9,X$9))</f>
        <v>1.3664729840425355E-3</v>
      </c>
      <c r="Y18">
        <f>IF($G18="s-curve",$E18+($F18-$E18)*$I$2/(1+EXP($I$3*(COUNT($I$9:Y$9)+$I$4))),TREND($E18:$F18,$E$9:$F$9,Y$9))</f>
        <v>1.3571084513173404E-3</v>
      </c>
      <c r="Z18">
        <f>IF($G18="s-curve",$E18+($F18-$E18)*$I$2/(1+EXP($I$3*(COUNT($I$9:Z$9)+$I$4))),TREND($E18:$F18,$E$9:$F$9,Z$9))</f>
        <v>1.3477439185921487E-3</v>
      </c>
      <c r="AA18">
        <f>IF($G18="s-curve",$E18+($F18-$E18)*$I$2/(1+EXP($I$3*(COUNT($I$9:AA$9)+$I$4))),TREND($E18:$F18,$E$9:$F$9,AA$9))</f>
        <v>1.3383793858669536E-3</v>
      </c>
      <c r="AB18">
        <f>IF($G18="s-curve",$E18+($F18-$E18)*$I$2/(1+EXP($I$3*(COUNT($I$9:AB$9)+$I$4))),TREND($E18:$F18,$E$9:$F$9,AB$9))</f>
        <v>1.3290148531417585E-3</v>
      </c>
      <c r="AC18">
        <f>IF($G18="s-curve",$E18+($F18-$E18)*$I$2/(1+EXP($I$3*(COUNT($I$9:AC$9)+$I$4))),TREND($E18:$F18,$E$9:$F$9,AC$9))</f>
        <v>1.3196503204165634E-3</v>
      </c>
      <c r="AD18">
        <f>IF($G18="s-curve",$E18+($F18-$E18)*$I$2/(1+EXP($I$3*(COUNT($I$9:AD$9)+$I$4))),TREND($E18:$F18,$E$9:$F$9,AD$9))</f>
        <v>1.3102857876913718E-3</v>
      </c>
      <c r="AE18">
        <f>IF($G18="s-curve",$E18+($F18-$E18)*$I$2/(1+EXP($I$3*(COUNT($I$9:AE$9)+$I$4))),TREND($E18:$F18,$E$9:$F$9,AE$9))</f>
        <v>1.3009212549661767E-3</v>
      </c>
      <c r="AF18">
        <f>IF($G18="s-curve",$E18+($F18-$E18)*$I$2/(1+EXP($I$3*(COUNT($I$9:AF$9)+$I$4))),TREND($E18:$F18,$E$9:$F$9,AF$9))</f>
        <v>1.2915567222409816E-3</v>
      </c>
      <c r="AG18">
        <f>IF($G18="s-curve",$E18+($F18-$E18)*$I$2/(1+EXP($I$3*(COUNT($I$9:AG$9)+$I$4))),TREND($E18:$F18,$E$9:$F$9,AG$9))</f>
        <v>1.2821921895157865E-3</v>
      </c>
      <c r="AH18">
        <f>IF($G18="s-curve",$E18+($F18-$E18)*$I$2/(1+EXP($I$3*(COUNT($I$9:AH$9)+$I$4))),TREND($E18:$F18,$E$9:$F$9,AH$9))</f>
        <v>1.2728276567905948E-3</v>
      </c>
      <c r="AI18">
        <f>IF($G18="s-curve",$E18+($F18-$E18)*$I$2/(1+EXP($I$3*(COUNT($I$9:AI$9)+$I$4))),TREND($E18:$F18,$E$9:$F$9,AI$9))</f>
        <v>1.2634631240653997E-3</v>
      </c>
      <c r="AJ18">
        <f>IF($G18="s-curve",$E18+($F18-$E18)*$I$2/(1+EXP($I$3*(COUNT($I$9:AJ$9)+$I$4))),TREND($E18:$F18,$E$9:$F$9,AJ$9))</f>
        <v>1.2540985913402046E-3</v>
      </c>
      <c r="AK18">
        <f>IF($G18="s-curve",$E18+($F18-$E18)*$I$2/(1+EXP($I$3*(COUNT($I$9:AK$9)+$I$4))),TREND($E18:$F18,$E$9:$F$9,AK$9))</f>
        <v>1.2447340586150095E-3</v>
      </c>
      <c r="AL18">
        <f>IF($G18="s-curve",$E18+($F18-$E18)*$I$2/(1+EXP($I$3*(COUNT($I$9:AL$9)+$I$4))),TREND($E18:$F18,$E$9:$F$9,AL$9))</f>
        <v>1.2353695258898144E-3</v>
      </c>
    </row>
    <row r="19" spans="1:38" x14ac:dyDescent="0.25">
      <c r="C19" t="s">
        <v>3</v>
      </c>
      <c r="E19" s="22">
        <v>3</v>
      </c>
      <c r="F19">
        <v>3</v>
      </c>
      <c r="G19" s="7" t="str">
        <f>IF(E19=F19,"n/a",IF(OR(C19="battery electric vehicle",C19="natural gas vehicle",C19="plugin hybrid vehicle"),"s-curve","linear"))</f>
        <v>n/a</v>
      </c>
      <c r="I19" s="22">
        <f t="shared" si="1"/>
        <v>3</v>
      </c>
      <c r="J19">
        <f>IF($G19="s-curve",$E19+($F19-$E19)*$I$2/(1+EXP($I$3*(COUNT($I$9:J$9)+$I$4))),TREND($E19:$F19,$E$9:$F$9,J$9))</f>
        <v>3</v>
      </c>
      <c r="K19">
        <f>IF($G19="s-curve",$E19+($F19-$E19)*$I$2/(1+EXP($I$3*(COUNT($I$9:K$9)+$I$4))),TREND($E19:$F19,$E$9:$F$9,K$9))</f>
        <v>3</v>
      </c>
      <c r="L19">
        <f>IF($G19="s-curve",$E19+($F19-$E19)*$I$2/(1+EXP($I$3*(COUNT($I$9:L$9)+$I$4))),TREND($E19:$F19,$E$9:$F$9,L$9))</f>
        <v>3</v>
      </c>
      <c r="M19">
        <f>IF($G19="s-curve",$E19+($F19-$E19)*$I$2/(1+EXP($I$3*(COUNT($I$9:M$9)+$I$4))),TREND($E19:$F19,$E$9:$F$9,M$9))</f>
        <v>3</v>
      </c>
      <c r="N19">
        <f>IF($G19="s-curve",$E19+($F19-$E19)*$I$2/(1+EXP($I$3*(COUNT($I$9:N$9)+$I$4))),TREND($E19:$F19,$E$9:$F$9,N$9))</f>
        <v>3</v>
      </c>
      <c r="O19">
        <f>IF($G19="s-curve",$E19+($F19-$E19)*$I$2/(1+EXP($I$3*(COUNT($I$9:O$9)+$I$4))),TREND($E19:$F19,$E$9:$F$9,O$9))</f>
        <v>3</v>
      </c>
      <c r="P19">
        <f>IF($G19="s-curve",$E19+($F19-$E19)*$I$2/(1+EXP($I$3*(COUNT($I$9:P$9)+$I$4))),TREND($E19:$F19,$E$9:$F$9,P$9))</f>
        <v>3</v>
      </c>
      <c r="Q19">
        <f>IF($G19="s-curve",$E19+($F19-$E19)*$I$2/(1+EXP($I$3*(COUNT($I$9:Q$9)+$I$4))),TREND($E19:$F19,$E$9:$F$9,Q$9))</f>
        <v>3</v>
      </c>
      <c r="R19">
        <f>IF($G19="s-curve",$E19+($F19-$E19)*$I$2/(1+EXP($I$3*(COUNT($I$9:R$9)+$I$4))),TREND($E19:$F19,$E$9:$F$9,R$9))</f>
        <v>3</v>
      </c>
      <c r="S19">
        <f>IF($G19="s-curve",$E19+($F19-$E19)*$I$2/(1+EXP($I$3*(COUNT($I$9:S$9)+$I$4))),TREND($E19:$F19,$E$9:$F$9,S$9))</f>
        <v>3</v>
      </c>
      <c r="T19">
        <f>IF($G19="s-curve",$E19+($F19-$E19)*$I$2/(1+EXP($I$3*(COUNT($I$9:T$9)+$I$4))),TREND($E19:$F19,$E$9:$F$9,T$9))</f>
        <v>3</v>
      </c>
      <c r="U19">
        <f>IF($G19="s-curve",$E19+($F19-$E19)*$I$2/(1+EXP($I$3*(COUNT($I$9:U$9)+$I$4))),TREND($E19:$F19,$E$9:$F$9,U$9))</f>
        <v>3</v>
      </c>
      <c r="V19">
        <f>IF($G19="s-curve",$E19+($F19-$E19)*$I$2/(1+EXP($I$3*(COUNT($I$9:V$9)+$I$4))),TREND($E19:$F19,$E$9:$F$9,V$9))</f>
        <v>3</v>
      </c>
      <c r="W19">
        <f>IF($G19="s-curve",$E19+($F19-$E19)*$I$2/(1+EXP($I$3*(COUNT($I$9:W$9)+$I$4))),TREND($E19:$F19,$E$9:$F$9,W$9))</f>
        <v>3</v>
      </c>
      <c r="X19">
        <f>IF($G19="s-curve",$E19+($F19-$E19)*$I$2/(1+EXP($I$3*(COUNT($I$9:X$9)+$I$4))),TREND($E19:$F19,$E$9:$F$9,X$9))</f>
        <v>3</v>
      </c>
      <c r="Y19">
        <f>IF($G19="s-curve",$E19+($F19-$E19)*$I$2/(1+EXP($I$3*(COUNT($I$9:Y$9)+$I$4))),TREND($E19:$F19,$E$9:$F$9,Y$9))</f>
        <v>3</v>
      </c>
      <c r="Z19">
        <f>IF($G19="s-curve",$E19+($F19-$E19)*$I$2/(1+EXP($I$3*(COUNT($I$9:Z$9)+$I$4))),TREND($E19:$F19,$E$9:$F$9,Z$9))</f>
        <v>3</v>
      </c>
      <c r="AA19">
        <f>IF($G19="s-curve",$E19+($F19-$E19)*$I$2/(1+EXP($I$3*(COUNT($I$9:AA$9)+$I$4))),TREND($E19:$F19,$E$9:$F$9,AA$9))</f>
        <v>3</v>
      </c>
      <c r="AB19">
        <f>IF($G19="s-curve",$E19+($F19-$E19)*$I$2/(1+EXP($I$3*(COUNT($I$9:AB$9)+$I$4))),TREND($E19:$F19,$E$9:$F$9,AB$9))</f>
        <v>3</v>
      </c>
      <c r="AC19">
        <f>IF($G19="s-curve",$E19+($F19-$E19)*$I$2/(1+EXP($I$3*(COUNT($I$9:AC$9)+$I$4))),TREND($E19:$F19,$E$9:$F$9,AC$9))</f>
        <v>3</v>
      </c>
      <c r="AD19">
        <f>IF($G19="s-curve",$E19+($F19-$E19)*$I$2/(1+EXP($I$3*(COUNT($I$9:AD$9)+$I$4))),TREND($E19:$F19,$E$9:$F$9,AD$9))</f>
        <v>3</v>
      </c>
      <c r="AE19">
        <f>IF($G19="s-curve",$E19+($F19-$E19)*$I$2/(1+EXP($I$3*(COUNT($I$9:AE$9)+$I$4))),TREND($E19:$F19,$E$9:$F$9,AE$9))</f>
        <v>3</v>
      </c>
      <c r="AF19">
        <f>IF($G19="s-curve",$E19+($F19-$E19)*$I$2/(1+EXP($I$3*(COUNT($I$9:AF$9)+$I$4))),TREND($E19:$F19,$E$9:$F$9,AF$9))</f>
        <v>3</v>
      </c>
      <c r="AG19">
        <f>IF($G19="s-curve",$E19+($F19-$E19)*$I$2/(1+EXP($I$3*(COUNT($I$9:AG$9)+$I$4))),TREND($E19:$F19,$E$9:$F$9,AG$9))</f>
        <v>3</v>
      </c>
      <c r="AH19">
        <f>IF($G19="s-curve",$E19+($F19-$E19)*$I$2/(1+EXP($I$3*(COUNT($I$9:AH$9)+$I$4))),TREND($E19:$F19,$E$9:$F$9,AH$9))</f>
        <v>3</v>
      </c>
      <c r="AI19">
        <f>IF($G19="s-curve",$E19+($F19-$E19)*$I$2/(1+EXP($I$3*(COUNT($I$9:AI$9)+$I$4))),TREND($E19:$F19,$E$9:$F$9,AI$9))</f>
        <v>3</v>
      </c>
      <c r="AJ19">
        <f>IF($G19="s-curve",$E19+($F19-$E19)*$I$2/(1+EXP($I$3*(COUNT($I$9:AJ$9)+$I$4))),TREND($E19:$F19,$E$9:$F$9,AJ$9))</f>
        <v>3</v>
      </c>
      <c r="AK19">
        <f>IF($G19="s-curve",$E19+($F19-$E19)*$I$2/(1+EXP($I$3*(COUNT($I$9:AK$9)+$I$4))),TREND($E19:$F19,$E$9:$F$9,AK$9))</f>
        <v>3</v>
      </c>
      <c r="AL19">
        <f>IF($G19="s-curve",$E19+($F19-$E19)*$I$2/(1+EXP($I$3*(COUNT($I$9:AL$9)+$I$4))),TREND($E19:$F19,$E$9:$F$9,AL$9))</f>
        <v>3</v>
      </c>
    </row>
    <row r="20" spans="1:38" x14ac:dyDescent="0.25">
      <c r="C20" t="s">
        <v>4</v>
      </c>
      <c r="E20" s="22">
        <v>3</v>
      </c>
      <c r="F20" s="29">
        <v>3</v>
      </c>
      <c r="G20" s="7" t="str">
        <f>IF(E20=F20,"n/a",IF(OR(C20="battery electric vehicle",C20="natural gas vehicle",C20="plugin hybrid vehicle"),"s-curve","linear"))</f>
        <v>n/a</v>
      </c>
      <c r="I20" s="22">
        <f t="shared" si="1"/>
        <v>3</v>
      </c>
      <c r="J20">
        <f>IF($G20="s-curve",$E20+($F20-$E20)*$I$2/(1+EXP($I$3*(COUNT($I$9:J$9)+$I$4))),TREND($E20:$F20,$E$9:$F$9,J$9))</f>
        <v>3</v>
      </c>
      <c r="K20">
        <f>IF($G20="s-curve",$E20+($F20-$E20)*$I$2/(1+EXP($I$3*(COUNT($I$9:K$9)+$I$4))),TREND($E20:$F20,$E$9:$F$9,K$9))</f>
        <v>3</v>
      </c>
      <c r="L20">
        <f>IF($G20="s-curve",$E20+($F20-$E20)*$I$2/(1+EXP($I$3*(COUNT($I$9:L$9)+$I$4))),TREND($E20:$F20,$E$9:$F$9,L$9))</f>
        <v>3</v>
      </c>
      <c r="M20">
        <f>IF($G20="s-curve",$E20+($F20-$E20)*$I$2/(1+EXP($I$3*(COUNT($I$9:M$9)+$I$4))),TREND($E20:$F20,$E$9:$F$9,M$9))</f>
        <v>3</v>
      </c>
      <c r="N20">
        <f>IF($G20="s-curve",$E20+($F20-$E20)*$I$2/(1+EXP($I$3*(COUNT($I$9:N$9)+$I$4))),TREND($E20:$F20,$E$9:$F$9,N$9))</f>
        <v>3</v>
      </c>
      <c r="O20">
        <f>IF($G20="s-curve",$E20+($F20-$E20)*$I$2/(1+EXP($I$3*(COUNT($I$9:O$9)+$I$4))),TREND($E20:$F20,$E$9:$F$9,O$9))</f>
        <v>3</v>
      </c>
      <c r="P20">
        <f>IF($G20="s-curve",$E20+($F20-$E20)*$I$2/(1+EXP($I$3*(COUNT($I$9:P$9)+$I$4))),TREND($E20:$F20,$E$9:$F$9,P$9))</f>
        <v>3</v>
      </c>
      <c r="Q20">
        <f>IF($G20="s-curve",$E20+($F20-$E20)*$I$2/(1+EXP($I$3*(COUNT($I$9:Q$9)+$I$4))),TREND($E20:$F20,$E$9:$F$9,Q$9))</f>
        <v>3</v>
      </c>
      <c r="R20">
        <f>IF($G20="s-curve",$E20+($F20-$E20)*$I$2/(1+EXP($I$3*(COUNT($I$9:R$9)+$I$4))),TREND($E20:$F20,$E$9:$F$9,R$9))</f>
        <v>3</v>
      </c>
      <c r="S20">
        <f>IF($G20="s-curve",$E20+($F20-$E20)*$I$2/(1+EXP($I$3*(COUNT($I$9:S$9)+$I$4))),TREND($E20:$F20,$E$9:$F$9,S$9))</f>
        <v>3</v>
      </c>
      <c r="T20">
        <f>IF($G20="s-curve",$E20+($F20-$E20)*$I$2/(1+EXP($I$3*(COUNT($I$9:T$9)+$I$4))),TREND($E20:$F20,$E$9:$F$9,T$9))</f>
        <v>3</v>
      </c>
      <c r="U20">
        <f>IF($G20="s-curve",$E20+($F20-$E20)*$I$2/(1+EXP($I$3*(COUNT($I$9:U$9)+$I$4))),TREND($E20:$F20,$E$9:$F$9,U$9))</f>
        <v>3</v>
      </c>
      <c r="V20">
        <f>IF($G20="s-curve",$E20+($F20-$E20)*$I$2/(1+EXP($I$3*(COUNT($I$9:V$9)+$I$4))),TREND($E20:$F20,$E$9:$F$9,V$9))</f>
        <v>3</v>
      </c>
      <c r="W20">
        <f>IF($G20="s-curve",$E20+($F20-$E20)*$I$2/(1+EXP($I$3*(COUNT($I$9:W$9)+$I$4))),TREND($E20:$F20,$E$9:$F$9,W$9))</f>
        <v>3</v>
      </c>
      <c r="X20">
        <f>IF($G20="s-curve",$E20+($F20-$E20)*$I$2/(1+EXP($I$3*(COUNT($I$9:X$9)+$I$4))),TREND($E20:$F20,$E$9:$F$9,X$9))</f>
        <v>3</v>
      </c>
      <c r="Y20">
        <f>IF($G20="s-curve",$E20+($F20-$E20)*$I$2/(1+EXP($I$3*(COUNT($I$9:Y$9)+$I$4))),TREND($E20:$F20,$E$9:$F$9,Y$9))</f>
        <v>3</v>
      </c>
      <c r="Z20">
        <f>IF($G20="s-curve",$E20+($F20-$E20)*$I$2/(1+EXP($I$3*(COUNT($I$9:Z$9)+$I$4))),TREND($E20:$F20,$E$9:$F$9,Z$9))</f>
        <v>3</v>
      </c>
      <c r="AA20">
        <f>IF($G20="s-curve",$E20+($F20-$E20)*$I$2/(1+EXP($I$3*(COUNT($I$9:AA$9)+$I$4))),TREND($E20:$F20,$E$9:$F$9,AA$9))</f>
        <v>3</v>
      </c>
      <c r="AB20">
        <f>IF($G20="s-curve",$E20+($F20-$E20)*$I$2/(1+EXP($I$3*(COUNT($I$9:AB$9)+$I$4))),TREND($E20:$F20,$E$9:$F$9,AB$9))</f>
        <v>3</v>
      </c>
      <c r="AC20">
        <f>IF($G20="s-curve",$E20+($F20-$E20)*$I$2/(1+EXP($I$3*(COUNT($I$9:AC$9)+$I$4))),TREND($E20:$F20,$E$9:$F$9,AC$9))</f>
        <v>3</v>
      </c>
      <c r="AD20">
        <f>IF($G20="s-curve",$E20+($F20-$E20)*$I$2/(1+EXP($I$3*(COUNT($I$9:AD$9)+$I$4))),TREND($E20:$F20,$E$9:$F$9,AD$9))</f>
        <v>3</v>
      </c>
      <c r="AE20">
        <f>IF($G20="s-curve",$E20+($F20-$E20)*$I$2/(1+EXP($I$3*(COUNT($I$9:AE$9)+$I$4))),TREND($E20:$F20,$E$9:$F$9,AE$9))</f>
        <v>3</v>
      </c>
      <c r="AF20">
        <f>IF($G20="s-curve",$E20+($F20-$E20)*$I$2/(1+EXP($I$3*(COUNT($I$9:AF$9)+$I$4))),TREND($E20:$F20,$E$9:$F$9,AF$9))</f>
        <v>3</v>
      </c>
      <c r="AG20">
        <f>IF($G20="s-curve",$E20+($F20-$E20)*$I$2/(1+EXP($I$3*(COUNT($I$9:AG$9)+$I$4))),TREND($E20:$F20,$E$9:$F$9,AG$9))</f>
        <v>3</v>
      </c>
      <c r="AH20">
        <f>IF($G20="s-curve",$E20+($F20-$E20)*$I$2/(1+EXP($I$3*(COUNT($I$9:AH$9)+$I$4))),TREND($E20:$F20,$E$9:$F$9,AH$9))</f>
        <v>3</v>
      </c>
      <c r="AI20">
        <f>IF($G20="s-curve",$E20+($F20-$E20)*$I$2/(1+EXP($I$3*(COUNT($I$9:AI$9)+$I$4))),TREND($E20:$F20,$E$9:$F$9,AI$9))</f>
        <v>3</v>
      </c>
      <c r="AJ20">
        <f>IF($G20="s-curve",$E20+($F20-$E20)*$I$2/(1+EXP($I$3*(COUNT($I$9:AJ$9)+$I$4))),TREND($E20:$F20,$E$9:$F$9,AJ$9))</f>
        <v>3</v>
      </c>
      <c r="AK20">
        <f>IF($G20="s-curve",$E20+($F20-$E20)*$I$2/(1+EXP($I$3*(COUNT($I$9:AK$9)+$I$4))),TREND($E20:$F20,$E$9:$F$9,AK$9))</f>
        <v>3</v>
      </c>
      <c r="AL20">
        <f>IF($G20="s-curve",$E20+($F20-$E20)*$I$2/(1+EXP($I$3*(COUNT($I$9:AL$9)+$I$4))),TREND($E20:$F20,$E$9:$F$9,AL$9))</f>
        <v>3</v>
      </c>
    </row>
    <row r="21" spans="1:38" x14ac:dyDescent="0.25">
      <c r="C21" t="s">
        <v>5</v>
      </c>
      <c r="E21" s="22">
        <f>'SYVbT-freight'!F$2/'SYVbT-freight'!$2:$2</f>
        <v>2.8156107643030772E-4</v>
      </c>
      <c r="F21" s="22">
        <f>F14</f>
        <v>0.25</v>
      </c>
      <c r="G21" s="7" t="str">
        <f>IF(E21=F21,"n/a",IF(OR(C21="battery electric vehicle",C21="natural gas vehicle",C21="plugin hybrid vehicle"),"s-curve","linear"))</f>
        <v>s-curve</v>
      </c>
      <c r="I21" s="22">
        <f t="shared" si="1"/>
        <v>2.8156107643030772E-4</v>
      </c>
      <c r="J21">
        <f>IF($G21="s-curve",$E21+($F21-$E21)*$I$2/(1+EXP($I$3*(COUNT($I$9:J$9)+$I$4))),TREND($E21:$F21,$E$9:$F$9,J$9))</f>
        <v>3.9709092074817981E-3</v>
      </c>
      <c r="K21">
        <f>IF($G21="s-curve",$E21+($F21-$E21)*$I$2/(1+EXP($I$3*(COUNT($I$9:K$9)+$I$4))),TREND($E21:$F21,$E$9:$F$9,K$9))</f>
        <v>5.2360512521104916E-3</v>
      </c>
      <c r="L21">
        <f>IF($G21="s-curve",$E21+($F21-$E21)*$I$2/(1+EXP($I$3*(COUNT($I$9:L$9)+$I$4))),TREND($E21:$F21,$E$9:$F$9,L$9))</f>
        <v>6.9233207925054616E-3</v>
      </c>
      <c r="M21">
        <f>IF($G21="s-curve",$E21+($F21-$E21)*$I$2/(1+EXP($I$3*(COUNT($I$9:M$9)+$I$4))),TREND($E21:$F21,$E$9:$F$9,M$9))</f>
        <v>9.1643429322478421E-3</v>
      </c>
      <c r="N21">
        <f>IF($G21="s-curve",$E21+($F21-$E21)*$I$2/(1+EXP($I$3*(COUNT($I$9:N$9)+$I$4))),TREND($E21:$F21,$E$9:$F$9,N$9))</f>
        <v>1.2124676090919479E-2</v>
      </c>
      <c r="O21">
        <f>IF($G21="s-curve",$E21+($F21-$E21)*$I$2/(1+EXP($I$3*(COUNT($I$9:O$9)+$I$4))),TREND($E21:$F21,$E$9:$F$9,O$9))</f>
        <v>1.6007169244761595E-2</v>
      </c>
      <c r="P21">
        <f>IF($G21="s-curve",$E21+($F21-$E21)*$I$2/(1+EXP($I$3*(COUNT($I$9:P$9)+$I$4))),TREND($E21:$F21,$E$9:$F$9,P$9))</f>
        <v>2.1051317005956457E-2</v>
      </c>
      <c r="Q21">
        <f>IF($G21="s-curve",$E21+($F21-$E21)*$I$2/(1+EXP($I$3*(COUNT($I$9:Q$9)+$I$4))),TREND($E21:$F21,$E$9:$F$9,Q$9))</f>
        <v>2.7525048956922572E-2</v>
      </c>
      <c r="R21">
        <f>IF($G21="s-curve",$E21+($F21-$E21)*$I$2/(1+EXP($I$3*(COUNT($I$9:R$9)+$I$4))),TREND($E21:$F21,$E$9:$F$9,R$9))</f>
        <v>3.5704387563026088E-2</v>
      </c>
      <c r="S21">
        <f>IF($G21="s-curve",$E21+($F21-$E21)*$I$2/(1+EXP($I$3*(COUNT($I$9:S$9)+$I$4))),TREND($E21:$F21,$E$9:$F$9,S$9))</f>
        <v>4.5836578101168111E-2</v>
      </c>
      <c r="T21">
        <f>IF($G21="s-curve",$E21+($F21-$E21)*$I$2/(1+EXP($I$3*(COUNT($I$9:T$9)+$I$4))),TREND($E21:$F21,$E$9:$F$9,T$9))</f>
        <v>5.8085190790550939E-2</v>
      </c>
      <c r="U21">
        <f>IF($G21="s-curve",$E21+($F21-$E21)*$I$2/(1+EXP($I$3*(COUNT($I$9:U$9)+$I$4))),TREND($E21:$F21,$E$9:$F$9,U$9))</f>
        <v>7.2462800050995702E-2</v>
      </c>
      <c r="V21">
        <f>IF($G21="s-curve",$E21+($F21-$E21)*$I$2/(1+EXP($I$3*(COUNT($I$9:V$9)+$I$4))),TREND($E21:$F21,$E$9:$F$9,V$9))</f>
        <v>8.8767715128136082E-2</v>
      </c>
      <c r="W21">
        <f>IF($G21="s-curve",$E21+($F21-$E21)*$I$2/(1+EXP($I$3*(COUNT($I$9:W$9)+$I$4))),TREND($E21:$F21,$E$9:$F$9,W$9))</f>
        <v>0.10655111145046607</v>
      </c>
      <c r="X21">
        <f>IF($G21="s-curve",$E21+($F21-$E21)*$I$2/(1+EXP($I$3*(COUNT($I$9:X$9)+$I$4))),TREND($E21:$F21,$E$9:$F$9,X$9))</f>
        <v>0.12514078053821515</v>
      </c>
      <c r="Y21">
        <f>IF($G21="s-curve",$E21+($F21-$E21)*$I$2/(1+EXP($I$3*(COUNT($I$9:Y$9)+$I$4))),TREND($E21:$F21,$E$9:$F$9,Y$9))</f>
        <v>0.14373044962596424</v>
      </c>
      <c r="Z21">
        <f>IF($G21="s-curve",$E21+($F21-$E21)*$I$2/(1+EXP($I$3*(COUNT($I$9:Z$9)+$I$4))),TREND($E21:$F21,$E$9:$F$9,Z$9))</f>
        <v>0.16151384594829421</v>
      </c>
      <c r="AA21">
        <f>IF($G21="s-curve",$E21+($F21-$E21)*$I$2/(1+EXP($I$3*(COUNT($I$9:AA$9)+$I$4))),TREND($E21:$F21,$E$9:$F$9,AA$9))</f>
        <v>0.17781876102543459</v>
      </c>
      <c r="AB21">
        <f>IF($G21="s-curve",$E21+($F21-$E21)*$I$2/(1+EXP($I$3*(COUNT($I$9:AB$9)+$I$4))),TREND($E21:$F21,$E$9:$F$9,AB$9))</f>
        <v>0.19219637028587935</v>
      </c>
      <c r="AC21">
        <f>IF($G21="s-curve",$E21+($F21-$E21)*$I$2/(1+EXP($I$3*(COUNT($I$9:AC$9)+$I$4))),TREND($E21:$F21,$E$9:$F$9,AC$9))</f>
        <v>0.20444498297526217</v>
      </c>
      <c r="AD21">
        <f>IF($G21="s-curve",$E21+($F21-$E21)*$I$2/(1+EXP($I$3*(COUNT($I$9:AD$9)+$I$4))),TREND($E21:$F21,$E$9:$F$9,AD$9))</f>
        <v>0.21457717351340425</v>
      </c>
      <c r="AE21">
        <f>IF($G21="s-curve",$E21+($F21-$E21)*$I$2/(1+EXP($I$3*(COUNT($I$9:AE$9)+$I$4))),TREND($E21:$F21,$E$9:$F$9,AE$9))</f>
        <v>0.22275651211950773</v>
      </c>
      <c r="AF21">
        <f>IF($G21="s-curve",$E21+($F21-$E21)*$I$2/(1+EXP($I$3*(COUNT($I$9:AF$9)+$I$4))),TREND($E21:$F21,$E$9:$F$9,AF$9))</f>
        <v>0.22923024407047385</v>
      </c>
      <c r="AG21">
        <f>IF($G21="s-curve",$E21+($F21-$E21)*$I$2/(1+EXP($I$3*(COUNT($I$9:AG$9)+$I$4))),TREND($E21:$F21,$E$9:$F$9,AG$9))</f>
        <v>0.23427439183166873</v>
      </c>
      <c r="AH21">
        <f>IF($G21="s-curve",$E21+($F21-$E21)*$I$2/(1+EXP($I$3*(COUNT($I$9:AH$9)+$I$4))),TREND($E21:$F21,$E$9:$F$9,AH$9))</f>
        <v>0.23815688498551085</v>
      </c>
      <c r="AI21">
        <f>IF($G21="s-curve",$E21+($F21-$E21)*$I$2/(1+EXP($I$3*(COUNT($I$9:AI$9)+$I$4))),TREND($E21:$F21,$E$9:$F$9,AI$9))</f>
        <v>0.24111721814418247</v>
      </c>
      <c r="AJ21">
        <f>IF($G21="s-curve",$E21+($F21-$E21)*$I$2/(1+EXP($I$3*(COUNT($I$9:AJ$9)+$I$4))),TREND($E21:$F21,$E$9:$F$9,AJ$9))</f>
        <v>0.24335824028392483</v>
      </c>
      <c r="AK21">
        <f>IF($G21="s-curve",$E21+($F21-$E21)*$I$2/(1+EXP($I$3*(COUNT($I$9:AK$9)+$I$4))),TREND($E21:$F21,$E$9:$F$9,AK$9))</f>
        <v>0.24504550982431983</v>
      </c>
      <c r="AL21">
        <f>IF($G21="s-curve",$E21+($F21-$E21)*$I$2/(1+EXP($I$3*(COUNT($I$9:AL$9)+$I$4))),TREND($E21:$F21,$E$9:$F$9,AL$9))</f>
        <v>0.24631065186894852</v>
      </c>
    </row>
    <row r="22" spans="1:38" x14ac:dyDescent="0.25">
      <c r="C22" t="s">
        <v>120</v>
      </c>
      <c r="E22" s="22">
        <f>'SYVbT-freight'!G$2/'SYVbT-freight'!$2:$2</f>
        <v>5.4448944256116078E-4</v>
      </c>
      <c r="F22" s="22">
        <f>F15</f>
        <v>8.6165104068937229E-4</v>
      </c>
      <c r="G22" s="7" t="str">
        <f>IF(E22=F22,"n/a",IF(OR(C22="battery electric vehicle",C22="natural gas vehicle",C22="plugin hybrid vehicle",C22="hydrogen vehicle"),"s-curve","linear"))</f>
        <v>linear</v>
      </c>
      <c r="I22" s="22">
        <f t="shared" si="1"/>
        <v>5.4448944256116078E-4</v>
      </c>
      <c r="J22">
        <f>IF($G22="s-curve",$E22+($F22-$E22)*$I$2/(1+EXP($I$3*(COUNT($I$9:J$9)+$I$4))),TREND($E22:$F22,$E$9:$F$9,J$9))</f>
        <v>5.4448944256116003E-4</v>
      </c>
      <c r="K22">
        <f>IF($G22="s-curve",$E22+($F22-$E22)*$I$2/(1+EXP($I$3*(COUNT($I$9:K$9)+$I$4))),TREND($E22:$F22,$E$9:$F$9,K$9))</f>
        <v>5.558166424943084E-4</v>
      </c>
      <c r="L22">
        <f>IF($G22="s-curve",$E22+($F22-$E22)*$I$2/(1+EXP($I$3*(COUNT($I$9:L$9)+$I$4))),TREND($E22:$F22,$E$9:$F$9,L$9))</f>
        <v>5.6714384242746024E-4</v>
      </c>
      <c r="M22">
        <f>IF($G22="s-curve",$E22+($F22-$E22)*$I$2/(1+EXP($I$3*(COUNT($I$9:M$9)+$I$4))),TREND($E22:$F22,$E$9:$F$9,M$9))</f>
        <v>5.7847104236061209E-4</v>
      </c>
      <c r="N22">
        <f>IF($G22="s-curve",$E22+($F22-$E22)*$I$2/(1+EXP($I$3*(COUNT($I$9:N$9)+$I$4))),TREND($E22:$F22,$E$9:$F$9,N$9))</f>
        <v>5.8979824229376046E-4</v>
      </c>
      <c r="O22">
        <f>IF($G22="s-curve",$E22+($F22-$E22)*$I$2/(1+EXP($I$3*(COUNT($I$9:O$9)+$I$4))),TREND($E22:$F22,$E$9:$F$9,O$9))</f>
        <v>6.011254422269123E-4</v>
      </c>
      <c r="P22">
        <f>IF($G22="s-curve",$E22+($F22-$E22)*$I$2/(1+EXP($I$3*(COUNT($I$9:P$9)+$I$4))),TREND($E22:$F22,$E$9:$F$9,P$9))</f>
        <v>6.1245264216006068E-4</v>
      </c>
      <c r="Q22">
        <f>IF($G22="s-curve",$E22+($F22-$E22)*$I$2/(1+EXP($I$3*(COUNT($I$9:Q$9)+$I$4))),TREND($E22:$F22,$E$9:$F$9,Q$9))</f>
        <v>6.2377984209321252E-4</v>
      </c>
      <c r="R22">
        <f>IF($G22="s-curve",$E22+($F22-$E22)*$I$2/(1+EXP($I$3*(COUNT($I$9:R$9)+$I$4))),TREND($E22:$F22,$E$9:$F$9,R$9))</f>
        <v>6.351070420263609E-4</v>
      </c>
      <c r="S22">
        <f>IF($G22="s-curve",$E22+($F22-$E22)*$I$2/(1+EXP($I$3*(COUNT($I$9:S$9)+$I$4))),TREND($E22:$F22,$E$9:$F$9,S$9))</f>
        <v>6.4643424195951274E-4</v>
      </c>
      <c r="T22">
        <f>IF($G22="s-curve",$E22+($F22-$E22)*$I$2/(1+EXP($I$3*(COUNT($I$9:T$9)+$I$4))),TREND($E22:$F22,$E$9:$F$9,T$9))</f>
        <v>6.5776144189266458E-4</v>
      </c>
      <c r="U22">
        <f>IF($G22="s-curve",$E22+($F22-$E22)*$I$2/(1+EXP($I$3*(COUNT($I$9:U$9)+$I$4))),TREND($E22:$F22,$E$9:$F$9,U$9))</f>
        <v>6.6908864182581296E-4</v>
      </c>
      <c r="V22">
        <f>IF($G22="s-curve",$E22+($F22-$E22)*$I$2/(1+EXP($I$3*(COUNT($I$9:V$9)+$I$4))),TREND($E22:$F22,$E$9:$F$9,V$9))</f>
        <v>6.804158417589648E-4</v>
      </c>
      <c r="W22">
        <f>IF($G22="s-curve",$E22+($F22-$E22)*$I$2/(1+EXP($I$3*(COUNT($I$9:W$9)+$I$4))),TREND($E22:$F22,$E$9:$F$9,W$9))</f>
        <v>6.9174304169211318E-4</v>
      </c>
      <c r="X22">
        <f>IF($G22="s-curve",$E22+($F22-$E22)*$I$2/(1+EXP($I$3*(COUNT($I$9:X$9)+$I$4))),TREND($E22:$F22,$E$9:$F$9,X$9))</f>
        <v>7.0307024162526502E-4</v>
      </c>
      <c r="Y22">
        <f>IF($G22="s-curve",$E22+($F22-$E22)*$I$2/(1+EXP($I$3*(COUNT($I$9:Y$9)+$I$4))),TREND($E22:$F22,$E$9:$F$9,Y$9))</f>
        <v>7.1439744155841686E-4</v>
      </c>
      <c r="Z22">
        <f>IF($G22="s-curve",$E22+($F22-$E22)*$I$2/(1+EXP($I$3*(COUNT($I$9:Z$9)+$I$4))),TREND($E22:$F22,$E$9:$F$9,Z$9))</f>
        <v>7.2572464149156524E-4</v>
      </c>
      <c r="AA22">
        <f>IF($G22="s-curve",$E22+($F22-$E22)*$I$2/(1+EXP($I$3*(COUNT($I$9:AA$9)+$I$4))),TREND($E22:$F22,$E$9:$F$9,AA$9))</f>
        <v>7.3705184142471708E-4</v>
      </c>
      <c r="AB22">
        <f>IF($G22="s-curve",$E22+($F22-$E22)*$I$2/(1+EXP($I$3*(COUNT($I$9:AB$9)+$I$4))),TREND($E22:$F22,$E$9:$F$9,AB$9))</f>
        <v>7.4837904135786545E-4</v>
      </c>
      <c r="AC22">
        <f>IF($G22="s-curve",$E22+($F22-$E22)*$I$2/(1+EXP($I$3*(COUNT($I$9:AC$9)+$I$4))),TREND($E22:$F22,$E$9:$F$9,AC$9))</f>
        <v>7.597062412910173E-4</v>
      </c>
      <c r="AD22">
        <f>IF($G22="s-curve",$E22+($F22-$E22)*$I$2/(1+EXP($I$3*(COUNT($I$9:AD$9)+$I$4))),TREND($E22:$F22,$E$9:$F$9,AD$9))</f>
        <v>7.7103344122416567E-4</v>
      </c>
      <c r="AE22">
        <f>IF($G22="s-curve",$E22+($F22-$E22)*$I$2/(1+EXP($I$3*(COUNT($I$9:AE$9)+$I$4))),TREND($E22:$F22,$E$9:$F$9,AE$9))</f>
        <v>7.8236064115731752E-4</v>
      </c>
      <c r="AF22">
        <f>IF($G22="s-curve",$E22+($F22-$E22)*$I$2/(1+EXP($I$3*(COUNT($I$9:AF$9)+$I$4))),TREND($E22:$F22,$E$9:$F$9,AF$9))</f>
        <v>7.9368784109046936E-4</v>
      </c>
      <c r="AG22">
        <f>IF($G22="s-curve",$E22+($F22-$E22)*$I$2/(1+EXP($I$3*(COUNT($I$9:AG$9)+$I$4))),TREND($E22:$F22,$E$9:$F$9,AG$9))</f>
        <v>8.0501504102361773E-4</v>
      </c>
      <c r="AH22">
        <f>IF($G22="s-curve",$E22+($F22-$E22)*$I$2/(1+EXP($I$3*(COUNT($I$9:AH$9)+$I$4))),TREND($E22:$F22,$E$9:$F$9,AH$9))</f>
        <v>8.1634224095676958E-4</v>
      </c>
      <c r="AI22">
        <f>IF($G22="s-curve",$E22+($F22-$E22)*$I$2/(1+EXP($I$3*(COUNT($I$9:AI$9)+$I$4))),TREND($E22:$F22,$E$9:$F$9,AI$9))</f>
        <v>8.2766944088991795E-4</v>
      </c>
      <c r="AJ22">
        <f>IF($G22="s-curve",$E22+($F22-$E22)*$I$2/(1+EXP($I$3*(COUNT($I$9:AJ$9)+$I$4))),TREND($E22:$F22,$E$9:$F$9,AJ$9))</f>
        <v>8.3899664082306979E-4</v>
      </c>
      <c r="AK22">
        <f>IF($G22="s-curve",$E22+($F22-$E22)*$I$2/(1+EXP($I$3*(COUNT($I$9:AK$9)+$I$4))),TREND($E22:$F22,$E$9:$F$9,AK$9))</f>
        <v>8.5032384075622164E-4</v>
      </c>
      <c r="AL22">
        <f>IF($G22="s-curve",$E22+($F22-$E22)*$I$2/(1+EXP($I$3*(COUNT($I$9:AL$9)+$I$4))),TREND($E22:$F22,$E$9:$F$9,AL$9))</f>
        <v>8.6165104068937001E-4</v>
      </c>
    </row>
    <row r="23" spans="1:38" ht="15.75" thickBot="1" x14ac:dyDescent="0.3">
      <c r="A23" s="23"/>
      <c r="B23" s="23"/>
      <c r="C23" s="23" t="s">
        <v>121</v>
      </c>
      <c r="D23" s="23"/>
      <c r="E23" s="26">
        <f>'SYVbT-freight'!H$2/'SYVbT-freight'!$2:$2</f>
        <v>2.8265820535957225E-5</v>
      </c>
      <c r="F23" s="26">
        <f>F16</f>
        <v>3.1482251979020537E-4</v>
      </c>
      <c r="G23" s="8" t="str">
        <f>IF(E23=F23,"n/a",IF(OR(C23="battery electric vehicle",C23="natural gas vehicle",C23="plugin hybrid vehicle",C23="hydrogen vehicle"),"s-curve","linear"))</f>
        <v>s-curve</v>
      </c>
      <c r="I23" s="22">
        <f t="shared" si="1"/>
        <v>2.8265820535957225E-5</v>
      </c>
      <c r="J23">
        <f>IF($G23="s-curve",$E23+($F23-$E23)*$I$2/(1+EXP($I$3*(COUNT($I$9:J$9)+$I$4))),TREND($E23:$F23,$E$9:$F$9,J$9))</f>
        <v>3.2499418292659206E-5</v>
      </c>
      <c r="K23">
        <f>IF($G23="s-curve",$E23+($F23-$E23)*$I$2/(1+EXP($I$3*(COUNT($I$9:K$9)+$I$4))),TREND($E23:$F23,$E$9:$F$9,K$9))</f>
        <v>3.3951193059309608E-5</v>
      </c>
      <c r="L23">
        <f>IF($G23="s-curve",$E23+($F23-$E23)*$I$2/(1+EXP($I$3*(COUNT($I$9:L$9)+$I$4))),TREND($E23:$F23,$E$9:$F$9,L$9))</f>
        <v>3.5887367225430346E-5</v>
      </c>
      <c r="M23">
        <f>IF($G23="s-curve",$E23+($F23-$E23)*$I$2/(1+EXP($I$3*(COUNT($I$9:M$9)+$I$4))),TREND($E23:$F23,$E$9:$F$9,M$9))</f>
        <v>3.8458983122471971E-5</v>
      </c>
      <c r="N23">
        <f>IF($G23="s-curve",$E23+($F23-$E23)*$I$2/(1+EXP($I$3*(COUNT($I$9:N$9)+$I$4))),TREND($E23:$F23,$E$9:$F$9,N$9))</f>
        <v>4.1856022212971344E-5</v>
      </c>
      <c r="O23">
        <f>IF($G23="s-curve",$E23+($F23-$E23)*$I$2/(1+EXP($I$3*(COUNT($I$9:O$9)+$I$4))),TREND($E23:$F23,$E$9:$F$9,O$9))</f>
        <v>4.6311257588612655E-5</v>
      </c>
      <c r="P23">
        <f>IF($G23="s-curve",$E23+($F23-$E23)*$I$2/(1+EXP($I$3*(COUNT($I$9:P$9)+$I$4))),TREND($E23:$F23,$E$9:$F$9,P$9))</f>
        <v>5.2099513911331002E-5</v>
      </c>
      <c r="Q23">
        <f>IF($G23="s-curve",$E23+($F23-$E23)*$I$2/(1+EXP($I$3*(COUNT($I$9:Q$9)+$I$4))),TREND($E23:$F23,$E$9:$F$9,Q$9))</f>
        <v>5.9528245516902954E-5</v>
      </c>
      <c r="R23">
        <f>IF($G23="s-curve",$E23+($F23-$E23)*$I$2/(1+EXP($I$3*(COUNT($I$9:R$9)+$I$4))),TREND($E23:$F23,$E$9:$F$9,R$9))</f>
        <v>6.8914193479541143E-5</v>
      </c>
      <c r="S23">
        <f>IF($G23="s-curve",$E23+($F23-$E23)*$I$2/(1+EXP($I$3*(COUNT($I$9:S$9)+$I$4))),TREND($E23:$F23,$E$9:$F$9,S$9))</f>
        <v>8.0541076497633965E-5</v>
      </c>
      <c r="T23">
        <f>IF($G23="s-curve",$E23+($F23-$E23)*$I$2/(1+EXP($I$3*(COUNT($I$9:T$9)+$I$4))),TREND($E23:$F23,$E$9:$F$9,T$9))</f>
        <v>9.4596594535641205E-5</v>
      </c>
      <c r="U23">
        <f>IF($G23="s-curve",$E23+($F23-$E23)*$I$2/(1+EXP($I$3*(COUNT($I$9:U$9)+$I$4))),TREND($E23:$F23,$E$9:$F$9,U$9))</f>
        <v>1.1109517698153481E-4</v>
      </c>
      <c r="V23">
        <f>IF($G23="s-curve",$E23+($F23-$E23)*$I$2/(1+EXP($I$3*(COUNT($I$9:V$9)+$I$4))),TREND($E23:$F23,$E$9:$F$9,V$9))</f>
        <v>1.2980537982545135E-4</v>
      </c>
      <c r="W23">
        <f>IF($G23="s-curve",$E23+($F23-$E23)*$I$2/(1+EXP($I$3*(COUNT($I$9:W$9)+$I$4))),TREND($E23:$F23,$E$9:$F$9,W$9))</f>
        <v>1.5021216826135341E-4</v>
      </c>
      <c r="X23">
        <f>IF($G23="s-curve",$E23+($F23-$E23)*$I$2/(1+EXP($I$3*(COUNT($I$9:X$9)+$I$4))),TREND($E23:$F23,$E$9:$F$9,X$9))</f>
        <v>1.7154417016308128E-4</v>
      </c>
      <c r="Y23">
        <f>IF($G23="s-curve",$E23+($F23-$E23)*$I$2/(1+EXP($I$3*(COUNT($I$9:Y$9)+$I$4))),TREND($E23:$F23,$E$9:$F$9,Y$9))</f>
        <v>1.9287617206480915E-4</v>
      </c>
      <c r="Z23">
        <f>IF($G23="s-curve",$E23+($F23-$E23)*$I$2/(1+EXP($I$3*(COUNT($I$9:Z$9)+$I$4))),TREND($E23:$F23,$E$9:$F$9,Z$9))</f>
        <v>2.1328296050071122E-4</v>
      </c>
      <c r="AA23">
        <f>IF($G23="s-curve",$E23+($F23-$E23)*$I$2/(1+EXP($I$3*(COUNT($I$9:AA$9)+$I$4))),TREND($E23:$F23,$E$9:$F$9,AA$9))</f>
        <v>2.3199316334462775E-4</v>
      </c>
      <c r="AB23">
        <f>IF($G23="s-curve",$E23+($F23-$E23)*$I$2/(1+EXP($I$3*(COUNT($I$9:AB$9)+$I$4))),TREND($E23:$F23,$E$9:$F$9,AB$9))</f>
        <v>2.4849174579052134E-4</v>
      </c>
      <c r="AC23">
        <f>IF($G23="s-curve",$E23+($F23-$E23)*$I$2/(1+EXP($I$3*(COUNT($I$9:AC$9)+$I$4))),TREND($E23:$F23,$E$9:$F$9,AC$9))</f>
        <v>2.625472638285286E-4</v>
      </c>
      <c r="AD23">
        <f>IF($G23="s-curve",$E23+($F23-$E23)*$I$2/(1+EXP($I$3*(COUNT($I$9:AD$9)+$I$4))),TREND($E23:$F23,$E$9:$F$9,AD$9))</f>
        <v>2.7417414684662147E-4</v>
      </c>
      <c r="AE23">
        <f>IF($G23="s-curve",$E23+($F23-$E23)*$I$2/(1+EXP($I$3*(COUNT($I$9:AE$9)+$I$4))),TREND($E23:$F23,$E$9:$F$9,AE$9))</f>
        <v>2.8356009480925965E-4</v>
      </c>
      <c r="AF23">
        <f>IF($G23="s-curve",$E23+($F23-$E23)*$I$2/(1+EXP($I$3*(COUNT($I$9:AF$9)+$I$4))),TREND($E23:$F23,$E$9:$F$9,AF$9))</f>
        <v>2.9098882641483164E-4</v>
      </c>
      <c r="AG23">
        <f>IF($G23="s-curve",$E23+($F23-$E23)*$I$2/(1+EXP($I$3*(COUNT($I$9:AG$9)+$I$4))),TREND($E23:$F23,$E$9:$F$9,AG$9))</f>
        <v>2.9677708273754996E-4</v>
      </c>
      <c r="AH23">
        <f>IF($G23="s-curve",$E23+($F23-$E23)*$I$2/(1+EXP($I$3*(COUNT($I$9:AH$9)+$I$4))),TREND($E23:$F23,$E$9:$F$9,AH$9))</f>
        <v>3.012323181131913E-4</v>
      </c>
      <c r="AI23">
        <f>IF($G23="s-curve",$E23+($F23-$E23)*$I$2/(1+EXP($I$3*(COUNT($I$9:AI$9)+$I$4))),TREND($E23:$F23,$E$9:$F$9,AI$9))</f>
        <v>3.0462935720369062E-4</v>
      </c>
      <c r="AJ23">
        <f>IF($G23="s-curve",$E23+($F23-$E23)*$I$2/(1+EXP($I$3*(COUNT($I$9:AJ$9)+$I$4))),TREND($E23:$F23,$E$9:$F$9,AJ$9))</f>
        <v>3.0720097310073225E-4</v>
      </c>
      <c r="AK23">
        <f>IF($G23="s-curve",$E23+($F23-$E23)*$I$2/(1+EXP($I$3*(COUNT($I$9:AK$9)+$I$4))),TREND($E23:$F23,$E$9:$F$9,AK$9))</f>
        <v>3.0913714726685303E-4</v>
      </c>
      <c r="AL23">
        <f>IF($G23="s-curve",$E23+($F23-$E23)*$I$2/(1+EXP($I$3*(COUNT($I$9:AL$9)+$I$4))),TREND($E23:$F23,$E$9:$F$9,AL$9))</f>
        <v>3.1058892203350341E-4</v>
      </c>
    </row>
    <row r="24" spans="1:38" x14ac:dyDescent="0.25">
      <c r="A24" t="s">
        <v>13</v>
      </c>
      <c r="B24" t="s">
        <v>19</v>
      </c>
      <c r="C24" t="s">
        <v>1</v>
      </c>
      <c r="D24">
        <v>1</v>
      </c>
      <c r="E24" s="22">
        <v>1</v>
      </c>
      <c r="F24" s="29">
        <v>1</v>
      </c>
      <c r="G24" s="7" t="str">
        <f>IF(E24=F24,"n/a",IF(OR(C24="battery electric vehicle",C24="natural gas vehicle",C24="plugin hybrid vehicle"),"s-curve","linear"))</f>
        <v>n/a</v>
      </c>
      <c r="I24" s="22">
        <f>D24</f>
        <v>1</v>
      </c>
      <c r="J24" s="22">
        <f>E24</f>
        <v>1</v>
      </c>
      <c r="K24">
        <f>IF($G24="s-curve",$E24+($F24-$E24)*$O$2/(1+EXP($O$3*(COUNT($K$9:K$9)+$O$4))),TREND($E24:$F24,$E$9:$F$9,K$9))</f>
        <v>1</v>
      </c>
      <c r="L24">
        <f>IF($G24="s-curve",$E24+($F24-$E24)*$O$2/(1+EXP($O$3*(COUNT($K$9:L$9)+$O$4))),TREND($E24:$F24,$E$9:$F$9,L$9))</f>
        <v>1</v>
      </c>
      <c r="M24">
        <f>IF($G24="s-curve",$E24+($F24-$E24)*$O$2/(1+EXP($O$3*(COUNT($K$9:M$9)+$O$4))),TREND($E24:$F24,$E$9:$F$9,M$9))</f>
        <v>1</v>
      </c>
      <c r="N24">
        <f>IF($G24="s-curve",$E24+($F24-$E24)*$O$2/(1+EXP($O$3*(COUNT($K$9:N$9)+$O$4))),TREND($E24:$F24,$E$9:$F$9,N$9))</f>
        <v>1</v>
      </c>
      <c r="O24">
        <f>IF($G24="s-curve",$E24+($F24-$E24)*$O$2/(1+EXP($O$3*(COUNT($K$9:O$9)+$O$4))),TREND($E24:$F24,$E$9:$F$9,O$9))</f>
        <v>1</v>
      </c>
      <c r="P24">
        <f>IF($G24="s-curve",$E24+($F24-$E24)*$O$2/(1+EXP($O$3*(COUNT($K$9:P$9)+$O$4))),TREND($E24:$F24,$E$9:$F$9,P$9))</f>
        <v>1</v>
      </c>
      <c r="Q24">
        <f>IF($G24="s-curve",$E24+($F24-$E24)*$O$2/(1+EXP($O$3*(COUNT($K$9:Q$9)+$O$4))),TREND($E24:$F24,$E$9:$F$9,Q$9))</f>
        <v>1</v>
      </c>
      <c r="R24">
        <f>IF($G24="s-curve",$E24+($F24-$E24)*$O$2/(1+EXP($O$3*(COUNT($K$9:R$9)+$O$4))),TREND($E24:$F24,$E$9:$F$9,R$9))</f>
        <v>1</v>
      </c>
      <c r="S24">
        <f>IF($G24="s-curve",$E24+($F24-$E24)*$O$2/(1+EXP($O$3*(COUNT($K$9:S$9)+$O$4))),TREND($E24:$F24,$E$9:$F$9,S$9))</f>
        <v>1</v>
      </c>
      <c r="T24">
        <f>IF($G24="s-curve",$E24+($F24-$E24)*$O$2/(1+EXP($O$3*(COUNT($K$9:T$9)+$O$4))),TREND($E24:$F24,$E$9:$F$9,T$9))</f>
        <v>1</v>
      </c>
      <c r="U24">
        <f>IF($G24="s-curve",$E24+($F24-$E24)*$O$2/(1+EXP($O$3*(COUNT($K$9:U$9)+$O$4))),TREND($E24:$F24,$E$9:$F$9,U$9))</f>
        <v>1</v>
      </c>
      <c r="V24">
        <f>IF($G24="s-curve",$E24+($F24-$E24)*$O$2/(1+EXP($O$3*(COUNT($K$9:V$9)+$O$4))),TREND($E24:$F24,$E$9:$F$9,V$9))</f>
        <v>1</v>
      </c>
      <c r="W24">
        <f>IF($G24="s-curve",$E24+($F24-$E24)*$O$2/(1+EXP($O$3*(COUNT($K$9:W$9)+$O$4))),TREND($E24:$F24,$E$9:$F$9,W$9))</f>
        <v>1</v>
      </c>
      <c r="X24">
        <f>IF($G24="s-curve",$E24+($F24-$E24)*$O$2/(1+EXP($O$3*(COUNT($K$9:X$9)+$O$4))),TREND($E24:$F24,$E$9:$F$9,X$9))</f>
        <v>1</v>
      </c>
      <c r="Y24">
        <f>IF($G24="s-curve",$E24+($F24-$E24)*$O$2/(1+EXP($O$3*(COUNT($K$9:Y$9)+$O$4))),TREND($E24:$F24,$E$9:$F$9,Y$9))</f>
        <v>1</v>
      </c>
      <c r="Z24">
        <f>IF($G24="s-curve",$E24+($F24-$E24)*$O$2/(1+EXP($O$3*(COUNT($K$9:Z$9)+$O$4))),TREND($E24:$F24,$E$9:$F$9,Z$9))</f>
        <v>1</v>
      </c>
      <c r="AA24">
        <f>IF($G24="s-curve",$E24+($F24-$E24)*$O$2/(1+EXP($O$3*(COUNT($K$9:AA$9)+$O$4))),TREND($E24:$F24,$E$9:$F$9,AA$9))</f>
        <v>1</v>
      </c>
      <c r="AB24">
        <f>IF($G24="s-curve",$E24+($F24-$E24)*$O$2/(1+EXP($O$3*(COUNT($K$9:AB$9)+$O$4))),TREND($E24:$F24,$E$9:$F$9,AB$9))</f>
        <v>1</v>
      </c>
      <c r="AC24">
        <f>IF($G24="s-curve",$E24+($F24-$E24)*$O$2/(1+EXP($O$3*(COUNT($K$9:AC$9)+$O$4))),TREND($E24:$F24,$E$9:$F$9,AC$9))</f>
        <v>1</v>
      </c>
      <c r="AD24">
        <f>IF($G24="s-curve",$E24+($F24-$E24)*$O$2/(1+EXP($O$3*(COUNT($K$9:AD$9)+$O$4))),TREND($E24:$F24,$E$9:$F$9,AD$9))</f>
        <v>1</v>
      </c>
      <c r="AE24">
        <f>IF($G24="s-curve",$E24+($F24-$E24)*$O$2/(1+EXP($O$3*(COUNT($K$9:AE$9)+$O$4))),TREND($E24:$F24,$E$9:$F$9,AE$9))</f>
        <v>1</v>
      </c>
      <c r="AF24">
        <f>IF($G24="s-curve",$E24+($F24-$E24)*$O$2/(1+EXP($O$3*(COUNT($K$9:AF$9)+$O$4))),TREND($E24:$F24,$E$9:$F$9,AF$9))</f>
        <v>1</v>
      </c>
      <c r="AG24">
        <f>IF($G24="s-curve",$E24+($F24-$E24)*$O$2/(1+EXP($O$3*(COUNT($K$9:AG$9)+$O$4))),TREND($E24:$F24,$E$9:$F$9,AG$9))</f>
        <v>1</v>
      </c>
      <c r="AH24">
        <f>IF($G24="s-curve",$E24+($F24-$E24)*$O$2/(1+EXP($O$3*(COUNT($K$9:AH$9)+$O$4))),TREND($E24:$F24,$E$9:$F$9,AH$9))</f>
        <v>1</v>
      </c>
      <c r="AI24">
        <f>IF($G24="s-curve",$E24+($F24-$E24)*$O$2/(1+EXP($O$3*(COUNT($K$9:AI$9)+$O$4))),TREND($E24:$F24,$E$9:$F$9,AI$9))</f>
        <v>1</v>
      </c>
      <c r="AJ24">
        <f>IF($G24="s-curve",$E24+($F24-$E24)*$O$2/(1+EXP($O$3*(COUNT($K$9:AJ$9)+$O$4))),TREND($E24:$F24,$E$9:$F$9,AJ$9))</f>
        <v>1</v>
      </c>
      <c r="AK24">
        <f>IF($G24="s-curve",$E24+($F24-$E24)*$O$2/(1+EXP($O$3*(COUNT($K$9:AK$9)+$O$4))),TREND($E24:$F24,$E$9:$F$9,AK$9))</f>
        <v>1</v>
      </c>
      <c r="AL24">
        <f>IF($G24="s-curve",$E24+($F24-$E24)*$O$2/(1+EXP($O$3*(COUNT($K$9:AL$9)+$O$4))),TREND($E24:$F24,$E$9:$F$9,AL$9))</f>
        <v>1</v>
      </c>
    </row>
    <row r="25" spans="1:38" x14ac:dyDescent="0.25">
      <c r="C25" t="s">
        <v>2</v>
      </c>
      <c r="E25" s="22">
        <f>'SYVbT-passenger'!D3/SUM('SYVbT-passenger'!3:3)*3</f>
        <v>0.29802375741500553</v>
      </c>
      <c r="F25" s="22">
        <f>F32*3</f>
        <v>0.15850139443373243</v>
      </c>
      <c r="G25" s="7" t="str">
        <f>IF(E25=F25,"n/a",IF(OR(C25="battery electric vehicle",C25="natural gas vehicle",C25="plugin hybrid vehicle"),"s-curve","linear"))</f>
        <v>s-curve</v>
      </c>
      <c r="I25" s="22">
        <f t="shared" si="1"/>
        <v>0.29802375741500553</v>
      </c>
      <c r="J25">
        <f>IF($G25="s-curve",$E25+($F25-$E25)*$I$2/(1+EXP($I$3*(COUNT($I$9:J$9)+$I$4))),TREND($E25:$F25,$E$9:$F$9,J$9))</f>
        <v>0.29596244960239987</v>
      </c>
      <c r="K25">
        <f>IF($G25="s-curve",$E25+($F25-$E25)*$I$2/(1+EXP($I$3*(COUNT($I$9:K$9)+$I$4))),TREND($E25:$F25,$E$9:$F$9,K$9))</f>
        <v>0.29525559107671612</v>
      </c>
      <c r="L25">
        <f>IF($G25="s-curve",$E25+($F25-$E25)*$I$2/(1+EXP($I$3*(COUNT($I$9:L$9)+$I$4))),TREND($E25:$F25,$E$9:$F$9,L$9))</f>
        <v>0.29431288202296346</v>
      </c>
      <c r="M25">
        <f>IF($G25="s-curve",$E25+($F25-$E25)*$I$2/(1+EXP($I$3*(COUNT($I$9:M$9)+$I$4))),TREND($E25:$F25,$E$9:$F$9,M$9))</f>
        <v>0.2930607810336332</v>
      </c>
      <c r="N25">
        <f>IF($G25="s-curve",$E25+($F25-$E25)*$I$2/(1+EXP($I$3*(COUNT($I$9:N$9)+$I$4))),TREND($E25:$F25,$E$9:$F$9,N$9))</f>
        <v>0.29140678752282123</v>
      </c>
      <c r="O25">
        <f>IF($G25="s-curve",$E25+($F25-$E25)*$I$2/(1+EXP($I$3*(COUNT($I$9:O$9)+$I$4))),TREND($E25:$F25,$E$9:$F$9,O$9))</f>
        <v>0.28923756597307232</v>
      </c>
      <c r="P25">
        <f>IF($G25="s-curve",$E25+($F25-$E25)*$I$2/(1+EXP($I$3*(COUNT($I$9:P$9)+$I$4))),TREND($E25:$F25,$E$9:$F$9,P$9))</f>
        <v>0.28641930626464923</v>
      </c>
      <c r="Q25">
        <f>IF($G25="s-curve",$E25+($F25-$E25)*$I$2/(1+EXP($I$3*(COUNT($I$9:Q$9)+$I$4))),TREND($E25:$F25,$E$9:$F$9,Q$9))</f>
        <v>0.28280231112804816</v>
      </c>
      <c r="R25">
        <f>IF($G25="s-curve",$E25+($F25-$E25)*$I$2/(1+EXP($I$3*(COUNT($I$9:R$9)+$I$4))),TREND($E25:$F25,$E$9:$F$9,R$9))</f>
        <v>0.27823236164867954</v>
      </c>
      <c r="S25">
        <f>IF($G25="s-curve",$E25+($F25-$E25)*$I$2/(1+EXP($I$3*(COUNT($I$9:S$9)+$I$4))),TREND($E25:$F25,$E$9:$F$9,S$9))</f>
        <v>0.2725713172654462</v>
      </c>
      <c r="T25">
        <f>IF($G25="s-curve",$E25+($F25-$E25)*$I$2/(1+EXP($I$3*(COUNT($I$9:T$9)+$I$4))),TREND($E25:$F25,$E$9:$F$9,T$9))</f>
        <v>0.26572778823718668</v>
      </c>
      <c r="U25">
        <f>IF($G25="s-curve",$E25+($F25-$E25)*$I$2/(1+EXP($I$3*(COUNT($I$9:U$9)+$I$4))),TREND($E25:$F25,$E$9:$F$9,U$9))</f>
        <v>0.25769474900033379</v>
      </c>
      <c r="V25">
        <f>IF($G25="s-curve",$E25+($F25-$E25)*$I$2/(1+EXP($I$3*(COUNT($I$9:V$9)+$I$4))),TREND($E25:$F25,$E$9:$F$9,V$9))</f>
        <v>0.24858488795211589</v>
      </c>
      <c r="W25">
        <f>IF($G25="s-curve",$E25+($F25-$E25)*$I$2/(1+EXP($I$3*(COUNT($I$9:W$9)+$I$4))),TREND($E25:$F25,$E$9:$F$9,W$9))</f>
        <v>0.23864897177620478</v>
      </c>
      <c r="X25">
        <f>IF($G25="s-curve",$E25+($F25-$E25)*$I$2/(1+EXP($I$3*(COUNT($I$9:X$9)+$I$4))),TREND($E25:$F25,$E$9:$F$9,X$9))</f>
        <v>0.22826257592436899</v>
      </c>
      <c r="Y25">
        <f>IF($G25="s-curve",$E25+($F25-$E25)*$I$2/(1+EXP($I$3*(COUNT($I$9:Y$9)+$I$4))),TREND($E25:$F25,$E$9:$F$9,Y$9))</f>
        <v>0.21787618007253318</v>
      </c>
      <c r="Z25">
        <f>IF($G25="s-curve",$E25+($F25-$E25)*$I$2/(1+EXP($I$3*(COUNT($I$9:Z$9)+$I$4))),TREND($E25:$F25,$E$9:$F$9,Z$9))</f>
        <v>0.20794026389662207</v>
      </c>
      <c r="AA25">
        <f>IF($G25="s-curve",$E25+($F25-$E25)*$I$2/(1+EXP($I$3*(COUNT($I$9:AA$9)+$I$4))),TREND($E25:$F25,$E$9:$F$9,AA$9))</f>
        <v>0.19883040284840414</v>
      </c>
      <c r="AB25">
        <f>IF($G25="s-curve",$E25+($F25-$E25)*$I$2/(1+EXP($I$3*(COUNT($I$9:AB$9)+$I$4))),TREND($E25:$F25,$E$9:$F$9,AB$9))</f>
        <v>0.19079736361155128</v>
      </c>
      <c r="AC25">
        <f>IF($G25="s-curve",$E25+($F25-$E25)*$I$2/(1+EXP($I$3*(COUNT($I$9:AC$9)+$I$4))),TREND($E25:$F25,$E$9:$F$9,AC$9))</f>
        <v>0.18395383458329176</v>
      </c>
      <c r="AD25">
        <f>IF($G25="s-curve",$E25+($F25-$E25)*$I$2/(1+EXP($I$3*(COUNT($I$9:AD$9)+$I$4))),TREND($E25:$F25,$E$9:$F$9,AD$9))</f>
        <v>0.17829279020005839</v>
      </c>
      <c r="AE25">
        <f>IF($G25="s-curve",$E25+($F25-$E25)*$I$2/(1+EXP($I$3*(COUNT($I$9:AE$9)+$I$4))),TREND($E25:$F25,$E$9:$F$9,AE$9))</f>
        <v>0.17372284072068978</v>
      </c>
      <c r="AF25">
        <f>IF($G25="s-curve",$E25+($F25-$E25)*$I$2/(1+EXP($I$3*(COUNT($I$9:AF$9)+$I$4))),TREND($E25:$F25,$E$9:$F$9,AF$9))</f>
        <v>0.17010584558408873</v>
      </c>
      <c r="AG25">
        <f>IF($G25="s-curve",$E25+($F25-$E25)*$I$2/(1+EXP($I$3*(COUNT($I$9:AG$9)+$I$4))),TREND($E25:$F25,$E$9:$F$9,AG$9))</f>
        <v>0.16728758587566564</v>
      </c>
      <c r="AH25">
        <f>IF($G25="s-curve",$E25+($F25-$E25)*$I$2/(1+EXP($I$3*(COUNT($I$9:AH$9)+$I$4))),TREND($E25:$F25,$E$9:$F$9,AH$9))</f>
        <v>0.1651183643259167</v>
      </c>
      <c r="AI25">
        <f>IF($G25="s-curve",$E25+($F25-$E25)*$I$2/(1+EXP($I$3*(COUNT($I$9:AI$9)+$I$4))),TREND($E25:$F25,$E$9:$F$9,AI$9))</f>
        <v>0.16346437081510473</v>
      </c>
      <c r="AJ25">
        <f>IF($G25="s-curve",$E25+($F25-$E25)*$I$2/(1+EXP($I$3*(COUNT($I$9:AJ$9)+$I$4))),TREND($E25:$F25,$E$9:$F$9,AJ$9))</f>
        <v>0.1622122698257745</v>
      </c>
      <c r="AK25">
        <f>IF($G25="s-curve",$E25+($F25-$E25)*$I$2/(1+EXP($I$3*(COUNT($I$9:AK$9)+$I$4))),TREND($E25:$F25,$E$9:$F$9,AK$9))</f>
        <v>0.16126956077202181</v>
      </c>
      <c r="AL25">
        <f>IF($G25="s-curve",$E25+($F25-$E25)*$I$2/(1+EXP($I$3*(COUNT($I$9:AL$9)+$I$4))),TREND($E25:$F25,$E$9:$F$9,AL$9))</f>
        <v>0.16056270224633809</v>
      </c>
    </row>
    <row r="26" spans="1:38" x14ac:dyDescent="0.25">
      <c r="C26" t="s">
        <v>3</v>
      </c>
      <c r="E26" s="22">
        <f>'SYVbT-passenger'!D3/SUM('SYVbT-passenger'!3:3)*3</f>
        <v>0.29802375741500553</v>
      </c>
      <c r="F26" s="22">
        <f>E26</f>
        <v>0.29802375741500553</v>
      </c>
      <c r="G26" s="7" t="str">
        <f>IF(E26=F26,"n/a",IF(OR(C26="battery electric vehicle",C26="natural gas vehicle",C26="plugin hybrid vehicle"),"s-curve","linear"))</f>
        <v>n/a</v>
      </c>
      <c r="I26" s="22">
        <f t="shared" si="1"/>
        <v>0.29802375741500553</v>
      </c>
      <c r="J26">
        <f>IF($G26="s-curve",$E26+($F26-$E26)*$I$2/(1+EXP($I$3*(COUNT($I$9:J$9)+$I$4))),TREND($E26:$F26,$E$9:$F$9,J$9))</f>
        <v>0.29802375741500553</v>
      </c>
      <c r="K26">
        <f>IF($G26="s-curve",$E26+($F26-$E26)*$I$2/(1+EXP($I$3*(COUNT($I$9:K$9)+$I$4))),TREND($E26:$F26,$E$9:$F$9,K$9))</f>
        <v>0.29802375741500553</v>
      </c>
      <c r="L26">
        <f>IF($G26="s-curve",$E26+($F26-$E26)*$I$2/(1+EXP($I$3*(COUNT($I$9:L$9)+$I$4))),TREND($E26:$F26,$E$9:$F$9,L$9))</f>
        <v>0.29802375741500553</v>
      </c>
      <c r="M26">
        <f>IF($G26="s-curve",$E26+($F26-$E26)*$I$2/(1+EXP($I$3*(COUNT($I$9:M$9)+$I$4))),TREND($E26:$F26,$E$9:$F$9,M$9))</f>
        <v>0.29802375741500553</v>
      </c>
      <c r="N26">
        <f>IF($G26="s-curve",$E26+($F26-$E26)*$I$2/(1+EXP($I$3*(COUNT($I$9:N$9)+$I$4))),TREND($E26:$F26,$E$9:$F$9,N$9))</f>
        <v>0.29802375741500553</v>
      </c>
      <c r="O26">
        <f>IF($G26="s-curve",$E26+($F26-$E26)*$I$2/(1+EXP($I$3*(COUNT($I$9:O$9)+$I$4))),TREND($E26:$F26,$E$9:$F$9,O$9))</f>
        <v>0.29802375741500553</v>
      </c>
      <c r="P26">
        <f>IF($G26="s-curve",$E26+($F26-$E26)*$I$2/(1+EXP($I$3*(COUNT($I$9:P$9)+$I$4))),TREND($E26:$F26,$E$9:$F$9,P$9))</f>
        <v>0.29802375741500553</v>
      </c>
      <c r="Q26">
        <f>IF($G26="s-curve",$E26+($F26-$E26)*$I$2/(1+EXP($I$3*(COUNT($I$9:Q$9)+$I$4))),TREND($E26:$F26,$E$9:$F$9,Q$9))</f>
        <v>0.29802375741500553</v>
      </c>
      <c r="R26">
        <f>IF($G26="s-curve",$E26+($F26-$E26)*$I$2/(1+EXP($I$3*(COUNT($I$9:R$9)+$I$4))),TREND($E26:$F26,$E$9:$F$9,R$9))</f>
        <v>0.29802375741500553</v>
      </c>
      <c r="S26">
        <f>IF($G26="s-curve",$E26+($F26-$E26)*$I$2/(1+EXP($I$3*(COUNT($I$9:S$9)+$I$4))),TREND($E26:$F26,$E$9:$F$9,S$9))</f>
        <v>0.29802375741500553</v>
      </c>
      <c r="T26">
        <f>IF($G26="s-curve",$E26+($F26-$E26)*$I$2/(1+EXP($I$3*(COUNT($I$9:T$9)+$I$4))),TREND($E26:$F26,$E$9:$F$9,T$9))</f>
        <v>0.29802375741500553</v>
      </c>
      <c r="U26">
        <f>IF($G26="s-curve",$E26+($F26-$E26)*$I$2/(1+EXP($I$3*(COUNT($I$9:U$9)+$I$4))),TREND($E26:$F26,$E$9:$F$9,U$9))</f>
        <v>0.29802375741500553</v>
      </c>
      <c r="V26">
        <f>IF($G26="s-curve",$E26+($F26-$E26)*$I$2/(1+EXP($I$3*(COUNT($I$9:V$9)+$I$4))),TREND($E26:$F26,$E$9:$F$9,V$9))</f>
        <v>0.29802375741500553</v>
      </c>
      <c r="W26">
        <f>IF($G26="s-curve",$E26+($F26-$E26)*$I$2/(1+EXP($I$3*(COUNT($I$9:W$9)+$I$4))),TREND($E26:$F26,$E$9:$F$9,W$9))</f>
        <v>0.29802375741500553</v>
      </c>
      <c r="X26">
        <f>IF($G26="s-curve",$E26+($F26-$E26)*$I$2/(1+EXP($I$3*(COUNT($I$9:X$9)+$I$4))),TREND($E26:$F26,$E$9:$F$9,X$9))</f>
        <v>0.29802375741500553</v>
      </c>
      <c r="Y26">
        <f>IF($G26="s-curve",$E26+($F26-$E26)*$I$2/(1+EXP($I$3*(COUNT($I$9:Y$9)+$I$4))),TREND($E26:$F26,$E$9:$F$9,Y$9))</f>
        <v>0.29802375741500553</v>
      </c>
      <c r="Z26">
        <f>IF($G26="s-curve",$E26+($F26-$E26)*$I$2/(1+EXP($I$3*(COUNT($I$9:Z$9)+$I$4))),TREND($E26:$F26,$E$9:$F$9,Z$9))</f>
        <v>0.29802375741500553</v>
      </c>
      <c r="AA26">
        <f>IF($G26="s-curve",$E26+($F26-$E26)*$I$2/(1+EXP($I$3*(COUNT($I$9:AA$9)+$I$4))),TREND($E26:$F26,$E$9:$F$9,AA$9))</f>
        <v>0.29802375741500553</v>
      </c>
      <c r="AB26">
        <f>IF($G26="s-curve",$E26+($F26-$E26)*$I$2/(1+EXP($I$3*(COUNT($I$9:AB$9)+$I$4))),TREND($E26:$F26,$E$9:$F$9,AB$9))</f>
        <v>0.29802375741500553</v>
      </c>
      <c r="AC26">
        <f>IF($G26="s-curve",$E26+($F26-$E26)*$I$2/(1+EXP($I$3*(COUNT($I$9:AC$9)+$I$4))),TREND($E26:$F26,$E$9:$F$9,AC$9))</f>
        <v>0.29802375741500553</v>
      </c>
      <c r="AD26">
        <f>IF($G26="s-curve",$E26+($F26-$E26)*$I$2/(1+EXP($I$3*(COUNT($I$9:AD$9)+$I$4))),TREND($E26:$F26,$E$9:$F$9,AD$9))</f>
        <v>0.29802375741500553</v>
      </c>
      <c r="AE26">
        <f>IF($G26="s-curve",$E26+($F26-$E26)*$I$2/(1+EXP($I$3*(COUNT($I$9:AE$9)+$I$4))),TREND($E26:$F26,$E$9:$F$9,AE$9))</f>
        <v>0.29802375741500553</v>
      </c>
      <c r="AF26">
        <f>IF($G26="s-curve",$E26+($F26-$E26)*$I$2/(1+EXP($I$3*(COUNT($I$9:AF$9)+$I$4))),TREND($E26:$F26,$E$9:$F$9,AF$9))</f>
        <v>0.29802375741500553</v>
      </c>
      <c r="AG26">
        <f>IF($G26="s-curve",$E26+($F26-$E26)*$I$2/(1+EXP($I$3*(COUNT($I$9:AG$9)+$I$4))),TREND($E26:$F26,$E$9:$F$9,AG$9))</f>
        <v>0.29802375741500553</v>
      </c>
      <c r="AH26">
        <f>IF($G26="s-curve",$E26+($F26-$E26)*$I$2/(1+EXP($I$3*(COUNT($I$9:AH$9)+$I$4))),TREND($E26:$F26,$E$9:$F$9,AH$9))</f>
        <v>0.29802375741500553</v>
      </c>
      <c r="AI26">
        <f>IF($G26="s-curve",$E26+($F26-$E26)*$I$2/(1+EXP($I$3*(COUNT($I$9:AI$9)+$I$4))),TREND($E26:$F26,$E$9:$F$9,AI$9))</f>
        <v>0.29802375741500553</v>
      </c>
      <c r="AJ26">
        <f>IF($G26="s-curve",$E26+($F26-$E26)*$I$2/(1+EXP($I$3*(COUNT($I$9:AJ$9)+$I$4))),TREND($E26:$F26,$E$9:$F$9,AJ$9))</f>
        <v>0.29802375741500553</v>
      </c>
      <c r="AK26">
        <f>IF($G26="s-curve",$E26+($F26-$E26)*$I$2/(1+EXP($I$3*(COUNT($I$9:AK$9)+$I$4))),TREND($E26:$F26,$E$9:$F$9,AK$9))</f>
        <v>0.29802375741500553</v>
      </c>
      <c r="AL26">
        <f>IF($G26="s-curve",$E26+($F26-$E26)*$I$2/(1+EXP($I$3*(COUNT($I$9:AL$9)+$I$4))),TREND($E26:$F26,$E$9:$F$9,AL$9))</f>
        <v>0.29802375741500553</v>
      </c>
    </row>
    <row r="27" spans="1:38" x14ac:dyDescent="0.25">
      <c r="C27" t="s">
        <v>4</v>
      </c>
      <c r="E27">
        <v>2</v>
      </c>
      <c r="F27">
        <v>2</v>
      </c>
      <c r="G27" s="7" t="str">
        <f>IF(E27=F27,"n/a",IF(OR(C27="battery electric vehicle",C27="natural gas vehicle",C27="plugin hybrid vehicle"),"s-curve","linear"))</f>
        <v>n/a</v>
      </c>
      <c r="I27" s="22">
        <f t="shared" si="1"/>
        <v>2</v>
      </c>
      <c r="J27">
        <f>IF($G27="s-curve",$E27+($F27-$E27)*$I$2/(1+EXP($I$3*(COUNT($I$9:J$9)+$I$4))),TREND($E27:$F27,$E$9:$F$9,J$9))</f>
        <v>2</v>
      </c>
      <c r="K27">
        <f>IF($G27="s-curve",$E27+($F27-$E27)*$I$2/(1+EXP($I$3*(COUNT($I$9:K$9)+$I$4))),TREND($E27:$F27,$E$9:$F$9,K$9))</f>
        <v>2</v>
      </c>
      <c r="L27">
        <f>IF($G27="s-curve",$E27+($F27-$E27)*$I$2/(1+EXP($I$3*(COUNT($I$9:L$9)+$I$4))),TREND($E27:$F27,$E$9:$F$9,L$9))</f>
        <v>2</v>
      </c>
      <c r="M27">
        <f>IF($G27="s-curve",$E27+($F27-$E27)*$I$2/(1+EXP($I$3*(COUNT($I$9:M$9)+$I$4))),TREND($E27:$F27,$E$9:$F$9,M$9))</f>
        <v>2</v>
      </c>
      <c r="N27">
        <f>IF($G27="s-curve",$E27+($F27-$E27)*$I$2/(1+EXP($I$3*(COUNT($I$9:N$9)+$I$4))),TREND($E27:$F27,$E$9:$F$9,N$9))</f>
        <v>2</v>
      </c>
      <c r="O27">
        <f>IF($G27="s-curve",$E27+($F27-$E27)*$I$2/(1+EXP($I$3*(COUNT($I$9:O$9)+$I$4))),TREND($E27:$F27,$E$9:$F$9,O$9))</f>
        <v>2</v>
      </c>
      <c r="P27">
        <f>IF($G27="s-curve",$E27+($F27-$E27)*$I$2/(1+EXP($I$3*(COUNT($I$9:P$9)+$I$4))),TREND($E27:$F27,$E$9:$F$9,P$9))</f>
        <v>2</v>
      </c>
      <c r="Q27">
        <f>IF($G27="s-curve",$E27+($F27-$E27)*$I$2/(1+EXP($I$3*(COUNT($I$9:Q$9)+$I$4))),TREND($E27:$F27,$E$9:$F$9,Q$9))</f>
        <v>2</v>
      </c>
      <c r="R27">
        <f>IF($G27="s-curve",$E27+($F27-$E27)*$I$2/(1+EXP($I$3*(COUNT($I$9:R$9)+$I$4))),TREND($E27:$F27,$E$9:$F$9,R$9))</f>
        <v>2</v>
      </c>
      <c r="S27">
        <f>IF($G27="s-curve",$E27+($F27-$E27)*$I$2/(1+EXP($I$3*(COUNT($I$9:S$9)+$I$4))),TREND($E27:$F27,$E$9:$F$9,S$9))</f>
        <v>2</v>
      </c>
      <c r="T27">
        <f>IF($G27="s-curve",$E27+($F27-$E27)*$I$2/(1+EXP($I$3*(COUNT($I$9:T$9)+$I$4))),TREND($E27:$F27,$E$9:$F$9,T$9))</f>
        <v>2</v>
      </c>
      <c r="U27">
        <f>IF($G27="s-curve",$E27+($F27-$E27)*$I$2/(1+EXP($I$3*(COUNT($I$9:U$9)+$I$4))),TREND($E27:$F27,$E$9:$F$9,U$9))</f>
        <v>2</v>
      </c>
      <c r="V27">
        <f>IF($G27="s-curve",$E27+($F27-$E27)*$I$2/(1+EXP($I$3*(COUNT($I$9:V$9)+$I$4))),TREND($E27:$F27,$E$9:$F$9,V$9))</f>
        <v>2</v>
      </c>
      <c r="W27">
        <f>IF($G27="s-curve",$E27+($F27-$E27)*$I$2/(1+EXP($I$3*(COUNT($I$9:W$9)+$I$4))),TREND($E27:$F27,$E$9:$F$9,W$9))</f>
        <v>2</v>
      </c>
      <c r="X27">
        <f>IF($G27="s-curve",$E27+($F27-$E27)*$I$2/(1+EXP($I$3*(COUNT($I$9:X$9)+$I$4))),TREND($E27:$F27,$E$9:$F$9,X$9))</f>
        <v>2</v>
      </c>
      <c r="Y27">
        <f>IF($G27="s-curve",$E27+($F27-$E27)*$I$2/(1+EXP($I$3*(COUNT($I$9:Y$9)+$I$4))),TREND($E27:$F27,$E$9:$F$9,Y$9))</f>
        <v>2</v>
      </c>
      <c r="Z27">
        <f>IF($G27="s-curve",$E27+($F27-$E27)*$I$2/(1+EXP($I$3*(COUNT($I$9:Z$9)+$I$4))),TREND($E27:$F27,$E$9:$F$9,Z$9))</f>
        <v>2</v>
      </c>
      <c r="AA27">
        <f>IF($G27="s-curve",$E27+($F27-$E27)*$I$2/(1+EXP($I$3*(COUNT($I$9:AA$9)+$I$4))),TREND($E27:$F27,$E$9:$F$9,AA$9))</f>
        <v>2</v>
      </c>
      <c r="AB27">
        <f>IF($G27="s-curve",$E27+($F27-$E27)*$I$2/(1+EXP($I$3*(COUNT($I$9:AB$9)+$I$4))),TREND($E27:$F27,$E$9:$F$9,AB$9))</f>
        <v>2</v>
      </c>
      <c r="AC27">
        <f>IF($G27="s-curve",$E27+($F27-$E27)*$I$2/(1+EXP($I$3*(COUNT($I$9:AC$9)+$I$4))),TREND($E27:$F27,$E$9:$F$9,AC$9))</f>
        <v>2</v>
      </c>
      <c r="AD27">
        <f>IF($G27="s-curve",$E27+($F27-$E27)*$I$2/(1+EXP($I$3*(COUNT($I$9:AD$9)+$I$4))),TREND($E27:$F27,$E$9:$F$9,AD$9))</f>
        <v>2</v>
      </c>
      <c r="AE27">
        <f>IF($G27="s-curve",$E27+($F27-$E27)*$I$2/(1+EXP($I$3*(COUNT($I$9:AE$9)+$I$4))),TREND($E27:$F27,$E$9:$F$9,AE$9))</f>
        <v>2</v>
      </c>
      <c r="AF27">
        <f>IF($G27="s-curve",$E27+($F27-$E27)*$I$2/(1+EXP($I$3*(COUNT($I$9:AF$9)+$I$4))),TREND($E27:$F27,$E$9:$F$9,AF$9))</f>
        <v>2</v>
      </c>
      <c r="AG27">
        <f>IF($G27="s-curve",$E27+($F27-$E27)*$I$2/(1+EXP($I$3*(COUNT($I$9:AG$9)+$I$4))),TREND($E27:$F27,$E$9:$F$9,AG$9))</f>
        <v>2</v>
      </c>
      <c r="AH27">
        <f>IF($G27="s-curve",$E27+($F27-$E27)*$I$2/(1+EXP($I$3*(COUNT($I$9:AH$9)+$I$4))),TREND($E27:$F27,$E$9:$F$9,AH$9))</f>
        <v>2</v>
      </c>
      <c r="AI27">
        <f>IF($G27="s-curve",$E27+($F27-$E27)*$I$2/(1+EXP($I$3*(COUNT($I$9:AI$9)+$I$4))),TREND($E27:$F27,$E$9:$F$9,AI$9))</f>
        <v>2</v>
      </c>
      <c r="AJ27">
        <f>IF($G27="s-curve",$E27+($F27-$E27)*$I$2/(1+EXP($I$3*(COUNT($I$9:AJ$9)+$I$4))),TREND($E27:$F27,$E$9:$F$9,AJ$9))</f>
        <v>2</v>
      </c>
      <c r="AK27">
        <f>IF($G27="s-curve",$E27+($F27-$E27)*$I$2/(1+EXP($I$3*(COUNT($I$9:AK$9)+$I$4))),TREND($E27:$F27,$E$9:$F$9,AK$9))</f>
        <v>2</v>
      </c>
      <c r="AL27">
        <f>IF($G27="s-curve",$E27+($F27-$E27)*$I$2/(1+EXP($I$3*(COUNT($I$9:AL$9)+$I$4))),TREND($E27:$F27,$E$9:$F$9,AL$9))</f>
        <v>2</v>
      </c>
    </row>
    <row r="28" spans="1:38" x14ac:dyDescent="0.25">
      <c r="C28" t="s">
        <v>5</v>
      </c>
      <c r="E28" s="22">
        <f>'SYVbT-passenger'!F3/SUM('SYVbT-passenger'!3:3)*3</f>
        <v>0</v>
      </c>
      <c r="F28" s="22">
        <f>F35*3</f>
        <v>6.0000000000000001E-3</v>
      </c>
      <c r="G28" s="7" t="str">
        <f>IF(E28=F28,"n/a",IF(OR(C28="battery electric vehicle",C28="natural gas vehicle",C28="plugin hybrid vehicle"),"s-curve","linear"))</f>
        <v>s-curve</v>
      </c>
      <c r="I28" s="22">
        <f t="shared" si="1"/>
        <v>0</v>
      </c>
      <c r="J28">
        <f>IF($G28="s-curve",$E28+($F28-$E28)*$I$2/(1+EXP($I$3*(COUNT($I$9:J$9)+$I$4))),TREND($E28:$F28,$E$9:$F$9,J$9))</f>
        <v>8.8644190159638335E-5</v>
      </c>
      <c r="K28">
        <f>IF($G28="s-curve",$E28+($F28-$E28)*$I$2/(1+EXP($I$3*(COUNT($I$9:K$9)+$I$4))),TREND($E28:$F28,$E$9:$F$9,K$9))</f>
        <v>1.1904183440446507E-4</v>
      </c>
      <c r="L28">
        <f>IF($G28="s-curve",$E28+($F28-$E28)*$I$2/(1+EXP($I$3*(COUNT($I$9:L$9)+$I$4))),TREND($E28:$F28,$E$9:$F$9,L$9))</f>
        <v>1.5958196146119519E-4</v>
      </c>
      <c r="M28">
        <f>IF($G28="s-curve",$E28+($F28-$E28)*$I$2/(1+EXP($I$3*(COUNT($I$9:M$9)+$I$4))),TREND($E28:$F28,$E$9:$F$9,M$9))</f>
        <v>2.1342713563581709E-4</v>
      </c>
      <c r="N28">
        <f>IF($G28="s-curve",$E28+($F28-$E28)*$I$2/(1+EXP($I$3*(COUNT($I$9:N$9)+$I$4))),TREND($E28:$F28,$E$9:$F$9,N$9))</f>
        <v>2.845552390654007E-4</v>
      </c>
      <c r="O28">
        <f>IF($G28="s-curve",$E28+($F28-$E28)*$I$2/(1+EXP($I$3*(COUNT($I$9:O$9)+$I$4))),TREND($E28:$F28,$E$9:$F$9,O$9))</f>
        <v>3.7784013634197905E-4</v>
      </c>
      <c r="P28">
        <f>IF($G28="s-curve",$E28+($F28-$E28)*$I$2/(1+EXP($I$3*(COUNT($I$9:P$9)+$I$4))),TREND($E28:$F28,$E$9:$F$9,P$9))</f>
        <v>4.9903617896353422E-4</v>
      </c>
      <c r="Q28">
        <f>IF($G28="s-curve",$E28+($F28-$E28)*$I$2/(1+EXP($I$3*(COUNT($I$9:Q$9)+$I$4))),TREND($E28:$F28,$E$9:$F$9,Q$9))</f>
        <v>6.5458092717367755E-4</v>
      </c>
      <c r="R28">
        <f>IF($G28="s-curve",$E28+($F28-$E28)*$I$2/(1+EXP($I$3*(COUNT($I$9:R$9)+$I$4))),TREND($E28:$F28,$E$9:$F$9,R$9))</f>
        <v>8.5110638940292692E-4</v>
      </c>
      <c r="S28">
        <f>IF($G28="s-curve",$E28+($F28-$E28)*$I$2/(1+EXP($I$3*(COUNT($I$9:S$9)+$I$4))),TREND($E28:$F28,$E$9:$F$9,S$9))</f>
        <v>1.0945531428381381E-3</v>
      </c>
      <c r="T28">
        <f>IF($G28="s-curve",$E28+($F28-$E28)*$I$2/(1+EXP($I$3*(COUNT($I$9:T$9)+$I$4))),TREND($E28:$F28,$E$9:$F$9,T$9))</f>
        <v>1.3888512990058942E-3</v>
      </c>
      <c r="U28">
        <f>IF($G28="s-curve",$E28+($F28-$E28)*$I$2/(1+EXP($I$3*(COUNT($I$9:U$9)+$I$4))),TREND($E28:$F28,$E$9:$F$9,U$9))</f>
        <v>1.7343029842499763E-3</v>
      </c>
      <c r="V28">
        <f>IF($G28="s-curve",$E28+($F28-$E28)*$I$2/(1+EXP($I$3*(COUNT($I$9:V$9)+$I$4))),TREND($E28:$F28,$E$9:$F$9,V$9))</f>
        <v>2.1260621626452273E-3</v>
      </c>
      <c r="W28">
        <f>IF($G28="s-curve",$E28+($F28-$E28)*$I$2/(1+EXP($I$3*(COUNT($I$9:W$9)+$I$4))),TREND($E28:$F28,$E$9:$F$9,W$9))</f>
        <v>2.553344899130046E-3</v>
      </c>
      <c r="X28">
        <f>IF($G28="s-curve",$E28+($F28-$E28)*$I$2/(1+EXP($I$3*(COUNT($I$9:X$9)+$I$4))),TREND($E28:$F28,$E$9:$F$9,X$9))</f>
        <v>3.0000000000000001E-3</v>
      </c>
      <c r="Y28">
        <f>IF($G28="s-curve",$E28+($F28-$E28)*$I$2/(1+EXP($I$3*(COUNT($I$9:Y$9)+$I$4))),TREND($E28:$F28,$E$9:$F$9,Y$9))</f>
        <v>3.4466551008699542E-3</v>
      </c>
      <c r="Z28">
        <f>IF($G28="s-curve",$E28+($F28-$E28)*$I$2/(1+EXP($I$3*(COUNT($I$9:Z$9)+$I$4))),TREND($E28:$F28,$E$9:$F$9,Z$9))</f>
        <v>3.8739378373547728E-3</v>
      </c>
      <c r="AA28">
        <f>IF($G28="s-curve",$E28+($F28-$E28)*$I$2/(1+EXP($I$3*(COUNT($I$9:AA$9)+$I$4))),TREND($E28:$F28,$E$9:$F$9,AA$9))</f>
        <v>4.2656970157500234E-3</v>
      </c>
      <c r="AB28">
        <f>IF($G28="s-curve",$E28+($F28-$E28)*$I$2/(1+EXP($I$3*(COUNT($I$9:AB$9)+$I$4))),TREND($E28:$F28,$E$9:$F$9,AB$9))</f>
        <v>4.6111487009941055E-3</v>
      </c>
      <c r="AC28">
        <f>IF($G28="s-curve",$E28+($F28-$E28)*$I$2/(1+EXP($I$3*(COUNT($I$9:AC$9)+$I$4))),TREND($E28:$F28,$E$9:$F$9,AC$9))</f>
        <v>4.9054468571618614E-3</v>
      </c>
      <c r="AD28">
        <f>IF($G28="s-curve",$E28+($F28-$E28)*$I$2/(1+EXP($I$3*(COUNT($I$9:AD$9)+$I$4))),TREND($E28:$F28,$E$9:$F$9,AD$9))</f>
        <v>5.1488936105970736E-3</v>
      </c>
      <c r="AE28">
        <f>IF($G28="s-curve",$E28+($F28-$E28)*$I$2/(1+EXP($I$3*(COUNT($I$9:AE$9)+$I$4))),TREND($E28:$F28,$E$9:$F$9,AE$9))</f>
        <v>5.3454190728263228E-3</v>
      </c>
      <c r="AF28">
        <f>IF($G28="s-curve",$E28+($F28-$E28)*$I$2/(1+EXP($I$3*(COUNT($I$9:AF$9)+$I$4))),TREND($E28:$F28,$E$9:$F$9,AF$9))</f>
        <v>5.5009638210364665E-3</v>
      </c>
      <c r="AG28">
        <f>IF($G28="s-curve",$E28+($F28-$E28)*$I$2/(1+EXP($I$3*(COUNT($I$9:AG$9)+$I$4))),TREND($E28:$F28,$E$9:$F$9,AG$9))</f>
        <v>5.6221598636580217E-3</v>
      </c>
      <c r="AH28">
        <f>IF($G28="s-curve",$E28+($F28-$E28)*$I$2/(1+EXP($I$3*(COUNT($I$9:AH$9)+$I$4))),TREND($E28:$F28,$E$9:$F$9,AH$9))</f>
        <v>5.7154447609346001E-3</v>
      </c>
      <c r="AI28">
        <f>IF($G28="s-curve",$E28+($F28-$E28)*$I$2/(1+EXP($I$3*(COUNT($I$9:AI$9)+$I$4))),TREND($E28:$F28,$E$9:$F$9,AI$9))</f>
        <v>5.7865728643641829E-3</v>
      </c>
      <c r="AJ28">
        <f>IF($G28="s-curve",$E28+($F28-$E28)*$I$2/(1+EXP($I$3*(COUNT($I$9:AJ$9)+$I$4))),TREND($E28:$F28,$E$9:$F$9,AJ$9))</f>
        <v>5.840418038538805E-3</v>
      </c>
      <c r="AK28">
        <f>IF($G28="s-curve",$E28+($F28-$E28)*$I$2/(1+EXP($I$3*(COUNT($I$9:AK$9)+$I$4))),TREND($E28:$F28,$E$9:$F$9,AK$9))</f>
        <v>5.880958165595535E-3</v>
      </c>
      <c r="AL28">
        <f>IF($G28="s-curve",$E28+($F28-$E28)*$I$2/(1+EXP($I$3*(COUNT($I$9:AL$9)+$I$4))),TREND($E28:$F28,$E$9:$F$9,AL$9))</f>
        <v>5.9113558098403615E-3</v>
      </c>
    </row>
    <row r="29" spans="1:38" x14ac:dyDescent="0.25">
      <c r="C29" t="s">
        <v>120</v>
      </c>
      <c r="E29" s="22">
        <f>'SYVbT-passenger'!G3/SUM('SYVbT-passenger'!3:3)*3</f>
        <v>2.1496445375763083E-2</v>
      </c>
      <c r="F29" s="22">
        <f>F36*($E$29/$E$36)*3</f>
        <v>0.53425472287359943</v>
      </c>
      <c r="G29" s="7" t="str">
        <f>IF(E29=F29,"n/a",IF(OR(C29="battery electric vehicle",C29="natural gas vehicle",C29="plugin hybrid vehicle",C29="hydrogen vehicle"),"s-curve","linear"))</f>
        <v>linear</v>
      </c>
      <c r="I29" s="22">
        <f t="shared" si="1"/>
        <v>2.1496445375763083E-2</v>
      </c>
      <c r="J29">
        <f>IF($G29="s-curve",$E29+($F29-$E29)*$I$2/(1+EXP($I$3*(COUNT($I$9:J$9)+$I$4))),TREND($E29:$F29,$E$9:$F$9,J$9))</f>
        <v>2.1496445375760231E-2</v>
      </c>
      <c r="K29">
        <f>IF($G29="s-curve",$E29+($F29-$E29)*$I$2/(1+EXP($I$3*(COUNT($I$9:K$9)+$I$4))),TREND($E29:$F29,$E$9:$F$9,K$9))</f>
        <v>3.9809241000682505E-2</v>
      </c>
      <c r="L29">
        <f>IF($G29="s-curve",$E29+($F29-$E29)*$I$2/(1+EXP($I$3*(COUNT($I$9:L$9)+$I$4))),TREND($E29:$F29,$E$9:$F$9,L$9))</f>
        <v>5.8122036625604778E-2</v>
      </c>
      <c r="M29">
        <f>IF($G29="s-curve",$E29+($F29-$E29)*$I$2/(1+EXP($I$3*(COUNT($I$9:M$9)+$I$4))),TREND($E29:$F29,$E$9:$F$9,M$9))</f>
        <v>7.6434832250534157E-2</v>
      </c>
      <c r="N29">
        <f>IF($G29="s-curve",$E29+($F29-$E29)*$I$2/(1+EXP($I$3*(COUNT($I$9:N$9)+$I$4))),TREND($E29:$F29,$E$9:$F$9,N$9))</f>
        <v>9.4747627875456431E-2</v>
      </c>
      <c r="O29">
        <f>IF($G29="s-curve",$E29+($F29-$E29)*$I$2/(1+EXP($I$3*(COUNT($I$9:O$9)+$I$4))),TREND($E29:$F29,$E$9:$F$9,O$9))</f>
        <v>0.1130604235003787</v>
      </c>
      <c r="P29">
        <f>IF($G29="s-curve",$E29+($F29-$E29)*$I$2/(1+EXP($I$3*(COUNT($I$9:P$9)+$I$4))),TREND($E29:$F29,$E$9:$F$9,P$9))</f>
        <v>0.13137321912530098</v>
      </c>
      <c r="Q29">
        <f>IF($G29="s-curve",$E29+($F29-$E29)*$I$2/(1+EXP($I$3*(COUNT($I$9:Q$9)+$I$4))),TREND($E29:$F29,$E$9:$F$9,Q$9))</f>
        <v>0.14968601475022325</v>
      </c>
      <c r="R29">
        <f>IF($G29="s-curve",$E29+($F29-$E29)*$I$2/(1+EXP($I$3*(COUNT($I$9:R$9)+$I$4))),TREND($E29:$F29,$E$9:$F$9,R$9))</f>
        <v>0.16799881037514552</v>
      </c>
      <c r="S29">
        <f>IF($G29="s-curve",$E29+($F29-$E29)*$I$2/(1+EXP($I$3*(COUNT($I$9:S$9)+$I$4))),TREND($E29:$F29,$E$9:$F$9,S$9))</f>
        <v>0.1863116060000678</v>
      </c>
      <c r="T29">
        <f>IF($G29="s-curve",$E29+($F29-$E29)*$I$2/(1+EXP($I$3*(COUNT($I$9:T$9)+$I$4))),TREND($E29:$F29,$E$9:$F$9,T$9))</f>
        <v>0.20462440162499007</v>
      </c>
      <c r="U29">
        <f>IF($G29="s-curve",$E29+($F29-$E29)*$I$2/(1+EXP($I$3*(COUNT($I$9:U$9)+$I$4))),TREND($E29:$F29,$E$9:$F$9,U$9))</f>
        <v>0.22293719724991234</v>
      </c>
      <c r="V29">
        <f>IF($G29="s-curve",$E29+($F29-$E29)*$I$2/(1+EXP($I$3*(COUNT($I$9:V$9)+$I$4))),TREND($E29:$F29,$E$9:$F$9,V$9))</f>
        <v>0.24124999287483462</v>
      </c>
      <c r="W29">
        <f>IF($G29="s-curve",$E29+($F29-$E29)*$I$2/(1+EXP($I$3*(COUNT($I$9:W$9)+$I$4))),TREND($E29:$F29,$E$9:$F$9,W$9))</f>
        <v>0.25956278849975689</v>
      </c>
      <c r="X29">
        <f>IF($G29="s-curve",$E29+($F29-$E29)*$I$2/(1+EXP($I$3*(COUNT($I$9:X$9)+$I$4))),TREND($E29:$F29,$E$9:$F$9,X$9))</f>
        <v>0.27787558412467916</v>
      </c>
      <c r="Y29">
        <f>IF($G29="s-curve",$E29+($F29-$E29)*$I$2/(1+EXP($I$3*(COUNT($I$9:Y$9)+$I$4))),TREND($E29:$F29,$E$9:$F$9,Y$9))</f>
        <v>0.29618837974960144</v>
      </c>
      <c r="Z29">
        <f>IF($G29="s-curve",$E29+($F29-$E29)*$I$2/(1+EXP($I$3*(COUNT($I$9:Z$9)+$I$4))),TREND($E29:$F29,$E$9:$F$9,Z$9))</f>
        <v>0.31450117537452371</v>
      </c>
      <c r="AA29">
        <f>IF($G29="s-curve",$E29+($F29-$E29)*$I$2/(1+EXP($I$3*(COUNT($I$9:AA$9)+$I$4))),TREND($E29:$F29,$E$9:$F$9,AA$9))</f>
        <v>0.33281397099944598</v>
      </c>
      <c r="AB29">
        <f>IF($G29="s-curve",$E29+($F29-$E29)*$I$2/(1+EXP($I$3*(COUNT($I$9:AB$9)+$I$4))),TREND($E29:$F29,$E$9:$F$9,AB$9))</f>
        <v>0.35112676662436826</v>
      </c>
      <c r="AC29">
        <f>IF($G29="s-curve",$E29+($F29-$E29)*$I$2/(1+EXP($I$3*(COUNT($I$9:AC$9)+$I$4))),TREND($E29:$F29,$E$9:$F$9,AC$9))</f>
        <v>0.36943956224929764</v>
      </c>
      <c r="AD29">
        <f>IF($G29="s-curve",$E29+($F29-$E29)*$I$2/(1+EXP($I$3*(COUNT($I$9:AD$9)+$I$4))),TREND($E29:$F29,$E$9:$F$9,AD$9))</f>
        <v>0.38775235787421991</v>
      </c>
      <c r="AE29">
        <f>IF($G29="s-curve",$E29+($F29-$E29)*$I$2/(1+EXP($I$3*(COUNT($I$9:AE$9)+$I$4))),TREND($E29:$F29,$E$9:$F$9,AE$9))</f>
        <v>0.40606515349914218</v>
      </c>
      <c r="AF29">
        <f>IF($G29="s-curve",$E29+($F29-$E29)*$I$2/(1+EXP($I$3*(COUNT($I$9:AF$9)+$I$4))),TREND($E29:$F29,$E$9:$F$9,AF$9))</f>
        <v>0.42437794912406446</v>
      </c>
      <c r="AG29">
        <f>IF($G29="s-curve",$E29+($F29-$E29)*$I$2/(1+EXP($I$3*(COUNT($I$9:AG$9)+$I$4))),TREND($E29:$F29,$E$9:$F$9,AG$9))</f>
        <v>0.44269074474898673</v>
      </c>
      <c r="AH29">
        <f>IF($G29="s-curve",$E29+($F29-$E29)*$I$2/(1+EXP($I$3*(COUNT($I$9:AH$9)+$I$4))),TREND($E29:$F29,$E$9:$F$9,AH$9))</f>
        <v>0.461003540373909</v>
      </c>
      <c r="AI29">
        <f>IF($G29="s-curve",$E29+($F29-$E29)*$I$2/(1+EXP($I$3*(COUNT($I$9:AI$9)+$I$4))),TREND($E29:$F29,$E$9:$F$9,AI$9))</f>
        <v>0.47931633599883128</v>
      </c>
      <c r="AJ29">
        <f>IF($G29="s-curve",$E29+($F29-$E29)*$I$2/(1+EXP($I$3*(COUNT($I$9:AJ$9)+$I$4))),TREND($E29:$F29,$E$9:$F$9,AJ$9))</f>
        <v>0.49762913162375355</v>
      </c>
      <c r="AK29">
        <f>IF($G29="s-curve",$E29+($F29-$E29)*$I$2/(1+EXP($I$3*(COUNT($I$9:AK$9)+$I$4))),TREND($E29:$F29,$E$9:$F$9,AK$9))</f>
        <v>0.51594192724867582</v>
      </c>
      <c r="AL29">
        <f>IF($G29="s-curve",$E29+($F29-$E29)*$I$2/(1+EXP($I$3*(COUNT($I$9:AL$9)+$I$4))),TREND($E29:$F29,$E$9:$F$9,AL$9))</f>
        <v>0.5342547228735981</v>
      </c>
    </row>
    <row r="30" spans="1:38" ht="15.75" thickBot="1" x14ac:dyDescent="0.3">
      <c r="A30" s="23"/>
      <c r="B30" s="23"/>
      <c r="C30" s="23" t="s">
        <v>121</v>
      </c>
      <c r="D30" s="23"/>
      <c r="E30" s="26">
        <f>'SYVbT-passenger'!H3/SUM('SYVbT-passenger'!3:3)</f>
        <v>8.470448323552864E-5</v>
      </c>
      <c r="F30" s="26">
        <v>0.05</v>
      </c>
      <c r="G30" s="8" t="str">
        <f>IF(E30=F30,"n/a",IF(OR(C30="battery electric vehicle",C30="natural gas vehicle",C30="plugin hybrid vehicle",C30="hydrogen vehicle"),"s-curve","linear"))</f>
        <v>s-curve</v>
      </c>
      <c r="I30" s="22">
        <f t="shared" si="1"/>
        <v>8.470448323552864E-5</v>
      </c>
      <c r="J30">
        <f>IF($G30="s-curve",$E30+($F30-$E30)*$I$2/(1+EXP($I$3*(COUNT($I$9:J$9)+$I$4))),TREND($E30:$F30,$E$9:$F$9,J$9))</f>
        <v>8.2215464117929744E-4</v>
      </c>
      <c r="K30">
        <f>IF($G30="s-curve",$E30+($F30-$E30)*$I$2/(1+EXP($I$3*(COUNT($I$9:K$9)+$I$4))),TREND($E30:$F30,$E$9:$F$9,K$9))</f>
        <v>1.0750392070949643E-3</v>
      </c>
      <c r="L30">
        <f>IF($G30="s-curve",$E30+($F30-$E30)*$I$2/(1+EXP($I$3*(COUNT($I$9:L$9)+$I$4))),TREND($E30:$F30,$E$9:$F$9,L$9))</f>
        <v>1.4123012774822749E-3</v>
      </c>
      <c r="M30">
        <f>IF($G30="s-curve",$E30+($F30-$E30)*$I$2/(1+EXP($I$3*(COUNT($I$9:M$9)+$I$4))),TREND($E30:$F30,$E$9:$F$9,M$9))</f>
        <v>1.860250907661926E-3</v>
      </c>
      <c r="N30">
        <f>IF($G30="s-curve",$E30+($F30-$E30)*$I$2/(1+EXP($I$3*(COUNT($I$9:N$9)+$I$4))),TREND($E30:$F30,$E$9:$F$9,N$9))</f>
        <v>2.4519809580343683E-3</v>
      </c>
      <c r="O30">
        <f>IF($G30="s-curve",$E30+($F30-$E30)*$I$2/(1+EXP($I$3*(COUNT($I$9:O$9)+$I$4))),TREND($E30:$F30,$E$9:$F$9,O$9))</f>
        <v>3.2280381605029394E-3</v>
      </c>
      <c r="P30">
        <f>IF($G30="s-curve",$E30+($F30-$E30)*$I$2/(1+EXP($I$3*(COUNT($I$9:P$9)+$I$4))),TREND($E30:$F30,$E$9:$F$9,P$9))</f>
        <v>4.2362942076558247E-3</v>
      </c>
      <c r="Q30">
        <f>IF($G30="s-curve",$E30+($F30-$E30)*$I$2/(1+EXP($I$3*(COUNT($I$9:Q$9)+$I$4))),TREND($E30:$F30,$E$9:$F$9,Q$9))</f>
        <v>5.530304553154162E-3</v>
      </c>
      <c r="R30">
        <f>IF($G30="s-curve",$E30+($F30-$E30)*$I$2/(1+EXP($I$3*(COUNT($I$9:R$9)+$I$4))),TREND($E30:$F30,$E$9:$F$9,R$9))</f>
        <v>7.1652423071111148E-3</v>
      </c>
      <c r="S30">
        <f>IF($G30="s-curve",$E30+($F30-$E30)*$I$2/(1+EXP($I$3*(COUNT($I$9:S$9)+$I$4))),TREND($E30:$F30,$E$9:$F$9,S$9))</f>
        <v>9.1905284138303605E-3</v>
      </c>
      <c r="T30">
        <f>IF($G30="s-curve",$E30+($F30-$E30)*$I$2/(1+EXP($I$3*(COUNT($I$9:T$9)+$I$4))),TREND($E30:$F30,$E$9:$F$9,T$9))</f>
        <v>1.1638858319689102E-2</v>
      </c>
      <c r="U30">
        <f>IF($G30="s-curve",$E30+($F30-$E30)*$I$2/(1+EXP($I$3*(COUNT($I$9:U$9)+$I$4))),TREND($E30:$F30,$E$9:$F$9,U$9))</f>
        <v>1.4512745478976212E-2</v>
      </c>
      <c r="V30">
        <f>IF($G30="s-curve",$E30+($F30-$E30)*$I$2/(1+EXP($I$3*(COUNT($I$9:V$9)+$I$4))),TREND($E30:$F30,$E$9:$F$9,V$9))</f>
        <v>1.7771874672476845E-2</v>
      </c>
      <c r="W30">
        <f>IF($G30="s-curve",$E30+($F30-$E30)*$I$2/(1+EXP($I$3*(COUNT($I$9:W$9)+$I$4))),TREND($E30:$F30,$E$9:$F$9,W$9))</f>
        <v>2.1326532015952099E-2</v>
      </c>
      <c r="X30">
        <f>IF($G30="s-curve",$E30+($F30-$E30)*$I$2/(1+EXP($I$3*(COUNT($I$9:X$9)+$I$4))),TREND($E30:$F30,$E$9:$F$9,X$9))</f>
        <v>2.5042352241617768E-2</v>
      </c>
      <c r="Y30">
        <f>IF($G30="s-curve",$E30+($F30-$E30)*$I$2/(1+EXP($I$3*(COUNT($I$9:Y$9)+$I$4))),TREND($E30:$F30,$E$9:$F$9,Y$9))</f>
        <v>2.8758172467283436E-2</v>
      </c>
      <c r="Z30">
        <f>IF($G30="s-curve",$E30+($F30-$E30)*$I$2/(1+EXP($I$3*(COUNT($I$9:Z$9)+$I$4))),TREND($E30:$F30,$E$9:$F$9,Z$9))</f>
        <v>3.2312829810758684E-2</v>
      </c>
      <c r="AA30">
        <f>IF($G30="s-curve",$E30+($F30-$E30)*$I$2/(1+EXP($I$3*(COUNT($I$9:AA$9)+$I$4))),TREND($E30:$F30,$E$9:$F$9,AA$9))</f>
        <v>3.5571959004259315E-2</v>
      </c>
      <c r="AB30">
        <f>IF($G30="s-curve",$E30+($F30-$E30)*$I$2/(1+EXP($I$3*(COUNT($I$9:AB$9)+$I$4))),TREND($E30:$F30,$E$9:$F$9,AB$9))</f>
        <v>3.8445846163546425E-2</v>
      </c>
      <c r="AC30">
        <f>IF($G30="s-curve",$E30+($F30-$E30)*$I$2/(1+EXP($I$3*(COUNT($I$9:AC$9)+$I$4))),TREND($E30:$F30,$E$9:$F$9,AC$9))</f>
        <v>4.0894176069405173E-2</v>
      </c>
      <c r="AD30">
        <f>IF($G30="s-curve",$E30+($F30-$E30)*$I$2/(1+EXP($I$3*(COUNT($I$9:AD$9)+$I$4))),TREND($E30:$F30,$E$9:$F$9,AD$9))</f>
        <v>4.2919462176124419E-2</v>
      </c>
      <c r="AE30">
        <f>IF($G30="s-curve",$E30+($F30-$E30)*$I$2/(1+EXP($I$3*(COUNT($I$9:AE$9)+$I$4))),TREND($E30:$F30,$E$9:$F$9,AE$9))</f>
        <v>4.4554399930081368E-2</v>
      </c>
      <c r="AF30">
        <f>IF($G30="s-curve",$E30+($F30-$E30)*$I$2/(1+EXP($I$3*(COUNT($I$9:AF$9)+$I$4))),TREND($E30:$F30,$E$9:$F$9,AF$9))</f>
        <v>4.5848410275579711E-2</v>
      </c>
      <c r="AG30">
        <f>IF($G30="s-curve",$E30+($F30-$E30)*$I$2/(1+EXP($I$3*(COUNT($I$9:AG$9)+$I$4))),TREND($E30:$F30,$E$9:$F$9,AG$9))</f>
        <v>4.6856666322732596E-2</v>
      </c>
      <c r="AH30">
        <f>IF($G30="s-curve",$E30+($F30-$E30)*$I$2/(1+EXP($I$3*(COUNT($I$9:AH$9)+$I$4))),TREND($E30:$F30,$E$9:$F$9,AH$9))</f>
        <v>4.7632723525201169E-2</v>
      </c>
      <c r="AI30">
        <f>IF($G30="s-curve",$E30+($F30-$E30)*$I$2/(1+EXP($I$3*(COUNT($I$9:AI$9)+$I$4))),TREND($E30:$F30,$E$9:$F$9,AI$9))</f>
        <v>4.822445357557361E-2</v>
      </c>
      <c r="AJ30">
        <f>IF($G30="s-curve",$E30+($F30-$E30)*$I$2/(1+EXP($I$3*(COUNT($I$9:AJ$9)+$I$4))),TREND($E30:$F30,$E$9:$F$9,AJ$9))</f>
        <v>4.8672403205753251E-2</v>
      </c>
      <c r="AK30">
        <f>IF($G30="s-curve",$E30+($F30-$E30)*$I$2/(1+EXP($I$3*(COUNT($I$9:AK$9)+$I$4))),TREND($E30:$F30,$E$9:$F$9,AK$9))</f>
        <v>4.900966527614057E-2</v>
      </c>
      <c r="AL30">
        <f>IF($G30="s-curve",$E30+($F30-$E30)*$I$2/(1+EXP($I$3*(COUNT($I$9:AL$9)+$I$4))),TREND($E30:$F30,$E$9:$F$9,AL$9))</f>
        <v>4.9262549842056233E-2</v>
      </c>
    </row>
    <row r="31" spans="1:38" x14ac:dyDescent="0.25">
      <c r="A31" t="s">
        <v>13</v>
      </c>
      <c r="B31" t="s">
        <v>18</v>
      </c>
      <c r="C31" t="s">
        <v>1</v>
      </c>
      <c r="E31" s="22">
        <v>0.15</v>
      </c>
      <c r="F31" s="22">
        <v>1</v>
      </c>
      <c r="G31" s="7" t="str">
        <f>IF(E31=F31,"n/a",IF(OR(C31="battery electric vehicle",C31="natural gas vehicle",C31="plugin hybrid vehicle"),"s-curve","linear"))</f>
        <v>s-curve</v>
      </c>
      <c r="I31" s="22">
        <f>E31</f>
        <v>0.15</v>
      </c>
      <c r="J31">
        <f>IF($G31="s-curve",$E31+($F31-$E31)*$R$2/(1+EXP($R$3*(COUNT(J$9:$K$9)+$R$4))),TREND($E31:$F31,$E$9:$F$9,J$9))</f>
        <v>0.15127600491822643</v>
      </c>
      <c r="K31">
        <f>IF($G31="s-curve",$E31+($F31-$E31)*$R$2/(1+EXP($R$3*(COUNT($K$9:K$9)+$R$4))),TREND($E31:$F31,$E$9:$F$9,K$9))</f>
        <v>0.15077439351524055</v>
      </c>
      <c r="L31">
        <f>IF($G31="s-curve",$E31+($F31-$E31)*$R$2/(1+EXP($R$3*(COUNT($K$9:L$9)+$R$4))),TREND($E31:$F31,$E$9:$F$9,L$9))</f>
        <v>0.15127600491822643</v>
      </c>
      <c r="M31">
        <f>IF($G31="s-curve",$E31+($F31-$E31)*$R$2/(1+EXP($R$3*(COUNT($K$9:M$9)+$R$4))),TREND($E31:$F31,$E$9:$F$9,M$9))</f>
        <v>0.15210172968313956</v>
      </c>
      <c r="N31">
        <f>IF($G31="s-curve",$E31+($F31-$E31)*$R$2/(1+EXP($R$3*(COUNT($K$9:N$9)+$R$4))),TREND($E31:$F31,$E$9:$F$9,N$9))</f>
        <v>0.15345961705851172</v>
      </c>
      <c r="O31">
        <f>IF($G31="s-curve",$E31+($F31-$E31)*$R$2/(1+EXP($R$3*(COUNT($K$9:O$9)+$R$4))),TREND($E31:$F31,$E$9:$F$9,O$9))</f>
        <v>0.15568892328564213</v>
      </c>
      <c r="P31">
        <f>IF($G31="s-curve",$E31+($F31-$E31)*$R$2/(1+EXP($R$3*(COUNT($K$9:P$9)+$R$4))),TREND($E31:$F31,$E$9:$F$9,P$9))</f>
        <v>0.15933890123600419</v>
      </c>
      <c r="Q31">
        <f>IF($G31="s-curve",$E31+($F31-$E31)*$R$2/(1+EXP($R$3*(COUNT($K$9:Q$9)+$R$4))),TREND($E31:$F31,$E$9:$F$9,Q$9))</f>
        <v>0.16528827846777783</v>
      </c>
      <c r="R31">
        <f>IF($G31="s-curve",$E31+($F31-$E31)*$R$2/(1+EXP($R$3*(COUNT($K$9:R$9)+$R$4))),TREND($E31:$F31,$E$9:$F$9,R$9))</f>
        <v>0.17491539613865287</v>
      </c>
      <c r="S31">
        <f>IF($G31="s-curve",$E31+($F31-$E31)*$R$2/(1+EXP($R$3*(COUNT($K$9:S$9)+$R$4))),TREND($E31:$F31,$E$9:$F$9,S$9))</f>
        <v>0.19031199220093176</v>
      </c>
      <c r="T31">
        <f>IF($G31="s-curve",$E31+($F31-$E31)*$R$2/(1+EXP($R$3*(COUNT($K$9:T$9)+$R$4))),TREND($E31:$F31,$E$9:$F$9,T$9))</f>
        <v>0.21447945301805701</v>
      </c>
      <c r="U31">
        <f>IF($G31="s-curve",$E31+($F31-$E31)*$R$2/(1+EXP($R$3*(COUNT($K$9:U$9)+$R$4))),TREND($E31:$F31,$E$9:$F$9,U$9))</f>
        <v>0.25132248371879989</v>
      </c>
      <c r="V31">
        <f>IF($G31="s-curve",$E31+($F31-$E31)*$R$2/(1+EXP($R$3*(COUNT($K$9:V$9)+$R$4))),TREND($E31:$F31,$E$9:$F$9,V$9))</f>
        <v>0.30506169523540289</v>
      </c>
      <c r="W31">
        <f>IF($G31="s-curve",$E31+($F31-$E31)*$R$2/(1+EXP($R$3*(COUNT($K$9:W$9)+$R$4))),TREND($E31:$F31,$E$9:$F$9,W$9))</f>
        <v>0.37860020816449586</v>
      </c>
      <c r="X31">
        <f>IF($G31="s-curve",$E31+($F31-$E31)*$R$2/(1+EXP($R$3*(COUNT($K$9:X$9)+$R$4))),TREND($E31:$F31,$E$9:$F$9,X$9))</f>
        <v>0.47090956847842358</v>
      </c>
      <c r="Y31">
        <f>IF($G31="s-curve",$E31+($F31-$E31)*$R$2/(1+EXP($R$3*(COUNT($K$9:Y$9)+$R$4))),TREND($E31:$F31,$E$9:$F$9,Y$9))</f>
        <v>0.57499999999999996</v>
      </c>
      <c r="Z31">
        <f>IF($G31="s-curve",$E31+($F31-$E31)*$R$2/(1+EXP($R$3*(COUNT($K$9:Z$9)+$R$4))),TREND($E31:$F31,$E$9:$F$9,Z$9))</f>
        <v>0.67909043152157644</v>
      </c>
      <c r="AA31">
        <f>IF($G31="s-curve",$E31+($F31-$E31)*$R$2/(1+EXP($R$3*(COUNT($K$9:AA$9)+$R$4))),TREND($E31:$F31,$E$9:$F$9,AA$9))</f>
        <v>0.77139979183550411</v>
      </c>
      <c r="AB31">
        <f>IF($G31="s-curve",$E31+($F31-$E31)*$R$2/(1+EXP($R$3*(COUNT($K$9:AB$9)+$R$4))),TREND($E31:$F31,$E$9:$F$9,AB$9))</f>
        <v>0.84493830476459708</v>
      </c>
      <c r="AC31">
        <f>IF($G31="s-curve",$E31+($F31-$E31)*$R$2/(1+EXP($R$3*(COUNT($K$9:AC$9)+$R$4))),TREND($E31:$F31,$E$9:$F$9,AC$9))</f>
        <v>0.89867751628119996</v>
      </c>
      <c r="AD31">
        <f>IF($G31="s-curve",$E31+($F31-$E31)*$R$2/(1+EXP($R$3*(COUNT($K$9:AD$9)+$R$4))),TREND($E31:$F31,$E$9:$F$9,AD$9))</f>
        <v>0.93552054698194298</v>
      </c>
      <c r="AE31">
        <f>IF($G31="s-curve",$E31+($F31-$E31)*$R$2/(1+EXP($R$3*(COUNT($K$9:AE$9)+$R$4))),TREND($E31:$F31,$E$9:$F$9,AE$9))</f>
        <v>0.95968800779906827</v>
      </c>
      <c r="AF31">
        <f>IF($G31="s-curve",$E31+($F31-$E31)*$R$2/(1+EXP($R$3*(COUNT($K$9:AF$9)+$R$4))),TREND($E31:$F31,$E$9:$F$9,AF$9))</f>
        <v>0.9750846038613471</v>
      </c>
      <c r="AG31">
        <f>IF($G31="s-curve",$E31+($F31-$E31)*$R$2/(1+EXP($R$3*(COUNT($K$9:AG$9)+$R$4))),TREND($E31:$F31,$E$9:$F$9,AG$9))</f>
        <v>0.9847117215322222</v>
      </c>
      <c r="AH31">
        <f>IF($G31="s-curve",$E31+($F31-$E31)*$R$2/(1+EXP($R$3*(COUNT($K$9:AH$9)+$R$4))),TREND($E31:$F31,$E$9:$F$9,AH$9))</f>
        <v>0.99066109876399588</v>
      </c>
      <c r="AI31">
        <f>IF($G31="s-curve",$E31+($F31-$E31)*$R$2/(1+EXP($R$3*(COUNT($K$9:AI$9)+$R$4))),TREND($E31:$F31,$E$9:$F$9,AI$9))</f>
        <v>0.99431107671435792</v>
      </c>
      <c r="AJ31">
        <f>IF($G31="s-curve",$E31+($F31-$E31)*$R$2/(1+EXP($R$3*(COUNT($K$9:AJ$9)+$R$4))),TREND($E31:$F31,$E$9:$F$9,AJ$9))</f>
        <v>0.99654038294148828</v>
      </c>
      <c r="AK31">
        <f>IF($G31="s-curve",$E31+($F31-$E31)*$R$2/(1+EXP($R$3*(COUNT($K$9:AK$9)+$R$4))),TREND($E31:$F31,$E$9:$F$9,AK$9))</f>
        <v>0.99789827031686051</v>
      </c>
      <c r="AL31">
        <f>IF($G31="s-curve",$E31+($F31-$E31)*$R$2/(1+EXP($R$3*(COUNT($K$9:AL$9)+$R$4))),TREND($E31:$F31,$E$9:$F$9,AL$9))</f>
        <v>0.99872399508177356</v>
      </c>
    </row>
    <row r="32" spans="1:38" x14ac:dyDescent="0.25">
      <c r="C32" t="s">
        <v>2</v>
      </c>
      <c r="E32" s="22">
        <f>SUM(INDEX('AEO 49'!$208:$208,MATCH(E$9,'AEO 49'!$1:$1,0)),INDEX('AEO 49'!$219:$219,MATCH(E$9,'AEO 49'!$1:$1,0)),INDEX('AEO 49'!$230:$230,MATCH(E$9,'AEO 49'!$1:$1,0)))/INDEX('AEO 49'!$237:$237,MATCH(E$9,'AEO 49'!$1:$1,0))</f>
        <v>6.3356010705258418E-3</v>
      </c>
      <c r="F32" s="22">
        <f>SUM(INDEX('AEO 49'!$208:$208,MATCH(F$9,'AEO 49'!$1:$1,0)),INDEX('AEO 49'!$219:$219,MATCH(F$9,'AEO 49'!$1:$1,0)),INDEX('AEO 49'!$230:$230,MATCH(F$9,'AEO 49'!$1:$1,0)))*Assumptions!A2/INDEX('AEO 49'!$237:$237,MATCH(F$9,'AEO 49'!$1:$1,0))</f>
        <v>5.2833798144577476E-2</v>
      </c>
      <c r="G32" s="7" t="str">
        <f>IF(E32=F32,"n/a",IF(OR(C32="battery electric vehicle",C32="natural gas vehicle",C32="plugin hybrid vehicle"),"s-curve","linear"))</f>
        <v>s-curve</v>
      </c>
      <c r="I32" s="22">
        <f t="shared" si="1"/>
        <v>6.3356010705258418E-3</v>
      </c>
      <c r="J32">
        <f>IF($G32="s-curve",$E32+($F32-$E32)*$I$2/(1+EXP($I$3*(COUNT($I$9:J$9)+$I$4))),TREND($E32:$F32,$E$9:$F$9,J$9))</f>
        <v>7.0225669077779371E-3</v>
      </c>
      <c r="K32">
        <f>IF($G32="s-curve",$E32+($F32-$E32)*$I$2/(1+EXP($I$3*(COUNT($I$9:K$9)+$I$4))),TREND($E32:$F32,$E$9:$F$9,K$9))</f>
        <v>7.2581395165584144E-3</v>
      </c>
      <c r="L32">
        <f>IF($G32="s-curve",$E32+($F32-$E32)*$I$2/(1+EXP($I$3*(COUNT($I$9:L$9)+$I$4))),TREND($E32:$F32,$E$9:$F$9,L$9))</f>
        <v>7.5723133194402362E-3</v>
      </c>
      <c r="M32">
        <f>IF($G32="s-curve",$E32+($F32-$E32)*$I$2/(1+EXP($I$3*(COUNT($I$9:M$9)+$I$4))),TREND($E32:$F32,$E$9:$F$9,M$9))</f>
        <v>7.9895972394832711E-3</v>
      </c>
      <c r="N32">
        <f>IF($G32="s-curve",$E32+($F32-$E32)*$I$2/(1+EXP($I$3*(COUNT($I$9:N$9)+$I$4))),TREND($E32:$F32,$E$9:$F$9,N$9))</f>
        <v>8.5408186679453209E-3</v>
      </c>
      <c r="O32">
        <f>IF($G32="s-curve",$E32+($F32-$E32)*$I$2/(1+EXP($I$3*(COUNT($I$9:O$9)+$I$4))),TREND($E32:$F32,$E$9:$F$9,O$9))</f>
        <v>9.263748590878489E-3</v>
      </c>
      <c r="P32">
        <f>IF($G32="s-curve",$E32+($F32-$E32)*$I$2/(1+EXP($I$3*(COUNT($I$9:P$9)+$I$4))),TREND($E32:$F32,$E$9:$F$9,P$9))</f>
        <v>1.0202981503280528E-2</v>
      </c>
      <c r="Q32">
        <f>IF($G32="s-curve",$E32+($F32-$E32)*$I$2/(1+EXP($I$3*(COUNT($I$9:Q$9)+$I$4))),TREND($E32:$F32,$E$9:$F$9,Q$9))</f>
        <v>1.1408406562632024E-2</v>
      </c>
      <c r="R32">
        <f>IF($G32="s-curve",$E32+($F32-$E32)*$I$2/(1+EXP($I$3*(COUNT($I$9:R$9)+$I$4))),TREND($E32:$F32,$E$9:$F$9,R$9))</f>
        <v>1.2931419841432812E-2</v>
      </c>
      <c r="S32">
        <f>IF($G32="s-curve",$E32+($F32-$E32)*$I$2/(1+EXP($I$3*(COUNT($I$9:S$9)+$I$4))),TREND($E32:$F32,$E$9:$F$9,S$9))</f>
        <v>1.4818059027810897E-2</v>
      </c>
      <c r="T32">
        <f>IF($G32="s-curve",$E32+($F32-$E32)*$I$2/(1+EXP($I$3*(COUNT($I$9:T$9)+$I$4))),TREND($E32:$F32,$E$9:$F$9,T$9))</f>
        <v>1.709878130514729E-2</v>
      </c>
      <c r="U32">
        <f>IF($G32="s-curve",$E32+($F32-$E32)*$I$2/(1+EXP($I$3*(COUNT($I$9:U$9)+$I$4))),TREND($E32:$F32,$E$9:$F$9,U$9))</f>
        <v>1.9775928061821053E-2</v>
      </c>
      <c r="V32">
        <f>IF($G32="s-curve",$E32+($F32-$E32)*$I$2/(1+EXP($I$3*(COUNT($I$9:V$9)+$I$4))),TREND($E32:$F32,$E$9:$F$9,V$9))</f>
        <v>2.2811943975586207E-2</v>
      </c>
      <c r="W32">
        <f>IF($G32="s-curve",$E32+($F32-$E32)*$I$2/(1+EXP($I$3*(COUNT($I$9:W$9)+$I$4))),TREND($E32:$F32,$E$9:$F$9,W$9))</f>
        <v>2.6123256790154734E-2</v>
      </c>
      <c r="X32">
        <f>IF($G32="s-curve",$E32+($F32-$E32)*$I$2/(1+EXP($I$3*(COUNT($I$9:X$9)+$I$4))),TREND($E32:$F32,$E$9:$F$9,X$9))</f>
        <v>2.9584699607551657E-2</v>
      </c>
      <c r="Y32">
        <f>IF($G32="s-curve",$E32+($F32-$E32)*$I$2/(1+EXP($I$3*(COUNT($I$9:Y$9)+$I$4))),TREND($E32:$F32,$E$9:$F$9,Y$9))</f>
        <v>3.3046142424948577E-2</v>
      </c>
      <c r="Z32">
        <f>IF($G32="s-curve",$E32+($F32-$E32)*$I$2/(1+EXP($I$3*(COUNT($I$9:Z$9)+$I$4))),TREND($E32:$F32,$E$9:$F$9,Z$9))</f>
        <v>3.6357455239517111E-2</v>
      </c>
      <c r="AA32">
        <f>IF($G32="s-curve",$E32+($F32-$E32)*$I$2/(1+EXP($I$3*(COUNT($I$9:AA$9)+$I$4))),TREND($E32:$F32,$E$9:$F$9,AA$9))</f>
        <v>3.9393471153282261E-2</v>
      </c>
      <c r="AB32">
        <f>IF($G32="s-curve",$E32+($F32-$E32)*$I$2/(1+EXP($I$3*(COUNT($I$9:AB$9)+$I$4))),TREND($E32:$F32,$E$9:$F$9,AB$9))</f>
        <v>4.2070617909956018E-2</v>
      </c>
      <c r="AC32">
        <f>IF($G32="s-curve",$E32+($F32-$E32)*$I$2/(1+EXP($I$3*(COUNT($I$9:AC$9)+$I$4))),TREND($E32:$F32,$E$9:$F$9,AC$9))</f>
        <v>4.4351340187292421E-2</v>
      </c>
      <c r="AD32">
        <f>IF($G32="s-curve",$E32+($F32-$E32)*$I$2/(1+EXP($I$3*(COUNT($I$9:AD$9)+$I$4))),TREND($E32:$F32,$E$9:$F$9,AD$9))</f>
        <v>4.623797937367051E-2</v>
      </c>
      <c r="AE32">
        <f>IF($G32="s-curve",$E32+($F32-$E32)*$I$2/(1+EXP($I$3*(COUNT($I$9:AE$9)+$I$4))),TREND($E32:$F32,$E$9:$F$9,AE$9))</f>
        <v>4.7760992652471287E-2</v>
      </c>
      <c r="AF32">
        <f>IF($G32="s-curve",$E32+($F32-$E32)*$I$2/(1+EXP($I$3*(COUNT($I$9:AF$9)+$I$4))),TREND($E32:$F32,$E$9:$F$9,AF$9))</f>
        <v>4.8966417711822793E-2</v>
      </c>
      <c r="AG32">
        <f>IF($G32="s-curve",$E32+($F32-$E32)*$I$2/(1+EXP($I$3*(COUNT($I$9:AG$9)+$I$4))),TREND($E32:$F32,$E$9:$F$9,AG$9))</f>
        <v>4.9905650624224834E-2</v>
      </c>
      <c r="AH32">
        <f>IF($G32="s-curve",$E32+($F32-$E32)*$I$2/(1+EXP($I$3*(COUNT($I$9:AH$9)+$I$4))),TREND($E32:$F32,$E$9:$F$9,AH$9))</f>
        <v>5.0628580547157992E-2</v>
      </c>
      <c r="AI32">
        <f>IF($G32="s-curve",$E32+($F32-$E32)*$I$2/(1+EXP($I$3*(COUNT($I$9:AI$9)+$I$4))),TREND($E32:$F32,$E$9:$F$9,AI$9))</f>
        <v>5.117980197562004E-2</v>
      </c>
      <c r="AJ32">
        <f>IF($G32="s-curve",$E32+($F32-$E32)*$I$2/(1+EXP($I$3*(COUNT($I$9:AJ$9)+$I$4))),TREND($E32:$F32,$E$9:$F$9,AJ$9))</f>
        <v>5.1597085895663072E-2</v>
      </c>
      <c r="AK32">
        <f>IF($G32="s-curve",$E32+($F32-$E32)*$I$2/(1+EXP($I$3*(COUNT($I$9:AK$9)+$I$4))),TREND($E32:$F32,$E$9:$F$9,AK$9))</f>
        <v>5.1911259698544904E-2</v>
      </c>
      <c r="AL32">
        <f>IF($G32="s-curve",$E32+($F32-$E32)*$I$2/(1+EXP($I$3*(COUNT($I$9:AL$9)+$I$4))),TREND($E32:$F32,$E$9:$F$9,AL$9))</f>
        <v>5.2146832307325378E-2</v>
      </c>
    </row>
    <row r="33" spans="1:38" x14ac:dyDescent="0.25">
      <c r="C33" t="s">
        <v>3</v>
      </c>
      <c r="E33" s="22">
        <v>0</v>
      </c>
      <c r="F33" s="22">
        <v>0</v>
      </c>
      <c r="G33" s="7" t="str">
        <f>IF(E33=F33,"n/a",IF(OR(C33="battery electric vehicle",C33="natural gas vehicle",C33="plugin hybrid vehicle"),"s-curve","linear"))</f>
        <v>n/a</v>
      </c>
      <c r="I33" s="22">
        <f t="shared" si="1"/>
        <v>0</v>
      </c>
      <c r="J33">
        <f>IF($G33="s-curve",$E33+($F33-$E33)*$I$2/(1+EXP($I$3*(COUNT($I$9:J$9)+$I$4))),TREND($E33:$F33,$E$9:$F$9,J$9))</f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  <c r="AJ33">
        <f>IF($G33="s-curve",$E33+($F33-$E33)*$I$2/(1+EXP($I$3*(COUNT($I$9:AJ$9)+$I$4))),TREND($E33:$F33,$E$9:$F$9,AJ$9))</f>
        <v>0</v>
      </c>
      <c r="AK33">
        <f>IF($G33="s-curve",$E33+($F33-$E33)*$I$2/(1+EXP($I$3*(COUNT($I$9:AK$9)+$I$4))),TREND($E33:$F33,$E$9:$F$9,AK$9))</f>
        <v>0</v>
      </c>
      <c r="AL33">
        <f>IF($G33="s-curve",$E33+($F33-$E33)*$I$2/(1+EXP($I$3*(COUNT($I$9:AL$9)+$I$4))),TREND($E33:$F33,$E$9:$F$9,AL$9))</f>
        <v>0</v>
      </c>
    </row>
    <row r="34" spans="1:38" x14ac:dyDescent="0.25">
      <c r="C34" t="s">
        <v>4</v>
      </c>
      <c r="E34">
        <v>3</v>
      </c>
      <c r="F34">
        <v>3</v>
      </c>
      <c r="G34" s="7" t="str">
        <f>IF(E34=F34,"n/a",IF(OR(C34="battery electric vehicle",C34="natural gas vehicle",C34="plugin hybrid vehicle"),"s-curve","linear"))</f>
        <v>n/a</v>
      </c>
      <c r="I34" s="22">
        <f t="shared" si="1"/>
        <v>3</v>
      </c>
      <c r="J34">
        <f>IF($G34="s-curve",$E34+($F34-$E34)*$I$2/(1+EXP($I$3*(COUNT($I$9:J$9)+$I$4))),TREND($E34:$F34,$E$9:$F$9,J$9))</f>
        <v>3</v>
      </c>
      <c r="K34">
        <f>IF($G34="s-curve",$E34+($F34-$E34)*$I$2/(1+EXP($I$3*(COUNT($I$9:K$9)+$I$4))),TREND($E34:$F34,$E$9:$F$9,K$9))</f>
        <v>3</v>
      </c>
      <c r="L34">
        <f>IF($G34="s-curve",$E34+($F34-$E34)*$I$2/(1+EXP($I$3*(COUNT($I$9:L$9)+$I$4))),TREND($E34:$F34,$E$9:$F$9,L$9))</f>
        <v>3</v>
      </c>
      <c r="M34">
        <f>IF($G34="s-curve",$E34+($F34-$E34)*$I$2/(1+EXP($I$3*(COUNT($I$9:M$9)+$I$4))),TREND($E34:$F34,$E$9:$F$9,M$9))</f>
        <v>3</v>
      </c>
      <c r="N34">
        <f>IF($G34="s-curve",$E34+($F34-$E34)*$I$2/(1+EXP($I$3*(COUNT($I$9:N$9)+$I$4))),TREND($E34:$F34,$E$9:$F$9,N$9))</f>
        <v>3</v>
      </c>
      <c r="O34">
        <f>IF($G34="s-curve",$E34+($F34-$E34)*$I$2/(1+EXP($I$3*(COUNT($I$9:O$9)+$I$4))),TREND($E34:$F34,$E$9:$F$9,O$9))</f>
        <v>3</v>
      </c>
      <c r="P34">
        <f>IF($G34="s-curve",$E34+($F34-$E34)*$I$2/(1+EXP($I$3*(COUNT($I$9:P$9)+$I$4))),TREND($E34:$F34,$E$9:$F$9,P$9))</f>
        <v>3</v>
      </c>
      <c r="Q34">
        <f>IF($G34="s-curve",$E34+($F34-$E34)*$I$2/(1+EXP($I$3*(COUNT($I$9:Q$9)+$I$4))),TREND($E34:$F34,$E$9:$F$9,Q$9))</f>
        <v>3</v>
      </c>
      <c r="R34">
        <f>IF($G34="s-curve",$E34+($F34-$E34)*$I$2/(1+EXP($I$3*(COUNT($I$9:R$9)+$I$4))),TREND($E34:$F34,$E$9:$F$9,R$9))</f>
        <v>3</v>
      </c>
      <c r="S34">
        <f>IF($G34="s-curve",$E34+($F34-$E34)*$I$2/(1+EXP($I$3*(COUNT($I$9:S$9)+$I$4))),TREND($E34:$F34,$E$9:$F$9,S$9))</f>
        <v>3</v>
      </c>
      <c r="T34">
        <f>IF($G34="s-curve",$E34+($F34-$E34)*$I$2/(1+EXP($I$3*(COUNT($I$9:T$9)+$I$4))),TREND($E34:$F34,$E$9:$F$9,T$9))</f>
        <v>3</v>
      </c>
      <c r="U34">
        <f>IF($G34="s-curve",$E34+($F34-$E34)*$I$2/(1+EXP($I$3*(COUNT($I$9:U$9)+$I$4))),TREND($E34:$F34,$E$9:$F$9,U$9))</f>
        <v>3</v>
      </c>
      <c r="V34">
        <f>IF($G34="s-curve",$E34+($F34-$E34)*$I$2/(1+EXP($I$3*(COUNT($I$9:V$9)+$I$4))),TREND($E34:$F34,$E$9:$F$9,V$9))</f>
        <v>3</v>
      </c>
      <c r="W34">
        <f>IF($G34="s-curve",$E34+($F34-$E34)*$I$2/(1+EXP($I$3*(COUNT($I$9:W$9)+$I$4))),TREND($E34:$F34,$E$9:$F$9,W$9))</f>
        <v>3</v>
      </c>
      <c r="X34">
        <f>IF($G34="s-curve",$E34+($F34-$E34)*$I$2/(1+EXP($I$3*(COUNT($I$9:X$9)+$I$4))),TREND($E34:$F34,$E$9:$F$9,X$9))</f>
        <v>3</v>
      </c>
      <c r="Y34">
        <f>IF($G34="s-curve",$E34+($F34-$E34)*$I$2/(1+EXP($I$3*(COUNT($I$9:Y$9)+$I$4))),TREND($E34:$F34,$E$9:$F$9,Y$9))</f>
        <v>3</v>
      </c>
      <c r="Z34">
        <f>IF($G34="s-curve",$E34+($F34-$E34)*$I$2/(1+EXP($I$3*(COUNT($I$9:Z$9)+$I$4))),TREND($E34:$F34,$E$9:$F$9,Z$9))</f>
        <v>3</v>
      </c>
      <c r="AA34">
        <f>IF($G34="s-curve",$E34+($F34-$E34)*$I$2/(1+EXP($I$3*(COUNT($I$9:AA$9)+$I$4))),TREND($E34:$F34,$E$9:$F$9,AA$9))</f>
        <v>3</v>
      </c>
      <c r="AB34">
        <f>IF($G34="s-curve",$E34+($F34-$E34)*$I$2/(1+EXP($I$3*(COUNT($I$9:AB$9)+$I$4))),TREND($E34:$F34,$E$9:$F$9,AB$9))</f>
        <v>3</v>
      </c>
      <c r="AC34">
        <f>IF($G34="s-curve",$E34+($F34-$E34)*$I$2/(1+EXP($I$3*(COUNT($I$9:AC$9)+$I$4))),TREND($E34:$F34,$E$9:$F$9,AC$9))</f>
        <v>3</v>
      </c>
      <c r="AD34">
        <f>IF($G34="s-curve",$E34+($F34-$E34)*$I$2/(1+EXP($I$3*(COUNT($I$9:AD$9)+$I$4))),TREND($E34:$F34,$E$9:$F$9,AD$9))</f>
        <v>3</v>
      </c>
      <c r="AE34">
        <f>IF($G34="s-curve",$E34+($F34-$E34)*$I$2/(1+EXP($I$3*(COUNT($I$9:AE$9)+$I$4))),TREND($E34:$F34,$E$9:$F$9,AE$9))</f>
        <v>3</v>
      </c>
      <c r="AF34">
        <f>IF($G34="s-curve",$E34+($F34-$E34)*$I$2/(1+EXP($I$3*(COUNT($I$9:AF$9)+$I$4))),TREND($E34:$F34,$E$9:$F$9,AF$9))</f>
        <v>3</v>
      </c>
      <c r="AG34">
        <f>IF($G34="s-curve",$E34+($F34-$E34)*$I$2/(1+EXP($I$3*(COUNT($I$9:AG$9)+$I$4))),TREND($E34:$F34,$E$9:$F$9,AG$9))</f>
        <v>3</v>
      </c>
      <c r="AH34">
        <f>IF($G34="s-curve",$E34+($F34-$E34)*$I$2/(1+EXP($I$3*(COUNT($I$9:AH$9)+$I$4))),TREND($E34:$F34,$E$9:$F$9,AH$9))</f>
        <v>3</v>
      </c>
      <c r="AI34">
        <f>IF($G34="s-curve",$E34+($F34-$E34)*$I$2/(1+EXP($I$3*(COUNT($I$9:AI$9)+$I$4))),TREND($E34:$F34,$E$9:$F$9,AI$9))</f>
        <v>3</v>
      </c>
      <c r="AJ34">
        <f>IF($G34="s-curve",$E34+($F34-$E34)*$I$2/(1+EXP($I$3*(COUNT($I$9:AJ$9)+$I$4))),TREND($E34:$F34,$E$9:$F$9,AJ$9))</f>
        <v>3</v>
      </c>
      <c r="AK34">
        <f>IF($G34="s-curve",$E34+($F34-$E34)*$I$2/(1+EXP($I$3*(COUNT($I$9:AK$9)+$I$4))),TREND($E34:$F34,$E$9:$F$9,AK$9))</f>
        <v>3</v>
      </c>
      <c r="AL34">
        <f>IF($G34="s-curve",$E34+($F34-$E34)*$I$2/(1+EXP($I$3*(COUNT($I$9:AL$9)+$I$4))),TREND($E34:$F34,$E$9:$F$9,AL$9))</f>
        <v>3</v>
      </c>
    </row>
    <row r="35" spans="1:38" x14ac:dyDescent="0.25">
      <c r="C35" t="s">
        <v>5</v>
      </c>
      <c r="E35" s="22">
        <v>2E-3</v>
      </c>
      <c r="F35" s="22">
        <v>2E-3</v>
      </c>
      <c r="G35" s="7" t="str">
        <f>IF(E35=F35,"n/a",IF(OR(C35="battery electric vehicle",C35="natural gas vehicle",C35="plugin hybrid vehicle"),"s-curve","linear"))</f>
        <v>n/a</v>
      </c>
      <c r="I35" s="22">
        <f t="shared" si="1"/>
        <v>2E-3</v>
      </c>
      <c r="J35">
        <f>IF($G35="s-curve",$E35+($F35-$E35)*$I$2/(1+EXP($I$3*(COUNT($I$9:J$9)+$I$4))),TREND($E35:$F35,$E$9:$F$9,J$9))</f>
        <v>2E-3</v>
      </c>
      <c r="K35">
        <f>IF($G35="s-curve",$E35+($F35-$E35)*$I$2/(1+EXP($I$3*(COUNT($I$9:K$9)+$I$4))),TREND($E35:$F35,$E$9:$F$9,K$9))</f>
        <v>2E-3</v>
      </c>
      <c r="L35">
        <f>IF($G35="s-curve",$E35+($F35-$E35)*$I$2/(1+EXP($I$3*(COUNT($I$9:L$9)+$I$4))),TREND($E35:$F35,$E$9:$F$9,L$9))</f>
        <v>2E-3</v>
      </c>
      <c r="M35">
        <f>IF($G35="s-curve",$E35+($F35-$E35)*$I$2/(1+EXP($I$3*(COUNT($I$9:M$9)+$I$4))),TREND($E35:$F35,$E$9:$F$9,M$9))</f>
        <v>2E-3</v>
      </c>
      <c r="N35">
        <f>IF($G35="s-curve",$E35+($F35-$E35)*$I$2/(1+EXP($I$3*(COUNT($I$9:N$9)+$I$4))),TREND($E35:$F35,$E$9:$F$9,N$9))</f>
        <v>2E-3</v>
      </c>
      <c r="O35">
        <f>IF($G35="s-curve",$E35+($F35-$E35)*$I$2/(1+EXP($I$3*(COUNT($I$9:O$9)+$I$4))),TREND($E35:$F35,$E$9:$F$9,O$9))</f>
        <v>2E-3</v>
      </c>
      <c r="P35">
        <f>IF($G35="s-curve",$E35+($F35-$E35)*$I$2/(1+EXP($I$3*(COUNT($I$9:P$9)+$I$4))),TREND($E35:$F35,$E$9:$F$9,P$9))</f>
        <v>2E-3</v>
      </c>
      <c r="Q35">
        <f>IF($G35="s-curve",$E35+($F35-$E35)*$I$2/(1+EXP($I$3*(COUNT($I$9:Q$9)+$I$4))),TREND($E35:$F35,$E$9:$F$9,Q$9))</f>
        <v>2E-3</v>
      </c>
      <c r="R35">
        <f>IF($G35="s-curve",$E35+($F35-$E35)*$I$2/(1+EXP($I$3*(COUNT($I$9:R$9)+$I$4))),TREND($E35:$F35,$E$9:$F$9,R$9))</f>
        <v>2E-3</v>
      </c>
      <c r="S35">
        <f>IF($G35="s-curve",$E35+($F35-$E35)*$I$2/(1+EXP($I$3*(COUNT($I$9:S$9)+$I$4))),TREND($E35:$F35,$E$9:$F$9,S$9))</f>
        <v>2E-3</v>
      </c>
      <c r="T35">
        <f>IF($G35="s-curve",$E35+($F35-$E35)*$I$2/(1+EXP($I$3*(COUNT($I$9:T$9)+$I$4))),TREND($E35:$F35,$E$9:$F$9,T$9))</f>
        <v>2E-3</v>
      </c>
      <c r="U35">
        <f>IF($G35="s-curve",$E35+($F35-$E35)*$I$2/(1+EXP($I$3*(COUNT($I$9:U$9)+$I$4))),TREND($E35:$F35,$E$9:$F$9,U$9))</f>
        <v>2E-3</v>
      </c>
      <c r="V35">
        <f>IF($G35="s-curve",$E35+($F35-$E35)*$I$2/(1+EXP($I$3*(COUNT($I$9:V$9)+$I$4))),TREND($E35:$F35,$E$9:$F$9,V$9))</f>
        <v>2E-3</v>
      </c>
      <c r="W35">
        <f>IF($G35="s-curve",$E35+($F35-$E35)*$I$2/(1+EXP($I$3*(COUNT($I$9:W$9)+$I$4))),TREND($E35:$F35,$E$9:$F$9,W$9))</f>
        <v>2E-3</v>
      </c>
      <c r="X35">
        <f>IF($G35="s-curve",$E35+($F35-$E35)*$I$2/(1+EXP($I$3*(COUNT($I$9:X$9)+$I$4))),TREND($E35:$F35,$E$9:$F$9,X$9))</f>
        <v>2E-3</v>
      </c>
      <c r="Y35">
        <f>IF($G35="s-curve",$E35+($F35-$E35)*$I$2/(1+EXP($I$3*(COUNT($I$9:Y$9)+$I$4))),TREND($E35:$F35,$E$9:$F$9,Y$9))</f>
        <v>2E-3</v>
      </c>
      <c r="Z35">
        <f>IF($G35="s-curve",$E35+($F35-$E35)*$I$2/(1+EXP($I$3*(COUNT($I$9:Z$9)+$I$4))),TREND($E35:$F35,$E$9:$F$9,Z$9))</f>
        <v>2E-3</v>
      </c>
      <c r="AA35">
        <f>IF($G35="s-curve",$E35+($F35-$E35)*$I$2/(1+EXP($I$3*(COUNT($I$9:AA$9)+$I$4))),TREND($E35:$F35,$E$9:$F$9,AA$9))</f>
        <v>2E-3</v>
      </c>
      <c r="AB35">
        <f>IF($G35="s-curve",$E35+($F35-$E35)*$I$2/(1+EXP($I$3*(COUNT($I$9:AB$9)+$I$4))),TREND($E35:$F35,$E$9:$F$9,AB$9))</f>
        <v>2E-3</v>
      </c>
      <c r="AC35">
        <f>IF($G35="s-curve",$E35+($F35-$E35)*$I$2/(1+EXP($I$3*(COUNT($I$9:AC$9)+$I$4))),TREND($E35:$F35,$E$9:$F$9,AC$9))</f>
        <v>2E-3</v>
      </c>
      <c r="AD35">
        <f>IF($G35="s-curve",$E35+($F35-$E35)*$I$2/(1+EXP($I$3*(COUNT($I$9:AD$9)+$I$4))),TREND($E35:$F35,$E$9:$F$9,AD$9))</f>
        <v>2E-3</v>
      </c>
      <c r="AE35">
        <f>IF($G35="s-curve",$E35+($F35-$E35)*$I$2/(1+EXP($I$3*(COUNT($I$9:AE$9)+$I$4))),TREND($E35:$F35,$E$9:$F$9,AE$9))</f>
        <v>2E-3</v>
      </c>
      <c r="AF35">
        <f>IF($G35="s-curve",$E35+($F35-$E35)*$I$2/(1+EXP($I$3*(COUNT($I$9:AF$9)+$I$4))),TREND($E35:$F35,$E$9:$F$9,AF$9))</f>
        <v>2E-3</v>
      </c>
      <c r="AG35">
        <f>IF($G35="s-curve",$E35+($F35-$E35)*$I$2/(1+EXP($I$3*(COUNT($I$9:AG$9)+$I$4))),TREND($E35:$F35,$E$9:$F$9,AG$9))</f>
        <v>2E-3</v>
      </c>
      <c r="AH35">
        <f>IF($G35="s-curve",$E35+($F35-$E35)*$I$2/(1+EXP($I$3*(COUNT($I$9:AH$9)+$I$4))),TREND($E35:$F35,$E$9:$F$9,AH$9))</f>
        <v>2E-3</v>
      </c>
      <c r="AI35">
        <f>IF($G35="s-curve",$E35+($F35-$E35)*$I$2/(1+EXP($I$3*(COUNT($I$9:AI$9)+$I$4))),TREND($E35:$F35,$E$9:$F$9,AI$9))</f>
        <v>2E-3</v>
      </c>
      <c r="AJ35">
        <f>IF($G35="s-curve",$E35+($F35-$E35)*$I$2/(1+EXP($I$3*(COUNT($I$9:AJ$9)+$I$4))),TREND($E35:$F35,$E$9:$F$9,AJ$9))</f>
        <v>2E-3</v>
      </c>
      <c r="AK35">
        <f>IF($G35="s-curve",$E35+($F35-$E35)*$I$2/(1+EXP($I$3*(COUNT($I$9:AK$9)+$I$4))),TREND($E35:$F35,$E$9:$F$9,AK$9))</f>
        <v>2E-3</v>
      </c>
      <c r="AL35">
        <f>IF($G35="s-curve",$E35+($F35-$E35)*$I$2/(1+EXP($I$3*(COUNT($I$9:AL$9)+$I$4))),TREND($E35:$F35,$E$9:$F$9,AL$9))</f>
        <v>2E-3</v>
      </c>
    </row>
    <row r="36" spans="1:38" x14ac:dyDescent="0.25">
      <c r="C36" t="s">
        <v>120</v>
      </c>
      <c r="E36" s="22">
        <f>'SYVbT-freight'!G3/SUM('SYVbT-freight'!3:3)</f>
        <v>7.4581219585064093E-4</v>
      </c>
      <c r="F36" s="22">
        <f>SUM(SUM(INDEX('AEO 49'!136:136,0,MATCH(F$9,'AEO 49'!$1:$1,0))),SUM(INDEX('AEO 49'!147:147,0,MATCH(F$9,'AEO 49'!$1:$1,0))),SUM(INDEX('AEO 49'!158:158,0,MATCH(F$9,'AEO 49'!$1:$1,0))))/INDEX('AEO 49'!$166:$166,MATCH(F$9,'AEO 49'!$1:$1,0))*Assumptions!A11</f>
        <v>6.1785980743151968E-3</v>
      </c>
      <c r="G36" s="7" t="str">
        <f>IF(E36=F36,"n/a",IF(OR(C36="battery electric vehicle",C36="natural gas vehicle",C36="plugin hybrid vehicle",C36="hydrogen vehicle"),"s-curve","linear"))</f>
        <v>linear</v>
      </c>
      <c r="I36" s="22">
        <f t="shared" si="1"/>
        <v>7.4581219585064093E-4</v>
      </c>
      <c r="J36">
        <f>IF($G36="s-curve",$E36+($F36-$E36)*$I$2/(1+EXP($I$3*(COUNT($I$9:J$9)+$I$4))),TREND($E36:$F36,$E$9:$F$9,J$9))</f>
        <v>7.4581219585068137E-4</v>
      </c>
      <c r="K36">
        <f>IF($G36="s-curve",$E36+($F36-$E36)*$I$2/(1+EXP($I$3*(COUNT($I$9:K$9)+$I$4))),TREND($E36:$F36,$E$9:$F$9,K$9))</f>
        <v>9.3984026293869594E-4</v>
      </c>
      <c r="L36">
        <f>IF($G36="s-curve",$E36+($F36-$E36)*$I$2/(1+EXP($I$3*(COUNT($I$9:L$9)+$I$4))),TREND($E36:$F36,$E$9:$F$9,L$9))</f>
        <v>1.1338683300267105E-3</v>
      </c>
      <c r="M36">
        <f>IF($G36="s-curve",$E36+($F36-$E36)*$I$2/(1+EXP($I$3*(COUNT($I$9:M$9)+$I$4))),TREND($E36:$F36,$E$9:$F$9,M$9))</f>
        <v>1.3278963971147251E-3</v>
      </c>
      <c r="N36">
        <f>IF($G36="s-curve",$E36+($F36-$E36)*$I$2/(1+EXP($I$3*(COUNT($I$9:N$9)+$I$4))),TREND($E36:$F36,$E$9:$F$9,N$9))</f>
        <v>1.5219244642027396E-3</v>
      </c>
      <c r="O36">
        <f>IF($G36="s-curve",$E36+($F36-$E36)*$I$2/(1+EXP($I$3*(COUNT($I$9:O$9)+$I$4))),TREND($E36:$F36,$E$9:$F$9,O$9))</f>
        <v>1.7159525312907542E-3</v>
      </c>
      <c r="P36">
        <f>IF($G36="s-curve",$E36+($F36-$E36)*$I$2/(1+EXP($I$3*(COUNT($I$9:P$9)+$I$4))),TREND($E36:$F36,$E$9:$F$9,P$9))</f>
        <v>1.9099805983787688E-3</v>
      </c>
      <c r="Q36">
        <f>IF($G36="s-curve",$E36+($F36-$E36)*$I$2/(1+EXP($I$3*(COUNT($I$9:Q$9)+$I$4))),TREND($E36:$F36,$E$9:$F$9,Q$9))</f>
        <v>2.1040086654667833E-3</v>
      </c>
      <c r="R36">
        <f>IF($G36="s-curve",$E36+($F36-$E36)*$I$2/(1+EXP($I$3*(COUNT($I$9:R$9)+$I$4))),TREND($E36:$F36,$E$9:$F$9,R$9))</f>
        <v>2.2980367325547979E-3</v>
      </c>
      <c r="S36">
        <f>IF($G36="s-curve",$E36+($F36-$E36)*$I$2/(1+EXP($I$3*(COUNT($I$9:S$9)+$I$4))),TREND($E36:$F36,$E$9:$F$9,S$9))</f>
        <v>2.4920647996428125E-3</v>
      </c>
      <c r="T36">
        <f>IF($G36="s-curve",$E36+($F36-$E36)*$I$2/(1+EXP($I$3*(COUNT($I$9:T$9)+$I$4))),TREND($E36:$F36,$E$9:$F$9,T$9))</f>
        <v>2.686092866730827E-3</v>
      </c>
      <c r="U36">
        <f>IF($G36="s-curve",$E36+($F36-$E36)*$I$2/(1+EXP($I$3*(COUNT($I$9:U$9)+$I$4))),TREND($E36:$F36,$E$9:$F$9,U$9))</f>
        <v>2.8801209338188971E-3</v>
      </c>
      <c r="V36">
        <f>IF($G36="s-curve",$E36+($F36-$E36)*$I$2/(1+EXP($I$3*(COUNT($I$9:V$9)+$I$4))),TREND($E36:$F36,$E$9:$F$9,V$9))</f>
        <v>3.0741490009069117E-3</v>
      </c>
      <c r="W36">
        <f>IF($G36="s-curve",$E36+($F36-$E36)*$I$2/(1+EXP($I$3*(COUNT($I$9:W$9)+$I$4))),TREND($E36:$F36,$E$9:$F$9,W$9))</f>
        <v>3.2681770679949262E-3</v>
      </c>
      <c r="X36">
        <f>IF($G36="s-curve",$E36+($F36-$E36)*$I$2/(1+EXP($I$3*(COUNT($I$9:X$9)+$I$4))),TREND($E36:$F36,$E$9:$F$9,X$9))</f>
        <v>3.4622051350829408E-3</v>
      </c>
      <c r="Y36">
        <f>IF($G36="s-curve",$E36+($F36-$E36)*$I$2/(1+EXP($I$3*(COUNT($I$9:Y$9)+$I$4))),TREND($E36:$F36,$E$9:$F$9,Y$9))</f>
        <v>3.6562332021709554E-3</v>
      </c>
      <c r="Z36">
        <f>IF($G36="s-curve",$E36+($F36-$E36)*$I$2/(1+EXP($I$3*(COUNT($I$9:Z$9)+$I$4))),TREND($E36:$F36,$E$9:$F$9,Z$9))</f>
        <v>3.8502612692589699E-3</v>
      </c>
      <c r="AA36">
        <f>IF($G36="s-curve",$E36+($F36-$E36)*$I$2/(1+EXP($I$3*(COUNT($I$9:AA$9)+$I$4))),TREND($E36:$F36,$E$9:$F$9,AA$9))</f>
        <v>4.0442893363469845E-3</v>
      </c>
      <c r="AB36">
        <f>IF($G36="s-curve",$E36+($F36-$E36)*$I$2/(1+EXP($I$3*(COUNT($I$9:AB$9)+$I$4))),TREND($E36:$F36,$E$9:$F$9,AB$9))</f>
        <v>4.2383174034349991E-3</v>
      </c>
      <c r="AC36">
        <f>IF($G36="s-curve",$E36+($F36-$E36)*$I$2/(1+EXP($I$3*(COUNT($I$9:AC$9)+$I$4))),TREND($E36:$F36,$E$9:$F$9,AC$9))</f>
        <v>4.4323454705230136E-3</v>
      </c>
      <c r="AD36">
        <f>IF($G36="s-curve",$E36+($F36-$E36)*$I$2/(1+EXP($I$3*(COUNT($I$9:AD$9)+$I$4))),TREND($E36:$F36,$E$9:$F$9,AD$9))</f>
        <v>4.6263735376110282E-3</v>
      </c>
      <c r="AE36">
        <f>IF($G36="s-curve",$E36+($F36-$E36)*$I$2/(1+EXP($I$3*(COUNT($I$9:AE$9)+$I$4))),TREND($E36:$F36,$E$9:$F$9,AE$9))</f>
        <v>4.8204016046990983E-3</v>
      </c>
      <c r="AF36">
        <f>IF($G36="s-curve",$E36+($F36-$E36)*$I$2/(1+EXP($I$3*(COUNT($I$9:AF$9)+$I$4))),TREND($E36:$F36,$E$9:$F$9,AF$9))</f>
        <v>5.0144296717871129E-3</v>
      </c>
      <c r="AG36">
        <f>IF($G36="s-curve",$E36+($F36-$E36)*$I$2/(1+EXP($I$3*(COUNT($I$9:AG$9)+$I$4))),TREND($E36:$F36,$E$9:$F$9,AG$9))</f>
        <v>5.2084577388751274E-3</v>
      </c>
      <c r="AH36">
        <f>IF($G36="s-curve",$E36+($F36-$E36)*$I$2/(1+EXP($I$3*(COUNT($I$9:AH$9)+$I$4))),TREND($E36:$F36,$E$9:$F$9,AH$9))</f>
        <v>5.402485805963142E-3</v>
      </c>
      <c r="AI36">
        <f>IF($G36="s-curve",$E36+($F36-$E36)*$I$2/(1+EXP($I$3*(COUNT($I$9:AI$9)+$I$4))),TREND($E36:$F36,$E$9:$F$9,AI$9))</f>
        <v>5.5965138730511566E-3</v>
      </c>
      <c r="AJ36">
        <f>IF($G36="s-curve",$E36+($F36-$E36)*$I$2/(1+EXP($I$3*(COUNT($I$9:AJ$9)+$I$4))),TREND($E36:$F36,$E$9:$F$9,AJ$9))</f>
        <v>5.7905419401391711E-3</v>
      </c>
      <c r="AK36">
        <f>IF($G36="s-curve",$E36+($F36-$E36)*$I$2/(1+EXP($I$3*(COUNT($I$9:AK$9)+$I$4))),TREND($E36:$F36,$E$9:$F$9,AK$9))</f>
        <v>5.9845700072271857E-3</v>
      </c>
      <c r="AL36">
        <f>IF($G36="s-curve",$E36+($F36-$E36)*$I$2/(1+EXP($I$3*(COUNT($I$9:AL$9)+$I$4))),TREND($E36:$F36,$E$9:$F$9,AL$9))</f>
        <v>6.1785980743152003E-3</v>
      </c>
    </row>
    <row r="37" spans="1:38" ht="15.75" thickBot="1" x14ac:dyDescent="0.3">
      <c r="A37" s="23"/>
      <c r="B37" s="23"/>
      <c r="C37" s="23" t="s">
        <v>121</v>
      </c>
      <c r="D37" s="23"/>
      <c r="E37" s="26">
        <v>5.0000000000000001E-3</v>
      </c>
      <c r="F37" s="26">
        <v>0.04</v>
      </c>
      <c r="G37" s="8" t="str">
        <f>IF(E37=F37,"n/a",IF(OR(C37="battery electric vehicle",C37="natural gas vehicle",C37="plugin hybrid vehicle",C37="hydrogen vehicle"),"s-curve","linear"))</f>
        <v>s-curve</v>
      </c>
      <c r="I37" s="22">
        <f t="shared" si="1"/>
        <v>5.0000000000000001E-3</v>
      </c>
      <c r="J37">
        <f>IF($G37="s-curve",$E37+($F37-$E37)*$I$2/(1+EXP($I$3*(COUNT($I$9:J$9)+$I$4))),TREND($E37:$F37,$E$9:$F$9,J$9))</f>
        <v>5.5170911092645575E-3</v>
      </c>
      <c r="K37">
        <f>IF($G37="s-curve",$E37+($F37-$E37)*$I$2/(1+EXP($I$3*(COUNT($I$9:K$9)+$I$4))),TREND($E37:$F37,$E$9:$F$9,K$9))</f>
        <v>5.6944107006927126E-3</v>
      </c>
      <c r="L37">
        <f>IF($G37="s-curve",$E37+($F37-$E37)*$I$2/(1+EXP($I$3*(COUNT($I$9:L$9)+$I$4))),TREND($E37:$F37,$E$9:$F$9,L$9))</f>
        <v>5.9308947751903051E-3</v>
      </c>
      <c r="M37">
        <f>IF($G37="s-curve",$E37+($F37-$E37)*$I$2/(1+EXP($I$3*(COUNT($I$9:M$9)+$I$4))),TREND($E37:$F37,$E$9:$F$9,M$9))</f>
        <v>6.2449916245422669E-3</v>
      </c>
      <c r="N37">
        <f>IF($G37="s-curve",$E37+($F37-$E37)*$I$2/(1+EXP($I$3*(COUNT($I$9:N$9)+$I$4))),TREND($E37:$F37,$E$9:$F$9,N$9))</f>
        <v>6.6599055612148374E-3</v>
      </c>
      <c r="O37">
        <f>IF($G37="s-curve",$E37+($F37-$E37)*$I$2/(1+EXP($I$3*(COUNT($I$9:O$9)+$I$4))),TREND($E37:$F37,$E$9:$F$9,O$9))</f>
        <v>7.2040674619948779E-3</v>
      </c>
      <c r="P37">
        <f>IF($G37="s-curve",$E37+($F37-$E37)*$I$2/(1+EXP($I$3*(COUNT($I$9:P$9)+$I$4))),TREND($E37:$F37,$E$9:$F$9,P$9))</f>
        <v>7.9110443772872838E-3</v>
      </c>
      <c r="Q37">
        <f>IF($G37="s-curve",$E37+($F37-$E37)*$I$2/(1+EXP($I$3*(COUNT($I$9:Q$9)+$I$4))),TREND($E37:$F37,$E$9:$F$9,Q$9))</f>
        <v>8.8183887418464522E-3</v>
      </c>
      <c r="R37">
        <f>IF($G37="s-curve",$E37+($F37-$E37)*$I$2/(1+EXP($I$3*(COUNT($I$9:R$9)+$I$4))),TREND($E37:$F37,$E$9:$F$9,R$9))</f>
        <v>9.9647872715170754E-3</v>
      </c>
      <c r="S37">
        <f>IF($G37="s-curve",$E37+($F37-$E37)*$I$2/(1+EXP($I$3*(COUNT($I$9:S$9)+$I$4))),TREND($E37:$F37,$E$9:$F$9,S$9))</f>
        <v>1.1384893333222474E-2</v>
      </c>
      <c r="T37">
        <f>IF($G37="s-curve",$E37+($F37-$E37)*$I$2/(1+EXP($I$3*(COUNT($I$9:T$9)+$I$4))),TREND($E37:$F37,$E$9:$F$9,T$9))</f>
        <v>1.3101632577534383E-2</v>
      </c>
      <c r="U37">
        <f>IF($G37="s-curve",$E37+($F37-$E37)*$I$2/(1+EXP($I$3*(COUNT($I$9:U$9)+$I$4))),TREND($E37:$F37,$E$9:$F$9,U$9))</f>
        <v>1.5116767408124863E-2</v>
      </c>
      <c r="V37">
        <f>IF($G37="s-curve",$E37+($F37-$E37)*$I$2/(1+EXP($I$3*(COUNT($I$9:V$9)+$I$4))),TREND($E37:$F37,$E$9:$F$9,V$9))</f>
        <v>1.7402029282097161E-2</v>
      </c>
      <c r="W37">
        <f>IF($G37="s-curve",$E37+($F37-$E37)*$I$2/(1+EXP($I$3*(COUNT($I$9:W$9)+$I$4))),TREND($E37:$F37,$E$9:$F$9,W$9))</f>
        <v>1.9894511911591937E-2</v>
      </c>
      <c r="X37">
        <f>IF($G37="s-curve",$E37+($F37-$E37)*$I$2/(1+EXP($I$3*(COUNT($I$9:X$9)+$I$4))),TREND($E37:$F37,$E$9:$F$9,X$9))</f>
        <v>2.2500000000000003E-2</v>
      </c>
      <c r="Y37">
        <f>IF($G37="s-curve",$E37+($F37-$E37)*$I$2/(1+EXP($I$3*(COUNT($I$9:Y$9)+$I$4))),TREND($E37:$F37,$E$9:$F$9,Y$9))</f>
        <v>2.5105488088408068E-2</v>
      </c>
      <c r="Z37">
        <f>IF($G37="s-curve",$E37+($F37-$E37)*$I$2/(1+EXP($I$3*(COUNT($I$9:Z$9)+$I$4))),TREND($E37:$F37,$E$9:$F$9,Z$9))</f>
        <v>2.7597970717902844E-2</v>
      </c>
      <c r="AA37">
        <f>IF($G37="s-curve",$E37+($F37-$E37)*$I$2/(1+EXP($I$3*(COUNT($I$9:AA$9)+$I$4))),TREND($E37:$F37,$E$9:$F$9,AA$9))</f>
        <v>2.9883232591875142E-2</v>
      </c>
      <c r="AB37">
        <f>IF($G37="s-curve",$E37+($F37-$E37)*$I$2/(1+EXP($I$3*(COUNT($I$9:AB$9)+$I$4))),TREND($E37:$F37,$E$9:$F$9,AB$9))</f>
        <v>3.1898367422465615E-2</v>
      </c>
      <c r="AC37">
        <f>IF($G37="s-curve",$E37+($F37-$E37)*$I$2/(1+EXP($I$3*(COUNT($I$9:AC$9)+$I$4))),TREND($E37:$F37,$E$9:$F$9,AC$9))</f>
        <v>3.3615106666777528E-2</v>
      </c>
      <c r="AD37">
        <f>IF($G37="s-curve",$E37+($F37-$E37)*$I$2/(1+EXP($I$3*(COUNT($I$9:AD$9)+$I$4))),TREND($E37:$F37,$E$9:$F$9,AD$9))</f>
        <v>3.503521272848293E-2</v>
      </c>
      <c r="AE37">
        <f>IF($G37="s-curve",$E37+($F37-$E37)*$I$2/(1+EXP($I$3*(COUNT($I$9:AE$9)+$I$4))),TREND($E37:$F37,$E$9:$F$9,AE$9))</f>
        <v>3.618161125815355E-2</v>
      </c>
      <c r="AF37">
        <f>IF($G37="s-curve",$E37+($F37-$E37)*$I$2/(1+EXP($I$3*(COUNT($I$9:AF$9)+$I$4))),TREND($E37:$F37,$E$9:$F$9,AF$9))</f>
        <v>3.7088955622712722E-2</v>
      </c>
      <c r="AG37">
        <f>IF($G37="s-curve",$E37+($F37-$E37)*$I$2/(1+EXP($I$3*(COUNT($I$9:AG$9)+$I$4))),TREND($E37:$F37,$E$9:$F$9,AG$9))</f>
        <v>3.7795932538005124E-2</v>
      </c>
      <c r="AH37">
        <f>IF($G37="s-curve",$E37+($F37-$E37)*$I$2/(1+EXP($I$3*(COUNT($I$9:AH$9)+$I$4))),TREND($E37:$F37,$E$9:$F$9,AH$9))</f>
        <v>3.8340094438785166E-2</v>
      </c>
      <c r="AI37">
        <f>IF($G37="s-curve",$E37+($F37-$E37)*$I$2/(1+EXP($I$3*(COUNT($I$9:AI$9)+$I$4))),TREND($E37:$F37,$E$9:$F$9,AI$9))</f>
        <v>3.8755008375457735E-2</v>
      </c>
      <c r="AJ37">
        <f>IF($G37="s-curve",$E37+($F37-$E37)*$I$2/(1+EXP($I$3*(COUNT($I$9:AJ$9)+$I$4))),TREND($E37:$F37,$E$9:$F$9,AJ$9))</f>
        <v>3.9069105224809692E-2</v>
      </c>
      <c r="AK37">
        <f>IF($G37="s-curve",$E37+($F37-$E37)*$I$2/(1+EXP($I$3*(COUNT($I$9:AK$9)+$I$4))),TREND($E37:$F37,$E$9:$F$9,AK$9))</f>
        <v>3.9305589299307289E-2</v>
      </c>
      <c r="AL37">
        <f>IF($G37="s-curve",$E37+($F37-$E37)*$I$2/(1+EXP($I$3*(COUNT($I$9:AL$9)+$I$4))),TREND($E37:$F37,$E$9:$F$9,AL$9))</f>
        <v>3.9482908890735441E-2</v>
      </c>
    </row>
    <row r="38" spans="1:38" x14ac:dyDescent="0.25">
      <c r="A38" t="s">
        <v>14</v>
      </c>
      <c r="B38" t="s">
        <v>19</v>
      </c>
      <c r="C38" t="s">
        <v>1</v>
      </c>
      <c r="E38">
        <v>0</v>
      </c>
      <c r="F38">
        <v>0</v>
      </c>
      <c r="G38" s="7" t="str">
        <f>IF(E38=F38,"n/a",IF(OR(C38="battery electric vehicle",C38="natural gas vehicle",C38="plugin hybrid vehicle"),"s-curve","linear"))</f>
        <v>n/a</v>
      </c>
      <c r="I38" s="22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  <c r="AJ38">
        <f>IF($G38="s-curve",$E38+($F38-$E38)*$I$2/(1+EXP($I$3*(COUNT($I$9:AJ$9)+$I$4))),TREND($E38:$F38,$E$9:$F$9,AJ$9))</f>
        <v>0</v>
      </c>
      <c r="AK38">
        <f>IF($G38="s-curve",$E38+($F38-$E38)*$I$2/(1+EXP($I$3*(COUNT($I$9:AK$9)+$I$4))),TREND($E38:$F38,$E$9:$F$9,AK$9))</f>
        <v>0</v>
      </c>
      <c r="AL38">
        <f>IF($G38="s-curve",$E38+($F38-$E38)*$I$2/(1+EXP($I$3*(COUNT($I$9:AL$9)+$I$4))),TREND($E38:$F38,$E$9:$F$9,AL$9))</f>
        <v>0</v>
      </c>
    </row>
    <row r="39" spans="1:38" x14ac:dyDescent="0.25">
      <c r="C39" t="s">
        <v>2</v>
      </c>
      <c r="E39">
        <v>0</v>
      </c>
      <c r="F39">
        <v>0</v>
      </c>
      <c r="G39" s="7" t="str">
        <f>IF(E39=F39,"n/a",IF(OR(C39="battery electric vehicle",C39="natural gas vehicle",C39="plugin hybrid vehicle"),"s-curve","linear"))</f>
        <v>n/a</v>
      </c>
      <c r="I39" s="22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  <c r="AJ39">
        <f>IF($G39="s-curve",$E39+($F39-$E39)*$I$2/(1+EXP($I$3*(COUNT($I$9:AJ$9)+$I$4))),TREND($E39:$F39,$E$9:$F$9,AJ$9))</f>
        <v>0</v>
      </c>
      <c r="AK39">
        <f>IF($G39="s-curve",$E39+($F39-$E39)*$I$2/(1+EXP($I$3*(COUNT($I$9:AK$9)+$I$4))),TREND($E39:$F39,$E$9:$F$9,AK$9))</f>
        <v>0</v>
      </c>
      <c r="AL39">
        <f>IF($G39="s-curve",$E39+($F39-$E39)*$I$2/(1+EXP($I$3*(COUNT($I$9:AL$9)+$I$4))),TREND($E39:$F39,$E$9:$F$9,AL$9))</f>
        <v>0</v>
      </c>
    </row>
    <row r="40" spans="1:38" x14ac:dyDescent="0.25">
      <c r="C40" t="s">
        <v>3</v>
      </c>
      <c r="E40">
        <v>0</v>
      </c>
      <c r="F40">
        <v>0</v>
      </c>
      <c r="G40" s="7" t="str">
        <f>IF(E40=F40,"n/a",IF(OR(C40="battery electric vehicle",C40="natural gas vehicle",C40="plugin hybrid vehicle"),"s-curve","linear"))</f>
        <v>n/a</v>
      </c>
      <c r="I40" s="22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  <c r="AJ40">
        <f>IF($G40="s-curve",$E40+($F40-$E40)*$I$2/(1+EXP($I$3*(COUNT($I$9:AJ$9)+$I$4))),TREND($E40:$F40,$E$9:$F$9,AJ$9))</f>
        <v>0</v>
      </c>
      <c r="AK40">
        <f>IF($G40="s-curve",$E40+($F40-$E40)*$I$2/(1+EXP($I$3*(COUNT($I$9:AK$9)+$I$4))),TREND($E40:$F40,$E$9:$F$9,AK$9))</f>
        <v>0</v>
      </c>
      <c r="AL40">
        <f>IF($G40="s-curve",$E40+($F40-$E40)*$I$2/(1+EXP($I$3*(COUNT($I$9:AL$9)+$I$4))),TREND($E40:$F40,$E$9:$F$9,AL$9))</f>
        <v>0</v>
      </c>
    </row>
    <row r="41" spans="1:38" x14ac:dyDescent="0.25">
      <c r="C41" t="s">
        <v>4</v>
      </c>
      <c r="E41">
        <v>1</v>
      </c>
      <c r="F41">
        <v>1</v>
      </c>
      <c r="G41" s="7" t="str">
        <f>IF(E41=F41,"n/a",IF(OR(C41="battery electric vehicle",C41="natural gas vehicle",C41="plugin hybrid vehicle"),"s-curve","linear"))</f>
        <v>n/a</v>
      </c>
      <c r="I41" s="22">
        <f t="shared" ref="I41:I72" si="2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  <c r="AJ41">
        <f>IF($G41="s-curve",$E41+($F41-$E41)*$I$2/(1+EXP($I$3*(COUNT($I$9:AJ$9)+$I$4))),TREND($E41:$F41,$E$9:$F$9,AJ$9))</f>
        <v>1</v>
      </c>
      <c r="AK41">
        <f>IF($G41="s-curve",$E41+($F41-$E41)*$I$2/(1+EXP($I$3*(COUNT($I$9:AK$9)+$I$4))),TREND($E41:$F41,$E$9:$F$9,AK$9))</f>
        <v>1</v>
      </c>
      <c r="AL41">
        <f>IF($G41="s-curve",$E41+($F41-$E41)*$I$2/(1+EXP($I$3*(COUNT($I$9:AL$9)+$I$4))),TREND($E41:$F41,$E$9:$F$9,AL$9))</f>
        <v>1</v>
      </c>
    </row>
    <row r="42" spans="1:38" x14ac:dyDescent="0.25">
      <c r="C42" t="s">
        <v>5</v>
      </c>
      <c r="E42">
        <v>0</v>
      </c>
      <c r="F42">
        <v>0</v>
      </c>
      <c r="G42" s="7" t="str">
        <f>IF(E42=F42,"n/a",IF(OR(C42="battery electric vehicle",C42="natural gas vehicle",C42="plugin hybrid vehicle"),"s-curve","linear"))</f>
        <v>n/a</v>
      </c>
      <c r="I42" s="22">
        <f t="shared" si="2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  <c r="AJ42">
        <f>IF($G42="s-curve",$E42+($F42-$E42)*$I$2/(1+EXP($I$3*(COUNT($I$9:AJ$9)+$I$4))),TREND($E42:$F42,$E$9:$F$9,AJ$9))</f>
        <v>0</v>
      </c>
      <c r="AK42">
        <f>IF($G42="s-curve",$E42+($F42-$E42)*$I$2/(1+EXP($I$3*(COUNT($I$9:AK$9)+$I$4))),TREND($E42:$F42,$E$9:$F$9,AK$9))</f>
        <v>0</v>
      </c>
      <c r="AL42">
        <f>IF($G42="s-curve",$E42+($F42-$E42)*$I$2/(1+EXP($I$3*(COUNT($I$9:AL$9)+$I$4))),TREND($E42:$F42,$E$9:$F$9,AL$9))</f>
        <v>0</v>
      </c>
    </row>
    <row r="43" spans="1:38" x14ac:dyDescent="0.25">
      <c r="C43" t="s">
        <v>120</v>
      </c>
      <c r="E43">
        <v>0</v>
      </c>
      <c r="F43">
        <v>0</v>
      </c>
      <c r="G43" s="7" t="str">
        <f>IF(E43=F43,"n/a",IF(OR(C43="battery electric vehicle",C43="natural gas vehicle",C43="plugin hybrid vehicle",C43="hydrogen vehicle"),"s-curve","linear"))</f>
        <v>n/a</v>
      </c>
      <c r="I43" s="22">
        <f t="shared" si="2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  <c r="AJ43">
        <f>IF($G43="s-curve",$E43+($F43-$E43)*$I$2/(1+EXP($I$3*(COUNT($I$9:AJ$9)+$I$4))),TREND($E43:$F43,$E$9:$F$9,AJ$9))</f>
        <v>0</v>
      </c>
      <c r="AK43">
        <f>IF($G43="s-curve",$E43+($F43-$E43)*$I$2/(1+EXP($I$3*(COUNT($I$9:AK$9)+$I$4))),TREND($E43:$F43,$E$9:$F$9,AK$9))</f>
        <v>0</v>
      </c>
      <c r="AL43">
        <f>IF($G43="s-curve",$E43+($F43-$E43)*$I$2/(1+EXP($I$3*(COUNT($I$9:AL$9)+$I$4))),TREND($E43:$F43,$E$9:$F$9,AL$9))</f>
        <v>0</v>
      </c>
    </row>
    <row r="44" spans="1:38" ht="15.75" thickBot="1" x14ac:dyDescent="0.3">
      <c r="A44" s="23"/>
      <c r="B44" s="23"/>
      <c r="C44" s="23" t="s">
        <v>121</v>
      </c>
      <c r="D44" s="23"/>
      <c r="E44" s="23">
        <v>0</v>
      </c>
      <c r="F44" s="23">
        <v>0</v>
      </c>
      <c r="G44" s="8" t="str">
        <f>IF(E44=F44,"n/a",IF(OR(C44="battery electric vehicle",C44="natural gas vehicle",C44="plugin hybrid vehicle",C44="hydrogen vehicle"),"s-curve","linear"))</f>
        <v>n/a</v>
      </c>
      <c r="I44" s="22">
        <f t="shared" si="2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  <c r="AJ44">
        <f>IF($G44="s-curve",$E44+($F44-$E44)*$I$2/(1+EXP($I$3*(COUNT($I$9:AJ$9)+$I$4))),TREND($E44:$F44,$E$9:$F$9,AJ$9))</f>
        <v>0</v>
      </c>
      <c r="AK44">
        <f>IF($G44="s-curve",$E44+($F44-$E44)*$I$2/(1+EXP($I$3*(COUNT($I$9:AK$9)+$I$4))),TREND($E44:$F44,$E$9:$F$9,AK$9))</f>
        <v>0</v>
      </c>
      <c r="AL44">
        <f>IF($G44="s-curve",$E44+($F44-$E44)*$I$2/(1+EXP($I$3*(COUNT($I$9:AL$9)+$I$4))),TREND($E44:$F44,$E$9:$F$9,AL$9))</f>
        <v>0</v>
      </c>
    </row>
    <row r="45" spans="1:38" x14ac:dyDescent="0.25">
      <c r="A45" t="s">
        <v>14</v>
      </c>
      <c r="B45" t="s">
        <v>18</v>
      </c>
      <c r="C45" t="s">
        <v>1</v>
      </c>
      <c r="E45">
        <v>0</v>
      </c>
      <c r="F45">
        <v>0</v>
      </c>
      <c r="G45" s="7" t="str">
        <f>IF(E45=F45,"n/a",IF(OR(C45="battery electric vehicle",C45="natural gas vehicle",C45="plugin hybrid vehicle"),"s-curve","linear"))</f>
        <v>n/a</v>
      </c>
      <c r="I45" s="22">
        <f t="shared" si="2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  <c r="AJ45">
        <f>IF($G45="s-curve",$E45+($F45-$E45)*$I$2/(1+EXP($I$3*(COUNT($I$9:AJ$9)+$I$4))),TREND($E45:$F45,$E$9:$F$9,AJ$9))</f>
        <v>0</v>
      </c>
      <c r="AK45">
        <f>IF($G45="s-curve",$E45+($F45-$E45)*$I$2/(1+EXP($I$3*(COUNT($I$9:AK$9)+$I$4))),TREND($E45:$F45,$E$9:$F$9,AK$9))</f>
        <v>0</v>
      </c>
      <c r="AL45">
        <f>IF($G45="s-curve",$E45+($F45-$E45)*$I$2/(1+EXP($I$3*(COUNT($I$9:AL$9)+$I$4))),TREND($E45:$F45,$E$9:$F$9,AL$9))</f>
        <v>0</v>
      </c>
    </row>
    <row r="46" spans="1:38" x14ac:dyDescent="0.25">
      <c r="C46" t="s">
        <v>2</v>
      </c>
      <c r="E46">
        <v>0</v>
      </c>
      <c r="F46">
        <v>0</v>
      </c>
      <c r="G46" s="7" t="str">
        <f>IF(E46=F46,"n/a",IF(OR(C46="battery electric vehicle",C46="natural gas vehicle",C46="plugin hybrid vehicle"),"s-curve","linear"))</f>
        <v>n/a</v>
      </c>
      <c r="I46" s="22">
        <f t="shared" si="2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  <c r="AJ46">
        <f>IF($G46="s-curve",$E46+($F46-$E46)*$I$2/(1+EXP($I$3*(COUNT($I$9:AJ$9)+$I$4))),TREND($E46:$F46,$E$9:$F$9,AJ$9))</f>
        <v>0</v>
      </c>
      <c r="AK46">
        <f>IF($G46="s-curve",$E46+($F46-$E46)*$I$2/(1+EXP($I$3*(COUNT($I$9:AK$9)+$I$4))),TREND($E46:$F46,$E$9:$F$9,AK$9))</f>
        <v>0</v>
      </c>
      <c r="AL46">
        <f>IF($G46="s-curve",$E46+($F46-$E46)*$I$2/(1+EXP($I$3*(COUNT($I$9:AL$9)+$I$4))),TREND($E46:$F46,$E$9:$F$9,AL$9))</f>
        <v>0</v>
      </c>
    </row>
    <row r="47" spans="1:38" x14ac:dyDescent="0.25">
      <c r="C47" t="s">
        <v>3</v>
      </c>
      <c r="E47">
        <v>0</v>
      </c>
      <c r="F47">
        <v>0</v>
      </c>
      <c r="G47" s="7" t="str">
        <f>IF(E47=F47,"n/a",IF(OR(C47="battery electric vehicle",C47="natural gas vehicle",C47="plugin hybrid vehicle"),"s-curve","linear"))</f>
        <v>n/a</v>
      </c>
      <c r="I47" s="22">
        <f t="shared" si="2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  <c r="AJ47">
        <f>IF($G47="s-curve",$E47+($F47-$E47)*$I$2/(1+EXP($I$3*(COUNT($I$9:AJ$9)+$I$4))),TREND($E47:$F47,$E$9:$F$9,AJ$9))</f>
        <v>0</v>
      </c>
      <c r="AK47">
        <f>IF($G47="s-curve",$E47+($F47-$E47)*$I$2/(1+EXP($I$3*(COUNT($I$9:AK$9)+$I$4))),TREND($E47:$F47,$E$9:$F$9,AK$9))</f>
        <v>0</v>
      </c>
      <c r="AL47">
        <f>IF($G47="s-curve",$E47+($F47-$E47)*$I$2/(1+EXP($I$3*(COUNT($I$9:AL$9)+$I$4))),TREND($E47:$F47,$E$9:$F$9,AL$9))</f>
        <v>0</v>
      </c>
    </row>
    <row r="48" spans="1:38" x14ac:dyDescent="0.25">
      <c r="C48" t="s">
        <v>4</v>
      </c>
      <c r="E48">
        <v>1</v>
      </c>
      <c r="F48">
        <v>1</v>
      </c>
      <c r="G48" s="7" t="str">
        <f>IF(E48=F48,"n/a",IF(OR(C48="battery electric vehicle",C48="natural gas vehicle",C48="plugin hybrid vehicle"),"s-curve","linear"))</f>
        <v>n/a</v>
      </c>
      <c r="I48" s="22">
        <f t="shared" si="2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  <c r="AJ48">
        <f>IF($G48="s-curve",$E48+($F48-$E48)*$I$2/(1+EXP($I$3*(COUNT($I$9:AJ$9)+$I$4))),TREND($E48:$F48,$E$9:$F$9,AJ$9))</f>
        <v>1</v>
      </c>
      <c r="AK48">
        <f>IF($G48="s-curve",$E48+($F48-$E48)*$I$2/(1+EXP($I$3*(COUNT($I$9:AK$9)+$I$4))),TREND($E48:$F48,$E$9:$F$9,AK$9))</f>
        <v>1</v>
      </c>
      <c r="AL48">
        <f>IF($G48="s-curve",$E48+($F48-$E48)*$I$2/(1+EXP($I$3*(COUNT($I$9:AL$9)+$I$4))),TREND($E48:$F48,$E$9:$F$9,AL$9))</f>
        <v>1</v>
      </c>
    </row>
    <row r="49" spans="1:38" x14ac:dyDescent="0.25">
      <c r="C49" t="s">
        <v>5</v>
      </c>
      <c r="E49">
        <v>0</v>
      </c>
      <c r="F49">
        <v>0</v>
      </c>
      <c r="G49" s="7" t="str">
        <f>IF(E49=F49,"n/a",IF(OR(C49="battery electric vehicle",C49="natural gas vehicle",C49="plugin hybrid vehicle"),"s-curve","linear"))</f>
        <v>n/a</v>
      </c>
      <c r="I49" s="22">
        <f t="shared" si="2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  <c r="AJ49">
        <f>IF($G49="s-curve",$E49+($F49-$E49)*$I$2/(1+EXP($I$3*(COUNT($I$9:AJ$9)+$I$4))),TREND($E49:$F49,$E$9:$F$9,AJ$9))</f>
        <v>0</v>
      </c>
      <c r="AK49">
        <f>IF($G49="s-curve",$E49+($F49-$E49)*$I$2/(1+EXP($I$3*(COUNT($I$9:AK$9)+$I$4))),TREND($E49:$F49,$E$9:$F$9,AK$9))</f>
        <v>0</v>
      </c>
      <c r="AL49">
        <f>IF($G49="s-curve",$E49+($F49-$E49)*$I$2/(1+EXP($I$3*(COUNT($I$9:AL$9)+$I$4))),TREND($E49:$F49,$E$9:$F$9,AL$9))</f>
        <v>0</v>
      </c>
    </row>
    <row r="50" spans="1:38" x14ac:dyDescent="0.25">
      <c r="C50" t="s">
        <v>120</v>
      </c>
      <c r="E50">
        <v>0</v>
      </c>
      <c r="F50">
        <v>0</v>
      </c>
      <c r="G50" s="7" t="str">
        <f>IF(E50=F50,"n/a",IF(OR(C50="battery electric vehicle",C50="natural gas vehicle",C50="plugin hybrid vehicle",C50="hydrogen vehicle"),"s-curve","linear"))</f>
        <v>n/a</v>
      </c>
      <c r="I50" s="22">
        <f t="shared" si="2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  <c r="AJ50">
        <f>IF($G50="s-curve",$E50+($F50-$E50)*$I$2/(1+EXP($I$3*(COUNT($I$9:AJ$9)+$I$4))),TREND($E50:$F50,$E$9:$F$9,AJ$9))</f>
        <v>0</v>
      </c>
      <c r="AK50">
        <f>IF($G50="s-curve",$E50+($F50-$E50)*$I$2/(1+EXP($I$3*(COUNT($I$9:AK$9)+$I$4))),TREND($E50:$F50,$E$9:$F$9,AK$9))</f>
        <v>0</v>
      </c>
      <c r="AL50">
        <f>IF($G50="s-curve",$E50+($F50-$E50)*$I$2/(1+EXP($I$3*(COUNT($I$9:AL$9)+$I$4))),TREND($E50:$F50,$E$9:$F$9,AL$9))</f>
        <v>0</v>
      </c>
    </row>
    <row r="51" spans="1:38" ht="15.75" thickBot="1" x14ac:dyDescent="0.3">
      <c r="A51" s="23"/>
      <c r="B51" s="23"/>
      <c r="C51" s="23" t="s">
        <v>121</v>
      </c>
      <c r="D51" s="23"/>
      <c r="E51" s="23">
        <v>0</v>
      </c>
      <c r="F51" s="23">
        <v>0</v>
      </c>
      <c r="G51" s="8" t="str">
        <f>IF(E51=F51,"n/a",IF(OR(C51="battery electric vehicle",C51="natural gas vehicle",C51="plugin hybrid vehicle",C51="hydrogen vehicle"),"s-curve","linear"))</f>
        <v>n/a</v>
      </c>
      <c r="I51" s="22">
        <f t="shared" si="2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  <c r="AJ51">
        <f>IF($G51="s-curve",$E51+($F51-$E51)*$I$2/(1+EXP($I$3*(COUNT($I$9:AJ$9)+$I$4))),TREND($E51:$F51,$E$9:$F$9,AJ$9))</f>
        <v>0</v>
      </c>
      <c r="AK51">
        <f>IF($G51="s-curve",$E51+($F51-$E51)*$I$2/(1+EXP($I$3*(COUNT($I$9:AK$9)+$I$4))),TREND($E51:$F51,$E$9:$F$9,AK$9))</f>
        <v>0</v>
      </c>
      <c r="AL51">
        <f>IF($G51="s-curve",$E51+($F51-$E51)*$I$2/(1+EXP($I$3*(COUNT($I$9:AL$9)+$I$4))),TREND($E51:$F51,$E$9:$F$9,AL$9))</f>
        <v>0</v>
      </c>
    </row>
    <row r="52" spans="1:38" x14ac:dyDescent="0.25">
      <c r="A52" t="s">
        <v>15</v>
      </c>
      <c r="B52" t="s">
        <v>19</v>
      </c>
      <c r="C52" t="s">
        <v>1</v>
      </c>
      <c r="E52" s="22">
        <f>'SYVbT-passenger'!B5/SUM('SYVbT-passenger'!B5:H5)</f>
        <v>0.93664816809218165</v>
      </c>
      <c r="F52">
        <v>1</v>
      </c>
      <c r="G52" s="7" t="str">
        <f>IF(E52=F52,"n/a",IF(OR(C52="battery electric vehicle",C52="natural gas vehicle",C52="plugin hybrid vehicle"),"s-curve","linear"))</f>
        <v>s-curve</v>
      </c>
      <c r="I52" s="22">
        <f t="shared" si="2"/>
        <v>0.93664816809218165</v>
      </c>
      <c r="J52">
        <f>IF($G52="s-curve",$E52+($F52-$E52)*$I$2/(1+EXP($I$3*(COUNT($I$9:J$9)+$I$4))),TREND($E52:$F52,$E$9:$F$9,J$9))</f>
        <v>0.93758413006461472</v>
      </c>
      <c r="K52">
        <f>IF($G52="s-curve",$E52+($F52-$E52)*$I$2/(1+EXP($I$3*(COUNT($I$9:K$9)+$I$4))),TREND($E52:$F52,$E$9:$F$9,K$9))</f>
        <v>0.93790508780604664</v>
      </c>
      <c r="L52">
        <f>IF($G52="s-curve",$E52+($F52-$E52)*$I$2/(1+EXP($I$3*(COUNT($I$9:L$9)+$I$4))),TREND($E52:$F52,$E$9:$F$9,L$9))</f>
        <v>0.93833313635851656</v>
      </c>
      <c r="M52">
        <f>IF($G52="s-curve",$E52+($F52-$E52)*$I$2/(1+EXP($I$3*(COUNT($I$9:M$9)+$I$4))),TREND($E52:$F52,$E$9:$F$9,M$9))</f>
        <v>0.93890166809574294</v>
      </c>
      <c r="N52">
        <f>IF($G52="s-curve",$E52+($F52-$E52)*$I$2/(1+EXP($I$3*(COUNT($I$9:N$9)+$I$4))),TREND($E52:$F52,$E$9:$F$9,N$9))</f>
        <v>0.93965268403780833</v>
      </c>
      <c r="O52">
        <f>IF($G52="s-curve",$E52+($F52-$E52)*$I$2/(1+EXP($I$3*(COUNT($I$9:O$9)+$I$4))),TREND($E52:$F52,$E$9:$F$9,O$9))</f>
        <v>0.94063764555977569</v>
      </c>
      <c r="P52">
        <f>IF($G52="s-curve",$E52+($F52-$E52)*$I$2/(1+EXP($I$3*(COUNT($I$9:P$9)+$I$4))),TREND($E52:$F52,$E$9:$F$9,P$9))</f>
        <v>0.94191731077978458</v>
      </c>
      <c r="Q52">
        <f>IF($G52="s-curve",$E52+($F52-$E52)*$I$2/(1+EXP($I$3*(COUNT($I$9:Q$9)+$I$4))),TREND($E52:$F52,$E$9:$F$9,Q$9))</f>
        <v>0.94355965157024346</v>
      </c>
      <c r="R52">
        <f>IF($G52="s-curve",$E52+($F52-$E52)*$I$2/(1+EXP($I$3*(COUNT($I$9:R$9)+$I$4))),TREND($E52:$F52,$E$9:$F$9,R$9))</f>
        <v>0.94563469291170243</v>
      </c>
      <c r="S52">
        <f>IF($G52="s-curve",$E52+($F52-$E52)*$I$2/(1+EXP($I$3*(COUNT($I$9:S$9)+$I$4))),TREND($E52:$F52,$E$9:$F$9,S$9))</f>
        <v>0.94820515921205761</v>
      </c>
      <c r="T52">
        <f>IF($G52="s-curve",$E52+($F52-$E52)*$I$2/(1+EXP($I$3*(COUNT($I$9:T$9)+$I$4))),TREND($E52:$F52,$E$9:$F$9,T$9))</f>
        <v>0.95131254709877777</v>
      </c>
      <c r="U52">
        <f>IF($G52="s-curve",$E52+($F52-$E52)*$I$2/(1+EXP($I$3*(COUNT($I$9:U$9)+$I$4))),TREND($E52:$F52,$E$9:$F$9,U$9))</f>
        <v>0.95496004661475364</v>
      </c>
      <c r="V52">
        <f>IF($G52="s-curve",$E52+($F52-$E52)*$I$2/(1+EXP($I$3*(COUNT($I$9:V$9)+$I$4))),TREND($E52:$F52,$E$9:$F$9,V$9))</f>
        <v>0.95909649021776056</v>
      </c>
      <c r="W52">
        <f>IF($G52="s-curve",$E52+($F52-$E52)*$I$2/(1+EXP($I$3*(COUNT($I$9:W$9)+$I$4))),TREND($E52:$F52,$E$9:$F$9,W$9))</f>
        <v>0.96360801423424369</v>
      </c>
      <c r="X52">
        <f>IF($G52="s-curve",$E52+($F52-$E52)*$I$2/(1+EXP($I$3*(COUNT($I$9:X$9)+$I$4))),TREND($E52:$F52,$E$9:$F$9,X$9))</f>
        <v>0.96832408404609083</v>
      </c>
      <c r="Y52">
        <f>IF($G52="s-curve",$E52+($F52-$E52)*$I$2/(1+EXP($I$3*(COUNT($I$9:Y$9)+$I$4))),TREND($E52:$F52,$E$9:$F$9,Y$9))</f>
        <v>0.97304015385793796</v>
      </c>
      <c r="Z52">
        <f>IF($G52="s-curve",$E52+($F52-$E52)*$I$2/(1+EXP($I$3*(COUNT($I$9:Z$9)+$I$4))),TREND($E52:$F52,$E$9:$F$9,Z$9))</f>
        <v>0.9775516778744211</v>
      </c>
      <c r="AA52">
        <f>IF($G52="s-curve",$E52+($F52-$E52)*$I$2/(1+EXP($I$3*(COUNT($I$9:AA$9)+$I$4))),TREND($E52:$F52,$E$9:$F$9,AA$9))</f>
        <v>0.98168812147742801</v>
      </c>
      <c r="AB52">
        <f>IF($G52="s-curve",$E52+($F52-$E52)*$I$2/(1+EXP($I$3*(COUNT($I$9:AB$9)+$I$4))),TREND($E52:$F52,$E$9:$F$9,AB$9))</f>
        <v>0.98533562099340388</v>
      </c>
      <c r="AC52">
        <f>IF($G52="s-curve",$E52+($F52-$E52)*$I$2/(1+EXP($I$3*(COUNT($I$9:AC$9)+$I$4))),TREND($E52:$F52,$E$9:$F$9,AC$9))</f>
        <v>0.98844300888012404</v>
      </c>
      <c r="AD52">
        <f>IF($G52="s-curve",$E52+($F52-$E52)*$I$2/(1+EXP($I$3*(COUNT($I$9:AD$9)+$I$4))),TREND($E52:$F52,$E$9:$F$9,AD$9))</f>
        <v>0.99101347518047922</v>
      </c>
      <c r="AE52">
        <f>IF($G52="s-curve",$E52+($F52-$E52)*$I$2/(1+EXP($I$3*(COUNT($I$9:AE$9)+$I$4))),TREND($E52:$F52,$E$9:$F$9,AE$9))</f>
        <v>0.99308851652193819</v>
      </c>
      <c r="AF52">
        <f>IF($G52="s-curve",$E52+($F52-$E52)*$I$2/(1+EXP($I$3*(COUNT($I$9:AF$9)+$I$4))),TREND($E52:$F52,$E$9:$F$9,AF$9))</f>
        <v>0.99473085731239708</v>
      </c>
      <c r="AG52">
        <f>IF($G52="s-curve",$E52+($F52-$E52)*$I$2/(1+EXP($I$3*(COUNT($I$9:AG$9)+$I$4))),TREND($E52:$F52,$E$9:$F$9,AG$9))</f>
        <v>0.99601052253240596</v>
      </c>
      <c r="AH52">
        <f>IF($G52="s-curve",$E52+($F52-$E52)*$I$2/(1+EXP($I$3*(COUNT($I$9:AH$9)+$I$4))),TREND($E52:$F52,$E$9:$F$9,AH$9))</f>
        <v>0.99699548405437333</v>
      </c>
      <c r="AI52">
        <f>IF($G52="s-curve",$E52+($F52-$E52)*$I$2/(1+EXP($I$3*(COUNT($I$9:AI$9)+$I$4))),TREND($E52:$F52,$E$9:$F$9,AI$9))</f>
        <v>0.99774649999643872</v>
      </c>
      <c r="AJ52">
        <f>IF($G52="s-curve",$E52+($F52-$E52)*$I$2/(1+EXP($I$3*(COUNT($I$9:AJ$9)+$I$4))),TREND($E52:$F52,$E$9:$F$9,AJ$9))</f>
        <v>0.99831503173366509</v>
      </c>
      <c r="AK52">
        <f>IF($G52="s-curve",$E52+($F52-$E52)*$I$2/(1+EXP($I$3*(COUNT($I$9:AK$9)+$I$4))),TREND($E52:$F52,$E$9:$F$9,AK$9))</f>
        <v>0.99874308028613501</v>
      </c>
      <c r="AL52">
        <f>IF($G52="s-curve",$E52+($F52-$E52)*$I$2/(1+EXP($I$3*(COUNT($I$9:AL$9)+$I$4))),TREND($E52:$F52,$E$9:$F$9,AL$9))</f>
        <v>0.99906403802756694</v>
      </c>
    </row>
    <row r="53" spans="1:38" x14ac:dyDescent="0.25">
      <c r="C53" t="s">
        <v>2</v>
      </c>
      <c r="E53">
        <v>0</v>
      </c>
      <c r="F53">
        <v>0</v>
      </c>
      <c r="G53" s="7" t="str">
        <f>IF(E53=F53,"n/a",IF(OR(C53="battery electric vehicle",C53="natural gas vehicle",C53="plugin hybrid vehicle"),"s-curve","linear"))</f>
        <v>n/a</v>
      </c>
      <c r="I53" s="22">
        <f t="shared" si="2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  <c r="AJ53">
        <f>IF($G53="s-curve",$E53+($F53-$E53)*$I$2/(1+EXP($I$3*(COUNT($I$9:AJ$9)+$I$4))),TREND($E53:$F53,$E$9:$F$9,AJ$9))</f>
        <v>0</v>
      </c>
      <c r="AK53">
        <f>IF($G53="s-curve",$E53+($F53-$E53)*$I$2/(1+EXP($I$3*(COUNT($I$9:AK$9)+$I$4))),TREND($E53:$F53,$E$9:$F$9,AK$9))</f>
        <v>0</v>
      </c>
      <c r="AL53">
        <f>IF($G53="s-curve",$E53+($F53-$E53)*$I$2/(1+EXP($I$3*(COUNT($I$9:AL$9)+$I$4))),TREND($E53:$F53,$E$9:$F$9,AL$9))</f>
        <v>0</v>
      </c>
    </row>
    <row r="54" spans="1:38" x14ac:dyDescent="0.25">
      <c r="C54" t="s">
        <v>3</v>
      </c>
      <c r="E54">
        <v>0</v>
      </c>
      <c r="F54">
        <v>0</v>
      </c>
      <c r="G54" s="7" t="str">
        <f>IF(E54=F54,"n/a",IF(OR(C54="battery electric vehicle",C54="natural gas vehicle",C54="plugin hybrid vehicle"),"s-curve","linear"))</f>
        <v>n/a</v>
      </c>
      <c r="I54" s="22">
        <f t="shared" si="2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  <c r="AJ54">
        <f>IF($G54="s-curve",$E54+($F54-$E54)*$I$2/(1+EXP($I$3*(COUNT($I$9:AJ$9)+$I$4))),TREND($E54:$F54,$E$9:$F$9,AJ$9))</f>
        <v>0</v>
      </c>
      <c r="AK54">
        <f>IF($G54="s-curve",$E54+($F54-$E54)*$I$2/(1+EXP($I$3*(COUNT($I$9:AK$9)+$I$4))),TREND($E54:$F54,$E$9:$F$9,AK$9))</f>
        <v>0</v>
      </c>
      <c r="AL54">
        <f>IF($G54="s-curve",$E54+($F54-$E54)*$I$2/(1+EXP($I$3*(COUNT($I$9:AL$9)+$I$4))),TREND($E54:$F54,$E$9:$F$9,AL$9))</f>
        <v>0</v>
      </c>
    </row>
    <row r="55" spans="1:38" x14ac:dyDescent="0.25">
      <c r="C55" t="s">
        <v>4</v>
      </c>
      <c r="E55" s="22">
        <f>1-E52</f>
        <v>6.3351831907818346E-2</v>
      </c>
      <c r="F55">
        <v>1</v>
      </c>
      <c r="G55" s="7" t="str">
        <f>IF(E55=F55,"n/a",IF(OR(C55="battery electric vehicle",C55="natural gas vehicle",C55="plugin hybrid vehicle"),"s-curve","linear"))</f>
        <v>linear</v>
      </c>
      <c r="I55" s="22">
        <f t="shared" si="2"/>
        <v>6.3351831907818346E-2</v>
      </c>
      <c r="J55">
        <f>IF($G55="s-curve",$E55+($F55-$E55)*$I$2/(1+EXP($I$3*(COUNT($I$9:J$9)+$I$4))),TREND($E55:$F55,$E$9:$F$9,J$9))</f>
        <v>6.3351831907809242E-2</v>
      </c>
      <c r="K55">
        <f>IF($G55="s-curve",$E55+($F55-$E55)*$I$2/(1+EXP($I$3*(COUNT($I$9:K$9)+$I$4))),TREND($E55:$F55,$E$9:$F$9,K$9))</f>
        <v>9.6803552196817577E-2</v>
      </c>
      <c r="L55">
        <f>IF($G55="s-curve",$E55+($F55-$E55)*$I$2/(1+EXP($I$3*(COUNT($I$9:L$9)+$I$4))),TREND($E55:$F55,$E$9:$F$9,L$9))</f>
        <v>0.13025527248582591</v>
      </c>
      <c r="M55">
        <f>IF($G55="s-curve",$E55+($F55-$E55)*$I$2/(1+EXP($I$3*(COUNT($I$9:M$9)+$I$4))),TREND($E55:$F55,$E$9:$F$9,M$9))</f>
        <v>0.16370699277483425</v>
      </c>
      <c r="N55">
        <f>IF($G55="s-curve",$E55+($F55-$E55)*$I$2/(1+EXP($I$3*(COUNT($I$9:N$9)+$I$4))),TREND($E55:$F55,$E$9:$F$9,N$9))</f>
        <v>0.19715871306384258</v>
      </c>
      <c r="O55">
        <f>IF($G55="s-curve",$E55+($F55-$E55)*$I$2/(1+EXP($I$3*(COUNT($I$9:O$9)+$I$4))),TREND($E55:$F55,$E$9:$F$9,O$9))</f>
        <v>0.23061043335285092</v>
      </c>
      <c r="P55">
        <f>IF($G55="s-curve",$E55+($F55-$E55)*$I$2/(1+EXP($I$3*(COUNT($I$9:P$9)+$I$4))),TREND($E55:$F55,$E$9:$F$9,P$9))</f>
        <v>0.26406215364185925</v>
      </c>
      <c r="Q55">
        <f>IF($G55="s-curve",$E55+($F55-$E55)*$I$2/(1+EXP($I$3*(COUNT($I$9:Q$9)+$I$4))),TREND($E55:$F55,$E$9:$F$9,Q$9))</f>
        <v>0.29751387393085338</v>
      </c>
      <c r="R55">
        <f>IF($G55="s-curve",$E55+($F55-$E55)*$I$2/(1+EXP($I$3*(COUNT($I$9:R$9)+$I$4))),TREND($E55:$F55,$E$9:$F$9,R$9))</f>
        <v>0.33096559421986171</v>
      </c>
      <c r="S55">
        <f>IF($G55="s-curve",$E55+($F55-$E55)*$I$2/(1+EXP($I$3*(COUNT($I$9:S$9)+$I$4))),TREND($E55:$F55,$E$9:$F$9,S$9))</f>
        <v>0.36441731450887005</v>
      </c>
      <c r="T55">
        <f>IF($G55="s-curve",$E55+($F55-$E55)*$I$2/(1+EXP($I$3*(COUNT($I$9:T$9)+$I$4))),TREND($E55:$F55,$E$9:$F$9,T$9))</f>
        <v>0.39786903479787838</v>
      </c>
      <c r="U55">
        <f>IF($G55="s-curve",$E55+($F55-$E55)*$I$2/(1+EXP($I$3*(COUNT($I$9:U$9)+$I$4))),TREND($E55:$F55,$E$9:$F$9,U$9))</f>
        <v>0.43132075508688672</v>
      </c>
      <c r="V55">
        <f>IF($G55="s-curve",$E55+($F55-$E55)*$I$2/(1+EXP($I$3*(COUNT($I$9:V$9)+$I$4))),TREND($E55:$F55,$E$9:$F$9,V$9))</f>
        <v>0.46477247537589506</v>
      </c>
      <c r="W55">
        <f>IF($G55="s-curve",$E55+($F55-$E55)*$I$2/(1+EXP($I$3*(COUNT($I$9:W$9)+$I$4))),TREND($E55:$F55,$E$9:$F$9,W$9))</f>
        <v>0.49822419566490339</v>
      </c>
      <c r="X55">
        <f>IF($G55="s-curve",$E55+($F55-$E55)*$I$2/(1+EXP($I$3*(COUNT($I$9:X$9)+$I$4))),TREND($E55:$F55,$E$9:$F$9,X$9))</f>
        <v>0.53167591595391173</v>
      </c>
      <c r="Y55">
        <f>IF($G55="s-curve",$E55+($F55-$E55)*$I$2/(1+EXP($I$3*(COUNT($I$9:Y$9)+$I$4))),TREND($E55:$F55,$E$9:$F$9,Y$9))</f>
        <v>0.56512763624290585</v>
      </c>
      <c r="Z55">
        <f>IF($G55="s-curve",$E55+($F55-$E55)*$I$2/(1+EXP($I$3*(COUNT($I$9:Z$9)+$I$4))),TREND($E55:$F55,$E$9:$F$9,Z$9))</f>
        <v>0.59857935653191419</v>
      </c>
      <c r="AA55">
        <f>IF($G55="s-curve",$E55+($F55-$E55)*$I$2/(1+EXP($I$3*(COUNT($I$9:AA$9)+$I$4))),TREND($E55:$F55,$E$9:$F$9,AA$9))</f>
        <v>0.63203107682092252</v>
      </c>
      <c r="AB55">
        <f>IF($G55="s-curve",$E55+($F55-$E55)*$I$2/(1+EXP($I$3*(COUNT($I$9:AB$9)+$I$4))),TREND($E55:$F55,$E$9:$F$9,AB$9))</f>
        <v>0.66548279710993086</v>
      </c>
      <c r="AC55">
        <f>IF($G55="s-curve",$E55+($F55-$E55)*$I$2/(1+EXP($I$3*(COUNT($I$9:AC$9)+$I$4))),TREND($E55:$F55,$E$9:$F$9,AC$9))</f>
        <v>0.69893451739893919</v>
      </c>
      <c r="AD55">
        <f>IF($G55="s-curve",$E55+($F55-$E55)*$I$2/(1+EXP($I$3*(COUNT($I$9:AD$9)+$I$4))),TREND($E55:$F55,$E$9:$F$9,AD$9))</f>
        <v>0.73238623768794753</v>
      </c>
      <c r="AE55">
        <f>IF($G55="s-curve",$E55+($F55-$E55)*$I$2/(1+EXP($I$3*(COUNT($I$9:AE$9)+$I$4))),TREND($E55:$F55,$E$9:$F$9,AE$9))</f>
        <v>0.76583795797695586</v>
      </c>
      <c r="AF55">
        <f>IF($G55="s-curve",$E55+($F55-$E55)*$I$2/(1+EXP($I$3*(COUNT($I$9:AF$9)+$I$4))),TREND($E55:$F55,$E$9:$F$9,AF$9))</f>
        <v>0.7992896782659642</v>
      </c>
      <c r="AG55">
        <f>IF($G55="s-curve",$E55+($F55-$E55)*$I$2/(1+EXP($I$3*(COUNT($I$9:AG$9)+$I$4))),TREND($E55:$F55,$E$9:$F$9,AG$9))</f>
        <v>0.83274139855495832</v>
      </c>
      <c r="AH55">
        <f>IF($G55="s-curve",$E55+($F55-$E55)*$I$2/(1+EXP($I$3*(COUNT($I$9:AH$9)+$I$4))),TREND($E55:$F55,$E$9:$F$9,AH$9))</f>
        <v>0.86619311884396666</v>
      </c>
      <c r="AI55">
        <f>IF($G55="s-curve",$E55+($F55-$E55)*$I$2/(1+EXP($I$3*(COUNT($I$9:AI$9)+$I$4))),TREND($E55:$F55,$E$9:$F$9,AI$9))</f>
        <v>0.89964483913297499</v>
      </c>
      <c r="AJ55">
        <f>IF($G55="s-curve",$E55+($F55-$E55)*$I$2/(1+EXP($I$3*(COUNT($I$9:AJ$9)+$I$4))),TREND($E55:$F55,$E$9:$F$9,AJ$9))</f>
        <v>0.93309655942198333</v>
      </c>
      <c r="AK55">
        <f>IF($G55="s-curve",$E55+($F55-$E55)*$I$2/(1+EXP($I$3*(COUNT($I$9:AK$9)+$I$4))),TREND($E55:$F55,$E$9:$F$9,AK$9))</f>
        <v>0.96654827971099166</v>
      </c>
      <c r="AL55">
        <f>IF($G55="s-curve",$E55+($F55-$E55)*$I$2/(1+EXP($I$3*(COUNT($I$9:AL$9)+$I$4))),TREND($E55:$F55,$E$9:$F$9,AL$9))</f>
        <v>1</v>
      </c>
    </row>
    <row r="56" spans="1:38" x14ac:dyDescent="0.25">
      <c r="C56" t="s">
        <v>5</v>
      </c>
      <c r="E56">
        <v>0</v>
      </c>
      <c r="F56">
        <v>0</v>
      </c>
      <c r="G56" s="7" t="str">
        <f>IF(E56=F56,"n/a",IF(OR(C56="battery electric vehicle",C56="natural gas vehicle",C56="plugin hybrid vehicle"),"s-curve","linear"))</f>
        <v>n/a</v>
      </c>
      <c r="I56" s="22">
        <f t="shared" si="2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  <c r="AJ56">
        <f>IF($G56="s-curve",$E56+($F56-$E56)*$I$2/(1+EXP($I$3*(COUNT($I$9:AJ$9)+$I$4))),TREND($E56:$F56,$E$9:$F$9,AJ$9))</f>
        <v>0</v>
      </c>
      <c r="AK56">
        <f>IF($G56="s-curve",$E56+($F56-$E56)*$I$2/(1+EXP($I$3*(COUNT($I$9:AK$9)+$I$4))),TREND($E56:$F56,$E$9:$F$9,AK$9))</f>
        <v>0</v>
      </c>
      <c r="AL56">
        <f>IF($G56="s-curve",$E56+($F56-$E56)*$I$2/(1+EXP($I$3*(COUNT($I$9:AL$9)+$I$4))),TREND($E56:$F56,$E$9:$F$9,AL$9))</f>
        <v>0</v>
      </c>
    </row>
    <row r="57" spans="1:38" x14ac:dyDescent="0.25">
      <c r="C57" t="s">
        <v>120</v>
      </c>
      <c r="E57">
        <v>0</v>
      </c>
      <c r="F57">
        <v>0</v>
      </c>
      <c r="G57" s="7" t="str">
        <f>IF(E57=F57,"n/a",IF(OR(C57="battery electric vehicle",C57="natural gas vehicle",C57="plugin hybrid vehicle",C57="hydrogen vehicle"),"s-curve","linear"))</f>
        <v>n/a</v>
      </c>
      <c r="I57" s="22">
        <f t="shared" si="2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  <c r="AJ57">
        <f>IF($G57="s-curve",$E57+($F57-$E57)*$I$2/(1+EXP($I$3*(COUNT($I$9:AJ$9)+$I$4))),TREND($E57:$F57,$E$9:$F$9,AJ$9))</f>
        <v>0</v>
      </c>
      <c r="AK57">
        <f>IF($G57="s-curve",$E57+($F57-$E57)*$I$2/(1+EXP($I$3*(COUNT($I$9:AK$9)+$I$4))),TREND($E57:$F57,$E$9:$F$9,AK$9))</f>
        <v>0</v>
      </c>
      <c r="AL57">
        <f>IF($G57="s-curve",$E57+($F57-$E57)*$I$2/(1+EXP($I$3*(COUNT($I$9:AL$9)+$I$4))),TREND($E57:$F57,$E$9:$F$9,AL$9))</f>
        <v>0</v>
      </c>
    </row>
    <row r="58" spans="1:38" ht="15.75" thickBot="1" x14ac:dyDescent="0.3">
      <c r="A58" s="23"/>
      <c r="B58" s="23"/>
      <c r="C58" s="23" t="s">
        <v>121</v>
      </c>
      <c r="D58" s="23"/>
      <c r="E58" s="23">
        <v>0</v>
      </c>
      <c r="F58" s="23">
        <v>0</v>
      </c>
      <c r="G58" s="8" t="str">
        <f>IF(E58=F58,"n/a",IF(OR(C58="battery electric vehicle",C58="natural gas vehicle",C58="plugin hybrid vehicle",C58="hydrogen vehicle"),"s-curve","linear"))</f>
        <v>n/a</v>
      </c>
      <c r="I58" s="22">
        <f t="shared" si="2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  <c r="AJ58">
        <f>IF($G58="s-curve",$E58+($F58-$E58)*$I$2/(1+EXP($I$3*(COUNT($I$9:AJ$9)+$I$4))),TREND($E58:$F58,$E$9:$F$9,AJ$9))</f>
        <v>0</v>
      </c>
      <c r="AK58">
        <f>IF($G58="s-curve",$E58+($F58-$E58)*$I$2/(1+EXP($I$3*(COUNT($I$9:AK$9)+$I$4))),TREND($E58:$F58,$E$9:$F$9,AK$9))</f>
        <v>0</v>
      </c>
      <c r="AL58">
        <f>IF($G58="s-curve",$E58+($F58-$E58)*$I$2/(1+EXP($I$3*(COUNT($I$9:AL$9)+$I$4))),TREND($E58:$F58,$E$9:$F$9,AL$9))</f>
        <v>0</v>
      </c>
    </row>
    <row r="59" spans="1:38" x14ac:dyDescent="0.25">
      <c r="A59" t="s">
        <v>15</v>
      </c>
      <c r="B59" t="s">
        <v>18</v>
      </c>
      <c r="C59" t="s">
        <v>1</v>
      </c>
      <c r="E59">
        <v>0</v>
      </c>
      <c r="F59">
        <v>0</v>
      </c>
      <c r="G59" s="7" t="str">
        <f>IF(E59=F59,"n/a",IF(OR(C59="battery electric vehicle",C59="natural gas vehicle",C59="plugin hybrid vehicle"),"s-curve","linear"))</f>
        <v>n/a</v>
      </c>
      <c r="I59" s="22">
        <f t="shared" si="2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  <c r="AJ59">
        <f>IF($G59="s-curve",$E59+($F59-$E59)*$I$2/(1+EXP($I$3*(COUNT($I$9:AJ$9)+$I$4))),TREND($E59:$F59,$E$9:$F$9,AJ$9))</f>
        <v>0</v>
      </c>
      <c r="AK59">
        <f>IF($G59="s-curve",$E59+($F59-$E59)*$I$2/(1+EXP($I$3*(COUNT($I$9:AK$9)+$I$4))),TREND($E59:$F59,$E$9:$F$9,AK$9))</f>
        <v>0</v>
      </c>
      <c r="AL59">
        <f>IF($G59="s-curve",$E59+($F59-$E59)*$I$2/(1+EXP($I$3*(COUNT($I$9:AL$9)+$I$4))),TREND($E59:$F59,$E$9:$F$9,AL$9))</f>
        <v>0</v>
      </c>
    </row>
    <row r="60" spans="1:38" x14ac:dyDescent="0.25">
      <c r="C60" t="s">
        <v>2</v>
      </c>
      <c r="E60">
        <v>0</v>
      </c>
      <c r="F60">
        <v>0</v>
      </c>
      <c r="G60" s="7" t="str">
        <f>IF(E60=F60,"n/a",IF(OR(C60="battery electric vehicle",C60="natural gas vehicle",C60="plugin hybrid vehicle"),"s-curve","linear"))</f>
        <v>n/a</v>
      </c>
      <c r="I60" s="22">
        <f t="shared" si="2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  <c r="AJ60">
        <f>IF($G60="s-curve",$E60+($F60-$E60)*$I$2/(1+EXP($I$3*(COUNT($I$9:AJ$9)+$I$4))),TREND($E60:$F60,$E$9:$F$9,AJ$9))</f>
        <v>0</v>
      </c>
      <c r="AK60">
        <f>IF($G60="s-curve",$E60+($F60-$E60)*$I$2/(1+EXP($I$3*(COUNT($I$9:AK$9)+$I$4))),TREND($E60:$F60,$E$9:$F$9,AK$9))</f>
        <v>0</v>
      </c>
      <c r="AL60">
        <f>IF($G60="s-curve",$E60+($F60-$E60)*$I$2/(1+EXP($I$3*(COUNT($I$9:AL$9)+$I$4))),TREND($E60:$F60,$E$9:$F$9,AL$9))</f>
        <v>0</v>
      </c>
    </row>
    <row r="61" spans="1:38" x14ac:dyDescent="0.25">
      <c r="C61" t="s">
        <v>3</v>
      </c>
      <c r="E61">
        <v>0</v>
      </c>
      <c r="F61">
        <v>0</v>
      </c>
      <c r="G61" s="7" t="str">
        <f>IF(E61=F61,"n/a",IF(OR(C61="battery electric vehicle",C61="natural gas vehicle",C61="plugin hybrid vehicle"),"s-curve","linear"))</f>
        <v>n/a</v>
      </c>
      <c r="I61" s="22">
        <f t="shared" si="2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  <c r="AJ61">
        <f>IF($G61="s-curve",$E61+($F61-$E61)*$I$2/(1+EXP($I$3*(COUNT($I$9:AJ$9)+$I$4))),TREND($E61:$F61,$E$9:$F$9,AJ$9))</f>
        <v>0</v>
      </c>
      <c r="AK61">
        <f>IF($G61="s-curve",$E61+($F61-$E61)*$I$2/(1+EXP($I$3*(COUNT($I$9:AK$9)+$I$4))),TREND($E61:$F61,$E$9:$F$9,AK$9))</f>
        <v>0</v>
      </c>
      <c r="AL61">
        <f>IF($G61="s-curve",$E61+($F61-$E61)*$I$2/(1+EXP($I$3*(COUNT($I$9:AL$9)+$I$4))),TREND($E61:$F61,$E$9:$F$9,AL$9))</f>
        <v>0</v>
      </c>
    </row>
    <row r="62" spans="1:38" x14ac:dyDescent="0.25">
      <c r="C62" t="s">
        <v>4</v>
      </c>
      <c r="E62">
        <v>1</v>
      </c>
      <c r="F62">
        <v>1</v>
      </c>
      <c r="G62" s="7" t="str">
        <f>IF(E62=F62,"n/a",IF(OR(C62="battery electric vehicle",C62="natural gas vehicle",C62="plugin hybrid vehicle"),"s-curve","linear"))</f>
        <v>n/a</v>
      </c>
      <c r="I62" s="22">
        <f t="shared" si="2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  <c r="AJ62">
        <f>IF($G62="s-curve",$E62+($F62-$E62)*$I$2/(1+EXP($I$3*(COUNT($I$9:AJ$9)+$I$4))),TREND($E62:$F62,$E$9:$F$9,AJ$9))</f>
        <v>1</v>
      </c>
      <c r="AK62">
        <f>IF($G62="s-curve",$E62+($F62-$E62)*$I$2/(1+EXP($I$3*(COUNT($I$9:AK$9)+$I$4))),TREND($E62:$F62,$E$9:$F$9,AK$9))</f>
        <v>1</v>
      </c>
      <c r="AL62">
        <f>IF($G62="s-curve",$E62+($F62-$E62)*$I$2/(1+EXP($I$3*(COUNT($I$9:AL$9)+$I$4))),TREND($E62:$F62,$E$9:$F$9,AL$9))</f>
        <v>1</v>
      </c>
    </row>
    <row r="63" spans="1:38" x14ac:dyDescent="0.25">
      <c r="C63" t="s">
        <v>5</v>
      </c>
      <c r="E63">
        <v>0</v>
      </c>
      <c r="F63">
        <v>0</v>
      </c>
      <c r="G63" s="7" t="str">
        <f>IF(E63=F63,"n/a",IF(OR(C63="battery electric vehicle",C63="natural gas vehicle",C63="plugin hybrid vehicle"),"s-curve","linear"))</f>
        <v>n/a</v>
      </c>
      <c r="I63" s="22">
        <f t="shared" si="2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  <c r="AJ63">
        <f>IF($G63="s-curve",$E63+($F63-$E63)*$I$2/(1+EXP($I$3*(COUNT($I$9:AJ$9)+$I$4))),TREND($E63:$F63,$E$9:$F$9,AJ$9))</f>
        <v>0</v>
      </c>
      <c r="AK63">
        <f>IF($G63="s-curve",$E63+($F63-$E63)*$I$2/(1+EXP($I$3*(COUNT($I$9:AK$9)+$I$4))),TREND($E63:$F63,$E$9:$F$9,AK$9))</f>
        <v>0</v>
      </c>
      <c r="AL63">
        <f>IF($G63="s-curve",$E63+($F63-$E63)*$I$2/(1+EXP($I$3*(COUNT($I$9:AL$9)+$I$4))),TREND($E63:$F63,$E$9:$F$9,AL$9))</f>
        <v>0</v>
      </c>
    </row>
    <row r="64" spans="1:38" x14ac:dyDescent="0.25">
      <c r="C64" t="s">
        <v>120</v>
      </c>
      <c r="E64">
        <v>0</v>
      </c>
      <c r="F64">
        <v>0</v>
      </c>
      <c r="G64" s="7" t="str">
        <f>IF(E64=F64,"n/a",IF(OR(C64="battery electric vehicle",C64="natural gas vehicle",C64="plugin hybrid vehicle",C64="hydrogen vehicle"),"s-curve","linear"))</f>
        <v>n/a</v>
      </c>
      <c r="I64" s="22">
        <f t="shared" si="2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  <c r="AJ64">
        <f>IF($G64="s-curve",$E64+($F64-$E64)*$I$2/(1+EXP($I$3*(COUNT($I$9:AJ$9)+$I$4))),TREND($E64:$F64,$E$9:$F$9,AJ$9))</f>
        <v>0</v>
      </c>
      <c r="AK64">
        <f>IF($G64="s-curve",$E64+($F64-$E64)*$I$2/(1+EXP($I$3*(COUNT($I$9:AK$9)+$I$4))),TREND($E64:$F64,$E$9:$F$9,AK$9))</f>
        <v>0</v>
      </c>
      <c r="AL64">
        <f>IF($G64="s-curve",$E64+($F64-$E64)*$I$2/(1+EXP($I$3*(COUNT($I$9:AL$9)+$I$4))),TREND($E64:$F64,$E$9:$F$9,AL$9))</f>
        <v>0</v>
      </c>
    </row>
    <row r="65" spans="1:38" ht="15.75" thickBot="1" x14ac:dyDescent="0.3">
      <c r="A65" s="23"/>
      <c r="B65" s="23"/>
      <c r="C65" s="23" t="s">
        <v>121</v>
      </c>
      <c r="D65" s="23"/>
      <c r="E65" s="23">
        <v>0</v>
      </c>
      <c r="F65" s="23">
        <v>0</v>
      </c>
      <c r="G65" s="8" t="str">
        <f>IF(E65=F65,"n/a",IF(OR(C65="battery electric vehicle",C65="natural gas vehicle",C65="plugin hybrid vehicle",C65="hydrogen vehicle"),"s-curve","linear"))</f>
        <v>n/a</v>
      </c>
      <c r="I65" s="22">
        <f t="shared" si="2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  <c r="AJ65">
        <f>IF($G65="s-curve",$E65+($F65-$E65)*$I$2/(1+EXP($I$3*(COUNT($I$9:AJ$9)+$I$4))),TREND($E65:$F65,$E$9:$F$9,AJ$9))</f>
        <v>0</v>
      </c>
      <c r="AK65">
        <f>IF($G65="s-curve",$E65+($F65-$E65)*$I$2/(1+EXP($I$3*(COUNT($I$9:AK$9)+$I$4))),TREND($E65:$F65,$E$9:$F$9,AK$9))</f>
        <v>0</v>
      </c>
      <c r="AL65">
        <f>IF($G65="s-curve",$E65+($F65-$E65)*$I$2/(1+EXP($I$3*(COUNT($I$9:AL$9)+$I$4))),TREND($E65:$F65,$E$9:$F$9,AL$9))</f>
        <v>0</v>
      </c>
    </row>
    <row r="66" spans="1:38" x14ac:dyDescent="0.25">
      <c r="A66" t="s">
        <v>16</v>
      </c>
      <c r="B66" t="s">
        <v>19</v>
      </c>
      <c r="C66" t="s">
        <v>1</v>
      </c>
      <c r="E66">
        <v>0</v>
      </c>
      <c r="F66">
        <v>0</v>
      </c>
      <c r="G66" s="7" t="str">
        <f>IF(E66=F66,"n/a",IF(OR(C66="battery electric vehicle",C66="natural gas vehicle",C66="plugin hybrid vehicle"),"s-curve","linear"))</f>
        <v>n/a</v>
      </c>
      <c r="I66" s="22">
        <f t="shared" si="2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  <c r="AJ66">
        <f>IF($G66="s-curve",$E66+($F66-$E66)*$I$2/(1+EXP($I$3*(COUNT($I$9:AJ$9)+$I$4))),TREND($E66:$F66,$E$9:$F$9,AJ$9))</f>
        <v>0</v>
      </c>
      <c r="AK66">
        <f>IF($G66="s-curve",$E66+($F66-$E66)*$I$2/(1+EXP($I$3*(COUNT($I$9:AK$9)+$I$4))),TREND($E66:$F66,$E$9:$F$9,AK$9))</f>
        <v>0</v>
      </c>
      <c r="AL66">
        <f>IF($G66="s-curve",$E66+($F66-$E66)*$I$2/(1+EXP($I$3*(COUNT($I$9:AL$9)+$I$4))),TREND($E66:$F66,$E$9:$F$9,AL$9))</f>
        <v>0</v>
      </c>
    </row>
    <row r="67" spans="1:38" x14ac:dyDescent="0.25">
      <c r="C67" t="s">
        <v>2</v>
      </c>
      <c r="E67">
        <v>0</v>
      </c>
      <c r="F67">
        <v>0</v>
      </c>
      <c r="G67" s="7" t="str">
        <f>IF(E67=F67,"n/a",IF(OR(C67="battery electric vehicle",C67="natural gas vehicle",C67="plugin hybrid vehicle"),"s-curve","linear"))</f>
        <v>n/a</v>
      </c>
      <c r="I67" s="22">
        <f t="shared" si="2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  <c r="AJ67">
        <f>IF($G67="s-curve",$E67+($F67-$E67)*$I$2/(1+EXP($I$3*(COUNT($I$9:AJ$9)+$I$4))),TREND($E67:$F67,$E$9:$F$9,AJ$9))</f>
        <v>0</v>
      </c>
      <c r="AK67">
        <f>IF($G67="s-curve",$E67+($F67-$E67)*$I$2/(1+EXP($I$3*(COUNT($I$9:AK$9)+$I$4))),TREND($E67:$F67,$E$9:$F$9,AK$9))</f>
        <v>0</v>
      </c>
      <c r="AL67">
        <f>IF($G67="s-curve",$E67+($F67-$E67)*$I$2/(1+EXP($I$3*(COUNT($I$9:AL$9)+$I$4))),TREND($E67:$F67,$E$9:$F$9,AL$9))</f>
        <v>0</v>
      </c>
    </row>
    <row r="68" spans="1:38" x14ac:dyDescent="0.25">
      <c r="C68" t="s">
        <v>3</v>
      </c>
      <c r="E68">
        <v>0</v>
      </c>
      <c r="F68">
        <v>0</v>
      </c>
      <c r="G68" s="7" t="str">
        <f>IF(E68=F68,"n/a",IF(OR(C68="battery electric vehicle",C68="natural gas vehicle",C68="plugin hybrid vehicle"),"s-curve","linear"))</f>
        <v>n/a</v>
      </c>
      <c r="I68" s="22">
        <f t="shared" si="2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  <c r="AJ68">
        <f>IF($G68="s-curve",$E68+($F68-$E68)*$I$2/(1+EXP($I$3*(COUNT($I$9:AJ$9)+$I$4))),TREND($E68:$F68,$E$9:$F$9,AJ$9))</f>
        <v>0</v>
      </c>
      <c r="AK68">
        <f>IF($G68="s-curve",$E68+($F68-$E68)*$I$2/(1+EXP($I$3*(COUNT($I$9:AK$9)+$I$4))),TREND($E68:$F68,$E$9:$F$9,AK$9))</f>
        <v>0</v>
      </c>
      <c r="AL68">
        <f>IF($G68="s-curve",$E68+($F68-$E68)*$I$2/(1+EXP($I$3*(COUNT($I$9:AL$9)+$I$4))),TREND($E68:$F68,$E$9:$F$9,AL$9))</f>
        <v>0</v>
      </c>
    </row>
    <row r="69" spans="1:38" x14ac:dyDescent="0.25">
      <c r="C69" t="s">
        <v>4</v>
      </c>
      <c r="E69">
        <v>1</v>
      </c>
      <c r="F69">
        <v>1</v>
      </c>
      <c r="G69" s="7" t="str">
        <f>IF(E69=F69,"n/a",IF(OR(C69="battery electric vehicle",C69="natural gas vehicle",C69="plugin hybrid vehicle"),"s-curve","linear"))</f>
        <v>n/a</v>
      </c>
      <c r="I69" s="22">
        <f t="shared" si="2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  <c r="AJ69">
        <f>IF($G69="s-curve",$E69+($F69-$E69)*$I$2/(1+EXP($I$3*(COUNT($I$9:AJ$9)+$I$4))),TREND($E69:$F69,$E$9:$F$9,AJ$9))</f>
        <v>1</v>
      </c>
      <c r="AK69">
        <f>IF($G69="s-curve",$E69+($F69-$E69)*$I$2/(1+EXP($I$3*(COUNT($I$9:AK$9)+$I$4))),TREND($E69:$F69,$E$9:$F$9,AK$9))</f>
        <v>1</v>
      </c>
      <c r="AL69">
        <f>IF($G69="s-curve",$E69+($F69-$E69)*$I$2/(1+EXP($I$3*(COUNT($I$9:AL$9)+$I$4))),TREND($E69:$F69,$E$9:$F$9,AL$9))</f>
        <v>1</v>
      </c>
    </row>
    <row r="70" spans="1:38" x14ac:dyDescent="0.25">
      <c r="C70" t="s">
        <v>5</v>
      </c>
      <c r="E70">
        <v>0</v>
      </c>
      <c r="F70">
        <v>0</v>
      </c>
      <c r="G70" s="7" t="str">
        <f>IF(E70=F70,"n/a",IF(OR(C70="battery electric vehicle",C70="natural gas vehicle",C70="plugin hybrid vehicle"),"s-curve","linear"))</f>
        <v>n/a</v>
      </c>
      <c r="I70" s="22">
        <f t="shared" si="2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  <c r="AJ70">
        <f>IF($G70="s-curve",$E70+($F70-$E70)*$I$2/(1+EXP($I$3*(COUNT($I$9:AJ$9)+$I$4))),TREND($E70:$F70,$E$9:$F$9,AJ$9))</f>
        <v>0</v>
      </c>
      <c r="AK70">
        <f>IF($G70="s-curve",$E70+($F70-$E70)*$I$2/(1+EXP($I$3*(COUNT($I$9:AK$9)+$I$4))),TREND($E70:$F70,$E$9:$F$9,AK$9))</f>
        <v>0</v>
      </c>
      <c r="AL70">
        <f>IF($G70="s-curve",$E70+($F70-$E70)*$I$2/(1+EXP($I$3*(COUNT($I$9:AL$9)+$I$4))),TREND($E70:$F70,$E$9:$F$9,AL$9))</f>
        <v>0</v>
      </c>
    </row>
    <row r="71" spans="1:38" x14ac:dyDescent="0.25">
      <c r="C71" t="s">
        <v>120</v>
      </c>
      <c r="E71">
        <v>0</v>
      </c>
      <c r="F71">
        <v>0</v>
      </c>
      <c r="G71" s="7" t="str">
        <f>IF(E71=F71,"n/a",IF(OR(C71="battery electric vehicle",C71="natural gas vehicle",C71="plugin hybrid vehicle",C71="hydrogen vehicle"),"s-curve","linear"))</f>
        <v>n/a</v>
      </c>
      <c r="I71" s="22">
        <f t="shared" si="2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  <c r="AJ71">
        <f>IF($G71="s-curve",$E71+($F71-$E71)*$I$2/(1+EXP($I$3*(COUNT($I$9:AJ$9)+$I$4))),TREND($E71:$F71,$E$9:$F$9,AJ$9))</f>
        <v>0</v>
      </c>
      <c r="AK71">
        <f>IF($G71="s-curve",$E71+($F71-$E71)*$I$2/(1+EXP($I$3*(COUNT($I$9:AK$9)+$I$4))),TREND($E71:$F71,$E$9:$F$9,AK$9))</f>
        <v>0</v>
      </c>
      <c r="AL71">
        <f>IF($G71="s-curve",$E71+($F71-$E71)*$I$2/(1+EXP($I$3*(COUNT($I$9:AL$9)+$I$4))),TREND($E71:$F71,$E$9:$F$9,AL$9))</f>
        <v>0</v>
      </c>
    </row>
    <row r="72" spans="1:38" ht="15.75" thickBot="1" x14ac:dyDescent="0.3">
      <c r="A72" s="23"/>
      <c r="B72" s="23"/>
      <c r="C72" s="23" t="s">
        <v>121</v>
      </c>
      <c r="D72" s="23"/>
      <c r="E72" s="23">
        <v>0</v>
      </c>
      <c r="F72" s="23">
        <v>0</v>
      </c>
      <c r="G72" s="8" t="str">
        <f>IF(E72=F72,"n/a",IF(OR(C72="battery electric vehicle",C72="natural gas vehicle",C72="plugin hybrid vehicle",C72="hydrogen vehicle"),"s-curve","linear"))</f>
        <v>n/a</v>
      </c>
      <c r="I72" s="22">
        <f t="shared" si="2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  <c r="AJ72">
        <f>IF($G72="s-curve",$E72+($F72-$E72)*$I$2/(1+EXP($I$3*(COUNT($I$9:AJ$9)+$I$4))),TREND($E72:$F72,$E$9:$F$9,AJ$9))</f>
        <v>0</v>
      </c>
      <c r="AK72">
        <f>IF($G72="s-curve",$E72+($F72-$E72)*$I$2/(1+EXP($I$3*(COUNT($I$9:AK$9)+$I$4))),TREND($E72:$F72,$E$9:$F$9,AK$9))</f>
        <v>0</v>
      </c>
      <c r="AL72">
        <f>IF($G72="s-curve",$E72+($F72-$E72)*$I$2/(1+EXP($I$3*(COUNT($I$9:AL$9)+$I$4))),TREND($E72:$F72,$E$9:$F$9,AL$9))</f>
        <v>0</v>
      </c>
    </row>
    <row r="73" spans="1:38" x14ac:dyDescent="0.25">
      <c r="A73" t="s">
        <v>16</v>
      </c>
      <c r="B73" t="s">
        <v>18</v>
      </c>
      <c r="C73" t="s">
        <v>1</v>
      </c>
      <c r="E73">
        <v>0</v>
      </c>
      <c r="F73">
        <v>0</v>
      </c>
      <c r="G73" s="7" t="str">
        <f>IF(E73=F73,"n/a",IF(OR(C73="battery electric vehicle",C73="natural gas vehicle",C73="plugin hybrid vehicle"),"s-curve","linear"))</f>
        <v>n/a</v>
      </c>
      <c r="I73" s="22">
        <f t="shared" ref="I73:I93" si="3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  <c r="AJ73">
        <f>IF($G73="s-curve",$E73+($F73-$E73)*$I$2/(1+EXP($I$3*(COUNT($I$9:AJ$9)+$I$4))),TREND($E73:$F73,$E$9:$F$9,AJ$9))</f>
        <v>0</v>
      </c>
      <c r="AK73">
        <f>IF($G73="s-curve",$E73+($F73-$E73)*$I$2/(1+EXP($I$3*(COUNT($I$9:AK$9)+$I$4))),TREND($E73:$F73,$E$9:$F$9,AK$9))</f>
        <v>0</v>
      </c>
      <c r="AL73">
        <f>IF($G73="s-curve",$E73+($F73-$E73)*$I$2/(1+EXP($I$3*(COUNT($I$9:AL$9)+$I$4))),TREND($E73:$F73,$E$9:$F$9,AL$9))</f>
        <v>0</v>
      </c>
    </row>
    <row r="74" spans="1:38" x14ac:dyDescent="0.25">
      <c r="C74" t="s">
        <v>2</v>
      </c>
      <c r="E74">
        <v>0</v>
      </c>
      <c r="F74">
        <v>0</v>
      </c>
      <c r="G74" s="7" t="str">
        <f>IF(E74=F74,"n/a",IF(OR(C74="battery electric vehicle",C74="natural gas vehicle",C74="plugin hybrid vehicle"),"s-curve","linear"))</f>
        <v>n/a</v>
      </c>
      <c r="I74" s="22">
        <f t="shared" si="3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  <c r="AJ74">
        <f>IF($G74="s-curve",$E74+($F74-$E74)*$I$2/(1+EXP($I$3*(COUNT($I$9:AJ$9)+$I$4))),TREND($E74:$F74,$E$9:$F$9,AJ$9))</f>
        <v>0</v>
      </c>
      <c r="AK74">
        <f>IF($G74="s-curve",$E74+($F74-$E74)*$I$2/(1+EXP($I$3*(COUNT($I$9:AK$9)+$I$4))),TREND($E74:$F74,$E$9:$F$9,AK$9))</f>
        <v>0</v>
      </c>
      <c r="AL74">
        <f>IF($G74="s-curve",$E74+($F74-$E74)*$I$2/(1+EXP($I$3*(COUNT($I$9:AL$9)+$I$4))),TREND($E74:$F74,$E$9:$F$9,AL$9))</f>
        <v>0</v>
      </c>
    </row>
    <row r="75" spans="1:38" x14ac:dyDescent="0.25">
      <c r="C75" t="s">
        <v>3</v>
      </c>
      <c r="E75">
        <v>0</v>
      </c>
      <c r="F75">
        <v>0</v>
      </c>
      <c r="G75" s="7" t="str">
        <f>IF(E75=F75,"n/a",IF(OR(C75="battery electric vehicle",C75="natural gas vehicle",C75="plugin hybrid vehicle"),"s-curve","linear"))</f>
        <v>n/a</v>
      </c>
      <c r="I75" s="22">
        <f t="shared" si="3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  <c r="AJ75">
        <f>IF($G75="s-curve",$E75+($F75-$E75)*$I$2/(1+EXP($I$3*(COUNT($I$9:AJ$9)+$I$4))),TREND($E75:$F75,$E$9:$F$9,AJ$9))</f>
        <v>0</v>
      </c>
      <c r="AK75">
        <f>IF($G75="s-curve",$E75+($F75-$E75)*$I$2/(1+EXP($I$3*(COUNT($I$9:AK$9)+$I$4))),TREND($E75:$F75,$E$9:$F$9,AK$9))</f>
        <v>0</v>
      </c>
      <c r="AL75">
        <f>IF($G75="s-curve",$E75+($F75-$E75)*$I$2/(1+EXP($I$3*(COUNT($I$9:AL$9)+$I$4))),TREND($E75:$F75,$E$9:$F$9,AL$9))</f>
        <v>0</v>
      </c>
    </row>
    <row r="76" spans="1:38" x14ac:dyDescent="0.25">
      <c r="C76" t="s">
        <v>4</v>
      </c>
      <c r="E76">
        <v>1</v>
      </c>
      <c r="F76">
        <v>1</v>
      </c>
      <c r="G76" s="7" t="str">
        <f>IF(E76=F76,"n/a",IF(OR(C76="battery electric vehicle",C76="natural gas vehicle",C76="plugin hybrid vehicle"),"s-curve","linear"))</f>
        <v>n/a</v>
      </c>
      <c r="I76" s="22">
        <f t="shared" si="3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  <c r="AJ76">
        <f>IF($G76="s-curve",$E76+($F76-$E76)*$I$2/(1+EXP($I$3*(COUNT($I$9:AJ$9)+$I$4))),TREND($E76:$F76,$E$9:$F$9,AJ$9))</f>
        <v>1</v>
      </c>
      <c r="AK76">
        <f>IF($G76="s-curve",$E76+($F76-$E76)*$I$2/(1+EXP($I$3*(COUNT($I$9:AK$9)+$I$4))),TREND($E76:$F76,$E$9:$F$9,AK$9))</f>
        <v>1</v>
      </c>
      <c r="AL76">
        <f>IF($G76="s-curve",$E76+($F76-$E76)*$I$2/(1+EXP($I$3*(COUNT($I$9:AL$9)+$I$4))),TREND($E76:$F76,$E$9:$F$9,AL$9))</f>
        <v>1</v>
      </c>
    </row>
    <row r="77" spans="1:38" x14ac:dyDescent="0.25">
      <c r="C77" t="s">
        <v>5</v>
      </c>
      <c r="E77">
        <v>0</v>
      </c>
      <c r="F77">
        <v>0</v>
      </c>
      <c r="G77" s="7" t="str">
        <f>IF(E77=F77,"n/a",IF(OR(C77="battery electric vehicle",C77="natural gas vehicle",C77="plugin hybrid vehicle"),"s-curve","linear"))</f>
        <v>n/a</v>
      </c>
      <c r="I77" s="22">
        <f t="shared" si="3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  <c r="AJ77">
        <f>IF($G77="s-curve",$E77+($F77-$E77)*$I$2/(1+EXP($I$3*(COUNT($I$9:AJ$9)+$I$4))),TREND($E77:$F77,$E$9:$F$9,AJ$9))</f>
        <v>0</v>
      </c>
      <c r="AK77">
        <f>IF($G77="s-curve",$E77+($F77-$E77)*$I$2/(1+EXP($I$3*(COUNT($I$9:AK$9)+$I$4))),TREND($E77:$F77,$E$9:$F$9,AK$9))</f>
        <v>0</v>
      </c>
      <c r="AL77">
        <f>IF($G77="s-curve",$E77+($F77-$E77)*$I$2/(1+EXP($I$3*(COUNT($I$9:AL$9)+$I$4))),TREND($E77:$F77,$E$9:$F$9,AL$9))</f>
        <v>0</v>
      </c>
    </row>
    <row r="78" spans="1:38" x14ac:dyDescent="0.25">
      <c r="C78" t="s">
        <v>120</v>
      </c>
      <c r="E78">
        <v>0</v>
      </c>
      <c r="F78">
        <v>0</v>
      </c>
      <c r="G78" s="7" t="str">
        <f>IF(E78=F78,"n/a",IF(OR(C78="battery electric vehicle",C78="natural gas vehicle",C78="plugin hybrid vehicle",C78="hydrogen vehicle"),"s-curve","linear"))</f>
        <v>n/a</v>
      </c>
      <c r="I78" s="22">
        <f t="shared" si="3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  <c r="AJ78">
        <f>IF($G78="s-curve",$E78+($F78-$E78)*$I$2/(1+EXP($I$3*(COUNT($I$9:AJ$9)+$I$4))),TREND($E78:$F78,$E$9:$F$9,AJ$9))</f>
        <v>0</v>
      </c>
      <c r="AK78">
        <f>IF($G78="s-curve",$E78+($F78-$E78)*$I$2/(1+EXP($I$3*(COUNT($I$9:AK$9)+$I$4))),TREND($E78:$F78,$E$9:$F$9,AK$9))</f>
        <v>0</v>
      </c>
      <c r="AL78">
        <f>IF($G78="s-curve",$E78+($F78-$E78)*$I$2/(1+EXP($I$3*(COUNT($I$9:AL$9)+$I$4))),TREND($E78:$F78,$E$9:$F$9,AL$9))</f>
        <v>0</v>
      </c>
    </row>
    <row r="79" spans="1:38" ht="15.75" thickBot="1" x14ac:dyDescent="0.3">
      <c r="A79" s="23"/>
      <c r="B79" s="23"/>
      <c r="C79" s="23" t="s">
        <v>121</v>
      </c>
      <c r="D79" s="23"/>
      <c r="E79" s="23">
        <v>0</v>
      </c>
      <c r="F79" s="23">
        <v>0</v>
      </c>
      <c r="G79" s="8" t="str">
        <f>IF(E79=F79,"n/a",IF(OR(C79="battery electric vehicle",C79="natural gas vehicle",C79="plugin hybrid vehicle",C79="hydrogen vehicle"),"s-curve","linear"))</f>
        <v>n/a</v>
      </c>
      <c r="I79" s="22">
        <f t="shared" si="3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  <c r="AJ79">
        <f>IF($G79="s-curve",$E79+($F79-$E79)*$I$2/(1+EXP($I$3*(COUNT($I$9:AJ$9)+$I$4))),TREND($E79:$F79,$E$9:$F$9,AJ$9))</f>
        <v>0</v>
      </c>
      <c r="AK79">
        <f>IF($G79="s-curve",$E79+($F79-$E79)*$I$2/(1+EXP($I$3*(COUNT($I$9:AK$9)+$I$4))),TREND($E79:$F79,$E$9:$F$9,AK$9))</f>
        <v>0</v>
      </c>
      <c r="AL79">
        <f>IF($G79="s-curve",$E79+($F79-$E79)*$I$2/(1+EXP($I$3*(COUNT($I$9:AL$9)+$I$4))),TREND($E79:$F79,$E$9:$F$9,AL$9))</f>
        <v>0</v>
      </c>
    </row>
    <row r="80" spans="1:38" x14ac:dyDescent="0.25">
      <c r="A80" t="s">
        <v>17</v>
      </c>
      <c r="B80" t="s">
        <v>19</v>
      </c>
      <c r="C80" t="s">
        <v>1</v>
      </c>
      <c r="E80" s="22">
        <f>'SYVbT-passenger'!C6/SUM('SYVbT-passenger'!6:6)</f>
        <v>0</v>
      </c>
      <c r="F80">
        <v>1</v>
      </c>
      <c r="G80" s="7" t="str">
        <f>IF(E80=F80,"n/a",IF(OR(C80="battery electric vehicle",C80="natural gas vehicle",C80="plugin hybrid vehicle"),"s-curve","linear"))</f>
        <v>s-curve</v>
      </c>
      <c r="I80" s="22">
        <f t="shared" si="3"/>
        <v>0</v>
      </c>
      <c r="J80">
        <f>IF($G80="s-curve",$E80+($F80-$E80)*$O$2/(1+EXP($O$3*(COUNT($I$9:J$9)+$O$4))),TREND($E80:$F80,$E$9:$F$9,J$9))</f>
        <v>7.2426485361517731E-2</v>
      </c>
      <c r="K80">
        <f>IF($G80="s-curve",$E80+($F80-$E80)*$O$2/(1+EXP($O$3*(COUNT($I$9:K$9)+$O$4))),TREND($E80:$F80,$E$9:$F$9,K$9))</f>
        <v>9.534946489910949E-2</v>
      </c>
      <c r="L80">
        <f>IF($G80="s-curve",$E80+($F80-$E80)*$O$2/(1+EXP($O$3*(COUNT($I$9:L$9)+$O$4))),TREND($E80:$F80,$E$9:$F$9,L$9))</f>
        <v>0.12455335818741645</v>
      </c>
      <c r="M80">
        <f>IF($G80="s-curve",$E80+($F80-$E80)*$O$2/(1+EXP($O$3*(COUNT($I$9:M$9)+$O$4))),TREND($E80:$F80,$E$9:$F$9,M$9))</f>
        <v>0.16110894957658525</v>
      </c>
      <c r="N80">
        <f>IF($G80="s-curve",$E80+($F80-$E80)*$O$2/(1+EXP($O$3*(COUNT($I$9:N$9)+$O$4))),TREND($E80:$F80,$E$9:$F$9,N$9))</f>
        <v>0.20587037180094736</v>
      </c>
      <c r="O80">
        <f>IF($G80="s-curve",$E80+($F80-$E80)*$O$2/(1+EXP($O$3*(COUNT($I$9:O$9)+$O$4))),TREND($E80:$F80,$E$9:$F$9,O$9))</f>
        <v>0.259225100817846</v>
      </c>
      <c r="P80">
        <f>IF($G80="s-curve",$E80+($F80-$E80)*$O$2/(1+EXP($O$3*(COUNT($I$9:P$9)+$O$4))),TREND($E80:$F80,$E$9:$F$9,P$9))</f>
        <v>0.32082130082460703</v>
      </c>
      <c r="Q80">
        <f>IF($G80="s-curve",$E80+($F80-$E80)*$O$2/(1+EXP($O$3*(COUNT($I$9:Q$9)+$O$4))),TREND($E80:$F80,$E$9:$F$9,Q$9))</f>
        <v>0.38936076605077802</v>
      </c>
      <c r="R80">
        <f>IF($G80="s-curve",$E80+($F80-$E80)*$O$2/(1+EXP($O$3*(COUNT($I$9:R$9)+$O$4))),TREND($E80:$F80,$E$9:$F$9,R$9))</f>
        <v>0.46257015465625045</v>
      </c>
      <c r="S80">
        <f>IF($G80="s-curve",$E80+($F80-$E80)*$O$2/(1+EXP($O$3*(COUNT($I$9:S$9)+$O$4))),TREND($E80:$F80,$E$9:$F$9,S$9))</f>
        <v>0.5374298453437496</v>
      </c>
      <c r="T80">
        <f>IF($G80="s-curve",$E80+($F80-$E80)*$O$2/(1+EXP($O$3*(COUNT($I$9:T$9)+$O$4))),TREND($E80:$F80,$E$9:$F$9,T$9))</f>
        <v>0.61063923394922204</v>
      </c>
      <c r="U80">
        <f>IF($G80="s-curve",$E80+($F80-$E80)*$O$2/(1+EXP($O$3*(COUNT($I$9:U$9)+$O$4))),TREND($E80:$F80,$E$9:$F$9,U$9))</f>
        <v>0.67917869917539297</v>
      </c>
      <c r="V80">
        <f>IF($G80="s-curve",$E80+($F80-$E80)*$O$2/(1+EXP($O$3*(COUNT($I$9:V$9)+$O$4))),TREND($E80:$F80,$E$9:$F$9,V$9))</f>
        <v>0.740774899182154</v>
      </c>
      <c r="W80">
        <f>IF($G80="s-curve",$E80+($F80-$E80)*$O$2/(1+EXP($O$3*(COUNT($I$9:W$9)+$O$4))),TREND($E80:$F80,$E$9:$F$9,W$9))</f>
        <v>0.79412962819905253</v>
      </c>
      <c r="X80">
        <f>IF($G80="s-curve",$E80+($F80-$E80)*$O$2/(1+EXP($O$3*(COUNT($I$9:X$9)+$O$4))),TREND($E80:$F80,$E$9:$F$9,X$9))</f>
        <v>0.83889105042341472</v>
      </c>
      <c r="Y80">
        <f>IF($G80="s-curve",$E80+($F80-$E80)*$O$2/(1+EXP($O$3*(COUNT($I$9:Y$9)+$O$4))),TREND($E80:$F80,$E$9:$F$9,Y$9))</f>
        <v>0.87544664181258358</v>
      </c>
      <c r="Z80">
        <f>IF($G80="s-curve",$E80+($F80-$E80)*$O$2/(1+EXP($O$3*(COUNT($I$9:Z$9)+$O$4))),TREND($E80:$F80,$E$9:$F$9,Z$9))</f>
        <v>0.90465053510089055</v>
      </c>
      <c r="AA80">
        <f>IF($G80="s-curve",$E80+($F80-$E80)*$O$2/(1+EXP($O$3*(COUNT($I$9:AA$9)+$O$4))),TREND($E80:$F80,$E$9:$F$9,AA$9))</f>
        <v>0.92757351463848225</v>
      </c>
      <c r="AB80">
        <f>IF($G80="s-curve",$E80+($F80-$E80)*$O$2/(1+EXP($O$3*(COUNT($I$9:AB$9)+$O$4))),TREND($E80:$F80,$E$9:$F$9,AB$9))</f>
        <v>0.94531868278405917</v>
      </c>
      <c r="AC80">
        <f>IF($G80="s-curve",$E80+($F80-$E80)*$O$2/(1+EXP($O$3*(COUNT($I$9:AC$9)+$O$4))),TREND($E80:$F80,$E$9:$F$9,AC$9))</f>
        <v>0.95890872179953501</v>
      </c>
      <c r="AD80">
        <f>IF($G80="s-curve",$E80+($F80-$E80)*$O$2/(1+EXP($O$3*(COUNT($I$9:AD$9)+$O$4))),TREND($E80:$F80,$E$9:$F$9,AD$9))</f>
        <v>0.96923114064285198</v>
      </c>
      <c r="AE80">
        <f>IF($G80="s-curve",$E80+($F80-$E80)*$O$2/(1+EXP($O$3*(COUNT($I$9:AE$9)+$O$4))),TREND($E80:$F80,$E$9:$F$9,AE$9))</f>
        <v>0.97702263008997436</v>
      </c>
      <c r="AF80">
        <f>IF($G80="s-curve",$E80+($F80-$E80)*$O$2/(1+EXP($O$3*(COUNT($I$9:AF$9)+$O$4))),TREND($E80:$F80,$E$9:$F$9,AF$9))</f>
        <v>0.98287596668427235</v>
      </c>
      <c r="AG80">
        <f>IF($G80="s-curve",$E80+($F80-$E80)*$O$2/(1+EXP($O$3*(COUNT($I$9:AG$9)+$O$4))),TREND($E80:$F80,$E$9:$F$9,AG$9))</f>
        <v>0.98725765053588843</v>
      </c>
      <c r="AH80">
        <f>IF($G80="s-curve",$E80+($F80-$E80)*$O$2/(1+EXP($O$3*(COUNT($I$9:AH$9)+$O$4))),TREND($E80:$F80,$E$9:$F$9,AH$9))</f>
        <v>0.99052895641805383</v>
      </c>
      <c r="AI80">
        <f>IF($G80="s-curve",$E80+($F80-$E80)*$O$2/(1+EXP($O$3*(COUNT($I$9:AI$9)+$O$4))),TREND($E80:$F80,$E$9:$F$9,AI$9))</f>
        <v>0.99296641284500486</v>
      </c>
      <c r="AJ80">
        <f>IF($G80="s-curve",$E80+($F80-$E80)*$O$2/(1+EXP($O$3*(COUNT($I$9:AJ$9)+$O$4))),TREND($E80:$F80,$E$9:$F$9,AJ$9))</f>
        <v>0.99477987430644166</v>
      </c>
      <c r="AK80">
        <f>IF($G80="s-curve",$E80+($F80-$E80)*$O$2/(1+EXP($O$3*(COUNT($I$9:AK$9)+$O$4))),TREND($E80:$F80,$E$9:$F$9,AK$9))</f>
        <v>0.99612759655932892</v>
      </c>
      <c r="AL80">
        <f>IF($G80="s-curve",$E80+($F80-$E80)*$O$2/(1+EXP($O$3*(COUNT($I$9:AL$9)+$O$4))),TREND($E80:$F80,$E$9:$F$9,AL$9))</f>
        <v>0.99712837084429951</v>
      </c>
    </row>
    <row r="81" spans="1:38" x14ac:dyDescent="0.25">
      <c r="C81" t="s">
        <v>2</v>
      </c>
      <c r="E81" s="22">
        <f>'SYVbT-passenger'!C7/SUM('SYVbT-passenger'!7:7)</f>
        <v>0</v>
      </c>
      <c r="F81">
        <v>0</v>
      </c>
      <c r="G81" s="7" t="str">
        <f>IF(E81=F81,"n/a",IF(OR(C81="battery electric vehicle",C81="natural gas vehicle",C81="plugin hybrid vehicle"),"s-curve","linear"))</f>
        <v>n/a</v>
      </c>
      <c r="I81" s="22">
        <f t="shared" si="3"/>
        <v>0</v>
      </c>
      <c r="J81">
        <f>IF($G81="s-curve",$E81+($F81-$E81)*$I$2/(1+EXP($I$3*(COUNT($I$9:J$9)+$I$4))),TREND($E81:$F81,$E$9:$F$9,J$9))</f>
        <v>0</v>
      </c>
      <c r="K81">
        <f>IF($G81="s-curve",$E81+($F81-$E81)*$I$2/(1+EXP($I$3*(COUNT($I$9:K$9)+$I$4))),TREND($E81:$F81,$E$9:$F$9,K$9))</f>
        <v>0</v>
      </c>
      <c r="L81">
        <f>IF($G81="s-curve",$E81+($F81-$E81)*$I$2/(1+EXP($I$3*(COUNT($I$9:L$9)+$I$4))),TREND($E81:$F81,$E$9:$F$9,L$9))</f>
        <v>0</v>
      </c>
      <c r="M81">
        <f>IF($G81="s-curve",$E81+($F81-$E81)*$I$2/(1+EXP($I$3*(COUNT($I$9:M$9)+$I$4))),TREND($E81:$F81,$E$9:$F$9,M$9))</f>
        <v>0</v>
      </c>
      <c r="N81">
        <f>IF($G81="s-curve",$E81+($F81-$E81)*$I$2/(1+EXP($I$3*(COUNT($I$9:N$9)+$I$4))),TREND($E81:$F81,$E$9:$F$9,N$9))</f>
        <v>0</v>
      </c>
      <c r="O81">
        <f>IF($G81="s-curve",$E81+($F81-$E81)*$I$2/(1+EXP($I$3*(COUNT($I$9:O$9)+$I$4))),TREND($E81:$F81,$E$9:$F$9,O$9))</f>
        <v>0</v>
      </c>
      <c r="P81">
        <f>IF($G81="s-curve",$E81+($F81-$E81)*$I$2/(1+EXP($I$3*(COUNT($I$9:P$9)+$I$4))),TREND($E81:$F81,$E$9:$F$9,P$9))</f>
        <v>0</v>
      </c>
      <c r="Q81">
        <f>IF($G81="s-curve",$E81+($F81-$E81)*$I$2/(1+EXP($I$3*(COUNT($I$9:Q$9)+$I$4))),TREND($E81:$F81,$E$9:$F$9,Q$9))</f>
        <v>0</v>
      </c>
      <c r="R81">
        <f>IF($G81="s-curve",$E81+($F81-$E81)*$I$2/(1+EXP($I$3*(COUNT($I$9:R$9)+$I$4))),TREND($E81:$F81,$E$9:$F$9,R$9))</f>
        <v>0</v>
      </c>
      <c r="S81">
        <f>IF($G81="s-curve",$E81+($F81-$E81)*$I$2/(1+EXP($I$3*(COUNT($I$9:S$9)+$I$4))),TREND($E81:$F81,$E$9:$F$9,S$9))</f>
        <v>0</v>
      </c>
      <c r="T81">
        <f>IF($G81="s-curve",$E81+($F81-$E81)*$I$2/(1+EXP($I$3*(COUNT($I$9:T$9)+$I$4))),TREND($E81:$F81,$E$9:$F$9,T$9))</f>
        <v>0</v>
      </c>
      <c r="U81">
        <f>IF($G81="s-curve",$E81+($F81-$E81)*$I$2/(1+EXP($I$3*(COUNT($I$9:U$9)+$I$4))),TREND($E81:$F81,$E$9:$F$9,U$9))</f>
        <v>0</v>
      </c>
      <c r="V81">
        <f>IF($G81="s-curve",$E81+($F81-$E81)*$I$2/(1+EXP($I$3*(COUNT($I$9:V$9)+$I$4))),TREND($E81:$F81,$E$9:$F$9,V$9))</f>
        <v>0</v>
      </c>
      <c r="W81">
        <f>IF($G81="s-curve",$E81+($F81-$E81)*$I$2/(1+EXP($I$3*(COUNT($I$9:W$9)+$I$4))),TREND($E81:$F81,$E$9:$F$9,W$9))</f>
        <v>0</v>
      </c>
      <c r="X81">
        <f>IF($G81="s-curve",$E81+($F81-$E81)*$I$2/(1+EXP($I$3*(COUNT($I$9:X$9)+$I$4))),TREND($E81:$F81,$E$9:$F$9,X$9))</f>
        <v>0</v>
      </c>
      <c r="Y81">
        <f>IF($G81="s-curve",$E81+($F81-$E81)*$I$2/(1+EXP($I$3*(COUNT($I$9:Y$9)+$I$4))),TREND($E81:$F81,$E$9:$F$9,Y$9))</f>
        <v>0</v>
      </c>
      <c r="Z81">
        <f>IF($G81="s-curve",$E81+($F81-$E81)*$I$2/(1+EXP($I$3*(COUNT($I$9:Z$9)+$I$4))),TREND($E81:$F81,$E$9:$F$9,Z$9))</f>
        <v>0</v>
      </c>
      <c r="AA81">
        <f>IF($G81="s-curve",$E81+($F81-$E81)*$I$2/(1+EXP($I$3*(COUNT($I$9:AA$9)+$I$4))),TREND($E81:$F81,$E$9:$F$9,AA$9))</f>
        <v>0</v>
      </c>
      <c r="AB81">
        <f>IF($G81="s-curve",$E81+($F81-$E81)*$I$2/(1+EXP($I$3*(COUNT($I$9:AB$9)+$I$4))),TREND($E81:$F81,$E$9:$F$9,AB$9))</f>
        <v>0</v>
      </c>
      <c r="AC81">
        <f>IF($G81="s-curve",$E81+($F81-$E81)*$I$2/(1+EXP($I$3*(COUNT($I$9:AC$9)+$I$4))),TREND($E81:$F81,$E$9:$F$9,AC$9))</f>
        <v>0</v>
      </c>
      <c r="AD81">
        <f>IF($G81="s-curve",$E81+($F81-$E81)*$I$2/(1+EXP($I$3*(COUNT($I$9:AD$9)+$I$4))),TREND($E81:$F81,$E$9:$F$9,AD$9))</f>
        <v>0</v>
      </c>
      <c r="AE81">
        <f>IF($G81="s-curve",$E81+($F81-$E81)*$I$2/(1+EXP($I$3*(COUNT($I$9:AE$9)+$I$4))),TREND($E81:$F81,$E$9:$F$9,AE$9))</f>
        <v>0</v>
      </c>
      <c r="AF81">
        <f>IF($G81="s-curve",$E81+($F81-$E81)*$I$2/(1+EXP($I$3*(COUNT($I$9:AF$9)+$I$4))),TREND($E81:$F81,$E$9:$F$9,AF$9))</f>
        <v>0</v>
      </c>
      <c r="AG81">
        <f>IF($G81="s-curve",$E81+($F81-$E81)*$I$2/(1+EXP($I$3*(COUNT($I$9:AG$9)+$I$4))),TREND($E81:$F81,$E$9:$F$9,AG$9))</f>
        <v>0</v>
      </c>
      <c r="AH81">
        <f>IF($G81="s-curve",$E81+($F81-$E81)*$I$2/(1+EXP($I$3*(COUNT($I$9:AH$9)+$I$4))),TREND($E81:$F81,$E$9:$F$9,AH$9))</f>
        <v>0</v>
      </c>
      <c r="AI81">
        <f>IF($G81="s-curve",$E81+($F81-$E81)*$I$2/(1+EXP($I$3*(COUNT($I$9:AI$9)+$I$4))),TREND($E81:$F81,$E$9:$F$9,AI$9))</f>
        <v>0</v>
      </c>
      <c r="AJ81">
        <f>IF($G81="s-curve",$E81+($F81-$E81)*$I$2/(1+EXP($I$3*(COUNT($I$9:AJ$9)+$I$4))),TREND($E81:$F81,$E$9:$F$9,AJ$9))</f>
        <v>0</v>
      </c>
      <c r="AK81">
        <f>IF($G81="s-curve",$E81+($F81-$E81)*$I$2/(1+EXP($I$3*(COUNT($I$9:AK$9)+$I$4))),TREND($E81:$F81,$E$9:$F$9,AK$9))</f>
        <v>0</v>
      </c>
      <c r="AL81">
        <f>IF($G81="s-curve",$E81+($F81-$E81)*$I$2/(1+EXP($I$3*(COUNT($I$9:AL$9)+$I$4))),TREND($E81:$F81,$E$9:$F$9,AL$9))</f>
        <v>0</v>
      </c>
    </row>
    <row r="82" spans="1:38" x14ac:dyDescent="0.25">
      <c r="C82" t="s">
        <v>3</v>
      </c>
      <c r="E82">
        <v>3</v>
      </c>
      <c r="F82">
        <v>3</v>
      </c>
      <c r="G82" s="7" t="str">
        <f>IF(E82=F82,"n/a",IF(OR(C82="battery electric vehicle",C82="natural gas vehicle",C82="plugin hybrid vehicle"),"s-curve","linear"))</f>
        <v>n/a</v>
      </c>
      <c r="I82" s="22">
        <f t="shared" si="3"/>
        <v>3</v>
      </c>
      <c r="J82">
        <f>IF($G82="s-curve",$E82+($F82-$E82)*$I$2/(1+EXP($I$3*(COUNT($I$9:J$9)+$I$4))),TREND($E82:$F82,$E$9:$F$9,J$9))</f>
        <v>3</v>
      </c>
      <c r="K82">
        <f>IF($G82="s-curve",$E82+($F82-$E82)*$I$2/(1+EXP($I$3*(COUNT($I$9:K$9)+$I$4))),TREND($E82:$F82,$E$9:$F$9,K$9))</f>
        <v>3</v>
      </c>
      <c r="L82">
        <f>IF($G82="s-curve",$E82+($F82-$E82)*$I$2/(1+EXP($I$3*(COUNT($I$9:L$9)+$I$4))),TREND($E82:$F82,$E$9:$F$9,L$9))</f>
        <v>3</v>
      </c>
      <c r="M82">
        <f>IF($G82="s-curve",$E82+($F82-$E82)*$I$2/(1+EXP($I$3*(COUNT($I$9:M$9)+$I$4))),TREND($E82:$F82,$E$9:$F$9,M$9))</f>
        <v>3</v>
      </c>
      <c r="N82">
        <f>IF($G82="s-curve",$E82+($F82-$E82)*$I$2/(1+EXP($I$3*(COUNT($I$9:N$9)+$I$4))),TREND($E82:$F82,$E$9:$F$9,N$9))</f>
        <v>3</v>
      </c>
      <c r="O82">
        <f>IF($G82="s-curve",$E82+($F82-$E82)*$I$2/(1+EXP($I$3*(COUNT($I$9:O$9)+$I$4))),TREND($E82:$F82,$E$9:$F$9,O$9))</f>
        <v>3</v>
      </c>
      <c r="P82">
        <f>IF($G82="s-curve",$E82+($F82-$E82)*$I$2/(1+EXP($I$3*(COUNT($I$9:P$9)+$I$4))),TREND($E82:$F82,$E$9:$F$9,P$9))</f>
        <v>3</v>
      </c>
      <c r="Q82">
        <f>IF($G82="s-curve",$E82+($F82-$E82)*$I$2/(1+EXP($I$3*(COUNT($I$9:Q$9)+$I$4))),TREND($E82:$F82,$E$9:$F$9,Q$9))</f>
        <v>3</v>
      </c>
      <c r="R82">
        <f>IF($G82="s-curve",$E82+($F82-$E82)*$I$2/(1+EXP($I$3*(COUNT($I$9:R$9)+$I$4))),TREND($E82:$F82,$E$9:$F$9,R$9))</f>
        <v>3</v>
      </c>
      <c r="S82">
        <f>IF($G82="s-curve",$E82+($F82-$E82)*$I$2/(1+EXP($I$3*(COUNT($I$9:S$9)+$I$4))),TREND($E82:$F82,$E$9:$F$9,S$9))</f>
        <v>3</v>
      </c>
      <c r="T82">
        <f>IF($G82="s-curve",$E82+($F82-$E82)*$I$2/(1+EXP($I$3*(COUNT($I$9:T$9)+$I$4))),TREND($E82:$F82,$E$9:$F$9,T$9))</f>
        <v>3</v>
      </c>
      <c r="U82">
        <f>IF($G82="s-curve",$E82+($F82-$E82)*$I$2/(1+EXP($I$3*(COUNT($I$9:U$9)+$I$4))),TREND($E82:$F82,$E$9:$F$9,U$9))</f>
        <v>3</v>
      </c>
      <c r="V82">
        <f>IF($G82="s-curve",$E82+($F82-$E82)*$I$2/(1+EXP($I$3*(COUNT($I$9:V$9)+$I$4))),TREND($E82:$F82,$E$9:$F$9,V$9))</f>
        <v>3</v>
      </c>
      <c r="W82">
        <f>IF($G82="s-curve",$E82+($F82-$E82)*$I$2/(1+EXP($I$3*(COUNT($I$9:W$9)+$I$4))),TREND($E82:$F82,$E$9:$F$9,W$9))</f>
        <v>3</v>
      </c>
      <c r="X82">
        <f>IF($G82="s-curve",$E82+($F82-$E82)*$I$2/(1+EXP($I$3*(COUNT($I$9:X$9)+$I$4))),TREND($E82:$F82,$E$9:$F$9,X$9))</f>
        <v>3</v>
      </c>
      <c r="Y82">
        <f>IF($G82="s-curve",$E82+($F82-$E82)*$I$2/(1+EXP($I$3*(COUNT($I$9:Y$9)+$I$4))),TREND($E82:$F82,$E$9:$F$9,Y$9))</f>
        <v>3</v>
      </c>
      <c r="Z82">
        <f>IF($G82="s-curve",$E82+($F82-$E82)*$I$2/(1+EXP($I$3*(COUNT($I$9:Z$9)+$I$4))),TREND($E82:$F82,$E$9:$F$9,Z$9))</f>
        <v>3</v>
      </c>
      <c r="AA82">
        <f>IF($G82="s-curve",$E82+($F82-$E82)*$I$2/(1+EXP($I$3*(COUNT($I$9:AA$9)+$I$4))),TREND($E82:$F82,$E$9:$F$9,AA$9))</f>
        <v>3</v>
      </c>
      <c r="AB82">
        <f>IF($G82="s-curve",$E82+($F82-$E82)*$I$2/(1+EXP($I$3*(COUNT($I$9:AB$9)+$I$4))),TREND($E82:$F82,$E$9:$F$9,AB$9))</f>
        <v>3</v>
      </c>
      <c r="AC82">
        <f>IF($G82="s-curve",$E82+($F82-$E82)*$I$2/(1+EXP($I$3*(COUNT($I$9:AC$9)+$I$4))),TREND($E82:$F82,$E$9:$F$9,AC$9))</f>
        <v>3</v>
      </c>
      <c r="AD82">
        <f>IF($G82="s-curve",$E82+($F82-$E82)*$I$2/(1+EXP($I$3*(COUNT($I$9:AD$9)+$I$4))),TREND($E82:$F82,$E$9:$F$9,AD$9))</f>
        <v>3</v>
      </c>
      <c r="AE82">
        <f>IF($G82="s-curve",$E82+($F82-$E82)*$I$2/(1+EXP($I$3*(COUNT($I$9:AE$9)+$I$4))),TREND($E82:$F82,$E$9:$F$9,AE$9))</f>
        <v>3</v>
      </c>
      <c r="AF82">
        <f>IF($G82="s-curve",$E82+($F82-$E82)*$I$2/(1+EXP($I$3*(COUNT($I$9:AF$9)+$I$4))),TREND($E82:$F82,$E$9:$F$9,AF$9))</f>
        <v>3</v>
      </c>
      <c r="AG82">
        <f>IF($G82="s-curve",$E82+($F82-$E82)*$I$2/(1+EXP($I$3*(COUNT($I$9:AG$9)+$I$4))),TREND($E82:$F82,$E$9:$F$9,AG$9))</f>
        <v>3</v>
      </c>
      <c r="AH82">
        <f>IF($G82="s-curve",$E82+($F82-$E82)*$I$2/(1+EXP($I$3*(COUNT($I$9:AH$9)+$I$4))),TREND($E82:$F82,$E$9:$F$9,AH$9))</f>
        <v>3</v>
      </c>
      <c r="AI82">
        <f>IF($G82="s-curve",$E82+($F82-$E82)*$I$2/(1+EXP($I$3*(COUNT($I$9:AI$9)+$I$4))),TREND($E82:$F82,$E$9:$F$9,AI$9))</f>
        <v>3</v>
      </c>
      <c r="AJ82">
        <f>IF($G82="s-curve",$E82+($F82-$E82)*$I$2/(1+EXP($I$3*(COUNT($I$9:AJ$9)+$I$4))),TREND($E82:$F82,$E$9:$F$9,AJ$9))</f>
        <v>3</v>
      </c>
      <c r="AK82">
        <f>IF($G82="s-curve",$E82+($F82-$E82)*$I$2/(1+EXP($I$3*(COUNT($I$9:AK$9)+$I$4))),TREND($E82:$F82,$E$9:$F$9,AK$9))</f>
        <v>3</v>
      </c>
      <c r="AL82">
        <f>IF($G82="s-curve",$E82+($F82-$E82)*$I$2/(1+EXP($I$3*(COUNT($I$9:AL$9)+$I$4))),TREND($E82:$F82,$E$9:$F$9,AL$9))</f>
        <v>3</v>
      </c>
    </row>
    <row r="83" spans="1:38" x14ac:dyDescent="0.25">
      <c r="C83" t="s">
        <v>4</v>
      </c>
      <c r="E83" s="22">
        <f>'SYVbT-passenger'!E7/SUM('SYVbT-passenger'!7:7)</f>
        <v>0</v>
      </c>
      <c r="F83">
        <v>0</v>
      </c>
      <c r="G83" s="7" t="str">
        <f>IF(E83=F83,"n/a",IF(OR(C83="battery electric vehicle",C83="natural gas vehicle",C83="plugin hybrid vehicle"),"s-curve","linear"))</f>
        <v>n/a</v>
      </c>
      <c r="I83" s="22">
        <f t="shared" si="3"/>
        <v>0</v>
      </c>
      <c r="J83">
        <f>IF($G83="s-curve",$E83+($F83-$E83)*$I$2/(1+EXP($I$3*(COUNT($I$9:J$9)+$I$4))),TREND($E83:$F83,$E$9:$F$9,J$9))</f>
        <v>0</v>
      </c>
      <c r="K83">
        <f>IF($G83="s-curve",$E83+($F83-$E83)*$I$2/(1+EXP($I$3*(COUNT($I$9:K$9)+$I$4))),TREND($E83:$F83,$E$9:$F$9,K$9))</f>
        <v>0</v>
      </c>
      <c r="L83">
        <f>IF($G83="s-curve",$E83+($F83-$E83)*$I$2/(1+EXP($I$3*(COUNT($I$9:L$9)+$I$4))),TREND($E83:$F83,$E$9:$F$9,L$9))</f>
        <v>0</v>
      </c>
      <c r="M83">
        <f>IF($G83="s-curve",$E83+($F83-$E83)*$I$2/(1+EXP($I$3*(COUNT($I$9:M$9)+$I$4))),TREND($E83:$F83,$E$9:$F$9,M$9))</f>
        <v>0</v>
      </c>
      <c r="N83">
        <f>IF($G83="s-curve",$E83+($F83-$E83)*$I$2/(1+EXP($I$3*(COUNT($I$9:N$9)+$I$4))),TREND($E83:$F83,$E$9:$F$9,N$9))</f>
        <v>0</v>
      </c>
      <c r="O83">
        <f>IF($G83="s-curve",$E83+($F83-$E83)*$I$2/(1+EXP($I$3*(COUNT($I$9:O$9)+$I$4))),TREND($E83:$F83,$E$9:$F$9,O$9))</f>
        <v>0</v>
      </c>
      <c r="P83">
        <f>IF($G83="s-curve",$E83+($F83-$E83)*$I$2/(1+EXP($I$3*(COUNT($I$9:P$9)+$I$4))),TREND($E83:$F83,$E$9:$F$9,P$9))</f>
        <v>0</v>
      </c>
      <c r="Q83">
        <f>IF($G83="s-curve",$E83+($F83-$E83)*$I$2/(1+EXP($I$3*(COUNT($I$9:Q$9)+$I$4))),TREND($E83:$F83,$E$9:$F$9,Q$9))</f>
        <v>0</v>
      </c>
      <c r="R83">
        <f>IF($G83="s-curve",$E83+($F83-$E83)*$I$2/(1+EXP($I$3*(COUNT($I$9:R$9)+$I$4))),TREND($E83:$F83,$E$9:$F$9,R$9))</f>
        <v>0</v>
      </c>
      <c r="S83">
        <f>IF($G83="s-curve",$E83+($F83-$E83)*$I$2/(1+EXP($I$3*(COUNT($I$9:S$9)+$I$4))),TREND($E83:$F83,$E$9:$F$9,S$9))</f>
        <v>0</v>
      </c>
      <c r="T83">
        <f>IF($G83="s-curve",$E83+($F83-$E83)*$I$2/(1+EXP($I$3*(COUNT($I$9:T$9)+$I$4))),TREND($E83:$F83,$E$9:$F$9,T$9))</f>
        <v>0</v>
      </c>
      <c r="U83">
        <f>IF($G83="s-curve",$E83+($F83-$E83)*$I$2/(1+EXP($I$3*(COUNT($I$9:U$9)+$I$4))),TREND($E83:$F83,$E$9:$F$9,U$9))</f>
        <v>0</v>
      </c>
      <c r="V83">
        <f>IF($G83="s-curve",$E83+($F83-$E83)*$I$2/(1+EXP($I$3*(COUNT($I$9:V$9)+$I$4))),TREND($E83:$F83,$E$9:$F$9,V$9))</f>
        <v>0</v>
      </c>
      <c r="W83">
        <f>IF($G83="s-curve",$E83+($F83-$E83)*$I$2/(1+EXP($I$3*(COUNT($I$9:W$9)+$I$4))),TREND($E83:$F83,$E$9:$F$9,W$9))</f>
        <v>0</v>
      </c>
      <c r="X83">
        <f>IF($G83="s-curve",$E83+($F83-$E83)*$I$2/(1+EXP($I$3*(COUNT($I$9:X$9)+$I$4))),TREND($E83:$F83,$E$9:$F$9,X$9))</f>
        <v>0</v>
      </c>
      <c r="Y83">
        <f>IF($G83="s-curve",$E83+($F83-$E83)*$I$2/(1+EXP($I$3*(COUNT($I$9:Y$9)+$I$4))),TREND($E83:$F83,$E$9:$F$9,Y$9))</f>
        <v>0</v>
      </c>
      <c r="Z83">
        <f>IF($G83="s-curve",$E83+($F83-$E83)*$I$2/(1+EXP($I$3*(COUNT($I$9:Z$9)+$I$4))),TREND($E83:$F83,$E$9:$F$9,Z$9))</f>
        <v>0</v>
      </c>
      <c r="AA83">
        <f>IF($G83="s-curve",$E83+($F83-$E83)*$I$2/(1+EXP($I$3*(COUNT($I$9:AA$9)+$I$4))),TREND($E83:$F83,$E$9:$F$9,AA$9))</f>
        <v>0</v>
      </c>
      <c r="AB83">
        <f>IF($G83="s-curve",$E83+($F83-$E83)*$I$2/(1+EXP($I$3*(COUNT($I$9:AB$9)+$I$4))),TREND($E83:$F83,$E$9:$F$9,AB$9))</f>
        <v>0</v>
      </c>
      <c r="AC83">
        <f>IF($G83="s-curve",$E83+($F83-$E83)*$I$2/(1+EXP($I$3*(COUNT($I$9:AC$9)+$I$4))),TREND($E83:$F83,$E$9:$F$9,AC$9))</f>
        <v>0</v>
      </c>
      <c r="AD83">
        <f>IF($G83="s-curve",$E83+($F83-$E83)*$I$2/(1+EXP($I$3*(COUNT($I$9:AD$9)+$I$4))),TREND($E83:$F83,$E$9:$F$9,AD$9))</f>
        <v>0</v>
      </c>
      <c r="AE83">
        <f>IF($G83="s-curve",$E83+($F83-$E83)*$I$2/(1+EXP($I$3*(COUNT($I$9:AE$9)+$I$4))),TREND($E83:$F83,$E$9:$F$9,AE$9))</f>
        <v>0</v>
      </c>
      <c r="AF83">
        <f>IF($G83="s-curve",$E83+($F83-$E83)*$I$2/(1+EXP($I$3*(COUNT($I$9:AF$9)+$I$4))),TREND($E83:$F83,$E$9:$F$9,AF$9))</f>
        <v>0</v>
      </c>
      <c r="AG83">
        <f>IF($G83="s-curve",$E83+($F83-$E83)*$I$2/(1+EXP($I$3*(COUNT($I$9:AG$9)+$I$4))),TREND($E83:$F83,$E$9:$F$9,AG$9))</f>
        <v>0</v>
      </c>
      <c r="AH83">
        <f>IF($G83="s-curve",$E83+($F83-$E83)*$I$2/(1+EXP($I$3*(COUNT($I$9:AH$9)+$I$4))),TREND($E83:$F83,$E$9:$F$9,AH$9))</f>
        <v>0</v>
      </c>
      <c r="AI83">
        <f>IF($G83="s-curve",$E83+($F83-$E83)*$I$2/(1+EXP($I$3*(COUNT($I$9:AI$9)+$I$4))),TREND($E83:$F83,$E$9:$F$9,AI$9))</f>
        <v>0</v>
      </c>
      <c r="AJ83">
        <f>IF($G83="s-curve",$E83+($F83-$E83)*$I$2/(1+EXP($I$3*(COUNT($I$9:AJ$9)+$I$4))),TREND($E83:$F83,$E$9:$F$9,AJ$9))</f>
        <v>0</v>
      </c>
      <c r="AK83">
        <f>IF($G83="s-curve",$E83+($F83-$E83)*$I$2/(1+EXP($I$3*(COUNT($I$9:AK$9)+$I$4))),TREND($E83:$F83,$E$9:$F$9,AK$9))</f>
        <v>0</v>
      </c>
      <c r="AL83">
        <f>IF($G83="s-curve",$E83+($F83-$E83)*$I$2/(1+EXP($I$3*(COUNT($I$9:AL$9)+$I$4))),TREND($E83:$F83,$E$9:$F$9,AL$9))</f>
        <v>0</v>
      </c>
    </row>
    <row r="84" spans="1:38" x14ac:dyDescent="0.25">
      <c r="C84" t="s">
        <v>5</v>
      </c>
      <c r="E84" s="22">
        <f>'SYVbT-passenger'!F7/SUM('SYVbT-passenger'!7:7)</f>
        <v>0</v>
      </c>
      <c r="F84">
        <v>0</v>
      </c>
      <c r="G84" s="7" t="str">
        <f>IF(E84=F84,"n/a",IF(OR(C84="battery electric vehicle",C84="natural gas vehicle",C84="plugin hybrid vehicle"),"s-curve","linear"))</f>
        <v>n/a</v>
      </c>
      <c r="I84" s="22">
        <f t="shared" si="3"/>
        <v>0</v>
      </c>
      <c r="J84">
        <f>IF($G84="s-curve",$E84+($F84-$E84)*$I$2/(1+EXP($I$3*(COUNT($I$9:J$9)+$I$4))),TREND($E84:$F84,$E$9:$F$9,J$9))</f>
        <v>0</v>
      </c>
      <c r="K84">
        <f>IF($G84="s-curve",$E84+($F84-$E84)*$I$2/(1+EXP($I$3*(COUNT($I$9:K$9)+$I$4))),TREND($E84:$F84,$E$9:$F$9,K$9))</f>
        <v>0</v>
      </c>
      <c r="L84">
        <f>IF($G84="s-curve",$E84+($F84-$E84)*$I$2/(1+EXP($I$3*(COUNT($I$9:L$9)+$I$4))),TREND($E84:$F84,$E$9:$F$9,L$9))</f>
        <v>0</v>
      </c>
      <c r="M84">
        <f>IF($G84="s-curve",$E84+($F84-$E84)*$I$2/(1+EXP($I$3*(COUNT($I$9:M$9)+$I$4))),TREND($E84:$F84,$E$9:$F$9,M$9))</f>
        <v>0</v>
      </c>
      <c r="N84">
        <f>IF($G84="s-curve",$E84+($F84-$E84)*$I$2/(1+EXP($I$3*(COUNT($I$9:N$9)+$I$4))),TREND($E84:$F84,$E$9:$F$9,N$9))</f>
        <v>0</v>
      </c>
      <c r="O84">
        <f>IF($G84="s-curve",$E84+($F84-$E84)*$I$2/(1+EXP($I$3*(COUNT($I$9:O$9)+$I$4))),TREND($E84:$F84,$E$9:$F$9,O$9))</f>
        <v>0</v>
      </c>
      <c r="P84">
        <f>IF($G84="s-curve",$E84+($F84-$E84)*$I$2/(1+EXP($I$3*(COUNT($I$9:P$9)+$I$4))),TREND($E84:$F84,$E$9:$F$9,P$9))</f>
        <v>0</v>
      </c>
      <c r="Q84">
        <f>IF($G84="s-curve",$E84+($F84-$E84)*$I$2/(1+EXP($I$3*(COUNT($I$9:Q$9)+$I$4))),TREND($E84:$F84,$E$9:$F$9,Q$9))</f>
        <v>0</v>
      </c>
      <c r="R84">
        <f>IF($G84="s-curve",$E84+($F84-$E84)*$I$2/(1+EXP($I$3*(COUNT($I$9:R$9)+$I$4))),TREND($E84:$F84,$E$9:$F$9,R$9))</f>
        <v>0</v>
      </c>
      <c r="S84">
        <f>IF($G84="s-curve",$E84+($F84-$E84)*$I$2/(1+EXP($I$3*(COUNT($I$9:S$9)+$I$4))),TREND($E84:$F84,$E$9:$F$9,S$9))</f>
        <v>0</v>
      </c>
      <c r="T84">
        <f>IF($G84="s-curve",$E84+($F84-$E84)*$I$2/(1+EXP($I$3*(COUNT($I$9:T$9)+$I$4))),TREND($E84:$F84,$E$9:$F$9,T$9))</f>
        <v>0</v>
      </c>
      <c r="U84">
        <f>IF($G84="s-curve",$E84+($F84-$E84)*$I$2/(1+EXP($I$3*(COUNT($I$9:U$9)+$I$4))),TREND($E84:$F84,$E$9:$F$9,U$9))</f>
        <v>0</v>
      </c>
      <c r="V84">
        <f>IF($G84="s-curve",$E84+($F84-$E84)*$I$2/(1+EXP($I$3*(COUNT($I$9:V$9)+$I$4))),TREND($E84:$F84,$E$9:$F$9,V$9))</f>
        <v>0</v>
      </c>
      <c r="W84">
        <f>IF($G84="s-curve",$E84+($F84-$E84)*$I$2/(1+EXP($I$3*(COUNT($I$9:W$9)+$I$4))),TREND($E84:$F84,$E$9:$F$9,W$9))</f>
        <v>0</v>
      </c>
      <c r="X84">
        <f>IF($G84="s-curve",$E84+($F84-$E84)*$I$2/(1+EXP($I$3*(COUNT($I$9:X$9)+$I$4))),TREND($E84:$F84,$E$9:$F$9,X$9))</f>
        <v>0</v>
      </c>
      <c r="Y84">
        <f>IF($G84="s-curve",$E84+($F84-$E84)*$I$2/(1+EXP($I$3*(COUNT($I$9:Y$9)+$I$4))),TREND($E84:$F84,$E$9:$F$9,Y$9))</f>
        <v>0</v>
      </c>
      <c r="Z84">
        <f>IF($G84="s-curve",$E84+($F84-$E84)*$I$2/(1+EXP($I$3*(COUNT($I$9:Z$9)+$I$4))),TREND($E84:$F84,$E$9:$F$9,Z$9))</f>
        <v>0</v>
      </c>
      <c r="AA84">
        <f>IF($G84="s-curve",$E84+($F84-$E84)*$I$2/(1+EXP($I$3*(COUNT($I$9:AA$9)+$I$4))),TREND($E84:$F84,$E$9:$F$9,AA$9))</f>
        <v>0</v>
      </c>
      <c r="AB84">
        <f>IF($G84="s-curve",$E84+($F84-$E84)*$I$2/(1+EXP($I$3*(COUNT($I$9:AB$9)+$I$4))),TREND($E84:$F84,$E$9:$F$9,AB$9))</f>
        <v>0</v>
      </c>
      <c r="AC84">
        <f>IF($G84="s-curve",$E84+($F84-$E84)*$I$2/(1+EXP($I$3*(COUNT($I$9:AC$9)+$I$4))),TREND($E84:$F84,$E$9:$F$9,AC$9))</f>
        <v>0</v>
      </c>
      <c r="AD84">
        <f>IF($G84="s-curve",$E84+($F84-$E84)*$I$2/(1+EXP($I$3*(COUNT($I$9:AD$9)+$I$4))),TREND($E84:$F84,$E$9:$F$9,AD$9))</f>
        <v>0</v>
      </c>
      <c r="AE84">
        <f>IF($G84="s-curve",$E84+($F84-$E84)*$I$2/(1+EXP($I$3*(COUNT($I$9:AE$9)+$I$4))),TREND($E84:$F84,$E$9:$F$9,AE$9))</f>
        <v>0</v>
      </c>
      <c r="AF84">
        <f>IF($G84="s-curve",$E84+($F84-$E84)*$I$2/(1+EXP($I$3*(COUNT($I$9:AF$9)+$I$4))),TREND($E84:$F84,$E$9:$F$9,AF$9))</f>
        <v>0</v>
      </c>
      <c r="AG84">
        <f>IF($G84="s-curve",$E84+($F84-$E84)*$I$2/(1+EXP($I$3*(COUNT($I$9:AG$9)+$I$4))),TREND($E84:$F84,$E$9:$F$9,AG$9))</f>
        <v>0</v>
      </c>
      <c r="AH84">
        <f>IF($G84="s-curve",$E84+($F84-$E84)*$I$2/(1+EXP($I$3*(COUNT($I$9:AH$9)+$I$4))),TREND($E84:$F84,$E$9:$F$9,AH$9))</f>
        <v>0</v>
      </c>
      <c r="AI84">
        <f>IF($G84="s-curve",$E84+($F84-$E84)*$I$2/(1+EXP($I$3*(COUNT($I$9:AI$9)+$I$4))),TREND($E84:$F84,$E$9:$F$9,AI$9))</f>
        <v>0</v>
      </c>
      <c r="AJ84">
        <f>IF($G84="s-curve",$E84+($F84-$E84)*$I$2/(1+EXP($I$3*(COUNT($I$9:AJ$9)+$I$4))),TREND($E84:$F84,$E$9:$F$9,AJ$9))</f>
        <v>0</v>
      </c>
      <c r="AK84">
        <f>IF($G84="s-curve",$E84+($F84-$E84)*$I$2/(1+EXP($I$3*(COUNT($I$9:AK$9)+$I$4))),TREND($E84:$F84,$E$9:$F$9,AK$9))</f>
        <v>0</v>
      </c>
      <c r="AL84">
        <f>IF($G84="s-curve",$E84+($F84-$E84)*$I$2/(1+EXP($I$3*(COUNT($I$9:AL$9)+$I$4))),TREND($E84:$F84,$E$9:$F$9,AL$9))</f>
        <v>0</v>
      </c>
    </row>
    <row r="85" spans="1:38" x14ac:dyDescent="0.25">
      <c r="C85" t="s">
        <v>120</v>
      </c>
      <c r="E85" s="22">
        <f>'SYVbT-passenger'!G7/SUM('SYVbT-passenger'!7:7)</f>
        <v>0</v>
      </c>
      <c r="F85">
        <v>0</v>
      </c>
      <c r="G85" s="7" t="str">
        <f>IF(E85=F85,"n/a",IF(OR(C85="battery electric vehicle",C85="natural gas vehicle",C85="plugin hybrid vehicle",C85="hydrogen vehicle"),"s-curve","linear"))</f>
        <v>n/a</v>
      </c>
      <c r="I85" s="22">
        <f t="shared" si="3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  <c r="AJ85">
        <f>IF($G85="s-curve",$E85+($F85-$E85)*$I$2/(1+EXP($I$3*(COUNT($I$9:AJ$9)+$I$4))),TREND($E85:$F85,$E$9:$F$9,AJ$9))</f>
        <v>0</v>
      </c>
      <c r="AK85">
        <f>IF($G85="s-curve",$E85+($F85-$E85)*$I$2/(1+EXP($I$3*(COUNT($I$9:AK$9)+$I$4))),TREND($E85:$F85,$E$9:$F$9,AK$9))</f>
        <v>0</v>
      </c>
      <c r="AL85">
        <f>IF($G85="s-curve",$E85+($F85-$E85)*$I$2/(1+EXP($I$3*(COUNT($I$9:AL$9)+$I$4))),TREND($E85:$F85,$E$9:$F$9,AL$9))</f>
        <v>0</v>
      </c>
    </row>
    <row r="86" spans="1:38" ht="15.75" thickBot="1" x14ac:dyDescent="0.3">
      <c r="A86" s="23"/>
      <c r="B86" s="23"/>
      <c r="C86" s="23" t="s">
        <v>121</v>
      </c>
      <c r="D86" s="23"/>
      <c r="E86" s="26">
        <f>'SYVbT-passenger'!H7/SUM('SYVbT-passenger'!7:7)</f>
        <v>0</v>
      </c>
      <c r="F86" s="23">
        <v>0</v>
      </c>
      <c r="G86" s="8" t="str">
        <f>IF(E86=F86,"n/a",IF(OR(C86="battery electric vehicle",C86="natural gas vehicle",C86="plugin hybrid vehicle",C86="hydrogen vehicle"),"s-curve","linear"))</f>
        <v>n/a</v>
      </c>
      <c r="I86" s="22">
        <f t="shared" si="3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  <c r="AJ86">
        <f>IF($G86="s-curve",$E86+($F86-$E86)*$I$2/(1+EXP($I$3*(COUNT($I$9:AJ$9)+$I$4))),TREND($E86:$F86,$E$9:$F$9,AJ$9))</f>
        <v>0</v>
      </c>
      <c r="AK86">
        <f>IF($G86="s-curve",$E86+($F86-$E86)*$I$2/(1+EXP($I$3*(COUNT($I$9:AK$9)+$I$4))),TREND($E86:$F86,$E$9:$F$9,AK$9))</f>
        <v>0</v>
      </c>
      <c r="AL86">
        <f>IF($G86="s-curve",$E86+($F86-$E86)*$I$2/(1+EXP($I$3*(COUNT($I$9:AL$9)+$I$4))),TREND($E86:$F86,$E$9:$F$9,AL$9))</f>
        <v>0</v>
      </c>
    </row>
    <row r="87" spans="1:38" x14ac:dyDescent="0.25">
      <c r="A87" t="s">
        <v>17</v>
      </c>
      <c r="B87" t="s">
        <v>18</v>
      </c>
      <c r="C87" t="s">
        <v>1</v>
      </c>
      <c r="E87">
        <v>0</v>
      </c>
      <c r="F87">
        <v>0</v>
      </c>
      <c r="G87" s="7" t="str">
        <f>IF(E87=F87,"n/a",IF(OR(C87="battery electric vehicle",C87="natural gas vehicle",C87="plugin hybrid vehicle"),"s-curve","linear"))</f>
        <v>n/a</v>
      </c>
      <c r="I87" s="22">
        <f t="shared" si="3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  <c r="AJ87">
        <f>IF($G87="s-curve",$E87+($F87-$E87)*$I$2/(1+EXP($I$3*(COUNT($I$9:AJ$9)+$I$4))),TREND($E87:$F87,$E$9:$F$9,AJ$9))</f>
        <v>0</v>
      </c>
      <c r="AK87">
        <f>IF($G87="s-curve",$E87+($F87-$E87)*$I$2/(1+EXP($I$3*(COUNT($I$9:AK$9)+$I$4))),TREND($E87:$F87,$E$9:$F$9,AK$9))</f>
        <v>0</v>
      </c>
      <c r="AL87">
        <f>IF($G87="s-curve",$E87+($F87-$E87)*$I$2/(1+EXP($I$3*(COUNT($I$9:AL$9)+$I$4))),TREND($E87:$F87,$E$9:$F$9,AL$9))</f>
        <v>0</v>
      </c>
    </row>
    <row r="88" spans="1:38" x14ac:dyDescent="0.25">
      <c r="C88" t="s">
        <v>2</v>
      </c>
      <c r="E88">
        <v>0</v>
      </c>
      <c r="F88">
        <v>0</v>
      </c>
      <c r="G88" s="7" t="str">
        <f>IF(E88=F88,"n/a",IF(OR(C88="battery electric vehicle",C88="natural gas vehicle",C88="plugin hybrid vehicle"),"s-curve","linear"))</f>
        <v>n/a</v>
      </c>
      <c r="I88" s="22">
        <f t="shared" si="3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  <c r="AJ88">
        <f>IF($G88="s-curve",$E88+($F88-$E88)*$I$2/(1+EXP($I$3*(COUNT($I$9:AJ$9)+$I$4))),TREND($E88:$F88,$E$9:$F$9,AJ$9))</f>
        <v>0</v>
      </c>
      <c r="AK88">
        <f>IF($G88="s-curve",$E88+($F88-$E88)*$I$2/(1+EXP($I$3*(COUNT($I$9:AK$9)+$I$4))),TREND($E88:$F88,$E$9:$F$9,AK$9))</f>
        <v>0</v>
      </c>
      <c r="AL88">
        <f>IF($G88="s-curve",$E88+($F88-$E88)*$I$2/(1+EXP($I$3*(COUNT($I$9:AL$9)+$I$4))),TREND($E88:$F88,$E$9:$F$9,AL$9))</f>
        <v>0</v>
      </c>
    </row>
    <row r="89" spans="1:38" x14ac:dyDescent="0.25">
      <c r="C89" t="s">
        <v>3</v>
      </c>
      <c r="E89">
        <v>0</v>
      </c>
      <c r="F89">
        <v>0</v>
      </c>
      <c r="G89" s="7" t="str">
        <f>IF(E89=F89,"n/a",IF(OR(C89="battery electric vehicle",C89="natural gas vehicle",C89="plugin hybrid vehicle"),"s-curve","linear"))</f>
        <v>n/a</v>
      </c>
      <c r="I89" s="22">
        <f t="shared" si="3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  <c r="AJ89">
        <f>IF($G89="s-curve",$E89+($F89-$E89)*$I$2/(1+EXP($I$3*(COUNT($I$9:AJ$9)+$I$4))),TREND($E89:$F89,$E$9:$F$9,AJ$9))</f>
        <v>0</v>
      </c>
      <c r="AK89">
        <f>IF($G89="s-curve",$E89+($F89-$E89)*$I$2/(1+EXP($I$3*(COUNT($I$9:AK$9)+$I$4))),TREND($E89:$F89,$E$9:$F$9,AK$9))</f>
        <v>0</v>
      </c>
      <c r="AL89">
        <f>IF($G89="s-curve",$E89+($F89-$E89)*$I$2/(1+EXP($I$3*(COUNT($I$9:AL$9)+$I$4))),TREND($E89:$F89,$E$9:$F$9,AL$9))</f>
        <v>0</v>
      </c>
    </row>
    <row r="90" spans="1:38" x14ac:dyDescent="0.25">
      <c r="C90" t="s">
        <v>4</v>
      </c>
      <c r="E90">
        <v>0</v>
      </c>
      <c r="F90">
        <v>0</v>
      </c>
      <c r="G90" s="7" t="str">
        <f>IF(E90=F90,"n/a",IF(OR(C90="battery electric vehicle",C90="natural gas vehicle",C90="plugin hybrid vehicle"),"s-curve","linear"))</f>
        <v>n/a</v>
      </c>
      <c r="I90" s="22">
        <f t="shared" si="3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  <c r="AJ90">
        <f>IF($G90="s-curve",$E90+($F90-$E90)*$I$2/(1+EXP($I$3*(COUNT($I$9:AJ$9)+$I$4))),TREND($E90:$F90,$E$9:$F$9,AJ$9))</f>
        <v>0</v>
      </c>
      <c r="AK90">
        <f>IF($G90="s-curve",$E90+($F90-$E90)*$I$2/(1+EXP($I$3*(COUNT($I$9:AK$9)+$I$4))),TREND($E90:$F90,$E$9:$F$9,AK$9))</f>
        <v>0</v>
      </c>
      <c r="AL90">
        <f>IF($G90="s-curve",$E90+($F90-$E90)*$I$2/(1+EXP($I$3*(COUNT($I$9:AL$9)+$I$4))),TREND($E90:$F90,$E$9:$F$9,AL$9))</f>
        <v>0</v>
      </c>
    </row>
    <row r="91" spans="1:38" x14ac:dyDescent="0.25">
      <c r="C91" t="s">
        <v>5</v>
      </c>
      <c r="E91">
        <v>0</v>
      </c>
      <c r="F91">
        <v>0</v>
      </c>
      <c r="G91" s="7" t="str">
        <f>IF(E91=F91,"n/a",IF(OR(C91="battery electric vehicle",C91="natural gas vehicle",C91="plugin hybrid vehicle"),"s-curve","linear"))</f>
        <v>n/a</v>
      </c>
      <c r="I91" s="22">
        <f t="shared" si="3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  <c r="AJ91">
        <f>IF($G91="s-curve",$E91+($F91-$E91)*$I$2/(1+EXP($I$3*(COUNT($I$9:AJ$9)+$I$4))),TREND($E91:$F91,$E$9:$F$9,AJ$9))</f>
        <v>0</v>
      </c>
      <c r="AK91">
        <f>IF($G91="s-curve",$E91+($F91-$E91)*$I$2/(1+EXP($I$3*(COUNT($I$9:AK$9)+$I$4))),TREND($E91:$F91,$E$9:$F$9,AK$9))</f>
        <v>0</v>
      </c>
      <c r="AL91">
        <f>IF($G91="s-curve",$E91+($F91-$E91)*$I$2/(1+EXP($I$3*(COUNT($I$9:AL$9)+$I$4))),TREND($E91:$F91,$E$9:$F$9,AL$9))</f>
        <v>0</v>
      </c>
    </row>
    <row r="92" spans="1:38" x14ac:dyDescent="0.25">
      <c r="C92" t="s">
        <v>120</v>
      </c>
      <c r="E92">
        <v>0</v>
      </c>
      <c r="F92">
        <v>0</v>
      </c>
      <c r="G92" s="7" t="str">
        <f>IF(E92=F92,"n/a",IF(OR(C92="battery electric vehicle",C92="natural gas vehicle",C92="plugin hybrid vehicle",C92="hydrogen vehicle"),"s-curve","linear"))</f>
        <v>n/a</v>
      </c>
      <c r="I92" s="22">
        <f t="shared" si="3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  <c r="AJ92">
        <f>IF($G92="s-curve",$E92+($F92-$E92)*$I$2/(1+EXP($I$3*(COUNT($I$9:AJ$9)+$I$4))),TREND($E92:$F92,$E$9:$F$9,AJ$9))</f>
        <v>0</v>
      </c>
      <c r="AK92">
        <f>IF($G92="s-curve",$E92+($F92-$E92)*$I$2/(1+EXP($I$3*(COUNT($I$9:AK$9)+$I$4))),TREND($E92:$F92,$E$9:$F$9,AK$9))</f>
        <v>0</v>
      </c>
      <c r="AL92">
        <f>IF($G92="s-curve",$E92+($F92-$E92)*$I$2/(1+EXP($I$3*(COUNT($I$9:AL$9)+$I$4))),TREND($E92:$F92,$E$9:$F$9,AL$9))</f>
        <v>0</v>
      </c>
    </row>
    <row r="93" spans="1:38" ht="15.75" thickBot="1" x14ac:dyDescent="0.3">
      <c r="A93" s="23"/>
      <c r="B93" s="23"/>
      <c r="C93" s="23" t="s">
        <v>121</v>
      </c>
      <c r="D93" s="23"/>
      <c r="E93" s="23">
        <v>0</v>
      </c>
      <c r="F93" s="23">
        <v>0</v>
      </c>
      <c r="G93" s="8" t="str">
        <f>IF(E93=F93,"n/a",IF(OR(C93="battery electric vehicle",C93="natural gas vehicle",C93="plugin hybrid vehicle",C93="hydrogen vehicle"),"s-curve","linear"))</f>
        <v>n/a</v>
      </c>
      <c r="I93" s="22">
        <f t="shared" si="3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  <c r="AJ93">
        <f>IF($G93="s-curve",$E93+($F93-$E93)*$I$2/(1+EXP($I$3*(COUNT($I$9:AJ$9)+$I$4))),TREND($E93:$F93,$E$9:$F$9,AJ$9))</f>
        <v>0</v>
      </c>
      <c r="AK93">
        <f>IF($G93="s-curve",$E93+($F93-$E93)*$I$2/(1+EXP($I$3*(COUNT($I$9:AK$9)+$I$4))),TREND($E93:$F93,$E$9:$F$9,AK$9))</f>
        <v>0</v>
      </c>
      <c r="AL93">
        <f>IF($G93="s-curve",$E93+($F93-$E93)*$I$2/(1+EXP($I$3*(COUNT($I$9:AL$9)+$I$4))),TREND($E93:$F93,$E$9:$F$9,AL$9))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BA8"/>
  <sheetViews>
    <sheetView topLeftCell="AB1" workbookViewId="0">
      <selection activeCell="AF1" sqref="AF1:BA8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53" ht="45" x14ac:dyDescent="0.25">
      <c r="A1" s="25" t="s">
        <v>123</v>
      </c>
      <c r="B1" s="45"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</row>
    <row r="2" spans="1:53" x14ac:dyDescent="0.25">
      <c r="A2" t="s">
        <v>1</v>
      </c>
      <c r="B2">
        <f>Data!I10</f>
        <v>0.02</v>
      </c>
      <c r="C2">
        <f>Data!J10</f>
        <v>6.8000000000000005E-2</v>
      </c>
      <c r="D2">
        <f>Data!K10</f>
        <v>9.9000000000000005E-2</v>
      </c>
      <c r="E2">
        <f>Data!L10</f>
        <v>0.13550148435693454</v>
      </c>
      <c r="F2">
        <f>Data!M10</f>
        <v>0.15686570128597005</v>
      </c>
      <c r="G2">
        <f>Data!N10</f>
        <v>0.18408372983067212</v>
      </c>
      <c r="H2">
        <f>Data!O10</f>
        <v>0.21815354100537743</v>
      </c>
      <c r="I2">
        <f>Data!P10</f>
        <v>0.25987118651848296</v>
      </c>
      <c r="J2">
        <f>Data!Q10</f>
        <v>0.30959779396223247</v>
      </c>
      <c r="K2">
        <f>Data!R10</f>
        <v>0.36700545236853371</v>
      </c>
      <c r="L2">
        <f>Data!S10</f>
        <v>0.43088423395932512</v>
      </c>
      <c r="M2">
        <f>Data!T10</f>
        <v>0.49911538413962542</v>
      </c>
      <c r="N2">
        <f>Data!U10</f>
        <v>0.56888461586037464</v>
      </c>
      <c r="O2">
        <f>Data!V10</f>
        <v>0.63711576604067499</v>
      </c>
      <c r="P2">
        <f>Data!W10</f>
        <v>0.70099454763146607</v>
      </c>
      <c r="Q2">
        <f>Data!X10</f>
        <v>0.75840220603776753</v>
      </c>
      <c r="R2">
        <f>Data!Y10</f>
        <v>0.80812881348151699</v>
      </c>
      <c r="S2">
        <f>Data!Z10</f>
        <v>0.84984645899462241</v>
      </c>
      <c r="T2">
        <f>Data!AA10</f>
        <v>0.88391627016932772</v>
      </c>
      <c r="U2">
        <f>Data!AB10</f>
        <v>0.91113429871403007</v>
      </c>
      <c r="V2">
        <f>Data!AC10</f>
        <v>0.93249851564306541</v>
      </c>
      <c r="W2">
        <f>Data!AD10</f>
        <v>0.94903701235474314</v>
      </c>
      <c r="X2">
        <f>Data!AE10</f>
        <v>0.96170292871716656</v>
      </c>
      <c r="Y2">
        <f>Data!AF10</f>
        <v>0.9713234230791381</v>
      </c>
      <c r="Z2">
        <f>Data!AG10</f>
        <v>0.97858509124385606</v>
      </c>
      <c r="AA2">
        <f>Data!AH10</f>
        <v>0.98404040094974166</v>
      </c>
      <c r="AB2">
        <f>Data!AI10</f>
        <v>0.9881241302994479</v>
      </c>
      <c r="AC2">
        <f>Data!AJ10</f>
        <v>0.99117298738162618</v>
      </c>
      <c r="AD2">
        <f>Data!AK10</f>
        <v>0.99344469677154446</v>
      </c>
      <c r="AE2">
        <f>Data!AL10</f>
        <v>0.99513484285360354</v>
      </c>
      <c r="AF2">
        <f>AE2</f>
        <v>0.99513484285360354</v>
      </c>
      <c r="AG2">
        <f t="shared" ref="AG2:BA8" si="0">AF2</f>
        <v>0.99513484285360354</v>
      </c>
      <c r="AH2">
        <f t="shared" si="0"/>
        <v>0.99513484285360354</v>
      </c>
      <c r="AI2">
        <f t="shared" si="0"/>
        <v>0.99513484285360354</v>
      </c>
      <c r="AJ2">
        <f t="shared" si="0"/>
        <v>0.99513484285360354</v>
      </c>
      <c r="AK2">
        <f t="shared" si="0"/>
        <v>0.99513484285360354</v>
      </c>
      <c r="AL2">
        <f t="shared" si="0"/>
        <v>0.99513484285360354</v>
      </c>
      <c r="AM2">
        <f t="shared" si="0"/>
        <v>0.99513484285360354</v>
      </c>
      <c r="AN2">
        <f t="shared" si="0"/>
        <v>0.99513484285360354</v>
      </c>
      <c r="AO2">
        <f t="shared" si="0"/>
        <v>0.99513484285360354</v>
      </c>
      <c r="AP2">
        <f t="shared" si="0"/>
        <v>0.99513484285360354</v>
      </c>
      <c r="AQ2">
        <f t="shared" si="0"/>
        <v>0.99513484285360354</v>
      </c>
      <c r="AR2">
        <f t="shared" si="0"/>
        <v>0.99513484285360354</v>
      </c>
      <c r="AS2">
        <f t="shared" si="0"/>
        <v>0.99513484285360354</v>
      </c>
      <c r="AT2">
        <f t="shared" si="0"/>
        <v>0.99513484285360354</v>
      </c>
      <c r="AU2">
        <f t="shared" si="0"/>
        <v>0.99513484285360354</v>
      </c>
      <c r="AV2">
        <f t="shared" si="0"/>
        <v>0.99513484285360354</v>
      </c>
      <c r="AW2">
        <f t="shared" si="0"/>
        <v>0.99513484285360354</v>
      </c>
      <c r="AX2">
        <f t="shared" si="0"/>
        <v>0.99513484285360354</v>
      </c>
      <c r="AY2">
        <f t="shared" si="0"/>
        <v>0.99513484285360354</v>
      </c>
      <c r="AZ2">
        <f t="shared" si="0"/>
        <v>0.99513484285360354</v>
      </c>
      <c r="BA2">
        <f t="shared" si="0"/>
        <v>0.99513484285360354</v>
      </c>
    </row>
    <row r="3" spans="1:53" x14ac:dyDescent="0.25">
      <c r="A3" t="s">
        <v>2</v>
      </c>
      <c r="B3">
        <f>Data!I11</f>
        <v>3.7087168441147616E-4</v>
      </c>
      <c r="C3">
        <f>Data!J11</f>
        <v>3.8364380292024329E-4</v>
      </c>
      <c r="D3">
        <f>Data!K11</f>
        <v>3.8802358589285646E-4</v>
      </c>
      <c r="E3">
        <f>Data!L11</f>
        <v>3.9386472794848996E-4</v>
      </c>
      <c r="F3">
        <f>Data!M11</f>
        <v>4.016229007564876E-4</v>
      </c>
      <c r="G3">
        <f>Data!N11</f>
        <v>4.118712494037081E-4</v>
      </c>
      <c r="H3">
        <f>Data!O11</f>
        <v>4.253120147933965E-4</v>
      </c>
      <c r="I3">
        <f>Data!P11</f>
        <v>4.4277430100040505E-4</v>
      </c>
      <c r="J3">
        <f>Data!Q11</f>
        <v>4.6518565084723181E-4</v>
      </c>
      <c r="K3">
        <f>Data!R11</f>
        <v>4.935016238293516E-4</v>
      </c>
      <c r="L3">
        <f>Data!S11</f>
        <v>5.2857815597262656E-4</v>
      </c>
      <c r="M3">
        <f>Data!T11</f>
        <v>5.7098150943230659E-4</v>
      </c>
      <c r="N3">
        <f>Data!U11</f>
        <v>6.207552154704006E-4</v>
      </c>
      <c r="O3">
        <f>Data!V11</f>
        <v>6.7720104282073751E-4</v>
      </c>
      <c r="P3">
        <f>Data!W11</f>
        <v>7.387652100527514E-4</v>
      </c>
      <c r="Q3">
        <f>Data!X11</f>
        <v>8.0312060515064557E-4</v>
      </c>
      <c r="R3">
        <f>Data!Y11</f>
        <v>8.6747600024853974E-4</v>
      </c>
      <c r="S3">
        <f>Data!Z11</f>
        <v>9.2904016748055363E-4</v>
      </c>
      <c r="T3">
        <f>Data!AA11</f>
        <v>9.8548599483089076E-4</v>
      </c>
      <c r="U3">
        <f>Data!AB11</f>
        <v>1.0352597008689846E-3</v>
      </c>
      <c r="V3">
        <f>Data!AC11</f>
        <v>1.0776630543286646E-3</v>
      </c>
      <c r="W3">
        <f>Data!AD11</f>
        <v>1.1127395864719398E-3</v>
      </c>
      <c r="X3">
        <f>Data!AE11</f>
        <v>1.1410555594540594E-3</v>
      </c>
      <c r="Y3">
        <f>Data!AF11</f>
        <v>1.1634669093008863E-3</v>
      </c>
      <c r="Z3">
        <f>Data!AG11</f>
        <v>1.1809291955078949E-3</v>
      </c>
      <c r="AA3">
        <f>Data!AH11</f>
        <v>1.1943699608975833E-3</v>
      </c>
      <c r="AB3">
        <f>Data!AI11</f>
        <v>1.2046183095448036E-3</v>
      </c>
      <c r="AC3">
        <f>Data!AJ11</f>
        <v>1.2123764823528012E-3</v>
      </c>
      <c r="AD3">
        <f>Data!AK11</f>
        <v>1.2182176244084349E-3</v>
      </c>
      <c r="AE3">
        <f>Data!AL11</f>
        <v>1.2225974073810479E-3</v>
      </c>
      <c r="AF3">
        <f t="shared" ref="AF3:AU8" si="1">AE3</f>
        <v>1.2225974073810479E-3</v>
      </c>
      <c r="AG3">
        <f t="shared" si="1"/>
        <v>1.2225974073810479E-3</v>
      </c>
      <c r="AH3">
        <f t="shared" si="1"/>
        <v>1.2225974073810479E-3</v>
      </c>
      <c r="AI3">
        <f t="shared" si="1"/>
        <v>1.2225974073810479E-3</v>
      </c>
      <c r="AJ3">
        <f t="shared" si="1"/>
        <v>1.2225974073810479E-3</v>
      </c>
      <c r="AK3">
        <f t="shared" si="1"/>
        <v>1.2225974073810479E-3</v>
      </c>
      <c r="AL3">
        <f t="shared" si="1"/>
        <v>1.2225974073810479E-3</v>
      </c>
      <c r="AM3">
        <f t="shared" si="1"/>
        <v>1.2225974073810479E-3</v>
      </c>
      <c r="AN3">
        <f t="shared" si="1"/>
        <v>1.2225974073810479E-3</v>
      </c>
      <c r="AO3">
        <f t="shared" si="1"/>
        <v>1.2225974073810479E-3</v>
      </c>
      <c r="AP3">
        <f t="shared" si="1"/>
        <v>1.2225974073810479E-3</v>
      </c>
      <c r="AQ3">
        <f t="shared" si="1"/>
        <v>1.2225974073810479E-3</v>
      </c>
      <c r="AR3">
        <f t="shared" si="1"/>
        <v>1.2225974073810479E-3</v>
      </c>
      <c r="AS3">
        <f t="shared" si="1"/>
        <v>1.2225974073810479E-3</v>
      </c>
      <c r="AT3">
        <f t="shared" si="1"/>
        <v>1.2225974073810479E-3</v>
      </c>
      <c r="AU3">
        <f t="shared" si="1"/>
        <v>1.2225974073810479E-3</v>
      </c>
      <c r="AV3">
        <f t="shared" si="0"/>
        <v>1.2225974073810479E-3</v>
      </c>
      <c r="AW3">
        <f t="shared" si="0"/>
        <v>1.2225974073810479E-3</v>
      </c>
      <c r="AX3">
        <f t="shared" si="0"/>
        <v>1.2225974073810479E-3</v>
      </c>
      <c r="AY3">
        <f t="shared" si="0"/>
        <v>1.2225974073810479E-3</v>
      </c>
      <c r="AZ3">
        <f t="shared" si="0"/>
        <v>1.2225974073810479E-3</v>
      </c>
      <c r="BA3">
        <f t="shared" si="0"/>
        <v>1.2225974073810479E-3</v>
      </c>
    </row>
    <row r="4" spans="1:53" x14ac:dyDescent="0.2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  <c r="AC4">
        <f>Data!AJ12</f>
        <v>1</v>
      </c>
      <c r="AD4">
        <f>Data!AK12</f>
        <v>1</v>
      </c>
      <c r="AE4">
        <f>Data!AL12</f>
        <v>1</v>
      </c>
      <c r="AF4">
        <f t="shared" si="1"/>
        <v>1</v>
      </c>
      <c r="AG4">
        <f t="shared" si="0"/>
        <v>1</v>
      </c>
      <c r="AH4">
        <f t="shared" si="0"/>
        <v>1</v>
      </c>
      <c r="AI4">
        <f t="shared" si="0"/>
        <v>1</v>
      </c>
      <c r="AJ4">
        <f t="shared" si="0"/>
        <v>1</v>
      </c>
      <c r="AK4">
        <f t="shared" si="0"/>
        <v>1</v>
      </c>
      <c r="AL4">
        <f t="shared" si="0"/>
        <v>1</v>
      </c>
      <c r="AM4">
        <f t="shared" si="0"/>
        <v>1</v>
      </c>
      <c r="AN4">
        <f t="shared" si="0"/>
        <v>1</v>
      </c>
      <c r="AO4">
        <f t="shared" si="0"/>
        <v>1</v>
      </c>
      <c r="AP4">
        <f t="shared" si="0"/>
        <v>1</v>
      </c>
      <c r="AQ4">
        <f t="shared" si="0"/>
        <v>1</v>
      </c>
      <c r="AR4">
        <f t="shared" si="0"/>
        <v>1</v>
      </c>
      <c r="AS4">
        <f t="shared" si="0"/>
        <v>1</v>
      </c>
      <c r="AT4">
        <f t="shared" si="0"/>
        <v>1</v>
      </c>
      <c r="AU4">
        <f t="shared" si="0"/>
        <v>1</v>
      </c>
      <c r="AV4">
        <f t="shared" si="0"/>
        <v>1</v>
      </c>
      <c r="AW4">
        <f t="shared" si="0"/>
        <v>1</v>
      </c>
      <c r="AX4">
        <f t="shared" si="0"/>
        <v>1</v>
      </c>
      <c r="AY4">
        <f t="shared" si="0"/>
        <v>1</v>
      </c>
      <c r="AZ4">
        <f t="shared" si="0"/>
        <v>1</v>
      </c>
      <c r="BA4">
        <f t="shared" si="0"/>
        <v>1</v>
      </c>
    </row>
    <row r="5" spans="1:53" x14ac:dyDescent="0.25">
      <c r="A5" t="s">
        <v>4</v>
      </c>
      <c r="B5">
        <f>Data!I13</f>
        <v>4.6260368305253595E-3</v>
      </c>
      <c r="C5">
        <f>Data!J13</f>
        <v>4.6260368305253152E-3</v>
      </c>
      <c r="D5">
        <f>Data!K13</f>
        <v>5.5614806554173946E-3</v>
      </c>
      <c r="E5">
        <f>Data!L13</f>
        <v>6.4969244803096959E-3</v>
      </c>
      <c r="F5">
        <f>Data!M13</f>
        <v>7.4323683052017753E-3</v>
      </c>
      <c r="G5">
        <f>Data!N13</f>
        <v>8.3678121300938546E-3</v>
      </c>
      <c r="H5">
        <f>Data!O13</f>
        <v>9.303255954986156E-3</v>
      </c>
      <c r="I5">
        <f>Data!P13</f>
        <v>1.0238699779878235E-2</v>
      </c>
      <c r="J5">
        <f>Data!Q13</f>
        <v>1.1174143604770537E-2</v>
      </c>
      <c r="K5">
        <f>Data!R13</f>
        <v>1.2109587429662616E-2</v>
      </c>
      <c r="L5">
        <f>Data!S13</f>
        <v>1.3045031254554917E-2</v>
      </c>
      <c r="M5">
        <f>Data!T13</f>
        <v>1.3980475079446997E-2</v>
      </c>
      <c r="N5">
        <f>Data!U13</f>
        <v>1.4915918904339076E-2</v>
      </c>
      <c r="O5">
        <f>Data!V13</f>
        <v>1.5851362729231377E-2</v>
      </c>
      <c r="P5">
        <f>Data!W13</f>
        <v>1.6786806554123457E-2</v>
      </c>
      <c r="Q5">
        <f>Data!X13</f>
        <v>1.7722250379015758E-2</v>
      </c>
      <c r="R5">
        <f>Data!Y13</f>
        <v>1.8657694203907838E-2</v>
      </c>
      <c r="S5">
        <f>Data!Z13</f>
        <v>1.9593138028800139E-2</v>
      </c>
      <c r="T5">
        <f>Data!AA13</f>
        <v>2.0528581853692218E-2</v>
      </c>
      <c r="U5">
        <f>Data!AB13</f>
        <v>2.146402567858452E-2</v>
      </c>
      <c r="V5">
        <f>Data!AC13</f>
        <v>2.2399469503476599E-2</v>
      </c>
      <c r="W5">
        <f>Data!AD13</f>
        <v>2.3334913328368678E-2</v>
      </c>
      <c r="X5">
        <f>Data!AE13</f>
        <v>2.427035715326098E-2</v>
      </c>
      <c r="Y5">
        <f>Data!AF13</f>
        <v>2.5205800978153059E-2</v>
      </c>
      <c r="Z5">
        <f>Data!AG13</f>
        <v>2.614124480304536E-2</v>
      </c>
      <c r="AA5">
        <f>Data!AH13</f>
        <v>2.707668862793744E-2</v>
      </c>
      <c r="AB5">
        <f>Data!AI13</f>
        <v>2.8012132452829741E-2</v>
      </c>
      <c r="AC5">
        <f>Data!AJ13</f>
        <v>2.894757627772182E-2</v>
      </c>
      <c r="AD5">
        <f>Data!AK13</f>
        <v>2.98830201026139E-2</v>
      </c>
      <c r="AE5">
        <f>Data!AL13</f>
        <v>3.0818463927506201E-2</v>
      </c>
      <c r="AF5">
        <f t="shared" si="1"/>
        <v>3.0818463927506201E-2</v>
      </c>
      <c r="AG5">
        <f t="shared" si="0"/>
        <v>3.0818463927506201E-2</v>
      </c>
      <c r="AH5">
        <f t="shared" si="0"/>
        <v>3.0818463927506201E-2</v>
      </c>
      <c r="AI5">
        <f t="shared" si="0"/>
        <v>3.0818463927506201E-2</v>
      </c>
      <c r="AJ5">
        <f t="shared" si="0"/>
        <v>3.0818463927506201E-2</v>
      </c>
      <c r="AK5">
        <f t="shared" si="0"/>
        <v>3.0818463927506201E-2</v>
      </c>
      <c r="AL5">
        <f t="shared" si="0"/>
        <v>3.0818463927506201E-2</v>
      </c>
      <c r="AM5">
        <f t="shared" si="0"/>
        <v>3.0818463927506201E-2</v>
      </c>
      <c r="AN5">
        <f t="shared" si="0"/>
        <v>3.0818463927506201E-2</v>
      </c>
      <c r="AO5">
        <f t="shared" si="0"/>
        <v>3.0818463927506201E-2</v>
      </c>
      <c r="AP5">
        <f t="shared" si="0"/>
        <v>3.0818463927506201E-2</v>
      </c>
      <c r="AQ5">
        <f t="shared" si="0"/>
        <v>3.0818463927506201E-2</v>
      </c>
      <c r="AR5">
        <f t="shared" si="0"/>
        <v>3.0818463927506201E-2</v>
      </c>
      <c r="AS5">
        <f t="shared" si="0"/>
        <v>3.0818463927506201E-2</v>
      </c>
      <c r="AT5">
        <f t="shared" si="0"/>
        <v>3.0818463927506201E-2</v>
      </c>
      <c r="AU5">
        <f t="shared" si="0"/>
        <v>3.0818463927506201E-2</v>
      </c>
      <c r="AV5">
        <f t="shared" si="0"/>
        <v>3.0818463927506201E-2</v>
      </c>
      <c r="AW5">
        <f t="shared" si="0"/>
        <v>3.0818463927506201E-2</v>
      </c>
      <c r="AX5">
        <f t="shared" si="0"/>
        <v>3.0818463927506201E-2</v>
      </c>
      <c r="AY5">
        <f t="shared" si="0"/>
        <v>3.0818463927506201E-2</v>
      </c>
      <c r="AZ5">
        <f t="shared" si="0"/>
        <v>3.0818463927506201E-2</v>
      </c>
      <c r="BA5">
        <f t="shared" si="0"/>
        <v>3.0818463927506201E-2</v>
      </c>
    </row>
    <row r="6" spans="1:53" x14ac:dyDescent="0.25">
      <c r="A6" t="s">
        <v>5</v>
      </c>
      <c r="B6">
        <f>Data!I14</f>
        <v>2.5000000000000001E-3</v>
      </c>
      <c r="C6">
        <f>Data!J14</f>
        <v>8.0000000000000002E-3</v>
      </c>
      <c r="D6">
        <f>Data!K14</f>
        <v>1.8679140068700261E-2</v>
      </c>
      <c r="E6">
        <f>Data!L14</f>
        <v>2.0151128112044503E-2</v>
      </c>
      <c r="F6">
        <f>Data!M14</f>
        <v>2.6021242730178792E-2</v>
      </c>
      <c r="G6">
        <f>Data!N14</f>
        <v>3.4401430729338323E-2</v>
      </c>
      <c r="H6">
        <f>Data!O14</f>
        <v>5.1499999999999997E-2</v>
      </c>
      <c r="I6">
        <f>Data!P14</f>
        <v>5.5E-2</v>
      </c>
      <c r="J6">
        <f>Data!Q14</f>
        <v>7.4999999999999997E-2</v>
      </c>
      <c r="K6">
        <f>Data!R14</f>
        <v>8.8999999999999996E-2</v>
      </c>
      <c r="L6">
        <f>Data!S14</f>
        <v>0.11799999999999999</v>
      </c>
      <c r="M6">
        <f>Data!T14</f>
        <v>0.15</v>
      </c>
      <c r="N6">
        <f>Data!U14</f>
        <v>0.17702858227261439</v>
      </c>
      <c r="O6">
        <f>Data!V14</f>
        <v>0.19652431808271453</v>
      </c>
      <c r="P6">
        <f>Data!W14</f>
        <v>0.21198289652972047</v>
      </c>
      <c r="Q6">
        <f>Data!X14</f>
        <v>0.22359856927066168</v>
      </c>
      <c r="R6">
        <f>Data!Y14</f>
        <v>0.2319787572698212</v>
      </c>
      <c r="S6">
        <f>Data!Z14</f>
        <v>0.23784887188795553</v>
      </c>
      <c r="T6">
        <f>Data!AA14</f>
        <v>0.24187624796588125</v>
      </c>
      <c r="U6">
        <f>Data!AB14</f>
        <v>0.24460014783483416</v>
      </c>
      <c r="V6">
        <f>Data!AC14</f>
        <v>0.24642468433022793</v>
      </c>
      <c r="W6">
        <f>Data!AD14</f>
        <v>0.2476388869188586</v>
      </c>
      <c r="X6">
        <f>Data!AE14</f>
        <v>0.24844342975100567</v>
      </c>
      <c r="Y6">
        <f>Data!AF14</f>
        <v>0.24897499940691589</v>
      </c>
      <c r="Z6">
        <f>Data!AG14</f>
        <v>0.24932554691499179</v>
      </c>
      <c r="AA6">
        <f>Data!AH14</f>
        <v>0.24955642877591674</v>
      </c>
      <c r="AB6">
        <f>Data!AI14</f>
        <v>0.24970836961542547</v>
      </c>
      <c r="AC6">
        <f>Data!AJ14</f>
        <v>0.24980830595850836</v>
      </c>
      <c r="AD6">
        <f>Data!AK14</f>
        <v>0.24987401381406515</v>
      </c>
      <c r="AE6">
        <f>Data!AL14</f>
        <v>0.24991720639498693</v>
      </c>
      <c r="AF6">
        <f t="shared" si="1"/>
        <v>0.24991720639498693</v>
      </c>
      <c r="AG6">
        <f t="shared" si="0"/>
        <v>0.24991720639498693</v>
      </c>
      <c r="AH6">
        <f t="shared" si="0"/>
        <v>0.24991720639498693</v>
      </c>
      <c r="AI6">
        <f t="shared" si="0"/>
        <v>0.24991720639498693</v>
      </c>
      <c r="AJ6">
        <f t="shared" si="0"/>
        <v>0.24991720639498693</v>
      </c>
      <c r="AK6">
        <f t="shared" si="0"/>
        <v>0.24991720639498693</v>
      </c>
      <c r="AL6">
        <f t="shared" si="0"/>
        <v>0.24991720639498693</v>
      </c>
      <c r="AM6">
        <f t="shared" si="0"/>
        <v>0.24991720639498693</v>
      </c>
      <c r="AN6">
        <f t="shared" si="0"/>
        <v>0.24991720639498693</v>
      </c>
      <c r="AO6">
        <f t="shared" si="0"/>
        <v>0.24991720639498693</v>
      </c>
      <c r="AP6">
        <f t="shared" si="0"/>
        <v>0.24991720639498693</v>
      </c>
      <c r="AQ6">
        <f t="shared" si="0"/>
        <v>0.24991720639498693</v>
      </c>
      <c r="AR6">
        <f t="shared" si="0"/>
        <v>0.24991720639498693</v>
      </c>
      <c r="AS6">
        <f t="shared" si="0"/>
        <v>0.24991720639498693</v>
      </c>
      <c r="AT6">
        <f t="shared" si="0"/>
        <v>0.24991720639498693</v>
      </c>
      <c r="AU6">
        <f t="shared" si="0"/>
        <v>0.24991720639498693</v>
      </c>
      <c r="AV6">
        <f t="shared" si="0"/>
        <v>0.24991720639498693</v>
      </c>
      <c r="AW6">
        <f t="shared" si="0"/>
        <v>0.24991720639498693</v>
      </c>
      <c r="AX6">
        <f t="shared" si="0"/>
        <v>0.24991720639498693</v>
      </c>
      <c r="AY6">
        <f t="shared" si="0"/>
        <v>0.24991720639498693</v>
      </c>
      <c r="AZ6">
        <f t="shared" si="0"/>
        <v>0.24991720639498693</v>
      </c>
      <c r="BA6">
        <f t="shared" si="0"/>
        <v>0.24991720639498693</v>
      </c>
    </row>
    <row r="7" spans="1:53" x14ac:dyDescent="0.25">
      <c r="A7" t="s">
        <v>120</v>
      </c>
      <c r="B7">
        <f>Data!I15</f>
        <v>2.9379012033304164E-4</v>
      </c>
      <c r="C7">
        <f>Data!J15</f>
        <v>2.9379012033303731E-4</v>
      </c>
      <c r="D7">
        <f>Data!K15</f>
        <v>3.1407086748862223E-4</v>
      </c>
      <c r="E7">
        <f>Data!L15</f>
        <v>3.3435161464420715E-4</v>
      </c>
      <c r="F7">
        <f>Data!M15</f>
        <v>3.5463236179979207E-4</v>
      </c>
      <c r="G7">
        <f>Data!N15</f>
        <v>3.7491310895537006E-4</v>
      </c>
      <c r="H7">
        <f>Data!O15</f>
        <v>3.9519385611095498E-4</v>
      </c>
      <c r="I7">
        <f>Data!P15</f>
        <v>4.154746032665399E-4</v>
      </c>
      <c r="J7">
        <f>Data!Q15</f>
        <v>4.3575535042212482E-4</v>
      </c>
      <c r="K7">
        <f>Data!R15</f>
        <v>4.560360975777028E-4</v>
      </c>
      <c r="L7">
        <f>Data!S15</f>
        <v>4.7631684473328773E-4</v>
      </c>
      <c r="M7">
        <f>Data!T15</f>
        <v>4.9659759188887265E-4</v>
      </c>
      <c r="N7">
        <f>Data!U15</f>
        <v>5.1687833904445757E-4</v>
      </c>
      <c r="O7">
        <f>Data!V15</f>
        <v>5.3715908620003555E-4</v>
      </c>
      <c r="P7">
        <f>Data!W15</f>
        <v>5.5743983335562047E-4</v>
      </c>
      <c r="Q7">
        <f>Data!X15</f>
        <v>5.7772058051120539E-4</v>
      </c>
      <c r="R7">
        <f>Data!Y15</f>
        <v>5.9800132766679032E-4</v>
      </c>
      <c r="S7">
        <f>Data!Z15</f>
        <v>6.182820748223683E-4</v>
      </c>
      <c r="T7">
        <f>Data!AA15</f>
        <v>6.3856282197795322E-4</v>
      </c>
      <c r="U7">
        <f>Data!AB15</f>
        <v>6.5884356913353814E-4</v>
      </c>
      <c r="V7">
        <f>Data!AC15</f>
        <v>6.7912431628912306E-4</v>
      </c>
      <c r="W7">
        <f>Data!AD15</f>
        <v>6.9940506344470105E-4</v>
      </c>
      <c r="X7">
        <f>Data!AE15</f>
        <v>7.1968581060028597E-4</v>
      </c>
      <c r="Y7">
        <f>Data!AF15</f>
        <v>7.3996655775587089E-4</v>
      </c>
      <c r="Z7">
        <f>Data!AG15</f>
        <v>7.6024730491145581E-4</v>
      </c>
      <c r="AA7">
        <f>Data!AH15</f>
        <v>7.805280520670338E-4</v>
      </c>
      <c r="AB7">
        <f>Data!AI15</f>
        <v>8.0080879922261872E-4</v>
      </c>
      <c r="AC7">
        <f>Data!AJ15</f>
        <v>8.2108954637820364E-4</v>
      </c>
      <c r="AD7">
        <f>Data!AK15</f>
        <v>8.4137029353378856E-4</v>
      </c>
      <c r="AE7">
        <f>Data!AL15</f>
        <v>8.6165104068937348E-4</v>
      </c>
      <c r="AF7">
        <f t="shared" si="1"/>
        <v>8.6165104068937348E-4</v>
      </c>
      <c r="AG7">
        <f t="shared" si="0"/>
        <v>8.6165104068937348E-4</v>
      </c>
      <c r="AH7">
        <f t="shared" si="0"/>
        <v>8.6165104068937348E-4</v>
      </c>
      <c r="AI7">
        <f t="shared" si="0"/>
        <v>8.6165104068937348E-4</v>
      </c>
      <c r="AJ7">
        <f t="shared" si="0"/>
        <v>8.6165104068937348E-4</v>
      </c>
      <c r="AK7">
        <f t="shared" si="0"/>
        <v>8.6165104068937348E-4</v>
      </c>
      <c r="AL7">
        <f t="shared" si="0"/>
        <v>8.6165104068937348E-4</v>
      </c>
      <c r="AM7">
        <f t="shared" si="0"/>
        <v>8.6165104068937348E-4</v>
      </c>
      <c r="AN7">
        <f t="shared" si="0"/>
        <v>8.6165104068937348E-4</v>
      </c>
      <c r="AO7">
        <f t="shared" si="0"/>
        <v>8.6165104068937348E-4</v>
      </c>
      <c r="AP7">
        <f t="shared" si="0"/>
        <v>8.6165104068937348E-4</v>
      </c>
      <c r="AQ7">
        <f t="shared" si="0"/>
        <v>8.6165104068937348E-4</v>
      </c>
      <c r="AR7">
        <f t="shared" si="0"/>
        <v>8.6165104068937348E-4</v>
      </c>
      <c r="AS7">
        <f t="shared" si="0"/>
        <v>8.6165104068937348E-4</v>
      </c>
      <c r="AT7">
        <f t="shared" si="0"/>
        <v>8.6165104068937348E-4</v>
      </c>
      <c r="AU7">
        <f t="shared" si="0"/>
        <v>8.6165104068937348E-4</v>
      </c>
      <c r="AV7">
        <f t="shared" si="0"/>
        <v>8.6165104068937348E-4</v>
      </c>
      <c r="AW7">
        <f t="shared" si="0"/>
        <v>8.6165104068937348E-4</v>
      </c>
      <c r="AX7">
        <f t="shared" si="0"/>
        <v>8.6165104068937348E-4</v>
      </c>
      <c r="AY7">
        <f t="shared" si="0"/>
        <v>8.6165104068937348E-4</v>
      </c>
      <c r="AZ7">
        <f t="shared" si="0"/>
        <v>8.6165104068937348E-4</v>
      </c>
      <c r="BA7">
        <f t="shared" si="0"/>
        <v>8.6165104068937348E-4</v>
      </c>
    </row>
    <row r="8" spans="1:53" x14ac:dyDescent="0.25">
      <c r="A8" t="s">
        <v>121</v>
      </c>
      <c r="B8">
        <f>Data!I16</f>
        <v>3.0883943362035788E-5</v>
      </c>
      <c r="C8">
        <f>Data!J16</f>
        <v>3.5078860889128402E-5</v>
      </c>
      <c r="D8">
        <f>Data!K16</f>
        <v>3.6517371528069407E-5</v>
      </c>
      <c r="E8">
        <f>Data!L16</f>
        <v>3.8435855855520251E-5</v>
      </c>
      <c r="F8">
        <f>Data!M16</f>
        <v>4.0983976205965081E-5</v>
      </c>
      <c r="G8">
        <f>Data!N16</f>
        <v>4.4349978277937009E-5</v>
      </c>
      <c r="H8">
        <f>Data!O16</f>
        <v>4.8764508433763626E-5</v>
      </c>
      <c r="I8">
        <f>Data!P16</f>
        <v>5.4499880402212323E-5</v>
      </c>
      <c r="J8">
        <f>Data!Q16</f>
        <v>6.1860739465156677E-5</v>
      </c>
      <c r="K8">
        <f>Data!R16</f>
        <v>7.1160932794700195E-5</v>
      </c>
      <c r="L8">
        <f>Data!S16</f>
        <v>8.268158689577577E-5</v>
      </c>
      <c r="M8">
        <f>Data!T16</f>
        <v>9.6608686813727074E-5</v>
      </c>
      <c r="N8">
        <f>Data!U16</f>
        <v>1.1295653010254654E-4</v>
      </c>
      <c r="O8">
        <f>Data!V16</f>
        <v>1.3149578733858268E-4</v>
      </c>
      <c r="P8">
        <f>Data!W16</f>
        <v>1.5171612932688805E-4</v>
      </c>
      <c r="Q8">
        <f>Data!X16</f>
        <v>1.7285323157612058E-4</v>
      </c>
      <c r="R8">
        <f>Data!Y16</f>
        <v>1.9399033382535313E-4</v>
      </c>
      <c r="S8">
        <f>Data!Z16</f>
        <v>2.1421067581365848E-4</v>
      </c>
      <c r="T8">
        <f>Data!AA16</f>
        <v>2.3274993304969461E-4</v>
      </c>
      <c r="U8">
        <f>Data!AB16</f>
        <v>2.4909777633851408E-4</v>
      </c>
      <c r="V8">
        <f>Data!AC16</f>
        <v>2.6302487625646539E-4</v>
      </c>
      <c r="W8">
        <f>Data!AD16</f>
        <v>2.7454553035754099E-4</v>
      </c>
      <c r="X8">
        <f>Data!AE16</f>
        <v>2.8384572368708451E-4</v>
      </c>
      <c r="Y8">
        <f>Data!AF16</f>
        <v>2.9120658275002886E-4</v>
      </c>
      <c r="Z8">
        <f>Data!AG16</f>
        <v>2.9694195471847756E-4</v>
      </c>
      <c r="AA8">
        <f>Data!AH16</f>
        <v>3.0135648487430419E-4</v>
      </c>
      <c r="AB8">
        <f>Data!AI16</f>
        <v>3.0472248694627611E-4</v>
      </c>
      <c r="AC8">
        <f>Data!AJ16</f>
        <v>3.0727060729672089E-4</v>
      </c>
      <c r="AD8">
        <f>Data!AK16</f>
        <v>3.0918909162417176E-4</v>
      </c>
      <c r="AE8">
        <f>Data!AL16</f>
        <v>3.1062760226311276E-4</v>
      </c>
      <c r="AF8">
        <f t="shared" si="1"/>
        <v>3.1062760226311276E-4</v>
      </c>
      <c r="AG8">
        <f t="shared" si="0"/>
        <v>3.1062760226311276E-4</v>
      </c>
      <c r="AH8">
        <f t="shared" si="0"/>
        <v>3.1062760226311276E-4</v>
      </c>
      <c r="AI8">
        <f t="shared" si="0"/>
        <v>3.1062760226311276E-4</v>
      </c>
      <c r="AJ8">
        <f t="shared" si="0"/>
        <v>3.1062760226311276E-4</v>
      </c>
      <c r="AK8">
        <f t="shared" si="0"/>
        <v>3.1062760226311276E-4</v>
      </c>
      <c r="AL8">
        <f t="shared" si="0"/>
        <v>3.1062760226311276E-4</v>
      </c>
      <c r="AM8">
        <f t="shared" si="0"/>
        <v>3.1062760226311276E-4</v>
      </c>
      <c r="AN8">
        <f t="shared" si="0"/>
        <v>3.1062760226311276E-4</v>
      </c>
      <c r="AO8">
        <f t="shared" si="0"/>
        <v>3.1062760226311276E-4</v>
      </c>
      <c r="AP8">
        <f t="shared" si="0"/>
        <v>3.1062760226311276E-4</v>
      </c>
      <c r="AQ8">
        <f t="shared" si="0"/>
        <v>3.1062760226311276E-4</v>
      </c>
      <c r="AR8">
        <f t="shared" si="0"/>
        <v>3.1062760226311276E-4</v>
      </c>
      <c r="AS8">
        <f t="shared" si="0"/>
        <v>3.1062760226311276E-4</v>
      </c>
      <c r="AT8">
        <f t="shared" si="0"/>
        <v>3.1062760226311276E-4</v>
      </c>
      <c r="AU8">
        <f t="shared" si="0"/>
        <v>3.1062760226311276E-4</v>
      </c>
      <c r="AV8">
        <f t="shared" si="0"/>
        <v>3.1062760226311276E-4</v>
      </c>
      <c r="AW8">
        <f t="shared" si="0"/>
        <v>3.1062760226311276E-4</v>
      </c>
      <c r="AX8">
        <f t="shared" si="0"/>
        <v>3.1062760226311276E-4</v>
      </c>
      <c r="AY8">
        <f t="shared" si="0"/>
        <v>3.1062760226311276E-4</v>
      </c>
      <c r="AZ8">
        <f t="shared" si="0"/>
        <v>3.1062760226311276E-4</v>
      </c>
      <c r="BA8">
        <f t="shared" si="0"/>
        <v>3.1062760226311276E-4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BA8"/>
  <sheetViews>
    <sheetView topLeftCell="E1" workbookViewId="0">
      <selection activeCell="AF1" sqref="AF1:BA8"/>
    </sheetView>
  </sheetViews>
  <sheetFormatPr defaultColWidth="9.140625" defaultRowHeight="15" x14ac:dyDescent="0.25"/>
  <cols>
    <col min="1" max="1" width="24.42578125" customWidth="1"/>
  </cols>
  <sheetData>
    <row r="1" spans="1:53" ht="45" x14ac:dyDescent="0.25">
      <c r="A1" s="25" t="s">
        <v>123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</row>
    <row r="2" spans="1:53" x14ac:dyDescent="0.25">
      <c r="A2" t="s">
        <v>1</v>
      </c>
      <c r="B2">
        <f>Data!I17</f>
        <v>0.05</v>
      </c>
      <c r="C2">
        <f>Data!J17</f>
        <v>8.0680691463527979E-2</v>
      </c>
      <c r="D2">
        <f>Data!K17</f>
        <v>9.505457951868844E-2</v>
      </c>
      <c r="E2">
        <f>Data!L17</f>
        <v>0.11568149932617947</v>
      </c>
      <c r="F2">
        <f>Data!M17</f>
        <v>0.14476296466370087</v>
      </c>
      <c r="G2">
        <f>Data!N17</f>
        <v>0.18475851165546336</v>
      </c>
      <c r="H2">
        <f>Data!O17</f>
        <v>0.23792530586934729</v>
      </c>
      <c r="I2">
        <f>Data!P17</f>
        <v>0.30549435030149535</v>
      </c>
      <c r="J2">
        <f>Data!Q17</f>
        <v>0.38662650908549429</v>
      </c>
      <c r="K2">
        <f>Data!R17</f>
        <v>0.47765770255314599</v>
      </c>
      <c r="L2">
        <f>Data!S17</f>
        <v>0.57234229744685405</v>
      </c>
      <c r="M2">
        <f>Data!T17</f>
        <v>0.6633734909145057</v>
      </c>
      <c r="N2">
        <f>Data!U17</f>
        <v>0.74450564969850463</v>
      </c>
      <c r="O2">
        <f>Data!V17</f>
        <v>0.8120746941306527</v>
      </c>
      <c r="P2">
        <f>Data!W17</f>
        <v>0.86524148834453662</v>
      </c>
      <c r="Q2">
        <f>Data!X17</f>
        <v>0.90523703533629907</v>
      </c>
      <c r="R2">
        <f>Data!Y17</f>
        <v>0.93431850067382061</v>
      </c>
      <c r="S2">
        <f>Data!Z17</f>
        <v>0.9549454204813117</v>
      </c>
      <c r="T2">
        <f>Data!AA17</f>
        <v>0.96931930853647208</v>
      </c>
      <c r="U2">
        <f>Data!AB17</f>
        <v>0.97921279261067595</v>
      </c>
      <c r="V2">
        <f>Data!AC17</f>
        <v>0.98596466989139064</v>
      </c>
      <c r="W2">
        <f>Data!AD17</f>
        <v>0.9905457882264409</v>
      </c>
      <c r="X2">
        <f>Data!AE17</f>
        <v>0.99364179162192945</v>
      </c>
      <c r="Y2">
        <f>Data!AF17</f>
        <v>0.99572854049710591</v>
      </c>
      <c r="Z2">
        <f>Data!AG17</f>
        <v>0.99713250449152702</v>
      </c>
      <c r="AA2">
        <f>Data!AH17</f>
        <v>0.99807594563040258</v>
      </c>
      <c r="AB2">
        <f>Data!AI17</f>
        <v>0.99870940604709257</v>
      </c>
      <c r="AC2">
        <f>Data!AJ17</f>
        <v>0.99913450136531945</v>
      </c>
      <c r="AD2">
        <f>Data!AK17</f>
        <v>0.99941966460853737</v>
      </c>
      <c r="AE2">
        <f>Data!AL17</f>
        <v>0.99961091119326329</v>
      </c>
      <c r="AF2">
        <f>AE2</f>
        <v>0.99961091119326329</v>
      </c>
      <c r="AG2">
        <f t="shared" ref="AG2:BA8" si="0">AF2</f>
        <v>0.99961091119326329</v>
      </c>
      <c r="AH2">
        <f t="shared" si="0"/>
        <v>0.99961091119326329</v>
      </c>
      <c r="AI2">
        <f t="shared" si="0"/>
        <v>0.99961091119326329</v>
      </c>
      <c r="AJ2">
        <f t="shared" si="0"/>
        <v>0.99961091119326329</v>
      </c>
      <c r="AK2">
        <f t="shared" si="0"/>
        <v>0.99961091119326329</v>
      </c>
      <c r="AL2">
        <f t="shared" si="0"/>
        <v>0.99961091119326329</v>
      </c>
      <c r="AM2">
        <f t="shared" si="0"/>
        <v>0.99961091119326329</v>
      </c>
      <c r="AN2">
        <f t="shared" si="0"/>
        <v>0.99961091119326329</v>
      </c>
      <c r="AO2">
        <f t="shared" si="0"/>
        <v>0.99961091119326329</v>
      </c>
      <c r="AP2">
        <f t="shared" si="0"/>
        <v>0.99961091119326329</v>
      </c>
      <c r="AQ2">
        <f t="shared" si="0"/>
        <v>0.99961091119326329</v>
      </c>
      <c r="AR2">
        <f t="shared" si="0"/>
        <v>0.99961091119326329</v>
      </c>
      <c r="AS2">
        <f t="shared" si="0"/>
        <v>0.99961091119326329</v>
      </c>
      <c r="AT2">
        <f t="shared" si="0"/>
        <v>0.99961091119326329</v>
      </c>
      <c r="AU2">
        <f t="shared" si="0"/>
        <v>0.99961091119326329</v>
      </c>
      <c r="AV2">
        <f t="shared" si="0"/>
        <v>0.99961091119326329</v>
      </c>
      <c r="AW2">
        <f t="shared" si="0"/>
        <v>0.99961091119326329</v>
      </c>
      <c r="AX2">
        <f t="shared" si="0"/>
        <v>0.99961091119326329</v>
      </c>
      <c r="AY2">
        <f t="shared" si="0"/>
        <v>0.99961091119326329</v>
      </c>
      <c r="AZ2">
        <f t="shared" si="0"/>
        <v>0.99961091119326329</v>
      </c>
      <c r="BA2">
        <f t="shared" si="0"/>
        <v>0.99961091119326329</v>
      </c>
    </row>
    <row r="3" spans="1:53" x14ac:dyDescent="0.25">
      <c r="A3" t="s">
        <v>2</v>
      </c>
      <c r="B3">
        <f>Data!I18</f>
        <v>1.4975764421952546E-3</v>
      </c>
      <c r="C3">
        <f>Data!J18</f>
        <v>1.4975764421952566E-3</v>
      </c>
      <c r="D3">
        <f>Data!K18</f>
        <v>1.4882119094700615E-3</v>
      </c>
      <c r="E3">
        <f>Data!L18</f>
        <v>1.4788473767448664E-3</v>
      </c>
      <c r="F3">
        <f>Data!M18</f>
        <v>1.4694828440196712E-3</v>
      </c>
      <c r="G3">
        <f>Data!N18</f>
        <v>1.4601183112944796E-3</v>
      </c>
      <c r="H3">
        <f>Data!O18</f>
        <v>1.4507537785692845E-3</v>
      </c>
      <c r="I3">
        <f>Data!P18</f>
        <v>1.4413892458440894E-3</v>
      </c>
      <c r="J3">
        <f>Data!Q18</f>
        <v>1.4320247131188943E-3</v>
      </c>
      <c r="K3">
        <f>Data!R18</f>
        <v>1.4226601803937027E-3</v>
      </c>
      <c r="L3">
        <f>Data!S18</f>
        <v>1.4132956476685075E-3</v>
      </c>
      <c r="M3">
        <f>Data!T18</f>
        <v>1.4039311149433124E-3</v>
      </c>
      <c r="N3">
        <f>Data!U18</f>
        <v>1.3945665822181173E-3</v>
      </c>
      <c r="O3">
        <f>Data!V18</f>
        <v>1.3852020494929257E-3</v>
      </c>
      <c r="P3">
        <f>Data!W18</f>
        <v>1.3758375167677306E-3</v>
      </c>
      <c r="Q3">
        <f>Data!X18</f>
        <v>1.3664729840425355E-3</v>
      </c>
      <c r="R3">
        <f>Data!Y18</f>
        <v>1.3571084513173404E-3</v>
      </c>
      <c r="S3">
        <f>Data!Z18</f>
        <v>1.3477439185921487E-3</v>
      </c>
      <c r="T3">
        <f>Data!AA18</f>
        <v>1.3383793858669536E-3</v>
      </c>
      <c r="U3">
        <f>Data!AB18</f>
        <v>1.3290148531417585E-3</v>
      </c>
      <c r="V3">
        <f>Data!AC18</f>
        <v>1.3196503204165634E-3</v>
      </c>
      <c r="W3">
        <f>Data!AD18</f>
        <v>1.3102857876913718E-3</v>
      </c>
      <c r="X3">
        <f>Data!AE18</f>
        <v>1.3009212549661767E-3</v>
      </c>
      <c r="Y3">
        <f>Data!AF18</f>
        <v>1.2915567222409816E-3</v>
      </c>
      <c r="Z3">
        <f>Data!AG18</f>
        <v>1.2821921895157865E-3</v>
      </c>
      <c r="AA3">
        <f>Data!AH18</f>
        <v>1.2728276567905948E-3</v>
      </c>
      <c r="AB3">
        <f>Data!AI18</f>
        <v>1.2634631240653997E-3</v>
      </c>
      <c r="AC3">
        <f>Data!AJ18</f>
        <v>1.2540985913402046E-3</v>
      </c>
      <c r="AD3">
        <f>Data!AK18</f>
        <v>1.2447340586150095E-3</v>
      </c>
      <c r="AE3">
        <f>Data!AL18</f>
        <v>1.2353695258898144E-3</v>
      </c>
      <c r="AF3">
        <f t="shared" ref="AF3:AU8" si="1">AE3</f>
        <v>1.2353695258898144E-3</v>
      </c>
      <c r="AG3">
        <f t="shared" si="1"/>
        <v>1.2353695258898144E-3</v>
      </c>
      <c r="AH3">
        <f t="shared" si="1"/>
        <v>1.2353695258898144E-3</v>
      </c>
      <c r="AI3">
        <f t="shared" si="1"/>
        <v>1.2353695258898144E-3</v>
      </c>
      <c r="AJ3">
        <f t="shared" si="1"/>
        <v>1.2353695258898144E-3</v>
      </c>
      <c r="AK3">
        <f t="shared" si="1"/>
        <v>1.2353695258898144E-3</v>
      </c>
      <c r="AL3">
        <f t="shared" si="1"/>
        <v>1.2353695258898144E-3</v>
      </c>
      <c r="AM3">
        <f t="shared" si="1"/>
        <v>1.2353695258898144E-3</v>
      </c>
      <c r="AN3">
        <f t="shared" si="1"/>
        <v>1.2353695258898144E-3</v>
      </c>
      <c r="AO3">
        <f t="shared" si="1"/>
        <v>1.2353695258898144E-3</v>
      </c>
      <c r="AP3">
        <f t="shared" si="1"/>
        <v>1.2353695258898144E-3</v>
      </c>
      <c r="AQ3">
        <f t="shared" si="1"/>
        <v>1.2353695258898144E-3</v>
      </c>
      <c r="AR3">
        <f t="shared" si="1"/>
        <v>1.2353695258898144E-3</v>
      </c>
      <c r="AS3">
        <f t="shared" si="1"/>
        <v>1.2353695258898144E-3</v>
      </c>
      <c r="AT3">
        <f t="shared" si="1"/>
        <v>1.2353695258898144E-3</v>
      </c>
      <c r="AU3">
        <f t="shared" si="1"/>
        <v>1.2353695258898144E-3</v>
      </c>
      <c r="AV3">
        <f t="shared" si="0"/>
        <v>1.2353695258898144E-3</v>
      </c>
      <c r="AW3">
        <f t="shared" si="0"/>
        <v>1.2353695258898144E-3</v>
      </c>
      <c r="AX3">
        <f t="shared" si="0"/>
        <v>1.2353695258898144E-3</v>
      </c>
      <c r="AY3">
        <f t="shared" si="0"/>
        <v>1.2353695258898144E-3</v>
      </c>
      <c r="AZ3">
        <f t="shared" si="0"/>
        <v>1.2353695258898144E-3</v>
      </c>
      <c r="BA3">
        <f t="shared" si="0"/>
        <v>1.2353695258898144E-3</v>
      </c>
    </row>
    <row r="4" spans="1:53" x14ac:dyDescent="0.25">
      <c r="A4" t="s">
        <v>3</v>
      </c>
      <c r="B4">
        <f>Data!I19</f>
        <v>3</v>
      </c>
      <c r="C4">
        <f>Data!J19</f>
        <v>3</v>
      </c>
      <c r="D4">
        <f>Data!K19</f>
        <v>3</v>
      </c>
      <c r="E4">
        <f>Data!L19</f>
        <v>3</v>
      </c>
      <c r="F4">
        <f>Data!M19</f>
        <v>3</v>
      </c>
      <c r="G4">
        <f>Data!N19</f>
        <v>3</v>
      </c>
      <c r="H4">
        <f>Data!O19</f>
        <v>3</v>
      </c>
      <c r="I4">
        <f>Data!P19</f>
        <v>3</v>
      </c>
      <c r="J4">
        <f>Data!Q19</f>
        <v>3</v>
      </c>
      <c r="K4">
        <f>Data!R19</f>
        <v>3</v>
      </c>
      <c r="L4">
        <f>Data!S19</f>
        <v>3</v>
      </c>
      <c r="M4">
        <f>Data!T19</f>
        <v>3</v>
      </c>
      <c r="N4">
        <f>Data!U19</f>
        <v>3</v>
      </c>
      <c r="O4">
        <f>Data!V19</f>
        <v>3</v>
      </c>
      <c r="P4">
        <f>Data!W19</f>
        <v>3</v>
      </c>
      <c r="Q4">
        <f>Data!X19</f>
        <v>3</v>
      </c>
      <c r="R4">
        <f>Data!Y19</f>
        <v>3</v>
      </c>
      <c r="S4">
        <f>Data!Z19</f>
        <v>3</v>
      </c>
      <c r="T4">
        <f>Data!AA19</f>
        <v>3</v>
      </c>
      <c r="U4">
        <f>Data!AB19</f>
        <v>3</v>
      </c>
      <c r="V4">
        <f>Data!AC19</f>
        <v>3</v>
      </c>
      <c r="W4">
        <f>Data!AD19</f>
        <v>3</v>
      </c>
      <c r="X4">
        <f>Data!AE19</f>
        <v>3</v>
      </c>
      <c r="Y4">
        <f>Data!AF19</f>
        <v>3</v>
      </c>
      <c r="Z4">
        <f>Data!AG19</f>
        <v>3</v>
      </c>
      <c r="AA4">
        <f>Data!AH19</f>
        <v>3</v>
      </c>
      <c r="AB4">
        <f>Data!AI19</f>
        <v>3</v>
      </c>
      <c r="AC4">
        <f>Data!AJ19</f>
        <v>3</v>
      </c>
      <c r="AD4">
        <f>Data!AK19</f>
        <v>3</v>
      </c>
      <c r="AE4">
        <f>Data!AL19</f>
        <v>3</v>
      </c>
      <c r="AF4">
        <f t="shared" si="1"/>
        <v>3</v>
      </c>
      <c r="AG4">
        <f t="shared" si="0"/>
        <v>3</v>
      </c>
      <c r="AH4">
        <f t="shared" si="0"/>
        <v>3</v>
      </c>
      <c r="AI4">
        <f t="shared" si="0"/>
        <v>3</v>
      </c>
      <c r="AJ4">
        <f t="shared" si="0"/>
        <v>3</v>
      </c>
      <c r="AK4">
        <f t="shared" si="0"/>
        <v>3</v>
      </c>
      <c r="AL4">
        <f t="shared" si="0"/>
        <v>3</v>
      </c>
      <c r="AM4">
        <f t="shared" si="0"/>
        <v>3</v>
      </c>
      <c r="AN4">
        <f t="shared" si="0"/>
        <v>3</v>
      </c>
      <c r="AO4">
        <f t="shared" si="0"/>
        <v>3</v>
      </c>
      <c r="AP4">
        <f t="shared" si="0"/>
        <v>3</v>
      </c>
      <c r="AQ4">
        <f t="shared" si="0"/>
        <v>3</v>
      </c>
      <c r="AR4">
        <f t="shared" si="0"/>
        <v>3</v>
      </c>
      <c r="AS4">
        <f t="shared" si="0"/>
        <v>3</v>
      </c>
      <c r="AT4">
        <f t="shared" si="0"/>
        <v>3</v>
      </c>
      <c r="AU4">
        <f t="shared" si="0"/>
        <v>3</v>
      </c>
      <c r="AV4">
        <f t="shared" si="0"/>
        <v>3</v>
      </c>
      <c r="AW4">
        <f t="shared" si="0"/>
        <v>3</v>
      </c>
      <c r="AX4">
        <f t="shared" si="0"/>
        <v>3</v>
      </c>
      <c r="AY4">
        <f t="shared" si="0"/>
        <v>3</v>
      </c>
      <c r="AZ4">
        <f t="shared" si="0"/>
        <v>3</v>
      </c>
      <c r="BA4">
        <f t="shared" si="0"/>
        <v>3</v>
      </c>
    </row>
    <row r="5" spans="1:53" x14ac:dyDescent="0.25">
      <c r="A5" t="s">
        <v>4</v>
      </c>
      <c r="B5">
        <f>Data!I20</f>
        <v>3</v>
      </c>
      <c r="C5">
        <f>Data!J20</f>
        <v>3</v>
      </c>
      <c r="D5">
        <f>Data!K20</f>
        <v>3</v>
      </c>
      <c r="E5">
        <f>Data!L20</f>
        <v>3</v>
      </c>
      <c r="F5">
        <f>Data!M20</f>
        <v>3</v>
      </c>
      <c r="G5">
        <f>Data!N20</f>
        <v>3</v>
      </c>
      <c r="H5">
        <f>Data!O20</f>
        <v>3</v>
      </c>
      <c r="I5">
        <f>Data!P20</f>
        <v>3</v>
      </c>
      <c r="J5">
        <f>Data!Q20</f>
        <v>3</v>
      </c>
      <c r="K5">
        <f>Data!R20</f>
        <v>3</v>
      </c>
      <c r="L5">
        <f>Data!S20</f>
        <v>3</v>
      </c>
      <c r="M5">
        <f>Data!T20</f>
        <v>3</v>
      </c>
      <c r="N5">
        <f>Data!U20</f>
        <v>3</v>
      </c>
      <c r="O5">
        <f>Data!V20</f>
        <v>3</v>
      </c>
      <c r="P5">
        <f>Data!W20</f>
        <v>3</v>
      </c>
      <c r="Q5">
        <f>Data!X20</f>
        <v>3</v>
      </c>
      <c r="R5">
        <f>Data!Y20</f>
        <v>3</v>
      </c>
      <c r="S5">
        <f>Data!Z20</f>
        <v>3</v>
      </c>
      <c r="T5">
        <f>Data!AA20</f>
        <v>3</v>
      </c>
      <c r="U5">
        <f>Data!AB20</f>
        <v>3</v>
      </c>
      <c r="V5">
        <f>Data!AC20</f>
        <v>3</v>
      </c>
      <c r="W5">
        <f>Data!AD20</f>
        <v>3</v>
      </c>
      <c r="X5">
        <f>Data!AE20</f>
        <v>3</v>
      </c>
      <c r="Y5">
        <f>Data!AF20</f>
        <v>3</v>
      </c>
      <c r="Z5">
        <f>Data!AG20</f>
        <v>3</v>
      </c>
      <c r="AA5">
        <f>Data!AH20</f>
        <v>3</v>
      </c>
      <c r="AB5">
        <f>Data!AI20</f>
        <v>3</v>
      </c>
      <c r="AC5">
        <f>Data!AJ20</f>
        <v>3</v>
      </c>
      <c r="AD5">
        <f>Data!AK20</f>
        <v>3</v>
      </c>
      <c r="AE5">
        <f>Data!AL20</f>
        <v>3</v>
      </c>
      <c r="AF5">
        <f t="shared" si="1"/>
        <v>3</v>
      </c>
      <c r="AG5">
        <f t="shared" si="0"/>
        <v>3</v>
      </c>
      <c r="AH5">
        <f t="shared" si="0"/>
        <v>3</v>
      </c>
      <c r="AI5">
        <f t="shared" si="0"/>
        <v>3</v>
      </c>
      <c r="AJ5">
        <f t="shared" si="0"/>
        <v>3</v>
      </c>
      <c r="AK5">
        <f t="shared" si="0"/>
        <v>3</v>
      </c>
      <c r="AL5">
        <f t="shared" si="0"/>
        <v>3</v>
      </c>
      <c r="AM5">
        <f t="shared" si="0"/>
        <v>3</v>
      </c>
      <c r="AN5">
        <f t="shared" si="0"/>
        <v>3</v>
      </c>
      <c r="AO5">
        <f t="shared" si="0"/>
        <v>3</v>
      </c>
      <c r="AP5">
        <f t="shared" si="0"/>
        <v>3</v>
      </c>
      <c r="AQ5">
        <f t="shared" si="0"/>
        <v>3</v>
      </c>
      <c r="AR5">
        <f t="shared" si="0"/>
        <v>3</v>
      </c>
      <c r="AS5">
        <f t="shared" si="0"/>
        <v>3</v>
      </c>
      <c r="AT5">
        <f t="shared" si="0"/>
        <v>3</v>
      </c>
      <c r="AU5">
        <f t="shared" si="0"/>
        <v>3</v>
      </c>
      <c r="AV5">
        <f t="shared" si="0"/>
        <v>3</v>
      </c>
      <c r="AW5">
        <f t="shared" si="0"/>
        <v>3</v>
      </c>
      <c r="AX5">
        <f t="shared" si="0"/>
        <v>3</v>
      </c>
      <c r="AY5">
        <f t="shared" si="0"/>
        <v>3</v>
      </c>
      <c r="AZ5">
        <f t="shared" si="0"/>
        <v>3</v>
      </c>
      <c r="BA5">
        <f t="shared" si="0"/>
        <v>3</v>
      </c>
    </row>
    <row r="6" spans="1:53" x14ac:dyDescent="0.25">
      <c r="A6" t="s">
        <v>5</v>
      </c>
      <c r="B6">
        <f>Data!I21</f>
        <v>2.8156107643030772E-4</v>
      </c>
      <c r="C6">
        <f>Data!J21</f>
        <v>3.9709092074817981E-3</v>
      </c>
      <c r="D6">
        <f>Data!K21</f>
        <v>5.2360512521104916E-3</v>
      </c>
      <c r="E6">
        <f>Data!L21</f>
        <v>6.9233207925054616E-3</v>
      </c>
      <c r="F6">
        <f>Data!M21</f>
        <v>9.1643429322478421E-3</v>
      </c>
      <c r="G6">
        <f>Data!N21</f>
        <v>1.2124676090919479E-2</v>
      </c>
      <c r="H6">
        <f>Data!O21</f>
        <v>1.6007169244761595E-2</v>
      </c>
      <c r="I6">
        <f>Data!P21</f>
        <v>2.1051317005956457E-2</v>
      </c>
      <c r="J6">
        <f>Data!Q21</f>
        <v>2.7525048956922572E-2</v>
      </c>
      <c r="K6">
        <f>Data!R21</f>
        <v>3.5704387563026088E-2</v>
      </c>
      <c r="L6">
        <f>Data!S21</f>
        <v>4.5836578101168111E-2</v>
      </c>
      <c r="M6">
        <f>Data!T21</f>
        <v>5.8085190790550939E-2</v>
      </c>
      <c r="N6">
        <f>Data!U21</f>
        <v>7.2462800050995702E-2</v>
      </c>
      <c r="O6">
        <f>Data!V21</f>
        <v>8.8767715128136082E-2</v>
      </c>
      <c r="P6">
        <f>Data!W21</f>
        <v>0.10655111145046607</v>
      </c>
      <c r="Q6">
        <f>Data!X21</f>
        <v>0.12514078053821515</v>
      </c>
      <c r="R6">
        <f>Data!Y21</f>
        <v>0.14373044962596424</v>
      </c>
      <c r="S6">
        <f>Data!Z21</f>
        <v>0.16151384594829421</v>
      </c>
      <c r="T6">
        <f>Data!AA21</f>
        <v>0.17781876102543459</v>
      </c>
      <c r="U6">
        <f>Data!AB21</f>
        <v>0.19219637028587935</v>
      </c>
      <c r="V6">
        <f>Data!AC21</f>
        <v>0.20444498297526217</v>
      </c>
      <c r="W6">
        <f>Data!AD21</f>
        <v>0.21457717351340425</v>
      </c>
      <c r="X6">
        <f>Data!AE21</f>
        <v>0.22275651211950773</v>
      </c>
      <c r="Y6">
        <f>Data!AF21</f>
        <v>0.22923024407047385</v>
      </c>
      <c r="Z6">
        <f>Data!AG21</f>
        <v>0.23427439183166873</v>
      </c>
      <c r="AA6">
        <f>Data!AH21</f>
        <v>0.23815688498551085</v>
      </c>
      <c r="AB6">
        <f>Data!AI21</f>
        <v>0.24111721814418247</v>
      </c>
      <c r="AC6">
        <f>Data!AJ21</f>
        <v>0.24335824028392483</v>
      </c>
      <c r="AD6">
        <f>Data!AK21</f>
        <v>0.24504550982431983</v>
      </c>
      <c r="AE6">
        <f>Data!AL21</f>
        <v>0.24631065186894852</v>
      </c>
      <c r="AF6">
        <f t="shared" si="1"/>
        <v>0.24631065186894852</v>
      </c>
      <c r="AG6">
        <f t="shared" si="0"/>
        <v>0.24631065186894852</v>
      </c>
      <c r="AH6">
        <f t="shared" si="0"/>
        <v>0.24631065186894852</v>
      </c>
      <c r="AI6">
        <f t="shared" si="0"/>
        <v>0.24631065186894852</v>
      </c>
      <c r="AJ6">
        <f t="shared" si="0"/>
        <v>0.24631065186894852</v>
      </c>
      <c r="AK6">
        <f t="shared" si="0"/>
        <v>0.24631065186894852</v>
      </c>
      <c r="AL6">
        <f t="shared" si="0"/>
        <v>0.24631065186894852</v>
      </c>
      <c r="AM6">
        <f t="shared" si="0"/>
        <v>0.24631065186894852</v>
      </c>
      <c r="AN6">
        <f t="shared" si="0"/>
        <v>0.24631065186894852</v>
      </c>
      <c r="AO6">
        <f t="shared" si="0"/>
        <v>0.24631065186894852</v>
      </c>
      <c r="AP6">
        <f t="shared" si="0"/>
        <v>0.24631065186894852</v>
      </c>
      <c r="AQ6">
        <f t="shared" si="0"/>
        <v>0.24631065186894852</v>
      </c>
      <c r="AR6">
        <f t="shared" si="0"/>
        <v>0.24631065186894852</v>
      </c>
      <c r="AS6">
        <f t="shared" si="0"/>
        <v>0.24631065186894852</v>
      </c>
      <c r="AT6">
        <f t="shared" si="0"/>
        <v>0.24631065186894852</v>
      </c>
      <c r="AU6">
        <f t="shared" si="0"/>
        <v>0.24631065186894852</v>
      </c>
      <c r="AV6">
        <f t="shared" si="0"/>
        <v>0.24631065186894852</v>
      </c>
      <c r="AW6">
        <f t="shared" si="0"/>
        <v>0.24631065186894852</v>
      </c>
      <c r="AX6">
        <f t="shared" si="0"/>
        <v>0.24631065186894852</v>
      </c>
      <c r="AY6">
        <f t="shared" si="0"/>
        <v>0.24631065186894852</v>
      </c>
      <c r="AZ6">
        <f t="shared" si="0"/>
        <v>0.24631065186894852</v>
      </c>
      <c r="BA6">
        <f t="shared" si="0"/>
        <v>0.24631065186894852</v>
      </c>
    </row>
    <row r="7" spans="1:53" x14ac:dyDescent="0.25">
      <c r="A7" t="s">
        <v>120</v>
      </c>
      <c r="B7">
        <f>Data!I22</f>
        <v>5.4448944256116078E-4</v>
      </c>
      <c r="C7">
        <f>Data!J22</f>
        <v>5.4448944256116003E-4</v>
      </c>
      <c r="D7">
        <f>Data!K22</f>
        <v>5.558166424943084E-4</v>
      </c>
      <c r="E7">
        <f>Data!L22</f>
        <v>5.6714384242746024E-4</v>
      </c>
      <c r="F7">
        <f>Data!M22</f>
        <v>5.7847104236061209E-4</v>
      </c>
      <c r="G7">
        <f>Data!N22</f>
        <v>5.8979824229376046E-4</v>
      </c>
      <c r="H7">
        <f>Data!O22</f>
        <v>6.011254422269123E-4</v>
      </c>
      <c r="I7">
        <f>Data!P22</f>
        <v>6.1245264216006068E-4</v>
      </c>
      <c r="J7">
        <f>Data!Q22</f>
        <v>6.2377984209321252E-4</v>
      </c>
      <c r="K7">
        <f>Data!R22</f>
        <v>6.351070420263609E-4</v>
      </c>
      <c r="L7">
        <f>Data!S22</f>
        <v>6.4643424195951274E-4</v>
      </c>
      <c r="M7">
        <f>Data!T22</f>
        <v>6.5776144189266458E-4</v>
      </c>
      <c r="N7">
        <f>Data!U22</f>
        <v>6.6908864182581296E-4</v>
      </c>
      <c r="O7">
        <f>Data!V22</f>
        <v>6.804158417589648E-4</v>
      </c>
      <c r="P7">
        <f>Data!W22</f>
        <v>6.9174304169211318E-4</v>
      </c>
      <c r="Q7">
        <f>Data!X22</f>
        <v>7.0307024162526502E-4</v>
      </c>
      <c r="R7">
        <f>Data!Y22</f>
        <v>7.1439744155841686E-4</v>
      </c>
      <c r="S7">
        <f>Data!Z22</f>
        <v>7.2572464149156524E-4</v>
      </c>
      <c r="T7">
        <f>Data!AA22</f>
        <v>7.3705184142471708E-4</v>
      </c>
      <c r="U7">
        <f>Data!AB22</f>
        <v>7.4837904135786545E-4</v>
      </c>
      <c r="V7">
        <f>Data!AC22</f>
        <v>7.597062412910173E-4</v>
      </c>
      <c r="W7">
        <f>Data!AD22</f>
        <v>7.7103344122416567E-4</v>
      </c>
      <c r="X7">
        <f>Data!AE22</f>
        <v>7.8236064115731752E-4</v>
      </c>
      <c r="Y7">
        <f>Data!AF22</f>
        <v>7.9368784109046936E-4</v>
      </c>
      <c r="Z7">
        <f>Data!AG22</f>
        <v>8.0501504102361773E-4</v>
      </c>
      <c r="AA7">
        <f>Data!AH22</f>
        <v>8.1634224095676958E-4</v>
      </c>
      <c r="AB7">
        <f>Data!AI22</f>
        <v>8.2766944088991795E-4</v>
      </c>
      <c r="AC7">
        <f>Data!AJ22</f>
        <v>8.3899664082306979E-4</v>
      </c>
      <c r="AD7">
        <f>Data!AK22</f>
        <v>8.5032384075622164E-4</v>
      </c>
      <c r="AE7">
        <f>Data!AL22</f>
        <v>8.6165104068937001E-4</v>
      </c>
      <c r="AF7">
        <f t="shared" si="1"/>
        <v>8.6165104068937001E-4</v>
      </c>
      <c r="AG7">
        <f t="shared" si="0"/>
        <v>8.6165104068937001E-4</v>
      </c>
      <c r="AH7">
        <f t="shared" si="0"/>
        <v>8.6165104068937001E-4</v>
      </c>
      <c r="AI7">
        <f t="shared" si="0"/>
        <v>8.6165104068937001E-4</v>
      </c>
      <c r="AJ7">
        <f t="shared" si="0"/>
        <v>8.6165104068937001E-4</v>
      </c>
      <c r="AK7">
        <f t="shared" si="0"/>
        <v>8.6165104068937001E-4</v>
      </c>
      <c r="AL7">
        <f t="shared" si="0"/>
        <v>8.6165104068937001E-4</v>
      </c>
      <c r="AM7">
        <f t="shared" si="0"/>
        <v>8.6165104068937001E-4</v>
      </c>
      <c r="AN7">
        <f t="shared" si="0"/>
        <v>8.6165104068937001E-4</v>
      </c>
      <c r="AO7">
        <f t="shared" si="0"/>
        <v>8.6165104068937001E-4</v>
      </c>
      <c r="AP7">
        <f t="shared" si="0"/>
        <v>8.6165104068937001E-4</v>
      </c>
      <c r="AQ7">
        <f t="shared" si="0"/>
        <v>8.6165104068937001E-4</v>
      </c>
      <c r="AR7">
        <f t="shared" si="0"/>
        <v>8.6165104068937001E-4</v>
      </c>
      <c r="AS7">
        <f t="shared" si="0"/>
        <v>8.6165104068937001E-4</v>
      </c>
      <c r="AT7">
        <f t="shared" si="0"/>
        <v>8.6165104068937001E-4</v>
      </c>
      <c r="AU7">
        <f t="shared" si="0"/>
        <v>8.6165104068937001E-4</v>
      </c>
      <c r="AV7">
        <f t="shared" si="0"/>
        <v>8.6165104068937001E-4</v>
      </c>
      <c r="AW7">
        <f t="shared" si="0"/>
        <v>8.6165104068937001E-4</v>
      </c>
      <c r="AX7">
        <f t="shared" si="0"/>
        <v>8.6165104068937001E-4</v>
      </c>
      <c r="AY7">
        <f t="shared" si="0"/>
        <v>8.6165104068937001E-4</v>
      </c>
      <c r="AZ7">
        <f t="shared" si="0"/>
        <v>8.6165104068937001E-4</v>
      </c>
      <c r="BA7">
        <f t="shared" si="0"/>
        <v>8.6165104068937001E-4</v>
      </c>
    </row>
    <row r="8" spans="1:53" x14ac:dyDescent="0.25">
      <c r="A8" t="s">
        <v>121</v>
      </c>
      <c r="B8">
        <f>Data!I23</f>
        <v>2.8265820535957225E-5</v>
      </c>
      <c r="C8">
        <f>Data!J23</f>
        <v>3.2499418292659206E-5</v>
      </c>
      <c r="D8">
        <f>Data!K23</f>
        <v>3.3951193059309608E-5</v>
      </c>
      <c r="E8">
        <f>Data!L23</f>
        <v>3.5887367225430346E-5</v>
      </c>
      <c r="F8">
        <f>Data!M23</f>
        <v>3.8458983122471971E-5</v>
      </c>
      <c r="G8">
        <f>Data!N23</f>
        <v>4.1856022212971344E-5</v>
      </c>
      <c r="H8">
        <f>Data!O23</f>
        <v>4.6311257588612655E-5</v>
      </c>
      <c r="I8">
        <f>Data!P23</f>
        <v>5.2099513911331002E-5</v>
      </c>
      <c r="J8">
        <f>Data!Q23</f>
        <v>5.9528245516902954E-5</v>
      </c>
      <c r="K8">
        <f>Data!R23</f>
        <v>6.8914193479541143E-5</v>
      </c>
      <c r="L8">
        <f>Data!S23</f>
        <v>8.0541076497633965E-5</v>
      </c>
      <c r="M8">
        <f>Data!T23</f>
        <v>9.4596594535641205E-5</v>
      </c>
      <c r="N8">
        <f>Data!U23</f>
        <v>1.1109517698153481E-4</v>
      </c>
      <c r="O8">
        <f>Data!V23</f>
        <v>1.2980537982545135E-4</v>
      </c>
      <c r="P8">
        <f>Data!W23</f>
        <v>1.5021216826135341E-4</v>
      </c>
      <c r="Q8">
        <f>Data!X23</f>
        <v>1.7154417016308128E-4</v>
      </c>
      <c r="R8">
        <f>Data!Y23</f>
        <v>1.9287617206480915E-4</v>
      </c>
      <c r="S8">
        <f>Data!Z23</f>
        <v>2.1328296050071122E-4</v>
      </c>
      <c r="T8">
        <f>Data!AA23</f>
        <v>2.3199316334462775E-4</v>
      </c>
      <c r="U8">
        <f>Data!AB23</f>
        <v>2.4849174579052134E-4</v>
      </c>
      <c r="V8">
        <f>Data!AC23</f>
        <v>2.625472638285286E-4</v>
      </c>
      <c r="W8">
        <f>Data!AD23</f>
        <v>2.7417414684662147E-4</v>
      </c>
      <c r="X8">
        <f>Data!AE23</f>
        <v>2.8356009480925965E-4</v>
      </c>
      <c r="Y8">
        <f>Data!AF23</f>
        <v>2.9098882641483164E-4</v>
      </c>
      <c r="Z8">
        <f>Data!AG23</f>
        <v>2.9677708273754996E-4</v>
      </c>
      <c r="AA8">
        <f>Data!AH23</f>
        <v>3.012323181131913E-4</v>
      </c>
      <c r="AB8">
        <f>Data!AI23</f>
        <v>3.0462935720369062E-4</v>
      </c>
      <c r="AC8">
        <f>Data!AJ23</f>
        <v>3.0720097310073225E-4</v>
      </c>
      <c r="AD8">
        <f>Data!AK23</f>
        <v>3.0913714726685303E-4</v>
      </c>
      <c r="AE8">
        <f>Data!AL23</f>
        <v>3.1058892203350341E-4</v>
      </c>
      <c r="AF8">
        <f t="shared" si="1"/>
        <v>3.1058892203350341E-4</v>
      </c>
      <c r="AG8">
        <f t="shared" si="0"/>
        <v>3.1058892203350341E-4</v>
      </c>
      <c r="AH8">
        <f t="shared" si="0"/>
        <v>3.1058892203350341E-4</v>
      </c>
      <c r="AI8">
        <f t="shared" si="0"/>
        <v>3.1058892203350341E-4</v>
      </c>
      <c r="AJ8">
        <f t="shared" si="0"/>
        <v>3.1058892203350341E-4</v>
      </c>
      <c r="AK8">
        <f t="shared" si="0"/>
        <v>3.1058892203350341E-4</v>
      </c>
      <c r="AL8">
        <f t="shared" si="0"/>
        <v>3.1058892203350341E-4</v>
      </c>
      <c r="AM8">
        <f t="shared" si="0"/>
        <v>3.1058892203350341E-4</v>
      </c>
      <c r="AN8">
        <f t="shared" si="0"/>
        <v>3.1058892203350341E-4</v>
      </c>
      <c r="AO8">
        <f t="shared" si="0"/>
        <v>3.1058892203350341E-4</v>
      </c>
      <c r="AP8">
        <f t="shared" si="0"/>
        <v>3.1058892203350341E-4</v>
      </c>
      <c r="AQ8">
        <f t="shared" si="0"/>
        <v>3.1058892203350341E-4</v>
      </c>
      <c r="AR8">
        <f t="shared" si="0"/>
        <v>3.1058892203350341E-4</v>
      </c>
      <c r="AS8">
        <f t="shared" si="0"/>
        <v>3.1058892203350341E-4</v>
      </c>
      <c r="AT8">
        <f t="shared" si="0"/>
        <v>3.1058892203350341E-4</v>
      </c>
      <c r="AU8">
        <f t="shared" si="0"/>
        <v>3.1058892203350341E-4</v>
      </c>
      <c r="AV8">
        <f t="shared" si="0"/>
        <v>3.1058892203350341E-4</v>
      </c>
      <c r="AW8">
        <f t="shared" si="0"/>
        <v>3.1058892203350341E-4</v>
      </c>
      <c r="AX8">
        <f t="shared" si="0"/>
        <v>3.1058892203350341E-4</v>
      </c>
      <c r="AY8">
        <f t="shared" si="0"/>
        <v>3.1058892203350341E-4</v>
      </c>
      <c r="AZ8">
        <f t="shared" si="0"/>
        <v>3.1058892203350341E-4</v>
      </c>
      <c r="BA8">
        <f t="shared" si="0"/>
        <v>3.1058892203350341E-4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BA8"/>
  <sheetViews>
    <sheetView topLeftCell="E1" workbookViewId="0">
      <selection activeCell="AF1" sqref="AF1:BA8"/>
    </sheetView>
  </sheetViews>
  <sheetFormatPr defaultColWidth="9.140625" defaultRowHeight="15" x14ac:dyDescent="0.25"/>
  <cols>
    <col min="1" max="1" width="24.42578125" customWidth="1"/>
  </cols>
  <sheetData>
    <row r="1" spans="1:53" ht="45" x14ac:dyDescent="0.25">
      <c r="A1" s="25" t="s">
        <v>123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</row>
    <row r="2" spans="1:53" x14ac:dyDescent="0.25">
      <c r="A2" t="s">
        <v>1</v>
      </c>
      <c r="B2">
        <f>Data!I24</f>
        <v>1</v>
      </c>
      <c r="C2">
        <f>Data!J24</f>
        <v>1</v>
      </c>
      <c r="D2">
        <f>Data!K24</f>
        <v>1</v>
      </c>
      <c r="E2">
        <f>Data!L24</f>
        <v>1</v>
      </c>
      <c r="F2">
        <f>Data!M24</f>
        <v>1</v>
      </c>
      <c r="G2">
        <f>Data!N24</f>
        <v>1</v>
      </c>
      <c r="H2">
        <f>Data!O24</f>
        <v>1</v>
      </c>
      <c r="I2">
        <f>Data!P24</f>
        <v>1</v>
      </c>
      <c r="J2">
        <f>Data!Q24</f>
        <v>1</v>
      </c>
      <c r="K2">
        <f>Data!R24</f>
        <v>1</v>
      </c>
      <c r="L2">
        <f>Data!S24</f>
        <v>1</v>
      </c>
      <c r="M2">
        <f>Data!T24</f>
        <v>1</v>
      </c>
      <c r="N2">
        <f>Data!U24</f>
        <v>1</v>
      </c>
      <c r="O2">
        <f>Data!V24</f>
        <v>1</v>
      </c>
      <c r="P2">
        <f>Data!W24</f>
        <v>1</v>
      </c>
      <c r="Q2">
        <f>Data!X24</f>
        <v>1</v>
      </c>
      <c r="R2">
        <f>Data!Y24</f>
        <v>1</v>
      </c>
      <c r="S2">
        <f>Data!Z24</f>
        <v>1</v>
      </c>
      <c r="T2">
        <f>Data!AA24</f>
        <v>1</v>
      </c>
      <c r="U2">
        <f>Data!AB24</f>
        <v>1</v>
      </c>
      <c r="V2">
        <f>Data!AC24</f>
        <v>1</v>
      </c>
      <c r="W2">
        <f>Data!AD24</f>
        <v>1</v>
      </c>
      <c r="X2">
        <f>Data!AE24</f>
        <v>1</v>
      </c>
      <c r="Y2">
        <f>Data!AF24</f>
        <v>1</v>
      </c>
      <c r="Z2">
        <f>Data!AG24</f>
        <v>1</v>
      </c>
      <c r="AA2">
        <f>Data!AH24</f>
        <v>1</v>
      </c>
      <c r="AB2">
        <f>Data!AI24</f>
        <v>1</v>
      </c>
      <c r="AC2">
        <f>Data!AJ24</f>
        <v>1</v>
      </c>
      <c r="AD2">
        <f>Data!AK24</f>
        <v>1</v>
      </c>
      <c r="AE2">
        <f>Data!AL24</f>
        <v>1</v>
      </c>
      <c r="AF2">
        <f>AE2</f>
        <v>1</v>
      </c>
      <c r="AG2">
        <f t="shared" ref="AG2:BA8" si="0">AF2</f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1</v>
      </c>
      <c r="AN2">
        <f t="shared" si="0"/>
        <v>1</v>
      </c>
      <c r="AO2">
        <f t="shared" si="0"/>
        <v>1</v>
      </c>
      <c r="AP2">
        <f t="shared" si="0"/>
        <v>1</v>
      </c>
      <c r="AQ2">
        <f t="shared" si="0"/>
        <v>1</v>
      </c>
      <c r="AR2">
        <f t="shared" si="0"/>
        <v>1</v>
      </c>
      <c r="AS2">
        <f t="shared" si="0"/>
        <v>1</v>
      </c>
      <c r="AT2">
        <f t="shared" si="0"/>
        <v>1</v>
      </c>
      <c r="AU2">
        <f t="shared" si="0"/>
        <v>1</v>
      </c>
      <c r="AV2">
        <f t="shared" si="0"/>
        <v>1</v>
      </c>
      <c r="AW2">
        <f t="shared" si="0"/>
        <v>1</v>
      </c>
      <c r="AX2">
        <f t="shared" si="0"/>
        <v>1</v>
      </c>
      <c r="AY2">
        <f t="shared" si="0"/>
        <v>1</v>
      </c>
      <c r="AZ2">
        <f t="shared" si="0"/>
        <v>1</v>
      </c>
      <c r="BA2">
        <f t="shared" si="0"/>
        <v>1</v>
      </c>
    </row>
    <row r="3" spans="1:53" x14ac:dyDescent="0.25">
      <c r="A3" t="s">
        <v>2</v>
      </c>
      <c r="B3">
        <f>Data!I25</f>
        <v>0.29802375741500553</v>
      </c>
      <c r="C3">
        <f>Data!J25</f>
        <v>0.29596244960239987</v>
      </c>
      <c r="D3">
        <f>Data!K25</f>
        <v>0.29525559107671612</v>
      </c>
      <c r="E3">
        <f>Data!L25</f>
        <v>0.29431288202296346</v>
      </c>
      <c r="F3">
        <f>Data!M25</f>
        <v>0.2930607810336332</v>
      </c>
      <c r="G3">
        <f>Data!N25</f>
        <v>0.29140678752282123</v>
      </c>
      <c r="H3">
        <f>Data!O25</f>
        <v>0.28923756597307232</v>
      </c>
      <c r="I3">
        <f>Data!P25</f>
        <v>0.28641930626464923</v>
      </c>
      <c r="J3">
        <f>Data!Q25</f>
        <v>0.28280231112804816</v>
      </c>
      <c r="K3">
        <f>Data!R25</f>
        <v>0.27823236164867954</v>
      </c>
      <c r="L3">
        <f>Data!S25</f>
        <v>0.2725713172654462</v>
      </c>
      <c r="M3">
        <f>Data!T25</f>
        <v>0.26572778823718668</v>
      </c>
      <c r="N3">
        <f>Data!U25</f>
        <v>0.25769474900033379</v>
      </c>
      <c r="O3">
        <f>Data!V25</f>
        <v>0.24858488795211589</v>
      </c>
      <c r="P3">
        <f>Data!W25</f>
        <v>0.23864897177620478</v>
      </c>
      <c r="Q3">
        <f>Data!X25</f>
        <v>0.22826257592436899</v>
      </c>
      <c r="R3">
        <f>Data!Y25</f>
        <v>0.21787618007253318</v>
      </c>
      <c r="S3">
        <f>Data!Z25</f>
        <v>0.20794026389662207</v>
      </c>
      <c r="T3">
        <f>Data!AA25</f>
        <v>0.19883040284840414</v>
      </c>
      <c r="U3">
        <f>Data!AB25</f>
        <v>0.19079736361155128</v>
      </c>
      <c r="V3">
        <f>Data!AC25</f>
        <v>0.18395383458329176</v>
      </c>
      <c r="W3">
        <f>Data!AD25</f>
        <v>0.17829279020005839</v>
      </c>
      <c r="X3">
        <f>Data!AE25</f>
        <v>0.17372284072068978</v>
      </c>
      <c r="Y3">
        <f>Data!AF25</f>
        <v>0.17010584558408873</v>
      </c>
      <c r="Z3">
        <f>Data!AG25</f>
        <v>0.16728758587566564</v>
      </c>
      <c r="AA3">
        <f>Data!AH25</f>
        <v>0.1651183643259167</v>
      </c>
      <c r="AB3">
        <f>Data!AI25</f>
        <v>0.16346437081510473</v>
      </c>
      <c r="AC3">
        <f>Data!AJ25</f>
        <v>0.1622122698257745</v>
      </c>
      <c r="AD3">
        <f>Data!AK25</f>
        <v>0.16126956077202181</v>
      </c>
      <c r="AE3">
        <f>Data!AL25</f>
        <v>0.16056270224633809</v>
      </c>
      <c r="AF3">
        <f t="shared" ref="AF3:AU8" si="1">AE3</f>
        <v>0.16056270224633809</v>
      </c>
      <c r="AG3">
        <f t="shared" si="1"/>
        <v>0.16056270224633809</v>
      </c>
      <c r="AH3">
        <f t="shared" si="1"/>
        <v>0.16056270224633809</v>
      </c>
      <c r="AI3">
        <f t="shared" si="1"/>
        <v>0.16056270224633809</v>
      </c>
      <c r="AJ3">
        <f t="shared" si="1"/>
        <v>0.16056270224633809</v>
      </c>
      <c r="AK3">
        <f t="shared" si="1"/>
        <v>0.16056270224633809</v>
      </c>
      <c r="AL3">
        <f t="shared" si="1"/>
        <v>0.16056270224633809</v>
      </c>
      <c r="AM3">
        <f t="shared" si="1"/>
        <v>0.16056270224633809</v>
      </c>
      <c r="AN3">
        <f t="shared" si="1"/>
        <v>0.16056270224633809</v>
      </c>
      <c r="AO3">
        <f t="shared" si="1"/>
        <v>0.16056270224633809</v>
      </c>
      <c r="AP3">
        <f t="shared" si="1"/>
        <v>0.16056270224633809</v>
      </c>
      <c r="AQ3">
        <f t="shared" si="1"/>
        <v>0.16056270224633809</v>
      </c>
      <c r="AR3">
        <f t="shared" si="1"/>
        <v>0.16056270224633809</v>
      </c>
      <c r="AS3">
        <f t="shared" si="1"/>
        <v>0.16056270224633809</v>
      </c>
      <c r="AT3">
        <f t="shared" si="1"/>
        <v>0.16056270224633809</v>
      </c>
      <c r="AU3">
        <f t="shared" si="1"/>
        <v>0.16056270224633809</v>
      </c>
      <c r="AV3">
        <f t="shared" si="0"/>
        <v>0.16056270224633809</v>
      </c>
      <c r="AW3">
        <f t="shared" si="0"/>
        <v>0.16056270224633809</v>
      </c>
      <c r="AX3">
        <f t="shared" si="0"/>
        <v>0.16056270224633809</v>
      </c>
      <c r="AY3">
        <f t="shared" si="0"/>
        <v>0.16056270224633809</v>
      </c>
      <c r="AZ3">
        <f t="shared" si="0"/>
        <v>0.16056270224633809</v>
      </c>
      <c r="BA3">
        <f t="shared" si="0"/>
        <v>0.16056270224633809</v>
      </c>
    </row>
    <row r="4" spans="1:53" x14ac:dyDescent="0.25">
      <c r="A4" t="s">
        <v>3</v>
      </c>
      <c r="B4">
        <f>Data!I26</f>
        <v>0.29802375741500553</v>
      </c>
      <c r="C4">
        <f>Data!J26</f>
        <v>0.29802375741500553</v>
      </c>
      <c r="D4">
        <f>Data!K26</f>
        <v>0.29802375741500553</v>
      </c>
      <c r="E4">
        <f>Data!L26</f>
        <v>0.29802375741500553</v>
      </c>
      <c r="F4">
        <f>Data!M26</f>
        <v>0.29802375741500553</v>
      </c>
      <c r="G4">
        <f>Data!N26</f>
        <v>0.29802375741500553</v>
      </c>
      <c r="H4">
        <f>Data!O26</f>
        <v>0.29802375741500553</v>
      </c>
      <c r="I4">
        <f>Data!P26</f>
        <v>0.29802375741500553</v>
      </c>
      <c r="J4">
        <f>Data!Q26</f>
        <v>0.29802375741500553</v>
      </c>
      <c r="K4">
        <f>Data!R26</f>
        <v>0.29802375741500553</v>
      </c>
      <c r="L4">
        <f>Data!S26</f>
        <v>0.29802375741500553</v>
      </c>
      <c r="M4">
        <f>Data!T26</f>
        <v>0.29802375741500553</v>
      </c>
      <c r="N4">
        <f>Data!U26</f>
        <v>0.29802375741500553</v>
      </c>
      <c r="O4">
        <f>Data!V26</f>
        <v>0.29802375741500553</v>
      </c>
      <c r="P4">
        <f>Data!W26</f>
        <v>0.29802375741500553</v>
      </c>
      <c r="Q4">
        <f>Data!X26</f>
        <v>0.29802375741500553</v>
      </c>
      <c r="R4">
        <f>Data!Y26</f>
        <v>0.29802375741500553</v>
      </c>
      <c r="S4">
        <f>Data!Z26</f>
        <v>0.29802375741500553</v>
      </c>
      <c r="T4">
        <f>Data!AA26</f>
        <v>0.29802375741500553</v>
      </c>
      <c r="U4">
        <f>Data!AB26</f>
        <v>0.29802375741500553</v>
      </c>
      <c r="V4">
        <f>Data!AC26</f>
        <v>0.29802375741500553</v>
      </c>
      <c r="W4">
        <f>Data!AD26</f>
        <v>0.29802375741500553</v>
      </c>
      <c r="X4">
        <f>Data!AE26</f>
        <v>0.29802375741500553</v>
      </c>
      <c r="Y4">
        <f>Data!AF26</f>
        <v>0.29802375741500553</v>
      </c>
      <c r="Z4">
        <f>Data!AG26</f>
        <v>0.29802375741500553</v>
      </c>
      <c r="AA4">
        <f>Data!AH26</f>
        <v>0.29802375741500553</v>
      </c>
      <c r="AB4">
        <f>Data!AI26</f>
        <v>0.29802375741500553</v>
      </c>
      <c r="AC4">
        <f>Data!AJ26</f>
        <v>0.29802375741500553</v>
      </c>
      <c r="AD4">
        <f>Data!AK26</f>
        <v>0.29802375741500553</v>
      </c>
      <c r="AE4">
        <f>Data!AL26</f>
        <v>0.29802375741500553</v>
      </c>
      <c r="AF4">
        <f t="shared" si="1"/>
        <v>0.29802375741500553</v>
      </c>
      <c r="AG4">
        <f t="shared" si="0"/>
        <v>0.29802375741500553</v>
      </c>
      <c r="AH4">
        <f t="shared" si="0"/>
        <v>0.29802375741500553</v>
      </c>
      <c r="AI4">
        <f t="shared" si="0"/>
        <v>0.29802375741500553</v>
      </c>
      <c r="AJ4">
        <f t="shared" si="0"/>
        <v>0.29802375741500553</v>
      </c>
      <c r="AK4">
        <f t="shared" si="0"/>
        <v>0.29802375741500553</v>
      </c>
      <c r="AL4">
        <f t="shared" si="0"/>
        <v>0.29802375741500553</v>
      </c>
      <c r="AM4">
        <f t="shared" si="0"/>
        <v>0.29802375741500553</v>
      </c>
      <c r="AN4">
        <f t="shared" si="0"/>
        <v>0.29802375741500553</v>
      </c>
      <c r="AO4">
        <f t="shared" si="0"/>
        <v>0.29802375741500553</v>
      </c>
      <c r="AP4">
        <f t="shared" si="0"/>
        <v>0.29802375741500553</v>
      </c>
      <c r="AQ4">
        <f t="shared" si="0"/>
        <v>0.29802375741500553</v>
      </c>
      <c r="AR4">
        <f t="shared" si="0"/>
        <v>0.29802375741500553</v>
      </c>
      <c r="AS4">
        <f t="shared" si="0"/>
        <v>0.29802375741500553</v>
      </c>
      <c r="AT4">
        <f t="shared" si="0"/>
        <v>0.29802375741500553</v>
      </c>
      <c r="AU4">
        <f t="shared" si="0"/>
        <v>0.29802375741500553</v>
      </c>
      <c r="AV4">
        <f t="shared" si="0"/>
        <v>0.29802375741500553</v>
      </c>
      <c r="AW4">
        <f t="shared" si="0"/>
        <v>0.29802375741500553</v>
      </c>
      <c r="AX4">
        <f t="shared" si="0"/>
        <v>0.29802375741500553</v>
      </c>
      <c r="AY4">
        <f t="shared" si="0"/>
        <v>0.29802375741500553</v>
      </c>
      <c r="AZ4">
        <f t="shared" si="0"/>
        <v>0.29802375741500553</v>
      </c>
      <c r="BA4">
        <f t="shared" si="0"/>
        <v>0.29802375741500553</v>
      </c>
    </row>
    <row r="5" spans="1:53" x14ac:dyDescent="0.25">
      <c r="A5" t="s">
        <v>4</v>
      </c>
      <c r="B5">
        <f>Data!I27</f>
        <v>2</v>
      </c>
      <c r="C5">
        <f>Data!J27</f>
        <v>2</v>
      </c>
      <c r="D5">
        <f>Data!K27</f>
        <v>2</v>
      </c>
      <c r="E5">
        <f>Data!L27</f>
        <v>2</v>
      </c>
      <c r="F5">
        <f>Data!M27</f>
        <v>2</v>
      </c>
      <c r="G5">
        <f>Data!N27</f>
        <v>2</v>
      </c>
      <c r="H5">
        <f>Data!O27</f>
        <v>2</v>
      </c>
      <c r="I5">
        <f>Data!P27</f>
        <v>2</v>
      </c>
      <c r="J5">
        <f>Data!Q27</f>
        <v>2</v>
      </c>
      <c r="K5">
        <f>Data!R27</f>
        <v>2</v>
      </c>
      <c r="L5">
        <f>Data!S27</f>
        <v>2</v>
      </c>
      <c r="M5">
        <f>Data!T27</f>
        <v>2</v>
      </c>
      <c r="N5">
        <f>Data!U27</f>
        <v>2</v>
      </c>
      <c r="O5">
        <f>Data!V27</f>
        <v>2</v>
      </c>
      <c r="P5">
        <f>Data!W27</f>
        <v>2</v>
      </c>
      <c r="Q5">
        <f>Data!X27</f>
        <v>2</v>
      </c>
      <c r="R5">
        <f>Data!Y27</f>
        <v>2</v>
      </c>
      <c r="S5">
        <f>Data!Z27</f>
        <v>2</v>
      </c>
      <c r="T5">
        <f>Data!AA27</f>
        <v>2</v>
      </c>
      <c r="U5">
        <f>Data!AB27</f>
        <v>2</v>
      </c>
      <c r="V5">
        <f>Data!AC27</f>
        <v>2</v>
      </c>
      <c r="W5">
        <f>Data!AD27</f>
        <v>2</v>
      </c>
      <c r="X5">
        <f>Data!AE27</f>
        <v>2</v>
      </c>
      <c r="Y5">
        <f>Data!AF27</f>
        <v>2</v>
      </c>
      <c r="Z5">
        <f>Data!AG27</f>
        <v>2</v>
      </c>
      <c r="AA5">
        <f>Data!AH27</f>
        <v>2</v>
      </c>
      <c r="AB5">
        <f>Data!AI27</f>
        <v>2</v>
      </c>
      <c r="AC5">
        <f>Data!AJ27</f>
        <v>2</v>
      </c>
      <c r="AD5">
        <f>Data!AK27</f>
        <v>2</v>
      </c>
      <c r="AE5">
        <f>Data!AL27</f>
        <v>2</v>
      </c>
      <c r="AF5">
        <f t="shared" si="1"/>
        <v>2</v>
      </c>
      <c r="AG5">
        <f t="shared" si="0"/>
        <v>2</v>
      </c>
      <c r="AH5">
        <f t="shared" si="0"/>
        <v>2</v>
      </c>
      <c r="AI5">
        <f t="shared" si="0"/>
        <v>2</v>
      </c>
      <c r="AJ5">
        <f t="shared" si="0"/>
        <v>2</v>
      </c>
      <c r="AK5">
        <f t="shared" si="0"/>
        <v>2</v>
      </c>
      <c r="AL5">
        <f t="shared" si="0"/>
        <v>2</v>
      </c>
      <c r="AM5">
        <f t="shared" si="0"/>
        <v>2</v>
      </c>
      <c r="AN5">
        <f t="shared" si="0"/>
        <v>2</v>
      </c>
      <c r="AO5">
        <f t="shared" si="0"/>
        <v>2</v>
      </c>
      <c r="AP5">
        <f t="shared" si="0"/>
        <v>2</v>
      </c>
      <c r="AQ5">
        <f t="shared" si="0"/>
        <v>2</v>
      </c>
      <c r="AR5">
        <f t="shared" si="0"/>
        <v>2</v>
      </c>
      <c r="AS5">
        <f t="shared" si="0"/>
        <v>2</v>
      </c>
      <c r="AT5">
        <f t="shared" si="0"/>
        <v>2</v>
      </c>
      <c r="AU5">
        <f t="shared" si="0"/>
        <v>2</v>
      </c>
      <c r="AV5">
        <f t="shared" si="0"/>
        <v>2</v>
      </c>
      <c r="AW5">
        <f t="shared" si="0"/>
        <v>2</v>
      </c>
      <c r="AX5">
        <f t="shared" si="0"/>
        <v>2</v>
      </c>
      <c r="AY5">
        <f t="shared" si="0"/>
        <v>2</v>
      </c>
      <c r="AZ5">
        <f t="shared" si="0"/>
        <v>2</v>
      </c>
      <c r="BA5">
        <f t="shared" si="0"/>
        <v>2</v>
      </c>
    </row>
    <row r="6" spans="1:53" x14ac:dyDescent="0.25">
      <c r="A6" t="s">
        <v>5</v>
      </c>
      <c r="B6">
        <f>Data!I28</f>
        <v>0</v>
      </c>
      <c r="C6">
        <f>Data!J28</f>
        <v>8.8644190159638335E-5</v>
      </c>
      <c r="D6">
        <f>Data!K28</f>
        <v>1.1904183440446507E-4</v>
      </c>
      <c r="E6">
        <f>Data!L28</f>
        <v>1.5958196146119519E-4</v>
      </c>
      <c r="F6">
        <f>Data!M28</f>
        <v>2.1342713563581709E-4</v>
      </c>
      <c r="G6">
        <f>Data!N28</f>
        <v>2.845552390654007E-4</v>
      </c>
      <c r="H6">
        <f>Data!O28</f>
        <v>3.7784013634197905E-4</v>
      </c>
      <c r="I6">
        <f>Data!P28</f>
        <v>4.9903617896353422E-4</v>
      </c>
      <c r="J6">
        <f>Data!Q28</f>
        <v>6.5458092717367755E-4</v>
      </c>
      <c r="K6">
        <f>Data!R28</f>
        <v>8.5110638940292692E-4</v>
      </c>
      <c r="L6">
        <f>Data!S28</f>
        <v>1.0945531428381381E-3</v>
      </c>
      <c r="M6">
        <f>Data!T28</f>
        <v>1.3888512990058942E-3</v>
      </c>
      <c r="N6">
        <f>Data!U28</f>
        <v>1.7343029842499763E-3</v>
      </c>
      <c r="O6">
        <f>Data!V28</f>
        <v>2.1260621626452273E-3</v>
      </c>
      <c r="P6">
        <f>Data!W28</f>
        <v>2.553344899130046E-3</v>
      </c>
      <c r="Q6">
        <f>Data!X28</f>
        <v>3.0000000000000001E-3</v>
      </c>
      <c r="R6">
        <f>Data!Y28</f>
        <v>3.4466551008699542E-3</v>
      </c>
      <c r="S6">
        <f>Data!Z28</f>
        <v>3.8739378373547728E-3</v>
      </c>
      <c r="T6">
        <f>Data!AA28</f>
        <v>4.2656970157500234E-3</v>
      </c>
      <c r="U6">
        <f>Data!AB28</f>
        <v>4.6111487009941055E-3</v>
      </c>
      <c r="V6">
        <f>Data!AC28</f>
        <v>4.9054468571618614E-3</v>
      </c>
      <c r="W6">
        <f>Data!AD28</f>
        <v>5.1488936105970736E-3</v>
      </c>
      <c r="X6">
        <f>Data!AE28</f>
        <v>5.3454190728263228E-3</v>
      </c>
      <c r="Y6">
        <f>Data!AF28</f>
        <v>5.5009638210364665E-3</v>
      </c>
      <c r="Z6">
        <f>Data!AG28</f>
        <v>5.6221598636580217E-3</v>
      </c>
      <c r="AA6">
        <f>Data!AH28</f>
        <v>5.7154447609346001E-3</v>
      </c>
      <c r="AB6">
        <f>Data!AI28</f>
        <v>5.7865728643641829E-3</v>
      </c>
      <c r="AC6">
        <f>Data!AJ28</f>
        <v>5.840418038538805E-3</v>
      </c>
      <c r="AD6">
        <f>Data!AK28</f>
        <v>5.880958165595535E-3</v>
      </c>
      <c r="AE6">
        <f>Data!AL28</f>
        <v>5.9113558098403615E-3</v>
      </c>
      <c r="AF6">
        <f t="shared" si="1"/>
        <v>5.9113558098403615E-3</v>
      </c>
      <c r="AG6">
        <f t="shared" si="0"/>
        <v>5.9113558098403615E-3</v>
      </c>
      <c r="AH6">
        <f t="shared" si="0"/>
        <v>5.9113558098403615E-3</v>
      </c>
      <c r="AI6">
        <f t="shared" si="0"/>
        <v>5.9113558098403615E-3</v>
      </c>
      <c r="AJ6">
        <f t="shared" si="0"/>
        <v>5.9113558098403615E-3</v>
      </c>
      <c r="AK6">
        <f t="shared" si="0"/>
        <v>5.9113558098403615E-3</v>
      </c>
      <c r="AL6">
        <f t="shared" si="0"/>
        <v>5.9113558098403615E-3</v>
      </c>
      <c r="AM6">
        <f t="shared" si="0"/>
        <v>5.9113558098403615E-3</v>
      </c>
      <c r="AN6">
        <f t="shared" si="0"/>
        <v>5.9113558098403615E-3</v>
      </c>
      <c r="AO6">
        <f t="shared" si="0"/>
        <v>5.9113558098403615E-3</v>
      </c>
      <c r="AP6">
        <f t="shared" si="0"/>
        <v>5.9113558098403615E-3</v>
      </c>
      <c r="AQ6">
        <f t="shared" si="0"/>
        <v>5.9113558098403615E-3</v>
      </c>
      <c r="AR6">
        <f t="shared" si="0"/>
        <v>5.9113558098403615E-3</v>
      </c>
      <c r="AS6">
        <f t="shared" si="0"/>
        <v>5.9113558098403615E-3</v>
      </c>
      <c r="AT6">
        <f t="shared" si="0"/>
        <v>5.9113558098403615E-3</v>
      </c>
      <c r="AU6">
        <f t="shared" si="0"/>
        <v>5.9113558098403615E-3</v>
      </c>
      <c r="AV6">
        <f t="shared" si="0"/>
        <v>5.9113558098403615E-3</v>
      </c>
      <c r="AW6">
        <f t="shared" si="0"/>
        <v>5.9113558098403615E-3</v>
      </c>
      <c r="AX6">
        <f t="shared" si="0"/>
        <v>5.9113558098403615E-3</v>
      </c>
      <c r="AY6">
        <f t="shared" si="0"/>
        <v>5.9113558098403615E-3</v>
      </c>
      <c r="AZ6">
        <f t="shared" si="0"/>
        <v>5.9113558098403615E-3</v>
      </c>
      <c r="BA6">
        <f t="shared" si="0"/>
        <v>5.9113558098403615E-3</v>
      </c>
    </row>
    <row r="7" spans="1:53" x14ac:dyDescent="0.25">
      <c r="A7" t="s">
        <v>120</v>
      </c>
      <c r="B7">
        <f>Data!I29</f>
        <v>2.1496445375763083E-2</v>
      </c>
      <c r="C7">
        <f>Data!J29</f>
        <v>2.1496445375760231E-2</v>
      </c>
      <c r="D7">
        <f>Data!K29</f>
        <v>3.9809241000682505E-2</v>
      </c>
      <c r="E7">
        <f>Data!L29</f>
        <v>5.8122036625604778E-2</v>
      </c>
      <c r="F7">
        <f>Data!M29</f>
        <v>7.6434832250534157E-2</v>
      </c>
      <c r="G7">
        <f>Data!N29</f>
        <v>9.4747627875456431E-2</v>
      </c>
      <c r="H7">
        <f>Data!O29</f>
        <v>0.1130604235003787</v>
      </c>
      <c r="I7">
        <f>Data!P29</f>
        <v>0.13137321912530098</v>
      </c>
      <c r="J7">
        <f>Data!Q29</f>
        <v>0.14968601475022325</v>
      </c>
      <c r="K7">
        <f>Data!R29</f>
        <v>0.16799881037514552</v>
      </c>
      <c r="L7">
        <f>Data!S29</f>
        <v>0.1863116060000678</v>
      </c>
      <c r="M7">
        <f>Data!T29</f>
        <v>0.20462440162499007</v>
      </c>
      <c r="N7">
        <f>Data!U29</f>
        <v>0.22293719724991234</v>
      </c>
      <c r="O7">
        <f>Data!V29</f>
        <v>0.24124999287483462</v>
      </c>
      <c r="P7">
        <f>Data!W29</f>
        <v>0.25956278849975689</v>
      </c>
      <c r="Q7">
        <f>Data!X29</f>
        <v>0.27787558412467916</v>
      </c>
      <c r="R7">
        <f>Data!Y29</f>
        <v>0.29618837974960144</v>
      </c>
      <c r="S7">
        <f>Data!Z29</f>
        <v>0.31450117537452371</v>
      </c>
      <c r="T7">
        <f>Data!AA29</f>
        <v>0.33281397099944598</v>
      </c>
      <c r="U7">
        <f>Data!AB29</f>
        <v>0.35112676662436826</v>
      </c>
      <c r="V7">
        <f>Data!AC29</f>
        <v>0.36943956224929764</v>
      </c>
      <c r="W7">
        <f>Data!AD29</f>
        <v>0.38775235787421991</v>
      </c>
      <c r="X7">
        <f>Data!AE29</f>
        <v>0.40606515349914218</v>
      </c>
      <c r="Y7">
        <f>Data!AF29</f>
        <v>0.42437794912406446</v>
      </c>
      <c r="Z7">
        <f>Data!AG29</f>
        <v>0.44269074474898673</v>
      </c>
      <c r="AA7">
        <f>Data!AH29</f>
        <v>0.461003540373909</v>
      </c>
      <c r="AB7">
        <f>Data!AI29</f>
        <v>0.47931633599883128</v>
      </c>
      <c r="AC7">
        <f>Data!AJ29</f>
        <v>0.49762913162375355</v>
      </c>
      <c r="AD7">
        <f>Data!AK29</f>
        <v>0.51594192724867582</v>
      </c>
      <c r="AE7">
        <f>Data!AL29</f>
        <v>0.5342547228735981</v>
      </c>
      <c r="AF7">
        <f t="shared" si="1"/>
        <v>0.5342547228735981</v>
      </c>
      <c r="AG7">
        <f t="shared" si="0"/>
        <v>0.5342547228735981</v>
      </c>
      <c r="AH7">
        <f t="shared" si="0"/>
        <v>0.5342547228735981</v>
      </c>
      <c r="AI7">
        <f t="shared" si="0"/>
        <v>0.5342547228735981</v>
      </c>
      <c r="AJ7">
        <f t="shared" si="0"/>
        <v>0.5342547228735981</v>
      </c>
      <c r="AK7">
        <f t="shared" si="0"/>
        <v>0.5342547228735981</v>
      </c>
      <c r="AL7">
        <f t="shared" si="0"/>
        <v>0.5342547228735981</v>
      </c>
      <c r="AM7">
        <f t="shared" si="0"/>
        <v>0.5342547228735981</v>
      </c>
      <c r="AN7">
        <f t="shared" si="0"/>
        <v>0.5342547228735981</v>
      </c>
      <c r="AO7">
        <f t="shared" si="0"/>
        <v>0.5342547228735981</v>
      </c>
      <c r="AP7">
        <f t="shared" si="0"/>
        <v>0.5342547228735981</v>
      </c>
      <c r="AQ7">
        <f t="shared" si="0"/>
        <v>0.5342547228735981</v>
      </c>
      <c r="AR7">
        <f t="shared" si="0"/>
        <v>0.5342547228735981</v>
      </c>
      <c r="AS7">
        <f t="shared" si="0"/>
        <v>0.5342547228735981</v>
      </c>
      <c r="AT7">
        <f t="shared" si="0"/>
        <v>0.5342547228735981</v>
      </c>
      <c r="AU7">
        <f t="shared" si="0"/>
        <v>0.5342547228735981</v>
      </c>
      <c r="AV7">
        <f t="shared" si="0"/>
        <v>0.5342547228735981</v>
      </c>
      <c r="AW7">
        <f t="shared" si="0"/>
        <v>0.5342547228735981</v>
      </c>
      <c r="AX7">
        <f t="shared" si="0"/>
        <v>0.5342547228735981</v>
      </c>
      <c r="AY7">
        <f t="shared" si="0"/>
        <v>0.5342547228735981</v>
      </c>
      <c r="AZ7">
        <f t="shared" si="0"/>
        <v>0.5342547228735981</v>
      </c>
      <c r="BA7">
        <f t="shared" si="0"/>
        <v>0.5342547228735981</v>
      </c>
    </row>
    <row r="8" spans="1:53" x14ac:dyDescent="0.25">
      <c r="A8" t="s">
        <v>121</v>
      </c>
      <c r="B8">
        <f>Data!I30</f>
        <v>8.470448323552864E-5</v>
      </c>
      <c r="C8">
        <f>Data!J30</f>
        <v>8.2215464117929744E-4</v>
      </c>
      <c r="D8">
        <f>Data!K30</f>
        <v>1.0750392070949643E-3</v>
      </c>
      <c r="E8">
        <f>Data!L30</f>
        <v>1.4123012774822749E-3</v>
      </c>
      <c r="F8">
        <f>Data!M30</f>
        <v>1.860250907661926E-3</v>
      </c>
      <c r="G8">
        <f>Data!N30</f>
        <v>2.4519809580343683E-3</v>
      </c>
      <c r="H8">
        <f>Data!O30</f>
        <v>3.2280381605029394E-3</v>
      </c>
      <c r="I8">
        <f>Data!P30</f>
        <v>4.2362942076558247E-3</v>
      </c>
      <c r="J8">
        <f>Data!Q30</f>
        <v>5.530304553154162E-3</v>
      </c>
      <c r="K8">
        <f>Data!R30</f>
        <v>7.1652423071111148E-3</v>
      </c>
      <c r="L8">
        <f>Data!S30</f>
        <v>9.1905284138303605E-3</v>
      </c>
      <c r="M8">
        <f>Data!T30</f>
        <v>1.1638858319689102E-2</v>
      </c>
      <c r="N8">
        <f>Data!U30</f>
        <v>1.4512745478976212E-2</v>
      </c>
      <c r="O8">
        <f>Data!V30</f>
        <v>1.7771874672476845E-2</v>
      </c>
      <c r="P8">
        <f>Data!W30</f>
        <v>2.1326532015952099E-2</v>
      </c>
      <c r="Q8">
        <f>Data!X30</f>
        <v>2.5042352241617768E-2</v>
      </c>
      <c r="R8">
        <f>Data!Y30</f>
        <v>2.8758172467283436E-2</v>
      </c>
      <c r="S8">
        <f>Data!Z30</f>
        <v>3.2312829810758684E-2</v>
      </c>
      <c r="T8">
        <f>Data!AA30</f>
        <v>3.5571959004259315E-2</v>
      </c>
      <c r="U8">
        <f>Data!AB30</f>
        <v>3.8445846163546425E-2</v>
      </c>
      <c r="V8">
        <f>Data!AC30</f>
        <v>4.0894176069405173E-2</v>
      </c>
      <c r="W8">
        <f>Data!AD30</f>
        <v>4.2919462176124419E-2</v>
      </c>
      <c r="X8">
        <f>Data!AE30</f>
        <v>4.4554399930081368E-2</v>
      </c>
      <c r="Y8">
        <f>Data!AF30</f>
        <v>4.5848410275579711E-2</v>
      </c>
      <c r="Z8">
        <f>Data!AG30</f>
        <v>4.6856666322732596E-2</v>
      </c>
      <c r="AA8">
        <f>Data!AH30</f>
        <v>4.7632723525201169E-2</v>
      </c>
      <c r="AB8">
        <f>Data!AI30</f>
        <v>4.822445357557361E-2</v>
      </c>
      <c r="AC8">
        <f>Data!AJ30</f>
        <v>4.8672403205753251E-2</v>
      </c>
      <c r="AD8">
        <f>Data!AK30</f>
        <v>4.900966527614057E-2</v>
      </c>
      <c r="AE8">
        <f>Data!AL30</f>
        <v>4.9262549842056233E-2</v>
      </c>
      <c r="AF8">
        <f t="shared" si="1"/>
        <v>4.9262549842056233E-2</v>
      </c>
      <c r="AG8">
        <f t="shared" si="0"/>
        <v>4.9262549842056233E-2</v>
      </c>
      <c r="AH8">
        <f t="shared" si="0"/>
        <v>4.9262549842056233E-2</v>
      </c>
      <c r="AI8">
        <f t="shared" si="0"/>
        <v>4.9262549842056233E-2</v>
      </c>
      <c r="AJ8">
        <f t="shared" si="0"/>
        <v>4.9262549842056233E-2</v>
      </c>
      <c r="AK8">
        <f t="shared" si="0"/>
        <v>4.9262549842056233E-2</v>
      </c>
      <c r="AL8">
        <f t="shared" si="0"/>
        <v>4.9262549842056233E-2</v>
      </c>
      <c r="AM8">
        <f t="shared" si="0"/>
        <v>4.9262549842056233E-2</v>
      </c>
      <c r="AN8">
        <f t="shared" si="0"/>
        <v>4.9262549842056233E-2</v>
      </c>
      <c r="AO8">
        <f t="shared" si="0"/>
        <v>4.9262549842056233E-2</v>
      </c>
      <c r="AP8">
        <f t="shared" si="0"/>
        <v>4.9262549842056233E-2</v>
      </c>
      <c r="AQ8">
        <f t="shared" si="0"/>
        <v>4.9262549842056233E-2</v>
      </c>
      <c r="AR8">
        <f t="shared" si="0"/>
        <v>4.9262549842056233E-2</v>
      </c>
      <c r="AS8">
        <f t="shared" si="0"/>
        <v>4.9262549842056233E-2</v>
      </c>
      <c r="AT8">
        <f t="shared" si="0"/>
        <v>4.9262549842056233E-2</v>
      </c>
      <c r="AU8">
        <f t="shared" si="0"/>
        <v>4.9262549842056233E-2</v>
      </c>
      <c r="AV8">
        <f t="shared" si="0"/>
        <v>4.9262549842056233E-2</v>
      </c>
      <c r="AW8">
        <f t="shared" si="0"/>
        <v>4.9262549842056233E-2</v>
      </c>
      <c r="AX8">
        <f t="shared" si="0"/>
        <v>4.9262549842056233E-2</v>
      </c>
      <c r="AY8">
        <f t="shared" si="0"/>
        <v>4.9262549842056233E-2</v>
      </c>
      <c r="AZ8">
        <f t="shared" si="0"/>
        <v>4.9262549842056233E-2</v>
      </c>
      <c r="BA8">
        <f t="shared" si="0"/>
        <v>4.9262549842056233E-2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BA8"/>
  <sheetViews>
    <sheetView topLeftCell="D1" workbookViewId="0">
      <selection activeCell="AF1" sqref="AF1:BA8"/>
    </sheetView>
  </sheetViews>
  <sheetFormatPr defaultColWidth="9.140625" defaultRowHeight="15" x14ac:dyDescent="0.25"/>
  <cols>
    <col min="1" max="1" width="24.42578125" customWidth="1"/>
  </cols>
  <sheetData>
    <row r="1" spans="1:53" ht="45" x14ac:dyDescent="0.25">
      <c r="A1" s="25" t="s">
        <v>123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</row>
    <row r="2" spans="1:53" x14ac:dyDescent="0.25">
      <c r="A2" t="s">
        <v>1</v>
      </c>
      <c r="B2">
        <f>Data!I31</f>
        <v>0.15</v>
      </c>
      <c r="C2">
        <f>Data!J31</f>
        <v>0.15127600491822643</v>
      </c>
      <c r="D2">
        <f>Data!K31</f>
        <v>0.15077439351524055</v>
      </c>
      <c r="E2">
        <f>Data!L31</f>
        <v>0.15127600491822643</v>
      </c>
      <c r="F2">
        <f>Data!M31</f>
        <v>0.15210172968313956</v>
      </c>
      <c r="G2">
        <f>Data!N31</f>
        <v>0.15345961705851172</v>
      </c>
      <c r="H2">
        <f>Data!O31</f>
        <v>0.15568892328564213</v>
      </c>
      <c r="I2">
        <f>Data!P31</f>
        <v>0.15933890123600419</v>
      </c>
      <c r="J2">
        <f>Data!Q31</f>
        <v>0.16528827846777783</v>
      </c>
      <c r="K2">
        <f>Data!R31</f>
        <v>0.17491539613865287</v>
      </c>
      <c r="L2">
        <f>Data!S31</f>
        <v>0.19031199220093176</v>
      </c>
      <c r="M2">
        <f>Data!T31</f>
        <v>0.21447945301805701</v>
      </c>
      <c r="N2">
        <f>Data!U31</f>
        <v>0.25132248371879989</v>
      </c>
      <c r="O2">
        <f>Data!V31</f>
        <v>0.30506169523540289</v>
      </c>
      <c r="P2">
        <f>Data!W31</f>
        <v>0.37860020816449586</v>
      </c>
      <c r="Q2">
        <f>Data!X31</f>
        <v>0.47090956847842358</v>
      </c>
      <c r="R2">
        <f>Data!Y31</f>
        <v>0.57499999999999996</v>
      </c>
      <c r="S2">
        <f>Data!Z31</f>
        <v>0.67909043152157644</v>
      </c>
      <c r="T2">
        <f>Data!AA31</f>
        <v>0.77139979183550411</v>
      </c>
      <c r="U2">
        <f>Data!AB31</f>
        <v>0.84493830476459708</v>
      </c>
      <c r="V2">
        <f>Data!AC31</f>
        <v>0.89867751628119996</v>
      </c>
      <c r="W2">
        <f>Data!AD31</f>
        <v>0.93552054698194298</v>
      </c>
      <c r="X2">
        <f>Data!AE31</f>
        <v>0.95968800779906827</v>
      </c>
      <c r="Y2">
        <f>Data!AF31</f>
        <v>0.9750846038613471</v>
      </c>
      <c r="Z2">
        <f>Data!AG31</f>
        <v>0.9847117215322222</v>
      </c>
      <c r="AA2">
        <f>Data!AH31</f>
        <v>0.99066109876399588</v>
      </c>
      <c r="AB2">
        <f>Data!AI31</f>
        <v>0.99431107671435792</v>
      </c>
      <c r="AC2">
        <f>Data!AJ31</f>
        <v>0.99654038294148828</v>
      </c>
      <c r="AD2">
        <f>Data!AK31</f>
        <v>0.99789827031686051</v>
      </c>
      <c r="AE2">
        <f>Data!AL31</f>
        <v>0.99872399508177356</v>
      </c>
      <c r="AF2">
        <f>AE2</f>
        <v>0.99872399508177356</v>
      </c>
      <c r="AG2">
        <f t="shared" ref="AG2:BA8" si="0">AF2</f>
        <v>0.99872399508177356</v>
      </c>
      <c r="AH2">
        <f t="shared" si="0"/>
        <v>0.99872399508177356</v>
      </c>
      <c r="AI2">
        <f t="shared" si="0"/>
        <v>0.99872399508177356</v>
      </c>
      <c r="AJ2">
        <f t="shared" si="0"/>
        <v>0.99872399508177356</v>
      </c>
      <c r="AK2">
        <f t="shared" si="0"/>
        <v>0.99872399508177356</v>
      </c>
      <c r="AL2">
        <f t="shared" si="0"/>
        <v>0.99872399508177356</v>
      </c>
      <c r="AM2">
        <f t="shared" si="0"/>
        <v>0.99872399508177356</v>
      </c>
      <c r="AN2">
        <f t="shared" si="0"/>
        <v>0.99872399508177356</v>
      </c>
      <c r="AO2">
        <f t="shared" si="0"/>
        <v>0.99872399508177356</v>
      </c>
      <c r="AP2">
        <f t="shared" si="0"/>
        <v>0.99872399508177356</v>
      </c>
      <c r="AQ2">
        <f t="shared" si="0"/>
        <v>0.99872399508177356</v>
      </c>
      <c r="AR2">
        <f t="shared" si="0"/>
        <v>0.99872399508177356</v>
      </c>
      <c r="AS2">
        <f t="shared" si="0"/>
        <v>0.99872399508177356</v>
      </c>
      <c r="AT2">
        <f t="shared" si="0"/>
        <v>0.99872399508177356</v>
      </c>
      <c r="AU2">
        <f t="shared" si="0"/>
        <v>0.99872399508177356</v>
      </c>
      <c r="AV2">
        <f t="shared" si="0"/>
        <v>0.99872399508177356</v>
      </c>
      <c r="AW2">
        <f t="shared" si="0"/>
        <v>0.99872399508177356</v>
      </c>
      <c r="AX2">
        <f t="shared" si="0"/>
        <v>0.99872399508177356</v>
      </c>
      <c r="AY2">
        <f t="shared" si="0"/>
        <v>0.99872399508177356</v>
      </c>
      <c r="AZ2">
        <f t="shared" si="0"/>
        <v>0.99872399508177356</v>
      </c>
      <c r="BA2">
        <f t="shared" si="0"/>
        <v>0.99872399508177356</v>
      </c>
    </row>
    <row r="3" spans="1:53" x14ac:dyDescent="0.25">
      <c r="A3" t="s">
        <v>2</v>
      </c>
      <c r="B3">
        <f>Data!I32</f>
        <v>6.3356010705258418E-3</v>
      </c>
      <c r="C3">
        <f>Data!J32</f>
        <v>7.0225669077779371E-3</v>
      </c>
      <c r="D3">
        <f>Data!K32</f>
        <v>7.2581395165584144E-3</v>
      </c>
      <c r="E3">
        <f>Data!L32</f>
        <v>7.5723133194402362E-3</v>
      </c>
      <c r="F3">
        <f>Data!M32</f>
        <v>7.9895972394832711E-3</v>
      </c>
      <c r="G3">
        <f>Data!N32</f>
        <v>8.5408186679453209E-3</v>
      </c>
      <c r="H3">
        <f>Data!O32</f>
        <v>9.263748590878489E-3</v>
      </c>
      <c r="I3">
        <f>Data!P32</f>
        <v>1.0202981503280528E-2</v>
      </c>
      <c r="J3">
        <f>Data!Q32</f>
        <v>1.1408406562632024E-2</v>
      </c>
      <c r="K3">
        <f>Data!R32</f>
        <v>1.2931419841432812E-2</v>
      </c>
      <c r="L3">
        <f>Data!S32</f>
        <v>1.4818059027810897E-2</v>
      </c>
      <c r="M3">
        <f>Data!T32</f>
        <v>1.709878130514729E-2</v>
      </c>
      <c r="N3">
        <f>Data!U32</f>
        <v>1.9775928061821053E-2</v>
      </c>
      <c r="O3">
        <f>Data!V32</f>
        <v>2.2811943975586207E-2</v>
      </c>
      <c r="P3">
        <f>Data!W32</f>
        <v>2.6123256790154734E-2</v>
      </c>
      <c r="Q3">
        <f>Data!X32</f>
        <v>2.9584699607551657E-2</v>
      </c>
      <c r="R3">
        <f>Data!Y32</f>
        <v>3.3046142424948577E-2</v>
      </c>
      <c r="S3">
        <f>Data!Z32</f>
        <v>3.6357455239517111E-2</v>
      </c>
      <c r="T3">
        <f>Data!AA32</f>
        <v>3.9393471153282261E-2</v>
      </c>
      <c r="U3">
        <f>Data!AB32</f>
        <v>4.2070617909956018E-2</v>
      </c>
      <c r="V3">
        <f>Data!AC32</f>
        <v>4.4351340187292421E-2</v>
      </c>
      <c r="W3">
        <f>Data!AD32</f>
        <v>4.623797937367051E-2</v>
      </c>
      <c r="X3">
        <f>Data!AE32</f>
        <v>4.7760992652471287E-2</v>
      </c>
      <c r="Y3">
        <f>Data!AF32</f>
        <v>4.8966417711822793E-2</v>
      </c>
      <c r="Z3">
        <f>Data!AG32</f>
        <v>4.9905650624224834E-2</v>
      </c>
      <c r="AA3">
        <f>Data!AH32</f>
        <v>5.0628580547157992E-2</v>
      </c>
      <c r="AB3">
        <f>Data!AI32</f>
        <v>5.117980197562004E-2</v>
      </c>
      <c r="AC3">
        <f>Data!AJ32</f>
        <v>5.1597085895663072E-2</v>
      </c>
      <c r="AD3">
        <f>Data!AK32</f>
        <v>5.1911259698544904E-2</v>
      </c>
      <c r="AE3">
        <f>Data!AL32</f>
        <v>5.2146832307325378E-2</v>
      </c>
      <c r="AF3">
        <f t="shared" ref="AF3:AU8" si="1">AE3</f>
        <v>5.2146832307325378E-2</v>
      </c>
      <c r="AG3">
        <f t="shared" si="1"/>
        <v>5.2146832307325378E-2</v>
      </c>
      <c r="AH3">
        <f t="shared" si="1"/>
        <v>5.2146832307325378E-2</v>
      </c>
      <c r="AI3">
        <f t="shared" si="1"/>
        <v>5.2146832307325378E-2</v>
      </c>
      <c r="AJ3">
        <f t="shared" si="1"/>
        <v>5.2146832307325378E-2</v>
      </c>
      <c r="AK3">
        <f t="shared" si="1"/>
        <v>5.2146832307325378E-2</v>
      </c>
      <c r="AL3">
        <f t="shared" si="1"/>
        <v>5.2146832307325378E-2</v>
      </c>
      <c r="AM3">
        <f t="shared" si="1"/>
        <v>5.2146832307325378E-2</v>
      </c>
      <c r="AN3">
        <f t="shared" si="1"/>
        <v>5.2146832307325378E-2</v>
      </c>
      <c r="AO3">
        <f t="shared" si="1"/>
        <v>5.2146832307325378E-2</v>
      </c>
      <c r="AP3">
        <f t="shared" si="1"/>
        <v>5.2146832307325378E-2</v>
      </c>
      <c r="AQ3">
        <f t="shared" si="1"/>
        <v>5.2146832307325378E-2</v>
      </c>
      <c r="AR3">
        <f t="shared" si="1"/>
        <v>5.2146832307325378E-2</v>
      </c>
      <c r="AS3">
        <f t="shared" si="1"/>
        <v>5.2146832307325378E-2</v>
      </c>
      <c r="AT3">
        <f t="shared" si="1"/>
        <v>5.2146832307325378E-2</v>
      </c>
      <c r="AU3">
        <f t="shared" si="1"/>
        <v>5.2146832307325378E-2</v>
      </c>
      <c r="AV3">
        <f t="shared" si="0"/>
        <v>5.2146832307325378E-2</v>
      </c>
      <c r="AW3">
        <f t="shared" si="0"/>
        <v>5.2146832307325378E-2</v>
      </c>
      <c r="AX3">
        <f t="shared" si="0"/>
        <v>5.2146832307325378E-2</v>
      </c>
      <c r="AY3">
        <f t="shared" si="0"/>
        <v>5.2146832307325378E-2</v>
      </c>
      <c r="AZ3">
        <f t="shared" si="0"/>
        <v>5.2146832307325378E-2</v>
      </c>
      <c r="BA3">
        <f t="shared" si="0"/>
        <v>5.2146832307325378E-2</v>
      </c>
    </row>
    <row r="4" spans="1:53" x14ac:dyDescent="0.2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  <c r="AC4">
        <f>Data!AJ33</f>
        <v>0</v>
      </c>
      <c r="AD4">
        <f>Data!AK33</f>
        <v>0</v>
      </c>
      <c r="AE4">
        <f>Data!AL33</f>
        <v>0</v>
      </c>
      <c r="AF4">
        <f t="shared" si="1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  <c r="BA4">
        <f t="shared" si="0"/>
        <v>0</v>
      </c>
    </row>
    <row r="5" spans="1:53" x14ac:dyDescent="0.25">
      <c r="A5" t="s">
        <v>4</v>
      </c>
      <c r="B5">
        <f>Data!I34</f>
        <v>3</v>
      </c>
      <c r="C5">
        <f>Data!J34</f>
        <v>3</v>
      </c>
      <c r="D5">
        <f>Data!K34</f>
        <v>3</v>
      </c>
      <c r="E5">
        <f>Data!L34</f>
        <v>3</v>
      </c>
      <c r="F5">
        <f>Data!M34</f>
        <v>3</v>
      </c>
      <c r="G5">
        <f>Data!N34</f>
        <v>3</v>
      </c>
      <c r="H5">
        <f>Data!O34</f>
        <v>3</v>
      </c>
      <c r="I5">
        <f>Data!P34</f>
        <v>3</v>
      </c>
      <c r="J5">
        <f>Data!Q34</f>
        <v>3</v>
      </c>
      <c r="K5">
        <f>Data!R34</f>
        <v>3</v>
      </c>
      <c r="L5">
        <f>Data!S34</f>
        <v>3</v>
      </c>
      <c r="M5">
        <f>Data!T34</f>
        <v>3</v>
      </c>
      <c r="N5">
        <f>Data!U34</f>
        <v>3</v>
      </c>
      <c r="O5">
        <f>Data!V34</f>
        <v>3</v>
      </c>
      <c r="P5">
        <f>Data!W34</f>
        <v>3</v>
      </c>
      <c r="Q5">
        <f>Data!X34</f>
        <v>3</v>
      </c>
      <c r="R5">
        <f>Data!Y34</f>
        <v>3</v>
      </c>
      <c r="S5">
        <f>Data!Z34</f>
        <v>3</v>
      </c>
      <c r="T5">
        <f>Data!AA34</f>
        <v>3</v>
      </c>
      <c r="U5">
        <f>Data!AB34</f>
        <v>3</v>
      </c>
      <c r="V5">
        <f>Data!AC34</f>
        <v>3</v>
      </c>
      <c r="W5">
        <f>Data!AD34</f>
        <v>3</v>
      </c>
      <c r="X5">
        <f>Data!AE34</f>
        <v>3</v>
      </c>
      <c r="Y5">
        <f>Data!AF34</f>
        <v>3</v>
      </c>
      <c r="Z5">
        <f>Data!AG34</f>
        <v>3</v>
      </c>
      <c r="AA5">
        <f>Data!AH34</f>
        <v>3</v>
      </c>
      <c r="AB5">
        <f>Data!AI34</f>
        <v>3</v>
      </c>
      <c r="AC5">
        <f>Data!AJ34</f>
        <v>3</v>
      </c>
      <c r="AD5">
        <f>Data!AK34</f>
        <v>3</v>
      </c>
      <c r="AE5">
        <f>Data!AL34</f>
        <v>3</v>
      </c>
      <c r="AF5">
        <f t="shared" si="1"/>
        <v>3</v>
      </c>
      <c r="AG5">
        <f t="shared" si="0"/>
        <v>3</v>
      </c>
      <c r="AH5">
        <f t="shared" si="0"/>
        <v>3</v>
      </c>
      <c r="AI5">
        <f t="shared" si="0"/>
        <v>3</v>
      </c>
      <c r="AJ5">
        <f t="shared" si="0"/>
        <v>3</v>
      </c>
      <c r="AK5">
        <f t="shared" si="0"/>
        <v>3</v>
      </c>
      <c r="AL5">
        <f t="shared" si="0"/>
        <v>3</v>
      </c>
      <c r="AM5">
        <f t="shared" si="0"/>
        <v>3</v>
      </c>
      <c r="AN5">
        <f t="shared" si="0"/>
        <v>3</v>
      </c>
      <c r="AO5">
        <f t="shared" si="0"/>
        <v>3</v>
      </c>
      <c r="AP5">
        <f t="shared" si="0"/>
        <v>3</v>
      </c>
      <c r="AQ5">
        <f t="shared" si="0"/>
        <v>3</v>
      </c>
      <c r="AR5">
        <f t="shared" si="0"/>
        <v>3</v>
      </c>
      <c r="AS5">
        <f t="shared" si="0"/>
        <v>3</v>
      </c>
      <c r="AT5">
        <f t="shared" si="0"/>
        <v>3</v>
      </c>
      <c r="AU5">
        <f t="shared" si="0"/>
        <v>3</v>
      </c>
      <c r="AV5">
        <f t="shared" si="0"/>
        <v>3</v>
      </c>
      <c r="AW5">
        <f t="shared" si="0"/>
        <v>3</v>
      </c>
      <c r="AX5">
        <f t="shared" si="0"/>
        <v>3</v>
      </c>
      <c r="AY5">
        <f t="shared" si="0"/>
        <v>3</v>
      </c>
      <c r="AZ5">
        <f t="shared" si="0"/>
        <v>3</v>
      </c>
      <c r="BA5">
        <f t="shared" si="0"/>
        <v>3</v>
      </c>
    </row>
    <row r="6" spans="1:53" x14ac:dyDescent="0.25">
      <c r="A6" t="s">
        <v>5</v>
      </c>
      <c r="B6">
        <f>Data!I35</f>
        <v>2E-3</v>
      </c>
      <c r="C6">
        <f>Data!J35</f>
        <v>2E-3</v>
      </c>
      <c r="D6">
        <f>Data!K35</f>
        <v>2E-3</v>
      </c>
      <c r="E6">
        <f>Data!L35</f>
        <v>2E-3</v>
      </c>
      <c r="F6">
        <f>Data!M35</f>
        <v>2E-3</v>
      </c>
      <c r="G6">
        <f>Data!N35</f>
        <v>2E-3</v>
      </c>
      <c r="H6">
        <f>Data!O35</f>
        <v>2E-3</v>
      </c>
      <c r="I6">
        <f>Data!P35</f>
        <v>2E-3</v>
      </c>
      <c r="J6">
        <f>Data!Q35</f>
        <v>2E-3</v>
      </c>
      <c r="K6">
        <f>Data!R35</f>
        <v>2E-3</v>
      </c>
      <c r="L6">
        <f>Data!S35</f>
        <v>2E-3</v>
      </c>
      <c r="M6">
        <f>Data!T35</f>
        <v>2E-3</v>
      </c>
      <c r="N6">
        <f>Data!U35</f>
        <v>2E-3</v>
      </c>
      <c r="O6">
        <f>Data!V35</f>
        <v>2E-3</v>
      </c>
      <c r="P6">
        <f>Data!W35</f>
        <v>2E-3</v>
      </c>
      <c r="Q6">
        <f>Data!X35</f>
        <v>2E-3</v>
      </c>
      <c r="R6">
        <f>Data!Y35</f>
        <v>2E-3</v>
      </c>
      <c r="S6">
        <f>Data!Z35</f>
        <v>2E-3</v>
      </c>
      <c r="T6">
        <f>Data!AA35</f>
        <v>2E-3</v>
      </c>
      <c r="U6">
        <f>Data!AB35</f>
        <v>2E-3</v>
      </c>
      <c r="V6">
        <f>Data!AC35</f>
        <v>2E-3</v>
      </c>
      <c r="W6">
        <f>Data!AD35</f>
        <v>2E-3</v>
      </c>
      <c r="X6">
        <f>Data!AE35</f>
        <v>2E-3</v>
      </c>
      <c r="Y6">
        <f>Data!AF35</f>
        <v>2E-3</v>
      </c>
      <c r="Z6">
        <f>Data!AG35</f>
        <v>2E-3</v>
      </c>
      <c r="AA6">
        <f>Data!AH35</f>
        <v>2E-3</v>
      </c>
      <c r="AB6">
        <f>Data!AI35</f>
        <v>2E-3</v>
      </c>
      <c r="AC6">
        <f>Data!AJ35</f>
        <v>2E-3</v>
      </c>
      <c r="AD6">
        <f>Data!AK35</f>
        <v>2E-3</v>
      </c>
      <c r="AE6">
        <f>Data!AL35</f>
        <v>2E-3</v>
      </c>
      <c r="AF6">
        <f t="shared" si="1"/>
        <v>2E-3</v>
      </c>
      <c r="AG6">
        <f t="shared" si="0"/>
        <v>2E-3</v>
      </c>
      <c r="AH6">
        <f t="shared" si="0"/>
        <v>2E-3</v>
      </c>
      <c r="AI6">
        <f t="shared" si="0"/>
        <v>2E-3</v>
      </c>
      <c r="AJ6">
        <f t="shared" si="0"/>
        <v>2E-3</v>
      </c>
      <c r="AK6">
        <f t="shared" si="0"/>
        <v>2E-3</v>
      </c>
      <c r="AL6">
        <f t="shared" si="0"/>
        <v>2E-3</v>
      </c>
      <c r="AM6">
        <f t="shared" si="0"/>
        <v>2E-3</v>
      </c>
      <c r="AN6">
        <f t="shared" si="0"/>
        <v>2E-3</v>
      </c>
      <c r="AO6">
        <f t="shared" si="0"/>
        <v>2E-3</v>
      </c>
      <c r="AP6">
        <f t="shared" si="0"/>
        <v>2E-3</v>
      </c>
      <c r="AQ6">
        <f t="shared" si="0"/>
        <v>2E-3</v>
      </c>
      <c r="AR6">
        <f t="shared" si="0"/>
        <v>2E-3</v>
      </c>
      <c r="AS6">
        <f t="shared" si="0"/>
        <v>2E-3</v>
      </c>
      <c r="AT6">
        <f t="shared" si="0"/>
        <v>2E-3</v>
      </c>
      <c r="AU6">
        <f t="shared" si="0"/>
        <v>2E-3</v>
      </c>
      <c r="AV6">
        <f t="shared" si="0"/>
        <v>2E-3</v>
      </c>
      <c r="AW6">
        <f t="shared" si="0"/>
        <v>2E-3</v>
      </c>
      <c r="AX6">
        <f t="shared" si="0"/>
        <v>2E-3</v>
      </c>
      <c r="AY6">
        <f t="shared" si="0"/>
        <v>2E-3</v>
      </c>
      <c r="AZ6">
        <f t="shared" si="0"/>
        <v>2E-3</v>
      </c>
      <c r="BA6">
        <f t="shared" si="0"/>
        <v>2E-3</v>
      </c>
    </row>
    <row r="7" spans="1:53" x14ac:dyDescent="0.25">
      <c r="A7" t="s">
        <v>120</v>
      </c>
      <c r="B7">
        <f>Data!I36</f>
        <v>7.4581219585064093E-4</v>
      </c>
      <c r="C7">
        <f>Data!J36</f>
        <v>7.4581219585068137E-4</v>
      </c>
      <c r="D7">
        <f>Data!K36</f>
        <v>9.3984026293869594E-4</v>
      </c>
      <c r="E7">
        <f>Data!L36</f>
        <v>1.1338683300267105E-3</v>
      </c>
      <c r="F7">
        <f>Data!M36</f>
        <v>1.3278963971147251E-3</v>
      </c>
      <c r="G7">
        <f>Data!N36</f>
        <v>1.5219244642027396E-3</v>
      </c>
      <c r="H7">
        <f>Data!O36</f>
        <v>1.7159525312907542E-3</v>
      </c>
      <c r="I7">
        <f>Data!P36</f>
        <v>1.9099805983787688E-3</v>
      </c>
      <c r="J7">
        <f>Data!Q36</f>
        <v>2.1040086654667833E-3</v>
      </c>
      <c r="K7">
        <f>Data!R36</f>
        <v>2.2980367325547979E-3</v>
      </c>
      <c r="L7">
        <f>Data!S36</f>
        <v>2.4920647996428125E-3</v>
      </c>
      <c r="M7">
        <f>Data!T36</f>
        <v>2.686092866730827E-3</v>
      </c>
      <c r="N7">
        <f>Data!U36</f>
        <v>2.8801209338188971E-3</v>
      </c>
      <c r="O7">
        <f>Data!V36</f>
        <v>3.0741490009069117E-3</v>
      </c>
      <c r="P7">
        <f>Data!W36</f>
        <v>3.2681770679949262E-3</v>
      </c>
      <c r="Q7">
        <f>Data!X36</f>
        <v>3.4622051350829408E-3</v>
      </c>
      <c r="R7">
        <f>Data!Y36</f>
        <v>3.6562332021709554E-3</v>
      </c>
      <c r="S7">
        <f>Data!Z36</f>
        <v>3.8502612692589699E-3</v>
      </c>
      <c r="T7">
        <f>Data!AA36</f>
        <v>4.0442893363469845E-3</v>
      </c>
      <c r="U7">
        <f>Data!AB36</f>
        <v>4.2383174034349991E-3</v>
      </c>
      <c r="V7">
        <f>Data!AC36</f>
        <v>4.4323454705230136E-3</v>
      </c>
      <c r="W7">
        <f>Data!AD36</f>
        <v>4.6263735376110282E-3</v>
      </c>
      <c r="X7">
        <f>Data!AE36</f>
        <v>4.8204016046990983E-3</v>
      </c>
      <c r="Y7">
        <f>Data!AF36</f>
        <v>5.0144296717871129E-3</v>
      </c>
      <c r="Z7">
        <f>Data!AG36</f>
        <v>5.2084577388751274E-3</v>
      </c>
      <c r="AA7">
        <f>Data!AH36</f>
        <v>5.402485805963142E-3</v>
      </c>
      <c r="AB7">
        <f>Data!AI36</f>
        <v>5.5965138730511566E-3</v>
      </c>
      <c r="AC7">
        <f>Data!AJ36</f>
        <v>5.7905419401391711E-3</v>
      </c>
      <c r="AD7">
        <f>Data!AK36</f>
        <v>5.9845700072271857E-3</v>
      </c>
      <c r="AE7">
        <f>Data!AL36</f>
        <v>6.1785980743152003E-3</v>
      </c>
      <c r="AF7">
        <f t="shared" si="1"/>
        <v>6.1785980743152003E-3</v>
      </c>
      <c r="AG7">
        <f t="shared" si="0"/>
        <v>6.1785980743152003E-3</v>
      </c>
      <c r="AH7">
        <f t="shared" si="0"/>
        <v>6.1785980743152003E-3</v>
      </c>
      <c r="AI7">
        <f t="shared" si="0"/>
        <v>6.1785980743152003E-3</v>
      </c>
      <c r="AJ7">
        <f t="shared" si="0"/>
        <v>6.1785980743152003E-3</v>
      </c>
      <c r="AK7">
        <f t="shared" si="0"/>
        <v>6.1785980743152003E-3</v>
      </c>
      <c r="AL7">
        <f t="shared" si="0"/>
        <v>6.1785980743152003E-3</v>
      </c>
      <c r="AM7">
        <f t="shared" si="0"/>
        <v>6.1785980743152003E-3</v>
      </c>
      <c r="AN7">
        <f t="shared" si="0"/>
        <v>6.1785980743152003E-3</v>
      </c>
      <c r="AO7">
        <f t="shared" si="0"/>
        <v>6.1785980743152003E-3</v>
      </c>
      <c r="AP7">
        <f t="shared" si="0"/>
        <v>6.1785980743152003E-3</v>
      </c>
      <c r="AQ7">
        <f t="shared" si="0"/>
        <v>6.1785980743152003E-3</v>
      </c>
      <c r="AR7">
        <f t="shared" si="0"/>
        <v>6.1785980743152003E-3</v>
      </c>
      <c r="AS7">
        <f t="shared" si="0"/>
        <v>6.1785980743152003E-3</v>
      </c>
      <c r="AT7">
        <f t="shared" si="0"/>
        <v>6.1785980743152003E-3</v>
      </c>
      <c r="AU7">
        <f t="shared" si="0"/>
        <v>6.1785980743152003E-3</v>
      </c>
      <c r="AV7">
        <f t="shared" si="0"/>
        <v>6.1785980743152003E-3</v>
      </c>
      <c r="AW7">
        <f t="shared" si="0"/>
        <v>6.1785980743152003E-3</v>
      </c>
      <c r="AX7">
        <f t="shared" si="0"/>
        <v>6.1785980743152003E-3</v>
      </c>
      <c r="AY7">
        <f t="shared" si="0"/>
        <v>6.1785980743152003E-3</v>
      </c>
      <c r="AZ7">
        <f t="shared" si="0"/>
        <v>6.1785980743152003E-3</v>
      </c>
      <c r="BA7">
        <f t="shared" si="0"/>
        <v>6.1785980743152003E-3</v>
      </c>
    </row>
    <row r="8" spans="1:53" x14ac:dyDescent="0.25">
      <c r="A8" t="s">
        <v>121</v>
      </c>
      <c r="B8">
        <f>Data!I37</f>
        <v>5.0000000000000001E-3</v>
      </c>
      <c r="C8">
        <f>Data!J37</f>
        <v>5.5170911092645575E-3</v>
      </c>
      <c r="D8">
        <f>Data!K37</f>
        <v>5.6944107006927126E-3</v>
      </c>
      <c r="E8">
        <f>Data!L37</f>
        <v>5.9308947751903051E-3</v>
      </c>
      <c r="F8">
        <f>Data!M37</f>
        <v>6.2449916245422669E-3</v>
      </c>
      <c r="G8">
        <f>Data!N37</f>
        <v>6.6599055612148374E-3</v>
      </c>
      <c r="H8">
        <f>Data!O37</f>
        <v>7.2040674619948779E-3</v>
      </c>
      <c r="I8">
        <f>Data!P37</f>
        <v>7.9110443772872838E-3</v>
      </c>
      <c r="J8">
        <f>Data!Q37</f>
        <v>8.8183887418464522E-3</v>
      </c>
      <c r="K8">
        <f>Data!R37</f>
        <v>9.9647872715170754E-3</v>
      </c>
      <c r="L8">
        <f>Data!S37</f>
        <v>1.1384893333222474E-2</v>
      </c>
      <c r="M8">
        <f>Data!T37</f>
        <v>1.3101632577534383E-2</v>
      </c>
      <c r="N8">
        <f>Data!U37</f>
        <v>1.5116767408124863E-2</v>
      </c>
      <c r="O8">
        <f>Data!V37</f>
        <v>1.7402029282097161E-2</v>
      </c>
      <c r="P8">
        <f>Data!W37</f>
        <v>1.9894511911591937E-2</v>
      </c>
      <c r="Q8">
        <f>Data!X37</f>
        <v>2.2500000000000003E-2</v>
      </c>
      <c r="R8">
        <f>Data!Y37</f>
        <v>2.5105488088408068E-2</v>
      </c>
      <c r="S8">
        <f>Data!Z37</f>
        <v>2.7597970717902844E-2</v>
      </c>
      <c r="T8">
        <f>Data!AA37</f>
        <v>2.9883232591875142E-2</v>
      </c>
      <c r="U8">
        <f>Data!AB37</f>
        <v>3.1898367422465615E-2</v>
      </c>
      <c r="V8">
        <f>Data!AC37</f>
        <v>3.3615106666777528E-2</v>
      </c>
      <c r="W8">
        <f>Data!AD37</f>
        <v>3.503521272848293E-2</v>
      </c>
      <c r="X8">
        <f>Data!AE37</f>
        <v>3.618161125815355E-2</v>
      </c>
      <c r="Y8">
        <f>Data!AF37</f>
        <v>3.7088955622712722E-2</v>
      </c>
      <c r="Z8">
        <f>Data!AG37</f>
        <v>3.7795932538005124E-2</v>
      </c>
      <c r="AA8">
        <f>Data!AH37</f>
        <v>3.8340094438785166E-2</v>
      </c>
      <c r="AB8">
        <f>Data!AI37</f>
        <v>3.8755008375457735E-2</v>
      </c>
      <c r="AC8">
        <f>Data!AJ37</f>
        <v>3.9069105224809692E-2</v>
      </c>
      <c r="AD8">
        <f>Data!AK37</f>
        <v>3.9305589299307289E-2</v>
      </c>
      <c r="AE8">
        <f>Data!AL37</f>
        <v>3.9482908890735441E-2</v>
      </c>
      <c r="AF8">
        <f t="shared" si="1"/>
        <v>3.9482908890735441E-2</v>
      </c>
      <c r="AG8">
        <f t="shared" si="0"/>
        <v>3.9482908890735441E-2</v>
      </c>
      <c r="AH8">
        <f t="shared" si="0"/>
        <v>3.9482908890735441E-2</v>
      </c>
      <c r="AI8">
        <f t="shared" si="0"/>
        <v>3.9482908890735441E-2</v>
      </c>
      <c r="AJ8">
        <f t="shared" si="0"/>
        <v>3.9482908890735441E-2</v>
      </c>
      <c r="AK8">
        <f t="shared" si="0"/>
        <v>3.9482908890735441E-2</v>
      </c>
      <c r="AL8">
        <f t="shared" si="0"/>
        <v>3.9482908890735441E-2</v>
      </c>
      <c r="AM8">
        <f t="shared" si="0"/>
        <v>3.9482908890735441E-2</v>
      </c>
      <c r="AN8">
        <f t="shared" si="0"/>
        <v>3.9482908890735441E-2</v>
      </c>
      <c r="AO8">
        <f t="shared" si="0"/>
        <v>3.9482908890735441E-2</v>
      </c>
      <c r="AP8">
        <f t="shared" si="0"/>
        <v>3.9482908890735441E-2</v>
      </c>
      <c r="AQ8">
        <f t="shared" si="0"/>
        <v>3.9482908890735441E-2</v>
      </c>
      <c r="AR8">
        <f t="shared" si="0"/>
        <v>3.9482908890735441E-2</v>
      </c>
      <c r="AS8">
        <f t="shared" si="0"/>
        <v>3.9482908890735441E-2</v>
      </c>
      <c r="AT8">
        <f t="shared" si="0"/>
        <v>3.9482908890735441E-2</v>
      </c>
      <c r="AU8">
        <f t="shared" si="0"/>
        <v>3.9482908890735441E-2</v>
      </c>
      <c r="AV8">
        <f t="shared" si="0"/>
        <v>3.9482908890735441E-2</v>
      </c>
      <c r="AW8">
        <f t="shared" si="0"/>
        <v>3.9482908890735441E-2</v>
      </c>
      <c r="AX8">
        <f t="shared" si="0"/>
        <v>3.9482908890735441E-2</v>
      </c>
      <c r="AY8">
        <f t="shared" si="0"/>
        <v>3.9482908890735441E-2</v>
      </c>
      <c r="AZ8">
        <f t="shared" si="0"/>
        <v>3.9482908890735441E-2</v>
      </c>
      <c r="BA8">
        <f t="shared" si="0"/>
        <v>3.9482908890735441E-2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BA8"/>
  <sheetViews>
    <sheetView topLeftCell="E1" workbookViewId="0">
      <selection activeCell="AF1" sqref="AF1:BA8"/>
    </sheetView>
  </sheetViews>
  <sheetFormatPr defaultColWidth="9.140625" defaultRowHeight="15" x14ac:dyDescent="0.25"/>
  <cols>
    <col min="1" max="1" width="24.42578125" customWidth="1"/>
  </cols>
  <sheetData>
    <row r="1" spans="1:53" ht="45" x14ac:dyDescent="0.25">
      <c r="A1" s="25" t="s">
        <v>123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</row>
    <row r="2" spans="1:53" x14ac:dyDescent="0.2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  <c r="AC2">
        <f>Data!AJ38</f>
        <v>0</v>
      </c>
      <c r="AD2">
        <f>Data!AK38</f>
        <v>0</v>
      </c>
      <c r="AE2">
        <f>Data!AL38</f>
        <v>0</v>
      </c>
      <c r="AF2">
        <f>AE2</f>
        <v>0</v>
      </c>
      <c r="AG2">
        <f t="shared" ref="AG2:BA8" si="0">AF2</f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  <c r="BA2">
        <f t="shared" si="0"/>
        <v>0</v>
      </c>
    </row>
    <row r="3" spans="1:53" x14ac:dyDescent="0.2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  <c r="AC3">
        <f>Data!AJ39</f>
        <v>0</v>
      </c>
      <c r="AD3">
        <f>Data!AK39</f>
        <v>0</v>
      </c>
      <c r="AE3">
        <f>Data!AL39</f>
        <v>0</v>
      </c>
      <c r="AF3">
        <f t="shared" ref="AF3:AU8" si="1">AE3</f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  <c r="BA3">
        <f t="shared" si="0"/>
        <v>0</v>
      </c>
    </row>
    <row r="4" spans="1:53" x14ac:dyDescent="0.2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  <c r="AC4">
        <f>Data!AJ40</f>
        <v>0</v>
      </c>
      <c r="AD4">
        <f>Data!AK40</f>
        <v>0</v>
      </c>
      <c r="AE4">
        <f>Data!AL40</f>
        <v>0</v>
      </c>
      <c r="AF4">
        <f t="shared" si="1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  <c r="BA4">
        <f t="shared" si="0"/>
        <v>0</v>
      </c>
    </row>
    <row r="5" spans="1:53" x14ac:dyDescent="0.2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  <c r="AC5">
        <f>Data!AJ41</f>
        <v>1</v>
      </c>
      <c r="AD5">
        <f>Data!AK41</f>
        <v>1</v>
      </c>
      <c r="AE5">
        <f>Data!AL41</f>
        <v>1</v>
      </c>
      <c r="AF5">
        <f t="shared" si="1"/>
        <v>1</v>
      </c>
      <c r="AG5">
        <f t="shared" si="0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  <c r="BA5">
        <f t="shared" si="0"/>
        <v>1</v>
      </c>
    </row>
    <row r="6" spans="1:53" x14ac:dyDescent="0.2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  <c r="AC6">
        <f>Data!AJ42</f>
        <v>0</v>
      </c>
      <c r="AD6">
        <f>Data!AK42</f>
        <v>0</v>
      </c>
      <c r="AE6">
        <f>Data!AL42</f>
        <v>0</v>
      </c>
      <c r="AF6">
        <f t="shared" si="1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  <c r="BA6">
        <f t="shared" si="0"/>
        <v>0</v>
      </c>
    </row>
    <row r="7" spans="1:53" x14ac:dyDescent="0.25">
      <c r="A7" t="s">
        <v>120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  <c r="AC7">
        <f>Data!AJ43</f>
        <v>0</v>
      </c>
      <c r="AD7">
        <f>Data!AK43</f>
        <v>0</v>
      </c>
      <c r="AE7">
        <f>Data!AL43</f>
        <v>0</v>
      </c>
      <c r="AF7">
        <f t="shared" si="1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  <c r="BA7">
        <f t="shared" si="0"/>
        <v>0</v>
      </c>
    </row>
    <row r="8" spans="1:53" x14ac:dyDescent="0.25">
      <c r="A8" t="s">
        <v>121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  <c r="AC8">
        <f>Data!AJ44</f>
        <v>0</v>
      </c>
      <c r="AD8">
        <f>Data!AK44</f>
        <v>0</v>
      </c>
      <c r="AE8">
        <f>Data!AL44</f>
        <v>0</v>
      </c>
      <c r="AF8">
        <f t="shared" si="1"/>
        <v>0</v>
      </c>
      <c r="AG8">
        <f t="shared" si="0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  <c r="BA8">
        <f t="shared" si="0"/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BA8"/>
  <sheetViews>
    <sheetView topLeftCell="Y1" workbookViewId="0">
      <selection activeCell="BA2" sqref="BA2"/>
    </sheetView>
  </sheetViews>
  <sheetFormatPr defaultColWidth="9.140625" defaultRowHeight="15" x14ac:dyDescent="0.25"/>
  <cols>
    <col min="1" max="1" width="24.42578125" customWidth="1"/>
  </cols>
  <sheetData>
    <row r="1" spans="1:53" ht="45" x14ac:dyDescent="0.25">
      <c r="A1" s="25" t="s">
        <v>123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</row>
    <row r="2" spans="1:53" x14ac:dyDescent="0.2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  <c r="AC2">
        <f>Data!AJ45</f>
        <v>0</v>
      </c>
      <c r="AD2">
        <f>Data!AK45</f>
        <v>0</v>
      </c>
      <c r="AE2">
        <f>Data!AL45</f>
        <v>0</v>
      </c>
      <c r="AF2">
        <f>AE2</f>
        <v>0</v>
      </c>
      <c r="AG2">
        <f t="shared" ref="AG2:BA8" si="0">AF2</f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  <c r="BA2">
        <f t="shared" si="0"/>
        <v>0</v>
      </c>
    </row>
    <row r="3" spans="1:53" x14ac:dyDescent="0.2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  <c r="AC3">
        <f>Data!AJ46</f>
        <v>0</v>
      </c>
      <c r="AD3">
        <f>Data!AK46</f>
        <v>0</v>
      </c>
      <c r="AE3">
        <f>Data!AL46</f>
        <v>0</v>
      </c>
      <c r="AF3">
        <f t="shared" ref="AF3:AU8" si="1">AE3</f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  <c r="BA3">
        <f t="shared" si="0"/>
        <v>0</v>
      </c>
    </row>
    <row r="4" spans="1:53" x14ac:dyDescent="0.2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  <c r="AC4">
        <f>Data!AJ47</f>
        <v>0</v>
      </c>
      <c r="AD4">
        <f>Data!AK47</f>
        <v>0</v>
      </c>
      <c r="AE4">
        <f>Data!AL47</f>
        <v>0</v>
      </c>
      <c r="AF4">
        <f t="shared" si="1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  <c r="BA4">
        <f t="shared" si="0"/>
        <v>0</v>
      </c>
    </row>
    <row r="5" spans="1:53" x14ac:dyDescent="0.2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  <c r="AC5">
        <f>Data!AJ48</f>
        <v>1</v>
      </c>
      <c r="AD5">
        <f>Data!AK48</f>
        <v>1</v>
      </c>
      <c r="AE5">
        <f>Data!AL48</f>
        <v>1</v>
      </c>
      <c r="AF5">
        <f t="shared" si="1"/>
        <v>1</v>
      </c>
      <c r="AG5">
        <f t="shared" si="0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  <c r="BA5">
        <f t="shared" si="0"/>
        <v>1</v>
      </c>
    </row>
    <row r="6" spans="1:53" x14ac:dyDescent="0.2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  <c r="AC6">
        <f>Data!AJ49</f>
        <v>0</v>
      </c>
      <c r="AD6">
        <f>Data!AK49</f>
        <v>0</v>
      </c>
      <c r="AE6">
        <f>Data!AL49</f>
        <v>0</v>
      </c>
      <c r="AF6">
        <f t="shared" si="1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  <c r="BA6">
        <f t="shared" si="0"/>
        <v>0</v>
      </c>
    </row>
    <row r="7" spans="1:53" x14ac:dyDescent="0.25">
      <c r="A7" t="s">
        <v>120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  <c r="AC7">
        <f>Data!AJ50</f>
        <v>0</v>
      </c>
      <c r="AD7">
        <f>Data!AK50</f>
        <v>0</v>
      </c>
      <c r="AE7">
        <f>Data!AL50</f>
        <v>0</v>
      </c>
      <c r="AF7">
        <f t="shared" si="1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  <c r="BA7">
        <f t="shared" si="0"/>
        <v>0</v>
      </c>
    </row>
    <row r="8" spans="1:53" x14ac:dyDescent="0.25">
      <c r="A8" t="s">
        <v>121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  <c r="AC8">
        <f>Data!AJ51</f>
        <v>0</v>
      </c>
      <c r="AD8">
        <f>Data!AK51</f>
        <v>0</v>
      </c>
      <c r="AE8">
        <f>Data!AL51</f>
        <v>0</v>
      </c>
      <c r="AF8">
        <f t="shared" si="1"/>
        <v>0</v>
      </c>
      <c r="AG8">
        <f t="shared" si="0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  <c r="BA8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BA8"/>
  <sheetViews>
    <sheetView topLeftCell="M1" workbookViewId="0">
      <selection activeCell="AF1" sqref="AF1:BA8"/>
    </sheetView>
  </sheetViews>
  <sheetFormatPr defaultColWidth="9.140625" defaultRowHeight="15" x14ac:dyDescent="0.25"/>
  <cols>
    <col min="1" max="1" width="24.42578125" customWidth="1"/>
  </cols>
  <sheetData>
    <row r="1" spans="1:53" ht="45" x14ac:dyDescent="0.25">
      <c r="A1" s="25" t="s">
        <v>123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</row>
    <row r="2" spans="1:53" x14ac:dyDescent="0.25">
      <c r="A2" t="s">
        <v>1</v>
      </c>
      <c r="B2">
        <f>Data!I52</f>
        <v>0.93664816809218165</v>
      </c>
      <c r="C2">
        <f>Data!J52</f>
        <v>0.93758413006461472</v>
      </c>
      <c r="D2">
        <f>Data!K52</f>
        <v>0.93790508780604664</v>
      </c>
      <c r="E2">
        <f>Data!L52</f>
        <v>0.93833313635851656</v>
      </c>
      <c r="F2">
        <f>Data!M52</f>
        <v>0.93890166809574294</v>
      </c>
      <c r="G2">
        <f>Data!N52</f>
        <v>0.93965268403780833</v>
      </c>
      <c r="H2">
        <f>Data!O52</f>
        <v>0.94063764555977569</v>
      </c>
      <c r="I2">
        <f>Data!P52</f>
        <v>0.94191731077978458</v>
      </c>
      <c r="J2">
        <f>Data!Q52</f>
        <v>0.94355965157024346</v>
      </c>
      <c r="K2">
        <f>Data!R52</f>
        <v>0.94563469291170243</v>
      </c>
      <c r="L2">
        <f>Data!S52</f>
        <v>0.94820515921205761</v>
      </c>
      <c r="M2">
        <f>Data!T52</f>
        <v>0.95131254709877777</v>
      </c>
      <c r="N2">
        <f>Data!U52</f>
        <v>0.95496004661475364</v>
      </c>
      <c r="O2">
        <f>Data!V52</f>
        <v>0.95909649021776056</v>
      </c>
      <c r="P2">
        <f>Data!W52</f>
        <v>0.96360801423424369</v>
      </c>
      <c r="Q2">
        <f>Data!X52</f>
        <v>0.96832408404609083</v>
      </c>
      <c r="R2">
        <f>Data!Y52</f>
        <v>0.97304015385793796</v>
      </c>
      <c r="S2">
        <f>Data!Z52</f>
        <v>0.9775516778744211</v>
      </c>
      <c r="T2">
        <f>Data!AA52</f>
        <v>0.98168812147742801</v>
      </c>
      <c r="U2">
        <f>Data!AB52</f>
        <v>0.98533562099340388</v>
      </c>
      <c r="V2">
        <f>Data!AC52</f>
        <v>0.98844300888012404</v>
      </c>
      <c r="W2">
        <f>Data!AD52</f>
        <v>0.99101347518047922</v>
      </c>
      <c r="X2">
        <f>Data!AE52</f>
        <v>0.99308851652193819</v>
      </c>
      <c r="Y2">
        <f>Data!AF52</f>
        <v>0.99473085731239708</v>
      </c>
      <c r="Z2">
        <f>Data!AG52</f>
        <v>0.99601052253240596</v>
      </c>
      <c r="AA2">
        <f>Data!AH52</f>
        <v>0.99699548405437333</v>
      </c>
      <c r="AB2">
        <f>Data!AI52</f>
        <v>0.99774649999643872</v>
      </c>
      <c r="AC2">
        <f>Data!AJ52</f>
        <v>0.99831503173366509</v>
      </c>
      <c r="AD2">
        <f>Data!AK52</f>
        <v>0.99874308028613501</v>
      </c>
      <c r="AE2">
        <f>Data!AL52</f>
        <v>0.99906403802756694</v>
      </c>
      <c r="AF2">
        <f>AE2</f>
        <v>0.99906403802756694</v>
      </c>
      <c r="AG2">
        <f t="shared" ref="AG2:BA8" si="0">AF2</f>
        <v>0.99906403802756694</v>
      </c>
      <c r="AH2">
        <f t="shared" si="0"/>
        <v>0.99906403802756694</v>
      </c>
      <c r="AI2">
        <f t="shared" si="0"/>
        <v>0.99906403802756694</v>
      </c>
      <c r="AJ2">
        <f t="shared" si="0"/>
        <v>0.99906403802756694</v>
      </c>
      <c r="AK2">
        <f t="shared" si="0"/>
        <v>0.99906403802756694</v>
      </c>
      <c r="AL2">
        <f t="shared" si="0"/>
        <v>0.99906403802756694</v>
      </c>
      <c r="AM2">
        <f t="shared" si="0"/>
        <v>0.99906403802756694</v>
      </c>
      <c r="AN2">
        <f t="shared" si="0"/>
        <v>0.99906403802756694</v>
      </c>
      <c r="AO2">
        <f t="shared" si="0"/>
        <v>0.99906403802756694</v>
      </c>
      <c r="AP2">
        <f t="shared" si="0"/>
        <v>0.99906403802756694</v>
      </c>
      <c r="AQ2">
        <f t="shared" si="0"/>
        <v>0.99906403802756694</v>
      </c>
      <c r="AR2">
        <f t="shared" si="0"/>
        <v>0.99906403802756694</v>
      </c>
      <c r="AS2">
        <f t="shared" si="0"/>
        <v>0.99906403802756694</v>
      </c>
      <c r="AT2">
        <f t="shared" si="0"/>
        <v>0.99906403802756694</v>
      </c>
      <c r="AU2">
        <f t="shared" si="0"/>
        <v>0.99906403802756694</v>
      </c>
      <c r="AV2">
        <f t="shared" si="0"/>
        <v>0.99906403802756694</v>
      </c>
      <c r="AW2">
        <f t="shared" si="0"/>
        <v>0.99906403802756694</v>
      </c>
      <c r="AX2">
        <f t="shared" si="0"/>
        <v>0.99906403802756694</v>
      </c>
      <c r="AY2">
        <f t="shared" si="0"/>
        <v>0.99906403802756694</v>
      </c>
      <c r="AZ2">
        <f t="shared" si="0"/>
        <v>0.99906403802756694</v>
      </c>
      <c r="BA2">
        <f t="shared" si="0"/>
        <v>0.99906403802756694</v>
      </c>
    </row>
    <row r="3" spans="1:53" x14ac:dyDescent="0.2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  <c r="AC3">
        <f>Data!AJ53</f>
        <v>0</v>
      </c>
      <c r="AD3">
        <f>Data!AK53</f>
        <v>0</v>
      </c>
      <c r="AE3">
        <f>Data!AL53</f>
        <v>0</v>
      </c>
      <c r="AF3">
        <f t="shared" ref="AF3:AU8" si="1">AE3</f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  <c r="BA3">
        <f t="shared" si="0"/>
        <v>0</v>
      </c>
    </row>
    <row r="4" spans="1:53" x14ac:dyDescent="0.2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  <c r="AC4">
        <f>Data!AJ54</f>
        <v>0</v>
      </c>
      <c r="AD4">
        <f>Data!AK54</f>
        <v>0</v>
      </c>
      <c r="AE4">
        <f>Data!AL54</f>
        <v>0</v>
      </c>
      <c r="AF4">
        <f t="shared" si="1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  <c r="BA4">
        <f t="shared" si="0"/>
        <v>0</v>
      </c>
    </row>
    <row r="5" spans="1:53" x14ac:dyDescent="0.25">
      <c r="A5" t="s">
        <v>4</v>
      </c>
      <c r="B5">
        <f>Data!I55</f>
        <v>6.3351831907818346E-2</v>
      </c>
      <c r="C5">
        <f>Data!J55</f>
        <v>6.3351831907809242E-2</v>
      </c>
      <c r="D5">
        <f>Data!K55</f>
        <v>9.6803552196817577E-2</v>
      </c>
      <c r="E5">
        <f>Data!L55</f>
        <v>0.13025527248582591</v>
      </c>
      <c r="F5">
        <f>Data!M55</f>
        <v>0.16370699277483425</v>
      </c>
      <c r="G5">
        <f>Data!N55</f>
        <v>0.19715871306384258</v>
      </c>
      <c r="H5">
        <f>Data!O55</f>
        <v>0.23061043335285092</v>
      </c>
      <c r="I5">
        <f>Data!P55</f>
        <v>0.26406215364185925</v>
      </c>
      <c r="J5">
        <f>Data!Q55</f>
        <v>0.29751387393085338</v>
      </c>
      <c r="K5">
        <f>Data!R55</f>
        <v>0.33096559421986171</v>
      </c>
      <c r="L5">
        <f>Data!S55</f>
        <v>0.36441731450887005</v>
      </c>
      <c r="M5">
        <f>Data!T55</f>
        <v>0.39786903479787838</v>
      </c>
      <c r="N5">
        <f>Data!U55</f>
        <v>0.43132075508688672</v>
      </c>
      <c r="O5">
        <f>Data!V55</f>
        <v>0.46477247537589506</v>
      </c>
      <c r="P5">
        <f>Data!W55</f>
        <v>0.49822419566490339</v>
      </c>
      <c r="Q5">
        <f>Data!X55</f>
        <v>0.53167591595391173</v>
      </c>
      <c r="R5">
        <f>Data!Y55</f>
        <v>0.56512763624290585</v>
      </c>
      <c r="S5">
        <f>Data!Z55</f>
        <v>0.59857935653191419</v>
      </c>
      <c r="T5">
        <f>Data!AA55</f>
        <v>0.63203107682092252</v>
      </c>
      <c r="U5">
        <f>Data!AB55</f>
        <v>0.66548279710993086</v>
      </c>
      <c r="V5">
        <f>Data!AC55</f>
        <v>0.69893451739893919</v>
      </c>
      <c r="W5">
        <f>Data!AD55</f>
        <v>0.73238623768794753</v>
      </c>
      <c r="X5">
        <f>Data!AE55</f>
        <v>0.76583795797695586</v>
      </c>
      <c r="Y5">
        <f>Data!AF55</f>
        <v>0.7992896782659642</v>
      </c>
      <c r="Z5">
        <f>Data!AG55</f>
        <v>0.83274139855495832</v>
      </c>
      <c r="AA5">
        <f>Data!AH55</f>
        <v>0.86619311884396666</v>
      </c>
      <c r="AB5">
        <f>Data!AI55</f>
        <v>0.89964483913297499</v>
      </c>
      <c r="AC5">
        <f>Data!AJ55</f>
        <v>0.93309655942198333</v>
      </c>
      <c r="AD5">
        <f>Data!AK55</f>
        <v>0.96654827971099166</v>
      </c>
      <c r="AE5">
        <f>Data!AL55</f>
        <v>1</v>
      </c>
      <c r="AF5">
        <f t="shared" si="1"/>
        <v>1</v>
      </c>
      <c r="AG5">
        <f t="shared" si="0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  <c r="BA5">
        <f t="shared" si="0"/>
        <v>1</v>
      </c>
    </row>
    <row r="6" spans="1:53" x14ac:dyDescent="0.2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  <c r="AC6">
        <f>Data!AJ56</f>
        <v>0</v>
      </c>
      <c r="AD6">
        <f>Data!AK56</f>
        <v>0</v>
      </c>
      <c r="AE6">
        <f>Data!AL56</f>
        <v>0</v>
      </c>
      <c r="AF6">
        <f t="shared" si="1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  <c r="BA6">
        <f t="shared" si="0"/>
        <v>0</v>
      </c>
    </row>
    <row r="7" spans="1:53" x14ac:dyDescent="0.25">
      <c r="A7" t="s">
        <v>120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  <c r="AC7">
        <f>Data!AJ57</f>
        <v>0</v>
      </c>
      <c r="AD7">
        <f>Data!AK57</f>
        <v>0</v>
      </c>
      <c r="AE7">
        <f>Data!AL57</f>
        <v>0</v>
      </c>
      <c r="AF7">
        <f t="shared" si="1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  <c r="BA7">
        <f t="shared" si="0"/>
        <v>0</v>
      </c>
    </row>
    <row r="8" spans="1:53" x14ac:dyDescent="0.25">
      <c r="A8" t="s">
        <v>121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  <c r="AC8">
        <f>Data!AJ58</f>
        <v>0</v>
      </c>
      <c r="AD8">
        <f>Data!AK58</f>
        <v>0</v>
      </c>
      <c r="AE8">
        <f>Data!AL58</f>
        <v>0</v>
      </c>
      <c r="AF8">
        <f t="shared" si="1"/>
        <v>0</v>
      </c>
      <c r="AG8">
        <f t="shared" si="0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  <c r="BA8">
        <f t="shared" si="0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BA8"/>
  <sheetViews>
    <sheetView topLeftCell="E1" workbookViewId="0">
      <selection activeCell="AF1" sqref="AF1:BA8"/>
    </sheetView>
  </sheetViews>
  <sheetFormatPr defaultColWidth="9.140625" defaultRowHeight="15" x14ac:dyDescent="0.25"/>
  <cols>
    <col min="1" max="1" width="24.42578125" customWidth="1"/>
  </cols>
  <sheetData>
    <row r="1" spans="1:53" ht="45" x14ac:dyDescent="0.25">
      <c r="A1" s="25" t="s">
        <v>123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</row>
    <row r="2" spans="1:53" x14ac:dyDescent="0.2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  <c r="AC2">
        <f>Data!AJ59</f>
        <v>0</v>
      </c>
      <c r="AD2">
        <f>Data!AK59</f>
        <v>0</v>
      </c>
      <c r="AE2">
        <f>Data!AL59</f>
        <v>0</v>
      </c>
      <c r="AF2">
        <f>AE2</f>
        <v>0</v>
      </c>
      <c r="AG2">
        <f t="shared" ref="AG2:BA8" si="0">AF2</f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  <c r="BA2">
        <f t="shared" si="0"/>
        <v>0</v>
      </c>
    </row>
    <row r="3" spans="1:53" x14ac:dyDescent="0.2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  <c r="AC3">
        <f>Data!AJ60</f>
        <v>0</v>
      </c>
      <c r="AD3">
        <f>Data!AK60</f>
        <v>0</v>
      </c>
      <c r="AE3">
        <f>Data!AL60</f>
        <v>0</v>
      </c>
      <c r="AF3">
        <f t="shared" ref="AF3:AU8" si="1">AE3</f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  <c r="BA3">
        <f t="shared" si="0"/>
        <v>0</v>
      </c>
    </row>
    <row r="4" spans="1:53" x14ac:dyDescent="0.2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  <c r="AC4">
        <f>Data!AJ61</f>
        <v>0</v>
      </c>
      <c r="AD4">
        <f>Data!AK61</f>
        <v>0</v>
      </c>
      <c r="AE4">
        <f>Data!AL61</f>
        <v>0</v>
      </c>
      <c r="AF4">
        <f t="shared" si="1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  <c r="BA4">
        <f t="shared" si="0"/>
        <v>0</v>
      </c>
    </row>
    <row r="5" spans="1:53" x14ac:dyDescent="0.2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  <c r="AC5">
        <f>Data!AJ62</f>
        <v>1</v>
      </c>
      <c r="AD5">
        <f>Data!AK62</f>
        <v>1</v>
      </c>
      <c r="AE5">
        <f>Data!AL62</f>
        <v>1</v>
      </c>
      <c r="AF5">
        <f t="shared" si="1"/>
        <v>1</v>
      </c>
      <c r="AG5">
        <f t="shared" si="0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  <c r="BA5">
        <f t="shared" si="0"/>
        <v>1</v>
      </c>
    </row>
    <row r="6" spans="1:53" x14ac:dyDescent="0.2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  <c r="AC6">
        <f>Data!AJ63</f>
        <v>0</v>
      </c>
      <c r="AD6">
        <f>Data!AK63</f>
        <v>0</v>
      </c>
      <c r="AE6">
        <f>Data!AL63</f>
        <v>0</v>
      </c>
      <c r="AF6">
        <f t="shared" si="1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  <c r="BA6">
        <f t="shared" si="0"/>
        <v>0</v>
      </c>
    </row>
    <row r="7" spans="1:53" x14ac:dyDescent="0.25">
      <c r="A7" t="s">
        <v>120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  <c r="AC7">
        <f>Data!AJ64</f>
        <v>0</v>
      </c>
      <c r="AD7">
        <f>Data!AK64</f>
        <v>0</v>
      </c>
      <c r="AE7">
        <f>Data!AL64</f>
        <v>0</v>
      </c>
      <c r="AF7">
        <f t="shared" si="1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  <c r="BA7">
        <f t="shared" si="0"/>
        <v>0</v>
      </c>
    </row>
    <row r="8" spans="1:53" x14ac:dyDescent="0.25">
      <c r="A8" t="s">
        <v>121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  <c r="AC8">
        <f>Data!AJ65</f>
        <v>0</v>
      </c>
      <c r="AD8">
        <f>Data!AK65</f>
        <v>0</v>
      </c>
      <c r="AE8">
        <f>Data!AL65</f>
        <v>0</v>
      </c>
      <c r="AF8">
        <f t="shared" si="1"/>
        <v>0</v>
      </c>
      <c r="AG8">
        <f t="shared" si="0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  <c r="BA8">
        <f t="shared" si="0"/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BA8"/>
  <sheetViews>
    <sheetView topLeftCell="E1" workbookViewId="0">
      <selection activeCell="AF1" sqref="AF1:BA8"/>
    </sheetView>
  </sheetViews>
  <sheetFormatPr defaultColWidth="9.140625" defaultRowHeight="15" x14ac:dyDescent="0.25"/>
  <cols>
    <col min="1" max="1" width="24.42578125" customWidth="1"/>
  </cols>
  <sheetData>
    <row r="1" spans="1:53" ht="45" x14ac:dyDescent="0.25">
      <c r="A1" s="25" t="s">
        <v>123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</row>
    <row r="2" spans="1:53" x14ac:dyDescent="0.2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  <c r="AC2">
        <f>Data!AJ66</f>
        <v>0</v>
      </c>
      <c r="AD2">
        <f>Data!AK66</f>
        <v>0</v>
      </c>
      <c r="AE2">
        <f>Data!AL66</f>
        <v>0</v>
      </c>
      <c r="AF2">
        <f>AE2</f>
        <v>0</v>
      </c>
      <c r="AG2">
        <f t="shared" ref="AG2:BA8" si="0">AF2</f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  <c r="BA2">
        <f t="shared" si="0"/>
        <v>0</v>
      </c>
    </row>
    <row r="3" spans="1:53" x14ac:dyDescent="0.2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  <c r="AC3">
        <f>Data!AJ67</f>
        <v>0</v>
      </c>
      <c r="AD3">
        <f>Data!AK67</f>
        <v>0</v>
      </c>
      <c r="AE3">
        <f>Data!AL67</f>
        <v>0</v>
      </c>
      <c r="AF3">
        <f t="shared" ref="AF3:AU8" si="1">AE3</f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  <c r="BA3">
        <f t="shared" si="0"/>
        <v>0</v>
      </c>
    </row>
    <row r="4" spans="1:53" x14ac:dyDescent="0.2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  <c r="AC4">
        <f>Data!AJ68</f>
        <v>0</v>
      </c>
      <c r="AD4">
        <f>Data!AK68</f>
        <v>0</v>
      </c>
      <c r="AE4">
        <f>Data!AL68</f>
        <v>0</v>
      </c>
      <c r="AF4">
        <f t="shared" si="1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  <c r="BA4">
        <f t="shared" si="0"/>
        <v>0</v>
      </c>
    </row>
    <row r="5" spans="1:53" x14ac:dyDescent="0.2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  <c r="AC5">
        <f>Data!AJ69</f>
        <v>1</v>
      </c>
      <c r="AD5">
        <f>Data!AK69</f>
        <v>1</v>
      </c>
      <c r="AE5">
        <f>Data!AL69</f>
        <v>1</v>
      </c>
      <c r="AF5">
        <f t="shared" si="1"/>
        <v>1</v>
      </c>
      <c r="AG5">
        <f t="shared" si="0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  <c r="BA5">
        <f t="shared" si="0"/>
        <v>1</v>
      </c>
    </row>
    <row r="6" spans="1:53" x14ac:dyDescent="0.2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  <c r="AC6">
        <f>Data!AJ70</f>
        <v>0</v>
      </c>
      <c r="AD6">
        <f>Data!AK70</f>
        <v>0</v>
      </c>
      <c r="AE6">
        <f>Data!AL70</f>
        <v>0</v>
      </c>
      <c r="AF6">
        <f t="shared" si="1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  <c r="BA6">
        <f t="shared" si="0"/>
        <v>0</v>
      </c>
    </row>
    <row r="7" spans="1:53" x14ac:dyDescent="0.25">
      <c r="A7" t="s">
        <v>120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  <c r="AC7">
        <f>Data!AJ71</f>
        <v>0</v>
      </c>
      <c r="AD7">
        <f>Data!AK71</f>
        <v>0</v>
      </c>
      <c r="AE7">
        <f>Data!AL71</f>
        <v>0</v>
      </c>
      <c r="AF7">
        <f t="shared" si="1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  <c r="BA7">
        <f t="shared" si="0"/>
        <v>0</v>
      </c>
    </row>
    <row r="8" spans="1:53" x14ac:dyDescent="0.25">
      <c r="A8" t="s">
        <v>121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  <c r="AC8">
        <f>Data!AJ72</f>
        <v>0</v>
      </c>
      <c r="AD8">
        <f>Data!AK72</f>
        <v>0</v>
      </c>
      <c r="AE8">
        <f>Data!AL72</f>
        <v>0</v>
      </c>
      <c r="AF8">
        <f t="shared" si="1"/>
        <v>0</v>
      </c>
      <c r="AG8">
        <f t="shared" si="0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  <c r="BA8">
        <f t="shared" si="0"/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BA8"/>
  <sheetViews>
    <sheetView topLeftCell="E1" workbookViewId="0">
      <selection activeCell="AF1" sqref="AF1:BA8"/>
    </sheetView>
  </sheetViews>
  <sheetFormatPr defaultColWidth="9.140625" defaultRowHeight="15" x14ac:dyDescent="0.25"/>
  <cols>
    <col min="1" max="1" width="24.42578125" customWidth="1"/>
  </cols>
  <sheetData>
    <row r="1" spans="1:53" ht="45" x14ac:dyDescent="0.25">
      <c r="A1" s="25" t="s">
        <v>123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</row>
    <row r="2" spans="1:53" x14ac:dyDescent="0.2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  <c r="AC2">
        <f>Data!AJ73</f>
        <v>0</v>
      </c>
      <c r="AD2">
        <f>Data!AK73</f>
        <v>0</v>
      </c>
      <c r="AE2">
        <f>Data!AL73</f>
        <v>0</v>
      </c>
      <c r="AF2">
        <f>AE2</f>
        <v>0</v>
      </c>
      <c r="AG2">
        <f t="shared" ref="AG2:BA8" si="0">AF2</f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  <c r="BA2">
        <f t="shared" si="0"/>
        <v>0</v>
      </c>
    </row>
    <row r="3" spans="1:53" x14ac:dyDescent="0.2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  <c r="AC3">
        <f>Data!AJ74</f>
        <v>0</v>
      </c>
      <c r="AD3">
        <f>Data!AK74</f>
        <v>0</v>
      </c>
      <c r="AE3">
        <f>Data!AL74</f>
        <v>0</v>
      </c>
      <c r="AF3">
        <f t="shared" ref="AF3:AU8" si="1">AE3</f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  <c r="BA3">
        <f t="shared" si="0"/>
        <v>0</v>
      </c>
    </row>
    <row r="4" spans="1:53" x14ac:dyDescent="0.2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  <c r="AC4">
        <f>Data!AJ75</f>
        <v>0</v>
      </c>
      <c r="AD4">
        <f>Data!AK75</f>
        <v>0</v>
      </c>
      <c r="AE4">
        <f>Data!AL75</f>
        <v>0</v>
      </c>
      <c r="AF4">
        <f t="shared" si="1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  <c r="BA4">
        <f t="shared" si="0"/>
        <v>0</v>
      </c>
    </row>
    <row r="5" spans="1:53" x14ac:dyDescent="0.2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  <c r="AC5">
        <f>Data!AJ76</f>
        <v>1</v>
      </c>
      <c r="AD5">
        <f>Data!AK76</f>
        <v>1</v>
      </c>
      <c r="AE5">
        <f>Data!AL76</f>
        <v>1</v>
      </c>
      <c r="AF5">
        <f t="shared" si="1"/>
        <v>1</v>
      </c>
      <c r="AG5">
        <f t="shared" si="0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  <c r="BA5">
        <f t="shared" si="0"/>
        <v>1</v>
      </c>
    </row>
    <row r="6" spans="1:53" x14ac:dyDescent="0.2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  <c r="AC6">
        <f>Data!AJ77</f>
        <v>0</v>
      </c>
      <c r="AD6">
        <f>Data!AK77</f>
        <v>0</v>
      </c>
      <c r="AE6">
        <f>Data!AL77</f>
        <v>0</v>
      </c>
      <c r="AF6">
        <f t="shared" si="1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  <c r="BA6">
        <f t="shared" si="0"/>
        <v>0</v>
      </c>
    </row>
    <row r="7" spans="1:53" x14ac:dyDescent="0.25">
      <c r="A7" t="s">
        <v>120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  <c r="AC7">
        <f>Data!AJ78</f>
        <v>0</v>
      </c>
      <c r="AD7">
        <f>Data!AK78</f>
        <v>0</v>
      </c>
      <c r="AE7">
        <f>Data!AL78</f>
        <v>0</v>
      </c>
      <c r="AF7">
        <f t="shared" si="1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  <c r="BA7">
        <f t="shared" si="0"/>
        <v>0</v>
      </c>
    </row>
    <row r="8" spans="1:53" x14ac:dyDescent="0.25">
      <c r="A8" t="s">
        <v>121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  <c r="AC8">
        <f>Data!AJ79</f>
        <v>0</v>
      </c>
      <c r="AD8">
        <f>Data!AK79</f>
        <v>0</v>
      </c>
      <c r="AE8">
        <f>Data!AL79</f>
        <v>0</v>
      </c>
      <c r="AF8">
        <f t="shared" si="1"/>
        <v>0</v>
      </c>
      <c r="AG8">
        <f t="shared" si="0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  <c r="BA8">
        <f t="shared" si="0"/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BA8"/>
  <sheetViews>
    <sheetView topLeftCell="E1" workbookViewId="0">
      <selection activeCell="AF1" sqref="AF1:BA8"/>
    </sheetView>
  </sheetViews>
  <sheetFormatPr defaultColWidth="9.140625" defaultRowHeight="15" x14ac:dyDescent="0.25"/>
  <cols>
    <col min="1" max="1" width="24.42578125" customWidth="1"/>
  </cols>
  <sheetData>
    <row r="1" spans="1:53" ht="45" x14ac:dyDescent="0.25">
      <c r="A1" s="25" t="s">
        <v>123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</row>
    <row r="2" spans="1:53" x14ac:dyDescent="0.25">
      <c r="A2" t="s">
        <v>1</v>
      </c>
      <c r="B2">
        <f>Data!I80</f>
        <v>0</v>
      </c>
      <c r="C2">
        <f>Data!J80</f>
        <v>7.2426485361517731E-2</v>
      </c>
      <c r="D2">
        <f>Data!K80</f>
        <v>9.534946489910949E-2</v>
      </c>
      <c r="E2">
        <f>Data!L80</f>
        <v>0.12455335818741645</v>
      </c>
      <c r="F2">
        <f>Data!M80</f>
        <v>0.16110894957658525</v>
      </c>
      <c r="G2">
        <f>Data!N80</f>
        <v>0.20587037180094736</v>
      </c>
      <c r="H2">
        <f>Data!O80</f>
        <v>0.259225100817846</v>
      </c>
      <c r="I2">
        <f>Data!P80</f>
        <v>0.32082130082460703</v>
      </c>
      <c r="J2">
        <f>Data!Q80</f>
        <v>0.38936076605077802</v>
      </c>
      <c r="K2">
        <f>Data!R80</f>
        <v>0.46257015465625045</v>
      </c>
      <c r="L2">
        <f>Data!S80</f>
        <v>0.5374298453437496</v>
      </c>
      <c r="M2">
        <f>Data!T80</f>
        <v>0.61063923394922204</v>
      </c>
      <c r="N2">
        <f>Data!U80</f>
        <v>0.67917869917539297</v>
      </c>
      <c r="O2">
        <f>Data!V80</f>
        <v>0.740774899182154</v>
      </c>
      <c r="P2">
        <f>Data!W80</f>
        <v>0.79412962819905253</v>
      </c>
      <c r="Q2">
        <f>Data!X80</f>
        <v>0.83889105042341472</v>
      </c>
      <c r="R2">
        <f>Data!Y80</f>
        <v>0.87544664181258358</v>
      </c>
      <c r="S2">
        <f>Data!Z80</f>
        <v>0.90465053510089055</v>
      </c>
      <c r="T2">
        <f>Data!AA80</f>
        <v>0.92757351463848225</v>
      </c>
      <c r="U2">
        <f>Data!AB80</f>
        <v>0.94531868278405917</v>
      </c>
      <c r="V2">
        <f>Data!AC80</f>
        <v>0.95890872179953501</v>
      </c>
      <c r="W2">
        <f>Data!AD80</f>
        <v>0.96923114064285198</v>
      </c>
      <c r="X2">
        <f>Data!AE80</f>
        <v>0.97702263008997436</v>
      </c>
      <c r="Y2">
        <f>Data!AF80</f>
        <v>0.98287596668427235</v>
      </c>
      <c r="Z2">
        <f>Data!AG80</f>
        <v>0.98725765053588843</v>
      </c>
      <c r="AA2">
        <f>Data!AH80</f>
        <v>0.99052895641805383</v>
      </c>
      <c r="AB2">
        <f>Data!AI80</f>
        <v>0.99296641284500486</v>
      </c>
      <c r="AC2">
        <f>Data!AJ80</f>
        <v>0.99477987430644166</v>
      </c>
      <c r="AD2">
        <f>Data!AK80</f>
        <v>0.99612759655932892</v>
      </c>
      <c r="AE2">
        <f>Data!AL80</f>
        <v>0.99712837084429951</v>
      </c>
      <c r="AF2">
        <f>AE2</f>
        <v>0.99712837084429951</v>
      </c>
      <c r="AG2">
        <f t="shared" ref="AG2:BA8" si="0">AF2</f>
        <v>0.99712837084429951</v>
      </c>
      <c r="AH2">
        <f t="shared" si="0"/>
        <v>0.99712837084429951</v>
      </c>
      <c r="AI2">
        <f t="shared" si="0"/>
        <v>0.99712837084429951</v>
      </c>
      <c r="AJ2">
        <f t="shared" si="0"/>
        <v>0.99712837084429951</v>
      </c>
      <c r="AK2">
        <f t="shared" si="0"/>
        <v>0.99712837084429951</v>
      </c>
      <c r="AL2">
        <f t="shared" si="0"/>
        <v>0.99712837084429951</v>
      </c>
      <c r="AM2">
        <f t="shared" si="0"/>
        <v>0.99712837084429951</v>
      </c>
      <c r="AN2">
        <f t="shared" si="0"/>
        <v>0.99712837084429951</v>
      </c>
      <c r="AO2">
        <f t="shared" si="0"/>
        <v>0.99712837084429951</v>
      </c>
      <c r="AP2">
        <f t="shared" si="0"/>
        <v>0.99712837084429951</v>
      </c>
      <c r="AQ2">
        <f t="shared" si="0"/>
        <v>0.99712837084429951</v>
      </c>
      <c r="AR2">
        <f t="shared" si="0"/>
        <v>0.99712837084429951</v>
      </c>
      <c r="AS2">
        <f t="shared" si="0"/>
        <v>0.99712837084429951</v>
      </c>
      <c r="AT2">
        <f t="shared" si="0"/>
        <v>0.99712837084429951</v>
      </c>
      <c r="AU2">
        <f t="shared" si="0"/>
        <v>0.99712837084429951</v>
      </c>
      <c r="AV2">
        <f t="shared" si="0"/>
        <v>0.99712837084429951</v>
      </c>
      <c r="AW2">
        <f t="shared" si="0"/>
        <v>0.99712837084429951</v>
      </c>
      <c r="AX2">
        <f t="shared" si="0"/>
        <v>0.99712837084429951</v>
      </c>
      <c r="AY2">
        <f t="shared" si="0"/>
        <v>0.99712837084429951</v>
      </c>
      <c r="AZ2">
        <f t="shared" si="0"/>
        <v>0.99712837084429951</v>
      </c>
      <c r="BA2">
        <f t="shared" si="0"/>
        <v>0.99712837084429951</v>
      </c>
    </row>
    <row r="3" spans="1:53" x14ac:dyDescent="0.25">
      <c r="A3" t="s">
        <v>2</v>
      </c>
      <c r="B3">
        <f>Data!I81</f>
        <v>0</v>
      </c>
      <c r="C3">
        <f>Data!J81</f>
        <v>0</v>
      </c>
      <c r="D3">
        <f>Data!K81</f>
        <v>0</v>
      </c>
      <c r="E3">
        <f>Data!L81</f>
        <v>0</v>
      </c>
      <c r="F3">
        <f>Data!M81</f>
        <v>0</v>
      </c>
      <c r="G3">
        <f>Data!N81</f>
        <v>0</v>
      </c>
      <c r="H3">
        <f>Data!O81</f>
        <v>0</v>
      </c>
      <c r="I3">
        <f>Data!P81</f>
        <v>0</v>
      </c>
      <c r="J3">
        <f>Data!Q81</f>
        <v>0</v>
      </c>
      <c r="K3">
        <f>Data!R81</f>
        <v>0</v>
      </c>
      <c r="L3">
        <f>Data!S81</f>
        <v>0</v>
      </c>
      <c r="M3">
        <f>Data!T81</f>
        <v>0</v>
      </c>
      <c r="N3">
        <f>Data!U81</f>
        <v>0</v>
      </c>
      <c r="O3">
        <f>Data!V81</f>
        <v>0</v>
      </c>
      <c r="P3">
        <f>Data!W81</f>
        <v>0</v>
      </c>
      <c r="Q3">
        <f>Data!X81</f>
        <v>0</v>
      </c>
      <c r="R3">
        <f>Data!Y81</f>
        <v>0</v>
      </c>
      <c r="S3">
        <f>Data!Z81</f>
        <v>0</v>
      </c>
      <c r="T3">
        <f>Data!AA81</f>
        <v>0</v>
      </c>
      <c r="U3">
        <f>Data!AB81</f>
        <v>0</v>
      </c>
      <c r="V3">
        <f>Data!AC81</f>
        <v>0</v>
      </c>
      <c r="W3">
        <f>Data!AD81</f>
        <v>0</v>
      </c>
      <c r="X3">
        <f>Data!AE81</f>
        <v>0</v>
      </c>
      <c r="Y3">
        <f>Data!AF81</f>
        <v>0</v>
      </c>
      <c r="Z3">
        <f>Data!AG81</f>
        <v>0</v>
      </c>
      <c r="AA3">
        <f>Data!AH81</f>
        <v>0</v>
      </c>
      <c r="AB3">
        <f>Data!AI81</f>
        <v>0</v>
      </c>
      <c r="AC3">
        <f>Data!AJ81</f>
        <v>0</v>
      </c>
      <c r="AD3">
        <f>Data!AK81</f>
        <v>0</v>
      </c>
      <c r="AE3">
        <f>Data!AL81</f>
        <v>0</v>
      </c>
      <c r="AF3">
        <f t="shared" ref="AF3:AU8" si="1">AE3</f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  <c r="BA3">
        <f t="shared" si="0"/>
        <v>0</v>
      </c>
    </row>
    <row r="4" spans="1:53" x14ac:dyDescent="0.25">
      <c r="A4" t="s">
        <v>3</v>
      </c>
      <c r="B4">
        <f>Data!I82</f>
        <v>3</v>
      </c>
      <c r="C4">
        <f>Data!J82</f>
        <v>3</v>
      </c>
      <c r="D4">
        <f>Data!K82</f>
        <v>3</v>
      </c>
      <c r="E4">
        <f>Data!L82</f>
        <v>3</v>
      </c>
      <c r="F4">
        <f>Data!M82</f>
        <v>3</v>
      </c>
      <c r="G4">
        <f>Data!N82</f>
        <v>3</v>
      </c>
      <c r="H4">
        <f>Data!O82</f>
        <v>3</v>
      </c>
      <c r="I4">
        <f>Data!P82</f>
        <v>3</v>
      </c>
      <c r="J4">
        <f>Data!Q82</f>
        <v>3</v>
      </c>
      <c r="K4">
        <f>Data!R82</f>
        <v>3</v>
      </c>
      <c r="L4">
        <f>Data!S82</f>
        <v>3</v>
      </c>
      <c r="M4">
        <f>Data!T82</f>
        <v>3</v>
      </c>
      <c r="N4">
        <f>Data!U82</f>
        <v>3</v>
      </c>
      <c r="O4">
        <f>Data!V82</f>
        <v>3</v>
      </c>
      <c r="P4">
        <f>Data!W82</f>
        <v>3</v>
      </c>
      <c r="Q4">
        <f>Data!X82</f>
        <v>3</v>
      </c>
      <c r="R4">
        <f>Data!Y82</f>
        <v>3</v>
      </c>
      <c r="S4">
        <f>Data!Z82</f>
        <v>3</v>
      </c>
      <c r="T4">
        <f>Data!AA82</f>
        <v>3</v>
      </c>
      <c r="U4">
        <f>Data!AB82</f>
        <v>3</v>
      </c>
      <c r="V4">
        <f>Data!AC82</f>
        <v>3</v>
      </c>
      <c r="W4">
        <f>Data!AD82</f>
        <v>3</v>
      </c>
      <c r="X4">
        <f>Data!AE82</f>
        <v>3</v>
      </c>
      <c r="Y4">
        <f>Data!AF82</f>
        <v>3</v>
      </c>
      <c r="Z4">
        <f>Data!AG82</f>
        <v>3</v>
      </c>
      <c r="AA4">
        <f>Data!AH82</f>
        <v>3</v>
      </c>
      <c r="AB4">
        <f>Data!AI82</f>
        <v>3</v>
      </c>
      <c r="AC4">
        <f>Data!AJ82</f>
        <v>3</v>
      </c>
      <c r="AD4">
        <f>Data!AK82</f>
        <v>3</v>
      </c>
      <c r="AE4">
        <f>Data!AL82</f>
        <v>3</v>
      </c>
      <c r="AF4">
        <f t="shared" si="1"/>
        <v>3</v>
      </c>
      <c r="AG4">
        <f t="shared" si="0"/>
        <v>3</v>
      </c>
      <c r="AH4">
        <f t="shared" si="0"/>
        <v>3</v>
      </c>
      <c r="AI4">
        <f t="shared" si="0"/>
        <v>3</v>
      </c>
      <c r="AJ4">
        <f t="shared" si="0"/>
        <v>3</v>
      </c>
      <c r="AK4">
        <f t="shared" si="0"/>
        <v>3</v>
      </c>
      <c r="AL4">
        <f t="shared" si="0"/>
        <v>3</v>
      </c>
      <c r="AM4">
        <f t="shared" si="0"/>
        <v>3</v>
      </c>
      <c r="AN4">
        <f t="shared" si="0"/>
        <v>3</v>
      </c>
      <c r="AO4">
        <f t="shared" si="0"/>
        <v>3</v>
      </c>
      <c r="AP4">
        <f t="shared" si="0"/>
        <v>3</v>
      </c>
      <c r="AQ4">
        <f t="shared" si="0"/>
        <v>3</v>
      </c>
      <c r="AR4">
        <f t="shared" si="0"/>
        <v>3</v>
      </c>
      <c r="AS4">
        <f t="shared" si="0"/>
        <v>3</v>
      </c>
      <c r="AT4">
        <f t="shared" si="0"/>
        <v>3</v>
      </c>
      <c r="AU4">
        <f t="shared" si="0"/>
        <v>3</v>
      </c>
      <c r="AV4">
        <f t="shared" si="0"/>
        <v>3</v>
      </c>
      <c r="AW4">
        <f t="shared" si="0"/>
        <v>3</v>
      </c>
      <c r="AX4">
        <f t="shared" si="0"/>
        <v>3</v>
      </c>
      <c r="AY4">
        <f t="shared" si="0"/>
        <v>3</v>
      </c>
      <c r="AZ4">
        <f t="shared" si="0"/>
        <v>3</v>
      </c>
      <c r="BA4">
        <f t="shared" si="0"/>
        <v>3</v>
      </c>
    </row>
    <row r="5" spans="1:53" x14ac:dyDescent="0.25">
      <c r="A5" t="s">
        <v>4</v>
      </c>
      <c r="B5">
        <f>Data!I83</f>
        <v>0</v>
      </c>
      <c r="C5">
        <f>Data!J83</f>
        <v>0</v>
      </c>
      <c r="D5">
        <f>Data!K83</f>
        <v>0</v>
      </c>
      <c r="E5">
        <f>Data!L83</f>
        <v>0</v>
      </c>
      <c r="F5">
        <f>Data!M83</f>
        <v>0</v>
      </c>
      <c r="G5">
        <f>Data!N83</f>
        <v>0</v>
      </c>
      <c r="H5">
        <f>Data!O83</f>
        <v>0</v>
      </c>
      <c r="I5">
        <f>Data!P83</f>
        <v>0</v>
      </c>
      <c r="J5">
        <f>Data!Q83</f>
        <v>0</v>
      </c>
      <c r="K5">
        <f>Data!R83</f>
        <v>0</v>
      </c>
      <c r="L5">
        <f>Data!S83</f>
        <v>0</v>
      </c>
      <c r="M5">
        <f>Data!T83</f>
        <v>0</v>
      </c>
      <c r="N5">
        <f>Data!U83</f>
        <v>0</v>
      </c>
      <c r="O5">
        <f>Data!V83</f>
        <v>0</v>
      </c>
      <c r="P5">
        <f>Data!W83</f>
        <v>0</v>
      </c>
      <c r="Q5">
        <f>Data!X83</f>
        <v>0</v>
      </c>
      <c r="R5">
        <f>Data!Y83</f>
        <v>0</v>
      </c>
      <c r="S5">
        <f>Data!Z83</f>
        <v>0</v>
      </c>
      <c r="T5">
        <f>Data!AA83</f>
        <v>0</v>
      </c>
      <c r="U5">
        <f>Data!AB83</f>
        <v>0</v>
      </c>
      <c r="V5">
        <f>Data!AC83</f>
        <v>0</v>
      </c>
      <c r="W5">
        <f>Data!AD83</f>
        <v>0</v>
      </c>
      <c r="X5">
        <f>Data!AE83</f>
        <v>0</v>
      </c>
      <c r="Y5">
        <f>Data!AF83</f>
        <v>0</v>
      </c>
      <c r="Z5">
        <f>Data!AG83</f>
        <v>0</v>
      </c>
      <c r="AA5">
        <f>Data!AH83</f>
        <v>0</v>
      </c>
      <c r="AB5">
        <f>Data!AI83</f>
        <v>0</v>
      </c>
      <c r="AC5">
        <f>Data!AJ83</f>
        <v>0</v>
      </c>
      <c r="AD5">
        <f>Data!AK83</f>
        <v>0</v>
      </c>
      <c r="AE5">
        <f>Data!AL83</f>
        <v>0</v>
      </c>
      <c r="AF5">
        <f t="shared" si="1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  <c r="BA5">
        <f t="shared" si="0"/>
        <v>0</v>
      </c>
    </row>
    <row r="6" spans="1:53" x14ac:dyDescent="0.25">
      <c r="A6" t="s">
        <v>5</v>
      </c>
      <c r="B6">
        <f>Data!I84</f>
        <v>0</v>
      </c>
      <c r="C6">
        <f>Data!J84</f>
        <v>0</v>
      </c>
      <c r="D6">
        <f>Data!K84</f>
        <v>0</v>
      </c>
      <c r="E6">
        <f>Data!L84</f>
        <v>0</v>
      </c>
      <c r="F6">
        <f>Data!M84</f>
        <v>0</v>
      </c>
      <c r="G6">
        <f>Data!N84</f>
        <v>0</v>
      </c>
      <c r="H6">
        <f>Data!O84</f>
        <v>0</v>
      </c>
      <c r="I6">
        <f>Data!P84</f>
        <v>0</v>
      </c>
      <c r="J6">
        <f>Data!Q84</f>
        <v>0</v>
      </c>
      <c r="K6">
        <f>Data!R84</f>
        <v>0</v>
      </c>
      <c r="L6">
        <f>Data!S84</f>
        <v>0</v>
      </c>
      <c r="M6">
        <f>Data!T84</f>
        <v>0</v>
      </c>
      <c r="N6">
        <f>Data!U84</f>
        <v>0</v>
      </c>
      <c r="O6">
        <f>Data!V84</f>
        <v>0</v>
      </c>
      <c r="P6">
        <f>Data!W84</f>
        <v>0</v>
      </c>
      <c r="Q6">
        <f>Data!X84</f>
        <v>0</v>
      </c>
      <c r="R6">
        <f>Data!Y84</f>
        <v>0</v>
      </c>
      <c r="S6">
        <f>Data!Z84</f>
        <v>0</v>
      </c>
      <c r="T6">
        <f>Data!AA84</f>
        <v>0</v>
      </c>
      <c r="U6">
        <f>Data!AB84</f>
        <v>0</v>
      </c>
      <c r="V6">
        <f>Data!AC84</f>
        <v>0</v>
      </c>
      <c r="W6">
        <f>Data!AD84</f>
        <v>0</v>
      </c>
      <c r="X6">
        <f>Data!AE84</f>
        <v>0</v>
      </c>
      <c r="Y6">
        <f>Data!AF84</f>
        <v>0</v>
      </c>
      <c r="Z6">
        <f>Data!AG84</f>
        <v>0</v>
      </c>
      <c r="AA6">
        <f>Data!AH84</f>
        <v>0</v>
      </c>
      <c r="AB6">
        <f>Data!AI84</f>
        <v>0</v>
      </c>
      <c r="AC6">
        <f>Data!AJ84</f>
        <v>0</v>
      </c>
      <c r="AD6">
        <f>Data!AK84</f>
        <v>0</v>
      </c>
      <c r="AE6">
        <f>Data!AL84</f>
        <v>0</v>
      </c>
      <c r="AF6">
        <f t="shared" si="1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  <c r="BA6">
        <f t="shared" si="0"/>
        <v>0</v>
      </c>
    </row>
    <row r="7" spans="1:53" x14ac:dyDescent="0.25">
      <c r="A7" t="s">
        <v>120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  <c r="AC7">
        <f>Data!AJ85</f>
        <v>0</v>
      </c>
      <c r="AD7">
        <f>Data!AK85</f>
        <v>0</v>
      </c>
      <c r="AE7">
        <f>Data!AL85</f>
        <v>0</v>
      </c>
      <c r="AF7">
        <f t="shared" si="1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  <c r="BA7">
        <f t="shared" si="0"/>
        <v>0</v>
      </c>
    </row>
    <row r="8" spans="1:53" x14ac:dyDescent="0.25">
      <c r="A8" t="s">
        <v>121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  <c r="AC8">
        <f>Data!AJ86</f>
        <v>0</v>
      </c>
      <c r="AD8">
        <f>Data!AK86</f>
        <v>0</v>
      </c>
      <c r="AE8">
        <f>Data!AL86</f>
        <v>0</v>
      </c>
      <c r="AF8">
        <f t="shared" si="1"/>
        <v>0</v>
      </c>
      <c r="AG8">
        <f t="shared" si="0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  <c r="BA8">
        <f t="shared" si="0"/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BA8"/>
  <sheetViews>
    <sheetView tabSelected="1" topLeftCell="E1" workbookViewId="0">
      <selection activeCell="AF1" sqref="AF1:BA8"/>
    </sheetView>
  </sheetViews>
  <sheetFormatPr defaultColWidth="9.140625" defaultRowHeight="15" x14ac:dyDescent="0.25"/>
  <cols>
    <col min="1" max="1" width="24.42578125" customWidth="1"/>
  </cols>
  <sheetData>
    <row r="1" spans="1:53" ht="45" x14ac:dyDescent="0.25">
      <c r="A1" s="25" t="s">
        <v>123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</row>
    <row r="2" spans="1:53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f>AE2</f>
        <v>1</v>
      </c>
      <c r="AG2">
        <f t="shared" ref="AG2:BA8" si="0">AF2</f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1</v>
      </c>
      <c r="AN2">
        <f t="shared" si="0"/>
        <v>1</v>
      </c>
      <c r="AO2">
        <f t="shared" si="0"/>
        <v>1</v>
      </c>
      <c r="AP2">
        <f t="shared" si="0"/>
        <v>1</v>
      </c>
      <c r="AQ2">
        <f t="shared" si="0"/>
        <v>1</v>
      </c>
      <c r="AR2">
        <f t="shared" si="0"/>
        <v>1</v>
      </c>
      <c r="AS2">
        <f t="shared" si="0"/>
        <v>1</v>
      </c>
      <c r="AT2">
        <f t="shared" si="0"/>
        <v>1</v>
      </c>
      <c r="AU2">
        <f t="shared" si="0"/>
        <v>1</v>
      </c>
      <c r="AV2">
        <f t="shared" si="0"/>
        <v>1</v>
      </c>
      <c r="AW2">
        <f t="shared" si="0"/>
        <v>1</v>
      </c>
      <c r="AX2">
        <f t="shared" si="0"/>
        <v>1</v>
      </c>
      <c r="AY2">
        <f t="shared" si="0"/>
        <v>1</v>
      </c>
      <c r="AZ2">
        <f t="shared" si="0"/>
        <v>1</v>
      </c>
      <c r="BA2">
        <f t="shared" si="0"/>
        <v>1</v>
      </c>
    </row>
    <row r="3" spans="1:53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f t="shared" ref="AF3:AU8" si="1">AE3</f>
        <v>1</v>
      </c>
      <c r="AG3">
        <f t="shared" si="1"/>
        <v>1</v>
      </c>
      <c r="AH3">
        <f t="shared" si="1"/>
        <v>1</v>
      </c>
      <c r="AI3">
        <f t="shared" si="1"/>
        <v>1</v>
      </c>
      <c r="AJ3">
        <f t="shared" si="1"/>
        <v>1</v>
      </c>
      <c r="AK3">
        <f t="shared" si="1"/>
        <v>1</v>
      </c>
      <c r="AL3">
        <f t="shared" si="1"/>
        <v>1</v>
      </c>
      <c r="AM3">
        <f t="shared" si="1"/>
        <v>1</v>
      </c>
      <c r="AN3">
        <f t="shared" si="1"/>
        <v>1</v>
      </c>
      <c r="AO3">
        <f t="shared" si="1"/>
        <v>1</v>
      </c>
      <c r="AP3">
        <f t="shared" si="1"/>
        <v>1</v>
      </c>
      <c r="AQ3">
        <f t="shared" si="1"/>
        <v>1</v>
      </c>
      <c r="AR3">
        <f t="shared" si="1"/>
        <v>1</v>
      </c>
      <c r="AS3">
        <f t="shared" si="1"/>
        <v>1</v>
      </c>
      <c r="AT3">
        <f t="shared" si="1"/>
        <v>1</v>
      </c>
      <c r="AU3">
        <f t="shared" si="1"/>
        <v>1</v>
      </c>
      <c r="AV3">
        <f t="shared" si="0"/>
        <v>1</v>
      </c>
      <c r="AW3">
        <f t="shared" si="0"/>
        <v>1</v>
      </c>
      <c r="AX3">
        <f t="shared" si="0"/>
        <v>1</v>
      </c>
      <c r="AY3">
        <f t="shared" si="0"/>
        <v>1</v>
      </c>
      <c r="AZ3">
        <f t="shared" si="0"/>
        <v>1</v>
      </c>
      <c r="BA3">
        <f t="shared" si="0"/>
        <v>1</v>
      </c>
    </row>
    <row r="4" spans="1:53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f t="shared" si="1"/>
        <v>1</v>
      </c>
      <c r="AG4">
        <f t="shared" si="0"/>
        <v>1</v>
      </c>
      <c r="AH4">
        <f t="shared" si="0"/>
        <v>1</v>
      </c>
      <c r="AI4">
        <f t="shared" si="0"/>
        <v>1</v>
      </c>
      <c r="AJ4">
        <f t="shared" si="0"/>
        <v>1</v>
      </c>
      <c r="AK4">
        <f t="shared" si="0"/>
        <v>1</v>
      </c>
      <c r="AL4">
        <f t="shared" si="0"/>
        <v>1</v>
      </c>
      <c r="AM4">
        <f t="shared" si="0"/>
        <v>1</v>
      </c>
      <c r="AN4">
        <f t="shared" si="0"/>
        <v>1</v>
      </c>
      <c r="AO4">
        <f t="shared" si="0"/>
        <v>1</v>
      </c>
      <c r="AP4">
        <f t="shared" si="0"/>
        <v>1</v>
      </c>
      <c r="AQ4">
        <f t="shared" si="0"/>
        <v>1</v>
      </c>
      <c r="AR4">
        <f t="shared" si="0"/>
        <v>1</v>
      </c>
      <c r="AS4">
        <f t="shared" si="0"/>
        <v>1</v>
      </c>
      <c r="AT4">
        <f t="shared" si="0"/>
        <v>1</v>
      </c>
      <c r="AU4">
        <f t="shared" si="0"/>
        <v>1</v>
      </c>
      <c r="AV4">
        <f t="shared" si="0"/>
        <v>1</v>
      </c>
      <c r="AW4">
        <f t="shared" si="0"/>
        <v>1</v>
      </c>
      <c r="AX4">
        <f t="shared" si="0"/>
        <v>1</v>
      </c>
      <c r="AY4">
        <f t="shared" si="0"/>
        <v>1</v>
      </c>
      <c r="AZ4">
        <f t="shared" si="0"/>
        <v>1</v>
      </c>
      <c r="BA4">
        <f t="shared" si="0"/>
        <v>1</v>
      </c>
    </row>
    <row r="5" spans="1:53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f t="shared" si="1"/>
        <v>1</v>
      </c>
      <c r="AG5">
        <f t="shared" si="0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  <c r="BA5">
        <f t="shared" si="0"/>
        <v>1</v>
      </c>
    </row>
    <row r="6" spans="1:53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f t="shared" si="1"/>
        <v>1</v>
      </c>
      <c r="AG6">
        <f t="shared" si="0"/>
        <v>1</v>
      </c>
      <c r="AH6">
        <f t="shared" si="0"/>
        <v>1</v>
      </c>
      <c r="AI6">
        <f t="shared" si="0"/>
        <v>1</v>
      </c>
      <c r="AJ6">
        <f t="shared" si="0"/>
        <v>1</v>
      </c>
      <c r="AK6">
        <f t="shared" si="0"/>
        <v>1</v>
      </c>
      <c r="AL6">
        <f t="shared" si="0"/>
        <v>1</v>
      </c>
      <c r="AM6">
        <f t="shared" si="0"/>
        <v>1</v>
      </c>
      <c r="AN6">
        <f t="shared" si="0"/>
        <v>1</v>
      </c>
      <c r="AO6">
        <f t="shared" si="0"/>
        <v>1</v>
      </c>
      <c r="AP6">
        <f t="shared" si="0"/>
        <v>1</v>
      </c>
      <c r="AQ6">
        <f t="shared" si="0"/>
        <v>1</v>
      </c>
      <c r="AR6">
        <f t="shared" si="0"/>
        <v>1</v>
      </c>
      <c r="AS6">
        <f t="shared" si="0"/>
        <v>1</v>
      </c>
      <c r="AT6">
        <f t="shared" si="0"/>
        <v>1</v>
      </c>
      <c r="AU6">
        <f t="shared" si="0"/>
        <v>1</v>
      </c>
      <c r="AV6">
        <f t="shared" si="0"/>
        <v>1</v>
      </c>
      <c r="AW6">
        <f t="shared" si="0"/>
        <v>1</v>
      </c>
      <c r="AX6">
        <f t="shared" si="0"/>
        <v>1</v>
      </c>
      <c r="AY6">
        <f t="shared" si="0"/>
        <v>1</v>
      </c>
      <c r="AZ6">
        <f t="shared" si="0"/>
        <v>1</v>
      </c>
      <c r="BA6">
        <f t="shared" si="0"/>
        <v>1</v>
      </c>
    </row>
    <row r="7" spans="1:53" x14ac:dyDescent="0.25">
      <c r="A7" t="s">
        <v>120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f t="shared" si="1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  <c r="AK7">
        <f t="shared" si="0"/>
        <v>1</v>
      </c>
      <c r="AL7">
        <f t="shared" si="0"/>
        <v>1</v>
      </c>
      <c r="AM7">
        <f t="shared" si="0"/>
        <v>1</v>
      </c>
      <c r="AN7">
        <f t="shared" si="0"/>
        <v>1</v>
      </c>
      <c r="AO7">
        <f t="shared" si="0"/>
        <v>1</v>
      </c>
      <c r="AP7">
        <f t="shared" si="0"/>
        <v>1</v>
      </c>
      <c r="AQ7">
        <f t="shared" si="0"/>
        <v>1</v>
      </c>
      <c r="AR7">
        <f t="shared" si="0"/>
        <v>1</v>
      </c>
      <c r="AS7">
        <f t="shared" si="0"/>
        <v>1</v>
      </c>
      <c r="AT7">
        <f t="shared" si="0"/>
        <v>1</v>
      </c>
      <c r="AU7">
        <f t="shared" si="0"/>
        <v>1</v>
      </c>
      <c r="AV7">
        <f t="shared" si="0"/>
        <v>1</v>
      </c>
      <c r="AW7">
        <f t="shared" si="0"/>
        <v>1</v>
      </c>
      <c r="AX7">
        <f t="shared" si="0"/>
        <v>1</v>
      </c>
      <c r="AY7">
        <f t="shared" si="0"/>
        <v>1</v>
      </c>
      <c r="AZ7">
        <f t="shared" si="0"/>
        <v>1</v>
      </c>
      <c r="BA7">
        <f t="shared" si="0"/>
        <v>1</v>
      </c>
    </row>
    <row r="8" spans="1:53" x14ac:dyDescent="0.25">
      <c r="A8" t="s">
        <v>121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f t="shared" si="1"/>
        <v>1</v>
      </c>
      <c r="AG8">
        <f t="shared" si="0"/>
        <v>1</v>
      </c>
      <c r="AH8">
        <f t="shared" si="0"/>
        <v>1</v>
      </c>
      <c r="AI8">
        <f t="shared" si="0"/>
        <v>1</v>
      </c>
      <c r="AJ8">
        <f t="shared" si="0"/>
        <v>1</v>
      </c>
      <c r="AK8">
        <f t="shared" si="0"/>
        <v>1</v>
      </c>
      <c r="AL8">
        <f t="shared" si="0"/>
        <v>1</v>
      </c>
      <c r="AM8">
        <f t="shared" si="0"/>
        <v>1</v>
      </c>
      <c r="AN8">
        <f t="shared" si="0"/>
        <v>1</v>
      </c>
      <c r="AO8">
        <f t="shared" si="0"/>
        <v>1</v>
      </c>
      <c r="AP8">
        <f t="shared" si="0"/>
        <v>1</v>
      </c>
      <c r="AQ8">
        <f t="shared" si="0"/>
        <v>1</v>
      </c>
      <c r="AR8">
        <f t="shared" si="0"/>
        <v>1</v>
      </c>
      <c r="AS8">
        <f t="shared" si="0"/>
        <v>1</v>
      </c>
      <c r="AT8">
        <f t="shared" si="0"/>
        <v>1</v>
      </c>
      <c r="AU8">
        <f t="shared" si="0"/>
        <v>1</v>
      </c>
      <c r="AV8">
        <f t="shared" si="0"/>
        <v>1</v>
      </c>
      <c r="AW8">
        <f t="shared" si="0"/>
        <v>1</v>
      </c>
      <c r="AX8">
        <f t="shared" si="0"/>
        <v>1</v>
      </c>
      <c r="AY8">
        <f t="shared" si="0"/>
        <v>1</v>
      </c>
      <c r="AZ8">
        <f t="shared" si="0"/>
        <v>1</v>
      </c>
      <c r="BA8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2026-01-26T21:48:07Z</dcterms:modified>
</cp:coreProperties>
</file>