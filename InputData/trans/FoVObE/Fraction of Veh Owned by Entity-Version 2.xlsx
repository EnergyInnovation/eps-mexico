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FoVObE copy/"/>
    </mc:Choice>
  </mc:AlternateContent>
  <xr:revisionPtr revIDLastSave="0" documentId="8_{3B9F489B-E4A9-C747-B86F-1BF52D4D840F}" xr6:coauthVersionLast="47" xr6:coauthVersionMax="47" xr10:uidLastSave="{00000000-0000-0000-0000-000000000000}"/>
  <bookViews>
    <workbookView xWindow="4300" yWindow="780" windowWidth="20740" windowHeight="11040" firstSheet="2" activeTab="3" xr2:uid="{00000000-000D-0000-FFFF-FFFF00000000}"/>
  </bookViews>
  <sheets>
    <sheet name="About" sheetId="1" r:id="rId1"/>
    <sheet name="Registered motor vehicles" sheetId="15" r:id="rId2"/>
    <sheet name="Calculations" sheetId="16" r:id="rId3"/>
    <sheet name="FoVObE-passengers" sheetId="11" r:id="rId4"/>
    <sheet name="FoVObE-freight" sheetId="12" r:id="rId5"/>
  </sheets>
  <definedNames>
    <definedName name="outputfrac_bio">#REF!</definedName>
    <definedName name="outputfrac_coal">#REF!</definedName>
    <definedName name="outputfrac_elec">#REF!</definedName>
    <definedName name="outputfrac_ngps">#REF!</definedName>
    <definedName name="outputfrac_nonenergy">#REF!</definedName>
    <definedName name="outputfrac_oth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2" l="1"/>
  <c r="D3" i="12"/>
  <c r="B3" i="12"/>
  <c r="C7" i="11"/>
  <c r="D7" i="11"/>
  <c r="B7" i="11"/>
  <c r="C3" i="11"/>
  <c r="D3" i="11"/>
  <c r="B3" i="11"/>
  <c r="C2" i="11"/>
  <c r="D2" i="11"/>
  <c r="B2" i="11"/>
  <c r="H6" i="16"/>
  <c r="I6" i="16"/>
  <c r="J6" i="16"/>
  <c r="H7" i="16"/>
  <c r="I7" i="16"/>
  <c r="J7" i="16"/>
  <c r="H8" i="16"/>
  <c r="I8" i="16"/>
  <c r="J8" i="16"/>
  <c r="I5" i="16"/>
  <c r="J5" i="16"/>
  <c r="H5" i="16"/>
  <c r="D7" i="16"/>
  <c r="E7" i="16"/>
  <c r="D8" i="16"/>
  <c r="E8" i="16"/>
  <c r="C8" i="16"/>
  <c r="C7" i="16"/>
  <c r="D6" i="16"/>
  <c r="E6" i="16"/>
  <c r="C6" i="16"/>
  <c r="D5" i="16"/>
  <c r="E5" i="16"/>
  <c r="C5" i="16"/>
</calcChain>
</file>

<file path=xl/sharedStrings.xml><?xml version="1.0" encoding="utf-8"?>
<sst xmlns="http://schemas.openxmlformats.org/spreadsheetml/2006/main" count="119" uniqueCount="86">
  <si>
    <t>Source:</t>
  </si>
  <si>
    <t>Excluded vehicle types include: general aviation, military vehicles, passenger ferries, non-truck construction vehicles, non-truck agricultural vehicles, small electric craft (scooters, golf carts, etc.)</t>
  </si>
  <si>
    <t>Note:</t>
  </si>
  <si>
    <t>FoVObE Fraction of Vehicles Owned by Entity</t>
  </si>
  <si>
    <t>LDVs</t>
  </si>
  <si>
    <t>HDVs</t>
  </si>
  <si>
    <t>aircraft</t>
  </si>
  <si>
    <t>rail</t>
  </si>
  <si>
    <t>ships</t>
  </si>
  <si>
    <t>motorbikes</t>
  </si>
  <si>
    <t>government</t>
  </si>
  <si>
    <t>From NTS Table 1-11, we try to use the years that match our other data sources (usually 2011), rather than the latest year</t>
  </si>
  <si>
    <t>available, because we are taking ratios.</t>
  </si>
  <si>
    <t>foreign entities</t>
  </si>
  <si>
    <t>Vehicles produced and sold for export (sold and used outside the modeled region) should not be included here.</t>
  </si>
  <si>
    <t>The transportation sector in the EPS only tracks transportation within the modeled region.</t>
  </si>
  <si>
    <t>(Exported vehicles may be included in grouped Industry Sector outputs, where exports are handled.)</t>
  </si>
  <si>
    <t>Therefore, the share of vehicles assigned to "foreign entities" in this variable should be zero.</t>
  </si>
  <si>
    <t>Even if a foreign entity owns vehicles in the modeled region, classify those vehicles as government-, industry-,</t>
  </si>
  <si>
    <t>or consumer-owned, depending on the nature of the foreign entitiy.</t>
  </si>
  <si>
    <t>Vehicle Exports</t>
  </si>
  <si>
    <t>labor and consumers</t>
  </si>
  <si>
    <t>In the output tab, we show more decimal places than the source data</t>
  </si>
  <si>
    <t>provide in order to avoid rounding error in Vensim (each column must</t>
  </si>
  <si>
    <t>add to 1).</t>
  </si>
  <si>
    <t>Fraction Owned by Entity (dimensionless)</t>
  </si>
  <si>
    <t>domestic industries</t>
  </si>
  <si>
    <t>Instituto Nacional de Estadísticas y Geografía (INEGI)</t>
  </si>
  <si>
    <t>Registered motor vehicles</t>
  </si>
  <si>
    <t>Motocicletas</t>
  </si>
  <si>
    <t>REGISTERED MOTOR VEHICLES IN CIRCULATION</t>
  </si>
  <si>
    <t>Accessed 2024</t>
  </si>
  <si>
    <t>https://www.inegi.org.mx/app/buscador/default.html?q=vmrc</t>
  </si>
  <si>
    <t>INSTITUTO NACIONAL DE ESTADÍSTICA Y GEOGRAFÍA</t>
  </si>
  <si>
    <t>DIRECCIÓN GENERAL ADJUNTA DE REGISTROS ADMINISTRATIVOS ECONÓMICOS</t>
  </si>
  <si>
    <t>DIRECCIÓN DE ESTADÍSTICAS ECONÓMICAS DE REGISTROS ADMINISTRATIVOS</t>
  </si>
  <si>
    <t>VEHÍCULOS DE MOTOR REGISTRADOS EN CIRCULACIÓN DEL AÑO 2022 1/</t>
  </si>
  <si>
    <t>ESTADOS UNIDOS MEXICANOS</t>
  </si>
  <si>
    <t>ENTIDAD FEDERATIVA</t>
  </si>
  <si>
    <t>TOTAL</t>
  </si>
  <si>
    <t>AUTOMÓVILES</t>
  </si>
  <si>
    <t>CAMIONES PARA PASAJEROS</t>
  </si>
  <si>
    <t>CAMIONES Y CAMIONETAS PARA CARGA</t>
  </si>
  <si>
    <t>MOTOCICLETAS</t>
  </si>
  <si>
    <t>SUMA</t>
  </si>
  <si>
    <t>OFICIAL</t>
  </si>
  <si>
    <t>PÚBLICO</t>
  </si>
  <si>
    <t>PARTICULAR</t>
  </si>
  <si>
    <t>DE ALQUILER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</si>
  <si>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</si>
  <si>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</si>
  <si>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</si>
  <si>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</si>
  <si>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</si>
  <si>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</si>
  <si>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</si>
  <si>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</si>
  <si>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</si>
  <si>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</si>
  <si>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</si>
  <si>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</si>
  <si>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</si>
  <si>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</si>
  <si>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</si>
  <si>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</si>
  <si>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</si>
  <si>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</si>
  <si>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</si>
  <si>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</si>
  <si>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</si>
  <si>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</si>
  <si>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</si>
  <si>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</si>
  <si>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</si>
  <si>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 2/</t>
  </si>
  <si>
    <t>Tabasco</t>
  </si>
  <si>
    <t>Tamaulipas</t>
  </si>
  <si>
    <t>Tlaxcala</t>
  </si>
  <si>
    <t>Veracruz de Ignacio de la Llave</t>
  </si>
  <si>
    <t>Yucatán</t>
  </si>
  <si>
    <t>Zacatecas</t>
  </si>
  <si>
    <t>1/ Vehículos Registrados al 31 de diciembre.</t>
  </si>
  <si>
    <t>FUENTE: INEGI. Estadística de Vehículos de Motor Registrados en Circulación.</t>
  </si>
  <si>
    <t>Automovil</t>
  </si>
  <si>
    <t>Camión pasajeros</t>
  </si>
  <si>
    <t>Camión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</si>
</sst>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4"/>
      <name val="Helv"/>
    </font>
    <font>
      <b/>
      <sz val="10"/>
      <name val="Helv"/>
    </font>
    <font>
      <sz val="8"/>
      <name val="Helv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78D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A5A5A5"/>
      </bottom>
      <diagonal/>
    </border>
  </borders>
  <cellStyleXfs count="7">
    <xf numFmtId="0" fontId="0" fillId="0" borderId="0"/>
    <xf numFmtId="0" fontId="2" fillId="0" borderId="0" applyNumberFormat="0" applyFill="0" applyBorder="0" applyProtection="0"/>
    <xf numFmtId="0" fontId="3" fillId="0" borderId="0">
      <alignment horizontal="left" vertical="top"/>
    </xf>
    <xf numFmtId="0" fontId="4" fillId="0" borderId="1">
      <alignment horizontal="left"/>
    </xf>
    <xf numFmtId="3" fontId="5" fillId="0" borderId="1">
      <alignment horizontal="right" vertical="center"/>
    </xf>
    <xf numFmtId="0" fontId="6" fillId="0" borderId="0" applyNumberFormat="0" applyFill="0" applyBorder="0" applyAlignment="0" applyProtection="0"/>
    <xf numFmtId="0" fontId="5" fillId="0" borderId="0">
      <alignment horizontal="left"/>
    </xf>
  </cellStyleXfs>
  <cellXfs count="3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6" fillId="0" borderId="0" xfId="5" applyFill="1"/>
    <xf numFmtId="164" fontId="0" fillId="0" borderId="0" xfId="0" applyNumberFormat="1"/>
    <xf numFmtId="2" fontId="0" fillId="0" borderId="0" xfId="0" applyNumberFormat="1"/>
    <xf numFmtId="0" fontId="0" fillId="0" borderId="2" xfId="0" applyBorder="1" applyAlignment="1">
      <alignment wrapText="1"/>
    </xf>
    <xf numFmtId="0" fontId="0" fillId="3" borderId="0" xfId="0" applyFill="1" applyAlignment="1">
      <alignment vertical="center" wrapText="1"/>
    </xf>
    <xf numFmtId="0" fontId="0" fillId="3" borderId="2" xfId="0" applyFill="1" applyBorder="1" applyAlignment="1">
      <alignment wrapText="1"/>
    </xf>
    <xf numFmtId="0" fontId="10" fillId="3" borderId="2" xfId="0" applyFont="1" applyFill="1" applyBorder="1" applyAlignment="1">
      <alignment horizontal="right" vertical="center" wrapText="1"/>
    </xf>
    <xf numFmtId="0" fontId="0" fillId="3" borderId="2" xfId="0" applyFill="1" applyBorder="1" applyAlignment="1">
      <alignment vertical="center" wrapText="1"/>
    </xf>
    <xf numFmtId="0" fontId="11" fillId="0" borderId="0" xfId="0" applyFont="1" applyAlignment="1">
      <alignment wrapText="1"/>
    </xf>
    <xf numFmtId="3" fontId="0" fillId="0" borderId="0" xfId="0" applyNumberFormat="1"/>
    <xf numFmtId="3" fontId="11" fillId="0" borderId="0" xfId="0" applyNumberFormat="1" applyFont="1" applyAlignment="1">
      <alignment horizontal="right" wrapText="1"/>
    </xf>
    <xf numFmtId="0" fontId="0" fillId="4" borderId="0" xfId="0" applyFill="1" applyAlignment="1">
      <alignment wrapText="1"/>
    </xf>
    <xf numFmtId="0" fontId="12" fillId="4" borderId="0" xfId="0" applyFont="1" applyFill="1" applyAlignment="1">
      <alignment wrapText="1"/>
    </xf>
    <xf numFmtId="3" fontId="12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wrapText="1"/>
    </xf>
    <xf numFmtId="3" fontId="12" fillId="4" borderId="0" xfId="0" applyNumberFormat="1" applyFont="1" applyFill="1" applyAlignment="1">
      <alignment horizontal="right" wrapText="1"/>
    </xf>
    <xf numFmtId="0" fontId="12" fillId="4" borderId="0" xfId="0" applyFont="1" applyFill="1" applyAlignment="1">
      <alignment horizontal="right" wrapText="1"/>
    </xf>
    <xf numFmtId="0" fontId="13" fillId="4" borderId="0" xfId="0" applyFont="1" applyFill="1" applyAlignment="1">
      <alignment wrapText="1"/>
    </xf>
    <xf numFmtId="0" fontId="12" fillId="4" borderId="2" xfId="0" applyFont="1" applyFill="1" applyBorder="1" applyAlignment="1">
      <alignment wrapText="1"/>
    </xf>
    <xf numFmtId="3" fontId="12" fillId="0" borderId="2" xfId="0" applyNumberFormat="1" applyFont="1" applyBorder="1" applyAlignment="1">
      <alignment horizontal="right" wrapText="1"/>
    </xf>
    <xf numFmtId="0" fontId="12" fillId="0" borderId="2" xfId="0" applyFont="1" applyBorder="1" applyAlignment="1">
      <alignment horizontal="right" wrapText="1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0" fillId="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</cellXfs>
  <cellStyles count="7">
    <cellStyle name="Data_Sheet1 (2)_1" xfId="4" xr:uid="{00000000-0005-0000-0000-000000000000}"/>
    <cellStyle name="Hed Side" xfId="3" xr:uid="{00000000-0005-0000-0000-000001000000}"/>
    <cellStyle name="Hyperlink" xfId="5" builtinId="8"/>
    <cellStyle name="Normal" xfId="0" builtinId="0"/>
    <cellStyle name="Source Text" xfId="6" xr:uid="{00000000-0005-0000-0000-000005000000}"/>
    <cellStyle name="Table Title" xfId="1" xr:uid="{00000000-0005-0000-0000-000006000000}"/>
    <cellStyle name="Title-1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opLeftCell="A4" workbookViewId="0">
      <selection activeCell="A10" sqref="A10:B22"/>
    </sheetView>
  </sheetViews>
  <sheetFormatPr baseColWidth="10" defaultColWidth="8.83203125" defaultRowHeight="15"/>
  <cols>
    <col min="1" max="1" width="10.1640625" customWidth="1"/>
    <col min="2" max="2" width="100.6640625" customWidth="1"/>
  </cols>
  <sheetData>
    <row r="1" spans="1:2">
      <c r="A1" s="1" t="s">
        <v>3</v>
      </c>
    </row>
    <row r="2" spans="1:2">
      <c r="A2" s="1"/>
    </row>
    <row r="3" spans="1:2">
      <c r="A3" s="1" t="s">
        <v>0</v>
      </c>
      <c r="B3" s="2" t="s">
        <v>30</v>
      </c>
    </row>
    <row r="4" spans="1:2">
      <c r="A4" s="1"/>
      <c r="B4" t="s">
        <v>27</v>
      </c>
    </row>
    <row r="5" spans="1:2">
      <c r="A5" s="1"/>
      <c r="B5" s="3" t="s">
        <v>31</v>
      </c>
    </row>
    <row r="6" spans="1:2">
      <c r="A6" s="1"/>
      <c r="B6" t="s">
        <v>28</v>
      </c>
    </row>
    <row r="7" spans="1:2">
      <c r="A7" s="1"/>
      <c r="B7" s="8" t="s">
        <v>32</v>
      </c>
    </row>
    <row r="8" spans="1:2">
      <c r="A8" s="1"/>
      <c r="B8" s="8"/>
    </row>
    <row r="10" spans="1:2">
      <c r="A10" s="1" t="s">
        <v>2</v>
      </c>
    </row>
    <row r="11" spans="1:2">
      <c r="A11" t="s">
        <v>1</v>
      </c>
    </row>
    <row r="13" spans="1:2">
      <c r="A13" t="s">
        <v>11</v>
      </c>
    </row>
    <row r="14" spans="1:2">
      <c r="A14" t="s">
        <v>12</v>
      </c>
    </row>
    <row r="16" spans="1:2">
      <c r="A16" s="1" t="s">
        <v>20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s="1" t="s">
        <v>17</v>
      </c>
    </row>
    <row r="21" spans="1:1">
      <c r="A21" t="s">
        <v>18</v>
      </c>
    </row>
    <row r="22" spans="1:1">
      <c r="A22" t="s">
        <v>19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0220-D76B-40D9-80D5-6AC27768C9D4}">
  <dimension ref="A1:V67"/>
  <sheetViews>
    <sheetView topLeftCell="G3" workbookViewId="0">
      <selection activeCell="E10" sqref="E10:G10"/>
    </sheetView>
  </sheetViews>
  <sheetFormatPr baseColWidth="10" defaultRowHeight="15"/>
  <sheetData>
    <row r="1" spans="1:22" ht="15.75" customHeight="1">
      <c r="A1" s="32" t="s">
        <v>33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ht="15.75" customHeight="1">
      <c r="A2" s="32" t="s">
        <v>34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</row>
    <row r="3" spans="1:22" ht="15.75" customHeight="1">
      <c r="A3" s="32" t="s">
        <v>35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</row>
    <row r="4" spans="1:2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5.75" customHeight="1">
      <c r="A5" s="33" t="s">
        <v>36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5.75" customHeight="1">
      <c r="A7" s="32" t="s">
        <v>37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8" spans="1:22" ht="16" thickBo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6" thickBot="1">
      <c r="A9" s="34" t="s">
        <v>38</v>
      </c>
      <c r="B9" s="34" t="s">
        <v>39</v>
      </c>
      <c r="C9" s="12"/>
      <c r="D9" s="31" t="s">
        <v>40</v>
      </c>
      <c r="E9" s="31"/>
      <c r="F9" s="31"/>
      <c r="G9" s="31"/>
      <c r="H9" s="12"/>
      <c r="I9" s="31" t="s">
        <v>41</v>
      </c>
      <c r="J9" s="31"/>
      <c r="K9" s="31"/>
      <c r="L9" s="31"/>
      <c r="M9" s="12"/>
      <c r="N9" s="31" t="s">
        <v>42</v>
      </c>
      <c r="O9" s="31"/>
      <c r="P9" s="31"/>
      <c r="Q9" s="31"/>
      <c r="R9" s="12"/>
      <c r="S9" s="31" t="s">
        <v>43</v>
      </c>
      <c r="T9" s="31"/>
      <c r="U9" s="31"/>
      <c r="V9" s="31"/>
    </row>
    <row r="10" spans="1:22" ht="27" thickBot="1">
      <c r="A10" s="35"/>
      <c r="B10" s="35"/>
      <c r="C10" s="13"/>
      <c r="D10" s="14" t="s">
        <v>44</v>
      </c>
      <c r="E10" s="14" t="s">
        <v>45</v>
      </c>
      <c r="F10" s="14" t="s">
        <v>46</v>
      </c>
      <c r="G10" s="14" t="s">
        <v>47</v>
      </c>
      <c r="H10" s="15"/>
      <c r="I10" s="14" t="s">
        <v>44</v>
      </c>
      <c r="J10" s="14" t="s">
        <v>45</v>
      </c>
      <c r="K10" s="14" t="s">
        <v>46</v>
      </c>
      <c r="L10" s="14" t="s">
        <v>47</v>
      </c>
      <c r="M10" s="15"/>
      <c r="N10" s="14" t="s">
        <v>44</v>
      </c>
      <c r="O10" s="14" t="s">
        <v>45</v>
      </c>
      <c r="P10" s="14" t="s">
        <v>46</v>
      </c>
      <c r="Q10" s="14" t="s">
        <v>47</v>
      </c>
      <c r="R10" s="15"/>
      <c r="S10" s="14" t="s">
        <v>44</v>
      </c>
      <c r="T10" s="14" t="s">
        <v>45</v>
      </c>
      <c r="U10" s="14" t="s">
        <v>48</v>
      </c>
      <c r="V10" s="14" t="s">
        <v>47</v>
      </c>
    </row>
    <row r="11" spans="1:22">
      <c r="A11" s="16" t="s">
        <v>39</v>
      </c>
      <c r="B11" s="18">
        <v>55167421</v>
      </c>
      <c r="C11" s="5"/>
      <c r="D11" s="18">
        <v>36496879</v>
      </c>
      <c r="E11" s="18">
        <v>62273</v>
      </c>
      <c r="F11" s="18">
        <v>678281</v>
      </c>
      <c r="G11" s="18">
        <v>35756325</v>
      </c>
      <c r="H11" s="5"/>
      <c r="I11" s="18">
        <v>468586</v>
      </c>
      <c r="J11" s="18">
        <v>3483</v>
      </c>
      <c r="K11" s="18">
        <v>184683</v>
      </c>
      <c r="L11" s="18">
        <v>280420</v>
      </c>
      <c r="M11" s="5"/>
      <c r="N11" s="18">
        <v>11395481</v>
      </c>
      <c r="O11" s="18">
        <v>90890</v>
      </c>
      <c r="P11" s="18">
        <v>123741</v>
      </c>
      <c r="Q11" s="18">
        <v>11180850</v>
      </c>
      <c r="R11" s="5"/>
      <c r="S11" s="18">
        <v>6806475</v>
      </c>
      <c r="T11" s="18">
        <v>17700</v>
      </c>
      <c r="U11" s="18">
        <v>21792</v>
      </c>
      <c r="V11" s="18">
        <v>6766983</v>
      </c>
    </row>
    <row r="12" spans="1:22" ht="27">
      <c r="A12" s="20" t="s">
        <v>49</v>
      </c>
      <c r="B12" s="21">
        <v>721372</v>
      </c>
      <c r="C12" s="5"/>
      <c r="D12" s="21">
        <v>440242</v>
      </c>
      <c r="E12" s="22">
        <v>472</v>
      </c>
      <c r="F12" s="21">
        <v>5346</v>
      </c>
      <c r="G12" s="21">
        <v>434424</v>
      </c>
      <c r="H12" s="5"/>
      <c r="I12" s="21">
        <v>3375</v>
      </c>
      <c r="J12" s="22">
        <v>4</v>
      </c>
      <c r="K12" s="21">
        <v>2554</v>
      </c>
      <c r="L12" s="22">
        <v>817</v>
      </c>
      <c r="M12" s="5"/>
      <c r="N12" s="21">
        <v>171423</v>
      </c>
      <c r="O12" s="22">
        <v>687</v>
      </c>
      <c r="P12" s="21">
        <v>4186</v>
      </c>
      <c r="Q12" s="21">
        <v>166550</v>
      </c>
      <c r="R12" s="5"/>
      <c r="S12" s="21">
        <v>106332</v>
      </c>
      <c r="T12" s="22">
        <v>300</v>
      </c>
      <c r="U12" s="22">
        <v>0</v>
      </c>
      <c r="V12" s="21">
        <v>106032</v>
      </c>
    </row>
    <row r="13" spans="1:22" ht="27">
      <c r="A13" s="20" t="s">
        <v>50</v>
      </c>
      <c r="B13" s="21">
        <v>2208801</v>
      </c>
      <c r="C13" s="5"/>
      <c r="D13" s="21">
        <v>1668451</v>
      </c>
      <c r="E13" s="22">
        <v>0</v>
      </c>
      <c r="F13" s="21">
        <v>9711</v>
      </c>
      <c r="G13" s="21">
        <v>1658740</v>
      </c>
      <c r="H13" s="5"/>
      <c r="I13" s="21">
        <v>15098</v>
      </c>
      <c r="J13" s="22">
        <v>0</v>
      </c>
      <c r="K13" s="21">
        <v>11069</v>
      </c>
      <c r="L13" s="21">
        <v>4029</v>
      </c>
      <c r="M13" s="5"/>
      <c r="N13" s="21">
        <v>473836</v>
      </c>
      <c r="O13" s="22">
        <v>0</v>
      </c>
      <c r="P13" s="22">
        <v>421</v>
      </c>
      <c r="Q13" s="21">
        <v>473415</v>
      </c>
      <c r="R13" s="5"/>
      <c r="S13" s="21">
        <v>51416</v>
      </c>
      <c r="T13" s="22">
        <v>0</v>
      </c>
      <c r="U13" s="22">
        <v>0</v>
      </c>
      <c r="V13" s="21">
        <v>51416</v>
      </c>
    </row>
    <row r="14" spans="1:22" ht="27">
      <c r="A14" s="20" t="s">
        <v>51</v>
      </c>
      <c r="B14" s="21">
        <v>587090</v>
      </c>
      <c r="C14" s="5"/>
      <c r="D14" s="21">
        <v>408076</v>
      </c>
      <c r="E14" s="21">
        <v>1668</v>
      </c>
      <c r="F14" s="21">
        <v>22539</v>
      </c>
      <c r="G14" s="21">
        <v>383869</v>
      </c>
      <c r="H14" s="5"/>
      <c r="I14" s="21">
        <v>2428</v>
      </c>
      <c r="J14" s="22">
        <v>49</v>
      </c>
      <c r="K14" s="22">
        <v>907</v>
      </c>
      <c r="L14" s="21">
        <v>1472</v>
      </c>
      <c r="M14" s="5"/>
      <c r="N14" s="21">
        <v>161173</v>
      </c>
      <c r="O14" s="21">
        <v>2874</v>
      </c>
      <c r="P14" s="21">
        <v>1992</v>
      </c>
      <c r="Q14" s="21">
        <v>156307</v>
      </c>
      <c r="R14" s="5"/>
      <c r="S14" s="21">
        <v>15413</v>
      </c>
      <c r="T14" s="22">
        <v>72</v>
      </c>
      <c r="U14" s="22">
        <v>160</v>
      </c>
      <c r="V14" s="21">
        <v>15181</v>
      </c>
    </row>
    <row r="15" spans="1:22">
      <c r="A15" s="20" t="s">
        <v>52</v>
      </c>
      <c r="B15" s="21">
        <v>372668</v>
      </c>
      <c r="C15" s="5"/>
      <c r="D15" s="21">
        <v>170254</v>
      </c>
      <c r="E15" s="22">
        <v>428</v>
      </c>
      <c r="F15" s="21">
        <v>2695</v>
      </c>
      <c r="G15" s="21">
        <v>167131</v>
      </c>
      <c r="H15" s="5"/>
      <c r="I15" s="22">
        <v>840</v>
      </c>
      <c r="J15" s="22">
        <v>26</v>
      </c>
      <c r="K15" s="22">
        <v>328</v>
      </c>
      <c r="L15" s="22">
        <v>486</v>
      </c>
      <c r="M15" s="5"/>
      <c r="N15" s="21">
        <v>61292</v>
      </c>
      <c r="O15" s="22">
        <v>972</v>
      </c>
      <c r="P15" s="22">
        <v>379</v>
      </c>
      <c r="Q15" s="21">
        <v>59941</v>
      </c>
      <c r="R15" s="5"/>
      <c r="S15" s="21">
        <v>140282</v>
      </c>
      <c r="T15" s="22">
        <v>223</v>
      </c>
      <c r="U15" s="22">
        <v>292</v>
      </c>
      <c r="V15" s="21">
        <v>139767</v>
      </c>
    </row>
    <row r="16" spans="1:22">
      <c r="A16" s="20" t="s">
        <v>53</v>
      </c>
      <c r="B16" s="21">
        <v>1136170</v>
      </c>
      <c r="C16" s="5"/>
      <c r="D16" s="21">
        <v>570101</v>
      </c>
      <c r="E16" s="21">
        <v>2363</v>
      </c>
      <c r="F16" s="21">
        <v>12393</v>
      </c>
      <c r="G16" s="21">
        <v>555345</v>
      </c>
      <c r="H16" s="5"/>
      <c r="I16" s="21">
        <v>8831</v>
      </c>
      <c r="J16" s="22">
        <v>77</v>
      </c>
      <c r="K16" s="21">
        <v>7637</v>
      </c>
      <c r="L16" s="21">
        <v>1117</v>
      </c>
      <c r="M16" s="5"/>
      <c r="N16" s="21">
        <v>364634</v>
      </c>
      <c r="O16" s="21">
        <v>4682</v>
      </c>
      <c r="P16" s="21">
        <v>6826</v>
      </c>
      <c r="Q16" s="21">
        <v>353126</v>
      </c>
      <c r="R16" s="5"/>
      <c r="S16" s="21">
        <v>192604</v>
      </c>
      <c r="T16" s="22">
        <v>866</v>
      </c>
      <c r="U16" s="21">
        <v>1250</v>
      </c>
      <c r="V16" s="21">
        <v>190488</v>
      </c>
    </row>
    <row r="17" spans="1:22">
      <c r="A17" s="20" t="s">
        <v>54</v>
      </c>
      <c r="B17" s="21">
        <v>1931820</v>
      </c>
      <c r="C17" s="5"/>
      <c r="D17" s="21">
        <v>1371682</v>
      </c>
      <c r="E17" s="21">
        <v>2269</v>
      </c>
      <c r="F17" s="21">
        <v>3153</v>
      </c>
      <c r="G17" s="21">
        <v>1366260</v>
      </c>
      <c r="H17" s="5"/>
      <c r="I17" s="21">
        <v>10531</v>
      </c>
      <c r="J17" s="22">
        <v>345</v>
      </c>
      <c r="K17" s="21">
        <v>5160</v>
      </c>
      <c r="L17" s="21">
        <v>5026</v>
      </c>
      <c r="M17" s="5"/>
      <c r="N17" s="21">
        <v>511408</v>
      </c>
      <c r="O17" s="21">
        <v>5448</v>
      </c>
      <c r="P17" s="21">
        <v>4438</v>
      </c>
      <c r="Q17" s="21">
        <v>501522</v>
      </c>
      <c r="R17" s="5"/>
      <c r="S17" s="21">
        <v>38199</v>
      </c>
      <c r="T17" s="22">
        <v>613</v>
      </c>
      <c r="U17" s="22">
        <v>0</v>
      </c>
      <c r="V17" s="21">
        <v>37586</v>
      </c>
    </row>
    <row r="18" spans="1:22" ht="27">
      <c r="A18" s="20" t="s">
        <v>55</v>
      </c>
      <c r="B18" s="21">
        <v>6368520</v>
      </c>
      <c r="C18" s="5"/>
      <c r="D18" s="21">
        <v>5637479</v>
      </c>
      <c r="E18" s="22">
        <v>0</v>
      </c>
      <c r="F18" s="21">
        <v>126126</v>
      </c>
      <c r="G18" s="21">
        <v>5511353</v>
      </c>
      <c r="H18" s="5"/>
      <c r="I18" s="21">
        <v>32443</v>
      </c>
      <c r="J18" s="22">
        <v>0</v>
      </c>
      <c r="K18" s="21">
        <v>2644</v>
      </c>
      <c r="L18" s="21">
        <v>29799</v>
      </c>
      <c r="M18" s="5"/>
      <c r="N18" s="21">
        <v>90333</v>
      </c>
      <c r="O18" s="22">
        <v>0</v>
      </c>
      <c r="P18" s="22">
        <v>0</v>
      </c>
      <c r="Q18" s="21">
        <v>90333</v>
      </c>
      <c r="R18" s="5"/>
      <c r="S18" s="21">
        <v>608265</v>
      </c>
      <c r="T18" s="22">
        <v>0</v>
      </c>
      <c r="U18" s="22">
        <v>0</v>
      </c>
      <c r="V18" s="21">
        <v>608265</v>
      </c>
    </row>
    <row r="19" spans="1:22" ht="27">
      <c r="A19" s="20" t="s">
        <v>56</v>
      </c>
      <c r="B19" s="21">
        <v>1127781</v>
      </c>
      <c r="C19" s="5"/>
      <c r="D19" s="21">
        <v>675089</v>
      </c>
      <c r="E19" s="22">
        <v>362</v>
      </c>
      <c r="F19" s="21">
        <v>15747</v>
      </c>
      <c r="G19" s="21">
        <v>658980</v>
      </c>
      <c r="H19" s="5"/>
      <c r="I19" s="21">
        <v>130374</v>
      </c>
      <c r="J19" s="22">
        <v>10</v>
      </c>
      <c r="K19" s="21">
        <v>8559</v>
      </c>
      <c r="L19" s="21">
        <v>121805</v>
      </c>
      <c r="M19" s="5"/>
      <c r="N19" s="21">
        <v>273725</v>
      </c>
      <c r="O19" s="21">
        <v>1253</v>
      </c>
      <c r="P19" s="22">
        <v>903</v>
      </c>
      <c r="Q19" s="21">
        <v>271569</v>
      </c>
      <c r="R19" s="5"/>
      <c r="S19" s="21">
        <v>48593</v>
      </c>
      <c r="T19" s="22">
        <v>169</v>
      </c>
      <c r="U19" s="22">
        <v>0</v>
      </c>
      <c r="V19" s="21">
        <v>48424</v>
      </c>
    </row>
    <row r="20" spans="1:22">
      <c r="A20" s="20" t="s">
        <v>57</v>
      </c>
      <c r="B20" s="21">
        <v>397307</v>
      </c>
      <c r="C20" s="5"/>
      <c r="D20" s="21">
        <v>202557</v>
      </c>
      <c r="E20" s="22">
        <v>902</v>
      </c>
      <c r="F20" s="21">
        <v>2628</v>
      </c>
      <c r="G20" s="21">
        <v>199027</v>
      </c>
      <c r="H20" s="5"/>
      <c r="I20" s="21">
        <v>1455</v>
      </c>
      <c r="J20" s="22">
        <v>28</v>
      </c>
      <c r="K20" s="22">
        <v>671</v>
      </c>
      <c r="L20" s="22">
        <v>756</v>
      </c>
      <c r="M20" s="5"/>
      <c r="N20" s="21">
        <v>106002</v>
      </c>
      <c r="O20" s="21">
        <v>1288</v>
      </c>
      <c r="P20" s="22">
        <v>459</v>
      </c>
      <c r="Q20" s="21">
        <v>104255</v>
      </c>
      <c r="R20" s="5"/>
      <c r="S20" s="21">
        <v>87293</v>
      </c>
      <c r="T20" s="22">
        <v>289</v>
      </c>
      <c r="U20" s="22">
        <v>0</v>
      </c>
      <c r="V20" s="21">
        <v>87004</v>
      </c>
    </row>
    <row r="21" spans="1:22">
      <c r="A21" s="20" t="s">
        <v>58</v>
      </c>
      <c r="B21" s="21">
        <v>694906</v>
      </c>
      <c r="C21" s="5"/>
      <c r="D21" s="21">
        <v>427986</v>
      </c>
      <c r="E21" s="22">
        <v>342</v>
      </c>
      <c r="F21" s="21">
        <v>10611</v>
      </c>
      <c r="G21" s="21">
        <v>417033</v>
      </c>
      <c r="H21" s="5"/>
      <c r="I21" s="21">
        <v>2862</v>
      </c>
      <c r="J21" s="22">
        <v>4</v>
      </c>
      <c r="K21" s="21">
        <v>2165</v>
      </c>
      <c r="L21" s="22">
        <v>693</v>
      </c>
      <c r="M21" s="5"/>
      <c r="N21" s="21">
        <v>224284</v>
      </c>
      <c r="O21" s="22">
        <v>698</v>
      </c>
      <c r="P21" s="21">
        <v>2749</v>
      </c>
      <c r="Q21" s="21">
        <v>220837</v>
      </c>
      <c r="R21" s="5"/>
      <c r="S21" s="21">
        <v>39774</v>
      </c>
      <c r="T21" s="22">
        <v>168</v>
      </c>
      <c r="U21" s="22">
        <v>0</v>
      </c>
      <c r="V21" s="21">
        <v>39606</v>
      </c>
    </row>
    <row r="22" spans="1:22">
      <c r="A22" s="20" t="s">
        <v>59</v>
      </c>
      <c r="B22" s="21">
        <v>2271471</v>
      </c>
      <c r="C22" s="5"/>
      <c r="D22" s="21">
        <v>1201268</v>
      </c>
      <c r="E22" s="21">
        <v>9633</v>
      </c>
      <c r="F22" s="21">
        <v>9883</v>
      </c>
      <c r="G22" s="21">
        <v>1181752</v>
      </c>
      <c r="H22" s="5"/>
      <c r="I22" s="21">
        <v>30767</v>
      </c>
      <c r="J22" s="22">
        <v>810</v>
      </c>
      <c r="K22" s="21">
        <v>4748</v>
      </c>
      <c r="L22" s="21">
        <v>25209</v>
      </c>
      <c r="M22" s="5"/>
      <c r="N22" s="21">
        <v>541086</v>
      </c>
      <c r="O22" s="21">
        <v>13512</v>
      </c>
      <c r="P22" s="22">
        <v>763</v>
      </c>
      <c r="Q22" s="21">
        <v>526811</v>
      </c>
      <c r="R22" s="5"/>
      <c r="S22" s="21">
        <v>498350</v>
      </c>
      <c r="T22" s="21">
        <v>3189</v>
      </c>
      <c r="U22" s="22">
        <v>0</v>
      </c>
      <c r="V22" s="21">
        <v>495161</v>
      </c>
    </row>
    <row r="23" spans="1:22">
      <c r="A23" s="20" t="s">
        <v>60</v>
      </c>
      <c r="B23" s="21">
        <v>1447351</v>
      </c>
      <c r="C23" s="5"/>
      <c r="D23" s="21">
        <v>981356</v>
      </c>
      <c r="E23" s="22">
        <v>527</v>
      </c>
      <c r="F23" s="21">
        <v>58536</v>
      </c>
      <c r="G23" s="21">
        <v>922293</v>
      </c>
      <c r="H23" s="5"/>
      <c r="I23" s="21">
        <v>59028</v>
      </c>
      <c r="J23" s="22">
        <v>67</v>
      </c>
      <c r="K23" s="21">
        <v>10677</v>
      </c>
      <c r="L23" s="21">
        <v>48284</v>
      </c>
      <c r="M23" s="5"/>
      <c r="N23" s="21">
        <v>245080</v>
      </c>
      <c r="O23" s="22">
        <v>740</v>
      </c>
      <c r="P23" s="21">
        <v>16011</v>
      </c>
      <c r="Q23" s="21">
        <v>228329</v>
      </c>
      <c r="R23" s="5"/>
      <c r="S23" s="21">
        <v>161887</v>
      </c>
      <c r="T23" s="22">
        <v>41</v>
      </c>
      <c r="U23" s="22">
        <v>394</v>
      </c>
      <c r="V23" s="21">
        <v>161452</v>
      </c>
    </row>
    <row r="24" spans="1:22">
      <c r="A24" s="20" t="s">
        <v>61</v>
      </c>
      <c r="B24" s="21">
        <v>695875</v>
      </c>
      <c r="C24" s="5"/>
      <c r="D24" s="21">
        <v>446687</v>
      </c>
      <c r="E24" s="21">
        <v>2847</v>
      </c>
      <c r="F24" s="21">
        <v>9761</v>
      </c>
      <c r="G24" s="21">
        <v>434079</v>
      </c>
      <c r="H24" s="5"/>
      <c r="I24" s="21">
        <v>1585</v>
      </c>
      <c r="J24" s="22">
        <v>80</v>
      </c>
      <c r="K24" s="21">
        <v>1355</v>
      </c>
      <c r="L24" s="22">
        <v>150</v>
      </c>
      <c r="M24" s="5"/>
      <c r="N24" s="21">
        <v>203134</v>
      </c>
      <c r="O24" s="21">
        <v>4623</v>
      </c>
      <c r="P24" s="21">
        <v>8354</v>
      </c>
      <c r="Q24" s="21">
        <v>190157</v>
      </c>
      <c r="R24" s="5"/>
      <c r="S24" s="21">
        <v>44469</v>
      </c>
      <c r="T24" s="22">
        <v>537</v>
      </c>
      <c r="U24" s="22">
        <v>0</v>
      </c>
      <c r="V24" s="21">
        <v>43932</v>
      </c>
    </row>
    <row r="25" spans="1:22">
      <c r="A25" s="20" t="s">
        <v>62</v>
      </c>
      <c r="B25" s="21">
        <v>4369650</v>
      </c>
      <c r="C25" s="5"/>
      <c r="D25" s="21">
        <v>2508039</v>
      </c>
      <c r="E25" s="21">
        <v>5691</v>
      </c>
      <c r="F25" s="21">
        <v>19602</v>
      </c>
      <c r="G25" s="21">
        <v>2482746</v>
      </c>
      <c r="H25" s="5"/>
      <c r="I25" s="21">
        <v>12435</v>
      </c>
      <c r="J25" s="22">
        <v>284</v>
      </c>
      <c r="K25" s="21">
        <v>6287</v>
      </c>
      <c r="L25" s="21">
        <v>5864</v>
      </c>
      <c r="M25" s="5"/>
      <c r="N25" s="21">
        <v>1115352</v>
      </c>
      <c r="O25" s="21">
        <v>9163</v>
      </c>
      <c r="P25" s="22">
        <v>649</v>
      </c>
      <c r="Q25" s="21">
        <v>1105540</v>
      </c>
      <c r="R25" s="5"/>
      <c r="S25" s="21">
        <v>733824</v>
      </c>
      <c r="T25" s="21">
        <v>1258</v>
      </c>
      <c r="U25" s="22">
        <v>0</v>
      </c>
      <c r="V25" s="21">
        <v>732566</v>
      </c>
    </row>
    <row r="26" spans="1:22">
      <c r="A26" s="20" t="s">
        <v>63</v>
      </c>
      <c r="B26" s="21">
        <v>9421189</v>
      </c>
      <c r="C26" s="5"/>
      <c r="D26" s="21">
        <v>6810136</v>
      </c>
      <c r="E26" s="21">
        <v>6669</v>
      </c>
      <c r="F26" s="21">
        <v>85440</v>
      </c>
      <c r="G26" s="21">
        <v>6718027</v>
      </c>
      <c r="H26" s="5"/>
      <c r="I26" s="21">
        <v>49382</v>
      </c>
      <c r="J26" s="22">
        <v>0</v>
      </c>
      <c r="K26" s="21">
        <v>49382</v>
      </c>
      <c r="L26" s="22">
        <v>0</v>
      </c>
      <c r="M26" s="5"/>
      <c r="N26" s="21">
        <v>1504743</v>
      </c>
      <c r="O26" s="22">
        <v>0</v>
      </c>
      <c r="P26" s="22">
        <v>380</v>
      </c>
      <c r="Q26" s="21">
        <v>1504363</v>
      </c>
      <c r="R26" s="5"/>
      <c r="S26" s="21">
        <v>1056928</v>
      </c>
      <c r="T26" s="21">
        <v>1115</v>
      </c>
      <c r="U26" s="22">
        <v>0</v>
      </c>
      <c r="V26" s="21">
        <v>1055813</v>
      </c>
    </row>
    <row r="27" spans="1:22" ht="27">
      <c r="A27" s="20" t="s">
        <v>64</v>
      </c>
      <c r="B27" s="21">
        <v>1950503</v>
      </c>
      <c r="C27" s="5"/>
      <c r="D27" s="21">
        <v>946608</v>
      </c>
      <c r="E27" s="21">
        <v>2518</v>
      </c>
      <c r="F27" s="21">
        <v>24177</v>
      </c>
      <c r="G27" s="21">
        <v>919913</v>
      </c>
      <c r="H27" s="5"/>
      <c r="I27" s="21">
        <v>3865</v>
      </c>
      <c r="J27" s="22">
        <v>63</v>
      </c>
      <c r="K27" s="22">
        <v>735</v>
      </c>
      <c r="L27" s="21">
        <v>3067</v>
      </c>
      <c r="M27" s="5"/>
      <c r="N27" s="21">
        <v>644638</v>
      </c>
      <c r="O27" s="21">
        <v>4080</v>
      </c>
      <c r="P27" s="21">
        <v>6611</v>
      </c>
      <c r="Q27" s="21">
        <v>633947</v>
      </c>
      <c r="R27" s="5"/>
      <c r="S27" s="21">
        <v>355392</v>
      </c>
      <c r="T27" s="21">
        <v>1084</v>
      </c>
      <c r="U27" s="22">
        <v>1</v>
      </c>
      <c r="V27" s="21">
        <v>354307</v>
      </c>
    </row>
    <row r="28" spans="1:22">
      <c r="A28" s="20" t="s">
        <v>65</v>
      </c>
      <c r="B28" s="21">
        <v>1195466</v>
      </c>
      <c r="C28" s="5"/>
      <c r="D28" s="21">
        <v>874986</v>
      </c>
      <c r="E28" s="22">
        <v>893</v>
      </c>
      <c r="F28" s="21">
        <v>15926</v>
      </c>
      <c r="G28" s="21">
        <v>858167</v>
      </c>
      <c r="H28" s="5"/>
      <c r="I28" s="21">
        <v>11265</v>
      </c>
      <c r="J28" s="22">
        <v>10</v>
      </c>
      <c r="K28" s="21">
        <v>5380</v>
      </c>
      <c r="L28" s="21">
        <v>5875</v>
      </c>
      <c r="M28" s="5"/>
      <c r="N28" s="21">
        <v>157601</v>
      </c>
      <c r="O28" s="21">
        <v>1045</v>
      </c>
      <c r="P28" s="21">
        <v>2354</v>
      </c>
      <c r="Q28" s="21">
        <v>154202</v>
      </c>
      <c r="R28" s="5"/>
      <c r="S28" s="21">
        <v>151614</v>
      </c>
      <c r="T28" s="22">
        <v>250</v>
      </c>
      <c r="U28" s="22">
        <v>0</v>
      </c>
      <c r="V28" s="21">
        <v>151364</v>
      </c>
    </row>
    <row r="29" spans="1:22">
      <c r="A29" s="20" t="s">
        <v>66</v>
      </c>
      <c r="B29" s="21">
        <v>542623</v>
      </c>
      <c r="C29" s="5"/>
      <c r="D29" s="21">
        <v>271845</v>
      </c>
      <c r="E29" s="22">
        <v>0</v>
      </c>
      <c r="F29" s="21">
        <v>9562</v>
      </c>
      <c r="G29" s="21">
        <v>262283</v>
      </c>
      <c r="H29" s="5"/>
      <c r="I29" s="21">
        <v>2000</v>
      </c>
      <c r="J29" s="22">
        <v>0</v>
      </c>
      <c r="K29" s="21">
        <v>1093</v>
      </c>
      <c r="L29" s="22">
        <v>907</v>
      </c>
      <c r="M29" s="5"/>
      <c r="N29" s="21">
        <v>187523</v>
      </c>
      <c r="O29" s="22">
        <v>0</v>
      </c>
      <c r="P29" s="22">
        <v>602</v>
      </c>
      <c r="Q29" s="21">
        <v>186921</v>
      </c>
      <c r="R29" s="5"/>
      <c r="S29" s="21">
        <v>81255</v>
      </c>
      <c r="T29" s="22">
        <v>0</v>
      </c>
      <c r="U29" s="22">
        <v>0</v>
      </c>
      <c r="V29" s="21">
        <v>81255</v>
      </c>
    </row>
    <row r="30" spans="1:22">
      <c r="A30" s="20" t="s">
        <v>67</v>
      </c>
      <c r="B30" s="21">
        <v>2686334</v>
      </c>
      <c r="C30" s="5"/>
      <c r="D30" s="21">
        <v>1998003</v>
      </c>
      <c r="E30" s="21">
        <v>3224</v>
      </c>
      <c r="F30" s="21">
        <v>29081</v>
      </c>
      <c r="G30" s="21">
        <v>1965698</v>
      </c>
      <c r="H30" s="5"/>
      <c r="I30" s="21">
        <v>15060</v>
      </c>
      <c r="J30" s="22">
        <v>24</v>
      </c>
      <c r="K30" s="21">
        <v>12995</v>
      </c>
      <c r="L30" s="21">
        <v>2041</v>
      </c>
      <c r="M30" s="5"/>
      <c r="N30" s="21">
        <v>509548</v>
      </c>
      <c r="O30" s="21">
        <v>4228</v>
      </c>
      <c r="P30" s="21">
        <v>1257</v>
      </c>
      <c r="Q30" s="21">
        <v>504063</v>
      </c>
      <c r="R30" s="5"/>
      <c r="S30" s="21">
        <v>163723</v>
      </c>
      <c r="T30" s="22">
        <v>744</v>
      </c>
      <c r="U30" s="22">
        <v>0</v>
      </c>
      <c r="V30" s="21">
        <v>162979</v>
      </c>
    </row>
    <row r="31" spans="1:22">
      <c r="A31" s="20" t="s">
        <v>68</v>
      </c>
      <c r="B31" s="21">
        <v>1005139</v>
      </c>
      <c r="C31" s="5"/>
      <c r="D31" s="21">
        <v>441012</v>
      </c>
      <c r="E31" s="21">
        <v>1188</v>
      </c>
      <c r="F31" s="21">
        <v>25046</v>
      </c>
      <c r="G31" s="21">
        <v>414778</v>
      </c>
      <c r="H31" s="5"/>
      <c r="I31" s="21">
        <v>4810</v>
      </c>
      <c r="J31" s="22">
        <v>717</v>
      </c>
      <c r="K31" s="21">
        <v>2529</v>
      </c>
      <c r="L31" s="21">
        <v>1564</v>
      </c>
      <c r="M31" s="5"/>
      <c r="N31" s="21">
        <v>301191</v>
      </c>
      <c r="O31" s="21">
        <v>1685</v>
      </c>
      <c r="P31" s="21">
        <v>7546</v>
      </c>
      <c r="Q31" s="21">
        <v>291960</v>
      </c>
      <c r="R31" s="5"/>
      <c r="S31" s="21">
        <v>258126</v>
      </c>
      <c r="T31" s="22">
        <v>1</v>
      </c>
      <c r="U31" s="21">
        <v>15106</v>
      </c>
      <c r="V31" s="21">
        <v>243019</v>
      </c>
    </row>
    <row r="32" spans="1:22">
      <c r="A32" s="20" t="s">
        <v>69</v>
      </c>
      <c r="B32" s="21">
        <v>1263461</v>
      </c>
      <c r="C32" s="5"/>
      <c r="D32" s="21">
        <v>814701</v>
      </c>
      <c r="E32" s="21">
        <v>4190</v>
      </c>
      <c r="F32" s="21">
        <v>30705</v>
      </c>
      <c r="G32" s="21">
        <v>779806</v>
      </c>
      <c r="H32" s="5"/>
      <c r="I32" s="21">
        <v>9294</v>
      </c>
      <c r="J32" s="22">
        <v>222</v>
      </c>
      <c r="K32" s="21">
        <v>7418</v>
      </c>
      <c r="L32" s="21">
        <v>1654</v>
      </c>
      <c r="M32" s="5"/>
      <c r="N32" s="21">
        <v>289997</v>
      </c>
      <c r="O32" s="21">
        <v>6589</v>
      </c>
      <c r="P32" s="21">
        <v>8170</v>
      </c>
      <c r="Q32" s="21">
        <v>275238</v>
      </c>
      <c r="R32" s="5"/>
      <c r="S32" s="21">
        <v>149469</v>
      </c>
      <c r="T32" s="21">
        <v>1459</v>
      </c>
      <c r="U32" s="22">
        <v>0</v>
      </c>
      <c r="V32" s="21">
        <v>148010</v>
      </c>
    </row>
    <row r="33" spans="1:22">
      <c r="A33" s="20" t="s">
        <v>70</v>
      </c>
      <c r="B33" s="21">
        <v>820112</v>
      </c>
      <c r="C33" s="5"/>
      <c r="D33" s="21">
        <v>554429</v>
      </c>
      <c r="E33" s="22">
        <v>524</v>
      </c>
      <c r="F33" s="21">
        <v>7989</v>
      </c>
      <c r="G33" s="21">
        <v>545916</v>
      </c>
      <c r="H33" s="5"/>
      <c r="I33" s="21">
        <v>4506</v>
      </c>
      <c r="J33" s="22">
        <v>18</v>
      </c>
      <c r="K33" s="21">
        <v>3452</v>
      </c>
      <c r="L33" s="21">
        <v>1036</v>
      </c>
      <c r="M33" s="5"/>
      <c r="N33" s="21">
        <v>185542</v>
      </c>
      <c r="O33" s="21">
        <v>1746</v>
      </c>
      <c r="P33" s="21">
        <v>2958</v>
      </c>
      <c r="Q33" s="21">
        <v>180838</v>
      </c>
      <c r="R33" s="5"/>
      <c r="S33" s="21">
        <v>75635</v>
      </c>
      <c r="T33" s="22">
        <v>431</v>
      </c>
      <c r="U33" s="22">
        <v>0</v>
      </c>
      <c r="V33" s="21">
        <v>75204</v>
      </c>
    </row>
    <row r="34" spans="1:22">
      <c r="A34" s="20" t="s">
        <v>71</v>
      </c>
      <c r="B34" s="23">
        <v>988280</v>
      </c>
      <c r="C34" s="19"/>
      <c r="D34" s="23">
        <v>550671</v>
      </c>
      <c r="E34" s="24">
        <v>341</v>
      </c>
      <c r="F34" s="23">
        <v>33208</v>
      </c>
      <c r="G34" s="23">
        <v>517122</v>
      </c>
      <c r="H34" s="19"/>
      <c r="I34" s="23">
        <v>2651</v>
      </c>
      <c r="J34" s="24">
        <v>3</v>
      </c>
      <c r="K34" s="23">
        <v>1974</v>
      </c>
      <c r="L34" s="24">
        <v>674</v>
      </c>
      <c r="M34" s="19"/>
      <c r="N34" s="23">
        <v>130099</v>
      </c>
      <c r="O34" s="23">
        <v>1171</v>
      </c>
      <c r="P34" s="23">
        <v>3990</v>
      </c>
      <c r="Q34" s="23">
        <v>124938</v>
      </c>
      <c r="R34" s="19"/>
      <c r="S34" s="23">
        <v>304859</v>
      </c>
      <c r="T34" s="24">
        <v>639</v>
      </c>
      <c r="U34" s="23">
        <v>2046</v>
      </c>
      <c r="V34" s="23">
        <v>302174</v>
      </c>
    </row>
    <row r="35" spans="1:22" ht="27">
      <c r="A35" s="20" t="s">
        <v>72</v>
      </c>
      <c r="B35" s="21">
        <v>1357909</v>
      </c>
      <c r="C35" s="5"/>
      <c r="D35" s="21">
        <v>715808</v>
      </c>
      <c r="E35" s="21">
        <v>1491</v>
      </c>
      <c r="F35" s="21">
        <v>8003</v>
      </c>
      <c r="G35" s="21">
        <v>706314</v>
      </c>
      <c r="H35" s="5"/>
      <c r="I35" s="21">
        <v>5173</v>
      </c>
      <c r="J35" s="22">
        <v>19</v>
      </c>
      <c r="K35" s="21">
        <v>4205</v>
      </c>
      <c r="L35" s="22">
        <v>949</v>
      </c>
      <c r="M35" s="5"/>
      <c r="N35" s="21">
        <v>378087</v>
      </c>
      <c r="O35" s="21">
        <v>1992</v>
      </c>
      <c r="P35" s="21">
        <v>1284</v>
      </c>
      <c r="Q35" s="21">
        <v>374811</v>
      </c>
      <c r="R35" s="5"/>
      <c r="S35" s="21">
        <v>258841</v>
      </c>
      <c r="T35" s="22">
        <v>677</v>
      </c>
      <c r="U35" s="22">
        <v>0</v>
      </c>
      <c r="V35" s="21">
        <v>258164</v>
      </c>
    </row>
    <row r="36" spans="1:22">
      <c r="A36" s="20" t="s">
        <v>73</v>
      </c>
      <c r="B36" s="21">
        <v>1341447</v>
      </c>
      <c r="C36" s="5"/>
      <c r="D36" s="21">
        <v>791253</v>
      </c>
      <c r="E36" s="22">
        <v>304</v>
      </c>
      <c r="F36" s="21">
        <v>3782</v>
      </c>
      <c r="G36" s="21">
        <v>787167</v>
      </c>
      <c r="H36" s="5"/>
      <c r="I36" s="21">
        <v>8300</v>
      </c>
      <c r="J36" s="22">
        <v>1</v>
      </c>
      <c r="K36" s="21">
        <v>4472</v>
      </c>
      <c r="L36" s="21">
        <v>3827</v>
      </c>
      <c r="M36" s="5"/>
      <c r="N36" s="21">
        <v>401229</v>
      </c>
      <c r="O36" s="21">
        <v>1185</v>
      </c>
      <c r="P36" s="21">
        <v>9703</v>
      </c>
      <c r="Q36" s="21">
        <v>390341</v>
      </c>
      <c r="R36" s="5"/>
      <c r="S36" s="21">
        <v>140665</v>
      </c>
      <c r="T36" s="22">
        <v>618</v>
      </c>
      <c r="U36" s="22">
        <v>0</v>
      </c>
      <c r="V36" s="21">
        <v>140047</v>
      </c>
    </row>
    <row r="37" spans="1:22">
      <c r="A37" s="25" t="s">
        <v>74</v>
      </c>
      <c r="B37" s="21">
        <v>1552856</v>
      </c>
      <c r="C37" s="5"/>
      <c r="D37" s="21">
        <v>1011477</v>
      </c>
      <c r="E37" s="21">
        <v>4752</v>
      </c>
      <c r="F37" s="21">
        <v>4811</v>
      </c>
      <c r="G37" s="21">
        <v>1001914</v>
      </c>
      <c r="H37" s="5"/>
      <c r="I37" s="21">
        <v>8478</v>
      </c>
      <c r="J37" s="22">
        <v>312</v>
      </c>
      <c r="K37" s="21">
        <v>2427</v>
      </c>
      <c r="L37" s="21">
        <v>5739</v>
      </c>
      <c r="M37" s="5"/>
      <c r="N37" s="21">
        <v>495712</v>
      </c>
      <c r="O37" s="21">
        <v>8011</v>
      </c>
      <c r="P37" s="21">
        <v>6265</v>
      </c>
      <c r="Q37" s="21">
        <v>481436</v>
      </c>
      <c r="R37" s="5"/>
      <c r="S37" s="21">
        <v>37189</v>
      </c>
      <c r="T37" s="22">
        <v>518</v>
      </c>
      <c r="U37" s="22">
        <v>1</v>
      </c>
      <c r="V37" s="21">
        <v>36670</v>
      </c>
    </row>
    <row r="38" spans="1:22">
      <c r="A38" s="20" t="s">
        <v>75</v>
      </c>
      <c r="B38" s="21">
        <v>737187</v>
      </c>
      <c r="C38" s="5"/>
      <c r="D38" s="21">
        <v>405309</v>
      </c>
      <c r="E38" s="22">
        <v>0</v>
      </c>
      <c r="F38" s="21">
        <v>9346</v>
      </c>
      <c r="G38" s="21">
        <v>395963</v>
      </c>
      <c r="H38" s="5"/>
      <c r="I38" s="21">
        <v>3002</v>
      </c>
      <c r="J38" s="22">
        <v>0</v>
      </c>
      <c r="K38" s="21">
        <v>1513</v>
      </c>
      <c r="L38" s="21">
        <v>1489</v>
      </c>
      <c r="M38" s="5"/>
      <c r="N38" s="21">
        <v>153546</v>
      </c>
      <c r="O38" s="22">
        <v>0</v>
      </c>
      <c r="P38" s="21">
        <v>1511</v>
      </c>
      <c r="Q38" s="21">
        <v>152035</v>
      </c>
      <c r="R38" s="5"/>
      <c r="S38" s="21">
        <v>175330</v>
      </c>
      <c r="T38" s="22">
        <v>0</v>
      </c>
      <c r="U38" s="21">
        <v>2519</v>
      </c>
      <c r="V38" s="21">
        <v>172811</v>
      </c>
    </row>
    <row r="39" spans="1:22">
      <c r="A39" s="20" t="s">
        <v>76</v>
      </c>
      <c r="B39" s="21">
        <v>1434974</v>
      </c>
      <c r="C39" s="5"/>
      <c r="D39" s="21">
        <v>1003436</v>
      </c>
      <c r="E39" s="21">
        <v>2945</v>
      </c>
      <c r="F39" s="21">
        <v>11574</v>
      </c>
      <c r="G39" s="21">
        <v>988917</v>
      </c>
      <c r="H39" s="5"/>
      <c r="I39" s="21">
        <v>6972</v>
      </c>
      <c r="J39" s="22">
        <v>177</v>
      </c>
      <c r="K39" s="21">
        <v>5079</v>
      </c>
      <c r="L39" s="21">
        <v>1716</v>
      </c>
      <c r="M39" s="5"/>
      <c r="N39" s="21">
        <v>386077</v>
      </c>
      <c r="O39" s="21">
        <v>3915</v>
      </c>
      <c r="P39" s="21">
        <v>9555</v>
      </c>
      <c r="Q39" s="21">
        <v>372607</v>
      </c>
      <c r="R39" s="5"/>
      <c r="S39" s="21">
        <v>38489</v>
      </c>
      <c r="T39" s="22">
        <v>313</v>
      </c>
      <c r="U39" s="22">
        <v>0</v>
      </c>
      <c r="V39" s="21">
        <v>38176</v>
      </c>
    </row>
    <row r="40" spans="1:22">
      <c r="A40" s="20" t="s">
        <v>77</v>
      </c>
      <c r="B40" s="21">
        <v>585821</v>
      </c>
      <c r="C40" s="5"/>
      <c r="D40" s="21">
        <v>412538</v>
      </c>
      <c r="E40" s="22">
        <v>645</v>
      </c>
      <c r="F40" s="21">
        <v>1055</v>
      </c>
      <c r="G40" s="21">
        <v>410838</v>
      </c>
      <c r="H40" s="5"/>
      <c r="I40" s="21">
        <v>6305</v>
      </c>
      <c r="J40" s="22">
        <v>4</v>
      </c>
      <c r="K40" s="21">
        <v>5978</v>
      </c>
      <c r="L40" s="22">
        <v>323</v>
      </c>
      <c r="M40" s="5"/>
      <c r="N40" s="21">
        <v>94740</v>
      </c>
      <c r="O40" s="21">
        <v>1056</v>
      </c>
      <c r="P40" s="21">
        <v>5285</v>
      </c>
      <c r="Q40" s="21">
        <v>88399</v>
      </c>
      <c r="R40" s="5"/>
      <c r="S40" s="21">
        <v>72238</v>
      </c>
      <c r="T40" s="22">
        <v>173</v>
      </c>
      <c r="U40" s="22">
        <v>16</v>
      </c>
      <c r="V40" s="21">
        <v>72049</v>
      </c>
    </row>
    <row r="41" spans="1:22" ht="40">
      <c r="A41" s="20" t="s">
        <v>78</v>
      </c>
      <c r="B41" s="21">
        <v>2319548</v>
      </c>
      <c r="C41" s="5"/>
      <c r="D41" s="21">
        <v>1284644</v>
      </c>
      <c r="E41" s="22">
        <v>667</v>
      </c>
      <c r="F41" s="21">
        <v>61046</v>
      </c>
      <c r="G41" s="21">
        <v>1222931</v>
      </c>
      <c r="H41" s="5"/>
      <c r="I41" s="21">
        <v>10493</v>
      </c>
      <c r="J41" s="22">
        <v>35</v>
      </c>
      <c r="K41" s="21">
        <v>8150</v>
      </c>
      <c r="L41" s="21">
        <v>2308</v>
      </c>
      <c r="M41" s="5"/>
      <c r="N41" s="21">
        <v>646146</v>
      </c>
      <c r="O41" s="21">
        <v>1961</v>
      </c>
      <c r="P41" s="21">
        <v>5031</v>
      </c>
      <c r="Q41" s="21">
        <v>639154</v>
      </c>
      <c r="R41" s="5"/>
      <c r="S41" s="21">
        <v>378265</v>
      </c>
      <c r="T41" s="22">
        <v>440</v>
      </c>
      <c r="U41" s="22">
        <v>0</v>
      </c>
      <c r="V41" s="21">
        <v>377825</v>
      </c>
    </row>
    <row r="42" spans="1:22">
      <c r="A42" s="20" t="s">
        <v>79</v>
      </c>
      <c r="B42" s="21">
        <v>994656</v>
      </c>
      <c r="C42" s="5"/>
      <c r="D42" s="21">
        <v>593873</v>
      </c>
      <c r="E42" s="21">
        <v>3817</v>
      </c>
      <c r="F42" s="21">
        <v>6364</v>
      </c>
      <c r="G42" s="21">
        <v>583692</v>
      </c>
      <c r="H42" s="5"/>
      <c r="I42" s="21">
        <v>2997</v>
      </c>
      <c r="J42" s="22">
        <v>51</v>
      </c>
      <c r="K42" s="21">
        <v>2175</v>
      </c>
      <c r="L42" s="22">
        <v>771</v>
      </c>
      <c r="M42" s="5"/>
      <c r="N42" s="21">
        <v>148462</v>
      </c>
      <c r="O42" s="21">
        <v>5001</v>
      </c>
      <c r="P42" s="21">
        <v>2421</v>
      </c>
      <c r="Q42" s="21">
        <v>141040</v>
      </c>
      <c r="R42" s="5"/>
      <c r="S42" s="21">
        <v>249324</v>
      </c>
      <c r="T42" s="21">
        <v>1257</v>
      </c>
      <c r="U42" s="22">
        <v>6</v>
      </c>
      <c r="V42" s="21">
        <v>248061</v>
      </c>
    </row>
    <row r="43" spans="1:22" ht="16" thickBot="1">
      <c r="A43" s="26" t="s">
        <v>80</v>
      </c>
      <c r="B43" s="27">
        <v>639134</v>
      </c>
      <c r="C43" s="11"/>
      <c r="D43" s="27">
        <v>306883</v>
      </c>
      <c r="E43" s="28">
        <v>601</v>
      </c>
      <c r="F43" s="27">
        <v>2435</v>
      </c>
      <c r="G43" s="27">
        <v>303847</v>
      </c>
      <c r="H43" s="11"/>
      <c r="I43" s="27">
        <v>1981</v>
      </c>
      <c r="J43" s="28">
        <v>43</v>
      </c>
      <c r="K43" s="28">
        <v>965</v>
      </c>
      <c r="L43" s="28">
        <v>973</v>
      </c>
      <c r="M43" s="11"/>
      <c r="N43" s="27">
        <v>237838</v>
      </c>
      <c r="O43" s="27">
        <v>1285</v>
      </c>
      <c r="P43" s="28">
        <v>688</v>
      </c>
      <c r="Q43" s="27">
        <v>235865</v>
      </c>
      <c r="R43" s="11"/>
      <c r="S43" s="27">
        <v>92432</v>
      </c>
      <c r="T43" s="28">
        <v>256</v>
      </c>
      <c r="U43" s="28">
        <v>1</v>
      </c>
      <c r="V43" s="27">
        <v>92175</v>
      </c>
    </row>
    <row r="44" spans="1:22">
      <c r="A44" s="29" t="s">
        <v>81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>
      <c r="A45" s="30" t="s">
        <v>82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</sheetData>
  <mergeCells count="11">
    <mergeCell ref="S9:V9"/>
    <mergeCell ref="A1:V1"/>
    <mergeCell ref="A2:V2"/>
    <mergeCell ref="A3:V3"/>
    <mergeCell ref="A5:V5"/>
    <mergeCell ref="A7:V7"/>
    <mergeCell ref="A9:A10"/>
    <mergeCell ref="B9:B10"/>
    <mergeCell ref="D9:G9"/>
    <mergeCell ref="I9:L9"/>
    <mergeCell ref="N9:Q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EA54-A493-4868-BA44-9A4439E7D4A9}">
  <dimension ref="B4:J8"/>
  <sheetViews>
    <sheetView workbookViewId="0">
      <selection activeCell="H5" sqref="H5:J8"/>
    </sheetView>
  </sheetViews>
  <sheetFormatPr baseColWidth="10" defaultRowHeight="15"/>
  <sheetData>
    <row r="4" spans="2:10">
      <c r="C4" t="s">
        <v>45</v>
      </c>
      <c r="D4" t="s">
        <v>46</v>
      </c>
      <c r="E4" t="s">
        <v>47</v>
      </c>
      <c r="H4" t="s">
        <v>45</v>
      </c>
      <c r="I4" t="s">
        <v>46</v>
      </c>
      <c r="J4" t="s">
        <v>47</v>
      </c>
    </row>
    <row r="5" spans="2:10">
      <c r="B5" t="s">
        <v>83</v>
      </c>
      <c r="C5">
        <f>'Registered motor vehicles'!E11</f>
        <v>62273</v>
      </c>
      <c r="D5">
        <f>'Registered motor vehicles'!F11</f>
        <v>678281</v>
      </c>
      <c r="E5">
        <f>'Registered motor vehicles'!G11</f>
        <v>35756325</v>
      </c>
      <c r="G5" t="s">
        <v>83</v>
      </c>
      <c r="H5">
        <f>C5/SUM($C5:$E5)</f>
        <v>1.7062554855717938E-3</v>
      </c>
      <c r="I5">
        <f t="shared" ref="I5:J5" si="0">D5/SUM($C5:$E5)</f>
        <v>1.8584630209065273E-2</v>
      </c>
      <c r="J5">
        <f t="shared" si="0"/>
        <v>0.97970911430536289</v>
      </c>
    </row>
    <row r="6" spans="2:10">
      <c r="B6" t="s">
        <v>84</v>
      </c>
      <c r="C6" s="17">
        <f>'Registered motor vehicles'!J11</f>
        <v>3483</v>
      </c>
      <c r="D6" s="17">
        <f>'Registered motor vehicles'!K11</f>
        <v>184683</v>
      </c>
      <c r="E6" s="17">
        <f>'Registered motor vehicles'!L11</f>
        <v>280420</v>
      </c>
      <c r="F6" s="17"/>
      <c r="G6" t="s">
        <v>84</v>
      </c>
      <c r="H6">
        <f t="shared" ref="H6:H8" si="1">C6/SUM($C6:$E6)</f>
        <v>7.4330005591289536E-3</v>
      </c>
      <c r="I6">
        <f t="shared" ref="I6:I8" si="2">D6/SUM($C6:$E6)</f>
        <v>0.39412829235188418</v>
      </c>
      <c r="J6">
        <f t="shared" ref="J6:J8" si="3">E6/SUM($C6:$E6)</f>
        <v>0.59843870708898683</v>
      </c>
    </row>
    <row r="7" spans="2:10">
      <c r="B7" t="s">
        <v>85</v>
      </c>
      <c r="C7" s="17">
        <f>'Registered motor vehicles'!O11</f>
        <v>90890</v>
      </c>
      <c r="D7" s="17">
        <f>'Registered motor vehicles'!P11</f>
        <v>123741</v>
      </c>
      <c r="E7" s="17">
        <f>'Registered motor vehicles'!Q11</f>
        <v>11180850</v>
      </c>
      <c r="F7" s="17"/>
      <c r="G7" t="s">
        <v>85</v>
      </c>
      <c r="H7">
        <f t="shared" si="1"/>
        <v>7.9759687195301368E-3</v>
      </c>
      <c r="I7">
        <f t="shared" si="2"/>
        <v>1.0858778141966978E-2</v>
      </c>
      <c r="J7">
        <f t="shared" si="3"/>
        <v>0.98116525313850289</v>
      </c>
    </row>
    <row r="8" spans="2:10">
      <c r="B8" t="s">
        <v>29</v>
      </c>
      <c r="C8" s="17">
        <f>'Registered motor vehicles'!T11</f>
        <v>17700</v>
      </c>
      <c r="D8" s="17">
        <f>'Registered motor vehicles'!U11</f>
        <v>21792</v>
      </c>
      <c r="E8" s="17">
        <f>'Registered motor vehicles'!V11</f>
        <v>6766983</v>
      </c>
      <c r="F8" s="17"/>
      <c r="G8" t="s">
        <v>29</v>
      </c>
      <c r="H8">
        <f t="shared" si="1"/>
        <v>2.6004649984022565E-3</v>
      </c>
      <c r="I8">
        <f t="shared" si="2"/>
        <v>3.2016572454905074E-3</v>
      </c>
      <c r="J8">
        <f t="shared" si="3"/>
        <v>0.99419787775610724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E7"/>
  <sheetViews>
    <sheetView tabSelected="1" workbookViewId="0">
      <selection activeCell="E11" sqref="E11"/>
    </sheetView>
  </sheetViews>
  <sheetFormatPr baseColWidth="10" defaultColWidth="8.83203125" defaultRowHeight="15"/>
  <cols>
    <col min="1" max="1" width="15.33203125" customWidth="1"/>
    <col min="2" max="2" width="15.6640625" customWidth="1"/>
    <col min="3" max="3" width="17.33203125" customWidth="1"/>
    <col min="4" max="4" width="16.83203125" customWidth="1"/>
    <col min="5" max="5" width="18" customWidth="1"/>
  </cols>
  <sheetData>
    <row r="1" spans="1:5" s="5" customFormat="1" ht="48">
      <c r="A1" s="7" t="s">
        <v>25</v>
      </c>
      <c r="B1" s="6" t="s">
        <v>10</v>
      </c>
      <c r="C1" s="6" t="s">
        <v>26</v>
      </c>
      <c r="D1" s="6" t="s">
        <v>21</v>
      </c>
      <c r="E1" s="6" t="s">
        <v>13</v>
      </c>
    </row>
    <row r="2" spans="1:5">
      <c r="A2" t="s">
        <v>4</v>
      </c>
      <c r="B2" s="9">
        <f>Calculations!H5</f>
        <v>1.7062554855717938E-3</v>
      </c>
      <c r="C2" s="9">
        <f>Calculations!I5</f>
        <v>1.8584630209065273E-2</v>
      </c>
      <c r="D2" s="9">
        <f>Calculations!J5</f>
        <v>0.97970911430536289</v>
      </c>
      <c r="E2">
        <v>0</v>
      </c>
    </row>
    <row r="3" spans="1:5">
      <c r="A3" t="s">
        <v>5</v>
      </c>
      <c r="B3" s="9">
        <f>Calculations!H6</f>
        <v>7.4330005591289536E-3</v>
      </c>
      <c r="C3" s="9">
        <f>Calculations!I6</f>
        <v>0.39412829235188418</v>
      </c>
      <c r="D3" s="9">
        <f>Calculations!J6</f>
        <v>0.59843870708898683</v>
      </c>
      <c r="E3">
        <v>0</v>
      </c>
    </row>
    <row r="4" spans="1:5">
      <c r="A4" t="s">
        <v>6</v>
      </c>
      <c r="B4" s="9">
        <v>0</v>
      </c>
      <c r="C4" s="9">
        <v>1</v>
      </c>
      <c r="D4" s="9">
        <v>0</v>
      </c>
      <c r="E4">
        <v>0</v>
      </c>
    </row>
    <row r="5" spans="1:5">
      <c r="A5" t="s">
        <v>7</v>
      </c>
      <c r="B5" s="9">
        <v>1</v>
      </c>
      <c r="C5" s="9">
        <v>0</v>
      </c>
      <c r="D5" s="9">
        <v>0</v>
      </c>
      <c r="E5">
        <v>0</v>
      </c>
    </row>
    <row r="6" spans="1:5">
      <c r="A6" t="s">
        <v>8</v>
      </c>
      <c r="B6" s="9">
        <v>0</v>
      </c>
      <c r="C6" s="9">
        <v>1</v>
      </c>
      <c r="D6" s="9">
        <v>0</v>
      </c>
      <c r="E6">
        <v>0</v>
      </c>
    </row>
    <row r="7" spans="1:5">
      <c r="A7" t="s">
        <v>9</v>
      </c>
      <c r="B7" s="9">
        <f>Calculations!H8</f>
        <v>2.6004649984022565E-3</v>
      </c>
      <c r="C7" s="9">
        <f>Calculations!I8</f>
        <v>3.2016572454905074E-3</v>
      </c>
      <c r="D7" s="9">
        <f>Calculations!J8</f>
        <v>0.99419787775610724</v>
      </c>
      <c r="E7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E7"/>
  <sheetViews>
    <sheetView workbookViewId="0">
      <selection activeCell="B2" sqref="B2:E7"/>
    </sheetView>
  </sheetViews>
  <sheetFormatPr baseColWidth="10" defaultColWidth="8.83203125" defaultRowHeight="15"/>
  <cols>
    <col min="1" max="1" width="15.33203125" customWidth="1"/>
    <col min="2" max="4" width="15.6640625" customWidth="1"/>
    <col min="5" max="5" width="19.6640625" customWidth="1"/>
  </cols>
  <sheetData>
    <row r="1" spans="1:5" ht="48">
      <c r="A1" s="7" t="s">
        <v>25</v>
      </c>
      <c r="B1" s="6" t="s">
        <v>10</v>
      </c>
      <c r="C1" s="6" t="s">
        <v>26</v>
      </c>
      <c r="D1" s="6" t="s">
        <v>21</v>
      </c>
      <c r="E1" s="6" t="s">
        <v>13</v>
      </c>
    </row>
    <row r="2" spans="1:5">
      <c r="A2" t="s">
        <v>4</v>
      </c>
      <c r="B2" s="4">
        <v>0</v>
      </c>
      <c r="C2" s="10">
        <v>0.5</v>
      </c>
      <c r="D2" s="10">
        <v>0.5</v>
      </c>
      <c r="E2">
        <v>0</v>
      </c>
    </row>
    <row r="3" spans="1:5">
      <c r="A3" t="s">
        <v>5</v>
      </c>
      <c r="B3" s="9">
        <f>Calculations!H6</f>
        <v>7.4330005591289536E-3</v>
      </c>
      <c r="C3" s="9">
        <f>Calculations!I6</f>
        <v>0.39412829235188418</v>
      </c>
      <c r="D3" s="9">
        <f>Calculations!J6</f>
        <v>0.59843870708898683</v>
      </c>
      <c r="E3">
        <v>0</v>
      </c>
    </row>
    <row r="4" spans="1:5">
      <c r="A4" t="s">
        <v>6</v>
      </c>
      <c r="B4" s="4">
        <v>0</v>
      </c>
      <c r="C4">
        <v>1</v>
      </c>
      <c r="D4" s="4">
        <v>0</v>
      </c>
      <c r="E4">
        <v>0</v>
      </c>
    </row>
    <row r="5" spans="1:5">
      <c r="A5" t="s">
        <v>7</v>
      </c>
      <c r="B5" s="4">
        <v>0</v>
      </c>
      <c r="C5">
        <v>1</v>
      </c>
      <c r="D5" s="4">
        <v>0</v>
      </c>
      <c r="E5">
        <v>0</v>
      </c>
    </row>
    <row r="6" spans="1:5">
      <c r="A6" t="s">
        <v>8</v>
      </c>
      <c r="B6" s="4">
        <v>0</v>
      </c>
      <c r="C6">
        <v>1</v>
      </c>
      <c r="D6" s="4">
        <v>0</v>
      </c>
      <c r="E6">
        <v>0</v>
      </c>
    </row>
    <row r="7" spans="1:5">
      <c r="A7" t="s">
        <v>9</v>
      </c>
      <c r="B7" s="4">
        <v>0</v>
      </c>
      <c r="C7" s="10">
        <v>0.5</v>
      </c>
      <c r="D7" s="10">
        <v>0.5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Registered motor vehicles</vt:lpstr>
      <vt:lpstr>Calculations</vt:lpstr>
      <vt:lpstr>FoVObE-passengers</vt:lpstr>
      <vt:lpstr>FoVObE-freight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2014-04-12T22:49:27Z</dcterms:created>
  <dcterms:modified xsi:type="dcterms:W3CDTF">2024-10-30T14:39:18Z</dcterms:modified>
</cp:coreProperties>
</file>