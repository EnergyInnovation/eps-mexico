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korpius/Library/CloudStorage/GoogleDrive-ferolea@gmail.com/.shortcut-targets-by-id/1HGdhm3a4YN2IE0FhA2aqI2jKTxxSmLoI/EI.ICM/Material de apoyo/Transporte/FoVObE/"/>
    </mc:Choice>
  </mc:AlternateContent>
  <xr:revisionPtr revIDLastSave="13" documentId="13_ncr:1_{2DCFF32B-39C2-3440-929B-74065C8CA0D6}" xr6:coauthVersionLast="47" xr6:coauthVersionMax="47" xr10:uidLastSave="{82ACBDF7-D5EE-4B96-8EE3-C0D57687F75D}"/>
  <bookViews>
    <workbookView xWindow="4080" yWindow="500" windowWidth="29520" windowHeight="20500" firstSheet="3" activeTab="1" xr2:uid="{00000000-000D-0000-FFFF-FFFF00000000}"/>
  </bookViews>
  <sheets>
    <sheet name="About" sheetId="1" r:id="rId1"/>
    <sheet name="Vehicle fleet by entity MEX" sheetId="14" r:id="rId2"/>
    <sheet name="FoVObE-passengers" sheetId="11" r:id="rId3"/>
    <sheet name="FoVObE-freight" sheetId="12" r:id="rId4"/>
  </sheets>
  <definedNames>
    <definedName name="outputfrac_bio">#REF!</definedName>
    <definedName name="outputfrac_coal">#REF!</definedName>
    <definedName name="outputfrac_elec">#REF!</definedName>
    <definedName name="outputfrac_ngps">#REF!</definedName>
    <definedName name="outputfrac_nonenergy">#REF!</definedName>
    <definedName name="outputfrac_oth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4" l="1"/>
  <c r="D53" i="14"/>
  <c r="D3" i="12"/>
  <c r="C3" i="12"/>
  <c r="B3" i="12"/>
  <c r="D7" i="11"/>
  <c r="B7" i="11"/>
  <c r="C7" i="11"/>
  <c r="D3" i="11"/>
  <c r="C3" i="11"/>
  <c r="B3" i="11"/>
  <c r="D2" i="11"/>
  <c r="C2" i="11"/>
  <c r="B2" i="11"/>
  <c r="S53" i="14"/>
  <c r="R53" i="14"/>
  <c r="Q53" i="14"/>
  <c r="N53" i="14"/>
  <c r="M53" i="14"/>
  <c r="L53" i="14"/>
  <c r="H53" i="14"/>
  <c r="I53" i="14"/>
  <c r="G53" i="14"/>
  <c r="C53" i="14"/>
  <c r="B9" i="14"/>
  <c r="C9" i="14"/>
  <c r="D9" i="14"/>
  <c r="G9" i="14"/>
  <c r="H9" i="14"/>
  <c r="I9" i="14"/>
  <c r="L9" i="14"/>
  <c r="M9" i="14"/>
  <c r="N9" i="14"/>
  <c r="Q9" i="14"/>
  <c r="R9" i="14"/>
  <c r="S9" i="14"/>
  <c r="B10" i="14"/>
  <c r="C10" i="14"/>
  <c r="D10" i="14"/>
  <c r="G10" i="14"/>
  <c r="H10" i="14"/>
  <c r="I10" i="14"/>
  <c r="L10" i="14"/>
  <c r="M10" i="14"/>
  <c r="N10" i="14"/>
  <c r="Q10" i="14"/>
  <c r="R10" i="14"/>
  <c r="S10" i="14"/>
  <c r="B11" i="14"/>
  <c r="C11" i="14"/>
  <c r="D11" i="14"/>
  <c r="G11" i="14"/>
  <c r="H11" i="14"/>
  <c r="I11" i="14"/>
  <c r="L11" i="14"/>
  <c r="M11" i="14"/>
  <c r="N11" i="14"/>
  <c r="Q11" i="14"/>
  <c r="R11" i="14"/>
  <c r="S11" i="14"/>
  <c r="B12" i="14"/>
  <c r="C12" i="14"/>
  <c r="D12" i="14"/>
  <c r="G12" i="14"/>
  <c r="H12" i="14"/>
  <c r="I12" i="14"/>
  <c r="L12" i="14"/>
  <c r="M12" i="14"/>
  <c r="N12" i="14"/>
  <c r="Q12" i="14"/>
  <c r="R12" i="14"/>
  <c r="S12" i="14"/>
  <c r="B13" i="14"/>
  <c r="C13" i="14"/>
  <c r="D13" i="14"/>
  <c r="G13" i="14"/>
  <c r="H13" i="14"/>
  <c r="I13" i="14"/>
  <c r="L13" i="14"/>
  <c r="M13" i="14"/>
  <c r="N13" i="14"/>
  <c r="Q13" i="14"/>
  <c r="R13" i="14"/>
  <c r="S13" i="14"/>
  <c r="B14" i="14"/>
  <c r="C14" i="14"/>
  <c r="D14" i="14"/>
  <c r="G14" i="14"/>
  <c r="H14" i="14"/>
  <c r="I14" i="14"/>
  <c r="L14" i="14"/>
  <c r="M14" i="14"/>
  <c r="N14" i="14"/>
  <c r="Q14" i="14"/>
  <c r="R14" i="14"/>
  <c r="S14" i="14"/>
  <c r="B15" i="14"/>
  <c r="C15" i="14"/>
  <c r="D15" i="14"/>
  <c r="G15" i="14"/>
  <c r="H15" i="14"/>
  <c r="I15" i="14"/>
  <c r="L15" i="14"/>
  <c r="M15" i="14"/>
  <c r="N15" i="14"/>
  <c r="Q15" i="14"/>
  <c r="R15" i="14"/>
  <c r="S15" i="14"/>
  <c r="B16" i="14"/>
  <c r="C16" i="14"/>
  <c r="D16" i="14"/>
  <c r="G16" i="14"/>
  <c r="H16" i="14"/>
  <c r="I16" i="14"/>
  <c r="L16" i="14"/>
  <c r="M16" i="14"/>
  <c r="N16" i="14"/>
  <c r="Q16" i="14"/>
  <c r="R16" i="14"/>
  <c r="S16" i="14"/>
  <c r="B17" i="14"/>
  <c r="C17" i="14"/>
  <c r="D17" i="14"/>
  <c r="G17" i="14"/>
  <c r="H17" i="14"/>
  <c r="I17" i="14"/>
  <c r="L17" i="14"/>
  <c r="M17" i="14"/>
  <c r="N17" i="14"/>
  <c r="Q17" i="14"/>
  <c r="R17" i="14"/>
  <c r="S17" i="14"/>
  <c r="B18" i="14"/>
  <c r="C18" i="14"/>
  <c r="D18" i="14"/>
  <c r="G18" i="14"/>
  <c r="H18" i="14"/>
  <c r="I18" i="14"/>
  <c r="L18" i="14"/>
  <c r="M18" i="14"/>
  <c r="N18" i="14"/>
  <c r="Q18" i="14"/>
  <c r="R18" i="14"/>
  <c r="S18" i="14"/>
  <c r="B19" i="14"/>
  <c r="C19" i="14"/>
  <c r="D19" i="14"/>
  <c r="G19" i="14"/>
  <c r="H19" i="14"/>
  <c r="I19" i="14"/>
  <c r="L19" i="14"/>
  <c r="M19" i="14"/>
  <c r="N19" i="14"/>
  <c r="Q19" i="14"/>
  <c r="R19" i="14"/>
  <c r="S19" i="14"/>
  <c r="B20" i="14"/>
  <c r="C20" i="14"/>
  <c r="D20" i="14"/>
  <c r="G20" i="14"/>
  <c r="H20" i="14"/>
  <c r="I20" i="14"/>
  <c r="L20" i="14"/>
  <c r="M20" i="14"/>
  <c r="N20" i="14"/>
  <c r="Q20" i="14"/>
  <c r="R20" i="14"/>
  <c r="S20" i="14"/>
  <c r="B21" i="14"/>
  <c r="C21" i="14"/>
  <c r="D21" i="14"/>
  <c r="G21" i="14"/>
  <c r="H21" i="14"/>
  <c r="I21" i="14"/>
  <c r="L21" i="14"/>
  <c r="M21" i="14"/>
  <c r="N21" i="14"/>
  <c r="Q21" i="14"/>
  <c r="R21" i="14"/>
  <c r="S21" i="14"/>
  <c r="B22" i="14"/>
  <c r="C22" i="14"/>
  <c r="D22" i="14"/>
  <c r="G22" i="14"/>
  <c r="H22" i="14"/>
  <c r="I22" i="14"/>
  <c r="L22" i="14"/>
  <c r="M22" i="14"/>
  <c r="N22" i="14"/>
  <c r="Q22" i="14"/>
  <c r="R22" i="14"/>
  <c r="S22" i="14"/>
  <c r="B23" i="14"/>
  <c r="C23" i="14"/>
  <c r="D23" i="14"/>
  <c r="G23" i="14"/>
  <c r="H23" i="14"/>
  <c r="I23" i="14"/>
  <c r="L23" i="14"/>
  <c r="M23" i="14"/>
  <c r="N23" i="14"/>
  <c r="Q23" i="14"/>
  <c r="R23" i="14"/>
  <c r="S23" i="14"/>
  <c r="B24" i="14"/>
  <c r="C24" i="14"/>
  <c r="D24" i="14"/>
  <c r="G24" i="14"/>
  <c r="H24" i="14"/>
  <c r="I24" i="14"/>
  <c r="L24" i="14"/>
  <c r="M24" i="14"/>
  <c r="N24" i="14"/>
  <c r="Q24" i="14"/>
  <c r="R24" i="14"/>
  <c r="S24" i="14"/>
  <c r="B25" i="14"/>
  <c r="C25" i="14"/>
  <c r="D25" i="14"/>
  <c r="G25" i="14"/>
  <c r="H25" i="14"/>
  <c r="I25" i="14"/>
  <c r="L25" i="14"/>
  <c r="M25" i="14"/>
  <c r="N25" i="14"/>
  <c r="Q25" i="14"/>
  <c r="R25" i="14"/>
  <c r="S25" i="14"/>
  <c r="B26" i="14"/>
  <c r="C26" i="14"/>
  <c r="D26" i="14"/>
  <c r="G26" i="14"/>
  <c r="H26" i="14"/>
  <c r="I26" i="14"/>
  <c r="L26" i="14"/>
  <c r="M26" i="14"/>
  <c r="N26" i="14"/>
  <c r="Q26" i="14"/>
  <c r="R26" i="14"/>
  <c r="S26" i="14"/>
  <c r="B27" i="14"/>
  <c r="C27" i="14"/>
  <c r="D27" i="14"/>
  <c r="G27" i="14"/>
  <c r="H27" i="14"/>
  <c r="I27" i="14"/>
  <c r="L27" i="14"/>
  <c r="M27" i="14"/>
  <c r="N27" i="14"/>
  <c r="Q27" i="14"/>
  <c r="R27" i="14"/>
  <c r="S27" i="14"/>
  <c r="B28" i="14"/>
  <c r="C28" i="14"/>
  <c r="D28" i="14"/>
  <c r="G28" i="14"/>
  <c r="H28" i="14"/>
  <c r="I28" i="14"/>
  <c r="L28" i="14"/>
  <c r="M28" i="14"/>
  <c r="N28" i="14"/>
  <c r="Q28" i="14"/>
  <c r="R28" i="14"/>
  <c r="S28" i="14"/>
  <c r="B29" i="14"/>
  <c r="C29" i="14"/>
  <c r="D29" i="14"/>
  <c r="G29" i="14"/>
  <c r="H29" i="14"/>
  <c r="I29" i="14"/>
  <c r="L29" i="14"/>
  <c r="M29" i="14"/>
  <c r="N29" i="14"/>
  <c r="Q29" i="14"/>
  <c r="R29" i="14"/>
  <c r="S29" i="14"/>
  <c r="B30" i="14"/>
  <c r="C30" i="14"/>
  <c r="D30" i="14"/>
  <c r="G30" i="14"/>
  <c r="H30" i="14"/>
  <c r="I30" i="14"/>
  <c r="L30" i="14"/>
  <c r="M30" i="14"/>
  <c r="N30" i="14"/>
  <c r="Q30" i="14"/>
  <c r="R30" i="14"/>
  <c r="S30" i="14"/>
  <c r="B31" i="14"/>
  <c r="C31" i="14"/>
  <c r="D31" i="14"/>
  <c r="G31" i="14"/>
  <c r="H31" i="14"/>
  <c r="I31" i="14"/>
  <c r="L31" i="14"/>
  <c r="M31" i="14"/>
  <c r="N31" i="14"/>
  <c r="Q31" i="14"/>
  <c r="R31" i="14"/>
  <c r="S31" i="14"/>
  <c r="B32" i="14"/>
  <c r="C32" i="14"/>
  <c r="D32" i="14"/>
  <c r="G32" i="14"/>
  <c r="H32" i="14"/>
  <c r="I32" i="14"/>
  <c r="L32" i="14"/>
  <c r="M32" i="14"/>
  <c r="N32" i="14"/>
  <c r="Q32" i="14"/>
  <c r="R32" i="14"/>
  <c r="S32" i="14"/>
  <c r="B33" i="14"/>
  <c r="C33" i="14"/>
  <c r="D33" i="14"/>
  <c r="G33" i="14"/>
  <c r="H33" i="14"/>
  <c r="I33" i="14"/>
  <c r="L33" i="14"/>
  <c r="M33" i="14"/>
  <c r="N33" i="14"/>
  <c r="Q33" i="14"/>
  <c r="R33" i="14"/>
  <c r="S33" i="14"/>
  <c r="B34" i="14"/>
  <c r="C34" i="14"/>
  <c r="D34" i="14"/>
  <c r="G34" i="14"/>
  <c r="H34" i="14"/>
  <c r="I34" i="14"/>
  <c r="L34" i="14"/>
  <c r="M34" i="14"/>
  <c r="N34" i="14"/>
  <c r="Q34" i="14"/>
  <c r="R34" i="14"/>
  <c r="S34" i="14"/>
  <c r="B35" i="14"/>
  <c r="C35" i="14"/>
  <c r="D35" i="14"/>
  <c r="G35" i="14"/>
  <c r="H35" i="14"/>
  <c r="I35" i="14"/>
  <c r="L35" i="14"/>
  <c r="M35" i="14"/>
  <c r="N35" i="14"/>
  <c r="Q35" i="14"/>
  <c r="R35" i="14"/>
  <c r="S35" i="14"/>
  <c r="B36" i="14"/>
  <c r="C36" i="14"/>
  <c r="D36" i="14"/>
  <c r="G36" i="14"/>
  <c r="H36" i="14"/>
  <c r="I36" i="14"/>
  <c r="L36" i="14"/>
  <c r="M36" i="14"/>
  <c r="N36" i="14"/>
  <c r="Q36" i="14"/>
  <c r="R36" i="14"/>
  <c r="S36" i="14"/>
  <c r="B37" i="14"/>
  <c r="C37" i="14"/>
  <c r="D37" i="14"/>
  <c r="G37" i="14"/>
  <c r="H37" i="14"/>
  <c r="I37" i="14"/>
  <c r="L37" i="14"/>
  <c r="M37" i="14"/>
  <c r="N37" i="14"/>
  <c r="Q37" i="14"/>
  <c r="R37" i="14"/>
  <c r="S37" i="14"/>
  <c r="B38" i="14"/>
  <c r="C38" i="14"/>
  <c r="D38" i="14"/>
  <c r="G38" i="14"/>
  <c r="H38" i="14"/>
  <c r="I38" i="14"/>
  <c r="L38" i="14"/>
  <c r="M38" i="14"/>
  <c r="N38" i="14"/>
  <c r="Q38" i="14"/>
  <c r="R38" i="14"/>
  <c r="S38" i="14"/>
  <c r="B39" i="14"/>
  <c r="C39" i="14"/>
  <c r="D39" i="14"/>
  <c r="G39" i="14"/>
  <c r="H39" i="14"/>
  <c r="I39" i="14"/>
  <c r="L39" i="14"/>
  <c r="M39" i="14"/>
  <c r="N39" i="14"/>
  <c r="Q39" i="14"/>
  <c r="R39" i="14"/>
  <c r="S39" i="14"/>
  <c r="B40" i="14"/>
  <c r="C40" i="14"/>
  <c r="D40" i="14"/>
  <c r="G40" i="14"/>
  <c r="H40" i="14"/>
  <c r="I40" i="14"/>
  <c r="L40" i="14"/>
  <c r="M40" i="14"/>
  <c r="N40" i="14"/>
  <c r="Q40" i="14"/>
  <c r="R40" i="14"/>
  <c r="S40" i="14"/>
  <c r="B41" i="14"/>
  <c r="C41" i="14"/>
  <c r="D41" i="14"/>
  <c r="G41" i="14"/>
  <c r="H41" i="14"/>
  <c r="I41" i="14"/>
  <c r="L41" i="14"/>
  <c r="M41" i="14"/>
  <c r="N41" i="14"/>
  <c r="Q41" i="14"/>
  <c r="R41" i="14"/>
  <c r="S41" i="14"/>
  <c r="B42" i="14"/>
  <c r="C42" i="14"/>
  <c r="D42" i="14"/>
  <c r="G42" i="14"/>
  <c r="H42" i="14"/>
  <c r="I42" i="14"/>
  <c r="L42" i="14"/>
  <c r="M42" i="14"/>
  <c r="N42" i="14"/>
  <c r="Q42" i="14"/>
  <c r="R42" i="14"/>
  <c r="S42" i="14"/>
  <c r="B43" i="14"/>
  <c r="C43" i="14"/>
  <c r="D43" i="14"/>
  <c r="G43" i="14"/>
  <c r="H43" i="14"/>
  <c r="I43" i="14"/>
  <c r="L43" i="14"/>
  <c r="M43" i="14"/>
  <c r="N43" i="14"/>
  <c r="Q43" i="14"/>
  <c r="R43" i="14"/>
  <c r="S43" i="14"/>
  <c r="B44" i="14"/>
  <c r="C44" i="14"/>
  <c r="D44" i="14"/>
  <c r="G44" i="14"/>
  <c r="H44" i="14"/>
  <c r="I44" i="14"/>
  <c r="L44" i="14"/>
  <c r="M44" i="14"/>
  <c r="N44" i="14"/>
  <c r="Q44" i="14"/>
  <c r="R44" i="14"/>
  <c r="S44" i="14"/>
  <c r="B45" i="14"/>
  <c r="C45" i="14"/>
  <c r="D45" i="14"/>
  <c r="G45" i="14"/>
  <c r="H45" i="14"/>
  <c r="I45" i="14"/>
  <c r="L45" i="14"/>
  <c r="M45" i="14"/>
  <c r="N45" i="14"/>
  <c r="Q45" i="14"/>
  <c r="R45" i="14"/>
  <c r="S45" i="14"/>
  <c r="B46" i="14"/>
  <c r="C46" i="14"/>
  <c r="D46" i="14"/>
  <c r="G46" i="14"/>
  <c r="H46" i="14"/>
  <c r="I46" i="14"/>
  <c r="L46" i="14"/>
  <c r="M46" i="14"/>
  <c r="N46" i="14"/>
  <c r="Q46" i="14"/>
  <c r="R46" i="14"/>
  <c r="S46" i="14"/>
  <c r="B47" i="14"/>
  <c r="C47" i="14"/>
  <c r="D47" i="14"/>
  <c r="G47" i="14"/>
  <c r="H47" i="14"/>
  <c r="I47" i="14"/>
  <c r="L47" i="14"/>
  <c r="M47" i="14"/>
  <c r="N47" i="14"/>
  <c r="Q47" i="14"/>
  <c r="R47" i="14"/>
  <c r="S47" i="14"/>
  <c r="B48" i="14"/>
  <c r="C48" i="14"/>
  <c r="D48" i="14"/>
  <c r="G48" i="14"/>
  <c r="H48" i="14"/>
  <c r="I48" i="14"/>
  <c r="L48" i="14"/>
  <c r="M48" i="14"/>
  <c r="N48" i="14"/>
  <c r="Q48" i="14"/>
  <c r="R48" i="14"/>
  <c r="S48" i="14"/>
  <c r="B49" i="14"/>
  <c r="C49" i="14"/>
  <c r="D49" i="14"/>
  <c r="G49" i="14"/>
  <c r="H49" i="14"/>
  <c r="I49" i="14"/>
  <c r="L49" i="14"/>
  <c r="M49" i="14"/>
  <c r="N49" i="14"/>
  <c r="Q49" i="14"/>
  <c r="R49" i="14"/>
  <c r="S49" i="14"/>
  <c r="B50" i="14"/>
  <c r="C50" i="14"/>
  <c r="D50" i="14"/>
  <c r="G50" i="14"/>
  <c r="H50" i="14"/>
  <c r="I50" i="14"/>
  <c r="L50" i="14"/>
  <c r="M50" i="14"/>
  <c r="N50" i="14"/>
  <c r="Q50" i="14"/>
  <c r="R50" i="14"/>
  <c r="S50" i="14"/>
  <c r="B51" i="14"/>
  <c r="C51" i="14"/>
  <c r="D51" i="14"/>
  <c r="G51" i="14"/>
  <c r="H51" i="14"/>
  <c r="I51" i="14"/>
  <c r="L51" i="14"/>
  <c r="M51" i="14"/>
  <c r="N51" i="14"/>
  <c r="Q51" i="14"/>
  <c r="R51" i="14"/>
  <c r="S51" i="14"/>
  <c r="S8" i="14"/>
  <c r="R8" i="14"/>
  <c r="Q8" i="14"/>
  <c r="N8" i="14"/>
  <c r="M8" i="14"/>
  <c r="L8" i="14"/>
  <c r="I8" i="14"/>
  <c r="H8" i="14"/>
  <c r="G8" i="14"/>
  <c r="D8" i="14"/>
  <c r="B8" i="14"/>
  <c r="C8" i="14"/>
  <c r="W101" i="14"/>
  <c r="X101" i="14"/>
  <c r="Y101" i="14"/>
  <c r="AA101" i="14"/>
  <c r="AB101" i="14"/>
  <c r="AC101" i="14"/>
  <c r="AE101" i="14"/>
  <c r="AF101" i="14"/>
  <c r="AG101" i="14"/>
  <c r="AI101" i="14"/>
  <c r="AJ101" i="14"/>
  <c r="AK101" i="14"/>
  <c r="AM101" i="14"/>
  <c r="AN101" i="14"/>
  <c r="AO101" i="14"/>
  <c r="C4" i="12"/>
  <c r="C5" i="12"/>
  <c r="C6" i="12"/>
  <c r="C7" i="12"/>
  <c r="C2" i="12"/>
  <c r="B4" i="12" l="1"/>
  <c r="D4" i="12"/>
  <c r="B5" i="12"/>
  <c r="D5" i="12"/>
  <c r="B6" i="12"/>
  <c r="D6" i="12"/>
  <c r="B7" i="12"/>
  <c r="D7" i="12"/>
  <c r="D2" i="12"/>
  <c r="B2" i="12"/>
  <c r="B4" i="11"/>
  <c r="C4" i="11"/>
  <c r="D4" i="11"/>
  <c r="B5" i="11"/>
  <c r="C5" i="11"/>
  <c r="D5" i="11"/>
  <c r="B6" i="11"/>
  <c r="C6" i="11"/>
  <c r="D6" i="11"/>
</calcChain>
</file>

<file path=xl/sharedStrings.xml><?xml version="1.0" encoding="utf-8"?>
<sst xmlns="http://schemas.openxmlformats.org/spreadsheetml/2006/main" count="168" uniqueCount="53">
  <si>
    <t>FoVObE Fraction of Vehicles Owned by Entity</t>
  </si>
  <si>
    <t>Source:</t>
  </si>
  <si>
    <t>Mexico data for LDV, HDV, motorbikes</t>
  </si>
  <si>
    <t>Instituto Nacional de Estadísticas y Geografía (INEGI)</t>
  </si>
  <si>
    <t>Registered motor vehicles</t>
  </si>
  <si>
    <t>http://www.inegi.org.mx/lib/olap/consulta/general_ver4/MDXQueryDatos.asp?#Regreso&amp;c=</t>
  </si>
  <si>
    <t>Note:</t>
  </si>
  <si>
    <t>Vehicle Exports</t>
  </si>
  <si>
    <t>Vehicles produced and sold for export (sold and used outside the modeled region) should not be included here.</t>
  </si>
  <si>
    <t>The transportation sector in the EPS only tracks transportation within the modeled region.</t>
  </si>
  <si>
    <t>(Exported vehicles may be included in grouped Industry Sector outputs, where exports are handled.)</t>
  </si>
  <si>
    <t>Therefore, the share of vehicles assigned to "foreign entities" in this variable should be zero.</t>
  </si>
  <si>
    <t>Even if a foreign entity owns vehicles in the modeled region, classify those vehicles as government-, industry-,</t>
  </si>
  <si>
    <t>or consumer-owned, depending on the nature of the foreign entitiy.</t>
  </si>
  <si>
    <t>In the output tab, we show more decimal places than the source data</t>
  </si>
  <si>
    <t>provide in order to avoid rounding error in Vensim (each column must</t>
  </si>
  <si>
    <t>add to 1).</t>
  </si>
  <si>
    <t>Vehículos de motor registrados en circulación</t>
  </si>
  <si>
    <t>Tipo de servicio : Total</t>
  </si>
  <si>
    <t>Tipo de servicio : Particulares</t>
  </si>
  <si>
    <t>Tipo de servicio : Públicos</t>
  </si>
  <si>
    <t>Tipo de servicio : Oficiales</t>
  </si>
  <si>
    <t>Consulta de: Vehículos registrados   Por: Año de registro   Según: Clase de vehículo</t>
  </si>
  <si>
    <t>Automóviles</t>
  </si>
  <si>
    <t>Camiones para pasajeros</t>
  </si>
  <si>
    <t>Camiones y camionetas para carga</t>
  </si>
  <si>
    <t>Motocicletas</t>
  </si>
  <si>
    <t>Total</t>
  </si>
  <si>
    <t>Particulares</t>
  </si>
  <si>
    <t>Publicos</t>
  </si>
  <si>
    <t>Oficiales</t>
  </si>
  <si>
    <t>Tipo de servicio</t>
  </si>
  <si>
    <t>Públicos</t>
  </si>
  <si>
    <t>Average</t>
  </si>
  <si>
    <t>2018-2022</t>
  </si>
  <si>
    <t>FUENTE: INEGI. Estadísticas de vehículos de motor registrados en circulación.</t>
  </si>
  <si>
    <t>INEGI</t>
  </si>
  <si>
    <t>Veh_xD8F5_los de motor registrados en circulaci󮼢r&gt;</t>
  </si>
  <si>
    <t>Consulta de: Veh_xD8F5_los registrados Por: A񯠤e registro Segn: Clase de veh_xD8F5_lo y Tipo de servicio</t>
  </si>
  <si>
    <t>Autom󶩬es</t>
  </si>
  <si>
    <t>Pblicos</t>
  </si>
  <si>
    <t>FUENTE: INEGI. Estad_xDCF4_icas de veh_xD8F5_los de motor registrados en circulaci󮮼br&gt;</t>
  </si>
  <si>
    <t>Fraction Owned by Entity (dimensionless)</t>
  </si>
  <si>
    <t>government</t>
  </si>
  <si>
    <t>domestic industries</t>
  </si>
  <si>
    <t>labor and consumers</t>
  </si>
  <si>
    <t>foreign entities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</si>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</sst>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4"/>
      <name val="Helv"/>
    </font>
    <font>
      <b/>
      <sz val="10"/>
      <name val="Helv"/>
    </font>
    <font>
      <sz val="8"/>
      <name val="Helv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9">
    <xf numFmtId="0" fontId="0" fillId="0" borderId="0"/>
    <xf numFmtId="0" fontId="2" fillId="0" borderId="0" applyNumberFormat="0" applyFill="0" applyBorder="0" applyProtection="0"/>
    <xf numFmtId="0" fontId="4" fillId="0" borderId="0">
      <alignment horizontal="left" vertical="top"/>
    </xf>
    <xf numFmtId="0" fontId="5" fillId="0" borderId="1">
      <alignment horizontal="left"/>
    </xf>
    <xf numFmtId="0" fontId="5" fillId="0" borderId="1">
      <alignment horizontal="left" vertical="center"/>
    </xf>
    <xf numFmtId="3" fontId="6" fillId="0" borderId="1">
      <alignment horizontal="right" vertical="center"/>
    </xf>
    <xf numFmtId="0" fontId="7" fillId="0" borderId="0" applyNumberFormat="0" applyFill="0" applyBorder="0" applyAlignment="0" applyProtection="0"/>
    <xf numFmtId="0" fontId="6" fillId="0" borderId="0">
      <alignment horizontal="left"/>
    </xf>
    <xf numFmtId="0" fontId="3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right" wrapText="1"/>
    </xf>
    <xf numFmtId="0" fontId="8" fillId="0" borderId="0" xfId="0" applyFont="1" applyAlignment="1">
      <alignment wrapText="1"/>
    </xf>
    <xf numFmtId="0" fontId="7" fillId="0" borderId="0" xfId="6" applyFill="1"/>
    <xf numFmtId="3" fontId="10" fillId="0" borderId="0" xfId="0" applyNumberFormat="1" applyFont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wrapText="1"/>
    </xf>
    <xf numFmtId="168" fontId="0" fillId="0" borderId="0" xfId="0" applyNumberFormat="1"/>
    <xf numFmtId="168" fontId="0" fillId="0" borderId="0" xfId="0" quotePrefix="1" applyNumberFormat="1"/>
    <xf numFmtId="3" fontId="10" fillId="0" borderId="0" xfId="0" applyNumberFormat="1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3" borderId="0" xfId="0" applyFill="1"/>
  </cellXfs>
  <cellStyles count="9">
    <cellStyle name="Data_Sheet1 (2)_1" xfId="5" xr:uid="{00000000-0005-0000-0000-000000000000}"/>
    <cellStyle name="Hed Side" xfId="3" xr:uid="{00000000-0005-0000-0000-000001000000}"/>
    <cellStyle name="Hed Side_Sheet1 (2)_1" xfId="4" xr:uid="{00000000-0005-0000-0000-000002000000}"/>
    <cellStyle name="Hyperlink" xfId="6" builtinId="8"/>
    <cellStyle name="Normal" xfId="0" builtinId="0"/>
    <cellStyle name="Normal 2" xfId="8" xr:uid="{3718F1FF-0EFF-AA4C-B2DA-138CD1E68146}"/>
    <cellStyle name="Source Text" xfId="7" xr:uid="{00000000-0005-0000-0000-000005000000}"/>
    <cellStyle name="Table Title" xfId="1" xr:uid="{00000000-0005-0000-0000-000006000000}"/>
    <cellStyle name="Title-1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egi.org.mx/lib/olap/consulta/general_ver4/MDXQueryDatos.asp?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negi.org.mx/lib/olap/consulta/general_ver4/MDXQueryDatos.asp?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A10" sqref="A10:XFD10"/>
    </sheetView>
  </sheetViews>
  <sheetFormatPr defaultColWidth="8.85546875" defaultRowHeight="15"/>
  <cols>
    <col min="1" max="1" width="10.140625" customWidth="1"/>
    <col min="2" max="2" width="100.7109375" customWidth="1"/>
  </cols>
  <sheetData>
    <row r="1" spans="1:2">
      <c r="A1" s="1" t="s">
        <v>0</v>
      </c>
    </row>
    <row r="2" spans="1:2">
      <c r="A2" s="1"/>
    </row>
    <row r="3" spans="1:2">
      <c r="A3" s="1" t="s">
        <v>1</v>
      </c>
      <c r="B3" s="2" t="s">
        <v>2</v>
      </c>
    </row>
    <row r="4" spans="1:2">
      <c r="A4" s="1"/>
      <c r="B4" t="s">
        <v>3</v>
      </c>
    </row>
    <row r="5" spans="1:2">
      <c r="A5" s="1"/>
      <c r="B5" s="3">
        <v>2024</v>
      </c>
    </row>
    <row r="6" spans="1:2">
      <c r="A6" s="1"/>
      <c r="B6" t="s">
        <v>4</v>
      </c>
    </row>
    <row r="7" spans="1:2">
      <c r="A7" s="1"/>
      <c r="B7" s="8" t="s">
        <v>5</v>
      </c>
    </row>
    <row r="8" spans="1:2">
      <c r="A8" s="1"/>
      <c r="B8" s="8"/>
    </row>
    <row r="10" spans="1:2">
      <c r="A10" s="1"/>
    </row>
    <row r="12" spans="1:2">
      <c r="A12" s="1" t="s">
        <v>6</v>
      </c>
    </row>
    <row r="14" spans="1:2">
      <c r="A14" s="1" t="s">
        <v>7</v>
      </c>
    </row>
    <row r="15" spans="1:2">
      <c r="A15" t="s">
        <v>8</v>
      </c>
    </row>
    <row r="16" spans="1:2">
      <c r="A16" t="s">
        <v>9</v>
      </c>
    </row>
    <row r="17" spans="1:1">
      <c r="A17" t="s">
        <v>10</v>
      </c>
    </row>
    <row r="18" spans="1:1">
      <c r="A18" s="1" t="s">
        <v>11</v>
      </c>
    </row>
    <row r="19" spans="1:1">
      <c r="A19" t="s">
        <v>12</v>
      </c>
    </row>
    <row r="20" spans="1:1">
      <c r="A20" t="s">
        <v>13</v>
      </c>
    </row>
    <row r="23" spans="1:1">
      <c r="A23" t="s">
        <v>14</v>
      </c>
    </row>
    <row r="24" spans="1:1">
      <c r="A24" t="s">
        <v>15</v>
      </c>
    </row>
    <row r="25" spans="1:1">
      <c r="A25" t="s">
        <v>16</v>
      </c>
    </row>
  </sheetData>
  <hyperlinks>
    <hyperlink ref="B7" r:id="rId1" location="Regreso&amp;c=" xr:uid="{3C7D59C3-E5F5-5240-9AD0-77C8D766FECD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9753-1D36-D64D-A594-67A5ECA9AA6F}">
  <sheetPr>
    <tabColor theme="6"/>
  </sheetPr>
  <dimension ref="A2:AR102"/>
  <sheetViews>
    <sheetView tabSelected="1" topLeftCell="B1" workbookViewId="0">
      <selection activeCell="G19" sqref="G19"/>
    </sheetView>
  </sheetViews>
  <sheetFormatPr defaultColWidth="11.42578125" defaultRowHeight="15"/>
  <cols>
    <col min="5" max="5" width="2.140625" customWidth="1"/>
    <col min="10" max="10" width="1.42578125" customWidth="1"/>
    <col min="15" max="15" width="2.28515625" customWidth="1"/>
    <col min="21" max="21" width="6.7109375" customWidth="1"/>
    <col min="22" max="22" width="9.7109375" bestFit="1" customWidth="1"/>
    <col min="23" max="44" width="7.85546875" bestFit="1" customWidth="1"/>
    <col min="260" max="260" width="5.140625" bestFit="1" customWidth="1"/>
    <col min="261" max="261" width="9.7109375" bestFit="1" customWidth="1"/>
    <col min="262" max="262" width="7.85546875" bestFit="1" customWidth="1"/>
    <col min="263" max="263" width="7.42578125" bestFit="1" customWidth="1"/>
    <col min="264" max="264" width="10.140625" bestFit="1" customWidth="1"/>
    <col min="265" max="265" width="9.7109375" bestFit="1" customWidth="1"/>
    <col min="266" max="267" width="9.42578125" bestFit="1" customWidth="1"/>
    <col min="268" max="268" width="10.140625" bestFit="1" customWidth="1"/>
    <col min="269" max="272" width="20.42578125" bestFit="1" customWidth="1"/>
    <col min="273" max="276" width="28" bestFit="1" customWidth="1"/>
    <col min="277" max="280" width="11" bestFit="1" customWidth="1"/>
    <col min="516" max="516" width="5.140625" bestFit="1" customWidth="1"/>
    <col min="517" max="517" width="9.7109375" bestFit="1" customWidth="1"/>
    <col min="518" max="518" width="7.85546875" bestFit="1" customWidth="1"/>
    <col min="519" max="519" width="7.42578125" bestFit="1" customWidth="1"/>
    <col min="520" max="520" width="10.140625" bestFit="1" customWidth="1"/>
    <col min="521" max="521" width="9.7109375" bestFit="1" customWidth="1"/>
    <col min="522" max="523" width="9.42578125" bestFit="1" customWidth="1"/>
    <col min="524" max="524" width="10.140625" bestFit="1" customWidth="1"/>
    <col min="525" max="528" width="20.42578125" bestFit="1" customWidth="1"/>
    <col min="529" max="532" width="28" bestFit="1" customWidth="1"/>
    <col min="533" max="536" width="11" bestFit="1" customWidth="1"/>
    <col min="772" max="772" width="5.140625" bestFit="1" customWidth="1"/>
    <col min="773" max="773" width="9.7109375" bestFit="1" customWidth="1"/>
    <col min="774" max="774" width="7.85546875" bestFit="1" customWidth="1"/>
    <col min="775" max="775" width="7.42578125" bestFit="1" customWidth="1"/>
    <col min="776" max="776" width="10.140625" bestFit="1" customWidth="1"/>
    <col min="777" max="777" width="9.7109375" bestFit="1" customWidth="1"/>
    <col min="778" max="779" width="9.42578125" bestFit="1" customWidth="1"/>
    <col min="780" max="780" width="10.140625" bestFit="1" customWidth="1"/>
    <col min="781" max="784" width="20.42578125" bestFit="1" customWidth="1"/>
    <col min="785" max="788" width="28" bestFit="1" customWidth="1"/>
    <col min="789" max="792" width="11" bestFit="1" customWidth="1"/>
    <col min="1028" max="1028" width="5.140625" bestFit="1" customWidth="1"/>
    <col min="1029" max="1029" width="9.7109375" bestFit="1" customWidth="1"/>
    <col min="1030" max="1030" width="7.85546875" bestFit="1" customWidth="1"/>
    <col min="1031" max="1031" width="7.42578125" bestFit="1" customWidth="1"/>
    <col min="1032" max="1032" width="10.140625" bestFit="1" customWidth="1"/>
    <col min="1033" max="1033" width="9.7109375" bestFit="1" customWidth="1"/>
    <col min="1034" max="1035" width="9.42578125" bestFit="1" customWidth="1"/>
    <col min="1036" max="1036" width="10.140625" bestFit="1" customWidth="1"/>
    <col min="1037" max="1040" width="20.42578125" bestFit="1" customWidth="1"/>
    <col min="1041" max="1044" width="28" bestFit="1" customWidth="1"/>
    <col min="1045" max="1048" width="11" bestFit="1" customWidth="1"/>
    <col min="1284" max="1284" width="5.140625" bestFit="1" customWidth="1"/>
    <col min="1285" max="1285" width="9.7109375" bestFit="1" customWidth="1"/>
    <col min="1286" max="1286" width="7.85546875" bestFit="1" customWidth="1"/>
    <col min="1287" max="1287" width="7.42578125" bestFit="1" customWidth="1"/>
    <col min="1288" max="1288" width="10.140625" bestFit="1" customWidth="1"/>
    <col min="1289" max="1289" width="9.7109375" bestFit="1" customWidth="1"/>
    <col min="1290" max="1291" width="9.42578125" bestFit="1" customWidth="1"/>
    <col min="1292" max="1292" width="10.140625" bestFit="1" customWidth="1"/>
    <col min="1293" max="1296" width="20.42578125" bestFit="1" customWidth="1"/>
    <col min="1297" max="1300" width="28" bestFit="1" customWidth="1"/>
    <col min="1301" max="1304" width="11" bestFit="1" customWidth="1"/>
    <col min="1540" max="1540" width="5.140625" bestFit="1" customWidth="1"/>
    <col min="1541" max="1541" width="9.7109375" bestFit="1" customWidth="1"/>
    <col min="1542" max="1542" width="7.85546875" bestFit="1" customWidth="1"/>
    <col min="1543" max="1543" width="7.42578125" bestFit="1" customWidth="1"/>
    <col min="1544" max="1544" width="10.140625" bestFit="1" customWidth="1"/>
    <col min="1545" max="1545" width="9.7109375" bestFit="1" customWidth="1"/>
    <col min="1546" max="1547" width="9.42578125" bestFit="1" customWidth="1"/>
    <col min="1548" max="1548" width="10.140625" bestFit="1" customWidth="1"/>
    <col min="1549" max="1552" width="20.42578125" bestFit="1" customWidth="1"/>
    <col min="1553" max="1556" width="28" bestFit="1" customWidth="1"/>
    <col min="1557" max="1560" width="11" bestFit="1" customWidth="1"/>
    <col min="1796" max="1796" width="5.140625" bestFit="1" customWidth="1"/>
    <col min="1797" max="1797" width="9.7109375" bestFit="1" customWidth="1"/>
    <col min="1798" max="1798" width="7.85546875" bestFit="1" customWidth="1"/>
    <col min="1799" max="1799" width="7.42578125" bestFit="1" customWidth="1"/>
    <col min="1800" max="1800" width="10.140625" bestFit="1" customWidth="1"/>
    <col min="1801" max="1801" width="9.7109375" bestFit="1" customWidth="1"/>
    <col min="1802" max="1803" width="9.42578125" bestFit="1" customWidth="1"/>
    <col min="1804" max="1804" width="10.140625" bestFit="1" customWidth="1"/>
    <col min="1805" max="1808" width="20.42578125" bestFit="1" customWidth="1"/>
    <col min="1809" max="1812" width="28" bestFit="1" customWidth="1"/>
    <col min="1813" max="1816" width="11" bestFit="1" customWidth="1"/>
    <col min="2052" max="2052" width="5.140625" bestFit="1" customWidth="1"/>
    <col min="2053" max="2053" width="9.7109375" bestFit="1" customWidth="1"/>
    <col min="2054" max="2054" width="7.85546875" bestFit="1" customWidth="1"/>
    <col min="2055" max="2055" width="7.42578125" bestFit="1" customWidth="1"/>
    <col min="2056" max="2056" width="10.140625" bestFit="1" customWidth="1"/>
    <col min="2057" max="2057" width="9.7109375" bestFit="1" customWidth="1"/>
    <col min="2058" max="2059" width="9.42578125" bestFit="1" customWidth="1"/>
    <col min="2060" max="2060" width="10.140625" bestFit="1" customWidth="1"/>
    <col min="2061" max="2064" width="20.42578125" bestFit="1" customWidth="1"/>
    <col min="2065" max="2068" width="28" bestFit="1" customWidth="1"/>
    <col min="2069" max="2072" width="11" bestFit="1" customWidth="1"/>
    <col min="2308" max="2308" width="5.140625" bestFit="1" customWidth="1"/>
    <col min="2309" max="2309" width="9.7109375" bestFit="1" customWidth="1"/>
    <col min="2310" max="2310" width="7.85546875" bestFit="1" customWidth="1"/>
    <col min="2311" max="2311" width="7.42578125" bestFit="1" customWidth="1"/>
    <col min="2312" max="2312" width="10.140625" bestFit="1" customWidth="1"/>
    <col min="2313" max="2313" width="9.7109375" bestFit="1" customWidth="1"/>
    <col min="2314" max="2315" width="9.42578125" bestFit="1" customWidth="1"/>
    <col min="2316" max="2316" width="10.140625" bestFit="1" customWidth="1"/>
    <col min="2317" max="2320" width="20.42578125" bestFit="1" customWidth="1"/>
    <col min="2321" max="2324" width="28" bestFit="1" customWidth="1"/>
    <col min="2325" max="2328" width="11" bestFit="1" customWidth="1"/>
    <col min="2564" max="2564" width="5.140625" bestFit="1" customWidth="1"/>
    <col min="2565" max="2565" width="9.7109375" bestFit="1" customWidth="1"/>
    <col min="2566" max="2566" width="7.85546875" bestFit="1" customWidth="1"/>
    <col min="2567" max="2567" width="7.42578125" bestFit="1" customWidth="1"/>
    <col min="2568" max="2568" width="10.140625" bestFit="1" customWidth="1"/>
    <col min="2569" max="2569" width="9.7109375" bestFit="1" customWidth="1"/>
    <col min="2570" max="2571" width="9.42578125" bestFit="1" customWidth="1"/>
    <col min="2572" max="2572" width="10.140625" bestFit="1" customWidth="1"/>
    <col min="2573" max="2576" width="20.42578125" bestFit="1" customWidth="1"/>
    <col min="2577" max="2580" width="28" bestFit="1" customWidth="1"/>
    <col min="2581" max="2584" width="11" bestFit="1" customWidth="1"/>
    <col min="2820" max="2820" width="5.140625" bestFit="1" customWidth="1"/>
    <col min="2821" max="2821" width="9.7109375" bestFit="1" customWidth="1"/>
    <col min="2822" max="2822" width="7.85546875" bestFit="1" customWidth="1"/>
    <col min="2823" max="2823" width="7.42578125" bestFit="1" customWidth="1"/>
    <col min="2824" max="2824" width="10.140625" bestFit="1" customWidth="1"/>
    <col min="2825" max="2825" width="9.7109375" bestFit="1" customWidth="1"/>
    <col min="2826" max="2827" width="9.42578125" bestFit="1" customWidth="1"/>
    <col min="2828" max="2828" width="10.140625" bestFit="1" customWidth="1"/>
    <col min="2829" max="2832" width="20.42578125" bestFit="1" customWidth="1"/>
    <col min="2833" max="2836" width="28" bestFit="1" customWidth="1"/>
    <col min="2837" max="2840" width="11" bestFit="1" customWidth="1"/>
    <col min="3076" max="3076" width="5.140625" bestFit="1" customWidth="1"/>
    <col min="3077" max="3077" width="9.7109375" bestFit="1" customWidth="1"/>
    <col min="3078" max="3078" width="7.85546875" bestFit="1" customWidth="1"/>
    <col min="3079" max="3079" width="7.42578125" bestFit="1" customWidth="1"/>
    <col min="3080" max="3080" width="10.140625" bestFit="1" customWidth="1"/>
    <col min="3081" max="3081" width="9.7109375" bestFit="1" customWidth="1"/>
    <col min="3082" max="3083" width="9.42578125" bestFit="1" customWidth="1"/>
    <col min="3084" max="3084" width="10.140625" bestFit="1" customWidth="1"/>
    <col min="3085" max="3088" width="20.42578125" bestFit="1" customWidth="1"/>
    <col min="3089" max="3092" width="28" bestFit="1" customWidth="1"/>
    <col min="3093" max="3096" width="11" bestFit="1" customWidth="1"/>
    <col min="3332" max="3332" width="5.140625" bestFit="1" customWidth="1"/>
    <col min="3333" max="3333" width="9.7109375" bestFit="1" customWidth="1"/>
    <col min="3334" max="3334" width="7.85546875" bestFit="1" customWidth="1"/>
    <col min="3335" max="3335" width="7.42578125" bestFit="1" customWidth="1"/>
    <col min="3336" max="3336" width="10.140625" bestFit="1" customWidth="1"/>
    <col min="3337" max="3337" width="9.7109375" bestFit="1" customWidth="1"/>
    <col min="3338" max="3339" width="9.42578125" bestFit="1" customWidth="1"/>
    <col min="3340" max="3340" width="10.140625" bestFit="1" customWidth="1"/>
    <col min="3341" max="3344" width="20.42578125" bestFit="1" customWidth="1"/>
    <col min="3345" max="3348" width="28" bestFit="1" customWidth="1"/>
    <col min="3349" max="3352" width="11" bestFit="1" customWidth="1"/>
    <col min="3588" max="3588" width="5.140625" bestFit="1" customWidth="1"/>
    <col min="3589" max="3589" width="9.7109375" bestFit="1" customWidth="1"/>
    <col min="3590" max="3590" width="7.85546875" bestFit="1" customWidth="1"/>
    <col min="3591" max="3591" width="7.42578125" bestFit="1" customWidth="1"/>
    <col min="3592" max="3592" width="10.140625" bestFit="1" customWidth="1"/>
    <col min="3593" max="3593" width="9.7109375" bestFit="1" customWidth="1"/>
    <col min="3594" max="3595" width="9.42578125" bestFit="1" customWidth="1"/>
    <col min="3596" max="3596" width="10.140625" bestFit="1" customWidth="1"/>
    <col min="3597" max="3600" width="20.42578125" bestFit="1" customWidth="1"/>
    <col min="3601" max="3604" width="28" bestFit="1" customWidth="1"/>
    <col min="3605" max="3608" width="11" bestFit="1" customWidth="1"/>
    <col min="3844" max="3844" width="5.140625" bestFit="1" customWidth="1"/>
    <col min="3845" max="3845" width="9.7109375" bestFit="1" customWidth="1"/>
    <col min="3846" max="3846" width="7.85546875" bestFit="1" customWidth="1"/>
    <col min="3847" max="3847" width="7.42578125" bestFit="1" customWidth="1"/>
    <col min="3848" max="3848" width="10.140625" bestFit="1" customWidth="1"/>
    <col min="3849" max="3849" width="9.7109375" bestFit="1" customWidth="1"/>
    <col min="3850" max="3851" width="9.42578125" bestFit="1" customWidth="1"/>
    <col min="3852" max="3852" width="10.140625" bestFit="1" customWidth="1"/>
    <col min="3853" max="3856" width="20.42578125" bestFit="1" customWidth="1"/>
    <col min="3857" max="3860" width="28" bestFit="1" customWidth="1"/>
    <col min="3861" max="3864" width="11" bestFit="1" customWidth="1"/>
    <col min="4100" max="4100" width="5.140625" bestFit="1" customWidth="1"/>
    <col min="4101" max="4101" width="9.7109375" bestFit="1" customWidth="1"/>
    <col min="4102" max="4102" width="7.85546875" bestFit="1" customWidth="1"/>
    <col min="4103" max="4103" width="7.42578125" bestFit="1" customWidth="1"/>
    <col min="4104" max="4104" width="10.140625" bestFit="1" customWidth="1"/>
    <col min="4105" max="4105" width="9.7109375" bestFit="1" customWidth="1"/>
    <col min="4106" max="4107" width="9.42578125" bestFit="1" customWidth="1"/>
    <col min="4108" max="4108" width="10.140625" bestFit="1" customWidth="1"/>
    <col min="4109" max="4112" width="20.42578125" bestFit="1" customWidth="1"/>
    <col min="4113" max="4116" width="28" bestFit="1" customWidth="1"/>
    <col min="4117" max="4120" width="11" bestFit="1" customWidth="1"/>
    <col min="4356" max="4356" width="5.140625" bestFit="1" customWidth="1"/>
    <col min="4357" max="4357" width="9.7109375" bestFit="1" customWidth="1"/>
    <col min="4358" max="4358" width="7.85546875" bestFit="1" customWidth="1"/>
    <col min="4359" max="4359" width="7.42578125" bestFit="1" customWidth="1"/>
    <col min="4360" max="4360" width="10.140625" bestFit="1" customWidth="1"/>
    <col min="4361" max="4361" width="9.7109375" bestFit="1" customWidth="1"/>
    <col min="4362" max="4363" width="9.42578125" bestFit="1" customWidth="1"/>
    <col min="4364" max="4364" width="10.140625" bestFit="1" customWidth="1"/>
    <col min="4365" max="4368" width="20.42578125" bestFit="1" customWidth="1"/>
    <col min="4369" max="4372" width="28" bestFit="1" customWidth="1"/>
    <col min="4373" max="4376" width="11" bestFit="1" customWidth="1"/>
    <col min="4612" max="4612" width="5.140625" bestFit="1" customWidth="1"/>
    <col min="4613" max="4613" width="9.7109375" bestFit="1" customWidth="1"/>
    <col min="4614" max="4614" width="7.85546875" bestFit="1" customWidth="1"/>
    <col min="4615" max="4615" width="7.42578125" bestFit="1" customWidth="1"/>
    <col min="4616" max="4616" width="10.140625" bestFit="1" customWidth="1"/>
    <col min="4617" max="4617" width="9.7109375" bestFit="1" customWidth="1"/>
    <col min="4618" max="4619" width="9.42578125" bestFit="1" customWidth="1"/>
    <col min="4620" max="4620" width="10.140625" bestFit="1" customWidth="1"/>
    <col min="4621" max="4624" width="20.42578125" bestFit="1" customWidth="1"/>
    <col min="4625" max="4628" width="28" bestFit="1" customWidth="1"/>
    <col min="4629" max="4632" width="11" bestFit="1" customWidth="1"/>
    <col min="4868" max="4868" width="5.140625" bestFit="1" customWidth="1"/>
    <col min="4869" max="4869" width="9.7109375" bestFit="1" customWidth="1"/>
    <col min="4870" max="4870" width="7.85546875" bestFit="1" customWidth="1"/>
    <col min="4871" max="4871" width="7.42578125" bestFit="1" customWidth="1"/>
    <col min="4872" max="4872" width="10.140625" bestFit="1" customWidth="1"/>
    <col min="4873" max="4873" width="9.7109375" bestFit="1" customWidth="1"/>
    <col min="4874" max="4875" width="9.42578125" bestFit="1" customWidth="1"/>
    <col min="4876" max="4876" width="10.140625" bestFit="1" customWidth="1"/>
    <col min="4877" max="4880" width="20.42578125" bestFit="1" customWidth="1"/>
    <col min="4881" max="4884" width="28" bestFit="1" customWidth="1"/>
    <col min="4885" max="4888" width="11" bestFit="1" customWidth="1"/>
    <col min="5124" max="5124" width="5.140625" bestFit="1" customWidth="1"/>
    <col min="5125" max="5125" width="9.7109375" bestFit="1" customWidth="1"/>
    <col min="5126" max="5126" width="7.85546875" bestFit="1" customWidth="1"/>
    <col min="5127" max="5127" width="7.42578125" bestFit="1" customWidth="1"/>
    <col min="5128" max="5128" width="10.140625" bestFit="1" customWidth="1"/>
    <col min="5129" max="5129" width="9.7109375" bestFit="1" customWidth="1"/>
    <col min="5130" max="5131" width="9.42578125" bestFit="1" customWidth="1"/>
    <col min="5132" max="5132" width="10.140625" bestFit="1" customWidth="1"/>
    <col min="5133" max="5136" width="20.42578125" bestFit="1" customWidth="1"/>
    <col min="5137" max="5140" width="28" bestFit="1" customWidth="1"/>
    <col min="5141" max="5144" width="11" bestFit="1" customWidth="1"/>
    <col min="5380" max="5380" width="5.140625" bestFit="1" customWidth="1"/>
    <col min="5381" max="5381" width="9.7109375" bestFit="1" customWidth="1"/>
    <col min="5382" max="5382" width="7.85546875" bestFit="1" customWidth="1"/>
    <col min="5383" max="5383" width="7.42578125" bestFit="1" customWidth="1"/>
    <col min="5384" max="5384" width="10.140625" bestFit="1" customWidth="1"/>
    <col min="5385" max="5385" width="9.7109375" bestFit="1" customWidth="1"/>
    <col min="5386" max="5387" width="9.42578125" bestFit="1" customWidth="1"/>
    <col min="5388" max="5388" width="10.140625" bestFit="1" customWidth="1"/>
    <col min="5389" max="5392" width="20.42578125" bestFit="1" customWidth="1"/>
    <col min="5393" max="5396" width="28" bestFit="1" customWidth="1"/>
    <col min="5397" max="5400" width="11" bestFit="1" customWidth="1"/>
    <col min="5636" max="5636" width="5.140625" bestFit="1" customWidth="1"/>
    <col min="5637" max="5637" width="9.7109375" bestFit="1" customWidth="1"/>
    <col min="5638" max="5638" width="7.85546875" bestFit="1" customWidth="1"/>
    <col min="5639" max="5639" width="7.42578125" bestFit="1" customWidth="1"/>
    <col min="5640" max="5640" width="10.140625" bestFit="1" customWidth="1"/>
    <col min="5641" max="5641" width="9.7109375" bestFit="1" customWidth="1"/>
    <col min="5642" max="5643" width="9.42578125" bestFit="1" customWidth="1"/>
    <col min="5644" max="5644" width="10.140625" bestFit="1" customWidth="1"/>
    <col min="5645" max="5648" width="20.42578125" bestFit="1" customWidth="1"/>
    <col min="5649" max="5652" width="28" bestFit="1" customWidth="1"/>
    <col min="5653" max="5656" width="11" bestFit="1" customWidth="1"/>
    <col min="5892" max="5892" width="5.140625" bestFit="1" customWidth="1"/>
    <col min="5893" max="5893" width="9.7109375" bestFit="1" customWidth="1"/>
    <col min="5894" max="5894" width="7.85546875" bestFit="1" customWidth="1"/>
    <col min="5895" max="5895" width="7.42578125" bestFit="1" customWidth="1"/>
    <col min="5896" max="5896" width="10.140625" bestFit="1" customWidth="1"/>
    <col min="5897" max="5897" width="9.7109375" bestFit="1" customWidth="1"/>
    <col min="5898" max="5899" width="9.42578125" bestFit="1" customWidth="1"/>
    <col min="5900" max="5900" width="10.140625" bestFit="1" customWidth="1"/>
    <col min="5901" max="5904" width="20.42578125" bestFit="1" customWidth="1"/>
    <col min="5905" max="5908" width="28" bestFit="1" customWidth="1"/>
    <col min="5909" max="5912" width="11" bestFit="1" customWidth="1"/>
    <col min="6148" max="6148" width="5.140625" bestFit="1" customWidth="1"/>
    <col min="6149" max="6149" width="9.7109375" bestFit="1" customWidth="1"/>
    <col min="6150" max="6150" width="7.85546875" bestFit="1" customWidth="1"/>
    <col min="6151" max="6151" width="7.42578125" bestFit="1" customWidth="1"/>
    <col min="6152" max="6152" width="10.140625" bestFit="1" customWidth="1"/>
    <col min="6153" max="6153" width="9.7109375" bestFit="1" customWidth="1"/>
    <col min="6154" max="6155" width="9.42578125" bestFit="1" customWidth="1"/>
    <col min="6156" max="6156" width="10.140625" bestFit="1" customWidth="1"/>
    <col min="6157" max="6160" width="20.42578125" bestFit="1" customWidth="1"/>
    <col min="6161" max="6164" width="28" bestFit="1" customWidth="1"/>
    <col min="6165" max="6168" width="11" bestFit="1" customWidth="1"/>
    <col min="6404" max="6404" width="5.140625" bestFit="1" customWidth="1"/>
    <col min="6405" max="6405" width="9.7109375" bestFit="1" customWidth="1"/>
    <col min="6406" max="6406" width="7.85546875" bestFit="1" customWidth="1"/>
    <col min="6407" max="6407" width="7.42578125" bestFit="1" customWidth="1"/>
    <col min="6408" max="6408" width="10.140625" bestFit="1" customWidth="1"/>
    <col min="6409" max="6409" width="9.7109375" bestFit="1" customWidth="1"/>
    <col min="6410" max="6411" width="9.42578125" bestFit="1" customWidth="1"/>
    <col min="6412" max="6412" width="10.140625" bestFit="1" customWidth="1"/>
    <col min="6413" max="6416" width="20.42578125" bestFit="1" customWidth="1"/>
    <col min="6417" max="6420" width="28" bestFit="1" customWidth="1"/>
    <col min="6421" max="6424" width="11" bestFit="1" customWidth="1"/>
    <col min="6660" max="6660" width="5.140625" bestFit="1" customWidth="1"/>
    <col min="6661" max="6661" width="9.7109375" bestFit="1" customWidth="1"/>
    <col min="6662" max="6662" width="7.85546875" bestFit="1" customWidth="1"/>
    <col min="6663" max="6663" width="7.42578125" bestFit="1" customWidth="1"/>
    <col min="6664" max="6664" width="10.140625" bestFit="1" customWidth="1"/>
    <col min="6665" max="6665" width="9.7109375" bestFit="1" customWidth="1"/>
    <col min="6666" max="6667" width="9.42578125" bestFit="1" customWidth="1"/>
    <col min="6668" max="6668" width="10.140625" bestFit="1" customWidth="1"/>
    <col min="6669" max="6672" width="20.42578125" bestFit="1" customWidth="1"/>
    <col min="6673" max="6676" width="28" bestFit="1" customWidth="1"/>
    <col min="6677" max="6680" width="11" bestFit="1" customWidth="1"/>
    <col min="6916" max="6916" width="5.140625" bestFit="1" customWidth="1"/>
    <col min="6917" max="6917" width="9.7109375" bestFit="1" customWidth="1"/>
    <col min="6918" max="6918" width="7.85546875" bestFit="1" customWidth="1"/>
    <col min="6919" max="6919" width="7.42578125" bestFit="1" customWidth="1"/>
    <col min="6920" max="6920" width="10.140625" bestFit="1" customWidth="1"/>
    <col min="6921" max="6921" width="9.7109375" bestFit="1" customWidth="1"/>
    <col min="6922" max="6923" width="9.42578125" bestFit="1" customWidth="1"/>
    <col min="6924" max="6924" width="10.140625" bestFit="1" customWidth="1"/>
    <col min="6925" max="6928" width="20.42578125" bestFit="1" customWidth="1"/>
    <col min="6929" max="6932" width="28" bestFit="1" customWidth="1"/>
    <col min="6933" max="6936" width="11" bestFit="1" customWidth="1"/>
    <col min="7172" max="7172" width="5.140625" bestFit="1" customWidth="1"/>
    <col min="7173" max="7173" width="9.7109375" bestFit="1" customWidth="1"/>
    <col min="7174" max="7174" width="7.85546875" bestFit="1" customWidth="1"/>
    <col min="7175" max="7175" width="7.42578125" bestFit="1" customWidth="1"/>
    <col min="7176" max="7176" width="10.140625" bestFit="1" customWidth="1"/>
    <col min="7177" max="7177" width="9.7109375" bestFit="1" customWidth="1"/>
    <col min="7178" max="7179" width="9.42578125" bestFit="1" customWidth="1"/>
    <col min="7180" max="7180" width="10.140625" bestFit="1" customWidth="1"/>
    <col min="7181" max="7184" width="20.42578125" bestFit="1" customWidth="1"/>
    <col min="7185" max="7188" width="28" bestFit="1" customWidth="1"/>
    <col min="7189" max="7192" width="11" bestFit="1" customWidth="1"/>
    <col min="7428" max="7428" width="5.140625" bestFit="1" customWidth="1"/>
    <col min="7429" max="7429" width="9.7109375" bestFit="1" customWidth="1"/>
    <col min="7430" max="7430" width="7.85546875" bestFit="1" customWidth="1"/>
    <col min="7431" max="7431" width="7.42578125" bestFit="1" customWidth="1"/>
    <col min="7432" max="7432" width="10.140625" bestFit="1" customWidth="1"/>
    <col min="7433" max="7433" width="9.7109375" bestFit="1" customWidth="1"/>
    <col min="7434" max="7435" width="9.42578125" bestFit="1" customWidth="1"/>
    <col min="7436" max="7436" width="10.140625" bestFit="1" customWidth="1"/>
    <col min="7437" max="7440" width="20.42578125" bestFit="1" customWidth="1"/>
    <col min="7441" max="7444" width="28" bestFit="1" customWidth="1"/>
    <col min="7445" max="7448" width="11" bestFit="1" customWidth="1"/>
    <col min="7684" max="7684" width="5.140625" bestFit="1" customWidth="1"/>
    <col min="7685" max="7685" width="9.7109375" bestFit="1" customWidth="1"/>
    <col min="7686" max="7686" width="7.85546875" bestFit="1" customWidth="1"/>
    <col min="7687" max="7687" width="7.42578125" bestFit="1" customWidth="1"/>
    <col min="7688" max="7688" width="10.140625" bestFit="1" customWidth="1"/>
    <col min="7689" max="7689" width="9.7109375" bestFit="1" customWidth="1"/>
    <col min="7690" max="7691" width="9.42578125" bestFit="1" customWidth="1"/>
    <col min="7692" max="7692" width="10.140625" bestFit="1" customWidth="1"/>
    <col min="7693" max="7696" width="20.42578125" bestFit="1" customWidth="1"/>
    <col min="7697" max="7700" width="28" bestFit="1" customWidth="1"/>
    <col min="7701" max="7704" width="11" bestFit="1" customWidth="1"/>
    <col min="7940" max="7940" width="5.140625" bestFit="1" customWidth="1"/>
    <col min="7941" max="7941" width="9.7109375" bestFit="1" customWidth="1"/>
    <col min="7942" max="7942" width="7.85546875" bestFit="1" customWidth="1"/>
    <col min="7943" max="7943" width="7.42578125" bestFit="1" customWidth="1"/>
    <col min="7944" max="7944" width="10.140625" bestFit="1" customWidth="1"/>
    <col min="7945" max="7945" width="9.7109375" bestFit="1" customWidth="1"/>
    <col min="7946" max="7947" width="9.42578125" bestFit="1" customWidth="1"/>
    <col min="7948" max="7948" width="10.140625" bestFit="1" customWidth="1"/>
    <col min="7949" max="7952" width="20.42578125" bestFit="1" customWidth="1"/>
    <col min="7953" max="7956" width="28" bestFit="1" customWidth="1"/>
    <col min="7957" max="7960" width="11" bestFit="1" customWidth="1"/>
    <col min="8196" max="8196" width="5.140625" bestFit="1" customWidth="1"/>
    <col min="8197" max="8197" width="9.7109375" bestFit="1" customWidth="1"/>
    <col min="8198" max="8198" width="7.85546875" bestFit="1" customWidth="1"/>
    <col min="8199" max="8199" width="7.42578125" bestFit="1" customWidth="1"/>
    <col min="8200" max="8200" width="10.140625" bestFit="1" customWidth="1"/>
    <col min="8201" max="8201" width="9.7109375" bestFit="1" customWidth="1"/>
    <col min="8202" max="8203" width="9.42578125" bestFit="1" customWidth="1"/>
    <col min="8204" max="8204" width="10.140625" bestFit="1" customWidth="1"/>
    <col min="8205" max="8208" width="20.42578125" bestFit="1" customWidth="1"/>
    <col min="8209" max="8212" width="28" bestFit="1" customWidth="1"/>
    <col min="8213" max="8216" width="11" bestFit="1" customWidth="1"/>
    <col min="8452" max="8452" width="5.140625" bestFit="1" customWidth="1"/>
    <col min="8453" max="8453" width="9.7109375" bestFit="1" customWidth="1"/>
    <col min="8454" max="8454" width="7.85546875" bestFit="1" customWidth="1"/>
    <col min="8455" max="8455" width="7.42578125" bestFit="1" customWidth="1"/>
    <col min="8456" max="8456" width="10.140625" bestFit="1" customWidth="1"/>
    <col min="8457" max="8457" width="9.7109375" bestFit="1" customWidth="1"/>
    <col min="8458" max="8459" width="9.42578125" bestFit="1" customWidth="1"/>
    <col min="8460" max="8460" width="10.140625" bestFit="1" customWidth="1"/>
    <col min="8461" max="8464" width="20.42578125" bestFit="1" customWidth="1"/>
    <col min="8465" max="8468" width="28" bestFit="1" customWidth="1"/>
    <col min="8469" max="8472" width="11" bestFit="1" customWidth="1"/>
    <col min="8708" max="8708" width="5.140625" bestFit="1" customWidth="1"/>
    <col min="8709" max="8709" width="9.7109375" bestFit="1" customWidth="1"/>
    <col min="8710" max="8710" width="7.85546875" bestFit="1" customWidth="1"/>
    <col min="8711" max="8711" width="7.42578125" bestFit="1" customWidth="1"/>
    <col min="8712" max="8712" width="10.140625" bestFit="1" customWidth="1"/>
    <col min="8713" max="8713" width="9.7109375" bestFit="1" customWidth="1"/>
    <col min="8714" max="8715" width="9.42578125" bestFit="1" customWidth="1"/>
    <col min="8716" max="8716" width="10.140625" bestFit="1" customWidth="1"/>
    <col min="8717" max="8720" width="20.42578125" bestFit="1" customWidth="1"/>
    <col min="8721" max="8724" width="28" bestFit="1" customWidth="1"/>
    <col min="8725" max="8728" width="11" bestFit="1" customWidth="1"/>
    <col min="8964" max="8964" width="5.140625" bestFit="1" customWidth="1"/>
    <col min="8965" max="8965" width="9.7109375" bestFit="1" customWidth="1"/>
    <col min="8966" max="8966" width="7.85546875" bestFit="1" customWidth="1"/>
    <col min="8967" max="8967" width="7.42578125" bestFit="1" customWidth="1"/>
    <col min="8968" max="8968" width="10.140625" bestFit="1" customWidth="1"/>
    <col min="8969" max="8969" width="9.7109375" bestFit="1" customWidth="1"/>
    <col min="8970" max="8971" width="9.42578125" bestFit="1" customWidth="1"/>
    <col min="8972" max="8972" width="10.140625" bestFit="1" customWidth="1"/>
    <col min="8973" max="8976" width="20.42578125" bestFit="1" customWidth="1"/>
    <col min="8977" max="8980" width="28" bestFit="1" customWidth="1"/>
    <col min="8981" max="8984" width="11" bestFit="1" customWidth="1"/>
    <col min="9220" max="9220" width="5.140625" bestFit="1" customWidth="1"/>
    <col min="9221" max="9221" width="9.7109375" bestFit="1" customWidth="1"/>
    <col min="9222" max="9222" width="7.85546875" bestFit="1" customWidth="1"/>
    <col min="9223" max="9223" width="7.42578125" bestFit="1" customWidth="1"/>
    <col min="9224" max="9224" width="10.140625" bestFit="1" customWidth="1"/>
    <col min="9225" max="9225" width="9.7109375" bestFit="1" customWidth="1"/>
    <col min="9226" max="9227" width="9.42578125" bestFit="1" customWidth="1"/>
    <col min="9228" max="9228" width="10.140625" bestFit="1" customWidth="1"/>
    <col min="9229" max="9232" width="20.42578125" bestFit="1" customWidth="1"/>
    <col min="9233" max="9236" width="28" bestFit="1" customWidth="1"/>
    <col min="9237" max="9240" width="11" bestFit="1" customWidth="1"/>
    <col min="9476" max="9476" width="5.140625" bestFit="1" customWidth="1"/>
    <col min="9477" max="9477" width="9.7109375" bestFit="1" customWidth="1"/>
    <col min="9478" max="9478" width="7.85546875" bestFit="1" customWidth="1"/>
    <col min="9479" max="9479" width="7.42578125" bestFit="1" customWidth="1"/>
    <col min="9480" max="9480" width="10.140625" bestFit="1" customWidth="1"/>
    <col min="9481" max="9481" width="9.7109375" bestFit="1" customWidth="1"/>
    <col min="9482" max="9483" width="9.42578125" bestFit="1" customWidth="1"/>
    <col min="9484" max="9484" width="10.140625" bestFit="1" customWidth="1"/>
    <col min="9485" max="9488" width="20.42578125" bestFit="1" customWidth="1"/>
    <col min="9489" max="9492" width="28" bestFit="1" customWidth="1"/>
    <col min="9493" max="9496" width="11" bestFit="1" customWidth="1"/>
    <col min="9732" max="9732" width="5.140625" bestFit="1" customWidth="1"/>
    <col min="9733" max="9733" width="9.7109375" bestFit="1" customWidth="1"/>
    <col min="9734" max="9734" width="7.85546875" bestFit="1" customWidth="1"/>
    <col min="9735" max="9735" width="7.42578125" bestFit="1" customWidth="1"/>
    <col min="9736" max="9736" width="10.140625" bestFit="1" customWidth="1"/>
    <col min="9737" max="9737" width="9.7109375" bestFit="1" customWidth="1"/>
    <col min="9738" max="9739" width="9.42578125" bestFit="1" customWidth="1"/>
    <col min="9740" max="9740" width="10.140625" bestFit="1" customWidth="1"/>
    <col min="9741" max="9744" width="20.42578125" bestFit="1" customWidth="1"/>
    <col min="9745" max="9748" width="28" bestFit="1" customWidth="1"/>
    <col min="9749" max="9752" width="11" bestFit="1" customWidth="1"/>
    <col min="9988" max="9988" width="5.140625" bestFit="1" customWidth="1"/>
    <col min="9989" max="9989" width="9.7109375" bestFit="1" customWidth="1"/>
    <col min="9990" max="9990" width="7.85546875" bestFit="1" customWidth="1"/>
    <col min="9991" max="9991" width="7.42578125" bestFit="1" customWidth="1"/>
    <col min="9992" max="9992" width="10.140625" bestFit="1" customWidth="1"/>
    <col min="9993" max="9993" width="9.7109375" bestFit="1" customWidth="1"/>
    <col min="9994" max="9995" width="9.42578125" bestFit="1" customWidth="1"/>
    <col min="9996" max="9996" width="10.140625" bestFit="1" customWidth="1"/>
    <col min="9997" max="10000" width="20.42578125" bestFit="1" customWidth="1"/>
    <col min="10001" max="10004" width="28" bestFit="1" customWidth="1"/>
    <col min="10005" max="10008" width="11" bestFit="1" customWidth="1"/>
    <col min="10244" max="10244" width="5.140625" bestFit="1" customWidth="1"/>
    <col min="10245" max="10245" width="9.7109375" bestFit="1" customWidth="1"/>
    <col min="10246" max="10246" width="7.85546875" bestFit="1" customWidth="1"/>
    <col min="10247" max="10247" width="7.42578125" bestFit="1" customWidth="1"/>
    <col min="10248" max="10248" width="10.140625" bestFit="1" customWidth="1"/>
    <col min="10249" max="10249" width="9.7109375" bestFit="1" customWidth="1"/>
    <col min="10250" max="10251" width="9.42578125" bestFit="1" customWidth="1"/>
    <col min="10252" max="10252" width="10.140625" bestFit="1" customWidth="1"/>
    <col min="10253" max="10256" width="20.42578125" bestFit="1" customWidth="1"/>
    <col min="10257" max="10260" width="28" bestFit="1" customWidth="1"/>
    <col min="10261" max="10264" width="11" bestFit="1" customWidth="1"/>
    <col min="10500" max="10500" width="5.140625" bestFit="1" customWidth="1"/>
    <col min="10501" max="10501" width="9.7109375" bestFit="1" customWidth="1"/>
    <col min="10502" max="10502" width="7.85546875" bestFit="1" customWidth="1"/>
    <col min="10503" max="10503" width="7.42578125" bestFit="1" customWidth="1"/>
    <col min="10504" max="10504" width="10.140625" bestFit="1" customWidth="1"/>
    <col min="10505" max="10505" width="9.7109375" bestFit="1" customWidth="1"/>
    <col min="10506" max="10507" width="9.42578125" bestFit="1" customWidth="1"/>
    <col min="10508" max="10508" width="10.140625" bestFit="1" customWidth="1"/>
    <col min="10509" max="10512" width="20.42578125" bestFit="1" customWidth="1"/>
    <col min="10513" max="10516" width="28" bestFit="1" customWidth="1"/>
    <col min="10517" max="10520" width="11" bestFit="1" customWidth="1"/>
    <col min="10756" max="10756" width="5.140625" bestFit="1" customWidth="1"/>
    <col min="10757" max="10757" width="9.7109375" bestFit="1" customWidth="1"/>
    <col min="10758" max="10758" width="7.85546875" bestFit="1" customWidth="1"/>
    <col min="10759" max="10759" width="7.42578125" bestFit="1" customWidth="1"/>
    <col min="10760" max="10760" width="10.140625" bestFit="1" customWidth="1"/>
    <col min="10761" max="10761" width="9.7109375" bestFit="1" customWidth="1"/>
    <col min="10762" max="10763" width="9.42578125" bestFit="1" customWidth="1"/>
    <col min="10764" max="10764" width="10.140625" bestFit="1" customWidth="1"/>
    <col min="10765" max="10768" width="20.42578125" bestFit="1" customWidth="1"/>
    <col min="10769" max="10772" width="28" bestFit="1" customWidth="1"/>
    <col min="10773" max="10776" width="11" bestFit="1" customWidth="1"/>
    <col min="11012" max="11012" width="5.140625" bestFit="1" customWidth="1"/>
    <col min="11013" max="11013" width="9.7109375" bestFit="1" customWidth="1"/>
    <col min="11014" max="11014" width="7.85546875" bestFit="1" customWidth="1"/>
    <col min="11015" max="11015" width="7.42578125" bestFit="1" customWidth="1"/>
    <col min="11016" max="11016" width="10.140625" bestFit="1" customWidth="1"/>
    <col min="11017" max="11017" width="9.7109375" bestFit="1" customWidth="1"/>
    <col min="11018" max="11019" width="9.42578125" bestFit="1" customWidth="1"/>
    <col min="11020" max="11020" width="10.140625" bestFit="1" customWidth="1"/>
    <col min="11021" max="11024" width="20.42578125" bestFit="1" customWidth="1"/>
    <col min="11025" max="11028" width="28" bestFit="1" customWidth="1"/>
    <col min="11029" max="11032" width="11" bestFit="1" customWidth="1"/>
    <col min="11268" max="11268" width="5.140625" bestFit="1" customWidth="1"/>
    <col min="11269" max="11269" width="9.7109375" bestFit="1" customWidth="1"/>
    <col min="11270" max="11270" width="7.85546875" bestFit="1" customWidth="1"/>
    <col min="11271" max="11271" width="7.42578125" bestFit="1" customWidth="1"/>
    <col min="11272" max="11272" width="10.140625" bestFit="1" customWidth="1"/>
    <col min="11273" max="11273" width="9.7109375" bestFit="1" customWidth="1"/>
    <col min="11274" max="11275" width="9.42578125" bestFit="1" customWidth="1"/>
    <col min="11276" max="11276" width="10.140625" bestFit="1" customWidth="1"/>
    <col min="11277" max="11280" width="20.42578125" bestFit="1" customWidth="1"/>
    <col min="11281" max="11284" width="28" bestFit="1" customWidth="1"/>
    <col min="11285" max="11288" width="11" bestFit="1" customWidth="1"/>
    <col min="11524" max="11524" width="5.140625" bestFit="1" customWidth="1"/>
    <col min="11525" max="11525" width="9.7109375" bestFit="1" customWidth="1"/>
    <col min="11526" max="11526" width="7.85546875" bestFit="1" customWidth="1"/>
    <col min="11527" max="11527" width="7.42578125" bestFit="1" customWidth="1"/>
    <col min="11528" max="11528" width="10.140625" bestFit="1" customWidth="1"/>
    <col min="11529" max="11529" width="9.7109375" bestFit="1" customWidth="1"/>
    <col min="11530" max="11531" width="9.42578125" bestFit="1" customWidth="1"/>
    <col min="11532" max="11532" width="10.140625" bestFit="1" customWidth="1"/>
    <col min="11533" max="11536" width="20.42578125" bestFit="1" customWidth="1"/>
    <col min="11537" max="11540" width="28" bestFit="1" customWidth="1"/>
    <col min="11541" max="11544" width="11" bestFit="1" customWidth="1"/>
    <col min="11780" max="11780" width="5.140625" bestFit="1" customWidth="1"/>
    <col min="11781" max="11781" width="9.7109375" bestFit="1" customWidth="1"/>
    <col min="11782" max="11782" width="7.85546875" bestFit="1" customWidth="1"/>
    <col min="11783" max="11783" width="7.42578125" bestFit="1" customWidth="1"/>
    <col min="11784" max="11784" width="10.140625" bestFit="1" customWidth="1"/>
    <col min="11785" max="11785" width="9.7109375" bestFit="1" customWidth="1"/>
    <col min="11786" max="11787" width="9.42578125" bestFit="1" customWidth="1"/>
    <col min="11788" max="11788" width="10.140625" bestFit="1" customWidth="1"/>
    <col min="11789" max="11792" width="20.42578125" bestFit="1" customWidth="1"/>
    <col min="11793" max="11796" width="28" bestFit="1" customWidth="1"/>
    <col min="11797" max="11800" width="11" bestFit="1" customWidth="1"/>
    <col min="12036" max="12036" width="5.140625" bestFit="1" customWidth="1"/>
    <col min="12037" max="12037" width="9.7109375" bestFit="1" customWidth="1"/>
    <col min="12038" max="12038" width="7.85546875" bestFit="1" customWidth="1"/>
    <col min="12039" max="12039" width="7.42578125" bestFit="1" customWidth="1"/>
    <col min="12040" max="12040" width="10.140625" bestFit="1" customWidth="1"/>
    <col min="12041" max="12041" width="9.7109375" bestFit="1" customWidth="1"/>
    <col min="12042" max="12043" width="9.42578125" bestFit="1" customWidth="1"/>
    <col min="12044" max="12044" width="10.140625" bestFit="1" customWidth="1"/>
    <col min="12045" max="12048" width="20.42578125" bestFit="1" customWidth="1"/>
    <col min="12049" max="12052" width="28" bestFit="1" customWidth="1"/>
    <col min="12053" max="12056" width="11" bestFit="1" customWidth="1"/>
    <col min="12292" max="12292" width="5.140625" bestFit="1" customWidth="1"/>
    <col min="12293" max="12293" width="9.7109375" bestFit="1" customWidth="1"/>
    <col min="12294" max="12294" width="7.85546875" bestFit="1" customWidth="1"/>
    <col min="12295" max="12295" width="7.42578125" bestFit="1" customWidth="1"/>
    <col min="12296" max="12296" width="10.140625" bestFit="1" customWidth="1"/>
    <col min="12297" max="12297" width="9.7109375" bestFit="1" customWidth="1"/>
    <col min="12298" max="12299" width="9.42578125" bestFit="1" customWidth="1"/>
    <col min="12300" max="12300" width="10.140625" bestFit="1" customWidth="1"/>
    <col min="12301" max="12304" width="20.42578125" bestFit="1" customWidth="1"/>
    <col min="12305" max="12308" width="28" bestFit="1" customWidth="1"/>
    <col min="12309" max="12312" width="11" bestFit="1" customWidth="1"/>
    <col min="12548" max="12548" width="5.140625" bestFit="1" customWidth="1"/>
    <col min="12549" max="12549" width="9.7109375" bestFit="1" customWidth="1"/>
    <col min="12550" max="12550" width="7.85546875" bestFit="1" customWidth="1"/>
    <col min="12551" max="12551" width="7.42578125" bestFit="1" customWidth="1"/>
    <col min="12552" max="12552" width="10.140625" bestFit="1" customWidth="1"/>
    <col min="12553" max="12553" width="9.7109375" bestFit="1" customWidth="1"/>
    <col min="12554" max="12555" width="9.42578125" bestFit="1" customWidth="1"/>
    <col min="12556" max="12556" width="10.140625" bestFit="1" customWidth="1"/>
    <col min="12557" max="12560" width="20.42578125" bestFit="1" customWidth="1"/>
    <col min="12561" max="12564" width="28" bestFit="1" customWidth="1"/>
    <col min="12565" max="12568" width="11" bestFit="1" customWidth="1"/>
    <col min="12804" max="12804" width="5.140625" bestFit="1" customWidth="1"/>
    <col min="12805" max="12805" width="9.7109375" bestFit="1" customWidth="1"/>
    <col min="12806" max="12806" width="7.85546875" bestFit="1" customWidth="1"/>
    <col min="12807" max="12807" width="7.42578125" bestFit="1" customWidth="1"/>
    <col min="12808" max="12808" width="10.140625" bestFit="1" customWidth="1"/>
    <col min="12809" max="12809" width="9.7109375" bestFit="1" customWidth="1"/>
    <col min="12810" max="12811" width="9.42578125" bestFit="1" customWidth="1"/>
    <col min="12812" max="12812" width="10.140625" bestFit="1" customWidth="1"/>
    <col min="12813" max="12816" width="20.42578125" bestFit="1" customWidth="1"/>
    <col min="12817" max="12820" width="28" bestFit="1" customWidth="1"/>
    <col min="12821" max="12824" width="11" bestFit="1" customWidth="1"/>
    <col min="13060" max="13060" width="5.140625" bestFit="1" customWidth="1"/>
    <col min="13061" max="13061" width="9.7109375" bestFit="1" customWidth="1"/>
    <col min="13062" max="13062" width="7.85546875" bestFit="1" customWidth="1"/>
    <col min="13063" max="13063" width="7.42578125" bestFit="1" customWidth="1"/>
    <col min="13064" max="13064" width="10.140625" bestFit="1" customWidth="1"/>
    <col min="13065" max="13065" width="9.7109375" bestFit="1" customWidth="1"/>
    <col min="13066" max="13067" width="9.42578125" bestFit="1" customWidth="1"/>
    <col min="13068" max="13068" width="10.140625" bestFit="1" customWidth="1"/>
    <col min="13069" max="13072" width="20.42578125" bestFit="1" customWidth="1"/>
    <col min="13073" max="13076" width="28" bestFit="1" customWidth="1"/>
    <col min="13077" max="13080" width="11" bestFit="1" customWidth="1"/>
    <col min="13316" max="13316" width="5.140625" bestFit="1" customWidth="1"/>
    <col min="13317" max="13317" width="9.7109375" bestFit="1" customWidth="1"/>
    <col min="13318" max="13318" width="7.85546875" bestFit="1" customWidth="1"/>
    <col min="13319" max="13319" width="7.42578125" bestFit="1" customWidth="1"/>
    <col min="13320" max="13320" width="10.140625" bestFit="1" customWidth="1"/>
    <col min="13321" max="13321" width="9.7109375" bestFit="1" customWidth="1"/>
    <col min="13322" max="13323" width="9.42578125" bestFit="1" customWidth="1"/>
    <col min="13324" max="13324" width="10.140625" bestFit="1" customWidth="1"/>
    <col min="13325" max="13328" width="20.42578125" bestFit="1" customWidth="1"/>
    <col min="13329" max="13332" width="28" bestFit="1" customWidth="1"/>
    <col min="13333" max="13336" width="11" bestFit="1" customWidth="1"/>
    <col min="13572" max="13572" width="5.140625" bestFit="1" customWidth="1"/>
    <col min="13573" max="13573" width="9.7109375" bestFit="1" customWidth="1"/>
    <col min="13574" max="13574" width="7.85546875" bestFit="1" customWidth="1"/>
    <col min="13575" max="13575" width="7.42578125" bestFit="1" customWidth="1"/>
    <col min="13576" max="13576" width="10.140625" bestFit="1" customWidth="1"/>
    <col min="13577" max="13577" width="9.7109375" bestFit="1" customWidth="1"/>
    <col min="13578" max="13579" width="9.42578125" bestFit="1" customWidth="1"/>
    <col min="13580" max="13580" width="10.140625" bestFit="1" customWidth="1"/>
    <col min="13581" max="13584" width="20.42578125" bestFit="1" customWidth="1"/>
    <col min="13585" max="13588" width="28" bestFit="1" customWidth="1"/>
    <col min="13589" max="13592" width="11" bestFit="1" customWidth="1"/>
    <col min="13828" max="13828" width="5.140625" bestFit="1" customWidth="1"/>
    <col min="13829" max="13829" width="9.7109375" bestFit="1" customWidth="1"/>
    <col min="13830" max="13830" width="7.85546875" bestFit="1" customWidth="1"/>
    <col min="13831" max="13831" width="7.42578125" bestFit="1" customWidth="1"/>
    <col min="13832" max="13832" width="10.140625" bestFit="1" customWidth="1"/>
    <col min="13833" max="13833" width="9.7109375" bestFit="1" customWidth="1"/>
    <col min="13834" max="13835" width="9.42578125" bestFit="1" customWidth="1"/>
    <col min="13836" max="13836" width="10.140625" bestFit="1" customWidth="1"/>
    <col min="13837" max="13840" width="20.42578125" bestFit="1" customWidth="1"/>
    <col min="13841" max="13844" width="28" bestFit="1" customWidth="1"/>
    <col min="13845" max="13848" width="11" bestFit="1" customWidth="1"/>
    <col min="14084" max="14084" width="5.140625" bestFit="1" customWidth="1"/>
    <col min="14085" max="14085" width="9.7109375" bestFit="1" customWidth="1"/>
    <col min="14086" max="14086" width="7.85546875" bestFit="1" customWidth="1"/>
    <col min="14087" max="14087" width="7.42578125" bestFit="1" customWidth="1"/>
    <col min="14088" max="14088" width="10.140625" bestFit="1" customWidth="1"/>
    <col min="14089" max="14089" width="9.7109375" bestFit="1" customWidth="1"/>
    <col min="14090" max="14091" width="9.42578125" bestFit="1" customWidth="1"/>
    <col min="14092" max="14092" width="10.140625" bestFit="1" customWidth="1"/>
    <col min="14093" max="14096" width="20.42578125" bestFit="1" customWidth="1"/>
    <col min="14097" max="14100" width="28" bestFit="1" customWidth="1"/>
    <col min="14101" max="14104" width="11" bestFit="1" customWidth="1"/>
    <col min="14340" max="14340" width="5.140625" bestFit="1" customWidth="1"/>
    <col min="14341" max="14341" width="9.7109375" bestFit="1" customWidth="1"/>
    <col min="14342" max="14342" width="7.85546875" bestFit="1" customWidth="1"/>
    <col min="14343" max="14343" width="7.42578125" bestFit="1" customWidth="1"/>
    <col min="14344" max="14344" width="10.140625" bestFit="1" customWidth="1"/>
    <col min="14345" max="14345" width="9.7109375" bestFit="1" customWidth="1"/>
    <col min="14346" max="14347" width="9.42578125" bestFit="1" customWidth="1"/>
    <col min="14348" max="14348" width="10.140625" bestFit="1" customWidth="1"/>
    <col min="14349" max="14352" width="20.42578125" bestFit="1" customWidth="1"/>
    <col min="14353" max="14356" width="28" bestFit="1" customWidth="1"/>
    <col min="14357" max="14360" width="11" bestFit="1" customWidth="1"/>
    <col min="14596" max="14596" width="5.140625" bestFit="1" customWidth="1"/>
    <col min="14597" max="14597" width="9.7109375" bestFit="1" customWidth="1"/>
    <col min="14598" max="14598" width="7.85546875" bestFit="1" customWidth="1"/>
    <col min="14599" max="14599" width="7.42578125" bestFit="1" customWidth="1"/>
    <col min="14600" max="14600" width="10.140625" bestFit="1" customWidth="1"/>
    <col min="14601" max="14601" width="9.7109375" bestFit="1" customWidth="1"/>
    <col min="14602" max="14603" width="9.42578125" bestFit="1" customWidth="1"/>
    <col min="14604" max="14604" width="10.140625" bestFit="1" customWidth="1"/>
    <col min="14605" max="14608" width="20.42578125" bestFit="1" customWidth="1"/>
    <col min="14609" max="14612" width="28" bestFit="1" customWidth="1"/>
    <col min="14613" max="14616" width="11" bestFit="1" customWidth="1"/>
    <col min="14852" max="14852" width="5.140625" bestFit="1" customWidth="1"/>
    <col min="14853" max="14853" width="9.7109375" bestFit="1" customWidth="1"/>
    <col min="14854" max="14854" width="7.85546875" bestFit="1" customWidth="1"/>
    <col min="14855" max="14855" width="7.42578125" bestFit="1" customWidth="1"/>
    <col min="14856" max="14856" width="10.140625" bestFit="1" customWidth="1"/>
    <col min="14857" max="14857" width="9.7109375" bestFit="1" customWidth="1"/>
    <col min="14858" max="14859" width="9.42578125" bestFit="1" customWidth="1"/>
    <col min="14860" max="14860" width="10.140625" bestFit="1" customWidth="1"/>
    <col min="14861" max="14864" width="20.42578125" bestFit="1" customWidth="1"/>
    <col min="14865" max="14868" width="28" bestFit="1" customWidth="1"/>
    <col min="14869" max="14872" width="11" bestFit="1" customWidth="1"/>
    <col min="15108" max="15108" width="5.140625" bestFit="1" customWidth="1"/>
    <col min="15109" max="15109" width="9.7109375" bestFit="1" customWidth="1"/>
    <col min="15110" max="15110" width="7.85546875" bestFit="1" customWidth="1"/>
    <col min="15111" max="15111" width="7.42578125" bestFit="1" customWidth="1"/>
    <col min="15112" max="15112" width="10.140625" bestFit="1" customWidth="1"/>
    <col min="15113" max="15113" width="9.7109375" bestFit="1" customWidth="1"/>
    <col min="15114" max="15115" width="9.42578125" bestFit="1" customWidth="1"/>
    <col min="15116" max="15116" width="10.140625" bestFit="1" customWidth="1"/>
    <col min="15117" max="15120" width="20.42578125" bestFit="1" customWidth="1"/>
    <col min="15121" max="15124" width="28" bestFit="1" customWidth="1"/>
    <col min="15125" max="15128" width="11" bestFit="1" customWidth="1"/>
    <col min="15364" max="15364" width="5.140625" bestFit="1" customWidth="1"/>
    <col min="15365" max="15365" width="9.7109375" bestFit="1" customWidth="1"/>
    <col min="15366" max="15366" width="7.85546875" bestFit="1" customWidth="1"/>
    <col min="15367" max="15367" width="7.42578125" bestFit="1" customWidth="1"/>
    <col min="15368" max="15368" width="10.140625" bestFit="1" customWidth="1"/>
    <col min="15369" max="15369" width="9.7109375" bestFit="1" customWidth="1"/>
    <col min="15370" max="15371" width="9.42578125" bestFit="1" customWidth="1"/>
    <col min="15372" max="15372" width="10.140625" bestFit="1" customWidth="1"/>
    <col min="15373" max="15376" width="20.42578125" bestFit="1" customWidth="1"/>
    <col min="15377" max="15380" width="28" bestFit="1" customWidth="1"/>
    <col min="15381" max="15384" width="11" bestFit="1" customWidth="1"/>
    <col min="15620" max="15620" width="5.140625" bestFit="1" customWidth="1"/>
    <col min="15621" max="15621" width="9.7109375" bestFit="1" customWidth="1"/>
    <col min="15622" max="15622" width="7.85546875" bestFit="1" customWidth="1"/>
    <col min="15623" max="15623" width="7.42578125" bestFit="1" customWidth="1"/>
    <col min="15624" max="15624" width="10.140625" bestFit="1" customWidth="1"/>
    <col min="15625" max="15625" width="9.7109375" bestFit="1" customWidth="1"/>
    <col min="15626" max="15627" width="9.42578125" bestFit="1" customWidth="1"/>
    <col min="15628" max="15628" width="10.140625" bestFit="1" customWidth="1"/>
    <col min="15629" max="15632" width="20.42578125" bestFit="1" customWidth="1"/>
    <col min="15633" max="15636" width="28" bestFit="1" customWidth="1"/>
    <col min="15637" max="15640" width="11" bestFit="1" customWidth="1"/>
    <col min="15876" max="15876" width="5.140625" bestFit="1" customWidth="1"/>
    <col min="15877" max="15877" width="9.7109375" bestFit="1" customWidth="1"/>
    <col min="15878" max="15878" width="7.85546875" bestFit="1" customWidth="1"/>
    <col min="15879" max="15879" width="7.42578125" bestFit="1" customWidth="1"/>
    <col min="15880" max="15880" width="10.140625" bestFit="1" customWidth="1"/>
    <col min="15881" max="15881" width="9.7109375" bestFit="1" customWidth="1"/>
    <col min="15882" max="15883" width="9.42578125" bestFit="1" customWidth="1"/>
    <col min="15884" max="15884" width="10.140625" bestFit="1" customWidth="1"/>
    <col min="15885" max="15888" width="20.42578125" bestFit="1" customWidth="1"/>
    <col min="15889" max="15892" width="28" bestFit="1" customWidth="1"/>
    <col min="15893" max="15896" width="11" bestFit="1" customWidth="1"/>
    <col min="16132" max="16132" width="5.140625" bestFit="1" customWidth="1"/>
    <col min="16133" max="16133" width="9.7109375" bestFit="1" customWidth="1"/>
    <col min="16134" max="16134" width="7.85546875" bestFit="1" customWidth="1"/>
    <col min="16135" max="16135" width="7.42578125" bestFit="1" customWidth="1"/>
    <col min="16136" max="16136" width="10.140625" bestFit="1" customWidth="1"/>
    <col min="16137" max="16137" width="9.7109375" bestFit="1" customWidth="1"/>
    <col min="16138" max="16139" width="9.42578125" bestFit="1" customWidth="1"/>
    <col min="16140" max="16140" width="10.140625" bestFit="1" customWidth="1"/>
    <col min="16141" max="16144" width="20.42578125" bestFit="1" customWidth="1"/>
    <col min="16145" max="16148" width="28" bestFit="1" customWidth="1"/>
    <col min="16149" max="16152" width="11" bestFit="1" customWidth="1"/>
  </cols>
  <sheetData>
    <row r="2" spans="1:44">
      <c r="U2" s="11" t="s">
        <v>17</v>
      </c>
      <c r="V2" s="11"/>
      <c r="W2" s="11"/>
      <c r="X2" s="11"/>
      <c r="Y2" s="11"/>
      <c r="Z2" s="11"/>
      <c r="AA2" s="11" t="s">
        <v>17</v>
      </c>
      <c r="AB2" s="11"/>
      <c r="AC2" s="11"/>
      <c r="AD2" s="11"/>
      <c r="AE2" s="11"/>
      <c r="AF2" s="11"/>
      <c r="AG2" s="11" t="s">
        <v>17</v>
      </c>
      <c r="AH2" s="11"/>
      <c r="AI2" s="11"/>
      <c r="AJ2" s="11"/>
      <c r="AK2" s="11"/>
      <c r="AL2" s="11"/>
      <c r="AM2" s="11" t="s">
        <v>17</v>
      </c>
      <c r="AN2" s="11"/>
      <c r="AO2" s="11"/>
      <c r="AP2" s="11"/>
      <c r="AQ2" s="11"/>
      <c r="AR2" s="11"/>
    </row>
    <row r="3" spans="1:44">
      <c r="U3" s="11" t="s">
        <v>18</v>
      </c>
      <c r="V3" s="11"/>
      <c r="W3" s="11"/>
      <c r="X3" s="11"/>
      <c r="Y3" s="11"/>
      <c r="Z3" s="11"/>
      <c r="AA3" s="11" t="s">
        <v>19</v>
      </c>
      <c r="AB3" s="11"/>
      <c r="AC3" s="11"/>
      <c r="AD3" s="11"/>
      <c r="AE3" s="11"/>
      <c r="AF3" s="11"/>
      <c r="AG3" s="11" t="s">
        <v>20</v>
      </c>
      <c r="AH3" s="11"/>
      <c r="AI3" s="11"/>
      <c r="AJ3" s="11"/>
      <c r="AK3" s="11"/>
      <c r="AL3" s="11"/>
      <c r="AM3" s="11" t="s">
        <v>21</v>
      </c>
      <c r="AN3" s="11"/>
      <c r="AO3" s="11"/>
      <c r="AP3" s="11"/>
      <c r="AQ3" s="11"/>
      <c r="AR3" s="11"/>
    </row>
    <row r="4" spans="1:44"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 spans="1:44">
      <c r="U5" s="11" t="s">
        <v>22</v>
      </c>
      <c r="V5" s="11"/>
      <c r="W5" s="11"/>
      <c r="X5" s="11"/>
      <c r="Y5" s="11"/>
      <c r="Z5" s="11"/>
      <c r="AA5" s="11" t="s">
        <v>22</v>
      </c>
      <c r="AB5" s="11"/>
      <c r="AC5" s="11"/>
      <c r="AD5" s="11"/>
      <c r="AE5" s="11"/>
      <c r="AF5" s="11"/>
      <c r="AG5" s="11" t="s">
        <v>22</v>
      </c>
      <c r="AH5" s="11"/>
      <c r="AI5" s="11"/>
      <c r="AJ5" s="11"/>
      <c r="AK5" s="11"/>
      <c r="AL5" s="11"/>
      <c r="AM5" s="11" t="s">
        <v>22</v>
      </c>
      <c r="AN5" s="11"/>
      <c r="AO5" s="11"/>
      <c r="AP5" s="11"/>
      <c r="AQ5" s="11"/>
      <c r="AR5" s="11"/>
    </row>
    <row r="6" spans="1:44">
      <c r="A6" s="12" t="s">
        <v>23</v>
      </c>
      <c r="B6" s="1"/>
      <c r="C6" s="1"/>
      <c r="D6" s="1"/>
      <c r="E6" s="1"/>
      <c r="F6" s="12" t="s">
        <v>24</v>
      </c>
      <c r="G6" s="12"/>
      <c r="H6" s="1"/>
      <c r="I6" s="1"/>
      <c r="J6" s="1"/>
      <c r="K6" s="12" t="s">
        <v>25</v>
      </c>
      <c r="L6" s="1"/>
      <c r="M6" s="1"/>
      <c r="N6" s="1"/>
      <c r="O6" s="1"/>
      <c r="P6" s="12" t="s">
        <v>26</v>
      </c>
      <c r="U6" s="11"/>
      <c r="V6" s="11" t="s">
        <v>27</v>
      </c>
      <c r="W6" s="11" t="s">
        <v>27</v>
      </c>
      <c r="X6" s="11" t="s">
        <v>27</v>
      </c>
      <c r="Y6" s="11" t="s">
        <v>27</v>
      </c>
      <c r="Z6" s="11" t="s">
        <v>27</v>
      </c>
      <c r="AA6" s="11"/>
      <c r="AB6" s="11" t="s">
        <v>28</v>
      </c>
      <c r="AC6" s="11" t="s">
        <v>28</v>
      </c>
      <c r="AD6" s="11" t="s">
        <v>28</v>
      </c>
      <c r="AE6" s="11" t="s">
        <v>28</v>
      </c>
      <c r="AF6" s="11" t="s">
        <v>28</v>
      </c>
      <c r="AG6" s="11"/>
      <c r="AH6" s="11" t="s">
        <v>29</v>
      </c>
      <c r="AI6" s="11" t="s">
        <v>29</v>
      </c>
      <c r="AJ6" s="11" t="s">
        <v>29</v>
      </c>
      <c r="AK6" s="11" t="s">
        <v>29</v>
      </c>
      <c r="AL6" s="11" t="s">
        <v>29</v>
      </c>
      <c r="AM6" s="11"/>
      <c r="AN6" s="11" t="s">
        <v>30</v>
      </c>
      <c r="AO6" s="11" t="s">
        <v>30</v>
      </c>
      <c r="AP6" s="11" t="s">
        <v>30</v>
      </c>
      <c r="AQ6" s="11" t="s">
        <v>30</v>
      </c>
      <c r="AR6" s="11" t="s">
        <v>30</v>
      </c>
    </row>
    <row r="7" spans="1:44">
      <c r="A7" s="17" t="s">
        <v>31</v>
      </c>
      <c r="B7" s="18" t="s">
        <v>28</v>
      </c>
      <c r="C7" s="18" t="s">
        <v>32</v>
      </c>
      <c r="D7" s="18" t="s">
        <v>30</v>
      </c>
      <c r="E7" s="18"/>
      <c r="F7" s="17" t="s">
        <v>31</v>
      </c>
      <c r="G7" s="18" t="s">
        <v>28</v>
      </c>
      <c r="H7" s="18" t="s">
        <v>32</v>
      </c>
      <c r="I7" s="18" t="s">
        <v>30</v>
      </c>
      <c r="J7" s="18"/>
      <c r="K7" s="17" t="s">
        <v>31</v>
      </c>
      <c r="L7" s="18" t="s">
        <v>28</v>
      </c>
      <c r="M7" s="18" t="s">
        <v>32</v>
      </c>
      <c r="N7" s="18" t="s">
        <v>30</v>
      </c>
      <c r="O7" s="18"/>
      <c r="P7" s="17" t="s">
        <v>31</v>
      </c>
      <c r="Q7" s="18" t="s">
        <v>28</v>
      </c>
      <c r="R7" s="18" t="s">
        <v>32</v>
      </c>
      <c r="S7" s="18" t="s">
        <v>30</v>
      </c>
      <c r="U7" s="11"/>
      <c r="V7" s="11" t="s">
        <v>27</v>
      </c>
      <c r="W7" s="11" t="s">
        <v>23</v>
      </c>
      <c r="X7" s="11" t="s">
        <v>24</v>
      </c>
      <c r="Y7" s="11" t="s">
        <v>25</v>
      </c>
      <c r="Z7" s="11" t="s">
        <v>26</v>
      </c>
      <c r="AA7" s="11"/>
      <c r="AB7" s="11" t="s">
        <v>27</v>
      </c>
      <c r="AC7" s="11" t="s">
        <v>23</v>
      </c>
      <c r="AD7" s="11" t="s">
        <v>24</v>
      </c>
      <c r="AE7" s="11" t="s">
        <v>25</v>
      </c>
      <c r="AF7" s="11" t="s">
        <v>26</v>
      </c>
      <c r="AG7" s="11"/>
      <c r="AH7" s="11" t="s">
        <v>27</v>
      </c>
      <c r="AI7" s="11" t="s">
        <v>23</v>
      </c>
      <c r="AJ7" s="11" t="s">
        <v>24</v>
      </c>
      <c r="AK7" s="11" t="s">
        <v>25</v>
      </c>
      <c r="AL7" s="11" t="s">
        <v>26</v>
      </c>
      <c r="AM7" s="11"/>
      <c r="AN7" s="11" t="s">
        <v>27</v>
      </c>
      <c r="AO7" s="11" t="s">
        <v>23</v>
      </c>
      <c r="AP7" s="11" t="s">
        <v>24</v>
      </c>
      <c r="AQ7" s="11" t="s">
        <v>25</v>
      </c>
      <c r="AR7" s="11" t="s">
        <v>26</v>
      </c>
    </row>
    <row r="8" spans="1:44">
      <c r="A8">
        <v>1980</v>
      </c>
      <c r="B8">
        <f>AC8/W8</f>
        <v>0.96905298728469214</v>
      </c>
      <c r="C8">
        <f>AI8/W8</f>
        <v>2.7060218600207291E-2</v>
      </c>
      <c r="D8">
        <f>AO8/W8</f>
        <v>3.8867941151005483E-3</v>
      </c>
      <c r="F8">
        <v>1980</v>
      </c>
      <c r="G8">
        <f>AD8/X8</f>
        <v>0.15878982579320394</v>
      </c>
      <c r="H8">
        <f>AJ8/X8</f>
        <v>0.8269854938067166</v>
      </c>
      <c r="I8">
        <f>AP8/X8</f>
        <v>1.4224680400079485E-2</v>
      </c>
      <c r="K8">
        <v>1980</v>
      </c>
      <c r="L8">
        <f>AE8/Y8</f>
        <v>0.9573875998085416</v>
      </c>
      <c r="M8">
        <f>AK8/Y8</f>
        <v>3.891989208711355E-2</v>
      </c>
      <c r="N8">
        <f>AQ8/Y8</f>
        <v>3.692508104344799E-3</v>
      </c>
      <c r="P8">
        <v>1980</v>
      </c>
      <c r="Q8">
        <f>AF8/Z8</f>
        <v>0.99580993489338976</v>
      </c>
      <c r="R8">
        <f>AL8/Z8</f>
        <v>1.8081159503977133E-3</v>
      </c>
      <c r="S8">
        <f>AR8/Z8</f>
        <v>2.3819491562125563E-3</v>
      </c>
      <c r="U8" s="11">
        <v>1980</v>
      </c>
      <c r="V8" s="16">
        <v>5758330</v>
      </c>
      <c r="W8" s="16">
        <v>3950042</v>
      </c>
      <c r="X8" s="16">
        <v>60388</v>
      </c>
      <c r="Y8" s="16">
        <v>1470816</v>
      </c>
      <c r="Z8" s="16">
        <v>277084</v>
      </c>
      <c r="AA8" s="11">
        <v>1980</v>
      </c>
      <c r="AB8" s="16">
        <v>5521453</v>
      </c>
      <c r="AC8" s="16">
        <v>3827800</v>
      </c>
      <c r="AD8" s="16">
        <v>9589</v>
      </c>
      <c r="AE8" s="16">
        <v>1408141</v>
      </c>
      <c r="AF8" s="16">
        <v>275923</v>
      </c>
      <c r="AG8" s="11">
        <v>1980</v>
      </c>
      <c r="AH8" s="16">
        <v>214574</v>
      </c>
      <c r="AI8" s="16">
        <v>106889</v>
      </c>
      <c r="AJ8" s="16">
        <v>49940</v>
      </c>
      <c r="AK8" s="16">
        <v>57244</v>
      </c>
      <c r="AL8" s="11">
        <v>501</v>
      </c>
      <c r="AM8" s="16">
        <v>1980</v>
      </c>
      <c r="AN8" s="16">
        <v>22303</v>
      </c>
      <c r="AO8" s="16">
        <v>15353</v>
      </c>
      <c r="AP8" s="11">
        <v>859</v>
      </c>
      <c r="AQ8" s="16">
        <v>5431</v>
      </c>
      <c r="AR8" s="11">
        <v>660</v>
      </c>
    </row>
    <row r="9" spans="1:44">
      <c r="A9">
        <v>1981</v>
      </c>
      <c r="B9">
        <f t="shared" ref="B9:B51" si="0">AC9/W9</f>
        <v>0.96792320752722127</v>
      </c>
      <c r="C9">
        <f t="shared" ref="C9:C51" si="1">AI9/W9</f>
        <v>2.8211186210413641E-2</v>
      </c>
      <c r="D9">
        <f t="shared" ref="D9:D51" si="2">AO9/W9</f>
        <v>3.8656062623650682E-3</v>
      </c>
      <c r="F9">
        <v>1981</v>
      </c>
      <c r="G9">
        <f t="shared" ref="G9:G51" si="3">AD9/X9</f>
        <v>0.16202114724577901</v>
      </c>
      <c r="H9">
        <f t="shared" ref="H9:H51" si="4">AJ9/X9</f>
        <v>0.82478875840733845</v>
      </c>
      <c r="I9">
        <f t="shared" ref="I9:I51" si="5">AP9/X9</f>
        <v>1.3190094346882552E-2</v>
      </c>
      <c r="K9">
        <v>1981</v>
      </c>
      <c r="L9">
        <f t="shared" ref="L9:L51" si="6">AE9/Y9</f>
        <v>0.95884596422870316</v>
      </c>
      <c r="M9">
        <f t="shared" ref="M9:M51" si="7">AK9/Y9</f>
        <v>3.7244203826870201E-2</v>
      </c>
      <c r="N9">
        <f t="shared" ref="N9:N51" si="8">AQ9/Y9</f>
        <v>3.9098319444266262E-3</v>
      </c>
      <c r="P9">
        <v>1981</v>
      </c>
      <c r="Q9">
        <f t="shared" ref="Q9:Q51" si="9">AF9/Z9</f>
        <v>0.99563049349125587</v>
      </c>
      <c r="R9">
        <f t="shared" ref="R9:R51" si="10">AL9/Z9</f>
        <v>1.8003985151769548E-3</v>
      </c>
      <c r="S9">
        <f t="shared" ref="S9:S51" si="11">AR9/Z9</f>
        <v>2.5691079935671155E-3</v>
      </c>
      <c r="U9" s="11">
        <v>1981</v>
      </c>
      <c r="V9" s="16">
        <v>6339836</v>
      </c>
      <c r="W9" s="16">
        <v>4341363</v>
      </c>
      <c r="X9" s="16">
        <v>64973</v>
      </c>
      <c r="Y9" s="16">
        <v>1636899</v>
      </c>
      <c r="Z9" s="16">
        <v>296601</v>
      </c>
      <c r="AA9" s="11">
        <v>1981</v>
      </c>
      <c r="AB9" s="16">
        <v>6077472</v>
      </c>
      <c r="AC9" s="16">
        <v>4202106</v>
      </c>
      <c r="AD9" s="16">
        <v>10527</v>
      </c>
      <c r="AE9" s="16">
        <v>1569534</v>
      </c>
      <c r="AF9" s="16">
        <v>295305</v>
      </c>
      <c r="AG9" s="11">
        <v>1981</v>
      </c>
      <c r="AH9" s="16">
        <v>237563</v>
      </c>
      <c r="AI9" s="16">
        <v>122475</v>
      </c>
      <c r="AJ9" s="16">
        <v>53589</v>
      </c>
      <c r="AK9" s="16">
        <v>60965</v>
      </c>
      <c r="AL9" s="11">
        <v>534</v>
      </c>
      <c r="AM9" s="16">
        <v>1981</v>
      </c>
      <c r="AN9" s="16">
        <v>24801</v>
      </c>
      <c r="AO9" s="16">
        <v>16782</v>
      </c>
      <c r="AP9" s="11">
        <v>857</v>
      </c>
      <c r="AQ9" s="16">
        <v>6400</v>
      </c>
      <c r="AR9" s="11">
        <v>762</v>
      </c>
    </row>
    <row r="10" spans="1:44">
      <c r="A10">
        <v>1982</v>
      </c>
      <c r="B10">
        <f t="shared" si="0"/>
        <v>0.96743765347158495</v>
      </c>
      <c r="C10">
        <f t="shared" si="1"/>
        <v>2.9982258646879062E-2</v>
      </c>
      <c r="D10">
        <f t="shared" si="2"/>
        <v>2.5800878815360187E-3</v>
      </c>
      <c r="F10">
        <v>1982</v>
      </c>
      <c r="G10">
        <f t="shared" si="3"/>
        <v>0.15856600176216545</v>
      </c>
      <c r="H10">
        <f t="shared" si="4"/>
        <v>0.82922883595973018</v>
      </c>
      <c r="I10">
        <f t="shared" si="5"/>
        <v>1.2205162278104371E-2</v>
      </c>
      <c r="K10">
        <v>1982</v>
      </c>
      <c r="L10">
        <f t="shared" si="6"/>
        <v>0.96183808758881584</v>
      </c>
      <c r="M10">
        <f t="shared" si="7"/>
        <v>3.5094779709315967E-2</v>
      </c>
      <c r="N10">
        <f t="shared" si="8"/>
        <v>3.067132701868194E-3</v>
      </c>
      <c r="P10">
        <v>1982</v>
      </c>
      <c r="Q10">
        <f t="shared" si="9"/>
        <v>0.99505510525395069</v>
      </c>
      <c r="R10">
        <f t="shared" si="10"/>
        <v>2.1614477034618152E-3</v>
      </c>
      <c r="S10">
        <f t="shared" si="11"/>
        <v>2.7834470425875174E-3</v>
      </c>
      <c r="U10" s="11">
        <v>1982</v>
      </c>
      <c r="V10" s="16">
        <v>6695164</v>
      </c>
      <c r="W10" s="16">
        <v>4616897</v>
      </c>
      <c r="X10" s="16">
        <v>69233</v>
      </c>
      <c r="Y10" s="16">
        <v>1751799</v>
      </c>
      <c r="Z10" s="16">
        <v>257235</v>
      </c>
      <c r="AA10" s="11">
        <v>1982</v>
      </c>
      <c r="AB10" s="16">
        <v>6418448</v>
      </c>
      <c r="AC10" s="16">
        <v>4466560</v>
      </c>
      <c r="AD10" s="16">
        <v>10978</v>
      </c>
      <c r="AE10" s="16">
        <v>1684947</v>
      </c>
      <c r="AF10" s="16">
        <v>255963</v>
      </c>
      <c r="AG10" s="11">
        <v>1982</v>
      </c>
      <c r="AH10" s="16">
        <v>257870</v>
      </c>
      <c r="AI10" s="16">
        <v>138425</v>
      </c>
      <c r="AJ10" s="16">
        <v>57410</v>
      </c>
      <c r="AK10" s="16">
        <v>61479</v>
      </c>
      <c r="AL10" s="11">
        <v>556</v>
      </c>
      <c r="AM10" s="16">
        <v>1982</v>
      </c>
      <c r="AN10" s="16">
        <v>18846</v>
      </c>
      <c r="AO10" s="16">
        <v>11912</v>
      </c>
      <c r="AP10" s="11">
        <v>845</v>
      </c>
      <c r="AQ10" s="16">
        <v>5373</v>
      </c>
      <c r="AR10" s="11">
        <v>716</v>
      </c>
    </row>
    <row r="11" spans="1:44">
      <c r="A11">
        <v>1983</v>
      </c>
      <c r="B11">
        <f t="shared" si="0"/>
        <v>0.96553430679297436</v>
      </c>
      <c r="C11">
        <f t="shared" si="1"/>
        <v>3.1292555005717024E-2</v>
      </c>
      <c r="D11">
        <f t="shared" si="2"/>
        <v>3.1731382013086102E-3</v>
      </c>
      <c r="F11">
        <v>1983</v>
      </c>
      <c r="G11">
        <f t="shared" si="3"/>
        <v>0.14513641589322268</v>
      </c>
      <c r="H11">
        <f t="shared" si="4"/>
        <v>0.83732439783529145</v>
      </c>
      <c r="I11">
        <f t="shared" si="5"/>
        <v>1.7539186271485853E-2</v>
      </c>
      <c r="K11">
        <v>1983</v>
      </c>
      <c r="L11">
        <f t="shared" si="6"/>
        <v>0.96080405407546776</v>
      </c>
      <c r="M11">
        <f t="shared" si="7"/>
        <v>3.4780684193901776E-2</v>
      </c>
      <c r="N11">
        <f t="shared" si="8"/>
        <v>4.4152617306304756E-3</v>
      </c>
      <c r="P11">
        <v>1983</v>
      </c>
      <c r="Q11">
        <f t="shared" si="9"/>
        <v>0.99493780041838997</v>
      </c>
      <c r="R11">
        <f t="shared" si="10"/>
        <v>2.2117181137318153E-3</v>
      </c>
      <c r="S11">
        <f t="shared" si="11"/>
        <v>2.8504814678781878E-3</v>
      </c>
      <c r="U11" s="11">
        <v>1983</v>
      </c>
      <c r="V11" s="16">
        <v>6941252</v>
      </c>
      <c r="W11" s="16">
        <v>4726236</v>
      </c>
      <c r="X11" s="16">
        <v>71326</v>
      </c>
      <c r="Y11" s="16">
        <v>1893206</v>
      </c>
      <c r="Z11" s="16">
        <v>250484</v>
      </c>
      <c r="AA11" s="11">
        <v>1983</v>
      </c>
      <c r="AB11" s="16">
        <v>6641911</v>
      </c>
      <c r="AC11" s="16">
        <v>4563343</v>
      </c>
      <c r="AD11" s="16">
        <v>10352</v>
      </c>
      <c r="AE11" s="16">
        <v>1819000</v>
      </c>
      <c r="AF11" s="16">
        <v>249216</v>
      </c>
      <c r="AG11" s="11">
        <v>1983</v>
      </c>
      <c r="AH11" s="16">
        <v>274020</v>
      </c>
      <c r="AI11" s="16">
        <v>147896</v>
      </c>
      <c r="AJ11" s="16">
        <v>59723</v>
      </c>
      <c r="AK11" s="16">
        <v>65847</v>
      </c>
      <c r="AL11" s="11">
        <v>554</v>
      </c>
      <c r="AM11" s="16">
        <v>1983</v>
      </c>
      <c r="AN11" s="16">
        <v>25321</v>
      </c>
      <c r="AO11" s="16">
        <v>14997</v>
      </c>
      <c r="AP11" s="16">
        <v>1251</v>
      </c>
      <c r="AQ11" s="16">
        <v>8359</v>
      </c>
      <c r="AR11" s="11">
        <v>714</v>
      </c>
    </row>
    <row r="12" spans="1:44">
      <c r="A12">
        <v>1984</v>
      </c>
      <c r="B12">
        <f t="shared" si="0"/>
        <v>0.96548614774371966</v>
      </c>
      <c r="C12">
        <f t="shared" si="1"/>
        <v>3.0745237023204385E-2</v>
      </c>
      <c r="D12">
        <f t="shared" si="2"/>
        <v>3.7686152330759361E-3</v>
      </c>
      <c r="F12">
        <v>1984</v>
      </c>
      <c r="G12">
        <f t="shared" si="3"/>
        <v>0.13843982382999856</v>
      </c>
      <c r="H12">
        <f t="shared" si="4"/>
        <v>0.84058444528666831</v>
      </c>
      <c r="I12">
        <f t="shared" si="5"/>
        <v>2.0975730883333116E-2</v>
      </c>
      <c r="K12">
        <v>1984</v>
      </c>
      <c r="L12">
        <f t="shared" si="6"/>
        <v>0.96072890105106035</v>
      </c>
      <c r="M12">
        <f t="shared" si="7"/>
        <v>3.4832016916474903E-2</v>
      </c>
      <c r="N12">
        <f t="shared" si="8"/>
        <v>4.4390820324647058E-3</v>
      </c>
      <c r="P12">
        <v>1984</v>
      </c>
      <c r="Q12">
        <f t="shared" si="9"/>
        <v>0.99435014588068416</v>
      </c>
      <c r="R12">
        <f t="shared" si="10"/>
        <v>2.5307477795509133E-3</v>
      </c>
      <c r="S12">
        <f t="shared" si="11"/>
        <v>3.1191063397649791E-3</v>
      </c>
      <c r="U12" s="11">
        <v>1984</v>
      </c>
      <c r="V12" s="16">
        <v>7305066</v>
      </c>
      <c r="W12" s="16">
        <v>4970526</v>
      </c>
      <c r="X12" s="16">
        <v>76517</v>
      </c>
      <c r="Y12" s="16">
        <v>2009875</v>
      </c>
      <c r="Z12" s="16">
        <v>248148</v>
      </c>
      <c r="AA12" s="11">
        <v>1984</v>
      </c>
      <c r="AB12" s="16">
        <v>6987258</v>
      </c>
      <c r="AC12" s="16">
        <v>4798974</v>
      </c>
      <c r="AD12" s="16">
        <v>10593</v>
      </c>
      <c r="AE12" s="16">
        <v>1930945</v>
      </c>
      <c r="AF12" s="16">
        <v>246746</v>
      </c>
      <c r="AG12" s="11">
        <v>1984</v>
      </c>
      <c r="AH12" s="16">
        <v>287775</v>
      </c>
      <c r="AI12" s="16">
        <v>152820</v>
      </c>
      <c r="AJ12" s="16">
        <v>64319</v>
      </c>
      <c r="AK12" s="16">
        <v>70008</v>
      </c>
      <c r="AL12" s="11">
        <v>628</v>
      </c>
      <c r="AM12" s="16">
        <v>1984</v>
      </c>
      <c r="AN12" s="16">
        <v>30033</v>
      </c>
      <c r="AO12" s="16">
        <v>18732</v>
      </c>
      <c r="AP12" s="16">
        <v>1605</v>
      </c>
      <c r="AQ12" s="16">
        <v>8922</v>
      </c>
      <c r="AR12" s="11">
        <v>774</v>
      </c>
    </row>
    <row r="13" spans="1:44">
      <c r="A13">
        <v>1985</v>
      </c>
      <c r="B13">
        <f t="shared" si="0"/>
        <v>0.96596831181243215</v>
      </c>
      <c r="C13">
        <f t="shared" si="1"/>
        <v>2.9884460761984172E-2</v>
      </c>
      <c r="D13">
        <f t="shared" si="2"/>
        <v>4.1472274255837261E-3</v>
      </c>
      <c r="F13">
        <v>1985</v>
      </c>
      <c r="G13">
        <f t="shared" si="3"/>
        <v>0.13020701523510655</v>
      </c>
      <c r="H13">
        <f t="shared" si="4"/>
        <v>0.84890165510958138</v>
      </c>
      <c r="I13">
        <f t="shared" si="5"/>
        <v>2.0891329655312041E-2</v>
      </c>
      <c r="K13">
        <v>1985</v>
      </c>
      <c r="L13">
        <f t="shared" si="6"/>
        <v>0.96137476677725775</v>
      </c>
      <c r="M13">
        <f t="shared" si="7"/>
        <v>3.4180935917839383E-2</v>
      </c>
      <c r="N13">
        <f t="shared" si="8"/>
        <v>4.4442973049028207E-3</v>
      </c>
      <c r="P13">
        <v>1985</v>
      </c>
      <c r="Q13">
        <f t="shared" si="9"/>
        <v>0.99424823652529581</v>
      </c>
      <c r="R13">
        <f t="shared" si="10"/>
        <v>2.4884365588477299E-3</v>
      </c>
      <c r="S13">
        <f t="shared" si="11"/>
        <v>3.2633269158564935E-3</v>
      </c>
      <c r="U13" s="11">
        <v>1985</v>
      </c>
      <c r="V13" s="16">
        <v>7725623</v>
      </c>
      <c r="W13" s="16">
        <v>5281842</v>
      </c>
      <c r="X13" s="16">
        <v>79028</v>
      </c>
      <c r="Y13" s="16">
        <v>2114395</v>
      </c>
      <c r="Z13" s="16">
        <v>250358</v>
      </c>
      <c r="AA13" s="11">
        <v>1985</v>
      </c>
      <c r="AB13" s="16">
        <v>7394026</v>
      </c>
      <c r="AC13" s="16">
        <v>5102092</v>
      </c>
      <c r="AD13" s="16">
        <v>10290</v>
      </c>
      <c r="AE13" s="16">
        <v>2032726</v>
      </c>
      <c r="AF13" s="16">
        <v>248918</v>
      </c>
      <c r="AG13" s="11">
        <v>1985</v>
      </c>
      <c r="AH13" s="16">
        <v>297827</v>
      </c>
      <c r="AI13" s="16">
        <v>157845</v>
      </c>
      <c r="AJ13" s="16">
        <v>67087</v>
      </c>
      <c r="AK13" s="16">
        <v>72272</v>
      </c>
      <c r="AL13" s="11">
        <v>623</v>
      </c>
      <c r="AM13" s="16">
        <v>1985</v>
      </c>
      <c r="AN13" s="16">
        <v>33770</v>
      </c>
      <c r="AO13" s="16">
        <v>21905</v>
      </c>
      <c r="AP13" s="16">
        <v>1651</v>
      </c>
      <c r="AQ13" s="16">
        <v>9397</v>
      </c>
      <c r="AR13" s="11">
        <v>817</v>
      </c>
    </row>
    <row r="14" spans="1:44">
      <c r="A14">
        <v>1986</v>
      </c>
      <c r="B14">
        <f t="shared" si="0"/>
        <v>0.96113453171121921</v>
      </c>
      <c r="C14">
        <f t="shared" si="1"/>
        <v>3.4343393962085154E-2</v>
      </c>
      <c r="D14">
        <f t="shared" si="2"/>
        <v>4.5220743266956532E-3</v>
      </c>
      <c r="F14">
        <v>1986</v>
      </c>
      <c r="G14">
        <f t="shared" si="3"/>
        <v>0.12264162258764828</v>
      </c>
      <c r="H14">
        <f t="shared" si="4"/>
        <v>0.85591258560924999</v>
      </c>
      <c r="I14">
        <f t="shared" si="5"/>
        <v>2.1445791803101723E-2</v>
      </c>
      <c r="K14">
        <v>1986</v>
      </c>
      <c r="L14">
        <f t="shared" si="6"/>
        <v>0.95844556658871904</v>
      </c>
      <c r="M14">
        <f t="shared" si="7"/>
        <v>3.7009523163994987E-2</v>
      </c>
      <c r="N14">
        <f t="shared" si="8"/>
        <v>4.5449102472859548E-3</v>
      </c>
      <c r="P14">
        <v>1986</v>
      </c>
      <c r="Q14">
        <f t="shared" si="9"/>
        <v>0.99375999174874941</v>
      </c>
      <c r="R14">
        <f t="shared" si="10"/>
        <v>2.6687638595224591E-3</v>
      </c>
      <c r="S14">
        <f t="shared" si="11"/>
        <v>3.5712443917281212E-3</v>
      </c>
      <c r="U14" s="11">
        <v>1986</v>
      </c>
      <c r="V14" s="16">
        <v>7732012</v>
      </c>
      <c r="W14" s="16">
        <v>5202922</v>
      </c>
      <c r="X14" s="16">
        <v>83373</v>
      </c>
      <c r="Y14" s="16">
        <v>2213025</v>
      </c>
      <c r="Z14" s="16">
        <v>232692</v>
      </c>
      <c r="AA14" s="11">
        <v>1986</v>
      </c>
      <c r="AB14" s="16">
        <v>7363237</v>
      </c>
      <c r="AC14" s="16">
        <v>5000708</v>
      </c>
      <c r="AD14" s="16">
        <v>10225</v>
      </c>
      <c r="AE14" s="16">
        <v>2121064</v>
      </c>
      <c r="AF14" s="16">
        <v>231240</v>
      </c>
      <c r="AG14" s="11">
        <v>1986</v>
      </c>
      <c r="AH14" s="16">
        <v>332570</v>
      </c>
      <c r="AI14" s="16">
        <v>178686</v>
      </c>
      <c r="AJ14" s="16">
        <v>71360</v>
      </c>
      <c r="AK14" s="16">
        <v>81903</v>
      </c>
      <c r="AL14" s="11">
        <v>621</v>
      </c>
      <c r="AM14" s="16">
        <v>1986</v>
      </c>
      <c r="AN14" s="16">
        <v>36205</v>
      </c>
      <c r="AO14" s="16">
        <v>23528</v>
      </c>
      <c r="AP14" s="16">
        <v>1788</v>
      </c>
      <c r="AQ14" s="16">
        <v>10058</v>
      </c>
      <c r="AR14" s="11">
        <v>831</v>
      </c>
    </row>
    <row r="15" spans="1:44">
      <c r="A15">
        <v>1987</v>
      </c>
      <c r="B15">
        <f t="shared" si="0"/>
        <v>0.9590474769818681</v>
      </c>
      <c r="C15">
        <f t="shared" si="1"/>
        <v>3.6495067302221719E-2</v>
      </c>
      <c r="D15">
        <f t="shared" si="2"/>
        <v>4.4574557159101896E-3</v>
      </c>
      <c r="F15">
        <v>1987</v>
      </c>
      <c r="G15">
        <f t="shared" si="3"/>
        <v>0.12195960362239817</v>
      </c>
      <c r="H15">
        <f t="shared" si="4"/>
        <v>0.85646721350339006</v>
      </c>
      <c r="I15">
        <f t="shared" si="5"/>
        <v>2.1573182874211748E-2</v>
      </c>
      <c r="K15">
        <v>1987</v>
      </c>
      <c r="L15">
        <f t="shared" si="6"/>
        <v>0.95888098049019277</v>
      </c>
      <c r="M15">
        <f t="shared" si="7"/>
        <v>3.6630516064462028E-2</v>
      </c>
      <c r="N15">
        <f t="shared" si="8"/>
        <v>4.4885034453452282E-3</v>
      </c>
      <c r="P15">
        <v>1987</v>
      </c>
      <c r="Q15">
        <f t="shared" si="9"/>
        <v>0.99361256497134254</v>
      </c>
      <c r="R15">
        <f t="shared" si="10"/>
        <v>2.6825417648682027E-3</v>
      </c>
      <c r="S15">
        <f t="shared" si="11"/>
        <v>3.704893263789305E-3</v>
      </c>
      <c r="U15" s="11">
        <v>1987</v>
      </c>
      <c r="V15" s="16">
        <v>7933729</v>
      </c>
      <c r="W15" s="16">
        <v>5336228</v>
      </c>
      <c r="X15" s="16">
        <v>84364</v>
      </c>
      <c r="Y15" s="16">
        <v>2292078</v>
      </c>
      <c r="Z15" s="16">
        <v>221059</v>
      </c>
      <c r="AA15" s="11">
        <v>1987</v>
      </c>
      <c r="AB15" s="16">
        <v>7545462</v>
      </c>
      <c r="AC15" s="16">
        <v>5117696</v>
      </c>
      <c r="AD15" s="16">
        <v>10289</v>
      </c>
      <c r="AE15" s="16">
        <v>2197830</v>
      </c>
      <c r="AF15" s="16">
        <v>219647</v>
      </c>
      <c r="AG15" s="11">
        <v>1987</v>
      </c>
      <c r="AH15" s="16">
        <v>351554</v>
      </c>
      <c r="AI15" s="16">
        <v>194746</v>
      </c>
      <c r="AJ15" s="16">
        <v>72255</v>
      </c>
      <c r="AK15" s="16">
        <v>83960</v>
      </c>
      <c r="AL15" s="11">
        <v>593</v>
      </c>
      <c r="AM15" s="16">
        <v>1987</v>
      </c>
      <c r="AN15" s="16">
        <v>36713</v>
      </c>
      <c r="AO15" s="16">
        <v>23786</v>
      </c>
      <c r="AP15" s="16">
        <v>1820</v>
      </c>
      <c r="AQ15" s="16">
        <v>10288</v>
      </c>
      <c r="AR15" s="11">
        <v>819</v>
      </c>
    </row>
    <row r="16" spans="1:44">
      <c r="A16">
        <v>1988</v>
      </c>
      <c r="B16">
        <f t="shared" si="0"/>
        <v>0.96096099583134964</v>
      </c>
      <c r="C16">
        <f t="shared" si="1"/>
        <v>3.484409319126397E-2</v>
      </c>
      <c r="D16">
        <f t="shared" si="2"/>
        <v>4.1949109773863893E-3</v>
      </c>
      <c r="F16">
        <v>1988</v>
      </c>
      <c r="G16">
        <f t="shared" si="3"/>
        <v>0.12309190533738516</v>
      </c>
      <c r="H16">
        <f t="shared" si="4"/>
        <v>0.85500240528458626</v>
      </c>
      <c r="I16">
        <f t="shared" si="5"/>
        <v>2.1905689378028604E-2</v>
      </c>
      <c r="K16">
        <v>1988</v>
      </c>
      <c r="L16">
        <f t="shared" si="6"/>
        <v>0.96068522395602352</v>
      </c>
      <c r="M16">
        <f t="shared" si="7"/>
        <v>3.4950134590196059E-2</v>
      </c>
      <c r="N16">
        <f t="shared" si="8"/>
        <v>4.3646414537803855E-3</v>
      </c>
      <c r="P16">
        <v>1988</v>
      </c>
      <c r="Q16">
        <f t="shared" si="9"/>
        <v>0.99372183315129092</v>
      </c>
      <c r="R16">
        <f t="shared" si="10"/>
        <v>2.6480279763926242E-3</v>
      </c>
      <c r="S16">
        <f t="shared" si="11"/>
        <v>3.6301388723164051E-3</v>
      </c>
      <c r="U16" s="11">
        <v>1988</v>
      </c>
      <c r="V16" s="16">
        <v>8324887</v>
      </c>
      <c r="W16" s="16">
        <v>5597735</v>
      </c>
      <c r="X16" s="16">
        <v>85229</v>
      </c>
      <c r="Y16" s="16">
        <v>2424025</v>
      </c>
      <c r="Z16" s="16">
        <v>217898</v>
      </c>
      <c r="AA16" s="11">
        <v>1988</v>
      </c>
      <c r="AB16" s="16">
        <v>7934951</v>
      </c>
      <c r="AC16" s="16">
        <v>5379205</v>
      </c>
      <c r="AD16" s="16">
        <v>10491</v>
      </c>
      <c r="AE16" s="16">
        <v>2328725</v>
      </c>
      <c r="AF16" s="16">
        <v>216530</v>
      </c>
      <c r="AG16" s="11">
        <v>1988</v>
      </c>
      <c r="AH16" s="16">
        <v>353216</v>
      </c>
      <c r="AI16" s="16">
        <v>195048</v>
      </c>
      <c r="AJ16" s="16">
        <v>72871</v>
      </c>
      <c r="AK16" s="16">
        <v>84720</v>
      </c>
      <c r="AL16" s="11">
        <v>577</v>
      </c>
      <c r="AM16" s="16">
        <v>1988</v>
      </c>
      <c r="AN16" s="16">
        <v>36720</v>
      </c>
      <c r="AO16" s="16">
        <v>23482</v>
      </c>
      <c r="AP16" s="16">
        <v>1867</v>
      </c>
      <c r="AQ16" s="16">
        <v>10580</v>
      </c>
      <c r="AR16" s="11">
        <v>791</v>
      </c>
    </row>
    <row r="17" spans="1:44">
      <c r="A17">
        <v>1989</v>
      </c>
      <c r="B17">
        <f t="shared" si="0"/>
        <v>0.95709075923972753</v>
      </c>
      <c r="C17">
        <f t="shared" si="1"/>
        <v>3.835059095212618E-2</v>
      </c>
      <c r="D17">
        <f t="shared" si="2"/>
        <v>4.5586498081462709E-3</v>
      </c>
      <c r="F17">
        <v>1989</v>
      </c>
      <c r="G17">
        <f t="shared" si="3"/>
        <v>0.12267332224070993</v>
      </c>
      <c r="H17">
        <f t="shared" si="4"/>
        <v>0.85085967831392129</v>
      </c>
      <c r="I17">
        <f t="shared" si="5"/>
        <v>2.646699944536883E-2</v>
      </c>
      <c r="K17">
        <v>1989</v>
      </c>
      <c r="L17">
        <f t="shared" si="6"/>
        <v>0.95850385149677642</v>
      </c>
      <c r="M17">
        <f t="shared" si="7"/>
        <v>3.6041672626675104E-2</v>
      </c>
      <c r="N17">
        <f t="shared" si="8"/>
        <v>5.4544758765485033E-3</v>
      </c>
      <c r="P17">
        <v>1989</v>
      </c>
      <c r="Q17">
        <f t="shared" si="9"/>
        <v>0.9933293121551281</v>
      </c>
      <c r="R17">
        <f t="shared" si="10"/>
        <v>2.8282286710006031E-3</v>
      </c>
      <c r="S17">
        <f t="shared" si="11"/>
        <v>3.8424591738712775E-3</v>
      </c>
      <c r="U17" s="11">
        <v>1989</v>
      </c>
      <c r="V17" s="16">
        <v>9009048</v>
      </c>
      <c r="W17" s="16">
        <v>6003532</v>
      </c>
      <c r="X17" s="16">
        <v>90150</v>
      </c>
      <c r="Y17" s="16">
        <v>2691551</v>
      </c>
      <c r="Z17" s="16">
        <v>223815</v>
      </c>
      <c r="AA17" s="11">
        <v>1989</v>
      </c>
      <c r="AB17" s="16">
        <v>8559168</v>
      </c>
      <c r="AC17" s="16">
        <v>5745925</v>
      </c>
      <c r="AD17" s="16">
        <v>11059</v>
      </c>
      <c r="AE17" s="16">
        <v>2579862</v>
      </c>
      <c r="AF17" s="16">
        <v>222322</v>
      </c>
      <c r="AG17" s="11">
        <v>1989</v>
      </c>
      <c r="AH17" s="16">
        <v>404585</v>
      </c>
      <c r="AI17" s="16">
        <v>230239</v>
      </c>
      <c r="AJ17" s="16">
        <v>76705</v>
      </c>
      <c r="AK17" s="16">
        <v>97008</v>
      </c>
      <c r="AL17" s="11">
        <v>633</v>
      </c>
      <c r="AM17" s="16">
        <v>1989</v>
      </c>
      <c r="AN17" s="16">
        <v>45295</v>
      </c>
      <c r="AO17" s="16">
        <v>27368</v>
      </c>
      <c r="AP17" s="16">
        <v>2386</v>
      </c>
      <c r="AQ17" s="16">
        <v>14681</v>
      </c>
      <c r="AR17" s="11">
        <v>860</v>
      </c>
    </row>
    <row r="18" spans="1:44">
      <c r="A18">
        <v>1990</v>
      </c>
      <c r="B18">
        <f t="shared" si="0"/>
        <v>0.95495175843369362</v>
      </c>
      <c r="C18">
        <f t="shared" si="1"/>
        <v>4.0152542502154664E-2</v>
      </c>
      <c r="D18">
        <f t="shared" si="2"/>
        <v>4.8956990641517489E-3</v>
      </c>
      <c r="F18">
        <v>1990</v>
      </c>
      <c r="G18">
        <f t="shared" si="3"/>
        <v>0.13190029482712409</v>
      </c>
      <c r="H18">
        <f t="shared" si="4"/>
        <v>0.83750201018493697</v>
      </c>
      <c r="I18">
        <f t="shared" si="5"/>
        <v>3.0597694987938892E-2</v>
      </c>
      <c r="K18">
        <v>1990</v>
      </c>
      <c r="L18">
        <f t="shared" si="6"/>
        <v>0.95650067999309218</v>
      </c>
      <c r="M18">
        <f t="shared" si="7"/>
        <v>3.7968642064588554E-2</v>
      </c>
      <c r="N18">
        <f t="shared" si="8"/>
        <v>5.5306779423193158E-3</v>
      </c>
      <c r="P18">
        <v>1990</v>
      </c>
      <c r="Q18">
        <f t="shared" si="9"/>
        <v>0.99237166411181787</v>
      </c>
      <c r="R18">
        <f t="shared" si="10"/>
        <v>2.9129299488627907E-3</v>
      </c>
      <c r="S18">
        <f t="shared" si="11"/>
        <v>4.7154059393193235E-3</v>
      </c>
      <c r="U18" s="11">
        <v>1990</v>
      </c>
      <c r="V18" s="16">
        <v>9862108</v>
      </c>
      <c r="W18" s="16">
        <v>6555550</v>
      </c>
      <c r="X18" s="16">
        <v>93275</v>
      </c>
      <c r="Y18" s="16">
        <v>2964736</v>
      </c>
      <c r="Z18" s="16">
        <v>248547</v>
      </c>
      <c r="AA18" s="11">
        <v>1990</v>
      </c>
      <c r="AB18" s="16">
        <v>9354960</v>
      </c>
      <c r="AC18" s="16">
        <v>6260234</v>
      </c>
      <c r="AD18" s="16">
        <v>12303</v>
      </c>
      <c r="AE18" s="16">
        <v>2835772</v>
      </c>
      <c r="AF18" s="16">
        <v>246651</v>
      </c>
      <c r="AG18" s="11">
        <v>1990</v>
      </c>
      <c r="AH18" s="16">
        <v>454631</v>
      </c>
      <c r="AI18" s="16">
        <v>263222</v>
      </c>
      <c r="AJ18" s="16">
        <v>78118</v>
      </c>
      <c r="AK18" s="16">
        <v>112567</v>
      </c>
      <c r="AL18" s="11">
        <v>724</v>
      </c>
      <c r="AM18" s="16">
        <v>1990</v>
      </c>
      <c r="AN18" s="16">
        <v>52517</v>
      </c>
      <c r="AO18" s="16">
        <v>32094</v>
      </c>
      <c r="AP18" s="16">
        <v>2854</v>
      </c>
      <c r="AQ18" s="16">
        <v>16397</v>
      </c>
      <c r="AR18" s="16">
        <v>1172</v>
      </c>
    </row>
    <row r="19" spans="1:44">
      <c r="A19">
        <v>1991</v>
      </c>
      <c r="B19">
        <f t="shared" si="0"/>
        <v>0.95573285484011128</v>
      </c>
      <c r="C19">
        <f t="shared" si="1"/>
        <v>3.9289234995916959E-2</v>
      </c>
      <c r="D19">
        <f t="shared" si="2"/>
        <v>4.9779101639717853E-3</v>
      </c>
      <c r="F19">
        <v>1991</v>
      </c>
      <c r="G19">
        <f t="shared" si="3"/>
        <v>0.12589000103188525</v>
      </c>
      <c r="H19">
        <f t="shared" si="4"/>
        <v>0.84194613558972242</v>
      </c>
      <c r="I19">
        <f t="shared" si="5"/>
        <v>3.2163863378392325E-2</v>
      </c>
      <c r="K19">
        <v>1991</v>
      </c>
      <c r="L19">
        <f t="shared" si="6"/>
        <v>0.9588427085085568</v>
      </c>
      <c r="M19">
        <f t="shared" si="7"/>
        <v>3.5684247410134283E-2</v>
      </c>
      <c r="N19">
        <f t="shared" si="8"/>
        <v>5.4730440813089394E-3</v>
      </c>
      <c r="P19">
        <v>1991</v>
      </c>
      <c r="Q19">
        <f t="shared" si="9"/>
        <v>0.9924246776275224</v>
      </c>
      <c r="R19">
        <f t="shared" si="10"/>
        <v>2.8914905921236561E-3</v>
      </c>
      <c r="S19">
        <f t="shared" si="11"/>
        <v>4.6838317803539493E-3</v>
      </c>
      <c r="U19" s="11">
        <v>1991</v>
      </c>
      <c r="V19" s="16">
        <v>10602143</v>
      </c>
      <c r="W19" s="16">
        <v>6950708</v>
      </c>
      <c r="X19" s="16">
        <v>96910</v>
      </c>
      <c r="Y19" s="16">
        <v>3293414</v>
      </c>
      <c r="Z19" s="16">
        <v>261111</v>
      </c>
      <c r="AA19" s="11">
        <v>1991</v>
      </c>
      <c r="AB19" s="16">
        <v>10072219</v>
      </c>
      <c r="AC19" s="16">
        <v>6643020</v>
      </c>
      <c r="AD19" s="16">
        <v>12200</v>
      </c>
      <c r="AE19" s="16">
        <v>3157866</v>
      </c>
      <c r="AF19" s="16">
        <v>259133</v>
      </c>
      <c r="AG19" s="11">
        <v>1991</v>
      </c>
      <c r="AH19" s="16">
        <v>472959</v>
      </c>
      <c r="AI19" s="16">
        <v>273088</v>
      </c>
      <c r="AJ19" s="16">
        <v>81593</v>
      </c>
      <c r="AK19" s="16">
        <v>117523</v>
      </c>
      <c r="AL19" s="11">
        <v>755</v>
      </c>
      <c r="AM19" s="16">
        <v>1991</v>
      </c>
      <c r="AN19" s="16">
        <v>56965</v>
      </c>
      <c r="AO19" s="16">
        <v>34600</v>
      </c>
      <c r="AP19" s="16">
        <v>3117</v>
      </c>
      <c r="AQ19" s="16">
        <v>18025</v>
      </c>
      <c r="AR19" s="16">
        <v>1223</v>
      </c>
    </row>
    <row r="20" spans="1:44">
      <c r="A20">
        <v>1992</v>
      </c>
      <c r="B20">
        <f t="shared" si="0"/>
        <v>0.95678709175532739</v>
      </c>
      <c r="C20">
        <f t="shared" si="1"/>
        <v>3.8418186452603247E-2</v>
      </c>
      <c r="D20">
        <f t="shared" si="2"/>
        <v>4.7947217920693355E-3</v>
      </c>
      <c r="F20">
        <v>1992</v>
      </c>
      <c r="G20">
        <f t="shared" si="3"/>
        <v>0.13957910883703337</v>
      </c>
      <c r="H20">
        <f t="shared" si="4"/>
        <v>0.8283865138318327</v>
      </c>
      <c r="I20">
        <f t="shared" si="5"/>
        <v>3.203437733113397E-2</v>
      </c>
      <c r="K20">
        <v>1992</v>
      </c>
      <c r="L20">
        <f t="shared" si="6"/>
        <v>0.95828017051805969</v>
      </c>
      <c r="M20">
        <f t="shared" si="7"/>
        <v>3.6301803679744907E-2</v>
      </c>
      <c r="N20">
        <f t="shared" si="8"/>
        <v>5.4180258021953856E-3</v>
      </c>
      <c r="P20">
        <v>1992</v>
      </c>
      <c r="Q20">
        <f t="shared" si="9"/>
        <v>0.99164261862178182</v>
      </c>
      <c r="R20">
        <f t="shared" si="10"/>
        <v>4.0890820047474316E-3</v>
      </c>
      <c r="S20">
        <f t="shared" si="11"/>
        <v>4.2682993734707089E-3</v>
      </c>
      <c r="U20" s="11">
        <v>1992</v>
      </c>
      <c r="V20" s="16">
        <v>11260184</v>
      </c>
      <c r="W20" s="16">
        <v>7399178</v>
      </c>
      <c r="X20" s="16">
        <v>95179</v>
      </c>
      <c r="Y20" s="16">
        <v>3492416</v>
      </c>
      <c r="Z20" s="16">
        <v>273411</v>
      </c>
      <c r="AA20" s="11">
        <v>1992</v>
      </c>
      <c r="AB20" s="16">
        <v>10710562</v>
      </c>
      <c r="AC20" s="16">
        <v>7079438</v>
      </c>
      <c r="AD20" s="16">
        <v>13285</v>
      </c>
      <c r="AE20" s="16">
        <v>3346713</v>
      </c>
      <c r="AF20" s="16">
        <v>271126</v>
      </c>
      <c r="AG20" s="11">
        <v>1992</v>
      </c>
      <c r="AH20" s="16">
        <v>491007</v>
      </c>
      <c r="AI20" s="16">
        <v>284263</v>
      </c>
      <c r="AJ20" s="16">
        <v>78845</v>
      </c>
      <c r="AK20" s="16">
        <v>126781</v>
      </c>
      <c r="AL20" s="16">
        <v>1118</v>
      </c>
      <c r="AM20" s="16">
        <v>1992</v>
      </c>
      <c r="AN20" s="16">
        <v>58615</v>
      </c>
      <c r="AO20" s="16">
        <v>35477</v>
      </c>
      <c r="AP20" s="16">
        <v>3049</v>
      </c>
      <c r="AQ20" s="16">
        <v>18922</v>
      </c>
      <c r="AR20" s="16">
        <v>1167</v>
      </c>
    </row>
    <row r="21" spans="1:44">
      <c r="A21">
        <v>1993</v>
      </c>
      <c r="B21">
        <f t="shared" si="0"/>
        <v>0.96052735430797842</v>
      </c>
      <c r="C21">
        <f t="shared" si="1"/>
        <v>3.6303107679144152E-2</v>
      </c>
      <c r="D21">
        <f t="shared" si="2"/>
        <v>3.1695380128774794E-3</v>
      </c>
      <c r="F21">
        <v>1993</v>
      </c>
      <c r="G21">
        <f t="shared" si="3"/>
        <v>0.1883850548632201</v>
      </c>
      <c r="H21">
        <f t="shared" si="4"/>
        <v>0.79804749770191175</v>
      </c>
      <c r="I21">
        <f t="shared" si="5"/>
        <v>1.3567447434868107E-2</v>
      </c>
      <c r="K21">
        <v>1993</v>
      </c>
      <c r="L21">
        <f t="shared" si="6"/>
        <v>0.9679068360304004</v>
      </c>
      <c r="M21">
        <f t="shared" si="7"/>
        <v>2.5864345917048732E-2</v>
      </c>
      <c r="N21">
        <f t="shared" si="8"/>
        <v>6.2288180525508514E-3</v>
      </c>
      <c r="P21">
        <v>1993</v>
      </c>
      <c r="Q21">
        <f t="shared" si="9"/>
        <v>0.99040911361239903</v>
      </c>
      <c r="R21">
        <f t="shared" si="10"/>
        <v>6.4073780706224237E-3</v>
      </c>
      <c r="S21">
        <f t="shared" si="11"/>
        <v>3.1835083169785431E-3</v>
      </c>
      <c r="U21" s="11">
        <v>1993</v>
      </c>
      <c r="V21" s="16">
        <v>11593078</v>
      </c>
      <c r="W21" s="16">
        <v>7715951</v>
      </c>
      <c r="X21" s="16">
        <v>85941</v>
      </c>
      <c r="Y21" s="16">
        <v>3592977</v>
      </c>
      <c r="Z21" s="16">
        <v>198209</v>
      </c>
      <c r="AA21" s="11">
        <v>1993</v>
      </c>
      <c r="AB21" s="16">
        <v>11101547</v>
      </c>
      <c r="AC21" s="16">
        <v>7411382</v>
      </c>
      <c r="AD21" s="16">
        <v>16190</v>
      </c>
      <c r="AE21" s="16">
        <v>3477667</v>
      </c>
      <c r="AF21" s="16">
        <v>196308</v>
      </c>
      <c r="AG21" s="11">
        <v>1993</v>
      </c>
      <c r="AH21" s="16">
        <v>442898</v>
      </c>
      <c r="AI21" s="16">
        <v>280113</v>
      </c>
      <c r="AJ21" s="16">
        <v>68585</v>
      </c>
      <c r="AK21" s="16">
        <v>92930</v>
      </c>
      <c r="AL21" s="16">
        <v>1270</v>
      </c>
      <c r="AM21" s="16">
        <v>1993</v>
      </c>
      <c r="AN21" s="16">
        <v>48633</v>
      </c>
      <c r="AO21" s="16">
        <v>24456</v>
      </c>
      <c r="AP21" s="16">
        <v>1166</v>
      </c>
      <c r="AQ21" s="16">
        <v>22380</v>
      </c>
      <c r="AR21" s="11">
        <v>631</v>
      </c>
    </row>
    <row r="22" spans="1:44">
      <c r="A22">
        <v>1994</v>
      </c>
      <c r="B22">
        <f t="shared" si="0"/>
        <v>0.95553852650666438</v>
      </c>
      <c r="C22">
        <f t="shared" si="1"/>
        <v>4.1278756263047729E-2</v>
      </c>
      <c r="D22">
        <f t="shared" si="2"/>
        <v>3.182717230287852E-3</v>
      </c>
      <c r="F22">
        <v>1994</v>
      </c>
      <c r="G22">
        <f t="shared" si="3"/>
        <v>0.33609712245913231</v>
      </c>
      <c r="H22">
        <f t="shared" si="4"/>
        <v>0.65357794321722507</v>
      </c>
      <c r="I22">
        <f t="shared" si="5"/>
        <v>1.0324934323642615E-2</v>
      </c>
      <c r="K22">
        <v>1994</v>
      </c>
      <c r="L22">
        <f t="shared" si="6"/>
        <v>0.96867321119439664</v>
      </c>
      <c r="M22">
        <f t="shared" si="7"/>
        <v>2.3633242275184513E-2</v>
      </c>
      <c r="N22">
        <f t="shared" si="8"/>
        <v>7.6935465304188823E-3</v>
      </c>
      <c r="P22">
        <v>1994</v>
      </c>
      <c r="Q22">
        <f t="shared" si="9"/>
        <v>0.98614238133338294</v>
      </c>
      <c r="R22">
        <f t="shared" si="10"/>
        <v>9.7314999162681649E-3</v>
      </c>
      <c r="S22">
        <f t="shared" si="11"/>
        <v>4.1261187503488827E-3</v>
      </c>
      <c r="U22" s="11">
        <v>1994</v>
      </c>
      <c r="V22" s="16">
        <v>11161089</v>
      </c>
      <c r="W22" s="16">
        <v>7217732</v>
      </c>
      <c r="X22" s="16">
        <v>114577</v>
      </c>
      <c r="Y22" s="16">
        <v>3613808</v>
      </c>
      <c r="Z22" s="16">
        <v>214972</v>
      </c>
      <c r="AA22" s="11">
        <v>1994</v>
      </c>
      <c r="AB22" s="16">
        <v>10647922</v>
      </c>
      <c r="AC22" s="16">
        <v>6896821</v>
      </c>
      <c r="AD22" s="16">
        <v>38509</v>
      </c>
      <c r="AE22" s="16">
        <v>3500599</v>
      </c>
      <c r="AF22" s="16">
        <v>211993</v>
      </c>
      <c r="AG22" s="11">
        <v>1994</v>
      </c>
      <c r="AH22" s="16">
        <v>460322</v>
      </c>
      <c r="AI22" s="16">
        <v>297939</v>
      </c>
      <c r="AJ22" s="16">
        <v>74885</v>
      </c>
      <c r="AK22" s="16">
        <v>85406</v>
      </c>
      <c r="AL22" s="16">
        <v>2092</v>
      </c>
      <c r="AM22" s="16">
        <v>1994</v>
      </c>
      <c r="AN22" s="16">
        <v>52845</v>
      </c>
      <c r="AO22" s="16">
        <v>22972</v>
      </c>
      <c r="AP22" s="16">
        <v>1183</v>
      </c>
      <c r="AQ22" s="16">
        <v>27803</v>
      </c>
      <c r="AR22" s="11">
        <v>887</v>
      </c>
    </row>
    <row r="23" spans="1:44">
      <c r="A23">
        <v>1995</v>
      </c>
      <c r="B23">
        <f t="shared" si="0"/>
        <v>0.96184083976660295</v>
      </c>
      <c r="C23">
        <f t="shared" si="1"/>
        <v>3.5464469929998028E-2</v>
      </c>
      <c r="D23">
        <f t="shared" si="2"/>
        <v>2.6946903033989939E-3</v>
      </c>
      <c r="F23">
        <v>1995</v>
      </c>
      <c r="G23">
        <f t="shared" si="3"/>
        <v>0.34374299775098133</v>
      </c>
      <c r="H23">
        <f t="shared" si="4"/>
        <v>0.65071329576669956</v>
      </c>
      <c r="I23">
        <f t="shared" si="5"/>
        <v>5.5437064823190621E-3</v>
      </c>
      <c r="K23">
        <v>1995</v>
      </c>
      <c r="L23">
        <f t="shared" si="6"/>
        <v>0.97201866793009117</v>
      </c>
      <c r="M23">
        <f t="shared" si="7"/>
        <v>2.0483593312557224E-2</v>
      </c>
      <c r="N23">
        <f t="shared" si="8"/>
        <v>7.4977387573516435E-3</v>
      </c>
      <c r="P23">
        <v>1995</v>
      </c>
      <c r="Q23">
        <f t="shared" si="9"/>
        <v>0.98753877171215876</v>
      </c>
      <c r="R23">
        <f t="shared" si="10"/>
        <v>1.054590570719603E-2</v>
      </c>
      <c r="S23">
        <f t="shared" si="11"/>
        <v>1.9153225806451612E-3</v>
      </c>
      <c r="U23" s="11">
        <v>1995</v>
      </c>
      <c r="V23" s="16">
        <v>11317646</v>
      </c>
      <c r="W23" s="16">
        <v>7469504</v>
      </c>
      <c r="X23" s="16">
        <v>120497</v>
      </c>
      <c r="Y23" s="16">
        <v>3598685</v>
      </c>
      <c r="Z23" s="16">
        <v>128960</v>
      </c>
      <c r="AA23" s="11">
        <v>1995</v>
      </c>
      <c r="AB23" s="16">
        <v>10851236</v>
      </c>
      <c r="AC23" s="16">
        <v>7184474</v>
      </c>
      <c r="AD23" s="16">
        <v>41420</v>
      </c>
      <c r="AE23" s="16">
        <v>3497989</v>
      </c>
      <c r="AF23" s="16">
        <v>127353</v>
      </c>
      <c r="AG23" s="11">
        <v>1995</v>
      </c>
      <c r="AH23" s="16">
        <v>418385</v>
      </c>
      <c r="AI23" s="16">
        <v>264902</v>
      </c>
      <c r="AJ23" s="16">
        <v>78409</v>
      </c>
      <c r="AK23" s="16">
        <v>73714</v>
      </c>
      <c r="AL23" s="16">
        <v>1360</v>
      </c>
      <c r="AM23" s="16">
        <v>1995</v>
      </c>
      <c r="AN23" s="16">
        <v>48025</v>
      </c>
      <c r="AO23" s="16">
        <v>20128</v>
      </c>
      <c r="AP23" s="11">
        <v>668</v>
      </c>
      <c r="AQ23" s="16">
        <v>26982</v>
      </c>
      <c r="AR23" s="11">
        <v>247</v>
      </c>
    </row>
    <row r="24" spans="1:44">
      <c r="A24">
        <v>1996</v>
      </c>
      <c r="B24">
        <f t="shared" si="0"/>
        <v>0.95879803301398159</v>
      </c>
      <c r="C24">
        <f t="shared" si="1"/>
        <v>3.8893281763034068E-2</v>
      </c>
      <c r="D24">
        <f t="shared" si="2"/>
        <v>2.308685222984335E-3</v>
      </c>
      <c r="F24">
        <v>1996</v>
      </c>
      <c r="G24">
        <f t="shared" si="3"/>
        <v>0.15618004188460069</v>
      </c>
      <c r="H24">
        <f t="shared" si="4"/>
        <v>0.83418443667275333</v>
      </c>
      <c r="I24">
        <f t="shared" si="5"/>
        <v>9.6355214426459505E-3</v>
      </c>
      <c r="K24">
        <v>1996</v>
      </c>
      <c r="L24">
        <f t="shared" si="6"/>
        <v>0.97351105639783286</v>
      </c>
      <c r="M24">
        <f t="shared" si="7"/>
        <v>1.930480855107097E-2</v>
      </c>
      <c r="N24">
        <f t="shared" si="8"/>
        <v>7.184135051096204E-3</v>
      </c>
      <c r="P24">
        <v>1996</v>
      </c>
      <c r="Q24">
        <f t="shared" si="9"/>
        <v>0.99462502619520954</v>
      </c>
      <c r="R24">
        <f t="shared" si="10"/>
        <v>2.0503061299622224E-3</v>
      </c>
      <c r="S24">
        <f t="shared" si="11"/>
        <v>3.3246676748282444E-3</v>
      </c>
      <c r="U24" s="11">
        <v>1996</v>
      </c>
      <c r="V24" s="16">
        <v>11750028</v>
      </c>
      <c r="W24" s="16">
        <v>7830864</v>
      </c>
      <c r="X24" s="16">
        <v>96933</v>
      </c>
      <c r="Y24" s="16">
        <v>3645672</v>
      </c>
      <c r="Z24" s="16">
        <v>176559</v>
      </c>
      <c r="AA24" s="11">
        <v>1996</v>
      </c>
      <c r="AB24" s="16">
        <v>11248068</v>
      </c>
      <c r="AC24" s="16">
        <v>7508217</v>
      </c>
      <c r="AD24" s="16">
        <v>15139</v>
      </c>
      <c r="AE24" s="16">
        <v>3549102</v>
      </c>
      <c r="AF24" s="16">
        <v>175610</v>
      </c>
      <c r="AG24" s="11">
        <v>1996</v>
      </c>
      <c r="AH24" s="16">
        <v>456169</v>
      </c>
      <c r="AI24" s="16">
        <v>304568</v>
      </c>
      <c r="AJ24" s="16">
        <v>80860</v>
      </c>
      <c r="AK24" s="16">
        <v>70379</v>
      </c>
      <c r="AL24" s="11">
        <v>362</v>
      </c>
      <c r="AM24" s="16">
        <v>1996</v>
      </c>
      <c r="AN24" s="16">
        <v>45791</v>
      </c>
      <c r="AO24" s="16">
        <v>18079</v>
      </c>
      <c r="AP24" s="11">
        <v>934</v>
      </c>
      <c r="AQ24" s="16">
        <v>26191</v>
      </c>
      <c r="AR24" s="11">
        <v>587</v>
      </c>
    </row>
    <row r="25" spans="1:44">
      <c r="A25">
        <v>1997</v>
      </c>
      <c r="B25">
        <f t="shared" si="0"/>
        <v>0.96222204106988041</v>
      </c>
      <c r="C25">
        <f t="shared" si="1"/>
        <v>3.5409993698675292E-2</v>
      </c>
      <c r="D25">
        <f t="shared" si="2"/>
        <v>2.3679652314442649E-3</v>
      </c>
      <c r="F25">
        <v>1997</v>
      </c>
      <c r="G25">
        <f t="shared" si="3"/>
        <v>0.31214476463788909</v>
      </c>
      <c r="H25">
        <f t="shared" si="4"/>
        <v>0.67078799473873008</v>
      </c>
      <c r="I25">
        <f t="shared" si="5"/>
        <v>1.7067240623380765E-2</v>
      </c>
      <c r="K25">
        <v>1997</v>
      </c>
      <c r="L25">
        <f t="shared" si="6"/>
        <v>0.97390566292156844</v>
      </c>
      <c r="M25">
        <f t="shared" si="7"/>
        <v>1.9276379686282173E-2</v>
      </c>
      <c r="N25">
        <f t="shared" si="8"/>
        <v>6.8179573921493455E-3</v>
      </c>
      <c r="P25">
        <v>1997</v>
      </c>
      <c r="Q25">
        <f t="shared" si="9"/>
        <v>0.99209725761368617</v>
      </c>
      <c r="R25">
        <f t="shared" si="10"/>
        <v>4.6473513464970872E-3</v>
      </c>
      <c r="S25">
        <f t="shared" si="11"/>
        <v>3.2553910398167999E-3</v>
      </c>
      <c r="U25" s="11">
        <v>1997</v>
      </c>
      <c r="V25" s="16">
        <v>12585187</v>
      </c>
      <c r="W25" s="16">
        <v>8402995</v>
      </c>
      <c r="X25" s="16">
        <v>125445</v>
      </c>
      <c r="Y25" s="16">
        <v>3878581</v>
      </c>
      <c r="Z25" s="16">
        <v>178166</v>
      </c>
      <c r="AA25" s="11">
        <v>1997</v>
      </c>
      <c r="AB25" s="16">
        <v>12078834</v>
      </c>
      <c r="AC25" s="16">
        <v>8085547</v>
      </c>
      <c r="AD25" s="16">
        <v>39157</v>
      </c>
      <c r="AE25" s="16">
        <v>3777372</v>
      </c>
      <c r="AF25" s="16">
        <v>176758</v>
      </c>
      <c r="AG25" s="11">
        <v>1997</v>
      </c>
      <c r="AH25" s="16">
        <v>457290</v>
      </c>
      <c r="AI25" s="16">
        <v>297550</v>
      </c>
      <c r="AJ25" s="16">
        <v>84147</v>
      </c>
      <c r="AK25" s="16">
        <v>74765</v>
      </c>
      <c r="AL25" s="11">
        <v>828</v>
      </c>
      <c r="AM25" s="16">
        <v>1997</v>
      </c>
      <c r="AN25" s="16">
        <v>49063</v>
      </c>
      <c r="AO25" s="16">
        <v>19898</v>
      </c>
      <c r="AP25" s="16">
        <v>2141</v>
      </c>
      <c r="AQ25" s="16">
        <v>26444</v>
      </c>
      <c r="AR25" s="11">
        <v>580</v>
      </c>
    </row>
    <row r="26" spans="1:44">
      <c r="A26">
        <v>1998</v>
      </c>
      <c r="B26">
        <f t="shared" si="0"/>
        <v>0.95905839277965099</v>
      </c>
      <c r="C26">
        <f t="shared" si="1"/>
        <v>3.7391942007937523E-2</v>
      </c>
      <c r="D26">
        <f t="shared" si="2"/>
        <v>3.5496652124114686E-3</v>
      </c>
      <c r="F26">
        <v>1998</v>
      </c>
      <c r="G26">
        <f t="shared" si="3"/>
        <v>0.41891148982957671</v>
      </c>
      <c r="H26">
        <f t="shared" si="4"/>
        <v>0.56843286500456236</v>
      </c>
      <c r="I26">
        <f t="shared" si="5"/>
        <v>1.2655645165860929E-2</v>
      </c>
      <c r="K26">
        <v>1998</v>
      </c>
      <c r="L26">
        <f t="shared" si="6"/>
        <v>0.97032516377853439</v>
      </c>
      <c r="M26">
        <f t="shared" si="7"/>
        <v>1.9886132354830766E-2</v>
      </c>
      <c r="N26">
        <f t="shared" si="8"/>
        <v>9.7887038666348864E-3</v>
      </c>
      <c r="P26">
        <v>1998</v>
      </c>
      <c r="Q26">
        <f t="shared" si="9"/>
        <v>0.98873030166591624</v>
      </c>
      <c r="R26">
        <f t="shared" si="10"/>
        <v>5.9837910850968033E-3</v>
      </c>
      <c r="S26">
        <f t="shared" si="11"/>
        <v>5.2859072489869425E-3</v>
      </c>
      <c r="U26" s="11">
        <v>1998</v>
      </c>
      <c r="V26" s="16">
        <v>13562820</v>
      </c>
      <c r="W26" s="16">
        <v>9086209</v>
      </c>
      <c r="X26" s="16">
        <v>176443</v>
      </c>
      <c r="Y26" s="16">
        <v>4078068</v>
      </c>
      <c r="Z26" s="16">
        <v>222100</v>
      </c>
      <c r="AA26" s="11">
        <v>1998</v>
      </c>
      <c r="AB26" s="16">
        <v>12964768</v>
      </c>
      <c r="AC26" s="16">
        <v>8714205</v>
      </c>
      <c r="AD26" s="16">
        <v>73914</v>
      </c>
      <c r="AE26" s="16">
        <v>3957052</v>
      </c>
      <c r="AF26" s="16">
        <v>219597</v>
      </c>
      <c r="AG26" s="11">
        <v>1998</v>
      </c>
      <c r="AH26" s="16">
        <v>522473</v>
      </c>
      <c r="AI26" s="16">
        <v>339751</v>
      </c>
      <c r="AJ26" s="16">
        <v>100296</v>
      </c>
      <c r="AK26" s="16">
        <v>81097</v>
      </c>
      <c r="AL26" s="16">
        <v>1329</v>
      </c>
      <c r="AM26" s="16">
        <v>1998</v>
      </c>
      <c r="AN26" s="16">
        <v>75579</v>
      </c>
      <c r="AO26" s="16">
        <v>32253</v>
      </c>
      <c r="AP26" s="16">
        <v>2233</v>
      </c>
      <c r="AQ26" s="16">
        <v>39919</v>
      </c>
      <c r="AR26" s="16">
        <v>1174</v>
      </c>
    </row>
    <row r="27" spans="1:44">
      <c r="A27">
        <v>1999</v>
      </c>
      <c r="B27">
        <f t="shared" si="0"/>
        <v>0.96142618500905164</v>
      </c>
      <c r="C27">
        <f t="shared" si="1"/>
        <v>3.5955163816489465E-2</v>
      </c>
      <c r="D27">
        <f t="shared" si="2"/>
        <v>2.6186511744588949E-3</v>
      </c>
      <c r="F27">
        <v>1999</v>
      </c>
      <c r="G27">
        <f t="shared" si="3"/>
        <v>0.43340137853930732</v>
      </c>
      <c r="H27">
        <f t="shared" si="4"/>
        <v>0.55568310565640333</v>
      </c>
      <c r="I27">
        <f t="shared" si="5"/>
        <v>1.0915515804289344E-2</v>
      </c>
      <c r="K27">
        <v>1999</v>
      </c>
      <c r="L27">
        <f t="shared" si="6"/>
        <v>0.97052887114433917</v>
      </c>
      <c r="M27">
        <f t="shared" si="7"/>
        <v>2.159206951341348E-2</v>
      </c>
      <c r="N27">
        <f t="shared" si="8"/>
        <v>7.8790593422473892E-3</v>
      </c>
      <c r="P27">
        <v>1999</v>
      </c>
      <c r="Q27">
        <f t="shared" si="9"/>
        <v>0.98707154254205076</v>
      </c>
      <c r="R27">
        <f t="shared" si="10"/>
        <v>6.5879915765101925E-3</v>
      </c>
      <c r="S27">
        <f t="shared" si="11"/>
        <v>6.3404658814389999E-3</v>
      </c>
      <c r="U27" s="11">
        <v>1999</v>
      </c>
      <c r="V27" s="16">
        <v>14385864</v>
      </c>
      <c r="W27" s="16">
        <v>9582796</v>
      </c>
      <c r="X27" s="16">
        <v>200357</v>
      </c>
      <c r="Y27" s="16">
        <v>4340112</v>
      </c>
      <c r="Z27" s="16">
        <v>262599</v>
      </c>
      <c r="AA27" s="11">
        <v>1999</v>
      </c>
      <c r="AB27" s="16">
        <v>13771394</v>
      </c>
      <c r="AC27" s="16">
        <v>9213151</v>
      </c>
      <c r="AD27" s="16">
        <v>86835</v>
      </c>
      <c r="AE27" s="16">
        <v>4212204</v>
      </c>
      <c r="AF27" s="16">
        <v>259204</v>
      </c>
      <c r="AG27" s="11">
        <v>1999</v>
      </c>
      <c r="AH27" s="16">
        <v>551328</v>
      </c>
      <c r="AI27" s="16">
        <v>344551</v>
      </c>
      <c r="AJ27" s="16">
        <v>111335</v>
      </c>
      <c r="AK27" s="16">
        <v>93712</v>
      </c>
      <c r="AL27" s="16">
        <v>1730</v>
      </c>
      <c r="AM27" s="16">
        <v>1999</v>
      </c>
      <c r="AN27" s="16">
        <v>63142</v>
      </c>
      <c r="AO27" s="16">
        <v>25094</v>
      </c>
      <c r="AP27" s="16">
        <v>2187</v>
      </c>
      <c r="AQ27" s="16">
        <v>34196</v>
      </c>
      <c r="AR27" s="16">
        <v>1665</v>
      </c>
    </row>
    <row r="28" spans="1:44">
      <c r="A28">
        <v>2000</v>
      </c>
      <c r="B28">
        <f t="shared" si="0"/>
        <v>0.9616166342985909</v>
      </c>
      <c r="C28">
        <f t="shared" si="1"/>
        <v>3.5329075874156693E-2</v>
      </c>
      <c r="D28">
        <f t="shared" si="2"/>
        <v>3.0542898272524492E-3</v>
      </c>
      <c r="F28">
        <v>2000</v>
      </c>
      <c r="G28">
        <f t="shared" si="3"/>
        <v>0.43697997984149883</v>
      </c>
      <c r="H28">
        <f t="shared" si="4"/>
        <v>0.54674993576948161</v>
      </c>
      <c r="I28">
        <f t="shared" si="5"/>
        <v>1.6270084389019546E-2</v>
      </c>
      <c r="K28">
        <v>2000</v>
      </c>
      <c r="L28">
        <f t="shared" si="6"/>
        <v>0.97197604494619505</v>
      </c>
      <c r="M28">
        <f t="shared" si="7"/>
        <v>2.0270205977750005E-2</v>
      </c>
      <c r="N28">
        <f t="shared" si="8"/>
        <v>7.753749076054927E-3</v>
      </c>
      <c r="P28">
        <v>2000</v>
      </c>
      <c r="Q28">
        <f t="shared" si="9"/>
        <v>0.98258053102162468</v>
      </c>
      <c r="R28">
        <f t="shared" si="10"/>
        <v>7.6448333582830935E-3</v>
      </c>
      <c r="S28">
        <f t="shared" si="11"/>
        <v>9.7746356200922695E-3</v>
      </c>
      <c r="U28" s="11">
        <v>2000</v>
      </c>
      <c r="V28" s="16">
        <v>15611916</v>
      </c>
      <c r="W28" s="16">
        <v>10176179</v>
      </c>
      <c r="X28" s="16">
        <v>202396</v>
      </c>
      <c r="Y28" s="16">
        <v>4939417</v>
      </c>
      <c r="Z28" s="16">
        <v>293924</v>
      </c>
      <c r="AA28" s="11">
        <v>2000</v>
      </c>
      <c r="AB28" s="16">
        <v>14963825</v>
      </c>
      <c r="AC28" s="16">
        <v>9785583</v>
      </c>
      <c r="AD28" s="16">
        <v>88443</v>
      </c>
      <c r="AE28" s="16">
        <v>4800995</v>
      </c>
      <c r="AF28" s="16">
        <v>288804</v>
      </c>
      <c r="AG28" s="11">
        <v>2000</v>
      </c>
      <c r="AH28" s="16">
        <v>572545</v>
      </c>
      <c r="AI28" s="16">
        <v>359515</v>
      </c>
      <c r="AJ28" s="16">
        <v>110660</v>
      </c>
      <c r="AK28" s="16">
        <v>100123</v>
      </c>
      <c r="AL28" s="16">
        <v>2247</v>
      </c>
      <c r="AM28" s="16">
        <v>2000</v>
      </c>
      <c r="AN28" s="16">
        <v>75546</v>
      </c>
      <c r="AO28" s="16">
        <v>31081</v>
      </c>
      <c r="AP28" s="16">
        <v>3293</v>
      </c>
      <c r="AQ28" s="16">
        <v>38299</v>
      </c>
      <c r="AR28" s="16">
        <v>2873</v>
      </c>
    </row>
    <row r="29" spans="1:44">
      <c r="A29">
        <v>2001</v>
      </c>
      <c r="B29">
        <f t="shared" si="0"/>
        <v>0.96442330511094887</v>
      </c>
      <c r="C29">
        <f t="shared" si="1"/>
        <v>3.2894079641775334E-2</v>
      </c>
      <c r="D29">
        <f t="shared" si="2"/>
        <v>2.6826152472757621E-3</v>
      </c>
      <c r="F29">
        <v>2001</v>
      </c>
      <c r="G29">
        <f t="shared" si="3"/>
        <v>0.44268030533458119</v>
      </c>
      <c r="H29">
        <f t="shared" si="4"/>
        <v>0.54882721104351895</v>
      </c>
      <c r="I29">
        <f t="shared" si="5"/>
        <v>8.4924836218998601E-3</v>
      </c>
      <c r="K29">
        <v>2001</v>
      </c>
      <c r="L29">
        <f t="shared" si="6"/>
        <v>0.97622467514218036</v>
      </c>
      <c r="M29">
        <f t="shared" si="7"/>
        <v>1.6204238399497535E-2</v>
      </c>
      <c r="N29">
        <f t="shared" si="8"/>
        <v>7.5710864583221332E-3</v>
      </c>
      <c r="P29">
        <v>2001</v>
      </c>
      <c r="Q29">
        <f t="shared" si="9"/>
        <v>0.97903534824754457</v>
      </c>
      <c r="R29">
        <f t="shared" si="10"/>
        <v>8.4898470830395353E-3</v>
      </c>
      <c r="S29">
        <f t="shared" si="11"/>
        <v>1.2474804669415895E-2</v>
      </c>
      <c r="U29" s="11">
        <v>2001</v>
      </c>
      <c r="V29" s="16">
        <v>17300530</v>
      </c>
      <c r="W29" s="16">
        <v>11351982</v>
      </c>
      <c r="X29" s="16">
        <v>273536</v>
      </c>
      <c r="Y29" s="16">
        <v>5394206</v>
      </c>
      <c r="Z29" s="16">
        <v>280806</v>
      </c>
      <c r="AA29" s="11">
        <v>2001</v>
      </c>
      <c r="AB29" s="16">
        <v>16610081</v>
      </c>
      <c r="AC29" s="16">
        <v>10948116</v>
      </c>
      <c r="AD29" s="16">
        <v>121089</v>
      </c>
      <c r="AE29" s="16">
        <v>5265957</v>
      </c>
      <c r="AF29" s="16">
        <v>274919</v>
      </c>
      <c r="AG29" s="11">
        <v>2001</v>
      </c>
      <c r="AH29" s="16">
        <v>613330</v>
      </c>
      <c r="AI29" s="16">
        <v>373413</v>
      </c>
      <c r="AJ29" s="16">
        <v>150124</v>
      </c>
      <c r="AK29" s="16">
        <v>87409</v>
      </c>
      <c r="AL29" s="16">
        <v>2384</v>
      </c>
      <c r="AM29" s="16">
        <v>2001</v>
      </c>
      <c r="AN29" s="16">
        <v>77119</v>
      </c>
      <c r="AO29" s="16">
        <v>30453</v>
      </c>
      <c r="AP29" s="16">
        <v>2323</v>
      </c>
      <c r="AQ29" s="16">
        <v>40840</v>
      </c>
      <c r="AR29" s="16">
        <v>3503</v>
      </c>
    </row>
    <row r="30" spans="1:44">
      <c r="A30">
        <v>2002</v>
      </c>
      <c r="B30">
        <f t="shared" si="0"/>
        <v>0.96658612751950035</v>
      </c>
      <c r="C30">
        <f t="shared" si="1"/>
        <v>3.0599571926680814E-2</v>
      </c>
      <c r="D30">
        <f t="shared" si="2"/>
        <v>2.8143005538188368E-3</v>
      </c>
      <c r="F30">
        <v>2002</v>
      </c>
      <c r="G30">
        <f t="shared" si="3"/>
        <v>0.44718988525712761</v>
      </c>
      <c r="H30">
        <f t="shared" si="4"/>
        <v>0.54496350608788602</v>
      </c>
      <c r="I30">
        <f t="shared" si="5"/>
        <v>7.8466086549863878E-3</v>
      </c>
      <c r="K30">
        <v>2002</v>
      </c>
      <c r="L30">
        <f t="shared" si="6"/>
        <v>0.97799155985098951</v>
      </c>
      <c r="M30">
        <f t="shared" si="7"/>
        <v>1.4953426982712419E-2</v>
      </c>
      <c r="N30">
        <f t="shared" si="8"/>
        <v>7.0550131662980306E-3</v>
      </c>
      <c r="P30">
        <v>2002</v>
      </c>
      <c r="Q30">
        <f t="shared" si="9"/>
        <v>0.98748924285969442</v>
      </c>
      <c r="R30">
        <f t="shared" si="10"/>
        <v>4.4381660631843296E-3</v>
      </c>
      <c r="S30">
        <f t="shared" si="11"/>
        <v>8.0725910771212543E-3</v>
      </c>
      <c r="U30" s="11">
        <v>2002</v>
      </c>
      <c r="V30" s="16">
        <v>18784594</v>
      </c>
      <c r="W30" s="16">
        <v>12254910</v>
      </c>
      <c r="X30" s="16">
        <v>299365</v>
      </c>
      <c r="Y30" s="16">
        <v>5860797</v>
      </c>
      <c r="Z30" s="16">
        <v>369522</v>
      </c>
      <c r="AA30" s="11">
        <v>2002</v>
      </c>
      <c r="AB30" s="16">
        <v>18076008</v>
      </c>
      <c r="AC30" s="16">
        <v>11845426</v>
      </c>
      <c r="AD30" s="16">
        <v>133873</v>
      </c>
      <c r="AE30" s="16">
        <v>5731810</v>
      </c>
      <c r="AF30" s="16">
        <v>364899</v>
      </c>
      <c r="AG30" s="11">
        <v>2002</v>
      </c>
      <c r="AH30" s="16">
        <v>627417</v>
      </c>
      <c r="AI30" s="16">
        <v>374995</v>
      </c>
      <c r="AJ30" s="16">
        <v>163143</v>
      </c>
      <c r="AK30" s="16">
        <v>87639</v>
      </c>
      <c r="AL30" s="16">
        <v>1640</v>
      </c>
      <c r="AM30" s="16">
        <v>2002</v>
      </c>
      <c r="AN30" s="16">
        <v>81169</v>
      </c>
      <c r="AO30" s="16">
        <v>34489</v>
      </c>
      <c r="AP30" s="16">
        <v>2349</v>
      </c>
      <c r="AQ30" s="16">
        <v>41348</v>
      </c>
      <c r="AR30" s="16">
        <v>2983</v>
      </c>
    </row>
    <row r="31" spans="1:44">
      <c r="A31">
        <v>2003</v>
      </c>
      <c r="B31">
        <f t="shared" si="0"/>
        <v>0.96810693476378873</v>
      </c>
      <c r="C31">
        <f t="shared" si="1"/>
        <v>2.9466689384101411E-2</v>
      </c>
      <c r="D31">
        <f t="shared" si="2"/>
        <v>2.4263758521098138E-3</v>
      </c>
      <c r="F31">
        <v>2003</v>
      </c>
      <c r="G31">
        <f t="shared" si="3"/>
        <v>0.47683389537846355</v>
      </c>
      <c r="H31">
        <f t="shared" si="4"/>
        <v>0.51618787345708061</v>
      </c>
      <c r="I31">
        <f t="shared" si="5"/>
        <v>6.9782311644558115E-3</v>
      </c>
      <c r="K31">
        <v>2003</v>
      </c>
      <c r="L31">
        <f t="shared" si="6"/>
        <v>0.98082406499112829</v>
      </c>
      <c r="M31">
        <f t="shared" si="7"/>
        <v>1.3196633431439701E-2</v>
      </c>
      <c r="N31">
        <f t="shared" si="8"/>
        <v>5.9793015774319792E-3</v>
      </c>
      <c r="P31">
        <v>2003</v>
      </c>
      <c r="Q31">
        <f t="shared" si="9"/>
        <v>0.98596413790592852</v>
      </c>
      <c r="R31">
        <f t="shared" si="10"/>
        <v>4.2683218169035555E-3</v>
      </c>
      <c r="S31">
        <f t="shared" si="11"/>
        <v>9.767540277167891E-3</v>
      </c>
      <c r="U31" s="11">
        <v>2003</v>
      </c>
      <c r="V31" s="16">
        <v>19806960</v>
      </c>
      <c r="W31" s="16">
        <v>12742049</v>
      </c>
      <c r="X31" s="16">
        <v>308101</v>
      </c>
      <c r="Y31" s="16">
        <v>6317293</v>
      </c>
      <c r="Z31" s="16">
        <v>439517</v>
      </c>
      <c r="AA31" s="11">
        <v>2003</v>
      </c>
      <c r="AB31" s="16">
        <v>19112080</v>
      </c>
      <c r="AC31" s="16">
        <v>12335666</v>
      </c>
      <c r="AD31" s="16">
        <v>146913</v>
      </c>
      <c r="AE31" s="16">
        <v>6196153</v>
      </c>
      <c r="AF31" s="16">
        <v>433348</v>
      </c>
      <c r="AG31" s="11">
        <v>2003</v>
      </c>
      <c r="AH31" s="16">
        <v>619747</v>
      </c>
      <c r="AI31" s="16">
        <v>375466</v>
      </c>
      <c r="AJ31" s="16">
        <v>159038</v>
      </c>
      <c r="AK31" s="16">
        <v>83367</v>
      </c>
      <c r="AL31" s="16">
        <v>1876</v>
      </c>
      <c r="AM31" s="16">
        <v>2003</v>
      </c>
      <c r="AN31" s="16">
        <v>75133</v>
      </c>
      <c r="AO31" s="16">
        <v>30917</v>
      </c>
      <c r="AP31" s="16">
        <v>2150</v>
      </c>
      <c r="AQ31" s="16">
        <v>37773</v>
      </c>
      <c r="AR31" s="16">
        <v>4293</v>
      </c>
    </row>
    <row r="32" spans="1:44">
      <c r="A32">
        <v>2004</v>
      </c>
      <c r="B32">
        <f t="shared" si="0"/>
        <v>0.96976384318775954</v>
      </c>
      <c r="C32">
        <f t="shared" si="1"/>
        <v>2.796815748059962E-2</v>
      </c>
      <c r="D32">
        <f t="shared" si="2"/>
        <v>2.2679993316408239E-3</v>
      </c>
      <c r="F32">
        <v>2004</v>
      </c>
      <c r="G32">
        <f t="shared" si="3"/>
        <v>0.55627114159910807</v>
      </c>
      <c r="H32">
        <f t="shared" si="4"/>
        <v>0.43715252187387799</v>
      </c>
      <c r="I32">
        <f t="shared" si="5"/>
        <v>6.5763365270140031E-3</v>
      </c>
      <c r="K32">
        <v>2004</v>
      </c>
      <c r="L32">
        <f t="shared" si="6"/>
        <v>0.97684887220118866</v>
      </c>
      <c r="M32">
        <f t="shared" si="7"/>
        <v>1.7246574188580454E-2</v>
      </c>
      <c r="N32">
        <f t="shared" si="8"/>
        <v>5.9045536102308822E-3</v>
      </c>
      <c r="P32">
        <v>2004</v>
      </c>
      <c r="Q32">
        <f t="shared" si="9"/>
        <v>0.98648291456607762</v>
      </c>
      <c r="R32">
        <f t="shared" si="10"/>
        <v>4.3256216875326783E-3</v>
      </c>
      <c r="S32">
        <f t="shared" si="11"/>
        <v>9.1914637463896883E-3</v>
      </c>
      <c r="U32" s="11">
        <v>2004</v>
      </c>
      <c r="V32" s="16">
        <v>20878438</v>
      </c>
      <c r="W32" s="16">
        <v>13388011</v>
      </c>
      <c r="X32" s="16">
        <v>264585</v>
      </c>
      <c r="Y32" s="16">
        <v>6707535</v>
      </c>
      <c r="Z32" s="16">
        <v>518307</v>
      </c>
      <c r="AA32" s="11">
        <v>2004</v>
      </c>
      <c r="AB32" s="16">
        <v>20193939</v>
      </c>
      <c r="AC32" s="16">
        <v>12983209</v>
      </c>
      <c r="AD32" s="16">
        <v>147181</v>
      </c>
      <c r="AE32" s="16">
        <v>6552248</v>
      </c>
      <c r="AF32" s="16">
        <v>511301</v>
      </c>
      <c r="AG32" s="11">
        <v>2004</v>
      </c>
      <c r="AH32" s="16">
        <v>608026</v>
      </c>
      <c r="AI32" s="16">
        <v>374438</v>
      </c>
      <c r="AJ32" s="16">
        <v>115664</v>
      </c>
      <c r="AK32" s="16">
        <v>115682</v>
      </c>
      <c r="AL32" s="16">
        <v>2242</v>
      </c>
      <c r="AM32" s="16">
        <v>2004</v>
      </c>
      <c r="AN32" s="16">
        <v>76473</v>
      </c>
      <c r="AO32" s="16">
        <v>30364</v>
      </c>
      <c r="AP32" s="16">
        <v>1740</v>
      </c>
      <c r="AQ32" s="16">
        <v>39605</v>
      </c>
      <c r="AR32" s="16">
        <v>4764</v>
      </c>
    </row>
    <row r="33" spans="1:44">
      <c r="A33">
        <v>2005</v>
      </c>
      <c r="B33">
        <f t="shared" si="0"/>
        <v>0.96821462087021459</v>
      </c>
      <c r="C33">
        <f t="shared" si="1"/>
        <v>2.9611520812733647E-2</v>
      </c>
      <c r="D33">
        <f t="shared" si="2"/>
        <v>2.1738583170517146E-3</v>
      </c>
      <c r="F33">
        <v>2005</v>
      </c>
      <c r="G33">
        <f t="shared" si="3"/>
        <v>0.53090764348980901</v>
      </c>
      <c r="H33">
        <f t="shared" si="4"/>
        <v>0.463590472328759</v>
      </c>
      <c r="I33">
        <f t="shared" si="5"/>
        <v>5.5018841814319782E-3</v>
      </c>
      <c r="K33">
        <v>2005</v>
      </c>
      <c r="L33">
        <f t="shared" si="6"/>
        <v>0.9752017623351571</v>
      </c>
      <c r="M33">
        <f t="shared" si="7"/>
        <v>1.8897285645156716E-2</v>
      </c>
      <c r="N33">
        <f t="shared" si="8"/>
        <v>5.9009520196861703E-3</v>
      </c>
      <c r="P33">
        <v>2005</v>
      </c>
      <c r="Q33">
        <f t="shared" si="9"/>
        <v>0.9868471802400165</v>
      </c>
      <c r="R33">
        <f t="shared" si="10"/>
        <v>4.4856535546255755E-3</v>
      </c>
      <c r="S33">
        <f t="shared" si="11"/>
        <v>8.6671662053579776E-3</v>
      </c>
      <c r="U33" s="11">
        <v>2005</v>
      </c>
      <c r="V33" s="16">
        <v>22138478</v>
      </c>
      <c r="W33" s="16">
        <v>14300380</v>
      </c>
      <c r="X33" s="16">
        <v>268817</v>
      </c>
      <c r="Y33" s="16">
        <v>6980738</v>
      </c>
      <c r="Z33" s="16">
        <v>588543</v>
      </c>
      <c r="AA33" s="11">
        <v>2005</v>
      </c>
      <c r="AB33" s="16">
        <v>21376984</v>
      </c>
      <c r="AC33" s="16">
        <v>13845837</v>
      </c>
      <c r="AD33" s="16">
        <v>142717</v>
      </c>
      <c r="AE33" s="16">
        <v>6807628</v>
      </c>
      <c r="AF33" s="16">
        <v>580802</v>
      </c>
      <c r="AG33" s="11">
        <v>2005</v>
      </c>
      <c r="AH33" s="16">
        <v>682634</v>
      </c>
      <c r="AI33" s="16">
        <v>423456</v>
      </c>
      <c r="AJ33" s="16">
        <v>124621</v>
      </c>
      <c r="AK33" s="16">
        <v>131917</v>
      </c>
      <c r="AL33" s="16">
        <v>2640</v>
      </c>
      <c r="AM33" s="16">
        <v>2005</v>
      </c>
      <c r="AN33" s="16">
        <v>78860</v>
      </c>
      <c r="AO33" s="16">
        <v>31087</v>
      </c>
      <c r="AP33" s="16">
        <v>1479</v>
      </c>
      <c r="AQ33" s="16">
        <v>41193</v>
      </c>
      <c r="AR33" s="16">
        <v>5101</v>
      </c>
    </row>
    <row r="34" spans="1:44">
      <c r="A34">
        <v>2006</v>
      </c>
      <c r="B34">
        <f t="shared" si="0"/>
        <v>0.96861364433045882</v>
      </c>
      <c r="C34">
        <f t="shared" si="1"/>
        <v>2.8732291794940631E-2</v>
      </c>
      <c r="D34">
        <f t="shared" si="2"/>
        <v>2.6540638746005698E-3</v>
      </c>
      <c r="F34">
        <v>2006</v>
      </c>
      <c r="G34">
        <f t="shared" si="3"/>
        <v>0.46344970324544066</v>
      </c>
      <c r="H34">
        <f t="shared" si="4"/>
        <v>0.53145662805579819</v>
      </c>
      <c r="I34">
        <f t="shared" si="5"/>
        <v>5.0936686987610776E-3</v>
      </c>
      <c r="K34">
        <v>2006</v>
      </c>
      <c r="L34">
        <f t="shared" si="6"/>
        <v>0.97590433125487908</v>
      </c>
      <c r="M34">
        <f t="shared" si="7"/>
        <v>1.7502403215471481E-2</v>
      </c>
      <c r="N34">
        <f t="shared" si="8"/>
        <v>6.5932655296493947E-3</v>
      </c>
      <c r="P34">
        <v>2006</v>
      </c>
      <c r="Q34">
        <f t="shared" si="9"/>
        <v>0.97600749817598842</v>
      </c>
      <c r="R34">
        <f t="shared" si="10"/>
        <v>1.4142146920500783E-2</v>
      </c>
      <c r="S34">
        <f t="shared" si="11"/>
        <v>9.8503549035108239E-3</v>
      </c>
      <c r="U34" s="11">
        <v>2006</v>
      </c>
      <c r="V34" s="16">
        <v>24907229</v>
      </c>
      <c r="W34" s="16">
        <v>16411813</v>
      </c>
      <c r="X34" s="16">
        <v>310189</v>
      </c>
      <c r="Y34" s="16">
        <v>7462918</v>
      </c>
      <c r="Z34" s="16">
        <v>722309</v>
      </c>
      <c r="AA34" s="11">
        <v>2006</v>
      </c>
      <c r="AB34" s="16">
        <v>24028536</v>
      </c>
      <c r="AC34" s="16">
        <v>15896706</v>
      </c>
      <c r="AD34" s="16">
        <v>143757</v>
      </c>
      <c r="AE34" s="16">
        <v>7283094</v>
      </c>
      <c r="AF34" s="16">
        <v>704979</v>
      </c>
      <c r="AG34" s="11">
        <v>2006</v>
      </c>
      <c r="AH34" s="16">
        <v>777235</v>
      </c>
      <c r="AI34" s="16">
        <v>471549</v>
      </c>
      <c r="AJ34" s="16">
        <v>164852</v>
      </c>
      <c r="AK34" s="16">
        <v>130619</v>
      </c>
      <c r="AL34" s="16">
        <v>10215</v>
      </c>
      <c r="AM34" s="16">
        <v>2006</v>
      </c>
      <c r="AN34" s="16">
        <v>101458</v>
      </c>
      <c r="AO34" s="16">
        <v>43558</v>
      </c>
      <c r="AP34" s="16">
        <v>1580</v>
      </c>
      <c r="AQ34" s="16">
        <v>49205</v>
      </c>
      <c r="AR34" s="16">
        <v>7115</v>
      </c>
    </row>
    <row r="35" spans="1:44">
      <c r="A35">
        <v>2007</v>
      </c>
      <c r="B35">
        <f t="shared" si="0"/>
        <v>0.96890774019427317</v>
      </c>
      <c r="C35">
        <f t="shared" si="1"/>
        <v>2.8573304635579343E-2</v>
      </c>
      <c r="D35">
        <f t="shared" si="2"/>
        <v>2.5189551701474341E-3</v>
      </c>
      <c r="F35">
        <v>2007</v>
      </c>
      <c r="G35">
        <f t="shared" si="3"/>
        <v>0.47511782860052532</v>
      </c>
      <c r="H35">
        <f t="shared" si="4"/>
        <v>0.52014729351275157</v>
      </c>
      <c r="I35">
        <f t="shared" si="5"/>
        <v>4.7348778867230918E-3</v>
      </c>
      <c r="K35">
        <v>2007</v>
      </c>
      <c r="L35">
        <f t="shared" si="6"/>
        <v>0.9760239230798532</v>
      </c>
      <c r="M35">
        <f t="shared" si="7"/>
        <v>1.7281884901836311E-2</v>
      </c>
      <c r="N35">
        <f t="shared" si="8"/>
        <v>6.6941920183104867E-3</v>
      </c>
      <c r="P35">
        <v>2007</v>
      </c>
      <c r="Q35">
        <f t="shared" si="9"/>
        <v>0.97883516020955508</v>
      </c>
      <c r="R35">
        <f t="shared" si="10"/>
        <v>1.215806508495401E-2</v>
      </c>
      <c r="S35">
        <f t="shared" si="11"/>
        <v>9.0067747054908675E-3</v>
      </c>
      <c r="U35" s="11">
        <v>2007</v>
      </c>
      <c r="V35" s="16">
        <v>26747197</v>
      </c>
      <c r="W35" s="16">
        <v>17696623</v>
      </c>
      <c r="X35" s="16">
        <v>322078</v>
      </c>
      <c r="Y35" s="16">
        <v>7849491</v>
      </c>
      <c r="Z35" s="16">
        <v>879005</v>
      </c>
      <c r="AA35" s="11">
        <v>2007</v>
      </c>
      <c r="AB35" s="16">
        <v>25821112</v>
      </c>
      <c r="AC35" s="16">
        <v>17146395</v>
      </c>
      <c r="AD35" s="16">
        <v>153025</v>
      </c>
      <c r="AE35" s="16">
        <v>7661291</v>
      </c>
      <c r="AF35" s="16">
        <v>860401</v>
      </c>
      <c r="AG35" s="11">
        <v>2007</v>
      </c>
      <c r="AH35" s="16">
        <v>819520</v>
      </c>
      <c r="AI35" s="16">
        <v>505651</v>
      </c>
      <c r="AJ35" s="16">
        <v>167528</v>
      </c>
      <c r="AK35" s="16">
        <v>135654</v>
      </c>
      <c r="AL35" s="16">
        <v>10687</v>
      </c>
      <c r="AM35" s="16">
        <v>2007</v>
      </c>
      <c r="AN35" s="16">
        <v>106565</v>
      </c>
      <c r="AO35" s="16">
        <v>44577</v>
      </c>
      <c r="AP35" s="16">
        <v>1525</v>
      </c>
      <c r="AQ35" s="16">
        <v>52546</v>
      </c>
      <c r="AR35" s="16">
        <v>7917</v>
      </c>
    </row>
    <row r="36" spans="1:44">
      <c r="A36">
        <v>2008</v>
      </c>
      <c r="B36">
        <f t="shared" si="0"/>
        <v>0.97213121793989188</v>
      </c>
      <c r="C36">
        <f t="shared" si="1"/>
        <v>2.5181785723885072E-2</v>
      </c>
      <c r="D36">
        <f t="shared" si="2"/>
        <v>2.6869963362230317E-3</v>
      </c>
      <c r="F36">
        <v>2008</v>
      </c>
      <c r="G36">
        <f t="shared" si="3"/>
        <v>0.49244645005655785</v>
      </c>
      <c r="H36">
        <f t="shared" si="4"/>
        <v>0.50261186304896377</v>
      </c>
      <c r="I36">
        <f t="shared" si="5"/>
        <v>4.9416868944783324E-3</v>
      </c>
      <c r="K36">
        <v>2008</v>
      </c>
      <c r="L36">
        <f t="shared" si="6"/>
        <v>0.97610438439192959</v>
      </c>
      <c r="M36">
        <f t="shared" si="7"/>
        <v>1.6383787216832212E-2</v>
      </c>
      <c r="N36">
        <f t="shared" si="8"/>
        <v>7.5118283912382431E-3</v>
      </c>
      <c r="P36">
        <v>2008</v>
      </c>
      <c r="Q36">
        <f t="shared" si="9"/>
        <v>0.97732745842179181</v>
      </c>
      <c r="R36">
        <f t="shared" si="10"/>
        <v>1.3337061476400206E-2</v>
      </c>
      <c r="S36">
        <f t="shared" si="11"/>
        <v>9.3354801018079338E-3</v>
      </c>
      <c r="U36" s="11">
        <v>2008</v>
      </c>
      <c r="V36" s="16">
        <v>29287903</v>
      </c>
      <c r="W36" s="16">
        <v>19420942</v>
      </c>
      <c r="X36" s="16">
        <v>333287</v>
      </c>
      <c r="Y36" s="16">
        <v>8453601</v>
      </c>
      <c r="Z36" s="16">
        <v>1080073</v>
      </c>
      <c r="AA36" s="11">
        <v>2008</v>
      </c>
      <c r="AB36" s="16">
        <v>28351012</v>
      </c>
      <c r="AC36" s="16">
        <v>18879704</v>
      </c>
      <c r="AD36" s="16">
        <v>164126</v>
      </c>
      <c r="AE36" s="16">
        <v>8251597</v>
      </c>
      <c r="AF36" s="16">
        <v>1055585</v>
      </c>
      <c r="AG36" s="11">
        <v>2008</v>
      </c>
      <c r="AH36" s="16">
        <v>809475</v>
      </c>
      <c r="AI36" s="16">
        <v>489054</v>
      </c>
      <c r="AJ36" s="16">
        <v>167514</v>
      </c>
      <c r="AK36" s="16">
        <v>138502</v>
      </c>
      <c r="AL36" s="16">
        <v>14405</v>
      </c>
      <c r="AM36" s="16">
        <v>2008</v>
      </c>
      <c r="AN36" s="16">
        <v>127416</v>
      </c>
      <c r="AO36" s="16">
        <v>52184</v>
      </c>
      <c r="AP36" s="16">
        <v>1647</v>
      </c>
      <c r="AQ36" s="16">
        <v>63502</v>
      </c>
      <c r="AR36" s="16">
        <v>10083</v>
      </c>
    </row>
    <row r="37" spans="1:44">
      <c r="A37">
        <v>2009</v>
      </c>
      <c r="B37">
        <f t="shared" si="0"/>
        <v>0.97225533480213477</v>
      </c>
      <c r="C37">
        <f t="shared" si="1"/>
        <v>2.5087839579118587E-2</v>
      </c>
      <c r="D37">
        <f t="shared" si="2"/>
        <v>2.6568256187465959E-3</v>
      </c>
      <c r="F37">
        <v>2009</v>
      </c>
      <c r="G37">
        <f t="shared" si="3"/>
        <v>0.48872327500629698</v>
      </c>
      <c r="H37">
        <f t="shared" si="4"/>
        <v>0.50620656957017762</v>
      </c>
      <c r="I37">
        <f t="shared" si="5"/>
        <v>5.0701554235254029E-3</v>
      </c>
      <c r="K37">
        <v>2009</v>
      </c>
      <c r="L37">
        <f t="shared" si="6"/>
        <v>0.97563211402035999</v>
      </c>
      <c r="M37">
        <f t="shared" si="7"/>
        <v>1.6425219412273234E-2</v>
      </c>
      <c r="N37">
        <f t="shared" si="8"/>
        <v>7.9426665673668281E-3</v>
      </c>
      <c r="P37">
        <v>2009</v>
      </c>
      <c r="Q37">
        <f t="shared" si="9"/>
        <v>0.97788697378600342</v>
      </c>
      <c r="R37">
        <f t="shared" si="10"/>
        <v>1.302229161954946E-2</v>
      </c>
      <c r="S37">
        <f t="shared" si="11"/>
        <v>9.0907345944470832E-3</v>
      </c>
      <c r="U37" s="11">
        <v>2009</v>
      </c>
      <c r="V37" s="16">
        <v>30890136</v>
      </c>
      <c r="W37" s="16">
        <v>20519224</v>
      </c>
      <c r="X37" s="16">
        <v>337465</v>
      </c>
      <c r="Y37" s="16">
        <v>8835194</v>
      </c>
      <c r="Z37" s="16">
        <v>1198253</v>
      </c>
      <c r="AA37" s="11">
        <v>2009</v>
      </c>
      <c r="AB37" s="16">
        <v>29906507</v>
      </c>
      <c r="AC37" s="16">
        <v>19949925</v>
      </c>
      <c r="AD37" s="16">
        <v>164927</v>
      </c>
      <c r="AE37" s="16">
        <v>8619899</v>
      </c>
      <c r="AF37" s="16">
        <v>1171756</v>
      </c>
      <c r="AG37" s="11">
        <v>2009</v>
      </c>
      <c r="AH37" s="16">
        <v>846334</v>
      </c>
      <c r="AI37" s="16">
        <v>514783</v>
      </c>
      <c r="AJ37" s="16">
        <v>170827</v>
      </c>
      <c r="AK37" s="16">
        <v>145120</v>
      </c>
      <c r="AL37" s="16">
        <v>15604</v>
      </c>
      <c r="AM37" s="16">
        <v>2009</v>
      </c>
      <c r="AN37" s="16">
        <v>137295</v>
      </c>
      <c r="AO37" s="16">
        <v>54516</v>
      </c>
      <c r="AP37" s="16">
        <v>1711</v>
      </c>
      <c r="AQ37" s="16">
        <v>70175</v>
      </c>
      <c r="AR37" s="16">
        <v>10893</v>
      </c>
    </row>
    <row r="38" spans="1:44">
      <c r="A38">
        <v>2010</v>
      </c>
      <c r="B38">
        <f t="shared" si="0"/>
        <v>0.97358587453285672</v>
      </c>
      <c r="C38">
        <f t="shared" si="1"/>
        <v>2.3784824807603241E-2</v>
      </c>
      <c r="D38">
        <f t="shared" si="2"/>
        <v>2.6293006595400044E-3</v>
      </c>
      <c r="F38">
        <v>2010</v>
      </c>
      <c r="G38">
        <f t="shared" si="3"/>
        <v>0.53808299599025378</v>
      </c>
      <c r="H38">
        <f t="shared" si="4"/>
        <v>0.45613260940467742</v>
      </c>
      <c r="I38">
        <f t="shared" si="5"/>
        <v>5.7843946050687798E-3</v>
      </c>
      <c r="K38">
        <v>2010</v>
      </c>
      <c r="L38">
        <f t="shared" si="6"/>
        <v>0.97350265480364839</v>
      </c>
      <c r="M38">
        <f t="shared" si="7"/>
        <v>1.8285800361072819E-2</v>
      </c>
      <c r="N38">
        <f t="shared" si="8"/>
        <v>8.2115448352788282E-3</v>
      </c>
      <c r="P38">
        <v>2010</v>
      </c>
      <c r="Q38">
        <f t="shared" si="9"/>
        <v>0.97543809486676281</v>
      </c>
      <c r="R38">
        <f t="shared" si="10"/>
        <v>1.4784104250332497E-2</v>
      </c>
      <c r="S38">
        <f t="shared" si="11"/>
        <v>9.7778008829046605E-3</v>
      </c>
      <c r="U38" s="11">
        <v>2010</v>
      </c>
      <c r="V38" s="16">
        <v>31635012</v>
      </c>
      <c r="W38" s="16">
        <v>21152773</v>
      </c>
      <c r="X38" s="16">
        <v>312738</v>
      </c>
      <c r="Y38" s="16">
        <v>9015356</v>
      </c>
      <c r="Z38" s="16">
        <v>1154145</v>
      </c>
      <c r="AA38" s="11">
        <v>2010</v>
      </c>
      <c r="AB38" s="16">
        <v>30664590</v>
      </c>
      <c r="AC38" s="16">
        <v>20594041</v>
      </c>
      <c r="AD38" s="16">
        <v>168279</v>
      </c>
      <c r="AE38" s="16">
        <v>8776473</v>
      </c>
      <c r="AF38" s="16">
        <v>1125797</v>
      </c>
      <c r="AG38" s="11">
        <v>2010</v>
      </c>
      <c r="AH38" s="16">
        <v>827681</v>
      </c>
      <c r="AI38" s="16">
        <v>503115</v>
      </c>
      <c r="AJ38" s="16">
        <v>142650</v>
      </c>
      <c r="AK38" s="16">
        <v>164853</v>
      </c>
      <c r="AL38" s="16">
        <v>17063</v>
      </c>
      <c r="AM38" s="16">
        <v>2010</v>
      </c>
      <c r="AN38" s="16">
        <v>142741</v>
      </c>
      <c r="AO38" s="16">
        <v>55617</v>
      </c>
      <c r="AP38" s="16">
        <v>1809</v>
      </c>
      <c r="AQ38" s="16">
        <v>74030</v>
      </c>
      <c r="AR38" s="16">
        <v>11285</v>
      </c>
    </row>
    <row r="39" spans="1:44">
      <c r="A39">
        <v>2011</v>
      </c>
      <c r="B39">
        <f t="shared" si="0"/>
        <v>0.97336022546556267</v>
      </c>
      <c r="C39">
        <f t="shared" si="1"/>
        <v>2.4127073146248072E-2</v>
      </c>
      <c r="D39">
        <f t="shared" si="2"/>
        <v>2.5127013881893023E-3</v>
      </c>
      <c r="F39">
        <v>2011</v>
      </c>
      <c r="G39">
        <f t="shared" si="3"/>
        <v>0.5366934806832232</v>
      </c>
      <c r="H39">
        <f t="shared" si="4"/>
        <v>0.45768015508372384</v>
      </c>
      <c r="I39">
        <f t="shared" si="5"/>
        <v>5.6263642330529814E-3</v>
      </c>
      <c r="K39">
        <v>2011</v>
      </c>
      <c r="L39">
        <f t="shared" si="6"/>
        <v>0.9735059483031937</v>
      </c>
      <c r="M39">
        <f t="shared" si="7"/>
        <v>1.8128696902182787E-2</v>
      </c>
      <c r="N39">
        <f t="shared" si="8"/>
        <v>8.3653547946235043E-3</v>
      </c>
      <c r="P39">
        <v>2011</v>
      </c>
      <c r="Q39">
        <f t="shared" si="9"/>
        <v>0.97837367738869652</v>
      </c>
      <c r="R39">
        <f t="shared" si="10"/>
        <v>1.3192985876407524E-2</v>
      </c>
      <c r="S39">
        <f t="shared" si="11"/>
        <v>8.4333367348959198E-3</v>
      </c>
      <c r="U39" s="11">
        <v>2011</v>
      </c>
      <c r="V39" s="16">
        <v>33275469</v>
      </c>
      <c r="W39" s="16">
        <v>22374326</v>
      </c>
      <c r="X39" s="16">
        <v>327565</v>
      </c>
      <c r="Y39" s="16">
        <v>9260456</v>
      </c>
      <c r="Z39" s="16">
        <v>1313122</v>
      </c>
      <c r="AA39" s="11">
        <v>2011</v>
      </c>
      <c r="AB39" s="16">
        <v>32253914</v>
      </c>
      <c r="AC39" s="16">
        <v>21778279</v>
      </c>
      <c r="AD39" s="16">
        <v>175802</v>
      </c>
      <c r="AE39" s="16">
        <v>9015109</v>
      </c>
      <c r="AF39" s="16">
        <v>1284724</v>
      </c>
      <c r="AG39" s="11">
        <v>2011</v>
      </c>
      <c r="AH39" s="16">
        <v>874951</v>
      </c>
      <c r="AI39" s="16">
        <v>539827</v>
      </c>
      <c r="AJ39" s="16">
        <v>149920</v>
      </c>
      <c r="AK39" s="16">
        <v>167880</v>
      </c>
      <c r="AL39" s="16">
        <v>17324</v>
      </c>
      <c r="AM39" s="16">
        <v>2011</v>
      </c>
      <c r="AN39" s="16">
        <v>146604</v>
      </c>
      <c r="AO39" s="16">
        <v>56220</v>
      </c>
      <c r="AP39" s="16">
        <v>1843</v>
      </c>
      <c r="AQ39" s="16">
        <v>77467</v>
      </c>
      <c r="AR39" s="16">
        <v>11074</v>
      </c>
    </row>
    <row r="40" spans="1:44">
      <c r="A40">
        <v>2012</v>
      </c>
      <c r="B40">
        <f t="shared" si="0"/>
        <v>0.97409224576905618</v>
      </c>
      <c r="C40">
        <f t="shared" si="1"/>
        <v>2.3503473093311675E-2</v>
      </c>
      <c r="D40">
        <f t="shared" si="2"/>
        <v>2.4042811376321122E-3</v>
      </c>
      <c r="F40">
        <v>2012</v>
      </c>
      <c r="G40">
        <f t="shared" si="3"/>
        <v>0.53590925203828432</v>
      </c>
      <c r="H40">
        <f t="shared" si="4"/>
        <v>0.4589241403757533</v>
      </c>
      <c r="I40">
        <f t="shared" si="5"/>
        <v>5.1666075859624246E-3</v>
      </c>
      <c r="K40">
        <v>2012</v>
      </c>
      <c r="L40">
        <f t="shared" si="6"/>
        <v>0.97373172520149776</v>
      </c>
      <c r="M40">
        <f t="shared" si="7"/>
        <v>1.7666251201591907E-2</v>
      </c>
      <c r="N40">
        <f t="shared" si="8"/>
        <v>8.6020235969103721E-3</v>
      </c>
      <c r="P40">
        <v>2012</v>
      </c>
      <c r="Q40">
        <f t="shared" si="9"/>
        <v>0.9841299736826804</v>
      </c>
      <c r="R40">
        <f t="shared" si="10"/>
        <v>8.2870483899918339E-3</v>
      </c>
      <c r="S40">
        <f t="shared" si="11"/>
        <v>7.5829779273277938E-3</v>
      </c>
      <c r="U40" s="11">
        <v>2012</v>
      </c>
      <c r="V40" s="16">
        <v>34875837</v>
      </c>
      <c r="W40" s="16">
        <v>23569623</v>
      </c>
      <c r="X40" s="16">
        <v>338520</v>
      </c>
      <c r="Y40" s="16">
        <v>9385466</v>
      </c>
      <c r="Z40" s="16">
        <v>1582228</v>
      </c>
      <c r="AA40" s="11">
        <v>2012</v>
      </c>
      <c r="AB40" s="16">
        <v>33836447</v>
      </c>
      <c r="AC40" s="16">
        <v>22958987</v>
      </c>
      <c r="AD40" s="16">
        <v>181416</v>
      </c>
      <c r="AE40" s="16">
        <v>9138926</v>
      </c>
      <c r="AF40" s="16">
        <v>1557118</v>
      </c>
      <c r="AG40" s="11">
        <v>2012</v>
      </c>
      <c r="AH40" s="16">
        <v>888241</v>
      </c>
      <c r="AI40" s="16">
        <v>553968</v>
      </c>
      <c r="AJ40" s="16">
        <v>155355</v>
      </c>
      <c r="AK40" s="16">
        <v>165806</v>
      </c>
      <c r="AL40" s="16">
        <v>13112</v>
      </c>
      <c r="AM40" s="16">
        <v>2012</v>
      </c>
      <c r="AN40" s="16">
        <v>151149</v>
      </c>
      <c r="AO40" s="16">
        <v>56668</v>
      </c>
      <c r="AP40" s="16">
        <v>1749</v>
      </c>
      <c r="AQ40" s="16">
        <v>80734</v>
      </c>
      <c r="AR40" s="16">
        <v>11998</v>
      </c>
    </row>
    <row r="41" spans="1:44">
      <c r="A41">
        <v>2013</v>
      </c>
      <c r="B41">
        <f t="shared" si="0"/>
        <v>0.97507167830745001</v>
      </c>
      <c r="C41">
        <f t="shared" si="1"/>
        <v>2.269088516877692E-2</v>
      </c>
      <c r="D41">
        <f t="shared" si="2"/>
        <v>2.2374365237731206E-3</v>
      </c>
      <c r="F41">
        <v>2013</v>
      </c>
      <c r="G41">
        <f t="shared" si="3"/>
        <v>0.54288710160624987</v>
      </c>
      <c r="H41">
        <f t="shared" si="4"/>
        <v>0.45187875924688314</v>
      </c>
      <c r="I41">
        <f t="shared" si="5"/>
        <v>5.234139146867006E-3</v>
      </c>
      <c r="K41">
        <v>2013</v>
      </c>
      <c r="L41">
        <f t="shared" si="6"/>
        <v>0.97385216667005015</v>
      </c>
      <c r="M41">
        <f t="shared" si="7"/>
        <v>1.7781087250367911E-2</v>
      </c>
      <c r="N41">
        <f t="shared" si="8"/>
        <v>8.3667460795819847E-3</v>
      </c>
      <c r="P41">
        <v>2013</v>
      </c>
      <c r="Q41">
        <f t="shared" si="9"/>
        <v>0.98787601253388457</v>
      </c>
      <c r="R41">
        <f t="shared" si="10"/>
        <v>5.2576774312688502E-3</v>
      </c>
      <c r="S41">
        <f t="shared" si="11"/>
        <v>6.8663100348465905E-3</v>
      </c>
      <c r="U41" s="11">
        <v>2013</v>
      </c>
      <c r="V41" s="16">
        <v>36744838</v>
      </c>
      <c r="W41" s="16">
        <v>24819922</v>
      </c>
      <c r="X41" s="16">
        <v>347144</v>
      </c>
      <c r="Y41" s="16">
        <v>9704131</v>
      </c>
      <c r="Z41" s="16">
        <v>1873641</v>
      </c>
      <c r="AA41" s="11">
        <v>2013</v>
      </c>
      <c r="AB41" s="16">
        <v>35690977</v>
      </c>
      <c r="AC41" s="16">
        <v>24201203</v>
      </c>
      <c r="AD41" s="16">
        <v>188460</v>
      </c>
      <c r="AE41" s="16">
        <v>9450389</v>
      </c>
      <c r="AF41" s="16">
        <v>1850925</v>
      </c>
      <c r="AG41" s="11">
        <v>2013</v>
      </c>
      <c r="AH41" s="16">
        <v>902454</v>
      </c>
      <c r="AI41" s="16">
        <v>563186</v>
      </c>
      <c r="AJ41" s="16">
        <v>156867</v>
      </c>
      <c r="AK41" s="16">
        <v>172550</v>
      </c>
      <c r="AL41" s="16">
        <v>9851</v>
      </c>
      <c r="AM41" s="16">
        <v>2013</v>
      </c>
      <c r="AN41" s="16">
        <v>151407</v>
      </c>
      <c r="AO41" s="16">
        <v>55533</v>
      </c>
      <c r="AP41" s="16">
        <v>1817</v>
      </c>
      <c r="AQ41" s="16">
        <v>81192</v>
      </c>
      <c r="AR41" s="16">
        <v>12865</v>
      </c>
    </row>
    <row r="42" spans="1:44">
      <c r="A42">
        <v>2014</v>
      </c>
      <c r="B42">
        <f t="shared" si="0"/>
        <v>0.97494459344278883</v>
      </c>
      <c r="C42">
        <f t="shared" si="1"/>
        <v>2.2863259607731126E-2</v>
      </c>
      <c r="D42">
        <f t="shared" si="2"/>
        <v>2.1921469494800873E-3</v>
      </c>
      <c r="F42">
        <v>2014</v>
      </c>
      <c r="G42">
        <f t="shared" si="3"/>
        <v>0.55806108363050733</v>
      </c>
      <c r="H42">
        <f t="shared" si="4"/>
        <v>0.43694064189577819</v>
      </c>
      <c r="I42">
        <f t="shared" si="5"/>
        <v>4.998274473714483E-3</v>
      </c>
      <c r="K42">
        <v>2014</v>
      </c>
      <c r="L42">
        <f t="shared" si="6"/>
        <v>0.97611025164284604</v>
      </c>
      <c r="M42">
        <f t="shared" si="7"/>
        <v>1.5652809515023347E-2</v>
      </c>
      <c r="N42">
        <f t="shared" si="8"/>
        <v>8.2369388421306613E-3</v>
      </c>
      <c r="P42">
        <v>2014</v>
      </c>
      <c r="Q42">
        <f t="shared" si="9"/>
        <v>0.98870205228734576</v>
      </c>
      <c r="R42">
        <f t="shared" si="10"/>
        <v>5.4940144737346047E-3</v>
      </c>
      <c r="S42">
        <f t="shared" si="11"/>
        <v>5.8039332389196339E-3</v>
      </c>
      <c r="U42" s="11">
        <v>2014</v>
      </c>
      <c r="V42" s="16">
        <v>38027171</v>
      </c>
      <c r="W42" s="16">
        <v>25543908</v>
      </c>
      <c r="X42" s="16">
        <v>347720</v>
      </c>
      <c r="Y42" s="16">
        <v>9863980</v>
      </c>
      <c r="Z42" s="16">
        <v>2271563</v>
      </c>
      <c r="AA42" s="11">
        <v>2014</v>
      </c>
      <c r="AB42" s="16">
        <v>36972175</v>
      </c>
      <c r="AC42" s="16">
        <v>24903895</v>
      </c>
      <c r="AD42" s="16">
        <v>194049</v>
      </c>
      <c r="AE42" s="16">
        <v>9628332</v>
      </c>
      <c r="AF42" s="16">
        <v>2245899</v>
      </c>
      <c r="AG42" s="11">
        <v>2014</v>
      </c>
      <c r="AH42" s="16">
        <v>902829</v>
      </c>
      <c r="AI42" s="16">
        <v>584017</v>
      </c>
      <c r="AJ42" s="16">
        <v>151933</v>
      </c>
      <c r="AK42" s="16">
        <v>154399</v>
      </c>
      <c r="AL42" s="16">
        <v>12480</v>
      </c>
      <c r="AM42" s="16">
        <v>2014</v>
      </c>
      <c r="AN42" s="16">
        <v>152167</v>
      </c>
      <c r="AO42" s="16">
        <v>55996</v>
      </c>
      <c r="AP42" s="16">
        <v>1738</v>
      </c>
      <c r="AQ42" s="16">
        <v>81249</v>
      </c>
      <c r="AR42" s="16">
        <v>13184</v>
      </c>
    </row>
    <row r="43" spans="1:44">
      <c r="A43">
        <v>2015</v>
      </c>
      <c r="B43">
        <f t="shared" si="0"/>
        <v>0.97609413024248481</v>
      </c>
      <c r="C43">
        <f t="shared" si="1"/>
        <v>2.1847076374403831E-2</v>
      </c>
      <c r="D43">
        <f t="shared" si="2"/>
        <v>2.0587933831113536E-3</v>
      </c>
      <c r="F43">
        <v>2015</v>
      </c>
      <c r="G43">
        <f t="shared" si="3"/>
        <v>0.56512482794892738</v>
      </c>
      <c r="H43">
        <f t="shared" si="4"/>
        <v>0.42943108445329725</v>
      </c>
      <c r="I43">
        <f t="shared" si="5"/>
        <v>5.4440875977753659E-3</v>
      </c>
      <c r="K43">
        <v>2015</v>
      </c>
      <c r="L43">
        <f t="shared" si="6"/>
        <v>0.977150459710871</v>
      </c>
      <c r="M43">
        <f t="shared" si="7"/>
        <v>1.4871608952310308E-2</v>
      </c>
      <c r="N43">
        <f t="shared" si="8"/>
        <v>7.9779313368187228E-3</v>
      </c>
      <c r="P43">
        <v>2015</v>
      </c>
      <c r="Q43">
        <f t="shared" si="9"/>
        <v>0.98980572290070312</v>
      </c>
      <c r="R43">
        <f t="shared" si="10"/>
        <v>5.0180793428340883E-3</v>
      </c>
      <c r="S43">
        <f t="shared" si="11"/>
        <v>5.1761977564627583E-3</v>
      </c>
      <c r="U43" s="11">
        <v>2015</v>
      </c>
      <c r="V43" s="16">
        <v>39975998</v>
      </c>
      <c r="W43" s="16">
        <v>26907994</v>
      </c>
      <c r="X43" s="16">
        <v>357452</v>
      </c>
      <c r="Y43" s="16">
        <v>10073288</v>
      </c>
      <c r="Z43" s="16">
        <v>2637264</v>
      </c>
      <c r="AA43" s="11">
        <v>2015</v>
      </c>
      <c r="AB43" s="16">
        <v>38920237</v>
      </c>
      <c r="AC43" s="16">
        <v>26264735</v>
      </c>
      <c r="AD43" s="16">
        <v>202005</v>
      </c>
      <c r="AE43" s="16">
        <v>9843118</v>
      </c>
      <c r="AF43" s="16">
        <v>2610379</v>
      </c>
      <c r="AG43" s="11">
        <v>2015</v>
      </c>
      <c r="AH43" s="16">
        <v>904402</v>
      </c>
      <c r="AI43" s="16">
        <v>587861</v>
      </c>
      <c r="AJ43" s="16">
        <v>153501</v>
      </c>
      <c r="AK43" s="16">
        <v>149806</v>
      </c>
      <c r="AL43" s="16">
        <v>13234</v>
      </c>
      <c r="AM43" s="16">
        <v>2015</v>
      </c>
      <c r="AN43" s="16">
        <v>151359</v>
      </c>
      <c r="AO43" s="16">
        <v>55398</v>
      </c>
      <c r="AP43" s="16">
        <v>1946</v>
      </c>
      <c r="AQ43" s="16">
        <v>80364</v>
      </c>
      <c r="AR43" s="16">
        <v>13651</v>
      </c>
    </row>
    <row r="44" spans="1:44">
      <c r="A44">
        <v>2016</v>
      </c>
      <c r="B44">
        <f t="shared" si="0"/>
        <v>0.97670157246148914</v>
      </c>
      <c r="C44">
        <f t="shared" si="1"/>
        <v>2.1213708552748289E-2</v>
      </c>
      <c r="D44">
        <f t="shared" si="2"/>
        <v>2.084718985762601E-3</v>
      </c>
      <c r="F44">
        <v>2016</v>
      </c>
      <c r="G44">
        <f t="shared" si="3"/>
        <v>0.58347019348944451</v>
      </c>
      <c r="H44">
        <f t="shared" si="4"/>
        <v>0.41084421870071675</v>
      </c>
      <c r="I44">
        <f t="shared" si="5"/>
        <v>5.6855878098387045E-3</v>
      </c>
      <c r="K44">
        <v>2016</v>
      </c>
      <c r="L44">
        <f t="shared" si="6"/>
        <v>0.97718636048441243</v>
      </c>
      <c r="M44">
        <f t="shared" si="7"/>
        <v>1.4779066082430934E-2</v>
      </c>
      <c r="N44">
        <f t="shared" si="8"/>
        <v>8.0345734331565884E-3</v>
      </c>
      <c r="P44">
        <v>2016</v>
      </c>
      <c r="Q44">
        <f t="shared" si="9"/>
        <v>0.99065768538542398</v>
      </c>
      <c r="R44">
        <f t="shared" si="10"/>
        <v>4.6132163892470875E-3</v>
      </c>
      <c r="S44">
        <f t="shared" si="11"/>
        <v>4.729098225328938E-3</v>
      </c>
      <c r="U44" s="11">
        <v>2016</v>
      </c>
      <c r="V44" s="16">
        <v>42454265</v>
      </c>
      <c r="W44" s="16">
        <v>28664295</v>
      </c>
      <c r="X44" s="16">
        <v>367772</v>
      </c>
      <c r="Y44" s="16">
        <v>10384621</v>
      </c>
      <c r="Z44" s="16">
        <v>3037577</v>
      </c>
      <c r="AA44" s="11">
        <v>2016</v>
      </c>
      <c r="AB44" s="16">
        <v>41367955</v>
      </c>
      <c r="AC44" s="16">
        <v>27996462</v>
      </c>
      <c r="AD44" s="16">
        <v>214584</v>
      </c>
      <c r="AE44" s="16">
        <v>10147710</v>
      </c>
      <c r="AF44" s="16">
        <v>3009199</v>
      </c>
      <c r="AG44" s="11">
        <v>2016</v>
      </c>
      <c r="AH44" s="16">
        <v>926661</v>
      </c>
      <c r="AI44" s="16">
        <v>608076</v>
      </c>
      <c r="AJ44" s="16">
        <v>151097</v>
      </c>
      <c r="AK44" s="16">
        <v>153475</v>
      </c>
      <c r="AL44" s="16">
        <v>14013</v>
      </c>
      <c r="AM44" s="16">
        <v>2016</v>
      </c>
      <c r="AN44" s="16">
        <v>159649</v>
      </c>
      <c r="AO44" s="16">
        <v>59757</v>
      </c>
      <c r="AP44" s="16">
        <v>2091</v>
      </c>
      <c r="AQ44" s="16">
        <v>83436</v>
      </c>
      <c r="AR44" s="16">
        <v>14365</v>
      </c>
    </row>
    <row r="45" spans="1:44">
      <c r="A45">
        <v>2017</v>
      </c>
      <c r="B45">
        <f t="shared" si="0"/>
        <v>0.97775527922599237</v>
      </c>
      <c r="C45">
        <f t="shared" si="1"/>
        <v>2.0385559267604846E-2</v>
      </c>
      <c r="D45">
        <f t="shared" si="2"/>
        <v>1.8591615064027628E-3</v>
      </c>
      <c r="F45">
        <v>2017</v>
      </c>
      <c r="G45">
        <f t="shared" si="3"/>
        <v>0.6061303350618269</v>
      </c>
      <c r="H45">
        <f t="shared" si="4"/>
        <v>0.38630584363781412</v>
      </c>
      <c r="I45">
        <f t="shared" si="5"/>
        <v>7.5638213003589947E-3</v>
      </c>
      <c r="K45">
        <v>2017</v>
      </c>
      <c r="L45">
        <f t="shared" si="6"/>
        <v>0.97881168525499285</v>
      </c>
      <c r="M45">
        <f t="shared" si="7"/>
        <v>1.3402941697717573E-2</v>
      </c>
      <c r="N45">
        <f t="shared" si="8"/>
        <v>7.7853730472896157E-3</v>
      </c>
      <c r="P45">
        <v>2017</v>
      </c>
      <c r="Q45">
        <f t="shared" si="9"/>
        <v>0.99188199223963702</v>
      </c>
      <c r="R45">
        <f t="shared" si="10"/>
        <v>4.1614064358825222E-3</v>
      </c>
      <c r="S45">
        <f t="shared" si="11"/>
        <v>3.9566013244804908E-3</v>
      </c>
      <c r="U45" s="11">
        <v>2017</v>
      </c>
      <c r="V45" s="16">
        <v>45853522</v>
      </c>
      <c r="W45" s="16">
        <v>30958042</v>
      </c>
      <c r="X45" s="16">
        <v>401120</v>
      </c>
      <c r="Y45" s="16">
        <v>10895817</v>
      </c>
      <c r="Z45" s="16">
        <v>3598543</v>
      </c>
      <c r="AA45" s="11">
        <v>2017</v>
      </c>
      <c r="AB45" s="16">
        <v>44746803</v>
      </c>
      <c r="AC45" s="16">
        <v>30269389</v>
      </c>
      <c r="AD45" s="16">
        <v>243131</v>
      </c>
      <c r="AE45" s="16">
        <v>10664953</v>
      </c>
      <c r="AF45" s="16">
        <v>3569330</v>
      </c>
      <c r="AG45" s="11">
        <v>2017</v>
      </c>
      <c r="AH45" s="16">
        <v>947063</v>
      </c>
      <c r="AI45" s="16">
        <v>631097</v>
      </c>
      <c r="AJ45" s="16">
        <v>154955</v>
      </c>
      <c r="AK45" s="16">
        <v>146036</v>
      </c>
      <c r="AL45" s="16">
        <v>14975</v>
      </c>
      <c r="AM45" s="16">
        <v>2017</v>
      </c>
      <c r="AN45" s="16">
        <v>159656</v>
      </c>
      <c r="AO45" s="16">
        <v>57556</v>
      </c>
      <c r="AP45" s="16">
        <v>3034</v>
      </c>
      <c r="AQ45" s="16">
        <v>84828</v>
      </c>
      <c r="AR45" s="16">
        <v>14238</v>
      </c>
    </row>
    <row r="46" spans="1:44">
      <c r="A46">
        <v>2018</v>
      </c>
      <c r="B46">
        <f t="shared" si="0"/>
        <v>0.97586824455954213</v>
      </c>
      <c r="C46">
        <f t="shared" si="1"/>
        <v>2.2290848761633106E-2</v>
      </c>
      <c r="D46">
        <f t="shared" si="2"/>
        <v>1.8409066788247915E-3</v>
      </c>
      <c r="F46">
        <v>2018</v>
      </c>
      <c r="G46">
        <f t="shared" si="3"/>
        <v>0.54696457677211952</v>
      </c>
      <c r="H46">
        <f t="shared" si="4"/>
        <v>0.44602652515110047</v>
      </c>
      <c r="I46">
        <f t="shared" si="5"/>
        <v>7.0088980767800098E-3</v>
      </c>
      <c r="K46">
        <v>2018</v>
      </c>
      <c r="L46">
        <f t="shared" si="6"/>
        <v>0.97789506193546694</v>
      </c>
      <c r="M46">
        <f t="shared" si="7"/>
        <v>1.4287618157235723E-2</v>
      </c>
      <c r="N46">
        <f t="shared" si="8"/>
        <v>7.8173199072973446E-3</v>
      </c>
      <c r="P46">
        <v>2018</v>
      </c>
      <c r="Q46">
        <f t="shared" si="9"/>
        <v>0.9922061727112127</v>
      </c>
      <c r="R46">
        <f t="shared" si="10"/>
        <v>4.2522925616496638E-3</v>
      </c>
      <c r="S46">
        <f t="shared" si="11"/>
        <v>3.5415347271376164E-3</v>
      </c>
      <c r="U46" s="11">
        <v>2018</v>
      </c>
      <c r="V46" s="16">
        <v>47783926</v>
      </c>
      <c r="W46" s="16">
        <v>32290067</v>
      </c>
      <c r="X46" s="16">
        <v>443579</v>
      </c>
      <c r="Y46" s="16">
        <v>10970128</v>
      </c>
      <c r="Z46" s="16">
        <v>4080152</v>
      </c>
      <c r="AA46" s="11">
        <v>2018</v>
      </c>
      <c r="AB46" s="16">
        <v>46529459</v>
      </c>
      <c r="AC46" s="16">
        <v>31510851</v>
      </c>
      <c r="AD46" s="16">
        <v>242622</v>
      </c>
      <c r="AE46" s="16">
        <v>10727634</v>
      </c>
      <c r="AF46" s="16">
        <v>4048352</v>
      </c>
      <c r="AG46" s="11">
        <v>2018</v>
      </c>
      <c r="AH46" s="16">
        <v>1091708</v>
      </c>
      <c r="AI46" s="16">
        <v>719773</v>
      </c>
      <c r="AJ46" s="16">
        <v>197848</v>
      </c>
      <c r="AK46" s="16">
        <v>156737</v>
      </c>
      <c r="AL46" s="16">
        <v>17350</v>
      </c>
      <c r="AM46" s="16">
        <v>2018</v>
      </c>
      <c r="AN46" s="16">
        <v>162759</v>
      </c>
      <c r="AO46" s="16">
        <v>59443</v>
      </c>
      <c r="AP46" s="16">
        <v>3109</v>
      </c>
      <c r="AQ46" s="16">
        <v>85757</v>
      </c>
      <c r="AR46" s="16">
        <v>14450</v>
      </c>
    </row>
    <row r="47" spans="1:44">
      <c r="A47">
        <v>2019</v>
      </c>
      <c r="B47">
        <f t="shared" si="0"/>
        <v>0.97644471985151826</v>
      </c>
      <c r="C47">
        <f t="shared" si="1"/>
        <v>2.169541939729001E-2</v>
      </c>
      <c r="D47">
        <f t="shared" si="2"/>
        <v>1.8598607511917402E-3</v>
      </c>
      <c r="F47">
        <v>2019</v>
      </c>
      <c r="G47">
        <f t="shared" si="3"/>
        <v>0.56430911407697426</v>
      </c>
      <c r="H47">
        <f t="shared" si="4"/>
        <v>0.42867378297465203</v>
      </c>
      <c r="I47">
        <f t="shared" si="5"/>
        <v>7.0171029483736989E-3</v>
      </c>
      <c r="K47">
        <v>2019</v>
      </c>
      <c r="L47">
        <f t="shared" si="6"/>
        <v>0.97767133039501786</v>
      </c>
      <c r="M47">
        <f t="shared" si="7"/>
        <v>1.4289474001732217E-2</v>
      </c>
      <c r="N47">
        <f t="shared" si="8"/>
        <v>8.0391956032499351E-3</v>
      </c>
      <c r="P47">
        <v>2019</v>
      </c>
      <c r="Q47">
        <f t="shared" si="9"/>
        <v>0.99285392458945609</v>
      </c>
      <c r="R47">
        <f t="shared" si="10"/>
        <v>3.828485838757213E-3</v>
      </c>
      <c r="S47">
        <f t="shared" si="11"/>
        <v>3.3175895717866672E-3</v>
      </c>
      <c r="U47" s="11">
        <v>2019</v>
      </c>
      <c r="V47" s="16">
        <v>49869688</v>
      </c>
      <c r="W47" s="16">
        <v>33603591</v>
      </c>
      <c r="X47" s="16">
        <v>453606</v>
      </c>
      <c r="Y47" s="16">
        <v>11022869</v>
      </c>
      <c r="Z47" s="16">
        <v>4789622</v>
      </c>
      <c r="AA47" s="11">
        <v>2019</v>
      </c>
      <c r="AB47" s="16">
        <v>48600161</v>
      </c>
      <c r="AC47" s="16">
        <v>32812049</v>
      </c>
      <c r="AD47" s="16">
        <v>255974</v>
      </c>
      <c r="AE47" s="16">
        <v>10776743</v>
      </c>
      <c r="AF47" s="16">
        <v>4755395</v>
      </c>
      <c r="AG47" s="11">
        <v>2019</v>
      </c>
      <c r="AH47" s="16">
        <v>1099341</v>
      </c>
      <c r="AI47" s="16">
        <v>729044</v>
      </c>
      <c r="AJ47" s="16">
        <v>194449</v>
      </c>
      <c r="AK47" s="16">
        <v>157511</v>
      </c>
      <c r="AL47" s="16">
        <v>18337</v>
      </c>
      <c r="AM47" s="16">
        <v>2019</v>
      </c>
      <c r="AN47" s="16">
        <v>170186</v>
      </c>
      <c r="AO47" s="16">
        <v>62498</v>
      </c>
      <c r="AP47" s="16">
        <v>3183</v>
      </c>
      <c r="AQ47" s="16">
        <v>88615</v>
      </c>
      <c r="AR47" s="16">
        <v>15890</v>
      </c>
    </row>
    <row r="48" spans="1:44">
      <c r="A48">
        <v>2020</v>
      </c>
      <c r="B48">
        <f t="shared" si="0"/>
        <v>0.97685998786662109</v>
      </c>
      <c r="C48">
        <f t="shared" si="1"/>
        <v>2.1281516611356719E-2</v>
      </c>
      <c r="D48">
        <f t="shared" si="2"/>
        <v>1.8584955220221407E-3</v>
      </c>
      <c r="F48">
        <v>2020</v>
      </c>
      <c r="G48">
        <f t="shared" si="3"/>
        <v>0.56857786674589939</v>
      </c>
      <c r="H48">
        <f t="shared" si="4"/>
        <v>0.42389863995887994</v>
      </c>
      <c r="I48">
        <f t="shared" si="5"/>
        <v>7.5234932952206622E-3</v>
      </c>
      <c r="K48">
        <v>2020</v>
      </c>
      <c r="L48">
        <f t="shared" si="6"/>
        <v>0.97884575058915224</v>
      </c>
      <c r="M48">
        <f t="shared" si="7"/>
        <v>1.2955916167452142E-2</v>
      </c>
      <c r="N48">
        <f t="shared" si="8"/>
        <v>8.198333243395646E-3</v>
      </c>
      <c r="P48">
        <v>2020</v>
      </c>
      <c r="Q48">
        <f t="shared" si="9"/>
        <v>0.9931543220273229</v>
      </c>
      <c r="R48">
        <f t="shared" si="10"/>
        <v>3.697052161060972E-3</v>
      </c>
      <c r="S48">
        <f t="shared" si="11"/>
        <v>3.1486258116161167E-3</v>
      </c>
      <c r="U48" s="11">
        <v>2020</v>
      </c>
      <c r="V48" s="16">
        <v>51215678</v>
      </c>
      <c r="W48" s="16">
        <v>34425695</v>
      </c>
      <c r="X48" s="16">
        <v>461089</v>
      </c>
      <c r="Y48" s="16">
        <v>11044684</v>
      </c>
      <c r="Z48" s="16">
        <v>5284210</v>
      </c>
      <c r="AA48" s="11">
        <v>2020</v>
      </c>
      <c r="AB48" s="16">
        <v>49950327</v>
      </c>
      <c r="AC48" s="16">
        <v>33629084</v>
      </c>
      <c r="AD48" s="16">
        <v>262165</v>
      </c>
      <c r="AE48" s="16">
        <v>10811042</v>
      </c>
      <c r="AF48" s="16">
        <v>5248036</v>
      </c>
      <c r="AG48" s="11">
        <v>2020</v>
      </c>
      <c r="AH48" s="16">
        <v>1090716</v>
      </c>
      <c r="AI48" s="16">
        <v>732631</v>
      </c>
      <c r="AJ48" s="16">
        <v>195455</v>
      </c>
      <c r="AK48" s="16">
        <v>143094</v>
      </c>
      <c r="AL48" s="16">
        <v>19536</v>
      </c>
      <c r="AM48" s="16">
        <v>2020</v>
      </c>
      <c r="AN48" s="16">
        <v>174635</v>
      </c>
      <c r="AO48" s="16">
        <v>63980</v>
      </c>
      <c r="AP48" s="16">
        <v>3469</v>
      </c>
      <c r="AQ48" s="16">
        <v>90548</v>
      </c>
      <c r="AR48" s="16">
        <v>16638</v>
      </c>
    </row>
    <row r="49" spans="1:44">
      <c r="A49">
        <v>2021</v>
      </c>
      <c r="B49">
        <f t="shared" si="0"/>
        <v>0.97903955845357438</v>
      </c>
      <c r="C49">
        <f t="shared" si="1"/>
        <v>1.9138386755096444E-2</v>
      </c>
      <c r="D49">
        <f t="shared" si="2"/>
        <v>1.8220547913291615E-3</v>
      </c>
      <c r="F49">
        <v>2021</v>
      </c>
      <c r="G49">
        <f t="shared" si="3"/>
        <v>0.59415459641404167</v>
      </c>
      <c r="H49">
        <f t="shared" si="4"/>
        <v>0.39824765993912969</v>
      </c>
      <c r="I49">
        <f t="shared" si="5"/>
        <v>7.5977436468286043E-3</v>
      </c>
      <c r="K49">
        <v>2021</v>
      </c>
      <c r="L49">
        <f t="shared" si="6"/>
        <v>0.98106293587288884</v>
      </c>
      <c r="M49">
        <f t="shared" si="7"/>
        <v>1.1139480834360596E-2</v>
      </c>
      <c r="N49">
        <f t="shared" si="8"/>
        <v>7.7975832927505264E-3</v>
      </c>
      <c r="P49">
        <v>2021</v>
      </c>
      <c r="Q49">
        <f t="shared" si="9"/>
        <v>0.99363293488919546</v>
      </c>
      <c r="R49">
        <f t="shared" si="10"/>
        <v>3.4657008816960017E-3</v>
      </c>
      <c r="S49">
        <f t="shared" si="11"/>
        <v>2.901364229108552E-3</v>
      </c>
      <c r="U49" s="11">
        <v>2021</v>
      </c>
      <c r="V49" s="16">
        <v>53102838</v>
      </c>
      <c r="W49" s="16">
        <v>35455026</v>
      </c>
      <c r="X49" s="16">
        <v>452766</v>
      </c>
      <c r="Y49" s="16">
        <v>11258873</v>
      </c>
      <c r="Z49" s="16">
        <v>5936173</v>
      </c>
      <c r="AA49" s="11">
        <v>2021</v>
      </c>
      <c r="AB49" s="16">
        <v>51924926</v>
      </c>
      <c r="AC49" s="16">
        <v>34711873</v>
      </c>
      <c r="AD49" s="16">
        <v>269013</v>
      </c>
      <c r="AE49" s="16">
        <v>11045663</v>
      </c>
      <c r="AF49" s="16">
        <v>5898377</v>
      </c>
      <c r="AG49" s="11">
        <v>2021</v>
      </c>
      <c r="AH49" s="16">
        <v>1004856</v>
      </c>
      <c r="AI49" s="16">
        <v>678552</v>
      </c>
      <c r="AJ49" s="16">
        <v>180313</v>
      </c>
      <c r="AK49" s="16">
        <v>125418</v>
      </c>
      <c r="AL49" s="16">
        <v>20573</v>
      </c>
      <c r="AM49" s="16">
        <v>2021</v>
      </c>
      <c r="AN49" s="16">
        <v>173056</v>
      </c>
      <c r="AO49" s="16">
        <v>64601</v>
      </c>
      <c r="AP49" s="16">
        <v>3440</v>
      </c>
      <c r="AQ49" s="16">
        <v>87792</v>
      </c>
      <c r="AR49" s="16">
        <v>17223</v>
      </c>
    </row>
    <row r="50" spans="1:44">
      <c r="A50">
        <v>2022</v>
      </c>
      <c r="B50">
        <f t="shared" si="0"/>
        <v>0.97976660142566163</v>
      </c>
      <c r="C50">
        <f t="shared" si="1"/>
        <v>1.8550533958593966E-2</v>
      </c>
      <c r="D50">
        <f t="shared" si="2"/>
        <v>1.6828646157444086E-3</v>
      </c>
      <c r="F50">
        <v>2022</v>
      </c>
      <c r="G50">
        <f t="shared" si="3"/>
        <v>0.60031366846258061</v>
      </c>
      <c r="H50">
        <f t="shared" si="4"/>
        <v>0.39244912927410269</v>
      </c>
      <c r="I50">
        <f t="shared" si="5"/>
        <v>7.2372022633166427E-3</v>
      </c>
      <c r="K50">
        <v>2022</v>
      </c>
      <c r="L50">
        <f t="shared" si="6"/>
        <v>0.97296396235194327</v>
      </c>
      <c r="M50">
        <f t="shared" si="7"/>
        <v>1.9180760620257795E-2</v>
      </c>
      <c r="N50">
        <f t="shared" si="8"/>
        <v>7.8552770277989774E-3</v>
      </c>
      <c r="P50">
        <v>2022</v>
      </c>
      <c r="Q50">
        <f t="shared" si="9"/>
        <v>0.99420618580308551</v>
      </c>
      <c r="R50">
        <f t="shared" si="10"/>
        <v>3.1969465263390288E-3</v>
      </c>
      <c r="S50">
        <f t="shared" si="11"/>
        <v>2.5968676705754971E-3</v>
      </c>
      <c r="U50" s="11">
        <v>2022</v>
      </c>
      <c r="V50" s="16">
        <v>55293506</v>
      </c>
      <c r="W50" s="16">
        <v>36568004</v>
      </c>
      <c r="X50" s="16">
        <v>473111</v>
      </c>
      <c r="Y50" s="16">
        <v>11439953</v>
      </c>
      <c r="Z50" s="16">
        <v>6812438</v>
      </c>
      <c r="AA50" s="11">
        <v>2022</v>
      </c>
      <c r="AB50" s="16">
        <v>54015754</v>
      </c>
      <c r="AC50" s="16">
        <v>35828109</v>
      </c>
      <c r="AD50" s="16">
        <v>284015</v>
      </c>
      <c r="AE50" s="16">
        <v>11130662</v>
      </c>
      <c r="AF50" s="16">
        <v>6772968</v>
      </c>
      <c r="AG50" s="11">
        <v>2022</v>
      </c>
      <c r="AH50" s="16">
        <v>1105234</v>
      </c>
      <c r="AI50" s="16">
        <v>678356</v>
      </c>
      <c r="AJ50" s="16">
        <v>185672</v>
      </c>
      <c r="AK50" s="16">
        <v>219427</v>
      </c>
      <c r="AL50" s="16">
        <v>21779</v>
      </c>
      <c r="AM50" s="16">
        <v>2022</v>
      </c>
      <c r="AN50" s="16">
        <v>172518</v>
      </c>
      <c r="AO50" s="16">
        <v>61539</v>
      </c>
      <c r="AP50" s="16">
        <v>3424</v>
      </c>
      <c r="AQ50" s="16">
        <v>89864</v>
      </c>
      <c r="AR50" s="16">
        <v>17691</v>
      </c>
    </row>
    <row r="51" spans="1:44">
      <c r="A51">
        <v>2023</v>
      </c>
      <c r="B51">
        <f t="shared" si="0"/>
        <v>0.98013845883603579</v>
      </c>
      <c r="C51">
        <f t="shared" si="1"/>
        <v>1.812993820330433E-2</v>
      </c>
      <c r="D51">
        <f t="shared" si="2"/>
        <v>1.7316029606598839E-3</v>
      </c>
      <c r="F51">
        <v>2023</v>
      </c>
      <c r="G51">
        <f t="shared" si="3"/>
        <v>0.62196481016659033</v>
      </c>
      <c r="H51">
        <f t="shared" si="4"/>
        <v>0.37170159448160361</v>
      </c>
      <c r="I51">
        <f t="shared" si="5"/>
        <v>6.3335953518059776E-3</v>
      </c>
      <c r="K51">
        <v>2023</v>
      </c>
      <c r="L51">
        <f t="shared" si="6"/>
        <v>0.98182132640671427</v>
      </c>
      <c r="M51">
        <f t="shared" si="7"/>
        <v>1.0525867735516795E-2</v>
      </c>
      <c r="N51">
        <f t="shared" si="8"/>
        <v>7.6528058577688841E-3</v>
      </c>
      <c r="P51">
        <v>2023</v>
      </c>
      <c r="Q51">
        <f t="shared" si="9"/>
        <v>0.99472514948321566</v>
      </c>
      <c r="R51">
        <f t="shared" si="10"/>
        <v>2.9520253488798105E-3</v>
      </c>
      <c r="S51">
        <f t="shared" si="11"/>
        <v>2.3228251679044704E-3</v>
      </c>
      <c r="U51" s="11">
        <v>2023</v>
      </c>
      <c r="V51" s="16">
        <v>58199293</v>
      </c>
      <c r="W51" s="16">
        <v>38039898</v>
      </c>
      <c r="X51" s="16">
        <v>487243</v>
      </c>
      <c r="Y51" s="16">
        <v>11887666</v>
      </c>
      <c r="Z51" s="16">
        <v>7784486</v>
      </c>
      <c r="AA51" s="11">
        <v>2023</v>
      </c>
      <c r="AB51" s="16">
        <v>57002403</v>
      </c>
      <c r="AC51" s="16">
        <v>37284367</v>
      </c>
      <c r="AD51" s="16">
        <v>303048</v>
      </c>
      <c r="AE51" s="16">
        <v>11671564</v>
      </c>
      <c r="AF51" s="16">
        <v>7743424</v>
      </c>
      <c r="AG51" s="11">
        <v>2023</v>
      </c>
      <c r="AH51" s="16">
        <v>1018878</v>
      </c>
      <c r="AI51" s="16">
        <v>689661</v>
      </c>
      <c r="AJ51" s="16">
        <v>181109</v>
      </c>
      <c r="AK51" s="16">
        <v>125128</v>
      </c>
      <c r="AL51" s="16">
        <v>22980</v>
      </c>
      <c r="AM51" s="16">
        <v>2023</v>
      </c>
      <c r="AN51" s="16">
        <v>178012</v>
      </c>
      <c r="AO51" s="16">
        <v>65870</v>
      </c>
      <c r="AP51" s="16">
        <v>3086</v>
      </c>
      <c r="AQ51" s="16">
        <v>90974</v>
      </c>
      <c r="AR51" s="16">
        <v>18082</v>
      </c>
    </row>
    <row r="52" spans="1:44">
      <c r="A52" s="19" t="s">
        <v>33</v>
      </c>
      <c r="B52" s="19"/>
      <c r="C52" s="19"/>
      <c r="D52" s="19"/>
      <c r="E52" s="19"/>
      <c r="F52" s="19" t="s">
        <v>33</v>
      </c>
      <c r="G52" s="19"/>
      <c r="H52" s="19"/>
      <c r="I52" s="19"/>
      <c r="J52" s="19"/>
      <c r="K52" s="19" t="s">
        <v>33</v>
      </c>
      <c r="L52" s="19"/>
      <c r="M52" s="19"/>
      <c r="N52" s="19"/>
      <c r="O52" s="19"/>
      <c r="P52" s="19" t="s">
        <v>33</v>
      </c>
      <c r="Q52" s="19"/>
      <c r="R52" s="19"/>
      <c r="S52" s="19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 spans="1:44">
      <c r="A53" s="19" t="s">
        <v>34</v>
      </c>
      <c r="B53" s="19">
        <f>SUM(AC46:AC50)/SUM(W46:W50)</f>
        <v>0.97765832795755181</v>
      </c>
      <c r="C53" s="19">
        <f>SUM(AI46:AI50)/SUM(W46:W50)</f>
        <v>2.0530968287702046E-2</v>
      </c>
      <c r="D53" s="19">
        <f>SUM(AO46:AO50)/SUM(W46:W50)</f>
        <v>1.8107037547461554E-3</v>
      </c>
      <c r="E53" s="19"/>
      <c r="F53" s="19" t="s">
        <v>34</v>
      </c>
      <c r="G53" s="19">
        <f>SUM(AD46:AD50)/SUM(X46:X50)</f>
        <v>0.57517607198473308</v>
      </c>
      <c r="H53" s="19">
        <f>SUM(AJ46:AJ50)/SUM(X46:X50)</f>
        <v>0.4175455125339787</v>
      </c>
      <c r="I53" s="19">
        <f>SUM(AP46:AP50)/SUM(X46:X50)</f>
        <v>7.278415481288234E-3</v>
      </c>
      <c r="J53" s="19"/>
      <c r="K53" s="19" t="s">
        <v>34</v>
      </c>
      <c r="L53" s="19">
        <f>SUM(AE46:AE50)/SUM(Y46:Y50)</f>
        <v>0.97766700737094991</v>
      </c>
      <c r="M53" s="19">
        <f>SUM(AK46:AK50)/SUM(Y46:Y50)</f>
        <v>1.4392487853607331E-2</v>
      </c>
      <c r="N53" s="19">
        <f>SUM(AQ46:AQ50)/SUM(Y46:Y50)</f>
        <v>7.9405047754427804E-3</v>
      </c>
      <c r="O53" s="19"/>
      <c r="P53" s="19" t="s">
        <v>34</v>
      </c>
      <c r="Q53" s="19">
        <f>SUM(AF46:AF50)/SUM(Z46:Z50)</f>
        <v>0.99332900785221645</v>
      </c>
      <c r="R53" s="19">
        <f>SUM(AL46:AL50)/SUM(Z46:Z50)</f>
        <v>3.6269735317355071E-3</v>
      </c>
      <c r="S53" s="19">
        <f>SUM(AR46:AR50)/SUM(Z46:Z50)</f>
        <v>3.0440186160480059E-3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 spans="1:44"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 spans="1:44">
      <c r="U55" s="11" t="s">
        <v>35</v>
      </c>
      <c r="V55" s="11"/>
      <c r="W55" s="11"/>
      <c r="X55" s="11"/>
      <c r="Y55" s="11"/>
      <c r="Z55" s="11"/>
      <c r="AA55" s="11" t="s">
        <v>35</v>
      </c>
      <c r="AB55" s="11"/>
      <c r="AC55" s="11"/>
      <c r="AD55" s="11"/>
      <c r="AE55" s="11"/>
      <c r="AF55" s="11"/>
      <c r="AG55" s="11" t="s">
        <v>35</v>
      </c>
      <c r="AH55" s="11"/>
      <c r="AI55" s="11"/>
      <c r="AJ55" s="11"/>
      <c r="AK55" s="11"/>
      <c r="AL55" s="11"/>
      <c r="AM55" s="11" t="s">
        <v>35</v>
      </c>
      <c r="AN55" s="11"/>
      <c r="AO55" s="11"/>
      <c r="AP55" s="11"/>
      <c r="AQ55" s="11"/>
      <c r="AR55" s="11"/>
    </row>
    <row r="57" spans="1:44">
      <c r="U57" t="s">
        <v>36</v>
      </c>
      <c r="W57" s="8" t="s">
        <v>5</v>
      </c>
    </row>
    <row r="58" spans="1:44">
      <c r="U58" s="11" t="s">
        <v>37</v>
      </c>
    </row>
    <row r="59" spans="1:44">
      <c r="U59" s="11" t="s">
        <v>38</v>
      </c>
    </row>
    <row r="62" spans="1:44" ht="75">
      <c r="U62" s="5"/>
      <c r="V62" s="13" t="s">
        <v>27</v>
      </c>
      <c r="W62" s="13" t="s">
        <v>27</v>
      </c>
      <c r="X62" s="13" t="s">
        <v>27</v>
      </c>
      <c r="Y62" s="13" t="s">
        <v>27</v>
      </c>
      <c r="Z62" s="13" t="s">
        <v>39</v>
      </c>
      <c r="AA62" s="13" t="s">
        <v>39</v>
      </c>
      <c r="AB62" s="13" t="s">
        <v>39</v>
      </c>
      <c r="AC62" s="13" t="s">
        <v>39</v>
      </c>
      <c r="AD62" s="13" t="s">
        <v>24</v>
      </c>
      <c r="AE62" s="13" t="s">
        <v>24</v>
      </c>
      <c r="AF62" s="13" t="s">
        <v>24</v>
      </c>
      <c r="AG62" s="13" t="s">
        <v>24</v>
      </c>
      <c r="AH62" s="13" t="s">
        <v>25</v>
      </c>
      <c r="AI62" s="13" t="s">
        <v>25</v>
      </c>
      <c r="AJ62" s="13" t="s">
        <v>25</v>
      </c>
      <c r="AK62" s="13" t="s">
        <v>25</v>
      </c>
      <c r="AL62" s="13" t="s">
        <v>26</v>
      </c>
      <c r="AM62" s="13" t="s">
        <v>26</v>
      </c>
      <c r="AN62" s="13" t="s">
        <v>26</v>
      </c>
      <c r="AO62" s="13" t="s">
        <v>26</v>
      </c>
      <c r="AP62" s="5"/>
    </row>
    <row r="63" spans="1:44" ht="30">
      <c r="U63" s="5"/>
      <c r="V63" s="13" t="s">
        <v>27</v>
      </c>
      <c r="W63" s="13" t="s">
        <v>30</v>
      </c>
      <c r="X63" s="13" t="s">
        <v>40</v>
      </c>
      <c r="Y63" s="13" t="s">
        <v>28</v>
      </c>
      <c r="Z63" s="13" t="s">
        <v>27</v>
      </c>
      <c r="AA63" s="13" t="s">
        <v>30</v>
      </c>
      <c r="AB63" s="13" t="s">
        <v>40</v>
      </c>
      <c r="AC63" s="13" t="s">
        <v>28</v>
      </c>
      <c r="AD63" s="13" t="s">
        <v>27</v>
      </c>
      <c r="AE63" s="13" t="s">
        <v>30</v>
      </c>
      <c r="AF63" s="13" t="s">
        <v>40</v>
      </c>
      <c r="AG63" s="13" t="s">
        <v>28</v>
      </c>
      <c r="AH63" s="13" t="s">
        <v>27</v>
      </c>
      <c r="AI63" s="13" t="s">
        <v>30</v>
      </c>
      <c r="AJ63" s="13" t="s">
        <v>40</v>
      </c>
      <c r="AK63" s="13" t="s">
        <v>28</v>
      </c>
      <c r="AL63" s="13" t="s">
        <v>27</v>
      </c>
      <c r="AM63" s="13" t="s">
        <v>30</v>
      </c>
      <c r="AN63" s="13" t="s">
        <v>40</v>
      </c>
      <c r="AO63" s="13" t="s">
        <v>28</v>
      </c>
      <c r="AP63" s="5"/>
    </row>
    <row r="64" spans="1:44">
      <c r="U64" s="13">
        <v>1980</v>
      </c>
      <c r="V64" s="9">
        <v>5758330</v>
      </c>
      <c r="W64" s="9">
        <v>22303</v>
      </c>
      <c r="X64" s="9">
        <v>214574</v>
      </c>
      <c r="Y64" s="9">
        <v>5521453</v>
      </c>
      <c r="Z64" s="9">
        <v>3950042</v>
      </c>
      <c r="AA64" s="9">
        <v>15353</v>
      </c>
      <c r="AB64" s="9">
        <v>106889</v>
      </c>
      <c r="AC64" s="9">
        <v>3827800</v>
      </c>
      <c r="AD64" s="9">
        <v>60388</v>
      </c>
      <c r="AE64" s="13">
        <v>859</v>
      </c>
      <c r="AF64" s="9">
        <v>49940</v>
      </c>
      <c r="AG64" s="9">
        <v>9589</v>
      </c>
      <c r="AH64" s="9">
        <v>1470816</v>
      </c>
      <c r="AI64" s="9">
        <v>5431</v>
      </c>
      <c r="AJ64" s="9">
        <v>57244</v>
      </c>
      <c r="AK64" s="9">
        <v>1408141</v>
      </c>
      <c r="AL64" s="9">
        <v>277084</v>
      </c>
      <c r="AM64" s="13">
        <v>660</v>
      </c>
      <c r="AN64" s="13">
        <v>501</v>
      </c>
      <c r="AO64" s="9">
        <v>275923</v>
      </c>
    </row>
    <row r="65" spans="21:41">
      <c r="U65" s="13">
        <v>1981</v>
      </c>
      <c r="V65" s="9">
        <v>6339836</v>
      </c>
      <c r="W65" s="9">
        <v>24801</v>
      </c>
      <c r="X65" s="9">
        <v>237563</v>
      </c>
      <c r="Y65" s="9">
        <v>6077472</v>
      </c>
      <c r="Z65" s="9">
        <v>4341363</v>
      </c>
      <c r="AA65" s="9">
        <v>16782</v>
      </c>
      <c r="AB65" s="9">
        <v>122475</v>
      </c>
      <c r="AC65" s="9">
        <v>4202106</v>
      </c>
      <c r="AD65" s="9">
        <v>64973</v>
      </c>
      <c r="AE65" s="13">
        <v>857</v>
      </c>
      <c r="AF65" s="9">
        <v>53589</v>
      </c>
      <c r="AG65" s="9">
        <v>10527</v>
      </c>
      <c r="AH65" s="9">
        <v>1636899</v>
      </c>
      <c r="AI65" s="9">
        <v>6400</v>
      </c>
      <c r="AJ65" s="9">
        <v>60965</v>
      </c>
      <c r="AK65" s="9">
        <v>1569534</v>
      </c>
      <c r="AL65" s="9">
        <v>296601</v>
      </c>
      <c r="AM65" s="13">
        <v>762</v>
      </c>
      <c r="AN65" s="13">
        <v>534</v>
      </c>
      <c r="AO65" s="9">
        <v>295305</v>
      </c>
    </row>
    <row r="66" spans="21:41">
      <c r="U66" s="13">
        <v>1982</v>
      </c>
      <c r="V66" s="9">
        <v>6695164</v>
      </c>
      <c r="W66" s="9">
        <v>18846</v>
      </c>
      <c r="X66" s="9">
        <v>257870</v>
      </c>
      <c r="Y66" s="9">
        <v>6418448</v>
      </c>
      <c r="Z66" s="9">
        <v>4616897</v>
      </c>
      <c r="AA66" s="9">
        <v>11912</v>
      </c>
      <c r="AB66" s="9">
        <v>138425</v>
      </c>
      <c r="AC66" s="9">
        <v>4466560</v>
      </c>
      <c r="AD66" s="9">
        <v>69233</v>
      </c>
      <c r="AE66" s="13">
        <v>845</v>
      </c>
      <c r="AF66" s="9">
        <v>57410</v>
      </c>
      <c r="AG66" s="9">
        <v>10978</v>
      </c>
      <c r="AH66" s="9">
        <v>1751799</v>
      </c>
      <c r="AI66" s="9">
        <v>5373</v>
      </c>
      <c r="AJ66" s="9">
        <v>61479</v>
      </c>
      <c r="AK66" s="9">
        <v>1684947</v>
      </c>
      <c r="AL66" s="9">
        <v>257235</v>
      </c>
      <c r="AM66" s="13">
        <v>716</v>
      </c>
      <c r="AN66" s="13">
        <v>556</v>
      </c>
      <c r="AO66" s="9">
        <v>255963</v>
      </c>
    </row>
    <row r="67" spans="21:41">
      <c r="U67" s="13">
        <v>1983</v>
      </c>
      <c r="V67" s="9">
        <v>6941252</v>
      </c>
      <c r="W67" s="9">
        <v>25321</v>
      </c>
      <c r="X67" s="9">
        <v>274020</v>
      </c>
      <c r="Y67" s="9">
        <v>6641911</v>
      </c>
      <c r="Z67" s="9">
        <v>4726236</v>
      </c>
      <c r="AA67" s="9">
        <v>14997</v>
      </c>
      <c r="AB67" s="9">
        <v>147896</v>
      </c>
      <c r="AC67" s="9">
        <v>4563343</v>
      </c>
      <c r="AD67" s="9">
        <v>71326</v>
      </c>
      <c r="AE67" s="9">
        <v>1251</v>
      </c>
      <c r="AF67" s="9">
        <v>59723</v>
      </c>
      <c r="AG67" s="9">
        <v>10352</v>
      </c>
      <c r="AH67" s="9">
        <v>1893206</v>
      </c>
      <c r="AI67" s="9">
        <v>8359</v>
      </c>
      <c r="AJ67" s="9">
        <v>65847</v>
      </c>
      <c r="AK67" s="9">
        <v>1819000</v>
      </c>
      <c r="AL67" s="9">
        <v>250484</v>
      </c>
      <c r="AM67" s="13">
        <v>714</v>
      </c>
      <c r="AN67" s="13">
        <v>554</v>
      </c>
      <c r="AO67" s="9">
        <v>249216</v>
      </c>
    </row>
    <row r="68" spans="21:41">
      <c r="U68" s="13">
        <v>1984</v>
      </c>
      <c r="V68" s="9">
        <v>7305066</v>
      </c>
      <c r="W68" s="9">
        <v>30033</v>
      </c>
      <c r="X68" s="9">
        <v>287775</v>
      </c>
      <c r="Y68" s="9">
        <v>6987258</v>
      </c>
      <c r="Z68" s="9">
        <v>4970526</v>
      </c>
      <c r="AA68" s="9">
        <v>18732</v>
      </c>
      <c r="AB68" s="9">
        <v>152820</v>
      </c>
      <c r="AC68" s="9">
        <v>4798974</v>
      </c>
      <c r="AD68" s="9">
        <v>76517</v>
      </c>
      <c r="AE68" s="9">
        <v>1605</v>
      </c>
      <c r="AF68" s="9">
        <v>64319</v>
      </c>
      <c r="AG68" s="9">
        <v>10593</v>
      </c>
      <c r="AH68" s="9">
        <v>2009875</v>
      </c>
      <c r="AI68" s="9">
        <v>8922</v>
      </c>
      <c r="AJ68" s="9">
        <v>70008</v>
      </c>
      <c r="AK68" s="9">
        <v>1930945</v>
      </c>
      <c r="AL68" s="9">
        <v>248148</v>
      </c>
      <c r="AM68" s="13">
        <v>774</v>
      </c>
      <c r="AN68" s="13">
        <v>628</v>
      </c>
      <c r="AO68" s="9">
        <v>246746</v>
      </c>
    </row>
    <row r="69" spans="21:41">
      <c r="U69" s="13">
        <v>1985</v>
      </c>
      <c r="V69" s="9">
        <v>7725623</v>
      </c>
      <c r="W69" s="9">
        <v>33770</v>
      </c>
      <c r="X69" s="9">
        <v>297827</v>
      </c>
      <c r="Y69" s="9">
        <v>7394026</v>
      </c>
      <c r="Z69" s="9">
        <v>5281842</v>
      </c>
      <c r="AA69" s="9">
        <v>21905</v>
      </c>
      <c r="AB69" s="9">
        <v>157845</v>
      </c>
      <c r="AC69" s="9">
        <v>5102092</v>
      </c>
      <c r="AD69" s="9">
        <v>79028</v>
      </c>
      <c r="AE69" s="9">
        <v>1651</v>
      </c>
      <c r="AF69" s="9">
        <v>67087</v>
      </c>
      <c r="AG69" s="9">
        <v>10290</v>
      </c>
      <c r="AH69" s="9">
        <v>2114395</v>
      </c>
      <c r="AI69" s="9">
        <v>9397</v>
      </c>
      <c r="AJ69" s="9">
        <v>72272</v>
      </c>
      <c r="AK69" s="9">
        <v>2032726</v>
      </c>
      <c r="AL69" s="9">
        <v>250358</v>
      </c>
      <c r="AM69" s="13">
        <v>817</v>
      </c>
      <c r="AN69" s="13">
        <v>623</v>
      </c>
      <c r="AO69" s="9">
        <v>248918</v>
      </c>
    </row>
    <row r="70" spans="21:41">
      <c r="U70" s="13">
        <v>1986</v>
      </c>
      <c r="V70" s="9">
        <v>7732012</v>
      </c>
      <c r="W70" s="9">
        <v>36205</v>
      </c>
      <c r="X70" s="9">
        <v>332570</v>
      </c>
      <c r="Y70" s="9">
        <v>7363237</v>
      </c>
      <c r="Z70" s="9">
        <v>5202922</v>
      </c>
      <c r="AA70" s="9">
        <v>23528</v>
      </c>
      <c r="AB70" s="9">
        <v>178686</v>
      </c>
      <c r="AC70" s="9">
        <v>5000708</v>
      </c>
      <c r="AD70" s="9">
        <v>83373</v>
      </c>
      <c r="AE70" s="9">
        <v>1788</v>
      </c>
      <c r="AF70" s="9">
        <v>71360</v>
      </c>
      <c r="AG70" s="9">
        <v>10225</v>
      </c>
      <c r="AH70" s="9">
        <v>2213025</v>
      </c>
      <c r="AI70" s="9">
        <v>10058</v>
      </c>
      <c r="AJ70" s="9">
        <v>81903</v>
      </c>
      <c r="AK70" s="9">
        <v>2121064</v>
      </c>
      <c r="AL70" s="9">
        <v>232692</v>
      </c>
      <c r="AM70" s="13">
        <v>831</v>
      </c>
      <c r="AN70" s="13">
        <v>621</v>
      </c>
      <c r="AO70" s="9">
        <v>231240</v>
      </c>
    </row>
    <row r="71" spans="21:41">
      <c r="U71" s="13">
        <v>1987</v>
      </c>
      <c r="V71" s="9">
        <v>7933729</v>
      </c>
      <c r="W71" s="9">
        <v>36713</v>
      </c>
      <c r="X71" s="9">
        <v>351554</v>
      </c>
      <c r="Y71" s="9">
        <v>7545462</v>
      </c>
      <c r="Z71" s="9">
        <v>5336228</v>
      </c>
      <c r="AA71" s="9">
        <v>23786</v>
      </c>
      <c r="AB71" s="9">
        <v>194746</v>
      </c>
      <c r="AC71" s="9">
        <v>5117696</v>
      </c>
      <c r="AD71" s="9">
        <v>84364</v>
      </c>
      <c r="AE71" s="9">
        <v>1820</v>
      </c>
      <c r="AF71" s="9">
        <v>72255</v>
      </c>
      <c r="AG71" s="9">
        <v>10289</v>
      </c>
      <c r="AH71" s="9">
        <v>2292078</v>
      </c>
      <c r="AI71" s="9">
        <v>10288</v>
      </c>
      <c r="AJ71" s="9">
        <v>83960</v>
      </c>
      <c r="AK71" s="9">
        <v>2197830</v>
      </c>
      <c r="AL71" s="9">
        <v>221059</v>
      </c>
      <c r="AM71" s="13">
        <v>819</v>
      </c>
      <c r="AN71" s="13">
        <v>593</v>
      </c>
      <c r="AO71" s="9">
        <v>219647</v>
      </c>
    </row>
    <row r="72" spans="21:41">
      <c r="U72" s="13">
        <v>1988</v>
      </c>
      <c r="V72" s="9">
        <v>8324887</v>
      </c>
      <c r="W72" s="9">
        <v>36720</v>
      </c>
      <c r="X72" s="9">
        <v>353216</v>
      </c>
      <c r="Y72" s="9">
        <v>7934951</v>
      </c>
      <c r="Z72" s="9">
        <v>5597735</v>
      </c>
      <c r="AA72" s="9">
        <v>23482</v>
      </c>
      <c r="AB72" s="9">
        <v>195048</v>
      </c>
      <c r="AC72" s="9">
        <v>5379205</v>
      </c>
      <c r="AD72" s="9">
        <v>85229</v>
      </c>
      <c r="AE72" s="9">
        <v>1867</v>
      </c>
      <c r="AF72" s="9">
        <v>72871</v>
      </c>
      <c r="AG72" s="9">
        <v>10491</v>
      </c>
      <c r="AH72" s="9">
        <v>2424025</v>
      </c>
      <c r="AI72" s="9">
        <v>10580</v>
      </c>
      <c r="AJ72" s="9">
        <v>84720</v>
      </c>
      <c r="AK72" s="9">
        <v>2328725</v>
      </c>
      <c r="AL72" s="9">
        <v>217898</v>
      </c>
      <c r="AM72" s="13">
        <v>791</v>
      </c>
      <c r="AN72" s="13">
        <v>577</v>
      </c>
      <c r="AO72" s="9">
        <v>216530</v>
      </c>
    </row>
    <row r="73" spans="21:41">
      <c r="U73" s="13">
        <v>1989</v>
      </c>
      <c r="V73" s="9">
        <v>9009048</v>
      </c>
      <c r="W73" s="9">
        <v>45295</v>
      </c>
      <c r="X73" s="9">
        <v>404585</v>
      </c>
      <c r="Y73" s="9">
        <v>8559168</v>
      </c>
      <c r="Z73" s="9">
        <v>6003532</v>
      </c>
      <c r="AA73" s="9">
        <v>27368</v>
      </c>
      <c r="AB73" s="9">
        <v>230239</v>
      </c>
      <c r="AC73" s="9">
        <v>5745925</v>
      </c>
      <c r="AD73" s="9">
        <v>90150</v>
      </c>
      <c r="AE73" s="9">
        <v>2386</v>
      </c>
      <c r="AF73" s="9">
        <v>76705</v>
      </c>
      <c r="AG73" s="9">
        <v>11059</v>
      </c>
      <c r="AH73" s="9">
        <v>2691551</v>
      </c>
      <c r="AI73" s="9">
        <v>14681</v>
      </c>
      <c r="AJ73" s="9">
        <v>97008</v>
      </c>
      <c r="AK73" s="9">
        <v>2579862</v>
      </c>
      <c r="AL73" s="9">
        <v>223815</v>
      </c>
      <c r="AM73" s="13">
        <v>860</v>
      </c>
      <c r="AN73" s="13">
        <v>633</v>
      </c>
      <c r="AO73" s="9">
        <v>222322</v>
      </c>
    </row>
    <row r="74" spans="21:41">
      <c r="U74" s="13">
        <v>1990</v>
      </c>
      <c r="V74" s="9">
        <v>9862108</v>
      </c>
      <c r="W74" s="9">
        <v>52517</v>
      </c>
      <c r="X74" s="9">
        <v>454631</v>
      </c>
      <c r="Y74" s="9">
        <v>9354960</v>
      </c>
      <c r="Z74" s="9">
        <v>6555550</v>
      </c>
      <c r="AA74" s="9">
        <v>32094</v>
      </c>
      <c r="AB74" s="9">
        <v>263222</v>
      </c>
      <c r="AC74" s="9">
        <v>6260234</v>
      </c>
      <c r="AD74" s="9">
        <v>93275</v>
      </c>
      <c r="AE74" s="9">
        <v>2854</v>
      </c>
      <c r="AF74" s="9">
        <v>78118</v>
      </c>
      <c r="AG74" s="9">
        <v>12303</v>
      </c>
      <c r="AH74" s="9">
        <v>2964736</v>
      </c>
      <c r="AI74" s="9">
        <v>16397</v>
      </c>
      <c r="AJ74" s="9">
        <v>112567</v>
      </c>
      <c r="AK74" s="9">
        <v>2835772</v>
      </c>
      <c r="AL74" s="9">
        <v>248547</v>
      </c>
      <c r="AM74" s="9">
        <v>1172</v>
      </c>
      <c r="AN74" s="13">
        <v>724</v>
      </c>
      <c r="AO74" s="9">
        <v>246651</v>
      </c>
    </row>
    <row r="75" spans="21:41">
      <c r="U75" s="13">
        <v>1991</v>
      </c>
      <c r="V75" s="9">
        <v>10602143</v>
      </c>
      <c r="W75" s="9">
        <v>56965</v>
      </c>
      <c r="X75" s="9">
        <v>472959</v>
      </c>
      <c r="Y75" s="9">
        <v>10072219</v>
      </c>
      <c r="Z75" s="9">
        <v>6950708</v>
      </c>
      <c r="AA75" s="9">
        <v>34600</v>
      </c>
      <c r="AB75" s="9">
        <v>273088</v>
      </c>
      <c r="AC75" s="9">
        <v>6643020</v>
      </c>
      <c r="AD75" s="9">
        <v>96910</v>
      </c>
      <c r="AE75" s="9">
        <v>3117</v>
      </c>
      <c r="AF75" s="9">
        <v>81593</v>
      </c>
      <c r="AG75" s="9">
        <v>12200</v>
      </c>
      <c r="AH75" s="9">
        <v>3293414</v>
      </c>
      <c r="AI75" s="9">
        <v>18025</v>
      </c>
      <c r="AJ75" s="9">
        <v>117523</v>
      </c>
      <c r="AK75" s="9">
        <v>3157866</v>
      </c>
      <c r="AL75" s="9">
        <v>261111</v>
      </c>
      <c r="AM75" s="9">
        <v>1223</v>
      </c>
      <c r="AN75" s="13">
        <v>755</v>
      </c>
      <c r="AO75" s="9">
        <v>259133</v>
      </c>
    </row>
    <row r="76" spans="21:41">
      <c r="U76" s="13">
        <v>1992</v>
      </c>
      <c r="V76" s="9">
        <v>11260184</v>
      </c>
      <c r="W76" s="9">
        <v>58615</v>
      </c>
      <c r="X76" s="9">
        <v>491007</v>
      </c>
      <c r="Y76" s="9">
        <v>10710562</v>
      </c>
      <c r="Z76" s="9">
        <v>7399178</v>
      </c>
      <c r="AA76" s="9">
        <v>35477</v>
      </c>
      <c r="AB76" s="9">
        <v>284263</v>
      </c>
      <c r="AC76" s="9">
        <v>7079438</v>
      </c>
      <c r="AD76" s="9">
        <v>95179</v>
      </c>
      <c r="AE76" s="9">
        <v>3049</v>
      </c>
      <c r="AF76" s="9">
        <v>78845</v>
      </c>
      <c r="AG76" s="9">
        <v>13285</v>
      </c>
      <c r="AH76" s="9">
        <v>3492416</v>
      </c>
      <c r="AI76" s="9">
        <v>18922</v>
      </c>
      <c r="AJ76" s="9">
        <v>126781</v>
      </c>
      <c r="AK76" s="9">
        <v>3346713</v>
      </c>
      <c r="AL76" s="9">
        <v>273411</v>
      </c>
      <c r="AM76" s="9">
        <v>1167</v>
      </c>
      <c r="AN76" s="9">
        <v>1118</v>
      </c>
      <c r="AO76" s="9">
        <v>271126</v>
      </c>
    </row>
    <row r="77" spans="21:41">
      <c r="U77" s="13">
        <v>1993</v>
      </c>
      <c r="V77" s="9">
        <v>11593078</v>
      </c>
      <c r="W77" s="9">
        <v>48633</v>
      </c>
      <c r="X77" s="9">
        <v>442898</v>
      </c>
      <c r="Y77" s="9">
        <v>11101547</v>
      </c>
      <c r="Z77" s="9">
        <v>7715951</v>
      </c>
      <c r="AA77" s="9">
        <v>24456</v>
      </c>
      <c r="AB77" s="9">
        <v>280113</v>
      </c>
      <c r="AC77" s="9">
        <v>7411382</v>
      </c>
      <c r="AD77" s="9">
        <v>85941</v>
      </c>
      <c r="AE77" s="9">
        <v>1166</v>
      </c>
      <c r="AF77" s="9">
        <v>68585</v>
      </c>
      <c r="AG77" s="9">
        <v>16190</v>
      </c>
      <c r="AH77" s="9">
        <v>3592977</v>
      </c>
      <c r="AI77" s="9">
        <v>22380</v>
      </c>
      <c r="AJ77" s="9">
        <v>92930</v>
      </c>
      <c r="AK77" s="9">
        <v>3477667</v>
      </c>
      <c r="AL77" s="9">
        <v>198209</v>
      </c>
      <c r="AM77" s="13">
        <v>631</v>
      </c>
      <c r="AN77" s="9">
        <v>1270</v>
      </c>
      <c r="AO77" s="9">
        <v>196308</v>
      </c>
    </row>
    <row r="78" spans="21:41">
      <c r="U78" s="13">
        <v>1994</v>
      </c>
      <c r="V78" s="9">
        <v>11161089</v>
      </c>
      <c r="W78" s="9">
        <v>52845</v>
      </c>
      <c r="X78" s="9">
        <v>460322</v>
      </c>
      <c r="Y78" s="9">
        <v>10647922</v>
      </c>
      <c r="Z78" s="9">
        <v>7217732</v>
      </c>
      <c r="AA78" s="9">
        <v>22972</v>
      </c>
      <c r="AB78" s="9">
        <v>297939</v>
      </c>
      <c r="AC78" s="9">
        <v>6896821</v>
      </c>
      <c r="AD78" s="9">
        <v>114577</v>
      </c>
      <c r="AE78" s="9">
        <v>1183</v>
      </c>
      <c r="AF78" s="9">
        <v>74885</v>
      </c>
      <c r="AG78" s="9">
        <v>38509</v>
      </c>
      <c r="AH78" s="9">
        <v>3613808</v>
      </c>
      <c r="AI78" s="9">
        <v>27803</v>
      </c>
      <c r="AJ78" s="9">
        <v>85406</v>
      </c>
      <c r="AK78" s="9">
        <v>3500599</v>
      </c>
      <c r="AL78" s="9">
        <v>214972</v>
      </c>
      <c r="AM78" s="13">
        <v>887</v>
      </c>
      <c r="AN78" s="9">
        <v>2092</v>
      </c>
      <c r="AO78" s="9">
        <v>211993</v>
      </c>
    </row>
    <row r="79" spans="21:41">
      <c r="U79" s="13">
        <v>1995</v>
      </c>
      <c r="V79" s="9">
        <v>11317646</v>
      </c>
      <c r="W79" s="9">
        <v>48025</v>
      </c>
      <c r="X79" s="9">
        <v>418385</v>
      </c>
      <c r="Y79" s="9">
        <v>10851236</v>
      </c>
      <c r="Z79" s="9">
        <v>7469504</v>
      </c>
      <c r="AA79" s="9">
        <v>20128</v>
      </c>
      <c r="AB79" s="9">
        <v>264902</v>
      </c>
      <c r="AC79" s="9">
        <v>7184474</v>
      </c>
      <c r="AD79" s="9">
        <v>120497</v>
      </c>
      <c r="AE79" s="13">
        <v>668</v>
      </c>
      <c r="AF79" s="9">
        <v>78409</v>
      </c>
      <c r="AG79" s="9">
        <v>41420</v>
      </c>
      <c r="AH79" s="9">
        <v>3598685</v>
      </c>
      <c r="AI79" s="9">
        <v>26982</v>
      </c>
      <c r="AJ79" s="9">
        <v>73714</v>
      </c>
      <c r="AK79" s="9">
        <v>3497989</v>
      </c>
      <c r="AL79" s="9">
        <v>128960</v>
      </c>
      <c r="AM79" s="13">
        <v>247</v>
      </c>
      <c r="AN79" s="9">
        <v>1360</v>
      </c>
      <c r="AO79" s="9">
        <v>127353</v>
      </c>
    </row>
    <row r="80" spans="21:41">
      <c r="U80" s="13">
        <v>1996</v>
      </c>
      <c r="V80" s="9">
        <v>11750028</v>
      </c>
      <c r="W80" s="9">
        <v>45791</v>
      </c>
      <c r="X80" s="9">
        <v>456169</v>
      </c>
      <c r="Y80" s="9">
        <v>11248068</v>
      </c>
      <c r="Z80" s="9">
        <v>7830864</v>
      </c>
      <c r="AA80" s="9">
        <v>18079</v>
      </c>
      <c r="AB80" s="9">
        <v>304568</v>
      </c>
      <c r="AC80" s="9">
        <v>7508217</v>
      </c>
      <c r="AD80" s="9">
        <v>96933</v>
      </c>
      <c r="AE80" s="13">
        <v>934</v>
      </c>
      <c r="AF80" s="9">
        <v>80860</v>
      </c>
      <c r="AG80" s="9">
        <v>15139</v>
      </c>
      <c r="AH80" s="9">
        <v>3645672</v>
      </c>
      <c r="AI80" s="9">
        <v>26191</v>
      </c>
      <c r="AJ80" s="9">
        <v>70379</v>
      </c>
      <c r="AK80" s="9">
        <v>3549102</v>
      </c>
      <c r="AL80" s="9">
        <v>176559</v>
      </c>
      <c r="AM80" s="13">
        <v>587</v>
      </c>
      <c r="AN80" s="13">
        <v>362</v>
      </c>
      <c r="AO80" s="9">
        <v>175610</v>
      </c>
    </row>
    <row r="81" spans="21:41">
      <c r="U81" s="13">
        <v>1997</v>
      </c>
      <c r="V81" s="9">
        <v>12585187</v>
      </c>
      <c r="W81" s="9">
        <v>49063</v>
      </c>
      <c r="X81" s="9">
        <v>457290</v>
      </c>
      <c r="Y81" s="9">
        <v>12078834</v>
      </c>
      <c r="Z81" s="9">
        <v>8402995</v>
      </c>
      <c r="AA81" s="9">
        <v>19898</v>
      </c>
      <c r="AB81" s="9">
        <v>297550</v>
      </c>
      <c r="AC81" s="9">
        <v>8085547</v>
      </c>
      <c r="AD81" s="9">
        <v>125445</v>
      </c>
      <c r="AE81" s="9">
        <v>2141</v>
      </c>
      <c r="AF81" s="9">
        <v>84147</v>
      </c>
      <c r="AG81" s="9">
        <v>39157</v>
      </c>
      <c r="AH81" s="9">
        <v>3878581</v>
      </c>
      <c r="AI81" s="9">
        <v>26444</v>
      </c>
      <c r="AJ81" s="9">
        <v>74765</v>
      </c>
      <c r="AK81" s="9">
        <v>3777372</v>
      </c>
      <c r="AL81" s="9">
        <v>178166</v>
      </c>
      <c r="AM81" s="13">
        <v>580</v>
      </c>
      <c r="AN81" s="13">
        <v>828</v>
      </c>
      <c r="AO81" s="9">
        <v>176758</v>
      </c>
    </row>
    <row r="82" spans="21:41">
      <c r="U82" s="13">
        <v>1998</v>
      </c>
      <c r="V82" s="9">
        <v>13562820</v>
      </c>
      <c r="W82" s="9">
        <v>75579</v>
      </c>
      <c r="X82" s="9">
        <v>522473</v>
      </c>
      <c r="Y82" s="9">
        <v>12964768</v>
      </c>
      <c r="Z82" s="9">
        <v>9086209</v>
      </c>
      <c r="AA82" s="9">
        <v>32253</v>
      </c>
      <c r="AB82" s="9">
        <v>339751</v>
      </c>
      <c r="AC82" s="9">
        <v>8714205</v>
      </c>
      <c r="AD82" s="9">
        <v>176443</v>
      </c>
      <c r="AE82" s="9">
        <v>2233</v>
      </c>
      <c r="AF82" s="9">
        <v>100296</v>
      </c>
      <c r="AG82" s="9">
        <v>73914</v>
      </c>
      <c r="AH82" s="9">
        <v>4078068</v>
      </c>
      <c r="AI82" s="9">
        <v>39919</v>
      </c>
      <c r="AJ82" s="9">
        <v>81097</v>
      </c>
      <c r="AK82" s="9">
        <v>3957052</v>
      </c>
      <c r="AL82" s="9">
        <v>222100</v>
      </c>
      <c r="AM82" s="9">
        <v>1174</v>
      </c>
      <c r="AN82" s="9">
        <v>1329</v>
      </c>
      <c r="AO82" s="9">
        <v>219597</v>
      </c>
    </row>
    <row r="83" spans="21:41">
      <c r="U83" s="13">
        <v>1999</v>
      </c>
      <c r="V83" s="9">
        <v>14385864</v>
      </c>
      <c r="W83" s="9">
        <v>63142</v>
      </c>
      <c r="X83" s="9">
        <v>551328</v>
      </c>
      <c r="Y83" s="9">
        <v>13771394</v>
      </c>
      <c r="Z83" s="9">
        <v>9582796</v>
      </c>
      <c r="AA83" s="9">
        <v>25094</v>
      </c>
      <c r="AB83" s="9">
        <v>344551</v>
      </c>
      <c r="AC83" s="9">
        <v>9213151</v>
      </c>
      <c r="AD83" s="9">
        <v>200357</v>
      </c>
      <c r="AE83" s="9">
        <v>2187</v>
      </c>
      <c r="AF83" s="9">
        <v>111335</v>
      </c>
      <c r="AG83" s="9">
        <v>86835</v>
      </c>
      <c r="AH83" s="9">
        <v>4340112</v>
      </c>
      <c r="AI83" s="9">
        <v>34196</v>
      </c>
      <c r="AJ83" s="9">
        <v>93712</v>
      </c>
      <c r="AK83" s="9">
        <v>4212204</v>
      </c>
      <c r="AL83" s="9">
        <v>262599</v>
      </c>
      <c r="AM83" s="9">
        <v>1665</v>
      </c>
      <c r="AN83" s="9">
        <v>1730</v>
      </c>
      <c r="AO83" s="9">
        <v>259204</v>
      </c>
    </row>
    <row r="84" spans="21:41">
      <c r="U84" s="13">
        <v>2000</v>
      </c>
      <c r="V84" s="9">
        <v>15611916</v>
      </c>
      <c r="W84" s="9">
        <v>75546</v>
      </c>
      <c r="X84" s="9">
        <v>572545</v>
      </c>
      <c r="Y84" s="9">
        <v>14963825</v>
      </c>
      <c r="Z84" s="9">
        <v>10176179</v>
      </c>
      <c r="AA84" s="9">
        <v>31081</v>
      </c>
      <c r="AB84" s="9">
        <v>359515</v>
      </c>
      <c r="AC84" s="9">
        <v>9785583</v>
      </c>
      <c r="AD84" s="9">
        <v>202396</v>
      </c>
      <c r="AE84" s="9">
        <v>3293</v>
      </c>
      <c r="AF84" s="9">
        <v>110660</v>
      </c>
      <c r="AG84" s="9">
        <v>88443</v>
      </c>
      <c r="AH84" s="9">
        <v>4939417</v>
      </c>
      <c r="AI84" s="9">
        <v>38299</v>
      </c>
      <c r="AJ84" s="9">
        <v>100123</v>
      </c>
      <c r="AK84" s="9">
        <v>4800995</v>
      </c>
      <c r="AL84" s="9">
        <v>293924</v>
      </c>
      <c r="AM84" s="9">
        <v>2873</v>
      </c>
      <c r="AN84" s="9">
        <v>2247</v>
      </c>
      <c r="AO84" s="9">
        <v>288804</v>
      </c>
    </row>
    <row r="85" spans="21:41">
      <c r="U85" s="13">
        <v>2001</v>
      </c>
      <c r="V85" s="9">
        <v>17300530</v>
      </c>
      <c r="W85" s="9">
        <v>77119</v>
      </c>
      <c r="X85" s="9">
        <v>613330</v>
      </c>
      <c r="Y85" s="9">
        <v>16610081</v>
      </c>
      <c r="Z85" s="9">
        <v>11351982</v>
      </c>
      <c r="AA85" s="9">
        <v>30453</v>
      </c>
      <c r="AB85" s="9">
        <v>373413</v>
      </c>
      <c r="AC85" s="9">
        <v>10948116</v>
      </c>
      <c r="AD85" s="9">
        <v>273536</v>
      </c>
      <c r="AE85" s="9">
        <v>2323</v>
      </c>
      <c r="AF85" s="9">
        <v>150124</v>
      </c>
      <c r="AG85" s="9">
        <v>121089</v>
      </c>
      <c r="AH85" s="9">
        <v>5394206</v>
      </c>
      <c r="AI85" s="9">
        <v>40840</v>
      </c>
      <c r="AJ85" s="9">
        <v>87409</v>
      </c>
      <c r="AK85" s="9">
        <v>5265957</v>
      </c>
      <c r="AL85" s="9">
        <v>280806</v>
      </c>
      <c r="AM85" s="9">
        <v>3503</v>
      </c>
      <c r="AN85" s="9">
        <v>2384</v>
      </c>
      <c r="AO85" s="9">
        <v>274919</v>
      </c>
    </row>
    <row r="86" spans="21:41">
      <c r="U86" s="13">
        <v>2002</v>
      </c>
      <c r="V86" s="9">
        <v>18784594</v>
      </c>
      <c r="W86" s="9">
        <v>81169</v>
      </c>
      <c r="X86" s="9">
        <v>627417</v>
      </c>
      <c r="Y86" s="9">
        <v>18076008</v>
      </c>
      <c r="Z86" s="9">
        <v>12254910</v>
      </c>
      <c r="AA86" s="9">
        <v>34489</v>
      </c>
      <c r="AB86" s="9">
        <v>374995</v>
      </c>
      <c r="AC86" s="9">
        <v>11845426</v>
      </c>
      <c r="AD86" s="9">
        <v>299365</v>
      </c>
      <c r="AE86" s="9">
        <v>2349</v>
      </c>
      <c r="AF86" s="9">
        <v>163143</v>
      </c>
      <c r="AG86" s="9">
        <v>133873</v>
      </c>
      <c r="AH86" s="9">
        <v>5860797</v>
      </c>
      <c r="AI86" s="9">
        <v>41348</v>
      </c>
      <c r="AJ86" s="9">
        <v>87639</v>
      </c>
      <c r="AK86" s="9">
        <v>5731810</v>
      </c>
      <c r="AL86" s="9">
        <v>369522</v>
      </c>
      <c r="AM86" s="9">
        <v>2983</v>
      </c>
      <c r="AN86" s="9">
        <v>1640</v>
      </c>
      <c r="AO86" s="9">
        <v>364899</v>
      </c>
    </row>
    <row r="87" spans="21:41">
      <c r="U87" s="13">
        <v>2003</v>
      </c>
      <c r="V87" s="9">
        <v>19806960</v>
      </c>
      <c r="W87" s="9">
        <v>75133</v>
      </c>
      <c r="X87" s="9">
        <v>619747</v>
      </c>
      <c r="Y87" s="9">
        <v>19112080</v>
      </c>
      <c r="Z87" s="9">
        <v>12742049</v>
      </c>
      <c r="AA87" s="9">
        <v>30917</v>
      </c>
      <c r="AB87" s="9">
        <v>375466</v>
      </c>
      <c r="AC87" s="9">
        <v>12335666</v>
      </c>
      <c r="AD87" s="9">
        <v>308101</v>
      </c>
      <c r="AE87" s="9">
        <v>2150</v>
      </c>
      <c r="AF87" s="9">
        <v>159038</v>
      </c>
      <c r="AG87" s="9">
        <v>146913</v>
      </c>
      <c r="AH87" s="9">
        <v>6317293</v>
      </c>
      <c r="AI87" s="9">
        <v>37773</v>
      </c>
      <c r="AJ87" s="9">
        <v>83367</v>
      </c>
      <c r="AK87" s="9">
        <v>6196153</v>
      </c>
      <c r="AL87" s="9">
        <v>439517</v>
      </c>
      <c r="AM87" s="9">
        <v>4293</v>
      </c>
      <c r="AN87" s="9">
        <v>1876</v>
      </c>
      <c r="AO87" s="9">
        <v>433348</v>
      </c>
    </row>
    <row r="88" spans="21:41">
      <c r="U88" s="13">
        <v>2004</v>
      </c>
      <c r="V88" s="9">
        <v>20878438</v>
      </c>
      <c r="W88" s="9">
        <v>76473</v>
      </c>
      <c r="X88" s="9">
        <v>608026</v>
      </c>
      <c r="Y88" s="9">
        <v>20193939</v>
      </c>
      <c r="Z88" s="9">
        <v>13388011</v>
      </c>
      <c r="AA88" s="9">
        <v>30364</v>
      </c>
      <c r="AB88" s="9">
        <v>374438</v>
      </c>
      <c r="AC88" s="9">
        <v>12983209</v>
      </c>
      <c r="AD88" s="9">
        <v>264585</v>
      </c>
      <c r="AE88" s="9">
        <v>1740</v>
      </c>
      <c r="AF88" s="9">
        <v>115664</v>
      </c>
      <c r="AG88" s="9">
        <v>147181</v>
      </c>
      <c r="AH88" s="9">
        <v>6707535</v>
      </c>
      <c r="AI88" s="9">
        <v>39605</v>
      </c>
      <c r="AJ88" s="9">
        <v>115682</v>
      </c>
      <c r="AK88" s="9">
        <v>6552248</v>
      </c>
      <c r="AL88" s="9">
        <v>518307</v>
      </c>
      <c r="AM88" s="9">
        <v>4764</v>
      </c>
      <c r="AN88" s="9">
        <v>2242</v>
      </c>
      <c r="AO88" s="9">
        <v>511301</v>
      </c>
    </row>
    <row r="89" spans="21:41">
      <c r="U89" s="13">
        <v>2005</v>
      </c>
      <c r="V89" s="9">
        <v>22138478</v>
      </c>
      <c r="W89" s="9">
        <v>78860</v>
      </c>
      <c r="X89" s="9">
        <v>682634</v>
      </c>
      <c r="Y89" s="9">
        <v>21376984</v>
      </c>
      <c r="Z89" s="9">
        <v>14300380</v>
      </c>
      <c r="AA89" s="9">
        <v>31087</v>
      </c>
      <c r="AB89" s="9">
        <v>423456</v>
      </c>
      <c r="AC89" s="9">
        <v>13845837</v>
      </c>
      <c r="AD89" s="9">
        <v>268817</v>
      </c>
      <c r="AE89" s="9">
        <v>1479</v>
      </c>
      <c r="AF89" s="9">
        <v>124621</v>
      </c>
      <c r="AG89" s="9">
        <v>142717</v>
      </c>
      <c r="AH89" s="9">
        <v>6980738</v>
      </c>
      <c r="AI89" s="9">
        <v>41193</v>
      </c>
      <c r="AJ89" s="9">
        <v>131917</v>
      </c>
      <c r="AK89" s="9">
        <v>6807628</v>
      </c>
      <c r="AL89" s="9">
        <v>588543</v>
      </c>
      <c r="AM89" s="9">
        <v>5101</v>
      </c>
      <c r="AN89" s="9">
        <v>2640</v>
      </c>
      <c r="AO89" s="9">
        <v>580802</v>
      </c>
    </row>
    <row r="90" spans="21:41">
      <c r="U90" s="13">
        <v>2006</v>
      </c>
      <c r="V90" s="9">
        <v>24907229</v>
      </c>
      <c r="W90" s="9">
        <v>101458</v>
      </c>
      <c r="X90" s="9">
        <v>777235</v>
      </c>
      <c r="Y90" s="9">
        <v>24028536</v>
      </c>
      <c r="Z90" s="9">
        <v>16411813</v>
      </c>
      <c r="AA90" s="9">
        <v>43558</v>
      </c>
      <c r="AB90" s="9">
        <v>471549</v>
      </c>
      <c r="AC90" s="9">
        <v>15896706</v>
      </c>
      <c r="AD90" s="9">
        <v>310189</v>
      </c>
      <c r="AE90" s="9">
        <v>1580</v>
      </c>
      <c r="AF90" s="9">
        <v>164852</v>
      </c>
      <c r="AG90" s="9">
        <v>143757</v>
      </c>
      <c r="AH90" s="9">
        <v>7462918</v>
      </c>
      <c r="AI90" s="9">
        <v>49205</v>
      </c>
      <c r="AJ90" s="9">
        <v>130619</v>
      </c>
      <c r="AK90" s="9">
        <v>7283094</v>
      </c>
      <c r="AL90" s="9">
        <v>722309</v>
      </c>
      <c r="AM90" s="9">
        <v>7115</v>
      </c>
      <c r="AN90" s="9">
        <v>10215</v>
      </c>
      <c r="AO90" s="9">
        <v>704979</v>
      </c>
    </row>
    <row r="91" spans="21:41">
      <c r="U91" s="13">
        <v>2007</v>
      </c>
      <c r="V91" s="9">
        <v>26747197</v>
      </c>
      <c r="W91" s="9">
        <v>106565</v>
      </c>
      <c r="X91" s="9">
        <v>819520</v>
      </c>
      <c r="Y91" s="9">
        <v>25821112</v>
      </c>
      <c r="Z91" s="9">
        <v>17696623</v>
      </c>
      <c r="AA91" s="9">
        <v>44577</v>
      </c>
      <c r="AB91" s="9">
        <v>505651</v>
      </c>
      <c r="AC91" s="9">
        <v>17146395</v>
      </c>
      <c r="AD91" s="9">
        <v>322078</v>
      </c>
      <c r="AE91" s="9">
        <v>1525</v>
      </c>
      <c r="AF91" s="9">
        <v>167528</v>
      </c>
      <c r="AG91" s="9">
        <v>153025</v>
      </c>
      <c r="AH91" s="9">
        <v>7849491</v>
      </c>
      <c r="AI91" s="9">
        <v>52546</v>
      </c>
      <c r="AJ91" s="9">
        <v>135654</v>
      </c>
      <c r="AK91" s="9">
        <v>7661291</v>
      </c>
      <c r="AL91" s="9">
        <v>879005</v>
      </c>
      <c r="AM91" s="9">
        <v>7917</v>
      </c>
      <c r="AN91" s="9">
        <v>10687</v>
      </c>
      <c r="AO91" s="9">
        <v>860401</v>
      </c>
    </row>
    <row r="92" spans="21:41">
      <c r="U92" s="13">
        <v>2008</v>
      </c>
      <c r="V92" s="9">
        <v>29287903</v>
      </c>
      <c r="W92" s="9">
        <v>127416</v>
      </c>
      <c r="X92" s="9">
        <v>809475</v>
      </c>
      <c r="Y92" s="9">
        <v>28351012</v>
      </c>
      <c r="Z92" s="9">
        <v>19420942</v>
      </c>
      <c r="AA92" s="9">
        <v>52184</v>
      </c>
      <c r="AB92" s="9">
        <v>489054</v>
      </c>
      <c r="AC92" s="9">
        <v>18879704</v>
      </c>
      <c r="AD92" s="9">
        <v>333287</v>
      </c>
      <c r="AE92" s="9">
        <v>1647</v>
      </c>
      <c r="AF92" s="9">
        <v>167514</v>
      </c>
      <c r="AG92" s="9">
        <v>164126</v>
      </c>
      <c r="AH92" s="9">
        <v>8453601</v>
      </c>
      <c r="AI92" s="9">
        <v>63502</v>
      </c>
      <c r="AJ92" s="9">
        <v>138502</v>
      </c>
      <c r="AK92" s="9">
        <v>8251597</v>
      </c>
      <c r="AL92" s="9">
        <v>1080073</v>
      </c>
      <c r="AM92" s="9">
        <v>10083</v>
      </c>
      <c r="AN92" s="9">
        <v>14405</v>
      </c>
      <c r="AO92" s="9">
        <v>1055585</v>
      </c>
    </row>
    <row r="93" spans="21:41">
      <c r="U93" s="13">
        <v>2009</v>
      </c>
      <c r="V93" s="9">
        <v>30890136</v>
      </c>
      <c r="W93" s="9">
        <v>137295</v>
      </c>
      <c r="X93" s="9">
        <v>846334</v>
      </c>
      <c r="Y93" s="9">
        <v>29906507</v>
      </c>
      <c r="Z93" s="9">
        <v>20519224</v>
      </c>
      <c r="AA93" s="9">
        <v>54516</v>
      </c>
      <c r="AB93" s="9">
        <v>514783</v>
      </c>
      <c r="AC93" s="9">
        <v>19949925</v>
      </c>
      <c r="AD93" s="9">
        <v>337465</v>
      </c>
      <c r="AE93" s="9">
        <v>1711</v>
      </c>
      <c r="AF93" s="9">
        <v>170827</v>
      </c>
      <c r="AG93" s="9">
        <v>164927</v>
      </c>
      <c r="AH93" s="9">
        <v>8835194</v>
      </c>
      <c r="AI93" s="9">
        <v>70175</v>
      </c>
      <c r="AJ93" s="9">
        <v>145120</v>
      </c>
      <c r="AK93" s="9">
        <v>8619899</v>
      </c>
      <c r="AL93" s="9">
        <v>1198253</v>
      </c>
      <c r="AM93" s="9">
        <v>10893</v>
      </c>
      <c r="AN93" s="9">
        <v>15604</v>
      </c>
      <c r="AO93" s="9">
        <v>1171756</v>
      </c>
    </row>
    <row r="94" spans="21:41">
      <c r="U94" s="13">
        <v>2010</v>
      </c>
      <c r="V94" s="9">
        <v>31635012</v>
      </c>
      <c r="W94" s="9">
        <v>142741</v>
      </c>
      <c r="X94" s="9">
        <v>827681</v>
      </c>
      <c r="Y94" s="9">
        <v>30664590</v>
      </c>
      <c r="Z94" s="9">
        <v>21152773</v>
      </c>
      <c r="AA94" s="9">
        <v>55617</v>
      </c>
      <c r="AB94" s="9">
        <v>503115</v>
      </c>
      <c r="AC94" s="9">
        <v>20594041</v>
      </c>
      <c r="AD94" s="9">
        <v>312738</v>
      </c>
      <c r="AE94" s="9">
        <v>1809</v>
      </c>
      <c r="AF94" s="9">
        <v>142650</v>
      </c>
      <c r="AG94" s="9">
        <v>168279</v>
      </c>
      <c r="AH94" s="9">
        <v>9015356</v>
      </c>
      <c r="AI94" s="9">
        <v>74030</v>
      </c>
      <c r="AJ94" s="9">
        <v>164853</v>
      </c>
      <c r="AK94" s="9">
        <v>8776473</v>
      </c>
      <c r="AL94" s="9">
        <v>1154145</v>
      </c>
      <c r="AM94" s="9">
        <v>11285</v>
      </c>
      <c r="AN94" s="9">
        <v>17063</v>
      </c>
      <c r="AO94" s="9">
        <v>1125797</v>
      </c>
    </row>
    <row r="95" spans="21:41">
      <c r="U95" s="13">
        <v>2011</v>
      </c>
      <c r="V95" s="9">
        <v>33275469</v>
      </c>
      <c r="W95" s="9">
        <v>146604</v>
      </c>
      <c r="X95" s="9">
        <v>874951</v>
      </c>
      <c r="Y95" s="9">
        <v>32253914</v>
      </c>
      <c r="Z95" s="9">
        <v>22374326</v>
      </c>
      <c r="AA95" s="9">
        <v>56220</v>
      </c>
      <c r="AB95" s="9">
        <v>539827</v>
      </c>
      <c r="AC95" s="9">
        <v>21778279</v>
      </c>
      <c r="AD95" s="9">
        <v>327565</v>
      </c>
      <c r="AE95" s="9">
        <v>1843</v>
      </c>
      <c r="AF95" s="9">
        <v>149920</v>
      </c>
      <c r="AG95" s="9">
        <v>175802</v>
      </c>
      <c r="AH95" s="9">
        <v>9260456</v>
      </c>
      <c r="AI95" s="9">
        <v>77467</v>
      </c>
      <c r="AJ95" s="9">
        <v>167880</v>
      </c>
      <c r="AK95" s="9">
        <v>9015109</v>
      </c>
      <c r="AL95" s="9">
        <v>1313122</v>
      </c>
      <c r="AM95" s="9">
        <v>11074</v>
      </c>
      <c r="AN95" s="9">
        <v>17324</v>
      </c>
      <c r="AO95" s="9">
        <v>1284724</v>
      </c>
    </row>
    <row r="96" spans="21:41">
      <c r="U96" s="13">
        <v>2012</v>
      </c>
      <c r="V96" s="9">
        <v>34875837</v>
      </c>
      <c r="W96" s="9">
        <v>151149</v>
      </c>
      <c r="X96" s="9">
        <v>888241</v>
      </c>
      <c r="Y96" s="9">
        <v>33836447</v>
      </c>
      <c r="Z96" s="9">
        <v>23569623</v>
      </c>
      <c r="AA96" s="9">
        <v>56668</v>
      </c>
      <c r="AB96" s="9">
        <v>553968</v>
      </c>
      <c r="AC96" s="9">
        <v>22958987</v>
      </c>
      <c r="AD96" s="9">
        <v>338520</v>
      </c>
      <c r="AE96" s="9">
        <v>1749</v>
      </c>
      <c r="AF96" s="9">
        <v>155355</v>
      </c>
      <c r="AG96" s="9">
        <v>181416</v>
      </c>
      <c r="AH96" s="9">
        <v>9385466</v>
      </c>
      <c r="AI96" s="9">
        <v>80734</v>
      </c>
      <c r="AJ96" s="9">
        <v>165806</v>
      </c>
      <c r="AK96" s="9">
        <v>9138926</v>
      </c>
      <c r="AL96" s="9">
        <v>1582228</v>
      </c>
      <c r="AM96" s="9">
        <v>11998</v>
      </c>
      <c r="AN96" s="9">
        <v>13112</v>
      </c>
      <c r="AO96" s="9">
        <v>1557118</v>
      </c>
    </row>
    <row r="97" spans="21:41">
      <c r="U97" s="13">
        <v>2013</v>
      </c>
      <c r="V97" s="9">
        <v>36744838</v>
      </c>
      <c r="W97" s="9">
        <v>151407</v>
      </c>
      <c r="X97" s="9">
        <v>902454</v>
      </c>
      <c r="Y97" s="9">
        <v>35690977</v>
      </c>
      <c r="Z97" s="9">
        <v>24819922</v>
      </c>
      <c r="AA97" s="9">
        <v>55533</v>
      </c>
      <c r="AB97" s="9">
        <v>563186</v>
      </c>
      <c r="AC97" s="9">
        <v>24201203</v>
      </c>
      <c r="AD97" s="9">
        <v>347144</v>
      </c>
      <c r="AE97" s="9">
        <v>1817</v>
      </c>
      <c r="AF97" s="9">
        <v>156867</v>
      </c>
      <c r="AG97" s="9">
        <v>188460</v>
      </c>
      <c r="AH97" s="9">
        <v>9704131</v>
      </c>
      <c r="AI97" s="9">
        <v>81192</v>
      </c>
      <c r="AJ97" s="9">
        <v>172550</v>
      </c>
      <c r="AK97" s="9">
        <v>9450389</v>
      </c>
      <c r="AL97" s="9">
        <v>1873641</v>
      </c>
      <c r="AM97" s="9">
        <v>12865</v>
      </c>
      <c r="AN97" s="9">
        <v>9851</v>
      </c>
      <c r="AO97" s="9">
        <v>1850925</v>
      </c>
    </row>
    <row r="98" spans="21:41">
      <c r="U98" s="13">
        <v>2014</v>
      </c>
      <c r="V98" s="9">
        <v>38027171</v>
      </c>
      <c r="W98" s="9">
        <v>152167</v>
      </c>
      <c r="X98" s="9">
        <v>902829</v>
      </c>
      <c r="Y98" s="9">
        <v>36972175</v>
      </c>
      <c r="Z98" s="9">
        <v>25543908</v>
      </c>
      <c r="AA98" s="9">
        <v>55996</v>
      </c>
      <c r="AB98" s="9">
        <v>584017</v>
      </c>
      <c r="AC98" s="9">
        <v>24903895</v>
      </c>
      <c r="AD98" s="9">
        <v>347720</v>
      </c>
      <c r="AE98" s="9">
        <v>1738</v>
      </c>
      <c r="AF98" s="9">
        <v>151933</v>
      </c>
      <c r="AG98" s="9">
        <v>194049</v>
      </c>
      <c r="AH98" s="9">
        <v>9863980</v>
      </c>
      <c r="AI98" s="9">
        <v>81249</v>
      </c>
      <c r="AJ98" s="9">
        <v>154399</v>
      </c>
      <c r="AK98" s="9">
        <v>9628332</v>
      </c>
      <c r="AL98" s="9">
        <v>2271563</v>
      </c>
      <c r="AM98" s="9">
        <v>13184</v>
      </c>
      <c r="AN98" s="9">
        <v>12480</v>
      </c>
      <c r="AO98" s="9">
        <v>2245899</v>
      </c>
    </row>
    <row r="99" spans="21:41">
      <c r="U99" s="13">
        <v>2015</v>
      </c>
      <c r="V99" s="9">
        <v>40225996</v>
      </c>
      <c r="W99" s="9">
        <v>151359</v>
      </c>
      <c r="X99" s="9">
        <v>910228</v>
      </c>
      <c r="Y99" s="9">
        <v>39164409</v>
      </c>
      <c r="Z99" s="9">
        <v>27178339</v>
      </c>
      <c r="AA99" s="9">
        <v>55398</v>
      </c>
      <c r="AB99" s="9">
        <v>593687</v>
      </c>
      <c r="AC99" s="9">
        <v>26529254</v>
      </c>
      <c r="AD99" s="9">
        <v>359786</v>
      </c>
      <c r="AE99" s="9">
        <v>1946</v>
      </c>
      <c r="AF99" s="9">
        <v>153501</v>
      </c>
      <c r="AG99" s="9">
        <v>204339</v>
      </c>
      <c r="AH99" s="9">
        <v>10077672</v>
      </c>
      <c r="AI99" s="9">
        <v>80364</v>
      </c>
      <c r="AJ99" s="9">
        <v>149806</v>
      </c>
      <c r="AK99" s="9">
        <v>9847502</v>
      </c>
      <c r="AL99" s="9">
        <v>2610199</v>
      </c>
      <c r="AM99" s="9">
        <v>13651</v>
      </c>
      <c r="AN99" s="9">
        <v>13234</v>
      </c>
      <c r="AO99" s="9">
        <v>2583314</v>
      </c>
    </row>
    <row r="100" spans="21:41">
      <c r="U100" s="13">
        <v>2016</v>
      </c>
      <c r="V100" s="9">
        <v>42932567</v>
      </c>
      <c r="W100" s="9">
        <v>160162</v>
      </c>
      <c r="X100" s="9">
        <v>933237</v>
      </c>
      <c r="Y100" s="9">
        <v>41839168</v>
      </c>
      <c r="Z100" s="9">
        <v>29164157</v>
      </c>
      <c r="AA100" s="9">
        <v>59069</v>
      </c>
      <c r="AB100" s="9">
        <v>609552</v>
      </c>
      <c r="AC100" s="9">
        <v>28495536</v>
      </c>
      <c r="AD100" s="9">
        <v>365419</v>
      </c>
      <c r="AE100" s="9">
        <v>2073</v>
      </c>
      <c r="AF100" s="9">
        <v>158919</v>
      </c>
      <c r="AG100" s="9">
        <v>204427</v>
      </c>
      <c r="AH100" s="9">
        <v>10415934</v>
      </c>
      <c r="AI100" s="9">
        <v>82541</v>
      </c>
      <c r="AJ100" s="9">
        <v>150753</v>
      </c>
      <c r="AK100" s="9">
        <v>10182640</v>
      </c>
      <c r="AL100" s="9">
        <v>2987057</v>
      </c>
      <c r="AM100" s="9">
        <v>16479</v>
      </c>
      <c r="AN100" s="9">
        <v>14013</v>
      </c>
      <c r="AO100" s="9">
        <v>2956565</v>
      </c>
    </row>
    <row r="101" spans="21:41" ht="15.95">
      <c r="U101" s="12"/>
      <c r="V101" s="10"/>
      <c r="W101" s="10">
        <f>W100/V100</f>
        <v>3.7305479544235032E-3</v>
      </c>
      <c r="X101" s="10">
        <f>X100/V100</f>
        <v>2.1737274642813696E-2</v>
      </c>
      <c r="Y101" s="10">
        <f>Y100/V100</f>
        <v>0.97453217740276277</v>
      </c>
      <c r="Z101" s="10"/>
      <c r="AA101" s="10">
        <f>AA100/Z100</f>
        <v>2.0253971338859548E-3</v>
      </c>
      <c r="AB101" s="10">
        <f>AB100/Z100</f>
        <v>2.0900724132022742E-2</v>
      </c>
      <c r="AC101" s="10">
        <f>AC100/Z100</f>
        <v>0.97707387873409135</v>
      </c>
      <c r="AD101" s="10"/>
      <c r="AE101" s="10">
        <f>AE100/AD100</f>
        <v>5.6729398307148781E-3</v>
      </c>
      <c r="AF101" s="10">
        <f>AF100/AD100</f>
        <v>0.43489528459111321</v>
      </c>
      <c r="AG101" s="10">
        <f>AG100/AD100</f>
        <v>0.55943177557817192</v>
      </c>
      <c r="AH101" s="10"/>
      <c r="AI101" s="10">
        <f>AI100/AH100</f>
        <v>7.9244933771661762E-3</v>
      </c>
      <c r="AJ101" s="10">
        <f>AJ100/AH100</f>
        <v>1.4473305994450425E-2</v>
      </c>
      <c r="AK101" s="10">
        <f>AK100/AH100</f>
        <v>0.97760220062838343</v>
      </c>
      <c r="AL101" s="10"/>
      <c r="AM101" s="10">
        <f>AM100/AL100</f>
        <v>5.5168013198275091E-3</v>
      </c>
      <c r="AN101" s="10">
        <f>AN100/AL100</f>
        <v>4.6912395712569261E-3</v>
      </c>
      <c r="AO101" s="10">
        <f>AO100/AL100</f>
        <v>0.9897919591089156</v>
      </c>
    </row>
    <row r="102" spans="21:41">
      <c r="U102" s="11" t="s">
        <v>41</v>
      </c>
    </row>
  </sheetData>
  <hyperlinks>
    <hyperlink ref="W57" r:id="rId1" location="Regreso&amp;c=" xr:uid="{DCE08E53-6D4C-5F43-979E-5BE397AFC55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E16"/>
  <sheetViews>
    <sheetView workbookViewId="0">
      <selection activeCell="B2" sqref="B2"/>
    </sheetView>
  </sheetViews>
  <sheetFormatPr defaultColWidth="8.85546875" defaultRowHeight="15"/>
  <cols>
    <col min="1" max="1" width="15.28515625" customWidth="1"/>
    <col min="2" max="2" width="15.7109375" customWidth="1"/>
    <col min="3" max="3" width="17.28515625" customWidth="1"/>
    <col min="4" max="4" width="16.85546875" customWidth="1"/>
    <col min="5" max="5" width="18" customWidth="1"/>
  </cols>
  <sheetData>
    <row r="1" spans="1:5" s="5" customFormat="1" ht="48">
      <c r="A1" s="7" t="s">
        <v>42</v>
      </c>
      <c r="B1" s="6" t="s">
        <v>43</v>
      </c>
      <c r="C1" s="6" t="s">
        <v>44</v>
      </c>
      <c r="D1" s="6" t="s">
        <v>45</v>
      </c>
      <c r="E1" s="6" t="s">
        <v>46</v>
      </c>
    </row>
    <row r="2" spans="1:5">
      <c r="A2" t="s">
        <v>47</v>
      </c>
      <c r="B2" s="15">
        <f>'Vehicle fleet by entity MEX'!D53</f>
        <v>1.8107037547461554E-3</v>
      </c>
      <c r="C2" s="15">
        <f>'Vehicle fleet by entity MEX'!C53</f>
        <v>2.0530968287702046E-2</v>
      </c>
      <c r="D2" s="15">
        <f>'Vehicle fleet by entity MEX'!B53</f>
        <v>0.97765832795755181</v>
      </c>
      <c r="E2">
        <v>0</v>
      </c>
    </row>
    <row r="3" spans="1:5">
      <c r="A3" t="s">
        <v>48</v>
      </c>
      <c r="B3" s="15">
        <f>'Vehicle fleet by entity MEX'!I53</f>
        <v>7.278415481288234E-3</v>
      </c>
      <c r="C3" s="15">
        <f>'Vehicle fleet by entity MEX'!H53</f>
        <v>0.4175455125339787</v>
      </c>
      <c r="D3" s="15">
        <f>'Vehicle fleet by entity MEX'!G53</f>
        <v>0.57517607198473308</v>
      </c>
      <c r="E3">
        <v>0</v>
      </c>
    </row>
    <row r="4" spans="1:5">
      <c r="A4" t="s">
        <v>49</v>
      </c>
      <c r="B4" t="e">
        <f>#REF!</f>
        <v>#REF!</v>
      </c>
      <c r="C4" t="e">
        <f>#REF!</f>
        <v>#REF!</v>
      </c>
      <c r="D4" t="e">
        <f>#REF!</f>
        <v>#REF!</v>
      </c>
      <c r="E4">
        <v>0</v>
      </c>
    </row>
    <row r="5" spans="1:5">
      <c r="A5" t="s">
        <v>50</v>
      </c>
      <c r="B5" t="e">
        <f>#REF!</f>
        <v>#REF!</v>
      </c>
      <c r="C5" t="e">
        <f>#REF!</f>
        <v>#REF!</v>
      </c>
      <c r="D5" t="e">
        <f>#REF!</f>
        <v>#REF!</v>
      </c>
      <c r="E5">
        <v>0</v>
      </c>
    </row>
    <row r="6" spans="1:5">
      <c r="A6" t="s">
        <v>51</v>
      </c>
      <c r="B6" t="e">
        <f>#REF!</f>
        <v>#REF!</v>
      </c>
      <c r="C6" t="e">
        <f>#REF!</f>
        <v>#REF!</v>
      </c>
      <c r="D6" t="e">
        <f>#REF!</f>
        <v>#REF!</v>
      </c>
      <c r="E6">
        <v>0</v>
      </c>
    </row>
    <row r="7" spans="1:5">
      <c r="A7" t="s">
        <v>52</v>
      </c>
      <c r="B7" s="15">
        <f>'Vehicle fleet by entity MEX'!Q53</f>
        <v>0.99332900785221645</v>
      </c>
      <c r="C7" s="15">
        <f>'Vehicle fleet by entity MEX'!R53</f>
        <v>3.6269735317355071E-3</v>
      </c>
      <c r="D7" s="15">
        <f>'Vehicle fleet by entity MEX'!S53</f>
        <v>3.0440186160480059E-3</v>
      </c>
      <c r="E7">
        <v>0</v>
      </c>
    </row>
    <row r="11" spans="1:5">
      <c r="B11" s="15"/>
      <c r="C11" s="15"/>
      <c r="D11" s="15"/>
    </row>
    <row r="12" spans="1:5">
      <c r="B12" s="15"/>
      <c r="C12" s="15"/>
      <c r="D12" s="15"/>
    </row>
    <row r="13" spans="1:5">
      <c r="B13" s="14"/>
      <c r="C13" s="14"/>
      <c r="D13" s="14"/>
    </row>
    <row r="14" spans="1:5">
      <c r="B14" s="14"/>
      <c r="C14" s="14"/>
      <c r="D14" s="14"/>
    </row>
    <row r="15" spans="1:5">
      <c r="B15" s="14"/>
      <c r="C15" s="14"/>
      <c r="D15" s="14"/>
    </row>
    <row r="16" spans="1:5">
      <c r="B16" s="15"/>
      <c r="C16" s="15"/>
      <c r="D16" s="1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E7"/>
  <sheetViews>
    <sheetView workbookViewId="0">
      <selection activeCell="K2" sqref="K2"/>
    </sheetView>
  </sheetViews>
  <sheetFormatPr defaultColWidth="8.85546875" defaultRowHeight="15"/>
  <cols>
    <col min="1" max="1" width="15.28515625" customWidth="1"/>
    <col min="2" max="4" width="15.7109375" customWidth="1"/>
    <col min="5" max="5" width="19.7109375" customWidth="1"/>
  </cols>
  <sheetData>
    <row r="1" spans="1:5" ht="48">
      <c r="A1" s="7" t="s">
        <v>42</v>
      </c>
      <c r="B1" s="6" t="s">
        <v>43</v>
      </c>
      <c r="C1" s="6" t="s">
        <v>44</v>
      </c>
      <c r="D1" s="6" t="s">
        <v>45</v>
      </c>
      <c r="E1" s="6" t="s">
        <v>46</v>
      </c>
    </row>
    <row r="2" spans="1:5">
      <c r="A2" t="s">
        <v>47</v>
      </c>
      <c r="B2" s="4" t="e">
        <f>#REF!</f>
        <v>#REF!</v>
      </c>
      <c r="C2" t="e">
        <f>#REF!</f>
        <v>#REF!</v>
      </c>
      <c r="D2" s="4" t="e">
        <f>#REF!</f>
        <v>#REF!</v>
      </c>
      <c r="E2">
        <v>0</v>
      </c>
    </row>
    <row r="3" spans="1:5">
      <c r="A3" t="s">
        <v>48</v>
      </c>
      <c r="B3">
        <f>'Vehicle fleet by entity MEX'!N53</f>
        <v>7.9405047754427804E-3</v>
      </c>
      <c r="C3">
        <f>'Vehicle fleet by entity MEX'!M53</f>
        <v>1.4392487853607331E-2</v>
      </c>
      <c r="D3" s="14">
        <f>'Vehicle fleet by entity MEX'!L53</f>
        <v>0.97766700737094991</v>
      </c>
      <c r="E3">
        <v>0</v>
      </c>
    </row>
    <row r="4" spans="1:5">
      <c r="A4" t="s">
        <v>49</v>
      </c>
      <c r="B4" s="4" t="e">
        <f>#REF!</f>
        <v>#REF!</v>
      </c>
      <c r="C4" t="e">
        <f>#REF!</f>
        <v>#REF!</v>
      </c>
      <c r="D4" s="4" t="e">
        <f>#REF!</f>
        <v>#REF!</v>
      </c>
      <c r="E4">
        <v>0</v>
      </c>
    </row>
    <row r="5" spans="1:5">
      <c r="A5" t="s">
        <v>50</v>
      </c>
      <c r="B5" s="4" t="e">
        <f>#REF!</f>
        <v>#REF!</v>
      </c>
      <c r="C5" t="e">
        <f>#REF!</f>
        <v>#REF!</v>
      </c>
      <c r="D5" s="4" t="e">
        <f>#REF!</f>
        <v>#REF!</v>
      </c>
      <c r="E5">
        <v>0</v>
      </c>
    </row>
    <row r="6" spans="1:5">
      <c r="A6" t="s">
        <v>51</v>
      </c>
      <c r="B6" s="4" t="e">
        <f>#REF!</f>
        <v>#REF!</v>
      </c>
      <c r="C6" t="e">
        <f>#REF!</f>
        <v>#REF!</v>
      </c>
      <c r="D6" s="4" t="e">
        <f>#REF!</f>
        <v>#REF!</v>
      </c>
      <c r="E6">
        <v>0</v>
      </c>
    </row>
    <row r="7" spans="1:5">
      <c r="A7" t="s">
        <v>52</v>
      </c>
      <c r="B7" s="4" t="e">
        <f>#REF!</f>
        <v>#REF!</v>
      </c>
      <c r="C7" t="e">
        <f>#REF!</f>
        <v>#REF!</v>
      </c>
      <c r="D7" s="4" t="e">
        <f>#REF!</f>
        <v>#REF!</v>
      </c>
      <c r="E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423376-8F37-484B-B605-53A69993A367}"/>
</file>

<file path=customXml/itemProps2.xml><?xml version="1.0" encoding="utf-8"?>
<ds:datastoreItem xmlns:ds="http://schemas.openxmlformats.org/officeDocument/2006/customXml" ds:itemID="{ABB7F511-0FBB-414D-8118-1E47E9A9BAE2}"/>
</file>

<file path=customXml/itemProps3.xml><?xml version="1.0" encoding="utf-8"?>
<ds:datastoreItem xmlns:ds="http://schemas.openxmlformats.org/officeDocument/2006/customXml" ds:itemID="{94BE2795-7C9A-4010-B2B9-17B9E1C05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andrea.zafra@iniciativaclimatica.org</cp:lastModifiedBy>
  <cp:revision/>
  <dcterms:created xsi:type="dcterms:W3CDTF">2014-04-12T22:49:27Z</dcterms:created>
  <dcterms:modified xsi:type="dcterms:W3CDTF">2025-01-27T16:39:33Z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