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AVPC/"/>
    </mc:Choice>
  </mc:AlternateContent>
  <xr:revisionPtr revIDLastSave="0" documentId="13_ncr:1_{10B44015-09A5-164A-B75F-44BA3FBE624C}" xr6:coauthVersionLast="47" xr6:coauthVersionMax="47" xr10:uidLastSave="{00000000-0000-0000-0000-000000000000}"/>
  <bookViews>
    <workbookView xWindow="0" yWindow="500" windowWidth="23920" windowHeight="20500" activeTab="2" xr2:uid="{7A96142A-95FE-491D-9737-978D460925CE}"/>
  </bookViews>
  <sheets>
    <sheet name="About" sheetId="1" r:id="rId1"/>
    <sheet name="Data" sheetId="2" r:id="rId2"/>
    <sheet name="AVP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C9" i="2"/>
  <c r="F9" i="2"/>
  <c r="C4" i="2"/>
  <c r="H12" i="2" l="1"/>
  <c r="A9" i="2"/>
  <c r="F6" i="2"/>
  <c r="C5" i="2"/>
  <c r="F5" i="2" s="1"/>
  <c r="F4" i="2"/>
  <c r="F14" i="2" l="1"/>
  <c r="B2" i="3" s="1"/>
</calcChain>
</file>

<file path=xl/sharedStrings.xml><?xml version="1.0" encoding="utf-8"?>
<sst xmlns="http://schemas.openxmlformats.org/spreadsheetml/2006/main" count="42" uniqueCount="42">
  <si>
    <t>AVPC Annual Vehicle Parking Costs</t>
  </si>
  <si>
    <t>Source:</t>
  </si>
  <si>
    <t>Parking Costs in Major Cities</t>
  </si>
  <si>
    <t>DEPRISA</t>
  </si>
  <si>
    <t>Mainstream commercial parking lot operator</t>
  </si>
  <si>
    <t>https://deprisa.com.mx/tarifas/</t>
  </si>
  <si>
    <t>Parkmeter system</t>
  </si>
  <si>
    <t>ECOPARQ</t>
  </si>
  <si>
    <t>Parkmeter concession in Mexico City</t>
  </si>
  <si>
    <t>https://www.ecoparq.cdmx.gob.mx/preguntasfrecuentes/preguntas-frecuentes</t>
  </si>
  <si>
    <t>Notes</t>
  </si>
  <si>
    <t>Conversion Factor</t>
  </si>
  <si>
    <t>2019 to 2012 USD</t>
  </si>
  <si>
    <t>Simple average</t>
  </si>
  <si>
    <t>unit</t>
  </si>
  <si>
    <t>Assumption</t>
  </si>
  <si>
    <t>yearly cost</t>
  </si>
  <si>
    <t>$/hr</t>
  </si>
  <si>
    <t>of vehicles 5h week</t>
  </si>
  <si>
    <t>$/day</t>
  </si>
  <si>
    <t>of vehicles 5d week</t>
  </si>
  <si>
    <t>monthly</t>
  </si>
  <si>
    <t>of vehicles require it</t>
  </si>
  <si>
    <t>15 min</t>
  </si>
  <si>
    <t>of vehicles 10h week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</si>
  <si>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</si>
  <si>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</si>
  <si>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</si>
  <si>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</si>
  <si>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</si>
  <si>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</si>
  <si>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</si>
  <si>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</si>
  <si>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</si>
  <si>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2020 to 2012 USD</t>
  </si>
  <si>
    <t>2021 to 2012 USD</t>
  </si>
  <si>
    <t>2022 to 2012 USD</t>
  </si>
  <si>
    <t>MXN/USD FIX</t>
  </si>
  <si>
    <t>2022 mxn/usd</t>
  </si>
  <si>
    <t>Parkmeters</t>
  </si>
  <si>
    <t>2022 usd / yr</t>
  </si>
  <si>
    <t>2022 MXN/yr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</si>
</sst>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0.0"/>
    <numFmt numFmtId="166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3" fillId="0" borderId="0" xfId="2"/>
    <xf numFmtId="0" fontId="1" fillId="2" borderId="0" xfId="2" applyFont="1" applyFill="1"/>
    <xf numFmtId="0" fontId="3" fillId="0" borderId="0" xfId="2" applyAlignment="1">
      <alignment horizontal="left"/>
    </xf>
    <xf numFmtId="0" fontId="2" fillId="0" borderId="0" xfId="3"/>
    <xf numFmtId="164" fontId="0" fillId="0" borderId="0" xfId="0" applyNumberFormat="1"/>
    <xf numFmtId="43" fontId="0" fillId="0" borderId="0" xfId="4" applyFont="1"/>
    <xf numFmtId="0" fontId="3" fillId="3" borderId="0" xfId="2" applyFill="1"/>
    <xf numFmtId="9" fontId="3" fillId="3" borderId="0" xfId="1" applyFont="1" applyFill="1"/>
    <xf numFmtId="9" fontId="3" fillId="0" borderId="0" xfId="1" applyFont="1"/>
    <xf numFmtId="0" fontId="1" fillId="0" borderId="0" xfId="2" applyFont="1"/>
    <xf numFmtId="1" fontId="3" fillId="0" borderId="0" xfId="2" applyNumberFormat="1"/>
    <xf numFmtId="0" fontId="3" fillId="4" borderId="0" xfId="2" applyFill="1"/>
    <xf numFmtId="166" fontId="5" fillId="4" borderId="0" xfId="5" applyNumberFormat="1" applyFont="1" applyFill="1"/>
    <xf numFmtId="8" fontId="3" fillId="3" borderId="0" xfId="2" applyNumberFormat="1" applyFill="1"/>
  </cellXfs>
  <cellStyles count="6">
    <cellStyle name="Comma" xfId="5" builtinId="3"/>
    <cellStyle name="Comma 2" xfId="4" xr:uid="{16EF4BDC-FB9F-4AA5-88EE-16EAB594B4A6}"/>
    <cellStyle name="Hyperlink 2" xfId="3" xr:uid="{98B60151-2F4B-40AD-8582-E6A7B877B213}"/>
    <cellStyle name="Normal" xfId="0" builtinId="0"/>
    <cellStyle name="Normal 2" xfId="2" xr:uid="{EC07640B-12C8-4008-870A-6D1CF064243E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prisa.com.mx/tarif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C504-1517-4439-8CB6-64CD86FC1AAC}">
  <dimension ref="A1:E23"/>
  <sheetViews>
    <sheetView workbookViewId="0">
      <selection activeCell="D19" sqref="D19"/>
    </sheetView>
  </sheetViews>
  <sheetFormatPr baseColWidth="10" defaultColWidth="8.83203125" defaultRowHeight="15" x14ac:dyDescent="0.2"/>
  <cols>
    <col min="2" max="2" width="29.1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6" t="s">
        <v>2</v>
      </c>
    </row>
    <row r="4" spans="1:2" x14ac:dyDescent="0.2">
      <c r="B4" s="5" t="s">
        <v>3</v>
      </c>
    </row>
    <row r="5" spans="1:2" x14ac:dyDescent="0.2">
      <c r="B5" s="7">
        <v>2022</v>
      </c>
    </row>
    <row r="6" spans="1:2" x14ac:dyDescent="0.2">
      <c r="B6" s="5" t="s">
        <v>4</v>
      </c>
    </row>
    <row r="7" spans="1:2" x14ac:dyDescent="0.2">
      <c r="B7" s="8" t="s">
        <v>5</v>
      </c>
    </row>
    <row r="8" spans="1:2" x14ac:dyDescent="0.2">
      <c r="B8" s="5"/>
    </row>
    <row r="9" spans="1:2" x14ac:dyDescent="0.2">
      <c r="B9" s="6" t="s">
        <v>6</v>
      </c>
    </row>
    <row r="10" spans="1:2" x14ac:dyDescent="0.2">
      <c r="B10" s="5" t="s">
        <v>7</v>
      </c>
    </row>
    <row r="11" spans="1:2" x14ac:dyDescent="0.2">
      <c r="B11" s="7">
        <v>2022</v>
      </c>
    </row>
    <row r="12" spans="1:2" x14ac:dyDescent="0.2">
      <c r="B12" s="5" t="s">
        <v>8</v>
      </c>
    </row>
    <row r="13" spans="1:2" x14ac:dyDescent="0.2">
      <c r="B13" s="8" t="s">
        <v>9</v>
      </c>
    </row>
    <row r="15" spans="1:2" x14ac:dyDescent="0.2">
      <c r="A15" s="1" t="s">
        <v>10</v>
      </c>
    </row>
    <row r="17" spans="1:5" x14ac:dyDescent="0.2">
      <c r="A17" s="1" t="s">
        <v>11</v>
      </c>
      <c r="D17" s="1" t="s">
        <v>37</v>
      </c>
    </row>
    <row r="19" spans="1:5" x14ac:dyDescent="0.2">
      <c r="A19" s="5">
        <v>0.89805481563188172</v>
      </c>
      <c r="B19" s="5" t="s">
        <v>12</v>
      </c>
      <c r="D19" s="16">
        <v>2019</v>
      </c>
      <c r="E19" s="17">
        <v>19.261770410958889</v>
      </c>
    </row>
    <row r="20" spans="1:5" x14ac:dyDescent="0.2">
      <c r="A20">
        <v>0.88711067149387013</v>
      </c>
      <c r="B20" s="5" t="s">
        <v>34</v>
      </c>
      <c r="D20" s="16">
        <v>2020</v>
      </c>
      <c r="E20" s="17">
        <v>21.496090163934426</v>
      </c>
    </row>
    <row r="21" spans="1:5" x14ac:dyDescent="0.2">
      <c r="A21">
        <v>0.84730412960844359</v>
      </c>
      <c r="B21" s="5" t="s">
        <v>35</v>
      </c>
      <c r="D21" s="16">
        <v>2021</v>
      </c>
      <c r="E21" s="17">
        <v>20.281794246575341</v>
      </c>
    </row>
    <row r="22" spans="1:5" x14ac:dyDescent="0.2">
      <c r="A22">
        <v>0.78452102304761584</v>
      </c>
      <c r="B22" s="5" t="s">
        <v>36</v>
      </c>
      <c r="D22" s="16">
        <v>2022</v>
      </c>
      <c r="E22" s="17">
        <v>20.124999726027369</v>
      </c>
    </row>
    <row r="23" spans="1:5" x14ac:dyDescent="0.2">
      <c r="B23" s="5"/>
      <c r="D23" s="16">
        <v>2023</v>
      </c>
      <c r="E23" s="17">
        <v>17.762000273972614</v>
      </c>
    </row>
  </sheetData>
  <phoneticPr fontId="4" type="noConversion"/>
  <hyperlinks>
    <hyperlink ref="B7" r:id="rId1" xr:uid="{DDB9B43F-5E96-429F-91B6-C7F406976B7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AD45-8CD8-474E-BA40-724705BC176E}">
  <dimension ref="A1:H14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21.6640625" customWidth="1"/>
    <col min="2" max="2" width="15.83203125" customWidth="1"/>
    <col min="3" max="3" width="13.83203125" customWidth="1"/>
    <col min="4" max="4" width="12.1640625" customWidth="1"/>
    <col min="6" max="6" width="12.33203125" bestFit="1" customWidth="1"/>
  </cols>
  <sheetData>
    <row r="1" spans="1:8" x14ac:dyDescent="0.2">
      <c r="A1" s="5"/>
      <c r="B1" s="5"/>
      <c r="C1" s="5"/>
      <c r="D1" s="5"/>
      <c r="E1" s="5"/>
    </row>
    <row r="2" spans="1:8" x14ac:dyDescent="0.2">
      <c r="A2" s="5"/>
      <c r="B2" s="5"/>
      <c r="C2" s="5"/>
      <c r="D2" s="5"/>
      <c r="E2" s="5"/>
    </row>
    <row r="3" spans="1:8" x14ac:dyDescent="0.2">
      <c r="A3" s="5" t="s">
        <v>13</v>
      </c>
      <c r="B3" s="5"/>
      <c r="C3" s="5" t="s">
        <v>14</v>
      </c>
      <c r="D3" s="5" t="s">
        <v>15</v>
      </c>
      <c r="E3" s="5"/>
      <c r="F3" s="5" t="s">
        <v>16</v>
      </c>
      <c r="G3" s="5"/>
      <c r="H3" s="5"/>
    </row>
    <row r="4" spans="1:8" x14ac:dyDescent="0.2">
      <c r="A4" s="11">
        <v>32</v>
      </c>
      <c r="B4" s="5" t="s">
        <v>17</v>
      </c>
      <c r="C4" s="11">
        <f>5*52</f>
        <v>260</v>
      </c>
      <c r="D4" s="12">
        <v>0.4</v>
      </c>
      <c r="E4" s="5" t="s">
        <v>18</v>
      </c>
      <c r="F4" s="5">
        <f>A4*C4*D4</f>
        <v>3328</v>
      </c>
      <c r="G4" s="5"/>
      <c r="H4" s="5"/>
    </row>
    <row r="5" spans="1:8" x14ac:dyDescent="0.2">
      <c r="A5" s="11">
        <v>120</v>
      </c>
      <c r="B5" s="5" t="s">
        <v>19</v>
      </c>
      <c r="C5" s="11">
        <f>5*52</f>
        <v>260</v>
      </c>
      <c r="D5" s="12">
        <v>0.2</v>
      </c>
      <c r="E5" s="5" t="s">
        <v>20</v>
      </c>
      <c r="F5" s="5">
        <f>A5*C5*D5</f>
        <v>6240</v>
      </c>
      <c r="G5" s="5"/>
      <c r="H5" s="5"/>
    </row>
    <row r="6" spans="1:8" x14ac:dyDescent="0.2">
      <c r="A6" s="11">
        <v>1200</v>
      </c>
      <c r="B6" s="5" t="s">
        <v>21</v>
      </c>
      <c r="C6" s="11">
        <v>12</v>
      </c>
      <c r="D6" s="12">
        <v>0.2</v>
      </c>
      <c r="E6" s="5" t="s">
        <v>22</v>
      </c>
      <c r="F6" s="5">
        <f>A6*C6*D6</f>
        <v>2880</v>
      </c>
      <c r="G6" s="5"/>
      <c r="H6" s="5"/>
    </row>
    <row r="7" spans="1:8" x14ac:dyDescent="0.2">
      <c r="A7" s="5"/>
      <c r="B7" s="5"/>
      <c r="C7" s="5"/>
      <c r="D7" s="13"/>
      <c r="E7" s="5"/>
      <c r="F7" s="5"/>
      <c r="G7" s="5"/>
      <c r="H7" s="5"/>
    </row>
    <row r="8" spans="1:8" x14ac:dyDescent="0.2">
      <c r="A8" s="5" t="s">
        <v>39</v>
      </c>
      <c r="B8" s="5"/>
      <c r="C8" s="5"/>
      <c r="D8" s="13"/>
      <c r="E8" s="5"/>
      <c r="F8" s="5"/>
      <c r="G8" s="5"/>
      <c r="H8" s="5"/>
    </row>
    <row r="9" spans="1:8" x14ac:dyDescent="0.2">
      <c r="A9" s="11">
        <f>2.8</f>
        <v>2.8</v>
      </c>
      <c r="B9" s="5" t="s">
        <v>23</v>
      </c>
      <c r="C9" s="11">
        <f>4*2*52</f>
        <v>416</v>
      </c>
      <c r="D9" s="12">
        <v>0.2</v>
      </c>
      <c r="E9" s="5" t="s">
        <v>24</v>
      </c>
      <c r="F9" s="5">
        <f>A9*C9*D9</f>
        <v>232.96</v>
      </c>
      <c r="G9" s="5"/>
      <c r="H9" s="5"/>
    </row>
    <row r="10" spans="1:8" x14ac:dyDescent="0.2">
      <c r="D10" s="9"/>
    </row>
    <row r="11" spans="1:8" x14ac:dyDescent="0.2">
      <c r="D11" s="9"/>
      <c r="F11" s="14" t="s">
        <v>41</v>
      </c>
      <c r="G11" s="14"/>
      <c r="H11" s="14" t="s">
        <v>38</v>
      </c>
    </row>
    <row r="12" spans="1:8" x14ac:dyDescent="0.2">
      <c r="B12" s="2"/>
      <c r="F12" s="10">
        <f>SUM(F4:F9)</f>
        <v>12680.96</v>
      </c>
      <c r="G12" s="5"/>
      <c r="H12" s="18">
        <f>About!E22</f>
        <v>20.124999726027369</v>
      </c>
    </row>
    <row r="13" spans="1:8" x14ac:dyDescent="0.2">
      <c r="F13" s="14" t="s">
        <v>40</v>
      </c>
    </row>
    <row r="14" spans="1:8" x14ac:dyDescent="0.2">
      <c r="F14" s="5">
        <f>Data!F12/Data!H12</f>
        <v>630.1098222426258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9708-A25B-41AB-AA9C-1989F8E7A4A1}">
  <sheetPr>
    <tabColor theme="4" tint="-0.249977111117893"/>
  </sheetPr>
  <dimension ref="A1:C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8" customWidth="1"/>
    <col min="2" max="3" width="13.5" customWidth="1"/>
  </cols>
  <sheetData>
    <row r="1" spans="1:3" ht="16" x14ac:dyDescent="0.2">
      <c r="A1" s="3" t="s">
        <v>25</v>
      </c>
      <c r="B1" s="4" t="s">
        <v>26</v>
      </c>
      <c r="C1" s="4" t="s">
        <v>27</v>
      </c>
    </row>
    <row r="2" spans="1:3" x14ac:dyDescent="0.2">
      <c r="A2" s="1" t="s">
        <v>28</v>
      </c>
      <c r="B2" s="15">
        <f>Data!F14*About!A22</f>
        <v>494.33440237813613</v>
      </c>
      <c r="C2" s="2">
        <v>0</v>
      </c>
    </row>
    <row r="3" spans="1:3" x14ac:dyDescent="0.2">
      <c r="A3" s="1" t="s">
        <v>29</v>
      </c>
      <c r="B3" s="2">
        <v>0</v>
      </c>
      <c r="C3" s="2">
        <v>0</v>
      </c>
    </row>
    <row r="4" spans="1:3" x14ac:dyDescent="0.2">
      <c r="A4" s="1" t="s">
        <v>30</v>
      </c>
      <c r="B4">
        <v>0</v>
      </c>
      <c r="C4">
        <v>0</v>
      </c>
    </row>
    <row r="5" spans="1:3" x14ac:dyDescent="0.2">
      <c r="A5" s="1" t="s">
        <v>31</v>
      </c>
      <c r="B5">
        <v>0</v>
      </c>
      <c r="C5">
        <v>0</v>
      </c>
    </row>
    <row r="6" spans="1:3" x14ac:dyDescent="0.2">
      <c r="A6" s="1" t="s">
        <v>32</v>
      </c>
      <c r="B6">
        <v>0</v>
      </c>
      <c r="C6">
        <v>0</v>
      </c>
    </row>
    <row r="7" spans="1:3" x14ac:dyDescent="0.2">
      <c r="A7" s="1" t="s">
        <v>33</v>
      </c>
      <c r="B7" s="2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AC1C1-42A7-40F7-B68E-BCD3B8B14A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430920-531B-4DCD-8F21-6DA09BFBC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D33DB-0ADE-4496-A16A-B2BD143333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>Updated for Mexico by Fernando Olea, March2025</dc:description>
  <cp:lastModifiedBy>Fernando Olea</cp:lastModifiedBy>
  <cp:revision/>
  <dcterms:created xsi:type="dcterms:W3CDTF">2021-12-15T01:50:54Z</dcterms:created>
  <dcterms:modified xsi:type="dcterms:W3CDTF">2025-03-18T03:41:39Z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