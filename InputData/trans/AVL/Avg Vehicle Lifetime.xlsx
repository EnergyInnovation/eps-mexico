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AVL\"/>
    </mc:Choice>
  </mc:AlternateContent>
  <xr:revisionPtr revIDLastSave="0" documentId="13_ncr:1_{50C37A33-48BF-4150-A47B-A1497ADB5318}" xr6:coauthVersionLast="47" xr6:coauthVersionMax="47" xr10:uidLastSave="{00000000-0000-0000-0000-000000000000}"/>
  <bookViews>
    <workbookView xWindow="-120" yWindow="-120" windowWidth="29040" windowHeight="17520" firstSheet="3" activeTab="11" xr2:uid="{00000000-000D-0000-FFFF-FFFF00000000}"/>
  </bookViews>
  <sheets>
    <sheet name="About" sheetId="9" r:id="rId1"/>
    <sheet name="Mexico Road Fleet" sheetId="20" r:id="rId2"/>
    <sheet name="Mexico AirFleet" sheetId="21" r:id="rId3"/>
    <sheet name="Table_38._Light-Duty_Vehicle_Sa" sheetId="13" r:id="rId4"/>
    <sheet name="Table 44" sheetId="18" r:id="rId5"/>
    <sheet name="Table 45" sheetId="19" r:id="rId6"/>
    <sheet name="Table 49" sheetId="17" r:id="rId7"/>
    <sheet name="Sheet1" sheetId="12" r:id="rId8"/>
    <sheet name="NTS 1-20" sheetId="11" r:id="rId9"/>
    <sheet name="Calculations" sheetId="2" r:id="rId10"/>
    <sheet name="Freight and Buses" sheetId="16" r:id="rId11"/>
    <sheet name="AVL" sheetId="10" r:id="rId12"/>
  </sheets>
  <definedNames>
    <definedName name="__10__123Graph_LBL_BGRAFICO_2" hidden="1">#REF!</definedName>
    <definedName name="__11__123Graph_XGRAFICO_1" hidden="1">#REF!</definedName>
    <definedName name="__12__123Graph_XGRAFICO_2" hidden="1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3__123Graph_AGRAFICO_1" hidden="1">#REF!</definedName>
    <definedName name="__4__123Graph_AGRAFICO_2" hidden="1">#REF!</definedName>
    <definedName name="__5__123Graph_BGRAFICO_1" hidden="1">#REF!</definedName>
    <definedName name="__6__123Graph_BGRAFICO_2" hidden="1">#REF!</definedName>
    <definedName name="__7__123Graph_LBL_AGRAFICO_1" hidden="1">#REF!</definedName>
    <definedName name="__8__123Graph_LBL_AGRAFICO_2" hidden="1">#REF!</definedName>
    <definedName name="__9__123Graph_LBL_BGRAFICO_1" hidden="1">#REF!</definedName>
    <definedName name="__g3" hidden="1">{"'Control de Gestión'!$A$2:$N$39"}</definedName>
    <definedName name="_1__123Graph_AGRAFICO_1" hidden="1">#REF!</definedName>
    <definedName name="_10__123Graph_AGRAFICO_2" hidden="1">#REF!</definedName>
    <definedName name="_10__123Graph_LBL_AGRAFICO_1" hidden="1">#REF!</definedName>
    <definedName name="_10__123Graph_LBL_AGRAFICO_2" hidden="1">#REF!</definedName>
    <definedName name="_10__123Graph_LBL_BGRAFICO_2" hidden="1">#REF!</definedName>
    <definedName name="_10__123Graph_XGRAFICO_2" hidden="1">#REF!</definedName>
    <definedName name="_11__123Graph_AGRAFICO_1" hidden="1">#REF!</definedName>
    <definedName name="_11__123Graph_BGRAFICO_1" hidden="1">#REF!</definedName>
    <definedName name="_11__123Graph_LBL_BGRAFICO_1" hidden="1">#REF!</definedName>
    <definedName name="_11__123Graph_XGRAFICO_1" hidden="1">#REF!</definedName>
    <definedName name="_12__123Graph_AGRAFICO_2" hidden="1">#REF!</definedName>
    <definedName name="_12__123Graph_BGRAFICO_2" hidden="1">#REF!</definedName>
    <definedName name="_12__123Graph_LBL_AGRAFICO_2" hidden="1">#REF!</definedName>
    <definedName name="_12__123Graph_LBL_BGRAFICO_2" hidden="1">#REF!</definedName>
    <definedName name="_12__123Graph_XGRAFICO_2" hidden="1">#REF!</definedName>
    <definedName name="_13__123Graph_BGRAFICO_1" hidden="1">#REF!</definedName>
    <definedName name="_13__123Graph_LBL_AGRAFICO_1" hidden="1">#REF!</definedName>
    <definedName name="_13__123Graph_XGRAFICO_1" hidden="1">#REF!</definedName>
    <definedName name="_14__123Graph_BGRAFICO_2" hidden="1">#REF!</definedName>
    <definedName name="_14__123Graph_LBL_AGRAFICO_2" hidden="1">#REF!</definedName>
    <definedName name="_14__123Graph_LBL_BGRAFICO_1" hidden="1">#REF!</definedName>
    <definedName name="_14__123Graph_XGRAFICO_2" hidden="1">#REF!</definedName>
    <definedName name="_15__123Graph_LBL_AGRAFICO_1" hidden="1">#REF!</definedName>
    <definedName name="_15__123Graph_LBL_BGRAFICO_1" hidden="1">#REF!</definedName>
    <definedName name="_16__123Graph_LBL_AGRAFICO_2" hidden="1">#REF!</definedName>
    <definedName name="_16__123Graph_LBL_BGRAFICO_2" hidden="1">#REF!</definedName>
    <definedName name="_17__123Graph_LBL_BGRAFICO_1" hidden="1">#REF!</definedName>
    <definedName name="_17__123Graph_XGRAFICO_1" hidden="1">#REF!</definedName>
    <definedName name="_18__123Graph_LBL_AGRAFICO_2" hidden="1">#REF!</definedName>
    <definedName name="_18__123Graph_LBL_BGRAFICO_2" hidden="1">#REF!</definedName>
    <definedName name="_18__123Graph_XGRAFICO_1" hidden="1">#REF!</definedName>
    <definedName name="_18__123Graph_XGRAFICO_2" hidden="1">#REF!</definedName>
    <definedName name="_19__123Graph_XGRAFICO_1" hidden="1">#REF!</definedName>
    <definedName name="_2__123Graph_AGRAFICO_1" hidden="1">#REF!</definedName>
    <definedName name="_2__123Graph_AGRAFICO_2" hidden="1">#REF!</definedName>
    <definedName name="_20__123Graph_XGRAFICO_2" hidden="1">#REF!</definedName>
    <definedName name="_21__123Graph_LBL_BGRAFICO_1" hidden="1">#REF!</definedName>
    <definedName name="_24__123Graph_LBL_BGRAFICO_2" hidden="1">#REF!</definedName>
    <definedName name="_27__123Graph_XGRAFICO_1" hidden="1">#REF!</definedName>
    <definedName name="_3__123Graph_AGRAFICO_1" hidden="1">#REF!</definedName>
    <definedName name="_3__123Graph_BGRAFICO_1" hidden="1">#REF!</definedName>
    <definedName name="_30__123Graph_XGRAFICO_2" hidden="1">#REF!</definedName>
    <definedName name="_4__123Graph_AGRAFICO_2" hidden="1">#REF!</definedName>
    <definedName name="_4__123Graph_BGRAFICO_2" hidden="1">#REF!</definedName>
    <definedName name="_5__123Graph_AGRAFICO_1" hidden="1">#REF!</definedName>
    <definedName name="_5__123Graph_BGRAFICO_1" hidden="1">#REF!</definedName>
    <definedName name="_5__123Graph_LBL_AGRAFICO_1" hidden="1">#REF!</definedName>
    <definedName name="_6__123Graph_AGRAFICO_2" hidden="1">#REF!</definedName>
    <definedName name="_6__123Graph_BGRAFICO_1" hidden="1">#REF!</definedName>
    <definedName name="_6__123Graph_BGRAFICO_2" hidden="1">#REF!</definedName>
    <definedName name="_6__123Graph_LBL_AGRAFICO_2" hidden="1">#REF!</definedName>
    <definedName name="_7__123Graph_BGRAFICO_1" hidden="1">#REF!</definedName>
    <definedName name="_7__123Graph_LBL_AGRAFICO_1" hidden="1">#REF!</definedName>
    <definedName name="_7__123Graph_LBL_BGRAFICO_1" hidden="1">#REF!</definedName>
    <definedName name="_8__123Graph_BGRAFICO_2" hidden="1">#REF!</definedName>
    <definedName name="_8__123Graph_LBL_AGRAFICO_2" hidden="1">#REF!</definedName>
    <definedName name="_8__123Graph_LBL_BGRAFICO_2" hidden="1">#REF!</definedName>
    <definedName name="_9__123Graph_AGRAFICO_1" hidden="1">#REF!</definedName>
    <definedName name="_9__123Graph_BGRAFICO_1" hidden="1">#REF!</definedName>
    <definedName name="_9__123Graph_LBL_AGRAFICO_1" hidden="1">#REF!</definedName>
    <definedName name="_9__123Graph_LBL_BGRAFICO_1" hidden="1">#REF!</definedName>
    <definedName name="_9__123Graph_XGRAFICO_1" hidden="1">#REF!</definedName>
    <definedName name="_Fill" hidden="1">#REF!</definedName>
    <definedName name="_g3" hidden="1">{"'Control de Gestión'!$A$2:$N$39"}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a" hidden="1">{"'Control de Gestión'!$A$2:$N$39"}</definedName>
    <definedName name="BARRILES">6.28982</definedName>
    <definedName name="calorcarbonII">5164.3</definedName>
    <definedName name="calordiesel">9243.22</definedName>
    <definedName name="Calorgas">8967.6</definedName>
    <definedName name="calorpeta">6389.256</definedName>
    <definedName name="calorrio">3900.6</definedName>
    <definedName name="calorvacio">13700</definedName>
    <definedName name="copia" hidden="1">{"'Control de Gestión'!$A$2:$N$39"}</definedName>
    <definedName name="copia_" hidden="1">{"'Control de Gestión'!$A$2:$N$39"}</definedName>
    <definedName name="copia_1" hidden="1">{"'Control de Gestión'!$A$2:$N$39"}</definedName>
    <definedName name="copia_1_" hidden="1">{"'Control de Gestión'!$A$2:$N$39"}</definedName>
    <definedName name="copia_1_1" hidden="1">{"'Control de Gestión'!$A$2:$N$39"}</definedName>
    <definedName name="copia_2" hidden="1">{"'Control de Gestión'!$A$2:$N$39"}</definedName>
    <definedName name="copia_2_1" hidden="1">{"'Control de Gestión'!$A$2:$N$39"}</definedName>
    <definedName name="copia_3" hidden="1">{"'Control de Gestión'!$A$2:$N$39"}</definedName>
    <definedName name="copia_3_1" hidden="1">{"'Control de Gestión'!$A$2:$N$39"}</definedName>
    <definedName name="copia_4" hidden="1">{"'Control de Gestión'!$A$2:$N$39"}</definedName>
    <definedName name="copias" hidden="1">{"'Control de Gestión'!$A$2:$N$39"}</definedName>
    <definedName name="copias2" hidden="1">{"'Control de Gestión'!$A$2:$N$39"}</definedName>
    <definedName name="copias21" hidden="1">{"'Control de Gestión'!$A$2:$N$39"}</definedName>
    <definedName name="copias31" hidden="1">{"'Control de Gestión'!$A$2:$N$39"}</definedName>
    <definedName name="corr">1</definedName>
    <definedName name="Cuadro16sener" hidden="1">#REF!</definedName>
    <definedName name="d" hidden="1">#REF!</definedName>
    <definedName name="dada" hidden="1">{"'Control de Gestión'!$A$2:$N$39"}</definedName>
    <definedName name="Eno_TM">#REF!</definedName>
    <definedName name="Eno_Tons">#REF!</definedName>
    <definedName name="ft">35.31466</definedName>
    <definedName name="GWP">21</definedName>
    <definedName name="hoy" hidden="1">#REF!</definedName>
    <definedName name="HTML_CodePage" hidden="1">1252</definedName>
    <definedName name="HTML_Control" hidden="1">{"'Control de Gestión'!$A$2:$N$39"}</definedName>
    <definedName name="HTML_Control_1" hidden="1">{"'Control de Gestión'!$A$2:$N$39"}</definedName>
    <definedName name="HTML_Control_1_1" hidden="1">{"'Control de Gestión'!$A$2:$N$39"}</definedName>
    <definedName name="HTML_Control_2" hidden="1">{"'Control de Gestión'!$A$2:$N$39"}</definedName>
    <definedName name="HTML_Control_2_1" hidden="1">{"'Control de Gestión'!$A$2:$N$39"}</definedName>
    <definedName name="HTML_Control_3" hidden="1">{"'Control de Gestión'!$A$2:$N$39"}</definedName>
    <definedName name="HTML_Control_3_1" hidden="1">{"'Control de Gestión'!$A$2:$N$39"}</definedName>
    <definedName name="HTML_Control_4" hidden="1">{"'Control de Gestión'!$A$2:$N$39"}</definedName>
    <definedName name="HTML_Description" hidden="1">"CONSUMO DE COMBUSTIBLES"</definedName>
    <definedName name="HTML_Email" hidden="1">""</definedName>
    <definedName name="HTML_Header" hidden="1">"Control de Gestión"</definedName>
    <definedName name="HTML_LastUpdate" hidden="1">"21/10/99"</definedName>
    <definedName name="HTML_LineAfter" hidden="1">TRUE</definedName>
    <definedName name="HTML_LineBefore" hidden="1">TRUE</definedName>
    <definedName name="HTML_Name" hidden="1">"Claudio González Rodríguez."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"C:\UID\Com1.htm"</definedName>
    <definedName name="HTML_PathTemplate" hidden="1">"C:\UID\Com.htm"</definedName>
    <definedName name="HTML_Title" hidden="1">"Consumo de Combustibles"</definedName>
    <definedName name="HTML1" hidden="1">{"'Control de Gestión'!$A$2:$N$39"}</definedName>
    <definedName name="ifill" hidden="1">#REF!</definedName>
    <definedName name="ikey1" hidden="1">#REF!</definedName>
    <definedName name="ikey2" hidden="1">#REF!</definedName>
    <definedName name="isort" hidden="1">#REF!</definedName>
    <definedName name="iva">1.15</definedName>
    <definedName name="joules">4186.8402</definedName>
    <definedName name="litros">158.987</definedName>
    <definedName name="NTS_YR">#REF!</definedName>
    <definedName name="ret" hidden="1">{"'Control de Gestión'!$A$2:$N$39"}</definedName>
    <definedName name="sdfds" hidden="1">#REF!</definedName>
    <definedName name="sfs" hidden="1">#REF!</definedName>
    <definedName name="Sum_T2">#REF!</definedName>
    <definedName name="Sum_TTM">#REF!</definedName>
    <definedName name="ti_tbl_50">#REF!</definedName>
    <definedName name="ti_tbl_69">#REF!</definedName>
    <definedName name="tonelada">907.185</definedName>
    <definedName name="u" hidden="1">{"'Control de Gestión'!$A$2:$N$39"}</definedName>
    <definedName name="xx" hidden="1">{"'Control de Gestión'!$A$2:$N$39"}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0" l="1"/>
  <c r="B4" i="10"/>
  <c r="B30" i="21"/>
  <c r="B3" i="10"/>
  <c r="B2" i="10"/>
  <c r="BA246" i="20"/>
  <c r="BA245" i="20"/>
  <c r="BA244" i="20"/>
  <c r="BA243" i="20"/>
  <c r="BA242" i="20"/>
  <c r="BA241" i="20"/>
  <c r="BA240" i="20"/>
  <c r="BA239" i="20"/>
  <c r="BA238" i="20"/>
  <c r="BA237" i="20"/>
  <c r="BA236" i="20"/>
  <c r="BA235" i="20"/>
  <c r="BA234" i="20"/>
  <c r="BA233" i="20"/>
  <c r="BA232" i="20"/>
  <c r="BA231" i="20"/>
  <c r="AG231" i="20"/>
  <c r="BA230" i="20"/>
  <c r="BA229" i="20"/>
  <c r="BA228" i="20"/>
  <c r="BA227" i="20"/>
  <c r="BA226" i="20"/>
  <c r="BA225" i="20"/>
  <c r="BA224" i="20"/>
  <c r="BA223" i="20"/>
  <c r="BA222" i="20"/>
  <c r="BA221" i="20"/>
  <c r="BA220" i="20"/>
  <c r="BA219" i="20"/>
  <c r="BA218" i="20"/>
  <c r="BA217" i="20"/>
  <c r="BA216" i="20"/>
  <c r="BA215" i="20"/>
  <c r="AP215" i="20"/>
  <c r="Y215" i="20"/>
  <c r="S215" i="20"/>
  <c r="BA214" i="20"/>
  <c r="AM214" i="20"/>
  <c r="AL214" i="20"/>
  <c r="BA213" i="20"/>
  <c r="BA212" i="20"/>
  <c r="BA211" i="20"/>
  <c r="I207" i="20"/>
  <c r="G205" i="20"/>
  <c r="BA201" i="20"/>
  <c r="C201" i="20"/>
  <c r="BV195" i="20"/>
  <c r="BQ195" i="20"/>
  <c r="BL195" i="20"/>
  <c r="BH195" i="20"/>
  <c r="BI195" i="20" s="1"/>
  <c r="BG195" i="20"/>
  <c r="BC195" i="20"/>
  <c r="BB195" i="20"/>
  <c r="AW195" i="20"/>
  <c r="AR195" i="20"/>
  <c r="AM195" i="20"/>
  <c r="AH195" i="20"/>
  <c r="AC195" i="20"/>
  <c r="X195" i="20"/>
  <c r="AB206" i="20" s="1"/>
  <c r="S195" i="20"/>
  <c r="O195" i="20" s="1"/>
  <c r="N195" i="20"/>
  <c r="Y213" i="20" s="1"/>
  <c r="I195" i="20"/>
  <c r="D195" i="20"/>
  <c r="AO184" i="20"/>
  <c r="AO239" i="20" s="1"/>
  <c r="AN184" i="20"/>
  <c r="AN238" i="20" s="1"/>
  <c r="AM184" i="20"/>
  <c r="AM237" i="20" s="1"/>
  <c r="AL184" i="20"/>
  <c r="AL236" i="20" s="1"/>
  <c r="AK184" i="20"/>
  <c r="AK235" i="20" s="1"/>
  <c r="AJ184" i="20"/>
  <c r="AJ234" i="20" s="1"/>
  <c r="AI184" i="20"/>
  <c r="AI233" i="20" s="1"/>
  <c r="AH184" i="20"/>
  <c r="AH232" i="20" s="1"/>
  <c r="AG184" i="20"/>
  <c r="AF184" i="20"/>
  <c r="AF230" i="20" s="1"/>
  <c r="AE184" i="20"/>
  <c r="AE229" i="20" s="1"/>
  <c r="AD184" i="20"/>
  <c r="AD228" i="20" s="1"/>
  <c r="AC184" i="20"/>
  <c r="AC227" i="20" s="1"/>
  <c r="AB184" i="20"/>
  <c r="AB226" i="20" s="1"/>
  <c r="AA184" i="20"/>
  <c r="AA225" i="20" s="1"/>
  <c r="Z184" i="20"/>
  <c r="Z224" i="20" s="1"/>
  <c r="Y184" i="20"/>
  <c r="Y223" i="20" s="1"/>
  <c r="X184" i="20"/>
  <c r="X222" i="20" s="1"/>
  <c r="W184" i="20"/>
  <c r="W221" i="20" s="1"/>
  <c r="V184" i="20"/>
  <c r="V220" i="20" s="1"/>
  <c r="U184" i="20"/>
  <c r="U219" i="20" s="1"/>
  <c r="T184" i="20"/>
  <c r="T218" i="20" s="1"/>
  <c r="S184" i="20"/>
  <c r="S217" i="20" s="1"/>
  <c r="R184" i="20"/>
  <c r="R216" i="20" s="1"/>
  <c r="Q184" i="20"/>
  <c r="Q215" i="20" s="1"/>
  <c r="AQ215" i="20" s="1"/>
  <c r="P184" i="20"/>
  <c r="P214" i="20" s="1"/>
  <c r="O184" i="20"/>
  <c r="O213" i="20" s="1"/>
  <c r="N184" i="20"/>
  <c r="N212" i="20" s="1"/>
  <c r="M184" i="20"/>
  <c r="M211" i="20" s="1"/>
  <c r="L184" i="20"/>
  <c r="L210" i="20" s="1"/>
  <c r="K184" i="20"/>
  <c r="K209" i="20" s="1"/>
  <c r="J184" i="20"/>
  <c r="J208" i="20" s="1"/>
  <c r="I184" i="20"/>
  <c r="H184" i="20"/>
  <c r="H206" i="20" s="1"/>
  <c r="G184" i="20"/>
  <c r="F184" i="20"/>
  <c r="F204" i="20" s="1"/>
  <c r="E184" i="20"/>
  <c r="E203" i="20" s="1"/>
  <c r="D184" i="20"/>
  <c r="D202" i="20" s="1"/>
  <c r="AO183" i="20"/>
  <c r="AN183" i="20"/>
  <c r="G177" i="20"/>
  <c r="H177" i="20" s="1"/>
  <c r="F177" i="20"/>
  <c r="D176" i="20"/>
  <c r="BA166" i="20"/>
  <c r="BA165" i="20"/>
  <c r="BA164" i="20"/>
  <c r="BA163" i="20"/>
  <c r="BA162" i="20"/>
  <c r="BA161" i="20"/>
  <c r="BA160" i="20"/>
  <c r="BA159" i="20"/>
  <c r="BA158" i="20"/>
  <c r="BA157" i="20"/>
  <c r="BA156" i="20"/>
  <c r="BA155" i="20"/>
  <c r="BA154" i="20"/>
  <c r="BA153" i="20"/>
  <c r="BA152" i="20"/>
  <c r="BA151" i="20"/>
  <c r="BA150" i="20"/>
  <c r="BA149" i="20"/>
  <c r="BA148" i="20"/>
  <c r="BA147" i="20"/>
  <c r="BA146" i="20"/>
  <c r="BA145" i="20"/>
  <c r="BA144" i="20"/>
  <c r="BA143" i="20"/>
  <c r="BA142" i="20"/>
  <c r="BA141" i="20"/>
  <c r="BA140" i="20"/>
  <c r="BA139" i="20"/>
  <c r="BA138" i="20"/>
  <c r="BA137" i="20"/>
  <c r="AH137" i="20"/>
  <c r="BA136" i="20"/>
  <c r="T136" i="20"/>
  <c r="U136" i="20" s="1"/>
  <c r="V136" i="20" s="1"/>
  <c r="W136" i="20" s="1"/>
  <c r="X136" i="20" s="1"/>
  <c r="Y136" i="20" s="1"/>
  <c r="Z136" i="20" s="1"/>
  <c r="AA136" i="20" s="1"/>
  <c r="AB136" i="20" s="1"/>
  <c r="AC136" i="20" s="1"/>
  <c r="AD136" i="20" s="1"/>
  <c r="AE136" i="20" s="1"/>
  <c r="AF136" i="20" s="1"/>
  <c r="AG136" i="20" s="1"/>
  <c r="AH136" i="20" s="1"/>
  <c r="AI136" i="20" s="1"/>
  <c r="AJ136" i="20" s="1"/>
  <c r="AK136" i="20" s="1"/>
  <c r="AL136" i="20" s="1"/>
  <c r="AM136" i="20" s="1"/>
  <c r="AN136" i="20" s="1"/>
  <c r="AO136" i="20" s="1"/>
  <c r="AP136" i="20" s="1"/>
  <c r="AQ136" i="20" s="1"/>
  <c r="AR136" i="20" s="1"/>
  <c r="AS136" i="20" s="1"/>
  <c r="AT136" i="20" s="1"/>
  <c r="AU136" i="20" s="1"/>
  <c r="AV136" i="20" s="1"/>
  <c r="BD136" i="20" s="1"/>
  <c r="BA135" i="20"/>
  <c r="BA134" i="20"/>
  <c r="BA133" i="20"/>
  <c r="BA132" i="20"/>
  <c r="BA131" i="20"/>
  <c r="AI130" i="20"/>
  <c r="Y130" i="20"/>
  <c r="M130" i="20"/>
  <c r="K129" i="20"/>
  <c r="J128" i="20"/>
  <c r="K128" i="20" s="1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AA128" i="20" s="1"/>
  <c r="AB128" i="20" s="1"/>
  <c r="AC128" i="20" s="1"/>
  <c r="AD128" i="20" s="1"/>
  <c r="AE128" i="20" s="1"/>
  <c r="AF128" i="20" s="1"/>
  <c r="AG128" i="20" s="1"/>
  <c r="AH128" i="20" s="1"/>
  <c r="AI128" i="20" s="1"/>
  <c r="AJ128" i="20" s="1"/>
  <c r="AK128" i="20" s="1"/>
  <c r="AL128" i="20" s="1"/>
  <c r="AM128" i="20" s="1"/>
  <c r="AN128" i="20" s="1"/>
  <c r="AO128" i="20" s="1"/>
  <c r="AP128" i="20" s="1"/>
  <c r="AQ128" i="20" s="1"/>
  <c r="AR128" i="20" s="1"/>
  <c r="AS128" i="20" s="1"/>
  <c r="AT128" i="20" s="1"/>
  <c r="AU128" i="20" s="1"/>
  <c r="AV128" i="20" s="1"/>
  <c r="BD128" i="20" s="1"/>
  <c r="R125" i="20"/>
  <c r="J125" i="20"/>
  <c r="AU124" i="20"/>
  <c r="AM124" i="20"/>
  <c r="AE124" i="20"/>
  <c r="D122" i="20"/>
  <c r="BA121" i="20"/>
  <c r="C121" i="20"/>
  <c r="C120" i="20"/>
  <c r="AO114" i="20"/>
  <c r="AO159" i="20" s="1"/>
  <c r="AN114" i="20"/>
  <c r="AN158" i="20" s="1"/>
  <c r="AM114" i="20"/>
  <c r="AM157" i="20" s="1"/>
  <c r="AL114" i="20"/>
  <c r="AL156" i="20" s="1"/>
  <c r="AK114" i="20"/>
  <c r="AK155" i="20" s="1"/>
  <c r="AJ114" i="20"/>
  <c r="AJ154" i="20" s="1"/>
  <c r="AI114" i="20"/>
  <c r="AI153" i="20" s="1"/>
  <c r="AH114" i="20"/>
  <c r="AH152" i="20" s="1"/>
  <c r="AP152" i="20" s="1"/>
  <c r="AG114" i="20"/>
  <c r="AG151" i="20" s="1"/>
  <c r="AF114" i="20"/>
  <c r="AF150" i="20" s="1"/>
  <c r="AE114" i="20"/>
  <c r="AE149" i="20" s="1"/>
  <c r="AD114" i="20"/>
  <c r="AD148" i="20" s="1"/>
  <c r="AC114" i="20"/>
  <c r="AC147" i="20" s="1"/>
  <c r="AB114" i="20"/>
  <c r="AB146" i="20" s="1"/>
  <c r="AA114" i="20"/>
  <c r="AA145" i="20" s="1"/>
  <c r="Z114" i="20"/>
  <c r="Z144" i="20" s="1"/>
  <c r="Y114" i="20"/>
  <c r="Y143" i="20" s="1"/>
  <c r="X114" i="20"/>
  <c r="X142" i="20" s="1"/>
  <c r="W114" i="20"/>
  <c r="W141" i="20" s="1"/>
  <c r="V114" i="20"/>
  <c r="V140" i="20" s="1"/>
  <c r="U114" i="20"/>
  <c r="U139" i="20" s="1"/>
  <c r="T114" i="20"/>
  <c r="T138" i="20" s="1"/>
  <c r="S114" i="20"/>
  <c r="S137" i="20" s="1"/>
  <c r="AV137" i="20" s="1"/>
  <c r="BD137" i="20" s="1"/>
  <c r="BE137" i="20" s="1"/>
  <c r="R114" i="20"/>
  <c r="R136" i="20" s="1"/>
  <c r="S136" i="20" s="1"/>
  <c r="Q114" i="20"/>
  <c r="Q135" i="20" s="1"/>
  <c r="P114" i="20"/>
  <c r="P134" i="20" s="1"/>
  <c r="O114" i="20"/>
  <c r="O133" i="20" s="1"/>
  <c r="N114" i="20"/>
  <c r="N132" i="20" s="1"/>
  <c r="M114" i="20"/>
  <c r="M131" i="20" s="1"/>
  <c r="L114" i="20"/>
  <c r="L130" i="20" s="1"/>
  <c r="AS130" i="20" s="1"/>
  <c r="K114" i="20"/>
  <c r="J114" i="20"/>
  <c r="I114" i="20"/>
  <c r="I127" i="20" s="1"/>
  <c r="H114" i="20"/>
  <c r="H126" i="20" s="1"/>
  <c r="G114" i="20"/>
  <c r="G125" i="20" s="1"/>
  <c r="AH125" i="20" s="1"/>
  <c r="F114" i="20"/>
  <c r="F124" i="20" s="1"/>
  <c r="G124" i="20" s="1"/>
  <c r="E114" i="20"/>
  <c r="E123" i="20" s="1"/>
  <c r="D114" i="20"/>
  <c r="D106" i="20"/>
  <c r="D108" i="20" s="1"/>
  <c r="D109" i="20" s="1"/>
  <c r="BA101" i="20"/>
  <c r="BA100" i="20"/>
  <c r="BA99" i="20"/>
  <c r="BA98" i="20"/>
  <c r="BA97" i="20"/>
  <c r="BA96" i="20"/>
  <c r="BA95" i="20"/>
  <c r="BA94" i="20"/>
  <c r="BA93" i="20"/>
  <c r="BA92" i="20"/>
  <c r="BA91" i="20"/>
  <c r="BA90" i="20"/>
  <c r="BA89" i="20"/>
  <c r="AO89" i="20"/>
  <c r="BA88" i="20"/>
  <c r="BA87" i="20"/>
  <c r="BA86" i="20"/>
  <c r="BA85" i="20"/>
  <c r="BA84" i="20"/>
  <c r="BA83" i="20"/>
  <c r="BA82" i="20"/>
  <c r="BA81" i="20"/>
  <c r="BA80" i="20"/>
  <c r="BA79" i="20"/>
  <c r="Z79" i="20"/>
  <c r="BA78" i="20"/>
  <c r="BA77" i="20"/>
  <c r="BA76" i="20"/>
  <c r="BA75" i="20"/>
  <c r="AF75" i="20"/>
  <c r="BA74" i="20"/>
  <c r="AO74" i="20"/>
  <c r="BA73" i="20"/>
  <c r="BA72" i="20"/>
  <c r="BA71" i="20"/>
  <c r="V71" i="20"/>
  <c r="W71" i="20" s="1"/>
  <c r="X71" i="20" s="1"/>
  <c r="Y71" i="20" s="1"/>
  <c r="Z71" i="20" s="1"/>
  <c r="AA71" i="20" s="1"/>
  <c r="AB71" i="20" s="1"/>
  <c r="AC71" i="20" s="1"/>
  <c r="AD71" i="20" s="1"/>
  <c r="AE71" i="20" s="1"/>
  <c r="AF71" i="20" s="1"/>
  <c r="AG71" i="20" s="1"/>
  <c r="AH71" i="20" s="1"/>
  <c r="AI71" i="20" s="1"/>
  <c r="AJ71" i="20" s="1"/>
  <c r="AK71" i="20" s="1"/>
  <c r="AL71" i="20" s="1"/>
  <c r="AM71" i="20" s="1"/>
  <c r="AN71" i="20" s="1"/>
  <c r="AO71" i="20" s="1"/>
  <c r="AP71" i="20" s="1"/>
  <c r="AQ71" i="20" s="1"/>
  <c r="AR71" i="20" s="1"/>
  <c r="AS71" i="20" s="1"/>
  <c r="AT71" i="20" s="1"/>
  <c r="AU71" i="20" s="1"/>
  <c r="AV71" i="20" s="1"/>
  <c r="BA70" i="20"/>
  <c r="BA69" i="20"/>
  <c r="BA68" i="20"/>
  <c r="BA67" i="20"/>
  <c r="N67" i="20"/>
  <c r="BA66" i="20"/>
  <c r="M66" i="20"/>
  <c r="AT64" i="20"/>
  <c r="AE64" i="20"/>
  <c r="U64" i="20"/>
  <c r="P64" i="20"/>
  <c r="J63" i="20"/>
  <c r="K63" i="20" s="1"/>
  <c r="L63" i="20" s="1"/>
  <c r="M63" i="20" s="1"/>
  <c r="N63" i="20" s="1"/>
  <c r="O63" i="20" s="1"/>
  <c r="P63" i="20" s="1"/>
  <c r="Q63" i="20" s="1"/>
  <c r="R63" i="20" s="1"/>
  <c r="S63" i="20" s="1"/>
  <c r="T63" i="20" s="1"/>
  <c r="U63" i="20" s="1"/>
  <c r="V63" i="20" s="1"/>
  <c r="W63" i="20" s="1"/>
  <c r="X63" i="20" s="1"/>
  <c r="Y63" i="20" s="1"/>
  <c r="Z63" i="20" s="1"/>
  <c r="AA63" i="20" s="1"/>
  <c r="AB63" i="20" s="1"/>
  <c r="AC63" i="20" s="1"/>
  <c r="AD63" i="20" s="1"/>
  <c r="AE63" i="20" s="1"/>
  <c r="AF63" i="20" s="1"/>
  <c r="AG63" i="20" s="1"/>
  <c r="AH63" i="20" s="1"/>
  <c r="AI63" i="20" s="1"/>
  <c r="AJ63" i="20" s="1"/>
  <c r="AK63" i="20" s="1"/>
  <c r="AL63" i="20" s="1"/>
  <c r="AM63" i="20" s="1"/>
  <c r="AN63" i="20" s="1"/>
  <c r="AO63" i="20" s="1"/>
  <c r="AP63" i="20" s="1"/>
  <c r="AQ63" i="20" s="1"/>
  <c r="AR63" i="20" s="1"/>
  <c r="AS63" i="20" s="1"/>
  <c r="AT63" i="20" s="1"/>
  <c r="AU63" i="20" s="1"/>
  <c r="AV63" i="20" s="1"/>
  <c r="H61" i="20"/>
  <c r="F59" i="20"/>
  <c r="AO59" i="20" s="1"/>
  <c r="T58" i="20"/>
  <c r="E58" i="20"/>
  <c r="AR57" i="20"/>
  <c r="D57" i="20"/>
  <c r="BA56" i="20"/>
  <c r="AV56" i="20"/>
  <c r="AL56" i="20"/>
  <c r="W56" i="20"/>
  <c r="H56" i="20"/>
  <c r="C56" i="20"/>
  <c r="C55" i="20"/>
  <c r="AO53" i="20"/>
  <c r="AO94" i="20" s="1"/>
  <c r="AT94" i="20" s="1"/>
  <c r="AN53" i="20"/>
  <c r="AN93" i="20" s="1"/>
  <c r="AM53" i="20"/>
  <c r="AM92" i="20" s="1"/>
  <c r="AL53" i="20"/>
  <c r="AL91" i="20" s="1"/>
  <c r="AV91" i="20" s="1"/>
  <c r="AK53" i="20"/>
  <c r="AK90" i="20" s="1"/>
  <c r="AJ53" i="20"/>
  <c r="AJ89" i="20" s="1"/>
  <c r="AI53" i="20"/>
  <c r="AI88" i="20" s="1"/>
  <c r="AH53" i="20"/>
  <c r="AH87" i="20" s="1"/>
  <c r="AG53" i="20"/>
  <c r="AG86" i="20" s="1"/>
  <c r="AF53" i="20"/>
  <c r="AF85" i="20" s="1"/>
  <c r="AE53" i="20"/>
  <c r="AE84" i="20" s="1"/>
  <c r="AD53" i="20"/>
  <c r="AD83" i="20" s="1"/>
  <c r="AC53" i="20"/>
  <c r="AC82" i="20" s="1"/>
  <c r="AB53" i="20"/>
  <c r="AB81" i="20" s="1"/>
  <c r="AA53" i="20"/>
  <c r="AA80" i="20" s="1"/>
  <c r="Z53" i="20"/>
  <c r="Y53" i="20"/>
  <c r="Y78" i="20" s="1"/>
  <c r="X53" i="20"/>
  <c r="X77" i="20" s="1"/>
  <c r="W53" i="20"/>
  <c r="W76" i="20" s="1"/>
  <c r="V53" i="20"/>
  <c r="V75" i="20" s="1"/>
  <c r="U53" i="20"/>
  <c r="U74" i="20" s="1"/>
  <c r="Z74" i="20" s="1"/>
  <c r="T53" i="20"/>
  <c r="T73" i="20" s="1"/>
  <c r="AI73" i="20" s="1"/>
  <c r="S53" i="20"/>
  <c r="S72" i="20" s="1"/>
  <c r="R53" i="20"/>
  <c r="R71" i="20" s="1"/>
  <c r="S71" i="20" s="1"/>
  <c r="T71" i="20" s="1"/>
  <c r="U71" i="20" s="1"/>
  <c r="Q53" i="20"/>
  <c r="Q70" i="20" s="1"/>
  <c r="P53" i="20"/>
  <c r="P69" i="20" s="1"/>
  <c r="O53" i="20"/>
  <c r="O68" i="20" s="1"/>
  <c r="N53" i="20"/>
  <c r="M53" i="20"/>
  <c r="L53" i="20"/>
  <c r="L65" i="20" s="1"/>
  <c r="K53" i="20"/>
  <c r="K64" i="20" s="1"/>
  <c r="J53" i="20"/>
  <c r="I53" i="20"/>
  <c r="I62" i="20" s="1"/>
  <c r="H53" i="20"/>
  <c r="G53" i="20"/>
  <c r="G60" i="20" s="1"/>
  <c r="F53" i="20"/>
  <c r="E53" i="20"/>
  <c r="D53" i="20"/>
  <c r="BV40" i="20"/>
  <c r="BQ40" i="20"/>
  <c r="BM40" i="20" s="1"/>
  <c r="BN40" i="20"/>
  <c r="BO40" i="20" s="1"/>
  <c r="BP40" i="20" s="1"/>
  <c r="BL40" i="20"/>
  <c r="BG40" i="20"/>
  <c r="BB40" i="20"/>
  <c r="AX40" i="20"/>
  <c r="AY40" i="20" s="1"/>
  <c r="AZ40" i="20" s="1"/>
  <c r="BA40" i="20" s="1"/>
  <c r="AW40" i="20"/>
  <c r="AV121" i="20" s="1"/>
  <c r="AR40" i="20"/>
  <c r="AM40" i="20"/>
  <c r="AL121" i="20" s="1"/>
  <c r="AH40" i="20"/>
  <c r="AC40" i="20"/>
  <c r="Y40" i="20" s="1"/>
  <c r="Z40" i="20"/>
  <c r="X40" i="20"/>
  <c r="W121" i="20" s="1"/>
  <c r="S40" i="20"/>
  <c r="N40" i="20"/>
  <c r="M121" i="20" s="1"/>
  <c r="J40" i="20"/>
  <c r="I40" i="20"/>
  <c r="D40" i="20"/>
  <c r="AP114" i="20"/>
  <c r="AP160" i="20" s="1"/>
  <c r="AX4" i="20"/>
  <c r="AU184" i="20"/>
  <c r="AU245" i="20" s="1"/>
  <c r="AP184" i="20"/>
  <c r="AP240" i="20" s="1"/>
  <c r="B5" i="10"/>
  <c r="B6" i="10"/>
  <c r="BJ195" i="20" l="1"/>
  <c r="BK195" i="20" s="1"/>
  <c r="T195" i="20"/>
  <c r="U195" i="20"/>
  <c r="AE212" i="20" s="1"/>
  <c r="AC223" i="20"/>
  <c r="AI203" i="20"/>
  <c r="AI195" i="20"/>
  <c r="AH201" i="20" s="1"/>
  <c r="BG63" i="20"/>
  <c r="BD63" i="20"/>
  <c r="X121" i="20"/>
  <c r="X56" i="20"/>
  <c r="AF64" i="20"/>
  <c r="AQ53" i="20"/>
  <c r="AQ96" i="20" s="1"/>
  <c r="AT69" i="20"/>
  <c r="AL69" i="20"/>
  <c r="V69" i="20"/>
  <c r="AK69" i="20"/>
  <c r="U69" i="20"/>
  <c r="AJ69" i="20"/>
  <c r="Z69" i="20"/>
  <c r="R69" i="20"/>
  <c r="AU69" i="20"/>
  <c r="AO69" i="20"/>
  <c r="AM69" i="20"/>
  <c r="AV69" i="20"/>
  <c r="AE69" i="20"/>
  <c r="AV184" i="20"/>
  <c r="AV246" i="20" s="1"/>
  <c r="BD246" i="20" s="1"/>
  <c r="AX3" i="20"/>
  <c r="AG121" i="20"/>
  <c r="AD40" i="20"/>
  <c r="AJ40" i="20"/>
  <c r="AI40" i="20"/>
  <c r="AG56" i="20"/>
  <c r="AC61" i="20"/>
  <c r="M61" i="20"/>
  <c r="AB61" i="20"/>
  <c r="AQ61" i="20"/>
  <c r="AD61" i="20"/>
  <c r="AG61" i="20"/>
  <c r="AM61" i="20"/>
  <c r="O61" i="20"/>
  <c r="AL61" i="20"/>
  <c r="N61" i="20"/>
  <c r="AV61" i="20"/>
  <c r="AH61" i="20"/>
  <c r="W61" i="20"/>
  <c r="AO64" i="20"/>
  <c r="AV90" i="20"/>
  <c r="AI57" i="20"/>
  <c r="S57" i="20"/>
  <c r="AH57" i="20"/>
  <c r="Z57" i="20"/>
  <c r="J57" i="20"/>
  <c r="N57" i="20"/>
  <c r="Y57" i="20"/>
  <c r="I57" i="20"/>
  <c r="X57" i="20"/>
  <c r="AM57" i="20"/>
  <c r="AC57" i="20"/>
  <c r="R61" i="20"/>
  <c r="I121" i="20"/>
  <c r="AI147" i="20"/>
  <c r="Q64" i="20"/>
  <c r="Z73" i="20"/>
  <c r="T132" i="20"/>
  <c r="AJ83" i="20"/>
  <c r="K40" i="20"/>
  <c r="I56" i="20"/>
  <c r="AP72" i="20"/>
  <c r="AH72" i="20"/>
  <c r="AO72" i="20"/>
  <c r="Y72" i="20"/>
  <c r="AN72" i="20"/>
  <c r="X72" i="20"/>
  <c r="AM72" i="20"/>
  <c r="AD72" i="20"/>
  <c r="AR72" i="20"/>
  <c r="T72" i="20"/>
  <c r="AC72" i="20"/>
  <c r="AO88" i="20"/>
  <c r="AN88" i="20"/>
  <c r="AS88" i="20"/>
  <c r="AJ88" i="20"/>
  <c r="BR40" i="20"/>
  <c r="BS40" i="20"/>
  <c r="BT40" i="20" s="1"/>
  <c r="BU40" i="20" s="1"/>
  <c r="BD91" i="20"/>
  <c r="BG71" i="20"/>
  <c r="BD71" i="20"/>
  <c r="Y121" i="20"/>
  <c r="AA40" i="20"/>
  <c r="Y56" i="20"/>
  <c r="AA65" i="20"/>
  <c r="AP65" i="20"/>
  <c r="AH65" i="20"/>
  <c r="R65" i="20"/>
  <c r="AG65" i="20"/>
  <c r="Q65" i="20"/>
  <c r="AL65" i="20"/>
  <c r="X65" i="20"/>
  <c r="M65" i="20"/>
  <c r="AK65" i="20"/>
  <c r="W65" i="20"/>
  <c r="AU65" i="20"/>
  <c r="V65" i="20"/>
  <c r="AF65" i="20"/>
  <c r="AP60" i="20"/>
  <c r="R60" i="20"/>
  <c r="AF60" i="20"/>
  <c r="H60" i="20"/>
  <c r="AC60" i="20"/>
  <c r="S60" i="20"/>
  <c r="AG60" i="20"/>
  <c r="AB60" i="20"/>
  <c r="Q60" i="20"/>
  <c r="AU60" i="20"/>
  <c r="AK60" i="20"/>
  <c r="AA60" i="20"/>
  <c r="M60" i="20"/>
  <c r="V60" i="20"/>
  <c r="N60" i="20"/>
  <c r="W60" i="20"/>
  <c r="L60" i="20"/>
  <c r="AJ68" i="20"/>
  <c r="T68" i="20"/>
  <c r="AI68" i="20"/>
  <c r="AA68" i="20"/>
  <c r="Z68" i="20"/>
  <c r="AO68" i="20"/>
  <c r="Y68" i="20"/>
  <c r="AN68" i="20"/>
  <c r="P68" i="20"/>
  <c r="AS68" i="20"/>
  <c r="V68" i="20"/>
  <c r="U68" i="20"/>
  <c r="AD68" i="20"/>
  <c r="AT68" i="20"/>
  <c r="AK68" i="20"/>
  <c r="AV76" i="20"/>
  <c r="X76" i="20"/>
  <c r="AM76" i="20"/>
  <c r="AL76" i="20"/>
  <c r="AS76" i="20"/>
  <c r="AC76" i="20"/>
  <c r="AR76" i="20"/>
  <c r="AB76" i="20"/>
  <c r="AQ76" i="20"/>
  <c r="AH76" i="20"/>
  <c r="AG76" i="20"/>
  <c r="AJ84" i="20"/>
  <c r="AP84" i="20"/>
  <c r="AO84" i="20"/>
  <c r="AF84" i="20"/>
  <c r="AU84" i="20"/>
  <c r="AT84" i="20"/>
  <c r="AK84" i="20"/>
  <c r="AN92" i="20"/>
  <c r="AT92" i="20"/>
  <c r="AS92" i="20"/>
  <c r="AR92" i="20"/>
  <c r="AR66" i="20"/>
  <c r="R121" i="20"/>
  <c r="AT149" i="20"/>
  <c r="AS58" i="20"/>
  <c r="BH40" i="20"/>
  <c r="AV86" i="20"/>
  <c r="AN86" i="20"/>
  <c r="AM86" i="20"/>
  <c r="AL86" i="20"/>
  <c r="AR86" i="20"/>
  <c r="AQ86" i="20"/>
  <c r="AD58" i="20"/>
  <c r="Q59" i="20"/>
  <c r="E40" i="20"/>
  <c r="Q69" i="20" s="1"/>
  <c r="AS40" i="20"/>
  <c r="BI40" i="20"/>
  <c r="BJ40" i="20" s="1"/>
  <c r="AR87" i="20"/>
  <c r="AI87" i="20"/>
  <c r="AO87" i="20"/>
  <c r="AN87" i="20"/>
  <c r="AM87" i="20"/>
  <c r="AP53" i="20"/>
  <c r="AP95" i="20" s="1"/>
  <c r="G58" i="20"/>
  <c r="O58" i="20"/>
  <c r="AB59" i="20"/>
  <c r="AC62" i="20"/>
  <c r="V64" i="20"/>
  <c r="AG64" i="20"/>
  <c r="AI67" i="20"/>
  <c r="S67" i="20"/>
  <c r="AH67" i="20"/>
  <c r="X67" i="20"/>
  <c r="AM67" i="20"/>
  <c r="AP70" i="20"/>
  <c r="AP74" i="20"/>
  <c r="AU85" i="20"/>
  <c r="AQ66" i="20"/>
  <c r="AI66" i="20"/>
  <c r="S66" i="20"/>
  <c r="AH66" i="20"/>
  <c r="R66" i="20"/>
  <c r="AG66" i="20"/>
  <c r="AO79" i="20"/>
  <c r="AG79" i="20"/>
  <c r="AV79" i="20"/>
  <c r="AF79" i="20"/>
  <c r="AU79" i="20"/>
  <c r="AE79" i="20"/>
  <c r="AT79" i="20"/>
  <c r="AL79" i="20"/>
  <c r="AK79" i="20"/>
  <c r="AJ79" i="20"/>
  <c r="AB79" i="20"/>
  <c r="Z59" i="20"/>
  <c r="AM66" i="20"/>
  <c r="T40" i="20"/>
  <c r="AS78" i="20"/>
  <c r="AJ78" i="20"/>
  <c r="AI78" i="20"/>
  <c r="AV78" i="20"/>
  <c r="AN78" i="20"/>
  <c r="AU78" i="20"/>
  <c r="AE78" i="20"/>
  <c r="F58" i="20"/>
  <c r="G59" i="20"/>
  <c r="R70" i="20"/>
  <c r="AJ64" i="20"/>
  <c r="L64" i="20"/>
  <c r="AP64" i="20"/>
  <c r="Z64" i="20"/>
  <c r="R64" i="20"/>
  <c r="AK80" i="20"/>
  <c r="AB80" i="20"/>
  <c r="AP80" i="20"/>
  <c r="AG80" i="20"/>
  <c r="AV80" i="20"/>
  <c r="AF80" i="20"/>
  <c r="R56" i="20"/>
  <c r="P58" i="20"/>
  <c r="AN58" i="20"/>
  <c r="S62" i="20"/>
  <c r="AD62" i="20"/>
  <c r="AR62" i="20"/>
  <c r="W64" i="20"/>
  <c r="AK64" i="20"/>
  <c r="O67" i="20"/>
  <c r="AJ67" i="20"/>
  <c r="AD78" i="20"/>
  <c r="X66" i="20"/>
  <c r="AP93" i="20"/>
  <c r="AO93" i="20"/>
  <c r="AT93" i="20"/>
  <c r="AS93" i="20"/>
  <c r="AF59" i="20"/>
  <c r="P59" i="20"/>
  <c r="AT59" i="20"/>
  <c r="AU59" i="20"/>
  <c r="AB66" i="20"/>
  <c r="AV70" i="20"/>
  <c r="AF70" i="20"/>
  <c r="X70" i="20"/>
  <c r="AU70" i="20"/>
  <c r="AM70" i="20"/>
  <c r="W70" i="20"/>
  <c r="AL70" i="20"/>
  <c r="V70" i="20"/>
  <c r="AK70" i="20"/>
  <c r="AA59" i="20"/>
  <c r="T123" i="20"/>
  <c r="AI123" i="20"/>
  <c r="AA123" i="20"/>
  <c r="K123" i="20"/>
  <c r="Z123" i="20"/>
  <c r="J123" i="20"/>
  <c r="Y123" i="20"/>
  <c r="AN123" i="20"/>
  <c r="P123" i="20"/>
  <c r="O123" i="20"/>
  <c r="G123" i="20"/>
  <c r="AT123" i="20"/>
  <c r="AD123" i="20"/>
  <c r="F123" i="20"/>
  <c r="AS123" i="20"/>
  <c r="AQ184" i="20"/>
  <c r="AQ241" i="20" s="1"/>
  <c r="BC40" i="20"/>
  <c r="BD40" i="20" s="1"/>
  <c r="BE40" i="20" s="1"/>
  <c r="BF40" i="20" s="1"/>
  <c r="BK40" i="20"/>
  <c r="AN73" i="20"/>
  <c r="AE73" i="20"/>
  <c r="AT73" i="20"/>
  <c r="AD73" i="20"/>
  <c r="AS73" i="20"/>
  <c r="U73" i="20"/>
  <c r="AQ81" i="20"/>
  <c r="AI81" i="20"/>
  <c r="AH81" i="20"/>
  <c r="AG81" i="20"/>
  <c r="AV81" i="20"/>
  <c r="AM81" i="20"/>
  <c r="AL81" i="20"/>
  <c r="AU89" i="20"/>
  <c r="AT89" i="20"/>
  <c r="AQ89" i="20"/>
  <c r="AP89" i="20"/>
  <c r="S56" i="20"/>
  <c r="AQ56" i="20"/>
  <c r="BD56" i="20"/>
  <c r="Y58" i="20"/>
  <c r="AE59" i="20"/>
  <c r="T62" i="20"/>
  <c r="AH62" i="20"/>
  <c r="P67" i="20"/>
  <c r="AK67" i="20"/>
  <c r="AO73" i="20"/>
  <c r="AH86" i="20"/>
  <c r="AN91" i="20"/>
  <c r="AT126" i="20"/>
  <c r="AL126" i="20"/>
  <c r="AD126" i="20"/>
  <c r="V126" i="20"/>
  <c r="N126" i="20"/>
  <c r="AS126" i="20"/>
  <c r="AK126" i="20"/>
  <c r="AC126" i="20"/>
  <c r="U126" i="20"/>
  <c r="M126" i="20"/>
  <c r="AN126" i="20"/>
  <c r="AB126" i="20"/>
  <c r="R126" i="20"/>
  <c r="AM126" i="20"/>
  <c r="AA126" i="20"/>
  <c r="Q126" i="20"/>
  <c r="AV126" i="20"/>
  <c r="BD126" i="20" s="1"/>
  <c r="AJ126" i="20"/>
  <c r="Z126" i="20"/>
  <c r="P126" i="20"/>
  <c r="AU126" i="20"/>
  <c r="AI126" i="20"/>
  <c r="Y126" i="20"/>
  <c r="O126" i="20"/>
  <c r="AR126" i="20"/>
  <c r="AH126" i="20"/>
  <c r="X126" i="20"/>
  <c r="L126" i="20"/>
  <c r="AQ126" i="20"/>
  <c r="AG126" i="20"/>
  <c r="W126" i="20"/>
  <c r="K126" i="20"/>
  <c r="AP126" i="20"/>
  <c r="AF126" i="20"/>
  <c r="T126" i="20"/>
  <c r="J126" i="20"/>
  <c r="AO126" i="20"/>
  <c r="AE126" i="20"/>
  <c r="S126" i="20"/>
  <c r="AU134" i="20"/>
  <c r="AE134" i="20"/>
  <c r="AT134" i="20"/>
  <c r="AL134" i="20"/>
  <c r="V134" i="20"/>
  <c r="AK134" i="20"/>
  <c r="AJ134" i="20"/>
  <c r="AA134" i="20"/>
  <c r="Q134" i="20"/>
  <c r="Z134" i="20"/>
  <c r="AO134" i="20"/>
  <c r="U134" i="20"/>
  <c r="R134" i="20"/>
  <c r="AJ142" i="20"/>
  <c r="AU150" i="20"/>
  <c r="AL150" i="20"/>
  <c r="AK150" i="20"/>
  <c r="AR150" i="20"/>
  <c r="AP150" i="20"/>
  <c r="AG150" i="20"/>
  <c r="I126" i="20"/>
  <c r="AL85" i="20"/>
  <c r="AK85" i="20"/>
  <c r="AR85" i="20"/>
  <c r="AP85" i="20"/>
  <c r="AH85" i="20"/>
  <c r="AG85" i="20"/>
  <c r="AV85" i="20"/>
  <c r="AJ59" i="20"/>
  <c r="N66" i="20"/>
  <c r="AR160" i="20"/>
  <c r="AQ160" i="20"/>
  <c r="AV160" i="20"/>
  <c r="BD160" i="20" s="1"/>
  <c r="AU160" i="20"/>
  <c r="AQ94" i="20"/>
  <c r="AP94" i="20"/>
  <c r="AV94" i="20"/>
  <c r="AU94" i="20"/>
  <c r="N62" i="20"/>
  <c r="AC67" i="20"/>
  <c r="AR184" i="20"/>
  <c r="AR242" i="20" s="1"/>
  <c r="AS184" i="20"/>
  <c r="AS243" i="20" s="1"/>
  <c r="O40" i="20"/>
  <c r="AT88" i="20" s="1"/>
  <c r="AT184" i="20"/>
  <c r="AT244" i="20" s="1"/>
  <c r="P40" i="20"/>
  <c r="AN40" i="20"/>
  <c r="AO123" i="20" s="1"/>
  <c r="AE74" i="20"/>
  <c r="W74" i="20"/>
  <c r="AT74" i="20"/>
  <c r="AJ74" i="20"/>
  <c r="AB74" i="20"/>
  <c r="AQ74" i="20"/>
  <c r="AA74" i="20"/>
  <c r="AI82" i="20"/>
  <c r="AH82" i="20"/>
  <c r="AO82" i="20"/>
  <c r="AN82" i="20"/>
  <c r="AM82" i="20"/>
  <c r="AE82" i="20"/>
  <c r="AU90" i="20"/>
  <c r="AM90" i="20"/>
  <c r="AL90" i="20"/>
  <c r="AQ90" i="20"/>
  <c r="AP90" i="20"/>
  <c r="D56" i="20"/>
  <c r="D55" i="20" s="1"/>
  <c r="D43" i="20" s="1"/>
  <c r="D50" i="20" s="1"/>
  <c r="AB56" i="20"/>
  <c r="J58" i="20"/>
  <c r="Z58" i="20"/>
  <c r="K59" i="20"/>
  <c r="U59" i="20"/>
  <c r="J62" i="20"/>
  <c r="U62" i="20"/>
  <c r="AI62" i="20"/>
  <c r="T67" i="20"/>
  <c r="AA70" i="20"/>
  <c r="AP73" i="20"/>
  <c r="AF74" i="20"/>
  <c r="AT78" i="20"/>
  <c r="AJ82" i="20"/>
  <c r="BB128" i="20"/>
  <c r="BE128" i="20"/>
  <c r="AL66" i="20"/>
  <c r="AH77" i="20"/>
  <c r="Y77" i="20"/>
  <c r="AM77" i="20"/>
  <c r="AE77" i="20"/>
  <c r="AT77" i="20"/>
  <c r="AD77" i="20"/>
  <c r="AS77" i="20"/>
  <c r="AC77" i="20"/>
  <c r="AR77" i="20"/>
  <c r="BB136" i="20"/>
  <c r="BE136" i="20"/>
  <c r="AU240" i="20"/>
  <c r="AO62" i="20"/>
  <c r="AN62" i="20"/>
  <c r="X62" i="20"/>
  <c r="P62" i="20"/>
  <c r="AM62" i="20"/>
  <c r="AE62" i="20"/>
  <c r="O62" i="20"/>
  <c r="AK59" i="20"/>
  <c r="F40" i="20"/>
  <c r="E121" i="20" s="1"/>
  <c r="H121" i="20"/>
  <c r="R131" i="20"/>
  <c r="BD121" i="20"/>
  <c r="AU75" i="20"/>
  <c r="W75" i="20"/>
  <c r="AK75" i="20"/>
  <c r="AC75" i="20"/>
  <c r="AR75" i="20"/>
  <c r="AB75" i="20"/>
  <c r="AQ75" i="20"/>
  <c r="AA75" i="20"/>
  <c r="AI83" i="20"/>
  <c r="AP83" i="20"/>
  <c r="AO83" i="20"/>
  <c r="AN83" i="20"/>
  <c r="AF83" i="20"/>
  <c r="AE83" i="20"/>
  <c r="AT83" i="20"/>
  <c r="AS83" i="20"/>
  <c r="AM91" i="20"/>
  <c r="AS91" i="20"/>
  <c r="AR91" i="20"/>
  <c r="AQ91" i="20"/>
  <c r="E56" i="20"/>
  <c r="M56" i="20"/>
  <c r="AC56" i="20"/>
  <c r="K58" i="20"/>
  <c r="AA58" i="20"/>
  <c r="AI58" i="20"/>
  <c r="L59" i="20"/>
  <c r="W66" i="20"/>
  <c r="AV66" i="20"/>
  <c r="AR67" i="20"/>
  <c r="AB70" i="20"/>
  <c r="Y73" i="20"/>
  <c r="AG74" i="20"/>
  <c r="X75" i="20"/>
  <c r="AP75" i="20"/>
  <c r="AU80" i="20"/>
  <c r="AR82" i="20"/>
  <c r="AI127" i="20"/>
  <c r="S127" i="20"/>
  <c r="AH127" i="20"/>
  <c r="J127" i="20"/>
  <c r="AM127" i="20"/>
  <c r="AC127" i="20"/>
  <c r="P127" i="20"/>
  <c r="O127" i="20"/>
  <c r="X127" i="20"/>
  <c r="N127" i="20"/>
  <c r="AR127" i="20"/>
  <c r="AO127" i="20"/>
  <c r="AE127" i="20"/>
  <c r="AQ135" i="20"/>
  <c r="AI135" i="20"/>
  <c r="AA135" i="20"/>
  <c r="S135" i="20"/>
  <c r="AP135" i="20"/>
  <c r="AH135" i="20"/>
  <c r="Z135" i="20"/>
  <c r="R135" i="20"/>
  <c r="AO135" i="20"/>
  <c r="AG135" i="20"/>
  <c r="Y135" i="20"/>
  <c r="AV135" i="20"/>
  <c r="BD135" i="20" s="1"/>
  <c r="AN135" i="20"/>
  <c r="AF135" i="20"/>
  <c r="X135" i="20"/>
  <c r="AM135" i="20"/>
  <c r="W135" i="20"/>
  <c r="AL135" i="20"/>
  <c r="V135" i="20"/>
  <c r="AK135" i="20"/>
  <c r="U135" i="20"/>
  <c r="AJ135" i="20"/>
  <c r="T135" i="20"/>
  <c r="AU135" i="20"/>
  <c r="AE135" i="20"/>
  <c r="AT135" i="20"/>
  <c r="AD135" i="20"/>
  <c r="AS135" i="20"/>
  <c r="AC135" i="20"/>
  <c r="AU143" i="20"/>
  <c r="AM143" i="20"/>
  <c r="AE143" i="20"/>
  <c r="AT143" i="20"/>
  <c r="AL143" i="20"/>
  <c r="AD143" i="20"/>
  <c r="AS143" i="20"/>
  <c r="AK143" i="20"/>
  <c r="AC143" i="20"/>
  <c r="AR143" i="20"/>
  <c r="AJ143" i="20"/>
  <c r="AB143" i="20"/>
  <c r="AQ143" i="20"/>
  <c r="AI143" i="20"/>
  <c r="AA143" i="20"/>
  <c r="AP143" i="20"/>
  <c r="AH143" i="20"/>
  <c r="Z143" i="20"/>
  <c r="AV143" i="20"/>
  <c r="BD143" i="20" s="1"/>
  <c r="AO143" i="20"/>
  <c r="AN143" i="20"/>
  <c r="AG143" i="20"/>
  <c r="AF143" i="20"/>
  <c r="AQ151" i="20"/>
  <c r="AI151" i="20"/>
  <c r="AV151" i="20"/>
  <c r="BD151" i="20" s="1"/>
  <c r="AN151" i="20"/>
  <c r="AM151" i="20"/>
  <c r="AL151" i="20"/>
  <c r="AR151" i="20"/>
  <c r="AU159" i="20"/>
  <c r="AT159" i="20"/>
  <c r="AQ159" i="20"/>
  <c r="AM207" i="20"/>
  <c r="N207" i="20"/>
  <c r="AC207" i="20"/>
  <c r="AR207" i="20"/>
  <c r="T207" i="20"/>
  <c r="AA207" i="20"/>
  <c r="S207" i="20"/>
  <c r="AH207" i="20"/>
  <c r="Z207" i="20"/>
  <c r="Y207" i="20"/>
  <c r="X207" i="20"/>
  <c r="AT144" i="20"/>
  <c r="AV152" i="20"/>
  <c r="BD152" i="20" s="1"/>
  <c r="AN152" i="20"/>
  <c r="AU152" i="20"/>
  <c r="AM152" i="20"/>
  <c r="AT152" i="20"/>
  <c r="AL152" i="20"/>
  <c r="AS152" i="20"/>
  <c r="AK152" i="20"/>
  <c r="AR152" i="20"/>
  <c r="AJ152" i="20"/>
  <c r="AQ152" i="20"/>
  <c r="AI152" i="20"/>
  <c r="AO152" i="20"/>
  <c r="AI122" i="20"/>
  <c r="S122" i="20"/>
  <c r="K122" i="20"/>
  <c r="AH122" i="20"/>
  <c r="Z122" i="20"/>
  <c r="J122" i="20"/>
  <c r="Y122" i="20"/>
  <c r="I122" i="20"/>
  <c r="X122" i="20"/>
  <c r="AM122" i="20"/>
  <c r="O122" i="20"/>
  <c r="AD122" i="20"/>
  <c r="AP145" i="20"/>
  <c r="AG145" i="20"/>
  <c r="AV145" i="20"/>
  <c r="BD145" i="20" s="1"/>
  <c r="AF145" i="20"/>
  <c r="AU145" i="20"/>
  <c r="AL145" i="20"/>
  <c r="AK145" i="20"/>
  <c r="AC145" i="20"/>
  <c r="E122" i="20"/>
  <c r="AV130" i="20"/>
  <c r="BD130" i="20" s="1"/>
  <c r="AN130" i="20"/>
  <c r="AF130" i="20"/>
  <c r="X130" i="20"/>
  <c r="P130" i="20"/>
  <c r="AU130" i="20"/>
  <c r="AM130" i="20"/>
  <c r="AE130" i="20"/>
  <c r="W130" i="20"/>
  <c r="O130" i="20"/>
  <c r="AR130" i="20"/>
  <c r="AH130" i="20"/>
  <c r="V130" i="20"/>
  <c r="AQ130" i="20"/>
  <c r="AG130" i="20"/>
  <c r="U130" i="20"/>
  <c r="AP130" i="20"/>
  <c r="AD130" i="20"/>
  <c r="T130" i="20"/>
  <c r="AO130" i="20"/>
  <c r="AC130" i="20"/>
  <c r="S130" i="20"/>
  <c r="AL130" i="20"/>
  <c r="AB130" i="20"/>
  <c r="R130" i="20"/>
  <c r="AK130" i="20"/>
  <c r="AA130" i="20"/>
  <c r="Q130" i="20"/>
  <c r="AT130" i="20"/>
  <c r="AJ130" i="20"/>
  <c r="Z130" i="20"/>
  <c r="N130" i="20"/>
  <c r="AS138" i="20"/>
  <c r="U138" i="20"/>
  <c r="AQ138" i="20"/>
  <c r="AI138" i="20"/>
  <c r="AP138" i="20"/>
  <c r="Z138" i="20"/>
  <c r="AF138" i="20"/>
  <c r="AE138" i="20"/>
  <c r="AD138" i="20"/>
  <c r="AO138" i="20"/>
  <c r="Y138" i="20"/>
  <c r="AN138" i="20"/>
  <c r="AG146" i="20"/>
  <c r="AV146" i="20"/>
  <c r="BD146" i="20" s="1"/>
  <c r="AN146" i="20"/>
  <c r="AM146" i="20"/>
  <c r="AL146" i="20"/>
  <c r="AD146" i="20"/>
  <c r="AC146" i="20"/>
  <c r="AQ146" i="20"/>
  <c r="AI146" i="20"/>
  <c r="AK154" i="20"/>
  <c r="AP154" i="20"/>
  <c r="AO154" i="20"/>
  <c r="AU154" i="20"/>
  <c r="AT154" i="20"/>
  <c r="AC122" i="20"/>
  <c r="AV129" i="20"/>
  <c r="BD129" i="20" s="1"/>
  <c r="AN129" i="20"/>
  <c r="AF129" i="20"/>
  <c r="X129" i="20"/>
  <c r="P129" i="20"/>
  <c r="AU129" i="20"/>
  <c r="AM129" i="20"/>
  <c r="AE129" i="20"/>
  <c r="W129" i="20"/>
  <c r="O129" i="20"/>
  <c r="AP129" i="20"/>
  <c r="AD129" i="20"/>
  <c r="T129" i="20"/>
  <c r="AO129" i="20"/>
  <c r="AC129" i="20"/>
  <c r="S129" i="20"/>
  <c r="AL129" i="20"/>
  <c r="AB129" i="20"/>
  <c r="R129" i="20"/>
  <c r="AK129" i="20"/>
  <c r="AA129" i="20"/>
  <c r="Q129" i="20"/>
  <c r="AT129" i="20"/>
  <c r="AJ129" i="20"/>
  <c r="Z129" i="20"/>
  <c r="N129" i="20"/>
  <c r="AS129" i="20"/>
  <c r="AI129" i="20"/>
  <c r="Y129" i="20"/>
  <c r="M129" i="20"/>
  <c r="AR129" i="20"/>
  <c r="AH129" i="20"/>
  <c r="V129" i="20"/>
  <c r="L129" i="20"/>
  <c r="AB145" i="20"/>
  <c r="AL154" i="20"/>
  <c r="AV159" i="20"/>
  <c r="BD159" i="20" s="1"/>
  <c r="AG131" i="20"/>
  <c r="AV131" i="20"/>
  <c r="BD131" i="20" s="1"/>
  <c r="X131" i="20"/>
  <c r="O131" i="20"/>
  <c r="N131" i="20"/>
  <c r="AI131" i="20"/>
  <c r="W131" i="20"/>
  <c r="AR131" i="20"/>
  <c r="AH131" i="20"/>
  <c r="AQ131" i="20"/>
  <c r="T131" i="20"/>
  <c r="AM131" i="20"/>
  <c r="S131" i="20"/>
  <c r="AJ139" i="20"/>
  <c r="AB139" i="20"/>
  <c r="AQ139" i="20"/>
  <c r="AA139" i="20"/>
  <c r="AP139" i="20"/>
  <c r="Z139" i="20"/>
  <c r="AF139" i="20"/>
  <c r="AU139" i="20"/>
  <c r="AE139" i="20"/>
  <c r="AT139" i="20"/>
  <c r="AO139" i="20"/>
  <c r="W139" i="20"/>
  <c r="AN147" i="20"/>
  <c r="AM147" i="20"/>
  <c r="AD147" i="20"/>
  <c r="AR147" i="20"/>
  <c r="AJ147" i="20"/>
  <c r="AH147" i="20"/>
  <c r="AR155" i="20"/>
  <c r="AQ155" i="20"/>
  <c r="AP155" i="20"/>
  <c r="AV155" i="20"/>
  <c r="BD155" i="20" s="1"/>
  <c r="AM155" i="20"/>
  <c r="AL155" i="20"/>
  <c r="AJ122" i="20"/>
  <c r="Z125" i="20"/>
  <c r="T127" i="20"/>
  <c r="U129" i="20"/>
  <c r="AB131" i="20"/>
  <c r="AB135" i="20"/>
  <c r="AT124" i="20"/>
  <c r="AL124" i="20"/>
  <c r="AD124" i="20"/>
  <c r="V124" i="20"/>
  <c r="N124" i="20"/>
  <c r="AS124" i="20"/>
  <c r="AK124" i="20"/>
  <c r="AC124" i="20"/>
  <c r="U124" i="20"/>
  <c r="M124" i="20"/>
  <c r="AR124" i="20"/>
  <c r="AJ124" i="20"/>
  <c r="AB124" i="20"/>
  <c r="T124" i="20"/>
  <c r="L124" i="20"/>
  <c r="AQ124" i="20"/>
  <c r="AI124" i="20"/>
  <c r="AA124" i="20"/>
  <c r="S124" i="20"/>
  <c r="K124" i="20"/>
  <c r="AP124" i="20"/>
  <c r="AH124" i="20"/>
  <c r="Z124" i="20"/>
  <c r="R124" i="20"/>
  <c r="J124" i="20"/>
  <c r="AO124" i="20"/>
  <c r="AG124" i="20"/>
  <c r="Y124" i="20"/>
  <c r="Q124" i="20"/>
  <c r="I124" i="20"/>
  <c r="AV124" i="20"/>
  <c r="BD124" i="20" s="1"/>
  <c r="AN124" i="20"/>
  <c r="AF124" i="20"/>
  <c r="X124" i="20"/>
  <c r="P124" i="20"/>
  <c r="H124" i="20"/>
  <c r="AH132" i="20"/>
  <c r="Z132" i="20"/>
  <c r="Y132" i="20"/>
  <c r="AM132" i="20"/>
  <c r="AC132" i="20"/>
  <c r="S132" i="20"/>
  <c r="O132" i="20"/>
  <c r="AJ132" i="20"/>
  <c r="X132" i="20"/>
  <c r="AS132" i="20"/>
  <c r="AI132" i="20"/>
  <c r="AR132" i="20"/>
  <c r="AK140" i="20"/>
  <c r="AC140" i="20"/>
  <c r="AR140" i="20"/>
  <c r="AB140" i="20"/>
  <c r="AQ140" i="20"/>
  <c r="AA140" i="20"/>
  <c r="AP140" i="20"/>
  <c r="AH140" i="20"/>
  <c r="AG140" i="20"/>
  <c r="AV140" i="20"/>
  <c r="BD140" i="20" s="1"/>
  <c r="AU140" i="20"/>
  <c r="AF140" i="20"/>
  <c r="AO148" i="20"/>
  <c r="AN148" i="20"/>
  <c r="AE148" i="20"/>
  <c r="AS148" i="20"/>
  <c r="AK148" i="20"/>
  <c r="AJ148" i="20"/>
  <c r="AI148" i="20"/>
  <c r="AS156" i="20"/>
  <c r="AR156" i="20"/>
  <c r="AQ156" i="20"/>
  <c r="AV156" i="20"/>
  <c r="BD156" i="20" s="1"/>
  <c r="AN156" i="20"/>
  <c r="AM156" i="20"/>
  <c r="AR122" i="20"/>
  <c r="O124" i="20"/>
  <c r="AD127" i="20"/>
  <c r="AG129" i="20"/>
  <c r="AL131" i="20"/>
  <c r="AR135" i="20"/>
  <c r="BB137" i="20"/>
  <c r="AH146" i="20"/>
  <c r="AU155" i="20"/>
  <c r="AP125" i="20"/>
  <c r="AO125" i="20"/>
  <c r="AG125" i="20"/>
  <c r="Y125" i="20"/>
  <c r="Q125" i="20"/>
  <c r="I125" i="20"/>
  <c r="AN125" i="20"/>
  <c r="AF125" i="20"/>
  <c r="X125" i="20"/>
  <c r="P125" i="20"/>
  <c r="H125" i="20"/>
  <c r="AV125" i="20"/>
  <c r="BD125" i="20" s="1"/>
  <c r="AM125" i="20"/>
  <c r="AE125" i="20"/>
  <c r="W125" i="20"/>
  <c r="O125" i="20"/>
  <c r="AU125" i="20"/>
  <c r="AL125" i="20"/>
  <c r="AD125" i="20"/>
  <c r="V125" i="20"/>
  <c r="N125" i="20"/>
  <c r="AT125" i="20"/>
  <c r="AK125" i="20"/>
  <c r="AC125" i="20"/>
  <c r="U125" i="20"/>
  <c r="M125" i="20"/>
  <c r="AS125" i="20"/>
  <c r="AJ125" i="20"/>
  <c r="AB125" i="20"/>
  <c r="T125" i="20"/>
  <c r="L125" i="20"/>
  <c r="AR125" i="20"/>
  <c r="AI125" i="20"/>
  <c r="AA125" i="20"/>
  <c r="S125" i="20"/>
  <c r="K125" i="20"/>
  <c r="AJ133" i="20"/>
  <c r="T133" i="20"/>
  <c r="AI133" i="20"/>
  <c r="V133" i="20"/>
  <c r="AO133" i="20"/>
  <c r="U133" i="20"/>
  <c r="AN133" i="20"/>
  <c r="AD133" i="20"/>
  <c r="Q133" i="20"/>
  <c r="Z133" i="20"/>
  <c r="P133" i="20"/>
  <c r="AK133" i="20"/>
  <c r="Y133" i="20"/>
  <c r="AT133" i="20"/>
  <c r="N122" i="20"/>
  <c r="W124" i="20"/>
  <c r="AQ125" i="20"/>
  <c r="AN127" i="20"/>
  <c r="AQ129" i="20"/>
  <c r="AS133" i="20"/>
  <c r="W137" i="20"/>
  <c r="AM137" i="20"/>
  <c r="Y141" i="20"/>
  <c r="AS208" i="20"/>
  <c r="U208" i="20"/>
  <c r="AB208" i="20"/>
  <c r="T208" i="20"/>
  <c r="AI208" i="20"/>
  <c r="AA208" i="20"/>
  <c r="Z208" i="20"/>
  <c r="Y208" i="20"/>
  <c r="AN208" i="20"/>
  <c r="AD208" i="20"/>
  <c r="O208" i="20"/>
  <c r="AC216" i="20"/>
  <c r="AB216" i="20"/>
  <c r="AQ216" i="20"/>
  <c r="AI216" i="20"/>
  <c r="AH216" i="20"/>
  <c r="AG216" i="20"/>
  <c r="AV216" i="20"/>
  <c r="BD216" i="20" s="1"/>
  <c r="W216" i="20"/>
  <c r="AO224" i="20"/>
  <c r="AE224" i="20"/>
  <c r="AT224" i="20"/>
  <c r="AK224" i="20"/>
  <c r="AR224" i="20"/>
  <c r="AJ224" i="20"/>
  <c r="AQ224" i="20"/>
  <c r="AP224" i="20"/>
  <c r="AS232" i="20"/>
  <c r="AK232" i="20"/>
  <c r="AR232" i="20"/>
  <c r="AJ232" i="20"/>
  <c r="AQ232" i="20"/>
  <c r="AI232" i="20"/>
  <c r="AP232" i="20"/>
  <c r="AO232" i="20"/>
  <c r="AV232" i="20"/>
  <c r="BD232" i="20" s="1"/>
  <c r="AN232" i="20"/>
  <c r="AU232" i="20"/>
  <c r="AM232" i="20"/>
  <c r="AT232" i="20"/>
  <c r="AL232" i="20"/>
  <c r="X137" i="20"/>
  <c r="AN137" i="20"/>
  <c r="AC142" i="20"/>
  <c r="AK144" i="20"/>
  <c r="AJ209" i="20"/>
  <c r="AB209" i="20"/>
  <c r="AA209" i="20"/>
  <c r="Z209" i="20"/>
  <c r="AO209" i="20"/>
  <c r="P209" i="20"/>
  <c r="AE209" i="20"/>
  <c r="U209" i="20"/>
  <c r="AT209" i="20"/>
  <c r="AI217" i="20"/>
  <c r="AH217" i="20"/>
  <c r="X217" i="20"/>
  <c r="AM217" i="20"/>
  <c r="AD217" i="20"/>
  <c r="AK217" i="20"/>
  <c r="AC217" i="20"/>
  <c r="AR217" i="20"/>
  <c r="AJ217" i="20"/>
  <c r="AU225" i="20"/>
  <c r="AL225" i="20"/>
  <c r="AK225" i="20"/>
  <c r="AR225" i="20"/>
  <c r="AQ225" i="20"/>
  <c r="AP225" i="20"/>
  <c r="AF225" i="20"/>
  <c r="V205" i="20"/>
  <c r="AK205" i="20"/>
  <c r="L205" i="20"/>
  <c r="AA205" i="20"/>
  <c r="AP205" i="20"/>
  <c r="R205" i="20"/>
  <c r="Q205" i="20"/>
  <c r="X205" i="20"/>
  <c r="W205" i="20"/>
  <c r="AU205" i="20"/>
  <c r="AV141" i="20"/>
  <c r="BD141" i="20" s="1"/>
  <c r="AL141" i="20"/>
  <c r="AD141" i="20"/>
  <c r="AS141" i="20"/>
  <c r="AC141" i="20"/>
  <c r="AR141" i="20"/>
  <c r="AB141" i="20"/>
  <c r="AQ141" i="20"/>
  <c r="AI141" i="20"/>
  <c r="AJ149" i="20"/>
  <c r="AP149" i="20"/>
  <c r="AO149" i="20"/>
  <c r="AG149" i="20"/>
  <c r="AF149" i="20"/>
  <c r="AN157" i="20"/>
  <c r="AS157" i="20"/>
  <c r="AR157" i="20"/>
  <c r="Y137" i="20"/>
  <c r="AO137" i="20"/>
  <c r="AG141" i="20"/>
  <c r="AL144" i="20"/>
  <c r="AF205" i="20"/>
  <c r="AI142" i="20"/>
  <c r="AH142" i="20"/>
  <c r="Z142" i="20"/>
  <c r="Y142" i="20"/>
  <c r="AU142" i="20"/>
  <c r="AM142" i="20"/>
  <c r="AE142" i="20"/>
  <c r="AT142" i="20"/>
  <c r="AD142" i="20"/>
  <c r="AP158" i="20"/>
  <c r="AO158" i="20"/>
  <c r="AU158" i="20"/>
  <c r="AT158" i="20"/>
  <c r="Z137" i="20"/>
  <c r="AP137" i="20"/>
  <c r="AH141" i="20"/>
  <c r="AN153" i="20"/>
  <c r="AS158" i="20"/>
  <c r="AE137" i="20"/>
  <c r="AU137" i="20"/>
  <c r="AR142" i="20"/>
  <c r="AK149" i="20"/>
  <c r="AU153" i="20"/>
  <c r="AG201" i="20"/>
  <c r="AV201" i="20"/>
  <c r="H201" i="20"/>
  <c r="W201" i="20"/>
  <c r="AL201" i="20"/>
  <c r="N201" i="20"/>
  <c r="U201" i="20"/>
  <c r="M201" i="20"/>
  <c r="AB201" i="20"/>
  <c r="T201" i="20"/>
  <c r="S201" i="20"/>
  <c r="R201" i="20"/>
  <c r="AQ201" i="20"/>
  <c r="C200" i="20"/>
  <c r="AL216" i="20"/>
  <c r="AJ144" i="20"/>
  <c r="AB144" i="20"/>
  <c r="AA144" i="20"/>
  <c r="AO144" i="20"/>
  <c r="AG144" i="20"/>
  <c r="AV144" i="20"/>
  <c r="BD144" i="20" s="1"/>
  <c r="AF144" i="20"/>
  <c r="AU144" i="20"/>
  <c r="AE144" i="20"/>
  <c r="AI121" i="20"/>
  <c r="AQ121" i="20"/>
  <c r="AF137" i="20"/>
  <c r="AS142" i="20"/>
  <c r="AL149" i="20"/>
  <c r="V209" i="20"/>
  <c r="AT137" i="20"/>
  <c r="AL137" i="20"/>
  <c r="AD137" i="20"/>
  <c r="V137" i="20"/>
  <c r="AS137" i="20"/>
  <c r="AK137" i="20"/>
  <c r="AC137" i="20"/>
  <c r="U137" i="20"/>
  <c r="AR137" i="20"/>
  <c r="AJ137" i="20"/>
  <c r="AB137" i="20"/>
  <c r="T137" i="20"/>
  <c r="AQ137" i="20"/>
  <c r="AI137" i="20"/>
  <c r="AA137" i="20"/>
  <c r="AT153" i="20"/>
  <c r="AS153" i="20"/>
  <c r="AK153" i="20"/>
  <c r="AJ153" i="20"/>
  <c r="AP153" i="20"/>
  <c r="AO153" i="20"/>
  <c r="D121" i="20"/>
  <c r="D120" i="20" s="1"/>
  <c r="D112" i="20" s="1"/>
  <c r="D115" i="20" s="1"/>
  <c r="AB121" i="20"/>
  <c r="AG137" i="20"/>
  <c r="V195" i="20"/>
  <c r="AS225" i="20" s="1"/>
  <c r="AC209" i="20"/>
  <c r="X202" i="20"/>
  <c r="AM202" i="20"/>
  <c r="O202" i="20"/>
  <c r="V202" i="20"/>
  <c r="N202" i="20"/>
  <c r="AC202" i="20"/>
  <c r="U202" i="20"/>
  <c r="AR202" i="20"/>
  <c r="T202" i="20"/>
  <c r="S202" i="20"/>
  <c r="AB210" i="20"/>
  <c r="AQ210" i="20"/>
  <c r="AA210" i="20"/>
  <c r="AP210" i="20"/>
  <c r="Q210" i="20"/>
  <c r="AF210" i="20"/>
  <c r="AU210" i="20"/>
  <c r="W210" i="20"/>
  <c r="AP218" i="20"/>
  <c r="AH218" i="20"/>
  <c r="Z218" i="20"/>
  <c r="AO218" i="20"/>
  <c r="AG218" i="20"/>
  <c r="Y218" i="20"/>
  <c r="AV218" i="20"/>
  <c r="BD218" i="20" s="1"/>
  <c r="AN218" i="20"/>
  <c r="AF218" i="20"/>
  <c r="X218" i="20"/>
  <c r="AU218" i="20"/>
  <c r="AM218" i="20"/>
  <c r="AE218" i="20"/>
  <c r="W218" i="20"/>
  <c r="AT218" i="20"/>
  <c r="AL218" i="20"/>
  <c r="AD218" i="20"/>
  <c r="V218" i="20"/>
  <c r="AS218" i="20"/>
  <c r="AK218" i="20"/>
  <c r="AC218" i="20"/>
  <c r="U218" i="20"/>
  <c r="AR218" i="20"/>
  <c r="AJ218" i="20"/>
  <c r="AB218" i="20"/>
  <c r="AQ218" i="20"/>
  <c r="AI218" i="20"/>
  <c r="AA218" i="20"/>
  <c r="AT226" i="20"/>
  <c r="AL226" i="20"/>
  <c r="AD226" i="20"/>
  <c r="AS226" i="20"/>
  <c r="AK226" i="20"/>
  <c r="AC226" i="20"/>
  <c r="AR226" i="20"/>
  <c r="AJ226" i="20"/>
  <c r="AQ226" i="20"/>
  <c r="AI226" i="20"/>
  <c r="AP226" i="20"/>
  <c r="AH226" i="20"/>
  <c r="AO226" i="20"/>
  <c r="AG226" i="20"/>
  <c r="AV226" i="20"/>
  <c r="BD226" i="20" s="1"/>
  <c r="AN226" i="20"/>
  <c r="AF226" i="20"/>
  <c r="AM226" i="20"/>
  <c r="AE226" i="20"/>
  <c r="U204" i="20"/>
  <c r="V210" i="20"/>
  <c r="AM212" i="20"/>
  <c r="Z213" i="20"/>
  <c r="AV231" i="20"/>
  <c r="BD231" i="20" s="1"/>
  <c r="AL231" i="20"/>
  <c r="AR231" i="20"/>
  <c r="AQ231" i="20"/>
  <c r="D178" i="20"/>
  <c r="D179" i="20" s="1"/>
  <c r="Y203" i="20"/>
  <c r="AN203" i="20"/>
  <c r="P203" i="20"/>
  <c r="W203" i="20"/>
  <c r="O203" i="20"/>
  <c r="AD203" i="20"/>
  <c r="V203" i="20"/>
  <c r="AS203" i="20"/>
  <c r="U203" i="20"/>
  <c r="T203" i="20"/>
  <c r="AC211" i="20"/>
  <c r="AB211" i="20"/>
  <c r="AQ211" i="20"/>
  <c r="R211" i="20"/>
  <c r="AG211" i="20"/>
  <c r="AV211" i="20"/>
  <c r="BD211" i="20" s="1"/>
  <c r="X211" i="20"/>
  <c r="AU227" i="20"/>
  <c r="J203" i="20"/>
  <c r="AC210" i="20"/>
  <c r="AI213" i="20"/>
  <c r="AU226" i="20"/>
  <c r="K204" i="20"/>
  <c r="Z204" i="20"/>
  <c r="AO204" i="20"/>
  <c r="Q204" i="20"/>
  <c r="X204" i="20"/>
  <c r="P204" i="20"/>
  <c r="AE204" i="20"/>
  <c r="W204" i="20"/>
  <c r="AT204" i="20"/>
  <c r="V204" i="20"/>
  <c r="AD212" i="20"/>
  <c r="AC212" i="20"/>
  <c r="AR212" i="20"/>
  <c r="S212" i="20"/>
  <c r="AH212" i="20"/>
  <c r="Y212" i="20"/>
  <c r="J195" i="20"/>
  <c r="S211" i="20" s="1"/>
  <c r="P195" i="20"/>
  <c r="V208" i="20" s="1"/>
  <c r="AX195" i="20"/>
  <c r="AY195" i="20" s="1"/>
  <c r="AZ195" i="20" s="1"/>
  <c r="BA195" i="20" s="1"/>
  <c r="BD195" i="20"/>
  <c r="BE195" i="20" s="1"/>
  <c r="BF195" i="20" s="1"/>
  <c r="AD210" i="20"/>
  <c r="W211" i="20"/>
  <c r="AG213" i="20"/>
  <c r="AN213" i="20"/>
  <c r="AD213" i="20"/>
  <c r="AS213" i="20"/>
  <c r="AF213" i="20"/>
  <c r="AE213" i="20"/>
  <c r="T213" i="20"/>
  <c r="AB221" i="20"/>
  <c r="AQ221" i="20"/>
  <c r="AH221" i="20"/>
  <c r="AO221" i="20"/>
  <c r="AG221" i="20"/>
  <c r="AV221" i="20"/>
  <c r="BD221" i="20" s="1"/>
  <c r="AN221" i="20"/>
  <c r="AM221" i="20"/>
  <c r="AL221" i="20"/>
  <c r="AO229" i="20"/>
  <c r="AV229" i="20"/>
  <c r="BD229" i="20" s="1"/>
  <c r="AU229" i="20"/>
  <c r="AT229" i="20"/>
  <c r="AJ229" i="20"/>
  <c r="AP229" i="20"/>
  <c r="AR237" i="20"/>
  <c r="Y195" i="20"/>
  <c r="AN217" i="20" s="1"/>
  <c r="AN195" i="20"/>
  <c r="BM195" i="20"/>
  <c r="BN195" i="20" s="1"/>
  <c r="BO195" i="20" s="1"/>
  <c r="BP195" i="20" s="1"/>
  <c r="AJ204" i="20"/>
  <c r="AQ206" i="20"/>
  <c r="AK210" i="20"/>
  <c r="AD211" i="20"/>
  <c r="Z206" i="20"/>
  <c r="R206" i="20"/>
  <c r="AG206" i="20"/>
  <c r="Y206" i="20"/>
  <c r="AV206" i="20"/>
  <c r="BD206" i="20" s="1"/>
  <c r="X206" i="20"/>
  <c r="W206" i="20"/>
  <c r="AL206" i="20"/>
  <c r="AC206" i="20"/>
  <c r="M206" i="20"/>
  <c r="AR214" i="20"/>
  <c r="AJ214" i="20"/>
  <c r="AB214" i="20"/>
  <c r="T214" i="20"/>
  <c r="AQ214" i="20"/>
  <c r="AI214" i="20"/>
  <c r="AA214" i="20"/>
  <c r="S214" i="20"/>
  <c r="AP214" i="20"/>
  <c r="AH214" i="20"/>
  <c r="Z214" i="20"/>
  <c r="R214" i="20"/>
  <c r="AO214" i="20"/>
  <c r="AG214" i="20"/>
  <c r="Y214" i="20"/>
  <c r="Q214" i="20"/>
  <c r="AV214" i="20"/>
  <c r="BD214" i="20" s="1"/>
  <c r="AN214" i="20"/>
  <c r="AF214" i="20"/>
  <c r="X214" i="20"/>
  <c r="AK214" i="20"/>
  <c r="AE214" i="20"/>
  <c r="AD214" i="20"/>
  <c r="AU214" i="20"/>
  <c r="AC214" i="20"/>
  <c r="AT214" i="20"/>
  <c r="W214" i="20"/>
  <c r="AS214" i="20"/>
  <c r="V214" i="20"/>
  <c r="AN222" i="20"/>
  <c r="AM222" i="20"/>
  <c r="AS222" i="20"/>
  <c r="AC222" i="20"/>
  <c r="AR222" i="20"/>
  <c r="AI222" i="20"/>
  <c r="AP222" i="20"/>
  <c r="AH222" i="20"/>
  <c r="AO222" i="20"/>
  <c r="AR230" i="20"/>
  <c r="AQ230" i="20"/>
  <c r="AP230" i="20"/>
  <c r="AV230" i="20"/>
  <c r="BD230" i="20" s="1"/>
  <c r="AU230" i="20"/>
  <c r="AK230" i="20"/>
  <c r="AT238" i="20"/>
  <c r="AS238" i="20"/>
  <c r="E195" i="20"/>
  <c r="K208" i="20" s="1"/>
  <c r="AD195" i="20"/>
  <c r="AI207" i="20" s="1"/>
  <c r="AS195" i="20"/>
  <c r="AV205" i="20" s="1"/>
  <c r="BD205" i="20" s="1"/>
  <c r="BR195" i="20"/>
  <c r="AH202" i="20"/>
  <c r="AE211" i="20"/>
  <c r="AV215" i="20"/>
  <c r="BD215" i="20" s="1"/>
  <c r="AN215" i="20"/>
  <c r="AF215" i="20"/>
  <c r="X215" i="20"/>
  <c r="AU215" i="20"/>
  <c r="AM215" i="20"/>
  <c r="AE215" i="20"/>
  <c r="W215" i="20"/>
  <c r="AT215" i="20"/>
  <c r="AL215" i="20"/>
  <c r="AD215" i="20"/>
  <c r="V215" i="20"/>
  <c r="AS215" i="20"/>
  <c r="AK215" i="20"/>
  <c r="AC215" i="20"/>
  <c r="U215" i="20"/>
  <c r="AR215" i="20"/>
  <c r="AJ215" i="20"/>
  <c r="AB215" i="20"/>
  <c r="T215" i="20"/>
  <c r="AO215" i="20"/>
  <c r="R215" i="20"/>
  <c r="AI215" i="20"/>
  <c r="AH215" i="20"/>
  <c r="AG215" i="20"/>
  <c r="AA215" i="20"/>
  <c r="Z215" i="20"/>
  <c r="AR223" i="20"/>
  <c r="AJ223" i="20"/>
  <c r="AI223" i="20"/>
  <c r="AP223" i="20"/>
  <c r="AH223" i="20"/>
  <c r="AO223" i="20"/>
  <c r="AN223" i="20"/>
  <c r="AM223" i="20"/>
  <c r="AP239" i="20"/>
  <c r="AT239" i="20"/>
  <c r="BS195" i="20"/>
  <c r="BT195" i="20" s="1"/>
  <c r="BU195" i="20" s="1"/>
  <c r="I202" i="20"/>
  <c r="Z203" i="20"/>
  <c r="S206" i="20"/>
  <c r="AL211" i="20"/>
  <c r="X212" i="20"/>
  <c r="U214" i="20"/>
  <c r="AM227" i="20"/>
  <c r="AN233" i="20"/>
  <c r="AT233" i="20"/>
  <c r="AS233" i="20"/>
  <c r="AO234" i="20"/>
  <c r="AU234" i="20"/>
  <c r="AT234" i="20"/>
  <c r="Z219" i="20"/>
  <c r="AO219" i="20"/>
  <c r="AF219" i="20"/>
  <c r="AM219" i="20"/>
  <c r="AE219" i="20"/>
  <c r="AT219" i="20"/>
  <c r="AL219" i="20"/>
  <c r="AK219" i="20"/>
  <c r="AJ219" i="20"/>
  <c r="AT227" i="20"/>
  <c r="AS227" i="20"/>
  <c r="AR227" i="20"/>
  <c r="AH227" i="20"/>
  <c r="AN227" i="20"/>
  <c r="AP235" i="20"/>
  <c r="AV235" i="20"/>
  <c r="BD235" i="20" s="1"/>
  <c r="AU235" i="20"/>
  <c r="AQ235" i="20"/>
  <c r="AQ220" i="20"/>
  <c r="AA220" i="20"/>
  <c r="AP220" i="20"/>
  <c r="AG220" i="20"/>
  <c r="AN220" i="20"/>
  <c r="AF220" i="20"/>
  <c r="AU220" i="20"/>
  <c r="AM220" i="20"/>
  <c r="AL220" i="20"/>
  <c r="AK220" i="20"/>
  <c r="AU228" i="20"/>
  <c r="AT228" i="20"/>
  <c r="AS228" i="20"/>
  <c r="AI228" i="20"/>
  <c r="AO228" i="20"/>
  <c r="AQ236" i="20"/>
  <c r="AV236" i="20"/>
  <c r="BD236" i="20" s="1"/>
  <c r="AA219" i="20"/>
  <c r="AN228" i="20"/>
  <c r="AU219" i="20" l="1"/>
  <c r="AR211" i="20"/>
  <c r="AO208" i="20"/>
  <c r="AJ208" i="20"/>
  <c r="AL210" i="20"/>
  <c r="AT213" i="20"/>
  <c r="AS202" i="20"/>
  <c r="AL205" i="20"/>
  <c r="AN207" i="20"/>
  <c r="AT195" i="20"/>
  <c r="AK204" i="20"/>
  <c r="AM206" i="20"/>
  <c r="AS212" i="20"/>
  <c r="AI202" i="20"/>
  <c r="AV220" i="20"/>
  <c r="BD220" i="20" s="1"/>
  <c r="BB220" i="20" s="1"/>
  <c r="AU204" i="20"/>
  <c r="AJ203" i="20"/>
  <c r="AP209" i="20"/>
  <c r="AJ195" i="20"/>
  <c r="AC201" i="20"/>
  <c r="BE205" i="20"/>
  <c r="BB205" i="20"/>
  <c r="AO203" i="20"/>
  <c r="AT208" i="20"/>
  <c r="AM201" i="20"/>
  <c r="AO195" i="20"/>
  <c r="AS207" i="20"/>
  <c r="AQ205" i="20"/>
  <c r="S216" i="20"/>
  <c r="AJ233" i="20"/>
  <c r="AO238" i="20"/>
  <c r="Q195" i="20"/>
  <c r="W220" i="20"/>
  <c r="AD227" i="20"/>
  <c r="AG219" i="20"/>
  <c r="BE230" i="20"/>
  <c r="BB230" i="20"/>
  <c r="BE221" i="20"/>
  <c r="BB221" i="20"/>
  <c r="AR236" i="20"/>
  <c r="J202" i="20"/>
  <c r="AV240" i="20"/>
  <c r="BD240" i="20" s="1"/>
  <c r="U213" i="20"/>
  <c r="AS237" i="20"/>
  <c r="AD223" i="20"/>
  <c r="L204" i="20"/>
  <c r="Q209" i="20"/>
  <c r="I201" i="20"/>
  <c r="AC221" i="20"/>
  <c r="AK229" i="20"/>
  <c r="N206" i="20"/>
  <c r="AL230" i="20"/>
  <c r="AG225" i="20"/>
  <c r="R210" i="20"/>
  <c r="AM231" i="20"/>
  <c r="P208" i="20"/>
  <c r="X216" i="20"/>
  <c r="AF224" i="20"/>
  <c r="Y217" i="20"/>
  <c r="O207" i="20"/>
  <c r="BE144" i="20"/>
  <c r="BB144" i="20"/>
  <c r="AU209" i="20"/>
  <c r="AS127" i="20"/>
  <c r="AS62" i="20"/>
  <c r="AT67" i="20"/>
  <c r="AJ57" i="20"/>
  <c r="AN61" i="20"/>
  <c r="AS131" i="20"/>
  <c r="AR65" i="20"/>
  <c r="AI56" i="20"/>
  <c r="AK58" i="20"/>
  <c r="AS66" i="20"/>
  <c r="AL59" i="20"/>
  <c r="AK40" i="20"/>
  <c r="AM60" i="20"/>
  <c r="AV134" i="20"/>
  <c r="BD134" i="20" s="1"/>
  <c r="AU133" i="20"/>
  <c r="AU68" i="20"/>
  <c r="AT132" i="20"/>
  <c r="N211" i="20"/>
  <c r="T217" i="20"/>
  <c r="AK234" i="20"/>
  <c r="P213" i="20"/>
  <c r="X221" i="20"/>
  <c r="F195" i="20"/>
  <c r="AU243" i="20" s="1"/>
  <c r="O212" i="20"/>
  <c r="I206" i="20"/>
  <c r="AL235" i="20"/>
  <c r="AM236" i="20"/>
  <c r="AA224" i="20"/>
  <c r="AF229" i="20"/>
  <c r="AV245" i="20"/>
  <c r="BD245" i="20" s="1"/>
  <c r="AB225" i="20"/>
  <c r="H205" i="20"/>
  <c r="AQ240" i="20"/>
  <c r="L209" i="20"/>
  <c r="AI221" i="20"/>
  <c r="AN57" i="20"/>
  <c r="AO227" i="20"/>
  <c r="AG230" i="20"/>
  <c r="AD207" i="20"/>
  <c r="AS223" i="20"/>
  <c r="AM216" i="20"/>
  <c r="AB205" i="20"/>
  <c r="AR221" i="20"/>
  <c r="AV225" i="20"/>
  <c r="BD225" i="20" s="1"/>
  <c r="AE208" i="20"/>
  <c r="Y202" i="20"/>
  <c r="Z195" i="20"/>
  <c r="AF209" i="20"/>
  <c r="AU224" i="20"/>
  <c r="X201" i="20"/>
  <c r="K195" i="20"/>
  <c r="AP204" i="20"/>
  <c r="AN202" i="20"/>
  <c r="BE130" i="20"/>
  <c r="BB130" i="20"/>
  <c r="AT58" i="20"/>
  <c r="AV60" i="20"/>
  <c r="AR56" i="20"/>
  <c r="AS57" i="20"/>
  <c r="AS122" i="20"/>
  <c r="AR121" i="20"/>
  <c r="V219" i="20"/>
  <c r="AH231" i="20"/>
  <c r="D201" i="20"/>
  <c r="D200" i="20" s="1"/>
  <c r="D182" i="20" s="1"/>
  <c r="D185" i="20" s="1"/>
  <c r="BE160" i="20"/>
  <c r="BB160" i="20"/>
  <c r="BG78" i="20"/>
  <c r="BD78" i="20"/>
  <c r="AE228" i="20"/>
  <c r="AU195" i="20"/>
  <c r="AT202" i="20"/>
  <c r="AV204" i="20"/>
  <c r="BD204" i="20" s="1"/>
  <c r="AU203" i="20"/>
  <c r="AS201" i="20"/>
  <c r="AD222" i="20"/>
  <c r="K203" i="20"/>
  <c r="AI212" i="20"/>
  <c r="AG210" i="20"/>
  <c r="E202" i="20"/>
  <c r="BE159" i="20"/>
  <c r="BB159" i="20"/>
  <c r="J207" i="20"/>
  <c r="AM121" i="20"/>
  <c r="AM56" i="20"/>
  <c r="AQ60" i="20"/>
  <c r="AO58" i="20"/>
  <c r="AV65" i="20"/>
  <c r="AR61" i="20"/>
  <c r="AO40" i="20"/>
  <c r="AP59" i="20"/>
  <c r="AU64" i="20"/>
  <c r="BG69" i="20"/>
  <c r="BD69" i="20"/>
  <c r="AP234" i="20"/>
  <c r="AO233" i="20"/>
  <c r="AT203" i="20"/>
  <c r="AR201" i="20"/>
  <c r="AQ229" i="20"/>
  <c r="AA213" i="20"/>
  <c r="G204" i="20"/>
  <c r="AS231" i="20"/>
  <c r="BB218" i="20"/>
  <c r="BE218" i="20"/>
  <c r="BE216" i="20"/>
  <c r="BB216" i="20"/>
  <c r="BG94" i="20"/>
  <c r="BD94" i="20"/>
  <c r="BG80" i="20"/>
  <c r="BD80" i="20"/>
  <c r="Z212" i="20"/>
  <c r="BE211" i="20"/>
  <c r="BB211" i="20"/>
  <c r="AV210" i="20"/>
  <c r="BD210" i="20" s="1"/>
  <c r="BB236" i="20"/>
  <c r="BE236" i="20"/>
  <c r="AJ228" i="20"/>
  <c r="BB235" i="20"/>
  <c r="BE235" i="20"/>
  <c r="AI227" i="20"/>
  <c r="AP219" i="20"/>
  <c r="AB220" i="20"/>
  <c r="M210" i="20"/>
  <c r="AU239" i="20"/>
  <c r="AM211" i="20"/>
  <c r="AR216" i="20"/>
  <c r="AG205" i="20"/>
  <c r="AS217" i="20"/>
  <c r="AK209" i="20"/>
  <c r="AH206" i="20"/>
  <c r="AE195" i="20"/>
  <c r="AD202" i="20"/>
  <c r="AF204" i="20"/>
  <c r="AN212" i="20"/>
  <c r="BB206" i="20"/>
  <c r="BE206" i="20"/>
  <c r="AN237" i="20"/>
  <c r="AO213" i="20"/>
  <c r="T212" i="20"/>
  <c r="AA204" i="20"/>
  <c r="AH211" i="20"/>
  <c r="AE203" i="20"/>
  <c r="M205" i="20"/>
  <c r="AN122" i="20"/>
  <c r="BG85" i="20"/>
  <c r="BD85" i="20"/>
  <c r="AD132" i="20"/>
  <c r="T122" i="20"/>
  <c r="T57" i="20"/>
  <c r="AQ80" i="20"/>
  <c r="U123" i="20"/>
  <c r="AJ73" i="20"/>
  <c r="AN77" i="20"/>
  <c r="Y62" i="20"/>
  <c r="AC66" i="20"/>
  <c r="AL75" i="20"/>
  <c r="Y127" i="20"/>
  <c r="AR146" i="20"/>
  <c r="AK139" i="20"/>
  <c r="AE133" i="20"/>
  <c r="AF69" i="20"/>
  <c r="AE68" i="20"/>
  <c r="AA64" i="20"/>
  <c r="AP79" i="20"/>
  <c r="AQ145" i="20"/>
  <c r="AB65" i="20"/>
  <c r="X61" i="20"/>
  <c r="AD67" i="20"/>
  <c r="AG70" i="20"/>
  <c r="AR81" i="20"/>
  <c r="AS82" i="20"/>
  <c r="AL140" i="20"/>
  <c r="AM141" i="20"/>
  <c r="AP144" i="20"/>
  <c r="AK74" i="20"/>
  <c r="AU149" i="20"/>
  <c r="AI72" i="20"/>
  <c r="AO78" i="20"/>
  <c r="U58" i="20"/>
  <c r="AV150" i="20"/>
  <c r="BD150" i="20" s="1"/>
  <c r="AJ138" i="20"/>
  <c r="AS147" i="20"/>
  <c r="AT148" i="20"/>
  <c r="AN142" i="20"/>
  <c r="U40" i="20"/>
  <c r="V59" i="20"/>
  <c r="AF134" i="20"/>
  <c r="AC131" i="20"/>
  <c r="S121" i="20"/>
  <c r="Z121" i="20"/>
  <c r="AB40" i="20"/>
  <c r="Z56" i="20"/>
  <c r="AB58" i="20"/>
  <c r="AA57" i="20"/>
  <c r="AD60" i="20"/>
  <c r="AM134" i="20"/>
  <c r="AA122" i="20"/>
  <c r="AT76" i="20"/>
  <c r="AB123" i="20"/>
  <c r="AL133" i="20"/>
  <c r="AI65" i="20"/>
  <c r="AC59" i="20"/>
  <c r="AU77" i="20"/>
  <c r="AS75" i="20"/>
  <c r="AR139" i="20"/>
  <c r="AK132" i="20"/>
  <c r="AE61" i="20"/>
  <c r="AL68" i="20"/>
  <c r="AJ66" i="20"/>
  <c r="AF127" i="20"/>
  <c r="AH64" i="20"/>
  <c r="AF62" i="20"/>
  <c r="AS140" i="20"/>
  <c r="AT141" i="20"/>
  <c r="AN70" i="20"/>
  <c r="AR74" i="20"/>
  <c r="AQ73" i="20"/>
  <c r="AJ131" i="20"/>
  <c r="BE246" i="20"/>
  <c r="BB246" i="20"/>
  <c r="T206" i="20"/>
  <c r="S205" i="20"/>
  <c r="AU233" i="20"/>
  <c r="AP228" i="20"/>
  <c r="AL224" i="20"/>
  <c r="P202" i="20"/>
  <c r="AJ222" i="20"/>
  <c r="AV234" i="20"/>
  <c r="BD234" i="20" s="1"/>
  <c r="W209" i="20"/>
  <c r="AM225" i="20"/>
  <c r="X210" i="20"/>
  <c r="R204" i="20"/>
  <c r="AH220" i="20"/>
  <c r="AE217" i="20"/>
  <c r="Q203" i="20"/>
  <c r="Y211" i="20"/>
  <c r="AD216" i="20"/>
  <c r="O201" i="20"/>
  <c r="Y222" i="20"/>
  <c r="AR206" i="20"/>
  <c r="BE214" i="20"/>
  <c r="BB214" i="20"/>
  <c r="F203" i="20"/>
  <c r="BE231" i="20"/>
  <c r="BB231" i="20"/>
  <c r="AJ213" i="20"/>
  <c r="BE232" i="20"/>
  <c r="BB232" i="20"/>
  <c r="U207" i="20"/>
  <c r="AT40" i="20"/>
  <c r="AK123" i="20"/>
  <c r="AQ64" i="20"/>
  <c r="BE141" i="20"/>
  <c r="BB141" i="20"/>
  <c r="O121" i="20"/>
  <c r="O120" i="20" s="1"/>
  <c r="O112" i="20" s="1"/>
  <c r="O115" i="20" s="1"/>
  <c r="AG139" i="20"/>
  <c r="AT87" i="20"/>
  <c r="O56" i="20"/>
  <c r="AT242" i="20"/>
  <c r="AS242" i="20"/>
  <c r="Q58" i="20"/>
  <c r="BD86" i="20"/>
  <c r="AQ84" i="20"/>
  <c r="BE71" i="20"/>
  <c r="BB71" i="20"/>
  <c r="AK88" i="20"/>
  <c r="J121" i="20"/>
  <c r="J120" i="20" s="1"/>
  <c r="J112" i="20" s="1"/>
  <c r="J115" i="20" s="1"/>
  <c r="J56" i="20"/>
  <c r="AA73" i="20"/>
  <c r="L40" i="20"/>
  <c r="L58" i="20"/>
  <c r="M59" i="20"/>
  <c r="BG90" i="20"/>
  <c r="BD90" i="20"/>
  <c r="BD61" i="20"/>
  <c r="AN132" i="20"/>
  <c r="AC121" i="20"/>
  <c r="AV75" i="20"/>
  <c r="AM85" i="20"/>
  <c r="AB69" i="20"/>
  <c r="BE124" i="20"/>
  <c r="BB124" i="20"/>
  <c r="BE146" i="20"/>
  <c r="BB146" i="20"/>
  <c r="BB145" i="20"/>
  <c r="BE145" i="20"/>
  <c r="BB135" i="20"/>
  <c r="BE135" i="20"/>
  <c r="AJ77" i="20"/>
  <c r="AB134" i="20"/>
  <c r="BG70" i="20"/>
  <c r="BD70" i="20"/>
  <c r="AC80" i="20"/>
  <c r="Y66" i="20"/>
  <c r="Z67" i="20"/>
  <c r="R59" i="20"/>
  <c r="AV95" i="20"/>
  <c r="AU95" i="20"/>
  <c r="AR95" i="20"/>
  <c r="AQ95" i="20"/>
  <c r="W140" i="20"/>
  <c r="AC81" i="20"/>
  <c r="AO92" i="20"/>
  <c r="S65" i="20"/>
  <c r="AP88" i="20"/>
  <c r="E57" i="20"/>
  <c r="BE226" i="20"/>
  <c r="BB226" i="20"/>
  <c r="BB125" i="20"/>
  <c r="BE125" i="20"/>
  <c r="BE140" i="20"/>
  <c r="BB140" i="20"/>
  <c r="BE131" i="20"/>
  <c r="BB131" i="20"/>
  <c r="AV154" i="20"/>
  <c r="BD154" i="20" s="1"/>
  <c r="E55" i="20"/>
  <c r="E43" i="20" s="1"/>
  <c r="E50" i="20" s="1"/>
  <c r="E120" i="20"/>
  <c r="E112" i="20" s="1"/>
  <c r="E115" i="20" s="1"/>
  <c r="Z77" i="20"/>
  <c r="AM80" i="20"/>
  <c r="AH150" i="20"/>
  <c r="BE56" i="20"/>
  <c r="BB56" i="20"/>
  <c r="AV89" i="20"/>
  <c r="AN81" i="20"/>
  <c r="AE123" i="20"/>
  <c r="L123" i="20"/>
  <c r="AH80" i="20"/>
  <c r="Z78" i="20"/>
  <c r="S70" i="20"/>
  <c r="AN67" i="20"/>
  <c r="H59" i="20"/>
  <c r="AJ87" i="20"/>
  <c r="O66" i="20"/>
  <c r="AS86" i="20"/>
  <c r="AI76" i="20"/>
  <c r="AD76" i="20"/>
  <c r="N65" i="20"/>
  <c r="AS72" i="20"/>
  <c r="AE72" i="20"/>
  <c r="F57" i="20"/>
  <c r="AD57" i="20"/>
  <c r="J61" i="20"/>
  <c r="G40" i="20"/>
  <c r="W69" i="20"/>
  <c r="AP69" i="20"/>
  <c r="BE215" i="20"/>
  <c r="BB215" i="20"/>
  <c r="BD201" i="20"/>
  <c r="AQ149" i="20"/>
  <c r="AA133" i="20"/>
  <c r="AP148" i="20"/>
  <c r="BE129" i="20"/>
  <c r="BB129" i="20"/>
  <c r="BB151" i="20"/>
  <c r="BE151" i="20"/>
  <c r="AK83" i="20"/>
  <c r="AQ114" i="20"/>
  <c r="AQ161" i="20" s="1"/>
  <c r="AU74" i="20"/>
  <c r="AU244" i="20"/>
  <c r="AV244" i="20"/>
  <c r="BD244" i="20" s="1"/>
  <c r="W134" i="20"/>
  <c r="AK89" i="20"/>
  <c r="AD81" i="20"/>
  <c r="BD81" i="20"/>
  <c r="V73" i="20"/>
  <c r="AC70" i="20"/>
  <c r="AG84" i="20"/>
  <c r="Y76" i="20"/>
  <c r="BD76" i="20"/>
  <c r="I60" i="20"/>
  <c r="BE91" i="20"/>
  <c r="BB91" i="20"/>
  <c r="U72" i="20"/>
  <c r="K57" i="20"/>
  <c r="I61" i="20"/>
  <c r="AH121" i="20"/>
  <c r="AH56" i="20"/>
  <c r="AS67" i="20"/>
  <c r="AJ58" i="20"/>
  <c r="BE229" i="20"/>
  <c r="BB229" i="20"/>
  <c r="AV228" i="20"/>
  <c r="BD228" i="20" s="1"/>
  <c r="W195" i="20"/>
  <c r="AF212" i="20"/>
  <c r="Y205" i="20"/>
  <c r="AJ216" i="20"/>
  <c r="BE156" i="20"/>
  <c r="BB156" i="20"/>
  <c r="X140" i="20"/>
  <c r="AO147" i="20"/>
  <c r="Y131" i="20"/>
  <c r="V138" i="20"/>
  <c r="AH145" i="20"/>
  <c r="P122" i="20"/>
  <c r="BE152" i="20"/>
  <c r="BB152" i="20"/>
  <c r="K127" i="20"/>
  <c r="U67" i="20"/>
  <c r="BE121" i="20"/>
  <c r="BB121" i="20"/>
  <c r="AR90" i="20"/>
  <c r="AD82" i="20"/>
  <c r="V74" i="20"/>
  <c r="N121" i="20"/>
  <c r="AI77" i="20"/>
  <c r="N56" i="20"/>
  <c r="AQ85" i="20"/>
  <c r="AM150" i="20"/>
  <c r="AF73" i="20"/>
  <c r="AS241" i="20"/>
  <c r="AR241" i="20"/>
  <c r="AV241" i="20"/>
  <c r="BD241" i="20" s="1"/>
  <c r="Q123" i="20"/>
  <c r="AH75" i="20"/>
  <c r="T66" i="20"/>
  <c r="AK78" i="20"/>
  <c r="AA79" i="20"/>
  <c r="AL84" i="20"/>
  <c r="AQ65" i="20"/>
  <c r="Z72" i="20"/>
  <c r="O57" i="20"/>
  <c r="P57" i="20"/>
  <c r="S61" i="20"/>
  <c r="AA69" i="20"/>
  <c r="AR96" i="20"/>
  <c r="AS96" i="20" s="1"/>
  <c r="BB63" i="20"/>
  <c r="BE63" i="20"/>
  <c r="AO157" i="20"/>
  <c r="AT157" i="20"/>
  <c r="X141" i="20"/>
  <c r="AF148" i="20"/>
  <c r="U132" i="20"/>
  <c r="P132" i="20"/>
  <c r="BE155" i="20"/>
  <c r="BB155" i="20"/>
  <c r="AE147" i="20"/>
  <c r="V139" i="20"/>
  <c r="F122" i="20"/>
  <c r="AQ154" i="20"/>
  <c r="AT138" i="20"/>
  <c r="AA138" i="20"/>
  <c r="AM145" i="20"/>
  <c r="AP159" i="20"/>
  <c r="AS151" i="20"/>
  <c r="AH151" i="20"/>
  <c r="BE143" i="20"/>
  <c r="BB143" i="20"/>
  <c r="U127" i="20"/>
  <c r="BD66" i="20"/>
  <c r="K62" i="20"/>
  <c r="Q40" i="20"/>
  <c r="AT243" i="20"/>
  <c r="AQ150" i="20"/>
  <c r="AP134" i="20"/>
  <c r="BB126" i="20"/>
  <c r="BE126" i="20"/>
  <c r="M64" i="20"/>
  <c r="AL89" i="20"/>
  <c r="AJ123" i="20"/>
  <c r="AU93" i="20"/>
  <c r="AL80" i="20"/>
  <c r="AF78" i="20"/>
  <c r="AA78" i="20"/>
  <c r="BG79" i="20"/>
  <c r="BD79" i="20"/>
  <c r="AG75" i="20"/>
  <c r="Y67" i="20"/>
  <c r="AE58" i="20"/>
  <c r="AS87" i="20"/>
  <c r="AI86" i="20"/>
  <c r="Q68" i="20"/>
  <c r="AL60" i="20"/>
  <c r="AU88" i="20"/>
  <c r="T61" i="20"/>
  <c r="AE40" i="20"/>
  <c r="AQ70" i="20"/>
  <c r="AR53" i="20"/>
  <c r="AR97" i="20" s="1"/>
  <c r="BE220" i="20" l="1"/>
  <c r="AK195" i="20"/>
  <c r="AJ202" i="20"/>
  <c r="AT212" i="20"/>
  <c r="AN206" i="20"/>
  <c r="AM205" i="20"/>
  <c r="AO207" i="20"/>
  <c r="AU213" i="20"/>
  <c r="AQ209" i="20"/>
  <c r="AP208" i="20"/>
  <c r="AI201" i="20"/>
  <c r="AS211" i="20"/>
  <c r="AL204" i="20"/>
  <c r="AR210" i="20"/>
  <c r="AK203" i="20"/>
  <c r="M40" i="20"/>
  <c r="V67" i="20"/>
  <c r="L57" i="20"/>
  <c r="X69" i="20"/>
  <c r="AQ88" i="20"/>
  <c r="AE76" i="20"/>
  <c r="AN85" i="20"/>
  <c r="AS90" i="20"/>
  <c r="AL83" i="20"/>
  <c r="U131" i="20"/>
  <c r="AI80" i="20"/>
  <c r="AB73" i="20"/>
  <c r="AF77" i="20"/>
  <c r="Q62" i="20"/>
  <c r="AD75" i="20"/>
  <c r="Q127" i="20"/>
  <c r="AO151" i="20"/>
  <c r="AJ146" i="20"/>
  <c r="AC139" i="20"/>
  <c r="P61" i="20"/>
  <c r="T65" i="20"/>
  <c r="W68" i="20"/>
  <c r="M58" i="20"/>
  <c r="S64" i="20"/>
  <c r="Y70" i="20"/>
  <c r="AJ81" i="20"/>
  <c r="AR89" i="20"/>
  <c r="U66" i="20"/>
  <c r="AK82" i="20"/>
  <c r="AI145" i="20"/>
  <c r="AS155" i="20"/>
  <c r="W133" i="20"/>
  <c r="AD140" i="20"/>
  <c r="AT156" i="20"/>
  <c r="AE141" i="20"/>
  <c r="AH144" i="20"/>
  <c r="AO86" i="20"/>
  <c r="AC74" i="20"/>
  <c r="M123" i="20"/>
  <c r="AM149" i="20"/>
  <c r="K121" i="20"/>
  <c r="K120" i="20" s="1"/>
  <c r="K112" i="20" s="1"/>
  <c r="K115" i="20" s="1"/>
  <c r="AA72" i="20"/>
  <c r="AG78" i="20"/>
  <c r="X134" i="20"/>
  <c r="AT91" i="20"/>
  <c r="AB138" i="20"/>
  <c r="AK147" i="20"/>
  <c r="L122" i="20"/>
  <c r="V132" i="20"/>
  <c r="AL148" i="20"/>
  <c r="AF142" i="20"/>
  <c r="AU92" i="20"/>
  <c r="AP87" i="20"/>
  <c r="AN150" i="20"/>
  <c r="AR154" i="20"/>
  <c r="AQ153" i="20"/>
  <c r="AU157" i="20"/>
  <c r="O60" i="20"/>
  <c r="AV93" i="20"/>
  <c r="AM84" i="20"/>
  <c r="K56" i="20"/>
  <c r="AV158" i="20"/>
  <c r="BD158" i="20" s="1"/>
  <c r="N59" i="20"/>
  <c r="AH79" i="20"/>
  <c r="AB57" i="20"/>
  <c r="AE60" i="20"/>
  <c r="AM68" i="20"/>
  <c r="AI64" i="20"/>
  <c r="AA56" i="20"/>
  <c r="AO70" i="20"/>
  <c r="AC58" i="20"/>
  <c r="AK131" i="20"/>
  <c r="AT140" i="20"/>
  <c r="AU141" i="20"/>
  <c r="AS74" i="20"/>
  <c r="AQ72" i="20"/>
  <c r="AR138" i="20"/>
  <c r="AV142" i="20"/>
  <c r="BD142" i="20" s="1"/>
  <c r="AN69" i="20"/>
  <c r="AD59" i="20"/>
  <c r="AN134" i="20"/>
  <c r="AM133" i="20"/>
  <c r="AJ65" i="20"/>
  <c r="AC123" i="20"/>
  <c r="AV77" i="20"/>
  <c r="AF61" i="20"/>
  <c r="AA121" i="20"/>
  <c r="AU76" i="20"/>
  <c r="BG76" i="20" s="1"/>
  <c r="AB122" i="20"/>
  <c r="AK66" i="20"/>
  <c r="AG127" i="20"/>
  <c r="AL67" i="20"/>
  <c r="AG62" i="20"/>
  <c r="AL132" i="20"/>
  <c r="AR73" i="20"/>
  <c r="AS139" i="20"/>
  <c r="AT75" i="20"/>
  <c r="BE241" i="20"/>
  <c r="BB241" i="20"/>
  <c r="AA206" i="20"/>
  <c r="X203" i="20"/>
  <c r="AP221" i="20"/>
  <c r="AQ223" i="20"/>
  <c r="AV227" i="20"/>
  <c r="BD227" i="20" s="1"/>
  <c r="V201" i="20"/>
  <c r="AB207" i="20"/>
  <c r="AC208" i="20"/>
  <c r="AN219" i="20"/>
  <c r="AS224" i="20"/>
  <c r="AD209" i="20"/>
  <c r="AT225" i="20"/>
  <c r="Z205" i="20"/>
  <c r="AK216" i="20"/>
  <c r="AF211" i="20"/>
  <c r="Y204" i="20"/>
  <c r="AQ222" i="20"/>
  <c r="W202" i="20"/>
  <c r="AG212" i="20"/>
  <c r="AE210" i="20"/>
  <c r="AH213" i="20"/>
  <c r="AL217" i="20"/>
  <c r="AO220" i="20"/>
  <c r="AC144" i="20"/>
  <c r="AP157" i="20"/>
  <c r="AN90" i="20"/>
  <c r="Y75" i="20"/>
  <c r="F121" i="20"/>
  <c r="F120" i="20" s="1"/>
  <c r="F112" i="20" s="1"/>
  <c r="F115" i="20" s="1"/>
  <c r="F56" i="20"/>
  <c r="F55" i="20" s="1"/>
  <c r="F43" i="20" s="1"/>
  <c r="F50" i="20" s="1"/>
  <c r="L62" i="20"/>
  <c r="V72" i="20"/>
  <c r="J60" i="20"/>
  <c r="AH84" i="20"/>
  <c r="I59" i="20"/>
  <c r="H123" i="20"/>
  <c r="AG83" i="20"/>
  <c r="G122" i="20"/>
  <c r="AO156" i="20"/>
  <c r="AK87" i="20"/>
  <c r="Q67" i="20"/>
  <c r="AD80" i="20"/>
  <c r="AI150" i="20"/>
  <c r="AS160" i="20"/>
  <c r="AA77" i="20"/>
  <c r="AE146" i="20"/>
  <c r="AN155" i="20"/>
  <c r="Q132" i="20"/>
  <c r="AL153" i="20"/>
  <c r="S69" i="20"/>
  <c r="K61" i="20"/>
  <c r="G57" i="20"/>
  <c r="O65" i="20"/>
  <c r="H58" i="20"/>
  <c r="AI85" i="20"/>
  <c r="AO91" i="20"/>
  <c r="Y140" i="20"/>
  <c r="Z141" i="20"/>
  <c r="AJ151" i="20"/>
  <c r="AL88" i="20"/>
  <c r="AP92" i="20"/>
  <c r="AC79" i="20"/>
  <c r="S134" i="20"/>
  <c r="AR94" i="20"/>
  <c r="AF82" i="20"/>
  <c r="R68" i="20"/>
  <c r="P66" i="20"/>
  <c r="AQ93" i="20"/>
  <c r="H40" i="20"/>
  <c r="AD145" i="20"/>
  <c r="X139" i="20"/>
  <c r="R133" i="20"/>
  <c r="AA142" i="20"/>
  <c r="AQ158" i="20"/>
  <c r="AB78" i="20"/>
  <c r="L127" i="20"/>
  <c r="AF147" i="20"/>
  <c r="AG148" i="20"/>
  <c r="AH149" i="20"/>
  <c r="X74" i="20"/>
  <c r="T70" i="20"/>
  <c r="W73" i="20"/>
  <c r="AM89" i="20"/>
  <c r="P131" i="20"/>
  <c r="AR159" i="20"/>
  <c r="AJ86" i="20"/>
  <c r="N64" i="20"/>
  <c r="W138" i="20"/>
  <c r="Z76" i="20"/>
  <c r="AE81" i="20"/>
  <c r="AM154" i="20"/>
  <c r="BG95" i="20"/>
  <c r="BD95" i="20"/>
  <c r="BB234" i="20"/>
  <c r="BE234" i="20"/>
  <c r="AV195" i="20"/>
  <c r="AU202" i="20"/>
  <c r="AT201" i="20"/>
  <c r="AV203" i="20"/>
  <c r="BD203" i="20" s="1"/>
  <c r="AD121" i="20"/>
  <c r="AD56" i="20"/>
  <c r="AV74" i="20"/>
  <c r="AP68" i="20"/>
  <c r="AR70" i="20"/>
  <c r="AL64" i="20"/>
  <c r="AG59" i="20"/>
  <c r="AJ62" i="20"/>
  <c r="AU73" i="20"/>
  <c r="AJ127" i="20"/>
  <c r="AV139" i="20"/>
  <c r="BD139" i="20" s="1"/>
  <c r="AN131" i="20"/>
  <c r="AP133" i="20"/>
  <c r="AT72" i="20"/>
  <c r="AM65" i="20"/>
  <c r="AH60" i="20"/>
  <c r="AF58" i="20"/>
  <c r="AF123" i="20"/>
  <c r="AQ134" i="20"/>
  <c r="AE122" i="20"/>
  <c r="AI61" i="20"/>
  <c r="AQ69" i="20"/>
  <c r="AF40" i="20"/>
  <c r="AO67" i="20"/>
  <c r="AE57" i="20"/>
  <c r="AU138" i="20"/>
  <c r="AN66" i="20"/>
  <c r="AO132" i="20"/>
  <c r="BE228" i="20"/>
  <c r="BB228" i="20"/>
  <c r="BE61" i="20"/>
  <c r="BB61" i="20"/>
  <c r="AS121" i="20"/>
  <c r="AS56" i="20"/>
  <c r="AU123" i="20"/>
  <c r="AT122" i="20"/>
  <c r="AT57" i="20"/>
  <c r="AU58" i="20"/>
  <c r="AU40" i="20"/>
  <c r="AV59" i="20"/>
  <c r="AQ219" i="20"/>
  <c r="AA203" i="20"/>
  <c r="AH210" i="20"/>
  <c r="AF208" i="20"/>
  <c r="AV224" i="20"/>
  <c r="BD224" i="20" s="1"/>
  <c r="AO217" i="20"/>
  <c r="AI211" i="20"/>
  <c r="AR220" i="20"/>
  <c r="AA195" i="20"/>
  <c r="AT222" i="20"/>
  <c r="AE207" i="20"/>
  <c r="AB204" i="20"/>
  <c r="AC205" i="20"/>
  <c r="AK213" i="20"/>
  <c r="Y201" i="20"/>
  <c r="AJ212" i="20"/>
  <c r="Z202" i="20"/>
  <c r="AN216" i="20"/>
  <c r="AG209" i="20"/>
  <c r="AD206" i="20"/>
  <c r="AT223" i="20"/>
  <c r="AS221" i="20"/>
  <c r="G195" i="20"/>
  <c r="N210" i="20"/>
  <c r="AB224" i="20"/>
  <c r="M209" i="20"/>
  <c r="G203" i="20"/>
  <c r="AG229" i="20"/>
  <c r="Z222" i="20"/>
  <c r="W219" i="20"/>
  <c r="AM235" i="20"/>
  <c r="AN236" i="20"/>
  <c r="K207" i="20"/>
  <c r="L208" i="20"/>
  <c r="AC225" i="20"/>
  <c r="E201" i="20"/>
  <c r="E200" i="20" s="1"/>
  <c r="E182" i="20" s="1"/>
  <c r="E185" i="20" s="1"/>
  <c r="AH230" i="20"/>
  <c r="AE227" i="20"/>
  <c r="AI231" i="20"/>
  <c r="AP238" i="20"/>
  <c r="X220" i="20"/>
  <c r="T216" i="20"/>
  <c r="I205" i="20"/>
  <c r="AR240" i="20"/>
  <c r="U217" i="20"/>
  <c r="P212" i="20"/>
  <c r="AK233" i="20"/>
  <c r="F202" i="20"/>
  <c r="AO237" i="20"/>
  <c r="AF228" i="20"/>
  <c r="AQ239" i="20"/>
  <c r="AL234" i="20"/>
  <c r="Y221" i="20"/>
  <c r="Z223" i="20"/>
  <c r="O211" i="20"/>
  <c r="H204" i="20"/>
  <c r="J206" i="20"/>
  <c r="Q213" i="20"/>
  <c r="BE240" i="20"/>
  <c r="BB240" i="20"/>
  <c r="AR205" i="20"/>
  <c r="AP195" i="20"/>
  <c r="AV209" i="20"/>
  <c r="BD209" i="20" s="1"/>
  <c r="AQ204" i="20"/>
  <c r="AS206" i="20"/>
  <c r="AN201" i="20"/>
  <c r="AO202" i="20"/>
  <c r="AU208" i="20"/>
  <c r="AT207" i="20"/>
  <c r="AP203" i="20"/>
  <c r="BE86" i="20"/>
  <c r="BB86" i="20"/>
  <c r="BE79" i="20"/>
  <c r="BB79" i="20"/>
  <c r="AT96" i="20"/>
  <c r="BE244" i="20"/>
  <c r="BB244" i="20"/>
  <c r="BE150" i="20"/>
  <c r="BB150" i="20"/>
  <c r="AN121" i="20"/>
  <c r="AN56" i="20"/>
  <c r="AP40" i="20"/>
  <c r="AV64" i="20"/>
  <c r="AO122" i="20"/>
  <c r="AR60" i="20"/>
  <c r="AP123" i="20"/>
  <c r="AT127" i="20"/>
  <c r="AQ59" i="20"/>
  <c r="AT62" i="20"/>
  <c r="AO57" i="20"/>
  <c r="AS61" i="20"/>
  <c r="AP58" i="20"/>
  <c r="BE78" i="20"/>
  <c r="BB78" i="20"/>
  <c r="BE245" i="20"/>
  <c r="BB245" i="20"/>
  <c r="BE134" i="20"/>
  <c r="BB134" i="20"/>
  <c r="P121" i="20"/>
  <c r="P120" i="20" s="1"/>
  <c r="P112" i="20" s="1"/>
  <c r="P115" i="20" s="1"/>
  <c r="AQ148" i="20"/>
  <c r="AG73" i="20"/>
  <c r="AH74" i="20"/>
  <c r="P56" i="20"/>
  <c r="R40" i="20"/>
  <c r="Q57" i="20"/>
  <c r="AJ76" i="20"/>
  <c r="AA67" i="20"/>
  <c r="Z66" i="20"/>
  <c r="AO81" i="20"/>
  <c r="AR149" i="20"/>
  <c r="AC69" i="20"/>
  <c r="U61" i="20"/>
  <c r="T60" i="20"/>
  <c r="AT86" i="20"/>
  <c r="S59" i="20"/>
  <c r="X64" i="20"/>
  <c r="AC134" i="20"/>
  <c r="AK77" i="20"/>
  <c r="AI75" i="20"/>
  <c r="V62" i="20"/>
  <c r="AH139" i="20"/>
  <c r="AG138" i="20"/>
  <c r="AU87" i="20"/>
  <c r="AO146" i="20"/>
  <c r="AP147" i="20"/>
  <c r="AM144" i="20"/>
  <c r="Y65" i="20"/>
  <c r="AB68" i="20"/>
  <c r="AR84" i="20"/>
  <c r="AQ83" i="20"/>
  <c r="Q122" i="20"/>
  <c r="AA132" i="20"/>
  <c r="AI140" i="20"/>
  <c r="AJ141" i="20"/>
  <c r="AM79" i="20"/>
  <c r="R123" i="20"/>
  <c r="AL78" i="20"/>
  <c r="AS150" i="20"/>
  <c r="R58" i="20"/>
  <c r="V127" i="20"/>
  <c r="AV153" i="20"/>
  <c r="BD153" i="20" s="1"/>
  <c r="AS85" i="20"/>
  <c r="AP82" i="20"/>
  <c r="AN145" i="20"/>
  <c r="AK142" i="20"/>
  <c r="Z131" i="20"/>
  <c r="AB133" i="20"/>
  <c r="AN80" i="20"/>
  <c r="AF72" i="20"/>
  <c r="AT151" i="20"/>
  <c r="AV88" i="20"/>
  <c r="AD70" i="20"/>
  <c r="BE90" i="20"/>
  <c r="BB90" i="20"/>
  <c r="Q202" i="20"/>
  <c r="AA212" i="20"/>
  <c r="V207" i="20"/>
  <c r="AB213" i="20"/>
  <c r="AR229" i="20"/>
  <c r="R203" i="20"/>
  <c r="AS230" i="20"/>
  <c r="AK223" i="20"/>
  <c r="AE216" i="20"/>
  <c r="T205" i="20"/>
  <c r="AT231" i="20"/>
  <c r="AJ221" i="20"/>
  <c r="AN225" i="20"/>
  <c r="W208" i="20"/>
  <c r="X209" i="20"/>
  <c r="AM224" i="20"/>
  <c r="AF217" i="20"/>
  <c r="P201" i="20"/>
  <c r="R195" i="20"/>
  <c r="AI220" i="20"/>
  <c r="U206" i="20"/>
  <c r="Z211" i="20"/>
  <c r="S204" i="20"/>
  <c r="AH219" i="20"/>
  <c r="AP227" i="20"/>
  <c r="AQ228" i="20"/>
  <c r="AV233" i="20"/>
  <c r="BD233" i="20" s="1"/>
  <c r="Y210" i="20"/>
  <c r="AK222" i="20"/>
  <c r="AV97" i="20"/>
  <c r="AU97" i="20"/>
  <c r="AT97" i="20"/>
  <c r="AS97" i="20"/>
  <c r="BE85" i="20"/>
  <c r="BB85" i="20"/>
  <c r="BE80" i="20"/>
  <c r="BB80" i="20"/>
  <c r="BD65" i="20"/>
  <c r="BG65" i="20"/>
  <c r="BE225" i="20"/>
  <c r="BB225" i="20"/>
  <c r="AS65" i="20"/>
  <c r="AL123" i="20"/>
  <c r="AV133" i="20"/>
  <c r="BD133" i="20" s="1"/>
  <c r="AL40" i="20"/>
  <c r="AV68" i="20"/>
  <c r="AJ56" i="20"/>
  <c r="AU132" i="20"/>
  <c r="AN60" i="20"/>
  <c r="AR64" i="20"/>
  <c r="AP127" i="20"/>
  <c r="AO61" i="20"/>
  <c r="AK57" i="20"/>
  <c r="AT131" i="20"/>
  <c r="AT66" i="20"/>
  <c r="AL58" i="20"/>
  <c r="AK122" i="20"/>
  <c r="AM59" i="20"/>
  <c r="AU67" i="20"/>
  <c r="AP62" i="20"/>
  <c r="AJ121" i="20"/>
  <c r="BE201" i="20"/>
  <c r="BB201" i="20"/>
  <c r="BE154" i="20"/>
  <c r="BB154" i="20"/>
  <c r="AS53" i="20"/>
  <c r="AS98" i="20" s="1"/>
  <c r="BE81" i="20"/>
  <c r="BB81" i="20"/>
  <c r="AR114" i="20"/>
  <c r="AR162" i="20" s="1"/>
  <c r="AS95" i="20"/>
  <c r="BB70" i="20"/>
  <c r="BE70" i="20"/>
  <c r="AH70" i="20"/>
  <c r="Z62" i="20"/>
  <c r="AG69" i="20"/>
  <c r="AE67" i="20"/>
  <c r="V40" i="20"/>
  <c r="AR145" i="20"/>
  <c r="AK138" i="20"/>
  <c r="AV149" i="20"/>
  <c r="BD149" i="20" s="1"/>
  <c r="AO142" i="20"/>
  <c r="AP78" i="20"/>
  <c r="U122" i="20"/>
  <c r="AT147" i="20"/>
  <c r="AU148" i="20"/>
  <c r="AJ72" i="20"/>
  <c r="AS81" i="20"/>
  <c r="V123" i="20"/>
  <c r="AG134" i="20"/>
  <c r="AD131" i="20"/>
  <c r="AC65" i="20"/>
  <c r="AF68" i="20"/>
  <c r="AN76" i="20"/>
  <c r="AV84" i="20"/>
  <c r="T121" i="20"/>
  <c r="U57" i="20"/>
  <c r="X60" i="20"/>
  <c r="AB64" i="20"/>
  <c r="V58" i="20"/>
  <c r="AK73" i="20"/>
  <c r="AO77" i="20"/>
  <c r="AM75" i="20"/>
  <c r="AU83" i="20"/>
  <c r="Z127" i="20"/>
  <c r="AD66" i="20"/>
  <c r="AR80" i="20"/>
  <c r="W59" i="20"/>
  <c r="AS146" i="20"/>
  <c r="AF133" i="20"/>
  <c r="AN141" i="20"/>
  <c r="AQ144" i="20"/>
  <c r="AM140" i="20"/>
  <c r="AL74" i="20"/>
  <c r="AL139" i="20"/>
  <c r="Y61" i="20"/>
  <c r="AQ79" i="20"/>
  <c r="AE132" i="20"/>
  <c r="AT82" i="20"/>
  <c r="T56" i="20"/>
  <c r="AI206" i="20"/>
  <c r="AD201" i="20"/>
  <c r="AJ207" i="20"/>
  <c r="AK208" i="20"/>
  <c r="AL209" i="20"/>
  <c r="AV219" i="20"/>
  <c r="BD219" i="20" s="1"/>
  <c r="AH205" i="20"/>
  <c r="AS216" i="20"/>
  <c r="AT217" i="20"/>
  <c r="AE202" i="20"/>
  <c r="AO212" i="20"/>
  <c r="AM210" i="20"/>
  <c r="AP213" i="20"/>
  <c r="AF203" i="20"/>
  <c r="AN211" i="20"/>
  <c r="AF195" i="20"/>
  <c r="AG204" i="20"/>
  <c r="BD60" i="20"/>
  <c r="BG60" i="20"/>
  <c r="L195" i="20"/>
  <c r="M204" i="20"/>
  <c r="AH225" i="20"/>
  <c r="AQ234" i="20"/>
  <c r="AN231" i="20"/>
  <c r="L203" i="20"/>
  <c r="T211" i="20"/>
  <c r="AT237" i="20"/>
  <c r="AB219" i="20"/>
  <c r="AG224" i="20"/>
  <c r="Z217" i="20"/>
  <c r="U212" i="20"/>
  <c r="AE222" i="20"/>
  <c r="AJ227" i="20"/>
  <c r="N205" i="20"/>
  <c r="Y216" i="20"/>
  <c r="R209" i="20"/>
  <c r="P207" i="20"/>
  <c r="AL229" i="20"/>
  <c r="O206" i="20"/>
  <c r="AM230" i="20"/>
  <c r="AV239" i="20"/>
  <c r="BD239" i="20" s="1"/>
  <c r="AD221" i="20"/>
  <c r="S210" i="20"/>
  <c r="AP233" i="20"/>
  <c r="AC220" i="20"/>
  <c r="AK228" i="20"/>
  <c r="Q208" i="20"/>
  <c r="AE223" i="20"/>
  <c r="J201" i="20"/>
  <c r="K202" i="20"/>
  <c r="AU238" i="20"/>
  <c r="AS236" i="20"/>
  <c r="V213" i="20"/>
  <c r="AR235" i="20"/>
  <c r="BB66" i="20"/>
  <c r="BE66" i="20"/>
  <c r="BE76" i="20"/>
  <c r="BB76" i="20"/>
  <c r="AV161" i="20"/>
  <c r="BD161" i="20" s="1"/>
  <c r="AU161" i="20"/>
  <c r="AT161" i="20"/>
  <c r="AS161" i="20"/>
  <c r="AR161" i="20"/>
  <c r="BG89" i="20"/>
  <c r="BD89" i="20"/>
  <c r="BG75" i="20"/>
  <c r="BD75" i="20"/>
  <c r="BE210" i="20"/>
  <c r="BB210" i="20"/>
  <c r="BE94" i="20"/>
  <c r="BB94" i="20"/>
  <c r="BE69" i="20"/>
  <c r="BB69" i="20"/>
  <c r="BE204" i="20"/>
  <c r="BB204" i="20"/>
  <c r="AL195" i="20" l="1"/>
  <c r="AP207" i="20"/>
  <c r="AQ208" i="20"/>
  <c r="AT211" i="20"/>
  <c r="AV213" i="20"/>
  <c r="BD213" i="20" s="1"/>
  <c r="AU212" i="20"/>
  <c r="AN205" i="20"/>
  <c r="AJ201" i="20"/>
  <c r="AM204" i="20"/>
  <c r="AL203" i="20"/>
  <c r="AS210" i="20"/>
  <c r="AR209" i="20"/>
  <c r="AK202" i="20"/>
  <c r="AO206" i="20"/>
  <c r="M195" i="20"/>
  <c r="S209" i="20"/>
  <c r="L202" i="20"/>
  <c r="N204" i="20"/>
  <c r="AR234" i="20"/>
  <c r="AD220" i="20"/>
  <c r="AL228" i="20"/>
  <c r="R208" i="20"/>
  <c r="Z216" i="20"/>
  <c r="O205" i="20"/>
  <c r="T210" i="20"/>
  <c r="AF223" i="20"/>
  <c r="M203" i="20"/>
  <c r="W213" i="20"/>
  <c r="Q207" i="20"/>
  <c r="AH224" i="20"/>
  <c r="K201" i="20"/>
  <c r="AE221" i="20"/>
  <c r="AQ233" i="20"/>
  <c r="AF222" i="20"/>
  <c r="AI225" i="20"/>
  <c r="AC219" i="20"/>
  <c r="AO231" i="20"/>
  <c r="U211" i="20"/>
  <c r="V212" i="20"/>
  <c r="AU237" i="20"/>
  <c r="AV238" i="20"/>
  <c r="BD238" i="20" s="1"/>
  <c r="AT236" i="20"/>
  <c r="AN230" i="20"/>
  <c r="AA217" i="20"/>
  <c r="AS235" i="20"/>
  <c r="AK227" i="20"/>
  <c r="P206" i="20"/>
  <c r="AM229" i="20"/>
  <c r="BB142" i="20"/>
  <c r="BE142" i="20"/>
  <c r="BB158" i="20"/>
  <c r="BE158" i="20"/>
  <c r="AT53" i="20"/>
  <c r="AT99" i="20" s="1"/>
  <c r="BE133" i="20"/>
  <c r="BB133" i="20"/>
  <c r="BE65" i="20"/>
  <c r="BB65" i="20"/>
  <c r="BD97" i="20"/>
  <c r="BG97" i="20"/>
  <c r="BG64" i="20"/>
  <c r="BD64" i="20"/>
  <c r="BE224" i="20"/>
  <c r="BB224" i="20"/>
  <c r="BG59" i="20"/>
  <c r="BD59" i="20"/>
  <c r="BG77" i="20"/>
  <c r="BD77" i="20"/>
  <c r="K55" i="20"/>
  <c r="K43" i="20" s="1"/>
  <c r="K50" i="20" s="1"/>
  <c r="BE75" i="20"/>
  <c r="BB75" i="20"/>
  <c r="BE209" i="20"/>
  <c r="BB209" i="20"/>
  <c r="AP202" i="20"/>
  <c r="AU207" i="20"/>
  <c r="AR204" i="20"/>
  <c r="AS205" i="20"/>
  <c r="AO201" i="20"/>
  <c r="AT206" i="20"/>
  <c r="AV208" i="20"/>
  <c r="BD208" i="20" s="1"/>
  <c r="AQ195" i="20"/>
  <c r="AQ203" i="20"/>
  <c r="BE89" i="20"/>
  <c r="BB89" i="20"/>
  <c r="BE60" i="20"/>
  <c r="BB60" i="20"/>
  <c r="BE149" i="20"/>
  <c r="BB149" i="20"/>
  <c r="AV98" i="20"/>
  <c r="AU98" i="20"/>
  <c r="AT98" i="20"/>
  <c r="Q121" i="20"/>
  <c r="Q120" i="20" s="1"/>
  <c r="Q112" i="20" s="1"/>
  <c r="Q115" i="20" s="1"/>
  <c r="AB67" i="20"/>
  <c r="Q56" i="20"/>
  <c r="Q55" i="20" s="1"/>
  <c r="Q43" i="20" s="1"/>
  <c r="Q50" i="20" s="1"/>
  <c r="U60" i="20"/>
  <c r="R57" i="20"/>
  <c r="AR83" i="20"/>
  <c r="AC68" i="20"/>
  <c r="AV87" i="20"/>
  <c r="Y64" i="20"/>
  <c r="W127" i="20"/>
  <c r="AJ140" i="20"/>
  <c r="AK141" i="20"/>
  <c r="AN79" i="20"/>
  <c r="AI74" i="20"/>
  <c r="S58" i="20"/>
  <c r="AQ147" i="20"/>
  <c r="AS84" i="20"/>
  <c r="AM78" i="20"/>
  <c r="AE70" i="20"/>
  <c r="T59" i="20"/>
  <c r="T55" i="20" s="1"/>
  <c r="T43" i="20" s="1"/>
  <c r="T50" i="20" s="1"/>
  <c r="AT150" i="20"/>
  <c r="W62" i="20"/>
  <c r="AO145" i="20"/>
  <c r="AH138" i="20"/>
  <c r="AA131" i="20"/>
  <c r="AR148" i="20"/>
  <c r="AL142" i="20"/>
  <c r="AG72" i="20"/>
  <c r="AT85" i="20"/>
  <c r="AQ82" i="20"/>
  <c r="AP146" i="20"/>
  <c r="V61" i="20"/>
  <c r="AA66" i="20"/>
  <c r="AO80" i="20"/>
  <c r="AU151" i="20"/>
  <c r="AD69" i="20"/>
  <c r="AK76" i="20"/>
  <c r="AH73" i="20"/>
  <c r="AD134" i="20"/>
  <c r="S123" i="20"/>
  <c r="S120" i="20" s="1"/>
  <c r="S112" i="20" s="1"/>
  <c r="S115" i="20" s="1"/>
  <c r="AP81" i="20"/>
  <c r="AI139" i="20"/>
  <c r="AN144" i="20"/>
  <c r="AJ75" i="20"/>
  <c r="AC133" i="20"/>
  <c r="AS149" i="20"/>
  <c r="AU86" i="20"/>
  <c r="BG86" i="20" s="1"/>
  <c r="AL77" i="20"/>
  <c r="Z65" i="20"/>
  <c r="R122" i="20"/>
  <c r="AB132" i="20"/>
  <c r="AO121" i="20"/>
  <c r="AQ40" i="20"/>
  <c r="AO56" i="20"/>
  <c r="AQ58" i="20"/>
  <c r="AS60" i="20"/>
  <c r="AP122" i="20"/>
  <c r="AT61" i="20"/>
  <c r="AQ123" i="20"/>
  <c r="AP57" i="20"/>
  <c r="AU62" i="20"/>
  <c r="AU127" i="20"/>
  <c r="AR59" i="20"/>
  <c r="AU96" i="20"/>
  <c r="AV96" i="20" s="1"/>
  <c r="AT121" i="20"/>
  <c r="AT56" i="20"/>
  <c r="AV40" i="20"/>
  <c r="AV123" i="20"/>
  <c r="BD123" i="20" s="1"/>
  <c r="AU122" i="20"/>
  <c r="AU57" i="20"/>
  <c r="AV58" i="20"/>
  <c r="BB161" i="20"/>
  <c r="BE161" i="20"/>
  <c r="AU201" i="20"/>
  <c r="AV202" i="20"/>
  <c r="BE139" i="20"/>
  <c r="BB139" i="20"/>
  <c r="BE239" i="20"/>
  <c r="BB239" i="20"/>
  <c r="AJ206" i="20"/>
  <c r="AM209" i="20"/>
  <c r="AN210" i="20"/>
  <c r="AH204" i="20"/>
  <c r="AU217" i="20"/>
  <c r="AL208" i="20"/>
  <c r="AG203" i="20"/>
  <c r="AO211" i="20"/>
  <c r="AQ213" i="20"/>
  <c r="AE201" i="20"/>
  <c r="AP212" i="20"/>
  <c r="AK207" i="20"/>
  <c r="AT216" i="20"/>
  <c r="AI205" i="20"/>
  <c r="AG195" i="20"/>
  <c r="AF202" i="20"/>
  <c r="T120" i="20"/>
  <c r="T112" i="20" s="1"/>
  <c r="T115" i="20" s="1"/>
  <c r="BG88" i="20"/>
  <c r="BD88" i="20"/>
  <c r="BG93" i="20"/>
  <c r="BD93" i="20"/>
  <c r="AJ120" i="20"/>
  <c r="AJ112" i="20" s="1"/>
  <c r="AJ115" i="20" s="1"/>
  <c r="BG74" i="20"/>
  <c r="BD74" i="20"/>
  <c r="BD84" i="20"/>
  <c r="BG84" i="20"/>
  <c r="BB233" i="20"/>
  <c r="BE233" i="20"/>
  <c r="AI219" i="20"/>
  <c r="T204" i="20"/>
  <c r="AF216" i="20"/>
  <c r="Y209" i="20"/>
  <c r="Q201" i="20"/>
  <c r="AK221" i="20"/>
  <c r="AS229" i="20"/>
  <c r="V206" i="20"/>
  <c r="AT230" i="20"/>
  <c r="AO225" i="20"/>
  <c r="Z210" i="20"/>
  <c r="R202" i="20"/>
  <c r="AU231" i="20"/>
  <c r="AQ227" i="20"/>
  <c r="X208" i="20"/>
  <c r="AJ220" i="20"/>
  <c r="AN224" i="20"/>
  <c r="AG217" i="20"/>
  <c r="AA211" i="20"/>
  <c r="W207" i="20"/>
  <c r="U205" i="20"/>
  <c r="AB212" i="20"/>
  <c r="AR228" i="20"/>
  <c r="AL222" i="20"/>
  <c r="AL223" i="20"/>
  <c r="S203" i="20"/>
  <c r="AC213" i="20"/>
  <c r="AE121" i="20"/>
  <c r="AE56" i="20"/>
  <c r="AK62" i="20"/>
  <c r="AS70" i="20"/>
  <c r="AQ133" i="20"/>
  <c r="AU72" i="20"/>
  <c r="AM64" i="20"/>
  <c r="AP67" i="20"/>
  <c r="AO66" i="20"/>
  <c r="AR134" i="20"/>
  <c r="AP132" i="20"/>
  <c r="AR69" i="20"/>
  <c r="AI60" i="20"/>
  <c r="AG40" i="20"/>
  <c r="AJ61" i="20"/>
  <c r="AV138" i="20"/>
  <c r="BD138" i="20" s="1"/>
  <c r="AQ68" i="20"/>
  <c r="AF57" i="20"/>
  <c r="AG58" i="20"/>
  <c r="AK127" i="20"/>
  <c r="AF122" i="20"/>
  <c r="AH59" i="20"/>
  <c r="AN65" i="20"/>
  <c r="AO131" i="20"/>
  <c r="AG123" i="20"/>
  <c r="AV73" i="20"/>
  <c r="BB203" i="20"/>
  <c r="BE203" i="20"/>
  <c r="BE95" i="20"/>
  <c r="BB95" i="20"/>
  <c r="BE227" i="20"/>
  <c r="BB227" i="20"/>
  <c r="AC55" i="20"/>
  <c r="AC43" i="20" s="1"/>
  <c r="AC50" i="20" s="1"/>
  <c r="AK121" i="20"/>
  <c r="AS64" i="20"/>
  <c r="AU131" i="20"/>
  <c r="AM58" i="20"/>
  <c r="AQ62" i="20"/>
  <c r="AV67" i="20"/>
  <c r="AM123" i="20"/>
  <c r="AL122" i="20"/>
  <c r="AL57" i="20"/>
  <c r="AT65" i="20"/>
  <c r="AU66" i="20"/>
  <c r="BG66" i="20" s="1"/>
  <c r="AP61" i="20"/>
  <c r="AQ127" i="20"/>
  <c r="AV132" i="20"/>
  <c r="BD132" i="20" s="1"/>
  <c r="AN59" i="20"/>
  <c r="AO60" i="20"/>
  <c r="AK56" i="20"/>
  <c r="U121" i="20"/>
  <c r="U120" i="20" s="1"/>
  <c r="U112" i="20" s="1"/>
  <c r="U115" i="20" s="1"/>
  <c r="AI70" i="20"/>
  <c r="AA62" i="20"/>
  <c r="AO76" i="20"/>
  <c r="X59" i="20"/>
  <c r="AL73" i="20"/>
  <c r="AT81" i="20"/>
  <c r="AH134" i="20"/>
  <c r="AL138" i="20"/>
  <c r="Z61" i="20"/>
  <c r="AK72" i="20"/>
  <c r="AP77" i="20"/>
  <c r="AV83" i="20"/>
  <c r="V57" i="20"/>
  <c r="AS80" i="20"/>
  <c r="AE66" i="20"/>
  <c r="W40" i="20"/>
  <c r="AT146" i="20"/>
  <c r="AG133" i="20"/>
  <c r="AN75" i="20"/>
  <c r="AM74" i="20"/>
  <c r="AH69" i="20"/>
  <c r="AD65" i="20"/>
  <c r="AF67" i="20"/>
  <c r="AR79" i="20"/>
  <c r="W123" i="20"/>
  <c r="AU82" i="20"/>
  <c r="AC64" i="20"/>
  <c r="AF132" i="20"/>
  <c r="AR144" i="20"/>
  <c r="Y60" i="20"/>
  <c r="U56" i="20"/>
  <c r="AS145" i="20"/>
  <c r="AM139" i="20"/>
  <c r="AN140" i="20"/>
  <c r="AP142" i="20"/>
  <c r="V122" i="20"/>
  <c r="AA127" i="20"/>
  <c r="AE131" i="20"/>
  <c r="AO141" i="20"/>
  <c r="AG68" i="20"/>
  <c r="W58" i="20"/>
  <c r="AQ78" i="20"/>
  <c r="AU147" i="20"/>
  <c r="AV148" i="20"/>
  <c r="BD148" i="20" s="1"/>
  <c r="BE153" i="20"/>
  <c r="BB153" i="20"/>
  <c r="AD205" i="20"/>
  <c r="AR219" i="20"/>
  <c r="AF207" i="20"/>
  <c r="Z201" i="20"/>
  <c r="AE206" i="20"/>
  <c r="AS220" i="20"/>
  <c r="AO216" i="20"/>
  <c r="AH209" i="20"/>
  <c r="AL213" i="20"/>
  <c r="AG208" i="20"/>
  <c r="AB195" i="20"/>
  <c r="AU222" i="20"/>
  <c r="AU223" i="20"/>
  <c r="AB203" i="20"/>
  <c r="AI210" i="20"/>
  <c r="AA202" i="20"/>
  <c r="AT221" i="20"/>
  <c r="AJ211" i="20"/>
  <c r="AK212" i="20"/>
  <c r="AP217" i="20"/>
  <c r="AC204" i="20"/>
  <c r="G121" i="20"/>
  <c r="G120" i="20" s="1"/>
  <c r="G112" i="20" s="1"/>
  <c r="G115" i="20" s="1"/>
  <c r="AL87" i="20"/>
  <c r="M62" i="20"/>
  <c r="G56" i="20"/>
  <c r="G55" i="20" s="1"/>
  <c r="G43" i="20" s="1"/>
  <c r="G50" i="20" s="1"/>
  <c r="Z75" i="20"/>
  <c r="K60" i="20"/>
  <c r="L61" i="20"/>
  <c r="P65" i="20"/>
  <c r="S68" i="20"/>
  <c r="AD79" i="20"/>
  <c r="AR158" i="20"/>
  <c r="AJ85" i="20"/>
  <c r="AT160" i="20"/>
  <c r="AG82" i="20"/>
  <c r="AM153" i="20"/>
  <c r="AM88" i="20"/>
  <c r="J59" i="20"/>
  <c r="J55" i="20" s="1"/>
  <c r="J43" i="20" s="1"/>
  <c r="J50" i="20" s="1"/>
  <c r="T134" i="20"/>
  <c r="AP91" i="20"/>
  <c r="M127" i="20"/>
  <c r="AE145" i="20"/>
  <c r="H57" i="20"/>
  <c r="H55" i="20" s="1"/>
  <c r="H43" i="20" s="1"/>
  <c r="H50" i="20" s="1"/>
  <c r="AQ92" i="20"/>
  <c r="AC78" i="20"/>
  <c r="I123" i="20"/>
  <c r="I120" i="20" s="1"/>
  <c r="I112" i="20" s="1"/>
  <c r="I115" i="20" s="1"/>
  <c r="X73" i="20"/>
  <c r="AS94" i="20"/>
  <c r="AK151" i="20"/>
  <c r="H122" i="20"/>
  <c r="H120" i="20" s="1"/>
  <c r="H112" i="20" s="1"/>
  <c r="H115" i="20" s="1"/>
  <c r="Q131" i="20"/>
  <c r="Y139" i="20"/>
  <c r="AG147" i="20"/>
  <c r="AR93" i="20"/>
  <c r="U70" i="20"/>
  <c r="O64" i="20"/>
  <c r="AH148" i="20"/>
  <c r="S133" i="20"/>
  <c r="AI149" i="20"/>
  <c r="AQ157" i="20"/>
  <c r="W72" i="20"/>
  <c r="AA76" i="20"/>
  <c r="AK86" i="20"/>
  <c r="AF81" i="20"/>
  <c r="AN89" i="20"/>
  <c r="I58" i="20"/>
  <c r="I55" i="20" s="1"/>
  <c r="I43" i="20" s="1"/>
  <c r="I50" i="20" s="1"/>
  <c r="AO90" i="20"/>
  <c r="AN154" i="20"/>
  <c r="R67" i="20"/>
  <c r="Q66" i="20"/>
  <c r="AE80" i="20"/>
  <c r="AB77" i="20"/>
  <c r="AS159" i="20"/>
  <c r="X138" i="20"/>
  <c r="R132" i="20"/>
  <c r="T69" i="20"/>
  <c r="AH83" i="20"/>
  <c r="AO155" i="20"/>
  <c r="Y74" i="20"/>
  <c r="AJ150" i="20"/>
  <c r="AF146" i="20"/>
  <c r="Z140" i="20"/>
  <c r="Z120" i="20" s="1"/>
  <c r="Z112" i="20" s="1"/>
  <c r="Z115" i="20" s="1"/>
  <c r="AB142" i="20"/>
  <c r="AA141" i="20"/>
  <c r="AD144" i="20"/>
  <c r="AI84" i="20"/>
  <c r="AP156" i="20"/>
  <c r="AT95" i="20"/>
  <c r="AK81" i="20"/>
  <c r="AI79" i="20"/>
  <c r="Z70" i="20"/>
  <c r="AD74" i="20"/>
  <c r="AL82" i="20"/>
  <c r="AD139" i="20"/>
  <c r="AD120" i="20" s="1"/>
  <c r="AD112" i="20" s="1"/>
  <c r="AD115" i="20" s="1"/>
  <c r="AE140" i="20"/>
  <c r="AI144" i="20"/>
  <c r="Y69" i="20"/>
  <c r="AB72" i="20"/>
  <c r="W67" i="20"/>
  <c r="AS89" i="20"/>
  <c r="AC138" i="20"/>
  <c r="X133" i="20"/>
  <c r="AN149" i="20"/>
  <c r="AG142" i="20"/>
  <c r="O59" i="20"/>
  <c r="AH78" i="20"/>
  <c r="V66" i="20"/>
  <c r="AJ145" i="20"/>
  <c r="AL147" i="20"/>
  <c r="AT155" i="20"/>
  <c r="W132" i="20"/>
  <c r="AM148" i="20"/>
  <c r="AU156" i="20"/>
  <c r="L121" i="20"/>
  <c r="L120" i="20" s="1"/>
  <c r="L112" i="20" s="1"/>
  <c r="L115" i="20" s="1"/>
  <c r="N123" i="20"/>
  <c r="N120" i="20" s="1"/>
  <c r="N112" i="20" s="1"/>
  <c r="N115" i="20" s="1"/>
  <c r="Y134" i="20"/>
  <c r="Y120" i="20" s="1"/>
  <c r="Y112" i="20" s="1"/>
  <c r="Y115" i="20" s="1"/>
  <c r="AU91" i="20"/>
  <c r="BG91" i="20" s="1"/>
  <c r="M57" i="20"/>
  <c r="M55" i="20" s="1"/>
  <c r="M43" i="20" s="1"/>
  <c r="M50" i="20" s="1"/>
  <c r="X68" i="20"/>
  <c r="AF76" i="20"/>
  <c r="AN84" i="20"/>
  <c r="AV92" i="20"/>
  <c r="AQ87" i="20"/>
  <c r="N58" i="20"/>
  <c r="N55" i="20" s="1"/>
  <c r="N43" i="20" s="1"/>
  <c r="N50" i="20" s="1"/>
  <c r="Q61" i="20"/>
  <c r="P60" i="20"/>
  <c r="P55" i="20" s="1"/>
  <c r="P43" i="20" s="1"/>
  <c r="P50" i="20" s="1"/>
  <c r="T64" i="20"/>
  <c r="AC73" i="20"/>
  <c r="AO150" i="20"/>
  <c r="AO85" i="20"/>
  <c r="AP86" i="20"/>
  <c r="AG77" i="20"/>
  <c r="AE75" i="20"/>
  <c r="AM83" i="20"/>
  <c r="R127" i="20"/>
  <c r="AS154" i="20"/>
  <c r="V131" i="20"/>
  <c r="AV157" i="20"/>
  <c r="BD157" i="20" s="1"/>
  <c r="AR88" i="20"/>
  <c r="AP151" i="20"/>
  <c r="AR153" i="20"/>
  <c r="AT90" i="20"/>
  <c r="AF141" i="20"/>
  <c r="R62" i="20"/>
  <c r="U65" i="20"/>
  <c r="AK146" i="20"/>
  <c r="M122" i="20"/>
  <c r="AJ80" i="20"/>
  <c r="L56" i="20"/>
  <c r="L55" i="20" s="1"/>
  <c r="L43" i="20" s="1"/>
  <c r="L50" i="20" s="1"/>
  <c r="BD68" i="20"/>
  <c r="BG68" i="20"/>
  <c r="K206" i="20"/>
  <c r="R213" i="20"/>
  <c r="V217" i="20"/>
  <c r="G202" i="20"/>
  <c r="O210" i="20"/>
  <c r="AJ231" i="20"/>
  <c r="I204" i="20"/>
  <c r="P211" i="20"/>
  <c r="Q212" i="20"/>
  <c r="H195" i="20"/>
  <c r="AQ238" i="20"/>
  <c r="H203" i="20"/>
  <c r="Z221" i="20"/>
  <c r="AA223" i="20"/>
  <c r="AF227" i="20"/>
  <c r="AS240" i="20"/>
  <c r="F201" i="20"/>
  <c r="F200" i="20" s="1"/>
  <c r="F182" i="20" s="1"/>
  <c r="F185" i="20" s="1"/>
  <c r="AP237" i="20"/>
  <c r="L207" i="20"/>
  <c r="M208" i="20"/>
  <c r="AC224" i="20"/>
  <c r="AO236" i="20"/>
  <c r="N209" i="20"/>
  <c r="U216" i="20"/>
  <c r="AA222" i="20"/>
  <c r="AI230" i="20"/>
  <c r="AN235" i="20"/>
  <c r="AL233" i="20"/>
  <c r="J205" i="20"/>
  <c r="Y220" i="20"/>
  <c r="AD225" i="20"/>
  <c r="AH229" i="20"/>
  <c r="AR239" i="20"/>
  <c r="AM234" i="20"/>
  <c r="AG228" i="20"/>
  <c r="X219" i="20"/>
  <c r="AT241" i="20"/>
  <c r="AU242" i="20"/>
  <c r="AV243" i="20"/>
  <c r="BD243" i="20" s="1"/>
  <c r="AA120" i="20"/>
  <c r="AA112" i="20" s="1"/>
  <c r="AA115" i="20" s="1"/>
  <c r="BB219" i="20"/>
  <c r="BE219" i="20"/>
  <c r="AS114" i="20"/>
  <c r="AS163" i="20" s="1"/>
  <c r="AV162" i="20"/>
  <c r="BD162" i="20" s="1"/>
  <c r="AU162" i="20"/>
  <c r="AT162" i="20"/>
  <c r="AS162" i="20"/>
  <c r="BB213" i="20" l="1"/>
  <c r="BE213" i="20"/>
  <c r="AT210" i="20"/>
  <c r="AS209" i="20"/>
  <c r="AU211" i="20"/>
  <c r="AL202" i="20"/>
  <c r="AM203" i="20"/>
  <c r="AV212" i="20"/>
  <c r="BD212" i="20" s="1"/>
  <c r="AP206" i="20"/>
  <c r="AN204" i="20"/>
  <c r="AO205" i="20"/>
  <c r="AR208" i="20"/>
  <c r="AQ207" i="20"/>
  <c r="AK201" i="20"/>
  <c r="X200" i="20"/>
  <c r="X182" i="20" s="1"/>
  <c r="X185" i="20" s="1"/>
  <c r="U55" i="20"/>
  <c r="U43" i="20" s="1"/>
  <c r="U50" i="20" s="1"/>
  <c r="AK120" i="20"/>
  <c r="AK112" i="20" s="1"/>
  <c r="AK115" i="20" s="1"/>
  <c r="BG73" i="20"/>
  <c r="BD73" i="20"/>
  <c r="BB93" i="20"/>
  <c r="BE93" i="20"/>
  <c r="AT55" i="20"/>
  <c r="AT43" i="20" s="1"/>
  <c r="R120" i="20"/>
  <c r="R112" i="20" s="1"/>
  <c r="R115" i="20" s="1"/>
  <c r="AE120" i="20"/>
  <c r="AE112" i="20" s="1"/>
  <c r="AE115" i="20" s="1"/>
  <c r="BE238" i="20"/>
  <c r="BB238" i="20"/>
  <c r="AO120" i="20"/>
  <c r="AO112" i="20" s="1"/>
  <c r="AO115" i="20" s="1"/>
  <c r="BE138" i="20"/>
  <c r="BB138" i="20"/>
  <c r="BE84" i="20"/>
  <c r="BB84" i="20"/>
  <c r="AH203" i="20"/>
  <c r="AU216" i="20"/>
  <c r="AJ205" i="20"/>
  <c r="AG202" i="20"/>
  <c r="AM208" i="20"/>
  <c r="AN209" i="20"/>
  <c r="AN200" i="20" s="1"/>
  <c r="AN182" i="20" s="1"/>
  <c r="AN185" i="20" s="1"/>
  <c r="AO210" i="20"/>
  <c r="AO200" i="20" s="1"/>
  <c r="AO182" i="20" s="1"/>
  <c r="AO185" i="20" s="1"/>
  <c r="AI204" i="20"/>
  <c r="AF201" i="20"/>
  <c r="AF200" i="20" s="1"/>
  <c r="AF182" i="20" s="1"/>
  <c r="AF185" i="20" s="1"/>
  <c r="AV217" i="20"/>
  <c r="BD217" i="20" s="1"/>
  <c r="AP211" i="20"/>
  <c r="AR213" i="20"/>
  <c r="AQ212" i="20"/>
  <c r="AK206" i="20"/>
  <c r="AL207" i="20"/>
  <c r="BG96" i="20"/>
  <c r="BD96" i="20"/>
  <c r="BG87" i="20"/>
  <c r="BD87" i="20"/>
  <c r="BE64" i="20"/>
  <c r="BB64" i="20"/>
  <c r="AU53" i="20"/>
  <c r="AU100" i="20" s="1"/>
  <c r="AV100" i="20" s="1"/>
  <c r="BE208" i="20"/>
  <c r="BB208" i="20"/>
  <c r="BE243" i="20"/>
  <c r="BB243" i="20"/>
  <c r="BE68" i="20"/>
  <c r="BB68" i="20"/>
  <c r="AU121" i="20"/>
  <c r="AU56" i="20"/>
  <c r="AV57" i="20"/>
  <c r="AV122" i="20"/>
  <c r="AT114" i="20"/>
  <c r="AT164" i="20" s="1"/>
  <c r="BD83" i="20"/>
  <c r="BG83" i="20"/>
  <c r="BD67" i="20"/>
  <c r="BG67" i="20"/>
  <c r="BD58" i="20"/>
  <c r="BG58" i="20"/>
  <c r="S55" i="20"/>
  <c r="S43" i="20" s="1"/>
  <c r="S50" i="20" s="1"/>
  <c r="BB77" i="20"/>
  <c r="BE77" i="20"/>
  <c r="AV99" i="20"/>
  <c r="AU99" i="20"/>
  <c r="AR233" i="20"/>
  <c r="U210" i="20"/>
  <c r="U200" i="20" s="1"/>
  <c r="U182" i="20" s="1"/>
  <c r="U185" i="20" s="1"/>
  <c r="P205" i="20"/>
  <c r="X213" i="20"/>
  <c r="AF221" i="20"/>
  <c r="Q206" i="20"/>
  <c r="W212" i="20"/>
  <c r="AT235" i="20"/>
  <c r="AU236" i="20"/>
  <c r="AI224" i="20"/>
  <c r="AN229" i="20"/>
  <c r="AG222" i="20"/>
  <c r="AO230" i="20"/>
  <c r="AJ225" i="20"/>
  <c r="M202" i="20"/>
  <c r="AP231" i="20"/>
  <c r="O204" i="20"/>
  <c r="O200" i="20" s="1"/>
  <c r="O182" i="20" s="1"/>
  <c r="O185" i="20" s="1"/>
  <c r="T209" i="20"/>
  <c r="T200" i="20" s="1"/>
  <c r="T182" i="20" s="1"/>
  <c r="T185" i="20" s="1"/>
  <c r="R207" i="20"/>
  <c r="S208" i="20"/>
  <c r="AV237" i="20"/>
  <c r="BD237" i="20" s="1"/>
  <c r="AS234" i="20"/>
  <c r="AG223" i="20"/>
  <c r="AB217" i="20"/>
  <c r="AE220" i="20"/>
  <c r="AE200" i="20" s="1"/>
  <c r="AE182" i="20" s="1"/>
  <c r="AE185" i="20" s="1"/>
  <c r="AA216" i="20"/>
  <c r="AM228" i="20"/>
  <c r="V211" i="20"/>
  <c r="AL227" i="20"/>
  <c r="L201" i="20"/>
  <c r="AD219" i="20"/>
  <c r="N203" i="20"/>
  <c r="N200" i="20" s="1"/>
  <c r="N182" i="20" s="1"/>
  <c r="N185" i="20" s="1"/>
  <c r="BE123" i="20"/>
  <c r="BB123" i="20"/>
  <c r="BB59" i="20"/>
  <c r="BE59" i="20"/>
  <c r="V121" i="20"/>
  <c r="V120" i="20" s="1"/>
  <c r="V112" i="20" s="1"/>
  <c r="V115" i="20" s="1"/>
  <c r="AN74" i="20"/>
  <c r="V56" i="20"/>
  <c r="V55" i="20" s="1"/>
  <c r="V43" i="20" s="1"/>
  <c r="V50" i="20" s="1"/>
  <c r="Y59" i="20"/>
  <c r="Y55" i="20" s="1"/>
  <c r="Y43" i="20" s="1"/>
  <c r="Y50" i="20" s="1"/>
  <c r="AD64" i="20"/>
  <c r="AD55" i="20" s="1"/>
  <c r="AD43" i="20" s="1"/>
  <c r="AD50" i="20" s="1"/>
  <c r="AI69" i="20"/>
  <c r="AA61" i="20"/>
  <c r="AA55" i="20" s="1"/>
  <c r="AA43" i="20" s="1"/>
  <c r="AA50" i="20" s="1"/>
  <c r="W57" i="20"/>
  <c r="W55" i="20" s="1"/>
  <c r="W43" i="20" s="1"/>
  <c r="W50" i="20" s="1"/>
  <c r="AO140" i="20"/>
  <c r="AH133" i="20"/>
  <c r="AE65" i="20"/>
  <c r="AE55" i="20" s="1"/>
  <c r="AE43" i="20" s="1"/>
  <c r="AE50" i="20" s="1"/>
  <c r="AS79" i="20"/>
  <c r="AV82" i="20"/>
  <c r="AH68" i="20"/>
  <c r="AT145" i="20"/>
  <c r="AQ142" i="20"/>
  <c r="AP141" i="20"/>
  <c r="AR78" i="20"/>
  <c r="AJ70" i="20"/>
  <c r="AN139" i="20"/>
  <c r="AN120" i="20" s="1"/>
  <c r="AN112" i="20" s="1"/>
  <c r="AN115" i="20" s="1"/>
  <c r="AV147" i="20"/>
  <c r="BD147" i="20" s="1"/>
  <c r="X58" i="20"/>
  <c r="X55" i="20" s="1"/>
  <c r="X43" i="20" s="1"/>
  <c r="X50" i="20" s="1"/>
  <c r="AM73" i="20"/>
  <c r="AF66" i="20"/>
  <c r="AB127" i="20"/>
  <c r="AB120" i="20" s="1"/>
  <c r="AB112" i="20" s="1"/>
  <c r="AB115" i="20" s="1"/>
  <c r="AP76" i="20"/>
  <c r="AU81" i="20"/>
  <c r="BG81" i="20" s="1"/>
  <c r="AF131" i="20"/>
  <c r="X123" i="20"/>
  <c r="X120" i="20" s="1"/>
  <c r="X112" i="20" s="1"/>
  <c r="X115" i="20" s="1"/>
  <c r="AM138" i="20"/>
  <c r="AM120" i="20" s="1"/>
  <c r="AM112" i="20" s="1"/>
  <c r="AM115" i="20" s="1"/>
  <c r="G116" i="20" s="1"/>
  <c r="AS144" i="20"/>
  <c r="Z60" i="20"/>
  <c r="Z55" i="20" s="1"/>
  <c r="Z43" i="20" s="1"/>
  <c r="Z50" i="20" s="1"/>
  <c r="AG132" i="20"/>
  <c r="AG67" i="20"/>
  <c r="AB62" i="20"/>
  <c r="AB55" i="20" s="1"/>
  <c r="AB43" i="20" s="1"/>
  <c r="AB50" i="20" s="1"/>
  <c r="AQ77" i="20"/>
  <c r="AI134" i="20"/>
  <c r="AI120" i="20" s="1"/>
  <c r="AI112" i="20" s="1"/>
  <c r="AI115" i="20" s="1"/>
  <c r="AO75" i="20"/>
  <c r="AT80" i="20"/>
  <c r="AL72" i="20"/>
  <c r="AU146" i="20"/>
  <c r="W122" i="20"/>
  <c r="W120" i="20" s="1"/>
  <c r="W112" i="20" s="1"/>
  <c r="W115" i="20" s="1"/>
  <c r="BE162" i="20"/>
  <c r="BB162" i="20"/>
  <c r="AV163" i="20"/>
  <c r="BD163" i="20" s="1"/>
  <c r="AU163" i="20"/>
  <c r="AT163" i="20"/>
  <c r="BB148" i="20"/>
  <c r="BE148" i="20"/>
  <c r="BB132" i="20"/>
  <c r="BE132" i="20"/>
  <c r="AR238" i="20"/>
  <c r="Y219" i="20"/>
  <c r="Y200" i="20" s="1"/>
  <c r="Y182" i="20" s="1"/>
  <c r="Y185" i="20" s="1"/>
  <c r="K205" i="20"/>
  <c r="K200" i="20" s="1"/>
  <c r="K182" i="20" s="1"/>
  <c r="K185" i="20" s="1"/>
  <c r="AM233" i="20"/>
  <c r="AH228" i="20"/>
  <c r="AT240" i="20"/>
  <c r="N208" i="20"/>
  <c r="AD224" i="20"/>
  <c r="H202" i="20"/>
  <c r="H200" i="20" s="1"/>
  <c r="H182" i="20" s="1"/>
  <c r="H185" i="20" s="1"/>
  <c r="AQ237" i="20"/>
  <c r="AB222" i="20"/>
  <c r="AN234" i="20"/>
  <c r="O209" i="20"/>
  <c r="AE225" i="20"/>
  <c r="P210" i="20"/>
  <c r="J204" i="20"/>
  <c r="J200" i="20" s="1"/>
  <c r="J182" i="20" s="1"/>
  <c r="J185" i="20" s="1"/>
  <c r="W217" i="20"/>
  <c r="W200" i="20" s="1"/>
  <c r="W182" i="20" s="1"/>
  <c r="W185" i="20" s="1"/>
  <c r="G201" i="20"/>
  <c r="G200" i="20" s="1"/>
  <c r="G182" i="20" s="1"/>
  <c r="G185" i="20" s="1"/>
  <c r="AA221" i="20"/>
  <c r="AJ230" i="20"/>
  <c r="AB223" i="20"/>
  <c r="AO235" i="20"/>
  <c r="M207" i="20"/>
  <c r="AS239" i="20"/>
  <c r="L206" i="20"/>
  <c r="AK231" i="20"/>
  <c r="I203" i="20"/>
  <c r="I200" i="20" s="1"/>
  <c r="I182" i="20" s="1"/>
  <c r="I185" i="20" s="1"/>
  <c r="S213" i="20"/>
  <c r="AI229" i="20"/>
  <c r="Z220" i="20"/>
  <c r="R212" i="20"/>
  <c r="R200" i="20" s="1"/>
  <c r="R182" i="20" s="1"/>
  <c r="R185" i="20" s="1"/>
  <c r="AP236" i="20"/>
  <c r="V216" i="20"/>
  <c r="Q211" i="20"/>
  <c r="AG227" i="20"/>
  <c r="AU241" i="20"/>
  <c r="AV242" i="20"/>
  <c r="BD242" i="20" s="1"/>
  <c r="O55" i="20"/>
  <c r="O43" i="20" s="1"/>
  <c r="O50" i="20" s="1"/>
  <c r="Z200" i="20"/>
  <c r="Z182" i="20" s="1"/>
  <c r="Z185" i="20" s="1"/>
  <c r="AF121" i="20"/>
  <c r="AF120" i="20" s="1"/>
  <c r="AF112" i="20" s="1"/>
  <c r="AF115" i="20" s="1"/>
  <c r="AF56" i="20"/>
  <c r="AF55" i="20" s="1"/>
  <c r="AF43" i="20" s="1"/>
  <c r="AF50" i="20" s="1"/>
  <c r="AL62" i="20"/>
  <c r="AL55" i="20" s="1"/>
  <c r="AL43" i="20" s="1"/>
  <c r="AL50" i="20" s="1"/>
  <c r="AI59" i="20"/>
  <c r="AI55" i="20" s="1"/>
  <c r="AI43" i="20" s="1"/>
  <c r="AI50" i="20" s="1"/>
  <c r="AO65" i="20"/>
  <c r="AR68" i="20"/>
  <c r="AG122" i="20"/>
  <c r="AG120" i="20" s="1"/>
  <c r="AG112" i="20" s="1"/>
  <c r="AG115" i="20" s="1"/>
  <c r="AP131" i="20"/>
  <c r="AH123" i="20"/>
  <c r="AH120" i="20" s="1"/>
  <c r="AH112" i="20" s="1"/>
  <c r="AL127" i="20"/>
  <c r="AL120" i="20" s="1"/>
  <c r="AL112" i="20" s="1"/>
  <c r="AL115" i="20" s="1"/>
  <c r="AJ60" i="20"/>
  <c r="AT70" i="20"/>
  <c r="AR133" i="20"/>
  <c r="AV72" i="20"/>
  <c r="AN64" i="20"/>
  <c r="AN55" i="20" s="1"/>
  <c r="AN43" i="20" s="1"/>
  <c r="AK61" i="20"/>
  <c r="AK55" i="20" s="1"/>
  <c r="AK43" i="20" s="1"/>
  <c r="AK50" i="20" s="1"/>
  <c r="AS134" i="20"/>
  <c r="AS120" i="20" s="1"/>
  <c r="AS112" i="20" s="1"/>
  <c r="AS115" i="20" s="1"/>
  <c r="AH58" i="20"/>
  <c r="AH55" i="20" s="1"/>
  <c r="AH43" i="20" s="1"/>
  <c r="AP66" i="20"/>
  <c r="AS69" i="20"/>
  <c r="AG57" i="20"/>
  <c r="AQ132" i="20"/>
  <c r="AQ67" i="20"/>
  <c r="BE74" i="20"/>
  <c r="BB74" i="20"/>
  <c r="AO55" i="20"/>
  <c r="AO43" i="20" s="1"/>
  <c r="BD98" i="20"/>
  <c r="BG98" i="20"/>
  <c r="BD202" i="20"/>
  <c r="M120" i="20"/>
  <c r="M112" i="20" s="1"/>
  <c r="M115" i="20" s="1"/>
  <c r="BE157" i="20"/>
  <c r="BB157" i="20"/>
  <c r="BG92" i="20"/>
  <c r="BD92" i="20"/>
  <c r="AG207" i="20"/>
  <c r="AH208" i="20"/>
  <c r="AP216" i="20"/>
  <c r="AA201" i="20"/>
  <c r="AJ210" i="20"/>
  <c r="AV223" i="20"/>
  <c r="BD223" i="20" s="1"/>
  <c r="AC203" i="20"/>
  <c r="AC200" i="20" s="1"/>
  <c r="AC182" i="20" s="1"/>
  <c r="AC185" i="20" s="1"/>
  <c r="AM213" i="20"/>
  <c r="AK211" i="20"/>
  <c r="AU221" i="20"/>
  <c r="AQ217" i="20"/>
  <c r="AE205" i="20"/>
  <c r="AL212" i="20"/>
  <c r="AT220" i="20"/>
  <c r="AS219" i="20"/>
  <c r="AF206" i="20"/>
  <c r="AI209" i="20"/>
  <c r="AD204" i="20"/>
  <c r="AV222" i="20"/>
  <c r="BD222" i="20" s="1"/>
  <c r="AB202" i="20"/>
  <c r="AM55" i="20"/>
  <c r="S200" i="20"/>
  <c r="S182" i="20" s="1"/>
  <c r="S185" i="20" s="1"/>
  <c r="BB88" i="20"/>
  <c r="BE88" i="20"/>
  <c r="AP121" i="20"/>
  <c r="AP56" i="20"/>
  <c r="AS59" i="20"/>
  <c r="AR58" i="20"/>
  <c r="AR55" i="20" s="1"/>
  <c r="AR43" i="20" s="1"/>
  <c r="AU61" i="20"/>
  <c r="BG61" i="20" s="1"/>
  <c r="AV62" i="20"/>
  <c r="AV127" i="20"/>
  <c r="BD127" i="20" s="1"/>
  <c r="AT60" i="20"/>
  <c r="AR123" i="20"/>
  <c r="AR120" i="20" s="1"/>
  <c r="AR112" i="20" s="1"/>
  <c r="AQ122" i="20"/>
  <c r="AQ120" i="20" s="1"/>
  <c r="AQ112" i="20" s="1"/>
  <c r="AQ115" i="20" s="1"/>
  <c r="AQ57" i="20"/>
  <c r="AC120" i="20"/>
  <c r="AC112" i="20" s="1"/>
  <c r="AC115" i="20" s="1"/>
  <c r="R55" i="20"/>
  <c r="R43" i="20" s="1"/>
  <c r="R50" i="20" s="1"/>
  <c r="AS204" i="20"/>
  <c r="AS200" i="20" s="1"/>
  <c r="AS182" i="20" s="1"/>
  <c r="AS185" i="20" s="1"/>
  <c r="AU206" i="20"/>
  <c r="AQ202" i="20"/>
  <c r="AQ200" i="20" s="1"/>
  <c r="AQ182" i="20" s="1"/>
  <c r="AV207" i="20"/>
  <c r="BD207" i="20" s="1"/>
  <c r="AP201" i="20"/>
  <c r="AT205" i="20"/>
  <c r="AR203" i="20"/>
  <c r="BE97" i="20"/>
  <c r="BB97" i="20"/>
  <c r="BE212" i="20" l="1"/>
  <c r="BB212" i="20"/>
  <c r="AI200" i="20"/>
  <c r="AI182" i="20" s="1"/>
  <c r="AI185" i="20" s="1"/>
  <c r="Q200" i="20"/>
  <c r="Q182" i="20" s="1"/>
  <c r="Q185" i="20" s="1"/>
  <c r="AU200" i="20"/>
  <c r="AU182" i="20" s="1"/>
  <c r="AU185" i="20" s="1"/>
  <c r="AK200" i="20"/>
  <c r="AK182" i="20" s="1"/>
  <c r="AK185" i="20" s="1"/>
  <c r="AA200" i="20"/>
  <c r="AA182" i="20" s="1"/>
  <c r="AA185" i="20" s="1"/>
  <c r="V200" i="20"/>
  <c r="V182" i="20" s="1"/>
  <c r="V185" i="20" s="1"/>
  <c r="AH200" i="20"/>
  <c r="AH182" i="20" s="1"/>
  <c r="AT120" i="20"/>
  <c r="AT112" i="20" s="1"/>
  <c r="AT115" i="20" s="1"/>
  <c r="BE58" i="20"/>
  <c r="BB58" i="20"/>
  <c r="BD122" i="20"/>
  <c r="BE96" i="20"/>
  <c r="BB96" i="20"/>
  <c r="D174" i="20"/>
  <c r="AH185" i="20"/>
  <c r="BE223" i="20"/>
  <c r="BB223" i="20"/>
  <c r="BD57" i="20"/>
  <c r="BG57" i="20"/>
  <c r="AM44" i="20"/>
  <c r="AM45" i="20"/>
  <c r="AM43" i="20"/>
  <c r="AM46" i="20"/>
  <c r="M200" i="20"/>
  <c r="M182" i="20" s="1"/>
  <c r="M185" i="20" s="1"/>
  <c r="AU55" i="20"/>
  <c r="AU43" i="20" s="1"/>
  <c r="BG56" i="20"/>
  <c r="AV53" i="20"/>
  <c r="AV101" i="20" s="1"/>
  <c r="AV55" i="20" s="1"/>
  <c r="AX2" i="20"/>
  <c r="AL200" i="20"/>
  <c r="AL182" i="20" s="1"/>
  <c r="AL185" i="20" s="1"/>
  <c r="AB200" i="20"/>
  <c r="AB182" i="20" s="1"/>
  <c r="AB185" i="20" s="1"/>
  <c r="BD99" i="20"/>
  <c r="BG99" i="20"/>
  <c r="BD62" i="20"/>
  <c r="BG62" i="20"/>
  <c r="AP200" i="20"/>
  <c r="AP182" i="20" s="1"/>
  <c r="AP185" i="20" s="1"/>
  <c r="AP55" i="20"/>
  <c r="AP43" i="20" s="1"/>
  <c r="BE222" i="20"/>
  <c r="BB222" i="20"/>
  <c r="AV200" i="20"/>
  <c r="BG72" i="20"/>
  <c r="BD72" i="20"/>
  <c r="BE242" i="20"/>
  <c r="BB242" i="20"/>
  <c r="BE237" i="20"/>
  <c r="BB237" i="20"/>
  <c r="AM200" i="20"/>
  <c r="AM182" i="20" s="1"/>
  <c r="AM185" i="20" s="1"/>
  <c r="G186" i="20" s="1"/>
  <c r="BE73" i="20"/>
  <c r="BB73" i="20"/>
  <c r="AH50" i="20"/>
  <c r="D13" i="20"/>
  <c r="D14" i="20"/>
  <c r="D12" i="20"/>
  <c r="BD82" i="20"/>
  <c r="BG82" i="20"/>
  <c r="AR200" i="20"/>
  <c r="AR182" i="20" s="1"/>
  <c r="AQ55" i="20"/>
  <c r="AQ43" i="20" s="1"/>
  <c r="BE207" i="20"/>
  <c r="BB207" i="20"/>
  <c r="AR115" i="20"/>
  <c r="E104" i="20"/>
  <c r="AP120" i="20"/>
  <c r="AP112" i="20" s="1"/>
  <c r="AP115" i="20" s="1"/>
  <c r="AD200" i="20"/>
  <c r="AD182" i="20" s="1"/>
  <c r="AD185" i="20" s="1"/>
  <c r="BE202" i="20"/>
  <c r="BB202" i="20"/>
  <c r="BD200" i="20"/>
  <c r="AG55" i="20"/>
  <c r="AG43" i="20" s="1"/>
  <c r="AG50" i="20" s="1"/>
  <c r="BB83" i="20"/>
  <c r="BE83" i="20"/>
  <c r="AG200" i="20"/>
  <c r="AG182" i="20" s="1"/>
  <c r="AG185" i="20" s="1"/>
  <c r="AH115" i="20"/>
  <c r="D104" i="20"/>
  <c r="AS55" i="20"/>
  <c r="AS43" i="20" s="1"/>
  <c r="L200" i="20"/>
  <c r="L182" i="20" s="1"/>
  <c r="L185" i="20" s="1"/>
  <c r="BB67" i="20"/>
  <c r="BE67" i="20"/>
  <c r="D187" i="20"/>
  <c r="AQ185" i="20"/>
  <c r="D186" i="20" s="1"/>
  <c r="P200" i="20"/>
  <c r="P182" i="20" s="1"/>
  <c r="P185" i="20" s="1"/>
  <c r="AU114" i="20"/>
  <c r="AU165" i="20" s="1"/>
  <c r="AV165" i="20" s="1"/>
  <c r="BD165" i="20" s="1"/>
  <c r="BE87" i="20"/>
  <c r="BB87" i="20"/>
  <c r="AJ200" i="20"/>
  <c r="AJ182" i="20" s="1"/>
  <c r="AJ185" i="20" s="1"/>
  <c r="BE147" i="20"/>
  <c r="BB147" i="20"/>
  <c r="AT200" i="20"/>
  <c r="AT182" i="20" s="1"/>
  <c r="AT185" i="20" s="1"/>
  <c r="BD100" i="20"/>
  <c r="BG100" i="20"/>
  <c r="BE127" i="20"/>
  <c r="BB127" i="20"/>
  <c r="BE92" i="20"/>
  <c r="BB92" i="20"/>
  <c r="BB98" i="20"/>
  <c r="BE98" i="20"/>
  <c r="AJ55" i="20"/>
  <c r="AJ43" i="20" s="1"/>
  <c r="AJ50" i="20" s="1"/>
  <c r="BE163" i="20"/>
  <c r="BB163" i="20"/>
  <c r="AV164" i="20"/>
  <c r="BD164" i="20" s="1"/>
  <c r="AU164" i="20"/>
  <c r="AU120" i="20" s="1"/>
  <c r="AU112" i="20" s="1"/>
  <c r="AU115" i="20" s="1"/>
  <c r="BB217" i="20"/>
  <c r="BE217" i="20"/>
  <c r="E106" i="20" l="1"/>
  <c r="E108" i="20" s="1"/>
  <c r="E109" i="20" s="1"/>
  <c r="BB82" i="20"/>
  <c r="BE82" i="20"/>
  <c r="D175" i="20"/>
  <c r="D177" i="20"/>
  <c r="E13" i="20"/>
  <c r="E12" i="20"/>
  <c r="D46" i="20"/>
  <c r="AM50" i="20"/>
  <c r="D45" i="20"/>
  <c r="AN44" i="20"/>
  <c r="AO44" i="20" s="1"/>
  <c r="AP44" i="20" s="1"/>
  <c r="AQ44" i="20" s="1"/>
  <c r="AR44" i="20" s="1"/>
  <c r="BB164" i="20"/>
  <c r="BE164" i="20"/>
  <c r="BG101" i="20"/>
  <c r="BD101" i="20"/>
  <c r="AV43" i="20"/>
  <c r="BG55" i="20"/>
  <c r="AV54" i="20"/>
  <c r="AV114" i="20"/>
  <c r="AV166" i="20" s="1"/>
  <c r="BD166" i="20" s="1"/>
  <c r="AX5" i="20"/>
  <c r="BB72" i="20"/>
  <c r="BE72" i="20"/>
  <c r="BB62" i="20"/>
  <c r="BE62" i="20"/>
  <c r="BE57" i="20"/>
  <c r="BB57" i="20"/>
  <c r="BE122" i="20"/>
  <c r="BB122" i="20"/>
  <c r="BD120" i="20"/>
  <c r="BE100" i="20"/>
  <c r="BB100" i="20"/>
  <c r="BE165" i="20"/>
  <c r="BB165" i="20"/>
  <c r="D105" i="20"/>
  <c r="D107" i="20"/>
  <c r="BE200" i="20"/>
  <c r="BE198" i="20" s="1"/>
  <c r="C3" i="10" s="1"/>
  <c r="AR185" i="20"/>
  <c r="E174" i="20"/>
  <c r="AV182" i="20"/>
  <c r="AV185" i="20" s="1"/>
  <c r="AW185" i="20" s="1"/>
  <c r="AV199" i="20"/>
  <c r="BB99" i="20"/>
  <c r="BE99" i="20"/>
  <c r="E14" i="20"/>
  <c r="AN46" i="20"/>
  <c r="AO46" i="20" s="1"/>
  <c r="AP46" i="20" s="1"/>
  <c r="AQ46" i="20" s="1"/>
  <c r="AR46" i="20" s="1"/>
  <c r="BE101" i="20" l="1"/>
  <c r="BB101" i="20"/>
  <c r="BE166" i="20"/>
  <c r="BE120" i="20" s="1"/>
  <c r="BE118" i="20" s="1"/>
  <c r="BB166" i="20"/>
  <c r="AV120" i="20"/>
  <c r="D51" i="20"/>
  <c r="AN50" i="20"/>
  <c r="F14" i="20"/>
  <c r="AS46" i="20"/>
  <c r="AT46" i="20" s="1"/>
  <c r="AU46" i="20" s="1"/>
  <c r="AV46" i="20" s="1"/>
  <c r="AW46" i="20" s="1"/>
  <c r="AX46" i="20" s="1"/>
  <c r="AY46" i="20" s="1"/>
  <c r="AZ46" i="20" s="1"/>
  <c r="BA46" i="20" s="1"/>
  <c r="BB46" i="20" s="1"/>
  <c r="BD55" i="20"/>
  <c r="F12" i="20"/>
  <c r="AS44" i="20"/>
  <c r="AT44" i="20" s="1"/>
  <c r="AU44" i="20" s="1"/>
  <c r="AV44" i="20" s="1"/>
  <c r="AW44" i="20" s="1"/>
  <c r="AX44" i="20" s="1"/>
  <c r="AY44" i="20" s="1"/>
  <c r="AZ44" i="20" s="1"/>
  <c r="BA44" i="20" s="1"/>
  <c r="BB44" i="20" s="1"/>
  <c r="BE55" i="20"/>
  <c r="AX185" i="20"/>
  <c r="AW182" i="20"/>
  <c r="AW184" i="20" s="1"/>
  <c r="E176" i="20"/>
  <c r="E178" i="20" s="1"/>
  <c r="E179" i="20" s="1"/>
  <c r="E105" i="20"/>
  <c r="E175" i="20" l="1"/>
  <c r="BE53" i="20"/>
  <c r="C2" i="10" s="1"/>
  <c r="D44" i="20"/>
  <c r="AV119" i="20"/>
  <c r="AV112" i="20"/>
  <c r="BC44" i="20"/>
  <c r="BD44" i="20" s="1"/>
  <c r="BE44" i="20" s="1"/>
  <c r="BF44" i="20" s="1"/>
  <c r="BG44" i="20" s="1"/>
  <c r="BH44" i="20" s="1"/>
  <c r="BI44" i="20" s="1"/>
  <c r="BJ44" i="20" s="1"/>
  <c r="BK44" i="20" s="1"/>
  <c r="BL44" i="20" s="1"/>
  <c r="G12" i="20"/>
  <c r="AN45" i="20"/>
  <c r="AO50" i="20"/>
  <c r="AX182" i="20"/>
  <c r="AX184" i="20" s="1"/>
  <c r="AY185" i="20"/>
  <c r="G14" i="20"/>
  <c r="BC46" i="20"/>
  <c r="BD46" i="20" s="1"/>
  <c r="BE46" i="20" s="1"/>
  <c r="BF46" i="20" s="1"/>
  <c r="BG46" i="20" s="1"/>
  <c r="BH46" i="20" s="1"/>
  <c r="BI46" i="20" s="1"/>
  <c r="BJ46" i="20" s="1"/>
  <c r="BK46" i="20" s="1"/>
  <c r="BL46" i="20" s="1"/>
  <c r="H12" i="20" l="1"/>
  <c r="BM44" i="20"/>
  <c r="BN44" i="20" s="1"/>
  <c r="BO44" i="20" s="1"/>
  <c r="BP44" i="20" s="1"/>
  <c r="BQ44" i="20" s="1"/>
  <c r="BR44" i="20" s="1"/>
  <c r="BS44" i="20" s="1"/>
  <c r="BT44" i="20" s="1"/>
  <c r="BU44" i="20" s="1"/>
  <c r="BV44" i="20" s="1"/>
  <c r="BM46" i="20"/>
  <c r="BN46" i="20" s="1"/>
  <c r="BO46" i="20" s="1"/>
  <c r="BP46" i="20" s="1"/>
  <c r="BQ46" i="20" s="1"/>
  <c r="BR46" i="20" s="1"/>
  <c r="BS46" i="20" s="1"/>
  <c r="BT46" i="20" s="1"/>
  <c r="BU46" i="20" s="1"/>
  <c r="BV46" i="20" s="1"/>
  <c r="H14" i="20"/>
  <c r="AV115" i="20"/>
  <c r="D117" i="20"/>
  <c r="AO45" i="20"/>
  <c r="AP50" i="20"/>
  <c r="AZ185" i="20"/>
  <c r="AY182" i="20"/>
  <c r="AY184" i="20" s="1"/>
  <c r="D116" i="20" l="1"/>
  <c r="E116" i="20" s="1"/>
  <c r="AW115" i="20" s="1"/>
  <c r="L47" i="20"/>
  <c r="I14" i="20"/>
  <c r="I12" i="20"/>
  <c r="L45" i="20"/>
  <c r="AQ50" i="20"/>
  <c r="AP45" i="20"/>
  <c r="BA185" i="20"/>
  <c r="AZ182" i="20"/>
  <c r="AZ184" i="20" s="1"/>
  <c r="AW112" i="20" l="1"/>
  <c r="AW114" i="20" s="1"/>
  <c r="AX115" i="20"/>
  <c r="AQ45" i="20"/>
  <c r="AR50" i="20"/>
  <c r="BB185" i="20"/>
  <c r="BA182" i="20"/>
  <c r="BA184" i="20" s="1"/>
  <c r="BC185" i="20" l="1"/>
  <c r="BB182" i="20"/>
  <c r="AS50" i="20"/>
  <c r="AR45" i="20"/>
  <c r="AX112" i="20"/>
  <c r="AX114" i="20" s="1"/>
  <c r="AY115" i="20"/>
  <c r="AZ115" i="20" l="1"/>
  <c r="AY112" i="20"/>
  <c r="AY114" i="20" s="1"/>
  <c r="AR51" i="20"/>
  <c r="F13" i="20"/>
  <c r="AT50" i="20"/>
  <c r="AS45" i="20"/>
  <c r="BB184" i="20"/>
  <c r="F174" i="20"/>
  <c r="BC182" i="20"/>
  <c r="BC184" i="20" s="1"/>
  <c r="BD185" i="20"/>
  <c r="F176" i="20" l="1"/>
  <c r="F178" i="20" s="1"/>
  <c r="F179" i="20" s="1"/>
  <c r="BE185" i="20"/>
  <c r="BD182" i="20"/>
  <c r="BD184" i="20" s="1"/>
  <c r="AT45" i="20"/>
  <c r="AU50" i="20"/>
  <c r="BA115" i="20"/>
  <c r="AZ112" i="20"/>
  <c r="AZ114" i="20" s="1"/>
  <c r="AU45" i="20" l="1"/>
  <c r="AV50" i="20"/>
  <c r="BF185" i="20"/>
  <c r="BE182" i="20"/>
  <c r="BE184" i="20" s="1"/>
  <c r="BA112" i="20"/>
  <c r="BA114" i="20" s="1"/>
  <c r="BB115" i="20"/>
  <c r="F175" i="20"/>
  <c r="BC115" i="20" l="1"/>
  <c r="BB112" i="20"/>
  <c r="BG185" i="20"/>
  <c r="BF182" i="20"/>
  <c r="BF184" i="20" s="1"/>
  <c r="AV45" i="20"/>
  <c r="AW50" i="20"/>
  <c r="AW45" i="20" l="1"/>
  <c r="AX50" i="20"/>
  <c r="BH185" i="20"/>
  <c r="BG182" i="20"/>
  <c r="BG184" i="20" s="1"/>
  <c r="F104" i="20"/>
  <c r="BB114" i="20"/>
  <c r="BD115" i="20"/>
  <c r="BC112" i="20"/>
  <c r="BC114" i="20" s="1"/>
  <c r="BE115" i="20" l="1"/>
  <c r="BD112" i="20"/>
  <c r="BD114" i="20" s="1"/>
  <c r="F106" i="20"/>
  <c r="F108" i="20" s="1"/>
  <c r="F109" i="20" s="1"/>
  <c r="BI185" i="20"/>
  <c r="BH182" i="20"/>
  <c r="BH184" i="20" s="1"/>
  <c r="AY50" i="20"/>
  <c r="AX45" i="20"/>
  <c r="AY45" i="20" l="1"/>
  <c r="AZ50" i="20"/>
  <c r="BJ185" i="20"/>
  <c r="BI182" i="20"/>
  <c r="BI184" i="20" s="1"/>
  <c r="F105" i="20"/>
  <c r="BE112" i="20"/>
  <c r="BE114" i="20" s="1"/>
  <c r="BF115" i="20"/>
  <c r="BF112" i="20" l="1"/>
  <c r="BF114" i="20" s="1"/>
  <c r="BG115" i="20"/>
  <c r="BK185" i="20"/>
  <c r="BJ182" i="20"/>
  <c r="BJ184" i="20" s="1"/>
  <c r="AZ45" i="20"/>
  <c r="BA50" i="20"/>
  <c r="BB50" i="20" l="1"/>
  <c r="BA45" i="20"/>
  <c r="BK182" i="20"/>
  <c r="BK184" i="20" s="1"/>
  <c r="BL185" i="20"/>
  <c r="BH115" i="20"/>
  <c r="BG112" i="20"/>
  <c r="BG114" i="20" s="1"/>
  <c r="BH112" i="20" l="1"/>
  <c r="BH114" i="20" s="1"/>
  <c r="BI115" i="20"/>
  <c r="BL182" i="20"/>
  <c r="BM185" i="20"/>
  <c r="BB45" i="20"/>
  <c r="BC50" i="20"/>
  <c r="BC45" i="20" l="1"/>
  <c r="BD50" i="20"/>
  <c r="G13" i="20"/>
  <c r="BB51" i="20"/>
  <c r="BN185" i="20"/>
  <c r="BM182" i="20"/>
  <c r="BM184" i="20" s="1"/>
  <c r="G174" i="20"/>
  <c r="BL184" i="20"/>
  <c r="BI112" i="20"/>
  <c r="BI114" i="20" s="1"/>
  <c r="BJ115" i="20"/>
  <c r="BJ112" i="20" l="1"/>
  <c r="BJ114" i="20" s="1"/>
  <c r="BK115" i="20"/>
  <c r="BD45" i="20"/>
  <c r="BE50" i="20"/>
  <c r="G176" i="20"/>
  <c r="G178" i="20" s="1"/>
  <c r="G179" i="20" s="1"/>
  <c r="BO185" i="20"/>
  <c r="BN182" i="20"/>
  <c r="BN184" i="20" s="1"/>
  <c r="BE45" i="20" l="1"/>
  <c r="BF50" i="20"/>
  <c r="BP185" i="20"/>
  <c r="BO182" i="20"/>
  <c r="BO184" i="20" s="1"/>
  <c r="G175" i="20"/>
  <c r="BK112" i="20"/>
  <c r="BK114" i="20" s="1"/>
  <c r="BL115" i="20"/>
  <c r="BM115" i="20" l="1"/>
  <c r="BL112" i="20"/>
  <c r="BQ185" i="20"/>
  <c r="BP182" i="20"/>
  <c r="BP184" i="20" s="1"/>
  <c r="BG50" i="20"/>
  <c r="BF45" i="20"/>
  <c r="BL114" i="20" l="1"/>
  <c r="G104" i="20"/>
  <c r="BG45" i="20"/>
  <c r="BH50" i="20"/>
  <c r="BR185" i="20"/>
  <c r="BQ182" i="20"/>
  <c r="BQ184" i="20" s="1"/>
  <c r="BM112" i="20"/>
  <c r="BM114" i="20" s="1"/>
  <c r="BN115" i="20"/>
  <c r="G106" i="20" l="1"/>
  <c r="G108" i="20" s="1"/>
  <c r="G109" i="20" s="1"/>
  <c r="BN112" i="20"/>
  <c r="BN114" i="20" s="1"/>
  <c r="BO115" i="20"/>
  <c r="BS185" i="20"/>
  <c r="BR182" i="20"/>
  <c r="BR184" i="20" s="1"/>
  <c r="BI50" i="20"/>
  <c r="BH45" i="20"/>
  <c r="BS182" i="20" l="1"/>
  <c r="BS184" i="20" s="1"/>
  <c r="BT185" i="20"/>
  <c r="BI45" i="20"/>
  <c r="BJ50" i="20"/>
  <c r="BP115" i="20"/>
  <c r="BO112" i="20"/>
  <c r="BO114" i="20" s="1"/>
  <c r="G105" i="20"/>
  <c r="BT182" i="20" l="1"/>
  <c r="BT184" i="20" s="1"/>
  <c r="BU185" i="20"/>
  <c r="BQ115" i="20"/>
  <c r="BP112" i="20"/>
  <c r="BP114" i="20" s="1"/>
  <c r="BJ45" i="20"/>
  <c r="BK50" i="20"/>
  <c r="BK45" i="20" l="1"/>
  <c r="BL50" i="20"/>
  <c r="BR115" i="20"/>
  <c r="BQ112" i="20"/>
  <c r="BQ114" i="20" s="1"/>
  <c r="BU182" i="20"/>
  <c r="BU184" i="20" s="1"/>
  <c r="BV185" i="20"/>
  <c r="BL45" i="20" l="1"/>
  <c r="BM50" i="20"/>
  <c r="G187" i="20"/>
  <c r="BV182" i="20"/>
  <c r="BR112" i="20"/>
  <c r="BR114" i="20" s="1"/>
  <c r="BS115" i="20"/>
  <c r="BS112" i="20" l="1"/>
  <c r="BS114" i="20" s="1"/>
  <c r="BT115" i="20"/>
  <c r="BM45" i="20"/>
  <c r="BN50" i="20"/>
  <c r="D188" i="20"/>
  <c r="H174" i="20"/>
  <c r="BV184" i="20"/>
  <c r="BL51" i="20"/>
  <c r="H13" i="20"/>
  <c r="H176" i="20" l="1"/>
  <c r="H178" i="20" s="1"/>
  <c r="H179" i="20" s="1"/>
  <c r="H175" i="20"/>
  <c r="BO50" i="20"/>
  <c r="BN45" i="20"/>
  <c r="BU115" i="20"/>
  <c r="BT112" i="20"/>
  <c r="BT114" i="20" s="1"/>
  <c r="BU112" i="20" l="1"/>
  <c r="BU114" i="20" s="1"/>
  <c r="BV115" i="20"/>
  <c r="BO45" i="20"/>
  <c r="BP50" i="20"/>
  <c r="BV112" i="20" l="1"/>
  <c r="G117" i="20"/>
  <c r="BP45" i="20"/>
  <c r="BQ50" i="20"/>
  <c r="BR50" i="20" l="1"/>
  <c r="BQ45" i="20"/>
  <c r="BV114" i="20"/>
  <c r="D118" i="20"/>
  <c r="H104" i="20"/>
  <c r="H106" i="20" l="1"/>
  <c r="H108" i="20" s="1"/>
  <c r="H109" i="20" s="1"/>
  <c r="H105" i="20"/>
  <c r="BR45" i="20"/>
  <c r="BS50" i="20"/>
  <c r="BS45" i="20" l="1"/>
  <c r="BT50" i="20"/>
  <c r="BT45" i="20" l="1"/>
  <c r="BU50" i="20"/>
  <c r="BU45" i="20" l="1"/>
  <c r="BV50" i="20"/>
  <c r="BV45" i="20" s="1"/>
  <c r="I13" i="20" l="1"/>
  <c r="L46" i="20"/>
  <c r="BV51" i="20"/>
  <c r="G51" i="20"/>
  <c r="B21" i="16" l="1"/>
  <c r="B17" i="16"/>
  <c r="B12" i="16"/>
  <c r="B11" i="16"/>
  <c r="B7" i="16"/>
  <c r="B9" i="16" s="1"/>
  <c r="B8" i="16"/>
  <c r="B3" i="16"/>
  <c r="B2" i="16"/>
  <c r="B4" i="16" s="1"/>
  <c r="B13" i="16" l="1"/>
  <c r="C6" i="10" l="1"/>
  <c r="C5" i="10"/>
  <c r="C4" i="10"/>
  <c r="C3" i="2" l="1"/>
  <c r="D3" i="2"/>
  <c r="C10" i="11"/>
  <c r="B10" i="11"/>
  <c r="D42" i="2" l="1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A45" i="2" l="1"/>
  <c r="A48" i="2" s="1"/>
  <c r="C7" i="10" s="1"/>
  <c r="E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tc={D0676B9C-E97B-EE41-8E60-4FB83FFAA273}</author>
  </authors>
  <commentList>
    <comment ref="E116" authorId="0" shapeId="0" xr:uid="{D0676B9C-E97B-EE41-8E60-4FB83FFAA2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modera la tasa de crecimiento reciente al XX% de la calculada por efecto repartidores. </t>
      </text>
    </comment>
  </commentList>
</comments>
</file>

<file path=xl/sharedStrings.xml><?xml version="1.0" encoding="utf-8"?>
<sst xmlns="http://schemas.openxmlformats.org/spreadsheetml/2006/main" count="1601" uniqueCount="721">
  <si>
    <t>AVL Avg Vehicle Lifetime</t>
  </si>
  <si>
    <t>Sources:</t>
  </si>
  <si>
    <t>LDV Lifetimes</t>
  </si>
  <si>
    <t>Calibrated</t>
  </si>
  <si>
    <t>LDVs: Market Shares of Cars and Light Trucks</t>
  </si>
  <si>
    <t>Bureau of Transportation Statistics</t>
  </si>
  <si>
    <t>National Transportation Statistics 2015</t>
  </si>
  <si>
    <t>http://www.rita.dot.gov/bts/sites/rita.dot.gov.bts/files/publications/national_transportation_statistics/index.html</t>
  </si>
  <si>
    <t>Table 1-20</t>
  </si>
  <si>
    <t>Freight HDVs</t>
  </si>
  <si>
    <t>Oak Ridge National Laboratory</t>
  </si>
  <si>
    <t>Transportation Energy Data Book Ed. 34</t>
  </si>
  <si>
    <t>http://cta.ornl.gov/data/tedb34/Spreadsheets/Table3_14.xls</t>
  </si>
  <si>
    <t>Table 3-14, Row 43</t>
  </si>
  <si>
    <t>Passenger HDVs (Buses)</t>
  </si>
  <si>
    <t>ThoughtCo</t>
  </si>
  <si>
    <t>How Long Do Buses and Other Transit Vehicles Last?</t>
  </si>
  <si>
    <t>https://www.thoughtco.com/buses-and-other-transit-lifetime-2798844</t>
  </si>
  <si>
    <t>aircraft</t>
  </si>
  <si>
    <t>rail and ships</t>
  </si>
  <si>
    <t>California State Controller's Office</t>
  </si>
  <si>
    <t>1992 (but still current)</t>
  </si>
  <si>
    <t>Audit Guidelines and Uniform Accounting Systems: Special Districts</t>
  </si>
  <si>
    <t>http://www.sco.ca.gov/ard_local_rep_uas_special_dist.html</t>
  </si>
  <si>
    <t>Appendix A: Suggested Useful Lives of Fixed Assets</t>
  </si>
  <si>
    <t>motorbikes</t>
  </si>
  <si>
    <t>Motorcycle Trends in the United States</t>
  </si>
  <si>
    <t>http://www.rita.dot.gov/bts/sites/rita.dot.gov.bts/files/publications/special_reports_and_issue_briefs/special_report/2009_05_14/pdf/entire.pdf</t>
  </si>
  <si>
    <t>Page 3, Table 1</t>
  </si>
  <si>
    <t>About</t>
  </si>
  <si>
    <t>The model requires the lifetime to be an integer, so we round to the nearest integer.</t>
  </si>
  <si>
    <t>We calibrate the value for passenger LDVs to match annual passenger LDV sales in the model, which were roughly 15 million in 2021.</t>
  </si>
  <si>
    <t>We assume passenger and freight modes are the same for aircraft, rail, and ships.</t>
  </si>
  <si>
    <t>There are no freight motorbikes in the U.S. EPS, so we arbitrarily set their lifetime equal to passenger motorbikes.</t>
  </si>
  <si>
    <t>Table 38.  Light-Duty Vehicle Sales by Technology Type</t>
  </si>
  <si>
    <t>https://www.eia.gov/outlooks/aeo/data/browser/#/?id=48-AEO2022&amp;cases=lowmacro&amp;sourcekey=0</t>
  </si>
  <si>
    <t>Fri Dec 09 2022 10:03:54 GMT-0500 (Eastern Standard Time)</t>
  </si>
  <si>
    <t>Source: U.S. Energy Information Administration</t>
  </si>
  <si>
    <t>full name</t>
  </si>
  <si>
    <t>api key</t>
  </si>
  <si>
    <t>units</t>
  </si>
  <si>
    <t>Growth (2021-2050)</t>
  </si>
  <si>
    <t>New Car Sales</t>
  </si>
  <si>
    <t>Conventional Cars</t>
  </si>
  <si>
    <t>Gasoline ICE Vehicles</t>
  </si>
  <si>
    <t>Light-Duty Vehicle Sales: Conventional Cars: Gasoline: Low economic growth</t>
  </si>
  <si>
    <t>AEO.2022.LOWMACRO.ECI_SAL_TRN_CAR_GSL_NA_NA_TH.A</t>
  </si>
  <si>
    <t>thousands</t>
  </si>
  <si>
    <t>TDI Diesel ICE</t>
  </si>
  <si>
    <t>Light-Duty Vehicle Sales: Conventional Cars: TDI Diesel: Low economic growth</t>
  </si>
  <si>
    <t>AEO.2022.LOWMACRO.ECI_SAL_TRN_CAR_TDS_NA_NA_TH.A</t>
  </si>
  <si>
    <t>Total Conventional Cars</t>
  </si>
  <si>
    <t>Light-Duty Vehicle Sales: Conventional Cars: Total: Low economic growth</t>
  </si>
  <si>
    <t>AEO.2022.LOWMACRO.ECI_SAL_TRN_CAR_CNV_NA_NA_TH.A</t>
  </si>
  <si>
    <t>Alternative-Fuel Cars</t>
  </si>
  <si>
    <t>Ethanol-Flex Fuel ICE</t>
  </si>
  <si>
    <t>Light-Duty Vehicle Sales: Alternative-Fuel Cars: Ethanol-Flex Fuel ICE: Low economic growth</t>
  </si>
  <si>
    <t>AEO.2022.LOWMACRO.ECI_SAL_TRN_CAR_EFFI_NA_NA_TH.A</t>
  </si>
  <si>
    <t>100 Mile Electric Vehicle</t>
  </si>
  <si>
    <t>Light-Duty Vehicle Sales: Alternative-Fuel Cars: 100 Mile Electric Vehicle: Low economic growth</t>
  </si>
  <si>
    <t>AEO.2022.LOWMACRO.ECI_SAL_TRN_CAR_100EV_NA_NA_TH.A</t>
  </si>
  <si>
    <t>200 Mile Electric Vehicle</t>
  </si>
  <si>
    <t>Light-Duty Vehicle Sales: Alternative-Fuel Cars: 200 Mile Electric Vehicle: Low economic growth</t>
  </si>
  <si>
    <t>AEO.2022.LOWMACRO.ECI_SAL_TRN_CAR_200EV_NA_NA_TH.A</t>
  </si>
  <si>
    <t>300 Mile Electric Vehicle</t>
  </si>
  <si>
    <t>Light-Duty Vehicle Sales: Alternative-Fuel Cars: 300 Mile Electric Vehicle: Low economic growth</t>
  </si>
  <si>
    <t>AEO.2022.LOWMACRO.ECI_SAL_TRN_CAR_300EV_NA_NA_TH.A</t>
  </si>
  <si>
    <t>Plug-in 20 Gasoline Hybrid</t>
  </si>
  <si>
    <t>Light-Duty Vehicle Sales: Alternative-Fuel Cars: Plug-in 20 Gasoline Hybrid: Low economic growth</t>
  </si>
  <si>
    <t>AEO.2022.LOWMACRO.#N/A.A</t>
  </si>
  <si>
    <t>Plug-in 50 Gasoline Hybrid</t>
  </si>
  <si>
    <t>Light-Duty Vehicle Sales: Alternative-Fuel Cars: Plug-in 50 Gasoline Hybrid: Low economic growth</t>
  </si>
  <si>
    <t>Electric-Diesel Hybrid</t>
  </si>
  <si>
    <t>Light-Duty Vehicle Sales: Alternative-Fuel Cars: Electric-Diesel Hybrid: Low economic growth</t>
  </si>
  <si>
    <t>AEO.2022.LOWMACRO.ECI_SAL_TRN_CAR_EDH_NA_NA_TH.A</t>
  </si>
  <si>
    <t>- -</t>
  </si>
  <si>
    <t>Electric-Gasoline Hybrid</t>
  </si>
  <si>
    <t>Light-Duty Vehicle Sales: Alternative-Fuel Cars: Electric-Gasoline Hybrid: Low economic growth</t>
  </si>
  <si>
    <t>AEO.2022.LOWMACRO.ECI_SAL_TRN_CAR_EGH_NA_NA_TH.A</t>
  </si>
  <si>
    <t>Natural Gas ICE</t>
  </si>
  <si>
    <t>Light-Duty Vehicle Sales: Alternative-Fuel Cars: Natural Gas ICE: Low economic growth</t>
  </si>
  <si>
    <t>AEO.2022.LOWMACRO.ECI_SAL_TRN_CAR_NGI_NA_NA_TH.A</t>
  </si>
  <si>
    <t>Natural Gas Bi-fuel</t>
  </si>
  <si>
    <t>Light-Duty Vehicle Sales: Alternative-Fuel Cars: Natural Gas Bi-fuel: Low economic growth</t>
  </si>
  <si>
    <t>AEO.2022.LOWMACRO.ECI_SAL_TRN_CAR_NBF_NA_NA_TH.A</t>
  </si>
  <si>
    <t>Propane ICE</t>
  </si>
  <si>
    <t>Light-Duty Vehicle Sales: Alternative-Fuel Cars: Propane: Low economic growth</t>
  </si>
  <si>
    <t>AEO.2022.LOWMACRO.ECI_SAL_TRN_CAR_PROP_NA_NA_TH.A</t>
  </si>
  <si>
    <t>Propane Bi-fuel</t>
  </si>
  <si>
    <t>AEO.2022.LOWMACRO.ECI_SAL_TRN_CAR_PBF_NA_NA_TH.A</t>
  </si>
  <si>
    <t>Fuel Cell Methanol</t>
  </si>
  <si>
    <t>Light-Duty Vehicle Sales: Alternative-Fuel Cars: Fuel Cell Methanol: Low economic growth</t>
  </si>
  <si>
    <t>AEO.2022.LOWMACRO.ECI_SAL_TRN_CAR_FCLMTH_NA_NA_TH.A</t>
  </si>
  <si>
    <t>Fuel Cell Hydrogen</t>
  </si>
  <si>
    <t>Light-Duty Vehicle Sales: Alternative-Fuel cars: Fuel Cell Hydrogen: Low economic growth</t>
  </si>
  <si>
    <t>AEO.2022.LOWMACRO.ECI_SAL_TRN_CAR_FCH_NA_NA_TH.A</t>
  </si>
  <si>
    <t>Total Alternative Cars</t>
  </si>
  <si>
    <t>Light-Duty Vehicle Sales: Alternative-Fuel Cars: Total: Low economic growth</t>
  </si>
  <si>
    <t>AEO.2022.LOWMACRO.ECI_SAL_TRN_CAR_ALT_NA_NA_TH.A</t>
  </si>
  <si>
    <t>Percent Alternative Car Sales</t>
  </si>
  <si>
    <t>Light-Duty Vehicle Sales: Percent Alternative Car: Low economic growth</t>
  </si>
  <si>
    <t>AEO.2022.LOWMACRO.ECI_SAL_TRN_CAR_ALT_NA_NA_PCT.A</t>
  </si>
  <si>
    <t>percent</t>
  </si>
  <si>
    <t>Total New Car Sales</t>
  </si>
  <si>
    <t>Light-Duty Vehicle Sales: Total New Car: Low economic growth</t>
  </si>
  <si>
    <t>AEO.2022.LOWMACRO.ECI_SAL_TRN_CAR_TOT_NA_NA_TH.A</t>
  </si>
  <si>
    <t>New Light Truck Sales</t>
  </si>
  <si>
    <t>Conventional Light Trucks</t>
  </si>
  <si>
    <t>Light-Duty Vehicle Sales: Conventional Light Trucks: Gasoline: Low economic growth</t>
  </si>
  <si>
    <t>AEO.2022.LOWMACRO.ECI_SAL_TRN_LTK_GSL_NA_NA_TH.A</t>
  </si>
  <si>
    <t>Light-Duty Vehicle Sales: Conventional Light Trucks: TDI Diesel: Low economic growth</t>
  </si>
  <si>
    <t>AEO.2022.LOWMACRO.ECI_SAL_TRN_LTK_DSL_NA_NA_TH.A</t>
  </si>
  <si>
    <t>Total Conventional Light Trucks</t>
  </si>
  <si>
    <t>Light-Duty Vehicle Sales: Conventional Light Trucks: Total: Low economic growth</t>
  </si>
  <si>
    <t>AEO.2022.LOWMACRO.ECI_SAL_TRN_LTK_CNV_NA_NA_TH.A</t>
  </si>
  <si>
    <t>Alternative-Fuel Light Trucks</t>
  </si>
  <si>
    <t>Light-Duty Vehicle Sales: Alternative-Fuel Light Trucks: Ethanol-Flex Fuel ICE: Low economic growth</t>
  </si>
  <si>
    <t>AEO.2022.LOWMACRO.ECI_SAL_TRN_LTK_EFFI_NA_NA_TH.A</t>
  </si>
  <si>
    <t>Light-Duty Vehicle Sales: Alternative-Fuel Light Trucks: 100 Mile Electric Vehicle: Low economic growth</t>
  </si>
  <si>
    <t>AEO.2022.LOWMACRO.ECI_SAL_TRN_LTK_100EV_NA_NA_TH.A</t>
  </si>
  <si>
    <t>Light-Duty Vehicle Sales: Alternative-Fuel Light Trucks: 200 Mile Electric Vehicle: Low economic growth</t>
  </si>
  <si>
    <t>AEO.2022.LOWMACRO.ECI_SAL_TRN_LTK_200EV_NA_NA_TH.A</t>
  </si>
  <si>
    <t>Light-Duty Vehicle Sales: Alternative-Fuel Light Trucks: 300 Mile Electric Vehicle: Low economic growth</t>
  </si>
  <si>
    <t>AEO.2022.LOWMACRO.ECI_SAL_TRN_LTK_300EV_NA_NA_TH.A</t>
  </si>
  <si>
    <t>Light-Duty Vehicle Sales: Alternative-Fuel Light Trucks: Plug-in 20 Gasoline Hybrid: Low economic growth</t>
  </si>
  <si>
    <t>Light-Duty Vehicle Sales: Alternative-Fuel Light Trucks: Plug-in 50 Gasoline Hybrid: Low economic growth</t>
  </si>
  <si>
    <t>Light-Duty Vehicle Sales: Alternative-Fuel Light Trucks: Electric-Diesel Hybrid: Low economic growth</t>
  </si>
  <si>
    <t>AEO.2022.LOWMACRO.ECI_SAL_TRN_LTK_EDH_NA_NA_TH.A</t>
  </si>
  <si>
    <t>Light-Duty Vehicle Sales: Alternative-Fuel Light Trucks: Electric-Gasoline Hybrid: Low economic growth</t>
  </si>
  <si>
    <t>AEO.2022.LOWMACRO.ECI_SAL_TRN_LTK_EGH_NA_NA_TH.A</t>
  </si>
  <si>
    <t>Light-Duty Vehicle Sales: Alternative-Fuel Light Trucks: Natural Gas ICE: Low economic growth</t>
  </si>
  <si>
    <t>AEO.2022.LOWMACRO.ECI_SAL_TRN_LTK_NGI_NA_NA_TH.A</t>
  </si>
  <si>
    <t>Light-Duty Vehicle Sales: Alternative-Fuel Light Trucks: Natural Gas Bi-fuel: Low economic growth</t>
  </si>
  <si>
    <t>AEO.2022.LOWMACRO.ECI_SAL_TRN_LTK_NBF_NA_NA_TH.A</t>
  </si>
  <si>
    <t>Light-Duty Vehicle Sales: Alternative-Fuel Light Trucks: Propane ICE: Low economic growth</t>
  </si>
  <si>
    <t>AEO.2022.LOWMACRO.ECI_SAL_TRN_LTK_PROP_NA_NA_TH.A</t>
  </si>
  <si>
    <t>Light-Duty Vehicle Sales: Alternative-Fuel Light Trucks: Propane Bi-fuel: Low economic growth</t>
  </si>
  <si>
    <t>AEO.2022.LOWMACRO.ECI_SAL_TRN_LTK_PBF_NA_NA_TH.A</t>
  </si>
  <si>
    <t>Light-Duty Vehicle Sales: Alternative-Fuel Light Trucks: Fuel Cell Methanol: Low economic growth</t>
  </si>
  <si>
    <t>AEO.2022.LOWMACRO.ECI_SAL_TRN_LTK_FCLMTH_NA_NA_TH.A</t>
  </si>
  <si>
    <t>Light-Duty Vehicle Sales: Alternative-Fuel Light Trucks: Fuel Cell Hydrogen: Low economic growth</t>
  </si>
  <si>
    <t>AEO.2022.LOWMACRO.ECI_SAL_TRN_LTK_FCH_NA_NA_TH.A</t>
  </si>
  <si>
    <t>Total Alternative Light Trucks</t>
  </si>
  <si>
    <t>Light-Duty Vehicle Sales: Alternative-Fuel Light Trucks: Total: Low economic growth</t>
  </si>
  <si>
    <t>AEO.2022.LOWMACRO.ECI_SAL_TRN_LTK_ALT_NA_NA_TH.A</t>
  </si>
  <si>
    <t>Percent Alternative Light Truck Sales</t>
  </si>
  <si>
    <t>Light-Duty Vehicle Sales: Percent Alternative Light Truck Sales: Low economic growth</t>
  </si>
  <si>
    <t>AEO.2022.LOWMACRO.ECI_SAL_TRN_LTK_ALT_NA_NA_PCT.A</t>
  </si>
  <si>
    <t>Total New Light Truck Sales</t>
  </si>
  <si>
    <t>Light-Duty Vehicle Sales: Total New Truck: Low economic growth</t>
  </si>
  <si>
    <t>AEO.2022.LOWMACRO.ECI_SAL_TRN_LTK_NA_NA_NA_TH.A</t>
  </si>
  <si>
    <t>Percent Total Alternative Sales</t>
  </si>
  <si>
    <t>Light-Duty Vehicle Sales: Percent Total Alternative Sales: Low economic growth</t>
  </si>
  <si>
    <t>AEO.2022.LOWMACRO.ECI_SAL_TRN_LDTY_ALT_NA_NA_PCT.A</t>
  </si>
  <si>
    <t>EPACT Legislative  Alternative Sales</t>
  </si>
  <si>
    <t>Light-Duty Vehicle Sales: EPACT Legislative Alternative Sales: Low economic growth</t>
  </si>
  <si>
    <t>AEO.2022.LOWMACRO.ECI_SAL_TRN_LDTY_EPACLEGI_NA_NA_TH.A</t>
  </si>
  <si>
    <t>ZEVP Legislative Alternative Sales</t>
  </si>
  <si>
    <t>Light-Duty Vehicle Sales: ZEVP Legislative Alternative Sales: Low economic growth</t>
  </si>
  <si>
    <t>AEO.2022.LOWMACRO.ECI_SAL_TRN_LDTY_ZVPLG_NA_NA_TH.A</t>
  </si>
  <si>
    <t>Total Sales</t>
  </si>
  <si>
    <t xml:space="preserve"> Cars and Light Trucks</t>
  </si>
  <si>
    <t>Conventional Gasoline</t>
  </si>
  <si>
    <t>Light-Duty Vehicle Sales: Total Sales, Cars and Light Trucks: Conventional Gasoline: Low economic growth</t>
  </si>
  <si>
    <t>AEO.2022.LOWMACRO.ECI_SAL_TRN_LDTY_CVG_NA_NA_TH.A</t>
  </si>
  <si>
    <t>TDI Diesel</t>
  </si>
  <si>
    <t>Light-Duty Vehicle Sales: Total Sales, Cars and Light Trucks: TDI Diesel: Low economic growth</t>
  </si>
  <si>
    <t>AEO.2022.LOWMACRO.ECI_SAL_TRN_LDTY_TDS_NA_NA_TH.A</t>
  </si>
  <si>
    <t>Flex-Fuel</t>
  </si>
  <si>
    <t>Light-Duty Vehicle Sales: Total Sales, Cars and Light Trucks: Flex-Fuel: Low economic growth</t>
  </si>
  <si>
    <t>AEO.2022.LOWMACRO.ECI_SAL_TRN_LDTY_FXF_NA_NA_TH.A</t>
  </si>
  <si>
    <t>Electric</t>
  </si>
  <si>
    <t>Light-Duty Vehicle Sales: Total Sales, Cars and Light Trucks: Electric: Low economic growth</t>
  </si>
  <si>
    <t>AEO.2022.LOWMACRO.ECI_SAL_TRN_LDTY_ELE_NA_NA_TH.A</t>
  </si>
  <si>
    <t>Plug-in Electric Hybrid</t>
  </si>
  <si>
    <t>Light-Duty Vehicle Sales: Total Sales, Cars and Light Trucks: Plug-in Electric Hybrid: Low economic growth</t>
  </si>
  <si>
    <t>AEO.2022.LOWMACRO.ECI_SAL_TRN_LDTY_PIE_NA_NA_TH.A</t>
  </si>
  <si>
    <t>Electric Hybrid</t>
  </si>
  <si>
    <t>Light-Duty Vehicle Sales: Total Sales, Cars and Light Trucks: Electric Hybrid: Low economic growth</t>
  </si>
  <si>
    <t>AEO.2022.LOWMACRO.ECI_SAL_TRN_LDTY_EHY_NA_NA_TH.A</t>
  </si>
  <si>
    <t>Gaseous (Propane and Natural Gas)</t>
  </si>
  <si>
    <t>Light-Duty Vehicle Sales: Total Sales, Cars and Light Trucks: Gaseous: Low economic growth</t>
  </si>
  <si>
    <t>AEO.2022.LOWMACRO.ECI_SAL_TRN_LDTY_GSU_NA_NA_TH.A</t>
  </si>
  <si>
    <t>Fuel Cell</t>
  </si>
  <si>
    <t>Light-Duty Vehicle Sales: Total Sales, Cars and Light Trucks: Fuel Cell: Low economic growth</t>
  </si>
  <si>
    <t>AEO.2022.LOWMACRO.ECI_SAL_TRN_LDTY_FUC_NA_NA_TH.A</t>
  </si>
  <si>
    <t>Total Vehicles Sales</t>
  </si>
  <si>
    <t>Light-Duty Vehicle Sales: Total Vehicles Sales: Low economic growth</t>
  </si>
  <si>
    <t>AEO.2022.LOWMACRO.ECI_SAL_TRN_LDTY_NA_NA_NA_TH.A</t>
  </si>
  <si>
    <t>Conventional Gasoline Microhybrids</t>
  </si>
  <si>
    <t>Light-Duty Vehicle Sales: Microhybrids: Conventional Gasoline: Low economic growth</t>
  </si>
  <si>
    <t>AEO.2022.LOWMACRO.ECI_SAL_TRN_MCHY_CVG_NA_NA_TH.A</t>
  </si>
  <si>
    <t>TDI Diesel Microhybrids</t>
  </si>
  <si>
    <t>Light-Duty Vehicle Sales: Microhybrids: TDI Diesel: Low economic growth</t>
  </si>
  <si>
    <t>AEO.2022.LOWMACRO.ECI_SAL_TRN_MCHY_TDS_NA_NA_TH.A</t>
  </si>
  <si>
    <t>Total Alternative-Fueled Vehicle Sales</t>
  </si>
  <si>
    <t>Light-Duty Vehicle Sales: Alternative-Fueled Vehicles: Low economic growth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</si>
  <si>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</si>
  <si>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</si>
  <si>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</si>
  <si>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</si>
  <si>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</si>
  <si>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</si>
  <si>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</si>
  <si>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</si>
  <si>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</si>
  <si>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</si>
  <si>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44. Transportation Fleet Car and Truck Sales by Type and Technology</t>
  </si>
  <si>
    <t>Annual</t>
  </si>
  <si>
    <t>(thousands)</t>
  </si>
  <si>
    <t>Change</t>
  </si>
  <si>
    <t>2022–2050</t>
  </si>
  <si>
    <t xml:space="preserve"> Technology Type</t>
  </si>
  <si>
    <t>New Car Sales 1/</t>
  </si>
  <si>
    <t xml:space="preserve"> Conventional Cars</t>
  </si>
  <si>
    <t xml:space="preserve">   Gasoline ICE Vehicles</t>
  </si>
  <si>
    <t xml:space="preserve">   TDI Diesel ICE</t>
  </si>
  <si>
    <t>--</t>
  </si>
  <si>
    <t xml:space="preserve">     Total Conventional Cars</t>
  </si>
  <si>
    <t xml:space="preserve"> Alternative-Fuel Cars</t>
  </si>
  <si>
    <t xml:space="preserve">   Ethanol-Flex Fuel ICE</t>
  </si>
  <si>
    <t xml:space="preserve">   100-Mile Electric Vehicle</t>
  </si>
  <si>
    <t xml:space="preserve">   200-Mile Electric Vehicle</t>
  </si>
  <si>
    <t xml:space="preserve">   300-Mile Electric Vehicle</t>
  </si>
  <si>
    <t xml:space="preserve">   Plug-in 20 Gasoline Hybrid</t>
  </si>
  <si>
    <t xml:space="preserve">   Plug-in 50 Gasoline Hybrid</t>
  </si>
  <si>
    <t xml:space="preserve">   Electric-Diesel Hybrid</t>
  </si>
  <si>
    <t xml:space="preserve">   Electric-Gasoline Hybrid</t>
  </si>
  <si>
    <t xml:space="preserve">   Natural Gas ICE</t>
  </si>
  <si>
    <t xml:space="preserve">   Natural Gas Bi-fuel</t>
  </si>
  <si>
    <t xml:space="preserve">   Propane ICE</t>
  </si>
  <si>
    <t xml:space="preserve">   Propane Bi-fuel</t>
  </si>
  <si>
    <t xml:space="preserve">   Fuel Cell Methanol</t>
  </si>
  <si>
    <t xml:space="preserve">   Fuel Cell Hydrogen</t>
  </si>
  <si>
    <t xml:space="preserve">     Total Alternative Cars</t>
  </si>
  <si>
    <t xml:space="preserve"> Percent Alternative Car Sales</t>
  </si>
  <si>
    <t xml:space="preserve"> Total New Car Sales</t>
  </si>
  <si>
    <t>New Light Truck Sales 1/</t>
  </si>
  <si>
    <t xml:space="preserve"> Conventional Light Trucks</t>
  </si>
  <si>
    <t xml:space="preserve">     Total Conventional Light Trucks</t>
  </si>
  <si>
    <t xml:space="preserve"> Alternative-Fuel Light Trucks</t>
  </si>
  <si>
    <t xml:space="preserve">     Total Alternative Light Trucks</t>
  </si>
  <si>
    <t xml:space="preserve"> Percent Alternative Light Truck Sales</t>
  </si>
  <si>
    <t xml:space="preserve"> Total New Light Truck Sales</t>
  </si>
  <si>
    <t>Total Fleet Vehicles</t>
  </si>
  <si>
    <t>Commercial Light Truck Sales 2/</t>
  </si>
  <si>
    <t xml:space="preserve">   Motor Gasoline</t>
  </si>
  <si>
    <t xml:space="preserve">   Diesel</t>
  </si>
  <si>
    <t xml:space="preserve">   Propane</t>
  </si>
  <si>
    <t xml:space="preserve">   Compressed/Liquefied Natural Gas</t>
  </si>
  <si>
    <t xml:space="preserve">   Ethanol-Flex Fuel</t>
  </si>
  <si>
    <t xml:space="preserve">   Electric</t>
  </si>
  <si>
    <t xml:space="preserve">   Plug-in Gasoline Hybrid</t>
  </si>
  <si>
    <t xml:space="preserve">   Plug-in Diesel Hybrid</t>
  </si>
  <si>
    <t xml:space="preserve">   Fuel Cell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</si>
  <si>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</si>
  <si>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</si>
  <si>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</si>
  <si>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</si>
  <si>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</si>
  <si>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</si>
  <si>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Note:  Totals may not equal sum of components due to independent rounding.</t>
  </si>
  <si>
    <t>Data source: U.S. Energy Information Administration, AEO2023 National Energy Modeling System run ref2023.d020623a.</t>
  </si>
  <si>
    <t>45. Transportation Fleet Car and Truck Stock by Type and Technology</t>
  </si>
  <si>
    <t>Car Stock 1/</t>
  </si>
  <si>
    <t xml:space="preserve"> Total Car Stock</t>
  </si>
  <si>
    <t>Light Truck Stock 1/</t>
  </si>
  <si>
    <t xml:space="preserve"> Total Light Truck Stock</t>
  </si>
  <si>
    <t>Commercial Light Truck Stock 2/</t>
  </si>
  <si>
    <t xml:space="preserve">      Total Commercial Light Truck Stock</t>
  </si>
  <si>
    <t>- - = Not applicable.</t>
  </si>
  <si>
    <t>Average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</si>
  <si>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</si>
  <si>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</si>
  <si>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</si>
  <si>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</si>
  <si>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</si>
  <si>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</si>
  <si>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</si>
  <si>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</si>
  <si>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</si>
  <si>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</si>
  <si>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</si>
  <si>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</si>
  <si>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</si>
  <si>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</si>
  <si>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</si>
  <si>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</si>
  <si>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</si>
  <si>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</si>
  <si>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</si>
  <si>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</si>
  <si>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</si>
  <si>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</si>
  <si>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</si>
  <si>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</si>
  <si>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</si>
  <si>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</si>
  <si>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</si>
  <si>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</si>
  <si>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</si>
  <si>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</si>
  <si>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</si>
  <si>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</si>
  <si>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</si>
  <si>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</si>
  <si>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</si>
  <si>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</si>
  <si>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</si>
  <si>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</si>
  <si>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</si>
  <si>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</si>
  <si>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</si>
  <si>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</si>
  <si>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</si>
  <si>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</si>
  <si>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</si>
  <si>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</si>
  <si>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</si>
  <si>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</si>
  <si>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</si>
  <si>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</si>
  <si>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</si>
  <si>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</si>
  <si>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</si>
  <si>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</si>
  <si>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</si>
  <si>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</si>
  <si>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</si>
  <si>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</si>
  <si>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</si>
  <si>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</si>
  <si>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</si>
  <si>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</si>
  <si>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</si>
  <si>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</si>
  <si>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</si>
  <si>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</si>
  <si>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</si>
  <si>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</si>
  <si>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</si>
  <si>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</si>
  <si>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</si>
  <si>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</si>
  <si>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</si>
  <si>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</si>
  <si>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</si>
  <si>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</si>
  <si>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</si>
  <si>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</si>
  <si>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</si>
  <si>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</si>
  <si>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</si>
  <si>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</si>
  <si>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</si>
  <si>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</si>
  <si>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</si>
  <si>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</si>
  <si>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</si>
  <si>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</si>
  <si>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</si>
  <si>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</si>
  <si>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</si>
  <si>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</si>
  <si>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</si>
  <si>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</si>
  <si>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</si>
  <si>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</si>
  <si>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</si>
  <si>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</si>
  <si>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</si>
  <si>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</si>
  <si>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</si>
  <si>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</si>
  <si>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</si>
  <si>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</si>
  <si>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</si>
  <si>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</si>
  <si>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</si>
  <si>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</si>
  <si>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</si>
  <si>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</si>
  <si>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</si>
  <si>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</si>
  <si>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</si>
  <si>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</si>
  <si>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</si>
  <si>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</si>
  <si>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</si>
  <si>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</si>
  <si>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</si>
  <si>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</si>
  <si>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</si>
  <si>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</si>
  <si>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</si>
  <si>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</si>
  <si>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</si>
  <si>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</si>
  <si>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</si>
  <si>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</si>
  <si>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</si>
  <si>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</si>
  <si>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</si>
  <si>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</si>
  <si>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</si>
  <si>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</si>
  <si>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</si>
  <si>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</si>
  <si>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</si>
  <si>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</si>
  <si>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</si>
  <si>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</si>
  <si>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</si>
  <si>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</si>
  <si>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</si>
  <si>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</si>
  <si>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</si>
  <si>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</si>
  <si>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</si>
  <si>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</si>
  <si>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</si>
  <si>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</si>
  <si>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</si>
  <si>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</si>
  <si>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</si>
  <si>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</si>
  <si>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</si>
  <si>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</si>
  <si>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</si>
  <si>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</si>
  <si>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</si>
  <si>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</si>
  <si>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</si>
  <si>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</si>
  <si>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</si>
  <si>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</si>
  <si>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</si>
  <si>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</si>
  <si>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</si>
  <si>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</si>
  <si>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</si>
  <si>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</si>
  <si>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</si>
  <si>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</si>
  <si>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</si>
  <si>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</si>
  <si>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</si>
  <si>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</si>
  <si>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</si>
  <si>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</si>
  <si>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</si>
  <si>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</si>
  <si>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</si>
  <si>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</si>
  <si>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</si>
  <si>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</si>
  <si>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</si>
  <si>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</si>
  <si>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</si>
  <si>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</si>
  <si>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</si>
  <si>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</si>
  <si>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</si>
  <si>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</si>
  <si>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</si>
  <si>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</si>
  <si>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</si>
  <si>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</si>
  <si>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</si>
  <si>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</si>
  <si>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</si>
  <si>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</si>
  <si>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</si>
  <si>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</si>
  <si>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</si>
  <si>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</si>
  <si>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</si>
  <si>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</si>
  <si>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</si>
  <si>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</si>
  <si>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</si>
  <si>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</si>
  <si>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</si>
  <si>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</si>
  <si>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</si>
  <si>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</si>
  <si>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</si>
  <si>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</si>
  <si>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</si>
  <si>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</si>
  <si>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</si>
  <si>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</si>
  <si>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</si>
  <si>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</si>
  <si>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</si>
  <si>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</si>
  <si>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</si>
  <si>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</si>
  <si>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</si>
  <si>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</si>
  <si>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</si>
  <si>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</si>
  <si>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</si>
  <si>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</si>
  <si>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</si>
  <si>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</si>
  <si>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</si>
  <si>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</si>
  <si>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</si>
  <si>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</si>
  <si>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</si>
  <si>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</si>
  <si>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</si>
  <si>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</si>
  <si>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</si>
  <si>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</si>
  <si>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</si>
  <si>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</si>
  <si>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</si>
  <si>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</si>
  <si>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</si>
  <si>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</si>
  <si>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</si>
  <si>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</si>
  <si>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</si>
  <si>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</si>
  <si>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</si>
  <si>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</si>
  <si>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</si>
  <si>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</si>
  <si>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</si>
  <si>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</si>
  <si>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</si>
  <si>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</si>
  <si>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</si>
  <si>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</si>
  <si>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</si>
  <si>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</si>
  <si>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</si>
  <si>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</si>
  <si>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</si>
  <si>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Table 1-20:  Productions, Production Shares, and Production-Weighted Fuel Economies of New Domestic and Imported Automobiles (Thousands of vehicles)</t>
  </si>
  <si>
    <t>TOTAL productions</t>
  </si>
  <si>
    <t>N</t>
  </si>
  <si>
    <t>Car</t>
  </si>
  <si>
    <t>Car SUV</t>
  </si>
  <si>
    <t>Pickup</t>
  </si>
  <si>
    <t>Van</t>
  </si>
  <si>
    <t>Truck SUV</t>
  </si>
  <si>
    <t>Market share, percent</t>
  </si>
  <si>
    <t>Fuel economy, mpg</t>
  </si>
  <si>
    <r>
      <t>KEY:</t>
    </r>
    <r>
      <rPr>
        <sz val="9"/>
        <rFont val="Arial"/>
        <family val="2"/>
      </rPr>
      <t xml:space="preserve">  mpg = miles per gallon; N = data are not available;  R = revised; SUV = sport utility vehicle.</t>
    </r>
  </si>
  <si>
    <t>NOTES</t>
  </si>
  <si>
    <t>Numbers may not add to totals due to rounding.</t>
  </si>
  <si>
    <t xml:space="preserve">This table is not comparable to previous publication's tables due to changes in the source data. </t>
  </si>
  <si>
    <t>The Environmental Protection Agency changed the vehicle classifications, combining wagons with the rest of the cars and dropping the small, medium, large categories of cars, pickups, sport-utilities, and vans. The fuel economy displayed in those tables has been adjusted to provide the best estimate of real-world performance.</t>
  </si>
  <si>
    <t>SOURCE</t>
  </si>
  <si>
    <r>
      <t xml:space="preserve">U.S. Department of Energy, Office of Energy Efficiency and Renewable Energy, </t>
    </r>
    <r>
      <rPr>
        <i/>
        <sz val="9"/>
        <rFont val="Arial"/>
        <family val="2"/>
      </rPr>
      <t>Transportation Energy Data Book</t>
    </r>
    <r>
      <rPr>
        <sz val="9"/>
        <rFont val="Arial"/>
        <family val="2"/>
      </rPr>
      <t>, Edition 33, tables 4.7, table 4.9 and table 4.11 (Oak Ridge, TN), available at http://cta.ornl.gov/data/index.shtml as of Dec. 8, 2015.</t>
    </r>
  </si>
  <si>
    <t>LDVs</t>
  </si>
  <si>
    <t>Car Avg Lifetime, years (Page 22, Table 7)</t>
  </si>
  <si>
    <t>Light Truck Avg Lifetime, years (Page 25, Table 8)</t>
  </si>
  <si>
    <t>Avg Car Sales from 2010-2013, thousands of vehicles (Table 1-20, Rows 4-5)</t>
  </si>
  <si>
    <t>Avg Light Truck Sales from 2010-2013, thousands of vehicles (Table 1-20, Rows 6-8)</t>
  </si>
  <si>
    <t>Market Share-Weighted Average LDV Lifetime</t>
  </si>
  <si>
    <t>HDVs</t>
  </si>
  <si>
    <t>Heavy Truck Avg Lifetime, years (Table 3-14, Row 43)</t>
  </si>
  <si>
    <t>Heavy Truck Start Year Vehicles</t>
  </si>
  <si>
    <t>Bus Lifetime</t>
  </si>
  <si>
    <t>Bus Start Year Vehicle</t>
  </si>
  <si>
    <t>Exhibits 1-3 illustrate roughly the same results.</t>
  </si>
  <si>
    <t>Exhibit 1:</t>
  </si>
  <si>
    <t>Non-dotted lines (aircraft in service) have been constant at 23-24 years for the last 15 years.</t>
  </si>
  <si>
    <t>Exhibit 2:</t>
  </si>
  <si>
    <t>Non-dashed lines (aircraft age when they leave service) has been 22-26 for Pax (passengers) and 31-36 for freighters over the last 15 years.</t>
  </si>
  <si>
    <t>Exhibit 3:</t>
  </si>
  <si>
    <t>The curves for all aircraft except the 707 Pax and the 737-100/200 Pax cross or are on track to cross 50% survival around age 23-24.</t>
  </si>
  <si>
    <t>Value selected for use in model</t>
  </si>
  <si>
    <t>rail</t>
  </si>
  <si>
    <t>Table</t>
  </si>
  <si>
    <t>CA Asset Type</t>
  </si>
  <si>
    <t>Lifetime (years)</t>
  </si>
  <si>
    <t>2000 - Water Utility</t>
  </si>
  <si>
    <t>railroads</t>
  </si>
  <si>
    <t>5000 - Transit</t>
  </si>
  <si>
    <t>locomotives, electric</t>
  </si>
  <si>
    <t>Neither of these asset types is exactly what I'd prefer (which would be something like "locomotives, diesel"</t>
  </si>
  <si>
    <t>or "locomotives, freight"), but they seem like reasonable values and are close to each other.</t>
  </si>
  <si>
    <t>ships</t>
  </si>
  <si>
    <t>3000 - Harbor &amp; Port</t>
  </si>
  <si>
    <t>Motor vessels - diesel, ocean</t>
  </si>
  <si>
    <t>Year</t>
  </si>
  <si>
    <t>Registered Motorcycles</t>
  </si>
  <si>
    <t>Motorcycles sold (new)</t>
  </si>
  <si>
    <t>Retiring Motorcycles</t>
  </si>
  <si>
    <t>Percentage of Fleet That Retired This Year</t>
  </si>
  <si>
    <t>Average Percent Fleet Retirement per Year</t>
  </si>
  <si>
    <t>Estimated Lifetime of Motorcycle (years)</t>
  </si>
  <si>
    <t>commercial truck sales</t>
  </si>
  <si>
    <t>commercial truck stock</t>
  </si>
  <si>
    <t>Average replacement time</t>
  </si>
  <si>
    <t>LDV/MDV sales</t>
  </si>
  <si>
    <t>LDV/MDV stock</t>
  </si>
  <si>
    <t>HDV sales</t>
  </si>
  <si>
    <t>HDV stock</t>
  </si>
  <si>
    <t>BNEF, bus sales 2021</t>
  </si>
  <si>
    <t>BNEF, bus fleet 2021</t>
  </si>
  <si>
    <t>average replacement time</t>
  </si>
  <si>
    <t>BNEF, LDV sales 2021 (M)</t>
  </si>
  <si>
    <t>BNEF, LDV fleet 2021 (M)</t>
  </si>
  <si>
    <t>Vehicle Lifetime (years)</t>
  </si>
  <si>
    <t>Passenger</t>
  </si>
  <si>
    <t>Freight</t>
  </si>
  <si>
    <t xml:space="preserve">INEGI - </t>
  </si>
  <si>
    <t>On-road fleet by type of vehicle and technology</t>
  </si>
  <si>
    <t>Updated Transport Model Data Base (2024), self-analysis with data from INEGI</t>
  </si>
  <si>
    <t>MexNotes</t>
  </si>
  <si>
    <t>We have no data for rail &amp; ships so US data with an adjustment is made.</t>
  </si>
  <si>
    <t>Ajustment</t>
  </si>
  <si>
    <t>Registered Vehicles INEGI</t>
  </si>
  <si>
    <t>.</t>
  </si>
  <si>
    <t>Automóviles</t>
  </si>
  <si>
    <t>Units</t>
  </si>
  <si>
    <t>Camiones para pasajeros</t>
  </si>
  <si>
    <t>Camiones y camionetas para carga</t>
  </si>
  <si>
    <t>Motocicletas</t>
  </si>
  <si>
    <t>High</t>
  </si>
  <si>
    <t>Med</t>
  </si>
  <si>
    <t>Low</t>
  </si>
  <si>
    <t>Choose Growth Rate =</t>
  </si>
  <si>
    <t xml:space="preserve">Future car fleet </t>
  </si>
  <si>
    <t>Car fleet growth</t>
  </si>
  <si>
    <t>Million vehicles</t>
  </si>
  <si>
    <t>Motorisation rate growth</t>
  </si>
  <si>
    <t>Car registration growth</t>
  </si>
  <si>
    <t>Estimations of Actual Fleets 2015</t>
  </si>
  <si>
    <t>Modelling vehicle &amp; motorcycle retirement</t>
  </si>
  <si>
    <t>Age of car</t>
  </si>
  <si>
    <t>years</t>
  </si>
  <si>
    <t>Percent survival per age</t>
  </si>
  <si>
    <t>%</t>
  </si>
  <si>
    <t>Adapted (with "a lag" to the Mexican context) from:  Fridstrøm, L., Østli, V. &amp; Johansen, K.W. Eur. Transp. Res. Rev. (2016) 8: 22. https://doi.org/10.1007/s12544-016-0210-z</t>
  </si>
  <si>
    <t>TOTAL CAR FLEET</t>
  </si>
  <si>
    <t>Average age real fleet (2024)</t>
  </si>
  <si>
    <t>Years</t>
  </si>
  <si>
    <t>Milion vehicles in 2050:</t>
  </si>
  <si>
    <t>Projected fleet based on its own growth trends &gt;&gt;</t>
  </si>
  <si>
    <t>Fleet in 2015</t>
  </si>
  <si>
    <t>Based on fleet's own growth trends (4.4% annual 2015-2050)</t>
  </si>
  <si>
    <t>Projected fleet based on trends of motorisation rates (vehicles / people) 2.5% annual &gt;&gt;</t>
  </si>
  <si>
    <t>Actual CAGR (2000-2015)</t>
  </si>
  <si>
    <t>Based on trends of motorisation rates (vehicles/people, 2.5% annual 2015-2050)</t>
  </si>
  <si>
    <t>Projected fleet based on  annual variation of registration &gt;&gt;</t>
  </si>
  <si>
    <t>Based on  trends of annual variation of vehicle registration (2.1 % annual 2015-2050)</t>
  </si>
  <si>
    <t>Population</t>
  </si>
  <si>
    <t>million people</t>
  </si>
  <si>
    <t>Motorisation rate</t>
  </si>
  <si>
    <t>vehicles / 1000 people</t>
  </si>
  <si>
    <t>CAGR motorisation 1980-2015</t>
  </si>
  <si>
    <t>milion veicles in 2050</t>
  </si>
  <si>
    <t>Avg age</t>
  </si>
  <si>
    <t>Annually registered cars</t>
  </si>
  <si>
    <t>Units/yr</t>
  </si>
  <si>
    <t>En 2024</t>
  </si>
  <si>
    <t>TACC 12-24</t>
  </si>
  <si>
    <t>Age (chart)</t>
  </si>
  <si>
    <t>Million cars (chart)</t>
  </si>
  <si>
    <t>Edad</t>
  </si>
  <si>
    <t>Unidades</t>
  </si>
  <si>
    <t>Años totales</t>
  </si>
  <si>
    <t>Salieron de circulacion</t>
  </si>
  <si>
    <t>Surviving CAR fleet by year-model</t>
  </si>
  <si>
    <t>Older than 1980</t>
  </si>
  <si>
    <t>terremoto</t>
  </si>
  <si>
    <t>Hoy No Circula</t>
  </si>
  <si>
    <t xml:space="preserve">Future motorcycle fleet </t>
  </si>
  <si>
    <t>Motorcycles</t>
  </si>
  <si>
    <t>Fossil fuel</t>
  </si>
  <si>
    <t>% E of fleet</t>
  </si>
  <si>
    <t>Target simulates marginally increasing sales of electric motorcycles</t>
  </si>
  <si>
    <t>New e-motos a year</t>
  </si>
  <si>
    <t>vehicles/year</t>
  </si>
  <si>
    <t>E-motorcycles sales share</t>
  </si>
  <si>
    <t>TOTAL MOTORCYCLE FLEET</t>
  </si>
  <si>
    <t>Annually registered motorycles</t>
  </si>
  <si>
    <t>Motorcycles / people</t>
  </si>
  <si>
    <t>vehicles/1000 people</t>
  </si>
  <si>
    <t>Slope 2015-2024</t>
  </si>
  <si>
    <t>vehicles/1000 people - year</t>
  </si>
  <si>
    <t>From:</t>
  </si>
  <si>
    <t>motorcycles/1000 people in 2015</t>
  </si>
  <si>
    <t>Motorcycle fleet in 2024</t>
  </si>
  <si>
    <t>to:</t>
  </si>
  <si>
    <t>motorcycles/1000 people in 2050</t>
  </si>
  <si>
    <t>Motorcycle fleet in 2050</t>
  </si>
  <si>
    <t>Surviving MOTORCYCLE fleet by year-model</t>
  </si>
  <si>
    <t xml:space="preserve">Future bus fleet </t>
  </si>
  <si>
    <t>Buses</t>
  </si>
  <si>
    <t>Target simulates a constant sales share of electric buses</t>
  </si>
  <si>
    <t>New e-buses a year</t>
  </si>
  <si>
    <t>E-buses sales share</t>
  </si>
  <si>
    <t>TOTAL BUS FLEET</t>
  </si>
  <si>
    <t>Annually registered buses</t>
  </si>
  <si>
    <t>Buses / people</t>
  </si>
  <si>
    <t>Slope 1995.2019</t>
  </si>
  <si>
    <t>vehicles / 1000 people - year</t>
  </si>
  <si>
    <t>buses/1000 people in 2015</t>
  </si>
  <si>
    <t>Bus fleet in 2019</t>
  </si>
  <si>
    <t>buses/1000 people in 2050</t>
  </si>
  <si>
    <t>Bus fleet in 2050</t>
  </si>
  <si>
    <t>Modelling bus retirement</t>
  </si>
  <si>
    <t>Age of bus</t>
  </si>
  <si>
    <t>Surviving BUS fleet by year-model</t>
  </si>
  <si>
    <t>US, not used</t>
  </si>
  <si>
    <t>Secretaria de comunicaciones y transportes</t>
  </si>
  <si>
    <t>Estadísticas de flota</t>
  </si>
  <si>
    <t>https://www.gob.mx/cms/uploads/attachment/file/970059/flota-reg-2024-4-trim-27012025.pdf</t>
  </si>
  <si>
    <t>Slide 2</t>
  </si>
  <si>
    <t>Age of air fleet in 2022</t>
  </si>
  <si>
    <r>
      <t>We consider average lifetime, the age where 1/2 (50%</t>
    </r>
    <r>
      <rPr>
        <sz val="11"/>
        <color theme="1"/>
        <rFont val="Calibri (Body)"/>
      </rPr>
      <t>) of the vehicles are still used</t>
    </r>
  </si>
  <si>
    <t>Guided by LDV lifetime ratio Mex/US</t>
  </si>
  <si>
    <t>Lifetime estimated at twice the average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</si>
</sst>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###0.00_)"/>
    <numFmt numFmtId="165" formatCode="\(\R\)General"/>
    <numFmt numFmtId="166" formatCode="\(\R\)\ ###0"/>
    <numFmt numFmtId="167" formatCode="0.0"/>
    <numFmt numFmtId="168" formatCode="\(\R\)0.0"/>
    <numFmt numFmtId="169" formatCode="#,##0_)"/>
    <numFmt numFmtId="170" formatCode="#,##0.0"/>
    <numFmt numFmtId="171" formatCode="0.0%"/>
    <numFmt numFmtId="172" formatCode="_-* #,##0.00_-;\-* #,##0.00_-;_-* &quot;-&quot;??_-;_-@_-"/>
    <numFmt numFmtId="173" formatCode="0.000%"/>
    <numFmt numFmtId="174" formatCode="#,##0.000"/>
    <numFmt numFmtId="175" formatCode="0.000"/>
    <numFmt numFmtId="176" formatCode="0.0000"/>
  </numFmts>
  <fonts count="5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Helv"/>
    </font>
    <font>
      <b/>
      <sz val="12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0"/>
      <name val="Arial"/>
      <family val="2"/>
    </font>
    <font>
      <sz val="9"/>
      <name val="Helv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Calibri"/>
      <family val="2"/>
    </font>
    <font>
      <sz val="16"/>
      <color theme="1" tint="0.34998626667073579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0" tint="-4.9989318521683403E-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theme="1"/>
      <name val="Calibri"/>
      <family val="2"/>
    </font>
    <font>
      <b/>
      <sz val="11"/>
      <color theme="1" tint="0.499984740745262"/>
      <name val="Calibri"/>
      <family val="2"/>
    </font>
    <font>
      <sz val="11"/>
      <color theme="0" tint="-0.499984740745262"/>
      <name val="Calibri"/>
      <family val="2"/>
    </font>
    <font>
      <sz val="11"/>
      <color theme="1" tint="0.499984740745262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 (Body)"/>
    </font>
  </fonts>
  <fills count="4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96D7"/>
      </top>
      <bottom/>
      <diagonal/>
    </border>
  </borders>
  <cellStyleXfs count="6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4" applyNumberFormat="0" applyFont="0" applyProtection="0">
      <alignment wrapText="1"/>
    </xf>
    <xf numFmtId="0" fontId="3" fillId="0" borderId="9" applyNumberFormat="0" applyProtection="0">
      <alignment horizontal="left" wrapText="1"/>
    </xf>
    <xf numFmtId="0" fontId="3" fillId="0" borderId="8" applyNumberFormat="0" applyFill="0" applyProtection="0">
      <alignment wrapText="1"/>
    </xf>
    <xf numFmtId="0" fontId="3" fillId="0" borderId="6" applyNumberFormat="0" applyProtection="0">
      <alignment wrapText="1"/>
    </xf>
    <xf numFmtId="0" fontId="4" fillId="0" borderId="5" applyNumberFormat="0" applyProtection="0">
      <alignment vertical="top" wrapText="1"/>
    </xf>
    <xf numFmtId="0" fontId="4" fillId="0" borderId="7" applyNumberFormat="0" applyFont="0" applyFill="0" applyProtection="0">
      <alignment wrapText="1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7" fillId="0" borderId="0" applyNumberFormat="0" applyProtection="0">
      <alignment horizontal="left"/>
    </xf>
    <xf numFmtId="164" fontId="8" fillId="0" borderId="10" applyNumberFormat="0" applyFill="0">
      <alignment horizontal="right"/>
    </xf>
    <xf numFmtId="0" fontId="9" fillId="0" borderId="10">
      <alignment horizontal="left"/>
    </xf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15" applyNumberFormat="0" applyAlignment="0" applyProtection="0"/>
    <xf numFmtId="0" fontId="20" fillId="8" borderId="16" applyNumberFormat="0" applyAlignment="0" applyProtection="0"/>
    <xf numFmtId="0" fontId="21" fillId="8" borderId="15" applyNumberFormat="0" applyAlignment="0" applyProtection="0"/>
    <xf numFmtId="0" fontId="22" fillId="0" borderId="17" applyNumberFormat="0" applyFill="0" applyAlignment="0" applyProtection="0"/>
    <xf numFmtId="0" fontId="23" fillId="9" borderId="18" applyNumberFormat="0" applyAlignment="0" applyProtection="0"/>
    <xf numFmtId="0" fontId="24" fillId="0" borderId="0" applyNumberFormat="0" applyFill="0" applyBorder="0" applyAlignment="0" applyProtection="0"/>
    <xf numFmtId="0" fontId="11" fillId="10" borderId="19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20" applyNumberFormat="0" applyFill="0" applyAlignment="0" applyProtection="0"/>
    <xf numFmtId="0" fontId="2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28" fillId="0" borderId="0">
      <alignment horizontal="left"/>
    </xf>
    <xf numFmtId="0" fontId="9" fillId="35" borderId="0">
      <alignment horizontal="centerContinuous" wrapText="1"/>
    </xf>
    <xf numFmtId="0" fontId="8" fillId="0" borderId="10">
      <alignment horizontal="left" vertical="center"/>
    </xf>
    <xf numFmtId="169" fontId="33" fillId="0" borderId="10">
      <alignment horizontal="right" vertical="center"/>
    </xf>
    <xf numFmtId="0" fontId="37" fillId="0" borderId="0"/>
    <xf numFmtId="172" fontId="11" fillId="0" borderId="0" applyFont="0" applyFill="0" applyBorder="0" applyAlignment="0" applyProtection="0"/>
  </cellStyleXfs>
  <cellXfs count="1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2" fillId="0" borderId="0" xfId="1"/>
    <xf numFmtId="1" fontId="0" fillId="0" borderId="0" xfId="0" applyNumberFormat="1" applyAlignment="1">
      <alignment horizontal="right"/>
    </xf>
    <xf numFmtId="0" fontId="1" fillId="2" borderId="0" xfId="0" applyFont="1" applyFill="1"/>
    <xf numFmtId="0" fontId="1" fillId="3" borderId="2" xfId="0" applyFont="1" applyFill="1" applyBorder="1" applyAlignment="1">
      <alignment horizontal="right" wrapText="1"/>
    </xf>
    <xf numFmtId="2" fontId="0" fillId="3" borderId="3" xfId="0" applyNumberFormat="1" applyFill="1" applyBorder="1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0" fillId="3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10" fillId="3" borderId="2" xfId="0" applyFont="1" applyFill="1" applyBorder="1" applyAlignment="1">
      <alignment horizontal="left"/>
    </xf>
    <xf numFmtId="1" fontId="0" fillId="3" borderId="3" xfId="0" applyNumberFormat="1" applyFill="1" applyBorder="1" applyAlignment="1">
      <alignment horizontal="left"/>
    </xf>
    <xf numFmtId="0" fontId="2" fillId="0" borderId="0" xfId="1" applyFill="1"/>
    <xf numFmtId="0" fontId="0" fillId="0" borderId="24" xfId="0" applyBorder="1" applyAlignment="1">
      <alignment horizontal="left"/>
    </xf>
    <xf numFmtId="0" fontId="0" fillId="0" borderId="21" xfId="0" applyBorder="1" applyAlignment="1">
      <alignment wrapText="1"/>
    </xf>
    <xf numFmtId="3" fontId="0" fillId="0" borderId="28" xfId="0" applyNumberFormat="1" applyBorder="1" applyAlignment="1">
      <alignment horizontal="left"/>
    </xf>
    <xf numFmtId="3" fontId="0" fillId="0" borderId="27" xfId="0" applyNumberForma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26" xfId="0" applyBorder="1" applyAlignment="1">
      <alignment horizontal="left"/>
    </xf>
    <xf numFmtId="0" fontId="0" fillId="0" borderId="22" xfId="0" applyBorder="1" applyAlignment="1">
      <alignment wrapText="1"/>
    </xf>
    <xf numFmtId="3" fontId="0" fillId="0" borderId="25" xfId="0" applyNumberFormat="1" applyBorder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23" xfId="0" applyBorder="1" applyAlignment="1">
      <alignment wrapText="1"/>
    </xf>
    <xf numFmtId="0" fontId="0" fillId="0" borderId="0" xfId="0" applyAlignment="1">
      <alignment wrapText="1"/>
    </xf>
    <xf numFmtId="10" fontId="0" fillId="0" borderId="0" xfId="16" applyNumberFormat="1" applyFont="1" applyAlignment="1">
      <alignment horizontal="left"/>
    </xf>
    <xf numFmtId="0" fontId="27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2" fontId="0" fillId="3" borderId="3" xfId="0" applyNumberFormat="1" applyFill="1" applyBorder="1" applyAlignment="1">
      <alignment horizontal="left"/>
    </xf>
    <xf numFmtId="0" fontId="1" fillId="3" borderId="2" xfId="0" applyFont="1" applyFill="1" applyBorder="1" applyAlignment="1">
      <alignment wrapText="1"/>
    </xf>
    <xf numFmtId="1" fontId="0" fillId="0" borderId="0" xfId="0" applyNumberFormat="1"/>
    <xf numFmtId="0" fontId="30" fillId="0" borderId="29" xfId="59" applyFont="1" applyFill="1" applyBorder="1" applyAlignment="1">
      <alignment horizontal="center" wrapText="1"/>
    </xf>
    <xf numFmtId="1" fontId="30" fillId="0" borderId="29" xfId="59" applyNumberFormat="1" applyFont="1" applyFill="1" applyBorder="1" applyAlignment="1">
      <alignment horizontal="center"/>
    </xf>
    <xf numFmtId="165" fontId="30" fillId="0" borderId="29" xfId="59" applyNumberFormat="1" applyFont="1" applyFill="1" applyBorder="1" applyAlignment="1">
      <alignment horizontal="center"/>
    </xf>
    <xf numFmtId="165" fontId="30" fillId="0" borderId="29" xfId="0" applyNumberFormat="1" applyFont="1" applyBorder="1" applyAlignment="1">
      <alignment horizontal="center"/>
    </xf>
    <xf numFmtId="0" fontId="30" fillId="0" borderId="29" xfId="59" applyFont="1" applyFill="1" applyBorder="1" applyAlignment="1">
      <alignment horizontal="center"/>
    </xf>
    <xf numFmtId="0" fontId="30" fillId="0" borderId="0" xfId="59" applyFont="1" applyFill="1" applyAlignment="1">
      <alignment horizontal="center" wrapText="1"/>
    </xf>
    <xf numFmtId="1" fontId="30" fillId="0" borderId="0" xfId="59" applyNumberFormat="1" applyFont="1" applyFill="1" applyAlignment="1">
      <alignment horizontal="center"/>
    </xf>
    <xf numFmtId="166" fontId="30" fillId="0" borderId="0" xfId="59" applyNumberFormat="1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60" applyFont="1" applyBorder="1" applyAlignment="1">
      <alignment horizontal="left"/>
    </xf>
    <xf numFmtId="3" fontId="30" fillId="0" borderId="0" xfId="0" applyNumberFormat="1" applyFont="1"/>
    <xf numFmtId="3" fontId="30" fillId="0" borderId="0" xfId="0" applyNumberFormat="1" applyFont="1" applyAlignment="1">
      <alignment horizontal="right"/>
    </xf>
    <xf numFmtId="0" fontId="31" fillId="0" borderId="0" xfId="60" applyFont="1" applyBorder="1" applyAlignment="1">
      <alignment horizontal="left" indent="1"/>
    </xf>
    <xf numFmtId="3" fontId="31" fillId="0" borderId="0" xfId="0" applyNumberFormat="1" applyFont="1" applyAlignment="1">
      <alignment horizontal="right"/>
    </xf>
    <xf numFmtId="3" fontId="31" fillId="0" borderId="0" xfId="0" applyNumberFormat="1" applyFont="1"/>
    <xf numFmtId="167" fontId="30" fillId="0" borderId="0" xfId="60" applyNumberFormat="1" applyFont="1" applyBorder="1" applyAlignment="1">
      <alignment horizontal="left"/>
    </xf>
    <xf numFmtId="0" fontId="31" fillId="0" borderId="0" xfId="0" applyFont="1"/>
    <xf numFmtId="167" fontId="31" fillId="0" borderId="0" xfId="16" applyNumberFormat="1" applyFont="1" applyFill="1"/>
    <xf numFmtId="167" fontId="31" fillId="0" borderId="0" xfId="16" applyNumberFormat="1" applyFont="1" applyFill="1" applyBorder="1"/>
    <xf numFmtId="168" fontId="31" fillId="0" borderId="0" xfId="16" applyNumberFormat="1" applyFont="1" applyFill="1"/>
    <xf numFmtId="3" fontId="31" fillId="0" borderId="0" xfId="61" applyNumberFormat="1" applyFont="1" applyBorder="1" applyAlignment="1">
      <alignment horizontal="right"/>
    </xf>
    <xf numFmtId="167" fontId="31" fillId="0" borderId="0" xfId="0" applyNumberFormat="1" applyFont="1"/>
    <xf numFmtId="0" fontId="31" fillId="0" borderId="27" xfId="60" applyFont="1" applyBorder="1" applyAlignment="1">
      <alignment horizontal="left" indent="1"/>
    </xf>
    <xf numFmtId="167" fontId="31" fillId="0" borderId="27" xfId="0" applyNumberFormat="1" applyFont="1" applyBorder="1"/>
    <xf numFmtId="0" fontId="31" fillId="0" borderId="27" xfId="0" applyFont="1" applyBorder="1"/>
    <xf numFmtId="0" fontId="32" fillId="0" borderId="0" xfId="0" applyFont="1" applyAlignment="1">
      <alignment horizontal="left" vertical="center"/>
    </xf>
    <xf numFmtId="0" fontId="1" fillId="0" borderId="2" xfId="0" applyFont="1" applyBorder="1" applyAlignment="1">
      <alignment horizontal="right" wrapText="1"/>
    </xf>
    <xf numFmtId="0" fontId="0" fillId="0" borderId="3" xfId="0" applyBorder="1" applyAlignment="1">
      <alignment horizontal="right"/>
    </xf>
    <xf numFmtId="1" fontId="0" fillId="0" borderId="3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3" borderId="3" xfId="0" applyFill="1" applyBorder="1" applyAlignment="1">
      <alignment horizontal="right"/>
    </xf>
    <xf numFmtId="0" fontId="0" fillId="36" borderId="0" xfId="0" applyFill="1"/>
    <xf numFmtId="10" fontId="0" fillId="0" borderId="0" xfId="0" applyNumberFormat="1"/>
    <xf numFmtId="0" fontId="0" fillId="0" borderId="0" xfId="0" applyAlignment="1">
      <alignment horizontal="right" wrapText="1"/>
    </xf>
    <xf numFmtId="11" fontId="0" fillId="0" borderId="0" xfId="0" applyNumberFormat="1" applyAlignment="1">
      <alignment horizontal="right" wrapText="1"/>
    </xf>
    <xf numFmtId="0" fontId="10" fillId="0" borderId="0" xfId="0" applyFont="1"/>
    <xf numFmtId="0" fontId="4" fillId="0" borderId="0" xfId="9"/>
    <xf numFmtId="0" fontId="3" fillId="0" borderId="1" xfId="2">
      <alignment wrapText="1"/>
    </xf>
    <xf numFmtId="0" fontId="38" fillId="0" borderId="0" xfId="62" applyFont="1"/>
    <xf numFmtId="0" fontId="39" fillId="0" borderId="0" xfId="62" applyFont="1"/>
    <xf numFmtId="0" fontId="40" fillId="0" borderId="0" xfId="0" applyFont="1"/>
    <xf numFmtId="0" fontId="41" fillId="0" borderId="0" xfId="13" applyFont="1">
      <alignment horizontal="left"/>
    </xf>
    <xf numFmtId="0" fontId="42" fillId="0" borderId="0" xfId="0" applyFont="1"/>
    <xf numFmtId="0" fontId="43" fillId="0" borderId="0" xfId="0" applyFont="1" applyAlignment="1">
      <alignment horizontal="right"/>
    </xf>
    <xf numFmtId="0" fontId="42" fillId="0" borderId="0" xfId="9" applyFont="1"/>
    <xf numFmtId="0" fontId="42" fillId="0" borderId="0" xfId="0" applyFont="1" applyAlignment="1">
      <alignment horizontal="left"/>
    </xf>
    <xf numFmtId="0" fontId="43" fillId="0" borderId="1" xfId="2" applyFont="1">
      <alignment wrapText="1"/>
    </xf>
    <xf numFmtId="0" fontId="43" fillId="0" borderId="1" xfId="2" applyFont="1" applyAlignment="1">
      <alignment horizontal="right"/>
    </xf>
    <xf numFmtId="0" fontId="43" fillId="0" borderId="6" xfId="6" applyFont="1">
      <alignment wrapText="1"/>
    </xf>
    <xf numFmtId="0" fontId="42" fillId="0" borderId="4" xfId="3" applyFont="1">
      <alignment wrapText="1"/>
    </xf>
    <xf numFmtId="170" fontId="42" fillId="0" borderId="4" xfId="3" applyNumberFormat="1" applyFont="1" applyAlignment="1">
      <alignment horizontal="right" wrapText="1"/>
    </xf>
    <xf numFmtId="171" fontId="42" fillId="0" borderId="4" xfId="3" applyNumberFormat="1" applyFont="1" applyAlignment="1">
      <alignment horizontal="right" wrapText="1"/>
    </xf>
    <xf numFmtId="170" fontId="43" fillId="0" borderId="6" xfId="6" applyNumberFormat="1" applyFont="1" applyAlignment="1">
      <alignment horizontal="right" wrapText="1"/>
    </xf>
    <xf numFmtId="171" fontId="43" fillId="0" borderId="6" xfId="6" applyNumberFormat="1" applyFont="1" applyAlignment="1">
      <alignment horizontal="right" wrapText="1"/>
    </xf>
    <xf numFmtId="4" fontId="42" fillId="0" borderId="4" xfId="3" applyNumberFormat="1" applyFont="1" applyAlignment="1">
      <alignment horizontal="right" wrapText="1"/>
    </xf>
    <xf numFmtId="4" fontId="43" fillId="0" borderId="6" xfId="6" applyNumberFormat="1" applyFont="1" applyAlignment="1">
      <alignment horizontal="right" wrapText="1"/>
    </xf>
    <xf numFmtId="3" fontId="42" fillId="0" borderId="4" xfId="3" applyNumberFormat="1" applyFont="1" applyAlignment="1">
      <alignment horizontal="right" wrapText="1"/>
    </xf>
    <xf numFmtId="0" fontId="0" fillId="0" borderId="30" xfId="0" applyBorder="1"/>
    <xf numFmtId="0" fontId="45" fillId="0" borderId="0" xfId="0" applyFont="1"/>
    <xf numFmtId="0" fontId="44" fillId="0" borderId="0" xfId="0" applyFont="1"/>
    <xf numFmtId="0" fontId="46" fillId="0" borderId="0" xfId="0" applyFont="1"/>
    <xf numFmtId="0" fontId="46" fillId="37" borderId="0" xfId="0" applyFont="1" applyFill="1"/>
    <xf numFmtId="0" fontId="47" fillId="0" borderId="0" xfId="0" applyFont="1"/>
    <xf numFmtId="0" fontId="44" fillId="38" borderId="0" xfId="0" applyFont="1" applyFill="1"/>
    <xf numFmtId="3" fontId="44" fillId="0" borderId="0" xfId="0" applyNumberFormat="1" applyFont="1"/>
    <xf numFmtId="3" fontId="44" fillId="37" borderId="0" xfId="0" applyNumberFormat="1" applyFont="1" applyFill="1"/>
    <xf numFmtId="10" fontId="44" fillId="0" borderId="0" xfId="16" applyNumberFormat="1" applyFont="1"/>
    <xf numFmtId="0" fontId="44" fillId="39" borderId="0" xfId="0" applyFont="1" applyFill="1"/>
    <xf numFmtId="0" fontId="44" fillId="40" borderId="0" xfId="0" applyFont="1" applyFill="1"/>
    <xf numFmtId="3" fontId="44" fillId="37" borderId="0" xfId="63" applyNumberFormat="1" applyFont="1" applyFill="1"/>
    <xf numFmtId="0" fontId="48" fillId="0" borderId="0" xfId="0" applyFont="1"/>
    <xf numFmtId="0" fontId="49" fillId="0" borderId="0" xfId="0" applyFont="1" applyAlignment="1">
      <alignment horizontal="right"/>
    </xf>
    <xf numFmtId="0" fontId="50" fillId="0" borderId="0" xfId="0" applyFont="1" applyAlignment="1">
      <alignment horizontal="center"/>
    </xf>
    <xf numFmtId="1" fontId="44" fillId="0" borderId="0" xfId="0" applyNumberFormat="1" applyFont="1"/>
    <xf numFmtId="0" fontId="44" fillId="41" borderId="0" xfId="0" applyFont="1" applyFill="1"/>
    <xf numFmtId="0" fontId="49" fillId="0" borderId="0" xfId="0" applyFont="1"/>
    <xf numFmtId="0" fontId="51" fillId="0" borderId="0" xfId="0" applyFont="1"/>
    <xf numFmtId="170" fontId="44" fillId="0" borderId="0" xfId="0" applyNumberFormat="1" applyFont="1"/>
    <xf numFmtId="0" fontId="52" fillId="38" borderId="0" xfId="0" applyFont="1" applyFill="1"/>
    <xf numFmtId="0" fontId="46" fillId="38" borderId="0" xfId="0" applyFont="1" applyFill="1"/>
    <xf numFmtId="170" fontId="46" fillId="38" borderId="0" xfId="0" applyNumberFormat="1" applyFont="1" applyFill="1"/>
    <xf numFmtId="0" fontId="53" fillId="0" borderId="0" xfId="0" applyFont="1"/>
    <xf numFmtId="167" fontId="46" fillId="0" borderId="0" xfId="0" applyNumberFormat="1" applyFont="1"/>
    <xf numFmtId="173" fontId="44" fillId="0" borderId="0" xfId="16" applyNumberFormat="1" applyFont="1"/>
    <xf numFmtId="171" fontId="44" fillId="0" borderId="0" xfId="0" applyNumberFormat="1" applyFont="1"/>
    <xf numFmtId="9" fontId="44" fillId="0" borderId="0" xfId="16" applyFont="1"/>
    <xf numFmtId="0" fontId="44" fillId="0" borderId="0" xfId="0" quotePrefix="1" applyFont="1"/>
    <xf numFmtId="9" fontId="44" fillId="42" borderId="0" xfId="0" applyNumberFormat="1" applyFont="1" applyFill="1"/>
    <xf numFmtId="9" fontId="51" fillId="42" borderId="0" xfId="0" applyNumberFormat="1" applyFont="1" applyFill="1"/>
    <xf numFmtId="9" fontId="44" fillId="42" borderId="0" xfId="16" applyFont="1" applyFill="1"/>
    <xf numFmtId="171" fontId="44" fillId="0" borderId="0" xfId="16" applyNumberFormat="1" applyFont="1"/>
    <xf numFmtId="171" fontId="44" fillId="42" borderId="0" xfId="16" applyNumberFormat="1" applyFont="1" applyFill="1"/>
    <xf numFmtId="0" fontId="46" fillId="41" borderId="0" xfId="0" applyFont="1" applyFill="1"/>
    <xf numFmtId="3" fontId="46" fillId="38" borderId="0" xfId="0" applyNumberFormat="1" applyFont="1" applyFill="1"/>
    <xf numFmtId="2" fontId="46" fillId="0" borderId="0" xfId="0" applyNumberFormat="1" applyFont="1"/>
    <xf numFmtId="167" fontId="54" fillId="0" borderId="0" xfId="0" applyNumberFormat="1" applyFont="1"/>
    <xf numFmtId="3" fontId="54" fillId="0" borderId="0" xfId="0" applyNumberFormat="1" applyFont="1"/>
    <xf numFmtId="3" fontId="46" fillId="0" borderId="0" xfId="0" applyNumberFormat="1" applyFont="1"/>
    <xf numFmtId="3" fontId="53" fillId="0" borderId="0" xfId="0" applyNumberFormat="1" applyFont="1" applyAlignment="1">
      <alignment horizontal="right"/>
    </xf>
    <xf numFmtId="3" fontId="46" fillId="37" borderId="0" xfId="0" applyNumberFormat="1" applyFont="1" applyFill="1"/>
    <xf numFmtId="174" fontId="46" fillId="0" borderId="0" xfId="0" applyNumberFormat="1" applyFont="1"/>
    <xf numFmtId="3" fontId="46" fillId="0" borderId="0" xfId="0" applyNumberFormat="1" applyFont="1" applyAlignment="1">
      <alignment horizontal="center"/>
    </xf>
    <xf numFmtId="171" fontId="46" fillId="0" borderId="0" xfId="16" applyNumberFormat="1" applyFont="1"/>
    <xf numFmtId="0" fontId="44" fillId="37" borderId="0" xfId="0" applyFont="1" applyFill="1"/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right"/>
    </xf>
    <xf numFmtId="167" fontId="44" fillId="0" borderId="0" xfId="0" applyNumberFormat="1" applyFont="1" applyAlignment="1">
      <alignment horizontal="center"/>
    </xf>
    <xf numFmtId="0" fontId="55" fillId="0" borderId="0" xfId="0" applyFont="1"/>
    <xf numFmtId="1" fontId="47" fillId="0" borderId="0" xfId="0" applyNumberFormat="1" applyFont="1"/>
    <xf numFmtId="0" fontId="46" fillId="0" borderId="0" xfId="0" applyFont="1" applyAlignment="1">
      <alignment horizontal="right"/>
    </xf>
    <xf numFmtId="3" fontId="56" fillId="0" borderId="0" xfId="0" applyNumberFormat="1" applyFont="1"/>
    <xf numFmtId="167" fontId="55" fillId="0" borderId="0" xfId="0" applyNumberFormat="1" applyFont="1"/>
    <xf numFmtId="3" fontId="44" fillId="43" borderId="0" xfId="0" applyNumberFormat="1" applyFont="1" applyFill="1"/>
    <xf numFmtId="3" fontId="56" fillId="43" borderId="0" xfId="0" applyNumberFormat="1" applyFont="1" applyFill="1"/>
    <xf numFmtId="0" fontId="56" fillId="0" borderId="0" xfId="0" applyFont="1"/>
    <xf numFmtId="0" fontId="44" fillId="44" borderId="0" xfId="0" applyFont="1" applyFill="1"/>
    <xf numFmtId="0" fontId="57" fillId="0" borderId="0" xfId="0" applyFont="1"/>
    <xf numFmtId="0" fontId="52" fillId="0" borderId="0" xfId="0" applyFont="1"/>
    <xf numFmtId="174" fontId="52" fillId="0" borderId="0" xfId="0" applyNumberFormat="1" applyFont="1"/>
    <xf numFmtId="174" fontId="44" fillId="0" borderId="0" xfId="0" applyNumberFormat="1" applyFont="1"/>
    <xf numFmtId="9" fontId="44" fillId="0" borderId="0" xfId="0" applyNumberFormat="1" applyFont="1"/>
    <xf numFmtId="175" fontId="44" fillId="0" borderId="0" xfId="0" applyNumberFormat="1" applyFont="1"/>
    <xf numFmtId="10" fontId="44" fillId="0" borderId="0" xfId="0" applyNumberFormat="1" applyFont="1"/>
    <xf numFmtId="0" fontId="46" fillId="44" borderId="0" xfId="0" applyFont="1" applyFill="1"/>
    <xf numFmtId="3" fontId="46" fillId="40" borderId="0" xfId="0" applyNumberFormat="1" applyFont="1" applyFill="1"/>
    <xf numFmtId="3" fontId="44" fillId="45" borderId="0" xfId="0" applyNumberFormat="1" applyFont="1" applyFill="1"/>
    <xf numFmtId="170" fontId="46" fillId="0" borderId="0" xfId="0" applyNumberFormat="1" applyFont="1"/>
    <xf numFmtId="170" fontId="46" fillId="37" borderId="0" xfId="0" applyNumberFormat="1" applyFont="1" applyFill="1"/>
    <xf numFmtId="0" fontId="44" fillId="46" borderId="0" xfId="0" applyFont="1" applyFill="1"/>
    <xf numFmtId="170" fontId="46" fillId="0" borderId="0" xfId="0" applyNumberFormat="1" applyFont="1" applyAlignment="1">
      <alignment horizontal="center"/>
    </xf>
    <xf numFmtId="0" fontId="44" fillId="47" borderId="0" xfId="0" applyFont="1" applyFill="1"/>
    <xf numFmtId="0" fontId="46" fillId="47" borderId="0" xfId="0" applyFont="1" applyFill="1"/>
    <xf numFmtId="3" fontId="46" fillId="39" borderId="0" xfId="0" applyNumberFormat="1" applyFont="1" applyFill="1"/>
    <xf numFmtId="176" fontId="46" fillId="0" borderId="0" xfId="0" applyNumberFormat="1" applyFont="1"/>
    <xf numFmtId="2" fontId="44" fillId="0" borderId="0" xfId="0" applyNumberFormat="1" applyFont="1"/>
    <xf numFmtId="0" fontId="44" fillId="36" borderId="2" xfId="0" applyFont="1" applyFill="1" applyBorder="1" applyAlignment="1">
      <alignment horizontal="center"/>
    </xf>
    <xf numFmtId="167" fontId="44" fillId="36" borderId="3" xfId="0" applyNumberFormat="1" applyFont="1" applyFill="1" applyBorder="1" applyAlignment="1">
      <alignment horizontal="center"/>
    </xf>
    <xf numFmtId="0" fontId="42" fillId="0" borderId="5" xfId="7" applyFont="1" applyAlignment="1">
      <alignment wrapText="1"/>
    </xf>
    <xf numFmtId="0" fontId="0" fillId="0" borderId="30" xfId="0" applyBorder="1"/>
    <xf numFmtId="0" fontId="0" fillId="0" borderId="0" xfId="0"/>
    <xf numFmtId="0" fontId="42" fillId="0" borderId="4" xfId="3" applyFont="1">
      <alignment wrapText="1"/>
    </xf>
    <xf numFmtId="170" fontId="42" fillId="0" borderId="4" xfId="3" applyNumberFormat="1" applyFont="1" applyAlignment="1">
      <alignment horizontal="right" wrapText="1"/>
    </xf>
    <xf numFmtId="171" fontId="42" fillId="0" borderId="4" xfId="3" applyNumberFormat="1" applyFont="1" applyAlignment="1">
      <alignment horizontal="right" wrapText="1"/>
    </xf>
    <xf numFmtId="0" fontId="43" fillId="0" borderId="6" xfId="6" applyFont="1">
      <alignment wrapText="1"/>
    </xf>
    <xf numFmtId="0" fontId="42" fillId="0" borderId="0" xfId="0" applyFont="1"/>
    <xf numFmtId="0" fontId="35" fillId="0" borderId="0" xfId="15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29" fillId="0" borderId="27" xfId="58" applyFont="1" applyBorder="1" applyAlignment="1">
      <alignment horizontal="left" wrapText="1"/>
    </xf>
    <xf numFmtId="0" fontId="29" fillId="0" borderId="0" xfId="58" applyFont="1" applyAlignment="1">
      <alignment horizontal="left" wrapText="1"/>
    </xf>
    <xf numFmtId="0" fontId="34" fillId="0" borderId="22" xfId="15" applyFont="1" applyBorder="1" applyAlignment="1">
      <alignment horizontal="left" vertical="center" wrapText="1"/>
    </xf>
    <xf numFmtId="0" fontId="34" fillId="0" borderId="0" xfId="15" applyFont="1" applyBorder="1" applyAlignment="1">
      <alignment horizontal="left" vertical="center" wrapText="1"/>
    </xf>
    <xf numFmtId="0" fontId="1" fillId="0" borderId="0" xfId="0" applyNumberFormat="1" applyFont="1" applyAlignment="1">
      <alignment wrapText="1"/>
    </xf>
    <xf numFmtId="0" fontId="0" fillId="0" borderId="0" xfId="0" applyNumberFormat="1" applyAlignment="1">
      <alignment horizontal="right"/>
    </xf>
    <xf numFmtId="0" fontId="0" fillId="0" borderId="0" xfId="0" applyNumberFormat="1"/>
    <xf numFmtId="0" fontId="0" fillId="36" borderId="0" xfId="0" applyNumberFormat="1" applyFill="1"/>
  </cellXfs>
  <cellStyles count="64">
    <cellStyle name="20% - Accent1" xfId="35" builtinId="30" customBuiltin="1"/>
    <cellStyle name="20% - Accent2" xfId="39" builtinId="34" customBuiltin="1"/>
    <cellStyle name="20% - Accent3" xfId="43" builtinId="38" customBuiltin="1"/>
    <cellStyle name="20% - Accent4" xfId="47" builtinId="42" customBuiltin="1"/>
    <cellStyle name="20% - Accent5" xfId="51" builtinId="46" customBuiltin="1"/>
    <cellStyle name="20% - Accent6" xfId="55" builtinId="50" customBuiltin="1"/>
    <cellStyle name="40% - Accent1" xfId="36" builtinId="31" customBuiltin="1"/>
    <cellStyle name="40% - Accent2" xfId="40" builtinId="35" customBuiltin="1"/>
    <cellStyle name="40% - Accent3" xfId="44" builtinId="39" customBuiltin="1"/>
    <cellStyle name="40% - Accent4" xfId="48" builtinId="43" customBuiltin="1"/>
    <cellStyle name="40% - Accent5" xfId="52" builtinId="47" customBuiltin="1"/>
    <cellStyle name="40% - Accent6" xfId="56" builtinId="51" customBuiltin="1"/>
    <cellStyle name="60% - Accent1" xfId="37" builtinId="32" customBuiltin="1"/>
    <cellStyle name="60% - Accent2" xfId="41" builtinId="36" customBuiltin="1"/>
    <cellStyle name="60% - Accent3" xfId="45" builtinId="40" customBuiltin="1"/>
    <cellStyle name="60% - Accent4" xfId="49" builtinId="44" customBuiltin="1"/>
    <cellStyle name="60% - Accent5" xfId="53" builtinId="48" customBuiltin="1"/>
    <cellStyle name="60% - Accent6" xfId="57" builtinId="52" customBuiltin="1"/>
    <cellStyle name="Accent1" xfId="34" builtinId="29" customBuiltin="1"/>
    <cellStyle name="Accent2" xfId="38" builtinId="33" customBuiltin="1"/>
    <cellStyle name="Accent3" xfId="42" builtinId="37" customBuiltin="1"/>
    <cellStyle name="Accent4" xfId="46" builtinId="41" customBuiltin="1"/>
    <cellStyle name="Accent5" xfId="50" builtinId="45" customBuiltin="1"/>
    <cellStyle name="Accent6" xfId="54" builtinId="49" customBuiltin="1"/>
    <cellStyle name="Bad" xfId="23" builtinId="27" customBuiltin="1"/>
    <cellStyle name="Body: normal cell" xfId="3" xr:uid="{00000000-0005-0000-0000-000019000000}"/>
    <cellStyle name="Calculation" xfId="27" builtinId="22" customBuiltin="1"/>
    <cellStyle name="Check Cell" xfId="29" builtinId="23" customBuiltin="1"/>
    <cellStyle name="Comma 2" xfId="63" xr:uid="{EF7200F6-956D-D047-980A-A4344B13705C}"/>
    <cellStyle name="Data" xfId="14" xr:uid="{00000000-0005-0000-0000-00001C000000}"/>
    <cellStyle name="Data no deci" xfId="61" xr:uid="{00000000-0005-0000-0000-00001D000000}"/>
    <cellStyle name="Explanatory Text" xfId="32" builtinId="53" customBuiltin="1"/>
    <cellStyle name="Followed Hyperlink" xfId="11" builtinId="9" customBuiltin="1"/>
    <cellStyle name="Font: Calibri, 9pt regular" xfId="9" xr:uid="{00000000-0005-0000-0000-000020000000}"/>
    <cellStyle name="Footnotes: all except top row" xfId="12" xr:uid="{00000000-0005-0000-0000-000021000000}"/>
    <cellStyle name="Footnotes: top row" xfId="7" xr:uid="{00000000-0005-0000-0000-000022000000}"/>
    <cellStyle name="Good" xfId="22" builtinId="26" customBuiltin="1"/>
    <cellStyle name="Header: bottom row" xfId="2" xr:uid="{00000000-0005-0000-0000-000024000000}"/>
    <cellStyle name="Header: top rows" xfId="4" xr:uid="{00000000-0005-0000-0000-000025000000}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Hed Side" xfId="15" xr:uid="{00000000-0005-0000-0000-00002A000000}"/>
    <cellStyle name="Hed Side Regular" xfId="60" xr:uid="{00000000-0005-0000-0000-00002B000000}"/>
    <cellStyle name="Hed Top" xfId="59" xr:uid="{00000000-0005-0000-0000-00002C000000}"/>
    <cellStyle name="Hyperlink" xfId="1" builtinId="8"/>
    <cellStyle name="Hyperlink 2" xfId="10" xr:uid="{00000000-0005-0000-0000-00002E000000}"/>
    <cellStyle name="Input" xfId="25" builtinId="20" customBuiltin="1"/>
    <cellStyle name="Linked Cell" xfId="28" builtinId="24" customBuiltin="1"/>
    <cellStyle name="Neutral" xfId="24" builtinId="28" customBuiltin="1"/>
    <cellStyle name="Normal" xfId="0" builtinId="0"/>
    <cellStyle name="Normal 2" xfId="62" xr:uid="{6BD6DE87-5039-4F46-B9F3-CD2F5894CA3D}"/>
    <cellStyle name="Note" xfId="31" builtinId="10" customBuiltin="1"/>
    <cellStyle name="Output" xfId="26" builtinId="21" customBuiltin="1"/>
    <cellStyle name="Parent row" xfId="6" xr:uid="{00000000-0005-0000-0000-000035000000}"/>
    <cellStyle name="Percent" xfId="16" builtinId="5"/>
    <cellStyle name="Section Break" xfId="8" xr:uid="{00000000-0005-0000-0000-000037000000}"/>
    <cellStyle name="Section Break: parent row" xfId="5" xr:uid="{00000000-0005-0000-0000-000038000000}"/>
    <cellStyle name="Table title" xfId="13" xr:uid="{00000000-0005-0000-0000-000039000000}"/>
    <cellStyle name="Title" xfId="17" builtinId="15" customBuiltin="1"/>
    <cellStyle name="Title-2" xfId="58" xr:uid="{00000000-0005-0000-0000-00003B000000}"/>
    <cellStyle name="Total" xfId="33" builtinId="25" customBuiltin="1"/>
    <cellStyle name="Warning Text" xfId="30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>
                <a:latin typeface="Calibri" panose="020F0502020204030204" pitchFamily="34" charset="0"/>
                <a:cs typeface="Calibri" panose="020F0502020204030204" pitchFamily="34" charset="0"/>
              </a:rPr>
              <a:t>Survival  rate per age</a:t>
            </a:r>
            <a:r>
              <a:rPr lang="es-ES_tradnl" baseline="0">
                <a:latin typeface="Calibri" panose="020F0502020204030204" pitchFamily="34" charset="0"/>
                <a:cs typeface="Calibri" panose="020F0502020204030204" pitchFamily="34" charset="0"/>
              </a:rPr>
              <a:t> of car</a:t>
            </a:r>
            <a:endParaRPr lang="es-ES_tradnl"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>
        <c:manualLayout>
          <c:layoutTarget val="inner"/>
          <c:xMode val="edge"/>
          <c:yMode val="edge"/>
          <c:x val="7.5313125017688262E-2"/>
          <c:y val="0.15823431906889396"/>
          <c:w val="0.90296335551713636"/>
          <c:h val="0.695962546050970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Fleet'!$D$35:$R$35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</c:numCache>
            </c:numRef>
          </c:cat>
          <c:val>
            <c:numRef>
              <c:f>'Mexico Road Fleet'!$D$36:$R$36</c:f>
              <c:numCache>
                <c:formatCode>0%</c:formatCode>
                <c:ptCount val="15"/>
                <c:pt idx="0">
                  <c:v>1</c:v>
                </c:pt>
                <c:pt idx="1">
                  <c:v>0.99</c:v>
                </c:pt>
                <c:pt idx="2">
                  <c:v>0.96</c:v>
                </c:pt>
                <c:pt idx="3">
                  <c:v>0.85</c:v>
                </c:pt>
                <c:pt idx="4">
                  <c:v>0.67</c:v>
                </c:pt>
                <c:pt idx="5">
                  <c:v>0.48</c:v>
                </c:pt>
                <c:pt idx="6">
                  <c:v>0.32</c:v>
                </c:pt>
                <c:pt idx="7">
                  <c:v>0.21</c:v>
                </c:pt>
                <c:pt idx="8">
                  <c:v>0.13</c:v>
                </c:pt>
                <c:pt idx="9">
                  <c:v>0.08</c:v>
                </c:pt>
                <c:pt idx="10">
                  <c:v>4.4999999999999998E-2</c:v>
                </c:pt>
                <c:pt idx="11">
                  <c:v>2.5000000000000001E-2</c:v>
                </c:pt>
                <c:pt idx="12">
                  <c:v>0.01</c:v>
                </c:pt>
                <c:pt idx="13">
                  <c:v>4.0000000000000001E-3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C-D141-8818-9872EAC62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128832"/>
        <c:axId val="1115993376"/>
      </c:lineChart>
      <c:catAx>
        <c:axId val="110512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15993376"/>
        <c:crosses val="autoZero"/>
        <c:auto val="1"/>
        <c:lblAlgn val="ctr"/>
        <c:lblOffset val="100"/>
        <c:noMultiLvlLbl val="0"/>
      </c:catAx>
      <c:valAx>
        <c:axId val="1115993376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0512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800">
                <a:latin typeface="Calibri" panose="020F0502020204030204" pitchFamily="34" charset="0"/>
                <a:cs typeface="Calibri" panose="020F0502020204030204" pitchFamily="34" charset="0"/>
              </a:rPr>
              <a:t>Historic car fleet</a:t>
            </a:r>
          </a:p>
        </c:rich>
      </c:tx>
      <c:layout>
        <c:manualLayout>
          <c:xMode val="edge"/>
          <c:yMode val="edge"/>
          <c:x val="0.10598675103558157"/>
          <c:y val="1.2677678833467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5579785219161727E-2"/>
          <c:y val="0.14785800467310556"/>
          <c:w val="0.91143738260155516"/>
          <c:h val="0.74627638937044838"/>
        </c:manualLayout>
      </c:layout>
      <c:lineChart>
        <c:grouping val="standard"/>
        <c:varyColors val="0"/>
        <c:ser>
          <c:idx val="0"/>
          <c:order val="0"/>
          <c:tx>
            <c:v>Flota registrada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Fleet'!$D$1:$AV$1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'Mexico Road Fleet'!$D$2:$AV$2</c:f>
              <c:numCache>
                <c:formatCode>#,##0</c:formatCode>
                <c:ptCount val="45"/>
                <c:pt idx="0">
                  <c:v>3950042</c:v>
                </c:pt>
                <c:pt idx="1">
                  <c:v>4341363</c:v>
                </c:pt>
                <c:pt idx="2">
                  <c:v>4616897</c:v>
                </c:pt>
                <c:pt idx="3">
                  <c:v>4726236</c:v>
                </c:pt>
                <c:pt idx="4">
                  <c:v>4970526</c:v>
                </c:pt>
                <c:pt idx="5">
                  <c:v>5281842</c:v>
                </c:pt>
                <c:pt idx="6">
                  <c:v>5202922</c:v>
                </c:pt>
                <c:pt idx="7">
                  <c:v>5336228</c:v>
                </c:pt>
                <c:pt idx="8">
                  <c:v>5597735</c:v>
                </c:pt>
                <c:pt idx="9">
                  <c:v>6003532</c:v>
                </c:pt>
                <c:pt idx="10">
                  <c:v>6555550</c:v>
                </c:pt>
                <c:pt idx="11">
                  <c:v>6950708</c:v>
                </c:pt>
                <c:pt idx="12">
                  <c:v>7399178</c:v>
                </c:pt>
                <c:pt idx="13">
                  <c:v>7715951</c:v>
                </c:pt>
                <c:pt idx="14">
                  <c:v>7217732</c:v>
                </c:pt>
                <c:pt idx="15">
                  <c:v>7469504</c:v>
                </c:pt>
                <c:pt idx="16">
                  <c:v>7830864</c:v>
                </c:pt>
                <c:pt idx="17">
                  <c:v>8402995</c:v>
                </c:pt>
                <c:pt idx="18">
                  <c:v>9086209</c:v>
                </c:pt>
                <c:pt idx="19">
                  <c:v>9582796</c:v>
                </c:pt>
                <c:pt idx="20">
                  <c:v>10176179</c:v>
                </c:pt>
                <c:pt idx="21">
                  <c:v>11351982</c:v>
                </c:pt>
                <c:pt idx="22">
                  <c:v>12254910</c:v>
                </c:pt>
                <c:pt idx="23">
                  <c:v>12742049</c:v>
                </c:pt>
                <c:pt idx="24">
                  <c:v>13388011</c:v>
                </c:pt>
                <c:pt idx="25">
                  <c:v>14300380</c:v>
                </c:pt>
                <c:pt idx="26">
                  <c:v>16411813</c:v>
                </c:pt>
                <c:pt idx="27">
                  <c:v>17696623</c:v>
                </c:pt>
                <c:pt idx="28">
                  <c:v>19420942</c:v>
                </c:pt>
                <c:pt idx="29">
                  <c:v>20519224</c:v>
                </c:pt>
                <c:pt idx="30">
                  <c:v>21152773</c:v>
                </c:pt>
                <c:pt idx="31">
                  <c:v>22374326</c:v>
                </c:pt>
                <c:pt idx="32">
                  <c:v>23569623</c:v>
                </c:pt>
                <c:pt idx="33">
                  <c:v>24819922</c:v>
                </c:pt>
                <c:pt idx="34">
                  <c:v>25543908</c:v>
                </c:pt>
                <c:pt idx="35">
                  <c:v>26907994</c:v>
                </c:pt>
                <c:pt idx="36">
                  <c:v>28664295</c:v>
                </c:pt>
                <c:pt idx="37">
                  <c:v>30696542</c:v>
                </c:pt>
                <c:pt idx="38">
                  <c:v>31552351</c:v>
                </c:pt>
                <c:pt idx="39">
                  <c:v>32316144</c:v>
                </c:pt>
                <c:pt idx="40">
                  <c:v>32848577</c:v>
                </c:pt>
                <c:pt idx="41">
                  <c:v>33368689</c:v>
                </c:pt>
                <c:pt idx="42">
                  <c:v>33855651</c:v>
                </c:pt>
                <c:pt idx="43">
                  <c:v>34453866</c:v>
                </c:pt>
                <c:pt idx="44">
                  <c:v>35090355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7C-584A-B6D4-70D8D8D04047}"/>
            </c:ext>
          </c:extLst>
        </c:ser>
        <c:ser>
          <c:idx val="1"/>
          <c:order val="1"/>
          <c:tx>
            <c:v>Flota restante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Fleet'!$D$1:$AV$1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'Mexico Road Fleet'!$D$43:$AV$43</c:f>
              <c:numCache>
                <c:formatCode>#,##0</c:formatCode>
                <c:ptCount val="45"/>
                <c:pt idx="0">
                  <c:v>4298190.093837698</c:v>
                </c:pt>
                <c:pt idx="1">
                  <c:v>4680898.9134820225</c:v>
                </c:pt>
                <c:pt idx="2">
                  <c:v>4947038.091126347</c:v>
                </c:pt>
                <c:pt idx="3">
                  <c:v>5046431.2007706715</c:v>
                </c:pt>
                <c:pt idx="4">
                  <c:v>5280556.6324149957</c:v>
                </c:pt>
                <c:pt idx="5">
                  <c:v>5565419.3160593202</c:v>
                </c:pt>
                <c:pt idx="6">
                  <c:v>5457999.1749922941</c:v>
                </c:pt>
                <c:pt idx="7">
                  <c:v>5561239.749925267</c:v>
                </c:pt>
                <c:pt idx="8">
                  <c:v>5791312.576858242</c:v>
                </c:pt>
                <c:pt idx="9">
                  <c:v>6164715.0337912152</c:v>
                </c:pt>
                <c:pt idx="10">
                  <c:v>6619349.0647241902</c:v>
                </c:pt>
                <c:pt idx="11">
                  <c:v>6909077.0248117596</c:v>
                </c:pt>
                <c:pt idx="12">
                  <c:v>7245065.5328993322</c:v>
                </c:pt>
                <c:pt idx="13">
                  <c:v>7443518.3329868997</c:v>
                </c:pt>
                <c:pt idx="14">
                  <c:v>6823550.135074473</c:v>
                </c:pt>
                <c:pt idx="15">
                  <c:v>6892740.5211620415</c:v>
                </c:pt>
                <c:pt idx="16">
                  <c:v>7058841.5607598862</c:v>
                </c:pt>
                <c:pt idx="17">
                  <c:v>7427931.7543577282</c:v>
                </c:pt>
                <c:pt idx="18">
                  <c:v>7899176.4339555688</c:v>
                </c:pt>
                <c:pt idx="19">
                  <c:v>8175445.7355534155</c:v>
                </c:pt>
                <c:pt idx="20">
                  <c:v>8529704.9671512581</c:v>
                </c:pt>
                <c:pt idx="21">
                  <c:v>9450287.5363934245</c:v>
                </c:pt>
                <c:pt idx="22">
                  <c:v>10087092.889635593</c:v>
                </c:pt>
                <c:pt idx="23">
                  <c:v>10294421.990877759</c:v>
                </c:pt>
                <c:pt idx="24">
                  <c:v>10647918.814119926</c:v>
                </c:pt>
                <c:pt idx="25">
                  <c:v>11282074.879362093</c:v>
                </c:pt>
                <c:pt idx="26">
                  <c:v>13100853.727671288</c:v>
                </c:pt>
                <c:pt idx="27">
                  <c:v>14075117.451980481</c:v>
                </c:pt>
                <c:pt idx="28">
                  <c:v>15468662.760289673</c:v>
                </c:pt>
                <c:pt idx="29">
                  <c:v>16215540.64859887</c:v>
                </c:pt>
                <c:pt idx="30">
                  <c:v>16525114.298908062</c:v>
                </c:pt>
                <c:pt idx="31">
                  <c:v>17409080.78099563</c:v>
                </c:pt>
                <c:pt idx="32">
                  <c:v>18235153.431083206</c:v>
                </c:pt>
                <c:pt idx="33">
                  <c:v>19088899.801170778</c:v>
                </c:pt>
                <c:pt idx="34">
                  <c:v>19391604.963258345</c:v>
                </c:pt>
                <c:pt idx="35">
                  <c:v>20339859.349345919</c:v>
                </c:pt>
                <c:pt idx="36">
                  <c:v>21660219.114500515</c:v>
                </c:pt>
                <c:pt idx="37">
                  <c:v>23201878.04965511</c:v>
                </c:pt>
                <c:pt idx="38">
                  <c:v>23529588.172809709</c:v>
                </c:pt>
                <c:pt idx="39">
                  <c:v>23727965.745964304</c:v>
                </c:pt>
                <c:pt idx="40">
                  <c:v>23692174.597118896</c:v>
                </c:pt>
                <c:pt idx="41">
                  <c:v>23622958.04368452</c:v>
                </c:pt>
                <c:pt idx="42">
                  <c:v>23468030.975792084</c:v>
                </c:pt>
                <c:pt idx="43">
                  <c:v>23385224.583579864</c:v>
                </c:pt>
                <c:pt idx="44">
                  <c:v>23298996.138143525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7C-584A-B6D4-70D8D8D04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320144"/>
        <c:axId val="1113974880"/>
      </c:lineChart>
      <c:catAx>
        <c:axId val="111432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13974880"/>
        <c:crosses val="autoZero"/>
        <c:auto val="1"/>
        <c:lblAlgn val="ctr"/>
        <c:lblOffset val="100"/>
        <c:tickLblSkip val="2"/>
        <c:noMultiLvlLbl val="0"/>
      </c:catAx>
      <c:valAx>
        <c:axId val="111397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1432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9332104100051261"/>
          <c:y val="3.4166510829932092E-2"/>
          <c:w val="0.48482174723918947"/>
          <c:h val="8.6624483159982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>
                <a:latin typeface="Calibri" panose="020F0502020204030204" pitchFamily="34" charset="0"/>
                <a:cs typeface="Calibri" panose="020F0502020204030204" pitchFamily="34" charset="0"/>
              </a:rPr>
              <a:t>Annual</a:t>
            </a:r>
            <a:r>
              <a:rPr lang="es-ES_tradnl" baseline="0">
                <a:latin typeface="Calibri" panose="020F0502020204030204" pitchFamily="34" charset="0"/>
                <a:cs typeface="Calibri" panose="020F0502020204030204" pitchFamily="34" charset="0"/>
              </a:rPr>
              <a:t> variation car registered</a:t>
            </a:r>
            <a:endParaRPr lang="es-ES_tradnl"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39531403175329038"/>
                  <c:y val="-0.110707231351387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s-MX"/>
                </a:p>
              </c:txPr>
            </c:trendlineLbl>
          </c:trendline>
          <c:val>
            <c:numRef>
              <c:f>'Mexico Road Fleet'!$D$53:$AR$53</c:f>
              <c:numCache>
                <c:formatCode>#,##0</c:formatCode>
                <c:ptCount val="41"/>
                <c:pt idx="0">
                  <c:v>356048.1778376975</c:v>
                </c:pt>
                <c:pt idx="1">
                  <c:v>391321</c:v>
                </c:pt>
                <c:pt idx="2">
                  <c:v>275534</c:v>
                </c:pt>
                <c:pt idx="3">
                  <c:v>109339</c:v>
                </c:pt>
                <c:pt idx="4">
                  <c:v>244290</c:v>
                </c:pt>
                <c:pt idx="5">
                  <c:v>311316</c:v>
                </c:pt>
                <c:pt idx="6">
                  <c:v>-78920</c:v>
                </c:pt>
                <c:pt idx="7">
                  <c:v>133306</c:v>
                </c:pt>
                <c:pt idx="8">
                  <c:v>261507</c:v>
                </c:pt>
                <c:pt idx="9">
                  <c:v>405797</c:v>
                </c:pt>
                <c:pt idx="10">
                  <c:v>552018</c:v>
                </c:pt>
                <c:pt idx="11">
                  <c:v>395158</c:v>
                </c:pt>
                <c:pt idx="12">
                  <c:v>448470</c:v>
                </c:pt>
                <c:pt idx="13">
                  <c:v>316773</c:v>
                </c:pt>
                <c:pt idx="14">
                  <c:v>-498219</c:v>
                </c:pt>
                <c:pt idx="15">
                  <c:v>251772</c:v>
                </c:pt>
                <c:pt idx="16">
                  <c:v>361360</c:v>
                </c:pt>
                <c:pt idx="17">
                  <c:v>572131</c:v>
                </c:pt>
                <c:pt idx="18">
                  <c:v>683214</c:v>
                </c:pt>
                <c:pt idx="19">
                  <c:v>496587</c:v>
                </c:pt>
                <c:pt idx="20">
                  <c:v>593383</c:v>
                </c:pt>
                <c:pt idx="21">
                  <c:v>1175803</c:v>
                </c:pt>
                <c:pt idx="22">
                  <c:v>902928</c:v>
                </c:pt>
                <c:pt idx="23">
                  <c:v>487139</c:v>
                </c:pt>
                <c:pt idx="24">
                  <c:v>645962</c:v>
                </c:pt>
                <c:pt idx="25">
                  <c:v>912369</c:v>
                </c:pt>
                <c:pt idx="26">
                  <c:v>2111433</c:v>
                </c:pt>
                <c:pt idx="27">
                  <c:v>1284810</c:v>
                </c:pt>
                <c:pt idx="28">
                  <c:v>1724319</c:v>
                </c:pt>
                <c:pt idx="29">
                  <c:v>1098282</c:v>
                </c:pt>
                <c:pt idx="30">
                  <c:v>633549</c:v>
                </c:pt>
                <c:pt idx="31">
                  <c:v>1221553</c:v>
                </c:pt>
                <c:pt idx="32">
                  <c:v>1195297</c:v>
                </c:pt>
                <c:pt idx="33">
                  <c:v>1250299</c:v>
                </c:pt>
                <c:pt idx="34">
                  <c:v>723986</c:v>
                </c:pt>
                <c:pt idx="35">
                  <c:v>1364086</c:v>
                </c:pt>
                <c:pt idx="36">
                  <c:v>1756301</c:v>
                </c:pt>
                <c:pt idx="37">
                  <c:v>2032247</c:v>
                </c:pt>
                <c:pt idx="38">
                  <c:v>855809</c:v>
                </c:pt>
                <c:pt idx="39">
                  <c:v>763793</c:v>
                </c:pt>
                <c:pt idx="40">
                  <c:v>532433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0-7B40-A16A-3D6B18792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987104"/>
        <c:axId val="1135936416"/>
      </c:lineChart>
      <c:catAx>
        <c:axId val="1138987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35936416"/>
        <c:crosses val="autoZero"/>
        <c:auto val="1"/>
        <c:lblAlgn val="ctr"/>
        <c:lblOffset val="100"/>
        <c:noMultiLvlLbl val="0"/>
      </c:catAx>
      <c:valAx>
        <c:axId val="113593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3898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b="1">
                <a:latin typeface="Calibri" panose="020F0502020204030204" pitchFamily="34" charset="0"/>
                <a:cs typeface="Calibri" panose="020F0502020204030204" pitchFamily="34" charset="0"/>
              </a:rPr>
              <a:t>Projected car fleet</a:t>
            </a:r>
          </a:p>
        </c:rich>
      </c:tx>
      <c:layout>
        <c:manualLayout>
          <c:xMode val="edge"/>
          <c:yMode val="edge"/>
          <c:x val="0.14319256983610978"/>
          <c:y val="2.5355357666934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5579785219161727E-2"/>
          <c:y val="0.14785800467310556"/>
          <c:w val="0.91143738260155516"/>
          <c:h val="0.74627638937044838"/>
        </c:manualLayout>
      </c:layout>
      <c:lineChart>
        <c:grouping val="standard"/>
        <c:varyColors val="0"/>
        <c:ser>
          <c:idx val="0"/>
          <c:order val="0"/>
          <c:tx>
            <c:v>Vehicle growth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Fleet'!$AM$42:$BV$42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'Mexico Road Fleet'!$AM$44:$BV$44</c:f>
              <c:numCache>
                <c:formatCode>#,##0</c:formatCode>
                <c:ptCount val="36"/>
                <c:pt idx="0">
                  <c:v>20339859.349345919</c:v>
                </c:pt>
                <c:pt idx="1">
                  <c:v>21234813.160717141</c:v>
                </c:pt>
                <c:pt idx="2">
                  <c:v>22169144.939788695</c:v>
                </c:pt>
                <c:pt idx="3">
                  <c:v>23144587.317139398</c:v>
                </c:pt>
                <c:pt idx="4">
                  <c:v>24162949.159093533</c:v>
                </c:pt>
                <c:pt idx="5">
                  <c:v>25226118.922093648</c:v>
                </c:pt>
                <c:pt idx="6">
                  <c:v>26336068.154665768</c:v>
                </c:pt>
                <c:pt idx="7">
                  <c:v>27494855.153471064</c:v>
                </c:pt>
                <c:pt idx="8">
                  <c:v>28704628.780223791</c:v>
                </c:pt>
                <c:pt idx="9">
                  <c:v>29967632.44655364</c:v>
                </c:pt>
                <c:pt idx="10">
                  <c:v>31286208.274202</c:v>
                </c:pt>
                <c:pt idx="11">
                  <c:v>32662801.438266888</c:v>
                </c:pt>
                <c:pt idx="12">
                  <c:v>34099964.701550633</c:v>
                </c:pt>
                <c:pt idx="13">
                  <c:v>35600363.148418859</c:v>
                </c:pt>
                <c:pt idx="14">
                  <c:v>37166779.126949288</c:v>
                </c:pt>
                <c:pt idx="15">
                  <c:v>38802117.408535056</c:v>
                </c:pt>
                <c:pt idx="16">
                  <c:v>40509410.574510597</c:v>
                </c:pt>
                <c:pt idx="17">
                  <c:v>42291824.639789067</c:v>
                </c:pt>
                <c:pt idx="18">
                  <c:v>44152664.923939787</c:v>
                </c:pt>
                <c:pt idx="19">
                  <c:v>46095382.18059314</c:v>
                </c:pt>
                <c:pt idx="20">
                  <c:v>48123578.996539243</c:v>
                </c:pt>
                <c:pt idx="21">
                  <c:v>50241016.472386971</c:v>
                </c:pt>
                <c:pt idx="22">
                  <c:v>52451621.197172001</c:v>
                </c:pt>
                <c:pt idx="23">
                  <c:v>54759492.52984757</c:v>
                </c:pt>
                <c:pt idx="24">
                  <c:v>57168910.201160863</c:v>
                </c:pt>
                <c:pt idx="25">
                  <c:v>59684342.250011943</c:v>
                </c:pt>
                <c:pt idx="26">
                  <c:v>62310453.309012473</c:v>
                </c:pt>
                <c:pt idx="27">
                  <c:v>65052113.254609026</c:v>
                </c:pt>
                <c:pt idx="28">
                  <c:v>67914406.237811819</c:v>
                </c:pt>
                <c:pt idx="29">
                  <c:v>70902640.112275541</c:v>
                </c:pt>
                <c:pt idx="30">
                  <c:v>74022356.277215675</c:v>
                </c:pt>
                <c:pt idx="31">
                  <c:v>77279339.953413174</c:v>
                </c:pt>
                <c:pt idx="32">
                  <c:v>80679630.911363363</c:v>
                </c:pt>
                <c:pt idx="33">
                  <c:v>84229534.671463355</c:v>
                </c:pt>
                <c:pt idx="34">
                  <c:v>87935634.197007746</c:v>
                </c:pt>
                <c:pt idx="35">
                  <c:v>91804802.101676092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FD-3844-B3A9-2F34999B142A}"/>
            </c:ext>
          </c:extLst>
        </c:ser>
        <c:ser>
          <c:idx val="1"/>
          <c:order val="1"/>
          <c:tx>
            <c:v>Veh/pop growth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Fleet'!$AM$42:$BV$42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'Mexico Road Fleet'!$AM$45:$BV$45</c:f>
              <c:numCache>
                <c:formatCode>#,##0</c:formatCode>
                <c:ptCount val="36"/>
                <c:pt idx="0">
                  <c:v>20339859.349345919</c:v>
                </c:pt>
                <c:pt idx="1">
                  <c:v>21058063.909128826</c:v>
                </c:pt>
                <c:pt idx="2">
                  <c:v>21799466.28480754</c:v>
                </c:pt>
                <c:pt idx="3">
                  <c:v>22564777.489326987</c:v>
                </c:pt>
                <c:pt idx="4">
                  <c:v>23354729.587644398</c:v>
                </c:pt>
                <c:pt idx="5">
                  <c:v>24170076.304946851</c:v>
                </c:pt>
                <c:pt idx="6">
                  <c:v>24988458.391473379</c:v>
                </c:pt>
                <c:pt idx="7">
                  <c:v>25832653.284635641</c:v>
                </c:pt>
                <c:pt idx="8">
                  <c:v>26703440.135961346</c:v>
                </c:pt>
                <c:pt idx="9">
                  <c:v>27601620.921550434</c:v>
                </c:pt>
                <c:pt idx="10">
                  <c:v>28528021.096334007</c:v>
                </c:pt>
                <c:pt idx="11">
                  <c:v>29457239.364616226</c:v>
                </c:pt>
                <c:pt idx="12">
                  <c:v>30415088.533127349</c:v>
                </c:pt>
                <c:pt idx="13">
                  <c:v>31402419.385461137</c:v>
                </c:pt>
                <c:pt idx="14">
                  <c:v>32420107.350078415</c:v>
                </c:pt>
                <c:pt idx="15">
                  <c:v>33469053.200810637</c:v>
                </c:pt>
                <c:pt idx="16">
                  <c:v>34519157.202370197</c:v>
                </c:pt>
                <c:pt idx="17">
                  <c:v>35600848.245757222</c:v>
                </c:pt>
                <c:pt idx="18">
                  <c:v>36715049.368062124</c:v>
                </c:pt>
                <c:pt idx="19">
                  <c:v>37862710.01632867</c:v>
                </c:pt>
                <c:pt idx="20">
                  <c:v>39044806.791153513</c:v>
                </c:pt>
                <c:pt idx="21">
                  <c:v>40227525.883352652</c:v>
                </c:pt>
                <c:pt idx="22">
                  <c:v>41444977.925917275</c:v>
                </c:pt>
                <c:pt idx="23">
                  <c:v>42698160.36693304</c:v>
                </c:pt>
                <c:pt idx="24">
                  <c:v>43988098.81879589</c:v>
                </c:pt>
                <c:pt idx="25">
                  <c:v>45315847.843022533</c:v>
                </c:pt>
                <c:pt idx="26">
                  <c:v>46642643.038465083</c:v>
                </c:pt>
                <c:pt idx="27">
                  <c:v>48007455.58877787</c:v>
                </c:pt>
                <c:pt idx="28">
                  <c:v>49411357.114707239</c:v>
                </c:pt>
                <c:pt idx="29">
                  <c:v>50855449.057190105</c:v>
                </c:pt>
                <c:pt idx="30">
                  <c:v>52340863.498600401</c:v>
                </c:pt>
                <c:pt idx="31">
                  <c:v>53821877.630564071</c:v>
                </c:pt>
                <c:pt idx="32">
                  <c:v>55344229.429439314</c:v>
                </c:pt>
                <c:pt idx="33">
                  <c:v>56909060.144739203</c:v>
                </c:pt>
                <c:pt idx="34">
                  <c:v>58517542.252410688</c:v>
                </c:pt>
                <c:pt idx="35">
                  <c:v>60170880.302875251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FD-3844-B3A9-2F34999B142A}"/>
            </c:ext>
          </c:extLst>
        </c:ser>
        <c:ser>
          <c:idx val="2"/>
          <c:order val="2"/>
          <c:tx>
            <c:v>Registration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Fleet'!$AM$42:$BV$42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'Mexico Road Fleet'!$AM$46:$BV$46</c:f>
              <c:numCache>
                <c:formatCode>#,##0</c:formatCode>
                <c:ptCount val="36"/>
                <c:pt idx="0">
                  <c:v>20339859.349345919</c:v>
                </c:pt>
                <c:pt idx="1">
                  <c:v>20485888.149345919</c:v>
                </c:pt>
                <c:pt idx="2">
                  <c:v>20645526.349345919</c:v>
                </c:pt>
                <c:pt idx="3">
                  <c:v>20820131.549345918</c:v>
                </c:pt>
                <c:pt idx="4">
                  <c:v>21011061.349345919</c:v>
                </c:pt>
                <c:pt idx="5">
                  <c:v>21219673.349345919</c:v>
                </c:pt>
                <c:pt idx="6">
                  <c:v>21447325.149345919</c:v>
                </c:pt>
                <c:pt idx="7">
                  <c:v>21695374.349345919</c:v>
                </c:pt>
                <c:pt idx="8">
                  <c:v>21965178.549345918</c:v>
                </c:pt>
                <c:pt idx="9">
                  <c:v>22258095.349345919</c:v>
                </c:pt>
                <c:pt idx="10">
                  <c:v>22575482.349345919</c:v>
                </c:pt>
                <c:pt idx="11">
                  <c:v>22918697.149345919</c:v>
                </c:pt>
                <c:pt idx="12">
                  <c:v>23289097.349345919</c:v>
                </c:pt>
                <c:pt idx="13">
                  <c:v>23688040.549345918</c:v>
                </c:pt>
                <c:pt idx="14">
                  <c:v>24116884.349345919</c:v>
                </c:pt>
                <c:pt idx="15">
                  <c:v>24576986.349345919</c:v>
                </c:pt>
                <c:pt idx="16">
                  <c:v>25069704.149345919</c:v>
                </c:pt>
                <c:pt idx="17">
                  <c:v>25596395.349345919</c:v>
                </c:pt>
                <c:pt idx="18">
                  <c:v>26158417.549345918</c:v>
                </c:pt>
                <c:pt idx="19">
                  <c:v>26757128.349345919</c:v>
                </c:pt>
                <c:pt idx="20">
                  <c:v>27393885.349345919</c:v>
                </c:pt>
                <c:pt idx="21">
                  <c:v>28070046.149345919</c:v>
                </c:pt>
                <c:pt idx="22">
                  <c:v>28786968.349345919</c:v>
                </c:pt>
                <c:pt idx="23">
                  <c:v>29546009.549345918</c:v>
                </c:pt>
                <c:pt idx="24">
                  <c:v>30348527.349345919</c:v>
                </c:pt>
                <c:pt idx="25">
                  <c:v>31195879.349345919</c:v>
                </c:pt>
                <c:pt idx="26">
                  <c:v>32089423.149345919</c:v>
                </c:pt>
                <c:pt idx="27">
                  <c:v>33030516.349345919</c:v>
                </c:pt>
                <c:pt idx="28">
                  <c:v>34020516.549345918</c:v>
                </c:pt>
                <c:pt idx="29">
                  <c:v>35060781.349345915</c:v>
                </c:pt>
                <c:pt idx="30">
                  <c:v>36152668.349345915</c:v>
                </c:pt>
                <c:pt idx="31">
                  <c:v>37297535.149345912</c:v>
                </c:pt>
                <c:pt idx="32">
                  <c:v>38496739.349345915</c:v>
                </c:pt>
                <c:pt idx="33">
                  <c:v>39751638.549345918</c:v>
                </c:pt>
                <c:pt idx="34">
                  <c:v>41063590.349345915</c:v>
                </c:pt>
                <c:pt idx="35">
                  <c:v>42433952.349345915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FD-3844-B3A9-2F34999B1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320144"/>
        <c:axId val="1113974880"/>
      </c:lineChart>
      <c:catAx>
        <c:axId val="111432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13974880"/>
        <c:crosses val="autoZero"/>
        <c:auto val="1"/>
        <c:lblAlgn val="ctr"/>
        <c:lblOffset val="100"/>
        <c:tickLblSkip val="2"/>
        <c:noMultiLvlLbl val="0"/>
      </c:catAx>
      <c:valAx>
        <c:axId val="1113974880"/>
        <c:scaling>
          <c:orientation val="minMax"/>
          <c:max val="9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14320144"/>
        <c:crosses val="autoZero"/>
        <c:crossBetween val="between"/>
        <c:majorUnit val="10000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9377352495925338"/>
          <c:y val="3.4166510829932092E-2"/>
          <c:w val="0.57275538640896839"/>
          <c:h val="8.6624483159982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>
                <a:latin typeface="Calibri" panose="020F0502020204030204" pitchFamily="34" charset="0"/>
                <a:cs typeface="Calibri" panose="020F0502020204030204" pitchFamily="34" charset="0"/>
              </a:rPr>
              <a:t>Survival  rate per age</a:t>
            </a:r>
            <a:r>
              <a:rPr lang="es-ES_tradnl" baseline="0">
                <a:latin typeface="Calibri" panose="020F0502020204030204" pitchFamily="34" charset="0"/>
                <a:cs typeface="Calibri" panose="020F0502020204030204" pitchFamily="34" charset="0"/>
              </a:rPr>
              <a:t> of bus</a:t>
            </a:r>
            <a:endParaRPr lang="es-ES_tradnl"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>
        <c:manualLayout>
          <c:layoutTarget val="inner"/>
          <c:xMode val="edge"/>
          <c:yMode val="edge"/>
          <c:x val="7.5313125017688262E-2"/>
          <c:y val="0.15823431906889396"/>
          <c:w val="0.90296335551713636"/>
          <c:h val="0.695962546050970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Fleet'!$D$191:$R$191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</c:numCache>
            </c:numRef>
          </c:cat>
          <c:val>
            <c:numRef>
              <c:f>'Mexico Road Fleet'!$D$192:$R$192</c:f>
              <c:numCache>
                <c:formatCode>0%</c:formatCode>
                <c:ptCount val="15"/>
                <c:pt idx="0">
                  <c:v>1</c:v>
                </c:pt>
                <c:pt idx="1">
                  <c:v>0.995</c:v>
                </c:pt>
                <c:pt idx="2">
                  <c:v>0.98</c:v>
                </c:pt>
                <c:pt idx="3">
                  <c:v>0.9</c:v>
                </c:pt>
                <c:pt idx="4">
                  <c:v>0.75</c:v>
                </c:pt>
                <c:pt idx="5">
                  <c:v>0.5</c:v>
                </c:pt>
                <c:pt idx="6">
                  <c:v>0.28000000000000003</c:v>
                </c:pt>
                <c:pt idx="7">
                  <c:v>0.15</c:v>
                </c:pt>
                <c:pt idx="8">
                  <c:v>0.08</c:v>
                </c:pt>
                <c:pt idx="9">
                  <c:v>0.05</c:v>
                </c:pt>
                <c:pt idx="10">
                  <c:v>2.5000000000000001E-2</c:v>
                </c:pt>
                <c:pt idx="11">
                  <c:v>0.01</c:v>
                </c:pt>
                <c:pt idx="12">
                  <c:v>4.0000000000000001E-3</c:v>
                </c:pt>
                <c:pt idx="13">
                  <c:v>1E-3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C2-C14D-BE55-8D2F34458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128832"/>
        <c:axId val="1115993376"/>
      </c:lineChart>
      <c:catAx>
        <c:axId val="110512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15993376"/>
        <c:crosses val="autoZero"/>
        <c:auto val="1"/>
        <c:lblAlgn val="ctr"/>
        <c:lblOffset val="100"/>
        <c:noMultiLvlLbl val="0"/>
      </c:catAx>
      <c:valAx>
        <c:axId val="1115993376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0512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s-ES_tradnl">
                <a:latin typeface="Calibri" panose="020F0502020204030204" pitchFamily="34" charset="0"/>
                <a:cs typeface="Calibri" panose="020F0502020204030204" pitchFamily="34" charset="0"/>
              </a:rPr>
              <a:t>Car</a:t>
            </a:r>
            <a:r>
              <a:rPr lang="es-ES_tradnl" baseline="0">
                <a:latin typeface="Calibri" panose="020F0502020204030204" pitchFamily="34" charset="0"/>
                <a:cs typeface="Calibri" panose="020F0502020204030204" pitchFamily="34" charset="0"/>
              </a:rPr>
              <a:t> fleet by age in 2024 (millions)</a:t>
            </a:r>
            <a:endParaRPr lang="es-ES_tradnl"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s-ES_trad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'Mexico Road Fleet'!$BA$56:$BA$101</c:f>
              <c:numCache>
                <c:formatCode>General</c:formatCode>
                <c:ptCount val="46"/>
                <c:pt idx="0">
                  <c:v>-45</c:v>
                </c:pt>
                <c:pt idx="1">
                  <c:v>-44</c:v>
                </c:pt>
                <c:pt idx="2">
                  <c:v>-43</c:v>
                </c:pt>
                <c:pt idx="3">
                  <c:v>-42</c:v>
                </c:pt>
                <c:pt idx="4">
                  <c:v>-41</c:v>
                </c:pt>
                <c:pt idx="5">
                  <c:v>-40</c:v>
                </c:pt>
                <c:pt idx="6">
                  <c:v>-39</c:v>
                </c:pt>
                <c:pt idx="7">
                  <c:v>-38</c:v>
                </c:pt>
                <c:pt idx="8">
                  <c:v>-37</c:v>
                </c:pt>
                <c:pt idx="9">
                  <c:v>-36</c:v>
                </c:pt>
                <c:pt idx="10">
                  <c:v>-35</c:v>
                </c:pt>
                <c:pt idx="11">
                  <c:v>-34</c:v>
                </c:pt>
                <c:pt idx="12">
                  <c:v>-33</c:v>
                </c:pt>
                <c:pt idx="13">
                  <c:v>-32</c:v>
                </c:pt>
                <c:pt idx="14">
                  <c:v>-31</c:v>
                </c:pt>
                <c:pt idx="15">
                  <c:v>-30</c:v>
                </c:pt>
                <c:pt idx="16">
                  <c:v>-29</c:v>
                </c:pt>
                <c:pt idx="17">
                  <c:v>-28</c:v>
                </c:pt>
                <c:pt idx="18">
                  <c:v>-27</c:v>
                </c:pt>
                <c:pt idx="19">
                  <c:v>-26</c:v>
                </c:pt>
                <c:pt idx="20">
                  <c:v>-25</c:v>
                </c:pt>
                <c:pt idx="21">
                  <c:v>-24</c:v>
                </c:pt>
                <c:pt idx="22">
                  <c:v>-23</c:v>
                </c:pt>
                <c:pt idx="23">
                  <c:v>-22</c:v>
                </c:pt>
                <c:pt idx="24">
                  <c:v>-21</c:v>
                </c:pt>
                <c:pt idx="25">
                  <c:v>-20</c:v>
                </c:pt>
                <c:pt idx="26">
                  <c:v>-19</c:v>
                </c:pt>
                <c:pt idx="27">
                  <c:v>-18</c:v>
                </c:pt>
                <c:pt idx="28">
                  <c:v>-17</c:v>
                </c:pt>
                <c:pt idx="29">
                  <c:v>-16</c:v>
                </c:pt>
                <c:pt idx="30">
                  <c:v>-15</c:v>
                </c:pt>
                <c:pt idx="31">
                  <c:v>-14</c:v>
                </c:pt>
                <c:pt idx="32">
                  <c:v>-13</c:v>
                </c:pt>
                <c:pt idx="33">
                  <c:v>-12</c:v>
                </c:pt>
                <c:pt idx="34">
                  <c:v>-11</c:v>
                </c:pt>
                <c:pt idx="35">
                  <c:v>-10</c:v>
                </c:pt>
                <c:pt idx="36">
                  <c:v>-9</c:v>
                </c:pt>
                <c:pt idx="37">
                  <c:v>-8</c:v>
                </c:pt>
                <c:pt idx="38">
                  <c:v>-7</c:v>
                </c:pt>
                <c:pt idx="39">
                  <c:v>-6</c:v>
                </c:pt>
                <c:pt idx="40">
                  <c:v>-5</c:v>
                </c:pt>
                <c:pt idx="41">
                  <c:v>-4</c:v>
                </c:pt>
                <c:pt idx="42">
                  <c:v>-3</c:v>
                </c:pt>
                <c:pt idx="43">
                  <c:v>-2</c:v>
                </c:pt>
                <c:pt idx="44">
                  <c:v>-1</c:v>
                </c:pt>
                <c:pt idx="45">
                  <c:v>0</c:v>
                </c:pt>
              </c:numCache>
            </c:numRef>
          </c:cat>
          <c:val>
            <c:numRef>
              <c:f>'Mexico Road Fleet'!$BB$56:$BB$101</c:f>
              <c:numCache>
                <c:formatCode>0.0</c:formatCode>
                <c:ptCount val="46"/>
                <c:pt idx="0">
                  <c:v>0.31600336000000001</c:v>
                </c:pt>
                <c:pt idx="1">
                  <c:v>3.2044336005392783E-2</c:v>
                </c:pt>
                <c:pt idx="2">
                  <c:v>3.9132100000000003E-2</c:v>
                </c:pt>
                <c:pt idx="3">
                  <c:v>3.0308740000000004E-2</c:v>
                </c:pt>
                <c:pt idx="4">
                  <c:v>1.3120680000000001E-2</c:v>
                </c:pt>
                <c:pt idx="5">
                  <c:v>3.17577E-2</c:v>
                </c:pt>
                <c:pt idx="6">
                  <c:v>4.5452136000000011E-2</c:v>
                </c:pt>
                <c:pt idx="7">
                  <c:v>0</c:v>
                </c:pt>
                <c:pt idx="8">
                  <c:v>2.3728467999999999E-2</c:v>
                </c:pt>
                <c:pt idx="9">
                  <c:v>5.0732357999999998E-2</c:v>
                </c:pt>
                <c:pt idx="10">
                  <c:v>8.5217370000000001E-2</c:v>
                </c:pt>
                <c:pt idx="11">
                  <c:v>0.12806817599999998</c:v>
                </c:pt>
                <c:pt idx="12">
                  <c:v>0.10037013199999999</c:v>
                </c:pt>
                <c:pt idx="13">
                  <c:v>0.12377771999999998</c:v>
                </c:pt>
                <c:pt idx="14">
                  <c:v>9.439835399999999E-2</c:v>
                </c:pt>
                <c:pt idx="15">
                  <c:v>0</c:v>
                </c:pt>
                <c:pt idx="16">
                  <c:v>8.8623744000000018E-2</c:v>
                </c:pt>
                <c:pt idx="17">
                  <c:v>0.13876224000000001</c:v>
                </c:pt>
                <c:pt idx="18">
                  <c:v>0.23800649600000001</c:v>
                </c:pt>
                <c:pt idx="19">
                  <c:v>0.30607987200000003</c:v>
                </c:pt>
                <c:pt idx="20">
                  <c:v>0.23836175999999998</c:v>
                </c:pt>
                <c:pt idx="21">
                  <c:v>0.30737239399999999</c:v>
                </c:pt>
                <c:pt idx="22">
                  <c:v>0.65374646799999991</c:v>
                </c:pt>
                <c:pt idx="23">
                  <c:v>0.536339232</c:v>
                </c:pt>
                <c:pt idx="24">
                  <c:v>0.307871848</c:v>
                </c:pt>
                <c:pt idx="25">
                  <c:v>0.43279454000000006</c:v>
                </c:pt>
                <c:pt idx="26">
                  <c:v>0.64413251399999982</c:v>
                </c:pt>
                <c:pt idx="27">
                  <c:v>1.566683286</c:v>
                </c:pt>
                <c:pt idx="28">
                  <c:v>0.99958217999999999</c:v>
                </c:pt>
                <c:pt idx="29">
                  <c:v>1.403595666</c:v>
                </c:pt>
                <c:pt idx="30">
                  <c:v>0.93353969999999997</c:v>
                </c:pt>
                <c:pt idx="31">
                  <c:v>0.55245472799999984</c:v>
                </c:pt>
                <c:pt idx="32">
                  <c:v>1.0920683819999999</c:v>
                </c:pt>
                <c:pt idx="33">
                  <c:v>1.0948920519999998</c:v>
                </c:pt>
                <c:pt idx="34">
                  <c:v>1.1727804619999997</c:v>
                </c:pt>
                <c:pt idx="35">
                  <c:v>0.69502655999999996</c:v>
                </c:pt>
                <c:pt idx="36">
                  <c:v>1.3177070759999998</c:v>
                </c:pt>
                <c:pt idx="37">
                  <c:v>1.7071245719999999</c:v>
                </c:pt>
                <c:pt idx="38">
                  <c:v>1.9875375659999999</c:v>
                </c:pt>
                <c:pt idx="39">
                  <c:v>0.84211605599999995</c:v>
                </c:pt>
                <c:pt idx="40">
                  <c:v>0.7411375281381356</c:v>
                </c:pt>
                <c:pt idx="41">
                  <c:v>0.52817353599999994</c:v>
                </c:pt>
                <c:pt idx="42">
                  <c:v>0.51699132800000003</c:v>
                </c:pt>
                <c:pt idx="43">
                  <c:v>0.48501415199999998</c:v>
                </c:pt>
                <c:pt idx="44">
                  <c:v>0.59701856999999992</c:v>
                </c:pt>
                <c:pt idx="45">
                  <c:v>0.63648899999999997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C-E644-BB09-B8ED288CE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614751"/>
        <c:axId val="1928950031"/>
      </c:barChart>
      <c:catAx>
        <c:axId val="192861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92895003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92895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92861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800">
                <a:latin typeface="Calibri" panose="020F0502020204030204" pitchFamily="34" charset="0"/>
                <a:cs typeface="Calibri" panose="020F0502020204030204" pitchFamily="34" charset="0"/>
              </a:rPr>
              <a:t>Historic motorcycle fleet</a:t>
            </a:r>
          </a:p>
        </c:rich>
      </c:tx>
      <c:layout>
        <c:manualLayout>
          <c:xMode val="edge"/>
          <c:yMode val="edge"/>
          <c:x val="0.10598675103558157"/>
          <c:y val="1.2677678833467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5579785219161727E-2"/>
          <c:y val="0.14785800467310556"/>
          <c:w val="0.91143738260155516"/>
          <c:h val="0.74627638937044838"/>
        </c:manualLayout>
      </c:layout>
      <c:lineChart>
        <c:grouping val="standard"/>
        <c:varyColors val="0"/>
        <c:ser>
          <c:idx val="0"/>
          <c:order val="0"/>
          <c:tx>
            <c:v>Flota registrada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Fleet'!$D$1:$AV$1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'Mexico Road Fleet'!$D$5:$AV$5</c:f>
              <c:numCache>
                <c:formatCode>#,##0</c:formatCode>
                <c:ptCount val="45"/>
                <c:pt idx="0">
                  <c:v>277084</c:v>
                </c:pt>
                <c:pt idx="1">
                  <c:v>296601</c:v>
                </c:pt>
                <c:pt idx="2">
                  <c:v>257235</c:v>
                </c:pt>
                <c:pt idx="3">
                  <c:v>250484</c:v>
                </c:pt>
                <c:pt idx="4">
                  <c:v>248148</c:v>
                </c:pt>
                <c:pt idx="5">
                  <c:v>250358</c:v>
                </c:pt>
                <c:pt idx="6">
                  <c:v>232692</c:v>
                </c:pt>
                <c:pt idx="7">
                  <c:v>221059</c:v>
                </c:pt>
                <c:pt idx="8">
                  <c:v>217898</c:v>
                </c:pt>
                <c:pt idx="9">
                  <c:v>223815</c:v>
                </c:pt>
                <c:pt idx="10">
                  <c:v>248547</c:v>
                </c:pt>
                <c:pt idx="11">
                  <c:v>261111</c:v>
                </c:pt>
                <c:pt idx="12">
                  <c:v>273411</c:v>
                </c:pt>
                <c:pt idx="13">
                  <c:v>198209</c:v>
                </c:pt>
                <c:pt idx="14">
                  <c:v>214972</c:v>
                </c:pt>
                <c:pt idx="15">
                  <c:v>128960</c:v>
                </c:pt>
                <c:pt idx="16">
                  <c:v>176559</c:v>
                </c:pt>
                <c:pt idx="17">
                  <c:v>178166</c:v>
                </c:pt>
                <c:pt idx="18">
                  <c:v>222100</c:v>
                </c:pt>
                <c:pt idx="19">
                  <c:v>262599</c:v>
                </c:pt>
                <c:pt idx="20">
                  <c:v>293924</c:v>
                </c:pt>
                <c:pt idx="21">
                  <c:v>280806</c:v>
                </c:pt>
                <c:pt idx="22">
                  <c:v>369522</c:v>
                </c:pt>
                <c:pt idx="23">
                  <c:v>439517</c:v>
                </c:pt>
                <c:pt idx="24">
                  <c:v>518307</c:v>
                </c:pt>
                <c:pt idx="25">
                  <c:v>588543</c:v>
                </c:pt>
                <c:pt idx="26">
                  <c:v>722309</c:v>
                </c:pt>
                <c:pt idx="27">
                  <c:v>879005</c:v>
                </c:pt>
                <c:pt idx="28">
                  <c:v>1080073</c:v>
                </c:pt>
                <c:pt idx="29">
                  <c:v>1198253</c:v>
                </c:pt>
                <c:pt idx="30">
                  <c:v>1154145</c:v>
                </c:pt>
                <c:pt idx="31">
                  <c:v>1313122</c:v>
                </c:pt>
                <c:pt idx="32">
                  <c:v>1582228</c:v>
                </c:pt>
                <c:pt idx="33">
                  <c:v>1873641</c:v>
                </c:pt>
                <c:pt idx="34">
                  <c:v>2271563</c:v>
                </c:pt>
                <c:pt idx="35">
                  <c:v>2637264</c:v>
                </c:pt>
                <c:pt idx="36">
                  <c:v>3037577</c:v>
                </c:pt>
                <c:pt idx="37">
                  <c:v>3574402</c:v>
                </c:pt>
                <c:pt idx="38">
                  <c:v>4135368</c:v>
                </c:pt>
                <c:pt idx="39">
                  <c:v>4616977</c:v>
                </c:pt>
                <c:pt idx="40">
                  <c:v>5326447</c:v>
                </c:pt>
                <c:pt idx="41">
                  <c:v>5821035</c:v>
                </c:pt>
                <c:pt idx="42">
                  <c:v>6472998</c:v>
                </c:pt>
                <c:pt idx="43">
                  <c:v>7349263</c:v>
                </c:pt>
                <c:pt idx="44">
                  <c:v>8307284.4885924812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E-0E4E-BE20-305A0FEA97A1}"/>
            </c:ext>
          </c:extLst>
        </c:ser>
        <c:ser>
          <c:idx val="1"/>
          <c:order val="1"/>
          <c:tx>
            <c:v>Flota restante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Fleet'!$D$1:$AV$1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'Mexico Road Fleet'!$D$112:$AV$112</c:f>
              <c:numCache>
                <c:formatCode>#,##0</c:formatCode>
                <c:ptCount val="45"/>
                <c:pt idx="0">
                  <c:v>294762.57035219704</c:v>
                </c:pt>
                <c:pt idx="1">
                  <c:v>313688.93687549268</c:v>
                </c:pt>
                <c:pt idx="2">
                  <c:v>273693.26939878828</c:v>
                </c:pt>
                <c:pt idx="3">
                  <c:v>266312.60192208388</c:v>
                </c:pt>
                <c:pt idx="4">
                  <c:v>263346.93444537942</c:v>
                </c:pt>
                <c:pt idx="5">
                  <c:v>263818.93096867512</c:v>
                </c:pt>
                <c:pt idx="6">
                  <c:v>244337.57653856193</c:v>
                </c:pt>
                <c:pt idx="7">
                  <c:v>230811.15410844874</c:v>
                </c:pt>
                <c:pt idx="8">
                  <c:v>225756.73167833552</c:v>
                </c:pt>
                <c:pt idx="9">
                  <c:v>229780.30924822233</c:v>
                </c:pt>
                <c:pt idx="10">
                  <c:v>248173.70881810918</c:v>
                </c:pt>
                <c:pt idx="11">
                  <c:v>254049.08057436082</c:v>
                </c:pt>
                <c:pt idx="12">
                  <c:v>259323.05233061247</c:v>
                </c:pt>
                <c:pt idx="13">
                  <c:v>177070.42408686414</c:v>
                </c:pt>
                <c:pt idx="14">
                  <c:v>186782.7958431158</c:v>
                </c:pt>
                <c:pt idx="15">
                  <c:v>89817.323599367519</c:v>
                </c:pt>
                <c:pt idx="16">
                  <c:v>126073.30501868841</c:v>
                </c:pt>
                <c:pt idx="17">
                  <c:v>115918.59443800926</c:v>
                </c:pt>
                <c:pt idx="18">
                  <c:v>148038.46985733017</c:v>
                </c:pt>
                <c:pt idx="19">
                  <c:v>176635.47727665113</c:v>
                </c:pt>
                <c:pt idx="20">
                  <c:v>195328.64669597201</c:v>
                </c:pt>
                <c:pt idx="21">
                  <c:v>169053.04863858849</c:v>
                </c:pt>
                <c:pt idx="22">
                  <c:v>244180.99658120505</c:v>
                </c:pt>
                <c:pt idx="23">
                  <c:v>300207.28452382155</c:v>
                </c:pt>
                <c:pt idx="24">
                  <c:v>364712.84646643809</c:v>
                </c:pt>
                <c:pt idx="25">
                  <c:v>421924.49840905459</c:v>
                </c:pt>
                <c:pt idx="26">
                  <c:v>542159.10678178421</c:v>
                </c:pt>
                <c:pt idx="27">
                  <c:v>684235.80515451403</c:v>
                </c:pt>
                <c:pt idx="28">
                  <c:v>869818.33552724367</c:v>
                </c:pt>
                <c:pt idx="29">
                  <c:v>971127.80589997326</c:v>
                </c:pt>
                <c:pt idx="30">
                  <c:v>911708.77827270306</c:v>
                </c:pt>
                <c:pt idx="31">
                  <c:v>1054738.7300289548</c:v>
                </c:pt>
                <c:pt idx="32">
                  <c:v>1306548.3197852066</c:v>
                </c:pt>
                <c:pt idx="33">
                  <c:v>1578033.3595414581</c:v>
                </c:pt>
                <c:pt idx="34">
                  <c:v>1952905.3052977095</c:v>
                </c:pt>
                <c:pt idx="35">
                  <c:v>2294158.0670539616</c:v>
                </c:pt>
                <c:pt idx="36">
                  <c:v>2668008.989240326</c:v>
                </c:pt>
                <c:pt idx="37">
                  <c:v>3174892.409426691</c:v>
                </c:pt>
                <c:pt idx="38">
                  <c:v>3700088.181613056</c:v>
                </c:pt>
                <c:pt idx="39">
                  <c:v>4139354.4837994203</c:v>
                </c:pt>
                <c:pt idx="40">
                  <c:v>4802573.6159857865</c:v>
                </c:pt>
                <c:pt idx="41">
                  <c:v>5245934.0866022632</c:v>
                </c:pt>
                <c:pt idx="42">
                  <c:v>5839631.6972187413</c:v>
                </c:pt>
                <c:pt idx="43">
                  <c:v>6645702.4258352192</c:v>
                </c:pt>
                <c:pt idx="44">
                  <c:v>7519080.9610441783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CE-0E4E-BE20-305A0FEA9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320144"/>
        <c:axId val="1113974880"/>
      </c:lineChart>
      <c:catAx>
        <c:axId val="111432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13974880"/>
        <c:crosses val="autoZero"/>
        <c:auto val="1"/>
        <c:lblAlgn val="ctr"/>
        <c:lblOffset val="100"/>
        <c:tickLblSkip val="2"/>
        <c:noMultiLvlLbl val="0"/>
      </c:catAx>
      <c:valAx>
        <c:axId val="111397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1432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9332104100051261"/>
          <c:y val="3.4166510829932092E-2"/>
          <c:w val="0.48482174723918947"/>
          <c:h val="8.6624483159982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b="1">
                <a:latin typeface="Calibri" panose="020F0502020204030204" pitchFamily="34" charset="0"/>
                <a:cs typeface="Calibri" panose="020F0502020204030204" pitchFamily="34" charset="0"/>
              </a:rPr>
              <a:t>Projected motorcycle fleet</a:t>
            </a:r>
          </a:p>
        </c:rich>
      </c:tx>
      <c:layout>
        <c:manualLayout>
          <c:xMode val="edge"/>
          <c:yMode val="edge"/>
          <c:x val="0.14319256983610978"/>
          <c:y val="2.5355357666934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5579785219161727E-2"/>
          <c:y val="0.14785800467310556"/>
          <c:w val="0.91143738260155516"/>
          <c:h val="0.74627638937044838"/>
        </c:manualLayout>
      </c:layout>
      <c:lineChart>
        <c:grouping val="standard"/>
        <c:varyColors val="0"/>
        <c:ser>
          <c:idx val="0"/>
          <c:order val="0"/>
          <c:tx>
            <c:v>Vehicle growth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Fleet'!$AM$42:$BV$42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'Mexico Road Fleet'!$AM$112:$BV$112</c:f>
              <c:numCache>
                <c:formatCode>#,##0</c:formatCode>
                <c:ptCount val="36"/>
                <c:pt idx="0">
                  <c:v>2294158.0670539616</c:v>
                </c:pt>
                <c:pt idx="1">
                  <c:v>2668008.989240326</c:v>
                </c:pt>
                <c:pt idx="2">
                  <c:v>3174892.409426691</c:v>
                </c:pt>
                <c:pt idx="3">
                  <c:v>3700088.181613056</c:v>
                </c:pt>
                <c:pt idx="4">
                  <c:v>4139354.4837994203</c:v>
                </c:pt>
                <c:pt idx="5">
                  <c:v>4802573.6159857865</c:v>
                </c:pt>
                <c:pt idx="6">
                  <c:v>5245934.0866022632</c:v>
                </c:pt>
                <c:pt idx="7">
                  <c:v>5839631.6972187413</c:v>
                </c:pt>
                <c:pt idx="8">
                  <c:v>6645702.4258352192</c:v>
                </c:pt>
                <c:pt idx="9">
                  <c:v>7519080.9610441783</c:v>
                </c:pt>
                <c:pt idx="10">
                  <c:v>7863466.5168853169</c:v>
                </c:pt>
                <c:pt idx="11">
                  <c:v>8205205.6642114418</c:v>
                </c:pt>
                <c:pt idx="12">
                  <c:v>8551104.9473418295</c:v>
                </c:pt>
                <c:pt idx="13">
                  <c:v>8901164.3662764803</c:v>
                </c:pt>
                <c:pt idx="14">
                  <c:v>9255383.9210153967</c:v>
                </c:pt>
                <c:pt idx="15">
                  <c:v>9613763.6115585733</c:v>
                </c:pt>
                <c:pt idx="16">
                  <c:v>9967344.5702773854</c:v>
                </c:pt>
                <c:pt idx="17">
                  <c:v>10324557.544827212</c:v>
                </c:pt>
                <c:pt idx="18">
                  <c:v>10685402.53520805</c:v>
                </c:pt>
                <c:pt idx="19">
                  <c:v>11049879.541419903</c:v>
                </c:pt>
                <c:pt idx="20">
                  <c:v>11417988.56346277</c:v>
                </c:pt>
                <c:pt idx="21">
                  <c:v>11779534.003546732</c:v>
                </c:pt>
                <c:pt idx="22">
                  <c:v>12144187.633111009</c:v>
                </c:pt>
                <c:pt idx="23">
                  <c:v>12511949.452155605</c:v>
                </c:pt>
                <c:pt idx="24">
                  <c:v>12882819.460680515</c:v>
                </c:pt>
                <c:pt idx="25">
                  <c:v>13256797.658685736</c:v>
                </c:pt>
                <c:pt idx="26">
                  <c:v>13622246.004084358</c:v>
                </c:pt>
                <c:pt idx="27">
                  <c:v>13990272.662701445</c:v>
                </c:pt>
                <c:pt idx="28">
                  <c:v>14360877.634536996</c:v>
                </c:pt>
                <c:pt idx="29">
                  <c:v>14734060.919591019</c:v>
                </c:pt>
                <c:pt idx="30">
                  <c:v>15109822.517863501</c:v>
                </c:pt>
                <c:pt idx="31">
                  <c:v>15474681.819238704</c:v>
                </c:pt>
                <c:pt idx="32">
                  <c:v>15841568.388351612</c:v>
                </c:pt>
                <c:pt idx="33">
                  <c:v>16210482.22520222</c:v>
                </c:pt>
                <c:pt idx="34">
                  <c:v>16581423.329790531</c:v>
                </c:pt>
                <c:pt idx="35">
                  <c:v>16954391.702116538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0-2A4E-9C1B-4FDBCE5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320144"/>
        <c:axId val="1113974880"/>
      </c:lineChart>
      <c:catAx>
        <c:axId val="111432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13974880"/>
        <c:crosses val="autoZero"/>
        <c:auto val="1"/>
        <c:lblAlgn val="ctr"/>
        <c:lblOffset val="100"/>
        <c:tickLblSkip val="2"/>
        <c:noMultiLvlLbl val="0"/>
      </c:catAx>
      <c:valAx>
        <c:axId val="111397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432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800">
                <a:latin typeface="Calibri" panose="020F0502020204030204" pitchFamily="34" charset="0"/>
                <a:cs typeface="Calibri" panose="020F0502020204030204" pitchFamily="34" charset="0"/>
              </a:rPr>
              <a:t>Historic bus fleet</a:t>
            </a:r>
          </a:p>
        </c:rich>
      </c:tx>
      <c:layout>
        <c:manualLayout>
          <c:xMode val="edge"/>
          <c:yMode val="edge"/>
          <c:x val="0.10598675103558157"/>
          <c:y val="1.2677678833467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5579785219161727E-2"/>
          <c:y val="0.14785800467310556"/>
          <c:w val="0.91143738260155516"/>
          <c:h val="0.74627638937044838"/>
        </c:manualLayout>
      </c:layout>
      <c:lineChart>
        <c:grouping val="standard"/>
        <c:varyColors val="0"/>
        <c:ser>
          <c:idx val="0"/>
          <c:order val="0"/>
          <c:tx>
            <c:v>Flota registrada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Fleet'!$D$1:$AV$1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'Mexico Road Fleet'!$D$3:$AV$3</c:f>
              <c:numCache>
                <c:formatCode>#,##0</c:formatCode>
                <c:ptCount val="45"/>
                <c:pt idx="0">
                  <c:v>60388</c:v>
                </c:pt>
                <c:pt idx="1">
                  <c:v>64973</c:v>
                </c:pt>
                <c:pt idx="2">
                  <c:v>69233</c:v>
                </c:pt>
                <c:pt idx="3">
                  <c:v>71326</c:v>
                </c:pt>
                <c:pt idx="4">
                  <c:v>76517</c:v>
                </c:pt>
                <c:pt idx="5">
                  <c:v>79028</c:v>
                </c:pt>
                <c:pt idx="6">
                  <c:v>83373</c:v>
                </c:pt>
                <c:pt idx="7">
                  <c:v>84364</c:v>
                </c:pt>
                <c:pt idx="8">
                  <c:v>85229</c:v>
                </c:pt>
                <c:pt idx="9">
                  <c:v>90150</c:v>
                </c:pt>
                <c:pt idx="10">
                  <c:v>93275</c:v>
                </c:pt>
                <c:pt idx="11">
                  <c:v>96910</c:v>
                </c:pt>
                <c:pt idx="12">
                  <c:v>95179</c:v>
                </c:pt>
                <c:pt idx="13">
                  <c:v>85941</c:v>
                </c:pt>
                <c:pt idx="14">
                  <c:v>114577</c:v>
                </c:pt>
                <c:pt idx="15">
                  <c:v>120497</c:v>
                </c:pt>
                <c:pt idx="16">
                  <c:v>96933</c:v>
                </c:pt>
                <c:pt idx="17">
                  <c:v>125445</c:v>
                </c:pt>
                <c:pt idx="18">
                  <c:v>176443</c:v>
                </c:pt>
                <c:pt idx="19">
                  <c:v>200357</c:v>
                </c:pt>
                <c:pt idx="20">
                  <c:v>202396</c:v>
                </c:pt>
                <c:pt idx="21">
                  <c:v>273536</c:v>
                </c:pt>
                <c:pt idx="22">
                  <c:v>299365</c:v>
                </c:pt>
                <c:pt idx="23">
                  <c:v>308101</c:v>
                </c:pt>
                <c:pt idx="24">
                  <c:v>264585</c:v>
                </c:pt>
                <c:pt idx="25">
                  <c:v>268817</c:v>
                </c:pt>
                <c:pt idx="26">
                  <c:v>310189</c:v>
                </c:pt>
                <c:pt idx="27">
                  <c:v>322078</c:v>
                </c:pt>
                <c:pt idx="28">
                  <c:v>333287</c:v>
                </c:pt>
                <c:pt idx="29">
                  <c:v>337465</c:v>
                </c:pt>
                <c:pt idx="30">
                  <c:v>312738</c:v>
                </c:pt>
                <c:pt idx="31">
                  <c:v>327565</c:v>
                </c:pt>
                <c:pt idx="32">
                  <c:v>338520</c:v>
                </c:pt>
                <c:pt idx="33">
                  <c:v>347144</c:v>
                </c:pt>
                <c:pt idx="34">
                  <c:v>347720</c:v>
                </c:pt>
                <c:pt idx="35">
                  <c:v>357452</c:v>
                </c:pt>
                <c:pt idx="36">
                  <c:v>367772</c:v>
                </c:pt>
                <c:pt idx="37">
                  <c:v>398584</c:v>
                </c:pt>
                <c:pt idx="38">
                  <c:v>440470</c:v>
                </c:pt>
                <c:pt idx="39">
                  <c:v>450423</c:v>
                </c:pt>
                <c:pt idx="40">
                  <c:v>457620</c:v>
                </c:pt>
                <c:pt idx="41">
                  <c:v>456923</c:v>
                </c:pt>
                <c:pt idx="42">
                  <c:v>465103</c:v>
                </c:pt>
                <c:pt idx="43">
                  <c:v>484157</c:v>
                </c:pt>
                <c:pt idx="44">
                  <c:v>485698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3-AA4B-AC79-4212C30B3827}"/>
            </c:ext>
          </c:extLst>
        </c:ser>
        <c:ser>
          <c:idx val="1"/>
          <c:order val="1"/>
          <c:tx>
            <c:v>Flota restante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Fleet'!$D$1:$AV$1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'Mexico Road Fleet'!$D$182:$AV$182</c:f>
              <c:numCache>
                <c:formatCode>#,##0</c:formatCode>
                <c:ptCount val="45"/>
                <c:pt idx="0">
                  <c:v>64589.058754805847</c:v>
                </c:pt>
                <c:pt idx="1">
                  <c:v>69109.409308051036</c:v>
                </c:pt>
                <c:pt idx="2">
                  <c:v>73300.174861296226</c:v>
                </c:pt>
                <c:pt idx="3">
                  <c:v>75319.680414541421</c:v>
                </c:pt>
                <c:pt idx="4">
                  <c:v>80435.092967786622</c:v>
                </c:pt>
                <c:pt idx="5">
                  <c:v>82744.538521031805</c:v>
                </c:pt>
                <c:pt idx="6">
                  <c:v>86876.95018076741</c:v>
                </c:pt>
                <c:pt idx="7">
                  <c:v>87641.846840502971</c:v>
                </c:pt>
                <c:pt idx="8">
                  <c:v>88271.232500238577</c:v>
                </c:pt>
                <c:pt idx="9">
                  <c:v>92951.567159974133</c:v>
                </c:pt>
                <c:pt idx="10">
                  <c:v>95035.554819709723</c:v>
                </c:pt>
                <c:pt idx="11">
                  <c:v>97565.99667163282</c:v>
                </c:pt>
                <c:pt idx="12">
                  <c:v>94658.508523555924</c:v>
                </c:pt>
                <c:pt idx="13">
                  <c:v>84186.658375479048</c:v>
                </c:pt>
                <c:pt idx="14">
                  <c:v>111559.86922740217</c:v>
                </c:pt>
                <c:pt idx="15">
                  <c:v>115265.68707932526</c:v>
                </c:pt>
                <c:pt idx="16">
                  <c:v>89383.031676681116</c:v>
                </c:pt>
                <c:pt idx="17">
                  <c:v>115448.43127403691</c:v>
                </c:pt>
                <c:pt idx="18">
                  <c:v>163898.79587139271</c:v>
                </c:pt>
                <c:pt idx="19">
                  <c:v>185173.61546874855</c:v>
                </c:pt>
                <c:pt idx="20">
                  <c:v>183147.84206610441</c:v>
                </c:pt>
                <c:pt idx="21">
                  <c:v>250048.18172836411</c:v>
                </c:pt>
                <c:pt idx="22">
                  <c:v>271295.45639062382</c:v>
                </c:pt>
                <c:pt idx="23">
                  <c:v>275338.94405288348</c:v>
                </c:pt>
                <c:pt idx="24">
                  <c:v>226965.72971514321</c:v>
                </c:pt>
                <c:pt idx="25">
                  <c:v>226110.03337740293</c:v>
                </c:pt>
                <c:pt idx="26">
                  <c:v>262098.38572019147</c:v>
                </c:pt>
                <c:pt idx="27">
                  <c:v>268452.08606298</c:v>
                </c:pt>
                <c:pt idx="28">
                  <c:v>273697.32340576855</c:v>
                </c:pt>
                <c:pt idx="29">
                  <c:v>271215.1637485571</c:v>
                </c:pt>
                <c:pt idx="30">
                  <c:v>240131.75009134569</c:v>
                </c:pt>
                <c:pt idx="31">
                  <c:v>247588.93747572062</c:v>
                </c:pt>
                <c:pt idx="32">
                  <c:v>251112.45386009576</c:v>
                </c:pt>
                <c:pt idx="33">
                  <c:v>251617.91824447075</c:v>
                </c:pt>
                <c:pt idx="34">
                  <c:v>243259.66462884581</c:v>
                </c:pt>
                <c:pt idx="35">
                  <c:v>243988.58301322089</c:v>
                </c:pt>
                <c:pt idx="36">
                  <c:v>244212.93275865351</c:v>
                </c:pt>
                <c:pt idx="37">
                  <c:v>264506.51250408625</c:v>
                </c:pt>
                <c:pt idx="38">
                  <c:v>294803.92524951894</c:v>
                </c:pt>
                <c:pt idx="39">
                  <c:v>291861.90899495175</c:v>
                </c:pt>
                <c:pt idx="40">
                  <c:v>286425.98374038446</c:v>
                </c:pt>
                <c:pt idx="41">
                  <c:v>271702.5630598556</c:v>
                </c:pt>
                <c:pt idx="42">
                  <c:v>265218.49037932674</c:v>
                </c:pt>
                <c:pt idx="43">
                  <c:v>268930.216698798</c:v>
                </c:pt>
                <c:pt idx="44">
                  <c:v>254915.47101826905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73-AA4B-AC79-4212C30B3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320144"/>
        <c:axId val="1113974880"/>
      </c:lineChart>
      <c:catAx>
        <c:axId val="111432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13974880"/>
        <c:crosses val="autoZero"/>
        <c:auto val="1"/>
        <c:lblAlgn val="ctr"/>
        <c:lblOffset val="100"/>
        <c:tickLblSkip val="2"/>
        <c:noMultiLvlLbl val="0"/>
      </c:catAx>
      <c:valAx>
        <c:axId val="111397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1432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9332104100051261"/>
          <c:y val="3.4166510829932092E-2"/>
          <c:w val="0.48482174723918947"/>
          <c:h val="8.6624483159982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b="1">
                <a:latin typeface="Calibri" panose="020F0502020204030204" pitchFamily="34" charset="0"/>
                <a:cs typeface="Calibri" panose="020F0502020204030204" pitchFamily="34" charset="0"/>
              </a:rPr>
              <a:t>Projected bus fleet</a:t>
            </a:r>
          </a:p>
        </c:rich>
      </c:tx>
      <c:layout>
        <c:manualLayout>
          <c:xMode val="edge"/>
          <c:yMode val="edge"/>
          <c:x val="0.14319256983610978"/>
          <c:y val="2.5355357666934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5579785219161727E-2"/>
          <c:y val="0.14785800467310556"/>
          <c:w val="0.91143738260155516"/>
          <c:h val="0.74627638937044838"/>
        </c:manualLayout>
      </c:layout>
      <c:lineChart>
        <c:grouping val="standard"/>
        <c:varyColors val="0"/>
        <c:ser>
          <c:idx val="0"/>
          <c:order val="0"/>
          <c:tx>
            <c:v>Vehicle growth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'Mexico Road Fleet'!$AM$42:$BV$42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'Mexico Road Fleet'!$AM$182:$BV$182</c:f>
              <c:numCache>
                <c:formatCode>#,##0</c:formatCode>
                <c:ptCount val="36"/>
                <c:pt idx="0">
                  <c:v>243988.58301322089</c:v>
                </c:pt>
                <c:pt idx="1">
                  <c:v>244212.93275865351</c:v>
                </c:pt>
                <c:pt idx="2">
                  <c:v>264506.51250408625</c:v>
                </c:pt>
                <c:pt idx="3">
                  <c:v>294803.92524951894</c:v>
                </c:pt>
                <c:pt idx="4">
                  <c:v>291861.90899495175</c:v>
                </c:pt>
                <c:pt idx="5">
                  <c:v>286425.98374038446</c:v>
                </c:pt>
                <c:pt idx="6">
                  <c:v>271702.5630598556</c:v>
                </c:pt>
                <c:pt idx="7">
                  <c:v>265218.49037932674</c:v>
                </c:pt>
                <c:pt idx="8">
                  <c:v>268930.216698798</c:v>
                </c:pt>
                <c:pt idx="9">
                  <c:v>254915.47101826905</c:v>
                </c:pt>
                <c:pt idx="10">
                  <c:v>261022.65656865365</c:v>
                </c:pt>
                <c:pt idx="11">
                  <c:v>266957.85080137727</c:v>
                </c:pt>
                <c:pt idx="12">
                  <c:v>272951.81243019021</c:v>
                </c:pt>
                <c:pt idx="13">
                  <c:v>279004.54145509261</c:v>
                </c:pt>
                <c:pt idx="14">
                  <c:v>285116.03787608433</c:v>
                </c:pt>
                <c:pt idx="15">
                  <c:v>291286.30169316538</c:v>
                </c:pt>
                <c:pt idx="16">
                  <c:v>297248.15974930581</c:v>
                </c:pt>
                <c:pt idx="17">
                  <c:v>303261.32481151202</c:v>
                </c:pt>
                <c:pt idx="18">
                  <c:v>309325.79687978415</c:v>
                </c:pt>
                <c:pt idx="19">
                  <c:v>315441.57595412206</c:v>
                </c:pt>
                <c:pt idx="20">
                  <c:v>321608.66203452589</c:v>
                </c:pt>
                <c:pt idx="21">
                  <c:v>327543.55474298104</c:v>
                </c:pt>
                <c:pt idx="22">
                  <c:v>333522.35472055071</c:v>
                </c:pt>
                <c:pt idx="23">
                  <c:v>339545.06196723494</c:v>
                </c:pt>
                <c:pt idx="24">
                  <c:v>345611.67648303357</c:v>
                </c:pt>
                <c:pt idx="25">
                  <c:v>351722.19826794666</c:v>
                </c:pt>
                <c:pt idx="26">
                  <c:v>357571.13966808241</c:v>
                </c:pt>
                <c:pt idx="27">
                  <c:v>363456.50313742005</c:v>
                </c:pt>
                <c:pt idx="28">
                  <c:v>369378.28867595951</c:v>
                </c:pt>
                <c:pt idx="29">
                  <c:v>375336.49628370092</c:v>
                </c:pt>
                <c:pt idx="30">
                  <c:v>381331.1259606441</c:v>
                </c:pt>
                <c:pt idx="31">
                  <c:v>387025.02483180672</c:v>
                </c:pt>
                <c:pt idx="32">
                  <c:v>392747.561529167</c:v>
                </c:pt>
                <c:pt idx="33">
                  <c:v>398498.73605272477</c:v>
                </c:pt>
                <c:pt idx="34">
                  <c:v>404278.54840248014</c:v>
                </c:pt>
                <c:pt idx="35">
                  <c:v>410086.99857843289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3-9048-AF68-BCA79D51C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320144"/>
        <c:axId val="1113974880"/>
      </c:lineChart>
      <c:catAx>
        <c:axId val="111432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MX"/>
          </a:p>
        </c:txPr>
        <c:crossAx val="1113974880"/>
        <c:crosses val="autoZero"/>
        <c:auto val="1"/>
        <c:lblAlgn val="ctr"/>
        <c:lblOffset val="100"/>
        <c:tickLblSkip val="2"/>
        <c:noMultiLvlLbl val="0"/>
      </c:catAx>
      <c:valAx>
        <c:axId val="111397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432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321620</xdr:colOff>
      <xdr:row>21</xdr:row>
      <xdr:rowOff>126582</xdr:rowOff>
    </xdr:from>
    <xdr:to>
      <xdr:col>19</xdr:col>
      <xdr:colOff>304976</xdr:colOff>
      <xdr:row>32</xdr:row>
      <xdr:rowOff>149676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474C7CE8-8951-4F45-9367-FDECEF1FB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359063</xdr:colOff>
      <xdr:row>7</xdr:row>
      <xdr:rowOff>172028</xdr:rowOff>
    </xdr:from>
    <xdr:to>
      <xdr:col>19</xdr:col>
      <xdr:colOff>659245</xdr:colOff>
      <xdr:row>23</xdr:row>
      <xdr:rowOff>36946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99920996-A740-5B40-8E94-12646B043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114300</xdr:colOff>
      <xdr:row>22</xdr:row>
      <xdr:rowOff>5772</xdr:rowOff>
    </xdr:from>
    <xdr:to>
      <xdr:col>30</xdr:col>
      <xdr:colOff>0</xdr:colOff>
      <xdr:row>37</xdr:row>
      <xdr:rowOff>130463</xdr:rowOff>
    </xdr:to>
    <xdr:graphicFrame macro="">
      <xdr:nvGraphicFramePr>
        <xdr:cNvPr id="4" name="Gráfico 6">
          <a:extLst>
            <a:ext uri="{FF2B5EF4-FFF2-40B4-BE49-F238E27FC236}">
              <a16:creationId xmlns:a16="http://schemas.microsoft.com/office/drawing/2014/main" id="{A0498439-D635-CB46-A61F-C7B98898E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70428</xdr:colOff>
      <xdr:row>7</xdr:row>
      <xdr:rowOff>185882</xdr:rowOff>
    </xdr:from>
    <xdr:to>
      <xdr:col>30</xdr:col>
      <xdr:colOff>566882</xdr:colOff>
      <xdr:row>23</xdr:row>
      <xdr:rowOff>50800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279C9CC3-A85B-F646-BE2E-9C5869460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290945</xdr:colOff>
      <xdr:row>225</xdr:row>
      <xdr:rowOff>13855</xdr:rowOff>
    </xdr:from>
    <xdr:to>
      <xdr:col>14</xdr:col>
      <xdr:colOff>267853</xdr:colOff>
      <xdr:row>241</xdr:row>
      <xdr:rowOff>36948</xdr:rowOff>
    </xdr:to>
    <xdr:graphicFrame macro="">
      <xdr:nvGraphicFramePr>
        <xdr:cNvPr id="6" name="Gráfico 8">
          <a:extLst>
            <a:ext uri="{FF2B5EF4-FFF2-40B4-BE49-F238E27FC236}">
              <a16:creationId xmlns:a16="http://schemas.microsoft.com/office/drawing/2014/main" id="{71047655-AA10-B042-80EA-4E70F6DC6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151027</xdr:colOff>
      <xdr:row>69</xdr:row>
      <xdr:rowOff>75741</xdr:rowOff>
    </xdr:from>
    <xdr:to>
      <xdr:col>15</xdr:col>
      <xdr:colOff>160180</xdr:colOff>
      <xdr:row>91</xdr:row>
      <xdr:rowOff>80089</xdr:rowOff>
    </xdr:to>
    <xdr:graphicFrame macro="">
      <xdr:nvGraphicFramePr>
        <xdr:cNvPr id="7" name="Gráfico 9">
          <a:extLst>
            <a:ext uri="{FF2B5EF4-FFF2-40B4-BE49-F238E27FC236}">
              <a16:creationId xmlns:a16="http://schemas.microsoft.com/office/drawing/2014/main" id="{360F1C58-B622-B945-B9E2-E0212D9E1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568476</xdr:colOff>
      <xdr:row>71</xdr:row>
      <xdr:rowOff>143344</xdr:rowOff>
    </xdr:from>
    <xdr:to>
      <xdr:col>11</xdr:col>
      <xdr:colOff>571408</xdr:colOff>
      <xdr:row>89</xdr:row>
      <xdr:rowOff>134636</xdr:rowOff>
    </xdr:to>
    <xdr:cxnSp macro="">
      <xdr:nvCxnSpPr>
        <xdr:cNvPr id="8" name="Conector recto 10">
          <a:extLst>
            <a:ext uri="{FF2B5EF4-FFF2-40B4-BE49-F238E27FC236}">
              <a16:creationId xmlns:a16="http://schemas.microsoft.com/office/drawing/2014/main" id="{D679E7DA-1C5A-8E4B-A7B0-A8282D45AEB2}"/>
            </a:ext>
          </a:extLst>
        </xdr:cNvPr>
        <xdr:cNvCxnSpPr/>
      </xdr:nvCxnSpPr>
      <xdr:spPr>
        <a:xfrm flipH="1">
          <a:off x="9661676" y="13846644"/>
          <a:ext cx="2932" cy="3420292"/>
        </a:xfrm>
        <a:prstGeom prst="line">
          <a:avLst/>
        </a:prstGeom>
        <a:ln>
          <a:solidFill>
            <a:srgbClr val="C00000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126</xdr:row>
      <xdr:rowOff>0</xdr:rowOff>
    </xdr:from>
    <xdr:to>
      <xdr:col>14</xdr:col>
      <xdr:colOff>300182</xdr:colOff>
      <xdr:row>141</xdr:row>
      <xdr:rowOff>80818</xdr:rowOff>
    </xdr:to>
    <xdr:graphicFrame macro="">
      <xdr:nvGraphicFramePr>
        <xdr:cNvPr id="9" name="Gráfico 5">
          <a:extLst>
            <a:ext uri="{FF2B5EF4-FFF2-40B4-BE49-F238E27FC236}">
              <a16:creationId xmlns:a16="http://schemas.microsoft.com/office/drawing/2014/main" id="{93A03418-4915-9B48-879E-18DFD79DF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511465</xdr:colOff>
      <xdr:row>126</xdr:row>
      <xdr:rowOff>26554</xdr:rowOff>
    </xdr:from>
    <xdr:to>
      <xdr:col>25</xdr:col>
      <xdr:colOff>207819</xdr:colOff>
      <xdr:row>141</xdr:row>
      <xdr:rowOff>107372</xdr:rowOff>
    </xdr:to>
    <xdr:graphicFrame macro="">
      <xdr:nvGraphicFramePr>
        <xdr:cNvPr id="10" name="Gráfico 7">
          <a:extLst>
            <a:ext uri="{FF2B5EF4-FFF2-40B4-BE49-F238E27FC236}">
              <a16:creationId xmlns:a16="http://schemas.microsoft.com/office/drawing/2014/main" id="{1B246B7F-D16E-0A4B-BD2C-3DD52BA69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207</xdr:row>
      <xdr:rowOff>0</xdr:rowOff>
    </xdr:from>
    <xdr:to>
      <xdr:col>14</xdr:col>
      <xdr:colOff>300182</xdr:colOff>
      <xdr:row>222</xdr:row>
      <xdr:rowOff>80818</xdr:rowOff>
    </xdr:to>
    <xdr:graphicFrame macro="">
      <xdr:nvGraphicFramePr>
        <xdr:cNvPr id="11" name="Gráfico 5">
          <a:extLst>
            <a:ext uri="{FF2B5EF4-FFF2-40B4-BE49-F238E27FC236}">
              <a16:creationId xmlns:a16="http://schemas.microsoft.com/office/drawing/2014/main" id="{2E665C55-5132-2842-A6FC-1DE0DA54B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511465</xdr:colOff>
      <xdr:row>207</xdr:row>
      <xdr:rowOff>26554</xdr:rowOff>
    </xdr:from>
    <xdr:to>
      <xdr:col>25</xdr:col>
      <xdr:colOff>207819</xdr:colOff>
      <xdr:row>222</xdr:row>
      <xdr:rowOff>107372</xdr:rowOff>
    </xdr:to>
    <xdr:graphicFrame macro="">
      <xdr:nvGraphicFramePr>
        <xdr:cNvPr id="12" name="Gráfico 7">
          <a:extLst>
            <a:ext uri="{FF2B5EF4-FFF2-40B4-BE49-F238E27FC236}">
              <a16:creationId xmlns:a16="http://schemas.microsoft.com/office/drawing/2014/main" id="{F170F801-65F6-4542-8DF4-F102CD7B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23</xdr:row>
      <xdr:rowOff>175653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8CFCC1-3CDE-BAD4-E693-4C9A45238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190500"/>
          <a:ext cx="7772400" cy="4366653"/>
        </a:xfrm>
        <a:prstGeom prst="rect">
          <a:avLst/>
        </a:prstGeom>
      </xdr:spPr>
    </xdr:pic>
    <xdr:clientData/>
  </xdr:twoCellAnchor>
  <xdr:twoCellAnchor editAs="oneCell">
    <xdr:from>
      <xdr:col>4</xdr:col>
      <xdr:colOff>137440</xdr:colOff>
      <xdr:row>18</xdr:row>
      <xdr:rowOff>124200</xdr:rowOff>
    </xdr:from>
    <xdr:to>
      <xdr:col>4</xdr:col>
      <xdr:colOff>629560</xdr:colOff>
      <xdr:row>18</xdr:row>
      <xdr:rowOff>129240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77AA739-B592-E4BC-BA4A-D746801EB94F}"/>
                </a:ext>
              </a:extLst>
            </xdr14:cNvPr>
            <xdr14:cNvContentPartPr/>
          </xdr14:nvContentPartPr>
          <xdr14:nvPr macro=""/>
          <xdr14:xfrm>
            <a:off x="3439440" y="3553200"/>
            <a:ext cx="492120" cy="50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77AA739-B592-E4BC-BA4A-D746801EB94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430440" y="3544200"/>
              <a:ext cx="509760" cy="22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27T03:40:55.5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24575,'87'1'0,"0"0"0,0 0 0,0 0 0,-1 0 0,1 0 0,-1 0 0,1 0 0,-7-1 0,21 2 0,8-1 0,-3 0 0,-14 0 0,-27-1 0,1 0 0,-34 0 0,-11 0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Fernando Olea" id="{650F91D8-FE8F-D94B-9E91-9D31394EBAB2}" userId="7073104f14edc617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6" dT="2025-02-04T05:11:14.73" personId="{650F91D8-FE8F-D94B-9E91-9D31394EBAB2}" id="{D0676B9C-E97B-EE41-8E60-4FB83FFAA273}">
    <text xml:space="preserve">Se modera la tasa de crecimiento reciente al XX% de la calculada por efecto repartidores.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ughtco.com/buses-and-other-transit-lifetime-2798844" TargetMode="External"/><Relationship Id="rId2" Type="http://schemas.openxmlformats.org/officeDocument/2006/relationships/hyperlink" Target="http://www.rita.dot.gov/bts/sites/rita.dot.gov.bts/files/publications/special_reports_and_issue_briefs/special_report/2009_05_14/pdf/entire.pdf" TargetMode="External"/><Relationship Id="rId1" Type="http://schemas.openxmlformats.org/officeDocument/2006/relationships/hyperlink" Target="http://www.sco.ca.gov/ard_local_rep_uas_special_dist.html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opLeftCell="A39" workbookViewId="0">
      <selection activeCell="B62" sqref="B62"/>
    </sheetView>
  </sheetViews>
  <sheetFormatPr defaultColWidth="8.85546875" defaultRowHeight="15"/>
  <cols>
    <col min="1" max="1" width="10.140625" customWidth="1"/>
    <col min="2" max="2" width="132.28515625" customWidth="1"/>
  </cols>
  <sheetData>
    <row r="1" spans="1:2">
      <c r="A1" s="1" t="s">
        <v>0</v>
      </c>
    </row>
    <row r="3" spans="1:2">
      <c r="A3" s="1" t="s">
        <v>1</v>
      </c>
      <c r="B3" s="32" t="s">
        <v>2</v>
      </c>
    </row>
    <row r="4" spans="1:2">
      <c r="B4" s="73" t="s">
        <v>3</v>
      </c>
    </row>
    <row r="6" spans="1:2">
      <c r="A6" s="1" t="s">
        <v>1</v>
      </c>
      <c r="B6" s="6" t="s">
        <v>613</v>
      </c>
    </row>
    <row r="7" spans="1:2">
      <c r="B7" t="s">
        <v>614</v>
      </c>
    </row>
    <row r="8" spans="1:2">
      <c r="B8" s="9">
        <v>2024</v>
      </c>
    </row>
    <row r="10" spans="1:2">
      <c r="B10" s="6" t="s">
        <v>4</v>
      </c>
    </row>
    <row r="11" spans="1:2">
      <c r="B11" t="s">
        <v>612</v>
      </c>
    </row>
    <row r="12" spans="1:2">
      <c r="B12" s="9">
        <v>2016</v>
      </c>
    </row>
    <row r="13" spans="1:2">
      <c r="B13" t="s">
        <v>6</v>
      </c>
    </row>
    <row r="14" spans="1:2">
      <c r="B14" s="4" t="s">
        <v>7</v>
      </c>
    </row>
    <row r="15" spans="1:2">
      <c r="B15" t="s">
        <v>8</v>
      </c>
    </row>
    <row r="17" spans="1:2">
      <c r="B17" s="6" t="s">
        <v>18</v>
      </c>
    </row>
    <row r="18" spans="1:2">
      <c r="B18" t="s">
        <v>713</v>
      </c>
    </row>
    <row r="19" spans="1:2">
      <c r="B19" s="9">
        <v>2024</v>
      </c>
    </row>
    <row r="20" spans="1:2">
      <c r="B20" t="s">
        <v>714</v>
      </c>
    </row>
    <row r="21" spans="1:2">
      <c r="B21" s="4" t="s">
        <v>715</v>
      </c>
    </row>
    <row r="22" spans="1:2">
      <c r="B22" t="s">
        <v>716</v>
      </c>
    </row>
    <row r="24" spans="1:2">
      <c r="B24" s="6" t="s">
        <v>19</v>
      </c>
    </row>
    <row r="25" spans="1:2">
      <c r="B25" t="s">
        <v>20</v>
      </c>
    </row>
    <row r="26" spans="1:2">
      <c r="B26" t="s">
        <v>21</v>
      </c>
    </row>
    <row r="27" spans="1:2">
      <c r="B27" t="s">
        <v>22</v>
      </c>
    </row>
    <row r="28" spans="1:2">
      <c r="B28" s="19" t="s">
        <v>23</v>
      </c>
    </row>
    <row r="29" spans="1:2">
      <c r="B29" t="s">
        <v>24</v>
      </c>
    </row>
    <row r="31" spans="1:2">
      <c r="A31" t="s">
        <v>712</v>
      </c>
      <c r="B31" s="6" t="s">
        <v>9</v>
      </c>
    </row>
    <row r="32" spans="1:2">
      <c r="B32" t="s">
        <v>10</v>
      </c>
    </row>
    <row r="33" spans="1:2">
      <c r="B33" s="9">
        <v>2015</v>
      </c>
    </row>
    <row r="34" spans="1:2">
      <c r="B34" t="s">
        <v>11</v>
      </c>
    </row>
    <row r="35" spans="1:2">
      <c r="B35" s="4" t="s">
        <v>12</v>
      </c>
    </row>
    <row r="36" spans="1:2">
      <c r="B36" t="s">
        <v>13</v>
      </c>
    </row>
    <row r="38" spans="1:2">
      <c r="A38" t="s">
        <v>712</v>
      </c>
      <c r="B38" s="6" t="s">
        <v>14</v>
      </c>
    </row>
    <row r="39" spans="1:2">
      <c r="B39" t="s">
        <v>15</v>
      </c>
    </row>
    <row r="40" spans="1:2">
      <c r="B40" s="9">
        <v>2019</v>
      </c>
    </row>
    <row r="41" spans="1:2">
      <c r="B41" t="s">
        <v>16</v>
      </c>
    </row>
    <row r="42" spans="1:2">
      <c r="B42" s="4" t="s">
        <v>17</v>
      </c>
    </row>
    <row r="44" spans="1:2">
      <c r="A44" t="s">
        <v>712</v>
      </c>
      <c r="B44" s="6" t="s">
        <v>25</v>
      </c>
    </row>
    <row r="45" spans="1:2">
      <c r="B45" t="s">
        <v>5</v>
      </c>
    </row>
    <row r="46" spans="1:2">
      <c r="B46" s="9">
        <v>2009</v>
      </c>
    </row>
    <row r="47" spans="1:2">
      <c r="B47" t="s">
        <v>26</v>
      </c>
    </row>
    <row r="48" spans="1:2">
      <c r="B48" s="19" t="s">
        <v>27</v>
      </c>
    </row>
    <row r="49" spans="1:2">
      <c r="B49" t="s">
        <v>28</v>
      </c>
    </row>
    <row r="51" spans="1:2">
      <c r="A51" s="1" t="s">
        <v>29</v>
      </c>
    </row>
    <row r="52" spans="1:2">
      <c r="A52" t="s">
        <v>30</v>
      </c>
    </row>
    <row r="54" spans="1:2">
      <c r="A54" t="s">
        <v>31</v>
      </c>
    </row>
    <row r="56" spans="1:2">
      <c r="A56" t="s">
        <v>32</v>
      </c>
    </row>
    <row r="58" spans="1:2">
      <c r="A58" t="s">
        <v>33</v>
      </c>
    </row>
    <row r="60" spans="1:2">
      <c r="A60" s="1" t="s">
        <v>615</v>
      </c>
    </row>
    <row r="61" spans="1:2">
      <c r="A61" t="s">
        <v>718</v>
      </c>
    </row>
    <row r="62" spans="1:2">
      <c r="A62" t="s">
        <v>616</v>
      </c>
    </row>
    <row r="63" spans="1:2">
      <c r="A63" t="s">
        <v>617</v>
      </c>
    </row>
    <row r="64" spans="1:2">
      <c r="A64" s="69">
        <v>1.33</v>
      </c>
      <c r="B64" t="s">
        <v>719</v>
      </c>
    </row>
  </sheetData>
  <hyperlinks>
    <hyperlink ref="B28" r:id="rId1" xr:uid="{00000000-0004-0000-0000-000001000000}"/>
    <hyperlink ref="B48" r:id="rId2" xr:uid="{00000000-0004-0000-0000-000002000000}"/>
    <hyperlink ref="B42" r:id="rId3" xr:uid="{00000000-0004-0000-0000-000003000000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3F07-952C-C248-BE7F-11C9A4DCD7DB}">
  <dimension ref="B1:CC246"/>
  <sheetViews>
    <sheetView zoomScaleNormal="100" zoomScalePageLayoutView="85" workbookViewId="0">
      <pane xSplit="3" ySplit="1" topLeftCell="D88" activePane="bottomRight" state="frozen"/>
      <selection pane="topRight" activeCell="D1" sqref="D1"/>
      <selection pane="bottomLeft" activeCell="A2" sqref="A2"/>
      <selection pane="bottomRight" activeCell="X40" sqref="X40"/>
    </sheetView>
  </sheetViews>
  <sheetFormatPr defaultColWidth="11.42578125" defaultRowHeight="15"/>
  <cols>
    <col min="1" max="1" width="0.7109375" style="97" customWidth="1"/>
    <col min="2" max="2" width="22.28515625" style="97" customWidth="1"/>
    <col min="3" max="3" width="12.28515625" style="97" customWidth="1"/>
    <col min="4" max="74" width="10.42578125" style="97" customWidth="1"/>
    <col min="75" max="81" width="9.28515625" style="97" customWidth="1"/>
    <col min="82" max="16384" width="11.42578125" style="97"/>
  </cols>
  <sheetData>
    <row r="1" spans="2:81" ht="21">
      <c r="B1" s="96" t="s">
        <v>618</v>
      </c>
      <c r="D1" s="98">
        <v>1980</v>
      </c>
      <c r="E1" s="98">
        <v>1981</v>
      </c>
      <c r="F1" s="98">
        <v>1982</v>
      </c>
      <c r="G1" s="98">
        <v>1983</v>
      </c>
      <c r="H1" s="98">
        <v>1984</v>
      </c>
      <c r="I1" s="98">
        <v>1985</v>
      </c>
      <c r="J1" s="98">
        <v>1986</v>
      </c>
      <c r="K1" s="98">
        <v>1987</v>
      </c>
      <c r="L1" s="98">
        <v>1988</v>
      </c>
      <c r="M1" s="98">
        <v>1989</v>
      </c>
      <c r="N1" s="98">
        <v>1990</v>
      </c>
      <c r="O1" s="98">
        <v>1991</v>
      </c>
      <c r="P1" s="98">
        <v>1992</v>
      </c>
      <c r="Q1" s="98">
        <v>1993</v>
      </c>
      <c r="R1" s="98">
        <v>1994</v>
      </c>
      <c r="S1" s="98">
        <v>1995</v>
      </c>
      <c r="T1" s="98">
        <v>1996</v>
      </c>
      <c r="U1" s="98">
        <v>1997</v>
      </c>
      <c r="V1" s="98">
        <v>1998</v>
      </c>
      <c r="W1" s="98">
        <v>1999</v>
      </c>
      <c r="X1" s="98">
        <v>2000</v>
      </c>
      <c r="Y1" s="98">
        <v>2001</v>
      </c>
      <c r="Z1" s="98">
        <v>2002</v>
      </c>
      <c r="AA1" s="98">
        <v>2003</v>
      </c>
      <c r="AB1" s="98">
        <v>2004</v>
      </c>
      <c r="AC1" s="98">
        <v>2005</v>
      </c>
      <c r="AD1" s="98">
        <v>2006</v>
      </c>
      <c r="AE1" s="98">
        <v>2007</v>
      </c>
      <c r="AF1" s="98">
        <v>2008</v>
      </c>
      <c r="AG1" s="98">
        <v>2009</v>
      </c>
      <c r="AH1" s="98">
        <v>2010</v>
      </c>
      <c r="AI1" s="98">
        <v>2011</v>
      </c>
      <c r="AJ1" s="98">
        <v>2012</v>
      </c>
      <c r="AK1" s="98">
        <v>2013</v>
      </c>
      <c r="AL1" s="98">
        <v>2014</v>
      </c>
      <c r="AM1" s="98">
        <v>2015</v>
      </c>
      <c r="AN1" s="98">
        <v>2016</v>
      </c>
      <c r="AO1" s="98">
        <v>2017</v>
      </c>
      <c r="AP1" s="99">
        <v>2018</v>
      </c>
      <c r="AQ1" s="98">
        <v>2019</v>
      </c>
      <c r="AR1" s="98">
        <v>2020</v>
      </c>
      <c r="AS1" s="98">
        <v>2021</v>
      </c>
      <c r="AT1" s="98">
        <v>2022</v>
      </c>
      <c r="AU1" s="98">
        <v>2023</v>
      </c>
      <c r="AV1" s="99">
        <v>2024</v>
      </c>
      <c r="BW1" s="97" t="s">
        <v>619</v>
      </c>
      <c r="CC1" s="100" t="s">
        <v>619</v>
      </c>
    </row>
    <row r="2" spans="2:81">
      <c r="B2" s="101" t="s">
        <v>620</v>
      </c>
      <c r="C2" s="97" t="s">
        <v>621</v>
      </c>
      <c r="D2" s="102">
        <v>3950042</v>
      </c>
      <c r="E2" s="102">
        <v>4341363</v>
      </c>
      <c r="F2" s="102">
        <v>4616897</v>
      </c>
      <c r="G2" s="102">
        <v>4726236</v>
      </c>
      <c r="H2" s="102">
        <v>4970526</v>
      </c>
      <c r="I2" s="102">
        <v>5281842</v>
      </c>
      <c r="J2" s="102">
        <v>5202922</v>
      </c>
      <c r="K2" s="102">
        <v>5336228</v>
      </c>
      <c r="L2" s="102">
        <v>5597735</v>
      </c>
      <c r="M2" s="102">
        <v>6003532</v>
      </c>
      <c r="N2" s="102">
        <v>6555550</v>
      </c>
      <c r="O2" s="102">
        <v>6950708</v>
      </c>
      <c r="P2" s="102">
        <v>7399178</v>
      </c>
      <c r="Q2" s="102">
        <v>7715951</v>
      </c>
      <c r="R2" s="102">
        <v>7217732</v>
      </c>
      <c r="S2" s="102">
        <v>7469504</v>
      </c>
      <c r="T2" s="102">
        <v>7830864</v>
      </c>
      <c r="U2" s="102">
        <v>8402995</v>
      </c>
      <c r="V2" s="102">
        <v>9086209</v>
      </c>
      <c r="W2" s="102">
        <v>9582796</v>
      </c>
      <c r="X2" s="102">
        <v>10176179</v>
      </c>
      <c r="Y2" s="102">
        <v>11351982</v>
      </c>
      <c r="Z2" s="102">
        <v>12254910</v>
      </c>
      <c r="AA2" s="102">
        <v>12742049</v>
      </c>
      <c r="AB2" s="102">
        <v>13388011</v>
      </c>
      <c r="AC2" s="102">
        <v>14300380</v>
      </c>
      <c r="AD2" s="102">
        <v>16411813</v>
      </c>
      <c r="AE2" s="102">
        <v>17696623</v>
      </c>
      <c r="AF2" s="102">
        <v>19420942</v>
      </c>
      <c r="AG2" s="102">
        <v>20519224</v>
      </c>
      <c r="AH2" s="102">
        <v>21152773</v>
      </c>
      <c r="AI2" s="102">
        <v>22374326</v>
      </c>
      <c r="AJ2" s="102">
        <v>23569623</v>
      </c>
      <c r="AK2" s="102">
        <v>24819922</v>
      </c>
      <c r="AL2" s="102">
        <v>25543908</v>
      </c>
      <c r="AM2" s="102">
        <v>26907994</v>
      </c>
      <c r="AN2" s="102">
        <v>28664295</v>
      </c>
      <c r="AO2" s="102">
        <v>30696542</v>
      </c>
      <c r="AP2" s="103">
        <v>31552351</v>
      </c>
      <c r="AQ2" s="103">
        <v>32316144</v>
      </c>
      <c r="AR2" s="103">
        <v>32848577</v>
      </c>
      <c r="AS2" s="103">
        <v>33368689</v>
      </c>
      <c r="AT2" s="103">
        <v>33855651</v>
      </c>
      <c r="AU2" s="103">
        <v>34453866</v>
      </c>
      <c r="AV2" s="103">
        <v>35090355</v>
      </c>
      <c r="AX2" s="104">
        <f t="shared" ref="AX2:AX4" si="0">(AV2/AP2)^(1/($AV$1-$AP$1))-1</f>
        <v>1.7870840072832461E-2</v>
      </c>
      <c r="BW2" s="97" t="s">
        <v>619</v>
      </c>
      <c r="CC2" s="100" t="s">
        <v>619</v>
      </c>
    </row>
    <row r="3" spans="2:81">
      <c r="B3" s="105" t="s">
        <v>622</v>
      </c>
      <c r="C3" s="97" t="s">
        <v>621</v>
      </c>
      <c r="D3" s="102">
        <v>60388</v>
      </c>
      <c r="E3" s="102">
        <v>64973</v>
      </c>
      <c r="F3" s="102">
        <v>69233</v>
      </c>
      <c r="G3" s="102">
        <v>71326</v>
      </c>
      <c r="H3" s="102">
        <v>76517</v>
      </c>
      <c r="I3" s="102">
        <v>79028</v>
      </c>
      <c r="J3" s="102">
        <v>83373</v>
      </c>
      <c r="K3" s="102">
        <v>84364</v>
      </c>
      <c r="L3" s="102">
        <v>85229</v>
      </c>
      <c r="M3" s="102">
        <v>90150</v>
      </c>
      <c r="N3" s="102">
        <v>93275</v>
      </c>
      <c r="O3" s="102">
        <v>96910</v>
      </c>
      <c r="P3" s="102">
        <v>95179</v>
      </c>
      <c r="Q3" s="102">
        <v>85941</v>
      </c>
      <c r="R3" s="102">
        <v>114577</v>
      </c>
      <c r="S3" s="102">
        <v>120497</v>
      </c>
      <c r="T3" s="102">
        <v>96933</v>
      </c>
      <c r="U3" s="102">
        <v>125445</v>
      </c>
      <c r="V3" s="102">
        <v>176443</v>
      </c>
      <c r="W3" s="102">
        <v>200357</v>
      </c>
      <c r="X3" s="102">
        <v>202396</v>
      </c>
      <c r="Y3" s="102">
        <v>273536</v>
      </c>
      <c r="Z3" s="102">
        <v>299365</v>
      </c>
      <c r="AA3" s="102">
        <v>308101</v>
      </c>
      <c r="AB3" s="102">
        <v>264585</v>
      </c>
      <c r="AC3" s="102">
        <v>268817</v>
      </c>
      <c r="AD3" s="102">
        <v>310189</v>
      </c>
      <c r="AE3" s="102">
        <v>322078</v>
      </c>
      <c r="AF3" s="102">
        <v>333287</v>
      </c>
      <c r="AG3" s="102">
        <v>337465</v>
      </c>
      <c r="AH3" s="102">
        <v>312738</v>
      </c>
      <c r="AI3" s="102">
        <v>327565</v>
      </c>
      <c r="AJ3" s="102">
        <v>338520</v>
      </c>
      <c r="AK3" s="102">
        <v>347144</v>
      </c>
      <c r="AL3" s="102">
        <v>347720</v>
      </c>
      <c r="AM3" s="102">
        <v>357452</v>
      </c>
      <c r="AN3" s="102">
        <v>367772</v>
      </c>
      <c r="AO3" s="102">
        <v>398584</v>
      </c>
      <c r="AP3" s="103">
        <v>440470</v>
      </c>
      <c r="AQ3" s="102">
        <v>450423</v>
      </c>
      <c r="AR3" s="102">
        <v>457620</v>
      </c>
      <c r="AS3" s="102">
        <v>456923</v>
      </c>
      <c r="AT3" s="102">
        <v>465103</v>
      </c>
      <c r="AU3" s="102">
        <v>484157</v>
      </c>
      <c r="AV3" s="103">
        <v>485698</v>
      </c>
      <c r="AX3" s="104">
        <f t="shared" si="0"/>
        <v>1.6424200460674054E-2</v>
      </c>
      <c r="BW3" s="97" t="s">
        <v>619</v>
      </c>
      <c r="CC3" s="100" t="s">
        <v>619</v>
      </c>
    </row>
    <row r="4" spans="2:81">
      <c r="B4" s="97" t="s">
        <v>623</v>
      </c>
      <c r="C4" s="97" t="s">
        <v>621</v>
      </c>
      <c r="D4" s="102">
        <v>1470816</v>
      </c>
      <c r="E4" s="102">
        <v>1636899</v>
      </c>
      <c r="F4" s="102">
        <v>1751799</v>
      </c>
      <c r="G4" s="102">
        <v>1893206</v>
      </c>
      <c r="H4" s="102">
        <v>2009875</v>
      </c>
      <c r="I4" s="102">
        <v>2114395</v>
      </c>
      <c r="J4" s="102">
        <v>2213025</v>
      </c>
      <c r="K4" s="102">
        <v>2292078</v>
      </c>
      <c r="L4" s="102">
        <v>2424025</v>
      </c>
      <c r="M4" s="102">
        <v>2691551</v>
      </c>
      <c r="N4" s="102">
        <v>2964736</v>
      </c>
      <c r="O4" s="102">
        <v>3293414</v>
      </c>
      <c r="P4" s="102">
        <v>3492416</v>
      </c>
      <c r="Q4" s="102">
        <v>3592977</v>
      </c>
      <c r="R4" s="102">
        <v>3613808</v>
      </c>
      <c r="S4" s="102">
        <v>3598685</v>
      </c>
      <c r="T4" s="102">
        <v>3645672</v>
      </c>
      <c r="U4" s="102">
        <v>3878581</v>
      </c>
      <c r="V4" s="102">
        <v>4078068</v>
      </c>
      <c r="W4" s="102">
        <v>4340112</v>
      </c>
      <c r="X4" s="102">
        <v>4939417</v>
      </c>
      <c r="Y4" s="102">
        <v>5394206</v>
      </c>
      <c r="Z4" s="102">
        <v>5860797</v>
      </c>
      <c r="AA4" s="102">
        <v>6317293</v>
      </c>
      <c r="AB4" s="102">
        <v>6707535</v>
      </c>
      <c r="AC4" s="102">
        <v>6980738</v>
      </c>
      <c r="AD4" s="102">
        <v>7462918</v>
      </c>
      <c r="AE4" s="102">
        <v>7849491</v>
      </c>
      <c r="AF4" s="102">
        <v>8453601</v>
      </c>
      <c r="AG4" s="102">
        <v>8835194</v>
      </c>
      <c r="AH4" s="102">
        <v>9015356</v>
      </c>
      <c r="AI4" s="102">
        <v>9260456</v>
      </c>
      <c r="AJ4" s="102">
        <v>9385466</v>
      </c>
      <c r="AK4" s="102">
        <v>9704131</v>
      </c>
      <c r="AL4" s="102">
        <v>9863980</v>
      </c>
      <c r="AM4" s="102">
        <v>10073288</v>
      </c>
      <c r="AN4" s="102">
        <v>10384621</v>
      </c>
      <c r="AO4" s="102">
        <v>10806605</v>
      </c>
      <c r="AP4" s="103">
        <v>11409902</v>
      </c>
      <c r="AQ4" s="102">
        <v>11998035</v>
      </c>
      <c r="AR4" s="102">
        <v>12439548</v>
      </c>
      <c r="AS4" s="102">
        <v>12961227</v>
      </c>
      <c r="AT4" s="102">
        <v>13603884</v>
      </c>
      <c r="AU4" s="102">
        <v>14413656</v>
      </c>
      <c r="AV4" s="103">
        <v>15324327</v>
      </c>
      <c r="AX4" s="104">
        <f t="shared" si="0"/>
        <v>5.0388397830251508E-2</v>
      </c>
      <c r="BW4" s="97" t="s">
        <v>619</v>
      </c>
      <c r="CC4" s="100" t="s">
        <v>619</v>
      </c>
    </row>
    <row r="5" spans="2:81">
      <c r="B5" s="106" t="s">
        <v>624</v>
      </c>
      <c r="C5" s="97" t="s">
        <v>621</v>
      </c>
      <c r="D5" s="102">
        <v>277084</v>
      </c>
      <c r="E5" s="102">
        <v>296601</v>
      </c>
      <c r="F5" s="102">
        <v>257235</v>
      </c>
      <c r="G5" s="102">
        <v>250484</v>
      </c>
      <c r="H5" s="102">
        <v>248148</v>
      </c>
      <c r="I5" s="102">
        <v>250358</v>
      </c>
      <c r="J5" s="102">
        <v>232692</v>
      </c>
      <c r="K5" s="102">
        <v>221059</v>
      </c>
      <c r="L5" s="102">
        <v>217898</v>
      </c>
      <c r="M5" s="102">
        <v>223815</v>
      </c>
      <c r="N5" s="102">
        <v>248547</v>
      </c>
      <c r="O5" s="102">
        <v>261111</v>
      </c>
      <c r="P5" s="102">
        <v>273411</v>
      </c>
      <c r="Q5" s="102">
        <v>198209</v>
      </c>
      <c r="R5" s="102">
        <v>214972</v>
      </c>
      <c r="S5" s="102">
        <v>128960</v>
      </c>
      <c r="T5" s="102">
        <v>176559</v>
      </c>
      <c r="U5" s="102">
        <v>178166</v>
      </c>
      <c r="V5" s="102">
        <v>222100</v>
      </c>
      <c r="W5" s="102">
        <v>262599</v>
      </c>
      <c r="X5" s="102">
        <v>293924</v>
      </c>
      <c r="Y5" s="102">
        <v>280806</v>
      </c>
      <c r="Z5" s="102">
        <v>369522</v>
      </c>
      <c r="AA5" s="102">
        <v>439517</v>
      </c>
      <c r="AB5" s="102">
        <v>518307</v>
      </c>
      <c r="AC5" s="102">
        <v>588543</v>
      </c>
      <c r="AD5" s="102">
        <v>722309</v>
      </c>
      <c r="AE5" s="102">
        <v>879005</v>
      </c>
      <c r="AF5" s="102">
        <v>1080073</v>
      </c>
      <c r="AG5" s="102">
        <v>1198253</v>
      </c>
      <c r="AH5" s="102">
        <v>1154145</v>
      </c>
      <c r="AI5" s="102">
        <v>1313122</v>
      </c>
      <c r="AJ5" s="102">
        <v>1582228</v>
      </c>
      <c r="AK5" s="102">
        <v>1873641</v>
      </c>
      <c r="AL5" s="102">
        <v>2271563</v>
      </c>
      <c r="AM5" s="102">
        <v>2637264</v>
      </c>
      <c r="AN5" s="102">
        <v>3037577</v>
      </c>
      <c r="AO5" s="102">
        <v>3574402</v>
      </c>
      <c r="AP5" s="107">
        <v>4135368</v>
      </c>
      <c r="AQ5" s="107">
        <v>4616977</v>
      </c>
      <c r="AR5" s="107">
        <v>5326447</v>
      </c>
      <c r="AS5" s="107">
        <v>5821035</v>
      </c>
      <c r="AT5" s="107">
        <v>6472998</v>
      </c>
      <c r="AU5" s="107">
        <v>7349263</v>
      </c>
      <c r="AV5" s="107">
        <v>8307284.4885924812</v>
      </c>
      <c r="AX5" s="104">
        <f>(AV5/AP5)^(1/($AV$1-$AP$1))-1</f>
        <v>0.12328722595019159</v>
      </c>
      <c r="BW5" s="97" t="s">
        <v>619</v>
      </c>
      <c r="CC5" s="100"/>
    </row>
    <row r="6" spans="2:81">
      <c r="B6" s="108" t="s">
        <v>625</v>
      </c>
      <c r="BW6" s="97" t="s">
        <v>619</v>
      </c>
      <c r="CC6" s="100" t="s">
        <v>619</v>
      </c>
    </row>
    <row r="7" spans="2:81">
      <c r="B7" s="108" t="s">
        <v>626</v>
      </c>
      <c r="S7" s="102">
        <v>114785</v>
      </c>
      <c r="T7" s="102">
        <v>120868</v>
      </c>
      <c r="U7" s="102">
        <v>97716</v>
      </c>
      <c r="V7" s="102">
        <v>126892</v>
      </c>
      <c r="W7" s="102">
        <v>177674</v>
      </c>
      <c r="X7" s="102">
        <v>202140</v>
      </c>
      <c r="Y7" s="102">
        <v>205214</v>
      </c>
      <c r="Z7" s="102">
        <v>275459</v>
      </c>
      <c r="AA7" s="102">
        <v>301034</v>
      </c>
      <c r="AB7" s="102">
        <v>309753</v>
      </c>
      <c r="AC7" s="102">
        <v>266501</v>
      </c>
      <c r="AD7" s="102">
        <v>270606</v>
      </c>
      <c r="AE7" s="102">
        <v>311560</v>
      </c>
      <c r="AF7" s="102">
        <v>324102</v>
      </c>
      <c r="AG7" s="102">
        <v>334075</v>
      </c>
      <c r="AH7" s="102">
        <v>338486</v>
      </c>
      <c r="AI7" s="102">
        <v>314264</v>
      </c>
      <c r="AJ7" s="102">
        <v>328867</v>
      </c>
      <c r="AK7" s="102">
        <v>340200</v>
      </c>
      <c r="AL7" s="102">
        <v>348870</v>
      </c>
      <c r="AM7" s="102">
        <v>348891</v>
      </c>
      <c r="AN7" s="102">
        <v>359010</v>
      </c>
      <c r="AO7" s="102">
        <v>369436</v>
      </c>
      <c r="AP7" s="102">
        <v>400270</v>
      </c>
      <c r="AQ7" s="102">
        <v>442262</v>
      </c>
      <c r="AR7" s="102">
        <v>450973</v>
      </c>
      <c r="AS7" s="102">
        <v>458162</v>
      </c>
      <c r="AT7" s="102">
        <v>457667</v>
      </c>
      <c r="AU7" s="102">
        <v>466564</v>
      </c>
      <c r="AV7" s="102">
        <v>485698</v>
      </c>
      <c r="BW7" s="97" t="s">
        <v>619</v>
      </c>
      <c r="CC7" s="100" t="s">
        <v>619</v>
      </c>
    </row>
    <row r="8" spans="2:81">
      <c r="B8" s="108" t="s">
        <v>627</v>
      </c>
      <c r="AO8" s="97" t="s">
        <v>619</v>
      </c>
      <c r="BW8" s="97" t="s">
        <v>619</v>
      </c>
      <c r="CC8" s="100" t="s">
        <v>619</v>
      </c>
    </row>
    <row r="9" spans="2:81" ht="15.75">
      <c r="B9" s="109" t="s">
        <v>628</v>
      </c>
      <c r="C9" s="110" t="s">
        <v>625</v>
      </c>
      <c r="E9" s="111"/>
      <c r="AO9" s="97" t="s">
        <v>619</v>
      </c>
      <c r="BW9" s="97" t="s">
        <v>619</v>
      </c>
      <c r="CC9" s="100" t="s">
        <v>619</v>
      </c>
    </row>
    <row r="10" spans="2:81">
      <c r="B10" s="112"/>
      <c r="C10" s="112"/>
      <c r="D10" s="112"/>
      <c r="E10" s="112"/>
      <c r="F10" s="112"/>
      <c r="G10" s="112"/>
      <c r="H10" s="112"/>
      <c r="I10" s="112"/>
      <c r="AO10" s="97" t="s">
        <v>619</v>
      </c>
      <c r="BW10" s="97" t="s">
        <v>619</v>
      </c>
    </row>
    <row r="11" spans="2:81" ht="15.75">
      <c r="B11" s="113" t="s">
        <v>629</v>
      </c>
      <c r="D11" s="98">
        <v>2010</v>
      </c>
      <c r="E11" s="98">
        <v>2015</v>
      </c>
      <c r="F11" s="98">
        <v>2020</v>
      </c>
      <c r="G11" s="98">
        <v>2030</v>
      </c>
      <c r="H11" s="98">
        <v>2040</v>
      </c>
      <c r="I11" s="98">
        <v>2050</v>
      </c>
      <c r="AO11" s="97" t="s">
        <v>619</v>
      </c>
      <c r="BW11" s="97" t="s">
        <v>619</v>
      </c>
    </row>
    <row r="12" spans="2:81">
      <c r="B12" s="114" t="s">
        <v>630</v>
      </c>
      <c r="C12" s="97" t="s">
        <v>631</v>
      </c>
      <c r="D12" s="115">
        <f>AH43/10^6</f>
        <v>16.525114298908061</v>
      </c>
      <c r="E12" s="115">
        <f>AM44/10^6</f>
        <v>20.339859349345918</v>
      </c>
      <c r="F12" s="115">
        <f>AR44/10^6</f>
        <v>25.226118922093647</v>
      </c>
      <c r="G12" s="115">
        <f>BB44/10^6</f>
        <v>38.802117408535054</v>
      </c>
      <c r="H12" s="115">
        <f>BL44/10^6</f>
        <v>59.684342250011944</v>
      </c>
      <c r="I12" s="115">
        <f>BV44/10^6</f>
        <v>91.804802101676088</v>
      </c>
      <c r="BW12" s="97" t="s">
        <v>619</v>
      </c>
    </row>
    <row r="13" spans="2:81">
      <c r="B13" s="97" t="s">
        <v>632</v>
      </c>
      <c r="C13" s="97" t="s">
        <v>631</v>
      </c>
      <c r="D13" s="115">
        <f>AH43/10^6</f>
        <v>16.525114298908061</v>
      </c>
      <c r="E13" s="115">
        <f>AM44/10^6</f>
        <v>20.339859349345918</v>
      </c>
      <c r="F13" s="115">
        <f>AR45/10^6</f>
        <v>24.17007630494685</v>
      </c>
      <c r="G13" s="115">
        <f>BB45/10^6</f>
        <v>33.469053200810635</v>
      </c>
      <c r="H13" s="115">
        <f>BL45/10^6</f>
        <v>45.315847843022532</v>
      </c>
      <c r="I13" s="115">
        <f>BV45/10^6</f>
        <v>60.170880302875247</v>
      </c>
      <c r="BW13" s="97" t="s">
        <v>619</v>
      </c>
    </row>
    <row r="14" spans="2:81">
      <c r="B14" s="116" t="s">
        <v>633</v>
      </c>
      <c r="C14" s="117" t="s">
        <v>631</v>
      </c>
      <c r="D14" s="118">
        <f>AH43/10^6</f>
        <v>16.525114298908061</v>
      </c>
      <c r="E14" s="118">
        <f>AM46/10^6</f>
        <v>20.339859349345918</v>
      </c>
      <c r="F14" s="118">
        <f>AR46/10^6</f>
        <v>21.219673349345918</v>
      </c>
      <c r="G14" s="118">
        <f>BB46/10^6</f>
        <v>24.576986349345919</v>
      </c>
      <c r="H14" s="118">
        <f>BL46/10^6</f>
        <v>31.195879349345919</v>
      </c>
      <c r="I14" s="118">
        <f>BV46/10^6</f>
        <v>42.433952349345915</v>
      </c>
      <c r="BW14" s="97" t="s">
        <v>619</v>
      </c>
    </row>
    <row r="15" spans="2:81">
      <c r="BW15" s="97" t="s">
        <v>619</v>
      </c>
    </row>
    <row r="16" spans="2:81">
      <c r="B16" s="119"/>
      <c r="BW16" s="97" t="s">
        <v>619</v>
      </c>
    </row>
    <row r="17" spans="2:75">
      <c r="D17" s="115"/>
      <c r="E17" s="115"/>
      <c r="F17" s="115"/>
      <c r="G17" s="115"/>
      <c r="H17" s="115"/>
      <c r="BW17" s="97" t="s">
        <v>619</v>
      </c>
    </row>
    <row r="18" spans="2:75">
      <c r="E18" s="120"/>
      <c r="F18" s="120"/>
      <c r="G18" s="120"/>
      <c r="H18" s="120"/>
      <c r="BW18" s="97" t="s">
        <v>619</v>
      </c>
    </row>
    <row r="19" spans="2:75">
      <c r="D19" s="121"/>
      <c r="E19" s="122"/>
      <c r="F19" s="122"/>
      <c r="G19" s="122"/>
      <c r="H19" s="122"/>
      <c r="BW19" s="97" t="s">
        <v>619</v>
      </c>
    </row>
    <row r="20" spans="2:75">
      <c r="D20" s="102"/>
      <c r="E20" s="102"/>
      <c r="F20" s="102"/>
      <c r="G20" s="102"/>
      <c r="H20" s="102"/>
      <c r="BW20" s="97" t="s">
        <v>619</v>
      </c>
    </row>
    <row r="21" spans="2:75">
      <c r="D21" s="121"/>
      <c r="E21" s="123"/>
      <c r="F21" s="123"/>
      <c r="G21" s="123"/>
      <c r="H21" s="123"/>
      <c r="BW21" s="97" t="s">
        <v>619</v>
      </c>
    </row>
    <row r="22" spans="2:75">
      <c r="BW22" s="97" t="s">
        <v>619</v>
      </c>
    </row>
    <row r="23" spans="2:75">
      <c r="B23" s="119"/>
      <c r="BW23" s="97" t="s">
        <v>619</v>
      </c>
    </row>
    <row r="24" spans="2:75">
      <c r="D24" s="115"/>
      <c r="E24" s="115"/>
      <c r="F24" s="115"/>
      <c r="G24" s="115"/>
      <c r="H24" s="115"/>
      <c r="BW24" s="97" t="s">
        <v>619</v>
      </c>
    </row>
    <row r="25" spans="2:75">
      <c r="E25" s="120"/>
      <c r="F25" s="120"/>
      <c r="G25" s="120"/>
      <c r="H25" s="120"/>
      <c r="BW25" s="97" t="s">
        <v>619</v>
      </c>
    </row>
    <row r="26" spans="2:75">
      <c r="D26" s="121"/>
      <c r="E26" s="122"/>
      <c r="F26" s="122"/>
      <c r="G26" s="122"/>
      <c r="H26" s="122"/>
      <c r="BW26" s="97" t="s">
        <v>619</v>
      </c>
    </row>
    <row r="27" spans="2:75">
      <c r="D27" s="102"/>
      <c r="E27" s="102"/>
      <c r="F27" s="102"/>
      <c r="G27" s="102"/>
      <c r="H27" s="102"/>
      <c r="BW27" s="97" t="s">
        <v>619</v>
      </c>
    </row>
    <row r="28" spans="2:75">
      <c r="D28" s="121"/>
      <c r="E28" s="123"/>
      <c r="F28" s="123"/>
      <c r="G28" s="123"/>
      <c r="H28" s="123"/>
      <c r="BW28" s="97" t="s">
        <v>619</v>
      </c>
    </row>
    <row r="29" spans="2:75">
      <c r="BW29" s="97" t="s">
        <v>619</v>
      </c>
    </row>
    <row r="30" spans="2:75">
      <c r="BW30" s="97" t="s">
        <v>619</v>
      </c>
    </row>
    <row r="31" spans="2:75">
      <c r="BW31" s="97" t="s">
        <v>619</v>
      </c>
    </row>
    <row r="32" spans="2:75" ht="21">
      <c r="B32" s="96" t="s">
        <v>634</v>
      </c>
      <c r="BW32" s="97" t="s">
        <v>619</v>
      </c>
    </row>
    <row r="33" spans="2:75">
      <c r="BW33" s="97" t="s">
        <v>619</v>
      </c>
    </row>
    <row r="34" spans="2:75">
      <c r="B34" s="98" t="s">
        <v>635</v>
      </c>
      <c r="BW34" s="97" t="s">
        <v>619</v>
      </c>
    </row>
    <row r="35" spans="2:75">
      <c r="B35" s="97" t="s">
        <v>636</v>
      </c>
      <c r="C35" s="97" t="s">
        <v>637</v>
      </c>
      <c r="D35" s="124">
        <v>0</v>
      </c>
      <c r="E35" s="124">
        <v>5</v>
      </c>
      <c r="F35" s="124">
        <v>10</v>
      </c>
      <c r="G35" s="124">
        <v>15</v>
      </c>
      <c r="H35" s="124">
        <v>20</v>
      </c>
      <c r="I35" s="124">
        <v>25</v>
      </c>
      <c r="J35" s="124">
        <v>30</v>
      </c>
      <c r="K35" s="124">
        <v>35</v>
      </c>
      <c r="L35" s="124">
        <v>40</v>
      </c>
      <c r="M35" s="124">
        <v>45</v>
      </c>
      <c r="N35" s="124">
        <v>50</v>
      </c>
      <c r="O35" s="97">
        <v>55</v>
      </c>
      <c r="P35" s="97">
        <v>60</v>
      </c>
      <c r="Q35" s="124">
        <v>65</v>
      </c>
      <c r="R35" s="97">
        <v>70</v>
      </c>
      <c r="BW35" s="97" t="s">
        <v>619</v>
      </c>
    </row>
    <row r="36" spans="2:75">
      <c r="B36" s="97" t="s">
        <v>638</v>
      </c>
      <c r="C36" s="97" t="s">
        <v>639</v>
      </c>
      <c r="D36" s="125">
        <v>1</v>
      </c>
      <c r="E36" s="125">
        <v>0.99</v>
      </c>
      <c r="F36" s="125">
        <v>0.96</v>
      </c>
      <c r="G36" s="125">
        <v>0.85</v>
      </c>
      <c r="H36" s="126">
        <v>0.67</v>
      </c>
      <c r="I36" s="126">
        <v>0.48</v>
      </c>
      <c r="J36" s="126">
        <v>0.32</v>
      </c>
      <c r="K36" s="126">
        <v>0.21</v>
      </c>
      <c r="L36" s="126">
        <v>0.13</v>
      </c>
      <c r="M36" s="126">
        <v>0.08</v>
      </c>
      <c r="N36" s="126">
        <v>4.4999999999999998E-2</v>
      </c>
      <c r="O36" s="126">
        <v>2.5000000000000001E-2</v>
      </c>
      <c r="P36" s="126">
        <v>0.01</v>
      </c>
      <c r="Q36" s="126">
        <v>4.0000000000000001E-3</v>
      </c>
      <c r="R36" s="126">
        <v>0</v>
      </c>
      <c r="BW36" s="97" t="s">
        <v>619</v>
      </c>
    </row>
    <row r="37" spans="2:75">
      <c r="B37" s="97" t="s">
        <v>640</v>
      </c>
      <c r="BW37" s="97" t="s">
        <v>619</v>
      </c>
    </row>
    <row r="38" spans="2:75">
      <c r="BW38" s="97" t="s">
        <v>619</v>
      </c>
    </row>
    <row r="39" spans="2:75">
      <c r="B39" s="97" t="s">
        <v>636</v>
      </c>
      <c r="C39" s="97" t="s">
        <v>637</v>
      </c>
      <c r="D39" s="98">
        <v>0</v>
      </c>
      <c r="E39" s="98">
        <v>1</v>
      </c>
      <c r="F39" s="98">
        <v>2</v>
      </c>
      <c r="G39" s="98">
        <v>3</v>
      </c>
      <c r="H39" s="98">
        <v>4</v>
      </c>
      <c r="I39" s="98">
        <v>5</v>
      </c>
      <c r="J39" s="98">
        <v>6</v>
      </c>
      <c r="K39" s="98">
        <v>7</v>
      </c>
      <c r="L39" s="98">
        <v>8</v>
      </c>
      <c r="M39" s="98">
        <v>9</v>
      </c>
      <c r="N39" s="98">
        <v>10</v>
      </c>
      <c r="O39" s="98">
        <v>11</v>
      </c>
      <c r="P39" s="98">
        <v>12</v>
      </c>
      <c r="Q39" s="98">
        <v>13</v>
      </c>
      <c r="R39" s="98">
        <v>14</v>
      </c>
      <c r="S39" s="98">
        <v>15</v>
      </c>
      <c r="T39" s="98">
        <v>16</v>
      </c>
      <c r="U39" s="98">
        <v>17</v>
      </c>
      <c r="V39" s="98">
        <v>18</v>
      </c>
      <c r="W39" s="98">
        <v>19</v>
      </c>
      <c r="X39" s="98">
        <v>20</v>
      </c>
      <c r="Y39" s="98">
        <v>21</v>
      </c>
      <c r="Z39" s="98">
        <v>22</v>
      </c>
      <c r="AA39" s="98">
        <v>23</v>
      </c>
      <c r="AB39" s="98">
        <v>24</v>
      </c>
      <c r="AC39" s="98">
        <v>25</v>
      </c>
      <c r="AD39" s="98">
        <v>26</v>
      </c>
      <c r="AE39" s="98">
        <v>27</v>
      </c>
      <c r="AF39" s="98">
        <v>28</v>
      </c>
      <c r="AG39" s="98">
        <v>29</v>
      </c>
      <c r="AH39" s="98">
        <v>30</v>
      </c>
      <c r="AI39" s="98">
        <v>31</v>
      </c>
      <c r="AJ39" s="98">
        <v>32</v>
      </c>
      <c r="AK39" s="98">
        <v>33</v>
      </c>
      <c r="AL39" s="98">
        <v>34</v>
      </c>
      <c r="AM39" s="98">
        <v>35</v>
      </c>
      <c r="AN39" s="98">
        <v>36</v>
      </c>
      <c r="AO39" s="98">
        <v>37</v>
      </c>
      <c r="AP39" s="98">
        <v>38</v>
      </c>
      <c r="AQ39" s="98">
        <v>39</v>
      </c>
      <c r="AR39" s="98">
        <v>40</v>
      </c>
      <c r="AS39" s="98">
        <v>41</v>
      </c>
      <c r="AT39" s="98">
        <v>42</v>
      </c>
      <c r="AU39" s="98">
        <v>43</v>
      </c>
      <c r="AV39" s="98">
        <v>44</v>
      </c>
      <c r="AW39" s="98">
        <v>45</v>
      </c>
      <c r="AX39" s="98">
        <v>46</v>
      </c>
      <c r="AY39" s="98">
        <v>47</v>
      </c>
      <c r="AZ39" s="98">
        <v>48</v>
      </c>
      <c r="BA39" s="98">
        <v>49</v>
      </c>
      <c r="BB39" s="98">
        <v>50</v>
      </c>
      <c r="BC39" s="98">
        <v>51</v>
      </c>
      <c r="BD39" s="98">
        <v>52</v>
      </c>
      <c r="BE39" s="98">
        <v>53</v>
      </c>
      <c r="BF39" s="98">
        <v>54</v>
      </c>
      <c r="BG39" s="98">
        <v>55</v>
      </c>
      <c r="BH39" s="98">
        <v>56</v>
      </c>
      <c r="BI39" s="98">
        <v>57</v>
      </c>
      <c r="BJ39" s="98">
        <v>58</v>
      </c>
      <c r="BK39" s="98">
        <v>59</v>
      </c>
      <c r="BL39" s="98">
        <v>60</v>
      </c>
      <c r="BM39" s="98">
        <v>61</v>
      </c>
      <c r="BN39" s="98">
        <v>62</v>
      </c>
      <c r="BO39" s="98">
        <v>63</v>
      </c>
      <c r="BP39" s="98">
        <v>64</v>
      </c>
      <c r="BQ39" s="98">
        <v>65</v>
      </c>
      <c r="BR39" s="98">
        <v>66</v>
      </c>
      <c r="BS39" s="98">
        <v>67</v>
      </c>
      <c r="BT39" s="98">
        <v>68</v>
      </c>
      <c r="BU39" s="98">
        <v>69</v>
      </c>
      <c r="BV39" s="98">
        <v>70</v>
      </c>
      <c r="BW39" s="97" t="s">
        <v>619</v>
      </c>
    </row>
    <row r="40" spans="2:75">
      <c r="B40" s="97" t="s">
        <v>638</v>
      </c>
      <c r="C40" s="97" t="s">
        <v>639</v>
      </c>
      <c r="D40" s="127">
        <f>D36</f>
        <v>1</v>
      </c>
      <c r="E40" s="128">
        <f>($I40-$D40)/($I$39-$D$39)+D40</f>
        <v>0.998</v>
      </c>
      <c r="F40" s="128">
        <f>($I40-$D40)/($I$39-$D$39)+E40</f>
        <v>0.996</v>
      </c>
      <c r="G40" s="128">
        <f>($I40-$D40)/($I$39-$D$39)+F40</f>
        <v>0.99399999999999999</v>
      </c>
      <c r="H40" s="128">
        <f>($I40-$D40)/($I$39-$D$39)+G40</f>
        <v>0.99199999999999999</v>
      </c>
      <c r="I40" s="129">
        <f>E36</f>
        <v>0.99</v>
      </c>
      <c r="J40" s="128">
        <f>($N40-$I40)/($N$39-$I$39)+I40</f>
        <v>0.98399999999999999</v>
      </c>
      <c r="K40" s="128">
        <f>($N40-$I40)/($N$39-$I$39)+J40</f>
        <v>0.97799999999999998</v>
      </c>
      <c r="L40" s="128">
        <f>($N40-$I40)/($N$39-$I$39)+K40</f>
        <v>0.97199999999999998</v>
      </c>
      <c r="M40" s="128">
        <f>($N40-$I40)/($N$39-$I$39)+L40</f>
        <v>0.96599999999999997</v>
      </c>
      <c r="N40" s="129">
        <f>F36</f>
        <v>0.96</v>
      </c>
      <c r="O40" s="128">
        <f>($S40-$N40)/($S$39-$N$39)+N40</f>
        <v>0.93799999999999994</v>
      </c>
      <c r="P40" s="128">
        <f>($S40-$N40)/($S$39-$N$39)+O40</f>
        <v>0.91599999999999993</v>
      </c>
      <c r="Q40" s="128">
        <f>($S40-$N40)/($S$39-$N$39)+P40</f>
        <v>0.89399999999999991</v>
      </c>
      <c r="R40" s="128">
        <f>($S40-$N40)/($S$39-$N$39)+Q40</f>
        <v>0.87199999999999989</v>
      </c>
      <c r="S40" s="129">
        <f>G36</f>
        <v>0.85</v>
      </c>
      <c r="T40" s="128">
        <f>($X40-$S40)/($X$39-$S$39)+S40</f>
        <v>0.81399999999999995</v>
      </c>
      <c r="U40" s="128">
        <f>($X40-$S40)/($X$39-$S$39)+T40</f>
        <v>0.77799999999999991</v>
      </c>
      <c r="V40" s="128">
        <f>($X40-$S40)/($X$39-$S$39)+U40</f>
        <v>0.74199999999999988</v>
      </c>
      <c r="W40" s="128">
        <f>($X40-$S40)/($X$39-$S$39)+V40</f>
        <v>0.70599999999999985</v>
      </c>
      <c r="X40" s="129">
        <f>H36</f>
        <v>0.67</v>
      </c>
      <c r="Y40" s="128">
        <f>($AC40-$X40)/($AC$39-$X$39)+X40</f>
        <v>0.63200000000000001</v>
      </c>
      <c r="Z40" s="128">
        <f>($AC40-$X40)/($AC$39-$X$39)+Y40</f>
        <v>0.59399999999999997</v>
      </c>
      <c r="AA40" s="128">
        <f>($AC40-$X40)/($AC$39-$X$39)+Z40</f>
        <v>0.55599999999999994</v>
      </c>
      <c r="AB40" s="128">
        <f>($AC40-$X40)/($AC$39-$X$39)+AA40</f>
        <v>0.5179999999999999</v>
      </c>
      <c r="AC40" s="129">
        <f>I36</f>
        <v>0.48</v>
      </c>
      <c r="AD40" s="128">
        <f>($AH40-$AC40)/($AH$39-$AC$39)+AC40</f>
        <v>0.44800000000000001</v>
      </c>
      <c r="AE40" s="128">
        <f>($AH40-$AC40)/($AH$39-$AC$39)+AD40</f>
        <v>0.41600000000000004</v>
      </c>
      <c r="AF40" s="128">
        <f>($AH40-$AC40)/($AH$39-$AC$39)+AE40</f>
        <v>0.38400000000000006</v>
      </c>
      <c r="AG40" s="128">
        <f>($AH40-$AC40)/($AH$39-$AC$39)+AF40</f>
        <v>0.35200000000000009</v>
      </c>
      <c r="AH40" s="129">
        <f>J36</f>
        <v>0.32</v>
      </c>
      <c r="AI40" s="128">
        <f>($AM40-$AH40)/($AM$39-$AH$39)+AH40</f>
        <v>0.29799999999999999</v>
      </c>
      <c r="AJ40" s="128">
        <f>($AM40-$AH40)/($AM$39-$AH$39)+AI40</f>
        <v>0.27599999999999997</v>
      </c>
      <c r="AK40" s="128">
        <f>($AM40-$AH40)/($AM$39-$AH$39)+AJ40</f>
        <v>0.25399999999999995</v>
      </c>
      <c r="AL40" s="128">
        <f>($AM40-$AH40)/($AM$39-$AH$39)+AK40</f>
        <v>0.23199999999999996</v>
      </c>
      <c r="AM40" s="129">
        <f>K36</f>
        <v>0.21</v>
      </c>
      <c r="AN40" s="128">
        <f>($AR40-$AM40)/($AR$39-$AM$39)+AM40</f>
        <v>0.19400000000000001</v>
      </c>
      <c r="AO40" s="128">
        <f>($AR40-$AM40)/($AR$39-$AM$39)+AN40</f>
        <v>0.17800000000000002</v>
      </c>
      <c r="AP40" s="128">
        <f>($AR40-$AM40)/($AR$39-$AM$39)+AO40</f>
        <v>0.16200000000000003</v>
      </c>
      <c r="AQ40" s="128">
        <f>($AR40-$AM40)/($AR$39-$AM$39)+AP40</f>
        <v>0.14600000000000005</v>
      </c>
      <c r="AR40" s="129">
        <f>L36</f>
        <v>0.13</v>
      </c>
      <c r="AS40" s="128">
        <f>($AW40-$AR40)/($AW$39-$AR$39)+AR40</f>
        <v>0.12000000000000001</v>
      </c>
      <c r="AT40" s="128">
        <f>($AW40-$AR40)/($AW$39-$AR$39)+AS40</f>
        <v>0.11000000000000001</v>
      </c>
      <c r="AU40" s="128">
        <f>($AW40-$AR40)/($AW$39-$AR$39)+AT40</f>
        <v>0.10000000000000002</v>
      </c>
      <c r="AV40" s="128">
        <f>($AW40-$AR40)/($AW$39-$AR$39)+AU40</f>
        <v>9.0000000000000024E-2</v>
      </c>
      <c r="AW40" s="129">
        <f>M36</f>
        <v>0.08</v>
      </c>
      <c r="AX40" s="128">
        <f>($BB40-$AW40)/($BB$39-$AW$39)+AW40</f>
        <v>7.2999999999999995E-2</v>
      </c>
      <c r="AY40" s="128">
        <f>($BB40-$AW40)/($BB$39-$AW$39)+AX40</f>
        <v>6.5999999999999989E-2</v>
      </c>
      <c r="AZ40" s="128">
        <f>($BB40-$AW40)/($BB$39-$AW$39)+AY40</f>
        <v>5.899999999999999E-2</v>
      </c>
      <c r="BA40" s="128">
        <f>($BB40-$AW40)/($BB$39-$AW$39)+AZ40</f>
        <v>5.1999999999999991E-2</v>
      </c>
      <c r="BB40" s="129">
        <f>N36</f>
        <v>4.4999999999999998E-2</v>
      </c>
      <c r="BC40" s="128">
        <f>($BG40-$BB40)/($BG$39-$BB$39)+BB40</f>
        <v>4.1000000000000002E-2</v>
      </c>
      <c r="BD40" s="128">
        <f>($BG40-$BB40)/($BG$39-$BB$39)+BC40</f>
        <v>3.7000000000000005E-2</v>
      </c>
      <c r="BE40" s="128">
        <f>($BG40-$BB40)/($BG$39-$BB$39)+BD40</f>
        <v>3.3000000000000008E-2</v>
      </c>
      <c r="BF40" s="128">
        <f>($BG40-$BB40)/($BG$39-$BB$39)+BE40</f>
        <v>2.9000000000000008E-2</v>
      </c>
      <c r="BG40" s="129">
        <f>O36</f>
        <v>2.5000000000000001E-2</v>
      </c>
      <c r="BH40" s="128">
        <f>($BL40-$BG40)/($BL$39-$BG$39)+BG40</f>
        <v>2.2000000000000002E-2</v>
      </c>
      <c r="BI40" s="128">
        <f>($BL40-$BG40)/($BL$39-$BG$39)+BH40</f>
        <v>1.9000000000000003E-2</v>
      </c>
      <c r="BJ40" s="128">
        <f>($BL40-$BG40)/($BL$39-$BG$39)+BI40</f>
        <v>1.6000000000000004E-2</v>
      </c>
      <c r="BK40" s="128">
        <f>($BL40-$BG40)/($BL$39-$BG$39)+BJ40</f>
        <v>1.3000000000000005E-2</v>
      </c>
      <c r="BL40" s="129">
        <f>P36</f>
        <v>0.01</v>
      </c>
      <c r="BM40" s="128">
        <f>($BQ40-$BL40)/($BQ$39-$BL$39)+BL40</f>
        <v>8.8000000000000005E-3</v>
      </c>
      <c r="BN40" s="128">
        <f>($BQ40-$BL40)/($BQ$39-$BL$39)+BM40</f>
        <v>7.6000000000000009E-3</v>
      </c>
      <c r="BO40" s="128">
        <f>($BQ40-$BL40)/($BQ$39-$BL$39)+BN40</f>
        <v>6.4000000000000012E-3</v>
      </c>
      <c r="BP40" s="128">
        <f>($BQ40-$BL40)/($BQ$39-$BL$39)+BO40</f>
        <v>5.2000000000000015E-3</v>
      </c>
      <c r="BQ40" s="129">
        <f>Q36</f>
        <v>4.0000000000000001E-3</v>
      </c>
      <c r="BR40" s="128">
        <f>($BV40-$BQ40)/($BV$39-$BQ$39)+BQ40</f>
        <v>3.2000000000000002E-3</v>
      </c>
      <c r="BS40" s="128">
        <f>($BV40-$BQ40)/($BV$39-$BQ$39)+BR40</f>
        <v>2.4000000000000002E-3</v>
      </c>
      <c r="BT40" s="128">
        <f>($BV40-$BQ40)/($BV$39-$BQ$39)+BS40</f>
        <v>1.6000000000000003E-3</v>
      </c>
      <c r="BU40" s="128">
        <f>($BV40-$BQ40)/($BV$39-$BQ$39)+BT40</f>
        <v>8.0000000000000026E-4</v>
      </c>
      <c r="BV40" s="129">
        <f>R36</f>
        <v>0</v>
      </c>
      <c r="BW40" s="97" t="s">
        <v>619</v>
      </c>
    </row>
    <row r="41" spans="2:75">
      <c r="BW41" s="97" t="s">
        <v>619</v>
      </c>
    </row>
    <row r="42" spans="2:75">
      <c r="B42" s="130"/>
      <c r="D42" s="98">
        <v>1980</v>
      </c>
      <c r="E42" s="98">
        <v>1981</v>
      </c>
      <c r="F42" s="98">
        <v>1982</v>
      </c>
      <c r="G42" s="98">
        <v>1983</v>
      </c>
      <c r="H42" s="98">
        <v>1984</v>
      </c>
      <c r="I42" s="98">
        <v>1985</v>
      </c>
      <c r="J42" s="98">
        <v>1986</v>
      </c>
      <c r="K42" s="98">
        <v>1987</v>
      </c>
      <c r="L42" s="98">
        <v>1988</v>
      </c>
      <c r="M42" s="98">
        <v>1989</v>
      </c>
      <c r="N42" s="98">
        <v>1990</v>
      </c>
      <c r="O42" s="98">
        <v>1991</v>
      </c>
      <c r="P42" s="98">
        <v>1992</v>
      </c>
      <c r="Q42" s="98">
        <v>1993</v>
      </c>
      <c r="R42" s="98">
        <v>1994</v>
      </c>
      <c r="S42" s="98">
        <v>1995</v>
      </c>
      <c r="T42" s="98">
        <v>1996</v>
      </c>
      <c r="U42" s="98">
        <v>1997</v>
      </c>
      <c r="V42" s="98">
        <v>1998</v>
      </c>
      <c r="W42" s="98">
        <v>1999</v>
      </c>
      <c r="X42" s="98">
        <v>2000</v>
      </c>
      <c r="Y42" s="98">
        <v>2001</v>
      </c>
      <c r="Z42" s="98">
        <v>2002</v>
      </c>
      <c r="AA42" s="98">
        <v>2003</v>
      </c>
      <c r="AB42" s="98">
        <v>2004</v>
      </c>
      <c r="AC42" s="98">
        <v>2005</v>
      </c>
      <c r="AD42" s="98">
        <v>2006</v>
      </c>
      <c r="AE42" s="98">
        <v>2007</v>
      </c>
      <c r="AF42" s="98">
        <v>2008</v>
      </c>
      <c r="AG42" s="98">
        <v>2009</v>
      </c>
      <c r="AH42" s="98">
        <v>2010</v>
      </c>
      <c r="AI42" s="98">
        <v>2011</v>
      </c>
      <c r="AJ42" s="98">
        <v>2012</v>
      </c>
      <c r="AK42" s="98">
        <v>2013</v>
      </c>
      <c r="AL42" s="98">
        <v>2014</v>
      </c>
      <c r="AM42" s="99">
        <v>2015</v>
      </c>
      <c r="AN42" s="98">
        <v>2016</v>
      </c>
      <c r="AO42" s="98">
        <v>2017</v>
      </c>
      <c r="AP42" s="98">
        <v>2018</v>
      </c>
      <c r="AQ42" s="98">
        <v>2019</v>
      </c>
      <c r="AR42" s="98">
        <v>2020</v>
      </c>
      <c r="AS42" s="98">
        <v>2021</v>
      </c>
      <c r="AT42" s="98">
        <v>2022</v>
      </c>
      <c r="AU42" s="98">
        <v>2023</v>
      </c>
      <c r="AV42" s="98">
        <v>2024</v>
      </c>
      <c r="AW42" s="98">
        <v>2025</v>
      </c>
      <c r="AX42" s="98">
        <v>2026</v>
      </c>
      <c r="AY42" s="98">
        <v>2027</v>
      </c>
      <c r="AZ42" s="98">
        <v>2028</v>
      </c>
      <c r="BA42" s="98">
        <v>2029</v>
      </c>
      <c r="BB42" s="98">
        <v>2030</v>
      </c>
      <c r="BC42" s="98">
        <v>2031</v>
      </c>
      <c r="BD42" s="98">
        <v>2032</v>
      </c>
      <c r="BE42" s="98">
        <v>2033</v>
      </c>
      <c r="BF42" s="98">
        <v>2034</v>
      </c>
      <c r="BG42" s="98">
        <v>2035</v>
      </c>
      <c r="BH42" s="98">
        <v>2036</v>
      </c>
      <c r="BI42" s="98">
        <v>2037</v>
      </c>
      <c r="BJ42" s="98">
        <v>2038</v>
      </c>
      <c r="BK42" s="98">
        <v>2039</v>
      </c>
      <c r="BL42" s="98">
        <v>2040</v>
      </c>
      <c r="BM42" s="98">
        <v>2041</v>
      </c>
      <c r="BN42" s="98">
        <v>2042</v>
      </c>
      <c r="BO42" s="98">
        <v>2043</v>
      </c>
      <c r="BP42" s="98">
        <v>2044</v>
      </c>
      <c r="BQ42" s="98">
        <v>2045</v>
      </c>
      <c r="BR42" s="98">
        <v>2046</v>
      </c>
      <c r="BS42" s="98">
        <v>2047</v>
      </c>
      <c r="BT42" s="98">
        <v>2048</v>
      </c>
      <c r="BU42" s="98">
        <v>2049</v>
      </c>
      <c r="BV42" s="98">
        <v>2050</v>
      </c>
      <c r="BW42" s="97" t="s">
        <v>619</v>
      </c>
    </row>
    <row r="43" spans="2:75">
      <c r="B43" s="98" t="s">
        <v>641</v>
      </c>
      <c r="C43" s="97" t="s">
        <v>621</v>
      </c>
      <c r="D43" s="131">
        <f t="shared" ref="D43:AV43" si="1">D55</f>
        <v>4298190.093837698</v>
      </c>
      <c r="E43" s="131">
        <f t="shared" si="1"/>
        <v>4680898.9134820225</v>
      </c>
      <c r="F43" s="131">
        <f t="shared" si="1"/>
        <v>4947038.091126347</v>
      </c>
      <c r="G43" s="131">
        <f t="shared" si="1"/>
        <v>5046431.2007706715</v>
      </c>
      <c r="H43" s="131">
        <f t="shared" si="1"/>
        <v>5280556.6324149957</v>
      </c>
      <c r="I43" s="131">
        <f t="shared" si="1"/>
        <v>5565419.3160593202</v>
      </c>
      <c r="J43" s="131">
        <f t="shared" si="1"/>
        <v>5457999.1749922941</v>
      </c>
      <c r="K43" s="131">
        <f t="shared" si="1"/>
        <v>5561239.749925267</v>
      </c>
      <c r="L43" s="131">
        <f t="shared" si="1"/>
        <v>5791312.576858242</v>
      </c>
      <c r="M43" s="131">
        <f t="shared" si="1"/>
        <v>6164715.0337912152</v>
      </c>
      <c r="N43" s="131">
        <f t="shared" si="1"/>
        <v>6619349.0647241902</v>
      </c>
      <c r="O43" s="131">
        <f t="shared" si="1"/>
        <v>6909077.0248117596</v>
      </c>
      <c r="P43" s="131">
        <f t="shared" si="1"/>
        <v>7245065.5328993322</v>
      </c>
      <c r="Q43" s="131">
        <f t="shared" si="1"/>
        <v>7443518.3329868997</v>
      </c>
      <c r="R43" s="131">
        <f t="shared" si="1"/>
        <v>6823550.135074473</v>
      </c>
      <c r="S43" s="131">
        <f t="shared" si="1"/>
        <v>6892740.5211620415</v>
      </c>
      <c r="T43" s="131">
        <f t="shared" si="1"/>
        <v>7058841.5607598862</v>
      </c>
      <c r="U43" s="131">
        <f t="shared" si="1"/>
        <v>7427931.7543577282</v>
      </c>
      <c r="V43" s="131">
        <f t="shared" si="1"/>
        <v>7899176.4339555688</v>
      </c>
      <c r="W43" s="131">
        <f t="shared" si="1"/>
        <v>8175445.7355534155</v>
      </c>
      <c r="X43" s="131">
        <f t="shared" si="1"/>
        <v>8529704.9671512581</v>
      </c>
      <c r="Y43" s="131">
        <f t="shared" si="1"/>
        <v>9450287.5363934245</v>
      </c>
      <c r="Z43" s="131">
        <f t="shared" si="1"/>
        <v>10087092.889635593</v>
      </c>
      <c r="AA43" s="131">
        <f t="shared" si="1"/>
        <v>10294421.990877759</v>
      </c>
      <c r="AB43" s="131">
        <f t="shared" si="1"/>
        <v>10647918.814119926</v>
      </c>
      <c r="AC43" s="131">
        <f t="shared" si="1"/>
        <v>11282074.879362093</v>
      </c>
      <c r="AD43" s="131">
        <f t="shared" si="1"/>
        <v>13100853.727671288</v>
      </c>
      <c r="AE43" s="131">
        <f t="shared" si="1"/>
        <v>14075117.451980481</v>
      </c>
      <c r="AF43" s="131">
        <f t="shared" si="1"/>
        <v>15468662.760289673</v>
      </c>
      <c r="AG43" s="131">
        <f t="shared" si="1"/>
        <v>16215540.64859887</v>
      </c>
      <c r="AH43" s="131">
        <f t="shared" si="1"/>
        <v>16525114.298908062</v>
      </c>
      <c r="AI43" s="131">
        <f t="shared" si="1"/>
        <v>17409080.78099563</v>
      </c>
      <c r="AJ43" s="131">
        <f t="shared" si="1"/>
        <v>18235153.431083206</v>
      </c>
      <c r="AK43" s="131">
        <f t="shared" si="1"/>
        <v>19088899.801170778</v>
      </c>
      <c r="AL43" s="131">
        <f t="shared" si="1"/>
        <v>19391604.963258345</v>
      </c>
      <c r="AM43" s="131">
        <f t="shared" si="1"/>
        <v>20339859.349345919</v>
      </c>
      <c r="AN43" s="131">
        <f t="shared" si="1"/>
        <v>21660219.114500515</v>
      </c>
      <c r="AO43" s="131">
        <f t="shared" si="1"/>
        <v>23201878.04965511</v>
      </c>
      <c r="AP43" s="131">
        <f t="shared" si="1"/>
        <v>23529588.172809709</v>
      </c>
      <c r="AQ43" s="131">
        <f t="shared" si="1"/>
        <v>23727965.745964304</v>
      </c>
      <c r="AR43" s="131">
        <f t="shared" si="1"/>
        <v>23692174.597118896</v>
      </c>
      <c r="AS43" s="131">
        <f t="shared" si="1"/>
        <v>23622958.04368452</v>
      </c>
      <c r="AT43" s="131">
        <f t="shared" si="1"/>
        <v>23468030.975792084</v>
      </c>
      <c r="AU43" s="131">
        <f t="shared" si="1"/>
        <v>23385224.583579864</v>
      </c>
      <c r="AV43" s="131">
        <f t="shared" si="1"/>
        <v>23298996.138143525</v>
      </c>
      <c r="BW43" s="97" t="s">
        <v>619</v>
      </c>
    </row>
    <row r="44" spans="2:75">
      <c r="B44" s="98" t="s">
        <v>642</v>
      </c>
      <c r="C44" s="97" t="s">
        <v>643</v>
      </c>
      <c r="D44" s="132">
        <f>BE55/BD55</f>
        <v>12.99736994449999</v>
      </c>
      <c r="E44" s="133"/>
      <c r="F44" s="134"/>
      <c r="I44" s="135"/>
      <c r="J44" s="135"/>
      <c r="K44" s="135"/>
      <c r="L44" s="135" t="s">
        <v>644</v>
      </c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20"/>
      <c r="AI44" s="135"/>
      <c r="AJ44" s="135"/>
      <c r="AK44" s="135"/>
      <c r="AL44" s="136" t="s">
        <v>645</v>
      </c>
      <c r="AM44" s="137">
        <f>$AM$55</f>
        <v>20339859.349345919</v>
      </c>
      <c r="AN44" s="135">
        <f t="shared" ref="AN44:BV44" si="2">AM44*(1+$E$46)</f>
        <v>21234813.160717141</v>
      </c>
      <c r="AO44" s="135">
        <f t="shared" si="2"/>
        <v>22169144.939788695</v>
      </c>
      <c r="AP44" s="135">
        <f t="shared" si="2"/>
        <v>23144587.317139398</v>
      </c>
      <c r="AQ44" s="135">
        <f t="shared" si="2"/>
        <v>24162949.159093533</v>
      </c>
      <c r="AR44" s="135">
        <f t="shared" si="2"/>
        <v>25226118.922093648</v>
      </c>
      <c r="AS44" s="135">
        <f t="shared" si="2"/>
        <v>26336068.154665768</v>
      </c>
      <c r="AT44" s="135">
        <f t="shared" si="2"/>
        <v>27494855.153471064</v>
      </c>
      <c r="AU44" s="135">
        <f t="shared" si="2"/>
        <v>28704628.780223791</v>
      </c>
      <c r="AV44" s="135">
        <f t="shared" si="2"/>
        <v>29967632.44655364</v>
      </c>
      <c r="AW44" s="135">
        <f t="shared" si="2"/>
        <v>31286208.274202</v>
      </c>
      <c r="AX44" s="135">
        <f t="shared" si="2"/>
        <v>32662801.438266888</v>
      </c>
      <c r="AY44" s="135">
        <f t="shared" si="2"/>
        <v>34099964.701550633</v>
      </c>
      <c r="AZ44" s="135">
        <f t="shared" si="2"/>
        <v>35600363.148418859</v>
      </c>
      <c r="BA44" s="135">
        <f t="shared" si="2"/>
        <v>37166779.126949288</v>
      </c>
      <c r="BB44" s="135">
        <f t="shared" si="2"/>
        <v>38802117.408535056</v>
      </c>
      <c r="BC44" s="135">
        <f t="shared" si="2"/>
        <v>40509410.574510597</v>
      </c>
      <c r="BD44" s="135">
        <f t="shared" si="2"/>
        <v>42291824.639789067</v>
      </c>
      <c r="BE44" s="135">
        <f t="shared" si="2"/>
        <v>44152664.923939787</v>
      </c>
      <c r="BF44" s="135">
        <f t="shared" si="2"/>
        <v>46095382.18059314</v>
      </c>
      <c r="BG44" s="135">
        <f t="shared" si="2"/>
        <v>48123578.996539243</v>
      </c>
      <c r="BH44" s="135">
        <f t="shared" si="2"/>
        <v>50241016.472386971</v>
      </c>
      <c r="BI44" s="135">
        <f t="shared" si="2"/>
        <v>52451621.197172001</v>
      </c>
      <c r="BJ44" s="135">
        <f t="shared" si="2"/>
        <v>54759492.52984757</v>
      </c>
      <c r="BK44" s="135">
        <f t="shared" si="2"/>
        <v>57168910.201160863</v>
      </c>
      <c r="BL44" s="135">
        <f t="shared" si="2"/>
        <v>59684342.250011943</v>
      </c>
      <c r="BM44" s="135">
        <f t="shared" si="2"/>
        <v>62310453.309012473</v>
      </c>
      <c r="BN44" s="135">
        <f t="shared" si="2"/>
        <v>65052113.254609026</v>
      </c>
      <c r="BO44" s="135">
        <f t="shared" si="2"/>
        <v>67914406.237811819</v>
      </c>
      <c r="BP44" s="135">
        <f t="shared" si="2"/>
        <v>70902640.112275541</v>
      </c>
      <c r="BQ44" s="135">
        <f t="shared" si="2"/>
        <v>74022356.277215675</v>
      </c>
      <c r="BR44" s="135">
        <f t="shared" si="2"/>
        <v>77279339.953413174</v>
      </c>
      <c r="BS44" s="135">
        <f t="shared" si="2"/>
        <v>80679630.911363363</v>
      </c>
      <c r="BT44" s="135">
        <f t="shared" si="2"/>
        <v>84229534.671463355</v>
      </c>
      <c r="BU44" s="135">
        <f t="shared" si="2"/>
        <v>87935634.197007746</v>
      </c>
      <c r="BV44" s="135">
        <f t="shared" si="2"/>
        <v>91804802.101676092</v>
      </c>
      <c r="BW44" s="97" t="s">
        <v>619</v>
      </c>
    </row>
    <row r="45" spans="2:75">
      <c r="B45" s="98" t="s">
        <v>646</v>
      </c>
      <c r="C45" s="97" t="s">
        <v>631</v>
      </c>
      <c r="D45" s="138">
        <f>AM44/10^6</f>
        <v>20.339859349345918</v>
      </c>
      <c r="E45" s="135"/>
      <c r="I45" s="135"/>
      <c r="J45" s="135"/>
      <c r="K45" s="135"/>
      <c r="L45" s="139">
        <f>BV44/10^6</f>
        <v>91.804802101676088</v>
      </c>
      <c r="M45" s="102" t="s">
        <v>647</v>
      </c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6" t="s">
        <v>648</v>
      </c>
      <c r="AM45" s="137">
        <f>$AM$55</f>
        <v>20339859.349345919</v>
      </c>
      <c r="AN45" s="131">
        <f t="shared" ref="AN45:BV45" si="3">AN50*(AN$49*10^3)</f>
        <v>21058063.909128826</v>
      </c>
      <c r="AO45" s="131">
        <f t="shared" si="3"/>
        <v>21799466.28480754</v>
      </c>
      <c r="AP45" s="131">
        <f t="shared" si="3"/>
        <v>22564777.489326987</v>
      </c>
      <c r="AQ45" s="131">
        <f t="shared" si="3"/>
        <v>23354729.587644398</v>
      </c>
      <c r="AR45" s="131">
        <f t="shared" si="3"/>
        <v>24170076.304946851</v>
      </c>
      <c r="AS45" s="131">
        <f t="shared" si="3"/>
        <v>24988458.391473379</v>
      </c>
      <c r="AT45" s="131">
        <f t="shared" si="3"/>
        <v>25832653.284635641</v>
      </c>
      <c r="AU45" s="131">
        <f t="shared" si="3"/>
        <v>26703440.135961346</v>
      </c>
      <c r="AV45" s="131">
        <f t="shared" si="3"/>
        <v>27601620.921550434</v>
      </c>
      <c r="AW45" s="131">
        <f t="shared" si="3"/>
        <v>28528021.096334007</v>
      </c>
      <c r="AX45" s="131">
        <f t="shared" si="3"/>
        <v>29457239.364616226</v>
      </c>
      <c r="AY45" s="131">
        <f t="shared" si="3"/>
        <v>30415088.533127349</v>
      </c>
      <c r="AZ45" s="131">
        <f t="shared" si="3"/>
        <v>31402419.385461137</v>
      </c>
      <c r="BA45" s="131">
        <f t="shared" si="3"/>
        <v>32420107.350078415</v>
      </c>
      <c r="BB45" s="131">
        <f t="shared" si="3"/>
        <v>33469053.200810637</v>
      </c>
      <c r="BC45" s="131">
        <f t="shared" si="3"/>
        <v>34519157.202370197</v>
      </c>
      <c r="BD45" s="131">
        <f t="shared" si="3"/>
        <v>35600848.245757222</v>
      </c>
      <c r="BE45" s="131">
        <f t="shared" si="3"/>
        <v>36715049.368062124</v>
      </c>
      <c r="BF45" s="131">
        <f t="shared" si="3"/>
        <v>37862710.01632867</v>
      </c>
      <c r="BG45" s="131">
        <f t="shared" si="3"/>
        <v>39044806.791153513</v>
      </c>
      <c r="BH45" s="131">
        <f t="shared" si="3"/>
        <v>40227525.883352652</v>
      </c>
      <c r="BI45" s="131">
        <f t="shared" si="3"/>
        <v>41444977.925917275</v>
      </c>
      <c r="BJ45" s="131">
        <f t="shared" si="3"/>
        <v>42698160.36693304</v>
      </c>
      <c r="BK45" s="131">
        <f t="shared" si="3"/>
        <v>43988098.81879589</v>
      </c>
      <c r="BL45" s="131">
        <f t="shared" si="3"/>
        <v>45315847.843022533</v>
      </c>
      <c r="BM45" s="131">
        <f t="shared" si="3"/>
        <v>46642643.038465083</v>
      </c>
      <c r="BN45" s="131">
        <f t="shared" si="3"/>
        <v>48007455.58877787</v>
      </c>
      <c r="BO45" s="131">
        <f t="shared" si="3"/>
        <v>49411357.114707239</v>
      </c>
      <c r="BP45" s="131">
        <f t="shared" si="3"/>
        <v>50855449.057190105</v>
      </c>
      <c r="BQ45" s="131">
        <f t="shared" si="3"/>
        <v>52340863.498600401</v>
      </c>
      <c r="BR45" s="131">
        <f t="shared" si="3"/>
        <v>53821877.630564071</v>
      </c>
      <c r="BS45" s="131">
        <f t="shared" si="3"/>
        <v>55344229.429439314</v>
      </c>
      <c r="BT45" s="131">
        <f t="shared" si="3"/>
        <v>56909060.144739203</v>
      </c>
      <c r="BU45" s="131">
        <f t="shared" si="3"/>
        <v>58517542.252410688</v>
      </c>
      <c r="BV45" s="131">
        <f t="shared" si="3"/>
        <v>60170880.302875251</v>
      </c>
      <c r="BW45" s="97" t="s">
        <v>619</v>
      </c>
    </row>
    <row r="46" spans="2:75">
      <c r="B46" s="98" t="s">
        <v>649</v>
      </c>
      <c r="C46" s="97" t="s">
        <v>639</v>
      </c>
      <c r="D46" s="140">
        <f>(AM44/D43)^(1/(AM42-D42))-1</f>
        <v>4.5412033953955655E-2</v>
      </c>
      <c r="E46" s="122">
        <v>4.3999999999999997E-2</v>
      </c>
      <c r="G46" s="135"/>
      <c r="H46" s="135"/>
      <c r="I46" s="135"/>
      <c r="J46" s="135"/>
      <c r="K46" s="135"/>
      <c r="L46" s="139">
        <f>BV45/10^6</f>
        <v>60.170880302875247</v>
      </c>
      <c r="M46" s="102" t="s">
        <v>650</v>
      </c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6" t="s">
        <v>651</v>
      </c>
      <c r="AM46" s="137">
        <f>$AM$55</f>
        <v>20339859.349345919</v>
      </c>
      <c r="AN46" s="135">
        <f>(678.8*(AN42-$AM42)^2)+((AN42-$AM42)*11573)+133777+AM46</f>
        <v>20485888.149345919</v>
      </c>
      <c r="AO46" s="135">
        <f t="shared" ref="AO46:BV46" si="4">((AO42-$AM42)^2*678.8)+((AO42-$AM42)*11573)+133777+AN46</f>
        <v>20645526.349345919</v>
      </c>
      <c r="AP46" s="135">
        <f t="shared" si="4"/>
        <v>20820131.549345918</v>
      </c>
      <c r="AQ46" s="135">
        <f t="shared" si="4"/>
        <v>21011061.349345919</v>
      </c>
      <c r="AR46" s="135">
        <f t="shared" si="4"/>
        <v>21219673.349345919</v>
      </c>
      <c r="AS46" s="135">
        <f t="shared" si="4"/>
        <v>21447325.149345919</v>
      </c>
      <c r="AT46" s="135">
        <f t="shared" si="4"/>
        <v>21695374.349345919</v>
      </c>
      <c r="AU46" s="135">
        <f t="shared" si="4"/>
        <v>21965178.549345918</v>
      </c>
      <c r="AV46" s="135">
        <f t="shared" si="4"/>
        <v>22258095.349345919</v>
      </c>
      <c r="AW46" s="135">
        <f t="shared" si="4"/>
        <v>22575482.349345919</v>
      </c>
      <c r="AX46" s="135">
        <f t="shared" si="4"/>
        <v>22918697.149345919</v>
      </c>
      <c r="AY46" s="135">
        <f t="shared" si="4"/>
        <v>23289097.349345919</v>
      </c>
      <c r="AZ46" s="135">
        <f t="shared" si="4"/>
        <v>23688040.549345918</v>
      </c>
      <c r="BA46" s="135">
        <f t="shared" si="4"/>
        <v>24116884.349345919</v>
      </c>
      <c r="BB46" s="135">
        <f t="shared" si="4"/>
        <v>24576986.349345919</v>
      </c>
      <c r="BC46" s="135">
        <f t="shared" si="4"/>
        <v>25069704.149345919</v>
      </c>
      <c r="BD46" s="135">
        <f t="shared" si="4"/>
        <v>25596395.349345919</v>
      </c>
      <c r="BE46" s="135">
        <f t="shared" si="4"/>
        <v>26158417.549345918</v>
      </c>
      <c r="BF46" s="135">
        <f t="shared" si="4"/>
        <v>26757128.349345919</v>
      </c>
      <c r="BG46" s="135">
        <f t="shared" si="4"/>
        <v>27393885.349345919</v>
      </c>
      <c r="BH46" s="135">
        <f t="shared" si="4"/>
        <v>28070046.149345919</v>
      </c>
      <c r="BI46" s="135">
        <f t="shared" si="4"/>
        <v>28786968.349345919</v>
      </c>
      <c r="BJ46" s="135">
        <f t="shared" si="4"/>
        <v>29546009.549345918</v>
      </c>
      <c r="BK46" s="135">
        <f t="shared" si="4"/>
        <v>30348527.349345919</v>
      </c>
      <c r="BL46" s="135">
        <f t="shared" si="4"/>
        <v>31195879.349345919</v>
      </c>
      <c r="BM46" s="135">
        <f t="shared" si="4"/>
        <v>32089423.149345919</v>
      </c>
      <c r="BN46" s="135">
        <f t="shared" si="4"/>
        <v>33030516.349345919</v>
      </c>
      <c r="BO46" s="135">
        <f t="shared" si="4"/>
        <v>34020516.549345918</v>
      </c>
      <c r="BP46" s="135">
        <f t="shared" si="4"/>
        <v>35060781.349345915</v>
      </c>
      <c r="BQ46" s="135">
        <f t="shared" si="4"/>
        <v>36152668.349345915</v>
      </c>
      <c r="BR46" s="135">
        <f t="shared" si="4"/>
        <v>37297535.149345912</v>
      </c>
      <c r="BS46" s="135">
        <f t="shared" si="4"/>
        <v>38496739.349345915</v>
      </c>
      <c r="BT46" s="135">
        <f t="shared" si="4"/>
        <v>39751638.549345918</v>
      </c>
      <c r="BU46" s="135">
        <f t="shared" si="4"/>
        <v>41063590.349345915</v>
      </c>
      <c r="BV46" s="135">
        <f t="shared" si="4"/>
        <v>42433952.349345915</v>
      </c>
      <c r="BW46" s="97" t="s">
        <v>619</v>
      </c>
    </row>
    <row r="47" spans="2:75">
      <c r="B47" s="98"/>
      <c r="D47" s="140"/>
      <c r="E47" s="122"/>
      <c r="G47" s="135"/>
      <c r="H47" s="135"/>
      <c r="I47" s="135"/>
      <c r="J47" s="135"/>
      <c r="K47" s="135"/>
      <c r="L47" s="139">
        <f>BV46/10^6</f>
        <v>42.433952349345915</v>
      </c>
      <c r="M47" s="102" t="s">
        <v>652</v>
      </c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6"/>
      <c r="AM47" s="137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97" t="s">
        <v>619</v>
      </c>
    </row>
    <row r="48" spans="2:75">
      <c r="B48" s="98"/>
      <c r="D48" s="135"/>
      <c r="E48" s="135"/>
      <c r="F48" s="136"/>
      <c r="G48" s="135"/>
      <c r="H48" s="135"/>
      <c r="I48" s="136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41"/>
      <c r="BW48" s="97" t="s">
        <v>619</v>
      </c>
    </row>
    <row r="49" spans="2:75">
      <c r="B49" s="98" t="s">
        <v>653</v>
      </c>
      <c r="C49" s="97" t="s">
        <v>654</v>
      </c>
      <c r="D49" s="135">
        <v>68.163973681025752</v>
      </c>
      <c r="E49" s="135">
        <v>69.507067118461265</v>
      </c>
      <c r="F49" s="135">
        <v>70.876624681801815</v>
      </c>
      <c r="G49" s="135">
        <v>72.273167816495942</v>
      </c>
      <c r="H49" s="135">
        <v>73.697228242480634</v>
      </c>
      <c r="I49" s="135">
        <v>75.14934815662842</v>
      </c>
      <c r="J49" s="135">
        <v>76.630080439183416</v>
      </c>
      <c r="K49" s="135">
        <v>78.139988864265035</v>
      </c>
      <c r="L49" s="135">
        <v>79.679648314519355</v>
      </c>
      <c r="M49" s="135">
        <v>81.249645000000001</v>
      </c>
      <c r="N49" s="135">
        <v>83.141223575892838</v>
      </c>
      <c r="O49" s="135">
        <v>85.076840122767294</v>
      </c>
      <c r="P49" s="135">
        <v>87.057519891655986</v>
      </c>
      <c r="Q49" s="135">
        <v>89.08431200253132</v>
      </c>
      <c r="R49" s="135">
        <v>91.158289999999994</v>
      </c>
      <c r="S49" s="135">
        <v>92.389598578885156</v>
      </c>
      <c r="T49" s="135">
        <v>93.637538895996585</v>
      </c>
      <c r="U49" s="135">
        <v>94.902335602344763</v>
      </c>
      <c r="V49" s="135">
        <v>96.18421638338404</v>
      </c>
      <c r="W49" s="135">
        <v>97.483412000000001</v>
      </c>
      <c r="X49" s="135">
        <v>98.612927347530942</v>
      </c>
      <c r="Y49" s="135">
        <v>99.755530100335605</v>
      </c>
      <c r="Z49" s="135">
        <v>100.91137189882961</v>
      </c>
      <c r="AA49" s="135">
        <v>102.08060614044737</v>
      </c>
      <c r="AB49" s="135">
        <v>103.26338800000001</v>
      </c>
      <c r="AC49" s="135">
        <v>105.01740993623842</v>
      </c>
      <c r="AD49" s="135">
        <v>106.80122551969677</v>
      </c>
      <c r="AE49" s="135">
        <v>108.61534082238948</v>
      </c>
      <c r="AF49" s="135">
        <v>110.46027051242139</v>
      </c>
      <c r="AG49" s="135">
        <v>112.336538</v>
      </c>
      <c r="AH49" s="135">
        <v>114.255555449036</v>
      </c>
      <c r="AI49" s="135">
        <v>115.60560744238381</v>
      </c>
      <c r="AJ49" s="135">
        <v>116.95565943573163</v>
      </c>
      <c r="AK49" s="135">
        <v>118.30571142907945</v>
      </c>
      <c r="AL49" s="135">
        <v>119.65576342242727</v>
      </c>
      <c r="AM49" s="137">
        <v>121.00581541577512</v>
      </c>
      <c r="AN49" s="135">
        <v>122.22298078578244</v>
      </c>
      <c r="AO49" s="135">
        <v>123.44014615578976</v>
      </c>
      <c r="AP49" s="135">
        <v>124.65731152579708</v>
      </c>
      <c r="AQ49" s="135">
        <v>125.87447689580441</v>
      </c>
      <c r="AR49" s="135">
        <v>127.09164226581174</v>
      </c>
      <c r="AS49" s="135">
        <v>128.19012436639309</v>
      </c>
      <c r="AT49" s="135">
        <v>129.28860646697444</v>
      </c>
      <c r="AU49" s="135">
        <v>130.38708856755579</v>
      </c>
      <c r="AV49" s="135">
        <v>131.48557066813714</v>
      </c>
      <c r="AW49" s="135">
        <v>132.58405276871852</v>
      </c>
      <c r="AX49" s="135">
        <v>133.56350937020832</v>
      </c>
      <c r="AY49" s="135">
        <v>134.54296597169812</v>
      </c>
      <c r="AZ49" s="135">
        <v>135.52242257318792</v>
      </c>
      <c r="BA49" s="135">
        <v>136.50187917467773</v>
      </c>
      <c r="BB49" s="135">
        <v>137.4813357761675</v>
      </c>
      <c r="BC49" s="135">
        <v>138.33645254393156</v>
      </c>
      <c r="BD49" s="135">
        <v>139.19156931169562</v>
      </c>
      <c r="BE49" s="135">
        <v>140.04668607945968</v>
      </c>
      <c r="BF49" s="135">
        <v>140.90180284722373</v>
      </c>
      <c r="BG49" s="135">
        <v>141.75691961498782</v>
      </c>
      <c r="BH49" s="135">
        <v>142.48870743356252</v>
      </c>
      <c r="BI49" s="135">
        <v>143.22049525213723</v>
      </c>
      <c r="BJ49" s="135">
        <v>143.95228307071193</v>
      </c>
      <c r="BK49" s="135">
        <v>144.68407088928663</v>
      </c>
      <c r="BL49" s="135">
        <v>145.4158587078613</v>
      </c>
      <c r="BM49" s="135">
        <v>146.0228931945594</v>
      </c>
      <c r="BN49" s="135">
        <v>146.6299276812575</v>
      </c>
      <c r="BO49" s="135">
        <v>147.2369621679556</v>
      </c>
      <c r="BP49" s="135">
        <v>147.84399665465369</v>
      </c>
      <c r="BQ49" s="135">
        <v>148.45103114135173</v>
      </c>
      <c r="BR49" s="135">
        <v>148.9283282446446</v>
      </c>
      <c r="BS49" s="135">
        <v>149.40562534793747</v>
      </c>
      <c r="BT49" s="135">
        <v>149.88292245123034</v>
      </c>
      <c r="BU49" s="135">
        <v>150.36021955452321</v>
      </c>
      <c r="BV49" s="135">
        <v>150.83751665781602</v>
      </c>
      <c r="BW49" s="97" t="s">
        <v>619</v>
      </c>
    </row>
    <row r="50" spans="2:75">
      <c r="B50" s="98" t="s">
        <v>655</v>
      </c>
      <c r="C50" s="97" t="s">
        <v>656</v>
      </c>
      <c r="D50" s="135">
        <f t="shared" ref="D50:AL50" si="5">D43/(D49*10^3)</f>
        <v>63.056624514749359</v>
      </c>
      <c r="E50" s="135">
        <f t="shared" si="5"/>
        <v>67.344215596154299</v>
      </c>
      <c r="F50" s="135">
        <f t="shared" si="5"/>
        <v>69.797879249130517</v>
      </c>
      <c r="G50" s="135">
        <f t="shared" si="5"/>
        <v>69.824408604639189</v>
      </c>
      <c r="H50" s="135">
        <f t="shared" si="5"/>
        <v>71.652038459855831</v>
      </c>
      <c r="I50" s="135">
        <f t="shared" si="5"/>
        <v>74.058118301435087</v>
      </c>
      <c r="J50" s="135">
        <f t="shared" si="5"/>
        <v>71.225283122650154</v>
      </c>
      <c r="K50" s="135">
        <f t="shared" si="5"/>
        <v>71.170214262322887</v>
      </c>
      <c r="L50" s="135">
        <f t="shared" si="5"/>
        <v>72.682456554002385</v>
      </c>
      <c r="M50" s="135">
        <f t="shared" si="5"/>
        <v>75.87374731041858</v>
      </c>
      <c r="N50" s="135">
        <f t="shared" si="5"/>
        <v>79.615728275660103</v>
      </c>
      <c r="O50" s="135">
        <f t="shared" si="5"/>
        <v>81.20984529799</v>
      </c>
      <c r="P50" s="135">
        <f t="shared" si="5"/>
        <v>83.221593515596282</v>
      </c>
      <c r="Q50" s="135">
        <f t="shared" si="5"/>
        <v>83.555882799828908</v>
      </c>
      <c r="R50" s="135">
        <f t="shared" si="5"/>
        <v>74.85386282558035</v>
      </c>
      <c r="S50" s="135">
        <f t="shared" si="5"/>
        <v>74.605157151719865</v>
      </c>
      <c r="T50" s="135">
        <f t="shared" si="5"/>
        <v>75.384740393488528</v>
      </c>
      <c r="U50" s="135">
        <f t="shared" si="5"/>
        <v>78.269219690038952</v>
      </c>
      <c r="V50" s="135">
        <f t="shared" si="5"/>
        <v>82.125495543571972</v>
      </c>
      <c r="W50" s="135">
        <f t="shared" si="5"/>
        <v>83.864993723787748</v>
      </c>
      <c r="X50" s="135">
        <f t="shared" si="5"/>
        <v>86.496823454910071</v>
      </c>
      <c r="Y50" s="135">
        <f t="shared" si="5"/>
        <v>94.734472634130498</v>
      </c>
      <c r="Z50" s="135">
        <f t="shared" si="5"/>
        <v>99.959922254833444</v>
      </c>
      <c r="AA50" s="135">
        <f t="shared" si="5"/>
        <v>100.84601159905145</v>
      </c>
      <c r="AB50" s="135">
        <f t="shared" si="5"/>
        <v>103.11417260607337</v>
      </c>
      <c r="AC50" s="135">
        <f t="shared" si="5"/>
        <v>107.43051924639954</v>
      </c>
      <c r="AD50" s="135">
        <f t="shared" si="5"/>
        <v>122.66576215696297</v>
      </c>
      <c r="AE50" s="135">
        <f t="shared" si="5"/>
        <v>129.58682765629271</v>
      </c>
      <c r="AF50" s="135">
        <f t="shared" si="5"/>
        <v>140.03824803733579</v>
      </c>
      <c r="AG50" s="135">
        <f t="shared" si="5"/>
        <v>144.34787592082347</v>
      </c>
      <c r="AH50" s="135">
        <f t="shared" si="5"/>
        <v>144.63291727008527</v>
      </c>
      <c r="AI50" s="135">
        <f t="shared" si="5"/>
        <v>150.59027988475444</v>
      </c>
      <c r="AJ50" s="135">
        <f t="shared" si="5"/>
        <v>155.91510080881221</v>
      </c>
      <c r="AK50" s="135">
        <f t="shared" si="5"/>
        <v>161.35230979625166</v>
      </c>
      <c r="AL50" s="135">
        <f t="shared" si="5"/>
        <v>162.06160412682422</v>
      </c>
      <c r="AM50" s="137">
        <f>AM44/(AM49*10^3)</f>
        <v>168.08993253306303</v>
      </c>
      <c r="AN50" s="135">
        <f t="shared" ref="AN50:BV50" si="6">AM50*(1+$E51)</f>
        <v>172.29218084638958</v>
      </c>
      <c r="AO50" s="135">
        <f t="shared" si="6"/>
        <v>176.59948536754931</v>
      </c>
      <c r="AP50" s="135">
        <f t="shared" si="6"/>
        <v>181.01447250173803</v>
      </c>
      <c r="AQ50" s="135">
        <f t="shared" si="6"/>
        <v>185.53983431428145</v>
      </c>
      <c r="AR50" s="135">
        <f t="shared" si="6"/>
        <v>190.17833017213846</v>
      </c>
      <c r="AS50" s="135">
        <f t="shared" si="6"/>
        <v>194.9327884264419</v>
      </c>
      <c r="AT50" s="135">
        <f t="shared" si="6"/>
        <v>199.80610813710294</v>
      </c>
      <c r="AU50" s="135">
        <f t="shared" si="6"/>
        <v>204.80126084053049</v>
      </c>
      <c r="AV50" s="135">
        <f t="shared" si="6"/>
        <v>209.92129236154372</v>
      </c>
      <c r="AW50" s="135">
        <f t="shared" si="6"/>
        <v>215.16932467058228</v>
      </c>
      <c r="AX50" s="135">
        <f t="shared" si="6"/>
        <v>220.54855778734682</v>
      </c>
      <c r="AY50" s="135">
        <f t="shared" si="6"/>
        <v>226.06227173203047</v>
      </c>
      <c r="AZ50" s="135">
        <f t="shared" si="6"/>
        <v>231.71382852533119</v>
      </c>
      <c r="BA50" s="135">
        <f t="shared" si="6"/>
        <v>237.50667423846446</v>
      </c>
      <c r="BB50" s="135">
        <f t="shared" si="6"/>
        <v>243.44434109442605</v>
      </c>
      <c r="BC50" s="135">
        <f t="shared" si="6"/>
        <v>249.53044962178669</v>
      </c>
      <c r="BD50" s="135">
        <f t="shared" si="6"/>
        <v>255.76871086233132</v>
      </c>
      <c r="BE50" s="135">
        <f t="shared" si="6"/>
        <v>262.16292863388958</v>
      </c>
      <c r="BF50" s="135">
        <f t="shared" si="6"/>
        <v>268.71700184973679</v>
      </c>
      <c r="BG50" s="135">
        <f t="shared" si="6"/>
        <v>275.4349268959802</v>
      </c>
      <c r="BH50" s="135">
        <f t="shared" si="6"/>
        <v>282.3208000683797</v>
      </c>
      <c r="BI50" s="135">
        <f t="shared" si="6"/>
        <v>289.37882007008915</v>
      </c>
      <c r="BJ50" s="135">
        <f t="shared" si="6"/>
        <v>296.61329057184133</v>
      </c>
      <c r="BK50" s="135">
        <f t="shared" si="6"/>
        <v>304.02862283613734</v>
      </c>
      <c r="BL50" s="135">
        <f t="shared" si="6"/>
        <v>311.62933840704073</v>
      </c>
      <c r="BM50" s="135">
        <f t="shared" si="6"/>
        <v>319.42007186721673</v>
      </c>
      <c r="BN50" s="135">
        <f t="shared" si="6"/>
        <v>327.40557366389714</v>
      </c>
      <c r="BO50" s="135">
        <f t="shared" si="6"/>
        <v>335.59071300549454</v>
      </c>
      <c r="BP50" s="135">
        <f t="shared" si="6"/>
        <v>343.98048083063185</v>
      </c>
      <c r="BQ50" s="135">
        <f t="shared" si="6"/>
        <v>352.57999285139761</v>
      </c>
      <c r="BR50" s="135">
        <f t="shared" si="6"/>
        <v>361.39449267268253</v>
      </c>
      <c r="BS50" s="135">
        <f t="shared" si="6"/>
        <v>370.42935498949959</v>
      </c>
      <c r="BT50" s="135">
        <f t="shared" si="6"/>
        <v>379.69008886423705</v>
      </c>
      <c r="BU50" s="135">
        <f t="shared" si="6"/>
        <v>389.18234108584295</v>
      </c>
      <c r="BV50" s="135">
        <f t="shared" si="6"/>
        <v>398.91189961298898</v>
      </c>
      <c r="BW50" s="97" t="s">
        <v>619</v>
      </c>
    </row>
    <row r="51" spans="2:75" ht="15.75" thickBot="1">
      <c r="B51" s="98" t="s">
        <v>657</v>
      </c>
      <c r="C51" s="97" t="s">
        <v>639</v>
      </c>
      <c r="D51" s="140">
        <f>(AM50/D50)^(1/(AM42-D42))-1</f>
        <v>2.8409377581699147E-2</v>
      </c>
      <c r="E51" s="128">
        <v>2.5000000000000001E-2</v>
      </c>
      <c r="G51" s="138">
        <f>BV45/10^6</f>
        <v>60.170880302875247</v>
      </c>
      <c r="H51" s="135" t="s">
        <v>658</v>
      </c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41"/>
      <c r="AR51" s="102">
        <f>(AR45-AH43)/(10*0.96)</f>
        <v>796350.2089623739</v>
      </c>
      <c r="BB51" s="102">
        <f>(BB45-AR45)/(10*0.96)</f>
        <v>968643.42665247782</v>
      </c>
      <c r="BL51" s="102">
        <f>(BL45-BB45)/(10*0.96)</f>
        <v>1234041.1085637391</v>
      </c>
      <c r="BV51" s="102">
        <f>(BV45-BL45)/(10*0.96)</f>
        <v>1547399.2145679914</v>
      </c>
      <c r="BW51" s="97" t="s">
        <v>619</v>
      </c>
    </row>
    <row r="52" spans="2:75">
      <c r="B52" s="98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7"/>
      <c r="AN52" s="135"/>
      <c r="AP52" s="102"/>
      <c r="BE52" s="173" t="s">
        <v>659</v>
      </c>
      <c r="BI52" s="142"/>
      <c r="BM52" s="142"/>
      <c r="BW52" s="97" t="s">
        <v>619</v>
      </c>
    </row>
    <row r="53" spans="2:75" ht="15.75" thickBot="1">
      <c r="B53" s="97" t="s">
        <v>660</v>
      </c>
      <c r="C53" s="97" t="s">
        <v>661</v>
      </c>
      <c r="D53" s="102">
        <f>D2*(E53/E2)</f>
        <v>356048.1778376975</v>
      </c>
      <c r="E53" s="102">
        <f t="shared" ref="E53:AV53" si="7">E2-D2</f>
        <v>391321</v>
      </c>
      <c r="F53" s="102">
        <f t="shared" si="7"/>
        <v>275534</v>
      </c>
      <c r="G53" s="102">
        <f t="shared" si="7"/>
        <v>109339</v>
      </c>
      <c r="H53" s="102">
        <f t="shared" si="7"/>
        <v>244290</v>
      </c>
      <c r="I53" s="102">
        <f t="shared" si="7"/>
        <v>311316</v>
      </c>
      <c r="J53" s="102">
        <f t="shared" si="7"/>
        <v>-78920</v>
      </c>
      <c r="K53" s="102">
        <f t="shared" si="7"/>
        <v>133306</v>
      </c>
      <c r="L53" s="102">
        <f t="shared" si="7"/>
        <v>261507</v>
      </c>
      <c r="M53" s="102">
        <f t="shared" si="7"/>
        <v>405797</v>
      </c>
      <c r="N53" s="102">
        <f t="shared" si="7"/>
        <v>552018</v>
      </c>
      <c r="O53" s="102">
        <f t="shared" si="7"/>
        <v>395158</v>
      </c>
      <c r="P53" s="102">
        <f t="shared" si="7"/>
        <v>448470</v>
      </c>
      <c r="Q53" s="102">
        <f t="shared" si="7"/>
        <v>316773</v>
      </c>
      <c r="R53" s="102">
        <f t="shared" si="7"/>
        <v>-498219</v>
      </c>
      <c r="S53" s="102">
        <f t="shared" si="7"/>
        <v>251772</v>
      </c>
      <c r="T53" s="102">
        <f t="shared" si="7"/>
        <v>361360</v>
      </c>
      <c r="U53" s="102">
        <f t="shared" si="7"/>
        <v>572131</v>
      </c>
      <c r="V53" s="102">
        <f t="shared" si="7"/>
        <v>683214</v>
      </c>
      <c r="W53" s="102">
        <f t="shared" si="7"/>
        <v>496587</v>
      </c>
      <c r="X53" s="102">
        <f t="shared" si="7"/>
        <v>593383</v>
      </c>
      <c r="Y53" s="102">
        <f t="shared" si="7"/>
        <v>1175803</v>
      </c>
      <c r="Z53" s="102">
        <f t="shared" si="7"/>
        <v>902928</v>
      </c>
      <c r="AA53" s="102">
        <f t="shared" si="7"/>
        <v>487139</v>
      </c>
      <c r="AB53" s="102">
        <f t="shared" si="7"/>
        <v>645962</v>
      </c>
      <c r="AC53" s="102">
        <f t="shared" si="7"/>
        <v>912369</v>
      </c>
      <c r="AD53" s="102">
        <f t="shared" si="7"/>
        <v>2111433</v>
      </c>
      <c r="AE53" s="102">
        <f t="shared" si="7"/>
        <v>1284810</v>
      </c>
      <c r="AF53" s="102">
        <f t="shared" si="7"/>
        <v>1724319</v>
      </c>
      <c r="AG53" s="102">
        <f t="shared" si="7"/>
        <v>1098282</v>
      </c>
      <c r="AH53" s="102">
        <f t="shared" si="7"/>
        <v>633549</v>
      </c>
      <c r="AI53" s="102">
        <f t="shared" si="7"/>
        <v>1221553</v>
      </c>
      <c r="AJ53" s="102">
        <f t="shared" si="7"/>
        <v>1195297</v>
      </c>
      <c r="AK53" s="102">
        <f t="shared" si="7"/>
        <v>1250299</v>
      </c>
      <c r="AL53" s="102">
        <f t="shared" si="7"/>
        <v>723986</v>
      </c>
      <c r="AM53" s="103">
        <f t="shared" si="7"/>
        <v>1364086</v>
      </c>
      <c r="AN53" s="102">
        <f t="shared" si="7"/>
        <v>1756301</v>
      </c>
      <c r="AO53" s="102">
        <f t="shared" si="7"/>
        <v>2032247</v>
      </c>
      <c r="AP53" s="102">
        <f t="shared" si="7"/>
        <v>855809</v>
      </c>
      <c r="AQ53" s="102">
        <f t="shared" si="7"/>
        <v>763793</v>
      </c>
      <c r="AR53" s="102">
        <f t="shared" si="7"/>
        <v>532433</v>
      </c>
      <c r="AS53" s="102">
        <f t="shared" si="7"/>
        <v>520112</v>
      </c>
      <c r="AT53" s="102">
        <f t="shared" si="7"/>
        <v>486962</v>
      </c>
      <c r="AU53" s="102">
        <f t="shared" si="7"/>
        <v>598215</v>
      </c>
      <c r="AV53" s="102">
        <f t="shared" si="7"/>
        <v>636489</v>
      </c>
      <c r="BC53" s="143" t="s">
        <v>662</v>
      </c>
      <c r="BD53" s="143"/>
      <c r="BE53" s="174">
        <f>BE55/BD55</f>
        <v>12.99736994449999</v>
      </c>
      <c r="BG53" s="143"/>
      <c r="BH53" s="143"/>
      <c r="BI53" s="144"/>
      <c r="BK53" s="143"/>
      <c r="BM53" s="144"/>
      <c r="BW53" s="97" t="s">
        <v>619</v>
      </c>
    </row>
    <row r="54" spans="2:75">
      <c r="AM54" s="141"/>
      <c r="AR54" s="97" t="s">
        <v>619</v>
      </c>
      <c r="AU54" s="97" t="s">
        <v>663</v>
      </c>
      <c r="AV54" s="104">
        <f>(AV55/AJ55)^(1/(AV$1-AJ$1))-1</f>
        <v>2.0631533739727814E-2</v>
      </c>
      <c r="BA54" s="145" t="s">
        <v>664</v>
      </c>
      <c r="BB54" s="145" t="s">
        <v>665</v>
      </c>
      <c r="BC54" s="143" t="s">
        <v>666</v>
      </c>
      <c r="BD54" s="143" t="s">
        <v>667</v>
      </c>
      <c r="BE54" s="143" t="s">
        <v>668</v>
      </c>
      <c r="BG54" s="143" t="s">
        <v>669</v>
      </c>
      <c r="BH54" s="143"/>
      <c r="BI54" s="143"/>
      <c r="BK54" s="143"/>
      <c r="BL54" s="143"/>
      <c r="BM54" s="143"/>
      <c r="BW54" s="97" t="s">
        <v>619</v>
      </c>
    </row>
    <row r="55" spans="2:75">
      <c r="B55" s="119" t="s">
        <v>670</v>
      </c>
      <c r="C55" s="135">
        <f t="shared" ref="C55:AU55" si="8">SUM(C56:C101)</f>
        <v>3950042</v>
      </c>
      <c r="D55" s="135">
        <f t="shared" si="8"/>
        <v>4298190.093837698</v>
      </c>
      <c r="E55" s="135">
        <f t="shared" si="8"/>
        <v>4680898.9134820225</v>
      </c>
      <c r="F55" s="135">
        <f t="shared" si="8"/>
        <v>4947038.091126347</v>
      </c>
      <c r="G55" s="135">
        <f t="shared" si="8"/>
        <v>5046431.2007706715</v>
      </c>
      <c r="H55" s="135">
        <f t="shared" si="8"/>
        <v>5280556.6324149957</v>
      </c>
      <c r="I55" s="135">
        <f t="shared" si="8"/>
        <v>5565419.3160593202</v>
      </c>
      <c r="J55" s="135">
        <f t="shared" si="8"/>
        <v>5457999.1749922941</v>
      </c>
      <c r="K55" s="135">
        <f t="shared" si="8"/>
        <v>5561239.749925267</v>
      </c>
      <c r="L55" s="135">
        <f t="shared" si="8"/>
        <v>5791312.576858242</v>
      </c>
      <c r="M55" s="135">
        <f t="shared" si="8"/>
        <v>6164715.0337912152</v>
      </c>
      <c r="N55" s="135">
        <f t="shared" si="8"/>
        <v>6619349.0647241902</v>
      </c>
      <c r="O55" s="135">
        <f t="shared" si="8"/>
        <v>6909077.0248117596</v>
      </c>
      <c r="P55" s="135">
        <f t="shared" si="8"/>
        <v>7245065.5328993322</v>
      </c>
      <c r="Q55" s="135">
        <f t="shared" si="8"/>
        <v>7443518.3329868997</v>
      </c>
      <c r="R55" s="135">
        <f t="shared" si="8"/>
        <v>6823550.135074473</v>
      </c>
      <c r="S55" s="135">
        <f t="shared" si="8"/>
        <v>6892740.5211620415</v>
      </c>
      <c r="T55" s="135">
        <f t="shared" si="8"/>
        <v>7058841.5607598862</v>
      </c>
      <c r="U55" s="135">
        <f t="shared" si="8"/>
        <v>7427931.7543577282</v>
      </c>
      <c r="V55" s="135">
        <f t="shared" si="8"/>
        <v>7899176.4339555688</v>
      </c>
      <c r="W55" s="135">
        <f t="shared" si="8"/>
        <v>8175445.7355534155</v>
      </c>
      <c r="X55" s="135">
        <f t="shared" si="8"/>
        <v>8529704.9671512581</v>
      </c>
      <c r="Y55" s="135">
        <f t="shared" si="8"/>
        <v>9450287.5363934245</v>
      </c>
      <c r="Z55" s="135">
        <f t="shared" si="8"/>
        <v>10087092.889635593</v>
      </c>
      <c r="AA55" s="135">
        <f t="shared" si="8"/>
        <v>10294421.990877759</v>
      </c>
      <c r="AB55" s="135">
        <f t="shared" si="8"/>
        <v>10647918.814119926</v>
      </c>
      <c r="AC55" s="135">
        <f t="shared" si="8"/>
        <v>11282074.879362093</v>
      </c>
      <c r="AD55" s="135">
        <f t="shared" si="8"/>
        <v>13100853.727671288</v>
      </c>
      <c r="AE55" s="135">
        <f t="shared" si="8"/>
        <v>14075117.451980481</v>
      </c>
      <c r="AF55" s="135">
        <f t="shared" si="8"/>
        <v>15468662.760289673</v>
      </c>
      <c r="AG55" s="135">
        <f t="shared" si="8"/>
        <v>16215540.64859887</v>
      </c>
      <c r="AH55" s="135">
        <f t="shared" si="8"/>
        <v>16525114.298908062</v>
      </c>
      <c r="AI55" s="135">
        <f t="shared" si="8"/>
        <v>17409080.78099563</v>
      </c>
      <c r="AJ55" s="135">
        <f t="shared" si="8"/>
        <v>18235153.431083206</v>
      </c>
      <c r="AK55" s="135">
        <f t="shared" si="8"/>
        <v>19088899.801170778</v>
      </c>
      <c r="AL55" s="135">
        <f t="shared" si="8"/>
        <v>19391604.963258345</v>
      </c>
      <c r="AM55" s="137">
        <f t="shared" si="8"/>
        <v>20339859.349345919</v>
      </c>
      <c r="AN55" s="134">
        <f t="shared" si="8"/>
        <v>21660219.114500515</v>
      </c>
      <c r="AO55" s="134">
        <f t="shared" si="8"/>
        <v>23201878.04965511</v>
      </c>
      <c r="AP55" s="134">
        <f t="shared" si="8"/>
        <v>23529588.172809709</v>
      </c>
      <c r="AQ55" s="134">
        <f t="shared" si="8"/>
        <v>23727965.745964304</v>
      </c>
      <c r="AR55" s="134">
        <f t="shared" si="8"/>
        <v>23692174.597118896</v>
      </c>
      <c r="AS55" s="134">
        <f t="shared" si="8"/>
        <v>23622958.04368452</v>
      </c>
      <c r="AT55" s="134">
        <f t="shared" si="8"/>
        <v>23468030.975792084</v>
      </c>
      <c r="AU55" s="134">
        <f t="shared" si="8"/>
        <v>23385224.583579864</v>
      </c>
      <c r="AV55" s="134">
        <f>SUM(AV56:AV101)</f>
        <v>23298996.138143525</v>
      </c>
      <c r="AW55" s="134"/>
      <c r="BA55" s="145"/>
      <c r="BB55" s="145"/>
      <c r="BD55" s="111">
        <f>SUM(BD56:BD101)</f>
        <v>23298996.138143525</v>
      </c>
      <c r="BE55" s="146">
        <f>SUM(BE56:BE101)</f>
        <v>302825672.142928</v>
      </c>
      <c r="BG55" s="102">
        <f t="shared" ref="BG55:BG101" si="9">AV55-AU55</f>
        <v>-86228.445436339825</v>
      </c>
      <c r="BH55" s="111"/>
      <c r="BI55" s="111"/>
      <c r="BL55" s="111"/>
      <c r="BM55" s="111"/>
      <c r="BW55" s="97" t="s">
        <v>619</v>
      </c>
    </row>
    <row r="56" spans="2:75">
      <c r="B56" s="147" t="s">
        <v>671</v>
      </c>
      <c r="C56" s="102">
        <f>D2</f>
        <v>3950042</v>
      </c>
      <c r="D56" s="102">
        <f t="shared" ref="D56:AU56" si="10">$C56*E$40</f>
        <v>3942141.9160000002</v>
      </c>
      <c r="E56" s="102">
        <f t="shared" si="10"/>
        <v>3934241.8319999999</v>
      </c>
      <c r="F56" s="102">
        <f t="shared" si="10"/>
        <v>3926341.7480000001</v>
      </c>
      <c r="G56" s="102">
        <f t="shared" si="10"/>
        <v>3918441.6639999999</v>
      </c>
      <c r="H56" s="102">
        <f t="shared" si="10"/>
        <v>3910541.58</v>
      </c>
      <c r="I56" s="102">
        <f t="shared" si="10"/>
        <v>3886841.3279999997</v>
      </c>
      <c r="J56" s="102">
        <f t="shared" si="10"/>
        <v>3863141.0759999999</v>
      </c>
      <c r="K56" s="102">
        <f t="shared" si="10"/>
        <v>3839440.824</v>
      </c>
      <c r="L56" s="102">
        <f t="shared" si="10"/>
        <v>3815740.5719999997</v>
      </c>
      <c r="M56" s="102">
        <f t="shared" si="10"/>
        <v>3792040.32</v>
      </c>
      <c r="N56" s="102">
        <f t="shared" si="10"/>
        <v>3705139.3959999997</v>
      </c>
      <c r="O56" s="102">
        <f t="shared" si="10"/>
        <v>3618238.4719999996</v>
      </c>
      <c r="P56" s="102">
        <f t="shared" si="10"/>
        <v>3531337.5479999995</v>
      </c>
      <c r="Q56" s="102">
        <f t="shared" si="10"/>
        <v>3444436.6239999994</v>
      </c>
      <c r="R56" s="102">
        <f t="shared" si="10"/>
        <v>3357535.6999999997</v>
      </c>
      <c r="S56" s="102">
        <f t="shared" si="10"/>
        <v>3215334.1879999996</v>
      </c>
      <c r="T56" s="102">
        <f t="shared" si="10"/>
        <v>3073132.6759999995</v>
      </c>
      <c r="U56" s="102">
        <f t="shared" si="10"/>
        <v>2930931.1639999994</v>
      </c>
      <c r="V56" s="102">
        <f t="shared" si="10"/>
        <v>2788729.6519999993</v>
      </c>
      <c r="W56" s="102">
        <f t="shared" si="10"/>
        <v>2646528.14</v>
      </c>
      <c r="X56" s="102">
        <f t="shared" si="10"/>
        <v>2496426.5440000002</v>
      </c>
      <c r="Y56" s="102">
        <f t="shared" si="10"/>
        <v>2346324.9479999999</v>
      </c>
      <c r="Z56" s="102">
        <f t="shared" si="10"/>
        <v>2196223.352</v>
      </c>
      <c r="AA56" s="102">
        <f t="shared" si="10"/>
        <v>2046121.7559999996</v>
      </c>
      <c r="AB56" s="102">
        <f t="shared" si="10"/>
        <v>1896020.16</v>
      </c>
      <c r="AC56" s="102">
        <f t="shared" si="10"/>
        <v>1769618.8160000001</v>
      </c>
      <c r="AD56" s="102">
        <f t="shared" si="10"/>
        <v>1643217.4720000001</v>
      </c>
      <c r="AE56" s="102">
        <f t="shared" si="10"/>
        <v>1516816.1280000003</v>
      </c>
      <c r="AF56" s="102">
        <f t="shared" si="10"/>
        <v>1390414.7840000005</v>
      </c>
      <c r="AG56" s="102">
        <f t="shared" si="10"/>
        <v>1264013.44</v>
      </c>
      <c r="AH56" s="102">
        <f t="shared" si="10"/>
        <v>1177112.5160000001</v>
      </c>
      <c r="AI56" s="102">
        <f t="shared" si="10"/>
        <v>1090211.5919999999</v>
      </c>
      <c r="AJ56" s="102">
        <f t="shared" si="10"/>
        <v>1003310.6679999998</v>
      </c>
      <c r="AK56" s="102">
        <f t="shared" si="10"/>
        <v>916409.74399999983</v>
      </c>
      <c r="AL56" s="102">
        <f t="shared" si="10"/>
        <v>829508.82</v>
      </c>
      <c r="AM56" s="103">
        <f t="shared" si="10"/>
        <v>766308.14800000004</v>
      </c>
      <c r="AN56" s="148">
        <f t="shared" si="10"/>
        <v>703107.47600000002</v>
      </c>
      <c r="AO56" s="148">
        <f t="shared" si="10"/>
        <v>639906.80400000012</v>
      </c>
      <c r="AP56" s="148">
        <f t="shared" si="10"/>
        <v>576706.13200000022</v>
      </c>
      <c r="AQ56" s="148">
        <f t="shared" si="10"/>
        <v>513505.46</v>
      </c>
      <c r="AR56" s="148">
        <f t="shared" si="10"/>
        <v>474005.04000000004</v>
      </c>
      <c r="AS56" s="148">
        <f t="shared" si="10"/>
        <v>434504.62000000005</v>
      </c>
      <c r="AT56" s="148">
        <f t="shared" si="10"/>
        <v>395004.20000000007</v>
      </c>
      <c r="AU56" s="148">
        <f t="shared" si="10"/>
        <v>355503.78000000009</v>
      </c>
      <c r="AV56" s="148">
        <f>$C56*AW$40</f>
        <v>316003.36</v>
      </c>
      <c r="AW56" s="148"/>
      <c r="BA56" s="145">
        <f>-BC56</f>
        <v>-45</v>
      </c>
      <c r="BB56" s="149">
        <f t="shared" ref="BB56:BB101" si="11">(IF(BD56&gt;0,BD56,0))/10^6</f>
        <v>0.31600336000000001</v>
      </c>
      <c r="BC56" s="97">
        <v>45</v>
      </c>
      <c r="BD56" s="111">
        <f t="shared" ref="BD56:BD101" si="12">AV56</f>
        <v>316003.36</v>
      </c>
      <c r="BE56" s="111">
        <f t="shared" ref="BE56:BE101" si="13">BC56*BD56</f>
        <v>14220151.199999999</v>
      </c>
      <c r="BG56" s="102">
        <f t="shared" si="9"/>
        <v>-39500.4200000001</v>
      </c>
      <c r="BH56" s="111"/>
      <c r="BI56" s="111"/>
      <c r="BL56" s="111"/>
      <c r="BM56" s="111"/>
      <c r="BW56" s="97" t="s">
        <v>619</v>
      </c>
    </row>
    <row r="57" spans="2:75">
      <c r="B57" s="98">
        <v>1980</v>
      </c>
      <c r="D57" s="102">
        <f>D53</f>
        <v>356048.1778376975</v>
      </c>
      <c r="E57" s="102">
        <f t="shared" ref="E57:AV57" si="14">$D57*E$40</f>
        <v>355336.08148202213</v>
      </c>
      <c r="F57" s="102">
        <f t="shared" si="14"/>
        <v>354623.9851263467</v>
      </c>
      <c r="G57" s="102">
        <f t="shared" si="14"/>
        <v>353911.88877067133</v>
      </c>
      <c r="H57" s="102">
        <f t="shared" si="14"/>
        <v>353199.7924149959</v>
      </c>
      <c r="I57" s="102">
        <f t="shared" si="14"/>
        <v>352487.69605932053</v>
      </c>
      <c r="J57" s="102">
        <f t="shared" si="14"/>
        <v>350351.40699229436</v>
      </c>
      <c r="K57" s="102">
        <f t="shared" si="14"/>
        <v>348215.11792526813</v>
      </c>
      <c r="L57" s="102">
        <f t="shared" si="14"/>
        <v>346078.82885824196</v>
      </c>
      <c r="M57" s="102">
        <f t="shared" si="14"/>
        <v>343942.53979121579</v>
      </c>
      <c r="N57" s="102">
        <f t="shared" si="14"/>
        <v>341806.25072418957</v>
      </c>
      <c r="O57" s="102">
        <f t="shared" si="14"/>
        <v>333973.19081176026</v>
      </c>
      <c r="P57" s="102">
        <f t="shared" si="14"/>
        <v>326140.13089933089</v>
      </c>
      <c r="Q57" s="102">
        <f t="shared" si="14"/>
        <v>318307.07098690153</v>
      </c>
      <c r="R57" s="102">
        <f t="shared" si="14"/>
        <v>310474.01107447216</v>
      </c>
      <c r="S57" s="102">
        <f t="shared" si="14"/>
        <v>302640.95116204285</v>
      </c>
      <c r="T57" s="102">
        <f t="shared" si="14"/>
        <v>289823.21675988572</v>
      </c>
      <c r="U57" s="102">
        <f t="shared" si="14"/>
        <v>277005.48235772864</v>
      </c>
      <c r="V57" s="102">
        <f t="shared" si="14"/>
        <v>264187.74795557151</v>
      </c>
      <c r="W57" s="102">
        <f t="shared" si="14"/>
        <v>251370.01355341438</v>
      </c>
      <c r="X57" s="102">
        <f t="shared" si="14"/>
        <v>238552.27915125733</v>
      </c>
      <c r="Y57" s="102">
        <f t="shared" si="14"/>
        <v>225022.44839342483</v>
      </c>
      <c r="Z57" s="102">
        <f t="shared" si="14"/>
        <v>211492.61763559229</v>
      </c>
      <c r="AA57" s="102">
        <f t="shared" si="14"/>
        <v>197962.78687775979</v>
      </c>
      <c r="AB57" s="102">
        <f t="shared" si="14"/>
        <v>184432.95611992726</v>
      </c>
      <c r="AC57" s="102">
        <f t="shared" si="14"/>
        <v>170903.12536209478</v>
      </c>
      <c r="AD57" s="102">
        <f t="shared" si="14"/>
        <v>159509.58367128848</v>
      </c>
      <c r="AE57" s="102">
        <f t="shared" si="14"/>
        <v>148116.04198048217</v>
      </c>
      <c r="AF57" s="102">
        <f t="shared" si="14"/>
        <v>136722.50028967587</v>
      </c>
      <c r="AG57" s="102">
        <f t="shared" si="14"/>
        <v>125328.95859886955</v>
      </c>
      <c r="AH57" s="102">
        <f t="shared" si="14"/>
        <v>113935.4169080632</v>
      </c>
      <c r="AI57" s="102">
        <f t="shared" si="14"/>
        <v>106102.35699563385</v>
      </c>
      <c r="AJ57" s="102">
        <f t="shared" si="14"/>
        <v>98269.297083204496</v>
      </c>
      <c r="AK57" s="102">
        <f t="shared" si="14"/>
        <v>90436.237170775144</v>
      </c>
      <c r="AL57" s="102">
        <f t="shared" si="14"/>
        <v>82603.177258345808</v>
      </c>
      <c r="AM57" s="103">
        <f t="shared" si="14"/>
        <v>74770.117345916471</v>
      </c>
      <c r="AN57" s="148">
        <f t="shared" si="14"/>
        <v>69073.346500513318</v>
      </c>
      <c r="AO57" s="148">
        <f t="shared" si="14"/>
        <v>63376.575655110159</v>
      </c>
      <c r="AP57" s="148">
        <f t="shared" si="14"/>
        <v>57679.804809707006</v>
      </c>
      <c r="AQ57" s="148">
        <f t="shared" si="14"/>
        <v>51983.033964303853</v>
      </c>
      <c r="AR57" s="148">
        <f t="shared" si="14"/>
        <v>46286.263118900679</v>
      </c>
      <c r="AS57" s="148">
        <f t="shared" si="14"/>
        <v>42725.781340523703</v>
      </c>
      <c r="AT57" s="148">
        <f t="shared" si="14"/>
        <v>39165.299562146727</v>
      </c>
      <c r="AU57" s="148">
        <f t="shared" si="14"/>
        <v>35604.817783769759</v>
      </c>
      <c r="AV57" s="148">
        <f t="shared" si="14"/>
        <v>32044.336005392783</v>
      </c>
      <c r="AW57" s="148"/>
      <c r="BA57" s="97">
        <v>-44</v>
      </c>
      <c r="BB57" s="149">
        <f t="shared" si="11"/>
        <v>3.2044336005392783E-2</v>
      </c>
      <c r="BC57" s="97">
        <v>44</v>
      </c>
      <c r="BD57" s="111">
        <f t="shared" si="12"/>
        <v>32044.336005392783</v>
      </c>
      <c r="BE57" s="111">
        <f t="shared" si="13"/>
        <v>1409950.7842372824</v>
      </c>
      <c r="BG57" s="102">
        <f t="shared" si="9"/>
        <v>-3560.4817783769759</v>
      </c>
      <c r="BH57" s="111"/>
      <c r="BI57" s="111"/>
      <c r="BL57" s="111"/>
      <c r="BM57" s="111"/>
      <c r="BW57" s="97" t="s">
        <v>619</v>
      </c>
    </row>
    <row r="58" spans="2:75">
      <c r="B58" s="98">
        <v>1981</v>
      </c>
      <c r="D58" s="102"/>
      <c r="E58" s="102">
        <f>E53</f>
        <v>391321</v>
      </c>
      <c r="F58" s="102">
        <f t="shared" ref="F58:AV58" si="15">$E58*E$40</f>
        <v>390538.35800000001</v>
      </c>
      <c r="G58" s="102">
        <f t="shared" si="15"/>
        <v>389755.71600000001</v>
      </c>
      <c r="H58" s="102">
        <f t="shared" si="15"/>
        <v>388973.07400000002</v>
      </c>
      <c r="I58" s="102">
        <f t="shared" si="15"/>
        <v>388190.43199999997</v>
      </c>
      <c r="J58" s="102">
        <f t="shared" si="15"/>
        <v>387407.79</v>
      </c>
      <c r="K58" s="102">
        <f t="shared" si="15"/>
        <v>385059.864</v>
      </c>
      <c r="L58" s="102">
        <f t="shared" si="15"/>
        <v>382711.93799999997</v>
      </c>
      <c r="M58" s="102">
        <f t="shared" si="15"/>
        <v>380364.01199999999</v>
      </c>
      <c r="N58" s="102">
        <f t="shared" si="15"/>
        <v>378016.08600000001</v>
      </c>
      <c r="O58" s="102">
        <f t="shared" si="15"/>
        <v>375668.16</v>
      </c>
      <c r="P58" s="102">
        <f t="shared" si="15"/>
        <v>367059.098</v>
      </c>
      <c r="Q58" s="102">
        <f t="shared" si="15"/>
        <v>358450.03599999996</v>
      </c>
      <c r="R58" s="102">
        <f t="shared" si="15"/>
        <v>349840.97399999999</v>
      </c>
      <c r="S58" s="102">
        <f t="shared" si="15"/>
        <v>341231.91199999995</v>
      </c>
      <c r="T58" s="102">
        <f t="shared" si="15"/>
        <v>332622.84999999998</v>
      </c>
      <c r="U58" s="102">
        <f t="shared" si="15"/>
        <v>318535.29399999999</v>
      </c>
      <c r="V58" s="102">
        <f t="shared" si="15"/>
        <v>304447.73799999995</v>
      </c>
      <c r="W58" s="102">
        <f t="shared" si="15"/>
        <v>290360.18199999997</v>
      </c>
      <c r="X58" s="102">
        <f t="shared" si="15"/>
        <v>276272.62599999993</v>
      </c>
      <c r="Y58" s="102">
        <f t="shared" si="15"/>
        <v>262185.07</v>
      </c>
      <c r="Z58" s="102">
        <f t="shared" si="15"/>
        <v>247314.872</v>
      </c>
      <c r="AA58" s="102">
        <f t="shared" si="15"/>
        <v>232444.674</v>
      </c>
      <c r="AB58" s="102">
        <f t="shared" si="15"/>
        <v>217574.47599999997</v>
      </c>
      <c r="AC58" s="102">
        <f t="shared" si="15"/>
        <v>202704.27799999996</v>
      </c>
      <c r="AD58" s="102">
        <f t="shared" si="15"/>
        <v>187834.08</v>
      </c>
      <c r="AE58" s="102">
        <f t="shared" si="15"/>
        <v>175311.80799999999</v>
      </c>
      <c r="AF58" s="102">
        <f t="shared" si="15"/>
        <v>162789.53600000002</v>
      </c>
      <c r="AG58" s="102">
        <f t="shared" si="15"/>
        <v>150267.26400000002</v>
      </c>
      <c r="AH58" s="102">
        <f t="shared" si="15"/>
        <v>137744.99200000003</v>
      </c>
      <c r="AI58" s="102">
        <f t="shared" si="15"/>
        <v>125222.72</v>
      </c>
      <c r="AJ58" s="102">
        <f t="shared" si="15"/>
        <v>116613.658</v>
      </c>
      <c r="AK58" s="102">
        <f t="shared" si="15"/>
        <v>108004.59599999999</v>
      </c>
      <c r="AL58" s="102">
        <f t="shared" si="15"/>
        <v>99395.533999999985</v>
      </c>
      <c r="AM58" s="103">
        <f t="shared" si="15"/>
        <v>90786.47199999998</v>
      </c>
      <c r="AN58" s="148">
        <f t="shared" si="15"/>
        <v>82177.41</v>
      </c>
      <c r="AO58" s="148">
        <f t="shared" si="15"/>
        <v>75916.274000000005</v>
      </c>
      <c r="AP58" s="148">
        <f t="shared" si="15"/>
        <v>69655.138000000006</v>
      </c>
      <c r="AQ58" s="148">
        <f t="shared" si="15"/>
        <v>63394.002000000015</v>
      </c>
      <c r="AR58" s="148">
        <f t="shared" si="15"/>
        <v>57132.866000000016</v>
      </c>
      <c r="AS58" s="148">
        <f t="shared" si="15"/>
        <v>50871.73</v>
      </c>
      <c r="AT58" s="148">
        <f t="shared" si="15"/>
        <v>46958.520000000004</v>
      </c>
      <c r="AU58" s="148">
        <f t="shared" si="15"/>
        <v>43045.310000000005</v>
      </c>
      <c r="AV58" s="148">
        <f t="shared" si="15"/>
        <v>39132.100000000006</v>
      </c>
      <c r="AW58" s="148"/>
      <c r="BA58" s="97">
        <v>-43</v>
      </c>
      <c r="BB58" s="149">
        <f t="shared" si="11"/>
        <v>3.9132100000000003E-2</v>
      </c>
      <c r="BC58" s="97">
        <v>43</v>
      </c>
      <c r="BD58" s="111">
        <f t="shared" si="12"/>
        <v>39132.100000000006</v>
      </c>
      <c r="BE58" s="111">
        <f t="shared" si="13"/>
        <v>1682680.3000000003</v>
      </c>
      <c r="BG58" s="102">
        <f t="shared" si="9"/>
        <v>-3913.2099999999991</v>
      </c>
      <c r="BH58" s="111"/>
      <c r="BI58" s="111"/>
      <c r="BL58" s="111"/>
      <c r="BM58" s="111"/>
      <c r="BW58" s="97" t="s">
        <v>619</v>
      </c>
    </row>
    <row r="59" spans="2:75">
      <c r="B59" s="98">
        <v>1982</v>
      </c>
      <c r="D59" s="102"/>
      <c r="E59" s="102"/>
      <c r="F59" s="102">
        <f>F53</f>
        <v>275534</v>
      </c>
      <c r="G59" s="102">
        <f t="shared" ref="G59:AV59" si="16">$F59*E$40</f>
        <v>274982.93199999997</v>
      </c>
      <c r="H59" s="102">
        <f t="shared" si="16"/>
        <v>274431.864</v>
      </c>
      <c r="I59" s="102">
        <f t="shared" si="16"/>
        <v>273880.79599999997</v>
      </c>
      <c r="J59" s="102">
        <f t="shared" si="16"/>
        <v>273329.728</v>
      </c>
      <c r="K59" s="102">
        <f t="shared" si="16"/>
        <v>272778.65999999997</v>
      </c>
      <c r="L59" s="102">
        <f t="shared" si="16"/>
        <v>271125.45600000001</v>
      </c>
      <c r="M59" s="102">
        <f t="shared" si="16"/>
        <v>269472.25199999998</v>
      </c>
      <c r="N59" s="102">
        <f t="shared" si="16"/>
        <v>267819.04800000001</v>
      </c>
      <c r="O59" s="102">
        <f t="shared" si="16"/>
        <v>266165.84399999998</v>
      </c>
      <c r="P59" s="102">
        <f t="shared" si="16"/>
        <v>264512.64000000001</v>
      </c>
      <c r="Q59" s="102">
        <f t="shared" si="16"/>
        <v>258450.89199999999</v>
      </c>
      <c r="R59" s="102">
        <f t="shared" si="16"/>
        <v>252389.14399999997</v>
      </c>
      <c r="S59" s="102">
        <f t="shared" si="16"/>
        <v>246327.39599999998</v>
      </c>
      <c r="T59" s="102">
        <f t="shared" si="16"/>
        <v>240265.64799999996</v>
      </c>
      <c r="U59" s="102">
        <f t="shared" si="16"/>
        <v>234203.9</v>
      </c>
      <c r="V59" s="102">
        <f t="shared" si="16"/>
        <v>224284.67599999998</v>
      </c>
      <c r="W59" s="102">
        <f t="shared" si="16"/>
        <v>214365.45199999999</v>
      </c>
      <c r="X59" s="102">
        <f t="shared" si="16"/>
        <v>204446.22799999997</v>
      </c>
      <c r="Y59" s="102">
        <f t="shared" si="16"/>
        <v>194527.00399999996</v>
      </c>
      <c r="Z59" s="102">
        <f t="shared" si="16"/>
        <v>184607.78</v>
      </c>
      <c r="AA59" s="102">
        <f t="shared" si="16"/>
        <v>174137.48800000001</v>
      </c>
      <c r="AB59" s="102">
        <f t="shared" si="16"/>
        <v>163667.196</v>
      </c>
      <c r="AC59" s="102">
        <f t="shared" si="16"/>
        <v>153196.90399999998</v>
      </c>
      <c r="AD59" s="102">
        <f t="shared" si="16"/>
        <v>142726.61199999996</v>
      </c>
      <c r="AE59" s="102">
        <f t="shared" si="16"/>
        <v>132256.32000000001</v>
      </c>
      <c r="AF59" s="102">
        <f t="shared" si="16"/>
        <v>123439.232</v>
      </c>
      <c r="AG59" s="102">
        <f t="shared" si="16"/>
        <v>114622.14400000001</v>
      </c>
      <c r="AH59" s="102">
        <f t="shared" si="16"/>
        <v>105805.05600000001</v>
      </c>
      <c r="AI59" s="102">
        <f t="shared" si="16"/>
        <v>96987.968000000023</v>
      </c>
      <c r="AJ59" s="102">
        <f t="shared" si="16"/>
        <v>88170.880000000005</v>
      </c>
      <c r="AK59" s="102">
        <f t="shared" si="16"/>
        <v>82109.131999999998</v>
      </c>
      <c r="AL59" s="102">
        <f t="shared" si="16"/>
        <v>76047.383999999991</v>
      </c>
      <c r="AM59" s="103">
        <f t="shared" si="16"/>
        <v>69985.635999999984</v>
      </c>
      <c r="AN59" s="148">
        <f t="shared" si="16"/>
        <v>63923.887999999984</v>
      </c>
      <c r="AO59" s="148">
        <f t="shared" si="16"/>
        <v>57862.14</v>
      </c>
      <c r="AP59" s="148">
        <f t="shared" si="16"/>
        <v>53453.596000000005</v>
      </c>
      <c r="AQ59" s="148">
        <f t="shared" si="16"/>
        <v>49045.052000000003</v>
      </c>
      <c r="AR59" s="148">
        <f t="shared" si="16"/>
        <v>44636.508000000009</v>
      </c>
      <c r="AS59" s="148">
        <f t="shared" si="16"/>
        <v>40227.964000000014</v>
      </c>
      <c r="AT59" s="148">
        <f t="shared" si="16"/>
        <v>35819.42</v>
      </c>
      <c r="AU59" s="148">
        <f t="shared" si="16"/>
        <v>33064.080000000002</v>
      </c>
      <c r="AV59" s="148">
        <f t="shared" si="16"/>
        <v>30308.740000000005</v>
      </c>
      <c r="AW59" s="148"/>
      <c r="BA59" s="97">
        <v>-42</v>
      </c>
      <c r="BB59" s="149">
        <f t="shared" si="11"/>
        <v>3.0308740000000004E-2</v>
      </c>
      <c r="BC59" s="97">
        <v>42</v>
      </c>
      <c r="BD59" s="111">
        <f t="shared" si="12"/>
        <v>30308.740000000005</v>
      </c>
      <c r="BE59" s="111">
        <f t="shared" si="13"/>
        <v>1272967.0800000003</v>
      </c>
      <c r="BG59" s="102">
        <f t="shared" si="9"/>
        <v>-2755.3399999999965</v>
      </c>
      <c r="BH59" s="111"/>
      <c r="BI59" s="111"/>
      <c r="BL59" s="111"/>
      <c r="BM59" s="111"/>
      <c r="BW59" s="97" t="s">
        <v>619</v>
      </c>
    </row>
    <row r="60" spans="2:75">
      <c r="B60" s="98">
        <v>1983</v>
      </c>
      <c r="D60" s="102"/>
      <c r="E60" s="102"/>
      <c r="F60" s="102"/>
      <c r="G60" s="102">
        <f>G53</f>
        <v>109339</v>
      </c>
      <c r="H60" s="102">
        <f t="shared" ref="H60:AV60" si="17">$G60*E$40</f>
        <v>109120.322</v>
      </c>
      <c r="I60" s="102">
        <f t="shared" si="17"/>
        <v>108901.644</v>
      </c>
      <c r="J60" s="102">
        <f t="shared" si="17"/>
        <v>108682.966</v>
      </c>
      <c r="K60" s="102">
        <f t="shared" si="17"/>
        <v>108464.288</v>
      </c>
      <c r="L60" s="102">
        <f t="shared" si="17"/>
        <v>108245.61</v>
      </c>
      <c r="M60" s="102">
        <f t="shared" si="17"/>
        <v>107589.576</v>
      </c>
      <c r="N60" s="102">
        <f t="shared" si="17"/>
        <v>106933.542</v>
      </c>
      <c r="O60" s="102">
        <f t="shared" si="17"/>
        <v>106277.508</v>
      </c>
      <c r="P60" s="102">
        <f t="shared" si="17"/>
        <v>105621.474</v>
      </c>
      <c r="Q60" s="102">
        <f t="shared" si="17"/>
        <v>104965.44</v>
      </c>
      <c r="R60" s="102">
        <f t="shared" si="17"/>
        <v>102559.98199999999</v>
      </c>
      <c r="S60" s="102">
        <f t="shared" si="17"/>
        <v>100154.52399999999</v>
      </c>
      <c r="T60" s="102">
        <f t="shared" si="17"/>
        <v>97749.065999999992</v>
      </c>
      <c r="U60" s="102">
        <f t="shared" si="17"/>
        <v>95343.607999999993</v>
      </c>
      <c r="V60" s="102">
        <f t="shared" si="17"/>
        <v>92938.15</v>
      </c>
      <c r="W60" s="102">
        <f t="shared" si="17"/>
        <v>89001.945999999996</v>
      </c>
      <c r="X60" s="102">
        <f t="shared" si="17"/>
        <v>85065.741999999984</v>
      </c>
      <c r="Y60" s="102">
        <f t="shared" si="17"/>
        <v>81129.537999999986</v>
      </c>
      <c r="Z60" s="102">
        <f t="shared" si="17"/>
        <v>77193.333999999988</v>
      </c>
      <c r="AA60" s="102">
        <f t="shared" si="17"/>
        <v>73257.13</v>
      </c>
      <c r="AB60" s="102">
        <f t="shared" si="17"/>
        <v>69102.248000000007</v>
      </c>
      <c r="AC60" s="102">
        <f t="shared" si="17"/>
        <v>64947.365999999995</v>
      </c>
      <c r="AD60" s="102">
        <f t="shared" si="17"/>
        <v>60792.483999999997</v>
      </c>
      <c r="AE60" s="102">
        <f t="shared" si="17"/>
        <v>56637.601999999992</v>
      </c>
      <c r="AF60" s="102">
        <f t="shared" si="17"/>
        <v>52482.720000000001</v>
      </c>
      <c r="AG60" s="102">
        <f t="shared" si="17"/>
        <v>48983.872000000003</v>
      </c>
      <c r="AH60" s="102">
        <f t="shared" si="17"/>
        <v>45485.024000000005</v>
      </c>
      <c r="AI60" s="102">
        <f t="shared" si="17"/>
        <v>41986.176000000007</v>
      </c>
      <c r="AJ60" s="102">
        <f t="shared" si="17"/>
        <v>38487.328000000009</v>
      </c>
      <c r="AK60" s="102">
        <f t="shared" si="17"/>
        <v>34988.480000000003</v>
      </c>
      <c r="AL60" s="102">
        <f t="shared" si="17"/>
        <v>32583.021999999997</v>
      </c>
      <c r="AM60" s="103">
        <f t="shared" si="17"/>
        <v>30177.563999999995</v>
      </c>
      <c r="AN60" s="148">
        <f t="shared" si="17"/>
        <v>27772.105999999996</v>
      </c>
      <c r="AO60" s="148">
        <f t="shared" si="17"/>
        <v>25366.647999999994</v>
      </c>
      <c r="AP60" s="148">
        <f t="shared" si="17"/>
        <v>22961.19</v>
      </c>
      <c r="AQ60" s="148">
        <f t="shared" si="17"/>
        <v>21211.766</v>
      </c>
      <c r="AR60" s="148">
        <f t="shared" si="17"/>
        <v>19462.342000000001</v>
      </c>
      <c r="AS60" s="148">
        <f t="shared" si="17"/>
        <v>17712.918000000005</v>
      </c>
      <c r="AT60" s="148">
        <f t="shared" si="17"/>
        <v>15963.494000000004</v>
      </c>
      <c r="AU60" s="148">
        <f t="shared" si="17"/>
        <v>14214.07</v>
      </c>
      <c r="AV60" s="148">
        <f t="shared" si="17"/>
        <v>13120.68</v>
      </c>
      <c r="AW60" s="148"/>
      <c r="BA60" s="97">
        <v>-41</v>
      </c>
      <c r="BB60" s="149">
        <f t="shared" si="11"/>
        <v>1.3120680000000001E-2</v>
      </c>
      <c r="BC60" s="97">
        <v>41</v>
      </c>
      <c r="BD60" s="111">
        <f t="shared" si="12"/>
        <v>13120.68</v>
      </c>
      <c r="BE60" s="111">
        <f t="shared" si="13"/>
        <v>537947.88</v>
      </c>
      <c r="BG60" s="102">
        <f t="shared" si="9"/>
        <v>-1093.3899999999994</v>
      </c>
      <c r="BH60" s="111"/>
      <c r="BI60" s="111"/>
      <c r="BL60" s="111"/>
      <c r="BM60" s="111"/>
      <c r="BW60" s="97" t="s">
        <v>619</v>
      </c>
    </row>
    <row r="61" spans="2:75">
      <c r="B61" s="98">
        <v>1984</v>
      </c>
      <c r="D61" s="102"/>
      <c r="E61" s="102"/>
      <c r="F61" s="102"/>
      <c r="G61" s="102"/>
      <c r="H61" s="102">
        <f>H53</f>
        <v>244290</v>
      </c>
      <c r="I61" s="102">
        <f t="shared" ref="I61:AV61" si="18">$H61*E$40</f>
        <v>243801.42</v>
      </c>
      <c r="J61" s="102">
        <f t="shared" si="18"/>
        <v>243312.84</v>
      </c>
      <c r="K61" s="102">
        <f t="shared" si="18"/>
        <v>242824.26</v>
      </c>
      <c r="L61" s="102">
        <f t="shared" si="18"/>
        <v>242335.68</v>
      </c>
      <c r="M61" s="102">
        <f t="shared" si="18"/>
        <v>241847.1</v>
      </c>
      <c r="N61" s="102">
        <f t="shared" si="18"/>
        <v>240381.36</v>
      </c>
      <c r="O61" s="102">
        <f t="shared" si="18"/>
        <v>238915.62</v>
      </c>
      <c r="P61" s="102">
        <f t="shared" si="18"/>
        <v>237449.88</v>
      </c>
      <c r="Q61" s="102">
        <f t="shared" si="18"/>
        <v>235984.13999999998</v>
      </c>
      <c r="R61" s="102">
        <f t="shared" si="18"/>
        <v>234518.39999999999</v>
      </c>
      <c r="S61" s="102">
        <f t="shared" si="18"/>
        <v>229144.02</v>
      </c>
      <c r="T61" s="102">
        <f t="shared" si="18"/>
        <v>223769.63999999998</v>
      </c>
      <c r="U61" s="102">
        <f t="shared" si="18"/>
        <v>218395.25999999998</v>
      </c>
      <c r="V61" s="102">
        <f t="shared" si="18"/>
        <v>213020.87999999998</v>
      </c>
      <c r="W61" s="102">
        <f t="shared" si="18"/>
        <v>207646.5</v>
      </c>
      <c r="X61" s="102">
        <f t="shared" si="18"/>
        <v>198852.06</v>
      </c>
      <c r="Y61" s="102">
        <f t="shared" si="18"/>
        <v>190057.61999999997</v>
      </c>
      <c r="Z61" s="102">
        <f t="shared" si="18"/>
        <v>181263.17999999996</v>
      </c>
      <c r="AA61" s="102">
        <f t="shared" si="18"/>
        <v>172468.73999999996</v>
      </c>
      <c r="AB61" s="102">
        <f t="shared" si="18"/>
        <v>163674.30000000002</v>
      </c>
      <c r="AC61" s="102">
        <f t="shared" si="18"/>
        <v>154391.28</v>
      </c>
      <c r="AD61" s="102">
        <f t="shared" si="18"/>
        <v>145108.25999999998</v>
      </c>
      <c r="AE61" s="102">
        <f t="shared" si="18"/>
        <v>135825.24</v>
      </c>
      <c r="AF61" s="102">
        <f t="shared" si="18"/>
        <v>126542.21999999997</v>
      </c>
      <c r="AG61" s="102">
        <f t="shared" si="18"/>
        <v>117259.2</v>
      </c>
      <c r="AH61" s="102">
        <f t="shared" si="18"/>
        <v>109441.92</v>
      </c>
      <c r="AI61" s="102">
        <f t="shared" si="18"/>
        <v>101624.64000000001</v>
      </c>
      <c r="AJ61" s="102">
        <f t="shared" si="18"/>
        <v>93807.360000000015</v>
      </c>
      <c r="AK61" s="102">
        <f t="shared" si="18"/>
        <v>85990.080000000016</v>
      </c>
      <c r="AL61" s="102">
        <f t="shared" si="18"/>
        <v>78172.800000000003</v>
      </c>
      <c r="AM61" s="103">
        <f t="shared" si="18"/>
        <v>72798.42</v>
      </c>
      <c r="AN61" s="148">
        <f t="shared" si="18"/>
        <v>67424.039999999994</v>
      </c>
      <c r="AO61" s="148">
        <f t="shared" si="18"/>
        <v>62049.659999999989</v>
      </c>
      <c r="AP61" s="148">
        <f t="shared" si="18"/>
        <v>56675.279999999992</v>
      </c>
      <c r="AQ61" s="148">
        <f t="shared" si="18"/>
        <v>51300.9</v>
      </c>
      <c r="AR61" s="148">
        <f t="shared" si="18"/>
        <v>47392.26</v>
      </c>
      <c r="AS61" s="148">
        <f t="shared" si="18"/>
        <v>43483.62</v>
      </c>
      <c r="AT61" s="148">
        <f t="shared" si="18"/>
        <v>39574.98000000001</v>
      </c>
      <c r="AU61" s="148">
        <f t="shared" si="18"/>
        <v>35666.340000000011</v>
      </c>
      <c r="AV61" s="148">
        <f t="shared" si="18"/>
        <v>31757.7</v>
      </c>
      <c r="AW61" s="148"/>
      <c r="BA61" s="97">
        <v>-40</v>
      </c>
      <c r="BB61" s="149">
        <f t="shared" si="11"/>
        <v>3.17577E-2</v>
      </c>
      <c r="BC61" s="97">
        <v>40</v>
      </c>
      <c r="BD61" s="111">
        <f t="shared" si="12"/>
        <v>31757.7</v>
      </c>
      <c r="BE61" s="111">
        <f t="shared" si="13"/>
        <v>1270308</v>
      </c>
      <c r="BG61" s="102">
        <f t="shared" si="9"/>
        <v>-3908.6400000000103</v>
      </c>
      <c r="BH61" s="111"/>
      <c r="BI61" s="111"/>
      <c r="BL61" s="111"/>
      <c r="BM61" s="111"/>
      <c r="BW61" s="97" t="s">
        <v>619</v>
      </c>
    </row>
    <row r="62" spans="2:75">
      <c r="B62" s="98">
        <v>1985</v>
      </c>
      <c r="D62" s="102"/>
      <c r="E62" s="102"/>
      <c r="F62" s="102"/>
      <c r="G62" s="102"/>
      <c r="H62" s="102"/>
      <c r="I62" s="102">
        <f>I53</f>
        <v>311316</v>
      </c>
      <c r="J62" s="102">
        <f t="shared" ref="J62:AV62" si="19">$I62*E$40</f>
        <v>310693.36800000002</v>
      </c>
      <c r="K62" s="102">
        <f t="shared" si="19"/>
        <v>310070.73599999998</v>
      </c>
      <c r="L62" s="102">
        <f t="shared" si="19"/>
        <v>309448.10399999999</v>
      </c>
      <c r="M62" s="102">
        <f t="shared" si="19"/>
        <v>308825.47200000001</v>
      </c>
      <c r="N62" s="102">
        <f t="shared" si="19"/>
        <v>308202.84000000003</v>
      </c>
      <c r="O62" s="102">
        <f t="shared" si="19"/>
        <v>306334.94400000002</v>
      </c>
      <c r="P62" s="102">
        <f t="shared" si="19"/>
        <v>304467.04800000001</v>
      </c>
      <c r="Q62" s="102">
        <f t="shared" si="19"/>
        <v>302599.152</v>
      </c>
      <c r="R62" s="102">
        <f t="shared" si="19"/>
        <v>300731.25599999999</v>
      </c>
      <c r="S62" s="102">
        <f t="shared" si="19"/>
        <v>298863.35999999999</v>
      </c>
      <c r="T62" s="102">
        <f t="shared" si="19"/>
        <v>292014.408</v>
      </c>
      <c r="U62" s="102">
        <f t="shared" si="19"/>
        <v>285165.45600000001</v>
      </c>
      <c r="V62" s="102">
        <f t="shared" si="19"/>
        <v>278316.50399999996</v>
      </c>
      <c r="W62" s="102">
        <f t="shared" si="19"/>
        <v>271467.55199999997</v>
      </c>
      <c r="X62" s="102">
        <f t="shared" si="19"/>
        <v>264618.59999999998</v>
      </c>
      <c r="Y62" s="102">
        <f t="shared" si="19"/>
        <v>253411.22399999999</v>
      </c>
      <c r="Z62" s="102">
        <f t="shared" si="19"/>
        <v>242203.84799999997</v>
      </c>
      <c r="AA62" s="102">
        <f t="shared" si="19"/>
        <v>230996.47199999995</v>
      </c>
      <c r="AB62" s="102">
        <f t="shared" si="19"/>
        <v>219789.09599999996</v>
      </c>
      <c r="AC62" s="102">
        <f t="shared" si="19"/>
        <v>208581.72</v>
      </c>
      <c r="AD62" s="102">
        <f t="shared" si="19"/>
        <v>196751.712</v>
      </c>
      <c r="AE62" s="102">
        <f t="shared" si="19"/>
        <v>184921.704</v>
      </c>
      <c r="AF62" s="102">
        <f t="shared" si="19"/>
        <v>173091.69599999997</v>
      </c>
      <c r="AG62" s="102">
        <f t="shared" si="19"/>
        <v>161261.68799999997</v>
      </c>
      <c r="AH62" s="102">
        <f t="shared" si="19"/>
        <v>149431.67999999999</v>
      </c>
      <c r="AI62" s="102">
        <f t="shared" si="19"/>
        <v>139469.568</v>
      </c>
      <c r="AJ62" s="102">
        <f t="shared" si="19"/>
        <v>129507.45600000001</v>
      </c>
      <c r="AK62" s="102">
        <f t="shared" si="19"/>
        <v>119545.34400000003</v>
      </c>
      <c r="AL62" s="102">
        <f t="shared" si="19"/>
        <v>109583.23200000003</v>
      </c>
      <c r="AM62" s="103">
        <f t="shared" si="19"/>
        <v>99621.119999999995</v>
      </c>
      <c r="AN62" s="148">
        <f t="shared" si="19"/>
        <v>92772.167999999991</v>
      </c>
      <c r="AO62" s="148">
        <f t="shared" si="19"/>
        <v>85923.215999999986</v>
      </c>
      <c r="AP62" s="148">
        <f t="shared" si="19"/>
        <v>79074.263999999981</v>
      </c>
      <c r="AQ62" s="148">
        <f t="shared" si="19"/>
        <v>72225.311999999991</v>
      </c>
      <c r="AR62" s="148">
        <f t="shared" si="19"/>
        <v>65376.36</v>
      </c>
      <c r="AS62" s="148">
        <f t="shared" si="19"/>
        <v>60395.304000000004</v>
      </c>
      <c r="AT62" s="148">
        <f t="shared" si="19"/>
        <v>55414.248000000007</v>
      </c>
      <c r="AU62" s="148">
        <f t="shared" si="19"/>
        <v>50433.19200000001</v>
      </c>
      <c r="AV62" s="148">
        <f t="shared" si="19"/>
        <v>45452.136000000013</v>
      </c>
      <c r="AW62" s="148"/>
      <c r="BA62" s="97">
        <v>-39</v>
      </c>
      <c r="BB62" s="149">
        <f t="shared" si="11"/>
        <v>4.5452136000000011E-2</v>
      </c>
      <c r="BC62" s="97">
        <v>39</v>
      </c>
      <c r="BD62" s="111">
        <f t="shared" si="12"/>
        <v>45452.136000000013</v>
      </c>
      <c r="BE62" s="111">
        <f t="shared" si="13"/>
        <v>1772633.3040000005</v>
      </c>
      <c r="BG62" s="102">
        <f t="shared" si="9"/>
        <v>-4981.0559999999969</v>
      </c>
      <c r="BH62" s="111"/>
      <c r="BI62" s="111"/>
      <c r="BL62" s="111"/>
      <c r="BM62" s="111"/>
      <c r="BW62" s="97" t="s">
        <v>619</v>
      </c>
    </row>
    <row r="63" spans="2:75">
      <c r="B63" s="98">
        <v>1986</v>
      </c>
      <c r="D63" s="102"/>
      <c r="E63" s="102"/>
      <c r="F63" s="102"/>
      <c r="G63" s="102"/>
      <c r="H63" s="102"/>
      <c r="I63" s="102"/>
      <c r="J63" s="150">
        <f>J53</f>
        <v>-78920</v>
      </c>
      <c r="K63" s="150">
        <f t="shared" ref="K63:AV63" si="20">J63</f>
        <v>-78920</v>
      </c>
      <c r="L63" s="150">
        <f t="shared" si="20"/>
        <v>-78920</v>
      </c>
      <c r="M63" s="150">
        <f t="shared" si="20"/>
        <v>-78920</v>
      </c>
      <c r="N63" s="150">
        <f t="shared" si="20"/>
        <v>-78920</v>
      </c>
      <c r="O63" s="150">
        <f t="shared" si="20"/>
        <v>-78920</v>
      </c>
      <c r="P63" s="150">
        <f t="shared" si="20"/>
        <v>-78920</v>
      </c>
      <c r="Q63" s="150">
        <f t="shared" si="20"/>
        <v>-78920</v>
      </c>
      <c r="R63" s="150">
        <f t="shared" si="20"/>
        <v>-78920</v>
      </c>
      <c r="S63" s="150">
        <f t="shared" si="20"/>
        <v>-78920</v>
      </c>
      <c r="T63" s="150">
        <f t="shared" si="20"/>
        <v>-78920</v>
      </c>
      <c r="U63" s="150">
        <f t="shared" si="20"/>
        <v>-78920</v>
      </c>
      <c r="V63" s="150">
        <f t="shared" si="20"/>
        <v>-78920</v>
      </c>
      <c r="W63" s="150">
        <f t="shared" si="20"/>
        <v>-78920</v>
      </c>
      <c r="X63" s="150">
        <f t="shared" si="20"/>
        <v>-78920</v>
      </c>
      <c r="Y63" s="150">
        <f t="shared" si="20"/>
        <v>-78920</v>
      </c>
      <c r="Z63" s="150">
        <f t="shared" si="20"/>
        <v>-78920</v>
      </c>
      <c r="AA63" s="150">
        <f t="shared" si="20"/>
        <v>-78920</v>
      </c>
      <c r="AB63" s="150">
        <f t="shared" si="20"/>
        <v>-78920</v>
      </c>
      <c r="AC63" s="150">
        <f t="shared" si="20"/>
        <v>-78920</v>
      </c>
      <c r="AD63" s="150">
        <f t="shared" si="20"/>
        <v>-78920</v>
      </c>
      <c r="AE63" s="150">
        <f t="shared" si="20"/>
        <v>-78920</v>
      </c>
      <c r="AF63" s="150">
        <f t="shared" si="20"/>
        <v>-78920</v>
      </c>
      <c r="AG63" s="150">
        <f t="shared" si="20"/>
        <v>-78920</v>
      </c>
      <c r="AH63" s="150">
        <f t="shared" si="20"/>
        <v>-78920</v>
      </c>
      <c r="AI63" s="150">
        <f t="shared" si="20"/>
        <v>-78920</v>
      </c>
      <c r="AJ63" s="150">
        <f t="shared" si="20"/>
        <v>-78920</v>
      </c>
      <c r="AK63" s="150">
        <f t="shared" si="20"/>
        <v>-78920</v>
      </c>
      <c r="AL63" s="150">
        <f t="shared" si="20"/>
        <v>-78920</v>
      </c>
      <c r="AM63" s="103">
        <f t="shared" si="20"/>
        <v>-78920</v>
      </c>
      <c r="AN63" s="151">
        <f t="shared" si="20"/>
        <v>-78920</v>
      </c>
      <c r="AO63" s="151">
        <f t="shared" si="20"/>
        <v>-78920</v>
      </c>
      <c r="AP63" s="151">
        <f t="shared" si="20"/>
        <v>-78920</v>
      </c>
      <c r="AQ63" s="151">
        <f t="shared" si="20"/>
        <v>-78920</v>
      </c>
      <c r="AR63" s="151">
        <f t="shared" si="20"/>
        <v>-78920</v>
      </c>
      <c r="AS63" s="151">
        <f t="shared" si="20"/>
        <v>-78920</v>
      </c>
      <c r="AT63" s="151">
        <f t="shared" si="20"/>
        <v>-78920</v>
      </c>
      <c r="AU63" s="151">
        <f t="shared" si="20"/>
        <v>-78920</v>
      </c>
      <c r="AV63" s="151">
        <f t="shared" si="20"/>
        <v>-78920</v>
      </c>
      <c r="AW63" s="151" t="s">
        <v>672</v>
      </c>
      <c r="BA63" s="97">
        <v>-38</v>
      </c>
      <c r="BB63" s="149">
        <f t="shared" si="11"/>
        <v>0</v>
      </c>
      <c r="BC63" s="97">
        <v>38</v>
      </c>
      <c r="BD63" s="111">
        <f t="shared" si="12"/>
        <v>-78920</v>
      </c>
      <c r="BE63" s="111">
        <f t="shared" si="13"/>
        <v>-2998960</v>
      </c>
      <c r="BG63" s="102">
        <f t="shared" si="9"/>
        <v>0</v>
      </c>
      <c r="BH63" s="111"/>
      <c r="BI63" s="111"/>
      <c r="BL63" s="111"/>
      <c r="BM63" s="111"/>
      <c r="BW63" s="97" t="s">
        <v>619</v>
      </c>
    </row>
    <row r="64" spans="2:75">
      <c r="B64" s="98">
        <v>1987</v>
      </c>
      <c r="D64" s="102"/>
      <c r="E64" s="102"/>
      <c r="F64" s="102"/>
      <c r="G64" s="102"/>
      <c r="H64" s="102"/>
      <c r="I64" s="102"/>
      <c r="J64" s="102"/>
      <c r="K64" s="102">
        <f>K53</f>
        <v>133306</v>
      </c>
      <c r="L64" s="102">
        <f t="shared" ref="L64:AV64" si="21">$K64*E$40</f>
        <v>133039.38800000001</v>
      </c>
      <c r="M64" s="102">
        <f t="shared" si="21"/>
        <v>132772.77600000001</v>
      </c>
      <c r="N64" s="102">
        <f t="shared" si="21"/>
        <v>132506.16399999999</v>
      </c>
      <c r="O64" s="102">
        <f t="shared" si="21"/>
        <v>132239.552</v>
      </c>
      <c r="P64" s="102">
        <f t="shared" si="21"/>
        <v>131972.94</v>
      </c>
      <c r="Q64" s="102">
        <f t="shared" si="21"/>
        <v>131173.10399999999</v>
      </c>
      <c r="R64" s="102">
        <f t="shared" si="21"/>
        <v>130373.268</v>
      </c>
      <c r="S64" s="102">
        <f t="shared" si="21"/>
        <v>129573.432</v>
      </c>
      <c r="T64" s="102">
        <f t="shared" si="21"/>
        <v>128773.59599999999</v>
      </c>
      <c r="U64" s="102">
        <f t="shared" si="21"/>
        <v>127973.75999999999</v>
      </c>
      <c r="V64" s="102">
        <f t="shared" si="21"/>
        <v>125041.02799999999</v>
      </c>
      <c r="W64" s="102">
        <f t="shared" si="21"/>
        <v>122108.29599999999</v>
      </c>
      <c r="X64" s="102">
        <f t="shared" si="21"/>
        <v>119175.56399999998</v>
      </c>
      <c r="Y64" s="102">
        <f t="shared" si="21"/>
        <v>116242.83199999998</v>
      </c>
      <c r="Z64" s="102">
        <f t="shared" si="21"/>
        <v>113310.09999999999</v>
      </c>
      <c r="AA64" s="102">
        <f t="shared" si="21"/>
        <v>108511.08399999999</v>
      </c>
      <c r="AB64" s="102">
        <f t="shared" si="21"/>
        <v>103712.06799999998</v>
      </c>
      <c r="AC64" s="102">
        <f t="shared" si="21"/>
        <v>98913.051999999981</v>
      </c>
      <c r="AD64" s="102">
        <f t="shared" si="21"/>
        <v>94114.035999999978</v>
      </c>
      <c r="AE64" s="102">
        <f t="shared" si="21"/>
        <v>89315.02</v>
      </c>
      <c r="AF64" s="102">
        <f t="shared" si="21"/>
        <v>84249.392000000007</v>
      </c>
      <c r="AG64" s="102">
        <f t="shared" si="21"/>
        <v>79183.763999999996</v>
      </c>
      <c r="AH64" s="102">
        <f t="shared" si="21"/>
        <v>74118.135999999999</v>
      </c>
      <c r="AI64" s="102">
        <f t="shared" si="21"/>
        <v>69052.507999999987</v>
      </c>
      <c r="AJ64" s="102">
        <f t="shared" si="21"/>
        <v>63986.879999999997</v>
      </c>
      <c r="AK64" s="102">
        <f t="shared" si="21"/>
        <v>59721.088000000003</v>
      </c>
      <c r="AL64" s="102">
        <f t="shared" si="21"/>
        <v>55455.296000000002</v>
      </c>
      <c r="AM64" s="103">
        <f t="shared" si="21"/>
        <v>51189.504000000008</v>
      </c>
      <c r="AN64" s="148">
        <f t="shared" si="21"/>
        <v>46923.712000000014</v>
      </c>
      <c r="AO64" s="148">
        <f t="shared" si="21"/>
        <v>42657.919999999998</v>
      </c>
      <c r="AP64" s="148">
        <f t="shared" si="21"/>
        <v>39725.188000000002</v>
      </c>
      <c r="AQ64" s="148">
        <f t="shared" si="21"/>
        <v>36792.455999999998</v>
      </c>
      <c r="AR64" s="148">
        <f t="shared" si="21"/>
        <v>33859.723999999995</v>
      </c>
      <c r="AS64" s="148">
        <f t="shared" si="21"/>
        <v>30926.991999999995</v>
      </c>
      <c r="AT64" s="148">
        <f t="shared" si="21"/>
        <v>27994.26</v>
      </c>
      <c r="AU64" s="148">
        <f t="shared" si="21"/>
        <v>25861.364000000001</v>
      </c>
      <c r="AV64" s="148">
        <f t="shared" si="21"/>
        <v>23728.468000000001</v>
      </c>
      <c r="AW64" s="148"/>
      <c r="BA64" s="97">
        <v>-37</v>
      </c>
      <c r="BB64" s="149">
        <f t="shared" si="11"/>
        <v>2.3728467999999999E-2</v>
      </c>
      <c r="BC64" s="97">
        <v>37</v>
      </c>
      <c r="BD64" s="111">
        <f t="shared" si="12"/>
        <v>23728.468000000001</v>
      </c>
      <c r="BE64" s="111">
        <f t="shared" si="13"/>
        <v>877953.31599999999</v>
      </c>
      <c r="BG64" s="102">
        <f t="shared" si="9"/>
        <v>-2132.8960000000006</v>
      </c>
      <c r="BH64" s="111"/>
      <c r="BI64" s="111"/>
      <c r="BL64" s="111"/>
      <c r="BM64" s="111"/>
      <c r="BW64" s="97" t="s">
        <v>619</v>
      </c>
    </row>
    <row r="65" spans="2:75">
      <c r="B65" s="98">
        <v>1988</v>
      </c>
      <c r="D65" s="102"/>
      <c r="E65" s="102"/>
      <c r="F65" s="102"/>
      <c r="G65" s="102"/>
      <c r="H65" s="102"/>
      <c r="I65" s="102"/>
      <c r="J65" s="102"/>
      <c r="K65" s="102"/>
      <c r="L65" s="102">
        <f>L53</f>
        <v>261507</v>
      </c>
      <c r="M65" s="102">
        <f t="shared" ref="M65:AV65" si="22">$L65*E$40</f>
        <v>260983.986</v>
      </c>
      <c r="N65" s="102">
        <f t="shared" si="22"/>
        <v>260460.97200000001</v>
      </c>
      <c r="O65" s="102">
        <f t="shared" si="22"/>
        <v>259937.95799999998</v>
      </c>
      <c r="P65" s="102">
        <f t="shared" si="22"/>
        <v>259414.94399999999</v>
      </c>
      <c r="Q65" s="102">
        <f t="shared" si="22"/>
        <v>258891.93</v>
      </c>
      <c r="R65" s="102">
        <f t="shared" si="22"/>
        <v>257322.88800000001</v>
      </c>
      <c r="S65" s="102">
        <f t="shared" si="22"/>
        <v>255753.84599999999</v>
      </c>
      <c r="T65" s="102">
        <f t="shared" si="22"/>
        <v>254184.804</v>
      </c>
      <c r="U65" s="102">
        <f t="shared" si="22"/>
        <v>252615.76199999999</v>
      </c>
      <c r="V65" s="102">
        <f t="shared" si="22"/>
        <v>251046.72</v>
      </c>
      <c r="W65" s="102">
        <f t="shared" si="22"/>
        <v>245293.56599999999</v>
      </c>
      <c r="X65" s="102">
        <f t="shared" si="22"/>
        <v>239540.41199999998</v>
      </c>
      <c r="Y65" s="102">
        <f t="shared" si="22"/>
        <v>233787.25799999997</v>
      </c>
      <c r="Z65" s="102">
        <f t="shared" si="22"/>
        <v>228034.10399999996</v>
      </c>
      <c r="AA65" s="102">
        <f t="shared" si="22"/>
        <v>222280.94999999998</v>
      </c>
      <c r="AB65" s="102">
        <f t="shared" si="22"/>
        <v>212866.69799999997</v>
      </c>
      <c r="AC65" s="102">
        <f t="shared" si="22"/>
        <v>203452.44599999997</v>
      </c>
      <c r="AD65" s="102">
        <f t="shared" si="22"/>
        <v>194038.19399999996</v>
      </c>
      <c r="AE65" s="102">
        <f t="shared" si="22"/>
        <v>184623.94199999995</v>
      </c>
      <c r="AF65" s="102">
        <f t="shared" si="22"/>
        <v>175209.69</v>
      </c>
      <c r="AG65" s="102">
        <f t="shared" si="22"/>
        <v>165272.424</v>
      </c>
      <c r="AH65" s="102">
        <f t="shared" si="22"/>
        <v>155335.158</v>
      </c>
      <c r="AI65" s="102">
        <f t="shared" si="22"/>
        <v>145397.89199999999</v>
      </c>
      <c r="AJ65" s="102">
        <f t="shared" si="22"/>
        <v>135460.62599999999</v>
      </c>
      <c r="AK65" s="102">
        <f t="shared" si="22"/>
        <v>125523.36</v>
      </c>
      <c r="AL65" s="102">
        <f t="shared" si="22"/>
        <v>117155.136</v>
      </c>
      <c r="AM65" s="103">
        <f t="shared" si="22"/>
        <v>108786.91200000001</v>
      </c>
      <c r="AN65" s="148">
        <f t="shared" si="22"/>
        <v>100418.68800000002</v>
      </c>
      <c r="AO65" s="148">
        <f t="shared" si="22"/>
        <v>92050.464000000022</v>
      </c>
      <c r="AP65" s="148">
        <f t="shared" si="22"/>
        <v>83682.240000000005</v>
      </c>
      <c r="AQ65" s="148">
        <f t="shared" si="22"/>
        <v>77929.085999999996</v>
      </c>
      <c r="AR65" s="148">
        <f t="shared" si="22"/>
        <v>72175.931999999986</v>
      </c>
      <c r="AS65" s="148">
        <f t="shared" si="22"/>
        <v>66422.777999999991</v>
      </c>
      <c r="AT65" s="148">
        <f t="shared" si="22"/>
        <v>60669.623999999989</v>
      </c>
      <c r="AU65" s="148">
        <f t="shared" si="22"/>
        <v>54916.47</v>
      </c>
      <c r="AV65" s="148">
        <f t="shared" si="22"/>
        <v>50732.358</v>
      </c>
      <c r="AW65" s="148"/>
      <c r="BA65" s="97">
        <v>-36</v>
      </c>
      <c r="BB65" s="149">
        <f t="shared" si="11"/>
        <v>5.0732357999999998E-2</v>
      </c>
      <c r="BC65" s="97">
        <v>36</v>
      </c>
      <c r="BD65" s="111">
        <f t="shared" si="12"/>
        <v>50732.358</v>
      </c>
      <c r="BE65" s="111">
        <f t="shared" si="13"/>
        <v>1826364.888</v>
      </c>
      <c r="BG65" s="102">
        <f t="shared" si="9"/>
        <v>-4184.112000000001</v>
      </c>
      <c r="BH65" s="111"/>
      <c r="BI65" s="111"/>
      <c r="BL65" s="111"/>
      <c r="BM65" s="111"/>
      <c r="BW65" s="97" t="s">
        <v>619</v>
      </c>
    </row>
    <row r="66" spans="2:75">
      <c r="B66" s="98">
        <v>1989</v>
      </c>
      <c r="D66" s="102"/>
      <c r="E66" s="102"/>
      <c r="F66" s="102"/>
      <c r="G66" s="102"/>
      <c r="H66" s="102"/>
      <c r="I66" s="102"/>
      <c r="J66" s="102"/>
      <c r="K66" s="102"/>
      <c r="L66" s="102"/>
      <c r="M66" s="102">
        <f>M53</f>
        <v>405797</v>
      </c>
      <c r="N66" s="102">
        <f t="shared" ref="N66:AV66" si="23">$M66*E$40</f>
        <v>404985.40600000002</v>
      </c>
      <c r="O66" s="102">
        <f t="shared" si="23"/>
        <v>404173.81199999998</v>
      </c>
      <c r="P66" s="102">
        <f t="shared" si="23"/>
        <v>403362.21799999999</v>
      </c>
      <c r="Q66" s="102">
        <f t="shared" si="23"/>
        <v>402550.62400000001</v>
      </c>
      <c r="R66" s="102">
        <f t="shared" si="23"/>
        <v>401739.02999999997</v>
      </c>
      <c r="S66" s="102">
        <f t="shared" si="23"/>
        <v>399304.24800000002</v>
      </c>
      <c r="T66" s="102">
        <f t="shared" si="23"/>
        <v>396869.46600000001</v>
      </c>
      <c r="U66" s="102">
        <f t="shared" si="23"/>
        <v>394434.68400000001</v>
      </c>
      <c r="V66" s="102">
        <f t="shared" si="23"/>
        <v>391999.902</v>
      </c>
      <c r="W66" s="102">
        <f t="shared" si="23"/>
        <v>389565.12</v>
      </c>
      <c r="X66" s="102">
        <f t="shared" si="23"/>
        <v>380637.58599999995</v>
      </c>
      <c r="Y66" s="102">
        <f t="shared" si="23"/>
        <v>371710.05199999997</v>
      </c>
      <c r="Z66" s="102">
        <f t="shared" si="23"/>
        <v>362782.51799999998</v>
      </c>
      <c r="AA66" s="102">
        <f t="shared" si="23"/>
        <v>353854.98399999994</v>
      </c>
      <c r="AB66" s="102">
        <f t="shared" si="23"/>
        <v>344927.45</v>
      </c>
      <c r="AC66" s="102">
        <f t="shared" si="23"/>
        <v>330318.75799999997</v>
      </c>
      <c r="AD66" s="102">
        <f t="shared" si="23"/>
        <v>315710.06599999999</v>
      </c>
      <c r="AE66" s="102">
        <f t="shared" si="23"/>
        <v>301101.37399999995</v>
      </c>
      <c r="AF66" s="102">
        <f t="shared" si="23"/>
        <v>286492.68199999991</v>
      </c>
      <c r="AG66" s="102">
        <f t="shared" si="23"/>
        <v>271883.99</v>
      </c>
      <c r="AH66" s="102">
        <f t="shared" si="23"/>
        <v>256463.704</v>
      </c>
      <c r="AI66" s="102">
        <f t="shared" si="23"/>
        <v>241043.41799999998</v>
      </c>
      <c r="AJ66" s="102">
        <f t="shared" si="23"/>
        <v>225623.13199999998</v>
      </c>
      <c r="AK66" s="102">
        <f t="shared" si="23"/>
        <v>210202.84599999996</v>
      </c>
      <c r="AL66" s="102">
        <f t="shared" si="23"/>
        <v>194782.56</v>
      </c>
      <c r="AM66" s="103">
        <f t="shared" si="23"/>
        <v>181797.05600000001</v>
      </c>
      <c r="AN66" s="148">
        <f t="shared" si="23"/>
        <v>168811.55200000003</v>
      </c>
      <c r="AO66" s="148">
        <f t="shared" si="23"/>
        <v>155826.04800000004</v>
      </c>
      <c r="AP66" s="148">
        <f t="shared" si="23"/>
        <v>142840.54400000002</v>
      </c>
      <c r="AQ66" s="148">
        <f t="shared" si="23"/>
        <v>129855.04000000001</v>
      </c>
      <c r="AR66" s="148">
        <f t="shared" si="23"/>
        <v>120927.50599999999</v>
      </c>
      <c r="AS66" s="148">
        <f t="shared" si="23"/>
        <v>111999.97199999998</v>
      </c>
      <c r="AT66" s="148">
        <f t="shared" si="23"/>
        <v>103072.43799999998</v>
      </c>
      <c r="AU66" s="148">
        <f t="shared" si="23"/>
        <v>94144.90399999998</v>
      </c>
      <c r="AV66" s="148">
        <f t="shared" si="23"/>
        <v>85217.37</v>
      </c>
      <c r="AW66" s="148"/>
      <c r="BA66" s="145">
        <f t="shared" ref="BA66:BA101" si="24">-BC66</f>
        <v>-35</v>
      </c>
      <c r="BB66" s="149">
        <f t="shared" si="11"/>
        <v>8.5217370000000001E-2</v>
      </c>
      <c r="BC66" s="97">
        <v>35</v>
      </c>
      <c r="BD66" s="111">
        <f t="shared" si="12"/>
        <v>85217.37</v>
      </c>
      <c r="BE66" s="111">
        <f t="shared" si="13"/>
        <v>2982607.9499999997</v>
      </c>
      <c r="BG66" s="102">
        <f t="shared" si="9"/>
        <v>-8927.5339999999851</v>
      </c>
      <c r="BH66" s="111"/>
      <c r="BI66" s="111"/>
      <c r="BL66" s="111"/>
      <c r="BM66" s="111"/>
      <c r="BW66" s="97" t="s">
        <v>619</v>
      </c>
    </row>
    <row r="67" spans="2:75">
      <c r="B67" s="98">
        <v>1990</v>
      </c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>
        <f>N53</f>
        <v>552018</v>
      </c>
      <c r="O67" s="102">
        <f t="shared" ref="O67:AV67" si="25">$N67*E$40</f>
        <v>550913.96400000004</v>
      </c>
      <c r="P67" s="102">
        <f t="shared" si="25"/>
        <v>549809.92799999996</v>
      </c>
      <c r="Q67" s="102">
        <f t="shared" si="25"/>
        <v>548705.89199999999</v>
      </c>
      <c r="R67" s="102">
        <f t="shared" si="25"/>
        <v>547601.85600000003</v>
      </c>
      <c r="S67" s="102">
        <f t="shared" si="25"/>
        <v>546497.81999999995</v>
      </c>
      <c r="T67" s="102">
        <f t="shared" si="25"/>
        <v>543185.71199999994</v>
      </c>
      <c r="U67" s="102">
        <f t="shared" si="25"/>
        <v>539873.60399999993</v>
      </c>
      <c r="V67" s="102">
        <f t="shared" si="25"/>
        <v>536561.49600000004</v>
      </c>
      <c r="W67" s="102">
        <f t="shared" si="25"/>
        <v>533249.38800000004</v>
      </c>
      <c r="X67" s="102">
        <f t="shared" si="25"/>
        <v>529937.28</v>
      </c>
      <c r="Y67" s="102">
        <f t="shared" si="25"/>
        <v>517792.88399999996</v>
      </c>
      <c r="Z67" s="102">
        <f t="shared" si="25"/>
        <v>505648.48799999995</v>
      </c>
      <c r="AA67" s="102">
        <f t="shared" si="25"/>
        <v>493504.09199999995</v>
      </c>
      <c r="AB67" s="102">
        <f t="shared" si="25"/>
        <v>481359.69599999994</v>
      </c>
      <c r="AC67" s="102">
        <f t="shared" si="25"/>
        <v>469215.3</v>
      </c>
      <c r="AD67" s="102">
        <f t="shared" si="25"/>
        <v>449342.65199999994</v>
      </c>
      <c r="AE67" s="102">
        <f t="shared" si="25"/>
        <v>429470.00399999996</v>
      </c>
      <c r="AF67" s="102">
        <f t="shared" si="25"/>
        <v>409597.35599999991</v>
      </c>
      <c r="AG67" s="102">
        <f t="shared" si="25"/>
        <v>389724.70799999993</v>
      </c>
      <c r="AH67" s="102">
        <f t="shared" si="25"/>
        <v>369852.06</v>
      </c>
      <c r="AI67" s="102">
        <f t="shared" si="25"/>
        <v>348875.37599999999</v>
      </c>
      <c r="AJ67" s="102">
        <f t="shared" si="25"/>
        <v>327898.69199999998</v>
      </c>
      <c r="AK67" s="102">
        <f t="shared" si="25"/>
        <v>306922.00799999997</v>
      </c>
      <c r="AL67" s="102">
        <f t="shared" si="25"/>
        <v>285945.32399999996</v>
      </c>
      <c r="AM67" s="103">
        <f t="shared" si="25"/>
        <v>264968.64</v>
      </c>
      <c r="AN67" s="148">
        <f t="shared" si="25"/>
        <v>247304.06400000001</v>
      </c>
      <c r="AO67" s="148">
        <f t="shared" si="25"/>
        <v>229639.48800000001</v>
      </c>
      <c r="AP67" s="148">
        <f t="shared" si="25"/>
        <v>211974.91200000004</v>
      </c>
      <c r="AQ67" s="148">
        <f t="shared" si="25"/>
        <v>194310.33600000004</v>
      </c>
      <c r="AR67" s="148">
        <f t="shared" si="25"/>
        <v>176645.76000000001</v>
      </c>
      <c r="AS67" s="148">
        <f t="shared" si="25"/>
        <v>164501.364</v>
      </c>
      <c r="AT67" s="148">
        <f t="shared" si="25"/>
        <v>152356.96799999999</v>
      </c>
      <c r="AU67" s="148">
        <f t="shared" si="25"/>
        <v>140212.57199999999</v>
      </c>
      <c r="AV67" s="148">
        <f t="shared" si="25"/>
        <v>128068.17599999998</v>
      </c>
      <c r="AW67" s="148"/>
      <c r="BA67" s="145">
        <f t="shared" si="24"/>
        <v>-34</v>
      </c>
      <c r="BB67" s="149">
        <f t="shared" si="11"/>
        <v>0.12806817599999998</v>
      </c>
      <c r="BC67" s="97">
        <v>34</v>
      </c>
      <c r="BD67" s="111">
        <f t="shared" si="12"/>
        <v>128068.17599999998</v>
      </c>
      <c r="BE67" s="111">
        <f t="shared" si="13"/>
        <v>4354317.9839999992</v>
      </c>
      <c r="BG67" s="102">
        <f t="shared" si="9"/>
        <v>-12144.396000000008</v>
      </c>
      <c r="BH67" s="111"/>
      <c r="BI67" s="111"/>
      <c r="BL67" s="111"/>
      <c r="BM67" s="111"/>
      <c r="BW67" s="97" t="s">
        <v>619</v>
      </c>
    </row>
    <row r="68" spans="2:75">
      <c r="B68" s="98">
        <v>1991</v>
      </c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>
        <f>O53</f>
        <v>395158</v>
      </c>
      <c r="P68" s="102">
        <f t="shared" ref="P68:AV68" si="26">$O68*E$40</f>
        <v>394367.68400000001</v>
      </c>
      <c r="Q68" s="102">
        <f t="shared" si="26"/>
        <v>393577.36800000002</v>
      </c>
      <c r="R68" s="102">
        <f t="shared" si="26"/>
        <v>392787.05200000003</v>
      </c>
      <c r="S68" s="102">
        <f t="shared" si="26"/>
        <v>391996.73599999998</v>
      </c>
      <c r="T68" s="102">
        <f t="shared" si="26"/>
        <v>391206.42</v>
      </c>
      <c r="U68" s="102">
        <f t="shared" si="26"/>
        <v>388835.47200000001</v>
      </c>
      <c r="V68" s="102">
        <f t="shared" si="26"/>
        <v>386464.52399999998</v>
      </c>
      <c r="W68" s="102">
        <f t="shared" si="26"/>
        <v>384093.576</v>
      </c>
      <c r="X68" s="102">
        <f t="shared" si="26"/>
        <v>381722.62799999997</v>
      </c>
      <c r="Y68" s="102">
        <f t="shared" si="26"/>
        <v>379351.68</v>
      </c>
      <c r="Z68" s="102">
        <f t="shared" si="26"/>
        <v>370658.20399999997</v>
      </c>
      <c r="AA68" s="102">
        <f t="shared" si="26"/>
        <v>361964.72799999994</v>
      </c>
      <c r="AB68" s="102">
        <f t="shared" si="26"/>
        <v>353271.25199999998</v>
      </c>
      <c r="AC68" s="102">
        <f t="shared" si="26"/>
        <v>344577.77599999995</v>
      </c>
      <c r="AD68" s="102">
        <f t="shared" si="26"/>
        <v>335884.3</v>
      </c>
      <c r="AE68" s="102">
        <f t="shared" si="26"/>
        <v>321658.61199999996</v>
      </c>
      <c r="AF68" s="102">
        <f t="shared" si="26"/>
        <v>307432.92399999994</v>
      </c>
      <c r="AG68" s="102">
        <f t="shared" si="26"/>
        <v>293207.23599999998</v>
      </c>
      <c r="AH68" s="102">
        <f t="shared" si="26"/>
        <v>278981.54799999995</v>
      </c>
      <c r="AI68" s="102">
        <f t="shared" si="26"/>
        <v>264755.86000000004</v>
      </c>
      <c r="AJ68" s="102">
        <f t="shared" si="26"/>
        <v>249739.856</v>
      </c>
      <c r="AK68" s="102">
        <f t="shared" si="26"/>
        <v>234723.85199999998</v>
      </c>
      <c r="AL68" s="102">
        <f t="shared" si="26"/>
        <v>219707.84799999997</v>
      </c>
      <c r="AM68" s="103">
        <f t="shared" si="26"/>
        <v>204691.84399999995</v>
      </c>
      <c r="AN68" s="148">
        <f t="shared" si="26"/>
        <v>189675.84</v>
      </c>
      <c r="AO68" s="148">
        <f t="shared" si="26"/>
        <v>177030.78400000001</v>
      </c>
      <c r="AP68" s="148">
        <f t="shared" si="26"/>
        <v>164385.728</v>
      </c>
      <c r="AQ68" s="148">
        <f t="shared" si="26"/>
        <v>151740.67200000002</v>
      </c>
      <c r="AR68" s="148">
        <f t="shared" si="26"/>
        <v>139095.61600000004</v>
      </c>
      <c r="AS68" s="148">
        <f t="shared" si="26"/>
        <v>126450.56</v>
      </c>
      <c r="AT68" s="148">
        <f t="shared" si="26"/>
        <v>117757.08399999999</v>
      </c>
      <c r="AU68" s="148">
        <f t="shared" si="26"/>
        <v>109063.60799999999</v>
      </c>
      <c r="AV68" s="148">
        <f t="shared" si="26"/>
        <v>100370.13199999998</v>
      </c>
      <c r="AW68" s="148"/>
      <c r="BA68" s="145">
        <f t="shared" si="24"/>
        <v>-33</v>
      </c>
      <c r="BB68" s="149">
        <f t="shared" si="11"/>
        <v>0.10037013199999999</v>
      </c>
      <c r="BC68" s="97">
        <v>33</v>
      </c>
      <c r="BD68" s="111">
        <f t="shared" si="12"/>
        <v>100370.13199999998</v>
      </c>
      <c r="BE68" s="111">
        <f t="shared" si="13"/>
        <v>3312214.3559999997</v>
      </c>
      <c r="BG68" s="102">
        <f t="shared" si="9"/>
        <v>-8693.4760000000097</v>
      </c>
      <c r="BH68" s="111"/>
      <c r="BI68" s="111"/>
      <c r="BL68" s="111"/>
      <c r="BM68" s="111"/>
      <c r="BW68" s="97" t="s">
        <v>619</v>
      </c>
    </row>
    <row r="69" spans="2:75">
      <c r="B69" s="98">
        <v>1992</v>
      </c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>
        <f>P53</f>
        <v>448470</v>
      </c>
      <c r="Q69" s="102">
        <f t="shared" ref="Q69:AV69" si="27">$P69*E$40</f>
        <v>447573.06</v>
      </c>
      <c r="R69" s="102">
        <f t="shared" si="27"/>
        <v>446676.12</v>
      </c>
      <c r="S69" s="102">
        <f t="shared" si="27"/>
        <v>445779.18</v>
      </c>
      <c r="T69" s="102">
        <f t="shared" si="27"/>
        <v>444882.24</v>
      </c>
      <c r="U69" s="102">
        <f t="shared" si="27"/>
        <v>443985.3</v>
      </c>
      <c r="V69" s="102">
        <f t="shared" si="27"/>
        <v>441294.48</v>
      </c>
      <c r="W69" s="102">
        <f t="shared" si="27"/>
        <v>438603.66</v>
      </c>
      <c r="X69" s="102">
        <f t="shared" si="27"/>
        <v>435912.83999999997</v>
      </c>
      <c r="Y69" s="102">
        <f t="shared" si="27"/>
        <v>433222.01999999996</v>
      </c>
      <c r="Z69" s="102">
        <f t="shared" si="27"/>
        <v>430531.2</v>
      </c>
      <c r="AA69" s="102">
        <f t="shared" si="27"/>
        <v>420664.86</v>
      </c>
      <c r="AB69" s="102">
        <f t="shared" si="27"/>
        <v>410798.51999999996</v>
      </c>
      <c r="AC69" s="102">
        <f t="shared" si="27"/>
        <v>400932.17999999993</v>
      </c>
      <c r="AD69" s="102">
        <f t="shared" si="27"/>
        <v>391065.83999999997</v>
      </c>
      <c r="AE69" s="102">
        <f t="shared" si="27"/>
        <v>381199.5</v>
      </c>
      <c r="AF69" s="102">
        <f t="shared" si="27"/>
        <v>365054.57999999996</v>
      </c>
      <c r="AG69" s="102">
        <f t="shared" si="27"/>
        <v>348909.66</v>
      </c>
      <c r="AH69" s="102">
        <f t="shared" si="27"/>
        <v>332764.73999999993</v>
      </c>
      <c r="AI69" s="102">
        <f t="shared" si="27"/>
        <v>316619.81999999995</v>
      </c>
      <c r="AJ69" s="102">
        <f t="shared" si="27"/>
        <v>300474.90000000002</v>
      </c>
      <c r="AK69" s="102">
        <f t="shared" si="27"/>
        <v>283433.03999999998</v>
      </c>
      <c r="AL69" s="102">
        <f t="shared" si="27"/>
        <v>266391.18</v>
      </c>
      <c r="AM69" s="103">
        <f t="shared" si="27"/>
        <v>249349.31999999998</v>
      </c>
      <c r="AN69" s="148">
        <f t="shared" si="27"/>
        <v>232307.45999999996</v>
      </c>
      <c r="AO69" s="148">
        <f t="shared" si="27"/>
        <v>215265.6</v>
      </c>
      <c r="AP69" s="148">
        <f t="shared" si="27"/>
        <v>200914.56</v>
      </c>
      <c r="AQ69" s="148">
        <f t="shared" si="27"/>
        <v>186563.52000000002</v>
      </c>
      <c r="AR69" s="148">
        <f t="shared" si="27"/>
        <v>172212.48000000004</v>
      </c>
      <c r="AS69" s="148">
        <f t="shared" si="27"/>
        <v>157861.44000000003</v>
      </c>
      <c r="AT69" s="148">
        <f t="shared" si="27"/>
        <v>143510.39999999999</v>
      </c>
      <c r="AU69" s="148">
        <f t="shared" si="27"/>
        <v>133644.06</v>
      </c>
      <c r="AV69" s="148">
        <f t="shared" si="27"/>
        <v>123777.71999999999</v>
      </c>
      <c r="AW69" s="148"/>
      <c r="BA69" s="145">
        <f t="shared" si="24"/>
        <v>-32</v>
      </c>
      <c r="BB69" s="149">
        <f t="shared" si="11"/>
        <v>0.12377771999999998</v>
      </c>
      <c r="BC69" s="97">
        <v>32</v>
      </c>
      <c r="BD69" s="111">
        <f t="shared" si="12"/>
        <v>123777.71999999999</v>
      </c>
      <c r="BE69" s="111">
        <f t="shared" si="13"/>
        <v>3960887.0399999996</v>
      </c>
      <c r="BG69" s="102">
        <f t="shared" si="9"/>
        <v>-9866.3400000000111</v>
      </c>
      <c r="BH69" s="111"/>
      <c r="BI69" s="111"/>
      <c r="BL69" s="111"/>
      <c r="BM69" s="111"/>
      <c r="BW69" s="97" t="s">
        <v>619</v>
      </c>
    </row>
    <row r="70" spans="2:75">
      <c r="B70" s="98">
        <v>1993</v>
      </c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>
        <f>Q53</f>
        <v>316773</v>
      </c>
      <c r="R70" s="102">
        <f t="shared" ref="R70:AV70" si="28">$Q70*E$40</f>
        <v>316139.45400000003</v>
      </c>
      <c r="S70" s="102">
        <f t="shared" si="28"/>
        <v>315505.908</v>
      </c>
      <c r="T70" s="102">
        <f t="shared" si="28"/>
        <v>314872.36200000002</v>
      </c>
      <c r="U70" s="102">
        <f t="shared" si="28"/>
        <v>314238.81599999999</v>
      </c>
      <c r="V70" s="102">
        <f t="shared" si="28"/>
        <v>313605.27</v>
      </c>
      <c r="W70" s="102">
        <f t="shared" si="28"/>
        <v>311704.63199999998</v>
      </c>
      <c r="X70" s="102">
        <f t="shared" si="28"/>
        <v>309803.99400000001</v>
      </c>
      <c r="Y70" s="102">
        <f t="shared" si="28"/>
        <v>307903.35599999997</v>
      </c>
      <c r="Z70" s="102">
        <f t="shared" si="28"/>
        <v>306002.71799999999</v>
      </c>
      <c r="AA70" s="102">
        <f t="shared" si="28"/>
        <v>304102.08</v>
      </c>
      <c r="AB70" s="102">
        <f t="shared" si="28"/>
        <v>297133.07399999996</v>
      </c>
      <c r="AC70" s="102">
        <f t="shared" si="28"/>
        <v>290164.06799999997</v>
      </c>
      <c r="AD70" s="102">
        <f t="shared" si="28"/>
        <v>283195.06199999998</v>
      </c>
      <c r="AE70" s="102">
        <f t="shared" si="28"/>
        <v>276226.05599999998</v>
      </c>
      <c r="AF70" s="102">
        <f t="shared" si="28"/>
        <v>269257.05</v>
      </c>
      <c r="AG70" s="102">
        <f t="shared" si="28"/>
        <v>257853.22199999998</v>
      </c>
      <c r="AH70" s="102">
        <f t="shared" si="28"/>
        <v>246449.39399999997</v>
      </c>
      <c r="AI70" s="102">
        <f t="shared" si="28"/>
        <v>235045.56599999996</v>
      </c>
      <c r="AJ70" s="102">
        <f t="shared" si="28"/>
        <v>223641.73799999995</v>
      </c>
      <c r="AK70" s="102">
        <f t="shared" si="28"/>
        <v>212237.91</v>
      </c>
      <c r="AL70" s="102">
        <f t="shared" si="28"/>
        <v>200200.53599999999</v>
      </c>
      <c r="AM70" s="103">
        <f t="shared" si="28"/>
        <v>188163.16199999998</v>
      </c>
      <c r="AN70" s="148">
        <f t="shared" si="28"/>
        <v>176125.78799999997</v>
      </c>
      <c r="AO70" s="148">
        <f t="shared" si="28"/>
        <v>164088.41399999996</v>
      </c>
      <c r="AP70" s="148">
        <f t="shared" si="28"/>
        <v>152051.04</v>
      </c>
      <c r="AQ70" s="148">
        <f t="shared" si="28"/>
        <v>141914.304</v>
      </c>
      <c r="AR70" s="148">
        <f t="shared" si="28"/>
        <v>131777.568</v>
      </c>
      <c r="AS70" s="148">
        <f t="shared" si="28"/>
        <v>121640.83200000002</v>
      </c>
      <c r="AT70" s="148">
        <f t="shared" si="28"/>
        <v>111504.09600000003</v>
      </c>
      <c r="AU70" s="148">
        <f t="shared" si="28"/>
        <v>101367.36</v>
      </c>
      <c r="AV70" s="148">
        <f t="shared" si="28"/>
        <v>94398.353999999992</v>
      </c>
      <c r="AW70" s="148"/>
      <c r="BA70" s="145">
        <f t="shared" si="24"/>
        <v>-31</v>
      </c>
      <c r="BB70" s="149">
        <f t="shared" si="11"/>
        <v>9.439835399999999E-2</v>
      </c>
      <c r="BC70" s="97">
        <v>31</v>
      </c>
      <c r="BD70" s="111">
        <f t="shared" si="12"/>
        <v>94398.353999999992</v>
      </c>
      <c r="BE70" s="111">
        <f t="shared" si="13"/>
        <v>2926348.9739999999</v>
      </c>
      <c r="BG70" s="102">
        <f t="shared" si="9"/>
        <v>-6969.0060000000085</v>
      </c>
      <c r="BH70" s="111"/>
      <c r="BI70" s="111"/>
      <c r="BL70" s="111"/>
      <c r="BM70" s="111"/>
      <c r="BW70" s="97" t="s">
        <v>619</v>
      </c>
    </row>
    <row r="71" spans="2:75">
      <c r="B71" s="98">
        <v>1994</v>
      </c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50">
        <f>R53</f>
        <v>-498219</v>
      </c>
      <c r="S71" s="150">
        <f t="shared" ref="S71:AV71" si="29">R71</f>
        <v>-498219</v>
      </c>
      <c r="T71" s="150">
        <f t="shared" si="29"/>
        <v>-498219</v>
      </c>
      <c r="U71" s="150">
        <f t="shared" si="29"/>
        <v>-498219</v>
      </c>
      <c r="V71" s="150">
        <f t="shared" si="29"/>
        <v>-498219</v>
      </c>
      <c r="W71" s="150">
        <f t="shared" si="29"/>
        <v>-498219</v>
      </c>
      <c r="X71" s="150">
        <f t="shared" si="29"/>
        <v>-498219</v>
      </c>
      <c r="Y71" s="150">
        <f t="shared" si="29"/>
        <v>-498219</v>
      </c>
      <c r="Z71" s="150">
        <f t="shared" si="29"/>
        <v>-498219</v>
      </c>
      <c r="AA71" s="150">
        <f t="shared" si="29"/>
        <v>-498219</v>
      </c>
      <c r="AB71" s="150">
        <f t="shared" si="29"/>
        <v>-498219</v>
      </c>
      <c r="AC71" s="150">
        <f t="shared" si="29"/>
        <v>-498219</v>
      </c>
      <c r="AD71" s="150">
        <f t="shared" si="29"/>
        <v>-498219</v>
      </c>
      <c r="AE71" s="150">
        <f t="shared" si="29"/>
        <v>-498219</v>
      </c>
      <c r="AF71" s="150">
        <f t="shared" si="29"/>
        <v>-498219</v>
      </c>
      <c r="AG71" s="150">
        <f t="shared" si="29"/>
        <v>-498219</v>
      </c>
      <c r="AH71" s="150">
        <f t="shared" si="29"/>
        <v>-498219</v>
      </c>
      <c r="AI71" s="150">
        <f t="shared" si="29"/>
        <v>-498219</v>
      </c>
      <c r="AJ71" s="150">
        <f t="shared" si="29"/>
        <v>-498219</v>
      </c>
      <c r="AK71" s="150">
        <f t="shared" si="29"/>
        <v>-498219</v>
      </c>
      <c r="AL71" s="150">
        <f t="shared" si="29"/>
        <v>-498219</v>
      </c>
      <c r="AM71" s="103">
        <f t="shared" si="29"/>
        <v>-498219</v>
      </c>
      <c r="AN71" s="151">
        <f t="shared" si="29"/>
        <v>-498219</v>
      </c>
      <c r="AO71" s="151">
        <f t="shared" si="29"/>
        <v>-498219</v>
      </c>
      <c r="AP71" s="151">
        <f t="shared" si="29"/>
        <v>-498219</v>
      </c>
      <c r="AQ71" s="151">
        <f t="shared" si="29"/>
        <v>-498219</v>
      </c>
      <c r="AR71" s="151">
        <f t="shared" si="29"/>
        <v>-498219</v>
      </c>
      <c r="AS71" s="151">
        <f t="shared" si="29"/>
        <v>-498219</v>
      </c>
      <c r="AT71" s="151">
        <f t="shared" si="29"/>
        <v>-498219</v>
      </c>
      <c r="AU71" s="151">
        <f t="shared" si="29"/>
        <v>-498219</v>
      </c>
      <c r="AV71" s="151">
        <f t="shared" si="29"/>
        <v>-498219</v>
      </c>
      <c r="AW71" s="151" t="s">
        <v>673</v>
      </c>
      <c r="BA71" s="145">
        <f t="shared" si="24"/>
        <v>-30</v>
      </c>
      <c r="BB71" s="149">
        <f t="shared" si="11"/>
        <v>0</v>
      </c>
      <c r="BC71" s="97">
        <v>30</v>
      </c>
      <c r="BD71" s="111">
        <f t="shared" si="12"/>
        <v>-498219</v>
      </c>
      <c r="BE71" s="111">
        <f t="shared" si="13"/>
        <v>-14946570</v>
      </c>
      <c r="BG71" s="102">
        <f t="shared" si="9"/>
        <v>0</v>
      </c>
      <c r="BH71" s="111"/>
      <c r="BI71" s="111"/>
      <c r="BL71" s="111"/>
      <c r="BM71" s="111"/>
      <c r="BW71" s="97" t="s">
        <v>619</v>
      </c>
    </row>
    <row r="72" spans="2:75">
      <c r="B72" s="98">
        <v>1995</v>
      </c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>
        <f>S53</f>
        <v>251772</v>
      </c>
      <c r="T72" s="102">
        <f t="shared" ref="T72:AV72" si="30">$S72*E$40</f>
        <v>251268.45600000001</v>
      </c>
      <c r="U72" s="102">
        <f t="shared" si="30"/>
        <v>250764.91200000001</v>
      </c>
      <c r="V72" s="102">
        <f t="shared" si="30"/>
        <v>250261.36799999999</v>
      </c>
      <c r="W72" s="102">
        <f t="shared" si="30"/>
        <v>249757.82399999999</v>
      </c>
      <c r="X72" s="102">
        <f t="shared" si="30"/>
        <v>249254.28</v>
      </c>
      <c r="Y72" s="102">
        <f t="shared" si="30"/>
        <v>247743.64799999999</v>
      </c>
      <c r="Z72" s="102">
        <f t="shared" si="30"/>
        <v>246233.016</v>
      </c>
      <c r="AA72" s="102">
        <f t="shared" si="30"/>
        <v>244722.38399999999</v>
      </c>
      <c r="AB72" s="102">
        <f t="shared" si="30"/>
        <v>243211.75199999998</v>
      </c>
      <c r="AC72" s="102">
        <f t="shared" si="30"/>
        <v>241701.12</v>
      </c>
      <c r="AD72" s="102">
        <f t="shared" si="30"/>
        <v>236162.136</v>
      </c>
      <c r="AE72" s="102">
        <f t="shared" si="30"/>
        <v>230623.15199999997</v>
      </c>
      <c r="AF72" s="102">
        <f t="shared" si="30"/>
        <v>225084.16799999998</v>
      </c>
      <c r="AG72" s="102">
        <f t="shared" si="30"/>
        <v>219545.18399999998</v>
      </c>
      <c r="AH72" s="102">
        <f t="shared" si="30"/>
        <v>214006.19999999998</v>
      </c>
      <c r="AI72" s="102">
        <f t="shared" si="30"/>
        <v>204942.408</v>
      </c>
      <c r="AJ72" s="102">
        <f t="shared" si="30"/>
        <v>195878.61599999998</v>
      </c>
      <c r="AK72" s="102">
        <f t="shared" si="30"/>
        <v>186814.82399999996</v>
      </c>
      <c r="AL72" s="102">
        <f t="shared" si="30"/>
        <v>177751.03199999995</v>
      </c>
      <c r="AM72" s="103">
        <f t="shared" si="30"/>
        <v>168687.24000000002</v>
      </c>
      <c r="AN72" s="148">
        <f t="shared" si="30"/>
        <v>159119.90400000001</v>
      </c>
      <c r="AO72" s="148">
        <f t="shared" si="30"/>
        <v>149552.568</v>
      </c>
      <c r="AP72" s="148">
        <f t="shared" si="30"/>
        <v>139985.23199999999</v>
      </c>
      <c r="AQ72" s="148">
        <f t="shared" si="30"/>
        <v>130417.89599999998</v>
      </c>
      <c r="AR72" s="148">
        <f t="shared" si="30"/>
        <v>120850.56</v>
      </c>
      <c r="AS72" s="148">
        <f t="shared" si="30"/>
        <v>112793.856</v>
      </c>
      <c r="AT72" s="148">
        <f t="shared" si="30"/>
        <v>104737.15200000002</v>
      </c>
      <c r="AU72" s="148">
        <f t="shared" si="30"/>
        <v>96680.448000000019</v>
      </c>
      <c r="AV72" s="148">
        <f t="shared" si="30"/>
        <v>88623.744000000021</v>
      </c>
      <c r="AW72" s="148"/>
      <c r="BA72" s="145">
        <f t="shared" si="24"/>
        <v>-29</v>
      </c>
      <c r="BB72" s="149">
        <f t="shared" si="11"/>
        <v>8.8623744000000018E-2</v>
      </c>
      <c r="BC72" s="97">
        <v>29</v>
      </c>
      <c r="BD72" s="111">
        <f t="shared" si="12"/>
        <v>88623.744000000021</v>
      </c>
      <c r="BE72" s="111">
        <f t="shared" si="13"/>
        <v>2570088.5760000008</v>
      </c>
      <c r="BG72" s="102">
        <f t="shared" si="9"/>
        <v>-8056.7039999999979</v>
      </c>
      <c r="BH72" s="111"/>
      <c r="BI72" s="111"/>
      <c r="BL72" s="111"/>
      <c r="BM72" s="111"/>
      <c r="BW72" s="97" t="s">
        <v>619</v>
      </c>
    </row>
    <row r="73" spans="2:75">
      <c r="B73" s="98">
        <v>1996</v>
      </c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>
        <f>T53</f>
        <v>361360</v>
      </c>
      <c r="U73" s="102">
        <f t="shared" ref="U73:AV73" si="31">$T73*E$40</f>
        <v>360637.28</v>
      </c>
      <c r="V73" s="102">
        <f t="shared" si="31"/>
        <v>359914.56</v>
      </c>
      <c r="W73" s="102">
        <f t="shared" si="31"/>
        <v>359191.84</v>
      </c>
      <c r="X73" s="102">
        <f t="shared" si="31"/>
        <v>358469.12</v>
      </c>
      <c r="Y73" s="102">
        <f t="shared" si="31"/>
        <v>357746.4</v>
      </c>
      <c r="Z73" s="102">
        <f t="shared" si="31"/>
        <v>355578.24</v>
      </c>
      <c r="AA73" s="102">
        <f t="shared" si="31"/>
        <v>353410.08</v>
      </c>
      <c r="AB73" s="102">
        <f t="shared" si="31"/>
        <v>351241.92</v>
      </c>
      <c r="AC73" s="102">
        <f t="shared" si="31"/>
        <v>349073.76</v>
      </c>
      <c r="AD73" s="102">
        <f t="shared" si="31"/>
        <v>346905.59999999998</v>
      </c>
      <c r="AE73" s="102">
        <f t="shared" si="31"/>
        <v>338955.68</v>
      </c>
      <c r="AF73" s="102">
        <f t="shared" si="31"/>
        <v>331005.75999999995</v>
      </c>
      <c r="AG73" s="102">
        <f t="shared" si="31"/>
        <v>323055.83999999997</v>
      </c>
      <c r="AH73" s="102">
        <f t="shared" si="31"/>
        <v>315105.91999999998</v>
      </c>
      <c r="AI73" s="102">
        <f t="shared" si="31"/>
        <v>307156</v>
      </c>
      <c r="AJ73" s="102">
        <f t="shared" si="31"/>
        <v>294147.03999999998</v>
      </c>
      <c r="AK73" s="102">
        <f t="shared" si="31"/>
        <v>281138.07999999996</v>
      </c>
      <c r="AL73" s="102">
        <f t="shared" si="31"/>
        <v>268129.11999999994</v>
      </c>
      <c r="AM73" s="103">
        <f t="shared" si="31"/>
        <v>255120.15999999995</v>
      </c>
      <c r="AN73" s="148">
        <f t="shared" si="31"/>
        <v>242111.2</v>
      </c>
      <c r="AO73" s="148">
        <f t="shared" si="31"/>
        <v>228379.51999999999</v>
      </c>
      <c r="AP73" s="148">
        <f t="shared" si="31"/>
        <v>214647.84</v>
      </c>
      <c r="AQ73" s="148">
        <f t="shared" si="31"/>
        <v>200916.15999999997</v>
      </c>
      <c r="AR73" s="148">
        <f t="shared" si="31"/>
        <v>187184.47999999995</v>
      </c>
      <c r="AS73" s="148">
        <f t="shared" si="31"/>
        <v>173452.79999999999</v>
      </c>
      <c r="AT73" s="148">
        <f t="shared" si="31"/>
        <v>161889.28</v>
      </c>
      <c r="AU73" s="148">
        <f t="shared" si="31"/>
        <v>150325.76000000001</v>
      </c>
      <c r="AV73" s="148">
        <f t="shared" si="31"/>
        <v>138762.24000000002</v>
      </c>
      <c r="AW73" s="148"/>
      <c r="BA73" s="145">
        <f t="shared" si="24"/>
        <v>-28</v>
      </c>
      <c r="BB73" s="149">
        <f t="shared" si="11"/>
        <v>0.13876224000000001</v>
      </c>
      <c r="BC73" s="97">
        <v>28</v>
      </c>
      <c r="BD73" s="111">
        <f t="shared" si="12"/>
        <v>138762.24000000002</v>
      </c>
      <c r="BE73" s="111">
        <f t="shared" si="13"/>
        <v>3885342.7200000007</v>
      </c>
      <c r="BG73" s="102">
        <f t="shared" si="9"/>
        <v>-11563.51999999999</v>
      </c>
      <c r="BH73" s="111"/>
      <c r="BI73" s="111"/>
      <c r="BL73" s="111"/>
      <c r="BM73" s="111"/>
      <c r="BW73" s="97" t="s">
        <v>619</v>
      </c>
    </row>
    <row r="74" spans="2:75">
      <c r="B74" s="98">
        <v>1997</v>
      </c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>
        <f>U53</f>
        <v>572131</v>
      </c>
      <c r="V74" s="102">
        <f t="shared" ref="V74:AV74" si="32">$U74*E$40</f>
        <v>570986.73800000001</v>
      </c>
      <c r="W74" s="102">
        <f t="shared" si="32"/>
        <v>569842.47600000002</v>
      </c>
      <c r="X74" s="102">
        <f t="shared" si="32"/>
        <v>568698.21400000004</v>
      </c>
      <c r="Y74" s="102">
        <f t="shared" si="32"/>
        <v>567553.95200000005</v>
      </c>
      <c r="Z74" s="102">
        <f t="shared" si="32"/>
        <v>566409.68999999994</v>
      </c>
      <c r="AA74" s="102">
        <f t="shared" si="32"/>
        <v>562976.90399999998</v>
      </c>
      <c r="AB74" s="102">
        <f t="shared" si="32"/>
        <v>559544.11800000002</v>
      </c>
      <c r="AC74" s="102">
        <f t="shared" si="32"/>
        <v>556111.33199999994</v>
      </c>
      <c r="AD74" s="102">
        <f t="shared" si="32"/>
        <v>552678.54599999997</v>
      </c>
      <c r="AE74" s="102">
        <f t="shared" si="32"/>
        <v>549245.76</v>
      </c>
      <c r="AF74" s="102">
        <f t="shared" si="32"/>
        <v>536658.87800000003</v>
      </c>
      <c r="AG74" s="102">
        <f t="shared" si="32"/>
        <v>524071.99599999998</v>
      </c>
      <c r="AH74" s="102">
        <f t="shared" si="32"/>
        <v>511485.11399999994</v>
      </c>
      <c r="AI74" s="102">
        <f t="shared" si="32"/>
        <v>498898.23199999996</v>
      </c>
      <c r="AJ74" s="102">
        <f t="shared" si="32"/>
        <v>486311.35</v>
      </c>
      <c r="AK74" s="102">
        <f t="shared" si="32"/>
        <v>465714.63399999996</v>
      </c>
      <c r="AL74" s="102">
        <f t="shared" si="32"/>
        <v>445117.91799999995</v>
      </c>
      <c r="AM74" s="103">
        <f t="shared" si="32"/>
        <v>424521.20199999993</v>
      </c>
      <c r="AN74" s="148">
        <f t="shared" si="32"/>
        <v>403924.48599999992</v>
      </c>
      <c r="AO74" s="148">
        <f t="shared" si="32"/>
        <v>383327.77</v>
      </c>
      <c r="AP74" s="148">
        <f t="shared" si="32"/>
        <v>361586.79200000002</v>
      </c>
      <c r="AQ74" s="148">
        <f t="shared" si="32"/>
        <v>339845.81400000001</v>
      </c>
      <c r="AR74" s="148">
        <f t="shared" si="32"/>
        <v>318104.83599999995</v>
      </c>
      <c r="AS74" s="148">
        <f t="shared" si="32"/>
        <v>296363.85799999995</v>
      </c>
      <c r="AT74" s="148">
        <f t="shared" si="32"/>
        <v>274622.88</v>
      </c>
      <c r="AU74" s="148">
        <f t="shared" si="32"/>
        <v>256314.68799999999</v>
      </c>
      <c r="AV74" s="148">
        <f t="shared" si="32"/>
        <v>238006.49600000001</v>
      </c>
      <c r="AW74" s="148"/>
      <c r="BA74" s="145">
        <f t="shared" si="24"/>
        <v>-27</v>
      </c>
      <c r="BB74" s="149">
        <f t="shared" si="11"/>
        <v>0.23800649600000001</v>
      </c>
      <c r="BC74" s="97">
        <v>27</v>
      </c>
      <c r="BD74" s="111">
        <f t="shared" si="12"/>
        <v>238006.49600000001</v>
      </c>
      <c r="BE74" s="111">
        <f t="shared" si="13"/>
        <v>6426175.392</v>
      </c>
      <c r="BG74" s="102">
        <f t="shared" si="9"/>
        <v>-18308.191999999981</v>
      </c>
      <c r="BH74" s="111"/>
      <c r="BI74" s="111"/>
      <c r="BL74" s="111"/>
      <c r="BM74" s="111"/>
      <c r="BW74" s="97" t="s">
        <v>619</v>
      </c>
    </row>
    <row r="75" spans="2:75">
      <c r="B75" s="98">
        <v>1998</v>
      </c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>
        <f>V53</f>
        <v>683214</v>
      </c>
      <c r="W75" s="102">
        <f t="shared" ref="W75:AV75" si="33">$V75*E$40</f>
        <v>681847.57200000004</v>
      </c>
      <c r="X75" s="102">
        <f t="shared" si="33"/>
        <v>680481.14399999997</v>
      </c>
      <c r="Y75" s="102">
        <f t="shared" si="33"/>
        <v>679114.71600000001</v>
      </c>
      <c r="Z75" s="102">
        <f t="shared" si="33"/>
        <v>677748.28799999994</v>
      </c>
      <c r="AA75" s="102">
        <f t="shared" si="33"/>
        <v>676381.86</v>
      </c>
      <c r="AB75" s="102">
        <f t="shared" si="33"/>
        <v>672282.576</v>
      </c>
      <c r="AC75" s="102">
        <f t="shared" si="33"/>
        <v>668183.29200000002</v>
      </c>
      <c r="AD75" s="102">
        <f t="shared" si="33"/>
        <v>664084.00800000003</v>
      </c>
      <c r="AE75" s="102">
        <f t="shared" si="33"/>
        <v>659984.72399999993</v>
      </c>
      <c r="AF75" s="102">
        <f t="shared" si="33"/>
        <v>655885.43999999994</v>
      </c>
      <c r="AG75" s="102">
        <f t="shared" si="33"/>
        <v>640854.73199999996</v>
      </c>
      <c r="AH75" s="102">
        <f t="shared" si="33"/>
        <v>625824.02399999998</v>
      </c>
      <c r="AI75" s="102">
        <f t="shared" si="33"/>
        <v>610793.31599999999</v>
      </c>
      <c r="AJ75" s="102">
        <f t="shared" si="33"/>
        <v>595762.60799999989</v>
      </c>
      <c r="AK75" s="102">
        <f t="shared" si="33"/>
        <v>580731.9</v>
      </c>
      <c r="AL75" s="102">
        <f t="shared" si="33"/>
        <v>556136.196</v>
      </c>
      <c r="AM75" s="103">
        <f t="shared" si="33"/>
        <v>531540.49199999997</v>
      </c>
      <c r="AN75" s="148">
        <f t="shared" si="33"/>
        <v>506944.78799999994</v>
      </c>
      <c r="AO75" s="148">
        <f t="shared" si="33"/>
        <v>482349.08399999992</v>
      </c>
      <c r="AP75" s="148">
        <f t="shared" si="33"/>
        <v>457753.38</v>
      </c>
      <c r="AQ75" s="148">
        <f t="shared" si="33"/>
        <v>431791.24800000002</v>
      </c>
      <c r="AR75" s="148">
        <f t="shared" si="33"/>
        <v>405829.11599999998</v>
      </c>
      <c r="AS75" s="148">
        <f t="shared" si="33"/>
        <v>379866.98399999994</v>
      </c>
      <c r="AT75" s="148">
        <f t="shared" si="33"/>
        <v>353904.85199999996</v>
      </c>
      <c r="AU75" s="148">
        <f t="shared" si="33"/>
        <v>327942.71999999997</v>
      </c>
      <c r="AV75" s="148">
        <f t="shared" si="33"/>
        <v>306079.87200000003</v>
      </c>
      <c r="AW75" s="148"/>
      <c r="BA75" s="145">
        <f t="shared" si="24"/>
        <v>-26</v>
      </c>
      <c r="BB75" s="149">
        <f t="shared" si="11"/>
        <v>0.30607987200000003</v>
      </c>
      <c r="BC75" s="97">
        <v>26</v>
      </c>
      <c r="BD75" s="111">
        <f t="shared" si="12"/>
        <v>306079.87200000003</v>
      </c>
      <c r="BE75" s="111">
        <f t="shared" si="13"/>
        <v>7958076.6720000012</v>
      </c>
      <c r="BG75" s="102">
        <f t="shared" si="9"/>
        <v>-21862.84799999994</v>
      </c>
      <c r="BH75" s="111"/>
      <c r="BI75" s="111"/>
      <c r="BL75" s="111"/>
      <c r="BM75" s="111"/>
      <c r="BW75" s="97" t="s">
        <v>619</v>
      </c>
    </row>
    <row r="76" spans="2:75">
      <c r="B76" s="98">
        <v>1999</v>
      </c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>
        <f>W53</f>
        <v>496587</v>
      </c>
      <c r="X76" s="102">
        <f t="shared" ref="X76:AV76" si="34">$W76*E$40</f>
        <v>495593.826</v>
      </c>
      <c r="Y76" s="102">
        <f t="shared" si="34"/>
        <v>494600.652</v>
      </c>
      <c r="Z76" s="102">
        <f t="shared" si="34"/>
        <v>493607.478</v>
      </c>
      <c r="AA76" s="102">
        <f t="shared" si="34"/>
        <v>492614.304</v>
      </c>
      <c r="AB76" s="102">
        <f t="shared" si="34"/>
        <v>491621.13</v>
      </c>
      <c r="AC76" s="102">
        <f t="shared" si="34"/>
        <v>488641.60800000001</v>
      </c>
      <c r="AD76" s="102">
        <f t="shared" si="34"/>
        <v>485662.08600000001</v>
      </c>
      <c r="AE76" s="102">
        <f t="shared" si="34"/>
        <v>482682.56400000001</v>
      </c>
      <c r="AF76" s="102">
        <f t="shared" si="34"/>
        <v>479703.04199999996</v>
      </c>
      <c r="AG76" s="102">
        <f t="shared" si="34"/>
        <v>476723.51999999996</v>
      </c>
      <c r="AH76" s="102">
        <f t="shared" si="34"/>
        <v>465798.60599999997</v>
      </c>
      <c r="AI76" s="102">
        <f t="shared" si="34"/>
        <v>454873.69199999998</v>
      </c>
      <c r="AJ76" s="102">
        <f t="shared" si="34"/>
        <v>443948.77799999993</v>
      </c>
      <c r="AK76" s="102">
        <f t="shared" si="34"/>
        <v>433023.86399999994</v>
      </c>
      <c r="AL76" s="102">
        <f t="shared" si="34"/>
        <v>422098.95</v>
      </c>
      <c r="AM76" s="103">
        <f t="shared" si="34"/>
        <v>404221.81799999997</v>
      </c>
      <c r="AN76" s="148">
        <f t="shared" si="34"/>
        <v>386344.68599999993</v>
      </c>
      <c r="AO76" s="148">
        <f t="shared" si="34"/>
        <v>368467.55399999995</v>
      </c>
      <c r="AP76" s="148">
        <f t="shared" si="34"/>
        <v>350590.4219999999</v>
      </c>
      <c r="AQ76" s="148">
        <f t="shared" si="34"/>
        <v>332713.29000000004</v>
      </c>
      <c r="AR76" s="148">
        <f t="shared" si="34"/>
        <v>313842.984</v>
      </c>
      <c r="AS76" s="148">
        <f t="shared" si="34"/>
        <v>294972.67800000001</v>
      </c>
      <c r="AT76" s="148">
        <f t="shared" si="34"/>
        <v>276102.37199999997</v>
      </c>
      <c r="AU76" s="148">
        <f t="shared" si="34"/>
        <v>257232.06599999996</v>
      </c>
      <c r="AV76" s="148">
        <f t="shared" si="34"/>
        <v>238361.75999999998</v>
      </c>
      <c r="AW76" s="148"/>
      <c r="BA76" s="145">
        <f t="shared" si="24"/>
        <v>-25</v>
      </c>
      <c r="BB76" s="149">
        <f t="shared" si="11"/>
        <v>0.23836175999999998</v>
      </c>
      <c r="BC76" s="97">
        <v>25</v>
      </c>
      <c r="BD76" s="111">
        <f t="shared" si="12"/>
        <v>238361.75999999998</v>
      </c>
      <c r="BE76" s="111">
        <f t="shared" si="13"/>
        <v>5959043.9999999991</v>
      </c>
      <c r="BG76" s="102">
        <f t="shared" si="9"/>
        <v>-18870.305999999982</v>
      </c>
      <c r="BH76" s="111"/>
      <c r="BI76" s="111"/>
      <c r="BL76" s="111"/>
      <c r="BM76" s="111"/>
      <c r="BW76" s="97" t="s">
        <v>619</v>
      </c>
    </row>
    <row r="77" spans="2:75">
      <c r="B77" s="98">
        <v>2000</v>
      </c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>
        <f>X53</f>
        <v>593383</v>
      </c>
      <c r="Y77" s="102">
        <f t="shared" ref="Y77:AV77" si="35">$X77*E$40</f>
        <v>592196.23400000005</v>
      </c>
      <c r="Z77" s="102">
        <f t="shared" si="35"/>
        <v>591009.46799999999</v>
      </c>
      <c r="AA77" s="102">
        <f t="shared" si="35"/>
        <v>589822.70200000005</v>
      </c>
      <c r="AB77" s="102">
        <f t="shared" si="35"/>
        <v>588635.93599999999</v>
      </c>
      <c r="AC77" s="102">
        <f t="shared" si="35"/>
        <v>587449.17000000004</v>
      </c>
      <c r="AD77" s="102">
        <f t="shared" si="35"/>
        <v>583888.87199999997</v>
      </c>
      <c r="AE77" s="102">
        <f t="shared" si="35"/>
        <v>580328.57400000002</v>
      </c>
      <c r="AF77" s="102">
        <f t="shared" si="35"/>
        <v>576768.27599999995</v>
      </c>
      <c r="AG77" s="102">
        <f t="shared" si="35"/>
        <v>573207.978</v>
      </c>
      <c r="AH77" s="102">
        <f t="shared" si="35"/>
        <v>569647.67999999993</v>
      </c>
      <c r="AI77" s="102">
        <f t="shared" si="35"/>
        <v>556593.25399999996</v>
      </c>
      <c r="AJ77" s="102">
        <f t="shared" si="35"/>
        <v>543538.82799999998</v>
      </c>
      <c r="AK77" s="102">
        <f t="shared" si="35"/>
        <v>530484.402</v>
      </c>
      <c r="AL77" s="102">
        <f t="shared" si="35"/>
        <v>517429.97599999991</v>
      </c>
      <c r="AM77" s="103">
        <f t="shared" si="35"/>
        <v>504375.55</v>
      </c>
      <c r="AN77" s="148">
        <f t="shared" si="35"/>
        <v>483013.76199999999</v>
      </c>
      <c r="AO77" s="148">
        <f t="shared" si="35"/>
        <v>461651.97399999993</v>
      </c>
      <c r="AP77" s="148">
        <f t="shared" si="35"/>
        <v>440290.18599999993</v>
      </c>
      <c r="AQ77" s="148">
        <f t="shared" si="35"/>
        <v>418928.39799999993</v>
      </c>
      <c r="AR77" s="148">
        <f t="shared" si="35"/>
        <v>397566.61000000004</v>
      </c>
      <c r="AS77" s="148">
        <f t="shared" si="35"/>
        <v>375018.05599999998</v>
      </c>
      <c r="AT77" s="148">
        <f t="shared" si="35"/>
        <v>352469.50199999998</v>
      </c>
      <c r="AU77" s="148">
        <f t="shared" si="35"/>
        <v>329920.94799999997</v>
      </c>
      <c r="AV77" s="148">
        <f t="shared" si="35"/>
        <v>307372.39399999997</v>
      </c>
      <c r="AW77" s="148"/>
      <c r="BA77" s="145">
        <f t="shared" si="24"/>
        <v>-24</v>
      </c>
      <c r="BB77" s="149">
        <f t="shared" si="11"/>
        <v>0.30737239399999999</v>
      </c>
      <c r="BC77" s="97">
        <v>24</v>
      </c>
      <c r="BD77" s="111">
        <f t="shared" si="12"/>
        <v>307372.39399999997</v>
      </c>
      <c r="BE77" s="111">
        <f t="shared" si="13"/>
        <v>7376937.4559999993</v>
      </c>
      <c r="BG77" s="102">
        <f t="shared" si="9"/>
        <v>-22548.554000000004</v>
      </c>
      <c r="BH77" s="111"/>
      <c r="BI77" s="111"/>
      <c r="BL77" s="111"/>
      <c r="BM77" s="111"/>
      <c r="BW77" s="97" t="s">
        <v>619</v>
      </c>
    </row>
    <row r="78" spans="2:75">
      <c r="B78" s="98">
        <v>2001</v>
      </c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>
        <f>Y53</f>
        <v>1175803</v>
      </c>
      <c r="Z78" s="102">
        <f t="shared" ref="Z78:AV78" si="36">$Y78*E$40</f>
        <v>1173451.3940000001</v>
      </c>
      <c r="AA78" s="102">
        <f t="shared" si="36"/>
        <v>1171099.7879999999</v>
      </c>
      <c r="AB78" s="102">
        <f t="shared" si="36"/>
        <v>1168748.182</v>
      </c>
      <c r="AC78" s="102">
        <f t="shared" si="36"/>
        <v>1166396.5759999999</v>
      </c>
      <c r="AD78" s="102">
        <f t="shared" si="36"/>
        <v>1164044.97</v>
      </c>
      <c r="AE78" s="102">
        <f t="shared" si="36"/>
        <v>1156990.152</v>
      </c>
      <c r="AF78" s="102">
        <f t="shared" si="36"/>
        <v>1149935.334</v>
      </c>
      <c r="AG78" s="102">
        <f t="shared" si="36"/>
        <v>1142880.5160000001</v>
      </c>
      <c r="AH78" s="102">
        <f t="shared" si="36"/>
        <v>1135825.6979999999</v>
      </c>
      <c r="AI78" s="102">
        <f t="shared" si="36"/>
        <v>1128770.8799999999</v>
      </c>
      <c r="AJ78" s="102">
        <f t="shared" si="36"/>
        <v>1102903.2139999999</v>
      </c>
      <c r="AK78" s="102">
        <f t="shared" si="36"/>
        <v>1077035.548</v>
      </c>
      <c r="AL78" s="102">
        <f t="shared" si="36"/>
        <v>1051167.882</v>
      </c>
      <c r="AM78" s="103">
        <f t="shared" si="36"/>
        <v>1025300.2159999999</v>
      </c>
      <c r="AN78" s="148">
        <f t="shared" si="36"/>
        <v>999432.54999999993</v>
      </c>
      <c r="AO78" s="148">
        <f t="shared" si="36"/>
        <v>957103.64199999999</v>
      </c>
      <c r="AP78" s="148">
        <f t="shared" si="36"/>
        <v>914774.73399999994</v>
      </c>
      <c r="AQ78" s="148">
        <f t="shared" si="36"/>
        <v>872445.82599999988</v>
      </c>
      <c r="AR78" s="148">
        <f t="shared" si="36"/>
        <v>830116.91799999983</v>
      </c>
      <c r="AS78" s="148">
        <f t="shared" si="36"/>
        <v>787788.01</v>
      </c>
      <c r="AT78" s="148">
        <f t="shared" si="36"/>
        <v>743107.49600000004</v>
      </c>
      <c r="AU78" s="148">
        <f t="shared" si="36"/>
        <v>698426.98199999996</v>
      </c>
      <c r="AV78" s="148">
        <f t="shared" si="36"/>
        <v>653746.46799999988</v>
      </c>
      <c r="AW78" s="148"/>
      <c r="BA78" s="145">
        <f t="shared" si="24"/>
        <v>-23</v>
      </c>
      <c r="BB78" s="149">
        <f t="shared" si="11"/>
        <v>0.65374646799999991</v>
      </c>
      <c r="BC78" s="97">
        <v>23</v>
      </c>
      <c r="BD78" s="111">
        <f t="shared" si="12"/>
        <v>653746.46799999988</v>
      </c>
      <c r="BE78" s="111">
        <f t="shared" si="13"/>
        <v>15036168.763999997</v>
      </c>
      <c r="BG78" s="102">
        <f t="shared" si="9"/>
        <v>-44680.514000000083</v>
      </c>
      <c r="BH78" s="111"/>
      <c r="BI78" s="111"/>
      <c r="BL78" s="111"/>
      <c r="BM78" s="111"/>
      <c r="BW78" s="97" t="s">
        <v>619</v>
      </c>
    </row>
    <row r="79" spans="2:75">
      <c r="B79" s="98">
        <v>2002</v>
      </c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>
        <f>Z53</f>
        <v>902928</v>
      </c>
      <c r="AA79" s="102">
        <f t="shared" ref="AA79:AV79" si="37">$Z79*E$40</f>
        <v>901122.14399999997</v>
      </c>
      <c r="AB79" s="102">
        <f t="shared" si="37"/>
        <v>899316.28799999994</v>
      </c>
      <c r="AC79" s="102">
        <f t="shared" si="37"/>
        <v>897510.43200000003</v>
      </c>
      <c r="AD79" s="102">
        <f t="shared" si="37"/>
        <v>895704.576</v>
      </c>
      <c r="AE79" s="102">
        <f t="shared" si="37"/>
        <v>893898.72</v>
      </c>
      <c r="AF79" s="102">
        <f t="shared" si="37"/>
        <v>888481.152</v>
      </c>
      <c r="AG79" s="102">
        <f t="shared" si="37"/>
        <v>883063.58400000003</v>
      </c>
      <c r="AH79" s="102">
        <f t="shared" si="37"/>
        <v>877646.01599999995</v>
      </c>
      <c r="AI79" s="102">
        <f t="shared" si="37"/>
        <v>872228.44799999997</v>
      </c>
      <c r="AJ79" s="102">
        <f t="shared" si="37"/>
        <v>866810.88</v>
      </c>
      <c r="AK79" s="102">
        <f t="shared" si="37"/>
        <v>846946.46399999992</v>
      </c>
      <c r="AL79" s="102">
        <f t="shared" si="37"/>
        <v>827082.04799999995</v>
      </c>
      <c r="AM79" s="103">
        <f t="shared" si="37"/>
        <v>807217.63199999987</v>
      </c>
      <c r="AN79" s="148">
        <f t="shared" si="37"/>
        <v>787353.2159999999</v>
      </c>
      <c r="AO79" s="148">
        <f t="shared" si="37"/>
        <v>767488.79999999993</v>
      </c>
      <c r="AP79" s="148">
        <f t="shared" si="37"/>
        <v>734983.39199999999</v>
      </c>
      <c r="AQ79" s="148">
        <f t="shared" si="37"/>
        <v>702477.98399999994</v>
      </c>
      <c r="AR79" s="148">
        <f t="shared" si="37"/>
        <v>669972.57599999988</v>
      </c>
      <c r="AS79" s="148">
        <f t="shared" si="37"/>
        <v>637467.16799999983</v>
      </c>
      <c r="AT79" s="148">
        <f t="shared" si="37"/>
        <v>604961.76</v>
      </c>
      <c r="AU79" s="148">
        <f t="shared" si="37"/>
        <v>570650.49600000004</v>
      </c>
      <c r="AV79" s="148">
        <f t="shared" si="37"/>
        <v>536339.23199999996</v>
      </c>
      <c r="AW79" s="148"/>
      <c r="BA79" s="145">
        <f t="shared" si="24"/>
        <v>-22</v>
      </c>
      <c r="BB79" s="149">
        <f t="shared" si="11"/>
        <v>0.536339232</v>
      </c>
      <c r="BC79" s="97">
        <v>22</v>
      </c>
      <c r="BD79" s="111">
        <f t="shared" si="12"/>
        <v>536339.23199999996</v>
      </c>
      <c r="BE79" s="111">
        <f t="shared" si="13"/>
        <v>11799463.103999998</v>
      </c>
      <c r="BG79" s="102">
        <f t="shared" si="9"/>
        <v>-34311.264000000083</v>
      </c>
      <c r="BH79" s="111"/>
      <c r="BI79" s="111"/>
      <c r="BL79" s="111"/>
      <c r="BM79" s="111"/>
      <c r="BW79" s="97" t="s">
        <v>619</v>
      </c>
    </row>
    <row r="80" spans="2:75">
      <c r="B80" s="98">
        <v>2003</v>
      </c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>
        <f>AA53</f>
        <v>487139</v>
      </c>
      <c r="AB80" s="102">
        <f t="shared" ref="AB80:AV80" si="38">$AA80*E$40</f>
        <v>486164.72200000001</v>
      </c>
      <c r="AC80" s="102">
        <f t="shared" si="38"/>
        <v>485190.44400000002</v>
      </c>
      <c r="AD80" s="102">
        <f t="shared" si="38"/>
        <v>484216.16599999997</v>
      </c>
      <c r="AE80" s="102">
        <f t="shared" si="38"/>
        <v>483241.88799999998</v>
      </c>
      <c r="AF80" s="102">
        <f t="shared" si="38"/>
        <v>482267.61</v>
      </c>
      <c r="AG80" s="102">
        <f t="shared" si="38"/>
        <v>479344.77600000001</v>
      </c>
      <c r="AH80" s="102">
        <f t="shared" si="38"/>
        <v>476421.94199999998</v>
      </c>
      <c r="AI80" s="102">
        <f t="shared" si="38"/>
        <v>473499.10800000001</v>
      </c>
      <c r="AJ80" s="102">
        <f t="shared" si="38"/>
        <v>470576.27399999998</v>
      </c>
      <c r="AK80" s="102">
        <f t="shared" si="38"/>
        <v>467653.44</v>
      </c>
      <c r="AL80" s="102">
        <f t="shared" si="38"/>
        <v>456936.38199999998</v>
      </c>
      <c r="AM80" s="103">
        <f t="shared" si="38"/>
        <v>446219.32399999996</v>
      </c>
      <c r="AN80" s="148">
        <f t="shared" si="38"/>
        <v>435502.26599999995</v>
      </c>
      <c r="AO80" s="148">
        <f t="shared" si="38"/>
        <v>424785.20799999993</v>
      </c>
      <c r="AP80" s="148">
        <f t="shared" si="38"/>
        <v>414068.14999999997</v>
      </c>
      <c r="AQ80" s="148">
        <f t="shared" si="38"/>
        <v>396531.14599999995</v>
      </c>
      <c r="AR80" s="148">
        <f t="shared" si="38"/>
        <v>378994.14199999993</v>
      </c>
      <c r="AS80" s="148">
        <f t="shared" si="38"/>
        <v>361457.13799999992</v>
      </c>
      <c r="AT80" s="148">
        <f t="shared" si="38"/>
        <v>343920.1339999999</v>
      </c>
      <c r="AU80" s="148">
        <f t="shared" si="38"/>
        <v>326383.13</v>
      </c>
      <c r="AV80" s="148">
        <f t="shared" si="38"/>
        <v>307871.848</v>
      </c>
      <c r="AW80" s="148"/>
      <c r="BA80" s="145">
        <f t="shared" si="24"/>
        <v>-21</v>
      </c>
      <c r="BB80" s="149">
        <f t="shared" si="11"/>
        <v>0.307871848</v>
      </c>
      <c r="BC80" s="97">
        <v>21</v>
      </c>
      <c r="BD80" s="111">
        <f t="shared" si="12"/>
        <v>307871.848</v>
      </c>
      <c r="BE80" s="111">
        <f t="shared" si="13"/>
        <v>6465308.8080000002</v>
      </c>
      <c r="BG80" s="102">
        <f t="shared" si="9"/>
        <v>-18511.282000000007</v>
      </c>
      <c r="BH80" s="111"/>
      <c r="BI80" s="111"/>
      <c r="BL80" s="111"/>
      <c r="BM80" s="111"/>
      <c r="BW80" s="97" t="s">
        <v>619</v>
      </c>
    </row>
    <row r="81" spans="2:75">
      <c r="B81" s="98">
        <v>2004</v>
      </c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>
        <f>AB53</f>
        <v>645962</v>
      </c>
      <c r="AC81" s="102">
        <f t="shared" ref="AC81:AV81" si="39">$AB81*E$40</f>
        <v>644670.076</v>
      </c>
      <c r="AD81" s="102">
        <f t="shared" si="39"/>
        <v>643378.152</v>
      </c>
      <c r="AE81" s="102">
        <f t="shared" si="39"/>
        <v>642086.228</v>
      </c>
      <c r="AF81" s="102">
        <f t="shared" si="39"/>
        <v>640794.304</v>
      </c>
      <c r="AG81" s="102">
        <f t="shared" si="39"/>
        <v>639502.38</v>
      </c>
      <c r="AH81" s="102">
        <f t="shared" si="39"/>
        <v>635626.60800000001</v>
      </c>
      <c r="AI81" s="102">
        <f t="shared" si="39"/>
        <v>631750.83600000001</v>
      </c>
      <c r="AJ81" s="102">
        <f t="shared" si="39"/>
        <v>627875.06400000001</v>
      </c>
      <c r="AK81" s="102">
        <f t="shared" si="39"/>
        <v>623999.29200000002</v>
      </c>
      <c r="AL81" s="102">
        <f t="shared" si="39"/>
        <v>620123.52</v>
      </c>
      <c r="AM81" s="103">
        <f t="shared" si="39"/>
        <v>605912.35599999991</v>
      </c>
      <c r="AN81" s="148">
        <f t="shared" si="39"/>
        <v>591701.19199999992</v>
      </c>
      <c r="AO81" s="148">
        <f t="shared" si="39"/>
        <v>577490.02799999993</v>
      </c>
      <c r="AP81" s="148">
        <f t="shared" si="39"/>
        <v>563278.86399999994</v>
      </c>
      <c r="AQ81" s="148">
        <f t="shared" si="39"/>
        <v>549067.69999999995</v>
      </c>
      <c r="AR81" s="148">
        <f t="shared" si="39"/>
        <v>525813.06799999997</v>
      </c>
      <c r="AS81" s="148">
        <f t="shared" si="39"/>
        <v>502558.43599999993</v>
      </c>
      <c r="AT81" s="148">
        <f t="shared" si="39"/>
        <v>479303.80399999995</v>
      </c>
      <c r="AU81" s="148">
        <f t="shared" si="39"/>
        <v>456049.1719999999</v>
      </c>
      <c r="AV81" s="148">
        <f t="shared" si="39"/>
        <v>432794.54000000004</v>
      </c>
      <c r="AW81" s="148"/>
      <c r="BA81" s="145">
        <f t="shared" si="24"/>
        <v>-20</v>
      </c>
      <c r="BB81" s="149">
        <f t="shared" si="11"/>
        <v>0.43279454000000006</v>
      </c>
      <c r="BC81" s="97">
        <v>20</v>
      </c>
      <c r="BD81" s="111">
        <f t="shared" si="12"/>
        <v>432794.54000000004</v>
      </c>
      <c r="BE81" s="111">
        <f t="shared" si="13"/>
        <v>8655890.8000000007</v>
      </c>
      <c r="BG81" s="102">
        <f t="shared" si="9"/>
        <v>-23254.631999999867</v>
      </c>
      <c r="BH81" s="111"/>
      <c r="BI81" s="111"/>
      <c r="BL81" s="111"/>
      <c r="BM81" s="111"/>
      <c r="BW81" s="97" t="s">
        <v>619</v>
      </c>
    </row>
    <row r="82" spans="2:75">
      <c r="B82" s="98">
        <v>2005</v>
      </c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>
        <f>AC53</f>
        <v>912369</v>
      </c>
      <c r="AD82" s="102">
        <f t="shared" ref="AD82:AV82" si="40">$AC82*E$40</f>
        <v>910544.26199999999</v>
      </c>
      <c r="AE82" s="102">
        <f t="shared" si="40"/>
        <v>908719.52399999998</v>
      </c>
      <c r="AF82" s="102">
        <f t="shared" si="40"/>
        <v>906894.78599999996</v>
      </c>
      <c r="AG82" s="102">
        <f t="shared" si="40"/>
        <v>905070.04799999995</v>
      </c>
      <c r="AH82" s="102">
        <f t="shared" si="40"/>
        <v>903245.30999999994</v>
      </c>
      <c r="AI82" s="102">
        <f t="shared" si="40"/>
        <v>897771.09600000002</v>
      </c>
      <c r="AJ82" s="102">
        <f t="shared" si="40"/>
        <v>892296.88199999998</v>
      </c>
      <c r="AK82" s="102">
        <f t="shared" si="40"/>
        <v>886822.66799999995</v>
      </c>
      <c r="AL82" s="102">
        <f t="shared" si="40"/>
        <v>881348.45400000003</v>
      </c>
      <c r="AM82" s="103">
        <f t="shared" si="40"/>
        <v>875874.24</v>
      </c>
      <c r="AN82" s="148">
        <f t="shared" si="40"/>
        <v>855802.12199999997</v>
      </c>
      <c r="AO82" s="148">
        <f t="shared" si="40"/>
        <v>835730.00399999996</v>
      </c>
      <c r="AP82" s="148">
        <f t="shared" si="40"/>
        <v>815657.88599999994</v>
      </c>
      <c r="AQ82" s="148">
        <f t="shared" si="40"/>
        <v>795585.76799999992</v>
      </c>
      <c r="AR82" s="148">
        <f t="shared" si="40"/>
        <v>775513.65</v>
      </c>
      <c r="AS82" s="148">
        <f t="shared" si="40"/>
        <v>742668.36599999992</v>
      </c>
      <c r="AT82" s="148">
        <f t="shared" si="40"/>
        <v>709823.08199999994</v>
      </c>
      <c r="AU82" s="148">
        <f t="shared" si="40"/>
        <v>676977.79799999984</v>
      </c>
      <c r="AV82" s="148">
        <f t="shared" si="40"/>
        <v>644132.51399999985</v>
      </c>
      <c r="AW82" s="148"/>
      <c r="BA82" s="145">
        <f t="shared" si="24"/>
        <v>-19</v>
      </c>
      <c r="BB82" s="149">
        <f t="shared" si="11"/>
        <v>0.64413251399999982</v>
      </c>
      <c r="BC82" s="97">
        <v>19</v>
      </c>
      <c r="BD82" s="111">
        <f t="shared" si="12"/>
        <v>644132.51399999985</v>
      </c>
      <c r="BE82" s="111">
        <f t="shared" si="13"/>
        <v>12238517.765999997</v>
      </c>
      <c r="BG82" s="102">
        <f t="shared" si="9"/>
        <v>-32845.283999999985</v>
      </c>
      <c r="BH82" s="111"/>
      <c r="BI82" s="111"/>
      <c r="BL82" s="111"/>
      <c r="BM82" s="111"/>
      <c r="BW82" s="97" t="s">
        <v>619</v>
      </c>
    </row>
    <row r="83" spans="2:75">
      <c r="B83" s="98">
        <v>2006</v>
      </c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>
        <f>AD53</f>
        <v>2111433</v>
      </c>
      <c r="AE83" s="102">
        <f t="shared" ref="AE83:AV83" si="41">$AD83*E$40</f>
        <v>2107210.1340000001</v>
      </c>
      <c r="AF83" s="102">
        <f t="shared" si="41"/>
        <v>2102987.2680000002</v>
      </c>
      <c r="AG83" s="102">
        <f t="shared" si="41"/>
        <v>2098764.4019999998</v>
      </c>
      <c r="AH83" s="102">
        <f t="shared" si="41"/>
        <v>2094541.5360000001</v>
      </c>
      <c r="AI83" s="102">
        <f t="shared" si="41"/>
        <v>2090318.67</v>
      </c>
      <c r="AJ83" s="102">
        <f t="shared" si="41"/>
        <v>2077650.0719999999</v>
      </c>
      <c r="AK83" s="102">
        <f t="shared" si="41"/>
        <v>2064981.4739999999</v>
      </c>
      <c r="AL83" s="102">
        <f t="shared" si="41"/>
        <v>2052312.8759999999</v>
      </c>
      <c r="AM83" s="103">
        <f t="shared" si="41"/>
        <v>2039644.2779999999</v>
      </c>
      <c r="AN83" s="148">
        <f t="shared" si="41"/>
        <v>2026975.68</v>
      </c>
      <c r="AO83" s="148">
        <f t="shared" si="41"/>
        <v>1980524.1539999999</v>
      </c>
      <c r="AP83" s="148">
        <f t="shared" si="41"/>
        <v>1934072.6279999998</v>
      </c>
      <c r="AQ83" s="148">
        <f t="shared" si="41"/>
        <v>1887621.1019999997</v>
      </c>
      <c r="AR83" s="148">
        <f t="shared" si="41"/>
        <v>1841169.5759999997</v>
      </c>
      <c r="AS83" s="148">
        <f t="shared" si="41"/>
        <v>1794718.05</v>
      </c>
      <c r="AT83" s="148">
        <f t="shared" si="41"/>
        <v>1718706.4619999998</v>
      </c>
      <c r="AU83" s="148">
        <f t="shared" si="41"/>
        <v>1642694.8739999998</v>
      </c>
      <c r="AV83" s="148">
        <f t="shared" si="41"/>
        <v>1566683.2859999998</v>
      </c>
      <c r="AW83" s="148"/>
      <c r="BA83" s="145">
        <f t="shared" si="24"/>
        <v>-18</v>
      </c>
      <c r="BB83" s="149">
        <f t="shared" si="11"/>
        <v>1.566683286</v>
      </c>
      <c r="BC83" s="97">
        <v>18</v>
      </c>
      <c r="BD83" s="111">
        <f t="shared" si="12"/>
        <v>1566683.2859999998</v>
      </c>
      <c r="BE83" s="111">
        <f t="shared" si="13"/>
        <v>28200299.147999998</v>
      </c>
      <c r="BG83" s="102">
        <f t="shared" si="9"/>
        <v>-76011.587999999989</v>
      </c>
      <c r="BH83" s="111"/>
      <c r="BI83" s="111"/>
      <c r="BL83" s="111"/>
      <c r="BM83" s="111"/>
      <c r="BW83" s="97" t="s">
        <v>619</v>
      </c>
    </row>
    <row r="84" spans="2:75">
      <c r="B84" s="98">
        <v>2007</v>
      </c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>
        <f>AE53</f>
        <v>1284810</v>
      </c>
      <c r="AF84" s="102">
        <f t="shared" ref="AF84:AV84" si="42">$AE84*E$40</f>
        <v>1282240.3799999999</v>
      </c>
      <c r="AG84" s="102">
        <f t="shared" si="42"/>
        <v>1279670.76</v>
      </c>
      <c r="AH84" s="102">
        <f t="shared" si="42"/>
        <v>1277101.1399999999</v>
      </c>
      <c r="AI84" s="102">
        <f t="shared" si="42"/>
        <v>1274531.52</v>
      </c>
      <c r="AJ84" s="102">
        <f t="shared" si="42"/>
        <v>1271961.8999999999</v>
      </c>
      <c r="AK84" s="102">
        <f t="shared" si="42"/>
        <v>1264253.04</v>
      </c>
      <c r="AL84" s="102">
        <f t="shared" si="42"/>
        <v>1256544.18</v>
      </c>
      <c r="AM84" s="103">
        <f t="shared" si="42"/>
        <v>1248835.32</v>
      </c>
      <c r="AN84" s="148">
        <f t="shared" si="42"/>
        <v>1241126.46</v>
      </c>
      <c r="AO84" s="148">
        <f t="shared" si="42"/>
        <v>1233417.5999999999</v>
      </c>
      <c r="AP84" s="148">
        <f t="shared" si="42"/>
        <v>1205151.78</v>
      </c>
      <c r="AQ84" s="148">
        <f t="shared" si="42"/>
        <v>1176885.96</v>
      </c>
      <c r="AR84" s="148">
        <f t="shared" si="42"/>
        <v>1148620.1399999999</v>
      </c>
      <c r="AS84" s="148">
        <f t="shared" si="42"/>
        <v>1120354.3199999998</v>
      </c>
      <c r="AT84" s="148">
        <f t="shared" si="42"/>
        <v>1092088.5</v>
      </c>
      <c r="AU84" s="148">
        <f t="shared" si="42"/>
        <v>1045835.34</v>
      </c>
      <c r="AV84" s="148">
        <f t="shared" si="42"/>
        <v>999582.17999999993</v>
      </c>
      <c r="AW84" s="148"/>
      <c r="BA84" s="145">
        <f t="shared" si="24"/>
        <v>-17</v>
      </c>
      <c r="BB84" s="149">
        <f t="shared" si="11"/>
        <v>0.99958217999999999</v>
      </c>
      <c r="BC84" s="97">
        <v>17</v>
      </c>
      <c r="BD84" s="111">
        <f t="shared" si="12"/>
        <v>999582.17999999993</v>
      </c>
      <c r="BE84" s="111">
        <f t="shared" si="13"/>
        <v>16992897.059999999</v>
      </c>
      <c r="BG84" s="102">
        <f t="shared" si="9"/>
        <v>-46253.160000000033</v>
      </c>
      <c r="BH84" s="111"/>
      <c r="BI84" s="111"/>
      <c r="BL84" s="111"/>
      <c r="BM84" s="111"/>
      <c r="BW84" s="97" t="s">
        <v>619</v>
      </c>
    </row>
    <row r="85" spans="2:75">
      <c r="B85" s="98">
        <v>2008</v>
      </c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>
        <f>AF53</f>
        <v>1724319</v>
      </c>
      <c r="AG85" s="102">
        <f t="shared" ref="AG85:AV85" si="43">$AF85*E$40</f>
        <v>1720870.362</v>
      </c>
      <c r="AH85" s="102">
        <f t="shared" si="43"/>
        <v>1717421.7239999999</v>
      </c>
      <c r="AI85" s="102">
        <f t="shared" si="43"/>
        <v>1713973.0859999999</v>
      </c>
      <c r="AJ85" s="102">
        <f t="shared" si="43"/>
        <v>1710524.4480000001</v>
      </c>
      <c r="AK85" s="102">
        <f t="shared" si="43"/>
        <v>1707075.81</v>
      </c>
      <c r="AL85" s="102">
        <f t="shared" si="43"/>
        <v>1696729.8959999999</v>
      </c>
      <c r="AM85" s="103">
        <f t="shared" si="43"/>
        <v>1686383.9820000001</v>
      </c>
      <c r="AN85" s="148">
        <f t="shared" si="43"/>
        <v>1676038.068</v>
      </c>
      <c r="AO85" s="148">
        <f t="shared" si="43"/>
        <v>1665692.1539999999</v>
      </c>
      <c r="AP85" s="148">
        <f t="shared" si="43"/>
        <v>1655346.24</v>
      </c>
      <c r="AQ85" s="148">
        <f t="shared" si="43"/>
        <v>1617411.2219999998</v>
      </c>
      <c r="AR85" s="148">
        <f t="shared" si="43"/>
        <v>1579476.2039999999</v>
      </c>
      <c r="AS85" s="148">
        <f t="shared" si="43"/>
        <v>1541541.1859999998</v>
      </c>
      <c r="AT85" s="148">
        <f t="shared" si="43"/>
        <v>1503606.1679999998</v>
      </c>
      <c r="AU85" s="148">
        <f t="shared" si="43"/>
        <v>1465671.15</v>
      </c>
      <c r="AV85" s="148">
        <f t="shared" si="43"/>
        <v>1403595.666</v>
      </c>
      <c r="AW85" s="148"/>
      <c r="BA85" s="145">
        <f t="shared" si="24"/>
        <v>-16</v>
      </c>
      <c r="BB85" s="149">
        <f t="shared" si="11"/>
        <v>1.403595666</v>
      </c>
      <c r="BC85" s="97">
        <v>16</v>
      </c>
      <c r="BD85" s="111">
        <f t="shared" si="12"/>
        <v>1403595.666</v>
      </c>
      <c r="BE85" s="111">
        <f t="shared" si="13"/>
        <v>22457530.655999999</v>
      </c>
      <c r="BG85" s="102">
        <f t="shared" si="9"/>
        <v>-62075.483999999939</v>
      </c>
      <c r="BH85" s="111"/>
      <c r="BI85" s="111"/>
      <c r="BL85" s="111"/>
      <c r="BM85" s="111"/>
      <c r="BW85" s="97" t="s">
        <v>619</v>
      </c>
    </row>
    <row r="86" spans="2:75">
      <c r="B86" s="98">
        <v>2009</v>
      </c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>
        <f>AG53</f>
        <v>1098282</v>
      </c>
      <c r="AH86" s="102">
        <f t="shared" ref="AH86:AV86" si="44">$AG86*E$40</f>
        <v>1096085.436</v>
      </c>
      <c r="AI86" s="102">
        <f t="shared" si="44"/>
        <v>1093888.872</v>
      </c>
      <c r="AJ86" s="102">
        <f t="shared" si="44"/>
        <v>1091692.308</v>
      </c>
      <c r="AK86" s="102">
        <f t="shared" si="44"/>
        <v>1089495.7439999999</v>
      </c>
      <c r="AL86" s="102">
        <f t="shared" si="44"/>
        <v>1087299.18</v>
      </c>
      <c r="AM86" s="103">
        <f t="shared" si="44"/>
        <v>1080709.4879999999</v>
      </c>
      <c r="AN86" s="148">
        <f t="shared" si="44"/>
        <v>1074119.7960000001</v>
      </c>
      <c r="AO86" s="148">
        <f t="shared" si="44"/>
        <v>1067530.1040000001</v>
      </c>
      <c r="AP86" s="148">
        <f t="shared" si="44"/>
        <v>1060940.412</v>
      </c>
      <c r="AQ86" s="148">
        <f t="shared" si="44"/>
        <v>1054350.72</v>
      </c>
      <c r="AR86" s="148">
        <f t="shared" si="44"/>
        <v>1030188.5159999999</v>
      </c>
      <c r="AS86" s="148">
        <f t="shared" si="44"/>
        <v>1006026.3119999999</v>
      </c>
      <c r="AT86" s="148">
        <f t="shared" si="44"/>
        <v>981864.10799999989</v>
      </c>
      <c r="AU86" s="148">
        <f t="shared" si="44"/>
        <v>957701.90399999986</v>
      </c>
      <c r="AV86" s="148">
        <f t="shared" si="44"/>
        <v>933539.7</v>
      </c>
      <c r="AW86" s="148"/>
      <c r="BA86" s="145">
        <f t="shared" si="24"/>
        <v>-15</v>
      </c>
      <c r="BB86" s="149">
        <f t="shared" si="11"/>
        <v>0.93353969999999997</v>
      </c>
      <c r="BC86" s="97">
        <v>15</v>
      </c>
      <c r="BD86" s="111">
        <f t="shared" si="12"/>
        <v>933539.7</v>
      </c>
      <c r="BE86" s="111">
        <f t="shared" si="13"/>
        <v>14003095.5</v>
      </c>
      <c r="BG86" s="102">
        <f t="shared" si="9"/>
        <v>-24162.203999999911</v>
      </c>
      <c r="BH86" s="111"/>
      <c r="BI86" s="111"/>
      <c r="BL86" s="111"/>
      <c r="BM86" s="111"/>
      <c r="BW86" s="97" t="s">
        <v>619</v>
      </c>
    </row>
    <row r="87" spans="2:75">
      <c r="B87" s="98">
        <v>2010</v>
      </c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>
        <f>AH53</f>
        <v>633549</v>
      </c>
      <c r="AI87" s="102">
        <f t="shared" ref="AI87:AV87" si="45">$AH87*E$40</f>
        <v>632281.902</v>
      </c>
      <c r="AJ87" s="102">
        <f t="shared" si="45"/>
        <v>631014.804</v>
      </c>
      <c r="AK87" s="102">
        <f t="shared" si="45"/>
        <v>629747.70600000001</v>
      </c>
      <c r="AL87" s="102">
        <f t="shared" si="45"/>
        <v>628480.60800000001</v>
      </c>
      <c r="AM87" s="103">
        <f t="shared" si="45"/>
        <v>627213.51</v>
      </c>
      <c r="AN87" s="148">
        <f t="shared" si="45"/>
        <v>623412.21600000001</v>
      </c>
      <c r="AO87" s="148">
        <f t="shared" si="45"/>
        <v>619610.92200000002</v>
      </c>
      <c r="AP87" s="148">
        <f t="shared" si="45"/>
        <v>615809.62800000003</v>
      </c>
      <c r="AQ87" s="148">
        <f t="shared" si="45"/>
        <v>612008.33400000003</v>
      </c>
      <c r="AR87" s="148">
        <f t="shared" si="45"/>
        <v>608207.03999999992</v>
      </c>
      <c r="AS87" s="148">
        <f t="shared" si="45"/>
        <v>594268.96199999994</v>
      </c>
      <c r="AT87" s="148">
        <f t="shared" si="45"/>
        <v>580330.88399999996</v>
      </c>
      <c r="AU87" s="148">
        <f t="shared" si="45"/>
        <v>566392.80599999998</v>
      </c>
      <c r="AV87" s="148">
        <f t="shared" si="45"/>
        <v>552454.72799999989</v>
      </c>
      <c r="AW87" s="148"/>
      <c r="BA87" s="145">
        <f t="shared" si="24"/>
        <v>-14</v>
      </c>
      <c r="BB87" s="149">
        <f t="shared" si="11"/>
        <v>0.55245472799999984</v>
      </c>
      <c r="BC87" s="97">
        <v>14</v>
      </c>
      <c r="BD87" s="111">
        <f t="shared" si="12"/>
        <v>552454.72799999989</v>
      </c>
      <c r="BE87" s="111">
        <f t="shared" si="13"/>
        <v>7734366.1919999979</v>
      </c>
      <c r="BG87" s="102">
        <f t="shared" si="9"/>
        <v>-13938.078000000096</v>
      </c>
      <c r="BH87" s="111"/>
      <c r="BI87" s="111"/>
      <c r="BL87" s="111"/>
      <c r="BM87" s="111"/>
      <c r="BW87" s="97" t="s">
        <v>619</v>
      </c>
    </row>
    <row r="88" spans="2:75">
      <c r="B88" s="98">
        <v>2011</v>
      </c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>
        <f>AI53</f>
        <v>1221553</v>
      </c>
      <c r="AJ88" s="102">
        <f t="shared" ref="AJ88:AV88" si="46">$AI88*E$40</f>
        <v>1219109.8940000001</v>
      </c>
      <c r="AK88" s="102">
        <f t="shared" si="46"/>
        <v>1216666.7879999999</v>
      </c>
      <c r="AL88" s="102">
        <f t="shared" si="46"/>
        <v>1214223.682</v>
      </c>
      <c r="AM88" s="103">
        <f t="shared" si="46"/>
        <v>1211780.5759999999</v>
      </c>
      <c r="AN88" s="148">
        <f t="shared" si="46"/>
        <v>1209337.47</v>
      </c>
      <c r="AO88" s="148">
        <f t="shared" si="46"/>
        <v>1202008.152</v>
      </c>
      <c r="AP88" s="148">
        <f t="shared" si="46"/>
        <v>1194678.834</v>
      </c>
      <c r="AQ88" s="148">
        <f t="shared" si="46"/>
        <v>1187349.5160000001</v>
      </c>
      <c r="AR88" s="148">
        <f t="shared" si="46"/>
        <v>1180020.1979999999</v>
      </c>
      <c r="AS88" s="148">
        <f t="shared" si="46"/>
        <v>1172690.8799999999</v>
      </c>
      <c r="AT88" s="148">
        <f t="shared" si="46"/>
        <v>1145816.7139999999</v>
      </c>
      <c r="AU88" s="148">
        <f t="shared" si="46"/>
        <v>1118942.548</v>
      </c>
      <c r="AV88" s="148">
        <f t="shared" si="46"/>
        <v>1092068.382</v>
      </c>
      <c r="AW88" s="148"/>
      <c r="BA88" s="145">
        <f t="shared" si="24"/>
        <v>-13</v>
      </c>
      <c r="BB88" s="149">
        <f t="shared" si="11"/>
        <v>1.0920683819999999</v>
      </c>
      <c r="BC88" s="97">
        <v>13</v>
      </c>
      <c r="BD88" s="111">
        <f t="shared" si="12"/>
        <v>1092068.382</v>
      </c>
      <c r="BE88" s="111">
        <f t="shared" si="13"/>
        <v>14196888.966</v>
      </c>
      <c r="BG88" s="102">
        <f t="shared" si="9"/>
        <v>-26874.165999999968</v>
      </c>
      <c r="BH88" s="111"/>
      <c r="BI88" s="111"/>
      <c r="BL88" s="111"/>
      <c r="BM88" s="111"/>
      <c r="BW88" s="97" t="s">
        <v>619</v>
      </c>
    </row>
    <row r="89" spans="2:75">
      <c r="B89" s="98">
        <v>2012</v>
      </c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>
        <f>AJ53</f>
        <v>1195297</v>
      </c>
      <c r="AK89" s="102">
        <f t="shared" ref="AK89:AV89" si="47">$AJ89*E$40</f>
        <v>1192906.406</v>
      </c>
      <c r="AL89" s="102">
        <f t="shared" si="47"/>
        <v>1190515.8119999999</v>
      </c>
      <c r="AM89" s="103">
        <f t="shared" si="47"/>
        <v>1188125.2180000001</v>
      </c>
      <c r="AN89" s="148">
        <f t="shared" si="47"/>
        <v>1185734.6240000001</v>
      </c>
      <c r="AO89" s="148">
        <f t="shared" si="47"/>
        <v>1183344.03</v>
      </c>
      <c r="AP89" s="148">
        <f t="shared" si="47"/>
        <v>1176172.2479999999</v>
      </c>
      <c r="AQ89" s="148">
        <f t="shared" si="47"/>
        <v>1169000.466</v>
      </c>
      <c r="AR89" s="148">
        <f t="shared" si="47"/>
        <v>1161828.6839999999</v>
      </c>
      <c r="AS89" s="148">
        <f t="shared" si="47"/>
        <v>1154656.902</v>
      </c>
      <c r="AT89" s="148">
        <f t="shared" si="47"/>
        <v>1147485.1199999999</v>
      </c>
      <c r="AU89" s="148">
        <f t="shared" si="47"/>
        <v>1121188.5859999999</v>
      </c>
      <c r="AV89" s="148">
        <f t="shared" si="47"/>
        <v>1094892.0519999999</v>
      </c>
      <c r="AW89" s="148"/>
      <c r="BA89" s="145">
        <f t="shared" si="24"/>
        <v>-12</v>
      </c>
      <c r="BB89" s="149">
        <f t="shared" si="11"/>
        <v>1.0948920519999998</v>
      </c>
      <c r="BC89" s="97">
        <v>12</v>
      </c>
      <c r="BD89" s="111">
        <f t="shared" si="12"/>
        <v>1094892.0519999999</v>
      </c>
      <c r="BE89" s="111">
        <f t="shared" si="13"/>
        <v>13138704.623999998</v>
      </c>
      <c r="BG89" s="102">
        <f t="shared" si="9"/>
        <v>-26296.533999999985</v>
      </c>
      <c r="BH89" s="111"/>
      <c r="BI89" s="111"/>
      <c r="BL89" s="111"/>
      <c r="BM89" s="111"/>
      <c r="BW89" s="97" t="s">
        <v>619</v>
      </c>
    </row>
    <row r="90" spans="2:75">
      <c r="B90" s="98">
        <v>2013</v>
      </c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>
        <f>AK53</f>
        <v>1250299</v>
      </c>
      <c r="AL90" s="102">
        <f t="shared" ref="AL90:AV90" si="48">$AK90*E$40</f>
        <v>1247798.402</v>
      </c>
      <c r="AM90" s="103">
        <f t="shared" si="48"/>
        <v>1245297.804</v>
      </c>
      <c r="AN90" s="148">
        <f t="shared" si="48"/>
        <v>1242797.206</v>
      </c>
      <c r="AO90" s="148">
        <f t="shared" si="48"/>
        <v>1240296.608</v>
      </c>
      <c r="AP90" s="148">
        <f t="shared" si="48"/>
        <v>1237796.01</v>
      </c>
      <c r="AQ90" s="148">
        <f t="shared" si="48"/>
        <v>1230294.216</v>
      </c>
      <c r="AR90" s="148">
        <f t="shared" si="48"/>
        <v>1222792.422</v>
      </c>
      <c r="AS90" s="148">
        <f t="shared" si="48"/>
        <v>1215290.628</v>
      </c>
      <c r="AT90" s="148">
        <f t="shared" si="48"/>
        <v>1207788.834</v>
      </c>
      <c r="AU90" s="148">
        <f t="shared" si="48"/>
        <v>1200287.04</v>
      </c>
      <c r="AV90" s="148">
        <f t="shared" si="48"/>
        <v>1172780.4619999998</v>
      </c>
      <c r="AW90" s="148"/>
      <c r="BA90" s="145">
        <f t="shared" si="24"/>
        <v>-11</v>
      </c>
      <c r="BB90" s="149">
        <f t="shared" si="11"/>
        <v>1.1727804619999997</v>
      </c>
      <c r="BC90" s="97">
        <v>11</v>
      </c>
      <c r="BD90" s="111">
        <f t="shared" si="12"/>
        <v>1172780.4619999998</v>
      </c>
      <c r="BE90" s="111">
        <f t="shared" si="13"/>
        <v>12900585.081999999</v>
      </c>
      <c r="BG90" s="102">
        <f t="shared" si="9"/>
        <v>-27506.578000000212</v>
      </c>
      <c r="BH90" s="111"/>
      <c r="BI90" s="111"/>
      <c r="BL90" s="111"/>
      <c r="BM90" s="111"/>
      <c r="BW90" s="97" t="s">
        <v>619</v>
      </c>
    </row>
    <row r="91" spans="2:75">
      <c r="B91" s="98">
        <v>2014</v>
      </c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>
        <f>AL53</f>
        <v>723986</v>
      </c>
      <c r="AM91" s="103">
        <f t="shared" ref="AM91:AV91" si="49">$AL91*E$40</f>
        <v>722538.02800000005</v>
      </c>
      <c r="AN91" s="148">
        <f t="shared" si="49"/>
        <v>721090.05599999998</v>
      </c>
      <c r="AO91" s="148">
        <f t="shared" si="49"/>
        <v>719642.08400000003</v>
      </c>
      <c r="AP91" s="148">
        <f t="shared" si="49"/>
        <v>718194.11199999996</v>
      </c>
      <c r="AQ91" s="148">
        <f t="shared" si="49"/>
        <v>716746.14</v>
      </c>
      <c r="AR91" s="148">
        <f t="shared" si="49"/>
        <v>712402.22400000005</v>
      </c>
      <c r="AS91" s="148">
        <f t="shared" si="49"/>
        <v>708058.30799999996</v>
      </c>
      <c r="AT91" s="148">
        <f t="shared" si="49"/>
        <v>703714.39199999999</v>
      </c>
      <c r="AU91" s="148">
        <f t="shared" si="49"/>
        <v>699370.47600000002</v>
      </c>
      <c r="AV91" s="148">
        <f t="shared" si="49"/>
        <v>695026.55999999994</v>
      </c>
      <c r="AW91" s="148"/>
      <c r="BA91" s="145">
        <f t="shared" si="24"/>
        <v>-10</v>
      </c>
      <c r="BB91" s="149">
        <f t="shared" si="11"/>
        <v>0.69502655999999996</v>
      </c>
      <c r="BC91" s="97">
        <v>10</v>
      </c>
      <c r="BD91" s="111">
        <f t="shared" si="12"/>
        <v>695026.55999999994</v>
      </c>
      <c r="BE91" s="111">
        <f t="shared" si="13"/>
        <v>6950265.5999999996</v>
      </c>
      <c r="BG91" s="102">
        <f t="shared" si="9"/>
        <v>-4343.9160000000848</v>
      </c>
      <c r="BH91" s="111"/>
      <c r="BI91" s="111"/>
      <c r="BL91" s="111"/>
      <c r="BM91" s="111"/>
      <c r="BW91" s="97" t="s">
        <v>619</v>
      </c>
    </row>
    <row r="92" spans="2:75">
      <c r="B92" s="98">
        <v>2015</v>
      </c>
      <c r="AM92" s="103">
        <f>AM53</f>
        <v>1364086</v>
      </c>
      <c r="AN92" s="148">
        <f t="shared" ref="AN92:AV92" si="50">$AM92*E$40</f>
        <v>1361357.828</v>
      </c>
      <c r="AO92" s="148">
        <f t="shared" si="50"/>
        <v>1358629.656</v>
      </c>
      <c r="AP92" s="148">
        <f t="shared" si="50"/>
        <v>1355901.4839999999</v>
      </c>
      <c r="AQ92" s="148">
        <f t="shared" si="50"/>
        <v>1353173.3119999999</v>
      </c>
      <c r="AR92" s="148">
        <f t="shared" si="50"/>
        <v>1350445.14</v>
      </c>
      <c r="AS92" s="148">
        <f t="shared" si="50"/>
        <v>1342260.6240000001</v>
      </c>
      <c r="AT92" s="148">
        <f t="shared" si="50"/>
        <v>1334076.108</v>
      </c>
      <c r="AU92" s="148">
        <f t="shared" si="50"/>
        <v>1325891.5919999999</v>
      </c>
      <c r="AV92" s="148">
        <f t="shared" si="50"/>
        <v>1317707.0759999999</v>
      </c>
      <c r="AW92" s="148"/>
      <c r="BA92" s="145">
        <f t="shared" si="24"/>
        <v>-9</v>
      </c>
      <c r="BB92" s="149">
        <f t="shared" si="11"/>
        <v>1.3177070759999998</v>
      </c>
      <c r="BC92" s="97">
        <v>9</v>
      </c>
      <c r="BD92" s="111">
        <f t="shared" si="12"/>
        <v>1317707.0759999999</v>
      </c>
      <c r="BE92" s="111">
        <f t="shared" si="13"/>
        <v>11859363.683999998</v>
      </c>
      <c r="BG92" s="102">
        <f t="shared" si="9"/>
        <v>-8184.5160000000615</v>
      </c>
      <c r="BH92" s="111"/>
      <c r="BI92" s="111"/>
      <c r="BL92" s="111"/>
      <c r="BM92" s="111"/>
      <c r="BW92" s="97" t="s">
        <v>619</v>
      </c>
    </row>
    <row r="93" spans="2:75">
      <c r="B93" s="98">
        <v>2016</v>
      </c>
      <c r="AN93" s="148">
        <f>AN53</f>
        <v>1756301</v>
      </c>
      <c r="AO93" s="148">
        <f t="shared" ref="AO93:AV93" si="51">$AN93*E$40</f>
        <v>1752788.398</v>
      </c>
      <c r="AP93" s="148">
        <f t="shared" si="51"/>
        <v>1749275.7960000001</v>
      </c>
      <c r="AQ93" s="148">
        <f t="shared" si="51"/>
        <v>1745763.1939999999</v>
      </c>
      <c r="AR93" s="148">
        <f t="shared" si="51"/>
        <v>1742250.5919999999</v>
      </c>
      <c r="AS93" s="148">
        <f t="shared" si="51"/>
        <v>1738737.99</v>
      </c>
      <c r="AT93" s="148">
        <f t="shared" si="51"/>
        <v>1728200.1839999999</v>
      </c>
      <c r="AU93" s="148">
        <f t="shared" si="51"/>
        <v>1717662.378</v>
      </c>
      <c r="AV93" s="148">
        <f t="shared" si="51"/>
        <v>1707124.5719999999</v>
      </c>
      <c r="AW93" s="148"/>
      <c r="BA93" s="145">
        <f t="shared" si="24"/>
        <v>-8</v>
      </c>
      <c r="BB93" s="149">
        <f t="shared" si="11"/>
        <v>1.7071245719999999</v>
      </c>
      <c r="BC93" s="97">
        <v>8</v>
      </c>
      <c r="BD93" s="111">
        <f t="shared" si="12"/>
        <v>1707124.5719999999</v>
      </c>
      <c r="BE93" s="97">
        <f t="shared" si="13"/>
        <v>13656996.575999999</v>
      </c>
      <c r="BG93" s="102">
        <f t="shared" si="9"/>
        <v>-10537.806000000099</v>
      </c>
      <c r="BW93" s="97" t="s">
        <v>619</v>
      </c>
    </row>
    <row r="94" spans="2:75">
      <c r="B94" s="98">
        <v>2017</v>
      </c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N94" s="102"/>
      <c r="AO94" s="148">
        <f>AO53</f>
        <v>2032247</v>
      </c>
      <c r="AP94" s="148">
        <f t="shared" ref="AP94:AV94" si="52">$AO94*E$40</f>
        <v>2028182.5060000001</v>
      </c>
      <c r="AQ94" s="148">
        <f t="shared" si="52"/>
        <v>2024118.0120000001</v>
      </c>
      <c r="AR94" s="148">
        <f t="shared" si="52"/>
        <v>2020053.5179999999</v>
      </c>
      <c r="AS94" s="148">
        <f t="shared" si="52"/>
        <v>2015989.024</v>
      </c>
      <c r="AT94" s="148">
        <f t="shared" si="52"/>
        <v>2011924.53</v>
      </c>
      <c r="AU94" s="148">
        <f t="shared" si="52"/>
        <v>1999731.048</v>
      </c>
      <c r="AV94" s="148">
        <f t="shared" si="52"/>
        <v>1987537.5659999999</v>
      </c>
      <c r="AW94" s="148"/>
      <c r="BA94" s="145">
        <f t="shared" si="24"/>
        <v>-7</v>
      </c>
      <c r="BB94" s="149">
        <f t="shared" si="11"/>
        <v>1.9875375659999999</v>
      </c>
      <c r="BC94" s="97">
        <v>7</v>
      </c>
      <c r="BD94" s="111">
        <f t="shared" si="12"/>
        <v>1987537.5659999999</v>
      </c>
      <c r="BE94" s="97">
        <f t="shared" si="13"/>
        <v>13912762.961999999</v>
      </c>
      <c r="BG94" s="102">
        <f t="shared" si="9"/>
        <v>-12193.482000000076</v>
      </c>
      <c r="BW94" s="97" t="s">
        <v>619</v>
      </c>
    </row>
    <row r="95" spans="2:75">
      <c r="B95" s="98">
        <v>2018</v>
      </c>
      <c r="AO95" s="152"/>
      <c r="AP95" s="148">
        <f>AP53</f>
        <v>855809</v>
      </c>
      <c r="AQ95" s="148">
        <f t="shared" ref="AQ95:AV95" si="53">$AP95*E$40</f>
        <v>854097.38199999998</v>
      </c>
      <c r="AR95" s="148">
        <f t="shared" si="53"/>
        <v>852385.76399999997</v>
      </c>
      <c r="AS95" s="148">
        <f t="shared" si="53"/>
        <v>850674.14599999995</v>
      </c>
      <c r="AT95" s="148">
        <f t="shared" si="53"/>
        <v>848962.52800000005</v>
      </c>
      <c r="AU95" s="148">
        <f t="shared" si="53"/>
        <v>847250.91</v>
      </c>
      <c r="AV95" s="148">
        <f t="shared" si="53"/>
        <v>842116.05599999998</v>
      </c>
      <c r="AW95" s="148"/>
      <c r="BA95" s="145">
        <f t="shared" si="24"/>
        <v>-6</v>
      </c>
      <c r="BB95" s="149">
        <f t="shared" si="11"/>
        <v>0.84211605599999995</v>
      </c>
      <c r="BC95" s="97">
        <v>6</v>
      </c>
      <c r="BD95" s="111">
        <f t="shared" si="12"/>
        <v>842116.05599999998</v>
      </c>
      <c r="BE95" s="97">
        <f t="shared" si="13"/>
        <v>5052696.3360000001</v>
      </c>
      <c r="BG95" s="102">
        <f t="shared" si="9"/>
        <v>-5134.8540000000503</v>
      </c>
      <c r="BW95" s="97" t="s">
        <v>619</v>
      </c>
    </row>
    <row r="96" spans="2:75">
      <c r="B96" s="98">
        <v>2019</v>
      </c>
      <c r="AO96" s="152"/>
      <c r="AP96" s="152"/>
      <c r="AQ96" s="148">
        <f>AQ$53</f>
        <v>763793</v>
      </c>
      <c r="AR96" s="148">
        <f t="shared" ref="AR96:AV96" si="54">AQ96*E$40</f>
        <v>762265.41399999999</v>
      </c>
      <c r="AS96" s="148">
        <f t="shared" si="54"/>
        <v>759216.35234400001</v>
      </c>
      <c r="AT96" s="148">
        <f t="shared" si="54"/>
        <v>754661.05422993598</v>
      </c>
      <c r="AU96" s="148">
        <f t="shared" si="54"/>
        <v>748623.76579609653</v>
      </c>
      <c r="AV96" s="148">
        <f t="shared" si="54"/>
        <v>741137.52813813556</v>
      </c>
      <c r="AW96" s="148"/>
      <c r="BA96" s="145">
        <f t="shared" si="24"/>
        <v>-5</v>
      </c>
      <c r="BB96" s="149">
        <f t="shared" si="11"/>
        <v>0.7411375281381356</v>
      </c>
      <c r="BC96" s="97">
        <v>5</v>
      </c>
      <c r="BD96" s="111">
        <f t="shared" si="12"/>
        <v>741137.52813813556</v>
      </c>
      <c r="BE96" s="97">
        <f t="shared" si="13"/>
        <v>3705687.6406906778</v>
      </c>
      <c r="BG96" s="102">
        <f t="shared" si="9"/>
        <v>-7486.23765796097</v>
      </c>
      <c r="BW96" s="97" t="s">
        <v>619</v>
      </c>
    </row>
    <row r="97" spans="2:75">
      <c r="B97" s="98">
        <v>2020</v>
      </c>
      <c r="AO97" s="152"/>
      <c r="AP97" s="152"/>
      <c r="AQ97" s="152"/>
      <c r="AR97" s="148">
        <f>AR$53</f>
        <v>532433</v>
      </c>
      <c r="AS97" s="148">
        <f t="shared" ref="AS97:AV97" si="55">$AR97*E$40</f>
        <v>531368.13399999996</v>
      </c>
      <c r="AT97" s="148">
        <f t="shared" si="55"/>
        <v>530303.26800000004</v>
      </c>
      <c r="AU97" s="148">
        <f t="shared" si="55"/>
        <v>529238.402</v>
      </c>
      <c r="AV97" s="148">
        <f t="shared" si="55"/>
        <v>528173.53599999996</v>
      </c>
      <c r="AW97" s="148"/>
      <c r="BA97" s="145">
        <f t="shared" si="24"/>
        <v>-4</v>
      </c>
      <c r="BB97" s="149">
        <f t="shared" si="11"/>
        <v>0.52817353599999994</v>
      </c>
      <c r="BC97" s="97">
        <v>4</v>
      </c>
      <c r="BD97" s="111">
        <f t="shared" si="12"/>
        <v>528173.53599999996</v>
      </c>
      <c r="BE97" s="97">
        <f t="shared" si="13"/>
        <v>2112694.1439999999</v>
      </c>
      <c r="BG97" s="102">
        <f t="shared" si="9"/>
        <v>-1064.8660000000382</v>
      </c>
      <c r="BW97" s="97" t="s">
        <v>619</v>
      </c>
    </row>
    <row r="98" spans="2:75">
      <c r="B98" s="98">
        <v>2021</v>
      </c>
      <c r="AS98" s="148">
        <f>AS$53</f>
        <v>520112</v>
      </c>
      <c r="AT98" s="148">
        <f t="shared" ref="AT98:AV98" si="56">$AS98*E$40</f>
        <v>519071.77600000001</v>
      </c>
      <c r="AU98" s="148">
        <f t="shared" si="56"/>
        <v>518031.55200000003</v>
      </c>
      <c r="AV98" s="148">
        <f t="shared" si="56"/>
        <v>516991.32799999998</v>
      </c>
      <c r="BA98" s="145">
        <f t="shared" si="24"/>
        <v>-3</v>
      </c>
      <c r="BB98" s="149">
        <f t="shared" si="11"/>
        <v>0.51699132800000003</v>
      </c>
      <c r="BC98" s="97">
        <v>3</v>
      </c>
      <c r="BD98" s="111">
        <f t="shared" si="12"/>
        <v>516991.32799999998</v>
      </c>
      <c r="BE98" s="97">
        <f t="shared" si="13"/>
        <v>1550973.9839999999</v>
      </c>
      <c r="BG98" s="102">
        <f t="shared" si="9"/>
        <v>-1040.2240000000456</v>
      </c>
      <c r="BW98" s="97" t="s">
        <v>619</v>
      </c>
    </row>
    <row r="99" spans="2:75">
      <c r="B99" s="98">
        <v>2022</v>
      </c>
      <c r="AT99" s="148">
        <f>AT$53</f>
        <v>486962</v>
      </c>
      <c r="AU99" s="148">
        <f t="shared" ref="AU99:AV99" si="57">$AT99*E$40</f>
        <v>485988.076</v>
      </c>
      <c r="AV99" s="148">
        <f t="shared" si="57"/>
        <v>485014.152</v>
      </c>
      <c r="BA99" s="145">
        <f t="shared" si="24"/>
        <v>-2</v>
      </c>
      <c r="BB99" s="149">
        <f t="shared" si="11"/>
        <v>0.48501415199999998</v>
      </c>
      <c r="BC99" s="97">
        <v>2</v>
      </c>
      <c r="BD99" s="111">
        <f t="shared" si="12"/>
        <v>485014.152</v>
      </c>
      <c r="BE99" s="97">
        <f t="shared" si="13"/>
        <v>970028.304</v>
      </c>
      <c r="BG99" s="102">
        <f t="shared" si="9"/>
        <v>-973.92399999999907</v>
      </c>
      <c r="BW99" s="97" t="s">
        <v>619</v>
      </c>
    </row>
    <row r="100" spans="2:75">
      <c r="B100" s="98">
        <v>2023</v>
      </c>
      <c r="AU100" s="148">
        <f>AU$53</f>
        <v>598215</v>
      </c>
      <c r="AV100" s="148">
        <f>$AU100*E$40</f>
        <v>597018.56999999995</v>
      </c>
      <c r="BA100" s="145">
        <f t="shared" si="24"/>
        <v>-1</v>
      </c>
      <c r="BB100" s="149">
        <f t="shared" si="11"/>
        <v>0.59701856999999992</v>
      </c>
      <c r="BC100" s="97">
        <v>1</v>
      </c>
      <c r="BD100" s="111">
        <f t="shared" si="12"/>
        <v>597018.56999999995</v>
      </c>
      <c r="BE100" s="97">
        <f t="shared" si="13"/>
        <v>597018.56999999995</v>
      </c>
      <c r="BG100" s="102">
        <f t="shared" si="9"/>
        <v>-1196.4300000000512</v>
      </c>
      <c r="BW100" s="97" t="s">
        <v>619</v>
      </c>
    </row>
    <row r="101" spans="2:75">
      <c r="B101" s="98">
        <v>2024</v>
      </c>
      <c r="AV101" s="148">
        <f>AV$53</f>
        <v>636489</v>
      </c>
      <c r="BA101" s="145">
        <f t="shared" si="24"/>
        <v>0</v>
      </c>
      <c r="BB101" s="149">
        <f t="shared" si="11"/>
        <v>0.63648899999999997</v>
      </c>
      <c r="BC101" s="97">
        <v>0</v>
      </c>
      <c r="BD101" s="111">
        <f t="shared" si="12"/>
        <v>636489</v>
      </c>
      <c r="BE101" s="97">
        <f t="shared" si="13"/>
        <v>0</v>
      </c>
      <c r="BG101" s="102">
        <f t="shared" si="9"/>
        <v>636489</v>
      </c>
      <c r="BW101" s="97" t="s">
        <v>619</v>
      </c>
    </row>
    <row r="102" spans="2:75">
      <c r="B102" s="153"/>
      <c r="C102" s="153"/>
      <c r="D102" s="153"/>
      <c r="E102" s="153"/>
      <c r="F102" s="153"/>
      <c r="G102" s="153"/>
      <c r="H102" s="153"/>
      <c r="BW102" s="97" t="s">
        <v>619</v>
      </c>
    </row>
    <row r="103" spans="2:75" ht="15.75">
      <c r="B103" s="154" t="s">
        <v>674</v>
      </c>
      <c r="C103" s="114"/>
      <c r="D103" s="155">
        <v>2010</v>
      </c>
      <c r="E103" s="155">
        <v>2020</v>
      </c>
      <c r="F103" s="155">
        <v>2030</v>
      </c>
      <c r="G103" s="155">
        <v>2040</v>
      </c>
      <c r="H103" s="155">
        <v>2050</v>
      </c>
      <c r="BW103" s="97" t="s">
        <v>619</v>
      </c>
    </row>
    <row r="104" spans="2:75">
      <c r="B104" s="155" t="s">
        <v>675</v>
      </c>
      <c r="C104" s="155" t="s">
        <v>631</v>
      </c>
      <c r="D104" s="156">
        <f>AH112/10^6</f>
        <v>0.91170877827270302</v>
      </c>
      <c r="E104" s="156">
        <f>AR112/10^6</f>
        <v>4.8025736159857866</v>
      </c>
      <c r="F104" s="156">
        <f>BB112/10^6</f>
        <v>9.6137636115585732</v>
      </c>
      <c r="G104" s="156">
        <f>BL112/10^6</f>
        <v>13.256797658685736</v>
      </c>
      <c r="H104" s="156">
        <f>BV112/10^6</f>
        <v>16.954391702116538</v>
      </c>
      <c r="BW104" s="97" t="s">
        <v>619</v>
      </c>
    </row>
    <row r="105" spans="2:75">
      <c r="B105" s="97" t="s">
        <v>676</v>
      </c>
      <c r="C105" s="97" t="s">
        <v>631</v>
      </c>
      <c r="D105" s="157">
        <f>D104-D106</f>
        <v>0.91120877827270308</v>
      </c>
      <c r="E105" s="157">
        <f>E104-E106</f>
        <v>4.7953697555618078</v>
      </c>
      <c r="F105" s="157">
        <f>F104-F106</f>
        <v>9.5656947935007803</v>
      </c>
      <c r="G105" s="157">
        <f>G104-G106</f>
        <v>13.124229682098878</v>
      </c>
      <c r="H105" s="157">
        <f>H104-H106</f>
        <v>16.615303868074207</v>
      </c>
      <c r="I105" s="158"/>
      <c r="BW105" s="97" t="s">
        <v>619</v>
      </c>
    </row>
    <row r="106" spans="2:75">
      <c r="B106" s="97" t="s">
        <v>171</v>
      </c>
      <c r="C106" s="97" t="s">
        <v>631</v>
      </c>
      <c r="D106" s="97">
        <f>500/10^6</f>
        <v>5.0000000000000001E-4</v>
      </c>
      <c r="E106" s="159">
        <f>E104*E107</f>
        <v>7.2038604239786797E-3</v>
      </c>
      <c r="F106" s="159">
        <f>F104*F107</f>
        <v>4.8068818057792867E-2</v>
      </c>
      <c r="G106" s="159">
        <f>G104*G107</f>
        <v>0.13256797658685737</v>
      </c>
      <c r="H106" s="159">
        <f>H104*H107</f>
        <v>0.33908783404233078</v>
      </c>
    </row>
    <row r="107" spans="2:75">
      <c r="B107" s="97" t="s">
        <v>677</v>
      </c>
      <c r="C107" s="97" t="s">
        <v>639</v>
      </c>
      <c r="D107" s="104">
        <f>D106/D104</f>
        <v>5.4842073687969256E-4</v>
      </c>
      <c r="E107" s="160">
        <v>1.5E-3</v>
      </c>
      <c r="F107" s="160">
        <v>5.0000000000000001E-3</v>
      </c>
      <c r="G107" s="122">
        <v>0.01</v>
      </c>
      <c r="H107" s="122">
        <v>0.02</v>
      </c>
      <c r="I107" s="119" t="s">
        <v>678</v>
      </c>
    </row>
    <row r="108" spans="2:75">
      <c r="B108" s="97" t="s">
        <v>679</v>
      </c>
      <c r="C108" s="97" t="s">
        <v>680</v>
      </c>
      <c r="D108" s="102">
        <f>D106*10^6/$F$36</f>
        <v>520.83333333333337</v>
      </c>
      <c r="E108" s="102">
        <f>(E106-D106)*10^6/$F$36</f>
        <v>6983.1879416444581</v>
      </c>
      <c r="F108" s="102">
        <f>(F106-E106)*10^6/$F$36</f>
        <v>42567.664201889784</v>
      </c>
      <c r="G108" s="102">
        <f>(G106-F106)*10^6/$F$36</f>
        <v>88019.956801108856</v>
      </c>
      <c r="H108" s="102">
        <f>(H106-G106)*10^6/$F$36</f>
        <v>215124.85151611816</v>
      </c>
    </row>
    <row r="109" spans="2:75">
      <c r="B109" s="97" t="s">
        <v>681</v>
      </c>
      <c r="C109" s="97" t="s">
        <v>639</v>
      </c>
      <c r="D109" s="128">
        <f>D108/AI114</f>
        <v>3.2761552509692178E-3</v>
      </c>
      <c r="E109" s="128">
        <f>E108/AM114</f>
        <v>1.9095348226131341E-2</v>
      </c>
      <c r="F109" s="128">
        <f>F108/BB114</f>
        <v>0.11877811529267267</v>
      </c>
      <c r="G109" s="128">
        <f>G108/BL114</f>
        <v>0.23536119824792529</v>
      </c>
      <c r="H109" s="128">
        <f>H108/BV114</f>
        <v>0.57679113693876471</v>
      </c>
    </row>
    <row r="110" spans="2:75">
      <c r="E110" s="102"/>
      <c r="F110" s="102"/>
      <c r="G110" s="102"/>
      <c r="H110" s="102"/>
    </row>
    <row r="111" spans="2:75">
      <c r="B111" s="161"/>
      <c r="D111" s="98">
        <v>1980</v>
      </c>
      <c r="E111" s="98">
        <v>1981</v>
      </c>
      <c r="F111" s="98">
        <v>1982</v>
      </c>
      <c r="G111" s="98">
        <v>1983</v>
      </c>
      <c r="H111" s="98">
        <v>1984</v>
      </c>
      <c r="I111" s="98">
        <v>1985</v>
      </c>
      <c r="J111" s="98">
        <v>1986</v>
      </c>
      <c r="K111" s="98">
        <v>1987</v>
      </c>
      <c r="L111" s="98">
        <v>1988</v>
      </c>
      <c r="M111" s="98">
        <v>1989</v>
      </c>
      <c r="N111" s="98">
        <v>1990</v>
      </c>
      <c r="O111" s="98">
        <v>1991</v>
      </c>
      <c r="P111" s="98">
        <v>1992</v>
      </c>
      <c r="Q111" s="98">
        <v>1993</v>
      </c>
      <c r="R111" s="98">
        <v>1994</v>
      </c>
      <c r="S111" s="98">
        <v>1995</v>
      </c>
      <c r="T111" s="98">
        <v>1996</v>
      </c>
      <c r="U111" s="98">
        <v>1997</v>
      </c>
      <c r="V111" s="98">
        <v>1998</v>
      </c>
      <c r="W111" s="98">
        <v>1999</v>
      </c>
      <c r="X111" s="98">
        <v>2000</v>
      </c>
      <c r="Y111" s="98">
        <v>2001</v>
      </c>
      <c r="Z111" s="98">
        <v>2002</v>
      </c>
      <c r="AA111" s="98">
        <v>2003</v>
      </c>
      <c r="AB111" s="98">
        <v>2004</v>
      </c>
      <c r="AC111" s="98">
        <v>2005</v>
      </c>
      <c r="AD111" s="98">
        <v>2006</v>
      </c>
      <c r="AE111" s="98">
        <v>2007</v>
      </c>
      <c r="AF111" s="98">
        <v>2008</v>
      </c>
      <c r="AG111" s="98">
        <v>2009</v>
      </c>
      <c r="AH111" s="98">
        <v>2010</v>
      </c>
      <c r="AI111" s="98">
        <v>2011</v>
      </c>
      <c r="AJ111" s="98">
        <v>2012</v>
      </c>
      <c r="AK111" s="98">
        <v>2013</v>
      </c>
      <c r="AL111" s="98">
        <v>2014</v>
      </c>
      <c r="AM111" s="99">
        <v>2015</v>
      </c>
      <c r="AN111" s="98">
        <v>2016</v>
      </c>
      <c r="AO111" s="98">
        <v>2017</v>
      </c>
      <c r="AP111" s="98">
        <v>2018</v>
      </c>
      <c r="AQ111" s="98">
        <v>2019</v>
      </c>
      <c r="AR111" s="98">
        <v>2020</v>
      </c>
      <c r="AS111" s="98">
        <v>2021</v>
      </c>
      <c r="AT111" s="98">
        <v>2022</v>
      </c>
      <c r="AU111" s="98">
        <v>2023</v>
      </c>
      <c r="AV111" s="98">
        <v>2024</v>
      </c>
      <c r="AW111" s="98">
        <v>2025</v>
      </c>
      <c r="AX111" s="98">
        <v>2026</v>
      </c>
      <c r="AY111" s="98">
        <v>2027</v>
      </c>
      <c r="AZ111" s="98">
        <v>2028</v>
      </c>
      <c r="BA111" s="98">
        <v>2029</v>
      </c>
      <c r="BB111" s="98">
        <v>2030</v>
      </c>
      <c r="BC111" s="98">
        <v>2031</v>
      </c>
      <c r="BD111" s="98">
        <v>2032</v>
      </c>
      <c r="BE111" s="98">
        <v>2033</v>
      </c>
      <c r="BF111" s="98">
        <v>2034</v>
      </c>
      <c r="BG111" s="98">
        <v>2035</v>
      </c>
      <c r="BH111" s="98">
        <v>2036</v>
      </c>
      <c r="BI111" s="98">
        <v>2037</v>
      </c>
      <c r="BJ111" s="98">
        <v>2038</v>
      </c>
      <c r="BK111" s="98">
        <v>2039</v>
      </c>
      <c r="BL111" s="98">
        <v>2040</v>
      </c>
      <c r="BM111" s="98">
        <v>2041</v>
      </c>
      <c r="BN111" s="98">
        <v>2042</v>
      </c>
      <c r="BO111" s="98">
        <v>2043</v>
      </c>
      <c r="BP111" s="98">
        <v>2044</v>
      </c>
      <c r="BQ111" s="98">
        <v>2045</v>
      </c>
      <c r="BR111" s="98">
        <v>2046</v>
      </c>
      <c r="BS111" s="98">
        <v>2047</v>
      </c>
      <c r="BT111" s="98">
        <v>2048</v>
      </c>
      <c r="BU111" s="98">
        <v>2049</v>
      </c>
      <c r="BV111" s="98">
        <v>2050</v>
      </c>
      <c r="BW111" s="97" t="s">
        <v>619</v>
      </c>
    </row>
    <row r="112" spans="2:75">
      <c r="B112" s="98" t="s">
        <v>682</v>
      </c>
      <c r="C112" s="97" t="s">
        <v>621</v>
      </c>
      <c r="D112" s="162">
        <f t="shared" ref="D112:AU112" si="58">D120</f>
        <v>294762.57035219704</v>
      </c>
      <c r="E112" s="162">
        <f t="shared" si="58"/>
        <v>313688.93687549268</v>
      </c>
      <c r="F112" s="162">
        <f t="shared" si="58"/>
        <v>273693.26939878828</v>
      </c>
      <c r="G112" s="162">
        <f t="shared" si="58"/>
        <v>266312.60192208388</v>
      </c>
      <c r="H112" s="162">
        <f t="shared" si="58"/>
        <v>263346.93444537942</v>
      </c>
      <c r="I112" s="162">
        <f t="shared" si="58"/>
        <v>263818.93096867512</v>
      </c>
      <c r="J112" s="162">
        <f t="shared" si="58"/>
        <v>244337.57653856193</v>
      </c>
      <c r="K112" s="162">
        <f t="shared" si="58"/>
        <v>230811.15410844874</v>
      </c>
      <c r="L112" s="162">
        <f t="shared" si="58"/>
        <v>225756.73167833552</v>
      </c>
      <c r="M112" s="162">
        <f t="shared" si="58"/>
        <v>229780.30924822233</v>
      </c>
      <c r="N112" s="162">
        <f t="shared" si="58"/>
        <v>248173.70881810918</v>
      </c>
      <c r="O112" s="162">
        <f t="shared" si="58"/>
        <v>254049.08057436082</v>
      </c>
      <c r="P112" s="162">
        <f t="shared" si="58"/>
        <v>259323.05233061247</v>
      </c>
      <c r="Q112" s="162">
        <f t="shared" si="58"/>
        <v>177070.42408686414</v>
      </c>
      <c r="R112" s="162">
        <f t="shared" si="58"/>
        <v>186782.7958431158</v>
      </c>
      <c r="S112" s="162">
        <f t="shared" si="58"/>
        <v>89817.323599367519</v>
      </c>
      <c r="T112" s="162">
        <f t="shared" si="58"/>
        <v>126073.30501868841</v>
      </c>
      <c r="U112" s="162">
        <f t="shared" si="58"/>
        <v>115918.59443800926</v>
      </c>
      <c r="V112" s="162">
        <f t="shared" si="58"/>
        <v>148038.46985733017</v>
      </c>
      <c r="W112" s="162">
        <f t="shared" si="58"/>
        <v>176635.47727665113</v>
      </c>
      <c r="X112" s="162">
        <f t="shared" si="58"/>
        <v>195328.64669597201</v>
      </c>
      <c r="Y112" s="162">
        <f t="shared" si="58"/>
        <v>169053.04863858849</v>
      </c>
      <c r="Z112" s="162">
        <f t="shared" si="58"/>
        <v>244180.99658120505</v>
      </c>
      <c r="AA112" s="162">
        <f t="shared" si="58"/>
        <v>300207.28452382155</v>
      </c>
      <c r="AB112" s="162">
        <f t="shared" si="58"/>
        <v>364712.84646643809</v>
      </c>
      <c r="AC112" s="162">
        <f t="shared" si="58"/>
        <v>421924.49840905459</v>
      </c>
      <c r="AD112" s="162">
        <f t="shared" si="58"/>
        <v>542159.10678178421</v>
      </c>
      <c r="AE112" s="162">
        <f t="shared" si="58"/>
        <v>684235.80515451403</v>
      </c>
      <c r="AF112" s="162">
        <f t="shared" si="58"/>
        <v>869818.33552724367</v>
      </c>
      <c r="AG112" s="162">
        <f t="shared" si="58"/>
        <v>971127.80589997326</v>
      </c>
      <c r="AH112" s="162">
        <f t="shared" si="58"/>
        <v>911708.77827270306</v>
      </c>
      <c r="AI112" s="162">
        <f t="shared" si="58"/>
        <v>1054738.7300289548</v>
      </c>
      <c r="AJ112" s="162">
        <f t="shared" si="58"/>
        <v>1306548.3197852066</v>
      </c>
      <c r="AK112" s="162">
        <f t="shared" si="58"/>
        <v>1578033.3595414581</v>
      </c>
      <c r="AL112" s="162">
        <f t="shared" si="58"/>
        <v>1952905.3052977095</v>
      </c>
      <c r="AM112" s="137">
        <f t="shared" si="58"/>
        <v>2294158.0670539616</v>
      </c>
      <c r="AN112" s="162">
        <f t="shared" si="58"/>
        <v>2668008.989240326</v>
      </c>
      <c r="AO112" s="162">
        <f t="shared" si="58"/>
        <v>3174892.409426691</v>
      </c>
      <c r="AP112" s="162">
        <f t="shared" si="58"/>
        <v>3700088.181613056</v>
      </c>
      <c r="AQ112" s="162">
        <f t="shared" si="58"/>
        <v>4139354.4837994203</v>
      </c>
      <c r="AR112" s="162">
        <f t="shared" si="58"/>
        <v>4802573.6159857865</v>
      </c>
      <c r="AS112" s="162">
        <f t="shared" si="58"/>
        <v>5245934.0866022632</v>
      </c>
      <c r="AT112" s="162">
        <f t="shared" si="58"/>
        <v>5839631.6972187413</v>
      </c>
      <c r="AU112" s="162">
        <f t="shared" si="58"/>
        <v>6645702.4258352192</v>
      </c>
      <c r="AV112" s="162">
        <f>AV120</f>
        <v>7519080.9610441783</v>
      </c>
      <c r="AW112" s="162">
        <f t="shared" ref="AW112:BV112" si="59">AW115*(AW$49*10^3)</f>
        <v>7863466.5168853169</v>
      </c>
      <c r="AX112" s="162">
        <f t="shared" si="59"/>
        <v>8205205.6642114418</v>
      </c>
      <c r="AY112" s="162">
        <f t="shared" si="59"/>
        <v>8551104.9473418295</v>
      </c>
      <c r="AZ112" s="162">
        <f t="shared" si="59"/>
        <v>8901164.3662764803</v>
      </c>
      <c r="BA112" s="162">
        <f t="shared" si="59"/>
        <v>9255383.9210153967</v>
      </c>
      <c r="BB112" s="162">
        <f t="shared" si="59"/>
        <v>9613763.6115585733</v>
      </c>
      <c r="BC112" s="162">
        <f t="shared" si="59"/>
        <v>9967344.5702773854</v>
      </c>
      <c r="BD112" s="162">
        <f t="shared" si="59"/>
        <v>10324557.544827212</v>
      </c>
      <c r="BE112" s="162">
        <f t="shared" si="59"/>
        <v>10685402.53520805</v>
      </c>
      <c r="BF112" s="162">
        <f t="shared" si="59"/>
        <v>11049879.541419903</v>
      </c>
      <c r="BG112" s="162">
        <f t="shared" si="59"/>
        <v>11417988.56346277</v>
      </c>
      <c r="BH112" s="162">
        <f t="shared" si="59"/>
        <v>11779534.003546732</v>
      </c>
      <c r="BI112" s="162">
        <f t="shared" si="59"/>
        <v>12144187.633111009</v>
      </c>
      <c r="BJ112" s="162">
        <f t="shared" si="59"/>
        <v>12511949.452155605</v>
      </c>
      <c r="BK112" s="162">
        <f t="shared" si="59"/>
        <v>12882819.460680515</v>
      </c>
      <c r="BL112" s="162">
        <f t="shared" si="59"/>
        <v>13256797.658685736</v>
      </c>
      <c r="BM112" s="162">
        <f t="shared" si="59"/>
        <v>13622246.004084358</v>
      </c>
      <c r="BN112" s="162">
        <f t="shared" si="59"/>
        <v>13990272.662701445</v>
      </c>
      <c r="BO112" s="162">
        <f t="shared" si="59"/>
        <v>14360877.634536996</v>
      </c>
      <c r="BP112" s="162">
        <f t="shared" si="59"/>
        <v>14734060.919591019</v>
      </c>
      <c r="BQ112" s="162">
        <f t="shared" si="59"/>
        <v>15109822.517863501</v>
      </c>
      <c r="BR112" s="162">
        <f t="shared" si="59"/>
        <v>15474681.819238704</v>
      </c>
      <c r="BS112" s="162">
        <f t="shared" si="59"/>
        <v>15841568.388351612</v>
      </c>
      <c r="BT112" s="162">
        <f t="shared" si="59"/>
        <v>16210482.22520222</v>
      </c>
      <c r="BU112" s="162">
        <f t="shared" si="59"/>
        <v>16581423.329790531</v>
      </c>
      <c r="BV112" s="162">
        <f t="shared" si="59"/>
        <v>16954391.702116538</v>
      </c>
      <c r="BW112" s="97" t="s">
        <v>619</v>
      </c>
    </row>
    <row r="113" spans="2:75">
      <c r="AM113" s="141"/>
      <c r="BW113" s="97" t="s">
        <v>619</v>
      </c>
    </row>
    <row r="114" spans="2:75">
      <c r="B114" s="97" t="s">
        <v>683</v>
      </c>
      <c r="C114" s="97" t="s">
        <v>661</v>
      </c>
      <c r="D114" s="102">
        <f>D5*(E114/E5)</f>
        <v>18232.738352197059</v>
      </c>
      <c r="E114" s="102">
        <f t="shared" ref="E114:AV114" si="60">E5-D5</f>
        <v>19517</v>
      </c>
      <c r="F114" s="102">
        <f t="shared" si="60"/>
        <v>-39366</v>
      </c>
      <c r="G114" s="102">
        <f t="shared" si="60"/>
        <v>-6751</v>
      </c>
      <c r="H114" s="102">
        <f t="shared" si="60"/>
        <v>-2336</v>
      </c>
      <c r="I114" s="102">
        <f t="shared" si="60"/>
        <v>2210</v>
      </c>
      <c r="J114" s="102">
        <f t="shared" si="60"/>
        <v>-17666</v>
      </c>
      <c r="K114" s="102">
        <f t="shared" si="60"/>
        <v>-11633</v>
      </c>
      <c r="L114" s="102">
        <f t="shared" si="60"/>
        <v>-3161</v>
      </c>
      <c r="M114" s="102">
        <f t="shared" si="60"/>
        <v>5917</v>
      </c>
      <c r="N114" s="102">
        <f t="shared" si="60"/>
        <v>24732</v>
      </c>
      <c r="O114" s="102">
        <f t="shared" si="60"/>
        <v>12564</v>
      </c>
      <c r="P114" s="102">
        <f t="shared" si="60"/>
        <v>12300</v>
      </c>
      <c r="Q114" s="102">
        <f t="shared" si="60"/>
        <v>-75202</v>
      </c>
      <c r="R114" s="102">
        <f t="shared" si="60"/>
        <v>16763</v>
      </c>
      <c r="S114" s="102">
        <f t="shared" si="60"/>
        <v>-86012</v>
      </c>
      <c r="T114" s="102">
        <f t="shared" si="60"/>
        <v>47599</v>
      </c>
      <c r="U114" s="102">
        <f t="shared" si="60"/>
        <v>1607</v>
      </c>
      <c r="V114" s="102">
        <f t="shared" si="60"/>
        <v>43934</v>
      </c>
      <c r="W114" s="102">
        <f t="shared" si="60"/>
        <v>40499</v>
      </c>
      <c r="X114" s="102">
        <f t="shared" si="60"/>
        <v>31325</v>
      </c>
      <c r="Y114" s="102">
        <f t="shared" si="60"/>
        <v>-13118</v>
      </c>
      <c r="Z114" s="102">
        <f t="shared" si="60"/>
        <v>88716</v>
      </c>
      <c r="AA114" s="102">
        <f t="shared" si="60"/>
        <v>69995</v>
      </c>
      <c r="AB114" s="102">
        <f t="shared" si="60"/>
        <v>78790</v>
      </c>
      <c r="AC114" s="102">
        <f t="shared" si="60"/>
        <v>70236</v>
      </c>
      <c r="AD114" s="102">
        <f t="shared" si="60"/>
        <v>133766</v>
      </c>
      <c r="AE114" s="102">
        <f t="shared" si="60"/>
        <v>156696</v>
      </c>
      <c r="AF114" s="102">
        <f t="shared" si="60"/>
        <v>201068</v>
      </c>
      <c r="AG114" s="102">
        <f t="shared" si="60"/>
        <v>118180</v>
      </c>
      <c r="AH114" s="102">
        <f t="shared" si="60"/>
        <v>-44108</v>
      </c>
      <c r="AI114" s="102">
        <f t="shared" si="60"/>
        <v>158977</v>
      </c>
      <c r="AJ114" s="102">
        <f t="shared" si="60"/>
        <v>269106</v>
      </c>
      <c r="AK114" s="102">
        <f t="shared" si="60"/>
        <v>291413</v>
      </c>
      <c r="AL114" s="102">
        <f t="shared" si="60"/>
        <v>397922</v>
      </c>
      <c r="AM114" s="103">
        <f t="shared" si="60"/>
        <v>365701</v>
      </c>
      <c r="AN114" s="102">
        <f t="shared" si="60"/>
        <v>400313</v>
      </c>
      <c r="AO114" s="102">
        <f t="shared" si="60"/>
        <v>536825</v>
      </c>
      <c r="AP114" s="102">
        <f t="shared" si="60"/>
        <v>560966</v>
      </c>
      <c r="AQ114" s="102">
        <f t="shared" si="60"/>
        <v>481609</v>
      </c>
      <c r="AR114" s="102">
        <f t="shared" si="60"/>
        <v>709470</v>
      </c>
      <c r="AS114" s="102">
        <f t="shared" si="60"/>
        <v>494588</v>
      </c>
      <c r="AT114" s="102">
        <f t="shared" si="60"/>
        <v>651963</v>
      </c>
      <c r="AU114" s="102">
        <f t="shared" si="60"/>
        <v>876265</v>
      </c>
      <c r="AV114" s="102">
        <f t="shared" si="60"/>
        <v>958021.48859248124</v>
      </c>
      <c r="AW114" s="163">
        <f>AW112-AV112</f>
        <v>344385.55584113859</v>
      </c>
      <c r="AX114" s="163">
        <f t="shared" ref="AX114:BV114" si="61">AX112-AW112</f>
        <v>341739.14732612483</v>
      </c>
      <c r="AY114" s="163">
        <f t="shared" si="61"/>
        <v>345899.28313038778</v>
      </c>
      <c r="AZ114" s="163">
        <f t="shared" si="61"/>
        <v>350059.41893465072</v>
      </c>
      <c r="BA114" s="163">
        <f t="shared" si="61"/>
        <v>354219.55473891646</v>
      </c>
      <c r="BB114" s="163">
        <f t="shared" si="61"/>
        <v>358379.69054317661</v>
      </c>
      <c r="BC114" s="163">
        <f t="shared" si="61"/>
        <v>353580.95871881209</v>
      </c>
      <c r="BD114" s="163">
        <f t="shared" si="61"/>
        <v>357212.97454982623</v>
      </c>
      <c r="BE114" s="163">
        <f t="shared" si="61"/>
        <v>360844.99038083851</v>
      </c>
      <c r="BF114" s="163">
        <f t="shared" si="61"/>
        <v>364477.00621185265</v>
      </c>
      <c r="BG114" s="163">
        <f t="shared" si="61"/>
        <v>368109.0220428668</v>
      </c>
      <c r="BH114" s="163">
        <f t="shared" si="61"/>
        <v>361545.44008396193</v>
      </c>
      <c r="BI114" s="163">
        <f t="shared" si="61"/>
        <v>364653.62956427783</v>
      </c>
      <c r="BJ114" s="163">
        <f t="shared" si="61"/>
        <v>367761.81904459558</v>
      </c>
      <c r="BK114" s="163">
        <f t="shared" si="61"/>
        <v>370870.00852490962</v>
      </c>
      <c r="BL114" s="163">
        <f t="shared" si="61"/>
        <v>373978.19800522178</v>
      </c>
      <c r="BM114" s="163">
        <f t="shared" si="61"/>
        <v>365448.34539862163</v>
      </c>
      <c r="BN114" s="163">
        <f t="shared" si="61"/>
        <v>368026.65861708671</v>
      </c>
      <c r="BO114" s="163">
        <f t="shared" si="61"/>
        <v>370604.97183555178</v>
      </c>
      <c r="BP114" s="163">
        <f t="shared" si="61"/>
        <v>373183.28505402245</v>
      </c>
      <c r="BQ114" s="163">
        <f t="shared" si="61"/>
        <v>375761.59827248193</v>
      </c>
      <c r="BR114" s="163">
        <f t="shared" si="61"/>
        <v>364859.30137520283</v>
      </c>
      <c r="BS114" s="163">
        <f t="shared" si="61"/>
        <v>366886.5691129081</v>
      </c>
      <c r="BT114" s="163">
        <f t="shared" si="61"/>
        <v>368913.83685060777</v>
      </c>
      <c r="BU114" s="163">
        <f t="shared" si="61"/>
        <v>370941.10458831117</v>
      </c>
      <c r="BV114" s="163">
        <f t="shared" si="61"/>
        <v>372968.37232600711</v>
      </c>
      <c r="BW114" s="97" t="s">
        <v>619</v>
      </c>
    </row>
    <row r="115" spans="2:75">
      <c r="B115" s="97" t="s">
        <v>684</v>
      </c>
      <c r="C115" s="97" t="s">
        <v>685</v>
      </c>
      <c r="D115" s="164">
        <f t="shared" ref="D115:AV115" si="62">D112/(D$49*10^3)</f>
        <v>4.3243161223484794</v>
      </c>
      <c r="E115" s="164">
        <f t="shared" si="62"/>
        <v>4.5130509728006647</v>
      </c>
      <c r="F115" s="164">
        <f t="shared" si="62"/>
        <v>3.8615449117043155</v>
      </c>
      <c r="G115" s="164">
        <f t="shared" si="62"/>
        <v>3.6848059932596384</v>
      </c>
      <c r="H115" s="164">
        <f t="shared" si="62"/>
        <v>3.5733628078780404</v>
      </c>
      <c r="I115" s="164">
        <f t="shared" si="62"/>
        <v>3.5105950675555584</v>
      </c>
      <c r="J115" s="164">
        <f t="shared" si="62"/>
        <v>3.1885334732550317</v>
      </c>
      <c r="K115" s="164">
        <f t="shared" si="62"/>
        <v>2.9538160609337285</v>
      </c>
      <c r="L115" s="164">
        <f t="shared" si="62"/>
        <v>2.8333048206639457</v>
      </c>
      <c r="M115" s="164">
        <f t="shared" si="62"/>
        <v>2.828077701117615</v>
      </c>
      <c r="N115" s="164">
        <f t="shared" si="62"/>
        <v>2.9849657984834881</v>
      </c>
      <c r="O115" s="164">
        <f t="shared" si="62"/>
        <v>2.9861132619378412</v>
      </c>
      <c r="P115" s="164">
        <f t="shared" si="62"/>
        <v>2.9787553407602556</v>
      </c>
      <c r="Q115" s="164">
        <f t="shared" si="62"/>
        <v>1.9876723533749994</v>
      </c>
      <c r="R115" s="164">
        <f t="shared" si="62"/>
        <v>2.0489940722134632</v>
      </c>
      <c r="S115" s="164">
        <f t="shared" si="62"/>
        <v>0.97215839208002031</v>
      </c>
      <c r="T115" s="164">
        <f t="shared" si="62"/>
        <v>1.3463970380374723</v>
      </c>
      <c r="U115" s="164">
        <f t="shared" si="62"/>
        <v>1.2214514395486094</v>
      </c>
      <c r="V115" s="164">
        <f t="shared" si="62"/>
        <v>1.53911395677705</v>
      </c>
      <c r="W115" s="164">
        <f t="shared" si="62"/>
        <v>1.811954194593139</v>
      </c>
      <c r="X115" s="164">
        <f t="shared" si="62"/>
        <v>1.9807610619609359</v>
      </c>
      <c r="Y115" s="164">
        <f t="shared" si="62"/>
        <v>1.6946734528757694</v>
      </c>
      <c r="Z115" s="164">
        <f t="shared" si="62"/>
        <v>2.4197569806702539</v>
      </c>
      <c r="AA115" s="164">
        <f t="shared" si="62"/>
        <v>2.940884619266289</v>
      </c>
      <c r="AB115" s="164">
        <f t="shared" si="62"/>
        <v>3.5318698478732662</v>
      </c>
      <c r="AC115" s="164">
        <f t="shared" si="62"/>
        <v>4.0176623920283987</v>
      </c>
      <c r="AD115" s="164">
        <f t="shared" si="62"/>
        <v>5.0763378804281301</v>
      </c>
      <c r="AE115" s="164">
        <f t="shared" si="62"/>
        <v>6.2996239755247236</v>
      </c>
      <c r="AF115" s="164">
        <f t="shared" si="62"/>
        <v>7.8744903619390616</v>
      </c>
      <c r="AG115" s="164">
        <f t="shared" si="62"/>
        <v>8.6448080312032864</v>
      </c>
      <c r="AH115" s="164">
        <f t="shared" si="62"/>
        <v>7.9795575338949121</v>
      </c>
      <c r="AI115" s="164">
        <f t="shared" si="62"/>
        <v>9.1235948961612579</v>
      </c>
      <c r="AJ115" s="164">
        <f t="shared" si="62"/>
        <v>11.171313351477178</v>
      </c>
      <c r="AK115" s="164">
        <f t="shared" si="62"/>
        <v>13.338606737405398</v>
      </c>
      <c r="AL115" s="164">
        <f t="shared" si="62"/>
        <v>16.321030006747449</v>
      </c>
      <c r="AM115" s="165">
        <f t="shared" si="62"/>
        <v>18.959072827791381</v>
      </c>
      <c r="AN115" s="164">
        <f t="shared" si="62"/>
        <v>21.829028977099547</v>
      </c>
      <c r="AO115" s="164">
        <f t="shared" si="62"/>
        <v>25.720096000370607</v>
      </c>
      <c r="AP115" s="164">
        <f t="shared" si="62"/>
        <v>29.68207910409928</v>
      </c>
      <c r="AQ115" s="164">
        <f t="shared" si="62"/>
        <v>32.884780027533857</v>
      </c>
      <c r="AR115" s="164">
        <f t="shared" si="62"/>
        <v>37.788272543848478</v>
      </c>
      <c r="AS115" s="164">
        <f t="shared" si="62"/>
        <v>40.923075100608614</v>
      </c>
      <c r="AT115" s="164">
        <f t="shared" si="62"/>
        <v>45.167411551538535</v>
      </c>
      <c r="AU115" s="164">
        <f t="shared" si="62"/>
        <v>50.969022307695489</v>
      </c>
      <c r="AV115" s="164">
        <f t="shared" si="62"/>
        <v>57.185597802377529</v>
      </c>
      <c r="AW115" s="164">
        <f t="shared" ref="AW115:BV115" si="63">AV115+$E$116</f>
        <v>59.309293634298982</v>
      </c>
      <c r="AX115" s="164">
        <f t="shared" si="63"/>
        <v>61.432989466220434</v>
      </c>
      <c r="AY115" s="164">
        <f t="shared" si="63"/>
        <v>63.556685298141886</v>
      </c>
      <c r="AZ115" s="164">
        <f t="shared" si="63"/>
        <v>65.680381130063338</v>
      </c>
      <c r="BA115" s="164">
        <f t="shared" si="63"/>
        <v>67.804076961984791</v>
      </c>
      <c r="BB115" s="164">
        <f t="shared" si="63"/>
        <v>69.927772793906243</v>
      </c>
      <c r="BC115" s="164">
        <f t="shared" si="63"/>
        <v>72.051468625827695</v>
      </c>
      <c r="BD115" s="164">
        <f t="shared" si="63"/>
        <v>74.175164457749148</v>
      </c>
      <c r="BE115" s="164">
        <f t="shared" si="63"/>
        <v>76.2988602896706</v>
      </c>
      <c r="BF115" s="164">
        <f t="shared" si="63"/>
        <v>78.422556121592052</v>
      </c>
      <c r="BG115" s="164">
        <f t="shared" si="63"/>
        <v>80.546251953513504</v>
      </c>
      <c r="BH115" s="164">
        <f t="shared" si="63"/>
        <v>82.669947785434957</v>
      </c>
      <c r="BI115" s="164">
        <f t="shared" si="63"/>
        <v>84.793643617356409</v>
      </c>
      <c r="BJ115" s="164">
        <f t="shared" si="63"/>
        <v>86.917339449277861</v>
      </c>
      <c r="BK115" s="164">
        <f t="shared" si="63"/>
        <v>89.041035281199314</v>
      </c>
      <c r="BL115" s="164">
        <f t="shared" si="63"/>
        <v>91.164731113120766</v>
      </c>
      <c r="BM115" s="164">
        <f t="shared" si="63"/>
        <v>93.288426945042218</v>
      </c>
      <c r="BN115" s="164">
        <f t="shared" si="63"/>
        <v>95.41212277696367</v>
      </c>
      <c r="BO115" s="164">
        <f t="shared" si="63"/>
        <v>97.535818608885123</v>
      </c>
      <c r="BP115" s="164">
        <f t="shared" si="63"/>
        <v>99.659514440806575</v>
      </c>
      <c r="BQ115" s="164">
        <f t="shared" si="63"/>
        <v>101.78321027272803</v>
      </c>
      <c r="BR115" s="164">
        <f t="shared" si="63"/>
        <v>103.90690610464948</v>
      </c>
      <c r="BS115" s="164">
        <f t="shared" si="63"/>
        <v>106.03060193657093</v>
      </c>
      <c r="BT115" s="164">
        <f t="shared" si="63"/>
        <v>108.15429776849238</v>
      </c>
      <c r="BU115" s="164">
        <f t="shared" si="63"/>
        <v>110.27799360041384</v>
      </c>
      <c r="BV115" s="164">
        <f t="shared" si="63"/>
        <v>112.40168943233529</v>
      </c>
      <c r="BW115" s="115" t="s">
        <v>619</v>
      </c>
    </row>
    <row r="116" spans="2:75" ht="15.75" thickBot="1">
      <c r="B116" s="97" t="s">
        <v>686</v>
      </c>
      <c r="C116" s="97" t="s">
        <v>687</v>
      </c>
      <c r="D116" s="132">
        <f>(AV115-AM115)/(AV111-AM111)</f>
        <v>4.2473916638429055</v>
      </c>
      <c r="E116" s="166">
        <f>D116*0.5</f>
        <v>2.1236958319214527</v>
      </c>
      <c r="F116" s="147" t="s">
        <v>688</v>
      </c>
      <c r="G116" s="167">
        <f>AM115</f>
        <v>18.959072827791381</v>
      </c>
      <c r="H116" s="98" t="s">
        <v>689</v>
      </c>
      <c r="AM116" s="141"/>
      <c r="BW116" s="97" t="s">
        <v>619</v>
      </c>
    </row>
    <row r="117" spans="2:75">
      <c r="B117" s="97" t="s">
        <v>690</v>
      </c>
      <c r="C117" s="97" t="s">
        <v>631</v>
      </c>
      <c r="D117" s="132">
        <f>$AV$112/10^6</f>
        <v>7.5190809610441782</v>
      </c>
      <c r="F117" s="147" t="s">
        <v>691</v>
      </c>
      <c r="G117" s="167">
        <f>BV115</f>
        <v>112.40168943233529</v>
      </c>
      <c r="H117" s="98" t="s">
        <v>692</v>
      </c>
      <c r="AM117" s="141"/>
      <c r="BE117" s="173" t="s">
        <v>659</v>
      </c>
      <c r="BW117" s="97" t="s">
        <v>619</v>
      </c>
    </row>
    <row r="118" spans="2:75" ht="15.75" thickBot="1">
      <c r="B118" s="97" t="s">
        <v>693</v>
      </c>
      <c r="C118" s="97" t="s">
        <v>631</v>
      </c>
      <c r="D118" s="132">
        <f>$BV$112/10^6</f>
        <v>16.954391702116538</v>
      </c>
      <c r="AM118" s="141"/>
      <c r="BC118" s="143" t="s">
        <v>662</v>
      </c>
      <c r="BD118" s="143"/>
      <c r="BE118" s="174">
        <f>BE120/BD120</f>
        <v>5.4339097883846605</v>
      </c>
      <c r="BW118" s="97" t="s">
        <v>619</v>
      </c>
    </row>
    <row r="119" spans="2:75">
      <c r="AM119" s="141"/>
      <c r="AU119" s="97" t="s">
        <v>663</v>
      </c>
      <c r="AV119" s="104">
        <f>(AV120/AJ120)^(1/(AV$1-AJ$1))-1</f>
        <v>0.15700865341740888</v>
      </c>
      <c r="BA119" s="145" t="s">
        <v>664</v>
      </c>
      <c r="BB119" s="145" t="s">
        <v>665</v>
      </c>
      <c r="BC119" s="143" t="s">
        <v>666</v>
      </c>
      <c r="BD119" s="143" t="s">
        <v>667</v>
      </c>
      <c r="BE119" s="143" t="s">
        <v>668</v>
      </c>
      <c r="BW119" s="97" t="s">
        <v>619</v>
      </c>
    </row>
    <row r="120" spans="2:75">
      <c r="B120" s="119" t="s">
        <v>694</v>
      </c>
      <c r="C120" s="135">
        <f t="shared" ref="C120:AU120" si="64">SUM(C121:C166)</f>
        <v>277084</v>
      </c>
      <c r="D120" s="135">
        <f t="shared" si="64"/>
        <v>294762.57035219704</v>
      </c>
      <c r="E120" s="135">
        <f t="shared" si="64"/>
        <v>313688.93687549268</v>
      </c>
      <c r="F120" s="135">
        <f t="shared" si="64"/>
        <v>273693.26939878828</v>
      </c>
      <c r="G120" s="135">
        <f t="shared" si="64"/>
        <v>266312.60192208388</v>
      </c>
      <c r="H120" s="135">
        <f t="shared" si="64"/>
        <v>263346.93444537942</v>
      </c>
      <c r="I120" s="135">
        <f t="shared" si="64"/>
        <v>263818.93096867512</v>
      </c>
      <c r="J120" s="135">
        <f t="shared" si="64"/>
        <v>244337.57653856193</v>
      </c>
      <c r="K120" s="135">
        <f t="shared" si="64"/>
        <v>230811.15410844874</v>
      </c>
      <c r="L120" s="135">
        <f t="shared" si="64"/>
        <v>225756.73167833552</v>
      </c>
      <c r="M120" s="135">
        <f t="shared" si="64"/>
        <v>229780.30924822233</v>
      </c>
      <c r="N120" s="135">
        <f t="shared" si="64"/>
        <v>248173.70881810918</v>
      </c>
      <c r="O120" s="135">
        <f t="shared" si="64"/>
        <v>254049.08057436082</v>
      </c>
      <c r="P120" s="135">
        <f t="shared" si="64"/>
        <v>259323.05233061247</v>
      </c>
      <c r="Q120" s="135">
        <f t="shared" si="64"/>
        <v>177070.42408686414</v>
      </c>
      <c r="R120" s="135">
        <f t="shared" si="64"/>
        <v>186782.7958431158</v>
      </c>
      <c r="S120" s="135">
        <f t="shared" si="64"/>
        <v>89817.323599367519</v>
      </c>
      <c r="T120" s="135">
        <f t="shared" si="64"/>
        <v>126073.30501868841</v>
      </c>
      <c r="U120" s="135">
        <f t="shared" si="64"/>
        <v>115918.59443800926</v>
      </c>
      <c r="V120" s="135">
        <f t="shared" si="64"/>
        <v>148038.46985733017</v>
      </c>
      <c r="W120" s="135">
        <f t="shared" si="64"/>
        <v>176635.47727665113</v>
      </c>
      <c r="X120" s="135">
        <f t="shared" si="64"/>
        <v>195328.64669597201</v>
      </c>
      <c r="Y120" s="135">
        <f t="shared" si="64"/>
        <v>169053.04863858849</v>
      </c>
      <c r="Z120" s="135">
        <f t="shared" si="64"/>
        <v>244180.99658120505</v>
      </c>
      <c r="AA120" s="135">
        <f t="shared" si="64"/>
        <v>300207.28452382155</v>
      </c>
      <c r="AB120" s="135">
        <f t="shared" si="64"/>
        <v>364712.84646643809</v>
      </c>
      <c r="AC120" s="135">
        <f t="shared" si="64"/>
        <v>421924.49840905459</v>
      </c>
      <c r="AD120" s="135">
        <f t="shared" si="64"/>
        <v>542159.10678178421</v>
      </c>
      <c r="AE120" s="135">
        <f t="shared" si="64"/>
        <v>684235.80515451403</v>
      </c>
      <c r="AF120" s="135">
        <f t="shared" si="64"/>
        <v>869818.33552724367</v>
      </c>
      <c r="AG120" s="135">
        <f t="shared" si="64"/>
        <v>971127.80589997326</v>
      </c>
      <c r="AH120" s="135">
        <f t="shared" si="64"/>
        <v>911708.77827270306</v>
      </c>
      <c r="AI120" s="135">
        <f t="shared" si="64"/>
        <v>1054738.7300289548</v>
      </c>
      <c r="AJ120" s="135">
        <f t="shared" si="64"/>
        <v>1306548.3197852066</v>
      </c>
      <c r="AK120" s="135">
        <f t="shared" si="64"/>
        <v>1578033.3595414581</v>
      </c>
      <c r="AL120" s="135">
        <f t="shared" si="64"/>
        <v>1952905.3052977095</v>
      </c>
      <c r="AM120" s="137">
        <f t="shared" si="64"/>
        <v>2294158.0670539616</v>
      </c>
      <c r="AN120" s="134">
        <f t="shared" si="64"/>
        <v>2668008.989240326</v>
      </c>
      <c r="AO120" s="134">
        <f t="shared" si="64"/>
        <v>3174892.409426691</v>
      </c>
      <c r="AP120" s="134">
        <f t="shared" si="64"/>
        <v>3700088.181613056</v>
      </c>
      <c r="AQ120" s="134">
        <f t="shared" si="64"/>
        <v>4139354.4837994203</v>
      </c>
      <c r="AR120" s="134">
        <f t="shared" si="64"/>
        <v>4802573.6159857865</v>
      </c>
      <c r="AS120" s="134">
        <f t="shared" si="64"/>
        <v>5245934.0866022632</v>
      </c>
      <c r="AT120" s="134">
        <f t="shared" si="64"/>
        <v>5839631.6972187413</v>
      </c>
      <c r="AU120" s="134">
        <f t="shared" si="64"/>
        <v>6645702.4258352192</v>
      </c>
      <c r="AV120" s="134">
        <f>SUM(AV121:AV166)</f>
        <v>7519080.9610441783</v>
      </c>
      <c r="BA120" s="145"/>
      <c r="BB120" s="145"/>
      <c r="BD120" s="111">
        <f>SUM(BD121:BD166)</f>
        <v>7519080.9610441783</v>
      </c>
      <c r="BE120" s="146">
        <f>SUM(BE121:BE166)</f>
        <v>40858007.633874699</v>
      </c>
      <c r="BW120" s="97" t="s">
        <v>619</v>
      </c>
    </row>
    <row r="121" spans="2:75">
      <c r="B121" s="147" t="s">
        <v>671</v>
      </c>
      <c r="C121" s="102">
        <f>D5</f>
        <v>277084</v>
      </c>
      <c r="D121" s="102">
        <f t="shared" ref="D121:AV121" si="65">$C121*E$40</f>
        <v>276529.83199999999</v>
      </c>
      <c r="E121" s="102">
        <f t="shared" si="65"/>
        <v>275975.66399999999</v>
      </c>
      <c r="F121" s="102">
        <f t="shared" si="65"/>
        <v>275421.49599999998</v>
      </c>
      <c r="G121" s="102">
        <f t="shared" si="65"/>
        <v>274867.32799999998</v>
      </c>
      <c r="H121" s="102">
        <f t="shared" si="65"/>
        <v>274313.15999999997</v>
      </c>
      <c r="I121" s="102">
        <f t="shared" si="65"/>
        <v>272650.65600000002</v>
      </c>
      <c r="J121" s="102">
        <f t="shared" si="65"/>
        <v>270988.152</v>
      </c>
      <c r="K121" s="102">
        <f t="shared" si="65"/>
        <v>269325.64799999999</v>
      </c>
      <c r="L121" s="102">
        <f t="shared" si="65"/>
        <v>267663.14399999997</v>
      </c>
      <c r="M121" s="102">
        <f t="shared" si="65"/>
        <v>266000.64000000001</v>
      </c>
      <c r="N121" s="102">
        <f t="shared" si="65"/>
        <v>259904.79199999999</v>
      </c>
      <c r="O121" s="102">
        <f t="shared" si="65"/>
        <v>253808.94399999999</v>
      </c>
      <c r="P121" s="102">
        <f t="shared" si="65"/>
        <v>247713.09599999996</v>
      </c>
      <c r="Q121" s="102">
        <f t="shared" si="65"/>
        <v>241617.24799999996</v>
      </c>
      <c r="R121" s="102">
        <f t="shared" si="65"/>
        <v>235521.4</v>
      </c>
      <c r="S121" s="102">
        <f t="shared" si="65"/>
        <v>225546.37599999999</v>
      </c>
      <c r="T121" s="102">
        <f t="shared" si="65"/>
        <v>215571.35199999998</v>
      </c>
      <c r="U121" s="102">
        <f t="shared" si="65"/>
        <v>205596.32799999998</v>
      </c>
      <c r="V121" s="102">
        <f t="shared" si="65"/>
        <v>195621.30399999995</v>
      </c>
      <c r="W121" s="102">
        <f t="shared" si="65"/>
        <v>185646.28</v>
      </c>
      <c r="X121" s="102">
        <f t="shared" si="65"/>
        <v>175117.08799999999</v>
      </c>
      <c r="Y121" s="102">
        <f t="shared" si="65"/>
        <v>164587.89599999998</v>
      </c>
      <c r="Z121" s="102">
        <f t="shared" si="65"/>
        <v>154058.70399999997</v>
      </c>
      <c r="AA121" s="102">
        <f t="shared" si="65"/>
        <v>143529.51199999999</v>
      </c>
      <c r="AB121" s="102">
        <f t="shared" si="65"/>
        <v>133000.32000000001</v>
      </c>
      <c r="AC121" s="102">
        <f t="shared" si="65"/>
        <v>124133.632</v>
      </c>
      <c r="AD121" s="102">
        <f t="shared" si="65"/>
        <v>115266.944</v>
      </c>
      <c r="AE121" s="102">
        <f t="shared" si="65"/>
        <v>106400.25600000002</v>
      </c>
      <c r="AF121" s="102">
        <f t="shared" si="65"/>
        <v>97533.568000000028</v>
      </c>
      <c r="AG121" s="102">
        <f t="shared" si="65"/>
        <v>88666.880000000005</v>
      </c>
      <c r="AH121" s="102">
        <f t="shared" si="65"/>
        <v>82571.031999999992</v>
      </c>
      <c r="AI121" s="102">
        <f t="shared" si="65"/>
        <v>76475.183999999994</v>
      </c>
      <c r="AJ121" s="102">
        <f t="shared" si="65"/>
        <v>70379.335999999981</v>
      </c>
      <c r="AK121" s="102">
        <f t="shared" si="65"/>
        <v>64283.48799999999</v>
      </c>
      <c r="AL121" s="102">
        <f t="shared" si="65"/>
        <v>58187.64</v>
      </c>
      <c r="AM121" s="103">
        <f t="shared" si="65"/>
        <v>53754.296000000002</v>
      </c>
      <c r="AN121" s="148">
        <f t="shared" si="65"/>
        <v>49320.952000000005</v>
      </c>
      <c r="AO121" s="148">
        <f t="shared" si="65"/>
        <v>44887.608000000007</v>
      </c>
      <c r="AP121" s="148">
        <f t="shared" si="65"/>
        <v>40454.26400000001</v>
      </c>
      <c r="AQ121" s="148">
        <f t="shared" si="65"/>
        <v>36020.92</v>
      </c>
      <c r="AR121" s="148">
        <f t="shared" si="65"/>
        <v>33250.080000000002</v>
      </c>
      <c r="AS121" s="148">
        <f t="shared" si="65"/>
        <v>30479.240000000005</v>
      </c>
      <c r="AT121" s="148">
        <f t="shared" si="65"/>
        <v>27708.400000000005</v>
      </c>
      <c r="AU121" s="148">
        <f t="shared" si="65"/>
        <v>24937.560000000009</v>
      </c>
      <c r="AV121" s="148">
        <f t="shared" si="65"/>
        <v>22166.720000000001</v>
      </c>
      <c r="BA121" s="145">
        <f>-BC121</f>
        <v>-45</v>
      </c>
      <c r="BB121" s="149">
        <f t="shared" ref="BB121:BB166" si="66">(IF(BD121&gt;0,BD121,0))/10^6</f>
        <v>2.2166720000000001E-2</v>
      </c>
      <c r="BC121" s="97">
        <v>45</v>
      </c>
      <c r="BD121" s="111">
        <f>AV121</f>
        <v>22166.720000000001</v>
      </c>
      <c r="BE121" s="111">
        <f t="shared" ref="BE121:BE166" si="67">BC121*BD121</f>
        <v>997502.4</v>
      </c>
      <c r="BW121" s="97" t="s">
        <v>619</v>
      </c>
    </row>
    <row r="122" spans="2:75">
      <c r="B122" s="98">
        <v>1980</v>
      </c>
      <c r="D122" s="102">
        <f>D$114</f>
        <v>18232.738352197059</v>
      </c>
      <c r="E122" s="102">
        <f t="shared" ref="E122:AV122" si="68">$D122*E$40</f>
        <v>18196.272875492665</v>
      </c>
      <c r="F122" s="102">
        <f t="shared" si="68"/>
        <v>18159.807398788271</v>
      </c>
      <c r="G122" s="102">
        <f t="shared" si="68"/>
        <v>18123.341922083877</v>
      </c>
      <c r="H122" s="102">
        <f t="shared" si="68"/>
        <v>18086.876445379483</v>
      </c>
      <c r="I122" s="102">
        <f t="shared" si="68"/>
        <v>18050.410968675089</v>
      </c>
      <c r="J122" s="102">
        <f t="shared" si="68"/>
        <v>17941.014538561907</v>
      </c>
      <c r="K122" s="102">
        <f t="shared" si="68"/>
        <v>17831.618108448722</v>
      </c>
      <c r="L122" s="102">
        <f t="shared" si="68"/>
        <v>17722.22167833554</v>
      </c>
      <c r="M122" s="102">
        <f t="shared" si="68"/>
        <v>17612.825248222358</v>
      </c>
      <c r="N122" s="102">
        <f t="shared" si="68"/>
        <v>17503.428818109176</v>
      </c>
      <c r="O122" s="102">
        <f t="shared" si="68"/>
        <v>17102.308574360839</v>
      </c>
      <c r="P122" s="102">
        <f t="shared" si="68"/>
        <v>16701.188330612506</v>
      </c>
      <c r="Q122" s="102">
        <f t="shared" si="68"/>
        <v>16300.068086864168</v>
      </c>
      <c r="R122" s="102">
        <f t="shared" si="68"/>
        <v>15898.947843115833</v>
      </c>
      <c r="S122" s="102">
        <f t="shared" si="68"/>
        <v>15497.8275993675</v>
      </c>
      <c r="T122" s="102">
        <f t="shared" si="68"/>
        <v>14841.449018688405</v>
      </c>
      <c r="U122" s="102">
        <f t="shared" si="68"/>
        <v>14185.07043800931</v>
      </c>
      <c r="V122" s="102">
        <f t="shared" si="68"/>
        <v>13528.691857330215</v>
      </c>
      <c r="W122" s="102">
        <f t="shared" si="68"/>
        <v>12872.313276651121</v>
      </c>
      <c r="X122" s="102">
        <f t="shared" si="68"/>
        <v>12215.93469597203</v>
      </c>
      <c r="Y122" s="102">
        <f t="shared" si="68"/>
        <v>11523.090638588541</v>
      </c>
      <c r="Z122" s="102">
        <f t="shared" si="68"/>
        <v>10830.246581205052</v>
      </c>
      <c r="AA122" s="102">
        <f t="shared" si="68"/>
        <v>10137.402523821564</v>
      </c>
      <c r="AB122" s="102">
        <f t="shared" si="68"/>
        <v>9444.5584664380749</v>
      </c>
      <c r="AC122" s="102">
        <f t="shared" si="68"/>
        <v>8751.714409054588</v>
      </c>
      <c r="AD122" s="102">
        <f t="shared" si="68"/>
        <v>8168.2667817842821</v>
      </c>
      <c r="AE122" s="102">
        <f t="shared" si="68"/>
        <v>7584.8191545139771</v>
      </c>
      <c r="AF122" s="102">
        <f t="shared" si="68"/>
        <v>7001.3715272436721</v>
      </c>
      <c r="AG122" s="102">
        <f t="shared" si="68"/>
        <v>6417.9238999733661</v>
      </c>
      <c r="AH122" s="102">
        <f t="shared" si="68"/>
        <v>5834.4762727030593</v>
      </c>
      <c r="AI122" s="102">
        <f t="shared" si="68"/>
        <v>5433.3560289547231</v>
      </c>
      <c r="AJ122" s="102">
        <f t="shared" si="68"/>
        <v>5032.2357852063878</v>
      </c>
      <c r="AK122" s="102">
        <f t="shared" si="68"/>
        <v>4631.1155414580517</v>
      </c>
      <c r="AL122" s="102">
        <f t="shared" si="68"/>
        <v>4229.9952977097164</v>
      </c>
      <c r="AM122" s="103">
        <f t="shared" si="68"/>
        <v>3828.875053961382</v>
      </c>
      <c r="AN122" s="148">
        <f t="shared" si="68"/>
        <v>3537.1512403262295</v>
      </c>
      <c r="AO122" s="148">
        <f t="shared" si="68"/>
        <v>3245.427426691077</v>
      </c>
      <c r="AP122" s="148">
        <f t="shared" si="68"/>
        <v>2953.7036130559241</v>
      </c>
      <c r="AQ122" s="148">
        <f t="shared" si="68"/>
        <v>2661.9797994207715</v>
      </c>
      <c r="AR122" s="148">
        <f t="shared" si="68"/>
        <v>2370.2559857856177</v>
      </c>
      <c r="AS122" s="148">
        <f t="shared" si="68"/>
        <v>2187.928602263647</v>
      </c>
      <c r="AT122" s="148">
        <f t="shared" si="68"/>
        <v>2005.6012187416768</v>
      </c>
      <c r="AU122" s="148">
        <f t="shared" si="68"/>
        <v>1823.2738352197061</v>
      </c>
      <c r="AV122" s="148">
        <f t="shared" si="68"/>
        <v>1640.9464516977357</v>
      </c>
      <c r="BA122" s="97">
        <v>-44</v>
      </c>
      <c r="BB122" s="149">
        <f t="shared" si="66"/>
        <v>1.6409464516977358E-3</v>
      </c>
      <c r="BC122" s="97">
        <v>44</v>
      </c>
      <c r="BD122" s="111">
        <f t="shared" ref="BD122:BD166" si="69">AV122</f>
        <v>1640.9464516977357</v>
      </c>
      <c r="BE122" s="111">
        <f t="shared" si="67"/>
        <v>72201.64387470037</v>
      </c>
      <c r="BW122" s="97" t="s">
        <v>619</v>
      </c>
    </row>
    <row r="123" spans="2:75">
      <c r="B123" s="98">
        <v>1981</v>
      </c>
      <c r="D123" s="102"/>
      <c r="E123" s="102">
        <f>E$114</f>
        <v>19517</v>
      </c>
      <c r="F123" s="102">
        <f t="shared" ref="F123:AV123" si="70">$E123*E$40</f>
        <v>19477.966</v>
      </c>
      <c r="G123" s="102">
        <f t="shared" si="70"/>
        <v>19438.932000000001</v>
      </c>
      <c r="H123" s="102">
        <f t="shared" si="70"/>
        <v>19399.898000000001</v>
      </c>
      <c r="I123" s="102">
        <f t="shared" si="70"/>
        <v>19360.864000000001</v>
      </c>
      <c r="J123" s="102">
        <f t="shared" si="70"/>
        <v>19321.829999999998</v>
      </c>
      <c r="K123" s="102">
        <f t="shared" si="70"/>
        <v>19204.727999999999</v>
      </c>
      <c r="L123" s="102">
        <f t="shared" si="70"/>
        <v>19087.626</v>
      </c>
      <c r="M123" s="102">
        <f t="shared" si="70"/>
        <v>18970.524000000001</v>
      </c>
      <c r="N123" s="102">
        <f t="shared" si="70"/>
        <v>18853.421999999999</v>
      </c>
      <c r="O123" s="102">
        <f t="shared" si="70"/>
        <v>18736.32</v>
      </c>
      <c r="P123" s="102">
        <f t="shared" si="70"/>
        <v>18306.946</v>
      </c>
      <c r="Q123" s="102">
        <f t="shared" si="70"/>
        <v>17877.572</v>
      </c>
      <c r="R123" s="102">
        <f t="shared" si="70"/>
        <v>17448.197999999997</v>
      </c>
      <c r="S123" s="102">
        <f t="shared" si="70"/>
        <v>17018.823999999997</v>
      </c>
      <c r="T123" s="102">
        <f t="shared" si="70"/>
        <v>16589.45</v>
      </c>
      <c r="U123" s="102">
        <f t="shared" si="70"/>
        <v>15886.838</v>
      </c>
      <c r="V123" s="102">
        <f t="shared" si="70"/>
        <v>15184.225999999999</v>
      </c>
      <c r="W123" s="102">
        <f t="shared" si="70"/>
        <v>14481.613999999998</v>
      </c>
      <c r="X123" s="102">
        <f t="shared" si="70"/>
        <v>13779.001999999997</v>
      </c>
      <c r="Y123" s="102">
        <f t="shared" si="70"/>
        <v>13076.390000000001</v>
      </c>
      <c r="Z123" s="102">
        <f t="shared" si="70"/>
        <v>12334.744000000001</v>
      </c>
      <c r="AA123" s="102">
        <f t="shared" si="70"/>
        <v>11593.098</v>
      </c>
      <c r="AB123" s="102">
        <f t="shared" si="70"/>
        <v>10851.451999999999</v>
      </c>
      <c r="AC123" s="102">
        <f t="shared" si="70"/>
        <v>10109.805999999999</v>
      </c>
      <c r="AD123" s="102">
        <f t="shared" si="70"/>
        <v>9368.16</v>
      </c>
      <c r="AE123" s="102">
        <f t="shared" si="70"/>
        <v>8743.616</v>
      </c>
      <c r="AF123" s="102">
        <f t="shared" si="70"/>
        <v>8119.072000000001</v>
      </c>
      <c r="AG123" s="102">
        <f t="shared" si="70"/>
        <v>7494.5280000000012</v>
      </c>
      <c r="AH123" s="102">
        <f t="shared" si="70"/>
        <v>6869.9840000000022</v>
      </c>
      <c r="AI123" s="102">
        <f t="shared" si="70"/>
        <v>6245.4400000000005</v>
      </c>
      <c r="AJ123" s="102">
        <f t="shared" si="70"/>
        <v>5816.0659999999998</v>
      </c>
      <c r="AK123" s="102">
        <f t="shared" si="70"/>
        <v>5386.6919999999991</v>
      </c>
      <c r="AL123" s="102">
        <f t="shared" si="70"/>
        <v>4957.3179999999993</v>
      </c>
      <c r="AM123" s="103">
        <f t="shared" si="70"/>
        <v>4527.9439999999995</v>
      </c>
      <c r="AN123" s="148">
        <f t="shared" si="70"/>
        <v>4098.57</v>
      </c>
      <c r="AO123" s="148">
        <f t="shared" si="70"/>
        <v>3786.2980000000002</v>
      </c>
      <c r="AP123" s="148">
        <f t="shared" si="70"/>
        <v>3474.0260000000003</v>
      </c>
      <c r="AQ123" s="148">
        <f t="shared" si="70"/>
        <v>3161.7540000000008</v>
      </c>
      <c r="AR123" s="148">
        <f t="shared" si="70"/>
        <v>2849.4820000000009</v>
      </c>
      <c r="AS123" s="148">
        <f t="shared" si="70"/>
        <v>2537.21</v>
      </c>
      <c r="AT123" s="148">
        <f t="shared" si="70"/>
        <v>2342.04</v>
      </c>
      <c r="AU123" s="148">
        <f t="shared" si="70"/>
        <v>2146.8700000000003</v>
      </c>
      <c r="AV123" s="148">
        <f t="shared" si="70"/>
        <v>1951.7000000000003</v>
      </c>
      <c r="BA123" s="97">
        <v>-43</v>
      </c>
      <c r="BB123" s="149">
        <f t="shared" si="66"/>
        <v>1.9517000000000002E-3</v>
      </c>
      <c r="BC123" s="97">
        <v>43</v>
      </c>
      <c r="BD123" s="111">
        <f t="shared" si="69"/>
        <v>1951.7000000000003</v>
      </c>
      <c r="BE123" s="111">
        <f t="shared" si="67"/>
        <v>83923.1</v>
      </c>
      <c r="BW123" s="97" t="s">
        <v>619</v>
      </c>
    </row>
    <row r="124" spans="2:75">
      <c r="B124" s="98">
        <v>1982</v>
      </c>
      <c r="D124" s="102"/>
      <c r="E124" s="102"/>
      <c r="F124" s="102">
        <f>F$114</f>
        <v>-39366</v>
      </c>
      <c r="G124" s="150">
        <f t="shared" ref="G124:AV124" si="71">$F124</f>
        <v>-39366</v>
      </c>
      <c r="H124" s="150">
        <f t="shared" si="71"/>
        <v>-39366</v>
      </c>
      <c r="I124" s="150">
        <f t="shared" si="71"/>
        <v>-39366</v>
      </c>
      <c r="J124" s="150">
        <f t="shared" si="71"/>
        <v>-39366</v>
      </c>
      <c r="K124" s="150">
        <f t="shared" si="71"/>
        <v>-39366</v>
      </c>
      <c r="L124" s="150">
        <f t="shared" si="71"/>
        <v>-39366</v>
      </c>
      <c r="M124" s="150">
        <f t="shared" si="71"/>
        <v>-39366</v>
      </c>
      <c r="N124" s="150">
        <f t="shared" si="71"/>
        <v>-39366</v>
      </c>
      <c r="O124" s="150">
        <f t="shared" si="71"/>
        <v>-39366</v>
      </c>
      <c r="P124" s="150">
        <f t="shared" si="71"/>
        <v>-39366</v>
      </c>
      <c r="Q124" s="150">
        <f t="shared" si="71"/>
        <v>-39366</v>
      </c>
      <c r="R124" s="150">
        <f t="shared" si="71"/>
        <v>-39366</v>
      </c>
      <c r="S124" s="150">
        <f t="shared" si="71"/>
        <v>-39366</v>
      </c>
      <c r="T124" s="150">
        <f t="shared" si="71"/>
        <v>-39366</v>
      </c>
      <c r="U124" s="150">
        <f t="shared" si="71"/>
        <v>-39366</v>
      </c>
      <c r="V124" s="150">
        <f t="shared" si="71"/>
        <v>-39366</v>
      </c>
      <c r="W124" s="150">
        <f t="shared" si="71"/>
        <v>-39366</v>
      </c>
      <c r="X124" s="150">
        <f t="shared" si="71"/>
        <v>-39366</v>
      </c>
      <c r="Y124" s="150">
        <f t="shared" si="71"/>
        <v>-39366</v>
      </c>
      <c r="Z124" s="150">
        <f t="shared" si="71"/>
        <v>-39366</v>
      </c>
      <c r="AA124" s="150">
        <f t="shared" si="71"/>
        <v>-39366</v>
      </c>
      <c r="AB124" s="150">
        <f t="shared" si="71"/>
        <v>-39366</v>
      </c>
      <c r="AC124" s="150">
        <f t="shared" si="71"/>
        <v>-39366</v>
      </c>
      <c r="AD124" s="150">
        <f t="shared" si="71"/>
        <v>-39366</v>
      </c>
      <c r="AE124" s="150">
        <f t="shared" si="71"/>
        <v>-39366</v>
      </c>
      <c r="AF124" s="150">
        <f t="shared" si="71"/>
        <v>-39366</v>
      </c>
      <c r="AG124" s="150">
        <f t="shared" si="71"/>
        <v>-39366</v>
      </c>
      <c r="AH124" s="150">
        <f t="shared" si="71"/>
        <v>-39366</v>
      </c>
      <c r="AI124" s="150">
        <f t="shared" si="71"/>
        <v>-39366</v>
      </c>
      <c r="AJ124" s="150">
        <f t="shared" si="71"/>
        <v>-39366</v>
      </c>
      <c r="AK124" s="150">
        <f t="shared" si="71"/>
        <v>-39366</v>
      </c>
      <c r="AL124" s="150">
        <f t="shared" si="71"/>
        <v>-39366</v>
      </c>
      <c r="AM124" s="103">
        <f t="shared" si="71"/>
        <v>-39366</v>
      </c>
      <c r="AN124" s="151">
        <f t="shared" si="71"/>
        <v>-39366</v>
      </c>
      <c r="AO124" s="151">
        <f t="shared" si="71"/>
        <v>-39366</v>
      </c>
      <c r="AP124" s="151">
        <f t="shared" si="71"/>
        <v>-39366</v>
      </c>
      <c r="AQ124" s="151">
        <f t="shared" si="71"/>
        <v>-39366</v>
      </c>
      <c r="AR124" s="151">
        <f t="shared" si="71"/>
        <v>-39366</v>
      </c>
      <c r="AS124" s="151">
        <f t="shared" si="71"/>
        <v>-39366</v>
      </c>
      <c r="AT124" s="151">
        <f t="shared" si="71"/>
        <v>-39366</v>
      </c>
      <c r="AU124" s="151">
        <f t="shared" si="71"/>
        <v>-39366</v>
      </c>
      <c r="AV124" s="151">
        <f t="shared" si="71"/>
        <v>-39366</v>
      </c>
      <c r="BA124" s="97">
        <v>-42</v>
      </c>
      <c r="BB124" s="149">
        <f t="shared" si="66"/>
        <v>0</v>
      </c>
      <c r="BC124" s="97">
        <v>42</v>
      </c>
      <c r="BD124" s="111">
        <f t="shared" si="69"/>
        <v>-39366</v>
      </c>
      <c r="BE124" s="111">
        <f t="shared" si="67"/>
        <v>-1653372</v>
      </c>
      <c r="BW124" s="97" t="s">
        <v>619</v>
      </c>
    </row>
    <row r="125" spans="2:75">
      <c r="B125" s="98">
        <v>1983</v>
      </c>
      <c r="D125" s="102"/>
      <c r="E125" s="102"/>
      <c r="F125" s="102"/>
      <c r="G125" s="102">
        <f>G$114</f>
        <v>-6751</v>
      </c>
      <c r="H125" s="150">
        <f t="shared" ref="H125:AV125" si="72">$G125</f>
        <v>-6751</v>
      </c>
      <c r="I125" s="150">
        <f t="shared" si="72"/>
        <v>-6751</v>
      </c>
      <c r="J125" s="150">
        <f t="shared" si="72"/>
        <v>-6751</v>
      </c>
      <c r="K125" s="150">
        <f t="shared" si="72"/>
        <v>-6751</v>
      </c>
      <c r="L125" s="150">
        <f t="shared" si="72"/>
        <v>-6751</v>
      </c>
      <c r="M125" s="150">
        <f t="shared" si="72"/>
        <v>-6751</v>
      </c>
      <c r="N125" s="150">
        <f t="shared" si="72"/>
        <v>-6751</v>
      </c>
      <c r="O125" s="150">
        <f t="shared" si="72"/>
        <v>-6751</v>
      </c>
      <c r="P125" s="150">
        <f t="shared" si="72"/>
        <v>-6751</v>
      </c>
      <c r="Q125" s="150">
        <f t="shared" si="72"/>
        <v>-6751</v>
      </c>
      <c r="R125" s="150">
        <f t="shared" si="72"/>
        <v>-6751</v>
      </c>
      <c r="S125" s="150">
        <f t="shared" si="72"/>
        <v>-6751</v>
      </c>
      <c r="T125" s="150">
        <f t="shared" si="72"/>
        <v>-6751</v>
      </c>
      <c r="U125" s="150">
        <f t="shared" si="72"/>
        <v>-6751</v>
      </c>
      <c r="V125" s="150">
        <f t="shared" si="72"/>
        <v>-6751</v>
      </c>
      <c r="W125" s="150">
        <f t="shared" si="72"/>
        <v>-6751</v>
      </c>
      <c r="X125" s="150">
        <f t="shared" si="72"/>
        <v>-6751</v>
      </c>
      <c r="Y125" s="150">
        <f t="shared" si="72"/>
        <v>-6751</v>
      </c>
      <c r="Z125" s="150">
        <f t="shared" si="72"/>
        <v>-6751</v>
      </c>
      <c r="AA125" s="150">
        <f t="shared" si="72"/>
        <v>-6751</v>
      </c>
      <c r="AB125" s="150">
        <f t="shared" si="72"/>
        <v>-6751</v>
      </c>
      <c r="AC125" s="150">
        <f t="shared" si="72"/>
        <v>-6751</v>
      </c>
      <c r="AD125" s="150">
        <f t="shared" si="72"/>
        <v>-6751</v>
      </c>
      <c r="AE125" s="150">
        <f t="shared" si="72"/>
        <v>-6751</v>
      </c>
      <c r="AF125" s="150">
        <f t="shared" si="72"/>
        <v>-6751</v>
      </c>
      <c r="AG125" s="150">
        <f t="shared" si="72"/>
        <v>-6751</v>
      </c>
      <c r="AH125" s="150">
        <f t="shared" si="72"/>
        <v>-6751</v>
      </c>
      <c r="AI125" s="150">
        <f t="shared" si="72"/>
        <v>-6751</v>
      </c>
      <c r="AJ125" s="150">
        <f t="shared" si="72"/>
        <v>-6751</v>
      </c>
      <c r="AK125" s="150">
        <f t="shared" si="72"/>
        <v>-6751</v>
      </c>
      <c r="AL125" s="150">
        <f t="shared" si="72"/>
        <v>-6751</v>
      </c>
      <c r="AM125" s="103">
        <f t="shared" si="72"/>
        <v>-6751</v>
      </c>
      <c r="AN125" s="151">
        <f t="shared" si="72"/>
        <v>-6751</v>
      </c>
      <c r="AO125" s="151">
        <f t="shared" si="72"/>
        <v>-6751</v>
      </c>
      <c r="AP125" s="151">
        <f t="shared" si="72"/>
        <v>-6751</v>
      </c>
      <c r="AQ125" s="151">
        <f t="shared" si="72"/>
        <v>-6751</v>
      </c>
      <c r="AR125" s="151">
        <f t="shared" si="72"/>
        <v>-6751</v>
      </c>
      <c r="AS125" s="151">
        <f t="shared" si="72"/>
        <v>-6751</v>
      </c>
      <c r="AT125" s="151">
        <f t="shared" si="72"/>
        <v>-6751</v>
      </c>
      <c r="AU125" s="151">
        <f t="shared" si="72"/>
        <v>-6751</v>
      </c>
      <c r="AV125" s="151">
        <f t="shared" si="72"/>
        <v>-6751</v>
      </c>
      <c r="BA125" s="97">
        <v>-41</v>
      </c>
      <c r="BB125" s="149">
        <f t="shared" si="66"/>
        <v>0</v>
      </c>
      <c r="BC125" s="97">
        <v>41</v>
      </c>
      <c r="BD125" s="111">
        <f t="shared" si="69"/>
        <v>-6751</v>
      </c>
      <c r="BE125" s="111">
        <f t="shared" si="67"/>
        <v>-276791</v>
      </c>
      <c r="BW125" s="97" t="s">
        <v>619</v>
      </c>
    </row>
    <row r="126" spans="2:75">
      <c r="B126" s="98">
        <v>1984</v>
      </c>
      <c r="D126" s="102"/>
      <c r="E126" s="102"/>
      <c r="F126" s="102"/>
      <c r="G126" s="102"/>
      <c r="H126" s="102">
        <f>H$114</f>
        <v>-2336</v>
      </c>
      <c r="I126" s="150">
        <f t="shared" ref="I126:AV126" si="73">$H126</f>
        <v>-2336</v>
      </c>
      <c r="J126" s="150">
        <f t="shared" si="73"/>
        <v>-2336</v>
      </c>
      <c r="K126" s="150">
        <f t="shared" si="73"/>
        <v>-2336</v>
      </c>
      <c r="L126" s="150">
        <f t="shared" si="73"/>
        <v>-2336</v>
      </c>
      <c r="M126" s="150">
        <f t="shared" si="73"/>
        <v>-2336</v>
      </c>
      <c r="N126" s="150">
        <f t="shared" si="73"/>
        <v>-2336</v>
      </c>
      <c r="O126" s="150">
        <f t="shared" si="73"/>
        <v>-2336</v>
      </c>
      <c r="P126" s="150">
        <f t="shared" si="73"/>
        <v>-2336</v>
      </c>
      <c r="Q126" s="150">
        <f t="shared" si="73"/>
        <v>-2336</v>
      </c>
      <c r="R126" s="150">
        <f t="shared" si="73"/>
        <v>-2336</v>
      </c>
      <c r="S126" s="150">
        <f t="shared" si="73"/>
        <v>-2336</v>
      </c>
      <c r="T126" s="150">
        <f t="shared" si="73"/>
        <v>-2336</v>
      </c>
      <c r="U126" s="150">
        <f t="shared" si="73"/>
        <v>-2336</v>
      </c>
      <c r="V126" s="150">
        <f t="shared" si="73"/>
        <v>-2336</v>
      </c>
      <c r="W126" s="150">
        <f t="shared" si="73"/>
        <v>-2336</v>
      </c>
      <c r="X126" s="150">
        <f t="shared" si="73"/>
        <v>-2336</v>
      </c>
      <c r="Y126" s="150">
        <f t="shared" si="73"/>
        <v>-2336</v>
      </c>
      <c r="Z126" s="150">
        <f t="shared" si="73"/>
        <v>-2336</v>
      </c>
      <c r="AA126" s="150">
        <f t="shared" si="73"/>
        <v>-2336</v>
      </c>
      <c r="AB126" s="150">
        <f t="shared" si="73"/>
        <v>-2336</v>
      </c>
      <c r="AC126" s="150">
        <f t="shared" si="73"/>
        <v>-2336</v>
      </c>
      <c r="AD126" s="150">
        <f t="shared" si="73"/>
        <v>-2336</v>
      </c>
      <c r="AE126" s="150">
        <f t="shared" si="73"/>
        <v>-2336</v>
      </c>
      <c r="AF126" s="150">
        <f t="shared" si="73"/>
        <v>-2336</v>
      </c>
      <c r="AG126" s="150">
        <f t="shared" si="73"/>
        <v>-2336</v>
      </c>
      <c r="AH126" s="150">
        <f t="shared" si="73"/>
        <v>-2336</v>
      </c>
      <c r="AI126" s="150">
        <f t="shared" si="73"/>
        <v>-2336</v>
      </c>
      <c r="AJ126" s="150">
        <f t="shared" si="73"/>
        <v>-2336</v>
      </c>
      <c r="AK126" s="150">
        <f t="shared" si="73"/>
        <v>-2336</v>
      </c>
      <c r="AL126" s="150">
        <f t="shared" si="73"/>
        <v>-2336</v>
      </c>
      <c r="AM126" s="103">
        <f t="shared" si="73"/>
        <v>-2336</v>
      </c>
      <c r="AN126" s="151">
        <f t="shared" si="73"/>
        <v>-2336</v>
      </c>
      <c r="AO126" s="151">
        <f t="shared" si="73"/>
        <v>-2336</v>
      </c>
      <c r="AP126" s="151">
        <f t="shared" si="73"/>
        <v>-2336</v>
      </c>
      <c r="AQ126" s="151">
        <f t="shared" si="73"/>
        <v>-2336</v>
      </c>
      <c r="AR126" s="151">
        <f t="shared" si="73"/>
        <v>-2336</v>
      </c>
      <c r="AS126" s="151">
        <f t="shared" si="73"/>
        <v>-2336</v>
      </c>
      <c r="AT126" s="151">
        <f t="shared" si="73"/>
        <v>-2336</v>
      </c>
      <c r="AU126" s="151">
        <f t="shared" si="73"/>
        <v>-2336</v>
      </c>
      <c r="AV126" s="151">
        <f t="shared" si="73"/>
        <v>-2336</v>
      </c>
      <c r="BA126" s="97">
        <v>-40</v>
      </c>
      <c r="BB126" s="149">
        <f t="shared" si="66"/>
        <v>0</v>
      </c>
      <c r="BC126" s="97">
        <v>40</v>
      </c>
      <c r="BD126" s="111">
        <f t="shared" si="69"/>
        <v>-2336</v>
      </c>
      <c r="BE126" s="111">
        <f t="shared" si="67"/>
        <v>-93440</v>
      </c>
      <c r="BW126" s="97" t="s">
        <v>619</v>
      </c>
    </row>
    <row r="127" spans="2:75">
      <c r="B127" s="98">
        <v>1985</v>
      </c>
      <c r="D127" s="102"/>
      <c r="E127" s="102"/>
      <c r="F127" s="102"/>
      <c r="G127" s="102"/>
      <c r="H127" s="102"/>
      <c r="I127" s="102">
        <f>I$114</f>
        <v>2210</v>
      </c>
      <c r="J127" s="102">
        <f t="shared" ref="J127:AV127" si="74">$I127*E$40</f>
        <v>2205.58</v>
      </c>
      <c r="K127" s="102">
        <f t="shared" si="74"/>
        <v>2201.16</v>
      </c>
      <c r="L127" s="102">
        <f t="shared" si="74"/>
        <v>2196.7399999999998</v>
      </c>
      <c r="M127" s="102">
        <f t="shared" si="74"/>
        <v>2192.3200000000002</v>
      </c>
      <c r="N127" s="102">
        <f t="shared" si="74"/>
        <v>2187.9</v>
      </c>
      <c r="O127" s="102">
        <f t="shared" si="74"/>
        <v>2174.64</v>
      </c>
      <c r="P127" s="102">
        <f t="shared" si="74"/>
        <v>2161.38</v>
      </c>
      <c r="Q127" s="102">
        <f t="shared" si="74"/>
        <v>2148.12</v>
      </c>
      <c r="R127" s="102">
        <f t="shared" si="74"/>
        <v>2134.86</v>
      </c>
      <c r="S127" s="102">
        <f t="shared" si="74"/>
        <v>2121.6</v>
      </c>
      <c r="T127" s="102">
        <f t="shared" si="74"/>
        <v>2072.98</v>
      </c>
      <c r="U127" s="102">
        <f t="shared" si="74"/>
        <v>2024.36</v>
      </c>
      <c r="V127" s="102">
        <f t="shared" si="74"/>
        <v>1975.7399999999998</v>
      </c>
      <c r="W127" s="102">
        <f t="shared" si="74"/>
        <v>1927.1199999999997</v>
      </c>
      <c r="X127" s="102">
        <f t="shared" si="74"/>
        <v>1878.5</v>
      </c>
      <c r="Y127" s="102">
        <f t="shared" si="74"/>
        <v>1798.9399999999998</v>
      </c>
      <c r="Z127" s="102">
        <f t="shared" si="74"/>
        <v>1719.3799999999999</v>
      </c>
      <c r="AA127" s="102">
        <f t="shared" si="74"/>
        <v>1639.8199999999997</v>
      </c>
      <c r="AB127" s="102">
        <f t="shared" si="74"/>
        <v>1560.2599999999998</v>
      </c>
      <c r="AC127" s="102">
        <f t="shared" si="74"/>
        <v>1480.7</v>
      </c>
      <c r="AD127" s="102">
        <f t="shared" si="74"/>
        <v>1396.72</v>
      </c>
      <c r="AE127" s="102">
        <f t="shared" si="74"/>
        <v>1312.74</v>
      </c>
      <c r="AF127" s="102">
        <f t="shared" si="74"/>
        <v>1228.7599999999998</v>
      </c>
      <c r="AG127" s="102">
        <f t="shared" si="74"/>
        <v>1144.7799999999997</v>
      </c>
      <c r="AH127" s="102">
        <f t="shared" si="74"/>
        <v>1060.8</v>
      </c>
      <c r="AI127" s="102">
        <f t="shared" si="74"/>
        <v>990.08</v>
      </c>
      <c r="AJ127" s="102">
        <f t="shared" si="74"/>
        <v>919.36000000000013</v>
      </c>
      <c r="AK127" s="102">
        <f t="shared" si="74"/>
        <v>848.6400000000001</v>
      </c>
      <c r="AL127" s="102">
        <f t="shared" si="74"/>
        <v>777.92000000000019</v>
      </c>
      <c r="AM127" s="103">
        <f t="shared" si="74"/>
        <v>707.2</v>
      </c>
      <c r="AN127" s="148">
        <f t="shared" si="74"/>
        <v>658.57999999999993</v>
      </c>
      <c r="AO127" s="148">
        <f t="shared" si="74"/>
        <v>609.95999999999992</v>
      </c>
      <c r="AP127" s="148">
        <f t="shared" si="74"/>
        <v>561.33999999999992</v>
      </c>
      <c r="AQ127" s="148">
        <f t="shared" si="74"/>
        <v>512.71999999999991</v>
      </c>
      <c r="AR127" s="148">
        <f t="shared" si="74"/>
        <v>464.09999999999997</v>
      </c>
      <c r="AS127" s="148">
        <f t="shared" si="74"/>
        <v>428.74</v>
      </c>
      <c r="AT127" s="148">
        <f t="shared" si="74"/>
        <v>393.38000000000005</v>
      </c>
      <c r="AU127" s="148">
        <f t="shared" si="74"/>
        <v>358.0200000000001</v>
      </c>
      <c r="AV127" s="148">
        <f t="shared" si="74"/>
        <v>322.66000000000008</v>
      </c>
      <c r="BA127" s="97">
        <v>-39</v>
      </c>
      <c r="BB127" s="149">
        <f t="shared" si="66"/>
        <v>3.2266000000000006E-4</v>
      </c>
      <c r="BC127" s="97">
        <v>39</v>
      </c>
      <c r="BD127" s="111">
        <f t="shared" si="69"/>
        <v>322.66000000000008</v>
      </c>
      <c r="BE127" s="111">
        <f t="shared" si="67"/>
        <v>12583.740000000003</v>
      </c>
      <c r="BW127" s="97" t="s">
        <v>619</v>
      </c>
    </row>
    <row r="128" spans="2:75">
      <c r="B128" s="98">
        <v>1986</v>
      </c>
      <c r="D128" s="102"/>
      <c r="E128" s="102"/>
      <c r="F128" s="102"/>
      <c r="G128" s="102"/>
      <c r="H128" s="102"/>
      <c r="I128" s="102"/>
      <c r="J128" s="102">
        <f>J$114</f>
        <v>-17666</v>
      </c>
      <c r="K128" s="150">
        <f t="shared" ref="K128:AV128" si="75">J128</f>
        <v>-17666</v>
      </c>
      <c r="L128" s="150">
        <f t="shared" si="75"/>
        <v>-17666</v>
      </c>
      <c r="M128" s="150">
        <f t="shared" si="75"/>
        <v>-17666</v>
      </c>
      <c r="N128" s="150">
        <f t="shared" si="75"/>
        <v>-17666</v>
      </c>
      <c r="O128" s="150">
        <f t="shared" si="75"/>
        <v>-17666</v>
      </c>
      <c r="P128" s="150">
        <f t="shared" si="75"/>
        <v>-17666</v>
      </c>
      <c r="Q128" s="150">
        <f t="shared" si="75"/>
        <v>-17666</v>
      </c>
      <c r="R128" s="150">
        <f t="shared" si="75"/>
        <v>-17666</v>
      </c>
      <c r="S128" s="150">
        <f t="shared" si="75"/>
        <v>-17666</v>
      </c>
      <c r="T128" s="150">
        <f t="shared" si="75"/>
        <v>-17666</v>
      </c>
      <c r="U128" s="150">
        <f t="shared" si="75"/>
        <v>-17666</v>
      </c>
      <c r="V128" s="150">
        <f t="shared" si="75"/>
        <v>-17666</v>
      </c>
      <c r="W128" s="150">
        <f t="shared" si="75"/>
        <v>-17666</v>
      </c>
      <c r="X128" s="150">
        <f t="shared" si="75"/>
        <v>-17666</v>
      </c>
      <c r="Y128" s="150">
        <f t="shared" si="75"/>
        <v>-17666</v>
      </c>
      <c r="Z128" s="150">
        <f t="shared" si="75"/>
        <v>-17666</v>
      </c>
      <c r="AA128" s="150">
        <f t="shared" si="75"/>
        <v>-17666</v>
      </c>
      <c r="AB128" s="150">
        <f t="shared" si="75"/>
        <v>-17666</v>
      </c>
      <c r="AC128" s="150">
        <f t="shared" si="75"/>
        <v>-17666</v>
      </c>
      <c r="AD128" s="150">
        <f t="shared" si="75"/>
        <v>-17666</v>
      </c>
      <c r="AE128" s="150">
        <f t="shared" si="75"/>
        <v>-17666</v>
      </c>
      <c r="AF128" s="150">
        <f t="shared" si="75"/>
        <v>-17666</v>
      </c>
      <c r="AG128" s="150">
        <f t="shared" si="75"/>
        <v>-17666</v>
      </c>
      <c r="AH128" s="150">
        <f t="shared" si="75"/>
        <v>-17666</v>
      </c>
      <c r="AI128" s="150">
        <f t="shared" si="75"/>
        <v>-17666</v>
      </c>
      <c r="AJ128" s="150">
        <f t="shared" si="75"/>
        <v>-17666</v>
      </c>
      <c r="AK128" s="150">
        <f t="shared" si="75"/>
        <v>-17666</v>
      </c>
      <c r="AL128" s="150">
        <f t="shared" si="75"/>
        <v>-17666</v>
      </c>
      <c r="AM128" s="103">
        <f t="shared" si="75"/>
        <v>-17666</v>
      </c>
      <c r="AN128" s="151">
        <f t="shared" si="75"/>
        <v>-17666</v>
      </c>
      <c r="AO128" s="151">
        <f t="shared" si="75"/>
        <v>-17666</v>
      </c>
      <c r="AP128" s="151">
        <f t="shared" si="75"/>
        <v>-17666</v>
      </c>
      <c r="AQ128" s="151">
        <f t="shared" si="75"/>
        <v>-17666</v>
      </c>
      <c r="AR128" s="151">
        <f t="shared" si="75"/>
        <v>-17666</v>
      </c>
      <c r="AS128" s="151">
        <f t="shared" si="75"/>
        <v>-17666</v>
      </c>
      <c r="AT128" s="151">
        <f t="shared" si="75"/>
        <v>-17666</v>
      </c>
      <c r="AU128" s="151">
        <f t="shared" si="75"/>
        <v>-17666</v>
      </c>
      <c r="AV128" s="151">
        <f t="shared" si="75"/>
        <v>-17666</v>
      </c>
      <c r="BA128" s="97">
        <v>-38</v>
      </c>
      <c r="BB128" s="149">
        <f t="shared" si="66"/>
        <v>0</v>
      </c>
      <c r="BC128" s="97">
        <v>38</v>
      </c>
      <c r="BD128" s="111">
        <f t="shared" si="69"/>
        <v>-17666</v>
      </c>
      <c r="BE128" s="111">
        <f t="shared" si="67"/>
        <v>-671308</v>
      </c>
      <c r="BW128" s="97" t="s">
        <v>619</v>
      </c>
    </row>
    <row r="129" spans="2:75">
      <c r="B129" s="98">
        <v>1987</v>
      </c>
      <c r="D129" s="102"/>
      <c r="E129" s="102"/>
      <c r="F129" s="102"/>
      <c r="G129" s="102"/>
      <c r="H129" s="102"/>
      <c r="I129" s="102"/>
      <c r="J129" s="102"/>
      <c r="K129" s="102">
        <f>K$114</f>
        <v>-11633</v>
      </c>
      <c r="L129" s="150">
        <f t="shared" ref="L129:AV129" si="76">$K129</f>
        <v>-11633</v>
      </c>
      <c r="M129" s="150">
        <f t="shared" si="76"/>
        <v>-11633</v>
      </c>
      <c r="N129" s="150">
        <f t="shared" si="76"/>
        <v>-11633</v>
      </c>
      <c r="O129" s="150">
        <f t="shared" si="76"/>
        <v>-11633</v>
      </c>
      <c r="P129" s="150">
        <f t="shared" si="76"/>
        <v>-11633</v>
      </c>
      <c r="Q129" s="150">
        <f t="shared" si="76"/>
        <v>-11633</v>
      </c>
      <c r="R129" s="150">
        <f t="shared" si="76"/>
        <v>-11633</v>
      </c>
      <c r="S129" s="150">
        <f t="shared" si="76"/>
        <v>-11633</v>
      </c>
      <c r="T129" s="150">
        <f t="shared" si="76"/>
        <v>-11633</v>
      </c>
      <c r="U129" s="150">
        <f t="shared" si="76"/>
        <v>-11633</v>
      </c>
      <c r="V129" s="150">
        <f t="shared" si="76"/>
        <v>-11633</v>
      </c>
      <c r="W129" s="150">
        <f t="shared" si="76"/>
        <v>-11633</v>
      </c>
      <c r="X129" s="150">
        <f t="shared" si="76"/>
        <v>-11633</v>
      </c>
      <c r="Y129" s="150">
        <f t="shared" si="76"/>
        <v>-11633</v>
      </c>
      <c r="Z129" s="150">
        <f t="shared" si="76"/>
        <v>-11633</v>
      </c>
      <c r="AA129" s="150">
        <f t="shared" si="76"/>
        <v>-11633</v>
      </c>
      <c r="AB129" s="150">
        <f t="shared" si="76"/>
        <v>-11633</v>
      </c>
      <c r="AC129" s="150">
        <f t="shared" si="76"/>
        <v>-11633</v>
      </c>
      <c r="AD129" s="150">
        <f t="shared" si="76"/>
        <v>-11633</v>
      </c>
      <c r="AE129" s="150">
        <f t="shared" si="76"/>
        <v>-11633</v>
      </c>
      <c r="AF129" s="150">
        <f t="shared" si="76"/>
        <v>-11633</v>
      </c>
      <c r="AG129" s="150">
        <f t="shared" si="76"/>
        <v>-11633</v>
      </c>
      <c r="AH129" s="150">
        <f t="shared" si="76"/>
        <v>-11633</v>
      </c>
      <c r="AI129" s="150">
        <f t="shared" si="76"/>
        <v>-11633</v>
      </c>
      <c r="AJ129" s="150">
        <f t="shared" si="76"/>
        <v>-11633</v>
      </c>
      <c r="AK129" s="150">
        <f t="shared" si="76"/>
        <v>-11633</v>
      </c>
      <c r="AL129" s="150">
        <f t="shared" si="76"/>
        <v>-11633</v>
      </c>
      <c r="AM129" s="103">
        <f t="shared" si="76"/>
        <v>-11633</v>
      </c>
      <c r="AN129" s="151">
        <f t="shared" si="76"/>
        <v>-11633</v>
      </c>
      <c r="AO129" s="151">
        <f t="shared" si="76"/>
        <v>-11633</v>
      </c>
      <c r="AP129" s="151">
        <f t="shared" si="76"/>
        <v>-11633</v>
      </c>
      <c r="AQ129" s="151">
        <f t="shared" si="76"/>
        <v>-11633</v>
      </c>
      <c r="AR129" s="151">
        <f t="shared" si="76"/>
        <v>-11633</v>
      </c>
      <c r="AS129" s="151">
        <f t="shared" si="76"/>
        <v>-11633</v>
      </c>
      <c r="AT129" s="151">
        <f t="shared" si="76"/>
        <v>-11633</v>
      </c>
      <c r="AU129" s="151">
        <f t="shared" si="76"/>
        <v>-11633</v>
      </c>
      <c r="AV129" s="151">
        <f t="shared" si="76"/>
        <v>-11633</v>
      </c>
      <c r="BA129" s="97">
        <v>-37</v>
      </c>
      <c r="BB129" s="149">
        <f t="shared" si="66"/>
        <v>0</v>
      </c>
      <c r="BC129" s="97">
        <v>37</v>
      </c>
      <c r="BD129" s="111">
        <f t="shared" si="69"/>
        <v>-11633</v>
      </c>
      <c r="BE129" s="111">
        <f t="shared" si="67"/>
        <v>-430421</v>
      </c>
      <c r="BW129" s="97" t="s">
        <v>619</v>
      </c>
    </row>
    <row r="130" spans="2:75">
      <c r="B130" s="98">
        <v>1988</v>
      </c>
      <c r="D130" s="102"/>
      <c r="E130" s="102"/>
      <c r="F130" s="102"/>
      <c r="G130" s="102"/>
      <c r="H130" s="102"/>
      <c r="I130" s="102"/>
      <c r="J130" s="102"/>
      <c r="K130" s="102"/>
      <c r="L130" s="102">
        <f>L$114</f>
        <v>-3161</v>
      </c>
      <c r="M130" s="150">
        <f t="shared" ref="M130:AV130" si="77">$L130</f>
        <v>-3161</v>
      </c>
      <c r="N130" s="150">
        <f t="shared" si="77"/>
        <v>-3161</v>
      </c>
      <c r="O130" s="150">
        <f t="shared" si="77"/>
        <v>-3161</v>
      </c>
      <c r="P130" s="150">
        <f t="shared" si="77"/>
        <v>-3161</v>
      </c>
      <c r="Q130" s="150">
        <f t="shared" si="77"/>
        <v>-3161</v>
      </c>
      <c r="R130" s="150">
        <f t="shared" si="77"/>
        <v>-3161</v>
      </c>
      <c r="S130" s="150">
        <f t="shared" si="77"/>
        <v>-3161</v>
      </c>
      <c r="T130" s="150">
        <f t="shared" si="77"/>
        <v>-3161</v>
      </c>
      <c r="U130" s="150">
        <f t="shared" si="77"/>
        <v>-3161</v>
      </c>
      <c r="V130" s="150">
        <f t="shared" si="77"/>
        <v>-3161</v>
      </c>
      <c r="W130" s="150">
        <f t="shared" si="77"/>
        <v>-3161</v>
      </c>
      <c r="X130" s="150">
        <f t="shared" si="77"/>
        <v>-3161</v>
      </c>
      <c r="Y130" s="150">
        <f t="shared" si="77"/>
        <v>-3161</v>
      </c>
      <c r="Z130" s="150">
        <f t="shared" si="77"/>
        <v>-3161</v>
      </c>
      <c r="AA130" s="150">
        <f t="shared" si="77"/>
        <v>-3161</v>
      </c>
      <c r="AB130" s="150">
        <f t="shared" si="77"/>
        <v>-3161</v>
      </c>
      <c r="AC130" s="150">
        <f t="shared" si="77"/>
        <v>-3161</v>
      </c>
      <c r="AD130" s="150">
        <f t="shared" si="77"/>
        <v>-3161</v>
      </c>
      <c r="AE130" s="150">
        <f t="shared" si="77"/>
        <v>-3161</v>
      </c>
      <c r="AF130" s="150">
        <f t="shared" si="77"/>
        <v>-3161</v>
      </c>
      <c r="AG130" s="150">
        <f t="shared" si="77"/>
        <v>-3161</v>
      </c>
      <c r="AH130" s="150">
        <f t="shared" si="77"/>
        <v>-3161</v>
      </c>
      <c r="AI130" s="150">
        <f t="shared" si="77"/>
        <v>-3161</v>
      </c>
      <c r="AJ130" s="150">
        <f t="shared" si="77"/>
        <v>-3161</v>
      </c>
      <c r="AK130" s="150">
        <f t="shared" si="77"/>
        <v>-3161</v>
      </c>
      <c r="AL130" s="150">
        <f t="shared" si="77"/>
        <v>-3161</v>
      </c>
      <c r="AM130" s="103">
        <f t="shared" si="77"/>
        <v>-3161</v>
      </c>
      <c r="AN130" s="151">
        <f t="shared" si="77"/>
        <v>-3161</v>
      </c>
      <c r="AO130" s="151">
        <f t="shared" si="77"/>
        <v>-3161</v>
      </c>
      <c r="AP130" s="151">
        <f t="shared" si="77"/>
        <v>-3161</v>
      </c>
      <c r="AQ130" s="151">
        <f t="shared" si="77"/>
        <v>-3161</v>
      </c>
      <c r="AR130" s="151">
        <f t="shared" si="77"/>
        <v>-3161</v>
      </c>
      <c r="AS130" s="151">
        <f t="shared" si="77"/>
        <v>-3161</v>
      </c>
      <c r="AT130" s="151">
        <f t="shared" si="77"/>
        <v>-3161</v>
      </c>
      <c r="AU130" s="151">
        <f t="shared" si="77"/>
        <v>-3161</v>
      </c>
      <c r="AV130" s="151">
        <f t="shared" si="77"/>
        <v>-3161</v>
      </c>
      <c r="BA130" s="97">
        <v>-36</v>
      </c>
      <c r="BB130" s="149">
        <f t="shared" si="66"/>
        <v>0</v>
      </c>
      <c r="BC130" s="97">
        <v>36</v>
      </c>
      <c r="BD130" s="111">
        <f t="shared" si="69"/>
        <v>-3161</v>
      </c>
      <c r="BE130" s="111">
        <f t="shared" si="67"/>
        <v>-113796</v>
      </c>
      <c r="BW130" s="97" t="s">
        <v>619</v>
      </c>
    </row>
    <row r="131" spans="2:75">
      <c r="B131" s="98">
        <v>1989</v>
      </c>
      <c r="D131" s="102"/>
      <c r="E131" s="102"/>
      <c r="F131" s="102"/>
      <c r="G131" s="102"/>
      <c r="H131" s="102"/>
      <c r="I131" s="102"/>
      <c r="J131" s="102"/>
      <c r="K131" s="102"/>
      <c r="L131" s="102"/>
      <c r="M131" s="102">
        <f>M$114</f>
        <v>5917</v>
      </c>
      <c r="N131" s="102">
        <f t="shared" ref="N131:AV131" si="78">$M131*E$40</f>
        <v>5905.1660000000002</v>
      </c>
      <c r="O131" s="102">
        <f t="shared" si="78"/>
        <v>5893.3320000000003</v>
      </c>
      <c r="P131" s="102">
        <f t="shared" si="78"/>
        <v>5881.4979999999996</v>
      </c>
      <c r="Q131" s="102">
        <f t="shared" si="78"/>
        <v>5869.6639999999998</v>
      </c>
      <c r="R131" s="102">
        <f t="shared" si="78"/>
        <v>5857.83</v>
      </c>
      <c r="S131" s="102">
        <f t="shared" si="78"/>
        <v>5822.3279999999995</v>
      </c>
      <c r="T131" s="102">
        <f t="shared" si="78"/>
        <v>5786.826</v>
      </c>
      <c r="U131" s="102">
        <f t="shared" si="78"/>
        <v>5751.3239999999996</v>
      </c>
      <c r="V131" s="102">
        <f t="shared" si="78"/>
        <v>5715.8220000000001</v>
      </c>
      <c r="W131" s="102">
        <f t="shared" si="78"/>
        <v>5680.32</v>
      </c>
      <c r="X131" s="102">
        <f t="shared" si="78"/>
        <v>5550.1459999999997</v>
      </c>
      <c r="Y131" s="102">
        <f t="shared" si="78"/>
        <v>5419.9719999999998</v>
      </c>
      <c r="Z131" s="102">
        <f t="shared" si="78"/>
        <v>5289.7979999999998</v>
      </c>
      <c r="AA131" s="102">
        <f t="shared" si="78"/>
        <v>5159.6239999999989</v>
      </c>
      <c r="AB131" s="102">
        <f t="shared" si="78"/>
        <v>5029.45</v>
      </c>
      <c r="AC131" s="102">
        <f t="shared" si="78"/>
        <v>4816.4380000000001</v>
      </c>
      <c r="AD131" s="102">
        <f t="shared" si="78"/>
        <v>4603.4259999999995</v>
      </c>
      <c r="AE131" s="102">
        <f t="shared" si="78"/>
        <v>4390.4139999999989</v>
      </c>
      <c r="AF131" s="102">
        <f t="shared" si="78"/>
        <v>4177.4019999999991</v>
      </c>
      <c r="AG131" s="102">
        <f t="shared" si="78"/>
        <v>3964.3900000000003</v>
      </c>
      <c r="AH131" s="102">
        <f t="shared" si="78"/>
        <v>3739.5439999999999</v>
      </c>
      <c r="AI131" s="102">
        <f t="shared" si="78"/>
        <v>3514.6979999999999</v>
      </c>
      <c r="AJ131" s="102">
        <f t="shared" si="78"/>
        <v>3289.8519999999999</v>
      </c>
      <c r="AK131" s="102">
        <f t="shared" si="78"/>
        <v>3065.0059999999994</v>
      </c>
      <c r="AL131" s="102">
        <f t="shared" si="78"/>
        <v>2840.16</v>
      </c>
      <c r="AM131" s="103">
        <f t="shared" si="78"/>
        <v>2650.8160000000003</v>
      </c>
      <c r="AN131" s="148">
        <f t="shared" si="78"/>
        <v>2461.4720000000002</v>
      </c>
      <c r="AO131" s="148">
        <f t="shared" si="78"/>
        <v>2272.1280000000002</v>
      </c>
      <c r="AP131" s="148">
        <f t="shared" si="78"/>
        <v>2082.7840000000006</v>
      </c>
      <c r="AQ131" s="148">
        <f t="shared" si="78"/>
        <v>1893.44</v>
      </c>
      <c r="AR131" s="148">
        <f t="shared" si="78"/>
        <v>1763.2659999999998</v>
      </c>
      <c r="AS131" s="148">
        <f t="shared" si="78"/>
        <v>1633.0919999999999</v>
      </c>
      <c r="AT131" s="148">
        <f t="shared" si="78"/>
        <v>1502.9179999999997</v>
      </c>
      <c r="AU131" s="148">
        <f t="shared" si="78"/>
        <v>1372.7439999999997</v>
      </c>
      <c r="AV131" s="148">
        <f t="shared" si="78"/>
        <v>1242.57</v>
      </c>
      <c r="BA131" s="145">
        <f t="shared" ref="BA131:BA166" si="79">-BC131</f>
        <v>-35</v>
      </c>
      <c r="BB131" s="149">
        <f t="shared" si="66"/>
        <v>1.2425699999999999E-3</v>
      </c>
      <c r="BC131" s="97">
        <v>35</v>
      </c>
      <c r="BD131" s="111">
        <f t="shared" si="69"/>
        <v>1242.57</v>
      </c>
      <c r="BE131" s="111">
        <f t="shared" si="67"/>
        <v>43489.95</v>
      </c>
      <c r="BW131" s="97" t="s">
        <v>619</v>
      </c>
    </row>
    <row r="132" spans="2:75">
      <c r="B132" s="98">
        <v>1990</v>
      </c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>
        <f>N$114</f>
        <v>24732</v>
      </c>
      <c r="O132" s="102">
        <f t="shared" ref="O132:AV132" si="80">$N132*E$40</f>
        <v>24682.536</v>
      </c>
      <c r="P132" s="102">
        <f t="shared" si="80"/>
        <v>24633.072</v>
      </c>
      <c r="Q132" s="102">
        <f t="shared" si="80"/>
        <v>24583.608</v>
      </c>
      <c r="R132" s="102">
        <f t="shared" si="80"/>
        <v>24534.144</v>
      </c>
      <c r="S132" s="102">
        <f t="shared" si="80"/>
        <v>24484.68</v>
      </c>
      <c r="T132" s="102">
        <f t="shared" si="80"/>
        <v>24336.288</v>
      </c>
      <c r="U132" s="102">
        <f t="shared" si="80"/>
        <v>24187.896000000001</v>
      </c>
      <c r="V132" s="102">
        <f t="shared" si="80"/>
        <v>24039.504000000001</v>
      </c>
      <c r="W132" s="102">
        <f t="shared" si="80"/>
        <v>23891.112000000001</v>
      </c>
      <c r="X132" s="102">
        <f t="shared" si="80"/>
        <v>23742.719999999998</v>
      </c>
      <c r="Y132" s="102">
        <f t="shared" si="80"/>
        <v>23198.615999999998</v>
      </c>
      <c r="Z132" s="102">
        <f t="shared" si="80"/>
        <v>22654.511999999999</v>
      </c>
      <c r="AA132" s="102">
        <f t="shared" si="80"/>
        <v>22110.407999999999</v>
      </c>
      <c r="AB132" s="102">
        <f t="shared" si="80"/>
        <v>21566.303999999996</v>
      </c>
      <c r="AC132" s="102">
        <f t="shared" si="80"/>
        <v>21022.2</v>
      </c>
      <c r="AD132" s="102">
        <f t="shared" si="80"/>
        <v>20131.847999999998</v>
      </c>
      <c r="AE132" s="102">
        <f t="shared" si="80"/>
        <v>19241.495999999999</v>
      </c>
      <c r="AF132" s="102">
        <f t="shared" si="80"/>
        <v>18351.143999999997</v>
      </c>
      <c r="AG132" s="102">
        <f t="shared" si="80"/>
        <v>17460.791999999998</v>
      </c>
      <c r="AH132" s="102">
        <f t="shared" si="80"/>
        <v>16570.440000000002</v>
      </c>
      <c r="AI132" s="102">
        <f t="shared" si="80"/>
        <v>15630.624</v>
      </c>
      <c r="AJ132" s="102">
        <f t="shared" si="80"/>
        <v>14690.807999999999</v>
      </c>
      <c r="AK132" s="102">
        <f t="shared" si="80"/>
        <v>13750.991999999998</v>
      </c>
      <c r="AL132" s="102">
        <f t="shared" si="80"/>
        <v>12811.175999999998</v>
      </c>
      <c r="AM132" s="103">
        <f t="shared" si="80"/>
        <v>11871.359999999999</v>
      </c>
      <c r="AN132" s="148">
        <f t="shared" si="80"/>
        <v>11079.936</v>
      </c>
      <c r="AO132" s="148">
        <f t="shared" si="80"/>
        <v>10288.512000000001</v>
      </c>
      <c r="AP132" s="148">
        <f t="shared" si="80"/>
        <v>9497.0880000000016</v>
      </c>
      <c r="AQ132" s="148">
        <f t="shared" si="80"/>
        <v>8705.6640000000025</v>
      </c>
      <c r="AR132" s="148">
        <f t="shared" si="80"/>
        <v>7914.24</v>
      </c>
      <c r="AS132" s="148">
        <f t="shared" si="80"/>
        <v>7370.1359999999995</v>
      </c>
      <c r="AT132" s="148">
        <f t="shared" si="80"/>
        <v>6826.0319999999992</v>
      </c>
      <c r="AU132" s="148">
        <f t="shared" si="80"/>
        <v>6281.927999999999</v>
      </c>
      <c r="AV132" s="148">
        <f t="shared" si="80"/>
        <v>5737.8239999999987</v>
      </c>
      <c r="BA132" s="145">
        <f t="shared" si="79"/>
        <v>-34</v>
      </c>
      <c r="BB132" s="149">
        <f t="shared" si="66"/>
        <v>5.737823999999999E-3</v>
      </c>
      <c r="BC132" s="97">
        <v>34</v>
      </c>
      <c r="BD132" s="111">
        <f t="shared" si="69"/>
        <v>5737.8239999999987</v>
      </c>
      <c r="BE132" s="111">
        <f t="shared" si="67"/>
        <v>195086.01599999995</v>
      </c>
      <c r="BW132" s="97" t="s">
        <v>619</v>
      </c>
    </row>
    <row r="133" spans="2:75">
      <c r="B133" s="98">
        <v>1991</v>
      </c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>
        <f>O$114</f>
        <v>12564</v>
      </c>
      <c r="P133" s="102">
        <f t="shared" ref="P133:AV133" si="81">$O133*E$40</f>
        <v>12538.871999999999</v>
      </c>
      <c r="Q133" s="102">
        <f t="shared" si="81"/>
        <v>12513.744000000001</v>
      </c>
      <c r="R133" s="102">
        <f t="shared" si="81"/>
        <v>12488.616</v>
      </c>
      <c r="S133" s="102">
        <f t="shared" si="81"/>
        <v>12463.487999999999</v>
      </c>
      <c r="T133" s="102">
        <f t="shared" si="81"/>
        <v>12438.36</v>
      </c>
      <c r="U133" s="102">
        <f t="shared" si="81"/>
        <v>12362.976000000001</v>
      </c>
      <c r="V133" s="102">
        <f t="shared" si="81"/>
        <v>12287.592000000001</v>
      </c>
      <c r="W133" s="102">
        <f t="shared" si="81"/>
        <v>12212.208000000001</v>
      </c>
      <c r="X133" s="102">
        <f t="shared" si="81"/>
        <v>12136.824000000001</v>
      </c>
      <c r="Y133" s="102">
        <f t="shared" si="81"/>
        <v>12061.439999999999</v>
      </c>
      <c r="Z133" s="102">
        <f t="shared" si="81"/>
        <v>11785.031999999999</v>
      </c>
      <c r="AA133" s="102">
        <f t="shared" si="81"/>
        <v>11508.624</v>
      </c>
      <c r="AB133" s="102">
        <f t="shared" si="81"/>
        <v>11232.215999999999</v>
      </c>
      <c r="AC133" s="102">
        <f t="shared" si="81"/>
        <v>10955.807999999999</v>
      </c>
      <c r="AD133" s="102">
        <f t="shared" si="81"/>
        <v>10679.4</v>
      </c>
      <c r="AE133" s="102">
        <f t="shared" si="81"/>
        <v>10227.096</v>
      </c>
      <c r="AF133" s="102">
        <f t="shared" si="81"/>
        <v>9774.7919999999995</v>
      </c>
      <c r="AG133" s="102">
        <f t="shared" si="81"/>
        <v>9322.4879999999994</v>
      </c>
      <c r="AH133" s="102">
        <f t="shared" si="81"/>
        <v>8870.1839999999975</v>
      </c>
      <c r="AI133" s="102">
        <f t="shared" si="81"/>
        <v>8417.880000000001</v>
      </c>
      <c r="AJ133" s="102">
        <f t="shared" si="81"/>
        <v>7940.4480000000003</v>
      </c>
      <c r="AK133" s="102">
        <f t="shared" si="81"/>
        <v>7463.0159999999996</v>
      </c>
      <c r="AL133" s="102">
        <f t="shared" si="81"/>
        <v>6985.5839999999989</v>
      </c>
      <c r="AM133" s="103">
        <f t="shared" si="81"/>
        <v>6508.1519999999991</v>
      </c>
      <c r="AN133" s="148">
        <f t="shared" si="81"/>
        <v>6030.7199999999993</v>
      </c>
      <c r="AO133" s="148">
        <f t="shared" si="81"/>
        <v>5628.6720000000005</v>
      </c>
      <c r="AP133" s="148">
        <f t="shared" si="81"/>
        <v>5226.6240000000007</v>
      </c>
      <c r="AQ133" s="148">
        <f t="shared" si="81"/>
        <v>4824.5760000000009</v>
      </c>
      <c r="AR133" s="148">
        <f t="shared" si="81"/>
        <v>4422.5280000000012</v>
      </c>
      <c r="AS133" s="148">
        <f t="shared" si="81"/>
        <v>4020.48</v>
      </c>
      <c r="AT133" s="148">
        <f t="shared" si="81"/>
        <v>3744.0719999999997</v>
      </c>
      <c r="AU133" s="148">
        <f t="shared" si="81"/>
        <v>3467.6639999999998</v>
      </c>
      <c r="AV133" s="148">
        <f t="shared" si="81"/>
        <v>3191.2559999999994</v>
      </c>
      <c r="BA133" s="145">
        <f t="shared" si="79"/>
        <v>-33</v>
      </c>
      <c r="BB133" s="149">
        <f t="shared" si="66"/>
        <v>3.1912559999999995E-3</v>
      </c>
      <c r="BC133" s="97">
        <v>33</v>
      </c>
      <c r="BD133" s="111">
        <f t="shared" si="69"/>
        <v>3191.2559999999994</v>
      </c>
      <c r="BE133" s="111">
        <f t="shared" si="67"/>
        <v>105311.44799999997</v>
      </c>
      <c r="BW133" s="97" t="s">
        <v>619</v>
      </c>
    </row>
    <row r="134" spans="2:75">
      <c r="B134" s="98">
        <v>1992</v>
      </c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>
        <f>P$114</f>
        <v>12300</v>
      </c>
      <c r="Q134" s="102">
        <f t="shared" ref="Q134:AV134" si="82">$P134*E$40</f>
        <v>12275.4</v>
      </c>
      <c r="R134" s="102">
        <f t="shared" si="82"/>
        <v>12250.8</v>
      </c>
      <c r="S134" s="102">
        <f t="shared" si="82"/>
        <v>12226.2</v>
      </c>
      <c r="T134" s="102">
        <f t="shared" si="82"/>
        <v>12201.6</v>
      </c>
      <c r="U134" s="102">
        <f t="shared" si="82"/>
        <v>12177</v>
      </c>
      <c r="V134" s="102">
        <f t="shared" si="82"/>
        <v>12103.2</v>
      </c>
      <c r="W134" s="102">
        <f t="shared" si="82"/>
        <v>12029.4</v>
      </c>
      <c r="X134" s="102">
        <f t="shared" si="82"/>
        <v>11955.6</v>
      </c>
      <c r="Y134" s="102">
        <f t="shared" si="82"/>
        <v>11881.8</v>
      </c>
      <c r="Z134" s="102">
        <f t="shared" si="82"/>
        <v>11808</v>
      </c>
      <c r="AA134" s="102">
        <f t="shared" si="82"/>
        <v>11537.4</v>
      </c>
      <c r="AB134" s="102">
        <f t="shared" si="82"/>
        <v>11266.8</v>
      </c>
      <c r="AC134" s="102">
        <f t="shared" si="82"/>
        <v>10996.199999999999</v>
      </c>
      <c r="AD134" s="102">
        <f t="shared" si="82"/>
        <v>10725.599999999999</v>
      </c>
      <c r="AE134" s="102">
        <f t="shared" si="82"/>
        <v>10455</v>
      </c>
      <c r="AF134" s="102">
        <f t="shared" si="82"/>
        <v>10012.199999999999</v>
      </c>
      <c r="AG134" s="102">
        <f t="shared" si="82"/>
        <v>9569.4</v>
      </c>
      <c r="AH134" s="102">
        <f t="shared" si="82"/>
        <v>9126.5999999999985</v>
      </c>
      <c r="AI134" s="102">
        <f t="shared" si="82"/>
        <v>8683.7999999999975</v>
      </c>
      <c r="AJ134" s="102">
        <f t="shared" si="82"/>
        <v>8241</v>
      </c>
      <c r="AK134" s="102">
        <f t="shared" si="82"/>
        <v>7773.6</v>
      </c>
      <c r="AL134" s="102">
        <f t="shared" si="82"/>
        <v>7306.2</v>
      </c>
      <c r="AM134" s="103">
        <f t="shared" si="82"/>
        <v>6838.7999999999993</v>
      </c>
      <c r="AN134" s="148">
        <f t="shared" si="82"/>
        <v>6371.3999999999987</v>
      </c>
      <c r="AO134" s="148">
        <f t="shared" si="82"/>
        <v>5904</v>
      </c>
      <c r="AP134" s="148">
        <f t="shared" si="82"/>
        <v>5510.4000000000005</v>
      </c>
      <c r="AQ134" s="148">
        <f t="shared" si="82"/>
        <v>5116.8</v>
      </c>
      <c r="AR134" s="148">
        <f t="shared" si="82"/>
        <v>4723.2000000000007</v>
      </c>
      <c r="AS134" s="148">
        <f t="shared" si="82"/>
        <v>4329.6000000000013</v>
      </c>
      <c r="AT134" s="148">
        <f t="shared" si="82"/>
        <v>3936</v>
      </c>
      <c r="AU134" s="148">
        <f t="shared" si="82"/>
        <v>3665.3999999999996</v>
      </c>
      <c r="AV134" s="148">
        <f t="shared" si="82"/>
        <v>3394.7999999999997</v>
      </c>
      <c r="BA134" s="145">
        <f t="shared" si="79"/>
        <v>-32</v>
      </c>
      <c r="BB134" s="149">
        <f t="shared" si="66"/>
        <v>3.3947999999999999E-3</v>
      </c>
      <c r="BC134" s="97">
        <v>32</v>
      </c>
      <c r="BD134" s="111">
        <f t="shared" si="69"/>
        <v>3394.7999999999997</v>
      </c>
      <c r="BE134" s="111">
        <f t="shared" si="67"/>
        <v>108633.59999999999</v>
      </c>
      <c r="BW134" s="97" t="s">
        <v>619</v>
      </c>
    </row>
    <row r="135" spans="2:75">
      <c r="B135" s="98">
        <v>1993</v>
      </c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>
        <f>Q$114</f>
        <v>-75202</v>
      </c>
      <c r="R135" s="150">
        <f t="shared" ref="R135:AV135" si="83">$Q135</f>
        <v>-75202</v>
      </c>
      <c r="S135" s="150">
        <f t="shared" si="83"/>
        <v>-75202</v>
      </c>
      <c r="T135" s="150">
        <f t="shared" si="83"/>
        <v>-75202</v>
      </c>
      <c r="U135" s="150">
        <f t="shared" si="83"/>
        <v>-75202</v>
      </c>
      <c r="V135" s="150">
        <f t="shared" si="83"/>
        <v>-75202</v>
      </c>
      <c r="W135" s="150">
        <f t="shared" si="83"/>
        <v>-75202</v>
      </c>
      <c r="X135" s="150">
        <f t="shared" si="83"/>
        <v>-75202</v>
      </c>
      <c r="Y135" s="150">
        <f t="shared" si="83"/>
        <v>-75202</v>
      </c>
      <c r="Z135" s="150">
        <f t="shared" si="83"/>
        <v>-75202</v>
      </c>
      <c r="AA135" s="150">
        <f t="shared" si="83"/>
        <v>-75202</v>
      </c>
      <c r="AB135" s="150">
        <f t="shared" si="83"/>
        <v>-75202</v>
      </c>
      <c r="AC135" s="150">
        <f t="shared" si="83"/>
        <v>-75202</v>
      </c>
      <c r="AD135" s="150">
        <f t="shared" si="83"/>
        <v>-75202</v>
      </c>
      <c r="AE135" s="150">
        <f t="shared" si="83"/>
        <v>-75202</v>
      </c>
      <c r="AF135" s="150">
        <f t="shared" si="83"/>
        <v>-75202</v>
      </c>
      <c r="AG135" s="150">
        <f t="shared" si="83"/>
        <v>-75202</v>
      </c>
      <c r="AH135" s="150">
        <f t="shared" si="83"/>
        <v>-75202</v>
      </c>
      <c r="AI135" s="150">
        <f t="shared" si="83"/>
        <v>-75202</v>
      </c>
      <c r="AJ135" s="150">
        <f t="shared" si="83"/>
        <v>-75202</v>
      </c>
      <c r="AK135" s="150">
        <f t="shared" si="83"/>
        <v>-75202</v>
      </c>
      <c r="AL135" s="150">
        <f t="shared" si="83"/>
        <v>-75202</v>
      </c>
      <c r="AM135" s="103">
        <f t="shared" si="83"/>
        <v>-75202</v>
      </c>
      <c r="AN135" s="151">
        <f t="shared" si="83"/>
        <v>-75202</v>
      </c>
      <c r="AO135" s="151">
        <f t="shared" si="83"/>
        <v>-75202</v>
      </c>
      <c r="AP135" s="151">
        <f t="shared" si="83"/>
        <v>-75202</v>
      </c>
      <c r="AQ135" s="151">
        <f t="shared" si="83"/>
        <v>-75202</v>
      </c>
      <c r="AR135" s="151">
        <f t="shared" si="83"/>
        <v>-75202</v>
      </c>
      <c r="AS135" s="151">
        <f t="shared" si="83"/>
        <v>-75202</v>
      </c>
      <c r="AT135" s="151">
        <f t="shared" si="83"/>
        <v>-75202</v>
      </c>
      <c r="AU135" s="151">
        <f t="shared" si="83"/>
        <v>-75202</v>
      </c>
      <c r="AV135" s="151">
        <f t="shared" si="83"/>
        <v>-75202</v>
      </c>
      <c r="BA135" s="145">
        <f t="shared" si="79"/>
        <v>-31</v>
      </c>
      <c r="BB135" s="149">
        <f t="shared" si="66"/>
        <v>0</v>
      </c>
      <c r="BC135" s="97">
        <v>31</v>
      </c>
      <c r="BD135" s="111">
        <f t="shared" si="69"/>
        <v>-75202</v>
      </c>
      <c r="BE135" s="111">
        <f t="shared" si="67"/>
        <v>-2331262</v>
      </c>
      <c r="BW135" s="97" t="s">
        <v>619</v>
      </c>
    </row>
    <row r="136" spans="2:75">
      <c r="B136" s="98">
        <v>1994</v>
      </c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>
        <f>R$114</f>
        <v>16763</v>
      </c>
      <c r="S136" s="102">
        <f t="shared" ref="S136:AV136" si="84">R136</f>
        <v>16763</v>
      </c>
      <c r="T136" s="102">
        <f t="shared" si="84"/>
        <v>16763</v>
      </c>
      <c r="U136" s="102">
        <f t="shared" si="84"/>
        <v>16763</v>
      </c>
      <c r="V136" s="102">
        <f t="shared" si="84"/>
        <v>16763</v>
      </c>
      <c r="W136" s="102">
        <f t="shared" si="84"/>
        <v>16763</v>
      </c>
      <c r="X136" s="102">
        <f t="shared" si="84"/>
        <v>16763</v>
      </c>
      <c r="Y136" s="102">
        <f t="shared" si="84"/>
        <v>16763</v>
      </c>
      <c r="Z136" s="102">
        <f t="shared" si="84"/>
        <v>16763</v>
      </c>
      <c r="AA136" s="102">
        <f t="shared" si="84"/>
        <v>16763</v>
      </c>
      <c r="AB136" s="102">
        <f t="shared" si="84"/>
        <v>16763</v>
      </c>
      <c r="AC136" s="102">
        <f t="shared" si="84"/>
        <v>16763</v>
      </c>
      <c r="AD136" s="102">
        <f t="shared" si="84"/>
        <v>16763</v>
      </c>
      <c r="AE136" s="102">
        <f t="shared" si="84"/>
        <v>16763</v>
      </c>
      <c r="AF136" s="102">
        <f t="shared" si="84"/>
        <v>16763</v>
      </c>
      <c r="AG136" s="102">
        <f t="shared" si="84"/>
        <v>16763</v>
      </c>
      <c r="AH136" s="102">
        <f t="shared" si="84"/>
        <v>16763</v>
      </c>
      <c r="AI136" s="102">
        <f t="shared" si="84"/>
        <v>16763</v>
      </c>
      <c r="AJ136" s="102">
        <f t="shared" si="84"/>
        <v>16763</v>
      </c>
      <c r="AK136" s="102">
        <f t="shared" si="84"/>
        <v>16763</v>
      </c>
      <c r="AL136" s="102">
        <f t="shared" si="84"/>
        <v>16763</v>
      </c>
      <c r="AM136" s="103">
        <f t="shared" si="84"/>
        <v>16763</v>
      </c>
      <c r="AN136" s="148">
        <f t="shared" si="84"/>
        <v>16763</v>
      </c>
      <c r="AO136" s="148">
        <f t="shared" si="84"/>
        <v>16763</v>
      </c>
      <c r="AP136" s="148">
        <f t="shared" si="84"/>
        <v>16763</v>
      </c>
      <c r="AQ136" s="148">
        <f t="shared" si="84"/>
        <v>16763</v>
      </c>
      <c r="AR136" s="148">
        <f t="shared" si="84"/>
        <v>16763</v>
      </c>
      <c r="AS136" s="148">
        <f t="shared" si="84"/>
        <v>16763</v>
      </c>
      <c r="AT136" s="148">
        <f t="shared" si="84"/>
        <v>16763</v>
      </c>
      <c r="AU136" s="148">
        <f t="shared" si="84"/>
        <v>16763</v>
      </c>
      <c r="AV136" s="148">
        <f t="shared" si="84"/>
        <v>16763</v>
      </c>
      <c r="BA136" s="145">
        <f t="shared" si="79"/>
        <v>-30</v>
      </c>
      <c r="BB136" s="149">
        <f t="shared" si="66"/>
        <v>1.6763E-2</v>
      </c>
      <c r="BC136" s="97">
        <v>30</v>
      </c>
      <c r="BD136" s="111">
        <f t="shared" si="69"/>
        <v>16763</v>
      </c>
      <c r="BE136" s="111">
        <f t="shared" si="67"/>
        <v>502890</v>
      </c>
      <c r="BW136" s="97" t="s">
        <v>619</v>
      </c>
    </row>
    <row r="137" spans="2:75">
      <c r="B137" s="98">
        <v>1995</v>
      </c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>
        <f>S$114</f>
        <v>-86012</v>
      </c>
      <c r="T137" s="150">
        <f t="shared" ref="T137:AV137" si="85">$S137</f>
        <v>-86012</v>
      </c>
      <c r="U137" s="150">
        <f t="shared" si="85"/>
        <v>-86012</v>
      </c>
      <c r="V137" s="150">
        <f t="shared" si="85"/>
        <v>-86012</v>
      </c>
      <c r="W137" s="150">
        <f t="shared" si="85"/>
        <v>-86012</v>
      </c>
      <c r="X137" s="150">
        <f t="shared" si="85"/>
        <v>-86012</v>
      </c>
      <c r="Y137" s="150">
        <f t="shared" si="85"/>
        <v>-86012</v>
      </c>
      <c r="Z137" s="150">
        <f t="shared" si="85"/>
        <v>-86012</v>
      </c>
      <c r="AA137" s="150">
        <f t="shared" si="85"/>
        <v>-86012</v>
      </c>
      <c r="AB137" s="150">
        <f t="shared" si="85"/>
        <v>-86012</v>
      </c>
      <c r="AC137" s="150">
        <f t="shared" si="85"/>
        <v>-86012</v>
      </c>
      <c r="AD137" s="150">
        <f t="shared" si="85"/>
        <v>-86012</v>
      </c>
      <c r="AE137" s="150">
        <f t="shared" si="85"/>
        <v>-86012</v>
      </c>
      <c r="AF137" s="150">
        <f t="shared" si="85"/>
        <v>-86012</v>
      </c>
      <c r="AG137" s="150">
        <f t="shared" si="85"/>
        <v>-86012</v>
      </c>
      <c r="AH137" s="150">
        <f t="shared" si="85"/>
        <v>-86012</v>
      </c>
      <c r="AI137" s="150">
        <f t="shared" si="85"/>
        <v>-86012</v>
      </c>
      <c r="AJ137" s="150">
        <f t="shared" si="85"/>
        <v>-86012</v>
      </c>
      <c r="AK137" s="150">
        <f t="shared" si="85"/>
        <v>-86012</v>
      </c>
      <c r="AL137" s="150">
        <f t="shared" si="85"/>
        <v>-86012</v>
      </c>
      <c r="AM137" s="103">
        <f t="shared" si="85"/>
        <v>-86012</v>
      </c>
      <c r="AN137" s="151">
        <f t="shared" si="85"/>
        <v>-86012</v>
      </c>
      <c r="AO137" s="151">
        <f t="shared" si="85"/>
        <v>-86012</v>
      </c>
      <c r="AP137" s="151">
        <f t="shared" si="85"/>
        <v>-86012</v>
      </c>
      <c r="AQ137" s="151">
        <f t="shared" si="85"/>
        <v>-86012</v>
      </c>
      <c r="AR137" s="151">
        <f t="shared" si="85"/>
        <v>-86012</v>
      </c>
      <c r="AS137" s="151">
        <f t="shared" si="85"/>
        <v>-86012</v>
      </c>
      <c r="AT137" s="151">
        <f t="shared" si="85"/>
        <v>-86012</v>
      </c>
      <c r="AU137" s="151">
        <f t="shared" si="85"/>
        <v>-86012</v>
      </c>
      <c r="AV137" s="151">
        <f t="shared" si="85"/>
        <v>-86012</v>
      </c>
      <c r="BA137" s="145">
        <f t="shared" si="79"/>
        <v>-29</v>
      </c>
      <c r="BB137" s="149">
        <f t="shared" si="66"/>
        <v>0</v>
      </c>
      <c r="BC137" s="97">
        <v>29</v>
      </c>
      <c r="BD137" s="111">
        <f t="shared" si="69"/>
        <v>-86012</v>
      </c>
      <c r="BE137" s="111">
        <f t="shared" si="67"/>
        <v>-2494348</v>
      </c>
      <c r="BW137" s="97" t="s">
        <v>619</v>
      </c>
    </row>
    <row r="138" spans="2:75">
      <c r="B138" s="98">
        <v>1996</v>
      </c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>
        <f>T$114</f>
        <v>47599</v>
      </c>
      <c r="U138" s="102">
        <f t="shared" ref="U138:AV138" si="86">$T138*E$40</f>
        <v>47503.802000000003</v>
      </c>
      <c r="V138" s="102">
        <f t="shared" si="86"/>
        <v>47408.603999999999</v>
      </c>
      <c r="W138" s="102">
        <f t="shared" si="86"/>
        <v>47313.406000000003</v>
      </c>
      <c r="X138" s="102">
        <f t="shared" si="86"/>
        <v>47218.207999999999</v>
      </c>
      <c r="Y138" s="102">
        <f t="shared" si="86"/>
        <v>47123.01</v>
      </c>
      <c r="Z138" s="102">
        <f t="shared" si="86"/>
        <v>46837.415999999997</v>
      </c>
      <c r="AA138" s="102">
        <f t="shared" si="86"/>
        <v>46551.822</v>
      </c>
      <c r="AB138" s="102">
        <f t="shared" si="86"/>
        <v>46266.227999999996</v>
      </c>
      <c r="AC138" s="102">
        <f t="shared" si="86"/>
        <v>45980.633999999998</v>
      </c>
      <c r="AD138" s="102">
        <f t="shared" si="86"/>
        <v>45695.040000000001</v>
      </c>
      <c r="AE138" s="102">
        <f t="shared" si="86"/>
        <v>44647.862000000001</v>
      </c>
      <c r="AF138" s="102">
        <f t="shared" si="86"/>
        <v>43600.683999999994</v>
      </c>
      <c r="AG138" s="102">
        <f t="shared" si="86"/>
        <v>42553.505999999994</v>
      </c>
      <c r="AH138" s="102">
        <f t="shared" si="86"/>
        <v>41506.327999999994</v>
      </c>
      <c r="AI138" s="102">
        <f t="shared" si="86"/>
        <v>40459.15</v>
      </c>
      <c r="AJ138" s="102">
        <f t="shared" si="86"/>
        <v>38745.585999999996</v>
      </c>
      <c r="AK138" s="102">
        <f t="shared" si="86"/>
        <v>37032.021999999997</v>
      </c>
      <c r="AL138" s="102">
        <f t="shared" si="86"/>
        <v>35318.457999999991</v>
      </c>
      <c r="AM138" s="103">
        <f t="shared" si="86"/>
        <v>33604.893999999993</v>
      </c>
      <c r="AN138" s="148">
        <f t="shared" si="86"/>
        <v>31891.33</v>
      </c>
      <c r="AO138" s="148">
        <f t="shared" si="86"/>
        <v>30082.567999999999</v>
      </c>
      <c r="AP138" s="148">
        <f t="shared" si="86"/>
        <v>28273.806</v>
      </c>
      <c r="AQ138" s="148">
        <f t="shared" si="86"/>
        <v>26465.043999999998</v>
      </c>
      <c r="AR138" s="148">
        <f t="shared" si="86"/>
        <v>24656.281999999996</v>
      </c>
      <c r="AS138" s="148">
        <f t="shared" si="86"/>
        <v>22847.52</v>
      </c>
      <c r="AT138" s="148">
        <f t="shared" si="86"/>
        <v>21324.351999999999</v>
      </c>
      <c r="AU138" s="148">
        <f t="shared" si="86"/>
        <v>19801.184000000001</v>
      </c>
      <c r="AV138" s="148">
        <f t="shared" si="86"/>
        <v>18278.016000000003</v>
      </c>
      <c r="BA138" s="145">
        <f t="shared" si="79"/>
        <v>-28</v>
      </c>
      <c r="BB138" s="149">
        <f t="shared" si="66"/>
        <v>1.8278016000000005E-2</v>
      </c>
      <c r="BC138" s="97">
        <v>28</v>
      </c>
      <c r="BD138" s="111">
        <f t="shared" si="69"/>
        <v>18278.016000000003</v>
      </c>
      <c r="BE138" s="111">
        <f t="shared" si="67"/>
        <v>511784.44800000009</v>
      </c>
      <c r="BW138" s="97" t="s">
        <v>619</v>
      </c>
    </row>
    <row r="139" spans="2:75">
      <c r="B139" s="98">
        <v>1997</v>
      </c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>
        <f>U$114</f>
        <v>1607</v>
      </c>
      <c r="V139" s="102">
        <f t="shared" ref="V139:AV139" si="87">$U139*E$40</f>
        <v>1603.7860000000001</v>
      </c>
      <c r="W139" s="102">
        <f t="shared" si="87"/>
        <v>1600.5719999999999</v>
      </c>
      <c r="X139" s="102">
        <f t="shared" si="87"/>
        <v>1597.3579999999999</v>
      </c>
      <c r="Y139" s="102">
        <f t="shared" si="87"/>
        <v>1594.144</v>
      </c>
      <c r="Z139" s="102">
        <f t="shared" si="87"/>
        <v>1590.93</v>
      </c>
      <c r="AA139" s="102">
        <f t="shared" si="87"/>
        <v>1581.288</v>
      </c>
      <c r="AB139" s="102">
        <f t="shared" si="87"/>
        <v>1571.646</v>
      </c>
      <c r="AC139" s="102">
        <f t="shared" si="87"/>
        <v>1562.0039999999999</v>
      </c>
      <c r="AD139" s="102">
        <f t="shared" si="87"/>
        <v>1552.3619999999999</v>
      </c>
      <c r="AE139" s="102">
        <f t="shared" si="87"/>
        <v>1542.72</v>
      </c>
      <c r="AF139" s="102">
        <f t="shared" si="87"/>
        <v>1507.366</v>
      </c>
      <c r="AG139" s="102">
        <f t="shared" si="87"/>
        <v>1472.0119999999999</v>
      </c>
      <c r="AH139" s="102">
        <f t="shared" si="87"/>
        <v>1436.6579999999999</v>
      </c>
      <c r="AI139" s="102">
        <f t="shared" si="87"/>
        <v>1401.3039999999999</v>
      </c>
      <c r="AJ139" s="102">
        <f t="shared" si="87"/>
        <v>1365.95</v>
      </c>
      <c r="AK139" s="102">
        <f t="shared" si="87"/>
        <v>1308.098</v>
      </c>
      <c r="AL139" s="102">
        <f t="shared" si="87"/>
        <v>1250.2459999999999</v>
      </c>
      <c r="AM139" s="103">
        <f t="shared" si="87"/>
        <v>1192.3939999999998</v>
      </c>
      <c r="AN139" s="148">
        <f t="shared" si="87"/>
        <v>1134.5419999999997</v>
      </c>
      <c r="AO139" s="148">
        <f t="shared" si="87"/>
        <v>1076.69</v>
      </c>
      <c r="AP139" s="148">
        <f t="shared" si="87"/>
        <v>1015.624</v>
      </c>
      <c r="AQ139" s="148">
        <f t="shared" si="87"/>
        <v>954.55799999999999</v>
      </c>
      <c r="AR139" s="148">
        <f t="shared" si="87"/>
        <v>893.49199999999985</v>
      </c>
      <c r="AS139" s="148">
        <f t="shared" si="87"/>
        <v>832.42599999999982</v>
      </c>
      <c r="AT139" s="148">
        <f t="shared" si="87"/>
        <v>771.36</v>
      </c>
      <c r="AU139" s="148">
        <f t="shared" si="87"/>
        <v>719.93600000000004</v>
      </c>
      <c r="AV139" s="148">
        <f t="shared" si="87"/>
        <v>668.51200000000006</v>
      </c>
      <c r="BA139" s="145">
        <f t="shared" si="79"/>
        <v>-27</v>
      </c>
      <c r="BB139" s="149">
        <f t="shared" si="66"/>
        <v>6.6851200000000001E-4</v>
      </c>
      <c r="BC139" s="97">
        <v>27</v>
      </c>
      <c r="BD139" s="111">
        <f t="shared" si="69"/>
        <v>668.51200000000006</v>
      </c>
      <c r="BE139" s="111">
        <f t="shared" si="67"/>
        <v>18049.824000000001</v>
      </c>
      <c r="BW139" s="97" t="s">
        <v>619</v>
      </c>
    </row>
    <row r="140" spans="2:75">
      <c r="B140" s="98">
        <v>1998</v>
      </c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>
        <f>V$114</f>
        <v>43934</v>
      </c>
      <c r="W140" s="102">
        <f t="shared" ref="W140:AV140" si="88">$V140*E$40</f>
        <v>43846.131999999998</v>
      </c>
      <c r="X140" s="102">
        <f t="shared" si="88"/>
        <v>43758.264000000003</v>
      </c>
      <c r="Y140" s="102">
        <f t="shared" si="88"/>
        <v>43670.396000000001</v>
      </c>
      <c r="Z140" s="102">
        <f t="shared" si="88"/>
        <v>43582.527999999998</v>
      </c>
      <c r="AA140" s="102">
        <f t="shared" si="88"/>
        <v>43494.659999999996</v>
      </c>
      <c r="AB140" s="102">
        <f t="shared" si="88"/>
        <v>43231.055999999997</v>
      </c>
      <c r="AC140" s="102">
        <f t="shared" si="88"/>
        <v>42967.451999999997</v>
      </c>
      <c r="AD140" s="102">
        <f t="shared" si="88"/>
        <v>42703.847999999998</v>
      </c>
      <c r="AE140" s="102">
        <f t="shared" si="88"/>
        <v>42440.243999999999</v>
      </c>
      <c r="AF140" s="102">
        <f t="shared" si="88"/>
        <v>42176.639999999999</v>
      </c>
      <c r="AG140" s="102">
        <f t="shared" si="88"/>
        <v>41210.091999999997</v>
      </c>
      <c r="AH140" s="102">
        <f t="shared" si="88"/>
        <v>40243.543999999994</v>
      </c>
      <c r="AI140" s="102">
        <f t="shared" si="88"/>
        <v>39276.995999999999</v>
      </c>
      <c r="AJ140" s="102">
        <f t="shared" si="88"/>
        <v>38310.447999999997</v>
      </c>
      <c r="AK140" s="102">
        <f t="shared" si="88"/>
        <v>37343.9</v>
      </c>
      <c r="AL140" s="102">
        <f t="shared" si="88"/>
        <v>35762.275999999998</v>
      </c>
      <c r="AM140" s="103">
        <f t="shared" si="88"/>
        <v>34180.651999999995</v>
      </c>
      <c r="AN140" s="148">
        <f t="shared" si="88"/>
        <v>32599.027999999995</v>
      </c>
      <c r="AO140" s="148">
        <f t="shared" si="88"/>
        <v>31017.403999999995</v>
      </c>
      <c r="AP140" s="148">
        <f t="shared" si="88"/>
        <v>29435.780000000002</v>
      </c>
      <c r="AQ140" s="148">
        <f t="shared" si="88"/>
        <v>27766.288</v>
      </c>
      <c r="AR140" s="148">
        <f t="shared" si="88"/>
        <v>26096.795999999998</v>
      </c>
      <c r="AS140" s="148">
        <f t="shared" si="88"/>
        <v>24427.303999999996</v>
      </c>
      <c r="AT140" s="148">
        <f t="shared" si="88"/>
        <v>22757.811999999994</v>
      </c>
      <c r="AU140" s="148">
        <f t="shared" si="88"/>
        <v>21088.32</v>
      </c>
      <c r="AV140" s="148">
        <f t="shared" si="88"/>
        <v>19682.432000000001</v>
      </c>
      <c r="BA140" s="145">
        <f t="shared" si="79"/>
        <v>-26</v>
      </c>
      <c r="BB140" s="149">
        <f t="shared" si="66"/>
        <v>1.9682432E-2</v>
      </c>
      <c r="BC140" s="97">
        <v>26</v>
      </c>
      <c r="BD140" s="111">
        <f t="shared" si="69"/>
        <v>19682.432000000001</v>
      </c>
      <c r="BE140" s="111">
        <f t="shared" si="67"/>
        <v>511743.23200000002</v>
      </c>
      <c r="BW140" s="97" t="s">
        <v>619</v>
      </c>
    </row>
    <row r="141" spans="2:75">
      <c r="B141" s="98">
        <v>1999</v>
      </c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>
        <f>W$114</f>
        <v>40499</v>
      </c>
      <c r="X141" s="102">
        <f t="shared" ref="X141:AV141" si="89">$W141*E$40</f>
        <v>40418.002</v>
      </c>
      <c r="Y141" s="102">
        <f t="shared" si="89"/>
        <v>40337.004000000001</v>
      </c>
      <c r="Z141" s="102">
        <f t="shared" si="89"/>
        <v>40256.006000000001</v>
      </c>
      <c r="AA141" s="102">
        <f t="shared" si="89"/>
        <v>40175.008000000002</v>
      </c>
      <c r="AB141" s="102">
        <f t="shared" si="89"/>
        <v>40094.01</v>
      </c>
      <c r="AC141" s="102">
        <f t="shared" si="89"/>
        <v>39851.015999999996</v>
      </c>
      <c r="AD141" s="102">
        <f t="shared" si="89"/>
        <v>39608.021999999997</v>
      </c>
      <c r="AE141" s="102">
        <f t="shared" si="89"/>
        <v>39365.027999999998</v>
      </c>
      <c r="AF141" s="102">
        <f t="shared" si="89"/>
        <v>39122.034</v>
      </c>
      <c r="AG141" s="102">
        <f t="shared" si="89"/>
        <v>38879.040000000001</v>
      </c>
      <c r="AH141" s="102">
        <f t="shared" si="89"/>
        <v>37988.061999999998</v>
      </c>
      <c r="AI141" s="102">
        <f t="shared" si="89"/>
        <v>37097.083999999995</v>
      </c>
      <c r="AJ141" s="102">
        <f t="shared" si="89"/>
        <v>36206.106</v>
      </c>
      <c r="AK141" s="102">
        <f t="shared" si="89"/>
        <v>35315.127999999997</v>
      </c>
      <c r="AL141" s="102">
        <f t="shared" si="89"/>
        <v>34424.15</v>
      </c>
      <c r="AM141" s="103">
        <f t="shared" si="89"/>
        <v>32966.185999999994</v>
      </c>
      <c r="AN141" s="148">
        <f t="shared" si="89"/>
        <v>31508.221999999998</v>
      </c>
      <c r="AO141" s="148">
        <f t="shared" si="89"/>
        <v>30050.257999999994</v>
      </c>
      <c r="AP141" s="148">
        <f t="shared" si="89"/>
        <v>28592.293999999994</v>
      </c>
      <c r="AQ141" s="148">
        <f t="shared" si="89"/>
        <v>27134.33</v>
      </c>
      <c r="AR141" s="148">
        <f t="shared" si="89"/>
        <v>25595.367999999999</v>
      </c>
      <c r="AS141" s="148">
        <f t="shared" si="89"/>
        <v>24056.405999999999</v>
      </c>
      <c r="AT141" s="148">
        <f t="shared" si="89"/>
        <v>22517.443999999996</v>
      </c>
      <c r="AU141" s="148">
        <f t="shared" si="89"/>
        <v>20978.481999999996</v>
      </c>
      <c r="AV141" s="148">
        <f t="shared" si="89"/>
        <v>19439.52</v>
      </c>
      <c r="BA141" s="145">
        <f t="shared" si="79"/>
        <v>-25</v>
      </c>
      <c r="BB141" s="149">
        <f t="shared" si="66"/>
        <v>1.9439520000000002E-2</v>
      </c>
      <c r="BC141" s="97">
        <v>25</v>
      </c>
      <c r="BD141" s="111">
        <f t="shared" si="69"/>
        <v>19439.52</v>
      </c>
      <c r="BE141" s="111">
        <f t="shared" si="67"/>
        <v>485988</v>
      </c>
      <c r="BW141" s="97" t="s">
        <v>619</v>
      </c>
    </row>
    <row r="142" spans="2:75">
      <c r="B142" s="98">
        <v>2000</v>
      </c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>
        <f>X$114</f>
        <v>31325</v>
      </c>
      <c r="Y142" s="102">
        <f t="shared" ref="Y142:AV142" si="90">$X142*E$40</f>
        <v>31262.35</v>
      </c>
      <c r="Z142" s="102">
        <f t="shared" si="90"/>
        <v>31199.7</v>
      </c>
      <c r="AA142" s="102">
        <f t="shared" si="90"/>
        <v>31137.05</v>
      </c>
      <c r="AB142" s="102">
        <f t="shared" si="90"/>
        <v>31074.400000000001</v>
      </c>
      <c r="AC142" s="102">
        <f t="shared" si="90"/>
        <v>31011.75</v>
      </c>
      <c r="AD142" s="102">
        <f t="shared" si="90"/>
        <v>30823.8</v>
      </c>
      <c r="AE142" s="102">
        <f t="shared" si="90"/>
        <v>30635.85</v>
      </c>
      <c r="AF142" s="102">
        <f t="shared" si="90"/>
        <v>30447.899999999998</v>
      </c>
      <c r="AG142" s="102">
        <f t="shared" si="90"/>
        <v>30259.95</v>
      </c>
      <c r="AH142" s="102">
        <f t="shared" si="90"/>
        <v>30072</v>
      </c>
      <c r="AI142" s="102">
        <f t="shared" si="90"/>
        <v>29382.85</v>
      </c>
      <c r="AJ142" s="102">
        <f t="shared" si="90"/>
        <v>28693.699999999997</v>
      </c>
      <c r="AK142" s="102">
        <f t="shared" si="90"/>
        <v>28004.549999999996</v>
      </c>
      <c r="AL142" s="102">
        <f t="shared" si="90"/>
        <v>27315.399999999998</v>
      </c>
      <c r="AM142" s="103">
        <f t="shared" si="90"/>
        <v>26626.25</v>
      </c>
      <c r="AN142" s="148">
        <f t="shared" si="90"/>
        <v>25498.55</v>
      </c>
      <c r="AO142" s="148">
        <f t="shared" si="90"/>
        <v>24370.85</v>
      </c>
      <c r="AP142" s="148">
        <f t="shared" si="90"/>
        <v>23243.149999999998</v>
      </c>
      <c r="AQ142" s="148">
        <f t="shared" si="90"/>
        <v>22115.449999999997</v>
      </c>
      <c r="AR142" s="148">
        <f t="shared" si="90"/>
        <v>20987.75</v>
      </c>
      <c r="AS142" s="148">
        <f t="shared" si="90"/>
        <v>19797.400000000001</v>
      </c>
      <c r="AT142" s="148">
        <f t="shared" si="90"/>
        <v>18607.05</v>
      </c>
      <c r="AU142" s="148">
        <f t="shared" si="90"/>
        <v>17416.699999999997</v>
      </c>
      <c r="AV142" s="148">
        <f t="shared" si="90"/>
        <v>16226.349999999997</v>
      </c>
      <c r="BA142" s="145">
        <f t="shared" si="79"/>
        <v>-24</v>
      </c>
      <c r="BB142" s="149">
        <f t="shared" si="66"/>
        <v>1.6226349999999997E-2</v>
      </c>
      <c r="BC142" s="97">
        <v>24</v>
      </c>
      <c r="BD142" s="111">
        <f t="shared" si="69"/>
        <v>16226.349999999997</v>
      </c>
      <c r="BE142" s="111">
        <f t="shared" si="67"/>
        <v>389432.39999999991</v>
      </c>
      <c r="BW142" s="97" t="s">
        <v>619</v>
      </c>
    </row>
    <row r="143" spans="2:75">
      <c r="B143" s="98">
        <v>2001</v>
      </c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>
        <f>Y$114</f>
        <v>-13118</v>
      </c>
      <c r="Z143" s="150">
        <f t="shared" ref="Z143:AV143" si="91">$Y143</f>
        <v>-13118</v>
      </c>
      <c r="AA143" s="150">
        <f t="shared" si="91"/>
        <v>-13118</v>
      </c>
      <c r="AB143" s="150">
        <f t="shared" si="91"/>
        <v>-13118</v>
      </c>
      <c r="AC143" s="150">
        <f t="shared" si="91"/>
        <v>-13118</v>
      </c>
      <c r="AD143" s="150">
        <f t="shared" si="91"/>
        <v>-13118</v>
      </c>
      <c r="AE143" s="150">
        <f t="shared" si="91"/>
        <v>-13118</v>
      </c>
      <c r="AF143" s="150">
        <f t="shared" si="91"/>
        <v>-13118</v>
      </c>
      <c r="AG143" s="150">
        <f t="shared" si="91"/>
        <v>-13118</v>
      </c>
      <c r="AH143" s="150">
        <f t="shared" si="91"/>
        <v>-13118</v>
      </c>
      <c r="AI143" s="150">
        <f t="shared" si="91"/>
        <v>-13118</v>
      </c>
      <c r="AJ143" s="150">
        <f t="shared" si="91"/>
        <v>-13118</v>
      </c>
      <c r="AK143" s="150">
        <f t="shared" si="91"/>
        <v>-13118</v>
      </c>
      <c r="AL143" s="150">
        <f t="shared" si="91"/>
        <v>-13118</v>
      </c>
      <c r="AM143" s="103">
        <f t="shared" si="91"/>
        <v>-13118</v>
      </c>
      <c r="AN143" s="151">
        <f t="shared" si="91"/>
        <v>-13118</v>
      </c>
      <c r="AO143" s="151">
        <f t="shared" si="91"/>
        <v>-13118</v>
      </c>
      <c r="AP143" s="151">
        <f t="shared" si="91"/>
        <v>-13118</v>
      </c>
      <c r="AQ143" s="151">
        <f t="shared" si="91"/>
        <v>-13118</v>
      </c>
      <c r="AR143" s="151">
        <f t="shared" si="91"/>
        <v>-13118</v>
      </c>
      <c r="AS143" s="151">
        <f t="shared" si="91"/>
        <v>-13118</v>
      </c>
      <c r="AT143" s="151">
        <f t="shared" si="91"/>
        <v>-13118</v>
      </c>
      <c r="AU143" s="151">
        <f t="shared" si="91"/>
        <v>-13118</v>
      </c>
      <c r="AV143" s="151">
        <f t="shared" si="91"/>
        <v>-13118</v>
      </c>
      <c r="BA143" s="145">
        <f t="shared" si="79"/>
        <v>-23</v>
      </c>
      <c r="BB143" s="149">
        <f t="shared" si="66"/>
        <v>0</v>
      </c>
      <c r="BC143" s="97">
        <v>23</v>
      </c>
      <c r="BD143" s="111">
        <f t="shared" si="69"/>
        <v>-13118</v>
      </c>
      <c r="BE143" s="111">
        <f t="shared" si="67"/>
        <v>-301714</v>
      </c>
      <c r="BW143" s="97" t="s">
        <v>619</v>
      </c>
    </row>
    <row r="144" spans="2:75">
      <c r="B144" s="98">
        <v>2002</v>
      </c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>
        <f>Z$114</f>
        <v>88716</v>
      </c>
      <c r="AA144" s="102">
        <f t="shared" ref="AA144:AV144" si="92">$Z144*E$40</f>
        <v>88538.567999999999</v>
      </c>
      <c r="AB144" s="102">
        <f t="shared" si="92"/>
        <v>88361.135999999999</v>
      </c>
      <c r="AC144" s="102">
        <f t="shared" si="92"/>
        <v>88183.703999999998</v>
      </c>
      <c r="AD144" s="102">
        <f t="shared" si="92"/>
        <v>88006.271999999997</v>
      </c>
      <c r="AE144" s="102">
        <f t="shared" si="92"/>
        <v>87828.84</v>
      </c>
      <c r="AF144" s="102">
        <f t="shared" si="92"/>
        <v>87296.543999999994</v>
      </c>
      <c r="AG144" s="102">
        <f t="shared" si="92"/>
        <v>86764.247999999992</v>
      </c>
      <c r="AH144" s="102">
        <f t="shared" si="92"/>
        <v>86231.952000000005</v>
      </c>
      <c r="AI144" s="102">
        <f t="shared" si="92"/>
        <v>85699.656000000003</v>
      </c>
      <c r="AJ144" s="102">
        <f t="shared" si="92"/>
        <v>85167.360000000001</v>
      </c>
      <c r="AK144" s="102">
        <f t="shared" si="92"/>
        <v>83215.607999999993</v>
      </c>
      <c r="AL144" s="102">
        <f t="shared" si="92"/>
        <v>81263.856</v>
      </c>
      <c r="AM144" s="103">
        <f t="shared" si="92"/>
        <v>79312.103999999992</v>
      </c>
      <c r="AN144" s="148">
        <f t="shared" si="92"/>
        <v>77360.351999999984</v>
      </c>
      <c r="AO144" s="148">
        <f t="shared" si="92"/>
        <v>75408.599999999991</v>
      </c>
      <c r="AP144" s="148">
        <f t="shared" si="92"/>
        <v>72214.823999999993</v>
      </c>
      <c r="AQ144" s="148">
        <f t="shared" si="92"/>
        <v>69021.047999999995</v>
      </c>
      <c r="AR144" s="148">
        <f t="shared" si="92"/>
        <v>65827.271999999983</v>
      </c>
      <c r="AS144" s="148">
        <f t="shared" si="92"/>
        <v>62633.495999999985</v>
      </c>
      <c r="AT144" s="148">
        <f t="shared" si="92"/>
        <v>59439.72</v>
      </c>
      <c r="AU144" s="148">
        <f t="shared" si="92"/>
        <v>56068.512000000002</v>
      </c>
      <c r="AV144" s="148">
        <f t="shared" si="92"/>
        <v>52697.303999999996</v>
      </c>
      <c r="BA144" s="145">
        <f t="shared" si="79"/>
        <v>-22</v>
      </c>
      <c r="BB144" s="149">
        <f t="shared" si="66"/>
        <v>5.2697303999999993E-2</v>
      </c>
      <c r="BC144" s="97">
        <v>22</v>
      </c>
      <c r="BD144" s="111">
        <f t="shared" si="69"/>
        <v>52697.303999999996</v>
      </c>
      <c r="BE144" s="111">
        <f t="shared" si="67"/>
        <v>1159340.6879999998</v>
      </c>
      <c r="BW144" s="97" t="s">
        <v>619</v>
      </c>
    </row>
    <row r="145" spans="2:75">
      <c r="B145" s="98">
        <v>2003</v>
      </c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>
        <f>AA$114</f>
        <v>69995</v>
      </c>
      <c r="AB145" s="102">
        <f t="shared" ref="AB145:AV145" si="93">$AA145*E$40</f>
        <v>69855.009999999995</v>
      </c>
      <c r="AC145" s="102">
        <f t="shared" si="93"/>
        <v>69715.02</v>
      </c>
      <c r="AD145" s="102">
        <f t="shared" si="93"/>
        <v>69575.03</v>
      </c>
      <c r="AE145" s="102">
        <f t="shared" si="93"/>
        <v>69435.039999999994</v>
      </c>
      <c r="AF145" s="102">
        <f t="shared" si="93"/>
        <v>69295.05</v>
      </c>
      <c r="AG145" s="102">
        <f t="shared" si="93"/>
        <v>68875.08</v>
      </c>
      <c r="AH145" s="102">
        <f t="shared" si="93"/>
        <v>68455.11</v>
      </c>
      <c r="AI145" s="102">
        <f t="shared" si="93"/>
        <v>68035.14</v>
      </c>
      <c r="AJ145" s="102">
        <f t="shared" si="93"/>
        <v>67615.17</v>
      </c>
      <c r="AK145" s="102">
        <f t="shared" si="93"/>
        <v>67195.199999999997</v>
      </c>
      <c r="AL145" s="102">
        <f t="shared" si="93"/>
        <v>65655.31</v>
      </c>
      <c r="AM145" s="103">
        <f t="shared" si="93"/>
        <v>64115.42</v>
      </c>
      <c r="AN145" s="148">
        <f t="shared" si="93"/>
        <v>62575.529999999992</v>
      </c>
      <c r="AO145" s="148">
        <f t="shared" si="93"/>
        <v>61035.639999999992</v>
      </c>
      <c r="AP145" s="148">
        <f t="shared" si="93"/>
        <v>59495.75</v>
      </c>
      <c r="AQ145" s="148">
        <f t="shared" si="93"/>
        <v>56975.929999999993</v>
      </c>
      <c r="AR145" s="148">
        <f t="shared" si="93"/>
        <v>54456.109999999993</v>
      </c>
      <c r="AS145" s="148">
        <f t="shared" si="93"/>
        <v>51936.289999999994</v>
      </c>
      <c r="AT145" s="148">
        <f t="shared" si="93"/>
        <v>49416.469999999987</v>
      </c>
      <c r="AU145" s="148">
        <f t="shared" si="93"/>
        <v>46896.65</v>
      </c>
      <c r="AV145" s="148">
        <f t="shared" si="93"/>
        <v>44236.840000000004</v>
      </c>
      <c r="BA145" s="145">
        <f t="shared" si="79"/>
        <v>-21</v>
      </c>
      <c r="BB145" s="149">
        <f t="shared" si="66"/>
        <v>4.4236840000000006E-2</v>
      </c>
      <c r="BC145" s="97">
        <v>21</v>
      </c>
      <c r="BD145" s="111">
        <f t="shared" si="69"/>
        <v>44236.840000000004</v>
      </c>
      <c r="BE145" s="111">
        <f t="shared" si="67"/>
        <v>928973.64000000013</v>
      </c>
      <c r="BW145" s="97" t="s">
        <v>619</v>
      </c>
    </row>
    <row r="146" spans="2:75">
      <c r="B146" s="98">
        <v>2004</v>
      </c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>
        <f>AB$114</f>
        <v>78790</v>
      </c>
      <c r="AC146" s="102">
        <f t="shared" ref="AC146:AV146" si="94">$AB146*E$40</f>
        <v>78632.42</v>
      </c>
      <c r="AD146" s="102">
        <f t="shared" si="94"/>
        <v>78474.84</v>
      </c>
      <c r="AE146" s="102">
        <f t="shared" si="94"/>
        <v>78317.259999999995</v>
      </c>
      <c r="AF146" s="102">
        <f t="shared" si="94"/>
        <v>78159.679999999993</v>
      </c>
      <c r="AG146" s="102">
        <f t="shared" si="94"/>
        <v>78002.100000000006</v>
      </c>
      <c r="AH146" s="102">
        <f t="shared" si="94"/>
        <v>77529.36</v>
      </c>
      <c r="AI146" s="102">
        <f t="shared" si="94"/>
        <v>77056.62</v>
      </c>
      <c r="AJ146" s="102">
        <f t="shared" si="94"/>
        <v>76583.88</v>
      </c>
      <c r="AK146" s="102">
        <f t="shared" si="94"/>
        <v>76111.14</v>
      </c>
      <c r="AL146" s="102">
        <f t="shared" si="94"/>
        <v>75638.399999999994</v>
      </c>
      <c r="AM146" s="103">
        <f t="shared" si="94"/>
        <v>73905.01999999999</v>
      </c>
      <c r="AN146" s="148">
        <f t="shared" si="94"/>
        <v>72171.64</v>
      </c>
      <c r="AO146" s="148">
        <f t="shared" si="94"/>
        <v>70438.259999999995</v>
      </c>
      <c r="AP146" s="148">
        <f t="shared" si="94"/>
        <v>68704.87999999999</v>
      </c>
      <c r="AQ146" s="148">
        <f t="shared" si="94"/>
        <v>66971.5</v>
      </c>
      <c r="AR146" s="148">
        <f t="shared" si="94"/>
        <v>64135.06</v>
      </c>
      <c r="AS146" s="148">
        <f t="shared" si="94"/>
        <v>61298.619999999995</v>
      </c>
      <c r="AT146" s="148">
        <f t="shared" si="94"/>
        <v>58462.179999999993</v>
      </c>
      <c r="AU146" s="148">
        <f t="shared" si="94"/>
        <v>55625.739999999991</v>
      </c>
      <c r="AV146" s="148">
        <f t="shared" si="94"/>
        <v>52789.3</v>
      </c>
      <c r="BA146" s="145">
        <f t="shared" si="79"/>
        <v>-20</v>
      </c>
      <c r="BB146" s="149">
        <f t="shared" si="66"/>
        <v>5.2789300000000004E-2</v>
      </c>
      <c r="BC146" s="97">
        <v>20</v>
      </c>
      <c r="BD146" s="111">
        <f t="shared" si="69"/>
        <v>52789.3</v>
      </c>
      <c r="BE146" s="111">
        <f t="shared" si="67"/>
        <v>1055786</v>
      </c>
      <c r="BW146" s="97" t="s">
        <v>619</v>
      </c>
    </row>
    <row r="147" spans="2:75">
      <c r="B147" s="98">
        <v>2005</v>
      </c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>
        <f>AC$114</f>
        <v>70236</v>
      </c>
      <c r="AD147" s="102">
        <f t="shared" ref="AD147:AV147" si="95">$AC147*E$40</f>
        <v>70095.528000000006</v>
      </c>
      <c r="AE147" s="102">
        <f t="shared" si="95"/>
        <v>69955.055999999997</v>
      </c>
      <c r="AF147" s="102">
        <f t="shared" si="95"/>
        <v>69814.584000000003</v>
      </c>
      <c r="AG147" s="102">
        <f t="shared" si="95"/>
        <v>69674.111999999994</v>
      </c>
      <c r="AH147" s="102">
        <f t="shared" si="95"/>
        <v>69533.64</v>
      </c>
      <c r="AI147" s="102">
        <f t="shared" si="95"/>
        <v>69112.224000000002</v>
      </c>
      <c r="AJ147" s="102">
        <f t="shared" si="95"/>
        <v>68690.808000000005</v>
      </c>
      <c r="AK147" s="102">
        <f t="shared" si="95"/>
        <v>68269.391999999993</v>
      </c>
      <c r="AL147" s="102">
        <f t="shared" si="95"/>
        <v>67847.975999999995</v>
      </c>
      <c r="AM147" s="103">
        <f t="shared" si="95"/>
        <v>67426.559999999998</v>
      </c>
      <c r="AN147" s="148">
        <f t="shared" si="95"/>
        <v>65881.368000000002</v>
      </c>
      <c r="AO147" s="148">
        <f t="shared" si="95"/>
        <v>64336.175999999992</v>
      </c>
      <c r="AP147" s="148">
        <f t="shared" si="95"/>
        <v>62790.983999999997</v>
      </c>
      <c r="AQ147" s="148">
        <f t="shared" si="95"/>
        <v>61245.791999999994</v>
      </c>
      <c r="AR147" s="148">
        <f t="shared" si="95"/>
        <v>59700.6</v>
      </c>
      <c r="AS147" s="148">
        <f t="shared" si="95"/>
        <v>57172.103999999999</v>
      </c>
      <c r="AT147" s="148">
        <f t="shared" si="95"/>
        <v>54643.607999999993</v>
      </c>
      <c r="AU147" s="148">
        <f t="shared" si="95"/>
        <v>52115.111999999994</v>
      </c>
      <c r="AV147" s="148">
        <f t="shared" si="95"/>
        <v>49586.615999999987</v>
      </c>
      <c r="BA147" s="145">
        <f t="shared" si="79"/>
        <v>-19</v>
      </c>
      <c r="BB147" s="149">
        <f t="shared" si="66"/>
        <v>4.9586615999999986E-2</v>
      </c>
      <c r="BC147" s="97">
        <v>19</v>
      </c>
      <c r="BD147" s="111">
        <f t="shared" si="69"/>
        <v>49586.615999999987</v>
      </c>
      <c r="BE147" s="111">
        <f t="shared" si="67"/>
        <v>942145.70399999979</v>
      </c>
      <c r="BW147" s="97" t="s">
        <v>619</v>
      </c>
    </row>
    <row r="148" spans="2:75">
      <c r="B148" s="98">
        <v>2006</v>
      </c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>
        <f>AD$114</f>
        <v>133766</v>
      </c>
      <c r="AE148" s="102">
        <f t="shared" ref="AE148:AV148" si="96">$AD148*E$40</f>
        <v>133498.46799999999</v>
      </c>
      <c r="AF148" s="102">
        <f t="shared" si="96"/>
        <v>133230.93599999999</v>
      </c>
      <c r="AG148" s="102">
        <f t="shared" si="96"/>
        <v>132963.40400000001</v>
      </c>
      <c r="AH148" s="102">
        <f t="shared" si="96"/>
        <v>132695.872</v>
      </c>
      <c r="AI148" s="102">
        <f t="shared" si="96"/>
        <v>132428.34</v>
      </c>
      <c r="AJ148" s="102">
        <f t="shared" si="96"/>
        <v>131625.74400000001</v>
      </c>
      <c r="AK148" s="102">
        <f t="shared" si="96"/>
        <v>130823.148</v>
      </c>
      <c r="AL148" s="102">
        <f t="shared" si="96"/>
        <v>130020.552</v>
      </c>
      <c r="AM148" s="103">
        <f t="shared" si="96"/>
        <v>129217.95599999999</v>
      </c>
      <c r="AN148" s="148">
        <f t="shared" si="96"/>
        <v>128415.36</v>
      </c>
      <c r="AO148" s="148">
        <f t="shared" si="96"/>
        <v>125472.50799999999</v>
      </c>
      <c r="AP148" s="148">
        <f t="shared" si="96"/>
        <v>122529.65599999999</v>
      </c>
      <c r="AQ148" s="148">
        <f t="shared" si="96"/>
        <v>119586.80399999999</v>
      </c>
      <c r="AR148" s="148">
        <f t="shared" si="96"/>
        <v>116643.95199999999</v>
      </c>
      <c r="AS148" s="148">
        <f t="shared" si="96"/>
        <v>113701.09999999999</v>
      </c>
      <c r="AT148" s="148">
        <f t="shared" si="96"/>
        <v>108885.52399999999</v>
      </c>
      <c r="AU148" s="148">
        <f t="shared" si="96"/>
        <v>104069.94799999999</v>
      </c>
      <c r="AV148" s="148">
        <f t="shared" si="96"/>
        <v>99254.371999999988</v>
      </c>
      <c r="BA148" s="145">
        <f t="shared" si="79"/>
        <v>-18</v>
      </c>
      <c r="BB148" s="149">
        <f t="shared" si="66"/>
        <v>9.9254371999999993E-2</v>
      </c>
      <c r="BC148" s="97">
        <v>18</v>
      </c>
      <c r="BD148" s="111">
        <f t="shared" si="69"/>
        <v>99254.371999999988</v>
      </c>
      <c r="BE148" s="111">
        <f t="shared" si="67"/>
        <v>1786578.6959999998</v>
      </c>
      <c r="BW148" s="97" t="s">
        <v>619</v>
      </c>
    </row>
    <row r="149" spans="2:75">
      <c r="B149" s="98">
        <v>2007</v>
      </c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>
        <f>AE$114</f>
        <v>156696</v>
      </c>
      <c r="AF149" s="102">
        <f t="shared" ref="AF149:AV149" si="97">$AE149*E$40</f>
        <v>156382.60800000001</v>
      </c>
      <c r="AG149" s="102">
        <f t="shared" si="97"/>
        <v>156069.21599999999</v>
      </c>
      <c r="AH149" s="102">
        <f t="shared" si="97"/>
        <v>155755.82399999999</v>
      </c>
      <c r="AI149" s="102">
        <f t="shared" si="97"/>
        <v>155442.432</v>
      </c>
      <c r="AJ149" s="102">
        <f t="shared" si="97"/>
        <v>155129.04</v>
      </c>
      <c r="AK149" s="102">
        <f t="shared" si="97"/>
        <v>154188.864</v>
      </c>
      <c r="AL149" s="102">
        <f t="shared" si="97"/>
        <v>153248.68799999999</v>
      </c>
      <c r="AM149" s="103">
        <f t="shared" si="97"/>
        <v>152308.51199999999</v>
      </c>
      <c r="AN149" s="148">
        <f t="shared" si="97"/>
        <v>151368.33599999998</v>
      </c>
      <c r="AO149" s="148">
        <f t="shared" si="97"/>
        <v>150428.16</v>
      </c>
      <c r="AP149" s="148">
        <f t="shared" si="97"/>
        <v>146980.848</v>
      </c>
      <c r="AQ149" s="148">
        <f t="shared" si="97"/>
        <v>143533.53599999999</v>
      </c>
      <c r="AR149" s="148">
        <f t="shared" si="97"/>
        <v>140086.22399999999</v>
      </c>
      <c r="AS149" s="148">
        <f t="shared" si="97"/>
        <v>136638.91199999998</v>
      </c>
      <c r="AT149" s="148">
        <f t="shared" si="97"/>
        <v>133191.6</v>
      </c>
      <c r="AU149" s="148">
        <f t="shared" si="97"/>
        <v>127550.54399999999</v>
      </c>
      <c r="AV149" s="148">
        <f t="shared" si="97"/>
        <v>121909.48799999998</v>
      </c>
      <c r="BA149" s="145">
        <f t="shared" si="79"/>
        <v>-17</v>
      </c>
      <c r="BB149" s="149">
        <f t="shared" si="66"/>
        <v>0.12190948799999998</v>
      </c>
      <c r="BC149" s="97">
        <v>17</v>
      </c>
      <c r="BD149" s="111">
        <f t="shared" si="69"/>
        <v>121909.48799999998</v>
      </c>
      <c r="BE149" s="111">
        <f t="shared" si="67"/>
        <v>2072461.2959999996</v>
      </c>
      <c r="BW149" s="97" t="s">
        <v>619</v>
      </c>
    </row>
    <row r="150" spans="2:75">
      <c r="B150" s="98">
        <v>2008</v>
      </c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>
        <f>AF$114</f>
        <v>201068</v>
      </c>
      <c r="AG150" s="102">
        <f t="shared" ref="AG150:AV150" si="98">$AF150*E$40</f>
        <v>200665.864</v>
      </c>
      <c r="AH150" s="102">
        <f t="shared" si="98"/>
        <v>200263.728</v>
      </c>
      <c r="AI150" s="102">
        <f t="shared" si="98"/>
        <v>199861.592</v>
      </c>
      <c r="AJ150" s="102">
        <f t="shared" si="98"/>
        <v>199459.45600000001</v>
      </c>
      <c r="AK150" s="102">
        <f t="shared" si="98"/>
        <v>199057.32</v>
      </c>
      <c r="AL150" s="102">
        <f t="shared" si="98"/>
        <v>197850.91200000001</v>
      </c>
      <c r="AM150" s="103">
        <f t="shared" si="98"/>
        <v>196644.50399999999</v>
      </c>
      <c r="AN150" s="148">
        <f t="shared" si="98"/>
        <v>195438.09599999999</v>
      </c>
      <c r="AO150" s="148">
        <f t="shared" si="98"/>
        <v>194231.68799999999</v>
      </c>
      <c r="AP150" s="148">
        <f t="shared" si="98"/>
        <v>193025.28</v>
      </c>
      <c r="AQ150" s="148">
        <f t="shared" si="98"/>
        <v>188601.78399999999</v>
      </c>
      <c r="AR150" s="148">
        <f t="shared" si="98"/>
        <v>184178.28799999997</v>
      </c>
      <c r="AS150" s="148">
        <f t="shared" si="98"/>
        <v>179754.79199999999</v>
      </c>
      <c r="AT150" s="148">
        <f t="shared" si="98"/>
        <v>175331.29599999997</v>
      </c>
      <c r="AU150" s="148">
        <f t="shared" si="98"/>
        <v>170907.8</v>
      </c>
      <c r="AV150" s="148">
        <f t="shared" si="98"/>
        <v>163669.35199999998</v>
      </c>
      <c r="BA150" s="145">
        <f t="shared" si="79"/>
        <v>-16</v>
      </c>
      <c r="BB150" s="149">
        <f t="shared" si="66"/>
        <v>0.16366935199999999</v>
      </c>
      <c r="BC150" s="97">
        <v>16</v>
      </c>
      <c r="BD150" s="111">
        <f t="shared" si="69"/>
        <v>163669.35199999998</v>
      </c>
      <c r="BE150" s="111">
        <f t="shared" si="67"/>
        <v>2618709.6319999998</v>
      </c>
      <c r="BW150" s="97" t="s">
        <v>619</v>
      </c>
    </row>
    <row r="151" spans="2:75">
      <c r="B151" s="98">
        <v>2009</v>
      </c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>
        <f>AG$114</f>
        <v>118180</v>
      </c>
      <c r="AH151" s="102">
        <f t="shared" ref="AH151:AV151" si="99">$AG151*E$40</f>
        <v>117943.64</v>
      </c>
      <c r="AI151" s="102">
        <f t="shared" si="99"/>
        <v>117707.28</v>
      </c>
      <c r="AJ151" s="102">
        <f t="shared" si="99"/>
        <v>117470.92</v>
      </c>
      <c r="AK151" s="102">
        <f t="shared" si="99"/>
        <v>117234.56</v>
      </c>
      <c r="AL151" s="102">
        <f t="shared" si="99"/>
        <v>116998.2</v>
      </c>
      <c r="AM151" s="103">
        <f t="shared" si="99"/>
        <v>116289.12</v>
      </c>
      <c r="AN151" s="148">
        <f t="shared" si="99"/>
        <v>115580.04</v>
      </c>
      <c r="AO151" s="148">
        <f t="shared" si="99"/>
        <v>114870.95999999999</v>
      </c>
      <c r="AP151" s="148">
        <f t="shared" si="99"/>
        <v>114161.87999999999</v>
      </c>
      <c r="AQ151" s="148">
        <f t="shared" si="99"/>
        <v>113452.8</v>
      </c>
      <c r="AR151" s="148">
        <f t="shared" si="99"/>
        <v>110852.84</v>
      </c>
      <c r="AS151" s="148">
        <f t="shared" si="99"/>
        <v>108252.87999999999</v>
      </c>
      <c r="AT151" s="148">
        <f t="shared" si="99"/>
        <v>105652.91999999998</v>
      </c>
      <c r="AU151" s="148">
        <f t="shared" si="99"/>
        <v>103052.95999999999</v>
      </c>
      <c r="AV151" s="148">
        <f t="shared" si="99"/>
        <v>100453</v>
      </c>
      <c r="BA151" s="145">
        <f t="shared" si="79"/>
        <v>-15</v>
      </c>
      <c r="BB151" s="149">
        <f t="shared" si="66"/>
        <v>0.100453</v>
      </c>
      <c r="BC151" s="97">
        <v>15</v>
      </c>
      <c r="BD151" s="111">
        <f t="shared" si="69"/>
        <v>100453</v>
      </c>
      <c r="BE151" s="111">
        <f t="shared" si="67"/>
        <v>1506795</v>
      </c>
      <c r="BW151" s="97" t="s">
        <v>619</v>
      </c>
    </row>
    <row r="152" spans="2:75">
      <c r="B152" s="98">
        <v>2010</v>
      </c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>
        <f>AH$114</f>
        <v>-44108</v>
      </c>
      <c r="AI152" s="150">
        <f t="shared" ref="AI152:AV152" si="100">$AH152</f>
        <v>-44108</v>
      </c>
      <c r="AJ152" s="150">
        <f t="shared" si="100"/>
        <v>-44108</v>
      </c>
      <c r="AK152" s="150">
        <f t="shared" si="100"/>
        <v>-44108</v>
      </c>
      <c r="AL152" s="150">
        <f t="shared" si="100"/>
        <v>-44108</v>
      </c>
      <c r="AM152" s="103">
        <f t="shared" si="100"/>
        <v>-44108</v>
      </c>
      <c r="AN152" s="151">
        <f t="shared" si="100"/>
        <v>-44108</v>
      </c>
      <c r="AO152" s="151">
        <f t="shared" si="100"/>
        <v>-44108</v>
      </c>
      <c r="AP152" s="151">
        <f t="shared" si="100"/>
        <v>-44108</v>
      </c>
      <c r="AQ152" s="151">
        <f t="shared" si="100"/>
        <v>-44108</v>
      </c>
      <c r="AR152" s="151">
        <f t="shared" si="100"/>
        <v>-44108</v>
      </c>
      <c r="AS152" s="151">
        <f t="shared" si="100"/>
        <v>-44108</v>
      </c>
      <c r="AT152" s="151">
        <f t="shared" si="100"/>
        <v>-44108</v>
      </c>
      <c r="AU152" s="151">
        <f t="shared" si="100"/>
        <v>-44108</v>
      </c>
      <c r="AV152" s="151">
        <f t="shared" si="100"/>
        <v>-44108</v>
      </c>
      <c r="BA152" s="145">
        <f t="shared" si="79"/>
        <v>-14</v>
      </c>
      <c r="BB152" s="149">
        <f t="shared" si="66"/>
        <v>0</v>
      </c>
      <c r="BC152" s="97">
        <v>14</v>
      </c>
      <c r="BD152" s="111">
        <f t="shared" si="69"/>
        <v>-44108</v>
      </c>
      <c r="BE152" s="111">
        <f t="shared" si="67"/>
        <v>-617512</v>
      </c>
      <c r="BW152" s="97" t="s">
        <v>619</v>
      </c>
    </row>
    <row r="153" spans="2:75">
      <c r="B153" s="98">
        <v>2011</v>
      </c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>
        <f>AI$114</f>
        <v>158977</v>
      </c>
      <c r="AJ153" s="102">
        <f t="shared" ref="AJ153:AV153" si="101">$AI153*E$40</f>
        <v>158659.046</v>
      </c>
      <c r="AK153" s="102">
        <f t="shared" si="101"/>
        <v>158341.092</v>
      </c>
      <c r="AL153" s="102">
        <f t="shared" si="101"/>
        <v>158023.13800000001</v>
      </c>
      <c r="AM153" s="103">
        <f t="shared" si="101"/>
        <v>157705.18400000001</v>
      </c>
      <c r="AN153" s="148">
        <f t="shared" si="101"/>
        <v>157387.23000000001</v>
      </c>
      <c r="AO153" s="148">
        <f t="shared" si="101"/>
        <v>156433.36799999999</v>
      </c>
      <c r="AP153" s="148">
        <f t="shared" si="101"/>
        <v>155479.50599999999</v>
      </c>
      <c r="AQ153" s="148">
        <f t="shared" si="101"/>
        <v>154525.644</v>
      </c>
      <c r="AR153" s="148">
        <f t="shared" si="101"/>
        <v>153571.78200000001</v>
      </c>
      <c r="AS153" s="148">
        <f t="shared" si="101"/>
        <v>152617.91999999998</v>
      </c>
      <c r="AT153" s="148">
        <f t="shared" si="101"/>
        <v>149120.42599999998</v>
      </c>
      <c r="AU153" s="148">
        <f t="shared" si="101"/>
        <v>145622.932</v>
      </c>
      <c r="AV153" s="148">
        <f t="shared" si="101"/>
        <v>142125.43799999999</v>
      </c>
      <c r="BA153" s="145">
        <f t="shared" si="79"/>
        <v>-13</v>
      </c>
      <c r="BB153" s="149">
        <f t="shared" si="66"/>
        <v>0.14212543799999999</v>
      </c>
      <c r="BC153" s="97">
        <v>13</v>
      </c>
      <c r="BD153" s="111">
        <f t="shared" si="69"/>
        <v>142125.43799999999</v>
      </c>
      <c r="BE153" s="111">
        <f t="shared" si="67"/>
        <v>1847630.6939999999</v>
      </c>
      <c r="BW153" s="97" t="s">
        <v>619</v>
      </c>
    </row>
    <row r="154" spans="2:75">
      <c r="B154" s="98">
        <v>2012</v>
      </c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>
        <f>AJ$114</f>
        <v>269106</v>
      </c>
      <c r="AK154" s="102">
        <f t="shared" ref="AK154:AV154" si="102">$AJ154*E$40</f>
        <v>268567.788</v>
      </c>
      <c r="AL154" s="102">
        <f t="shared" si="102"/>
        <v>268029.576</v>
      </c>
      <c r="AM154" s="103">
        <f t="shared" si="102"/>
        <v>267491.364</v>
      </c>
      <c r="AN154" s="148">
        <f t="shared" si="102"/>
        <v>266953.152</v>
      </c>
      <c r="AO154" s="148">
        <f t="shared" si="102"/>
        <v>266414.94</v>
      </c>
      <c r="AP154" s="148">
        <f t="shared" si="102"/>
        <v>264800.304</v>
      </c>
      <c r="AQ154" s="148">
        <f t="shared" si="102"/>
        <v>263185.66800000001</v>
      </c>
      <c r="AR154" s="148">
        <f t="shared" si="102"/>
        <v>261571.03200000001</v>
      </c>
      <c r="AS154" s="148">
        <f t="shared" si="102"/>
        <v>259956.39599999998</v>
      </c>
      <c r="AT154" s="148">
        <f t="shared" si="102"/>
        <v>258341.75999999998</v>
      </c>
      <c r="AU154" s="148">
        <f t="shared" si="102"/>
        <v>252421.42799999999</v>
      </c>
      <c r="AV154" s="148">
        <f t="shared" si="102"/>
        <v>246501.09599999999</v>
      </c>
      <c r="BA154" s="145">
        <f t="shared" si="79"/>
        <v>-12</v>
      </c>
      <c r="BB154" s="149">
        <f t="shared" si="66"/>
        <v>0.246501096</v>
      </c>
      <c r="BC154" s="97">
        <v>12</v>
      </c>
      <c r="BD154" s="111">
        <f t="shared" si="69"/>
        <v>246501.09599999999</v>
      </c>
      <c r="BE154" s="111">
        <f t="shared" si="67"/>
        <v>2958013.1519999998</v>
      </c>
      <c r="BW154" s="97" t="s">
        <v>619</v>
      </c>
    </row>
    <row r="155" spans="2:75">
      <c r="B155" s="98">
        <v>2013</v>
      </c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>
        <f>AK$114</f>
        <v>291413</v>
      </c>
      <c r="AL155" s="102">
        <f t="shared" ref="AL155:AV155" si="103">$AK155*E$40</f>
        <v>290830.174</v>
      </c>
      <c r="AM155" s="103">
        <f t="shared" si="103"/>
        <v>290247.348</v>
      </c>
      <c r="AN155" s="148">
        <f t="shared" si="103"/>
        <v>289664.522</v>
      </c>
      <c r="AO155" s="148">
        <f t="shared" si="103"/>
        <v>289081.696</v>
      </c>
      <c r="AP155" s="148">
        <f t="shared" si="103"/>
        <v>288498.87</v>
      </c>
      <c r="AQ155" s="148">
        <f t="shared" si="103"/>
        <v>286750.39199999999</v>
      </c>
      <c r="AR155" s="148">
        <f t="shared" si="103"/>
        <v>285001.91399999999</v>
      </c>
      <c r="AS155" s="148">
        <f t="shared" si="103"/>
        <v>283253.43599999999</v>
      </c>
      <c r="AT155" s="148">
        <f t="shared" si="103"/>
        <v>281504.95799999998</v>
      </c>
      <c r="AU155" s="148">
        <f t="shared" si="103"/>
        <v>279756.48</v>
      </c>
      <c r="AV155" s="148">
        <f t="shared" si="103"/>
        <v>273345.39399999997</v>
      </c>
      <c r="BA155" s="145">
        <f t="shared" si="79"/>
        <v>-11</v>
      </c>
      <c r="BB155" s="149">
        <f t="shared" si="66"/>
        <v>0.27334539399999996</v>
      </c>
      <c r="BC155" s="97">
        <v>11</v>
      </c>
      <c r="BD155" s="111">
        <f t="shared" si="69"/>
        <v>273345.39399999997</v>
      </c>
      <c r="BE155" s="111">
        <f t="shared" si="67"/>
        <v>3006799.3339999998</v>
      </c>
      <c r="BW155" s="97" t="s">
        <v>619</v>
      </c>
    </row>
    <row r="156" spans="2:75">
      <c r="B156" s="98">
        <v>2014</v>
      </c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>
        <f>AL$114</f>
        <v>397922</v>
      </c>
      <c r="AM156" s="103">
        <f t="shared" ref="AM156:AV156" si="104">$AL156*E$40</f>
        <v>397126.15600000002</v>
      </c>
      <c r="AN156" s="148">
        <f t="shared" si="104"/>
        <v>396330.31199999998</v>
      </c>
      <c r="AO156" s="148">
        <f t="shared" si="104"/>
        <v>395534.46799999999</v>
      </c>
      <c r="AP156" s="148">
        <f t="shared" si="104"/>
        <v>394738.62400000001</v>
      </c>
      <c r="AQ156" s="148">
        <f t="shared" si="104"/>
        <v>393942.77999999997</v>
      </c>
      <c r="AR156" s="148">
        <f t="shared" si="104"/>
        <v>391555.24800000002</v>
      </c>
      <c r="AS156" s="148">
        <f t="shared" si="104"/>
        <v>389167.71600000001</v>
      </c>
      <c r="AT156" s="148">
        <f t="shared" si="104"/>
        <v>386780.18400000001</v>
      </c>
      <c r="AU156" s="148">
        <f t="shared" si="104"/>
        <v>384392.652</v>
      </c>
      <c r="AV156" s="148">
        <f t="shared" si="104"/>
        <v>382005.12</v>
      </c>
      <c r="BA156" s="145">
        <f t="shared" si="79"/>
        <v>-10</v>
      </c>
      <c r="BB156" s="149">
        <f t="shared" si="66"/>
        <v>0.38200511999999998</v>
      </c>
      <c r="BC156" s="97">
        <v>10</v>
      </c>
      <c r="BD156" s="111">
        <f t="shared" si="69"/>
        <v>382005.12</v>
      </c>
      <c r="BE156" s="111">
        <f t="shared" si="67"/>
        <v>3820051.2</v>
      </c>
      <c r="BW156" s="97" t="s">
        <v>619</v>
      </c>
    </row>
    <row r="157" spans="2:75">
      <c r="B157" s="98">
        <v>2015</v>
      </c>
      <c r="AM157" s="103">
        <f>AM$114</f>
        <v>365701</v>
      </c>
      <c r="AN157" s="148">
        <f>$AM157*E$40</f>
        <v>364969.598</v>
      </c>
      <c r="AO157" s="148">
        <f>$AM157*F$40</f>
        <v>364238.196</v>
      </c>
      <c r="AP157" s="148">
        <f>$AM157*G$40</f>
        <v>363506.79399999999</v>
      </c>
      <c r="AQ157" s="148">
        <f>$AM157*H$40</f>
        <v>362775.39199999999</v>
      </c>
      <c r="AR157" s="148">
        <f>$AM157*I$40</f>
        <v>362043.99</v>
      </c>
      <c r="AS157" s="148">
        <f t="shared" ref="AS157:AV157" si="105">$AM157*J$40</f>
        <v>359849.78399999999</v>
      </c>
      <c r="AT157" s="148">
        <f t="shared" si="105"/>
        <v>357655.57799999998</v>
      </c>
      <c r="AU157" s="148">
        <f t="shared" si="105"/>
        <v>355461.37199999997</v>
      </c>
      <c r="AV157" s="148">
        <f t="shared" si="105"/>
        <v>353267.16599999997</v>
      </c>
      <c r="BA157" s="145">
        <f t="shared" si="79"/>
        <v>-9</v>
      </c>
      <c r="BB157" s="149">
        <f t="shared" si="66"/>
        <v>0.35326716599999997</v>
      </c>
      <c r="BC157" s="97">
        <v>9</v>
      </c>
      <c r="BD157" s="111">
        <f t="shared" si="69"/>
        <v>353267.16599999997</v>
      </c>
      <c r="BE157" s="111">
        <f t="shared" si="67"/>
        <v>3179404.4939999999</v>
      </c>
      <c r="BW157" s="97" t="s">
        <v>619</v>
      </c>
    </row>
    <row r="158" spans="2:75">
      <c r="B158" s="98">
        <v>2016</v>
      </c>
      <c r="AN158" s="148">
        <f>AN$114</f>
        <v>400313</v>
      </c>
      <c r="AO158" s="148">
        <f>$AN158*E$40</f>
        <v>399512.37400000001</v>
      </c>
      <c r="AP158" s="148">
        <f>$AN158*F$40</f>
        <v>398711.74800000002</v>
      </c>
      <c r="AQ158" s="148">
        <f>$AN158*G$40</f>
        <v>397911.12199999997</v>
      </c>
      <c r="AR158" s="148">
        <f>$AN158*H$40</f>
        <v>397110.49599999998</v>
      </c>
      <c r="AS158" s="148">
        <f t="shared" ref="AS158:AV158" si="106">$AN158*I$40</f>
        <v>396309.87</v>
      </c>
      <c r="AT158" s="148">
        <f t="shared" si="106"/>
        <v>393907.99199999997</v>
      </c>
      <c r="AU158" s="148">
        <f t="shared" si="106"/>
        <v>391506.114</v>
      </c>
      <c r="AV158" s="148">
        <f t="shared" si="106"/>
        <v>389104.23599999998</v>
      </c>
      <c r="BA158" s="145">
        <f t="shared" si="79"/>
        <v>-8</v>
      </c>
      <c r="BB158" s="149">
        <f t="shared" si="66"/>
        <v>0.38910423599999999</v>
      </c>
      <c r="BC158" s="97">
        <v>8</v>
      </c>
      <c r="BD158" s="111">
        <f t="shared" si="69"/>
        <v>389104.23599999998</v>
      </c>
      <c r="BE158" s="97">
        <f t="shared" si="67"/>
        <v>3112833.8879999998</v>
      </c>
      <c r="BW158" s="97" t="s">
        <v>619</v>
      </c>
    </row>
    <row r="159" spans="2:75">
      <c r="B159" s="98">
        <v>2017</v>
      </c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N159" s="102"/>
      <c r="AO159" s="148">
        <f>AO$114</f>
        <v>536825</v>
      </c>
      <c r="AP159" s="148">
        <f>$AO159*E$40</f>
        <v>535751.35</v>
      </c>
      <c r="AQ159" s="148">
        <f>$AO159*F$40</f>
        <v>534677.69999999995</v>
      </c>
      <c r="AR159" s="148">
        <f>$AO159*G$40</f>
        <v>533604.05000000005</v>
      </c>
      <c r="AS159" s="148">
        <f t="shared" ref="AS159:AV159" si="107">$AO159*H$40</f>
        <v>532530.4</v>
      </c>
      <c r="AT159" s="148">
        <f t="shared" si="107"/>
        <v>531456.75</v>
      </c>
      <c r="AU159" s="148">
        <f t="shared" si="107"/>
        <v>528235.80000000005</v>
      </c>
      <c r="AV159" s="148">
        <f t="shared" si="107"/>
        <v>525014.85</v>
      </c>
      <c r="BA159" s="145">
        <f t="shared" si="79"/>
        <v>-7</v>
      </c>
      <c r="BB159" s="149">
        <f t="shared" si="66"/>
        <v>0.52501484999999992</v>
      </c>
      <c r="BC159" s="97">
        <v>7</v>
      </c>
      <c r="BD159" s="111">
        <f t="shared" si="69"/>
        <v>525014.85</v>
      </c>
      <c r="BE159" s="97">
        <f t="shared" si="67"/>
        <v>3675103.9499999997</v>
      </c>
    </row>
    <row r="160" spans="2:75">
      <c r="B160" s="98">
        <v>2018</v>
      </c>
      <c r="AO160" s="152"/>
      <c r="AP160" s="148">
        <f>AP$114</f>
        <v>560966</v>
      </c>
      <c r="AQ160" s="148">
        <f>$AP160*E$40</f>
        <v>559844.06799999997</v>
      </c>
      <c r="AR160" s="148">
        <f>$AP160*F$40</f>
        <v>558722.13599999994</v>
      </c>
      <c r="AS160" s="148">
        <f t="shared" ref="AS160:AV160" si="108">$AP160*G$40</f>
        <v>557600.20400000003</v>
      </c>
      <c r="AT160" s="148">
        <f t="shared" si="108"/>
        <v>556478.272</v>
      </c>
      <c r="AU160" s="148">
        <f t="shared" si="108"/>
        <v>555356.34</v>
      </c>
      <c r="AV160" s="148">
        <f t="shared" si="108"/>
        <v>551990.54399999999</v>
      </c>
      <c r="BA160" s="145">
        <f t="shared" si="79"/>
        <v>-6</v>
      </c>
      <c r="BB160" s="149">
        <f t="shared" si="66"/>
        <v>0.55199054400000003</v>
      </c>
      <c r="BC160" s="97">
        <v>6</v>
      </c>
      <c r="BD160" s="111">
        <f t="shared" si="69"/>
        <v>551990.54399999999</v>
      </c>
      <c r="BE160" s="97">
        <f t="shared" si="67"/>
        <v>3311943.264</v>
      </c>
    </row>
    <row r="161" spans="2:75">
      <c r="B161" s="98">
        <v>2019</v>
      </c>
      <c r="AO161" s="152"/>
      <c r="AP161" s="152"/>
      <c r="AQ161" s="148">
        <f>AQ$114</f>
        <v>481609</v>
      </c>
      <c r="AR161" s="148">
        <f>$AQ161*E$40</f>
        <v>480645.78200000001</v>
      </c>
      <c r="AS161" s="148">
        <f t="shared" ref="AS161:AV161" si="109">$AQ161*F$40</f>
        <v>479682.56400000001</v>
      </c>
      <c r="AT161" s="148">
        <f t="shared" si="109"/>
        <v>478719.34600000002</v>
      </c>
      <c r="AU161" s="148">
        <f t="shared" si="109"/>
        <v>477756.12799999997</v>
      </c>
      <c r="AV161" s="148">
        <f t="shared" si="109"/>
        <v>476792.91</v>
      </c>
      <c r="BA161" s="145">
        <f t="shared" si="79"/>
        <v>-5</v>
      </c>
      <c r="BB161" s="149">
        <f t="shared" si="66"/>
        <v>0.47679290999999996</v>
      </c>
      <c r="BC161" s="97">
        <v>5</v>
      </c>
      <c r="BD161" s="111">
        <f t="shared" si="69"/>
        <v>476792.91</v>
      </c>
      <c r="BE161" s="97">
        <f t="shared" si="67"/>
        <v>2383964.5499999998</v>
      </c>
    </row>
    <row r="162" spans="2:75">
      <c r="B162" s="98">
        <v>2020</v>
      </c>
      <c r="C162" s="97" t="s">
        <v>619</v>
      </c>
      <c r="D162" s="97" t="s">
        <v>619</v>
      </c>
      <c r="E162" s="97" t="s">
        <v>619</v>
      </c>
      <c r="F162" s="97" t="s">
        <v>619</v>
      </c>
      <c r="G162" s="97" t="s">
        <v>619</v>
      </c>
      <c r="H162" s="97" t="s">
        <v>619</v>
      </c>
      <c r="I162" s="97" t="s">
        <v>619</v>
      </c>
      <c r="J162" s="97" t="s">
        <v>619</v>
      </c>
      <c r="K162" s="97" t="s">
        <v>619</v>
      </c>
      <c r="L162" s="97" t="s">
        <v>619</v>
      </c>
      <c r="M162" s="97" t="s">
        <v>619</v>
      </c>
      <c r="N162" s="97" t="s">
        <v>619</v>
      </c>
      <c r="O162" s="97" t="s">
        <v>619</v>
      </c>
      <c r="P162" s="97" t="s">
        <v>619</v>
      </c>
      <c r="Q162" s="97" t="s">
        <v>619</v>
      </c>
      <c r="R162" s="97" t="s">
        <v>619</v>
      </c>
      <c r="S162" s="97" t="s">
        <v>619</v>
      </c>
      <c r="T162" s="97" t="s">
        <v>619</v>
      </c>
      <c r="U162" s="97" t="s">
        <v>619</v>
      </c>
      <c r="V162" s="97" t="s">
        <v>619</v>
      </c>
      <c r="W162" s="97" t="s">
        <v>619</v>
      </c>
      <c r="X162" s="97" t="s">
        <v>619</v>
      </c>
      <c r="Y162" s="97" t="s">
        <v>619</v>
      </c>
      <c r="Z162" s="97" t="s">
        <v>619</v>
      </c>
      <c r="AA162" s="97" t="s">
        <v>619</v>
      </c>
      <c r="AB162" s="97" t="s">
        <v>619</v>
      </c>
      <c r="AC162" s="97" t="s">
        <v>619</v>
      </c>
      <c r="AD162" s="97" t="s">
        <v>619</v>
      </c>
      <c r="AE162" s="97" t="s">
        <v>619</v>
      </c>
      <c r="AF162" s="97" t="s">
        <v>619</v>
      </c>
      <c r="AG162" s="97" t="s">
        <v>619</v>
      </c>
      <c r="AH162" s="97" t="s">
        <v>619</v>
      </c>
      <c r="AI162" s="97" t="s">
        <v>619</v>
      </c>
      <c r="AJ162" s="97" t="s">
        <v>619</v>
      </c>
      <c r="AK162" s="97" t="s">
        <v>619</v>
      </c>
      <c r="AL162" s="97" t="s">
        <v>619</v>
      </c>
      <c r="AM162" s="97" t="s">
        <v>619</v>
      </c>
      <c r="AN162" s="97" t="s">
        <v>619</v>
      </c>
      <c r="AO162" s="152" t="s">
        <v>619</v>
      </c>
      <c r="AP162" s="152" t="s">
        <v>619</v>
      </c>
      <c r="AQ162" s="152" t="s">
        <v>619</v>
      </c>
      <c r="AR162" s="148">
        <f>AR$114</f>
        <v>709470</v>
      </c>
      <c r="AS162" s="148">
        <f t="shared" ref="AS162:AV162" si="110">$AR162*F$40</f>
        <v>706632.12</v>
      </c>
      <c r="AT162" s="148">
        <f t="shared" si="110"/>
        <v>705213.18</v>
      </c>
      <c r="AU162" s="148">
        <f t="shared" si="110"/>
        <v>703794.24</v>
      </c>
      <c r="AV162" s="148">
        <f t="shared" si="110"/>
        <v>702375.3</v>
      </c>
      <c r="BA162" s="145">
        <f t="shared" si="79"/>
        <v>-4</v>
      </c>
      <c r="BB162" s="149">
        <f t="shared" si="66"/>
        <v>0.70237530000000004</v>
      </c>
      <c r="BC162" s="97">
        <v>4</v>
      </c>
      <c r="BD162" s="111">
        <f t="shared" si="69"/>
        <v>702375.3</v>
      </c>
      <c r="BE162" s="97">
        <f t="shared" si="67"/>
        <v>2809501.2</v>
      </c>
    </row>
    <row r="163" spans="2:75">
      <c r="B163" s="98">
        <v>2021</v>
      </c>
      <c r="AO163" s="152"/>
      <c r="AP163" s="152"/>
      <c r="AQ163" s="152"/>
      <c r="AR163" s="148"/>
      <c r="AS163" s="148">
        <f>AS$114</f>
        <v>494588</v>
      </c>
      <c r="AT163" s="148">
        <f t="shared" ref="AT163:AV163" si="111">$AS163*G$40</f>
        <v>491620.47200000001</v>
      </c>
      <c r="AU163" s="148">
        <f t="shared" si="111"/>
        <v>490631.29599999997</v>
      </c>
      <c r="AV163" s="148">
        <f t="shared" si="111"/>
        <v>489642.12</v>
      </c>
      <c r="BA163" s="145">
        <f t="shared" si="79"/>
        <v>-3</v>
      </c>
      <c r="BB163" s="149">
        <f t="shared" si="66"/>
        <v>0.48964212000000001</v>
      </c>
      <c r="BC163" s="97">
        <v>3</v>
      </c>
      <c r="BD163" s="111">
        <f t="shared" si="69"/>
        <v>489642.12</v>
      </c>
      <c r="BE163" s="97">
        <f t="shared" si="67"/>
        <v>1468926.3599999999</v>
      </c>
    </row>
    <row r="164" spans="2:75">
      <c r="B164" s="98">
        <v>2022</v>
      </c>
      <c r="AO164" s="152"/>
      <c r="AP164" s="152"/>
      <c r="AQ164" s="152"/>
      <c r="AR164" s="148"/>
      <c r="AT164" s="148">
        <f>AT$114</f>
        <v>651963</v>
      </c>
      <c r="AU164" s="148">
        <f t="shared" ref="AU164:AV164" si="112">$AT164*H$40</f>
        <v>646747.29599999997</v>
      </c>
      <c r="AV164" s="148">
        <f t="shared" si="112"/>
        <v>645443.37</v>
      </c>
      <c r="BA164" s="145">
        <f t="shared" si="79"/>
        <v>-2</v>
      </c>
      <c r="BB164" s="149">
        <f t="shared" si="66"/>
        <v>0.64544336999999996</v>
      </c>
      <c r="BC164" s="97">
        <v>2</v>
      </c>
      <c r="BD164" s="111">
        <f t="shared" si="69"/>
        <v>645443.37</v>
      </c>
      <c r="BE164" s="97">
        <f t="shared" si="67"/>
        <v>1290886.74</v>
      </c>
    </row>
    <row r="165" spans="2:75">
      <c r="B165" s="98">
        <v>2023</v>
      </c>
      <c r="AO165" s="152"/>
      <c r="AP165" s="152"/>
      <c r="AQ165" s="152"/>
      <c r="AR165" s="148"/>
      <c r="AU165" s="148">
        <f>AU$114</f>
        <v>876265</v>
      </c>
      <c r="AV165" s="148">
        <f>$AU165*I$40</f>
        <v>867502.35</v>
      </c>
      <c r="BA165" s="145">
        <f t="shared" si="79"/>
        <v>-1</v>
      </c>
      <c r="BB165" s="149">
        <f t="shared" si="66"/>
        <v>0.86750234999999998</v>
      </c>
      <c r="BC165" s="97">
        <v>1</v>
      </c>
      <c r="BD165" s="111">
        <f t="shared" si="69"/>
        <v>867502.35</v>
      </c>
      <c r="BE165" s="97">
        <f t="shared" si="67"/>
        <v>867502.35</v>
      </c>
    </row>
    <row r="166" spans="2:75">
      <c r="B166" s="98">
        <v>2024</v>
      </c>
      <c r="AO166" s="152"/>
      <c r="AP166" s="152"/>
      <c r="AQ166" s="152"/>
      <c r="AR166" s="148"/>
      <c r="AV166" s="148">
        <f>AV$114</f>
        <v>958021.48859248124</v>
      </c>
      <c r="BA166" s="145">
        <f t="shared" si="79"/>
        <v>0</v>
      </c>
      <c r="BB166" s="149">
        <f t="shared" si="66"/>
        <v>0.95802148859248126</v>
      </c>
      <c r="BC166" s="97">
        <v>0</v>
      </c>
      <c r="BD166" s="111">
        <f t="shared" si="69"/>
        <v>958021.48859248124</v>
      </c>
      <c r="BE166" s="97">
        <f t="shared" si="67"/>
        <v>0</v>
      </c>
    </row>
    <row r="167" spans="2:75">
      <c r="B167" s="98"/>
      <c r="AO167" s="152"/>
      <c r="AP167" s="152"/>
      <c r="AQ167" s="152"/>
      <c r="AR167" s="148"/>
    </row>
    <row r="172" spans="2:75">
      <c r="B172" s="168"/>
      <c r="C172" s="168"/>
      <c r="D172" s="168"/>
      <c r="E172" s="168"/>
      <c r="F172" s="168"/>
      <c r="G172" s="168"/>
      <c r="H172" s="168"/>
      <c r="BW172" s="97" t="s">
        <v>619</v>
      </c>
    </row>
    <row r="173" spans="2:75" ht="15.75">
      <c r="B173" s="154" t="s">
        <v>695</v>
      </c>
      <c r="C173" s="114"/>
      <c r="D173" s="155">
        <v>2010</v>
      </c>
      <c r="E173" s="155">
        <v>2020</v>
      </c>
      <c r="F173" s="155">
        <v>2030</v>
      </c>
      <c r="G173" s="155">
        <v>2040</v>
      </c>
      <c r="H173" s="155">
        <v>2050</v>
      </c>
      <c r="BW173" s="97" t="s">
        <v>619</v>
      </c>
    </row>
    <row r="174" spans="2:75">
      <c r="B174" s="155" t="s">
        <v>696</v>
      </c>
      <c r="C174" s="155" t="s">
        <v>631</v>
      </c>
      <c r="D174" s="156">
        <f>AH182/10^6+D176</f>
        <v>0.24043175009134568</v>
      </c>
      <c r="E174" s="156">
        <f>AR182/10^6</f>
        <v>0.28642598374038447</v>
      </c>
      <c r="F174" s="156">
        <f>BB182/10^6</f>
        <v>0.29128630169316538</v>
      </c>
      <c r="G174" s="156">
        <f>BL182/10^6</f>
        <v>0.35172219826794665</v>
      </c>
      <c r="H174" s="156">
        <f>BV182/10^6</f>
        <v>0.41008699857843289</v>
      </c>
      <c r="BW174" s="97" t="s">
        <v>619</v>
      </c>
    </row>
    <row r="175" spans="2:75">
      <c r="B175" s="97" t="s">
        <v>676</v>
      </c>
      <c r="C175" s="97" t="s">
        <v>631</v>
      </c>
      <c r="D175" s="157">
        <f>D174-D176</f>
        <v>0.24013175009134569</v>
      </c>
      <c r="E175" s="157">
        <f>E174-E176</f>
        <v>0.28596770216639983</v>
      </c>
      <c r="F175" s="157">
        <f>F174-F176</f>
        <v>0.29082024361045633</v>
      </c>
      <c r="G175" s="157">
        <f>G174-G176</f>
        <v>0.35115944275071792</v>
      </c>
      <c r="H175" s="157">
        <f>H174-H176</f>
        <v>0.40943085938070739</v>
      </c>
    </row>
    <row r="176" spans="2:75">
      <c r="B176" s="97" t="s">
        <v>171</v>
      </c>
      <c r="C176" s="97" t="s">
        <v>631</v>
      </c>
      <c r="D176" s="97">
        <f>300/10^6</f>
        <v>2.9999999999999997E-4</v>
      </c>
      <c r="E176" s="159">
        <f>E174*E177</f>
        <v>4.5828157398461515E-4</v>
      </c>
      <c r="F176" s="159">
        <f>F174*F177</f>
        <v>4.6605808270906463E-4</v>
      </c>
      <c r="G176" s="159">
        <f>G174*G177</f>
        <v>5.6275551722871468E-4</v>
      </c>
      <c r="H176" s="159">
        <f>H174*H177</f>
        <v>6.5613919772549269E-4</v>
      </c>
    </row>
    <row r="177" spans="2:75">
      <c r="B177" s="97" t="s">
        <v>677</v>
      </c>
      <c r="C177" s="97" t="s">
        <v>639</v>
      </c>
      <c r="D177" s="121">
        <f>D176/D174</f>
        <v>1.247755339658855E-3</v>
      </c>
      <c r="E177" s="160">
        <v>1.6000000000000001E-3</v>
      </c>
      <c r="F177" s="160">
        <f>E177</f>
        <v>1.6000000000000001E-3</v>
      </c>
      <c r="G177" s="160">
        <f>F177</f>
        <v>1.6000000000000001E-3</v>
      </c>
      <c r="H177" s="160">
        <f>G177</f>
        <v>1.6000000000000001E-3</v>
      </c>
      <c r="I177" s="119" t="s">
        <v>697</v>
      </c>
    </row>
    <row r="178" spans="2:75">
      <c r="B178" s="97" t="s">
        <v>698</v>
      </c>
      <c r="C178" s="97" t="s">
        <v>680</v>
      </c>
      <c r="D178" s="102">
        <f>D176*10^6/30</f>
        <v>10</v>
      </c>
      <c r="E178" s="102">
        <f>(E176-D176)*10^6</f>
        <v>158.28157398461519</v>
      </c>
      <c r="F178" s="102">
        <f>(F176-E176)*10^6</f>
        <v>7.7765087244494762</v>
      </c>
      <c r="G178" s="102">
        <f>(G176-F176)*10^6</f>
        <v>96.697434519650045</v>
      </c>
      <c r="H178" s="102">
        <f>(H176-G176)*10^6</f>
        <v>93.383680496778013</v>
      </c>
      <c r="I178" s="119"/>
    </row>
    <row r="179" spans="2:75">
      <c r="B179" s="97" t="s">
        <v>699</v>
      </c>
      <c r="C179" s="97" t="s">
        <v>639</v>
      </c>
      <c r="D179" s="104">
        <f>D178/AJ184</f>
        <v>9.1282519397535371E-4</v>
      </c>
      <c r="E179" s="104">
        <f>E178/AM184</f>
        <v>1.626403349615857E-2</v>
      </c>
      <c r="F179" s="104">
        <f>F178/BB184</f>
        <v>1.2603202966657403E-3</v>
      </c>
      <c r="G179" s="104">
        <f>G178/BL184</f>
        <v>1.5824742619917759E-2</v>
      </c>
      <c r="H179" s="104">
        <f>H178/BV184</f>
        <v>1.6077211247053604E-2</v>
      </c>
      <c r="I179" s="119"/>
    </row>
    <row r="180" spans="2:75">
      <c r="BW180" s="97" t="s">
        <v>619</v>
      </c>
    </row>
    <row r="181" spans="2:75">
      <c r="B181" s="169"/>
      <c r="D181" s="98">
        <v>1980</v>
      </c>
      <c r="E181" s="98">
        <v>1981</v>
      </c>
      <c r="F181" s="98">
        <v>1982</v>
      </c>
      <c r="G181" s="98">
        <v>1983</v>
      </c>
      <c r="H181" s="98">
        <v>1984</v>
      </c>
      <c r="I181" s="98">
        <v>1985</v>
      </c>
      <c r="J181" s="98">
        <v>1986</v>
      </c>
      <c r="K181" s="98">
        <v>1987</v>
      </c>
      <c r="L181" s="98">
        <v>1988</v>
      </c>
      <c r="M181" s="98">
        <v>1989</v>
      </c>
      <c r="N181" s="98">
        <v>1990</v>
      </c>
      <c r="O181" s="98">
        <v>1991</v>
      </c>
      <c r="P181" s="98">
        <v>1992</v>
      </c>
      <c r="Q181" s="98">
        <v>1993</v>
      </c>
      <c r="R181" s="98">
        <v>1994</v>
      </c>
      <c r="S181" s="98">
        <v>1995</v>
      </c>
      <c r="T181" s="98">
        <v>1996</v>
      </c>
      <c r="U181" s="98">
        <v>1997</v>
      </c>
      <c r="V181" s="98">
        <v>1998</v>
      </c>
      <c r="W181" s="98">
        <v>1999</v>
      </c>
      <c r="X181" s="98">
        <v>2000</v>
      </c>
      <c r="Y181" s="98">
        <v>2001</v>
      </c>
      <c r="Z181" s="98">
        <v>2002</v>
      </c>
      <c r="AA181" s="98">
        <v>2003</v>
      </c>
      <c r="AB181" s="98">
        <v>2004</v>
      </c>
      <c r="AC181" s="98">
        <v>2005</v>
      </c>
      <c r="AD181" s="98">
        <v>2006</v>
      </c>
      <c r="AE181" s="98">
        <v>2007</v>
      </c>
      <c r="AF181" s="98">
        <v>2008</v>
      </c>
      <c r="AG181" s="98">
        <v>2009</v>
      </c>
      <c r="AH181" s="98">
        <v>2010</v>
      </c>
      <c r="AI181" s="98">
        <v>2011</v>
      </c>
      <c r="AJ181" s="98">
        <v>2012</v>
      </c>
      <c r="AK181" s="98">
        <v>2013</v>
      </c>
      <c r="AL181" s="98">
        <v>2014</v>
      </c>
      <c r="AM181" s="99">
        <v>2015</v>
      </c>
      <c r="AN181" s="98">
        <v>2016</v>
      </c>
      <c r="AO181" s="98">
        <v>2017</v>
      </c>
      <c r="AP181" s="98">
        <v>2018</v>
      </c>
      <c r="AQ181" s="98">
        <v>2019</v>
      </c>
      <c r="AR181" s="98">
        <v>2020</v>
      </c>
      <c r="AS181" s="98">
        <v>2021</v>
      </c>
      <c r="AT181" s="98">
        <v>2022</v>
      </c>
      <c r="AU181" s="98">
        <v>2023</v>
      </c>
      <c r="AV181" s="98">
        <v>2024</v>
      </c>
      <c r="AW181" s="98">
        <v>2025</v>
      </c>
      <c r="AX181" s="98">
        <v>2026</v>
      </c>
      <c r="AY181" s="98">
        <v>2027</v>
      </c>
      <c r="AZ181" s="98">
        <v>2028</v>
      </c>
      <c r="BA181" s="98">
        <v>2029</v>
      </c>
      <c r="BB181" s="98">
        <v>2030</v>
      </c>
      <c r="BC181" s="98">
        <v>2031</v>
      </c>
      <c r="BD181" s="98">
        <v>2032</v>
      </c>
      <c r="BE181" s="98">
        <v>2033</v>
      </c>
      <c r="BF181" s="98">
        <v>2034</v>
      </c>
      <c r="BG181" s="98">
        <v>2035</v>
      </c>
      <c r="BH181" s="98">
        <v>2036</v>
      </c>
      <c r="BI181" s="98">
        <v>2037</v>
      </c>
      <c r="BJ181" s="98">
        <v>2038</v>
      </c>
      <c r="BK181" s="98">
        <v>2039</v>
      </c>
      <c r="BL181" s="98">
        <v>2040</v>
      </c>
      <c r="BM181" s="98">
        <v>2041</v>
      </c>
      <c r="BN181" s="98">
        <v>2042</v>
      </c>
      <c r="BO181" s="98">
        <v>2043</v>
      </c>
      <c r="BP181" s="98">
        <v>2044</v>
      </c>
      <c r="BQ181" s="98">
        <v>2045</v>
      </c>
      <c r="BR181" s="98">
        <v>2046</v>
      </c>
      <c r="BS181" s="98">
        <v>2047</v>
      </c>
      <c r="BT181" s="98">
        <v>2048</v>
      </c>
      <c r="BU181" s="98">
        <v>2049</v>
      </c>
      <c r="BV181" s="98">
        <v>2050</v>
      </c>
      <c r="BW181" s="97" t="s">
        <v>619</v>
      </c>
    </row>
    <row r="182" spans="2:75">
      <c r="B182" s="98" t="s">
        <v>700</v>
      </c>
      <c r="C182" s="97" t="s">
        <v>621</v>
      </c>
      <c r="D182" s="170">
        <f t="shared" ref="D182:AV182" si="113">D200</f>
        <v>64589.058754805847</v>
      </c>
      <c r="E182" s="170">
        <f t="shared" si="113"/>
        <v>69109.409308051036</v>
      </c>
      <c r="F182" s="170">
        <f t="shared" si="113"/>
        <v>73300.174861296226</v>
      </c>
      <c r="G182" s="170">
        <f t="shared" si="113"/>
        <v>75319.680414541421</v>
      </c>
      <c r="H182" s="170">
        <f t="shared" si="113"/>
        <v>80435.092967786622</v>
      </c>
      <c r="I182" s="170">
        <f t="shared" si="113"/>
        <v>82744.538521031805</v>
      </c>
      <c r="J182" s="170">
        <f t="shared" si="113"/>
        <v>86876.95018076741</v>
      </c>
      <c r="K182" s="170">
        <f t="shared" si="113"/>
        <v>87641.846840502971</v>
      </c>
      <c r="L182" s="170">
        <f t="shared" si="113"/>
        <v>88271.232500238577</v>
      </c>
      <c r="M182" s="170">
        <f t="shared" si="113"/>
        <v>92951.567159974133</v>
      </c>
      <c r="N182" s="170">
        <f t="shared" si="113"/>
        <v>95035.554819709723</v>
      </c>
      <c r="O182" s="170">
        <f t="shared" si="113"/>
        <v>97565.99667163282</v>
      </c>
      <c r="P182" s="170">
        <f t="shared" si="113"/>
        <v>94658.508523555924</v>
      </c>
      <c r="Q182" s="170">
        <f t="shared" si="113"/>
        <v>84186.658375479048</v>
      </c>
      <c r="R182" s="170">
        <f t="shared" si="113"/>
        <v>111559.86922740217</v>
      </c>
      <c r="S182" s="170">
        <f t="shared" si="113"/>
        <v>115265.68707932526</v>
      </c>
      <c r="T182" s="170">
        <f>T200</f>
        <v>89383.031676681116</v>
      </c>
      <c r="U182" s="170">
        <f t="shared" si="113"/>
        <v>115448.43127403691</v>
      </c>
      <c r="V182" s="170">
        <f t="shared" si="113"/>
        <v>163898.79587139271</v>
      </c>
      <c r="W182" s="170">
        <f t="shared" si="113"/>
        <v>185173.61546874855</v>
      </c>
      <c r="X182" s="170">
        <f t="shared" si="113"/>
        <v>183147.84206610441</v>
      </c>
      <c r="Y182" s="170">
        <f t="shared" si="113"/>
        <v>250048.18172836411</v>
      </c>
      <c r="Z182" s="170">
        <f t="shared" si="113"/>
        <v>271295.45639062382</v>
      </c>
      <c r="AA182" s="170">
        <f t="shared" si="113"/>
        <v>275338.94405288348</v>
      </c>
      <c r="AB182" s="170">
        <f t="shared" si="113"/>
        <v>226965.72971514321</v>
      </c>
      <c r="AC182" s="170">
        <f t="shared" si="113"/>
        <v>226110.03337740293</v>
      </c>
      <c r="AD182" s="170">
        <f t="shared" si="113"/>
        <v>262098.38572019147</v>
      </c>
      <c r="AE182" s="170">
        <f t="shared" si="113"/>
        <v>268452.08606298</v>
      </c>
      <c r="AF182" s="170">
        <f t="shared" si="113"/>
        <v>273697.32340576855</v>
      </c>
      <c r="AG182" s="170">
        <f t="shared" si="113"/>
        <v>271215.1637485571</v>
      </c>
      <c r="AH182" s="170">
        <f t="shared" si="113"/>
        <v>240131.75009134569</v>
      </c>
      <c r="AI182" s="170">
        <f t="shared" si="113"/>
        <v>247588.93747572062</v>
      </c>
      <c r="AJ182" s="170">
        <f t="shared" si="113"/>
        <v>251112.45386009576</v>
      </c>
      <c r="AK182" s="170">
        <f t="shared" si="113"/>
        <v>251617.91824447075</v>
      </c>
      <c r="AL182" s="170">
        <f t="shared" si="113"/>
        <v>243259.66462884581</v>
      </c>
      <c r="AM182" s="137">
        <f t="shared" si="113"/>
        <v>243988.58301322089</v>
      </c>
      <c r="AN182" s="170">
        <f t="shared" si="113"/>
        <v>244212.93275865351</v>
      </c>
      <c r="AO182" s="170">
        <f t="shared" si="113"/>
        <v>264506.51250408625</v>
      </c>
      <c r="AP182" s="170">
        <f t="shared" si="113"/>
        <v>294803.92524951894</v>
      </c>
      <c r="AQ182" s="170">
        <f t="shared" si="113"/>
        <v>291861.90899495175</v>
      </c>
      <c r="AR182" s="170">
        <f t="shared" si="113"/>
        <v>286425.98374038446</v>
      </c>
      <c r="AS182" s="170">
        <f t="shared" si="113"/>
        <v>271702.5630598556</v>
      </c>
      <c r="AT182" s="170">
        <f t="shared" si="113"/>
        <v>265218.49037932674</v>
      </c>
      <c r="AU182" s="170">
        <f t="shared" si="113"/>
        <v>268930.216698798</v>
      </c>
      <c r="AV182" s="170">
        <f t="shared" si="113"/>
        <v>254915.47101826905</v>
      </c>
      <c r="AW182" s="170">
        <f t="shared" ref="AW182:BV182" si="114">AW185*(AW$49*10^3)</f>
        <v>261022.65656865365</v>
      </c>
      <c r="AX182" s="170">
        <f t="shared" si="114"/>
        <v>266957.85080137727</v>
      </c>
      <c r="AY182" s="170">
        <f t="shared" si="114"/>
        <v>272951.81243019021</v>
      </c>
      <c r="AZ182" s="170">
        <f t="shared" si="114"/>
        <v>279004.54145509261</v>
      </c>
      <c r="BA182" s="170">
        <f t="shared" si="114"/>
        <v>285116.03787608433</v>
      </c>
      <c r="BB182" s="170">
        <f t="shared" si="114"/>
        <v>291286.30169316538</v>
      </c>
      <c r="BC182" s="170">
        <f t="shared" si="114"/>
        <v>297248.15974930581</v>
      </c>
      <c r="BD182" s="170">
        <f t="shared" si="114"/>
        <v>303261.32481151202</v>
      </c>
      <c r="BE182" s="170">
        <f t="shared" si="114"/>
        <v>309325.79687978415</v>
      </c>
      <c r="BF182" s="170">
        <f t="shared" si="114"/>
        <v>315441.57595412206</v>
      </c>
      <c r="BG182" s="170">
        <f t="shared" si="114"/>
        <v>321608.66203452589</v>
      </c>
      <c r="BH182" s="170">
        <f t="shared" si="114"/>
        <v>327543.55474298104</v>
      </c>
      <c r="BI182" s="170">
        <f t="shared" si="114"/>
        <v>333522.35472055071</v>
      </c>
      <c r="BJ182" s="170">
        <f t="shared" si="114"/>
        <v>339545.06196723494</v>
      </c>
      <c r="BK182" s="170">
        <f t="shared" si="114"/>
        <v>345611.67648303357</v>
      </c>
      <c r="BL182" s="170">
        <f t="shared" si="114"/>
        <v>351722.19826794666</v>
      </c>
      <c r="BM182" s="170">
        <f t="shared" si="114"/>
        <v>357571.13966808241</v>
      </c>
      <c r="BN182" s="170">
        <f t="shared" si="114"/>
        <v>363456.50313742005</v>
      </c>
      <c r="BO182" s="170">
        <f t="shared" si="114"/>
        <v>369378.28867595951</v>
      </c>
      <c r="BP182" s="170">
        <f t="shared" si="114"/>
        <v>375336.49628370092</v>
      </c>
      <c r="BQ182" s="170">
        <f t="shared" si="114"/>
        <v>381331.1259606441</v>
      </c>
      <c r="BR182" s="170">
        <f t="shared" si="114"/>
        <v>387025.02483180672</v>
      </c>
      <c r="BS182" s="170">
        <f t="shared" si="114"/>
        <v>392747.561529167</v>
      </c>
      <c r="BT182" s="170">
        <f t="shared" si="114"/>
        <v>398498.73605272477</v>
      </c>
      <c r="BU182" s="170">
        <f t="shared" si="114"/>
        <v>404278.54840248014</v>
      </c>
      <c r="BV182" s="170">
        <f t="shared" si="114"/>
        <v>410086.99857843289</v>
      </c>
      <c r="BW182" s="97" t="s">
        <v>619</v>
      </c>
    </row>
    <row r="183" spans="2:75">
      <c r="AM183" s="141"/>
      <c r="AN183" s="102">
        <f>AN3-AM3</f>
        <v>10320</v>
      </c>
      <c r="AO183" s="102">
        <f>AO3-AN3</f>
        <v>30812</v>
      </c>
      <c r="BW183" s="97" t="s">
        <v>619</v>
      </c>
    </row>
    <row r="184" spans="2:75">
      <c r="B184" s="97" t="s">
        <v>701</v>
      </c>
      <c r="C184" s="97" t="s">
        <v>661</v>
      </c>
      <c r="D184" s="102">
        <f>D3*(E184/E3)</f>
        <v>4261.4467548058428</v>
      </c>
      <c r="E184" s="102">
        <f t="shared" ref="E184:AV184" si="115">E3-D3</f>
        <v>4585</v>
      </c>
      <c r="F184" s="102">
        <f t="shared" si="115"/>
        <v>4260</v>
      </c>
      <c r="G184" s="102">
        <f t="shared" si="115"/>
        <v>2093</v>
      </c>
      <c r="H184" s="102">
        <f t="shared" si="115"/>
        <v>5191</v>
      </c>
      <c r="I184" s="102">
        <f t="shared" si="115"/>
        <v>2511</v>
      </c>
      <c r="J184" s="102">
        <f t="shared" si="115"/>
        <v>4345</v>
      </c>
      <c r="K184" s="102">
        <f t="shared" si="115"/>
        <v>991</v>
      </c>
      <c r="L184" s="102">
        <f t="shared" si="115"/>
        <v>865</v>
      </c>
      <c r="M184" s="102">
        <f t="shared" si="115"/>
        <v>4921</v>
      </c>
      <c r="N184" s="102">
        <f t="shared" si="115"/>
        <v>3125</v>
      </c>
      <c r="O184" s="102">
        <f t="shared" si="115"/>
        <v>3635</v>
      </c>
      <c r="P184" s="102">
        <f t="shared" si="115"/>
        <v>-1731</v>
      </c>
      <c r="Q184" s="102">
        <f t="shared" si="115"/>
        <v>-9238</v>
      </c>
      <c r="R184" s="102">
        <f t="shared" si="115"/>
        <v>28636</v>
      </c>
      <c r="S184" s="102">
        <f t="shared" si="115"/>
        <v>5920</v>
      </c>
      <c r="T184" s="102">
        <f t="shared" si="115"/>
        <v>-23564</v>
      </c>
      <c r="U184" s="102">
        <f t="shared" si="115"/>
        <v>28512</v>
      </c>
      <c r="V184" s="102">
        <f t="shared" si="115"/>
        <v>50998</v>
      </c>
      <c r="W184" s="102">
        <f t="shared" si="115"/>
        <v>23914</v>
      </c>
      <c r="X184" s="102">
        <f t="shared" si="115"/>
        <v>2039</v>
      </c>
      <c r="Y184" s="102">
        <f t="shared" si="115"/>
        <v>71140</v>
      </c>
      <c r="Z184" s="102">
        <f t="shared" si="115"/>
        <v>25829</v>
      </c>
      <c r="AA184" s="102">
        <f t="shared" si="115"/>
        <v>8736</v>
      </c>
      <c r="AB184" s="102">
        <f t="shared" si="115"/>
        <v>-43516</v>
      </c>
      <c r="AC184" s="102">
        <f t="shared" si="115"/>
        <v>4232</v>
      </c>
      <c r="AD184" s="102">
        <f t="shared" si="115"/>
        <v>41372</v>
      </c>
      <c r="AE184" s="102">
        <f t="shared" si="115"/>
        <v>11889</v>
      </c>
      <c r="AF184" s="102">
        <f t="shared" si="115"/>
        <v>11209</v>
      </c>
      <c r="AG184" s="102">
        <f t="shared" si="115"/>
        <v>4178</v>
      </c>
      <c r="AH184" s="102">
        <f t="shared" si="115"/>
        <v>-24727</v>
      </c>
      <c r="AI184" s="102">
        <f t="shared" si="115"/>
        <v>14827</v>
      </c>
      <c r="AJ184" s="102">
        <f t="shared" si="115"/>
        <v>10955</v>
      </c>
      <c r="AK184" s="102">
        <f t="shared" si="115"/>
        <v>8624</v>
      </c>
      <c r="AL184" s="102">
        <f t="shared" si="115"/>
        <v>576</v>
      </c>
      <c r="AM184" s="103">
        <f t="shared" si="115"/>
        <v>9732</v>
      </c>
      <c r="AN184" s="103">
        <f t="shared" si="115"/>
        <v>10320</v>
      </c>
      <c r="AO184" s="103">
        <f t="shared" si="115"/>
        <v>30812</v>
      </c>
      <c r="AP184" s="103">
        <f t="shared" si="115"/>
        <v>41886</v>
      </c>
      <c r="AQ184" s="103">
        <f t="shared" si="115"/>
        <v>9953</v>
      </c>
      <c r="AR184" s="103">
        <f t="shared" si="115"/>
        <v>7197</v>
      </c>
      <c r="AS184" s="103">
        <f t="shared" si="115"/>
        <v>-697</v>
      </c>
      <c r="AT184" s="103">
        <f t="shared" si="115"/>
        <v>8180</v>
      </c>
      <c r="AU184" s="103">
        <f t="shared" si="115"/>
        <v>19054</v>
      </c>
      <c r="AV184" s="103">
        <f t="shared" si="115"/>
        <v>1541</v>
      </c>
      <c r="AW184" s="102">
        <f t="shared" ref="AW184:BV184" si="116">AW182-AV182</f>
        <v>6107.1855503846018</v>
      </c>
      <c r="AX184" s="102">
        <f t="shared" si="116"/>
        <v>5935.1942327236175</v>
      </c>
      <c r="AY184" s="102">
        <f t="shared" si="116"/>
        <v>5993.9616288129473</v>
      </c>
      <c r="AZ184" s="102">
        <f t="shared" si="116"/>
        <v>6052.7290249023936</v>
      </c>
      <c r="BA184" s="102">
        <f t="shared" si="116"/>
        <v>6111.4964209917234</v>
      </c>
      <c r="BB184" s="102">
        <f t="shared" si="116"/>
        <v>6170.2638170810533</v>
      </c>
      <c r="BC184" s="102">
        <f t="shared" si="116"/>
        <v>5961.8580561404233</v>
      </c>
      <c r="BD184" s="102">
        <f t="shared" si="116"/>
        <v>6013.1650622062152</v>
      </c>
      <c r="BE184" s="102">
        <f t="shared" si="116"/>
        <v>6064.4720682721236</v>
      </c>
      <c r="BF184" s="102">
        <f t="shared" si="116"/>
        <v>6115.7790743379155</v>
      </c>
      <c r="BG184" s="102">
        <f t="shared" si="116"/>
        <v>6167.0860804038239</v>
      </c>
      <c r="BH184" s="102">
        <f t="shared" si="116"/>
        <v>5934.8927084551542</v>
      </c>
      <c r="BI184" s="102">
        <f t="shared" si="116"/>
        <v>5978.7999775696662</v>
      </c>
      <c r="BJ184" s="102">
        <f t="shared" si="116"/>
        <v>6022.7072466842365</v>
      </c>
      <c r="BK184" s="102">
        <f t="shared" si="116"/>
        <v>6066.6145157986321</v>
      </c>
      <c r="BL184" s="102">
        <f t="shared" si="116"/>
        <v>6110.5217849130859</v>
      </c>
      <c r="BM184" s="102">
        <f t="shared" si="116"/>
        <v>5848.9414001357509</v>
      </c>
      <c r="BN184" s="102">
        <f t="shared" si="116"/>
        <v>5885.3634693376371</v>
      </c>
      <c r="BO184" s="102">
        <f t="shared" si="116"/>
        <v>5921.7855385394651</v>
      </c>
      <c r="BP184" s="102">
        <f t="shared" si="116"/>
        <v>5958.2076077414094</v>
      </c>
      <c r="BQ184" s="102">
        <f t="shared" si="116"/>
        <v>5994.6296769431792</v>
      </c>
      <c r="BR184" s="102">
        <f t="shared" si="116"/>
        <v>5693.8988711626153</v>
      </c>
      <c r="BS184" s="102">
        <f t="shared" si="116"/>
        <v>5722.5366973602795</v>
      </c>
      <c r="BT184" s="102">
        <f t="shared" si="116"/>
        <v>5751.1745235577691</v>
      </c>
      <c r="BU184" s="102">
        <f t="shared" si="116"/>
        <v>5779.8123497553752</v>
      </c>
      <c r="BV184" s="102">
        <f t="shared" si="116"/>
        <v>5808.4501759527484</v>
      </c>
      <c r="BW184" s="97" t="s">
        <v>619</v>
      </c>
    </row>
    <row r="185" spans="2:75">
      <c r="B185" s="97" t="s">
        <v>702</v>
      </c>
      <c r="C185" s="97" t="s">
        <v>656</v>
      </c>
      <c r="D185" s="164">
        <f t="shared" ref="D185:AV185" si="117">D182/(D$49*10^3)</f>
        <v>0.94755418833196603</v>
      </c>
      <c r="E185" s="164">
        <f t="shared" si="117"/>
        <v>0.99427888663849828</v>
      </c>
      <c r="F185" s="164">
        <f t="shared" si="117"/>
        <v>1.0341939276930139</v>
      </c>
      <c r="G185" s="164">
        <f t="shared" si="117"/>
        <v>1.0421527475560595</v>
      </c>
      <c r="H185" s="164">
        <f t="shared" si="117"/>
        <v>1.091426297650393</v>
      </c>
      <c r="I185" s="164">
        <f t="shared" si="117"/>
        <v>1.1010679473702589</v>
      </c>
      <c r="J185" s="164">
        <f t="shared" si="117"/>
        <v>1.1337186348083808</v>
      </c>
      <c r="K185" s="164">
        <f t="shared" si="117"/>
        <v>1.1216004521416476</v>
      </c>
      <c r="L185" s="164">
        <f t="shared" si="117"/>
        <v>1.1078265826651956</v>
      </c>
      <c r="M185" s="164">
        <f t="shared" si="117"/>
        <v>1.1440242866288723</v>
      </c>
      <c r="N185" s="164">
        <f t="shared" si="117"/>
        <v>1.1430617776867273</v>
      </c>
      <c r="O185" s="164">
        <f t="shared" si="117"/>
        <v>1.1467985474171758</v>
      </c>
      <c r="P185" s="164">
        <f t="shared" si="117"/>
        <v>1.0873099606025929</v>
      </c>
      <c r="Q185" s="164">
        <f t="shared" si="117"/>
        <v>0.94502226579565307</v>
      </c>
      <c r="R185" s="164">
        <f t="shared" si="117"/>
        <v>1.2238038825366533</v>
      </c>
      <c r="S185" s="164">
        <f t="shared" si="117"/>
        <v>1.247604588095572</v>
      </c>
      <c r="T185" s="164">
        <f t="shared" si="117"/>
        <v>0.95456408541406723</v>
      </c>
      <c r="U185" s="164">
        <f t="shared" si="117"/>
        <v>1.2164972604866482</v>
      </c>
      <c r="V185" s="164">
        <f t="shared" si="117"/>
        <v>1.7040092650763274</v>
      </c>
      <c r="W185" s="164">
        <f t="shared" si="117"/>
        <v>1.899539743938677</v>
      </c>
      <c r="X185" s="164">
        <f t="shared" si="117"/>
        <v>1.8572396844143582</v>
      </c>
      <c r="Y185" s="164">
        <f t="shared" si="117"/>
        <v>2.5066097235598059</v>
      </c>
      <c r="Z185" s="164">
        <f t="shared" si="117"/>
        <v>2.688452760929815</v>
      </c>
      <c r="AA185" s="164">
        <f t="shared" si="117"/>
        <v>2.6972698778263426</v>
      </c>
      <c r="AB185" s="164">
        <f t="shared" si="117"/>
        <v>2.1979303033824844</v>
      </c>
      <c r="AC185" s="164">
        <f t="shared" si="117"/>
        <v>2.1530718907911188</v>
      </c>
      <c r="AD185" s="164">
        <f t="shared" si="117"/>
        <v>2.4540765749158382</v>
      </c>
      <c r="AE185" s="164">
        <f t="shared" si="117"/>
        <v>2.4715853582962977</v>
      </c>
      <c r="AF185" s="164">
        <f t="shared" si="117"/>
        <v>2.4777897259901329</v>
      </c>
      <c r="AG185" s="164">
        <f t="shared" si="117"/>
        <v>2.4143094364235891</v>
      </c>
      <c r="AH185" s="164">
        <f t="shared" si="117"/>
        <v>2.1017074324972942</v>
      </c>
      <c r="AI185" s="164">
        <f t="shared" si="117"/>
        <v>2.1416689289843958</v>
      </c>
      <c r="AJ185" s="164">
        <f t="shared" si="117"/>
        <v>2.1470739857448686</v>
      </c>
      <c r="AK185" s="164">
        <f t="shared" si="117"/>
        <v>2.1268450627196285</v>
      </c>
      <c r="AL185" s="164">
        <f t="shared" si="117"/>
        <v>2.032995801213962</v>
      </c>
      <c r="AM185" s="165">
        <f t="shared" si="117"/>
        <v>2.016337662573306</v>
      </c>
      <c r="AN185" s="164">
        <f t="shared" si="117"/>
        <v>1.9980934124547347</v>
      </c>
      <c r="AO185" s="164">
        <f t="shared" si="117"/>
        <v>2.1427916341759774</v>
      </c>
      <c r="AP185" s="164">
        <f t="shared" si="117"/>
        <v>2.3649148344460409</v>
      </c>
      <c r="AQ185" s="164">
        <f t="shared" si="117"/>
        <v>2.318674255437402</v>
      </c>
      <c r="AR185" s="164">
        <f t="shared" si="117"/>
        <v>2.2536964558324417</v>
      </c>
      <c r="AS185" s="164">
        <f t="shared" si="117"/>
        <v>2.119528040110759</v>
      </c>
      <c r="AT185" s="164">
        <f t="shared" si="117"/>
        <v>2.0513678476925521</v>
      </c>
      <c r="AU185" s="164">
        <f t="shared" si="117"/>
        <v>2.0625525092498758</v>
      </c>
      <c r="AV185" s="164">
        <f t="shared" si="117"/>
        <v>1.9387334269679117</v>
      </c>
      <c r="AW185" s="164">
        <f t="shared" ref="AW185:BV185" si="118">AV185+$E$186</f>
        <v>1.9687334269679118</v>
      </c>
      <c r="AX185" s="164">
        <f t="shared" si="118"/>
        <v>1.9987334269679118</v>
      </c>
      <c r="AY185" s="164">
        <f t="shared" si="118"/>
        <v>2.0287334269679116</v>
      </c>
      <c r="AZ185" s="164">
        <f t="shared" si="118"/>
        <v>2.0587334269679114</v>
      </c>
      <c r="BA185" s="164">
        <f t="shared" si="118"/>
        <v>2.0887334269679112</v>
      </c>
      <c r="BB185" s="164">
        <f t="shared" si="118"/>
        <v>2.118733426967911</v>
      </c>
      <c r="BC185" s="164">
        <f t="shared" si="118"/>
        <v>2.1487334269679108</v>
      </c>
      <c r="BD185" s="164">
        <f t="shared" si="118"/>
        <v>2.1787334269679106</v>
      </c>
      <c r="BE185" s="164">
        <f t="shared" si="118"/>
        <v>2.2087334269679104</v>
      </c>
      <c r="BF185" s="164">
        <f t="shared" si="118"/>
        <v>2.2387334269679102</v>
      </c>
      <c r="BG185" s="164">
        <f t="shared" si="118"/>
        <v>2.26873342696791</v>
      </c>
      <c r="BH185" s="164">
        <f t="shared" si="118"/>
        <v>2.2987334269679098</v>
      </c>
      <c r="BI185" s="164">
        <f t="shared" si="118"/>
        <v>2.3287334269679096</v>
      </c>
      <c r="BJ185" s="164">
        <f t="shared" si="118"/>
        <v>2.3587334269679094</v>
      </c>
      <c r="BK185" s="164">
        <f t="shared" si="118"/>
        <v>2.3887334269679092</v>
      </c>
      <c r="BL185" s="164">
        <f t="shared" si="118"/>
        <v>2.4187334269679091</v>
      </c>
      <c r="BM185" s="164">
        <f t="shared" si="118"/>
        <v>2.4487334269679089</v>
      </c>
      <c r="BN185" s="164">
        <f t="shared" si="118"/>
        <v>2.4787334269679087</v>
      </c>
      <c r="BO185" s="164">
        <f t="shared" si="118"/>
        <v>2.5087334269679085</v>
      </c>
      <c r="BP185" s="164">
        <f t="shared" si="118"/>
        <v>2.5387334269679083</v>
      </c>
      <c r="BQ185" s="164">
        <f t="shared" si="118"/>
        <v>2.5687334269679081</v>
      </c>
      <c r="BR185" s="164">
        <f t="shared" si="118"/>
        <v>2.5987334269679079</v>
      </c>
      <c r="BS185" s="164">
        <f t="shared" si="118"/>
        <v>2.6287334269679077</v>
      </c>
      <c r="BT185" s="164">
        <f t="shared" si="118"/>
        <v>2.6587334269679075</v>
      </c>
      <c r="BU185" s="164">
        <f t="shared" si="118"/>
        <v>2.6887334269679073</v>
      </c>
      <c r="BV185" s="164">
        <f t="shared" si="118"/>
        <v>2.7187334269679071</v>
      </c>
      <c r="BW185" s="97" t="s">
        <v>619</v>
      </c>
    </row>
    <row r="186" spans="2:75">
      <c r="B186" s="97" t="s">
        <v>703</v>
      </c>
      <c r="C186" s="97" t="s">
        <v>704</v>
      </c>
      <c r="D186" s="171">
        <f>(AQ185-S185)/(AQ181-S181)</f>
        <v>4.4627902805909586E-2</v>
      </c>
      <c r="E186" s="172">
        <v>0.03</v>
      </c>
      <c r="F186" s="147" t="s">
        <v>688</v>
      </c>
      <c r="G186" s="167">
        <f>AM185</f>
        <v>2.016337662573306</v>
      </c>
      <c r="H186" s="98" t="s">
        <v>705</v>
      </c>
      <c r="AM186" s="141"/>
      <c r="BW186" s="97" t="s">
        <v>619</v>
      </c>
    </row>
    <row r="187" spans="2:75">
      <c r="B187" s="97" t="s">
        <v>706</v>
      </c>
      <c r="C187" s="97" t="s">
        <v>631</v>
      </c>
      <c r="D187" s="132">
        <f>$AQ$182/10^6</f>
        <v>0.29186190899495174</v>
      </c>
      <c r="F187" s="147" t="s">
        <v>691</v>
      </c>
      <c r="G187" s="167">
        <f>BV185</f>
        <v>2.7187334269679071</v>
      </c>
      <c r="H187" s="98" t="s">
        <v>707</v>
      </c>
      <c r="AM187" s="141"/>
      <c r="BW187" s="97" t="s">
        <v>619</v>
      </c>
    </row>
    <row r="188" spans="2:75">
      <c r="B188" s="97" t="s">
        <v>708</v>
      </c>
      <c r="C188" s="97" t="s">
        <v>631</v>
      </c>
      <c r="D188" s="132">
        <f>$BV$182/10^6</f>
        <v>0.41008699857843289</v>
      </c>
      <c r="AM188" s="141"/>
      <c r="BW188" s="97" t="s">
        <v>619</v>
      </c>
    </row>
    <row r="189" spans="2:75" ht="15.95" customHeight="1">
      <c r="AM189" s="141"/>
      <c r="BW189" s="97" t="s">
        <v>619</v>
      </c>
    </row>
    <row r="190" spans="2:75">
      <c r="B190" s="98" t="s">
        <v>709</v>
      </c>
    </row>
    <row r="191" spans="2:75">
      <c r="B191" s="97" t="s">
        <v>710</v>
      </c>
      <c r="C191" s="97" t="s">
        <v>637</v>
      </c>
      <c r="D191" s="124">
        <v>0</v>
      </c>
      <c r="E191" s="124">
        <v>5</v>
      </c>
      <c r="F191" s="124">
        <v>10</v>
      </c>
      <c r="G191" s="124">
        <v>15</v>
      </c>
      <c r="H191" s="124">
        <v>20</v>
      </c>
      <c r="I191" s="124">
        <v>25</v>
      </c>
      <c r="J191" s="124">
        <v>30</v>
      </c>
      <c r="K191" s="124">
        <v>35</v>
      </c>
      <c r="L191" s="124">
        <v>40</v>
      </c>
      <c r="M191" s="124">
        <v>45</v>
      </c>
      <c r="N191" s="124">
        <v>50</v>
      </c>
      <c r="O191" s="97">
        <v>55</v>
      </c>
      <c r="P191" s="97">
        <v>60</v>
      </c>
      <c r="Q191" s="124">
        <v>65</v>
      </c>
      <c r="R191" s="97">
        <v>70</v>
      </c>
    </row>
    <row r="192" spans="2:75">
      <c r="B192" s="97" t="s">
        <v>638</v>
      </c>
      <c r="C192" s="97" t="s">
        <v>639</v>
      </c>
      <c r="D192" s="125">
        <v>1</v>
      </c>
      <c r="E192" s="125">
        <v>0.995</v>
      </c>
      <c r="F192" s="125">
        <v>0.98</v>
      </c>
      <c r="G192" s="125">
        <v>0.9</v>
      </c>
      <c r="H192" s="126">
        <v>0.75</v>
      </c>
      <c r="I192" s="126">
        <v>0.5</v>
      </c>
      <c r="J192" s="126">
        <v>0.28000000000000003</v>
      </c>
      <c r="K192" s="126">
        <v>0.15</v>
      </c>
      <c r="L192" s="126">
        <v>0.08</v>
      </c>
      <c r="M192" s="126">
        <v>0.05</v>
      </c>
      <c r="N192" s="126">
        <v>2.5000000000000001E-2</v>
      </c>
      <c r="O192" s="126">
        <v>0.01</v>
      </c>
      <c r="P192" s="126">
        <v>4.0000000000000001E-3</v>
      </c>
      <c r="Q192" s="126">
        <v>1E-3</v>
      </c>
      <c r="R192" s="126">
        <v>0</v>
      </c>
    </row>
    <row r="194" spans="2:75">
      <c r="B194" s="97" t="s">
        <v>710</v>
      </c>
      <c r="C194" s="97" t="s">
        <v>637</v>
      </c>
      <c r="D194" s="98">
        <v>0</v>
      </c>
      <c r="E194" s="98">
        <v>1</v>
      </c>
      <c r="F194" s="98">
        <v>2</v>
      </c>
      <c r="G194" s="98">
        <v>3</v>
      </c>
      <c r="H194" s="98">
        <v>4</v>
      </c>
      <c r="I194" s="98">
        <v>5</v>
      </c>
      <c r="J194" s="98">
        <v>6</v>
      </c>
      <c r="K194" s="98">
        <v>7</v>
      </c>
      <c r="L194" s="98">
        <v>8</v>
      </c>
      <c r="M194" s="98">
        <v>9</v>
      </c>
      <c r="N194" s="98">
        <v>10</v>
      </c>
      <c r="O194" s="98">
        <v>11</v>
      </c>
      <c r="P194" s="98">
        <v>12</v>
      </c>
      <c r="Q194" s="98">
        <v>13</v>
      </c>
      <c r="R194" s="98">
        <v>14</v>
      </c>
      <c r="S194" s="98">
        <v>15</v>
      </c>
      <c r="T194" s="98">
        <v>16</v>
      </c>
      <c r="U194" s="98">
        <v>17</v>
      </c>
      <c r="V194" s="98">
        <v>18</v>
      </c>
      <c r="W194" s="98">
        <v>19</v>
      </c>
      <c r="X194" s="98">
        <v>20</v>
      </c>
      <c r="Y194" s="98">
        <v>21</v>
      </c>
      <c r="Z194" s="98">
        <v>22</v>
      </c>
      <c r="AA194" s="98">
        <v>23</v>
      </c>
      <c r="AB194" s="98">
        <v>24</v>
      </c>
      <c r="AC194" s="98">
        <v>25</v>
      </c>
      <c r="AD194" s="98">
        <v>26</v>
      </c>
      <c r="AE194" s="98">
        <v>27</v>
      </c>
      <c r="AF194" s="98">
        <v>28</v>
      </c>
      <c r="AG194" s="98">
        <v>29</v>
      </c>
      <c r="AH194" s="98">
        <v>30</v>
      </c>
      <c r="AI194" s="98">
        <v>31</v>
      </c>
      <c r="AJ194" s="98">
        <v>32</v>
      </c>
      <c r="AK194" s="98">
        <v>33</v>
      </c>
      <c r="AL194" s="98">
        <v>34</v>
      </c>
      <c r="AM194" s="98">
        <v>35</v>
      </c>
      <c r="AN194" s="98">
        <v>36</v>
      </c>
      <c r="AO194" s="98">
        <v>37</v>
      </c>
      <c r="AP194" s="98">
        <v>38</v>
      </c>
      <c r="AQ194" s="98">
        <v>39</v>
      </c>
      <c r="AR194" s="98">
        <v>40</v>
      </c>
      <c r="AS194" s="98">
        <v>41</v>
      </c>
      <c r="AT194" s="98">
        <v>42</v>
      </c>
      <c r="AU194" s="98">
        <v>43</v>
      </c>
      <c r="AV194" s="98">
        <v>44</v>
      </c>
      <c r="AW194" s="98">
        <v>45</v>
      </c>
      <c r="AX194" s="98">
        <v>46</v>
      </c>
      <c r="AY194" s="98">
        <v>47</v>
      </c>
      <c r="AZ194" s="98">
        <v>48</v>
      </c>
      <c r="BA194" s="98">
        <v>49</v>
      </c>
      <c r="BB194" s="98">
        <v>50</v>
      </c>
      <c r="BC194" s="98">
        <v>51</v>
      </c>
      <c r="BD194" s="98">
        <v>52</v>
      </c>
      <c r="BE194" s="98">
        <v>53</v>
      </c>
      <c r="BF194" s="98">
        <v>54</v>
      </c>
      <c r="BG194" s="98">
        <v>55</v>
      </c>
      <c r="BH194" s="98">
        <v>56</v>
      </c>
      <c r="BI194" s="98">
        <v>57</v>
      </c>
      <c r="BJ194" s="98">
        <v>58</v>
      </c>
      <c r="BK194" s="98">
        <v>59</v>
      </c>
      <c r="BL194" s="98">
        <v>60</v>
      </c>
      <c r="BM194" s="98">
        <v>61</v>
      </c>
      <c r="BN194" s="98">
        <v>62</v>
      </c>
      <c r="BO194" s="98">
        <v>63</v>
      </c>
      <c r="BP194" s="98">
        <v>64</v>
      </c>
      <c r="BQ194" s="98">
        <v>65</v>
      </c>
      <c r="BR194" s="98">
        <v>66</v>
      </c>
      <c r="BS194" s="98">
        <v>67</v>
      </c>
      <c r="BT194" s="98">
        <v>68</v>
      </c>
      <c r="BU194" s="98">
        <v>69</v>
      </c>
      <c r="BV194" s="98">
        <v>70</v>
      </c>
      <c r="BW194" s="97" t="s">
        <v>619</v>
      </c>
    </row>
    <row r="195" spans="2:75">
      <c r="B195" s="97" t="s">
        <v>638</v>
      </c>
      <c r="C195" s="97" t="s">
        <v>639</v>
      </c>
      <c r="D195" s="127">
        <f>D192</f>
        <v>1</v>
      </c>
      <c r="E195" s="128">
        <f>($I195-$D195)/($I$39-$D$39)+D195</f>
        <v>0.999</v>
      </c>
      <c r="F195" s="128">
        <f>($I195-$D195)/($I$39-$D$39)+E195</f>
        <v>0.998</v>
      </c>
      <c r="G195" s="128">
        <f>($I195-$D195)/($I$39-$D$39)+F195</f>
        <v>0.997</v>
      </c>
      <c r="H195" s="128">
        <f>($I195-$D195)/($I$39-$D$39)+G195</f>
        <v>0.996</v>
      </c>
      <c r="I195" s="129">
        <f>E192</f>
        <v>0.995</v>
      </c>
      <c r="J195" s="128">
        <f>($N195-$I195)/($N$39-$I$39)+I195</f>
        <v>0.99199999999999999</v>
      </c>
      <c r="K195" s="128">
        <f>($N195-$I195)/($N$39-$I$39)+J195</f>
        <v>0.98899999999999999</v>
      </c>
      <c r="L195" s="128">
        <f>($N195-$I195)/($N$39-$I$39)+K195</f>
        <v>0.98599999999999999</v>
      </c>
      <c r="M195" s="128">
        <f>($N195-$I195)/($N$39-$I$39)+L195</f>
        <v>0.98299999999999998</v>
      </c>
      <c r="N195" s="129">
        <f>F192</f>
        <v>0.98</v>
      </c>
      <c r="O195" s="128">
        <f>($S195-$N195)/($S$39-$N$39)+N195</f>
        <v>0.96399999999999997</v>
      </c>
      <c r="P195" s="128">
        <f>($S195-$N195)/($S$39-$N$39)+O195</f>
        <v>0.94799999999999995</v>
      </c>
      <c r="Q195" s="128">
        <f>($S195-$N195)/($S$39-$N$39)+P195</f>
        <v>0.93199999999999994</v>
      </c>
      <c r="R195" s="128">
        <f>($S195-$N195)/($S$39-$N$39)+Q195</f>
        <v>0.91599999999999993</v>
      </c>
      <c r="S195" s="129">
        <f>G192</f>
        <v>0.9</v>
      </c>
      <c r="T195" s="128">
        <f>($X195-$S195)/($X$39-$S$39)+S195</f>
        <v>0.87</v>
      </c>
      <c r="U195" s="128">
        <f>($X195-$S195)/($X$39-$S$39)+T195</f>
        <v>0.84</v>
      </c>
      <c r="V195" s="128">
        <f>($X195-$S195)/($X$39-$S$39)+U195</f>
        <v>0.80999999999999994</v>
      </c>
      <c r="W195" s="128">
        <f>($X195-$S195)/($X$39-$S$39)+V195</f>
        <v>0.77999999999999992</v>
      </c>
      <c r="X195" s="129">
        <f>H192</f>
        <v>0.75</v>
      </c>
      <c r="Y195" s="128">
        <f>($AC195-$X195)/($AC$39-$X$39)+X195</f>
        <v>0.7</v>
      </c>
      <c r="Z195" s="128">
        <f>($AC195-$X195)/($AC$39-$X$39)+Y195</f>
        <v>0.64999999999999991</v>
      </c>
      <c r="AA195" s="128">
        <f>($AC195-$X195)/($AC$39-$X$39)+Z195</f>
        <v>0.59999999999999987</v>
      </c>
      <c r="AB195" s="128">
        <f>($AC195-$X195)/($AC$39-$X$39)+AA195</f>
        <v>0.54999999999999982</v>
      </c>
      <c r="AC195" s="129">
        <f>I192</f>
        <v>0.5</v>
      </c>
      <c r="AD195" s="128">
        <f>($AH195-$AC195)/($AH$39-$AC$39)+AC195</f>
        <v>0.45600000000000002</v>
      </c>
      <c r="AE195" s="128">
        <f>($AH195-$AC195)/($AH$39-$AC$39)+AD195</f>
        <v>0.41200000000000003</v>
      </c>
      <c r="AF195" s="128">
        <f>($AH195-$AC195)/($AH$39-$AC$39)+AE195</f>
        <v>0.36800000000000005</v>
      </c>
      <c r="AG195" s="128">
        <f>($AH195-$AC195)/($AH$39-$AC$39)+AF195</f>
        <v>0.32400000000000007</v>
      </c>
      <c r="AH195" s="129">
        <f>J192</f>
        <v>0.28000000000000003</v>
      </c>
      <c r="AI195" s="128">
        <f>($AM195-$AH195)/($AM$39-$AH$39)+AH195</f>
        <v>0.254</v>
      </c>
      <c r="AJ195" s="128">
        <f>($AM195-$AH195)/($AM$39-$AH$39)+AI195</f>
        <v>0.22800000000000001</v>
      </c>
      <c r="AK195" s="128">
        <f>($AM195-$AH195)/($AM$39-$AH$39)+AJ195</f>
        <v>0.20200000000000001</v>
      </c>
      <c r="AL195" s="128">
        <f>($AM195-$AH195)/($AM$39-$AH$39)+AK195</f>
        <v>0.17600000000000002</v>
      </c>
      <c r="AM195" s="129">
        <f>K192</f>
        <v>0.15</v>
      </c>
      <c r="AN195" s="128">
        <f>($AR195-$AM195)/($AR$39-$AM$39)+AM195</f>
        <v>0.13600000000000001</v>
      </c>
      <c r="AO195" s="128">
        <f>($AR195-$AM195)/($AR$39-$AM$39)+AN195</f>
        <v>0.12200000000000001</v>
      </c>
      <c r="AP195" s="128">
        <f>($AR195-$AM195)/($AR$39-$AM$39)+AO195</f>
        <v>0.10800000000000001</v>
      </c>
      <c r="AQ195" s="128">
        <f>($AR195-$AM195)/($AR$39-$AM$39)+AP195</f>
        <v>9.4000000000000014E-2</v>
      </c>
      <c r="AR195" s="129">
        <f>L192</f>
        <v>0.08</v>
      </c>
      <c r="AS195" s="128">
        <f>($AW195-$AR195)/($AW$39-$AR$39)+AR195</f>
        <v>7.3999999999999996E-2</v>
      </c>
      <c r="AT195" s="128">
        <f>($AW195-$AR195)/($AW$39-$AR$39)+AS195</f>
        <v>6.7999999999999991E-2</v>
      </c>
      <c r="AU195" s="128">
        <f>($AW195-$AR195)/($AW$39-$AR$39)+AT195</f>
        <v>6.1999999999999993E-2</v>
      </c>
      <c r="AV195" s="128">
        <f>($AW195-$AR195)/($AW$39-$AR$39)+AU195</f>
        <v>5.5999999999999994E-2</v>
      </c>
      <c r="AW195" s="129">
        <f>M192</f>
        <v>0.05</v>
      </c>
      <c r="AX195" s="128">
        <f>($BB195-$AW195)/($BB$39-$AW$39)+AW195</f>
        <v>4.5000000000000005E-2</v>
      </c>
      <c r="AY195" s="128">
        <f>($BB195-$AW195)/($BB$39-$AW$39)+AX195</f>
        <v>4.0000000000000008E-2</v>
      </c>
      <c r="AZ195" s="128">
        <f>($BB195-$AW195)/($BB$39-$AW$39)+AY195</f>
        <v>3.500000000000001E-2</v>
      </c>
      <c r="BA195" s="128">
        <f>($BB195-$AW195)/($BB$39-$AW$39)+AZ195</f>
        <v>3.0000000000000009E-2</v>
      </c>
      <c r="BB195" s="129">
        <f>N192</f>
        <v>2.5000000000000001E-2</v>
      </c>
      <c r="BC195" s="128">
        <f>($BG195-$BB195)/($BG$39-$BB$39)+BB195</f>
        <v>2.2000000000000002E-2</v>
      </c>
      <c r="BD195" s="128">
        <f>($BG195-$BB195)/($BG$39-$BB$39)+BC195</f>
        <v>1.9000000000000003E-2</v>
      </c>
      <c r="BE195" s="128">
        <f>($BG195-$BB195)/($BG$39-$BB$39)+BD195</f>
        <v>1.6000000000000004E-2</v>
      </c>
      <c r="BF195" s="128">
        <f>($BG195-$BB195)/($BG$39-$BB$39)+BE195</f>
        <v>1.3000000000000005E-2</v>
      </c>
      <c r="BG195" s="129">
        <f>O192</f>
        <v>0.01</v>
      </c>
      <c r="BH195" s="128">
        <f>($BL195-$BG195)/($BL$39-$BG$39)+BG195</f>
        <v>8.8000000000000005E-3</v>
      </c>
      <c r="BI195" s="128">
        <f>($BL195-$BG195)/($BL$39-$BG$39)+BH195</f>
        <v>7.6000000000000009E-3</v>
      </c>
      <c r="BJ195" s="128">
        <f>($BL195-$BG195)/($BL$39-$BG$39)+BI195</f>
        <v>6.4000000000000012E-3</v>
      </c>
      <c r="BK195" s="128">
        <f>($BL195-$BG195)/($BL$39-$BG$39)+BJ195</f>
        <v>5.2000000000000015E-3</v>
      </c>
      <c r="BL195" s="129">
        <f>P192</f>
        <v>4.0000000000000001E-3</v>
      </c>
      <c r="BM195" s="128">
        <f>($BQ195-$BL195)/($BQ$39-$BL$39)+BL195</f>
        <v>3.4000000000000002E-3</v>
      </c>
      <c r="BN195" s="128">
        <f>($BQ195-$BL195)/($BQ$39-$BL$39)+BM195</f>
        <v>2.8000000000000004E-3</v>
      </c>
      <c r="BO195" s="128">
        <f>($BQ195-$BL195)/($BQ$39-$BL$39)+BN195</f>
        <v>2.2000000000000006E-3</v>
      </c>
      <c r="BP195" s="128">
        <f>($BQ195-$BL195)/($BQ$39-$BL$39)+BO195</f>
        <v>1.6000000000000005E-3</v>
      </c>
      <c r="BQ195" s="129">
        <f>Q192</f>
        <v>1E-3</v>
      </c>
      <c r="BR195" s="128">
        <f>($BV195-$BQ195)/($BV$39-$BQ$39)+BQ195</f>
        <v>8.0000000000000004E-4</v>
      </c>
      <c r="BS195" s="128">
        <f>($BV195-$BQ195)/($BV$39-$BQ$39)+BR195</f>
        <v>6.0000000000000006E-4</v>
      </c>
      <c r="BT195" s="128">
        <f>($BV195-$BQ195)/($BV$39-$BQ$39)+BS195</f>
        <v>4.0000000000000007E-4</v>
      </c>
      <c r="BU195" s="128">
        <f>($BV195-$BQ195)/($BV$39-$BQ$39)+BT195</f>
        <v>2.0000000000000006E-4</v>
      </c>
      <c r="BV195" s="129">
        <f>R192</f>
        <v>0</v>
      </c>
      <c r="BW195" s="97" t="s">
        <v>619</v>
      </c>
    </row>
    <row r="196" spans="2:75" ht="15.75" thickBot="1"/>
    <row r="197" spans="2:75">
      <c r="BE197" s="173" t="s">
        <v>659</v>
      </c>
    </row>
    <row r="198" spans="2:75" ht="15.75" thickBot="1">
      <c r="BC198" s="143" t="s">
        <v>662</v>
      </c>
      <c r="BD198" s="143"/>
      <c r="BE198" s="174">
        <f>BE200/BD200</f>
        <v>12.603218007798327</v>
      </c>
    </row>
    <row r="199" spans="2:75">
      <c r="AU199" s="97" t="s">
        <v>663</v>
      </c>
      <c r="AV199" s="104">
        <f>(AV200/AJ200)^(1/(AV$1-AJ$1))-1</f>
        <v>1.2533799795972911E-3</v>
      </c>
      <c r="BA199" s="145" t="s">
        <v>664</v>
      </c>
      <c r="BB199" s="145" t="s">
        <v>665</v>
      </c>
      <c r="BC199" s="143" t="s">
        <v>666</v>
      </c>
      <c r="BD199" s="143" t="s">
        <v>667</v>
      </c>
      <c r="BE199" s="143" t="s">
        <v>668</v>
      </c>
    </row>
    <row r="200" spans="2:75">
      <c r="B200" s="119" t="s">
        <v>711</v>
      </c>
      <c r="C200" s="135">
        <f t="shared" ref="C200:AU200" si="119">SUM(C201:C246)</f>
        <v>60388</v>
      </c>
      <c r="D200" s="135">
        <f t="shared" si="119"/>
        <v>64589.058754805847</v>
      </c>
      <c r="E200" s="135">
        <f t="shared" si="119"/>
        <v>69109.409308051036</v>
      </c>
      <c r="F200" s="135">
        <f t="shared" si="119"/>
        <v>73300.174861296226</v>
      </c>
      <c r="G200" s="135">
        <f t="shared" si="119"/>
        <v>75319.680414541421</v>
      </c>
      <c r="H200" s="135">
        <f t="shared" si="119"/>
        <v>80435.092967786622</v>
      </c>
      <c r="I200" s="135">
        <f t="shared" si="119"/>
        <v>82744.538521031805</v>
      </c>
      <c r="J200" s="135">
        <f t="shared" si="119"/>
        <v>86876.95018076741</v>
      </c>
      <c r="K200" s="135">
        <f t="shared" si="119"/>
        <v>87641.846840502971</v>
      </c>
      <c r="L200" s="135">
        <f t="shared" si="119"/>
        <v>88271.232500238577</v>
      </c>
      <c r="M200" s="135">
        <f t="shared" si="119"/>
        <v>92951.567159974133</v>
      </c>
      <c r="N200" s="135">
        <f t="shared" si="119"/>
        <v>95035.554819709723</v>
      </c>
      <c r="O200" s="135">
        <f t="shared" si="119"/>
        <v>97565.99667163282</v>
      </c>
      <c r="P200" s="135">
        <f t="shared" si="119"/>
        <v>94658.508523555924</v>
      </c>
      <c r="Q200" s="135">
        <f t="shared" si="119"/>
        <v>84186.658375479048</v>
      </c>
      <c r="R200" s="135">
        <f t="shared" si="119"/>
        <v>111559.86922740217</v>
      </c>
      <c r="S200" s="135">
        <f t="shared" si="119"/>
        <v>115265.68707932526</v>
      </c>
      <c r="T200" s="135">
        <f t="shared" si="119"/>
        <v>89383.031676681116</v>
      </c>
      <c r="U200" s="135">
        <f t="shared" si="119"/>
        <v>115448.43127403691</v>
      </c>
      <c r="V200" s="135">
        <f t="shared" si="119"/>
        <v>163898.79587139271</v>
      </c>
      <c r="W200" s="135">
        <f t="shared" si="119"/>
        <v>185173.61546874855</v>
      </c>
      <c r="X200" s="135">
        <f t="shared" si="119"/>
        <v>183147.84206610441</v>
      </c>
      <c r="Y200" s="135">
        <f t="shared" si="119"/>
        <v>250048.18172836411</v>
      </c>
      <c r="Z200" s="135">
        <f t="shared" si="119"/>
        <v>271295.45639062382</v>
      </c>
      <c r="AA200" s="135">
        <f t="shared" si="119"/>
        <v>275338.94405288348</v>
      </c>
      <c r="AB200" s="135">
        <f t="shared" si="119"/>
        <v>226965.72971514321</v>
      </c>
      <c r="AC200" s="135">
        <f t="shared" si="119"/>
        <v>226110.03337740293</v>
      </c>
      <c r="AD200" s="135">
        <f t="shared" si="119"/>
        <v>262098.38572019147</v>
      </c>
      <c r="AE200" s="135">
        <f t="shared" si="119"/>
        <v>268452.08606298</v>
      </c>
      <c r="AF200" s="135">
        <f t="shared" si="119"/>
        <v>273697.32340576855</v>
      </c>
      <c r="AG200" s="135">
        <f t="shared" si="119"/>
        <v>271215.1637485571</v>
      </c>
      <c r="AH200" s="135">
        <f t="shared" si="119"/>
        <v>240131.75009134569</v>
      </c>
      <c r="AI200" s="135">
        <f t="shared" si="119"/>
        <v>247588.93747572062</v>
      </c>
      <c r="AJ200" s="135">
        <f t="shared" si="119"/>
        <v>251112.45386009576</v>
      </c>
      <c r="AK200" s="135">
        <f t="shared" si="119"/>
        <v>251617.91824447075</v>
      </c>
      <c r="AL200" s="135">
        <f t="shared" si="119"/>
        <v>243259.66462884581</v>
      </c>
      <c r="AM200" s="137">
        <f t="shared" si="119"/>
        <v>243988.58301322089</v>
      </c>
      <c r="AN200" s="134">
        <f t="shared" si="119"/>
        <v>244212.93275865351</v>
      </c>
      <c r="AO200" s="134">
        <f t="shared" si="119"/>
        <v>264506.51250408625</v>
      </c>
      <c r="AP200" s="134">
        <f t="shared" si="119"/>
        <v>294803.92524951894</v>
      </c>
      <c r="AQ200" s="134">
        <f t="shared" si="119"/>
        <v>291861.90899495175</v>
      </c>
      <c r="AR200" s="134">
        <f t="shared" si="119"/>
        <v>286425.98374038446</v>
      </c>
      <c r="AS200" s="134">
        <f t="shared" si="119"/>
        <v>271702.5630598556</v>
      </c>
      <c r="AT200" s="134">
        <f t="shared" si="119"/>
        <v>265218.49037932674</v>
      </c>
      <c r="AU200" s="134">
        <f t="shared" si="119"/>
        <v>268930.216698798</v>
      </c>
      <c r="AV200" s="134">
        <f>SUM(AV201:AV246)</f>
        <v>254915.47101826905</v>
      </c>
      <c r="BA200" s="145"/>
      <c r="BB200" s="145"/>
      <c r="BD200" s="111">
        <f>SUM(BD201:BD246)</f>
        <v>254915.47101826905</v>
      </c>
      <c r="BE200" s="146">
        <f>SUM(BE201:BE246)</f>
        <v>3212755.254803841</v>
      </c>
      <c r="BW200" s="97" t="s">
        <v>619</v>
      </c>
    </row>
    <row r="201" spans="2:75">
      <c r="B201" s="147" t="s">
        <v>671</v>
      </c>
      <c r="C201" s="102">
        <f>D3</f>
        <v>60388</v>
      </c>
      <c r="D201" s="102">
        <f t="shared" ref="D201:AV201" si="120">$C201*E$195</f>
        <v>60327.612000000001</v>
      </c>
      <c r="E201" s="102">
        <f t="shared" si="120"/>
        <v>60267.224000000002</v>
      </c>
      <c r="F201" s="102">
        <f t="shared" si="120"/>
        <v>60206.836000000003</v>
      </c>
      <c r="G201" s="102">
        <f t="shared" si="120"/>
        <v>60146.447999999997</v>
      </c>
      <c r="H201" s="102">
        <f t="shared" si="120"/>
        <v>60086.06</v>
      </c>
      <c r="I201" s="102">
        <f t="shared" si="120"/>
        <v>59904.896000000001</v>
      </c>
      <c r="J201" s="102">
        <f t="shared" si="120"/>
        <v>59723.731999999996</v>
      </c>
      <c r="K201" s="102">
        <f t="shared" si="120"/>
        <v>59542.567999999999</v>
      </c>
      <c r="L201" s="102">
        <f t="shared" si="120"/>
        <v>59361.404000000002</v>
      </c>
      <c r="M201" s="102">
        <f t="shared" si="120"/>
        <v>59180.24</v>
      </c>
      <c r="N201" s="102">
        <f t="shared" si="120"/>
        <v>58214.031999999999</v>
      </c>
      <c r="O201" s="102">
        <f t="shared" si="120"/>
        <v>57247.824000000001</v>
      </c>
      <c r="P201" s="102">
        <f t="shared" si="120"/>
        <v>56281.615999999995</v>
      </c>
      <c r="Q201" s="102">
        <f t="shared" si="120"/>
        <v>55315.407999999996</v>
      </c>
      <c r="R201" s="102">
        <f t="shared" si="120"/>
        <v>54349.200000000004</v>
      </c>
      <c r="S201" s="102">
        <f t="shared" si="120"/>
        <v>52537.56</v>
      </c>
      <c r="T201" s="102">
        <f t="shared" si="120"/>
        <v>50725.919999999998</v>
      </c>
      <c r="U201" s="102">
        <f t="shared" si="120"/>
        <v>48914.28</v>
      </c>
      <c r="V201" s="102">
        <f t="shared" si="120"/>
        <v>47102.639999999992</v>
      </c>
      <c r="W201" s="102">
        <f t="shared" si="120"/>
        <v>45291</v>
      </c>
      <c r="X201" s="102">
        <f t="shared" si="120"/>
        <v>42271.6</v>
      </c>
      <c r="Y201" s="102">
        <f t="shared" si="120"/>
        <v>39252.199999999997</v>
      </c>
      <c r="Z201" s="102">
        <f t="shared" si="120"/>
        <v>36232.799999999988</v>
      </c>
      <c r="AA201" s="102">
        <f t="shared" si="120"/>
        <v>33213.399999999987</v>
      </c>
      <c r="AB201" s="102">
        <f t="shared" si="120"/>
        <v>30194</v>
      </c>
      <c r="AC201" s="102">
        <f t="shared" si="120"/>
        <v>27536.928</v>
      </c>
      <c r="AD201" s="102">
        <f t="shared" si="120"/>
        <v>24879.856000000003</v>
      </c>
      <c r="AE201" s="102">
        <f t="shared" si="120"/>
        <v>22222.784000000003</v>
      </c>
      <c r="AF201" s="102">
        <f t="shared" si="120"/>
        <v>19565.712000000003</v>
      </c>
      <c r="AG201" s="102">
        <f t="shared" si="120"/>
        <v>16908.640000000003</v>
      </c>
      <c r="AH201" s="102">
        <f t="shared" si="120"/>
        <v>15338.552</v>
      </c>
      <c r="AI201" s="102">
        <f t="shared" si="120"/>
        <v>13768.464</v>
      </c>
      <c r="AJ201" s="102">
        <f t="shared" si="120"/>
        <v>12198.376</v>
      </c>
      <c r="AK201" s="102">
        <f t="shared" si="120"/>
        <v>10628.288</v>
      </c>
      <c r="AL201" s="102">
        <f t="shared" si="120"/>
        <v>9058.1999999999989</v>
      </c>
      <c r="AM201" s="103">
        <f t="shared" si="120"/>
        <v>8212.768</v>
      </c>
      <c r="AN201" s="148">
        <f t="shared" si="120"/>
        <v>7367.3360000000002</v>
      </c>
      <c r="AO201" s="148">
        <f t="shared" si="120"/>
        <v>6521.9040000000005</v>
      </c>
      <c r="AP201" s="148">
        <f t="shared" si="120"/>
        <v>5676.4720000000007</v>
      </c>
      <c r="AQ201" s="148">
        <f t="shared" si="120"/>
        <v>4831.04</v>
      </c>
      <c r="AR201" s="148">
        <f t="shared" si="120"/>
        <v>4468.7119999999995</v>
      </c>
      <c r="AS201" s="148">
        <f t="shared" si="120"/>
        <v>4106.3839999999991</v>
      </c>
      <c r="AT201" s="148">
        <f t="shared" si="120"/>
        <v>3744.0559999999996</v>
      </c>
      <c r="AU201" s="148">
        <f t="shared" si="120"/>
        <v>3381.7279999999996</v>
      </c>
      <c r="AV201" s="148">
        <f t="shared" si="120"/>
        <v>3019.4</v>
      </c>
      <c r="BA201" s="145">
        <f>-BC201</f>
        <v>-45</v>
      </c>
      <c r="BB201" s="149">
        <f t="shared" ref="BB201:BB246" si="121">(IF(BD201&gt;0,BD201,0))/10^6</f>
        <v>3.0194000000000002E-3</v>
      </c>
      <c r="BC201" s="97">
        <v>45</v>
      </c>
      <c r="BD201" s="111">
        <f t="shared" ref="BD201:BD246" si="122">AV201</f>
        <v>3019.4</v>
      </c>
      <c r="BE201" s="111">
        <f t="shared" ref="BE201:BE246" si="123">BC201*BD201</f>
        <v>135873</v>
      </c>
      <c r="BW201" s="97" t="s">
        <v>619</v>
      </c>
    </row>
    <row r="202" spans="2:75">
      <c r="B202" s="98">
        <v>1980</v>
      </c>
      <c r="D202" s="102">
        <f>D$184</f>
        <v>4261.4467548058428</v>
      </c>
      <c r="E202" s="102">
        <f t="shared" ref="E202:AV202" si="124">$D202*E$195</f>
        <v>4257.1853080510373</v>
      </c>
      <c r="F202" s="102">
        <f t="shared" si="124"/>
        <v>4252.9238612962308</v>
      </c>
      <c r="G202" s="102">
        <f t="shared" si="124"/>
        <v>4248.6624145414253</v>
      </c>
      <c r="H202" s="102">
        <f t="shared" si="124"/>
        <v>4244.4009677866197</v>
      </c>
      <c r="I202" s="102">
        <f t="shared" si="124"/>
        <v>4240.1395210318133</v>
      </c>
      <c r="J202" s="102">
        <f t="shared" si="124"/>
        <v>4227.3551807673957</v>
      </c>
      <c r="K202" s="102">
        <f t="shared" si="124"/>
        <v>4214.5708405029782</v>
      </c>
      <c r="L202" s="102">
        <f t="shared" si="124"/>
        <v>4201.7865002385606</v>
      </c>
      <c r="M202" s="102">
        <f t="shared" si="124"/>
        <v>4189.0021599741431</v>
      </c>
      <c r="N202" s="102">
        <f t="shared" si="124"/>
        <v>4176.2178197097255</v>
      </c>
      <c r="O202" s="102">
        <f t="shared" si="124"/>
        <v>4108.0346716328322</v>
      </c>
      <c r="P202" s="102">
        <f t="shared" si="124"/>
        <v>4039.8515235559389</v>
      </c>
      <c r="Q202" s="102">
        <f t="shared" si="124"/>
        <v>3971.6683754790452</v>
      </c>
      <c r="R202" s="102">
        <f t="shared" si="124"/>
        <v>3903.4852274021518</v>
      </c>
      <c r="S202" s="102">
        <f t="shared" si="124"/>
        <v>3835.3020793252585</v>
      </c>
      <c r="T202" s="102">
        <f t="shared" si="124"/>
        <v>3707.458676681083</v>
      </c>
      <c r="U202" s="102">
        <f t="shared" si="124"/>
        <v>3579.615274036908</v>
      </c>
      <c r="V202" s="102">
        <f t="shared" si="124"/>
        <v>3451.7718713927325</v>
      </c>
      <c r="W202" s="102">
        <f t="shared" si="124"/>
        <v>3323.928468748557</v>
      </c>
      <c r="X202" s="102">
        <f t="shared" si="124"/>
        <v>3196.0850661043823</v>
      </c>
      <c r="Y202" s="102">
        <f t="shared" si="124"/>
        <v>2983.01272836409</v>
      </c>
      <c r="Z202" s="102">
        <f t="shared" si="124"/>
        <v>2769.9403906237976</v>
      </c>
      <c r="AA202" s="102">
        <f t="shared" si="124"/>
        <v>2556.8680528835052</v>
      </c>
      <c r="AB202" s="102">
        <f t="shared" si="124"/>
        <v>2343.7957151432129</v>
      </c>
      <c r="AC202" s="102">
        <f t="shared" si="124"/>
        <v>2130.7233774029214</v>
      </c>
      <c r="AD202" s="102">
        <f t="shared" si="124"/>
        <v>1943.2197201914644</v>
      </c>
      <c r="AE202" s="102">
        <f t="shared" si="124"/>
        <v>1755.7160629800073</v>
      </c>
      <c r="AF202" s="102">
        <f t="shared" si="124"/>
        <v>1568.2124057685503</v>
      </c>
      <c r="AG202" s="102">
        <f t="shared" si="124"/>
        <v>1380.7087485570933</v>
      </c>
      <c r="AH202" s="102">
        <f t="shared" si="124"/>
        <v>1193.205091345636</v>
      </c>
      <c r="AI202" s="102">
        <f t="shared" si="124"/>
        <v>1082.407475720684</v>
      </c>
      <c r="AJ202" s="102">
        <f t="shared" si="124"/>
        <v>971.60986009573219</v>
      </c>
      <c r="AK202" s="102">
        <f t="shared" si="124"/>
        <v>860.81224447078034</v>
      </c>
      <c r="AL202" s="102">
        <f t="shared" si="124"/>
        <v>750.01462884582838</v>
      </c>
      <c r="AM202" s="103">
        <f t="shared" si="124"/>
        <v>639.21701322087642</v>
      </c>
      <c r="AN202" s="148">
        <f t="shared" si="124"/>
        <v>579.55675865359467</v>
      </c>
      <c r="AO202" s="148">
        <f t="shared" si="124"/>
        <v>519.89650408631292</v>
      </c>
      <c r="AP202" s="148">
        <f t="shared" si="124"/>
        <v>460.23624951903111</v>
      </c>
      <c r="AQ202" s="148">
        <f t="shared" si="124"/>
        <v>400.57599495174929</v>
      </c>
      <c r="AR202" s="148">
        <f t="shared" si="124"/>
        <v>340.91574038446743</v>
      </c>
      <c r="AS202" s="148">
        <f t="shared" si="124"/>
        <v>315.34705985563238</v>
      </c>
      <c r="AT202" s="148">
        <f t="shared" si="124"/>
        <v>289.77837932679728</v>
      </c>
      <c r="AU202" s="148">
        <f t="shared" si="124"/>
        <v>264.20969879796223</v>
      </c>
      <c r="AV202" s="148">
        <f t="shared" si="124"/>
        <v>238.64101826912719</v>
      </c>
      <c r="BA202" s="97">
        <v>-44</v>
      </c>
      <c r="BB202" s="149">
        <f t="shared" si="121"/>
        <v>2.386410182691272E-4</v>
      </c>
      <c r="BC202" s="97">
        <v>44</v>
      </c>
      <c r="BD202" s="111">
        <f t="shared" si="122"/>
        <v>238.64101826912719</v>
      </c>
      <c r="BE202" s="111">
        <f t="shared" si="123"/>
        <v>10500.204803841596</v>
      </c>
      <c r="BW202" s="97" t="s">
        <v>619</v>
      </c>
    </row>
    <row r="203" spans="2:75">
      <c r="B203" s="98">
        <v>1981</v>
      </c>
      <c r="D203" s="102"/>
      <c r="E203" s="102">
        <f>E$184</f>
        <v>4585</v>
      </c>
      <c r="F203" s="102">
        <f t="shared" ref="F203:AV203" si="125">$E203*E$195</f>
        <v>4580.415</v>
      </c>
      <c r="G203" s="102">
        <f t="shared" si="125"/>
        <v>4575.83</v>
      </c>
      <c r="H203" s="102">
        <f t="shared" si="125"/>
        <v>4571.2449999999999</v>
      </c>
      <c r="I203" s="102">
        <f t="shared" si="125"/>
        <v>4566.66</v>
      </c>
      <c r="J203" s="102">
        <f t="shared" si="125"/>
        <v>4562.0749999999998</v>
      </c>
      <c r="K203" s="102">
        <f t="shared" si="125"/>
        <v>4548.32</v>
      </c>
      <c r="L203" s="102">
        <f t="shared" si="125"/>
        <v>4534.5649999999996</v>
      </c>
      <c r="M203" s="102">
        <f t="shared" si="125"/>
        <v>4520.8099999999995</v>
      </c>
      <c r="N203" s="102">
        <f t="shared" si="125"/>
        <v>4507.0550000000003</v>
      </c>
      <c r="O203" s="102">
        <f t="shared" si="125"/>
        <v>4493.3</v>
      </c>
      <c r="P203" s="102">
        <f t="shared" si="125"/>
        <v>4419.9399999999996</v>
      </c>
      <c r="Q203" s="102">
        <f t="shared" si="125"/>
        <v>4346.58</v>
      </c>
      <c r="R203" s="102">
        <f t="shared" si="125"/>
        <v>4273.2199999999993</v>
      </c>
      <c r="S203" s="102">
        <f t="shared" si="125"/>
        <v>4199.8599999999997</v>
      </c>
      <c r="T203" s="102">
        <f t="shared" si="125"/>
        <v>4126.5</v>
      </c>
      <c r="U203" s="102">
        <f t="shared" si="125"/>
        <v>3988.95</v>
      </c>
      <c r="V203" s="102">
        <f t="shared" si="125"/>
        <v>3851.3999999999996</v>
      </c>
      <c r="W203" s="102">
        <f t="shared" si="125"/>
        <v>3713.85</v>
      </c>
      <c r="X203" s="102">
        <f t="shared" si="125"/>
        <v>3576.2999999999997</v>
      </c>
      <c r="Y203" s="102">
        <f t="shared" si="125"/>
        <v>3438.75</v>
      </c>
      <c r="Z203" s="102">
        <f t="shared" si="125"/>
        <v>3209.5</v>
      </c>
      <c r="AA203" s="102">
        <f t="shared" si="125"/>
        <v>2980.2499999999995</v>
      </c>
      <c r="AB203" s="102">
        <f t="shared" si="125"/>
        <v>2750.9999999999995</v>
      </c>
      <c r="AC203" s="102">
        <f t="shared" si="125"/>
        <v>2521.7499999999991</v>
      </c>
      <c r="AD203" s="102">
        <f t="shared" si="125"/>
        <v>2292.5</v>
      </c>
      <c r="AE203" s="102">
        <f t="shared" si="125"/>
        <v>2090.7600000000002</v>
      </c>
      <c r="AF203" s="102">
        <f t="shared" si="125"/>
        <v>1889.0200000000002</v>
      </c>
      <c r="AG203" s="102">
        <f t="shared" si="125"/>
        <v>1687.2800000000002</v>
      </c>
      <c r="AH203" s="102">
        <f t="shared" si="125"/>
        <v>1485.5400000000002</v>
      </c>
      <c r="AI203" s="102">
        <f t="shared" si="125"/>
        <v>1283.8000000000002</v>
      </c>
      <c r="AJ203" s="102">
        <f t="shared" si="125"/>
        <v>1164.5899999999999</v>
      </c>
      <c r="AK203" s="102">
        <f t="shared" si="125"/>
        <v>1045.3800000000001</v>
      </c>
      <c r="AL203" s="102">
        <f t="shared" si="125"/>
        <v>926.17000000000007</v>
      </c>
      <c r="AM203" s="103">
        <f t="shared" si="125"/>
        <v>806.96</v>
      </c>
      <c r="AN203" s="148">
        <f t="shared" si="125"/>
        <v>687.75</v>
      </c>
      <c r="AO203" s="148">
        <f t="shared" si="125"/>
        <v>623.56000000000006</v>
      </c>
      <c r="AP203" s="148">
        <f t="shared" si="125"/>
        <v>559.37</v>
      </c>
      <c r="AQ203" s="148">
        <f t="shared" si="125"/>
        <v>495.18000000000006</v>
      </c>
      <c r="AR203" s="148">
        <f t="shared" si="125"/>
        <v>430.99000000000007</v>
      </c>
      <c r="AS203" s="148">
        <f t="shared" si="125"/>
        <v>366.8</v>
      </c>
      <c r="AT203" s="148">
        <f t="shared" si="125"/>
        <v>339.28999999999996</v>
      </c>
      <c r="AU203" s="148">
        <f t="shared" si="125"/>
        <v>311.77999999999997</v>
      </c>
      <c r="AV203" s="148">
        <f t="shared" si="125"/>
        <v>284.27</v>
      </c>
      <c r="BA203" s="97">
        <v>-43</v>
      </c>
      <c r="BB203" s="149">
        <f t="shared" si="121"/>
        <v>2.8426999999999999E-4</v>
      </c>
      <c r="BC203" s="97">
        <v>43</v>
      </c>
      <c r="BD203" s="111">
        <f t="shared" si="122"/>
        <v>284.27</v>
      </c>
      <c r="BE203" s="111">
        <f t="shared" si="123"/>
        <v>12223.609999999999</v>
      </c>
      <c r="BW203" s="97" t="s">
        <v>619</v>
      </c>
    </row>
    <row r="204" spans="2:75">
      <c r="B204" s="98">
        <v>1982</v>
      </c>
      <c r="D204" s="102"/>
      <c r="E204" s="102"/>
      <c r="F204" s="102">
        <f>F$184</f>
        <v>4260</v>
      </c>
      <c r="G204" s="102">
        <f t="shared" ref="G204:AV204" si="126">$F204*E$195</f>
        <v>4255.74</v>
      </c>
      <c r="H204" s="102">
        <f t="shared" si="126"/>
        <v>4251.4799999999996</v>
      </c>
      <c r="I204" s="102">
        <f t="shared" si="126"/>
        <v>4247.22</v>
      </c>
      <c r="J204" s="102">
        <f t="shared" si="126"/>
        <v>4242.96</v>
      </c>
      <c r="K204" s="102">
        <f t="shared" si="126"/>
        <v>4238.7</v>
      </c>
      <c r="L204" s="102">
        <f t="shared" si="126"/>
        <v>4225.92</v>
      </c>
      <c r="M204" s="102">
        <f t="shared" si="126"/>
        <v>4213.1400000000003</v>
      </c>
      <c r="N204" s="102">
        <f t="shared" si="126"/>
        <v>4200.3599999999997</v>
      </c>
      <c r="O204" s="102">
        <f t="shared" si="126"/>
        <v>4187.58</v>
      </c>
      <c r="P204" s="102">
        <f t="shared" si="126"/>
        <v>4174.8</v>
      </c>
      <c r="Q204" s="102">
        <f t="shared" si="126"/>
        <v>4106.6399999999994</v>
      </c>
      <c r="R204" s="102">
        <f t="shared" si="126"/>
        <v>4038.48</v>
      </c>
      <c r="S204" s="102">
        <f t="shared" si="126"/>
        <v>3970.3199999999997</v>
      </c>
      <c r="T204" s="102">
        <f t="shared" si="126"/>
        <v>3902.16</v>
      </c>
      <c r="U204" s="102">
        <f t="shared" si="126"/>
        <v>3834</v>
      </c>
      <c r="V204" s="102">
        <f t="shared" si="126"/>
        <v>3706.2</v>
      </c>
      <c r="W204" s="102">
        <f t="shared" si="126"/>
        <v>3578.4</v>
      </c>
      <c r="X204" s="102">
        <f t="shared" si="126"/>
        <v>3450.6</v>
      </c>
      <c r="Y204" s="102">
        <f t="shared" si="126"/>
        <v>3322.7999999999997</v>
      </c>
      <c r="Z204" s="102">
        <f t="shared" si="126"/>
        <v>3195</v>
      </c>
      <c r="AA204" s="102">
        <f t="shared" si="126"/>
        <v>2982</v>
      </c>
      <c r="AB204" s="102">
        <f t="shared" si="126"/>
        <v>2768.9999999999995</v>
      </c>
      <c r="AC204" s="102">
        <f t="shared" si="126"/>
        <v>2555.9999999999995</v>
      </c>
      <c r="AD204" s="102">
        <f t="shared" si="126"/>
        <v>2342.9999999999991</v>
      </c>
      <c r="AE204" s="102">
        <f t="shared" si="126"/>
        <v>2130</v>
      </c>
      <c r="AF204" s="102">
        <f t="shared" si="126"/>
        <v>1942.5600000000002</v>
      </c>
      <c r="AG204" s="102">
        <f t="shared" si="126"/>
        <v>1755.1200000000001</v>
      </c>
      <c r="AH204" s="102">
        <f t="shared" si="126"/>
        <v>1567.6800000000003</v>
      </c>
      <c r="AI204" s="102">
        <f t="shared" si="126"/>
        <v>1380.2400000000002</v>
      </c>
      <c r="AJ204" s="102">
        <f t="shared" si="126"/>
        <v>1192.8000000000002</v>
      </c>
      <c r="AK204" s="102">
        <f t="shared" si="126"/>
        <v>1082.04</v>
      </c>
      <c r="AL204" s="102">
        <f t="shared" si="126"/>
        <v>971.28000000000009</v>
      </c>
      <c r="AM204" s="103">
        <f t="shared" si="126"/>
        <v>860.5200000000001</v>
      </c>
      <c r="AN204" s="148">
        <f t="shared" si="126"/>
        <v>749.7600000000001</v>
      </c>
      <c r="AO204" s="148">
        <f t="shared" si="126"/>
        <v>639</v>
      </c>
      <c r="AP204" s="148">
        <f t="shared" si="126"/>
        <v>579.36</v>
      </c>
      <c r="AQ204" s="148">
        <f t="shared" si="126"/>
        <v>519.72</v>
      </c>
      <c r="AR204" s="148">
        <f t="shared" si="126"/>
        <v>460.08000000000004</v>
      </c>
      <c r="AS204" s="148">
        <f t="shared" si="126"/>
        <v>400.44000000000005</v>
      </c>
      <c r="AT204" s="148">
        <f t="shared" si="126"/>
        <v>340.8</v>
      </c>
      <c r="AU204" s="148">
        <f t="shared" si="126"/>
        <v>315.24</v>
      </c>
      <c r="AV204" s="148">
        <f t="shared" si="126"/>
        <v>289.67999999999995</v>
      </c>
      <c r="BA204" s="97">
        <v>-42</v>
      </c>
      <c r="BB204" s="149">
        <f t="shared" si="121"/>
        <v>2.8967999999999995E-4</v>
      </c>
      <c r="BC204" s="97">
        <v>42</v>
      </c>
      <c r="BD204" s="111">
        <f t="shared" si="122"/>
        <v>289.67999999999995</v>
      </c>
      <c r="BE204" s="111">
        <f t="shared" si="123"/>
        <v>12166.559999999998</v>
      </c>
      <c r="BW204" s="97" t="s">
        <v>619</v>
      </c>
    </row>
    <row r="205" spans="2:75">
      <c r="B205" s="98">
        <v>1983</v>
      </c>
      <c r="D205" s="102"/>
      <c r="E205" s="102"/>
      <c r="F205" s="102"/>
      <c r="G205" s="102">
        <f>G$184</f>
        <v>2093</v>
      </c>
      <c r="H205" s="102">
        <f t="shared" ref="H205:AV205" si="127">$G205*E$195</f>
        <v>2090.9070000000002</v>
      </c>
      <c r="I205" s="102">
        <f t="shared" si="127"/>
        <v>2088.8139999999999</v>
      </c>
      <c r="J205" s="102">
        <f t="shared" si="127"/>
        <v>2086.721</v>
      </c>
      <c r="K205" s="102">
        <f t="shared" si="127"/>
        <v>2084.6280000000002</v>
      </c>
      <c r="L205" s="102">
        <f t="shared" si="127"/>
        <v>2082.5349999999999</v>
      </c>
      <c r="M205" s="102">
        <f t="shared" si="127"/>
        <v>2076.2559999999999</v>
      </c>
      <c r="N205" s="102">
        <f t="shared" si="127"/>
        <v>2069.9769999999999</v>
      </c>
      <c r="O205" s="102">
        <f t="shared" si="127"/>
        <v>2063.6979999999999</v>
      </c>
      <c r="P205" s="102">
        <f t="shared" si="127"/>
        <v>2057.4189999999999</v>
      </c>
      <c r="Q205" s="102">
        <f t="shared" si="127"/>
        <v>2051.14</v>
      </c>
      <c r="R205" s="102">
        <f t="shared" si="127"/>
        <v>2017.652</v>
      </c>
      <c r="S205" s="102">
        <f t="shared" si="127"/>
        <v>1984.164</v>
      </c>
      <c r="T205" s="102">
        <f t="shared" si="127"/>
        <v>1950.6759999999999</v>
      </c>
      <c r="U205" s="102">
        <f t="shared" si="127"/>
        <v>1917.1879999999999</v>
      </c>
      <c r="V205" s="102">
        <f t="shared" si="127"/>
        <v>1883.7</v>
      </c>
      <c r="W205" s="102">
        <f t="shared" si="127"/>
        <v>1820.91</v>
      </c>
      <c r="X205" s="102">
        <f t="shared" si="127"/>
        <v>1758.12</v>
      </c>
      <c r="Y205" s="102">
        <f t="shared" si="127"/>
        <v>1695.33</v>
      </c>
      <c r="Z205" s="102">
        <f t="shared" si="127"/>
        <v>1632.5399999999997</v>
      </c>
      <c r="AA205" s="102">
        <f t="shared" si="127"/>
        <v>1569.75</v>
      </c>
      <c r="AB205" s="102">
        <f t="shared" si="127"/>
        <v>1465.1</v>
      </c>
      <c r="AC205" s="102">
        <f t="shared" si="127"/>
        <v>1360.4499999999998</v>
      </c>
      <c r="AD205" s="102">
        <f t="shared" si="127"/>
        <v>1255.7999999999997</v>
      </c>
      <c r="AE205" s="102">
        <f t="shared" si="127"/>
        <v>1151.1499999999996</v>
      </c>
      <c r="AF205" s="102">
        <f t="shared" si="127"/>
        <v>1046.5</v>
      </c>
      <c r="AG205" s="102">
        <f t="shared" si="127"/>
        <v>954.40800000000002</v>
      </c>
      <c r="AH205" s="102">
        <f t="shared" si="127"/>
        <v>862.31600000000003</v>
      </c>
      <c r="AI205" s="102">
        <f t="shared" si="127"/>
        <v>770.22400000000005</v>
      </c>
      <c r="AJ205" s="102">
        <f t="shared" si="127"/>
        <v>678.13200000000018</v>
      </c>
      <c r="AK205" s="102">
        <f t="shared" si="127"/>
        <v>586.04000000000008</v>
      </c>
      <c r="AL205" s="102">
        <f t="shared" si="127"/>
        <v>531.62199999999996</v>
      </c>
      <c r="AM205" s="103">
        <f t="shared" si="127"/>
        <v>477.20400000000001</v>
      </c>
      <c r="AN205" s="148">
        <f t="shared" si="127"/>
        <v>422.786</v>
      </c>
      <c r="AO205" s="148">
        <f t="shared" si="127"/>
        <v>368.36800000000005</v>
      </c>
      <c r="AP205" s="148">
        <f t="shared" si="127"/>
        <v>313.95</v>
      </c>
      <c r="AQ205" s="148">
        <f t="shared" si="127"/>
        <v>284.64800000000002</v>
      </c>
      <c r="AR205" s="148">
        <f t="shared" si="127"/>
        <v>255.34600000000003</v>
      </c>
      <c r="AS205" s="148">
        <f t="shared" si="127"/>
        <v>226.04400000000004</v>
      </c>
      <c r="AT205" s="148">
        <f t="shared" si="127"/>
        <v>196.74200000000002</v>
      </c>
      <c r="AU205" s="148">
        <f t="shared" si="127"/>
        <v>167.44</v>
      </c>
      <c r="AV205" s="148">
        <f t="shared" si="127"/>
        <v>154.88200000000001</v>
      </c>
      <c r="BA205" s="97">
        <v>-41</v>
      </c>
      <c r="BB205" s="149">
        <f t="shared" si="121"/>
        <v>1.5488200000000001E-4</v>
      </c>
      <c r="BC205" s="97">
        <v>41</v>
      </c>
      <c r="BD205" s="111">
        <f t="shared" si="122"/>
        <v>154.88200000000001</v>
      </c>
      <c r="BE205" s="111">
        <f t="shared" si="123"/>
        <v>6350.1620000000003</v>
      </c>
      <c r="BW205" s="97" t="s">
        <v>619</v>
      </c>
    </row>
    <row r="206" spans="2:75">
      <c r="B206" s="98">
        <v>1984</v>
      </c>
      <c r="D206" s="102"/>
      <c r="E206" s="102"/>
      <c r="F206" s="102"/>
      <c r="G206" s="102"/>
      <c r="H206" s="102">
        <f>H$184</f>
        <v>5191</v>
      </c>
      <c r="I206" s="102">
        <f t="shared" ref="I206:AV206" si="128">$H206*E$195</f>
        <v>5185.8090000000002</v>
      </c>
      <c r="J206" s="102">
        <f t="shared" si="128"/>
        <v>5180.6180000000004</v>
      </c>
      <c r="K206" s="102">
        <f t="shared" si="128"/>
        <v>5175.4269999999997</v>
      </c>
      <c r="L206" s="102">
        <f t="shared" si="128"/>
        <v>5170.2359999999999</v>
      </c>
      <c r="M206" s="102">
        <f t="shared" si="128"/>
        <v>5165.0450000000001</v>
      </c>
      <c r="N206" s="102">
        <f t="shared" si="128"/>
        <v>5149.4719999999998</v>
      </c>
      <c r="O206" s="102">
        <f t="shared" si="128"/>
        <v>5133.8990000000003</v>
      </c>
      <c r="P206" s="102">
        <f t="shared" si="128"/>
        <v>5118.326</v>
      </c>
      <c r="Q206" s="102">
        <f t="shared" si="128"/>
        <v>5102.7529999999997</v>
      </c>
      <c r="R206" s="102">
        <f t="shared" si="128"/>
        <v>5087.18</v>
      </c>
      <c r="S206" s="102">
        <f t="shared" si="128"/>
        <v>5004.1239999999998</v>
      </c>
      <c r="T206" s="102">
        <f t="shared" si="128"/>
        <v>4921.0680000000002</v>
      </c>
      <c r="U206" s="102">
        <f t="shared" si="128"/>
        <v>4838.0119999999997</v>
      </c>
      <c r="V206" s="102">
        <f t="shared" si="128"/>
        <v>4754.9559999999992</v>
      </c>
      <c r="W206" s="102">
        <f t="shared" si="128"/>
        <v>4671.9000000000005</v>
      </c>
      <c r="X206" s="102">
        <f t="shared" si="128"/>
        <v>4516.17</v>
      </c>
      <c r="Y206" s="102">
        <f t="shared" si="128"/>
        <v>4360.4399999999996</v>
      </c>
      <c r="Z206" s="102">
        <f t="shared" si="128"/>
        <v>4204.71</v>
      </c>
      <c r="AA206" s="102">
        <f t="shared" si="128"/>
        <v>4048.9799999999996</v>
      </c>
      <c r="AB206" s="102">
        <f t="shared" si="128"/>
        <v>3893.25</v>
      </c>
      <c r="AC206" s="102">
        <f t="shared" si="128"/>
        <v>3633.7</v>
      </c>
      <c r="AD206" s="102">
        <f t="shared" si="128"/>
        <v>3374.1499999999996</v>
      </c>
      <c r="AE206" s="102">
        <f t="shared" si="128"/>
        <v>3114.5999999999995</v>
      </c>
      <c r="AF206" s="102">
        <f t="shared" si="128"/>
        <v>2855.0499999999993</v>
      </c>
      <c r="AG206" s="102">
        <f t="shared" si="128"/>
        <v>2595.5</v>
      </c>
      <c r="AH206" s="102">
        <f t="shared" si="128"/>
        <v>2367.096</v>
      </c>
      <c r="AI206" s="102">
        <f t="shared" si="128"/>
        <v>2138.692</v>
      </c>
      <c r="AJ206" s="102">
        <f t="shared" si="128"/>
        <v>1910.2880000000002</v>
      </c>
      <c r="AK206" s="102">
        <f t="shared" si="128"/>
        <v>1681.8840000000002</v>
      </c>
      <c r="AL206" s="102">
        <f t="shared" si="128"/>
        <v>1453.4800000000002</v>
      </c>
      <c r="AM206" s="103">
        <f t="shared" si="128"/>
        <v>1318.5140000000001</v>
      </c>
      <c r="AN206" s="148">
        <f t="shared" si="128"/>
        <v>1183.548</v>
      </c>
      <c r="AO206" s="148">
        <f t="shared" si="128"/>
        <v>1048.5820000000001</v>
      </c>
      <c r="AP206" s="148">
        <f t="shared" si="128"/>
        <v>913.6160000000001</v>
      </c>
      <c r="AQ206" s="148">
        <f t="shared" si="128"/>
        <v>778.65</v>
      </c>
      <c r="AR206" s="148">
        <f t="shared" si="128"/>
        <v>705.976</v>
      </c>
      <c r="AS206" s="148">
        <f t="shared" si="128"/>
        <v>633.30200000000002</v>
      </c>
      <c r="AT206" s="148">
        <f t="shared" si="128"/>
        <v>560.62800000000004</v>
      </c>
      <c r="AU206" s="148">
        <f t="shared" si="128"/>
        <v>487.95400000000006</v>
      </c>
      <c r="AV206" s="148">
        <f t="shared" si="128"/>
        <v>415.28000000000003</v>
      </c>
      <c r="BA206" s="97">
        <v>-40</v>
      </c>
      <c r="BB206" s="149">
        <f t="shared" si="121"/>
        <v>4.1528000000000002E-4</v>
      </c>
      <c r="BC206" s="97">
        <v>40</v>
      </c>
      <c r="BD206" s="111">
        <f t="shared" si="122"/>
        <v>415.28000000000003</v>
      </c>
      <c r="BE206" s="111">
        <f t="shared" si="123"/>
        <v>16611.2</v>
      </c>
      <c r="BW206" s="97" t="s">
        <v>619</v>
      </c>
    </row>
    <row r="207" spans="2:75">
      <c r="B207" s="98">
        <v>1985</v>
      </c>
      <c r="D207" s="102"/>
      <c r="E207" s="102"/>
      <c r="F207" s="102"/>
      <c r="G207" s="102"/>
      <c r="H207" s="102"/>
      <c r="I207" s="102">
        <f>I$184</f>
        <v>2511</v>
      </c>
      <c r="J207" s="102">
        <f t="shared" ref="J207:AV207" si="129">$I207*E$195</f>
        <v>2508.489</v>
      </c>
      <c r="K207" s="102">
        <f t="shared" si="129"/>
        <v>2505.9780000000001</v>
      </c>
      <c r="L207" s="102">
        <f t="shared" si="129"/>
        <v>2503.4670000000001</v>
      </c>
      <c r="M207" s="102">
        <f t="shared" si="129"/>
        <v>2500.9560000000001</v>
      </c>
      <c r="N207" s="102">
        <f t="shared" si="129"/>
        <v>2498.4450000000002</v>
      </c>
      <c r="O207" s="102">
        <f t="shared" si="129"/>
        <v>2490.9119999999998</v>
      </c>
      <c r="P207" s="102">
        <f t="shared" si="129"/>
        <v>2483.3789999999999</v>
      </c>
      <c r="Q207" s="102">
        <f t="shared" si="129"/>
        <v>2475.846</v>
      </c>
      <c r="R207" s="102">
        <f t="shared" si="129"/>
        <v>2468.3130000000001</v>
      </c>
      <c r="S207" s="102">
        <f t="shared" si="129"/>
        <v>2460.7799999999997</v>
      </c>
      <c r="T207" s="102">
        <f t="shared" si="129"/>
        <v>2420.6039999999998</v>
      </c>
      <c r="U207" s="102">
        <f t="shared" si="129"/>
        <v>2380.4279999999999</v>
      </c>
      <c r="V207" s="102">
        <f t="shared" si="129"/>
        <v>2340.252</v>
      </c>
      <c r="W207" s="102">
        <f t="shared" si="129"/>
        <v>2300.076</v>
      </c>
      <c r="X207" s="102">
        <f t="shared" si="129"/>
        <v>2259.9</v>
      </c>
      <c r="Y207" s="102">
        <f t="shared" si="129"/>
        <v>2184.5700000000002</v>
      </c>
      <c r="Z207" s="102">
        <f t="shared" si="129"/>
        <v>2109.2399999999998</v>
      </c>
      <c r="AA207" s="102">
        <f t="shared" si="129"/>
        <v>2033.9099999999999</v>
      </c>
      <c r="AB207" s="102">
        <f t="shared" si="129"/>
        <v>1958.5799999999997</v>
      </c>
      <c r="AC207" s="102">
        <f t="shared" si="129"/>
        <v>1883.25</v>
      </c>
      <c r="AD207" s="102">
        <f t="shared" si="129"/>
        <v>1757.6999999999998</v>
      </c>
      <c r="AE207" s="102">
        <f t="shared" si="129"/>
        <v>1632.1499999999999</v>
      </c>
      <c r="AF207" s="102">
        <f t="shared" si="129"/>
        <v>1506.5999999999997</v>
      </c>
      <c r="AG207" s="102">
        <f t="shared" si="129"/>
        <v>1381.0499999999995</v>
      </c>
      <c r="AH207" s="102">
        <f t="shared" si="129"/>
        <v>1255.5</v>
      </c>
      <c r="AI207" s="102">
        <f t="shared" si="129"/>
        <v>1145.0160000000001</v>
      </c>
      <c r="AJ207" s="102">
        <f t="shared" si="129"/>
        <v>1034.5320000000002</v>
      </c>
      <c r="AK207" s="102">
        <f t="shared" si="129"/>
        <v>924.04800000000012</v>
      </c>
      <c r="AL207" s="102">
        <f t="shared" si="129"/>
        <v>813.56400000000019</v>
      </c>
      <c r="AM207" s="103">
        <f t="shared" si="129"/>
        <v>703.08</v>
      </c>
      <c r="AN207" s="148">
        <f t="shared" si="129"/>
        <v>637.79399999999998</v>
      </c>
      <c r="AO207" s="148">
        <f t="shared" si="129"/>
        <v>572.50800000000004</v>
      </c>
      <c r="AP207" s="148">
        <f t="shared" si="129"/>
        <v>507.22200000000004</v>
      </c>
      <c r="AQ207" s="148">
        <f t="shared" si="129"/>
        <v>441.93600000000004</v>
      </c>
      <c r="AR207" s="148">
        <f t="shared" si="129"/>
        <v>376.65</v>
      </c>
      <c r="AS207" s="148">
        <f t="shared" si="129"/>
        <v>341.49600000000004</v>
      </c>
      <c r="AT207" s="148">
        <f t="shared" si="129"/>
        <v>306.34200000000004</v>
      </c>
      <c r="AU207" s="148">
        <f t="shared" si="129"/>
        <v>271.18800000000005</v>
      </c>
      <c r="AV207" s="148">
        <f t="shared" si="129"/>
        <v>236.03400000000005</v>
      </c>
      <c r="BA207" s="97">
        <v>-39</v>
      </c>
      <c r="BB207" s="149">
        <f t="shared" si="121"/>
        <v>2.3603400000000004E-4</v>
      </c>
      <c r="BC207" s="97">
        <v>39</v>
      </c>
      <c r="BD207" s="111">
        <f t="shared" si="122"/>
        <v>236.03400000000005</v>
      </c>
      <c r="BE207" s="111">
        <f t="shared" si="123"/>
        <v>9205.3260000000028</v>
      </c>
      <c r="BW207" s="97" t="s">
        <v>619</v>
      </c>
    </row>
    <row r="208" spans="2:75">
      <c r="B208" s="98">
        <v>1986</v>
      </c>
      <c r="D208" s="102"/>
      <c r="E208" s="102"/>
      <c r="F208" s="102"/>
      <c r="G208" s="102"/>
      <c r="H208" s="102"/>
      <c r="I208" s="102"/>
      <c r="J208" s="102">
        <f>J$184</f>
        <v>4345</v>
      </c>
      <c r="K208" s="102">
        <f>$J208*E$195</f>
        <v>4340.6549999999997</v>
      </c>
      <c r="L208" s="102">
        <f t="shared" ref="L208:AV208" si="130">$J208*F$195</f>
        <v>4336.3100000000004</v>
      </c>
      <c r="M208" s="102">
        <f t="shared" si="130"/>
        <v>4331.9650000000001</v>
      </c>
      <c r="N208" s="102">
        <f t="shared" si="130"/>
        <v>4327.62</v>
      </c>
      <c r="O208" s="102">
        <f t="shared" si="130"/>
        <v>4323.2749999999996</v>
      </c>
      <c r="P208" s="102">
        <f t="shared" si="130"/>
        <v>4310.24</v>
      </c>
      <c r="Q208" s="102">
        <f t="shared" si="130"/>
        <v>4297.2049999999999</v>
      </c>
      <c r="R208" s="102">
        <f t="shared" si="130"/>
        <v>4284.17</v>
      </c>
      <c r="S208" s="102">
        <f t="shared" si="130"/>
        <v>4271.1350000000002</v>
      </c>
      <c r="T208" s="102">
        <f t="shared" si="130"/>
        <v>4258.1000000000004</v>
      </c>
      <c r="U208" s="102">
        <f t="shared" si="130"/>
        <v>4188.58</v>
      </c>
      <c r="V208" s="102">
        <f t="shared" si="130"/>
        <v>4119.0599999999995</v>
      </c>
      <c r="W208" s="102">
        <f t="shared" si="130"/>
        <v>4049.54</v>
      </c>
      <c r="X208" s="102">
        <f t="shared" si="130"/>
        <v>3980.0199999999995</v>
      </c>
      <c r="Y208" s="102">
        <f t="shared" si="130"/>
        <v>3910.5</v>
      </c>
      <c r="Z208" s="102">
        <f t="shared" si="130"/>
        <v>3780.15</v>
      </c>
      <c r="AA208" s="102">
        <f t="shared" si="130"/>
        <v>3649.7999999999997</v>
      </c>
      <c r="AB208" s="102">
        <f t="shared" si="130"/>
        <v>3519.45</v>
      </c>
      <c r="AC208" s="102">
        <f t="shared" si="130"/>
        <v>3389.0999999999995</v>
      </c>
      <c r="AD208" s="102">
        <f t="shared" si="130"/>
        <v>3258.75</v>
      </c>
      <c r="AE208" s="102">
        <f t="shared" si="130"/>
        <v>3041.5</v>
      </c>
      <c r="AF208" s="102">
        <f t="shared" si="130"/>
        <v>2824.2499999999995</v>
      </c>
      <c r="AG208" s="102">
        <f t="shared" si="130"/>
        <v>2606.9999999999995</v>
      </c>
      <c r="AH208" s="102">
        <f t="shared" si="130"/>
        <v>2389.7499999999991</v>
      </c>
      <c r="AI208" s="102">
        <f t="shared" si="130"/>
        <v>2172.5</v>
      </c>
      <c r="AJ208" s="102">
        <f t="shared" si="130"/>
        <v>1981.3200000000002</v>
      </c>
      <c r="AK208" s="102">
        <f t="shared" si="130"/>
        <v>1790.14</v>
      </c>
      <c r="AL208" s="102">
        <f t="shared" si="130"/>
        <v>1598.9600000000003</v>
      </c>
      <c r="AM208" s="103">
        <f t="shared" si="130"/>
        <v>1407.7800000000002</v>
      </c>
      <c r="AN208" s="148">
        <f t="shared" si="130"/>
        <v>1216.6000000000001</v>
      </c>
      <c r="AO208" s="148">
        <f t="shared" si="130"/>
        <v>1103.6300000000001</v>
      </c>
      <c r="AP208" s="148">
        <f t="shared" si="130"/>
        <v>990.66000000000008</v>
      </c>
      <c r="AQ208" s="148">
        <f t="shared" si="130"/>
        <v>877.69</v>
      </c>
      <c r="AR208" s="148">
        <f t="shared" si="130"/>
        <v>764.72</v>
      </c>
      <c r="AS208" s="148">
        <f t="shared" si="130"/>
        <v>651.75</v>
      </c>
      <c r="AT208" s="148">
        <f t="shared" si="130"/>
        <v>590.92000000000007</v>
      </c>
      <c r="AU208" s="148">
        <f t="shared" si="130"/>
        <v>530.09</v>
      </c>
      <c r="AV208" s="148">
        <f t="shared" si="130"/>
        <v>469.26000000000005</v>
      </c>
      <c r="BA208" s="97">
        <v>-38</v>
      </c>
      <c r="BB208" s="149">
        <f t="shared" si="121"/>
        <v>4.6926000000000004E-4</v>
      </c>
      <c r="BC208" s="97">
        <v>38</v>
      </c>
      <c r="BD208" s="111">
        <f t="shared" si="122"/>
        <v>469.26000000000005</v>
      </c>
      <c r="BE208" s="111">
        <f t="shared" si="123"/>
        <v>17831.88</v>
      </c>
      <c r="BW208" s="97" t="s">
        <v>619</v>
      </c>
    </row>
    <row r="209" spans="2:75">
      <c r="B209" s="98">
        <v>1987</v>
      </c>
      <c r="D209" s="102"/>
      <c r="E209" s="102"/>
      <c r="F209" s="102"/>
      <c r="G209" s="102"/>
      <c r="H209" s="102"/>
      <c r="I209" s="102"/>
      <c r="J209" s="102"/>
      <c r="K209" s="102">
        <f>K$184</f>
        <v>991</v>
      </c>
      <c r="L209" s="102">
        <f t="shared" ref="L209:AV209" si="131">$K209*E$195</f>
        <v>990.00900000000001</v>
      </c>
      <c r="M209" s="102">
        <f t="shared" si="131"/>
        <v>989.01800000000003</v>
      </c>
      <c r="N209" s="102">
        <f t="shared" si="131"/>
        <v>988.02700000000004</v>
      </c>
      <c r="O209" s="102">
        <f t="shared" si="131"/>
        <v>987.03599999999994</v>
      </c>
      <c r="P209" s="102">
        <f t="shared" si="131"/>
        <v>986.04499999999996</v>
      </c>
      <c r="Q209" s="102">
        <f t="shared" si="131"/>
        <v>983.072</v>
      </c>
      <c r="R209" s="102">
        <f t="shared" si="131"/>
        <v>980.09900000000005</v>
      </c>
      <c r="S209" s="102">
        <f t="shared" si="131"/>
        <v>977.12599999999998</v>
      </c>
      <c r="T209" s="102">
        <f t="shared" si="131"/>
        <v>974.15300000000002</v>
      </c>
      <c r="U209" s="102">
        <f t="shared" si="131"/>
        <v>971.18</v>
      </c>
      <c r="V209" s="102">
        <f t="shared" si="131"/>
        <v>955.32399999999996</v>
      </c>
      <c r="W209" s="102">
        <f t="shared" si="131"/>
        <v>939.46799999999996</v>
      </c>
      <c r="X209" s="102">
        <f t="shared" si="131"/>
        <v>923.61199999999997</v>
      </c>
      <c r="Y209" s="102">
        <f t="shared" si="131"/>
        <v>907.75599999999997</v>
      </c>
      <c r="Z209" s="102">
        <f t="shared" si="131"/>
        <v>891.9</v>
      </c>
      <c r="AA209" s="102">
        <f t="shared" si="131"/>
        <v>862.17</v>
      </c>
      <c r="AB209" s="102">
        <f t="shared" si="131"/>
        <v>832.43999999999994</v>
      </c>
      <c r="AC209" s="102">
        <f t="shared" si="131"/>
        <v>802.70999999999992</v>
      </c>
      <c r="AD209" s="102">
        <f t="shared" si="131"/>
        <v>772.9799999999999</v>
      </c>
      <c r="AE209" s="102">
        <f t="shared" si="131"/>
        <v>743.25</v>
      </c>
      <c r="AF209" s="102">
        <f t="shared" si="131"/>
        <v>693.69999999999993</v>
      </c>
      <c r="AG209" s="102">
        <f t="shared" si="131"/>
        <v>644.14999999999986</v>
      </c>
      <c r="AH209" s="102">
        <f t="shared" si="131"/>
        <v>594.59999999999991</v>
      </c>
      <c r="AI209" s="102">
        <f t="shared" si="131"/>
        <v>545.04999999999984</v>
      </c>
      <c r="AJ209" s="102">
        <f t="shared" si="131"/>
        <v>495.5</v>
      </c>
      <c r="AK209" s="102">
        <f t="shared" si="131"/>
        <v>451.89600000000002</v>
      </c>
      <c r="AL209" s="102">
        <f t="shared" si="131"/>
        <v>408.29200000000003</v>
      </c>
      <c r="AM209" s="103">
        <f t="shared" si="131"/>
        <v>364.68800000000005</v>
      </c>
      <c r="AN209" s="148">
        <f t="shared" si="131"/>
        <v>321.08400000000006</v>
      </c>
      <c r="AO209" s="148">
        <f t="shared" si="131"/>
        <v>277.48</v>
      </c>
      <c r="AP209" s="148">
        <f t="shared" si="131"/>
        <v>251.714</v>
      </c>
      <c r="AQ209" s="148">
        <f t="shared" si="131"/>
        <v>225.94800000000001</v>
      </c>
      <c r="AR209" s="148">
        <f t="shared" si="131"/>
        <v>200.18200000000002</v>
      </c>
      <c r="AS209" s="148">
        <f t="shared" si="131"/>
        <v>174.41600000000003</v>
      </c>
      <c r="AT209" s="148">
        <f t="shared" si="131"/>
        <v>148.65</v>
      </c>
      <c r="AU209" s="148">
        <f t="shared" si="131"/>
        <v>134.77600000000001</v>
      </c>
      <c r="AV209" s="148">
        <f t="shared" si="131"/>
        <v>120.90200000000002</v>
      </c>
      <c r="BA209" s="97">
        <v>-37</v>
      </c>
      <c r="BB209" s="149">
        <f t="shared" si="121"/>
        <v>1.2090200000000002E-4</v>
      </c>
      <c r="BC209" s="97">
        <v>37</v>
      </c>
      <c r="BD209" s="111">
        <f t="shared" si="122"/>
        <v>120.90200000000002</v>
      </c>
      <c r="BE209" s="111">
        <f t="shared" si="123"/>
        <v>4473.3740000000007</v>
      </c>
      <c r="BW209" s="97" t="s">
        <v>619</v>
      </c>
    </row>
    <row r="210" spans="2:75">
      <c r="B210" s="98">
        <v>1988</v>
      </c>
      <c r="D210" s="102"/>
      <c r="E210" s="102"/>
      <c r="F210" s="102"/>
      <c r="G210" s="102"/>
      <c r="H210" s="102"/>
      <c r="I210" s="102"/>
      <c r="J210" s="102"/>
      <c r="K210" s="102"/>
      <c r="L210" s="102">
        <f>L$184</f>
        <v>865</v>
      </c>
      <c r="M210" s="102">
        <f t="shared" ref="M210:AV210" si="132">$L210*E$195</f>
        <v>864.13499999999999</v>
      </c>
      <c r="N210" s="102">
        <f t="shared" si="132"/>
        <v>863.27</v>
      </c>
      <c r="O210" s="102">
        <f t="shared" si="132"/>
        <v>862.40499999999997</v>
      </c>
      <c r="P210" s="102">
        <f t="shared" si="132"/>
        <v>861.54</v>
      </c>
      <c r="Q210" s="102">
        <f t="shared" si="132"/>
        <v>860.67499999999995</v>
      </c>
      <c r="R210" s="102">
        <f t="shared" si="132"/>
        <v>858.08</v>
      </c>
      <c r="S210" s="102">
        <f t="shared" si="132"/>
        <v>855.48500000000001</v>
      </c>
      <c r="T210" s="102">
        <f t="shared" si="132"/>
        <v>852.89</v>
      </c>
      <c r="U210" s="102">
        <f t="shared" si="132"/>
        <v>850.29499999999996</v>
      </c>
      <c r="V210" s="102">
        <f t="shared" si="132"/>
        <v>847.69999999999993</v>
      </c>
      <c r="W210" s="102">
        <f t="shared" si="132"/>
        <v>833.86</v>
      </c>
      <c r="X210" s="102">
        <f t="shared" si="132"/>
        <v>820.02</v>
      </c>
      <c r="Y210" s="102">
        <f t="shared" si="132"/>
        <v>806.18</v>
      </c>
      <c r="Z210" s="102">
        <f t="shared" si="132"/>
        <v>792.33999999999992</v>
      </c>
      <c r="AA210" s="102">
        <f t="shared" si="132"/>
        <v>778.5</v>
      </c>
      <c r="AB210" s="102">
        <f t="shared" si="132"/>
        <v>752.55</v>
      </c>
      <c r="AC210" s="102">
        <f t="shared" si="132"/>
        <v>726.6</v>
      </c>
      <c r="AD210" s="102">
        <f t="shared" si="132"/>
        <v>700.65</v>
      </c>
      <c r="AE210" s="102">
        <f t="shared" si="132"/>
        <v>674.69999999999993</v>
      </c>
      <c r="AF210" s="102">
        <f t="shared" si="132"/>
        <v>648.75</v>
      </c>
      <c r="AG210" s="102">
        <f t="shared" si="132"/>
        <v>605.5</v>
      </c>
      <c r="AH210" s="102">
        <f t="shared" si="132"/>
        <v>562.24999999999989</v>
      </c>
      <c r="AI210" s="102">
        <f t="shared" si="132"/>
        <v>518.99999999999989</v>
      </c>
      <c r="AJ210" s="102">
        <f t="shared" si="132"/>
        <v>475.74999999999983</v>
      </c>
      <c r="AK210" s="102">
        <f t="shared" si="132"/>
        <v>432.5</v>
      </c>
      <c r="AL210" s="102">
        <f t="shared" si="132"/>
        <v>394.44</v>
      </c>
      <c r="AM210" s="103">
        <f t="shared" si="132"/>
        <v>356.38000000000005</v>
      </c>
      <c r="AN210" s="148">
        <f t="shared" si="132"/>
        <v>318.32000000000005</v>
      </c>
      <c r="AO210" s="148">
        <f t="shared" si="132"/>
        <v>280.26000000000005</v>
      </c>
      <c r="AP210" s="148">
        <f t="shared" si="132"/>
        <v>242.20000000000002</v>
      </c>
      <c r="AQ210" s="148">
        <f t="shared" si="132"/>
        <v>219.71</v>
      </c>
      <c r="AR210" s="148">
        <f t="shared" si="132"/>
        <v>197.22</v>
      </c>
      <c r="AS210" s="148">
        <f t="shared" si="132"/>
        <v>174.73000000000002</v>
      </c>
      <c r="AT210" s="148">
        <f t="shared" si="132"/>
        <v>152.24</v>
      </c>
      <c r="AU210" s="148">
        <f t="shared" si="132"/>
        <v>129.75</v>
      </c>
      <c r="AV210" s="148">
        <f t="shared" si="132"/>
        <v>117.64000000000001</v>
      </c>
      <c r="BA210" s="97">
        <v>-36</v>
      </c>
      <c r="BB210" s="149">
        <f t="shared" si="121"/>
        <v>1.1764000000000002E-4</v>
      </c>
      <c r="BC210" s="97">
        <v>36</v>
      </c>
      <c r="BD210" s="111">
        <f t="shared" si="122"/>
        <v>117.64000000000001</v>
      </c>
      <c r="BE210" s="111">
        <f t="shared" si="123"/>
        <v>4235.0400000000009</v>
      </c>
      <c r="BW210" s="97" t="s">
        <v>619</v>
      </c>
    </row>
    <row r="211" spans="2:75">
      <c r="B211" s="98">
        <v>1989</v>
      </c>
      <c r="D211" s="102"/>
      <c r="E211" s="102"/>
      <c r="F211" s="102"/>
      <c r="G211" s="102"/>
      <c r="H211" s="102"/>
      <c r="I211" s="102"/>
      <c r="J211" s="102"/>
      <c r="K211" s="102"/>
      <c r="L211" s="102"/>
      <c r="M211" s="102">
        <f>M$184</f>
        <v>4921</v>
      </c>
      <c r="N211" s="102">
        <f t="shared" ref="N211:AV211" si="133">$M211*E$195</f>
        <v>4916.0789999999997</v>
      </c>
      <c r="O211" s="102">
        <f t="shared" si="133"/>
        <v>4911.1580000000004</v>
      </c>
      <c r="P211" s="102">
        <f t="shared" si="133"/>
        <v>4906.2370000000001</v>
      </c>
      <c r="Q211" s="102">
        <f t="shared" si="133"/>
        <v>4901.3159999999998</v>
      </c>
      <c r="R211" s="102">
        <f t="shared" si="133"/>
        <v>4896.3949999999995</v>
      </c>
      <c r="S211" s="102">
        <f t="shared" si="133"/>
        <v>4881.6319999999996</v>
      </c>
      <c r="T211" s="102">
        <f t="shared" si="133"/>
        <v>4866.8689999999997</v>
      </c>
      <c r="U211" s="102">
        <f t="shared" si="133"/>
        <v>4852.1059999999998</v>
      </c>
      <c r="V211" s="102">
        <f t="shared" si="133"/>
        <v>4837.3429999999998</v>
      </c>
      <c r="W211" s="102">
        <f t="shared" si="133"/>
        <v>4822.58</v>
      </c>
      <c r="X211" s="102">
        <f t="shared" si="133"/>
        <v>4743.8440000000001</v>
      </c>
      <c r="Y211" s="102">
        <f t="shared" si="133"/>
        <v>4665.1080000000002</v>
      </c>
      <c r="Z211" s="102">
        <f t="shared" si="133"/>
        <v>4586.3719999999994</v>
      </c>
      <c r="AA211" s="102">
        <f t="shared" si="133"/>
        <v>4507.6359999999995</v>
      </c>
      <c r="AB211" s="102">
        <f t="shared" si="133"/>
        <v>4428.9000000000005</v>
      </c>
      <c r="AC211" s="102">
        <f t="shared" si="133"/>
        <v>4281.2699999999995</v>
      </c>
      <c r="AD211" s="102">
        <f t="shared" si="133"/>
        <v>4133.6399999999994</v>
      </c>
      <c r="AE211" s="102">
        <f t="shared" si="133"/>
        <v>3986.0099999999998</v>
      </c>
      <c r="AF211" s="102">
        <f t="shared" si="133"/>
        <v>3838.3799999999997</v>
      </c>
      <c r="AG211" s="102">
        <f t="shared" si="133"/>
        <v>3690.75</v>
      </c>
      <c r="AH211" s="102">
        <f t="shared" si="133"/>
        <v>3444.7</v>
      </c>
      <c r="AI211" s="102">
        <f t="shared" si="133"/>
        <v>3198.6499999999996</v>
      </c>
      <c r="AJ211" s="102">
        <f t="shared" si="133"/>
        <v>2952.5999999999995</v>
      </c>
      <c r="AK211" s="102">
        <f t="shared" si="133"/>
        <v>2706.5499999999993</v>
      </c>
      <c r="AL211" s="102">
        <f t="shared" si="133"/>
        <v>2460.5</v>
      </c>
      <c r="AM211" s="103">
        <f t="shared" si="133"/>
        <v>2243.9760000000001</v>
      </c>
      <c r="AN211" s="148">
        <f t="shared" si="133"/>
        <v>2027.4520000000002</v>
      </c>
      <c r="AO211" s="148">
        <f t="shared" si="133"/>
        <v>1810.9280000000003</v>
      </c>
      <c r="AP211" s="148">
        <f t="shared" si="133"/>
        <v>1594.4040000000002</v>
      </c>
      <c r="AQ211" s="148">
        <f t="shared" si="133"/>
        <v>1377.88</v>
      </c>
      <c r="AR211" s="148">
        <f t="shared" si="133"/>
        <v>1249.934</v>
      </c>
      <c r="AS211" s="148">
        <f t="shared" si="133"/>
        <v>1121.9880000000001</v>
      </c>
      <c r="AT211" s="148">
        <f t="shared" si="133"/>
        <v>994.04200000000003</v>
      </c>
      <c r="AU211" s="148">
        <f t="shared" si="133"/>
        <v>866.09600000000012</v>
      </c>
      <c r="AV211" s="148">
        <f t="shared" si="133"/>
        <v>738.15</v>
      </c>
      <c r="BA211" s="145">
        <f t="shared" ref="BA211:BA246" si="134">-BC211</f>
        <v>-35</v>
      </c>
      <c r="BB211" s="149">
        <f t="shared" si="121"/>
        <v>7.3815000000000003E-4</v>
      </c>
      <c r="BC211" s="97">
        <v>35</v>
      </c>
      <c r="BD211" s="111">
        <f t="shared" si="122"/>
        <v>738.15</v>
      </c>
      <c r="BE211" s="111">
        <f t="shared" si="123"/>
        <v>25835.25</v>
      </c>
      <c r="BW211" s="97" t="s">
        <v>619</v>
      </c>
    </row>
    <row r="212" spans="2:75">
      <c r="B212" s="98">
        <v>1990</v>
      </c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>
        <f>N$184</f>
        <v>3125</v>
      </c>
      <c r="O212" s="102">
        <f t="shared" ref="O212:AV212" si="135">$N212*E$195</f>
        <v>3121.875</v>
      </c>
      <c r="P212" s="102">
        <f t="shared" si="135"/>
        <v>3118.75</v>
      </c>
      <c r="Q212" s="102">
        <f t="shared" si="135"/>
        <v>3115.625</v>
      </c>
      <c r="R212" s="102">
        <f t="shared" si="135"/>
        <v>3112.5</v>
      </c>
      <c r="S212" s="102">
        <f t="shared" si="135"/>
        <v>3109.375</v>
      </c>
      <c r="T212" s="102">
        <f t="shared" si="135"/>
        <v>3100</v>
      </c>
      <c r="U212" s="102">
        <f t="shared" si="135"/>
        <v>3090.625</v>
      </c>
      <c r="V212" s="102">
        <f t="shared" si="135"/>
        <v>3081.25</v>
      </c>
      <c r="W212" s="102">
        <f t="shared" si="135"/>
        <v>3071.875</v>
      </c>
      <c r="X212" s="102">
        <f t="shared" si="135"/>
        <v>3062.5</v>
      </c>
      <c r="Y212" s="102">
        <f t="shared" si="135"/>
        <v>3012.5</v>
      </c>
      <c r="Z212" s="102">
        <f t="shared" si="135"/>
        <v>2962.5</v>
      </c>
      <c r="AA212" s="102">
        <f t="shared" si="135"/>
        <v>2912.5</v>
      </c>
      <c r="AB212" s="102">
        <f t="shared" si="135"/>
        <v>2862.4999999999995</v>
      </c>
      <c r="AC212" s="102">
        <f t="shared" si="135"/>
        <v>2812.5</v>
      </c>
      <c r="AD212" s="102">
        <f t="shared" si="135"/>
        <v>2718.75</v>
      </c>
      <c r="AE212" s="102">
        <f t="shared" si="135"/>
        <v>2625</v>
      </c>
      <c r="AF212" s="102">
        <f t="shared" si="135"/>
        <v>2531.25</v>
      </c>
      <c r="AG212" s="102">
        <f t="shared" si="135"/>
        <v>2437.4999999999995</v>
      </c>
      <c r="AH212" s="102">
        <f t="shared" si="135"/>
        <v>2343.75</v>
      </c>
      <c r="AI212" s="102">
        <f t="shared" si="135"/>
        <v>2187.5</v>
      </c>
      <c r="AJ212" s="102">
        <f t="shared" si="135"/>
        <v>2031.2499999999998</v>
      </c>
      <c r="AK212" s="102">
        <f t="shared" si="135"/>
        <v>1874.9999999999995</v>
      </c>
      <c r="AL212" s="102">
        <f t="shared" si="135"/>
        <v>1718.7499999999995</v>
      </c>
      <c r="AM212" s="103">
        <f t="shared" si="135"/>
        <v>1562.5</v>
      </c>
      <c r="AN212" s="148">
        <f t="shared" si="135"/>
        <v>1425</v>
      </c>
      <c r="AO212" s="148">
        <f t="shared" si="135"/>
        <v>1287.5</v>
      </c>
      <c r="AP212" s="148">
        <f t="shared" si="135"/>
        <v>1150.0000000000002</v>
      </c>
      <c r="AQ212" s="148">
        <f t="shared" si="135"/>
        <v>1012.5000000000002</v>
      </c>
      <c r="AR212" s="148">
        <f t="shared" si="135"/>
        <v>875.00000000000011</v>
      </c>
      <c r="AS212" s="148">
        <f t="shared" si="135"/>
        <v>793.75</v>
      </c>
      <c r="AT212" s="148">
        <f t="shared" si="135"/>
        <v>712.5</v>
      </c>
      <c r="AU212" s="148">
        <f t="shared" si="135"/>
        <v>631.25</v>
      </c>
      <c r="AV212" s="148">
        <f t="shared" si="135"/>
        <v>550</v>
      </c>
      <c r="BA212" s="145">
        <f t="shared" si="134"/>
        <v>-34</v>
      </c>
      <c r="BB212" s="149">
        <f t="shared" si="121"/>
        <v>5.5000000000000003E-4</v>
      </c>
      <c r="BC212" s="97">
        <v>34</v>
      </c>
      <c r="BD212" s="111">
        <f t="shared" si="122"/>
        <v>550</v>
      </c>
      <c r="BE212" s="111">
        <f t="shared" si="123"/>
        <v>18700</v>
      </c>
      <c r="BW212" s="97" t="s">
        <v>619</v>
      </c>
    </row>
    <row r="213" spans="2:75">
      <c r="B213" s="98">
        <v>1991</v>
      </c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>
        <f>O$184</f>
        <v>3635</v>
      </c>
      <c r="P213" s="102">
        <f t="shared" ref="P213:AV213" si="136">$O213*E$195</f>
        <v>3631.3649999999998</v>
      </c>
      <c r="Q213" s="102">
        <f t="shared" si="136"/>
        <v>3627.73</v>
      </c>
      <c r="R213" s="102">
        <f t="shared" si="136"/>
        <v>3624.0949999999998</v>
      </c>
      <c r="S213" s="102">
        <f t="shared" si="136"/>
        <v>3620.46</v>
      </c>
      <c r="T213" s="102">
        <f t="shared" si="136"/>
        <v>3616.8249999999998</v>
      </c>
      <c r="U213" s="102">
        <f t="shared" si="136"/>
        <v>3605.92</v>
      </c>
      <c r="V213" s="102">
        <f t="shared" si="136"/>
        <v>3595.0149999999999</v>
      </c>
      <c r="W213" s="102">
        <f t="shared" si="136"/>
        <v>3584.11</v>
      </c>
      <c r="X213" s="102">
        <f t="shared" si="136"/>
        <v>3573.2049999999999</v>
      </c>
      <c r="Y213" s="102">
        <f t="shared" si="136"/>
        <v>3562.2999999999997</v>
      </c>
      <c r="Z213" s="102">
        <f t="shared" si="136"/>
        <v>3504.14</v>
      </c>
      <c r="AA213" s="102">
        <f t="shared" si="136"/>
        <v>3445.98</v>
      </c>
      <c r="AB213" s="102">
        <f t="shared" si="136"/>
        <v>3387.8199999999997</v>
      </c>
      <c r="AC213" s="102">
        <f t="shared" si="136"/>
        <v>3329.66</v>
      </c>
      <c r="AD213" s="102">
        <f t="shared" si="136"/>
        <v>3271.5</v>
      </c>
      <c r="AE213" s="102">
        <f t="shared" si="136"/>
        <v>3162.45</v>
      </c>
      <c r="AF213" s="102">
        <f t="shared" si="136"/>
        <v>3053.4</v>
      </c>
      <c r="AG213" s="102">
        <f t="shared" si="136"/>
        <v>2944.35</v>
      </c>
      <c r="AH213" s="102">
        <f t="shared" si="136"/>
        <v>2835.2999999999997</v>
      </c>
      <c r="AI213" s="102">
        <f t="shared" si="136"/>
        <v>2726.25</v>
      </c>
      <c r="AJ213" s="102">
        <f t="shared" si="136"/>
        <v>2544.5</v>
      </c>
      <c r="AK213" s="102">
        <f t="shared" si="136"/>
        <v>2362.7499999999995</v>
      </c>
      <c r="AL213" s="102">
        <f t="shared" si="136"/>
        <v>2180.9999999999995</v>
      </c>
      <c r="AM213" s="103">
        <f t="shared" si="136"/>
        <v>1999.2499999999993</v>
      </c>
      <c r="AN213" s="148">
        <f t="shared" si="136"/>
        <v>1817.5</v>
      </c>
      <c r="AO213" s="148">
        <f t="shared" si="136"/>
        <v>1657.5600000000002</v>
      </c>
      <c r="AP213" s="148">
        <f t="shared" si="136"/>
        <v>1497.6200000000001</v>
      </c>
      <c r="AQ213" s="148">
        <f t="shared" si="136"/>
        <v>1337.6800000000003</v>
      </c>
      <c r="AR213" s="148">
        <f t="shared" si="136"/>
        <v>1177.7400000000002</v>
      </c>
      <c r="AS213" s="148">
        <f t="shared" si="136"/>
        <v>1017.8000000000001</v>
      </c>
      <c r="AT213" s="148">
        <f t="shared" si="136"/>
        <v>923.29</v>
      </c>
      <c r="AU213" s="148">
        <f t="shared" si="136"/>
        <v>828.78000000000009</v>
      </c>
      <c r="AV213" s="148">
        <f t="shared" si="136"/>
        <v>734.2700000000001</v>
      </c>
      <c r="BA213" s="145">
        <f t="shared" si="134"/>
        <v>-33</v>
      </c>
      <c r="BB213" s="149">
        <f t="shared" si="121"/>
        <v>7.3427000000000008E-4</v>
      </c>
      <c r="BC213" s="97">
        <v>33</v>
      </c>
      <c r="BD213" s="111">
        <f t="shared" si="122"/>
        <v>734.2700000000001</v>
      </c>
      <c r="BE213" s="111">
        <f t="shared" si="123"/>
        <v>24230.910000000003</v>
      </c>
      <c r="BW213" s="97" t="s">
        <v>619</v>
      </c>
    </row>
    <row r="214" spans="2:75">
      <c r="B214" s="98">
        <v>1992</v>
      </c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>
        <f>P$184</f>
        <v>-1731</v>
      </c>
      <c r="Q214" s="150">
        <f t="shared" ref="Q214:AV214" si="137">$P214</f>
        <v>-1731</v>
      </c>
      <c r="R214" s="150">
        <f t="shared" si="137"/>
        <v>-1731</v>
      </c>
      <c r="S214" s="150">
        <f t="shared" si="137"/>
        <v>-1731</v>
      </c>
      <c r="T214" s="150">
        <f t="shared" si="137"/>
        <v>-1731</v>
      </c>
      <c r="U214" s="150">
        <f t="shared" si="137"/>
        <v>-1731</v>
      </c>
      <c r="V214" s="150">
        <f t="shared" si="137"/>
        <v>-1731</v>
      </c>
      <c r="W214" s="150">
        <f t="shared" si="137"/>
        <v>-1731</v>
      </c>
      <c r="X214" s="150">
        <f t="shared" si="137"/>
        <v>-1731</v>
      </c>
      <c r="Y214" s="150">
        <f t="shared" si="137"/>
        <v>-1731</v>
      </c>
      <c r="Z214" s="150">
        <f t="shared" si="137"/>
        <v>-1731</v>
      </c>
      <c r="AA214" s="150">
        <f t="shared" si="137"/>
        <v>-1731</v>
      </c>
      <c r="AB214" s="150">
        <f t="shared" si="137"/>
        <v>-1731</v>
      </c>
      <c r="AC214" s="150">
        <f t="shared" si="137"/>
        <v>-1731</v>
      </c>
      <c r="AD214" s="150">
        <f t="shared" si="137"/>
        <v>-1731</v>
      </c>
      <c r="AE214" s="150">
        <f t="shared" si="137"/>
        <v>-1731</v>
      </c>
      <c r="AF214" s="150">
        <f t="shared" si="137"/>
        <v>-1731</v>
      </c>
      <c r="AG214" s="150">
        <f t="shared" si="137"/>
        <v>-1731</v>
      </c>
      <c r="AH214" s="150">
        <f t="shared" si="137"/>
        <v>-1731</v>
      </c>
      <c r="AI214" s="150">
        <f t="shared" si="137"/>
        <v>-1731</v>
      </c>
      <c r="AJ214" s="150">
        <f t="shared" si="137"/>
        <v>-1731</v>
      </c>
      <c r="AK214" s="150">
        <f t="shared" si="137"/>
        <v>-1731</v>
      </c>
      <c r="AL214" s="150">
        <f t="shared" si="137"/>
        <v>-1731</v>
      </c>
      <c r="AM214" s="103">
        <f t="shared" si="137"/>
        <v>-1731</v>
      </c>
      <c r="AN214" s="151">
        <f t="shared" si="137"/>
        <v>-1731</v>
      </c>
      <c r="AO214" s="151">
        <f t="shared" si="137"/>
        <v>-1731</v>
      </c>
      <c r="AP214" s="151">
        <f t="shared" si="137"/>
        <v>-1731</v>
      </c>
      <c r="AQ214" s="151">
        <f t="shared" si="137"/>
        <v>-1731</v>
      </c>
      <c r="AR214" s="151">
        <f t="shared" si="137"/>
        <v>-1731</v>
      </c>
      <c r="AS214" s="151">
        <f t="shared" si="137"/>
        <v>-1731</v>
      </c>
      <c r="AT214" s="151">
        <f t="shared" si="137"/>
        <v>-1731</v>
      </c>
      <c r="AU214" s="151">
        <f t="shared" si="137"/>
        <v>-1731</v>
      </c>
      <c r="AV214" s="151">
        <f t="shared" si="137"/>
        <v>-1731</v>
      </c>
      <c r="BA214" s="145">
        <f t="shared" si="134"/>
        <v>-32</v>
      </c>
      <c r="BB214" s="149">
        <f t="shared" si="121"/>
        <v>0</v>
      </c>
      <c r="BC214" s="97">
        <v>32</v>
      </c>
      <c r="BD214" s="111">
        <f t="shared" si="122"/>
        <v>-1731</v>
      </c>
      <c r="BE214" s="111">
        <f t="shared" si="123"/>
        <v>-55392</v>
      </c>
      <c r="BW214" s="97" t="s">
        <v>619</v>
      </c>
    </row>
    <row r="215" spans="2:75">
      <c r="B215" s="98">
        <v>1993</v>
      </c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>
        <f>Q$184</f>
        <v>-9238</v>
      </c>
      <c r="R215" s="150">
        <f t="shared" ref="R215:AV215" si="138">$Q215</f>
        <v>-9238</v>
      </c>
      <c r="S215" s="150">
        <f t="shared" si="138"/>
        <v>-9238</v>
      </c>
      <c r="T215" s="150">
        <f t="shared" si="138"/>
        <v>-9238</v>
      </c>
      <c r="U215" s="150">
        <f t="shared" si="138"/>
        <v>-9238</v>
      </c>
      <c r="V215" s="150">
        <f t="shared" si="138"/>
        <v>-9238</v>
      </c>
      <c r="W215" s="150">
        <f t="shared" si="138"/>
        <v>-9238</v>
      </c>
      <c r="X215" s="150">
        <f t="shared" si="138"/>
        <v>-9238</v>
      </c>
      <c r="Y215" s="150">
        <f t="shared" si="138"/>
        <v>-9238</v>
      </c>
      <c r="Z215" s="150">
        <f t="shared" si="138"/>
        <v>-9238</v>
      </c>
      <c r="AA215" s="150">
        <f t="shared" si="138"/>
        <v>-9238</v>
      </c>
      <c r="AB215" s="150">
        <f t="shared" si="138"/>
        <v>-9238</v>
      </c>
      <c r="AC215" s="150">
        <f t="shared" si="138"/>
        <v>-9238</v>
      </c>
      <c r="AD215" s="150">
        <f t="shared" si="138"/>
        <v>-9238</v>
      </c>
      <c r="AE215" s="150">
        <f t="shared" si="138"/>
        <v>-9238</v>
      </c>
      <c r="AF215" s="150">
        <f t="shared" si="138"/>
        <v>-9238</v>
      </c>
      <c r="AG215" s="150">
        <f t="shared" si="138"/>
        <v>-9238</v>
      </c>
      <c r="AH215" s="150">
        <f t="shared" si="138"/>
        <v>-9238</v>
      </c>
      <c r="AI215" s="150">
        <f t="shared" si="138"/>
        <v>-9238</v>
      </c>
      <c r="AJ215" s="150">
        <f t="shared" si="138"/>
        <v>-9238</v>
      </c>
      <c r="AK215" s="150">
        <f t="shared" si="138"/>
        <v>-9238</v>
      </c>
      <c r="AL215" s="150">
        <f t="shared" si="138"/>
        <v>-9238</v>
      </c>
      <c r="AM215" s="103">
        <f t="shared" si="138"/>
        <v>-9238</v>
      </c>
      <c r="AN215" s="151">
        <f t="shared" si="138"/>
        <v>-9238</v>
      </c>
      <c r="AO215" s="151">
        <f t="shared" si="138"/>
        <v>-9238</v>
      </c>
      <c r="AP215" s="151">
        <f t="shared" si="138"/>
        <v>-9238</v>
      </c>
      <c r="AQ215" s="151">
        <f t="shared" si="138"/>
        <v>-9238</v>
      </c>
      <c r="AR215" s="151">
        <f t="shared" si="138"/>
        <v>-9238</v>
      </c>
      <c r="AS215" s="151">
        <f t="shared" si="138"/>
        <v>-9238</v>
      </c>
      <c r="AT215" s="151">
        <f t="shared" si="138"/>
        <v>-9238</v>
      </c>
      <c r="AU215" s="151">
        <f t="shared" si="138"/>
        <v>-9238</v>
      </c>
      <c r="AV215" s="151">
        <f t="shared" si="138"/>
        <v>-9238</v>
      </c>
      <c r="BA215" s="145">
        <f t="shared" si="134"/>
        <v>-31</v>
      </c>
      <c r="BB215" s="149">
        <f t="shared" si="121"/>
        <v>0</v>
      </c>
      <c r="BC215" s="97">
        <v>31</v>
      </c>
      <c r="BD215" s="111">
        <f t="shared" si="122"/>
        <v>-9238</v>
      </c>
      <c r="BE215" s="111">
        <f t="shared" si="123"/>
        <v>-286378</v>
      </c>
      <c r="BW215" s="97" t="s">
        <v>619</v>
      </c>
    </row>
    <row r="216" spans="2:75">
      <c r="B216" s="98">
        <v>1994</v>
      </c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>
        <f>R$184</f>
        <v>28636</v>
      </c>
      <c r="S216" s="102">
        <f t="shared" ref="S216:AV216" si="139">$R216*E$195</f>
        <v>28607.364000000001</v>
      </c>
      <c r="T216" s="102">
        <f t="shared" si="139"/>
        <v>28578.727999999999</v>
      </c>
      <c r="U216" s="102">
        <f t="shared" si="139"/>
        <v>28550.092000000001</v>
      </c>
      <c r="V216" s="102">
        <f t="shared" si="139"/>
        <v>28521.455999999998</v>
      </c>
      <c r="W216" s="102">
        <f t="shared" si="139"/>
        <v>28492.82</v>
      </c>
      <c r="X216" s="102">
        <f t="shared" si="139"/>
        <v>28406.912</v>
      </c>
      <c r="Y216" s="102">
        <f t="shared" si="139"/>
        <v>28321.004000000001</v>
      </c>
      <c r="Z216" s="102">
        <f t="shared" si="139"/>
        <v>28235.096000000001</v>
      </c>
      <c r="AA216" s="102">
        <f t="shared" si="139"/>
        <v>28149.187999999998</v>
      </c>
      <c r="AB216" s="102">
        <f t="shared" si="139"/>
        <v>28063.279999999999</v>
      </c>
      <c r="AC216" s="102">
        <f t="shared" si="139"/>
        <v>27605.103999999999</v>
      </c>
      <c r="AD216" s="102">
        <f t="shared" si="139"/>
        <v>27146.928</v>
      </c>
      <c r="AE216" s="102">
        <f t="shared" si="139"/>
        <v>26688.751999999997</v>
      </c>
      <c r="AF216" s="102">
        <f t="shared" si="139"/>
        <v>26230.575999999997</v>
      </c>
      <c r="AG216" s="102">
        <f t="shared" si="139"/>
        <v>25772.400000000001</v>
      </c>
      <c r="AH216" s="102">
        <f t="shared" si="139"/>
        <v>24913.32</v>
      </c>
      <c r="AI216" s="102">
        <f t="shared" si="139"/>
        <v>24054.239999999998</v>
      </c>
      <c r="AJ216" s="102">
        <f t="shared" si="139"/>
        <v>23195.16</v>
      </c>
      <c r="AK216" s="102">
        <f t="shared" si="139"/>
        <v>22336.079999999998</v>
      </c>
      <c r="AL216" s="102">
        <f t="shared" si="139"/>
        <v>21477</v>
      </c>
      <c r="AM216" s="103">
        <f t="shared" si="139"/>
        <v>20045.199999999997</v>
      </c>
      <c r="AN216" s="148">
        <f t="shared" si="139"/>
        <v>18613.399999999998</v>
      </c>
      <c r="AO216" s="148">
        <f t="shared" si="139"/>
        <v>17181.599999999995</v>
      </c>
      <c r="AP216" s="148">
        <f t="shared" si="139"/>
        <v>15749.799999999996</v>
      </c>
      <c r="AQ216" s="148">
        <f t="shared" si="139"/>
        <v>14318</v>
      </c>
      <c r="AR216" s="148">
        <f t="shared" si="139"/>
        <v>13058.016</v>
      </c>
      <c r="AS216" s="148">
        <f t="shared" si="139"/>
        <v>11798.032000000001</v>
      </c>
      <c r="AT216" s="148">
        <f t="shared" si="139"/>
        <v>10538.048000000001</v>
      </c>
      <c r="AU216" s="148">
        <f t="shared" si="139"/>
        <v>9278.0640000000021</v>
      </c>
      <c r="AV216" s="148">
        <f t="shared" si="139"/>
        <v>8018.0800000000008</v>
      </c>
      <c r="BA216" s="145">
        <f t="shared" si="134"/>
        <v>-30</v>
      </c>
      <c r="BB216" s="149">
        <f t="shared" si="121"/>
        <v>8.0180800000000003E-3</v>
      </c>
      <c r="BC216" s="97">
        <v>30</v>
      </c>
      <c r="BD216" s="111">
        <f t="shared" si="122"/>
        <v>8018.0800000000008</v>
      </c>
      <c r="BE216" s="111">
        <f t="shared" si="123"/>
        <v>240542.40000000002</v>
      </c>
      <c r="BW216" s="97" t="s">
        <v>619</v>
      </c>
    </row>
    <row r="217" spans="2:75">
      <c r="B217" s="98">
        <v>1995</v>
      </c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>
        <f>S$184</f>
        <v>5920</v>
      </c>
      <c r="T217" s="102">
        <f t="shared" ref="T217:AV217" si="140">$S217*E$195</f>
        <v>5914.08</v>
      </c>
      <c r="U217" s="102">
        <f t="shared" si="140"/>
        <v>5908.16</v>
      </c>
      <c r="V217" s="102">
        <f t="shared" si="140"/>
        <v>5902.24</v>
      </c>
      <c r="W217" s="102">
        <f t="shared" si="140"/>
        <v>5896.32</v>
      </c>
      <c r="X217" s="102">
        <f t="shared" si="140"/>
        <v>5890.4</v>
      </c>
      <c r="Y217" s="102">
        <f t="shared" si="140"/>
        <v>5872.64</v>
      </c>
      <c r="Z217" s="102">
        <f t="shared" si="140"/>
        <v>5854.88</v>
      </c>
      <c r="AA217" s="102">
        <f t="shared" si="140"/>
        <v>5837.12</v>
      </c>
      <c r="AB217" s="102">
        <f t="shared" si="140"/>
        <v>5819.36</v>
      </c>
      <c r="AC217" s="102">
        <f t="shared" si="140"/>
        <v>5801.5999999999995</v>
      </c>
      <c r="AD217" s="102">
        <f t="shared" si="140"/>
        <v>5706.88</v>
      </c>
      <c r="AE217" s="102">
        <f t="shared" si="140"/>
        <v>5612.16</v>
      </c>
      <c r="AF217" s="102">
        <f t="shared" si="140"/>
        <v>5517.44</v>
      </c>
      <c r="AG217" s="102">
        <f t="shared" si="140"/>
        <v>5422.7199999999993</v>
      </c>
      <c r="AH217" s="102">
        <f t="shared" si="140"/>
        <v>5328</v>
      </c>
      <c r="AI217" s="102">
        <f t="shared" si="140"/>
        <v>5150.3999999999996</v>
      </c>
      <c r="AJ217" s="102">
        <f t="shared" si="140"/>
        <v>4972.8</v>
      </c>
      <c r="AK217" s="102">
        <f t="shared" si="140"/>
        <v>4795.2</v>
      </c>
      <c r="AL217" s="102">
        <f t="shared" si="140"/>
        <v>4617.5999999999995</v>
      </c>
      <c r="AM217" s="103">
        <f t="shared" si="140"/>
        <v>4440</v>
      </c>
      <c r="AN217" s="148">
        <f t="shared" si="140"/>
        <v>4144</v>
      </c>
      <c r="AO217" s="148">
        <f t="shared" si="140"/>
        <v>3847.9999999999995</v>
      </c>
      <c r="AP217" s="148">
        <f t="shared" si="140"/>
        <v>3551.9999999999991</v>
      </c>
      <c r="AQ217" s="148">
        <f t="shared" si="140"/>
        <v>3255.9999999999991</v>
      </c>
      <c r="AR217" s="148">
        <f t="shared" si="140"/>
        <v>2960</v>
      </c>
      <c r="AS217" s="148">
        <f t="shared" si="140"/>
        <v>2699.52</v>
      </c>
      <c r="AT217" s="148">
        <f t="shared" si="140"/>
        <v>2439.0400000000004</v>
      </c>
      <c r="AU217" s="148">
        <f t="shared" si="140"/>
        <v>2178.5600000000004</v>
      </c>
      <c r="AV217" s="148">
        <f t="shared" si="140"/>
        <v>1918.0800000000004</v>
      </c>
      <c r="BA217" s="145">
        <f t="shared" si="134"/>
        <v>-29</v>
      </c>
      <c r="BB217" s="149">
        <f t="shared" si="121"/>
        <v>1.9180800000000004E-3</v>
      </c>
      <c r="BC217" s="97">
        <v>29</v>
      </c>
      <c r="BD217" s="111">
        <f t="shared" si="122"/>
        <v>1918.0800000000004</v>
      </c>
      <c r="BE217" s="111">
        <f t="shared" si="123"/>
        <v>55624.320000000014</v>
      </c>
      <c r="BW217" s="97" t="s">
        <v>619</v>
      </c>
    </row>
    <row r="218" spans="2:75">
      <c r="B218" s="98">
        <v>1996</v>
      </c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>
        <f>T$184</f>
        <v>-23564</v>
      </c>
      <c r="U218" s="150">
        <f t="shared" ref="U218:AV218" si="141">$T218</f>
        <v>-23564</v>
      </c>
      <c r="V218" s="150">
        <f t="shared" si="141"/>
        <v>-23564</v>
      </c>
      <c r="W218" s="150">
        <f t="shared" si="141"/>
        <v>-23564</v>
      </c>
      <c r="X218" s="150">
        <f t="shared" si="141"/>
        <v>-23564</v>
      </c>
      <c r="Y218" s="150">
        <f t="shared" si="141"/>
        <v>-23564</v>
      </c>
      <c r="Z218" s="150">
        <f t="shared" si="141"/>
        <v>-23564</v>
      </c>
      <c r="AA218" s="150">
        <f t="shared" si="141"/>
        <v>-23564</v>
      </c>
      <c r="AB218" s="150">
        <f t="shared" si="141"/>
        <v>-23564</v>
      </c>
      <c r="AC218" s="150">
        <f t="shared" si="141"/>
        <v>-23564</v>
      </c>
      <c r="AD218" s="150">
        <f t="shared" si="141"/>
        <v>-23564</v>
      </c>
      <c r="AE218" s="150">
        <f t="shared" si="141"/>
        <v>-23564</v>
      </c>
      <c r="AF218" s="150">
        <f t="shared" si="141"/>
        <v>-23564</v>
      </c>
      <c r="AG218" s="150">
        <f t="shared" si="141"/>
        <v>-23564</v>
      </c>
      <c r="AH218" s="150">
        <f t="shared" si="141"/>
        <v>-23564</v>
      </c>
      <c r="AI218" s="150">
        <f t="shared" si="141"/>
        <v>-23564</v>
      </c>
      <c r="AJ218" s="150">
        <f t="shared" si="141"/>
        <v>-23564</v>
      </c>
      <c r="AK218" s="150">
        <f t="shared" si="141"/>
        <v>-23564</v>
      </c>
      <c r="AL218" s="150">
        <f t="shared" si="141"/>
        <v>-23564</v>
      </c>
      <c r="AM218" s="103">
        <f t="shared" si="141"/>
        <v>-23564</v>
      </c>
      <c r="AN218" s="151">
        <f t="shared" si="141"/>
        <v>-23564</v>
      </c>
      <c r="AO218" s="151">
        <f t="shared" si="141"/>
        <v>-23564</v>
      </c>
      <c r="AP218" s="151">
        <f t="shared" si="141"/>
        <v>-23564</v>
      </c>
      <c r="AQ218" s="151">
        <f t="shared" si="141"/>
        <v>-23564</v>
      </c>
      <c r="AR218" s="151">
        <f t="shared" si="141"/>
        <v>-23564</v>
      </c>
      <c r="AS218" s="151">
        <f t="shared" si="141"/>
        <v>-23564</v>
      </c>
      <c r="AT218" s="151">
        <f t="shared" si="141"/>
        <v>-23564</v>
      </c>
      <c r="AU218" s="151">
        <f t="shared" si="141"/>
        <v>-23564</v>
      </c>
      <c r="AV218" s="151">
        <f t="shared" si="141"/>
        <v>-23564</v>
      </c>
      <c r="BA218" s="145">
        <f t="shared" si="134"/>
        <v>-28</v>
      </c>
      <c r="BB218" s="149">
        <f t="shared" si="121"/>
        <v>0</v>
      </c>
      <c r="BC218" s="97">
        <v>28</v>
      </c>
      <c r="BD218" s="111">
        <f t="shared" si="122"/>
        <v>-23564</v>
      </c>
      <c r="BE218" s="111">
        <f t="shared" si="123"/>
        <v>-659792</v>
      </c>
      <c r="BW218" s="97" t="s">
        <v>619</v>
      </c>
    </row>
    <row r="219" spans="2:75">
      <c r="B219" s="98">
        <v>1997</v>
      </c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>
        <f>U$184</f>
        <v>28512</v>
      </c>
      <c r="V219" s="102">
        <f t="shared" ref="V219:AV219" si="142">$U219*E$195</f>
        <v>28483.488000000001</v>
      </c>
      <c r="W219" s="102">
        <f t="shared" si="142"/>
        <v>28454.975999999999</v>
      </c>
      <c r="X219" s="102">
        <f t="shared" si="142"/>
        <v>28426.464</v>
      </c>
      <c r="Y219" s="102">
        <f t="shared" si="142"/>
        <v>28397.952000000001</v>
      </c>
      <c r="Z219" s="102">
        <f t="shared" si="142"/>
        <v>28369.439999999999</v>
      </c>
      <c r="AA219" s="102">
        <f t="shared" si="142"/>
        <v>28283.903999999999</v>
      </c>
      <c r="AB219" s="102">
        <f t="shared" si="142"/>
        <v>28198.367999999999</v>
      </c>
      <c r="AC219" s="102">
        <f t="shared" si="142"/>
        <v>28112.831999999999</v>
      </c>
      <c r="AD219" s="102">
        <f t="shared" si="142"/>
        <v>28027.295999999998</v>
      </c>
      <c r="AE219" s="102">
        <f t="shared" si="142"/>
        <v>27941.759999999998</v>
      </c>
      <c r="AF219" s="102">
        <f t="shared" si="142"/>
        <v>27485.567999999999</v>
      </c>
      <c r="AG219" s="102">
        <f t="shared" si="142"/>
        <v>27029.376</v>
      </c>
      <c r="AH219" s="102">
        <f t="shared" si="142"/>
        <v>26573.183999999997</v>
      </c>
      <c r="AI219" s="102">
        <f t="shared" si="142"/>
        <v>26116.991999999998</v>
      </c>
      <c r="AJ219" s="102">
        <f t="shared" si="142"/>
        <v>25660.799999999999</v>
      </c>
      <c r="AK219" s="102">
        <f t="shared" si="142"/>
        <v>24805.439999999999</v>
      </c>
      <c r="AL219" s="102">
        <f t="shared" si="142"/>
        <v>23950.079999999998</v>
      </c>
      <c r="AM219" s="103">
        <f t="shared" si="142"/>
        <v>23094.719999999998</v>
      </c>
      <c r="AN219" s="148">
        <f t="shared" si="142"/>
        <v>22239.359999999997</v>
      </c>
      <c r="AO219" s="148">
        <f t="shared" si="142"/>
        <v>21384</v>
      </c>
      <c r="AP219" s="148">
        <f t="shared" si="142"/>
        <v>19958.399999999998</v>
      </c>
      <c r="AQ219" s="148">
        <f t="shared" si="142"/>
        <v>18532.8</v>
      </c>
      <c r="AR219" s="148">
        <f t="shared" si="142"/>
        <v>17107.199999999997</v>
      </c>
      <c r="AS219" s="148">
        <f t="shared" si="142"/>
        <v>15681.599999999995</v>
      </c>
      <c r="AT219" s="148">
        <f t="shared" si="142"/>
        <v>14256</v>
      </c>
      <c r="AU219" s="148">
        <f t="shared" si="142"/>
        <v>13001.472</v>
      </c>
      <c r="AV219" s="148">
        <f t="shared" si="142"/>
        <v>11746.944000000001</v>
      </c>
      <c r="BA219" s="145">
        <f t="shared" si="134"/>
        <v>-27</v>
      </c>
      <c r="BB219" s="149">
        <f t="shared" si="121"/>
        <v>1.1746944E-2</v>
      </c>
      <c r="BC219" s="97">
        <v>27</v>
      </c>
      <c r="BD219" s="111">
        <f t="shared" si="122"/>
        <v>11746.944000000001</v>
      </c>
      <c r="BE219" s="111">
        <f t="shared" si="123"/>
        <v>317167.48800000001</v>
      </c>
      <c r="BW219" s="97" t="s">
        <v>619</v>
      </c>
    </row>
    <row r="220" spans="2:75">
      <c r="B220" s="98">
        <v>1998</v>
      </c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>
        <f>V$184</f>
        <v>50998</v>
      </c>
      <c r="W220" s="102">
        <f t="shared" ref="W220:AV220" si="143">$V220*E$195</f>
        <v>50947.002</v>
      </c>
      <c r="X220" s="102">
        <f t="shared" si="143"/>
        <v>50896.004000000001</v>
      </c>
      <c r="Y220" s="102">
        <f t="shared" si="143"/>
        <v>50845.006000000001</v>
      </c>
      <c r="Z220" s="102">
        <f t="shared" si="143"/>
        <v>50794.008000000002</v>
      </c>
      <c r="AA220" s="102">
        <f t="shared" si="143"/>
        <v>50743.01</v>
      </c>
      <c r="AB220" s="102">
        <f t="shared" si="143"/>
        <v>50590.016000000003</v>
      </c>
      <c r="AC220" s="102">
        <f t="shared" si="143"/>
        <v>50437.021999999997</v>
      </c>
      <c r="AD220" s="102">
        <f t="shared" si="143"/>
        <v>50284.027999999998</v>
      </c>
      <c r="AE220" s="102">
        <f t="shared" si="143"/>
        <v>50131.034</v>
      </c>
      <c r="AF220" s="102">
        <f t="shared" si="143"/>
        <v>49978.04</v>
      </c>
      <c r="AG220" s="102">
        <f t="shared" si="143"/>
        <v>49162.072</v>
      </c>
      <c r="AH220" s="102">
        <f t="shared" si="143"/>
        <v>48346.103999999999</v>
      </c>
      <c r="AI220" s="102">
        <f t="shared" si="143"/>
        <v>47530.135999999999</v>
      </c>
      <c r="AJ220" s="102">
        <f t="shared" si="143"/>
        <v>46714.167999999998</v>
      </c>
      <c r="AK220" s="102">
        <f t="shared" si="143"/>
        <v>45898.200000000004</v>
      </c>
      <c r="AL220" s="102">
        <f t="shared" si="143"/>
        <v>44368.26</v>
      </c>
      <c r="AM220" s="103">
        <f t="shared" si="143"/>
        <v>42838.32</v>
      </c>
      <c r="AN220" s="148">
        <f t="shared" si="143"/>
        <v>41308.379999999997</v>
      </c>
      <c r="AO220" s="148">
        <f t="shared" si="143"/>
        <v>39778.439999999995</v>
      </c>
      <c r="AP220" s="148">
        <f t="shared" si="143"/>
        <v>38248.5</v>
      </c>
      <c r="AQ220" s="148">
        <f t="shared" si="143"/>
        <v>35698.6</v>
      </c>
      <c r="AR220" s="148">
        <f t="shared" si="143"/>
        <v>33148.699999999997</v>
      </c>
      <c r="AS220" s="148">
        <f t="shared" si="143"/>
        <v>30598.799999999992</v>
      </c>
      <c r="AT220" s="148">
        <f t="shared" si="143"/>
        <v>28048.899999999991</v>
      </c>
      <c r="AU220" s="148">
        <f t="shared" si="143"/>
        <v>25499</v>
      </c>
      <c r="AV220" s="148">
        <f t="shared" si="143"/>
        <v>23255.088</v>
      </c>
      <c r="BA220" s="145">
        <f t="shared" si="134"/>
        <v>-26</v>
      </c>
      <c r="BB220" s="149">
        <f t="shared" si="121"/>
        <v>2.3255088E-2</v>
      </c>
      <c r="BC220" s="97">
        <v>26</v>
      </c>
      <c r="BD220" s="111">
        <f t="shared" si="122"/>
        <v>23255.088</v>
      </c>
      <c r="BE220" s="111">
        <f t="shared" si="123"/>
        <v>604632.28799999994</v>
      </c>
      <c r="BW220" s="97" t="s">
        <v>619</v>
      </c>
    </row>
    <row r="221" spans="2:75">
      <c r="B221" s="98">
        <v>1999</v>
      </c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>
        <f>W$184</f>
        <v>23914</v>
      </c>
      <c r="X221" s="102">
        <f t="shared" ref="X221:AV221" si="144">$W221*E$195</f>
        <v>23890.085999999999</v>
      </c>
      <c r="Y221" s="102">
        <f t="shared" si="144"/>
        <v>23866.171999999999</v>
      </c>
      <c r="Z221" s="102">
        <f t="shared" si="144"/>
        <v>23842.258000000002</v>
      </c>
      <c r="AA221" s="102">
        <f t="shared" si="144"/>
        <v>23818.344000000001</v>
      </c>
      <c r="AB221" s="102">
        <f t="shared" si="144"/>
        <v>23794.43</v>
      </c>
      <c r="AC221" s="102">
        <f t="shared" si="144"/>
        <v>23722.687999999998</v>
      </c>
      <c r="AD221" s="102">
        <f t="shared" si="144"/>
        <v>23650.946</v>
      </c>
      <c r="AE221" s="102">
        <f t="shared" si="144"/>
        <v>23579.203999999998</v>
      </c>
      <c r="AF221" s="102">
        <f t="shared" si="144"/>
        <v>23507.462</v>
      </c>
      <c r="AG221" s="102">
        <f t="shared" si="144"/>
        <v>23435.72</v>
      </c>
      <c r="AH221" s="102">
        <f t="shared" si="144"/>
        <v>23053.095999999998</v>
      </c>
      <c r="AI221" s="102">
        <f t="shared" si="144"/>
        <v>22670.471999999998</v>
      </c>
      <c r="AJ221" s="102">
        <f t="shared" si="144"/>
        <v>22287.847999999998</v>
      </c>
      <c r="AK221" s="102">
        <f t="shared" si="144"/>
        <v>21905.223999999998</v>
      </c>
      <c r="AL221" s="102">
        <f t="shared" si="144"/>
        <v>21522.600000000002</v>
      </c>
      <c r="AM221" s="103">
        <f t="shared" si="144"/>
        <v>20805.18</v>
      </c>
      <c r="AN221" s="148">
        <f t="shared" si="144"/>
        <v>20087.759999999998</v>
      </c>
      <c r="AO221" s="148">
        <f t="shared" si="144"/>
        <v>19370.34</v>
      </c>
      <c r="AP221" s="148">
        <f t="shared" si="144"/>
        <v>18652.919999999998</v>
      </c>
      <c r="AQ221" s="148">
        <f t="shared" si="144"/>
        <v>17935.5</v>
      </c>
      <c r="AR221" s="148">
        <f t="shared" si="144"/>
        <v>16739.8</v>
      </c>
      <c r="AS221" s="148">
        <f t="shared" si="144"/>
        <v>15544.099999999999</v>
      </c>
      <c r="AT221" s="148">
        <f t="shared" si="144"/>
        <v>14348.399999999996</v>
      </c>
      <c r="AU221" s="148">
        <f t="shared" si="144"/>
        <v>13152.699999999995</v>
      </c>
      <c r="AV221" s="148">
        <f t="shared" si="144"/>
        <v>11957</v>
      </c>
      <c r="BA221" s="145">
        <f t="shared" si="134"/>
        <v>-25</v>
      </c>
      <c r="BB221" s="149">
        <f t="shared" si="121"/>
        <v>1.1957000000000001E-2</v>
      </c>
      <c r="BC221" s="97">
        <v>25</v>
      </c>
      <c r="BD221" s="111">
        <f t="shared" si="122"/>
        <v>11957</v>
      </c>
      <c r="BE221" s="111">
        <f t="shared" si="123"/>
        <v>298925</v>
      </c>
      <c r="BW221" s="97" t="s">
        <v>619</v>
      </c>
    </row>
    <row r="222" spans="2:75">
      <c r="B222" s="98">
        <v>2000</v>
      </c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>
        <f>X$184</f>
        <v>2039</v>
      </c>
      <c r="Y222" s="102">
        <f t="shared" ref="Y222:AV222" si="145">$X222*E$195</f>
        <v>2036.961</v>
      </c>
      <c r="Z222" s="102">
        <f t="shared" si="145"/>
        <v>2034.922</v>
      </c>
      <c r="AA222" s="102">
        <f t="shared" si="145"/>
        <v>2032.883</v>
      </c>
      <c r="AB222" s="102">
        <f t="shared" si="145"/>
        <v>2030.8440000000001</v>
      </c>
      <c r="AC222" s="102">
        <f t="shared" si="145"/>
        <v>2028.8050000000001</v>
      </c>
      <c r="AD222" s="102">
        <f t="shared" si="145"/>
        <v>2022.6879999999999</v>
      </c>
      <c r="AE222" s="102">
        <f t="shared" si="145"/>
        <v>2016.5709999999999</v>
      </c>
      <c r="AF222" s="102">
        <f t="shared" si="145"/>
        <v>2010.454</v>
      </c>
      <c r="AG222" s="102">
        <f t="shared" si="145"/>
        <v>2004.337</v>
      </c>
      <c r="AH222" s="102">
        <f t="shared" si="145"/>
        <v>1998.22</v>
      </c>
      <c r="AI222" s="102">
        <f t="shared" si="145"/>
        <v>1965.596</v>
      </c>
      <c r="AJ222" s="102">
        <f t="shared" si="145"/>
        <v>1932.972</v>
      </c>
      <c r="AK222" s="102">
        <f t="shared" si="145"/>
        <v>1900.348</v>
      </c>
      <c r="AL222" s="102">
        <f t="shared" si="145"/>
        <v>1867.7239999999999</v>
      </c>
      <c r="AM222" s="103">
        <f t="shared" si="145"/>
        <v>1835.1000000000001</v>
      </c>
      <c r="AN222" s="148">
        <f t="shared" si="145"/>
        <v>1773.93</v>
      </c>
      <c r="AO222" s="148">
        <f t="shared" si="145"/>
        <v>1712.76</v>
      </c>
      <c r="AP222" s="148">
        <f t="shared" si="145"/>
        <v>1651.59</v>
      </c>
      <c r="AQ222" s="148">
        <f t="shared" si="145"/>
        <v>1590.4199999999998</v>
      </c>
      <c r="AR222" s="148">
        <f t="shared" si="145"/>
        <v>1529.25</v>
      </c>
      <c r="AS222" s="148">
        <f t="shared" si="145"/>
        <v>1427.3</v>
      </c>
      <c r="AT222" s="148">
        <f t="shared" si="145"/>
        <v>1325.35</v>
      </c>
      <c r="AU222" s="148">
        <f t="shared" si="145"/>
        <v>1223.3999999999996</v>
      </c>
      <c r="AV222" s="148">
        <f t="shared" si="145"/>
        <v>1121.4499999999996</v>
      </c>
      <c r="BA222" s="145">
        <f t="shared" si="134"/>
        <v>-24</v>
      </c>
      <c r="BB222" s="149">
        <f t="shared" si="121"/>
        <v>1.1214499999999995E-3</v>
      </c>
      <c r="BC222" s="97">
        <v>24</v>
      </c>
      <c r="BD222" s="111">
        <f t="shared" si="122"/>
        <v>1121.4499999999996</v>
      </c>
      <c r="BE222" s="111">
        <f t="shared" si="123"/>
        <v>26914.799999999988</v>
      </c>
      <c r="BW222" s="97" t="s">
        <v>619</v>
      </c>
    </row>
    <row r="223" spans="2:75">
      <c r="B223" s="98">
        <v>2001</v>
      </c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>
        <f>Y$184</f>
        <v>71140</v>
      </c>
      <c r="Z223" s="102">
        <f t="shared" ref="Z223:AV223" si="146">$Y223*F$195</f>
        <v>70997.72</v>
      </c>
      <c r="AA223" s="102">
        <f t="shared" si="146"/>
        <v>70926.58</v>
      </c>
      <c r="AB223" s="102">
        <f t="shared" si="146"/>
        <v>70855.44</v>
      </c>
      <c r="AC223" s="102">
        <f t="shared" si="146"/>
        <v>70784.3</v>
      </c>
      <c r="AD223" s="102">
        <f t="shared" si="146"/>
        <v>70570.880000000005</v>
      </c>
      <c r="AE223" s="102">
        <f t="shared" si="146"/>
        <v>70357.460000000006</v>
      </c>
      <c r="AF223" s="102">
        <f t="shared" si="146"/>
        <v>70144.039999999994</v>
      </c>
      <c r="AG223" s="102">
        <f t="shared" si="146"/>
        <v>69930.62</v>
      </c>
      <c r="AH223" s="102">
        <f t="shared" si="146"/>
        <v>69717.2</v>
      </c>
      <c r="AI223" s="102">
        <f t="shared" si="146"/>
        <v>68578.959999999992</v>
      </c>
      <c r="AJ223" s="102">
        <f t="shared" si="146"/>
        <v>67440.72</v>
      </c>
      <c r="AK223" s="102">
        <f t="shared" si="146"/>
        <v>66302.48</v>
      </c>
      <c r="AL223" s="102">
        <f t="shared" si="146"/>
        <v>65164.24</v>
      </c>
      <c r="AM223" s="103">
        <f t="shared" si="146"/>
        <v>64026</v>
      </c>
      <c r="AN223" s="148">
        <f t="shared" si="146"/>
        <v>61891.8</v>
      </c>
      <c r="AO223" s="148">
        <f t="shared" si="146"/>
        <v>59757.599999999999</v>
      </c>
      <c r="AP223" s="148">
        <f t="shared" si="146"/>
        <v>57623.399999999994</v>
      </c>
      <c r="AQ223" s="148">
        <f t="shared" si="146"/>
        <v>55489.2</v>
      </c>
      <c r="AR223" s="148">
        <f t="shared" si="146"/>
        <v>53355</v>
      </c>
      <c r="AS223" s="148">
        <f t="shared" si="146"/>
        <v>49798</v>
      </c>
      <c r="AT223" s="148">
        <f t="shared" si="146"/>
        <v>46240.999999999993</v>
      </c>
      <c r="AU223" s="148">
        <f t="shared" si="146"/>
        <v>42683.999999999993</v>
      </c>
      <c r="AV223" s="148">
        <f t="shared" si="146"/>
        <v>39126.999999999985</v>
      </c>
      <c r="BA223" s="145">
        <f t="shared" si="134"/>
        <v>-23</v>
      </c>
      <c r="BB223" s="149">
        <f t="shared" si="121"/>
        <v>3.9126999999999988E-2</v>
      </c>
      <c r="BC223" s="97">
        <v>23</v>
      </c>
      <c r="BD223" s="111">
        <f t="shared" si="122"/>
        <v>39126.999999999985</v>
      </c>
      <c r="BE223" s="111">
        <f t="shared" si="123"/>
        <v>899920.99999999965</v>
      </c>
      <c r="BW223" s="97" t="s">
        <v>619</v>
      </c>
    </row>
    <row r="224" spans="2:75">
      <c r="B224" s="98">
        <v>2002</v>
      </c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>
        <f>Z$184</f>
        <v>25829</v>
      </c>
      <c r="AA224" s="102">
        <f t="shared" ref="AA224:AV224" si="147">$Z224*E$195</f>
        <v>25803.170999999998</v>
      </c>
      <c r="AB224" s="102">
        <f t="shared" si="147"/>
        <v>25777.342000000001</v>
      </c>
      <c r="AC224" s="102">
        <f t="shared" si="147"/>
        <v>25751.512999999999</v>
      </c>
      <c r="AD224" s="102">
        <f t="shared" si="147"/>
        <v>25725.684000000001</v>
      </c>
      <c r="AE224" s="102">
        <f t="shared" si="147"/>
        <v>25699.855</v>
      </c>
      <c r="AF224" s="102">
        <f t="shared" si="147"/>
        <v>25622.367999999999</v>
      </c>
      <c r="AG224" s="102">
        <f t="shared" si="147"/>
        <v>25544.881000000001</v>
      </c>
      <c r="AH224" s="102">
        <f t="shared" si="147"/>
        <v>25467.394</v>
      </c>
      <c r="AI224" s="102">
        <f t="shared" si="147"/>
        <v>25389.906999999999</v>
      </c>
      <c r="AJ224" s="102">
        <f t="shared" si="147"/>
        <v>25312.42</v>
      </c>
      <c r="AK224" s="102">
        <f t="shared" si="147"/>
        <v>24899.155999999999</v>
      </c>
      <c r="AL224" s="102">
        <f t="shared" si="147"/>
        <v>24485.892</v>
      </c>
      <c r="AM224" s="103">
        <f t="shared" si="147"/>
        <v>24072.627999999997</v>
      </c>
      <c r="AN224" s="148">
        <f t="shared" si="147"/>
        <v>23659.363999999998</v>
      </c>
      <c r="AO224" s="148">
        <f t="shared" si="147"/>
        <v>23246.100000000002</v>
      </c>
      <c r="AP224" s="148">
        <f t="shared" si="147"/>
        <v>22471.23</v>
      </c>
      <c r="AQ224" s="148">
        <f t="shared" si="147"/>
        <v>21696.36</v>
      </c>
      <c r="AR224" s="148">
        <f t="shared" si="147"/>
        <v>20921.489999999998</v>
      </c>
      <c r="AS224" s="148">
        <f t="shared" si="147"/>
        <v>20146.62</v>
      </c>
      <c r="AT224" s="148">
        <f t="shared" si="147"/>
        <v>19371.75</v>
      </c>
      <c r="AU224" s="148">
        <f t="shared" si="147"/>
        <v>18080.3</v>
      </c>
      <c r="AV224" s="148">
        <f t="shared" si="147"/>
        <v>16788.849999999999</v>
      </c>
      <c r="BA224" s="145">
        <f t="shared" si="134"/>
        <v>-22</v>
      </c>
      <c r="BB224" s="149">
        <f t="shared" si="121"/>
        <v>1.6788849999999998E-2</v>
      </c>
      <c r="BC224" s="97">
        <v>22</v>
      </c>
      <c r="BD224" s="111">
        <f t="shared" si="122"/>
        <v>16788.849999999999</v>
      </c>
      <c r="BE224" s="111">
        <f t="shared" si="123"/>
        <v>369354.69999999995</v>
      </c>
      <c r="BW224" s="97" t="s">
        <v>619</v>
      </c>
    </row>
    <row r="225" spans="2:75">
      <c r="B225" s="98">
        <v>2003</v>
      </c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>
        <f>AA$184</f>
        <v>8736</v>
      </c>
      <c r="AB225" s="102">
        <f t="shared" ref="AB225:AV225" si="148">$AA225*E$195</f>
        <v>8727.2639999999992</v>
      </c>
      <c r="AC225" s="102">
        <f t="shared" si="148"/>
        <v>8718.5280000000002</v>
      </c>
      <c r="AD225" s="102">
        <f t="shared" si="148"/>
        <v>8709.7919999999995</v>
      </c>
      <c r="AE225" s="102">
        <f t="shared" si="148"/>
        <v>8701.0560000000005</v>
      </c>
      <c r="AF225" s="102">
        <f t="shared" si="148"/>
        <v>8692.32</v>
      </c>
      <c r="AG225" s="102">
        <f t="shared" si="148"/>
        <v>8666.1119999999992</v>
      </c>
      <c r="AH225" s="102">
        <f t="shared" si="148"/>
        <v>8639.9040000000005</v>
      </c>
      <c r="AI225" s="102">
        <f t="shared" si="148"/>
        <v>8613.6959999999999</v>
      </c>
      <c r="AJ225" s="102">
        <f t="shared" si="148"/>
        <v>8587.4879999999994</v>
      </c>
      <c r="AK225" s="102">
        <f t="shared" si="148"/>
        <v>8561.2800000000007</v>
      </c>
      <c r="AL225" s="102">
        <f t="shared" si="148"/>
        <v>8421.503999999999</v>
      </c>
      <c r="AM225" s="103">
        <f t="shared" si="148"/>
        <v>8281.7279999999992</v>
      </c>
      <c r="AN225" s="148">
        <f t="shared" si="148"/>
        <v>8141.9519999999993</v>
      </c>
      <c r="AO225" s="148">
        <f t="shared" si="148"/>
        <v>8002.1759999999995</v>
      </c>
      <c r="AP225" s="148">
        <f t="shared" si="148"/>
        <v>7862.4000000000005</v>
      </c>
      <c r="AQ225" s="148">
        <f t="shared" si="148"/>
        <v>7600.32</v>
      </c>
      <c r="AR225" s="148">
        <f t="shared" si="148"/>
        <v>7338.24</v>
      </c>
      <c r="AS225" s="148">
        <f t="shared" si="148"/>
        <v>7076.16</v>
      </c>
      <c r="AT225" s="148">
        <f t="shared" si="148"/>
        <v>6814.079999999999</v>
      </c>
      <c r="AU225" s="148">
        <f t="shared" si="148"/>
        <v>6552</v>
      </c>
      <c r="AV225" s="148">
        <f t="shared" si="148"/>
        <v>6115.2</v>
      </c>
      <c r="BA225" s="145">
        <f t="shared" si="134"/>
        <v>-21</v>
      </c>
      <c r="BB225" s="149">
        <f t="shared" si="121"/>
        <v>6.1151999999999995E-3</v>
      </c>
      <c r="BC225" s="97">
        <v>21</v>
      </c>
      <c r="BD225" s="111">
        <f t="shared" si="122"/>
        <v>6115.2</v>
      </c>
      <c r="BE225" s="111">
        <f t="shared" si="123"/>
        <v>128419.2</v>
      </c>
      <c r="BW225" s="97" t="s">
        <v>619</v>
      </c>
    </row>
    <row r="226" spans="2:75">
      <c r="B226" s="98">
        <v>2004</v>
      </c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>
        <f>AB$184</f>
        <v>-43516</v>
      </c>
      <c r="AC226" s="150">
        <f t="shared" ref="AC226:AV226" si="149">$AB226</f>
        <v>-43516</v>
      </c>
      <c r="AD226" s="150">
        <f t="shared" si="149"/>
        <v>-43516</v>
      </c>
      <c r="AE226" s="150">
        <f t="shared" si="149"/>
        <v>-43516</v>
      </c>
      <c r="AF226" s="150">
        <f t="shared" si="149"/>
        <v>-43516</v>
      </c>
      <c r="AG226" s="150">
        <f t="shared" si="149"/>
        <v>-43516</v>
      </c>
      <c r="AH226" s="150">
        <f t="shared" si="149"/>
        <v>-43516</v>
      </c>
      <c r="AI226" s="150">
        <f t="shared" si="149"/>
        <v>-43516</v>
      </c>
      <c r="AJ226" s="150">
        <f t="shared" si="149"/>
        <v>-43516</v>
      </c>
      <c r="AK226" s="150">
        <f t="shared" si="149"/>
        <v>-43516</v>
      </c>
      <c r="AL226" s="150">
        <f t="shared" si="149"/>
        <v>-43516</v>
      </c>
      <c r="AM226" s="103">
        <f t="shared" si="149"/>
        <v>-43516</v>
      </c>
      <c r="AN226" s="151">
        <f t="shared" si="149"/>
        <v>-43516</v>
      </c>
      <c r="AO226" s="151">
        <f t="shared" si="149"/>
        <v>-43516</v>
      </c>
      <c r="AP226" s="151">
        <f t="shared" si="149"/>
        <v>-43516</v>
      </c>
      <c r="AQ226" s="151">
        <f t="shared" si="149"/>
        <v>-43516</v>
      </c>
      <c r="AR226" s="151">
        <f t="shared" si="149"/>
        <v>-43516</v>
      </c>
      <c r="AS226" s="151">
        <f t="shared" si="149"/>
        <v>-43516</v>
      </c>
      <c r="AT226" s="151">
        <f t="shared" si="149"/>
        <v>-43516</v>
      </c>
      <c r="AU226" s="151">
        <f t="shared" si="149"/>
        <v>-43516</v>
      </c>
      <c r="AV226" s="151">
        <f t="shared" si="149"/>
        <v>-43516</v>
      </c>
      <c r="BA226" s="145">
        <f t="shared" si="134"/>
        <v>-20</v>
      </c>
      <c r="BB226" s="149">
        <f t="shared" si="121"/>
        <v>0</v>
      </c>
      <c r="BC226" s="97">
        <v>20</v>
      </c>
      <c r="BD226" s="111">
        <f t="shared" si="122"/>
        <v>-43516</v>
      </c>
      <c r="BE226" s="111">
        <f t="shared" si="123"/>
        <v>-870320</v>
      </c>
      <c r="BW226" s="97" t="s">
        <v>619</v>
      </c>
    </row>
    <row r="227" spans="2:75">
      <c r="B227" s="98">
        <v>2005</v>
      </c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>
        <f>AC$184</f>
        <v>4232</v>
      </c>
      <c r="AD227" s="102">
        <f t="shared" ref="AD227:AV227" si="150">$AC227*E$195</f>
        <v>4227.768</v>
      </c>
      <c r="AE227" s="102">
        <f t="shared" si="150"/>
        <v>4223.5360000000001</v>
      </c>
      <c r="AF227" s="102">
        <f t="shared" si="150"/>
        <v>4219.3040000000001</v>
      </c>
      <c r="AG227" s="102">
        <f t="shared" si="150"/>
        <v>4215.0720000000001</v>
      </c>
      <c r="AH227" s="102">
        <f t="shared" si="150"/>
        <v>4210.84</v>
      </c>
      <c r="AI227" s="102">
        <f t="shared" si="150"/>
        <v>4198.1440000000002</v>
      </c>
      <c r="AJ227" s="102">
        <f t="shared" si="150"/>
        <v>4185.4480000000003</v>
      </c>
      <c r="AK227" s="102">
        <f t="shared" si="150"/>
        <v>4172.7519999999995</v>
      </c>
      <c r="AL227" s="102">
        <f t="shared" si="150"/>
        <v>4160.0559999999996</v>
      </c>
      <c r="AM227" s="103">
        <f t="shared" si="150"/>
        <v>4147.3599999999997</v>
      </c>
      <c r="AN227" s="148">
        <f t="shared" si="150"/>
        <v>4079.6479999999997</v>
      </c>
      <c r="AO227" s="148">
        <f t="shared" si="150"/>
        <v>4011.9359999999997</v>
      </c>
      <c r="AP227" s="148">
        <f t="shared" si="150"/>
        <v>3944.2239999999997</v>
      </c>
      <c r="AQ227" s="148">
        <f t="shared" si="150"/>
        <v>3876.5119999999997</v>
      </c>
      <c r="AR227" s="148">
        <f t="shared" si="150"/>
        <v>3808.8</v>
      </c>
      <c r="AS227" s="148">
        <f t="shared" si="150"/>
        <v>3681.84</v>
      </c>
      <c r="AT227" s="148">
        <f t="shared" si="150"/>
        <v>3554.8799999999997</v>
      </c>
      <c r="AU227" s="148">
        <f t="shared" si="150"/>
        <v>3427.9199999999996</v>
      </c>
      <c r="AV227" s="148">
        <f t="shared" si="150"/>
        <v>3300.9599999999996</v>
      </c>
      <c r="BA227" s="145">
        <f t="shared" si="134"/>
        <v>-19</v>
      </c>
      <c r="BB227" s="149">
        <f t="shared" si="121"/>
        <v>3.3009599999999995E-3</v>
      </c>
      <c r="BC227" s="97">
        <v>19</v>
      </c>
      <c r="BD227" s="111">
        <f t="shared" si="122"/>
        <v>3300.9599999999996</v>
      </c>
      <c r="BE227" s="111">
        <f t="shared" si="123"/>
        <v>62718.239999999991</v>
      </c>
      <c r="BW227" s="97" t="s">
        <v>619</v>
      </c>
    </row>
    <row r="228" spans="2:75">
      <c r="B228" s="98">
        <v>2006</v>
      </c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>
        <f>AD$184</f>
        <v>41372</v>
      </c>
      <c r="AE228" s="102">
        <f t="shared" ref="AE228:AV228" si="151">$AD228*E$195</f>
        <v>41330.627999999997</v>
      </c>
      <c r="AF228" s="102">
        <f t="shared" si="151"/>
        <v>41289.256000000001</v>
      </c>
      <c r="AG228" s="102">
        <f t="shared" si="151"/>
        <v>41247.883999999998</v>
      </c>
      <c r="AH228" s="102">
        <f t="shared" si="151"/>
        <v>41206.512000000002</v>
      </c>
      <c r="AI228" s="102">
        <f t="shared" si="151"/>
        <v>41165.14</v>
      </c>
      <c r="AJ228" s="102">
        <f t="shared" si="151"/>
        <v>41041.023999999998</v>
      </c>
      <c r="AK228" s="102">
        <f t="shared" si="151"/>
        <v>40916.908000000003</v>
      </c>
      <c r="AL228" s="102">
        <f t="shared" si="151"/>
        <v>40792.792000000001</v>
      </c>
      <c r="AM228" s="103">
        <f t="shared" si="151"/>
        <v>40668.675999999999</v>
      </c>
      <c r="AN228" s="148">
        <f t="shared" si="151"/>
        <v>40544.559999999998</v>
      </c>
      <c r="AO228" s="148">
        <f t="shared" si="151"/>
        <v>39882.608</v>
      </c>
      <c r="AP228" s="148">
        <f t="shared" si="151"/>
        <v>39220.655999999995</v>
      </c>
      <c r="AQ228" s="148">
        <f t="shared" si="151"/>
        <v>38558.703999999998</v>
      </c>
      <c r="AR228" s="148">
        <f t="shared" si="151"/>
        <v>37896.752</v>
      </c>
      <c r="AS228" s="148">
        <f t="shared" si="151"/>
        <v>37234.800000000003</v>
      </c>
      <c r="AT228" s="148">
        <f t="shared" si="151"/>
        <v>35993.64</v>
      </c>
      <c r="AU228" s="148">
        <f t="shared" si="151"/>
        <v>34752.479999999996</v>
      </c>
      <c r="AV228" s="148">
        <f t="shared" si="151"/>
        <v>33511.32</v>
      </c>
      <c r="BA228" s="145">
        <f t="shared" si="134"/>
        <v>-18</v>
      </c>
      <c r="BB228" s="149">
        <f t="shared" si="121"/>
        <v>3.3511319999999997E-2</v>
      </c>
      <c r="BC228" s="97">
        <v>18</v>
      </c>
      <c r="BD228" s="111">
        <f t="shared" si="122"/>
        <v>33511.32</v>
      </c>
      <c r="BE228" s="111">
        <f t="shared" si="123"/>
        <v>603203.76</v>
      </c>
      <c r="BW228" s="97" t="s">
        <v>619</v>
      </c>
    </row>
    <row r="229" spans="2:75">
      <c r="B229" s="98">
        <v>2007</v>
      </c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>
        <f>AE$184</f>
        <v>11889</v>
      </c>
      <c r="AF229" s="102">
        <f t="shared" ref="AF229:AV229" si="152">$AE229*E$195</f>
        <v>11877.111000000001</v>
      </c>
      <c r="AG229" s="102">
        <f t="shared" si="152"/>
        <v>11865.222</v>
      </c>
      <c r="AH229" s="102">
        <f t="shared" si="152"/>
        <v>11853.333000000001</v>
      </c>
      <c r="AI229" s="102">
        <f t="shared" si="152"/>
        <v>11841.444</v>
      </c>
      <c r="AJ229" s="102">
        <f t="shared" si="152"/>
        <v>11829.555</v>
      </c>
      <c r="AK229" s="102">
        <f t="shared" si="152"/>
        <v>11793.887999999999</v>
      </c>
      <c r="AL229" s="102">
        <f t="shared" si="152"/>
        <v>11758.221</v>
      </c>
      <c r="AM229" s="103">
        <f t="shared" si="152"/>
        <v>11722.554</v>
      </c>
      <c r="AN229" s="148">
        <f t="shared" si="152"/>
        <v>11686.887000000001</v>
      </c>
      <c r="AO229" s="148">
        <f t="shared" si="152"/>
        <v>11651.22</v>
      </c>
      <c r="AP229" s="148">
        <f t="shared" si="152"/>
        <v>11460.995999999999</v>
      </c>
      <c r="AQ229" s="148">
        <f t="shared" si="152"/>
        <v>11270.771999999999</v>
      </c>
      <c r="AR229" s="148">
        <f t="shared" si="152"/>
        <v>11080.547999999999</v>
      </c>
      <c r="AS229" s="148">
        <f t="shared" si="152"/>
        <v>10890.323999999999</v>
      </c>
      <c r="AT229" s="148">
        <f t="shared" si="152"/>
        <v>10700.1</v>
      </c>
      <c r="AU229" s="148">
        <f t="shared" si="152"/>
        <v>10343.43</v>
      </c>
      <c r="AV229" s="148">
        <f t="shared" si="152"/>
        <v>9986.76</v>
      </c>
      <c r="BA229" s="145">
        <f t="shared" si="134"/>
        <v>-17</v>
      </c>
      <c r="BB229" s="149">
        <f t="shared" si="121"/>
        <v>9.9867600000000008E-3</v>
      </c>
      <c r="BC229" s="97">
        <v>17</v>
      </c>
      <c r="BD229" s="111">
        <f t="shared" si="122"/>
        <v>9986.76</v>
      </c>
      <c r="BE229" s="111">
        <f t="shared" si="123"/>
        <v>169774.92</v>
      </c>
      <c r="BW229" s="97" t="s">
        <v>619</v>
      </c>
    </row>
    <row r="230" spans="2:75">
      <c r="B230" s="98">
        <v>2008</v>
      </c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>
        <f>AF$184</f>
        <v>11209</v>
      </c>
      <c r="AG230" s="102">
        <f t="shared" ref="AG230:AV230" si="153">$AF230*E$195</f>
        <v>11197.790999999999</v>
      </c>
      <c r="AH230" s="102">
        <f t="shared" si="153"/>
        <v>11186.582</v>
      </c>
      <c r="AI230" s="102">
        <f t="shared" si="153"/>
        <v>11175.373</v>
      </c>
      <c r="AJ230" s="102">
        <f t="shared" si="153"/>
        <v>11164.164000000001</v>
      </c>
      <c r="AK230" s="102">
        <f t="shared" si="153"/>
        <v>11152.955</v>
      </c>
      <c r="AL230" s="102">
        <f t="shared" si="153"/>
        <v>11119.328</v>
      </c>
      <c r="AM230" s="103">
        <f t="shared" si="153"/>
        <v>11085.700999999999</v>
      </c>
      <c r="AN230" s="148">
        <f t="shared" si="153"/>
        <v>11052.074000000001</v>
      </c>
      <c r="AO230" s="148">
        <f t="shared" si="153"/>
        <v>11018.447</v>
      </c>
      <c r="AP230" s="148">
        <f t="shared" si="153"/>
        <v>10984.82</v>
      </c>
      <c r="AQ230" s="148">
        <f t="shared" si="153"/>
        <v>10805.475999999999</v>
      </c>
      <c r="AR230" s="148">
        <f t="shared" si="153"/>
        <v>10626.132</v>
      </c>
      <c r="AS230" s="148">
        <f t="shared" si="153"/>
        <v>10446.787999999999</v>
      </c>
      <c r="AT230" s="148">
        <f t="shared" si="153"/>
        <v>10267.444</v>
      </c>
      <c r="AU230" s="148">
        <f t="shared" si="153"/>
        <v>10088.1</v>
      </c>
      <c r="AV230" s="148">
        <f t="shared" si="153"/>
        <v>9751.83</v>
      </c>
      <c r="BA230" s="145">
        <f t="shared" si="134"/>
        <v>-16</v>
      </c>
      <c r="BB230" s="149">
        <f t="shared" si="121"/>
        <v>9.7518299999999995E-3</v>
      </c>
      <c r="BC230" s="97">
        <v>16</v>
      </c>
      <c r="BD230" s="111">
        <f t="shared" si="122"/>
        <v>9751.83</v>
      </c>
      <c r="BE230" s="111">
        <f t="shared" si="123"/>
        <v>156029.28</v>
      </c>
      <c r="BW230" s="97" t="s">
        <v>619</v>
      </c>
    </row>
    <row r="231" spans="2:75">
      <c r="B231" s="98">
        <v>2009</v>
      </c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>
        <f>AG$184</f>
        <v>4178</v>
      </c>
      <c r="AH231" s="102">
        <f t="shared" ref="AH231:AV231" si="154">$AG231*E$195</f>
        <v>4173.8220000000001</v>
      </c>
      <c r="AI231" s="102">
        <f t="shared" si="154"/>
        <v>4169.6440000000002</v>
      </c>
      <c r="AJ231" s="102">
        <f t="shared" si="154"/>
        <v>4165.4660000000003</v>
      </c>
      <c r="AK231" s="102">
        <f t="shared" si="154"/>
        <v>4161.2879999999996</v>
      </c>
      <c r="AL231" s="102">
        <f t="shared" si="154"/>
        <v>4157.1099999999997</v>
      </c>
      <c r="AM231" s="103">
        <f t="shared" si="154"/>
        <v>4144.576</v>
      </c>
      <c r="AN231" s="148">
        <f t="shared" si="154"/>
        <v>4132.0420000000004</v>
      </c>
      <c r="AO231" s="148">
        <f t="shared" si="154"/>
        <v>4119.5079999999998</v>
      </c>
      <c r="AP231" s="148">
        <f t="shared" si="154"/>
        <v>4106.9740000000002</v>
      </c>
      <c r="AQ231" s="148">
        <f t="shared" si="154"/>
        <v>4094.44</v>
      </c>
      <c r="AR231" s="148">
        <f t="shared" si="154"/>
        <v>4027.5919999999996</v>
      </c>
      <c r="AS231" s="148">
        <f t="shared" si="154"/>
        <v>3960.7439999999997</v>
      </c>
      <c r="AT231" s="148">
        <f t="shared" si="154"/>
        <v>3893.8959999999997</v>
      </c>
      <c r="AU231" s="148">
        <f t="shared" si="154"/>
        <v>3827.0479999999998</v>
      </c>
      <c r="AV231" s="148">
        <f t="shared" si="154"/>
        <v>3760.2000000000003</v>
      </c>
      <c r="BA231" s="145">
        <f t="shared" si="134"/>
        <v>-15</v>
      </c>
      <c r="BB231" s="149">
        <f t="shared" si="121"/>
        <v>3.7602000000000004E-3</v>
      </c>
      <c r="BC231" s="97">
        <v>15</v>
      </c>
      <c r="BD231" s="111">
        <f t="shared" si="122"/>
        <v>3760.2000000000003</v>
      </c>
      <c r="BE231" s="111">
        <f t="shared" si="123"/>
        <v>56403.000000000007</v>
      </c>
      <c r="BW231" s="97" t="s">
        <v>619</v>
      </c>
    </row>
    <row r="232" spans="2:75">
      <c r="B232" s="98">
        <v>2010</v>
      </c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>
        <f>AH$184</f>
        <v>-24727</v>
      </c>
      <c r="AI232" s="150">
        <f t="shared" ref="AI232:AV232" si="155">$AH232</f>
        <v>-24727</v>
      </c>
      <c r="AJ232" s="150">
        <f t="shared" si="155"/>
        <v>-24727</v>
      </c>
      <c r="AK232" s="150">
        <f t="shared" si="155"/>
        <v>-24727</v>
      </c>
      <c r="AL232" s="150">
        <f t="shared" si="155"/>
        <v>-24727</v>
      </c>
      <c r="AM232" s="103">
        <f t="shared" si="155"/>
        <v>-24727</v>
      </c>
      <c r="AN232" s="151">
        <f t="shared" si="155"/>
        <v>-24727</v>
      </c>
      <c r="AO232" s="151">
        <f t="shared" si="155"/>
        <v>-24727</v>
      </c>
      <c r="AP232" s="151">
        <f t="shared" si="155"/>
        <v>-24727</v>
      </c>
      <c r="AQ232" s="151">
        <f t="shared" si="155"/>
        <v>-24727</v>
      </c>
      <c r="AR232" s="151">
        <f t="shared" si="155"/>
        <v>-24727</v>
      </c>
      <c r="AS232" s="151">
        <f t="shared" si="155"/>
        <v>-24727</v>
      </c>
      <c r="AT232" s="151">
        <f t="shared" si="155"/>
        <v>-24727</v>
      </c>
      <c r="AU232" s="151">
        <f t="shared" si="155"/>
        <v>-24727</v>
      </c>
      <c r="AV232" s="151">
        <f t="shared" si="155"/>
        <v>-24727</v>
      </c>
      <c r="BA232" s="145">
        <f t="shared" si="134"/>
        <v>-14</v>
      </c>
      <c r="BB232" s="149">
        <f t="shared" si="121"/>
        <v>0</v>
      </c>
      <c r="BC232" s="97">
        <v>14</v>
      </c>
      <c r="BD232" s="111">
        <f t="shared" si="122"/>
        <v>-24727</v>
      </c>
      <c r="BE232" s="111">
        <f t="shared" si="123"/>
        <v>-346178</v>
      </c>
      <c r="BW232" s="97" t="s">
        <v>619</v>
      </c>
    </row>
    <row r="233" spans="2:75">
      <c r="B233" s="98">
        <v>2011</v>
      </c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2">
        <f>AI$184</f>
        <v>14827</v>
      </c>
      <c r="AJ233" s="102">
        <f t="shared" ref="AJ233:AV233" si="156">$AI233*E$195</f>
        <v>14812.173000000001</v>
      </c>
      <c r="AK233" s="102">
        <f t="shared" si="156"/>
        <v>14797.346</v>
      </c>
      <c r="AL233" s="102">
        <f t="shared" si="156"/>
        <v>14782.519</v>
      </c>
      <c r="AM233" s="103">
        <f t="shared" si="156"/>
        <v>14767.691999999999</v>
      </c>
      <c r="AN233" s="148">
        <f t="shared" si="156"/>
        <v>14752.865</v>
      </c>
      <c r="AO233" s="148">
        <f t="shared" si="156"/>
        <v>14708.384</v>
      </c>
      <c r="AP233" s="148">
        <f t="shared" si="156"/>
        <v>14663.903</v>
      </c>
      <c r="AQ233" s="148">
        <f t="shared" si="156"/>
        <v>14619.422</v>
      </c>
      <c r="AR233" s="148">
        <f t="shared" si="156"/>
        <v>14574.940999999999</v>
      </c>
      <c r="AS233" s="148">
        <f t="shared" si="156"/>
        <v>14530.46</v>
      </c>
      <c r="AT233" s="148">
        <f t="shared" si="156"/>
        <v>14293.227999999999</v>
      </c>
      <c r="AU233" s="148">
        <f t="shared" si="156"/>
        <v>14055.995999999999</v>
      </c>
      <c r="AV233" s="148">
        <f t="shared" si="156"/>
        <v>13818.763999999999</v>
      </c>
      <c r="BA233" s="145">
        <f t="shared" si="134"/>
        <v>-13</v>
      </c>
      <c r="BB233" s="149">
        <f t="shared" si="121"/>
        <v>1.3818763999999999E-2</v>
      </c>
      <c r="BC233" s="97">
        <v>13</v>
      </c>
      <c r="BD233" s="111">
        <f t="shared" si="122"/>
        <v>13818.763999999999</v>
      </c>
      <c r="BE233" s="111">
        <f t="shared" si="123"/>
        <v>179643.932</v>
      </c>
      <c r="BW233" s="97" t="s">
        <v>619</v>
      </c>
    </row>
    <row r="234" spans="2:75">
      <c r="B234" s="98">
        <v>2012</v>
      </c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>
        <f>AJ$184</f>
        <v>10955</v>
      </c>
      <c r="AK234" s="102">
        <f t="shared" ref="AK234:AV234" si="157">$AJ234*E$195</f>
        <v>10944.045</v>
      </c>
      <c r="AL234" s="102">
        <f t="shared" si="157"/>
        <v>10933.09</v>
      </c>
      <c r="AM234" s="103">
        <f t="shared" si="157"/>
        <v>10922.135</v>
      </c>
      <c r="AN234" s="148">
        <f t="shared" si="157"/>
        <v>10911.18</v>
      </c>
      <c r="AO234" s="148">
        <f t="shared" si="157"/>
        <v>10900.225</v>
      </c>
      <c r="AP234" s="148">
        <f t="shared" si="157"/>
        <v>10867.36</v>
      </c>
      <c r="AQ234" s="148">
        <f t="shared" si="157"/>
        <v>10834.495000000001</v>
      </c>
      <c r="AR234" s="148">
        <f t="shared" si="157"/>
        <v>10801.63</v>
      </c>
      <c r="AS234" s="148">
        <f t="shared" si="157"/>
        <v>10768.764999999999</v>
      </c>
      <c r="AT234" s="148">
        <f t="shared" si="157"/>
        <v>10735.9</v>
      </c>
      <c r="AU234" s="148">
        <f t="shared" si="157"/>
        <v>10560.619999999999</v>
      </c>
      <c r="AV234" s="148">
        <f t="shared" si="157"/>
        <v>10385.34</v>
      </c>
      <c r="BA234" s="145">
        <f t="shared" si="134"/>
        <v>-12</v>
      </c>
      <c r="BB234" s="149">
        <f t="shared" si="121"/>
        <v>1.038534E-2</v>
      </c>
      <c r="BC234" s="97">
        <v>12</v>
      </c>
      <c r="BD234" s="111">
        <f t="shared" si="122"/>
        <v>10385.34</v>
      </c>
      <c r="BE234" s="111">
        <f t="shared" si="123"/>
        <v>124624.08</v>
      </c>
      <c r="BW234" s="97" t="s">
        <v>619</v>
      </c>
    </row>
    <row r="235" spans="2:75">
      <c r="B235" s="98">
        <v>2013</v>
      </c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2"/>
      <c r="AJ235" s="102"/>
      <c r="AK235" s="102">
        <f>AK$184</f>
        <v>8624</v>
      </c>
      <c r="AL235" s="102">
        <f t="shared" ref="AL235:AV235" si="158">$AK235*E$195</f>
        <v>8615.3760000000002</v>
      </c>
      <c r="AM235" s="103">
        <f t="shared" si="158"/>
        <v>8606.7520000000004</v>
      </c>
      <c r="AN235" s="148">
        <f t="shared" si="158"/>
        <v>8598.1280000000006</v>
      </c>
      <c r="AO235" s="148">
        <f t="shared" si="158"/>
        <v>8589.5040000000008</v>
      </c>
      <c r="AP235" s="148">
        <f t="shared" si="158"/>
        <v>8580.8799999999992</v>
      </c>
      <c r="AQ235" s="148">
        <f t="shared" si="158"/>
        <v>8555.0079999999998</v>
      </c>
      <c r="AR235" s="148">
        <f t="shared" si="158"/>
        <v>8529.1360000000004</v>
      </c>
      <c r="AS235" s="148">
        <f t="shared" si="158"/>
        <v>8503.2639999999992</v>
      </c>
      <c r="AT235" s="148">
        <f t="shared" si="158"/>
        <v>8477.3919999999998</v>
      </c>
      <c r="AU235" s="148">
        <f t="shared" si="158"/>
        <v>8451.52</v>
      </c>
      <c r="AV235" s="148">
        <f t="shared" si="158"/>
        <v>8313.5360000000001</v>
      </c>
      <c r="BA235" s="145">
        <f t="shared" si="134"/>
        <v>-11</v>
      </c>
      <c r="BB235" s="149">
        <f t="shared" si="121"/>
        <v>8.3135359999999998E-3</v>
      </c>
      <c r="BC235" s="97">
        <v>11</v>
      </c>
      <c r="BD235" s="111">
        <f t="shared" si="122"/>
        <v>8313.5360000000001</v>
      </c>
      <c r="BE235" s="111">
        <f t="shared" si="123"/>
        <v>91448.896000000008</v>
      </c>
      <c r="BW235" s="97" t="s">
        <v>619</v>
      </c>
    </row>
    <row r="236" spans="2:75">
      <c r="B236" s="98">
        <v>2014</v>
      </c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>
        <f>AL$184</f>
        <v>576</v>
      </c>
      <c r="AM236" s="103">
        <f t="shared" ref="AM236:AV236" si="159">$AL236*E$195</f>
        <v>575.42399999999998</v>
      </c>
      <c r="AN236" s="148">
        <f t="shared" si="159"/>
        <v>574.84799999999996</v>
      </c>
      <c r="AO236" s="148">
        <f t="shared" si="159"/>
        <v>574.27200000000005</v>
      </c>
      <c r="AP236" s="148">
        <f t="shared" si="159"/>
        <v>573.69600000000003</v>
      </c>
      <c r="AQ236" s="148">
        <f t="shared" si="159"/>
        <v>573.12</v>
      </c>
      <c r="AR236" s="148">
        <f t="shared" si="159"/>
        <v>571.39200000000005</v>
      </c>
      <c r="AS236" s="148">
        <f t="shared" si="159"/>
        <v>569.66399999999999</v>
      </c>
      <c r="AT236" s="148">
        <f t="shared" si="159"/>
        <v>567.93600000000004</v>
      </c>
      <c r="AU236" s="148">
        <f t="shared" si="159"/>
        <v>566.20799999999997</v>
      </c>
      <c r="AV236" s="148">
        <f t="shared" si="159"/>
        <v>564.48</v>
      </c>
      <c r="BA236" s="145">
        <f t="shared" si="134"/>
        <v>-10</v>
      </c>
      <c r="BB236" s="149">
        <f t="shared" si="121"/>
        <v>5.6448000000000002E-4</v>
      </c>
      <c r="BC236" s="97">
        <v>10</v>
      </c>
      <c r="BD236" s="111">
        <f t="shared" si="122"/>
        <v>564.48</v>
      </c>
      <c r="BE236" s="111">
        <f t="shared" si="123"/>
        <v>5644.8</v>
      </c>
      <c r="BW236" s="97" t="s">
        <v>619</v>
      </c>
    </row>
    <row r="237" spans="2:75">
      <c r="B237" s="98">
        <v>2015</v>
      </c>
      <c r="AM237" s="102">
        <f>AM$184</f>
        <v>9732</v>
      </c>
      <c r="AN237" s="148">
        <f t="shared" ref="AN237:AV237" si="160">$AM237*E$195</f>
        <v>9722.268</v>
      </c>
      <c r="AO237" s="148">
        <f t="shared" si="160"/>
        <v>9712.5360000000001</v>
      </c>
      <c r="AP237" s="148">
        <f t="shared" si="160"/>
        <v>9702.8040000000001</v>
      </c>
      <c r="AQ237" s="148">
        <f t="shared" si="160"/>
        <v>9693.0720000000001</v>
      </c>
      <c r="AR237" s="148">
        <f t="shared" si="160"/>
        <v>9683.34</v>
      </c>
      <c r="AS237" s="148">
        <f t="shared" si="160"/>
        <v>9654.1440000000002</v>
      </c>
      <c r="AT237" s="148">
        <f t="shared" si="160"/>
        <v>9624.9480000000003</v>
      </c>
      <c r="AU237" s="148">
        <f t="shared" si="160"/>
        <v>9595.7520000000004</v>
      </c>
      <c r="AV237" s="148">
        <f t="shared" si="160"/>
        <v>9566.5560000000005</v>
      </c>
      <c r="BA237" s="145">
        <f t="shared" si="134"/>
        <v>-9</v>
      </c>
      <c r="BB237" s="149">
        <f t="shared" si="121"/>
        <v>9.5665560000000004E-3</v>
      </c>
      <c r="BC237" s="97">
        <v>9</v>
      </c>
      <c r="BD237" s="111">
        <f t="shared" si="122"/>
        <v>9566.5560000000005</v>
      </c>
      <c r="BE237" s="111">
        <f t="shared" si="123"/>
        <v>86099.004000000001</v>
      </c>
      <c r="BW237" s="97" t="s">
        <v>619</v>
      </c>
    </row>
    <row r="238" spans="2:75">
      <c r="B238" s="98">
        <v>2016</v>
      </c>
      <c r="AN238" s="102">
        <f>AN$184</f>
        <v>10320</v>
      </c>
      <c r="AO238" s="148">
        <f t="shared" ref="AO238:AV238" si="161">$AN238*E$195</f>
        <v>10309.68</v>
      </c>
      <c r="AP238" s="148">
        <f t="shared" si="161"/>
        <v>10299.36</v>
      </c>
      <c r="AQ238" s="148">
        <f t="shared" si="161"/>
        <v>10289.040000000001</v>
      </c>
      <c r="AR238" s="148">
        <f t="shared" si="161"/>
        <v>10278.719999999999</v>
      </c>
      <c r="AS238" s="148">
        <f t="shared" si="161"/>
        <v>10268.4</v>
      </c>
      <c r="AT238" s="148">
        <f t="shared" si="161"/>
        <v>10237.44</v>
      </c>
      <c r="AU238" s="148">
        <f t="shared" si="161"/>
        <v>10206.48</v>
      </c>
      <c r="AV238" s="148">
        <f t="shared" si="161"/>
        <v>10175.52</v>
      </c>
      <c r="BA238" s="145">
        <f t="shared" si="134"/>
        <v>-8</v>
      </c>
      <c r="BB238" s="149">
        <f t="shared" si="121"/>
        <v>1.017552E-2</v>
      </c>
      <c r="BC238" s="97">
        <v>8</v>
      </c>
      <c r="BD238" s="111">
        <f t="shared" si="122"/>
        <v>10175.52</v>
      </c>
      <c r="BE238" s="97">
        <f t="shared" si="123"/>
        <v>81404.160000000003</v>
      </c>
      <c r="BW238" s="97" t="s">
        <v>619</v>
      </c>
    </row>
    <row r="239" spans="2:75">
      <c r="B239" s="98">
        <v>2017</v>
      </c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02"/>
      <c r="AJ239" s="102"/>
      <c r="AK239" s="102"/>
      <c r="AL239" s="102"/>
      <c r="AN239" s="148"/>
      <c r="AO239" s="102">
        <f>AO$184</f>
        <v>30812</v>
      </c>
      <c r="AP239" s="148">
        <f t="shared" ref="AP239:AV239" si="162">$AO239*E$195</f>
        <v>30781.187999999998</v>
      </c>
      <c r="AQ239" s="148">
        <f t="shared" si="162"/>
        <v>30750.376</v>
      </c>
      <c r="AR239" s="148">
        <f t="shared" si="162"/>
        <v>30719.563999999998</v>
      </c>
      <c r="AS239" s="148">
        <f t="shared" si="162"/>
        <v>30688.752</v>
      </c>
      <c r="AT239" s="148">
        <f t="shared" si="162"/>
        <v>30657.94</v>
      </c>
      <c r="AU239" s="148">
        <f t="shared" si="162"/>
        <v>30565.504000000001</v>
      </c>
      <c r="AV239" s="148">
        <f t="shared" si="162"/>
        <v>30473.067999999999</v>
      </c>
      <c r="BA239" s="145">
        <f t="shared" si="134"/>
        <v>-7</v>
      </c>
      <c r="BB239" s="149">
        <f t="shared" si="121"/>
        <v>3.0473067999999999E-2</v>
      </c>
      <c r="BC239" s="97">
        <v>7</v>
      </c>
      <c r="BD239" s="111">
        <f t="shared" si="122"/>
        <v>30473.067999999999</v>
      </c>
      <c r="BE239" s="97">
        <f t="shared" si="123"/>
        <v>213311.476</v>
      </c>
    </row>
    <row r="240" spans="2:75">
      <c r="B240" s="98">
        <v>2018</v>
      </c>
      <c r="AN240" s="152"/>
      <c r="AO240" s="152"/>
      <c r="AP240" s="102">
        <f>AP$184</f>
        <v>41886</v>
      </c>
      <c r="AQ240" s="148">
        <f t="shared" ref="AQ240:AV240" si="163">$AP240*E$195</f>
        <v>41844.114000000001</v>
      </c>
      <c r="AR240" s="148">
        <f t="shared" si="163"/>
        <v>41802.228000000003</v>
      </c>
      <c r="AS240" s="148">
        <f t="shared" si="163"/>
        <v>41760.341999999997</v>
      </c>
      <c r="AT240" s="148">
        <f t="shared" si="163"/>
        <v>41718.455999999998</v>
      </c>
      <c r="AU240" s="148">
        <f t="shared" si="163"/>
        <v>41676.57</v>
      </c>
      <c r="AV240" s="148">
        <f t="shared" si="163"/>
        <v>41550.911999999997</v>
      </c>
      <c r="BA240" s="145">
        <f t="shared" si="134"/>
        <v>-6</v>
      </c>
      <c r="BB240" s="149">
        <f t="shared" si="121"/>
        <v>4.1550911999999995E-2</v>
      </c>
      <c r="BC240" s="97">
        <v>6</v>
      </c>
      <c r="BD240" s="111">
        <f t="shared" si="122"/>
        <v>41550.911999999997</v>
      </c>
      <c r="BE240" s="97">
        <f t="shared" si="123"/>
        <v>249305.47199999998</v>
      </c>
    </row>
    <row r="241" spans="2:57">
      <c r="B241" s="98">
        <v>2019</v>
      </c>
      <c r="AO241" s="152"/>
      <c r="AP241" s="152"/>
      <c r="AQ241" s="102">
        <f>AQ$184</f>
        <v>9953</v>
      </c>
      <c r="AR241" s="148">
        <f t="shared" ref="AR241:AV241" si="164">$AQ241*E$195</f>
        <v>9943.0470000000005</v>
      </c>
      <c r="AS241" s="148">
        <f t="shared" si="164"/>
        <v>9933.0939999999991</v>
      </c>
      <c r="AT241" s="148">
        <f t="shared" si="164"/>
        <v>9923.1409999999996</v>
      </c>
      <c r="AU241" s="148">
        <f t="shared" si="164"/>
        <v>9913.1880000000001</v>
      </c>
      <c r="AV241" s="148">
        <f t="shared" si="164"/>
        <v>9903.2350000000006</v>
      </c>
      <c r="BA241" s="145">
        <f t="shared" si="134"/>
        <v>-5</v>
      </c>
      <c r="BB241" s="149">
        <f t="shared" si="121"/>
        <v>9.9032349999999998E-3</v>
      </c>
      <c r="BC241" s="97">
        <v>5</v>
      </c>
      <c r="BD241" s="111">
        <f t="shared" si="122"/>
        <v>9903.2350000000006</v>
      </c>
      <c r="BE241" s="97">
        <f t="shared" si="123"/>
        <v>49516.175000000003</v>
      </c>
    </row>
    <row r="242" spans="2:57">
      <c r="B242" s="98">
        <v>2020</v>
      </c>
      <c r="C242" s="97" t="s">
        <v>619</v>
      </c>
      <c r="D242" s="97" t="s">
        <v>619</v>
      </c>
      <c r="E242" s="97" t="s">
        <v>619</v>
      </c>
      <c r="F242" s="97" t="s">
        <v>619</v>
      </c>
      <c r="G242" s="97" t="s">
        <v>619</v>
      </c>
      <c r="H242" s="97" t="s">
        <v>619</v>
      </c>
      <c r="I242" s="97" t="s">
        <v>619</v>
      </c>
      <c r="J242" s="97" t="s">
        <v>619</v>
      </c>
      <c r="K242" s="97" t="s">
        <v>619</v>
      </c>
      <c r="L242" s="97" t="s">
        <v>619</v>
      </c>
      <c r="M242" s="97" t="s">
        <v>619</v>
      </c>
      <c r="N242" s="97" t="s">
        <v>619</v>
      </c>
      <c r="O242" s="97" t="s">
        <v>619</v>
      </c>
      <c r="P242" s="97" t="s">
        <v>619</v>
      </c>
      <c r="Q242" s="97" t="s">
        <v>619</v>
      </c>
      <c r="R242" s="97" t="s">
        <v>619</v>
      </c>
      <c r="S242" s="97" t="s">
        <v>619</v>
      </c>
      <c r="T242" s="97" t="s">
        <v>619</v>
      </c>
      <c r="U242" s="97" t="s">
        <v>619</v>
      </c>
      <c r="V242" s="97" t="s">
        <v>619</v>
      </c>
      <c r="W242" s="97" t="s">
        <v>619</v>
      </c>
      <c r="X242" s="97" t="s">
        <v>619</v>
      </c>
      <c r="Y242" s="97" t="s">
        <v>619</v>
      </c>
      <c r="Z242" s="97" t="s">
        <v>619</v>
      </c>
      <c r="AA242" s="97" t="s">
        <v>619</v>
      </c>
      <c r="AB242" s="97" t="s">
        <v>619</v>
      </c>
      <c r="AC242" s="97" t="s">
        <v>619</v>
      </c>
      <c r="AD242" s="97" t="s">
        <v>619</v>
      </c>
      <c r="AE242" s="97" t="s">
        <v>619</v>
      </c>
      <c r="AF242" s="97" t="s">
        <v>619</v>
      </c>
      <c r="AG242" s="97" t="s">
        <v>619</v>
      </c>
      <c r="AH242" s="97" t="s">
        <v>619</v>
      </c>
      <c r="AI242" s="97" t="s">
        <v>619</v>
      </c>
      <c r="AJ242" s="97" t="s">
        <v>619</v>
      </c>
      <c r="AK242" s="97" t="s">
        <v>619</v>
      </c>
      <c r="AL242" s="97" t="s">
        <v>619</v>
      </c>
      <c r="AM242" s="97" t="s">
        <v>619</v>
      </c>
      <c r="AN242" s="97" t="s">
        <v>619</v>
      </c>
      <c r="AO242" s="152" t="s">
        <v>619</v>
      </c>
      <c r="AP242" s="152" t="s">
        <v>619</v>
      </c>
      <c r="AQ242" s="152" t="s">
        <v>619</v>
      </c>
      <c r="AR242" s="102">
        <f>AR$184</f>
        <v>7197</v>
      </c>
      <c r="AS242" s="148">
        <f t="shared" ref="AS242:AV242" si="165">$AR242*E$195</f>
        <v>7189.8029999999999</v>
      </c>
      <c r="AT242" s="148">
        <f t="shared" si="165"/>
        <v>7182.6059999999998</v>
      </c>
      <c r="AU242" s="148">
        <f t="shared" si="165"/>
        <v>7175.4089999999997</v>
      </c>
      <c r="AV242" s="148">
        <f t="shared" si="165"/>
        <v>7168.2119999999995</v>
      </c>
      <c r="BA242" s="145">
        <f t="shared" si="134"/>
        <v>-4</v>
      </c>
      <c r="BB242" s="149">
        <f t="shared" si="121"/>
        <v>7.1682119999999993E-3</v>
      </c>
      <c r="BC242" s="97">
        <v>4</v>
      </c>
      <c r="BD242" s="111">
        <f t="shared" si="122"/>
        <v>7168.2119999999995</v>
      </c>
      <c r="BE242" s="97">
        <f t="shared" si="123"/>
        <v>28672.847999999998</v>
      </c>
    </row>
    <row r="243" spans="2:57">
      <c r="B243" s="98">
        <v>2021</v>
      </c>
      <c r="AS243" s="102">
        <f>AS$184</f>
        <v>-697</v>
      </c>
      <c r="AT243" s="148">
        <f t="shared" ref="AT243:AV243" si="166">$AS243*E$195</f>
        <v>-696.303</v>
      </c>
      <c r="AU243" s="148">
        <f t="shared" si="166"/>
        <v>-695.60599999999999</v>
      </c>
      <c r="AV243" s="148">
        <f t="shared" si="166"/>
        <v>-694.90899999999999</v>
      </c>
      <c r="BA243" s="145">
        <f t="shared" si="134"/>
        <v>-3</v>
      </c>
      <c r="BB243" s="149">
        <f t="shared" si="121"/>
        <v>0</v>
      </c>
      <c r="BC243" s="97">
        <v>3</v>
      </c>
      <c r="BD243" s="111">
        <f t="shared" si="122"/>
        <v>-694.90899999999999</v>
      </c>
      <c r="BE243" s="97">
        <f t="shared" si="123"/>
        <v>-2084.7269999999999</v>
      </c>
    </row>
    <row r="244" spans="2:57">
      <c r="B244" s="98">
        <v>2022</v>
      </c>
      <c r="AT244" s="102">
        <f>AT$184</f>
        <v>8180</v>
      </c>
      <c r="AU244" s="148">
        <f t="shared" ref="AU244:AV244" si="167">$AT244*E$195</f>
        <v>8171.82</v>
      </c>
      <c r="AV244" s="148">
        <f t="shared" si="167"/>
        <v>8163.64</v>
      </c>
      <c r="BA244" s="145">
        <f t="shared" si="134"/>
        <v>-2</v>
      </c>
      <c r="BB244" s="149">
        <f t="shared" si="121"/>
        <v>8.1636399999999998E-3</v>
      </c>
      <c r="BC244" s="97">
        <v>2</v>
      </c>
      <c r="BD244" s="111">
        <f t="shared" si="122"/>
        <v>8163.64</v>
      </c>
      <c r="BE244" s="97">
        <f t="shared" si="123"/>
        <v>16327.28</v>
      </c>
    </row>
    <row r="245" spans="2:57">
      <c r="B245" s="98">
        <v>2023</v>
      </c>
      <c r="AU245" s="102">
        <f>AU$184</f>
        <v>19054</v>
      </c>
      <c r="AV245" s="148">
        <f>$AU245*E$195</f>
        <v>19034.946</v>
      </c>
      <c r="BA245" s="145">
        <f t="shared" si="134"/>
        <v>-1</v>
      </c>
      <c r="BB245" s="149">
        <f t="shared" si="121"/>
        <v>1.9034946000000001E-2</v>
      </c>
      <c r="BC245" s="97">
        <v>1</v>
      </c>
      <c r="BD245" s="111">
        <f t="shared" si="122"/>
        <v>19034.946</v>
      </c>
      <c r="BE245" s="97">
        <f t="shared" si="123"/>
        <v>19034.946</v>
      </c>
    </row>
    <row r="246" spans="2:57">
      <c r="B246" s="98">
        <v>2024</v>
      </c>
      <c r="AV246" s="102">
        <f>AV$184</f>
        <v>1541</v>
      </c>
      <c r="BA246" s="145">
        <f t="shared" si="134"/>
        <v>0</v>
      </c>
      <c r="BB246" s="149">
        <f t="shared" si="121"/>
        <v>1.5410000000000001E-3</v>
      </c>
      <c r="BC246" s="97">
        <v>0</v>
      </c>
      <c r="BD246" s="111">
        <f t="shared" si="122"/>
        <v>1541</v>
      </c>
      <c r="BE246" s="97">
        <f t="shared" si="123"/>
        <v>0</v>
      </c>
    </row>
  </sheetData>
  <dataValidations count="1">
    <dataValidation type="list" allowBlank="1" showInputMessage="1" showErrorMessage="1" sqref="C9" xr:uid="{E7DE6F40-A18F-5B46-ADC7-C238A20342D3}">
      <formula1>$B$6:$B$8</formula1>
    </dataValidation>
  </dataValidations>
  <pageMargins left="0.7" right="0.7" top="0.75" bottom="0.75" header="0.3" footer="0.3"/>
  <pageSetup paperSize="1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37FD-C3C5-CC45-B823-767458BD0B3C}">
  <dimension ref="B26:B30"/>
  <sheetViews>
    <sheetView zoomScale="137" workbookViewId="0">
      <selection activeCell="B30" sqref="B30"/>
    </sheetView>
  </sheetViews>
  <sheetFormatPr defaultColWidth="11.42578125" defaultRowHeight="15"/>
  <sheetData>
    <row r="26" spans="2:2">
      <c r="B26" t="s">
        <v>717</v>
      </c>
    </row>
    <row r="27" spans="2:2">
      <c r="B27">
        <v>7.7</v>
      </c>
    </row>
    <row r="29" spans="2:2">
      <c r="B29" t="s">
        <v>720</v>
      </c>
    </row>
    <row r="30" spans="2:2">
      <c r="B30">
        <f>B27*2</f>
        <v>15.4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6C9F-D5CD-49A6-8F43-ABDD7F5942E5}">
  <dimension ref="A1:AJ67"/>
  <sheetViews>
    <sheetView workbookViewId="0">
      <selection sqref="A1:XFD1048576"/>
    </sheetView>
  </sheetViews>
  <sheetFormatPr defaultColWidth="8.85546875" defaultRowHeight="15"/>
  <sheetData>
    <row r="1" spans="1:36">
      <c r="A1" t="s">
        <v>34</v>
      </c>
    </row>
    <row r="2" spans="1:36">
      <c r="A2" t="s">
        <v>35</v>
      </c>
    </row>
    <row r="3" spans="1:36">
      <c r="A3" t="s">
        <v>36</v>
      </c>
    </row>
    <row r="4" spans="1:36">
      <c r="A4" t="s">
        <v>37</v>
      </c>
    </row>
    <row r="5" spans="1:36">
      <c r="B5" t="s">
        <v>38</v>
      </c>
      <c r="C5" t="s">
        <v>39</v>
      </c>
      <c r="D5" t="s">
        <v>40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41</v>
      </c>
    </row>
    <row r="6" spans="1:36">
      <c r="A6" t="s">
        <v>42</v>
      </c>
    </row>
    <row r="7" spans="1:36">
      <c r="A7" t="s">
        <v>43</v>
      </c>
    </row>
    <row r="8" spans="1:36">
      <c r="A8" t="s">
        <v>44</v>
      </c>
      <c r="B8" t="s">
        <v>45</v>
      </c>
      <c r="C8" t="s">
        <v>46</v>
      </c>
      <c r="D8" t="s">
        <v>47</v>
      </c>
      <c r="F8">
        <v>4708.5170900000003</v>
      </c>
      <c r="G8">
        <v>4027.0446780000002</v>
      </c>
      <c r="H8">
        <v>3831.8833009999998</v>
      </c>
      <c r="I8">
        <v>3672.6340329999998</v>
      </c>
      <c r="J8">
        <v>3461.185547</v>
      </c>
      <c r="K8">
        <v>3333.5041500000002</v>
      </c>
      <c r="L8">
        <v>3228.204346</v>
      </c>
      <c r="M8">
        <v>3174.7429200000001</v>
      </c>
      <c r="N8">
        <v>3117.6520999999998</v>
      </c>
      <c r="O8">
        <v>3060.680664</v>
      </c>
      <c r="P8">
        <v>2996.7514649999998</v>
      </c>
      <c r="Q8">
        <v>3020.3459469999998</v>
      </c>
      <c r="R8">
        <v>3005.4482419999999</v>
      </c>
      <c r="S8">
        <v>2916.3522950000001</v>
      </c>
      <c r="T8">
        <v>2828.9541020000001</v>
      </c>
      <c r="U8">
        <v>2771.4672850000002</v>
      </c>
      <c r="V8">
        <v>2742.8405760000001</v>
      </c>
      <c r="W8">
        <v>2741.3857419999999</v>
      </c>
      <c r="X8">
        <v>2738.3291020000001</v>
      </c>
      <c r="Y8">
        <v>2743.7697750000002</v>
      </c>
      <c r="Z8">
        <v>2718.2727049999999</v>
      </c>
      <c r="AA8">
        <v>2685.4128420000002</v>
      </c>
      <c r="AB8">
        <v>2655.9782709999999</v>
      </c>
      <c r="AC8">
        <v>2617.857422</v>
      </c>
      <c r="AD8">
        <v>2571.8244629999999</v>
      </c>
      <c r="AE8">
        <v>2557.7060550000001</v>
      </c>
      <c r="AF8">
        <v>2528.2446289999998</v>
      </c>
      <c r="AG8">
        <v>2487.016846</v>
      </c>
      <c r="AH8">
        <v>2470.873047</v>
      </c>
      <c r="AI8">
        <v>2424.7546390000002</v>
      </c>
      <c r="AJ8" s="70">
        <v>-2.3E-2</v>
      </c>
    </row>
    <row r="9" spans="1:36">
      <c r="A9" t="s">
        <v>48</v>
      </c>
      <c r="B9" t="s">
        <v>49</v>
      </c>
      <c r="C9" t="s">
        <v>50</v>
      </c>
      <c r="D9" t="s">
        <v>47</v>
      </c>
      <c r="F9">
        <v>5.5604000000000001E-2</v>
      </c>
      <c r="G9">
        <v>5.2588000000000003E-2</v>
      </c>
      <c r="H9">
        <v>5.2776000000000003E-2</v>
      </c>
      <c r="I9">
        <v>4.7209000000000001E-2</v>
      </c>
      <c r="J9">
        <v>4.3952999999999999E-2</v>
      </c>
      <c r="K9">
        <v>4.3103000000000002E-2</v>
      </c>
      <c r="L9">
        <v>4.2452999999999998E-2</v>
      </c>
      <c r="M9">
        <v>4.2037999999999999E-2</v>
      </c>
      <c r="N9">
        <v>4.1436000000000001E-2</v>
      </c>
      <c r="O9">
        <v>4.163E-2</v>
      </c>
      <c r="P9">
        <v>4.0842000000000003E-2</v>
      </c>
      <c r="Q9">
        <v>4.2139999999999997E-2</v>
      </c>
      <c r="R9">
        <v>4.2788E-2</v>
      </c>
      <c r="S9">
        <v>4.2153999999999997E-2</v>
      </c>
      <c r="T9">
        <v>4.1222000000000002E-2</v>
      </c>
      <c r="U9">
        <v>4.0598000000000002E-2</v>
      </c>
      <c r="V9">
        <v>4.0149999999999998E-2</v>
      </c>
      <c r="W9">
        <v>4.0506E-2</v>
      </c>
      <c r="X9">
        <v>4.0439000000000003E-2</v>
      </c>
      <c r="Y9">
        <v>4.0958000000000001E-2</v>
      </c>
      <c r="Z9">
        <v>4.0855000000000002E-2</v>
      </c>
      <c r="AA9">
        <v>4.0837999999999999E-2</v>
      </c>
      <c r="AB9">
        <v>4.0575E-2</v>
      </c>
      <c r="AC9">
        <v>3.9878999999999998E-2</v>
      </c>
      <c r="AD9">
        <v>3.9517999999999998E-2</v>
      </c>
      <c r="AE9">
        <v>3.9347E-2</v>
      </c>
      <c r="AF9">
        <v>3.9286000000000001E-2</v>
      </c>
      <c r="AG9">
        <v>3.9098000000000001E-2</v>
      </c>
      <c r="AH9">
        <v>3.8983999999999998E-2</v>
      </c>
      <c r="AI9">
        <v>3.8241999999999998E-2</v>
      </c>
      <c r="AJ9" s="70">
        <v>-1.2999999999999999E-2</v>
      </c>
    </row>
    <row r="10" spans="1:36">
      <c r="A10" t="s">
        <v>51</v>
      </c>
      <c r="B10" t="s">
        <v>52</v>
      </c>
      <c r="C10" t="s">
        <v>53</v>
      </c>
      <c r="D10" t="s">
        <v>47</v>
      </c>
      <c r="F10">
        <v>4708.5727539999998</v>
      </c>
      <c r="G10">
        <v>4027.0971679999998</v>
      </c>
      <c r="H10">
        <v>3831.9360350000002</v>
      </c>
      <c r="I10">
        <v>3672.6811520000001</v>
      </c>
      <c r="J10">
        <v>3461.2294919999999</v>
      </c>
      <c r="K10">
        <v>3333.5473630000001</v>
      </c>
      <c r="L10">
        <v>3228.2468260000001</v>
      </c>
      <c r="M10">
        <v>3174.7849120000001</v>
      </c>
      <c r="N10">
        <v>3117.6936040000001</v>
      </c>
      <c r="O10">
        <v>3060.7224120000001</v>
      </c>
      <c r="P10">
        <v>2996.7922359999998</v>
      </c>
      <c r="Q10">
        <v>3020.3881839999999</v>
      </c>
      <c r="R10">
        <v>3005.4909670000002</v>
      </c>
      <c r="S10">
        <v>2916.3945309999999</v>
      </c>
      <c r="T10">
        <v>2828.9953609999998</v>
      </c>
      <c r="U10">
        <v>2771.5078119999998</v>
      </c>
      <c r="V10">
        <v>2742.880615</v>
      </c>
      <c r="W10">
        <v>2741.4262699999999</v>
      </c>
      <c r="X10">
        <v>2738.3696289999998</v>
      </c>
      <c r="Y10">
        <v>2743.8107909999999</v>
      </c>
      <c r="Z10">
        <v>2718.3134770000001</v>
      </c>
      <c r="AA10">
        <v>2685.4536130000001</v>
      </c>
      <c r="AB10">
        <v>2656.0187989999999</v>
      </c>
      <c r="AC10">
        <v>2617.8972170000002</v>
      </c>
      <c r="AD10">
        <v>2571.8640140000002</v>
      </c>
      <c r="AE10">
        <v>2557.7453609999998</v>
      </c>
      <c r="AF10">
        <v>2528.2839359999998</v>
      </c>
      <c r="AG10">
        <v>2487.0559079999998</v>
      </c>
      <c r="AH10">
        <v>2470.9121089999999</v>
      </c>
      <c r="AI10">
        <v>2424.7929690000001</v>
      </c>
      <c r="AJ10" s="70">
        <v>-2.3E-2</v>
      </c>
    </row>
    <row r="11" spans="1:36">
      <c r="A11" t="s">
        <v>54</v>
      </c>
    </row>
    <row r="12" spans="1:36">
      <c r="A12" t="s">
        <v>55</v>
      </c>
      <c r="B12" t="s">
        <v>56</v>
      </c>
      <c r="C12" t="s">
        <v>57</v>
      </c>
      <c r="D12" t="s">
        <v>47</v>
      </c>
      <c r="F12">
        <v>70.343306999999996</v>
      </c>
      <c r="G12">
        <v>60.549362000000002</v>
      </c>
      <c r="H12">
        <v>58.041054000000003</v>
      </c>
      <c r="I12">
        <v>55.635876000000003</v>
      </c>
      <c r="J12">
        <v>52.402312999999999</v>
      </c>
      <c r="K12">
        <v>50.446724000000003</v>
      </c>
      <c r="L12">
        <v>48.850254</v>
      </c>
      <c r="M12">
        <v>48.098244000000001</v>
      </c>
      <c r="N12">
        <v>47.308959999999999</v>
      </c>
      <c r="O12">
        <v>46.542290000000001</v>
      </c>
      <c r="P12">
        <v>45.684764999999999</v>
      </c>
      <c r="Q12">
        <v>46.060051000000001</v>
      </c>
      <c r="R12">
        <v>46.024467000000001</v>
      </c>
      <c r="S12">
        <v>44.769226000000003</v>
      </c>
      <c r="T12">
        <v>43.527194999999999</v>
      </c>
      <c r="U12">
        <v>42.754539000000001</v>
      </c>
      <c r="V12">
        <v>42.415855000000001</v>
      </c>
      <c r="W12">
        <v>42.501331</v>
      </c>
      <c r="X12">
        <v>42.568268000000003</v>
      </c>
      <c r="Y12">
        <v>42.744872999999998</v>
      </c>
      <c r="Z12">
        <v>42.494694000000003</v>
      </c>
      <c r="AA12">
        <v>42.101706999999998</v>
      </c>
      <c r="AB12">
        <v>41.768360000000001</v>
      </c>
      <c r="AC12">
        <v>41.300837999999999</v>
      </c>
      <c r="AD12">
        <v>40.689475999999999</v>
      </c>
      <c r="AE12">
        <v>40.579242999999998</v>
      </c>
      <c r="AF12">
        <v>40.234856000000001</v>
      </c>
      <c r="AG12">
        <v>39.691223000000001</v>
      </c>
      <c r="AH12">
        <v>39.541573</v>
      </c>
      <c r="AI12">
        <v>38.713805999999998</v>
      </c>
      <c r="AJ12" s="70">
        <v>-0.02</v>
      </c>
    </row>
    <row r="13" spans="1:36">
      <c r="A13" t="s">
        <v>58</v>
      </c>
      <c r="B13" t="s">
        <v>59</v>
      </c>
      <c r="C13" t="s">
        <v>60</v>
      </c>
      <c r="D13" t="s">
        <v>47</v>
      </c>
      <c r="F13">
        <v>1.8893880000000001</v>
      </c>
      <c r="G13">
        <v>1.8535779999999999</v>
      </c>
      <c r="H13">
        <v>2.0109530000000002</v>
      </c>
      <c r="I13">
        <v>2.1309040000000001</v>
      </c>
      <c r="J13">
        <v>2.194248</v>
      </c>
      <c r="K13">
        <v>2.2869069999999998</v>
      </c>
      <c r="L13">
        <v>2.3802180000000002</v>
      </c>
      <c r="M13">
        <v>2.5123880000000001</v>
      </c>
      <c r="N13">
        <v>2.6399349999999999</v>
      </c>
      <c r="O13">
        <v>2.764761</v>
      </c>
      <c r="P13">
        <v>2.882028</v>
      </c>
      <c r="Q13">
        <v>3.07301</v>
      </c>
      <c r="R13">
        <v>3.249978</v>
      </c>
      <c r="S13">
        <v>3.3300109999999998</v>
      </c>
      <c r="T13">
        <v>3.4044590000000001</v>
      </c>
      <c r="U13">
        <v>3.5091039999999998</v>
      </c>
      <c r="V13">
        <v>3.645464</v>
      </c>
      <c r="W13">
        <v>3.8190309999999998</v>
      </c>
      <c r="X13">
        <v>3.9951789999999998</v>
      </c>
      <c r="Y13">
        <v>4.1799140000000001</v>
      </c>
      <c r="Z13">
        <v>4.331512</v>
      </c>
      <c r="AA13">
        <v>4.4636480000000001</v>
      </c>
      <c r="AB13">
        <v>4.6018280000000003</v>
      </c>
      <c r="AC13">
        <v>4.7243890000000004</v>
      </c>
      <c r="AD13">
        <v>4.825278</v>
      </c>
      <c r="AE13">
        <v>4.9845139999999999</v>
      </c>
      <c r="AF13">
        <v>5.1154820000000001</v>
      </c>
      <c r="AG13">
        <v>5.2185459999999999</v>
      </c>
      <c r="AH13">
        <v>5.3715929999999998</v>
      </c>
      <c r="AI13">
        <v>5.4546510000000001</v>
      </c>
      <c r="AJ13" s="70">
        <v>3.6999999999999998E-2</v>
      </c>
    </row>
    <row r="14" spans="1:36">
      <c r="A14" t="s">
        <v>61</v>
      </c>
      <c r="B14" t="s">
        <v>62</v>
      </c>
      <c r="C14" t="s">
        <v>63</v>
      </c>
      <c r="D14" t="s">
        <v>47</v>
      </c>
      <c r="F14">
        <v>23.375468999999999</v>
      </c>
      <c r="G14">
        <v>25.162935000000001</v>
      </c>
      <c r="H14">
        <v>26.887744999999999</v>
      </c>
      <c r="I14">
        <v>28.182168999999998</v>
      </c>
      <c r="J14">
        <v>27.906448000000001</v>
      </c>
      <c r="K14">
        <v>28.487347</v>
      </c>
      <c r="L14">
        <v>29.056843000000001</v>
      </c>
      <c r="M14">
        <v>30.245135999999999</v>
      </c>
      <c r="N14">
        <v>31.850908</v>
      </c>
      <c r="O14">
        <v>33.557735000000001</v>
      </c>
      <c r="P14">
        <v>35.134197</v>
      </c>
      <c r="Q14">
        <v>38.987633000000002</v>
      </c>
      <c r="R14">
        <v>41.828842000000002</v>
      </c>
      <c r="S14">
        <v>43.608128000000001</v>
      </c>
      <c r="T14">
        <v>45.457847999999998</v>
      </c>
      <c r="U14">
        <v>47.452530000000003</v>
      </c>
      <c r="V14">
        <v>49.824115999999997</v>
      </c>
      <c r="W14">
        <v>52.774906000000001</v>
      </c>
      <c r="X14">
        <v>55.452347000000003</v>
      </c>
      <c r="Y14">
        <v>58.692047000000002</v>
      </c>
      <c r="Z14">
        <v>61.099415</v>
      </c>
      <c r="AA14">
        <v>63.306271000000002</v>
      </c>
      <c r="AB14">
        <v>65.701378000000005</v>
      </c>
      <c r="AC14">
        <v>67.526718000000002</v>
      </c>
      <c r="AD14">
        <v>68.845268000000004</v>
      </c>
      <c r="AE14">
        <v>71.151718000000002</v>
      </c>
      <c r="AF14">
        <v>72.830405999999996</v>
      </c>
      <c r="AG14">
        <v>74.054810000000003</v>
      </c>
      <c r="AH14">
        <v>76.022530000000003</v>
      </c>
      <c r="AI14">
        <v>76.511939999999996</v>
      </c>
      <c r="AJ14" s="70">
        <v>4.2000000000000003E-2</v>
      </c>
    </row>
    <row r="15" spans="1:36">
      <c r="A15" t="s">
        <v>64</v>
      </c>
      <c r="B15" t="s">
        <v>65</v>
      </c>
      <c r="C15" t="s">
        <v>66</v>
      </c>
      <c r="D15" t="s">
        <v>47</v>
      </c>
      <c r="F15">
        <v>147.401779</v>
      </c>
      <c r="G15">
        <v>155.99674999999999</v>
      </c>
      <c r="H15">
        <v>171.69786099999999</v>
      </c>
      <c r="I15">
        <v>181.12496899999999</v>
      </c>
      <c r="J15">
        <v>175.221497</v>
      </c>
      <c r="K15">
        <v>171.76187100000001</v>
      </c>
      <c r="L15">
        <v>168.80046100000001</v>
      </c>
      <c r="M15">
        <v>169.34013400000001</v>
      </c>
      <c r="N15">
        <v>172.23846399999999</v>
      </c>
      <c r="O15">
        <v>179.979996</v>
      </c>
      <c r="P15">
        <v>184.512665</v>
      </c>
      <c r="Q15">
        <v>199.95791600000001</v>
      </c>
      <c r="R15">
        <v>212.35974100000001</v>
      </c>
      <c r="S15">
        <v>218.05941799999999</v>
      </c>
      <c r="T15">
        <v>224.15055799999999</v>
      </c>
      <c r="U15">
        <v>230.91040000000001</v>
      </c>
      <c r="V15">
        <v>239.59773300000001</v>
      </c>
      <c r="W15">
        <v>251.35534699999999</v>
      </c>
      <c r="X15">
        <v>262.51718099999999</v>
      </c>
      <c r="Y15">
        <v>275.64163200000002</v>
      </c>
      <c r="Z15">
        <v>286.47796599999998</v>
      </c>
      <c r="AA15">
        <v>296.271027</v>
      </c>
      <c r="AB15">
        <v>307.46560699999998</v>
      </c>
      <c r="AC15">
        <v>316.62567100000001</v>
      </c>
      <c r="AD15">
        <v>323.55627399999997</v>
      </c>
      <c r="AE15">
        <v>335.51574699999998</v>
      </c>
      <c r="AF15">
        <v>345.194458</v>
      </c>
      <c r="AG15">
        <v>353.00534099999999</v>
      </c>
      <c r="AH15">
        <v>364.805115</v>
      </c>
      <c r="AI15">
        <v>370.38699300000002</v>
      </c>
      <c r="AJ15" s="70">
        <v>3.2000000000000001E-2</v>
      </c>
    </row>
    <row r="16" spans="1:36">
      <c r="A16" t="s">
        <v>67</v>
      </c>
      <c r="B16" t="s">
        <v>68</v>
      </c>
      <c r="C16" t="s">
        <v>69</v>
      </c>
      <c r="D16" t="s">
        <v>47</v>
      </c>
      <c r="F16">
        <v>46.07452</v>
      </c>
      <c r="G16">
        <v>41.307822999999999</v>
      </c>
      <c r="H16">
        <v>35.311194999999998</v>
      </c>
      <c r="I16">
        <v>33.157207</v>
      </c>
      <c r="J16">
        <v>32.668339000000003</v>
      </c>
      <c r="K16">
        <v>31.887578999999999</v>
      </c>
      <c r="L16">
        <v>31.637594</v>
      </c>
      <c r="M16">
        <v>31.960208999999999</v>
      </c>
      <c r="N16">
        <v>32.534396999999998</v>
      </c>
      <c r="O16">
        <v>33.628281000000001</v>
      </c>
      <c r="P16">
        <v>34.726852000000001</v>
      </c>
      <c r="Q16">
        <v>38.217216000000001</v>
      </c>
      <c r="R16">
        <v>40.075108</v>
      </c>
      <c r="S16">
        <v>40.901299000000002</v>
      </c>
      <c r="T16">
        <v>41.703311999999997</v>
      </c>
      <c r="U16">
        <v>42.683684999999997</v>
      </c>
      <c r="V16">
        <v>44.039828999999997</v>
      </c>
      <c r="W16">
        <v>45.875613999999999</v>
      </c>
      <c r="X16">
        <v>47.390827000000002</v>
      </c>
      <c r="Y16">
        <v>49.550097999999998</v>
      </c>
      <c r="Z16">
        <v>50.653801000000001</v>
      </c>
      <c r="AA16">
        <v>51.584178999999999</v>
      </c>
      <c r="AB16">
        <v>52.619587000000003</v>
      </c>
      <c r="AC16">
        <v>53.227955000000001</v>
      </c>
      <c r="AD16">
        <v>53.513435000000001</v>
      </c>
      <c r="AE16">
        <v>54.554977000000001</v>
      </c>
      <c r="AF16">
        <v>55.090519</v>
      </c>
      <c r="AG16">
        <v>55.306950000000001</v>
      </c>
      <c r="AH16">
        <v>56.102440000000001</v>
      </c>
      <c r="AI16">
        <v>55.769160999999997</v>
      </c>
      <c r="AJ16" s="70">
        <v>7.0000000000000001E-3</v>
      </c>
    </row>
    <row r="17" spans="1:36">
      <c r="A17" t="s">
        <v>70</v>
      </c>
      <c r="B17" t="s">
        <v>71</v>
      </c>
      <c r="C17" t="s">
        <v>69</v>
      </c>
      <c r="D17" t="s">
        <v>47</v>
      </c>
      <c r="F17">
        <v>2.0510920000000001</v>
      </c>
      <c r="G17">
        <v>1.9805189999999999</v>
      </c>
      <c r="H17">
        <v>2.0723379999999998</v>
      </c>
      <c r="I17">
        <v>2.2677040000000002</v>
      </c>
      <c r="J17">
        <v>2.410676</v>
      </c>
      <c r="K17">
        <v>2.6005690000000001</v>
      </c>
      <c r="L17">
        <v>2.7973720000000002</v>
      </c>
      <c r="M17">
        <v>3.04156</v>
      </c>
      <c r="N17">
        <v>3.288033</v>
      </c>
      <c r="O17">
        <v>3.5496409999999998</v>
      </c>
      <c r="P17">
        <v>3.8025120000000001</v>
      </c>
      <c r="Q17">
        <v>4.2142350000000004</v>
      </c>
      <c r="R17">
        <v>4.5525779999999996</v>
      </c>
      <c r="S17">
        <v>4.7596179999999997</v>
      </c>
      <c r="T17">
        <v>4.9583000000000004</v>
      </c>
      <c r="U17">
        <v>5.187163</v>
      </c>
      <c r="V17">
        <v>5.4601639999999998</v>
      </c>
      <c r="W17">
        <v>5.792198</v>
      </c>
      <c r="X17">
        <v>6.1139840000000003</v>
      </c>
      <c r="Y17">
        <v>6.4750550000000002</v>
      </c>
      <c r="Z17">
        <v>6.7610460000000003</v>
      </c>
      <c r="AA17">
        <v>7.0202429999999998</v>
      </c>
      <c r="AB17">
        <v>7.2933370000000002</v>
      </c>
      <c r="AC17">
        <v>7.5284069999999996</v>
      </c>
      <c r="AD17">
        <v>7.7228120000000002</v>
      </c>
      <c r="AE17">
        <v>8.0182500000000001</v>
      </c>
      <c r="AF17">
        <v>8.2581500000000005</v>
      </c>
      <c r="AG17">
        <v>8.4514969999999998</v>
      </c>
      <c r="AH17">
        <v>8.7284670000000002</v>
      </c>
      <c r="AI17">
        <v>8.8705390000000008</v>
      </c>
      <c r="AJ17" s="70">
        <v>5.1999999999999998E-2</v>
      </c>
    </row>
    <row r="18" spans="1:36">
      <c r="A18" t="s">
        <v>72</v>
      </c>
      <c r="B18" t="s">
        <v>73</v>
      </c>
      <c r="C18" t="s">
        <v>74</v>
      </c>
      <c r="D18" t="s">
        <v>47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75</v>
      </c>
    </row>
    <row r="19" spans="1:36">
      <c r="A19" t="s">
        <v>76</v>
      </c>
      <c r="B19" t="s">
        <v>77</v>
      </c>
      <c r="C19" t="s">
        <v>78</v>
      </c>
      <c r="D19" t="s">
        <v>47</v>
      </c>
      <c r="F19">
        <v>332.48666400000002</v>
      </c>
      <c r="G19">
        <v>337.24652099999997</v>
      </c>
      <c r="H19">
        <v>365.72226000000001</v>
      </c>
      <c r="I19">
        <v>361.76470899999998</v>
      </c>
      <c r="J19">
        <v>343.107574</v>
      </c>
      <c r="K19">
        <v>337.52279700000003</v>
      </c>
      <c r="L19">
        <v>334.77813700000002</v>
      </c>
      <c r="M19">
        <v>336.788544</v>
      </c>
      <c r="N19">
        <v>337.88992300000001</v>
      </c>
      <c r="O19">
        <v>339.16201799999999</v>
      </c>
      <c r="P19">
        <v>338.979218</v>
      </c>
      <c r="Q19">
        <v>350.40441900000002</v>
      </c>
      <c r="R19">
        <v>355.52737400000001</v>
      </c>
      <c r="S19">
        <v>350.95867900000002</v>
      </c>
      <c r="T19">
        <v>346.27304099999998</v>
      </c>
      <c r="U19">
        <v>344.43457000000001</v>
      </c>
      <c r="V19">
        <v>346.00167800000003</v>
      </c>
      <c r="W19">
        <v>351.18691999999999</v>
      </c>
      <c r="X19">
        <v>355.50054899999998</v>
      </c>
      <c r="Y19">
        <v>362.082581</v>
      </c>
      <c r="Z19">
        <v>366.14453099999997</v>
      </c>
      <c r="AA19">
        <v>367.11215199999998</v>
      </c>
      <c r="AB19">
        <v>368.55566399999998</v>
      </c>
      <c r="AC19">
        <v>368.23931900000002</v>
      </c>
      <c r="AD19">
        <v>366.31881700000002</v>
      </c>
      <c r="AE19">
        <v>369.05972300000002</v>
      </c>
      <c r="AF19">
        <v>369.16357399999998</v>
      </c>
      <c r="AG19">
        <v>367.36792000000003</v>
      </c>
      <c r="AH19">
        <v>369.24075299999998</v>
      </c>
      <c r="AI19">
        <v>365.604401</v>
      </c>
      <c r="AJ19" s="70">
        <v>3.0000000000000001E-3</v>
      </c>
    </row>
    <row r="20" spans="1:36">
      <c r="A20" t="s">
        <v>79</v>
      </c>
      <c r="B20" t="s">
        <v>80</v>
      </c>
      <c r="C20" t="s">
        <v>81</v>
      </c>
      <c r="D20" t="s">
        <v>47</v>
      </c>
      <c r="F20">
        <v>0.12579499999999999</v>
      </c>
      <c r="G20">
        <v>0.137188</v>
      </c>
      <c r="H20">
        <v>0.16456000000000001</v>
      </c>
      <c r="I20">
        <v>0.17819399999999999</v>
      </c>
      <c r="J20">
        <v>0.178977</v>
      </c>
      <c r="K20">
        <v>0.17513000000000001</v>
      </c>
      <c r="L20">
        <v>0.16991100000000001</v>
      </c>
      <c r="M20">
        <v>0.166769</v>
      </c>
      <c r="N20">
        <v>0.16133</v>
      </c>
      <c r="O20">
        <v>0.15781400000000001</v>
      </c>
      <c r="P20">
        <v>0.155445</v>
      </c>
      <c r="Q20">
        <v>0.15307200000000001</v>
      </c>
      <c r="R20">
        <v>0.154532</v>
      </c>
      <c r="S20">
        <v>0.15030399999999999</v>
      </c>
      <c r="T20">
        <v>0.14590400000000001</v>
      </c>
      <c r="U20">
        <v>0.14330499999999999</v>
      </c>
      <c r="V20">
        <v>0.141849</v>
      </c>
      <c r="W20">
        <v>0.142148</v>
      </c>
      <c r="X20">
        <v>0.14249500000000001</v>
      </c>
      <c r="Y20">
        <v>0.142984</v>
      </c>
      <c r="Z20">
        <v>0.14338500000000001</v>
      </c>
      <c r="AA20">
        <v>0.14371200000000001</v>
      </c>
      <c r="AB20">
        <v>0.14466599999999999</v>
      </c>
      <c r="AC20">
        <v>0.14494299999999999</v>
      </c>
      <c r="AD20">
        <v>0.143982</v>
      </c>
      <c r="AE20">
        <v>0.14440600000000001</v>
      </c>
      <c r="AF20">
        <v>0.14402599999999999</v>
      </c>
      <c r="AG20">
        <v>0.142705</v>
      </c>
      <c r="AH20">
        <v>0.14289099999999999</v>
      </c>
      <c r="AI20">
        <v>0.14146400000000001</v>
      </c>
      <c r="AJ20" s="70">
        <v>4.0000000000000001E-3</v>
      </c>
    </row>
    <row r="21" spans="1:36">
      <c r="A21" t="s">
        <v>82</v>
      </c>
      <c r="B21" t="s">
        <v>83</v>
      </c>
      <c r="C21" t="s">
        <v>84</v>
      </c>
      <c r="D21" t="s">
        <v>47</v>
      </c>
      <c r="F21">
        <v>8.7209999999999996E-2</v>
      </c>
      <c r="G21">
        <v>8.3796999999999996E-2</v>
      </c>
      <c r="H21">
        <v>8.6701E-2</v>
      </c>
      <c r="I21">
        <v>8.2955000000000001E-2</v>
      </c>
      <c r="J21">
        <v>7.7557000000000001E-2</v>
      </c>
      <c r="K21">
        <v>7.4380000000000002E-2</v>
      </c>
      <c r="L21">
        <v>7.2463E-2</v>
      </c>
      <c r="M21">
        <v>7.1961999999999998E-2</v>
      </c>
      <c r="N21">
        <v>7.1042999999999995E-2</v>
      </c>
      <c r="O21">
        <v>7.0277999999999993E-2</v>
      </c>
      <c r="P21">
        <v>6.9926000000000002E-2</v>
      </c>
      <c r="Q21">
        <v>6.8585999999999994E-2</v>
      </c>
      <c r="R21">
        <v>7.0636000000000004E-2</v>
      </c>
      <c r="S21">
        <v>6.9625999999999993E-2</v>
      </c>
      <c r="T21">
        <v>6.8207000000000004E-2</v>
      </c>
      <c r="U21">
        <v>6.7854999999999999E-2</v>
      </c>
      <c r="V21">
        <v>6.7926E-2</v>
      </c>
      <c r="W21">
        <v>6.8939E-2</v>
      </c>
      <c r="X21">
        <v>6.9968000000000002E-2</v>
      </c>
      <c r="Y21">
        <v>7.1117E-2</v>
      </c>
      <c r="Z21">
        <v>7.2262999999999994E-2</v>
      </c>
      <c r="AA21">
        <v>7.3052000000000006E-2</v>
      </c>
      <c r="AB21">
        <v>7.4276999999999996E-2</v>
      </c>
      <c r="AC21">
        <v>7.5227000000000002E-2</v>
      </c>
      <c r="AD21">
        <v>7.5635999999999995E-2</v>
      </c>
      <c r="AE21">
        <v>7.6905000000000001E-2</v>
      </c>
      <c r="AF21">
        <v>7.7802999999999997E-2</v>
      </c>
      <c r="AG21">
        <v>7.8106999999999996E-2</v>
      </c>
      <c r="AH21">
        <v>7.9106999999999997E-2</v>
      </c>
      <c r="AI21">
        <v>7.9021999999999995E-2</v>
      </c>
      <c r="AJ21" s="70">
        <v>-3.0000000000000001E-3</v>
      </c>
    </row>
    <row r="22" spans="1:36">
      <c r="A22" t="s">
        <v>85</v>
      </c>
      <c r="B22" t="s">
        <v>86</v>
      </c>
      <c r="C22" t="s">
        <v>87</v>
      </c>
      <c r="D22" t="s">
        <v>47</v>
      </c>
      <c r="F22">
        <v>5.824E-2</v>
      </c>
      <c r="G22">
        <v>8.3934999999999996E-2</v>
      </c>
      <c r="H22">
        <v>0.10223400000000001</v>
      </c>
      <c r="I22">
        <v>0.100122</v>
      </c>
      <c r="J22">
        <v>9.4562999999999994E-2</v>
      </c>
      <c r="K22">
        <v>9.1009000000000007E-2</v>
      </c>
      <c r="L22">
        <v>8.8827000000000003E-2</v>
      </c>
      <c r="M22">
        <v>8.8865E-2</v>
      </c>
      <c r="N22">
        <v>8.8482000000000005E-2</v>
      </c>
      <c r="O22">
        <v>8.7889999999999996E-2</v>
      </c>
      <c r="P22">
        <v>8.8635000000000005E-2</v>
      </c>
      <c r="Q22">
        <v>8.9943999999999996E-2</v>
      </c>
      <c r="R22">
        <v>9.5838000000000007E-2</v>
      </c>
      <c r="S22">
        <v>9.5838999999999994E-2</v>
      </c>
      <c r="T22">
        <v>9.5929E-2</v>
      </c>
      <c r="U22">
        <v>9.7351999999999994E-2</v>
      </c>
      <c r="V22">
        <v>9.8850999999999994E-2</v>
      </c>
      <c r="W22">
        <v>0.10141</v>
      </c>
      <c r="X22">
        <v>0.10506699999999999</v>
      </c>
      <c r="Y22">
        <v>0.106972</v>
      </c>
      <c r="Z22">
        <v>0.110404</v>
      </c>
      <c r="AA22">
        <v>0.112637</v>
      </c>
      <c r="AB22">
        <v>0.114746</v>
      </c>
      <c r="AC22">
        <v>0.11737</v>
      </c>
      <c r="AD22">
        <v>0.119959</v>
      </c>
      <c r="AE22">
        <v>0.124351</v>
      </c>
      <c r="AF22">
        <v>0.128778</v>
      </c>
      <c r="AG22">
        <v>0.13200500000000001</v>
      </c>
      <c r="AH22">
        <v>0.13613600000000001</v>
      </c>
      <c r="AI22">
        <v>0.139824</v>
      </c>
      <c r="AJ22" s="70">
        <v>3.1E-2</v>
      </c>
    </row>
    <row r="23" spans="1:36">
      <c r="A23" t="s">
        <v>88</v>
      </c>
      <c r="B23" t="s">
        <v>86</v>
      </c>
      <c r="C23" t="s">
        <v>89</v>
      </c>
      <c r="D23" t="s">
        <v>47</v>
      </c>
      <c r="F23">
        <v>3.4324E-2</v>
      </c>
      <c r="G23">
        <v>3.1629999999999998E-2</v>
      </c>
      <c r="H23">
        <v>3.2663999999999999E-2</v>
      </c>
      <c r="I23">
        <v>3.1067000000000001E-2</v>
      </c>
      <c r="J23">
        <v>2.8989000000000001E-2</v>
      </c>
      <c r="K23">
        <v>2.7803999999999999E-2</v>
      </c>
      <c r="L23">
        <v>2.6821000000000001E-2</v>
      </c>
      <c r="M23">
        <v>2.6294000000000001E-2</v>
      </c>
      <c r="N23">
        <v>2.5703E-2</v>
      </c>
      <c r="O23">
        <v>2.5183000000000001E-2</v>
      </c>
      <c r="P23">
        <v>2.4774999999999998E-2</v>
      </c>
      <c r="Q23">
        <v>2.5118999999999999E-2</v>
      </c>
      <c r="R23">
        <v>2.5592E-2</v>
      </c>
      <c r="S23">
        <v>2.5024999999999999E-2</v>
      </c>
      <c r="T23">
        <v>2.4549000000000001E-2</v>
      </c>
      <c r="U23">
        <v>2.4303000000000002E-2</v>
      </c>
      <c r="V23">
        <v>2.4152E-2</v>
      </c>
      <c r="W23">
        <v>2.4312E-2</v>
      </c>
      <c r="X23">
        <v>2.4516E-2</v>
      </c>
      <c r="Y23">
        <v>2.4691999999999999E-2</v>
      </c>
      <c r="Z23">
        <v>2.4847999999999999E-2</v>
      </c>
      <c r="AA23">
        <v>2.486E-2</v>
      </c>
      <c r="AB23">
        <v>2.4878999999999998E-2</v>
      </c>
      <c r="AC23">
        <v>2.4868999999999999E-2</v>
      </c>
      <c r="AD23">
        <v>2.4892000000000001E-2</v>
      </c>
      <c r="AE23">
        <v>2.5346E-2</v>
      </c>
      <c r="AF23">
        <v>2.5631000000000001E-2</v>
      </c>
      <c r="AG23">
        <v>2.5672E-2</v>
      </c>
      <c r="AH23">
        <v>2.5926000000000001E-2</v>
      </c>
      <c r="AI23">
        <v>2.5838E-2</v>
      </c>
      <c r="AJ23" s="70">
        <v>-0.01</v>
      </c>
    </row>
    <row r="24" spans="1:36">
      <c r="A24" t="s">
        <v>90</v>
      </c>
      <c r="B24" t="s">
        <v>91</v>
      </c>
      <c r="C24" t="s">
        <v>92</v>
      </c>
      <c r="D24" t="s">
        <v>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75</v>
      </c>
    </row>
    <row r="25" spans="1:36">
      <c r="A25" t="s">
        <v>93</v>
      </c>
      <c r="B25" t="s">
        <v>94</v>
      </c>
      <c r="C25" t="s">
        <v>95</v>
      </c>
      <c r="D25" t="s">
        <v>47</v>
      </c>
      <c r="F25">
        <v>2.810565</v>
      </c>
      <c r="G25">
        <v>2.5792950000000001</v>
      </c>
      <c r="H25">
        <v>2.9005109999999998</v>
      </c>
      <c r="I25">
        <v>3.0991559999999998</v>
      </c>
      <c r="J25">
        <v>3.3652739999999999</v>
      </c>
      <c r="K25">
        <v>3.752151</v>
      </c>
      <c r="L25">
        <v>4.0850790000000003</v>
      </c>
      <c r="M25">
        <v>4.4954919999999996</v>
      </c>
      <c r="N25">
        <v>4.8712819999999999</v>
      </c>
      <c r="O25">
        <v>5.1944819999999998</v>
      </c>
      <c r="P25">
        <v>5.4509059999999998</v>
      </c>
      <c r="Q25">
        <v>5.7987690000000001</v>
      </c>
      <c r="R25">
        <v>6.1745089999999996</v>
      </c>
      <c r="S25">
        <v>6.1894619999999998</v>
      </c>
      <c r="T25">
        <v>6.1413770000000003</v>
      </c>
      <c r="U25">
        <v>6.0972109999999997</v>
      </c>
      <c r="V25">
        <v>6.0469020000000002</v>
      </c>
      <c r="W25">
        <v>6.2551769999999998</v>
      </c>
      <c r="X25">
        <v>6.4857379999999996</v>
      </c>
      <c r="Y25">
        <v>6.689171</v>
      </c>
      <c r="Z25">
        <v>6.8860489999999999</v>
      </c>
      <c r="AA25">
        <v>7.0107549999999996</v>
      </c>
      <c r="AB25">
        <v>7.1375010000000003</v>
      </c>
      <c r="AC25">
        <v>7.2389099999999997</v>
      </c>
      <c r="AD25">
        <v>7.2781450000000003</v>
      </c>
      <c r="AE25">
        <v>7.3882669999999999</v>
      </c>
      <c r="AF25">
        <v>7.4550150000000004</v>
      </c>
      <c r="AG25">
        <v>7.4618539999999998</v>
      </c>
      <c r="AH25">
        <v>7.5268550000000003</v>
      </c>
      <c r="AI25">
        <v>7.5094289999999999</v>
      </c>
      <c r="AJ25" s="70">
        <v>3.4000000000000002E-2</v>
      </c>
    </row>
    <row r="26" spans="1:36">
      <c r="A26" t="s">
        <v>96</v>
      </c>
      <c r="B26" t="s">
        <v>97</v>
      </c>
      <c r="C26" t="s">
        <v>98</v>
      </c>
      <c r="D26" t="s">
        <v>47</v>
      </c>
      <c r="F26">
        <v>626.73834199999999</v>
      </c>
      <c r="G26">
        <v>627.01330600000006</v>
      </c>
      <c r="H26">
        <v>665.03002900000001</v>
      </c>
      <c r="I26">
        <v>667.75506600000006</v>
      </c>
      <c r="J26">
        <v>639.65643299999999</v>
      </c>
      <c r="K26">
        <v>629.11425799999995</v>
      </c>
      <c r="L26">
        <v>622.74401899999998</v>
      </c>
      <c r="M26">
        <v>626.83557099999996</v>
      </c>
      <c r="N26">
        <v>632.96844499999997</v>
      </c>
      <c r="O26">
        <v>644.72033699999997</v>
      </c>
      <c r="P26">
        <v>651.51196300000004</v>
      </c>
      <c r="Q26">
        <v>687.04998799999998</v>
      </c>
      <c r="R26">
        <v>710.13922100000002</v>
      </c>
      <c r="S26">
        <v>712.91662599999995</v>
      </c>
      <c r="T26">
        <v>715.95062299999995</v>
      </c>
      <c r="U26">
        <v>723.36199999999997</v>
      </c>
      <c r="V26">
        <v>737.36444100000006</v>
      </c>
      <c r="W26">
        <v>759.89739999999995</v>
      </c>
      <c r="X26">
        <v>780.36608899999999</v>
      </c>
      <c r="Y26">
        <v>806.40118399999994</v>
      </c>
      <c r="Z26">
        <v>825.19988999999998</v>
      </c>
      <c r="AA26">
        <v>839.224243</v>
      </c>
      <c r="AB26">
        <v>855.501892</v>
      </c>
      <c r="AC26">
        <v>866.77459699999997</v>
      </c>
      <c r="AD26">
        <v>873.11395300000004</v>
      </c>
      <c r="AE26">
        <v>891.62335199999995</v>
      </c>
      <c r="AF26">
        <v>903.71875</v>
      </c>
      <c r="AG26">
        <v>910.93670699999996</v>
      </c>
      <c r="AH26">
        <v>927.72332800000004</v>
      </c>
      <c r="AI26">
        <v>929.20703100000003</v>
      </c>
      <c r="AJ26" s="70">
        <v>1.4E-2</v>
      </c>
    </row>
    <row r="27" spans="1:36">
      <c r="A27" t="s">
        <v>99</v>
      </c>
      <c r="B27" t="s">
        <v>100</v>
      </c>
      <c r="C27" t="s">
        <v>101</v>
      </c>
      <c r="D27" t="s">
        <v>102</v>
      </c>
      <c r="F27">
        <v>11.746987000000001</v>
      </c>
      <c r="G27">
        <v>13.472249</v>
      </c>
      <c r="H27">
        <v>14.788416</v>
      </c>
      <c r="I27">
        <v>15.384516</v>
      </c>
      <c r="J27">
        <v>15.598006</v>
      </c>
      <c r="K27">
        <v>15.876053000000001</v>
      </c>
      <c r="L27">
        <v>16.171009000000002</v>
      </c>
      <c r="M27">
        <v>16.488641999999999</v>
      </c>
      <c r="N27">
        <v>16.876179</v>
      </c>
      <c r="O27">
        <v>17.399279</v>
      </c>
      <c r="P27">
        <v>17.857938999999998</v>
      </c>
      <c r="Q27">
        <v>18.531663999999999</v>
      </c>
      <c r="R27">
        <v>19.112214999999999</v>
      </c>
      <c r="S27">
        <v>19.643305000000002</v>
      </c>
      <c r="T27">
        <v>20.196375</v>
      </c>
      <c r="U27">
        <v>20.697823</v>
      </c>
      <c r="V27">
        <v>21.187141</v>
      </c>
      <c r="W27">
        <v>21.703146</v>
      </c>
      <c r="X27">
        <v>22.177455999999999</v>
      </c>
      <c r="Y27">
        <v>22.714169999999999</v>
      </c>
      <c r="Z27">
        <v>23.287618999999999</v>
      </c>
      <c r="AA27">
        <v>23.809956</v>
      </c>
      <c r="AB27">
        <v>24.362717</v>
      </c>
      <c r="AC27">
        <v>24.873922</v>
      </c>
      <c r="AD27">
        <v>25.344545</v>
      </c>
      <c r="AE27">
        <v>25.848886</v>
      </c>
      <c r="AF27">
        <v>26.332108999999999</v>
      </c>
      <c r="AG27">
        <v>26.808083</v>
      </c>
      <c r="AH27">
        <v>27.296935999999999</v>
      </c>
      <c r="AI27">
        <v>27.704445</v>
      </c>
      <c r="AJ27" s="70">
        <v>0.03</v>
      </c>
    </row>
    <row r="28" spans="1:36">
      <c r="A28" t="s">
        <v>103</v>
      </c>
      <c r="B28" t="s">
        <v>104</v>
      </c>
      <c r="C28" t="s">
        <v>105</v>
      </c>
      <c r="D28" t="s">
        <v>47</v>
      </c>
      <c r="F28">
        <v>5335.3110349999997</v>
      </c>
      <c r="G28">
        <v>4654.1103519999997</v>
      </c>
      <c r="H28">
        <v>4496.9658200000003</v>
      </c>
      <c r="I28">
        <v>4340.4360349999997</v>
      </c>
      <c r="J28">
        <v>4100.8857420000004</v>
      </c>
      <c r="K28">
        <v>3962.6616210000002</v>
      </c>
      <c r="L28">
        <v>3850.9907229999999</v>
      </c>
      <c r="M28">
        <v>3801.6206050000001</v>
      </c>
      <c r="N28">
        <v>3750.6621089999999</v>
      </c>
      <c r="O28">
        <v>3705.4428710000002</v>
      </c>
      <c r="P28">
        <v>3648.3041990000002</v>
      </c>
      <c r="Q28">
        <v>3707.438232</v>
      </c>
      <c r="R28">
        <v>3715.6301269999999</v>
      </c>
      <c r="S28">
        <v>3629.3110350000002</v>
      </c>
      <c r="T28">
        <v>3544.9460450000001</v>
      </c>
      <c r="U28">
        <v>3494.8698730000001</v>
      </c>
      <c r="V28">
        <v>3480.2451169999999</v>
      </c>
      <c r="W28">
        <v>3501.3237300000001</v>
      </c>
      <c r="X28">
        <v>3518.7358399999998</v>
      </c>
      <c r="Y28">
        <v>3550.211914</v>
      </c>
      <c r="Z28">
        <v>3543.5134280000002</v>
      </c>
      <c r="AA28">
        <v>3524.6777339999999</v>
      </c>
      <c r="AB28">
        <v>3511.5207519999999</v>
      </c>
      <c r="AC28">
        <v>3484.671875</v>
      </c>
      <c r="AD28">
        <v>3444.9780270000001</v>
      </c>
      <c r="AE28">
        <v>3449.3686520000001</v>
      </c>
      <c r="AF28">
        <v>3432.0026859999998</v>
      </c>
      <c r="AG28">
        <v>3397.9926759999998</v>
      </c>
      <c r="AH28">
        <v>3398.6354980000001</v>
      </c>
      <c r="AI28">
        <v>3354</v>
      </c>
      <c r="AJ28" s="70">
        <v>-1.6E-2</v>
      </c>
    </row>
    <row r="29" spans="1:36">
      <c r="A29" t="s">
        <v>106</v>
      </c>
    </row>
    <row r="30" spans="1:36">
      <c r="A30" t="s">
        <v>107</v>
      </c>
    </row>
    <row r="31" spans="1:36">
      <c r="A31" t="s">
        <v>44</v>
      </c>
      <c r="B31" t="s">
        <v>108</v>
      </c>
      <c r="C31" t="s">
        <v>109</v>
      </c>
      <c r="D31" t="s">
        <v>47</v>
      </c>
      <c r="F31">
        <v>8724.5283199999994</v>
      </c>
      <c r="G31">
        <v>7939.5649409999996</v>
      </c>
      <c r="H31">
        <v>8116.8813479999999</v>
      </c>
      <c r="I31">
        <v>8314.5390619999998</v>
      </c>
      <c r="J31">
        <v>8323.5039059999999</v>
      </c>
      <c r="K31">
        <v>8322.1757809999999</v>
      </c>
      <c r="L31">
        <v>8213.2363280000009</v>
      </c>
      <c r="M31">
        <v>8182.4931640000004</v>
      </c>
      <c r="N31">
        <v>8148.5395509999998</v>
      </c>
      <c r="O31">
        <v>8039.1225590000004</v>
      </c>
      <c r="P31">
        <v>7956.1635740000002</v>
      </c>
      <c r="Q31">
        <v>7892.4267579999996</v>
      </c>
      <c r="R31">
        <v>7877.8208009999998</v>
      </c>
      <c r="S31">
        <v>7680.5063479999999</v>
      </c>
      <c r="T31">
        <v>7491.6279299999997</v>
      </c>
      <c r="U31">
        <v>7401.828125</v>
      </c>
      <c r="V31">
        <v>7379.4506840000004</v>
      </c>
      <c r="W31">
        <v>7421.5366210000002</v>
      </c>
      <c r="X31">
        <v>7516.1909180000002</v>
      </c>
      <c r="Y31">
        <v>7545.408203</v>
      </c>
      <c r="Z31">
        <v>7531.5078119999998</v>
      </c>
      <c r="AA31">
        <v>7480.3242190000001</v>
      </c>
      <c r="AB31">
        <v>7421.3354490000002</v>
      </c>
      <c r="AC31">
        <v>7365.7758789999998</v>
      </c>
      <c r="AD31">
        <v>7297.7700199999999</v>
      </c>
      <c r="AE31">
        <v>7308.1538090000004</v>
      </c>
      <c r="AF31">
        <v>7296.1381840000004</v>
      </c>
      <c r="AG31">
        <v>7261.7114259999998</v>
      </c>
      <c r="AH31">
        <v>7295.6362300000001</v>
      </c>
      <c r="AI31">
        <v>7308.4360349999997</v>
      </c>
      <c r="AJ31" s="70">
        <v>-6.0000000000000001E-3</v>
      </c>
    </row>
    <row r="32" spans="1:36">
      <c r="A32" t="s">
        <v>48</v>
      </c>
      <c r="B32" t="s">
        <v>110</v>
      </c>
      <c r="C32" t="s">
        <v>111</v>
      </c>
      <c r="D32" t="s">
        <v>47</v>
      </c>
      <c r="F32">
        <v>46.418770000000002</v>
      </c>
      <c r="G32">
        <v>51.253639</v>
      </c>
      <c r="H32">
        <v>54.700763999999999</v>
      </c>
      <c r="I32">
        <v>52.197566999999999</v>
      </c>
      <c r="J32">
        <v>51.239521000000003</v>
      </c>
      <c r="K32">
        <v>51.580734</v>
      </c>
      <c r="L32">
        <v>51.742249000000001</v>
      </c>
      <c r="M32">
        <v>52.058838000000002</v>
      </c>
      <c r="N32">
        <v>51.945</v>
      </c>
      <c r="O32">
        <v>52.957183999999998</v>
      </c>
      <c r="P32">
        <v>52.219420999999997</v>
      </c>
      <c r="Q32">
        <v>53.612389</v>
      </c>
      <c r="R32">
        <v>54.034382000000001</v>
      </c>
      <c r="S32">
        <v>53.363276999999997</v>
      </c>
      <c r="T32">
        <v>52.099303999999997</v>
      </c>
      <c r="U32">
        <v>51.40202</v>
      </c>
      <c r="V32">
        <v>50.977820999999999</v>
      </c>
      <c r="W32">
        <v>51.689278000000002</v>
      </c>
      <c r="X32">
        <v>51.969776000000003</v>
      </c>
      <c r="Y32">
        <v>53.049380999999997</v>
      </c>
      <c r="Z32">
        <v>53.070942000000002</v>
      </c>
      <c r="AA32">
        <v>53.386406000000001</v>
      </c>
      <c r="AB32">
        <v>53.157027999999997</v>
      </c>
      <c r="AC32">
        <v>52.364654999999999</v>
      </c>
      <c r="AD32">
        <v>52.270598999999997</v>
      </c>
      <c r="AE32">
        <v>52.341468999999996</v>
      </c>
      <c r="AF32">
        <v>52.742237000000003</v>
      </c>
      <c r="AG32">
        <v>53.071174999999997</v>
      </c>
      <c r="AH32">
        <v>53.468131999999997</v>
      </c>
      <c r="AI32">
        <v>53.209235999999997</v>
      </c>
      <c r="AJ32" s="70">
        <v>5.0000000000000001E-3</v>
      </c>
    </row>
    <row r="33" spans="1:36">
      <c r="A33" t="s">
        <v>112</v>
      </c>
      <c r="B33" t="s">
        <v>113</v>
      </c>
      <c r="C33" t="s">
        <v>114</v>
      </c>
      <c r="D33" t="s">
        <v>47</v>
      </c>
      <c r="F33">
        <v>8770.9472659999992</v>
      </c>
      <c r="G33">
        <v>7990.8183589999999</v>
      </c>
      <c r="H33">
        <v>8171.5820309999999</v>
      </c>
      <c r="I33">
        <v>8366.7363280000009</v>
      </c>
      <c r="J33">
        <v>8374.7431639999995</v>
      </c>
      <c r="K33">
        <v>8373.7568360000005</v>
      </c>
      <c r="L33">
        <v>8264.9785159999992</v>
      </c>
      <c r="M33">
        <v>8234.5517579999996</v>
      </c>
      <c r="N33">
        <v>8200.484375</v>
      </c>
      <c r="O33">
        <v>8092.0795900000003</v>
      </c>
      <c r="P33">
        <v>8008.3828119999998</v>
      </c>
      <c r="Q33">
        <v>7946.0390619999998</v>
      </c>
      <c r="R33">
        <v>7931.8549800000001</v>
      </c>
      <c r="S33">
        <v>7733.8696289999998</v>
      </c>
      <c r="T33">
        <v>7543.7270509999998</v>
      </c>
      <c r="U33">
        <v>7453.2299800000001</v>
      </c>
      <c r="V33">
        <v>7430.4287109999996</v>
      </c>
      <c r="W33">
        <v>7473.2260740000002</v>
      </c>
      <c r="X33">
        <v>7568.1606449999999</v>
      </c>
      <c r="Y33">
        <v>7598.4575199999999</v>
      </c>
      <c r="Z33">
        <v>7584.5786129999997</v>
      </c>
      <c r="AA33">
        <v>7533.7104490000002</v>
      </c>
      <c r="AB33">
        <v>7474.4926759999998</v>
      </c>
      <c r="AC33">
        <v>7418.140625</v>
      </c>
      <c r="AD33">
        <v>7350.0405270000001</v>
      </c>
      <c r="AE33">
        <v>7360.4951170000004</v>
      </c>
      <c r="AF33">
        <v>7348.8803710000002</v>
      </c>
      <c r="AG33">
        <v>7314.7827150000003</v>
      </c>
      <c r="AH33">
        <v>7349.1044920000004</v>
      </c>
      <c r="AI33">
        <v>7361.6455079999996</v>
      </c>
      <c r="AJ33" s="70">
        <v>-6.0000000000000001E-3</v>
      </c>
    </row>
    <row r="34" spans="1:36">
      <c r="A34" t="s">
        <v>115</v>
      </c>
    </row>
    <row r="35" spans="1:36">
      <c r="A35" t="s">
        <v>55</v>
      </c>
      <c r="B35" t="s">
        <v>116</v>
      </c>
      <c r="C35" t="s">
        <v>117</v>
      </c>
      <c r="D35" t="s">
        <v>47</v>
      </c>
      <c r="F35">
        <v>596.27099599999997</v>
      </c>
      <c r="G35">
        <v>546.36578399999996</v>
      </c>
      <c r="H35">
        <v>560.06811500000003</v>
      </c>
      <c r="I35">
        <v>574.928406</v>
      </c>
      <c r="J35">
        <v>576.18988000000002</v>
      </c>
      <c r="K35">
        <v>576.79669200000001</v>
      </c>
      <c r="L35">
        <v>569.94995100000006</v>
      </c>
      <c r="M35">
        <v>568.57684300000005</v>
      </c>
      <c r="N35">
        <v>566.88085899999999</v>
      </c>
      <c r="O35">
        <v>560.06951900000001</v>
      </c>
      <c r="P35">
        <v>554.92858899999999</v>
      </c>
      <c r="Q35">
        <v>552.00311299999998</v>
      </c>
      <c r="R35">
        <v>551.68054199999995</v>
      </c>
      <c r="S35">
        <v>538.38372800000002</v>
      </c>
      <c r="T35">
        <v>525.73877000000005</v>
      </c>
      <c r="U35">
        <v>519.98260500000004</v>
      </c>
      <c r="V35">
        <v>519.21203600000001</v>
      </c>
      <c r="W35">
        <v>522.88903800000003</v>
      </c>
      <c r="X35">
        <v>529.97515899999996</v>
      </c>
      <c r="Y35">
        <v>532.82470699999999</v>
      </c>
      <c r="Z35">
        <v>532.42767300000003</v>
      </c>
      <c r="AA35">
        <v>529.45483400000001</v>
      </c>
      <c r="AB35">
        <v>525.90850799999998</v>
      </c>
      <c r="AC35">
        <v>522.56658900000002</v>
      </c>
      <c r="AD35">
        <v>518.38085899999999</v>
      </c>
      <c r="AE35">
        <v>519.85076900000001</v>
      </c>
      <c r="AF35">
        <v>519.60534700000005</v>
      </c>
      <c r="AG35">
        <v>517.68316700000003</v>
      </c>
      <c r="AH35">
        <v>520.55609100000004</v>
      </c>
      <c r="AI35">
        <v>521.65747099999999</v>
      </c>
      <c r="AJ35" s="70">
        <v>-5.0000000000000001E-3</v>
      </c>
    </row>
    <row r="36" spans="1:36">
      <c r="A36" t="s">
        <v>58</v>
      </c>
      <c r="B36" t="s">
        <v>118</v>
      </c>
      <c r="C36" t="s">
        <v>119</v>
      </c>
      <c r="D36" t="s">
        <v>47</v>
      </c>
      <c r="F36">
        <v>9.3778E-2</v>
      </c>
      <c r="G36">
        <v>8.4561999999999998E-2</v>
      </c>
      <c r="H36">
        <v>8.3866999999999997E-2</v>
      </c>
      <c r="I36">
        <v>8.2933999999999994E-2</v>
      </c>
      <c r="J36">
        <v>7.9842999999999997E-2</v>
      </c>
      <c r="K36">
        <v>7.6699000000000003E-2</v>
      </c>
      <c r="L36">
        <v>7.2664999999999993E-2</v>
      </c>
      <c r="M36">
        <v>6.9365999999999997E-2</v>
      </c>
      <c r="N36">
        <v>6.6087999999999994E-2</v>
      </c>
      <c r="O36">
        <v>6.2316000000000003E-2</v>
      </c>
      <c r="P36">
        <v>5.8749999999999997E-2</v>
      </c>
      <c r="Q36">
        <v>5.5550000000000002E-2</v>
      </c>
      <c r="R36">
        <v>5.2555999999999999E-2</v>
      </c>
      <c r="S36">
        <v>4.8385999999999998E-2</v>
      </c>
      <c r="T36">
        <v>4.4403999999999999E-2</v>
      </c>
      <c r="U36">
        <v>4.1073999999999999E-2</v>
      </c>
      <c r="V36">
        <v>3.8148000000000001E-2</v>
      </c>
      <c r="W36">
        <v>3.5541000000000003E-2</v>
      </c>
      <c r="X36">
        <v>3.3077000000000002E-2</v>
      </c>
      <c r="Y36">
        <v>3.0315999999999999E-2</v>
      </c>
      <c r="Z36">
        <v>2.7324000000000001E-2</v>
      </c>
      <c r="AA36">
        <v>2.4208E-2</v>
      </c>
      <c r="AB36">
        <v>2.1094999999999999E-2</v>
      </c>
      <c r="AC36">
        <v>1.7999999999999999E-2</v>
      </c>
      <c r="AD36">
        <v>1.4900999999999999E-2</v>
      </c>
      <c r="AE36">
        <v>1.1975E-2</v>
      </c>
      <c r="AF36">
        <v>8.9910000000000007E-3</v>
      </c>
      <c r="AG36">
        <v>5.9810000000000002E-3</v>
      </c>
      <c r="AH36">
        <v>3.0119999999999999E-3</v>
      </c>
      <c r="AI36">
        <v>0</v>
      </c>
      <c r="AJ36" t="s">
        <v>75</v>
      </c>
    </row>
    <row r="37" spans="1:36">
      <c r="A37" t="s">
        <v>61</v>
      </c>
      <c r="B37" t="s">
        <v>120</v>
      </c>
      <c r="C37" t="s">
        <v>121</v>
      </c>
      <c r="D37" t="s">
        <v>47</v>
      </c>
      <c r="F37">
        <v>28.579189</v>
      </c>
      <c r="G37">
        <v>37.799796999999998</v>
      </c>
      <c r="H37">
        <v>46.339046000000003</v>
      </c>
      <c r="I37">
        <v>54.261100999999996</v>
      </c>
      <c r="J37">
        <v>58.176040999999998</v>
      </c>
      <c r="K37">
        <v>61.655929999999998</v>
      </c>
      <c r="L37">
        <v>64.917702000000006</v>
      </c>
      <c r="M37">
        <v>68.914390999999995</v>
      </c>
      <c r="N37">
        <v>73.443618999999998</v>
      </c>
      <c r="O37">
        <v>78.091064000000003</v>
      </c>
      <c r="P37">
        <v>80.645233000000005</v>
      </c>
      <c r="Q37">
        <v>85.000327999999996</v>
      </c>
      <c r="R37">
        <v>88.585280999999995</v>
      </c>
      <c r="S37">
        <v>89.981232000000006</v>
      </c>
      <c r="T37">
        <v>91.31456</v>
      </c>
      <c r="U37">
        <v>93.395668000000001</v>
      </c>
      <c r="V37">
        <v>96.163764999999998</v>
      </c>
      <c r="W37">
        <v>99.826248000000007</v>
      </c>
      <c r="X37">
        <v>103.860428</v>
      </c>
      <c r="Y37">
        <v>107.462875</v>
      </c>
      <c r="Z37">
        <v>110.179092</v>
      </c>
      <c r="AA37">
        <v>112.399666</v>
      </c>
      <c r="AB37">
        <v>114.578751</v>
      </c>
      <c r="AC37">
        <v>116.570374</v>
      </c>
      <c r="AD37">
        <v>118.287209</v>
      </c>
      <c r="AE37">
        <v>121.47287799999999</v>
      </c>
      <c r="AF37">
        <v>124.279961</v>
      </c>
      <c r="AG37">
        <v>126.766396</v>
      </c>
      <c r="AH37">
        <v>130.59278900000001</v>
      </c>
      <c r="AI37">
        <v>133.894745</v>
      </c>
      <c r="AJ37" s="70">
        <v>5.5E-2</v>
      </c>
    </row>
    <row r="38" spans="1:36">
      <c r="A38" t="s">
        <v>64</v>
      </c>
      <c r="B38" t="s">
        <v>122</v>
      </c>
      <c r="C38" t="s">
        <v>123</v>
      </c>
      <c r="D38" t="s">
        <v>47</v>
      </c>
      <c r="F38">
        <v>116.33712800000001</v>
      </c>
      <c r="G38">
        <v>128.26812699999999</v>
      </c>
      <c r="H38">
        <v>155.00762900000001</v>
      </c>
      <c r="I38">
        <v>182.89810199999999</v>
      </c>
      <c r="J38">
        <v>195.789841</v>
      </c>
      <c r="K38">
        <v>205.34196499999999</v>
      </c>
      <c r="L38">
        <v>213.27427700000001</v>
      </c>
      <c r="M38">
        <v>223.44061300000001</v>
      </c>
      <c r="N38">
        <v>236.342468</v>
      </c>
      <c r="O38">
        <v>247.95652799999999</v>
      </c>
      <c r="P38">
        <v>258.85949699999998</v>
      </c>
      <c r="Q38">
        <v>282.15914900000001</v>
      </c>
      <c r="R38">
        <v>301.43454000000003</v>
      </c>
      <c r="S38">
        <v>312.80041499999999</v>
      </c>
      <c r="T38">
        <v>324.20504799999998</v>
      </c>
      <c r="U38">
        <v>337.032623</v>
      </c>
      <c r="V38">
        <v>352.85296599999998</v>
      </c>
      <c r="W38">
        <v>373.29519699999997</v>
      </c>
      <c r="X38">
        <v>393.44055200000003</v>
      </c>
      <c r="Y38">
        <v>416.24755900000002</v>
      </c>
      <c r="Z38">
        <v>434.52276599999999</v>
      </c>
      <c r="AA38">
        <v>451.46810900000003</v>
      </c>
      <c r="AB38">
        <v>469.557098</v>
      </c>
      <c r="AC38">
        <v>484.46343999999999</v>
      </c>
      <c r="AD38">
        <v>496.07870500000001</v>
      </c>
      <c r="AE38">
        <v>515.07562299999995</v>
      </c>
      <c r="AF38">
        <v>530.70703100000003</v>
      </c>
      <c r="AG38">
        <v>543.75414999999998</v>
      </c>
      <c r="AH38">
        <v>562.824341</v>
      </c>
      <c r="AI38">
        <v>573.33343500000001</v>
      </c>
      <c r="AJ38" s="70">
        <v>5.7000000000000002E-2</v>
      </c>
    </row>
    <row r="39" spans="1:36">
      <c r="A39" t="s">
        <v>67</v>
      </c>
      <c r="B39" t="s">
        <v>124</v>
      </c>
      <c r="C39" t="s">
        <v>69</v>
      </c>
      <c r="D39" t="s">
        <v>47</v>
      </c>
      <c r="F39">
        <v>55.057670999999999</v>
      </c>
      <c r="G39">
        <v>53.127327000000001</v>
      </c>
      <c r="H39">
        <v>53.622996999999998</v>
      </c>
      <c r="I39">
        <v>53.152264000000002</v>
      </c>
      <c r="J39">
        <v>51.774372</v>
      </c>
      <c r="K39">
        <v>51.004989999999999</v>
      </c>
      <c r="L39">
        <v>50.355651999999999</v>
      </c>
      <c r="M39">
        <v>50.621254</v>
      </c>
      <c r="N39">
        <v>51.208556999999999</v>
      </c>
      <c r="O39">
        <v>52.072277</v>
      </c>
      <c r="P39">
        <v>53.217650999999996</v>
      </c>
      <c r="Q39">
        <v>55.713206999999997</v>
      </c>
      <c r="R39">
        <v>57.525776</v>
      </c>
      <c r="S39">
        <v>58.145057999999999</v>
      </c>
      <c r="T39">
        <v>58.647334999999998</v>
      </c>
      <c r="U39">
        <v>59.694374000000003</v>
      </c>
      <c r="V39">
        <v>61.187140999999997</v>
      </c>
      <c r="W39">
        <v>63.272671000000003</v>
      </c>
      <c r="X39">
        <v>65.542450000000002</v>
      </c>
      <c r="Y39">
        <v>67.744652000000002</v>
      </c>
      <c r="Z39">
        <v>69.149833999999998</v>
      </c>
      <c r="AA39">
        <v>70.186065999999997</v>
      </c>
      <c r="AB39">
        <v>71.208481000000006</v>
      </c>
      <c r="AC39">
        <v>71.972328000000005</v>
      </c>
      <c r="AD39">
        <v>72.425597999999994</v>
      </c>
      <c r="AE39">
        <v>73.737701000000001</v>
      </c>
      <c r="AF39">
        <v>74.667357999999993</v>
      </c>
      <c r="AG39">
        <v>75.298148999999995</v>
      </c>
      <c r="AH39">
        <v>76.662216000000001</v>
      </c>
      <c r="AI39">
        <v>77.354256000000007</v>
      </c>
      <c r="AJ39" s="70">
        <v>1.2E-2</v>
      </c>
    </row>
    <row r="40" spans="1:36">
      <c r="A40" t="s">
        <v>70</v>
      </c>
      <c r="B40" t="s">
        <v>125</v>
      </c>
      <c r="C40" t="s">
        <v>69</v>
      </c>
      <c r="D40" t="s">
        <v>47</v>
      </c>
      <c r="F40">
        <v>36.218811000000002</v>
      </c>
      <c r="G40">
        <v>154.586761</v>
      </c>
      <c r="H40">
        <v>190.44366500000001</v>
      </c>
      <c r="I40">
        <v>194.14935299999999</v>
      </c>
      <c r="J40">
        <v>189.67103599999999</v>
      </c>
      <c r="K40">
        <v>186.11908</v>
      </c>
      <c r="L40">
        <v>182.59335300000001</v>
      </c>
      <c r="M40">
        <v>182.38986199999999</v>
      </c>
      <c r="N40">
        <v>183.34767199999999</v>
      </c>
      <c r="O40">
        <v>185.21614099999999</v>
      </c>
      <c r="P40">
        <v>188.22491500000001</v>
      </c>
      <c r="Q40">
        <v>195.500427</v>
      </c>
      <c r="R40">
        <v>201.602203</v>
      </c>
      <c r="S40">
        <v>202.48445100000001</v>
      </c>
      <c r="T40">
        <v>203.07191499999999</v>
      </c>
      <c r="U40">
        <v>205.48602299999999</v>
      </c>
      <c r="V40">
        <v>209.44358800000001</v>
      </c>
      <c r="W40">
        <v>215.51011700000001</v>
      </c>
      <c r="X40">
        <v>222.27899199999999</v>
      </c>
      <c r="Y40">
        <v>228.56625399999999</v>
      </c>
      <c r="Z40">
        <v>232.799881</v>
      </c>
      <c r="AA40">
        <v>235.78497300000001</v>
      </c>
      <c r="AB40">
        <v>238.747772</v>
      </c>
      <c r="AC40">
        <v>241.03796399999999</v>
      </c>
      <c r="AD40">
        <v>242.18598900000001</v>
      </c>
      <c r="AE40">
        <v>246.25103799999999</v>
      </c>
      <c r="AF40">
        <v>249.15150499999999</v>
      </c>
      <c r="AG40">
        <v>250.96052599999999</v>
      </c>
      <c r="AH40">
        <v>255.18679800000001</v>
      </c>
      <c r="AI40">
        <v>257.30136099999999</v>
      </c>
      <c r="AJ40" s="70">
        <v>7.0000000000000007E-2</v>
      </c>
    </row>
    <row r="41" spans="1:36">
      <c r="A41" t="s">
        <v>72</v>
      </c>
      <c r="B41" t="s">
        <v>126</v>
      </c>
      <c r="C41" t="s">
        <v>127</v>
      </c>
      <c r="D41" t="s">
        <v>47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75</v>
      </c>
    </row>
    <row r="42" spans="1:36">
      <c r="A42" t="s">
        <v>76</v>
      </c>
      <c r="B42" t="s">
        <v>128</v>
      </c>
      <c r="C42" t="s">
        <v>129</v>
      </c>
      <c r="D42" t="s">
        <v>47</v>
      </c>
      <c r="F42">
        <v>458.01428199999998</v>
      </c>
      <c r="G42">
        <v>501.93493699999999</v>
      </c>
      <c r="H42">
        <v>547.27465800000004</v>
      </c>
      <c r="I42">
        <v>565.82757600000002</v>
      </c>
      <c r="J42">
        <v>565.51458700000001</v>
      </c>
      <c r="K42">
        <v>565.17663600000003</v>
      </c>
      <c r="L42">
        <v>560.31372099999999</v>
      </c>
      <c r="M42">
        <v>561.88214100000005</v>
      </c>
      <c r="N42">
        <v>563.16980000000001</v>
      </c>
      <c r="O42">
        <v>562.63098100000002</v>
      </c>
      <c r="P42">
        <v>562.89172399999995</v>
      </c>
      <c r="Q42">
        <v>570.48767099999998</v>
      </c>
      <c r="R42">
        <v>576.23821999999996</v>
      </c>
      <c r="S42">
        <v>567.89605700000004</v>
      </c>
      <c r="T42">
        <v>558.94799799999998</v>
      </c>
      <c r="U42">
        <v>556.03161599999999</v>
      </c>
      <c r="V42">
        <v>558.466858</v>
      </c>
      <c r="W42">
        <v>566.629639</v>
      </c>
      <c r="X42">
        <v>576.86871299999996</v>
      </c>
      <c r="Y42">
        <v>585.97894299999996</v>
      </c>
      <c r="Z42">
        <v>589.79345699999999</v>
      </c>
      <c r="AA42">
        <v>590.86480700000004</v>
      </c>
      <c r="AB42">
        <v>591.52166699999998</v>
      </c>
      <c r="AC42">
        <v>591.03228799999999</v>
      </c>
      <c r="AD42">
        <v>588.61328100000003</v>
      </c>
      <c r="AE42">
        <v>593.19030799999996</v>
      </c>
      <c r="AF42">
        <v>595.053406</v>
      </c>
      <c r="AG42">
        <v>594.78008999999997</v>
      </c>
      <c r="AH42">
        <v>600.26403800000003</v>
      </c>
      <c r="AI42">
        <v>601.24218800000006</v>
      </c>
      <c r="AJ42" s="70">
        <v>8.9999999999999993E-3</v>
      </c>
    </row>
    <row r="43" spans="1:36">
      <c r="A43" t="s">
        <v>79</v>
      </c>
      <c r="B43" t="s">
        <v>130</v>
      </c>
      <c r="C43" t="s">
        <v>131</v>
      </c>
      <c r="D43" t="s">
        <v>47</v>
      </c>
      <c r="F43">
        <v>0.110323</v>
      </c>
      <c r="G43">
        <v>0.137763</v>
      </c>
      <c r="H43">
        <v>0.183253</v>
      </c>
      <c r="I43">
        <v>0.23328199999999999</v>
      </c>
      <c r="J43">
        <v>0.25928400000000001</v>
      </c>
      <c r="K43">
        <v>0.269482</v>
      </c>
      <c r="L43">
        <v>0.27029700000000001</v>
      </c>
      <c r="M43">
        <v>0.26854499999999998</v>
      </c>
      <c r="N43">
        <v>0.26186599999999999</v>
      </c>
      <c r="O43">
        <v>0.26164300000000001</v>
      </c>
      <c r="P43">
        <v>0.25868000000000002</v>
      </c>
      <c r="Q43">
        <v>0.26290200000000002</v>
      </c>
      <c r="R43">
        <v>0.26259500000000002</v>
      </c>
      <c r="S43">
        <v>0.25814100000000001</v>
      </c>
      <c r="T43">
        <v>0.25338300000000002</v>
      </c>
      <c r="U43">
        <v>0.25079400000000002</v>
      </c>
      <c r="V43">
        <v>0.25117600000000001</v>
      </c>
      <c r="W43">
        <v>0.25495699999999999</v>
      </c>
      <c r="X43">
        <v>0.25800600000000001</v>
      </c>
      <c r="Y43">
        <v>0.26522499999999999</v>
      </c>
      <c r="Z43">
        <v>0.26688400000000001</v>
      </c>
      <c r="AA43">
        <v>0.27162900000000001</v>
      </c>
      <c r="AB43">
        <v>0.277702</v>
      </c>
      <c r="AC43">
        <v>0.28060000000000002</v>
      </c>
      <c r="AD43">
        <v>0.28139700000000001</v>
      </c>
      <c r="AE43">
        <v>0.28559200000000001</v>
      </c>
      <c r="AF43">
        <v>0.28731699999999999</v>
      </c>
      <c r="AG43">
        <v>0.28775299999999998</v>
      </c>
      <c r="AH43">
        <v>0.29196899999999998</v>
      </c>
      <c r="AI43">
        <v>0.29115400000000002</v>
      </c>
      <c r="AJ43" s="70">
        <v>3.4000000000000002E-2</v>
      </c>
    </row>
    <row r="44" spans="1:36">
      <c r="A44" t="s">
        <v>82</v>
      </c>
      <c r="B44" t="s">
        <v>132</v>
      </c>
      <c r="C44" t="s">
        <v>133</v>
      </c>
      <c r="D44" t="s">
        <v>47</v>
      </c>
      <c r="F44">
        <v>2.1523E-2</v>
      </c>
      <c r="G44">
        <v>2.2523000000000001E-2</v>
      </c>
      <c r="H44">
        <v>2.3244999999999998E-2</v>
      </c>
      <c r="I44">
        <v>2.4621000000000001E-2</v>
      </c>
      <c r="J44">
        <v>2.5132999999999999E-2</v>
      </c>
      <c r="K44">
        <v>2.5956E-2</v>
      </c>
      <c r="L44">
        <v>2.6793999999999998E-2</v>
      </c>
      <c r="M44">
        <v>2.7444E-2</v>
      </c>
      <c r="N44">
        <v>2.7904000000000002E-2</v>
      </c>
      <c r="O44">
        <v>2.8843000000000001E-2</v>
      </c>
      <c r="P44">
        <v>2.9156000000000001E-2</v>
      </c>
      <c r="Q44">
        <v>3.0003999999999999E-2</v>
      </c>
      <c r="R44">
        <v>3.0705E-2</v>
      </c>
      <c r="S44">
        <v>3.0901000000000001E-2</v>
      </c>
      <c r="T44">
        <v>3.1073E-2</v>
      </c>
      <c r="U44">
        <v>3.1642999999999998E-2</v>
      </c>
      <c r="V44">
        <v>3.2497999999999999E-2</v>
      </c>
      <c r="W44">
        <v>3.3938999999999997E-2</v>
      </c>
      <c r="X44">
        <v>3.4952999999999998E-2</v>
      </c>
      <c r="Y44">
        <v>3.7253000000000001E-2</v>
      </c>
      <c r="Z44">
        <v>3.8560999999999998E-2</v>
      </c>
      <c r="AA44">
        <v>4.0196000000000003E-2</v>
      </c>
      <c r="AB44">
        <v>4.2286999999999998E-2</v>
      </c>
      <c r="AC44">
        <v>4.3834999999999999E-2</v>
      </c>
      <c r="AD44">
        <v>4.5184000000000002E-2</v>
      </c>
      <c r="AE44">
        <v>4.7343000000000003E-2</v>
      </c>
      <c r="AF44">
        <v>4.9064999999999998E-2</v>
      </c>
      <c r="AG44">
        <v>5.0527000000000002E-2</v>
      </c>
      <c r="AH44">
        <v>5.2706999999999997E-2</v>
      </c>
      <c r="AI44">
        <v>5.3215999999999999E-2</v>
      </c>
      <c r="AJ44" s="70">
        <v>3.2000000000000001E-2</v>
      </c>
    </row>
    <row r="45" spans="1:36">
      <c r="A45" t="s">
        <v>85</v>
      </c>
      <c r="B45" t="s">
        <v>134</v>
      </c>
      <c r="C45" t="s">
        <v>135</v>
      </c>
      <c r="D45" t="s">
        <v>47</v>
      </c>
      <c r="F45">
        <v>0.454287</v>
      </c>
      <c r="G45">
        <v>0.61953199999999997</v>
      </c>
      <c r="H45">
        <v>0.69791700000000001</v>
      </c>
      <c r="I45">
        <v>0.73194599999999999</v>
      </c>
      <c r="J45">
        <v>0.74988699999999997</v>
      </c>
      <c r="K45">
        <v>0.77173599999999998</v>
      </c>
      <c r="L45">
        <v>0.785443</v>
      </c>
      <c r="M45">
        <v>0.79760399999999998</v>
      </c>
      <c r="N45">
        <v>0.80721799999999999</v>
      </c>
      <c r="O45">
        <v>0.821994</v>
      </c>
      <c r="P45">
        <v>0.82895200000000002</v>
      </c>
      <c r="Q45">
        <v>0.86267899999999997</v>
      </c>
      <c r="R45">
        <v>0.88248800000000005</v>
      </c>
      <c r="S45">
        <v>0.88968400000000003</v>
      </c>
      <c r="T45">
        <v>0.89937299999999998</v>
      </c>
      <c r="U45">
        <v>0.91783199999999998</v>
      </c>
      <c r="V45">
        <v>0.94411299999999998</v>
      </c>
      <c r="W45">
        <v>0.98437600000000003</v>
      </c>
      <c r="X45">
        <v>1.0265660000000001</v>
      </c>
      <c r="Y45">
        <v>1.076635</v>
      </c>
      <c r="Z45">
        <v>1.1149789999999999</v>
      </c>
      <c r="AA45">
        <v>1.1537139999999999</v>
      </c>
      <c r="AB45">
        <v>1.190774</v>
      </c>
      <c r="AC45">
        <v>1.2256609999999999</v>
      </c>
      <c r="AD45">
        <v>1.2712019999999999</v>
      </c>
      <c r="AE45">
        <v>1.3486309999999999</v>
      </c>
      <c r="AF45">
        <v>1.4238010000000001</v>
      </c>
      <c r="AG45">
        <v>1.489571</v>
      </c>
      <c r="AH45">
        <v>1.572449</v>
      </c>
      <c r="AI45">
        <v>1.6329180000000001</v>
      </c>
      <c r="AJ45" s="70">
        <v>4.4999999999999998E-2</v>
      </c>
    </row>
    <row r="46" spans="1:36">
      <c r="A46" t="s">
        <v>88</v>
      </c>
      <c r="B46" t="s">
        <v>136</v>
      </c>
      <c r="C46" t="s">
        <v>137</v>
      </c>
      <c r="D46" t="s">
        <v>47</v>
      </c>
      <c r="F46">
        <v>5.8349999999999999E-3</v>
      </c>
      <c r="G46">
        <v>5.803E-3</v>
      </c>
      <c r="H46">
        <v>6.4859999999999996E-3</v>
      </c>
      <c r="I46">
        <v>6.6709999999999998E-3</v>
      </c>
      <c r="J46">
        <v>6.7279999999999996E-3</v>
      </c>
      <c r="K46">
        <v>6.8190000000000004E-3</v>
      </c>
      <c r="L46">
        <v>6.8370000000000002E-3</v>
      </c>
      <c r="M46">
        <v>6.7780000000000002E-3</v>
      </c>
      <c r="N46">
        <v>6.7070000000000003E-3</v>
      </c>
      <c r="O46">
        <v>6.7419999999999997E-3</v>
      </c>
      <c r="P46">
        <v>6.6670000000000002E-3</v>
      </c>
      <c r="Q46">
        <v>7.0340000000000003E-3</v>
      </c>
      <c r="R46">
        <v>7.0559999999999998E-3</v>
      </c>
      <c r="S46">
        <v>7.0060000000000001E-3</v>
      </c>
      <c r="T46">
        <v>7.0140000000000003E-3</v>
      </c>
      <c r="U46">
        <v>7.0619999999999997E-3</v>
      </c>
      <c r="V46">
        <v>7.123E-3</v>
      </c>
      <c r="W46">
        <v>7.3049999999999999E-3</v>
      </c>
      <c r="X46">
        <v>7.45E-3</v>
      </c>
      <c r="Y46">
        <v>7.7349999999999997E-3</v>
      </c>
      <c r="Z46">
        <v>7.8759999999999993E-3</v>
      </c>
      <c r="AA46">
        <v>8.0409999999999995E-3</v>
      </c>
      <c r="AB46">
        <v>8.1890000000000001E-3</v>
      </c>
      <c r="AC46">
        <v>8.2909999999999998E-3</v>
      </c>
      <c r="AD46">
        <v>8.4980000000000003E-3</v>
      </c>
      <c r="AE46">
        <v>8.9510000000000006E-3</v>
      </c>
      <c r="AF46">
        <v>9.3039999999999998E-3</v>
      </c>
      <c r="AG46">
        <v>9.5560000000000003E-3</v>
      </c>
      <c r="AH46">
        <v>9.92E-3</v>
      </c>
      <c r="AI46">
        <v>1.0041E-2</v>
      </c>
      <c r="AJ46" s="70">
        <v>1.9E-2</v>
      </c>
    </row>
    <row r="47" spans="1:36">
      <c r="A47" t="s">
        <v>90</v>
      </c>
      <c r="B47" t="s">
        <v>138</v>
      </c>
      <c r="C47" t="s">
        <v>139</v>
      </c>
      <c r="D47" t="s">
        <v>47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75</v>
      </c>
    </row>
    <row r="48" spans="1:36">
      <c r="A48" t="s">
        <v>93</v>
      </c>
      <c r="B48" t="s">
        <v>140</v>
      </c>
      <c r="C48" t="s">
        <v>141</v>
      </c>
      <c r="D48" t="s">
        <v>47</v>
      </c>
      <c r="F48">
        <v>6.3100000000000005E-4</v>
      </c>
      <c r="G48">
        <v>3.9240000000000004E-3</v>
      </c>
      <c r="H48">
        <v>7.607E-3</v>
      </c>
      <c r="I48">
        <v>1.1663E-2</v>
      </c>
      <c r="J48">
        <v>1.6934000000000001E-2</v>
      </c>
      <c r="K48">
        <v>2.146E-2</v>
      </c>
      <c r="L48">
        <v>2.5975000000000002E-2</v>
      </c>
      <c r="M48">
        <v>3.1001000000000001E-2</v>
      </c>
      <c r="N48">
        <v>3.6346000000000003E-2</v>
      </c>
      <c r="O48">
        <v>4.1800999999999998E-2</v>
      </c>
      <c r="P48">
        <v>4.7445000000000001E-2</v>
      </c>
      <c r="Q48">
        <v>5.4151999999999999E-2</v>
      </c>
      <c r="R48">
        <v>6.1150000000000003E-2</v>
      </c>
      <c r="S48">
        <v>6.6989000000000007E-2</v>
      </c>
      <c r="T48">
        <v>7.3028999999999997E-2</v>
      </c>
      <c r="U48">
        <v>8.0170000000000005E-2</v>
      </c>
      <c r="V48">
        <v>8.8482000000000005E-2</v>
      </c>
      <c r="W48">
        <v>9.8235000000000003E-2</v>
      </c>
      <c r="X48">
        <v>0.108999</v>
      </c>
      <c r="Y48">
        <v>0.120353</v>
      </c>
      <c r="Z48">
        <v>0.13120999999999999</v>
      </c>
      <c r="AA48">
        <v>0.142038</v>
      </c>
      <c r="AB48">
        <v>0.153393</v>
      </c>
      <c r="AC48">
        <v>0.16478300000000001</v>
      </c>
      <c r="AD48">
        <v>0.176149</v>
      </c>
      <c r="AE48">
        <v>0.19006200000000001</v>
      </c>
      <c r="AF48">
        <v>0.20350299999999999</v>
      </c>
      <c r="AG48">
        <v>0.21637600000000001</v>
      </c>
      <c r="AH48">
        <v>0.232098</v>
      </c>
      <c r="AI48">
        <v>0.245919</v>
      </c>
      <c r="AJ48" s="70">
        <v>0.22800000000000001</v>
      </c>
    </row>
    <row r="49" spans="1:36">
      <c r="A49" t="s">
        <v>142</v>
      </c>
      <c r="B49" t="s">
        <v>143</v>
      </c>
      <c r="C49" t="s">
        <v>144</v>
      </c>
      <c r="D49" t="s">
        <v>47</v>
      </c>
      <c r="F49">
        <v>1291.1644289999999</v>
      </c>
      <c r="G49">
        <v>1422.9570309999999</v>
      </c>
      <c r="H49">
        <v>1553.7583010000001</v>
      </c>
      <c r="I49">
        <v>1626.3079829999999</v>
      </c>
      <c r="J49">
        <v>1638.2535399999999</v>
      </c>
      <c r="K49">
        <v>1647.267578</v>
      </c>
      <c r="L49">
        <v>1642.5926509999999</v>
      </c>
      <c r="M49">
        <v>1657.025879</v>
      </c>
      <c r="N49">
        <v>1675.599121</v>
      </c>
      <c r="O49">
        <v>1687.2597659999999</v>
      </c>
      <c r="P49">
        <v>1699.997437</v>
      </c>
      <c r="Q49">
        <v>1742.1363530000001</v>
      </c>
      <c r="R49">
        <v>1778.363159</v>
      </c>
      <c r="S49">
        <v>1770.9920649999999</v>
      </c>
      <c r="T49">
        <v>1763.234009</v>
      </c>
      <c r="U49">
        <v>1772.951538</v>
      </c>
      <c r="V49">
        <v>1798.687866</v>
      </c>
      <c r="W49">
        <v>1842.83728</v>
      </c>
      <c r="X49">
        <v>1893.4354249999999</v>
      </c>
      <c r="Y49">
        <v>1940.3625489999999</v>
      </c>
      <c r="Z49">
        <v>1970.459595</v>
      </c>
      <c r="AA49">
        <v>1991.7983400000001</v>
      </c>
      <c r="AB49">
        <v>2013.2158199999999</v>
      </c>
      <c r="AC49">
        <v>2029.3842770000001</v>
      </c>
      <c r="AD49">
        <v>2037.769043</v>
      </c>
      <c r="AE49">
        <v>2071.470703</v>
      </c>
      <c r="AF49">
        <v>2095.4467770000001</v>
      </c>
      <c r="AG49">
        <v>2111.3022460000002</v>
      </c>
      <c r="AH49">
        <v>2148.2485350000002</v>
      </c>
      <c r="AI49">
        <v>2167.0166020000001</v>
      </c>
      <c r="AJ49" s="70">
        <v>1.7999999999999999E-2</v>
      </c>
    </row>
    <row r="50" spans="1:36">
      <c r="A50" t="s">
        <v>145</v>
      </c>
      <c r="B50" t="s">
        <v>146</v>
      </c>
      <c r="C50" t="s">
        <v>147</v>
      </c>
      <c r="D50" t="s">
        <v>102</v>
      </c>
      <c r="F50">
        <v>12.831943000000001</v>
      </c>
      <c r="G50">
        <v>15.115688</v>
      </c>
      <c r="H50">
        <v>15.97639</v>
      </c>
      <c r="I50">
        <v>16.274401000000001</v>
      </c>
      <c r="J50">
        <v>16.361270999999999</v>
      </c>
      <c r="K50">
        <v>16.438116000000001</v>
      </c>
      <c r="L50">
        <v>16.579166000000001</v>
      </c>
      <c r="M50">
        <v>16.751884</v>
      </c>
      <c r="N50">
        <v>16.966229999999999</v>
      </c>
      <c r="O50">
        <v>17.253309000000002</v>
      </c>
      <c r="P50">
        <v>17.510619999999999</v>
      </c>
      <c r="Q50">
        <v>17.982088000000001</v>
      </c>
      <c r="R50">
        <v>18.314347999999999</v>
      </c>
      <c r="S50">
        <v>18.632486</v>
      </c>
      <c r="T50">
        <v>18.945323999999999</v>
      </c>
      <c r="U50">
        <v>19.216526000000002</v>
      </c>
      <c r="V50">
        <v>19.489274999999999</v>
      </c>
      <c r="W50">
        <v>19.781286000000001</v>
      </c>
      <c r="X50">
        <v>20.011797000000001</v>
      </c>
      <c r="Y50">
        <v>20.341745</v>
      </c>
      <c r="Z50">
        <v>20.622205999999998</v>
      </c>
      <c r="AA50">
        <v>20.910150999999999</v>
      </c>
      <c r="AB50">
        <v>21.219197999999999</v>
      </c>
      <c r="AC50">
        <v>21.480591</v>
      </c>
      <c r="AD50">
        <v>21.706543</v>
      </c>
      <c r="AE50">
        <v>21.962237999999999</v>
      </c>
      <c r="AF50">
        <v>22.187359000000001</v>
      </c>
      <c r="AG50">
        <v>22.398506000000001</v>
      </c>
      <c r="AH50">
        <v>22.619444000000001</v>
      </c>
      <c r="AI50">
        <v>22.742086</v>
      </c>
      <c r="AJ50" s="70">
        <v>0.02</v>
      </c>
    </row>
    <row r="51" spans="1:36">
      <c r="A51" t="s">
        <v>148</v>
      </c>
      <c r="B51" t="s">
        <v>149</v>
      </c>
      <c r="C51" t="s">
        <v>150</v>
      </c>
      <c r="D51" t="s">
        <v>47</v>
      </c>
      <c r="F51">
        <v>10062.111328000001</v>
      </c>
      <c r="G51">
        <v>9413.7753909999992</v>
      </c>
      <c r="H51">
        <v>9725.3398440000001</v>
      </c>
      <c r="I51">
        <v>9993.0439449999994</v>
      </c>
      <c r="J51">
        <v>10012.997069999999</v>
      </c>
      <c r="K51">
        <v>10021.024414</v>
      </c>
      <c r="L51">
        <v>9907.5712889999995</v>
      </c>
      <c r="M51">
        <v>9891.578125</v>
      </c>
      <c r="N51">
        <v>9876.0839840000008</v>
      </c>
      <c r="O51">
        <v>9779.3398440000001</v>
      </c>
      <c r="P51">
        <v>9708.3798829999996</v>
      </c>
      <c r="Q51">
        <v>9688.1757809999999</v>
      </c>
      <c r="R51">
        <v>9710.2177730000003</v>
      </c>
      <c r="S51">
        <v>9504.8613280000009</v>
      </c>
      <c r="T51">
        <v>9306.9609380000002</v>
      </c>
      <c r="U51">
        <v>9226.1816409999992</v>
      </c>
      <c r="V51">
        <v>9229.1162110000005</v>
      </c>
      <c r="W51">
        <v>9316.0634769999997</v>
      </c>
      <c r="X51">
        <v>9461.5957030000009</v>
      </c>
      <c r="Y51">
        <v>9538.8203119999998</v>
      </c>
      <c r="Z51">
        <v>9555.0380860000005</v>
      </c>
      <c r="AA51">
        <v>9525.5087889999995</v>
      </c>
      <c r="AB51">
        <v>9487.7089840000008</v>
      </c>
      <c r="AC51">
        <v>9447.5253909999992</v>
      </c>
      <c r="AD51">
        <v>9387.8095699999994</v>
      </c>
      <c r="AE51">
        <v>9431.9658199999994</v>
      </c>
      <c r="AF51">
        <v>9444.3271480000003</v>
      </c>
      <c r="AG51">
        <v>9426.0849610000005</v>
      </c>
      <c r="AH51">
        <v>9497.3535159999992</v>
      </c>
      <c r="AI51">
        <v>9528.6621090000008</v>
      </c>
      <c r="AJ51" s="70">
        <v>-2E-3</v>
      </c>
    </row>
    <row r="52" spans="1:36">
      <c r="A52" t="s">
        <v>151</v>
      </c>
      <c r="B52" t="s">
        <v>152</v>
      </c>
      <c r="C52" t="s">
        <v>153</v>
      </c>
      <c r="D52" t="s">
        <v>102</v>
      </c>
      <c r="F52">
        <v>12.455999</v>
      </c>
      <c r="G52">
        <v>14.571984</v>
      </c>
      <c r="H52">
        <v>15.600765000000001</v>
      </c>
      <c r="I52">
        <v>16.004926999999999</v>
      </c>
      <c r="J52">
        <v>16.139498</v>
      </c>
      <c r="K52">
        <v>16.278839000000001</v>
      </c>
      <c r="L52">
        <v>16.464922000000001</v>
      </c>
      <c r="M52">
        <v>16.678802000000001</v>
      </c>
      <c r="N52">
        <v>16.941445999999999</v>
      </c>
      <c r="O52">
        <v>17.293423000000001</v>
      </c>
      <c r="P52">
        <v>17.605484000000001</v>
      </c>
      <c r="Q52">
        <v>18.134191999999999</v>
      </c>
      <c r="R52">
        <v>18.535164000000002</v>
      </c>
      <c r="S52">
        <v>18.911802000000002</v>
      </c>
      <c r="T52">
        <v>19.290403000000001</v>
      </c>
      <c r="U52">
        <v>19.623487000000001</v>
      </c>
      <c r="V52">
        <v>19.95421</v>
      </c>
      <c r="W52">
        <v>20.306281999999999</v>
      </c>
      <c r="X52">
        <v>20.598869000000001</v>
      </c>
      <c r="Y52">
        <v>20.985233000000001</v>
      </c>
      <c r="Z52">
        <v>21.343271000000001</v>
      </c>
      <c r="AA52">
        <v>21.693348</v>
      </c>
      <c r="AB52">
        <v>22.068369000000001</v>
      </c>
      <c r="AC52">
        <v>22.394946999999998</v>
      </c>
      <c r="AD52">
        <v>22.683171999999999</v>
      </c>
      <c r="AE52">
        <v>23.003008000000001</v>
      </c>
      <c r="AF52">
        <v>23.292082000000001</v>
      </c>
      <c r="AG52">
        <v>23.56691</v>
      </c>
      <c r="AH52">
        <v>23.852163000000001</v>
      </c>
      <c r="AI52">
        <v>24.034039</v>
      </c>
      <c r="AJ52" s="70">
        <v>2.3E-2</v>
      </c>
    </row>
    <row r="53" spans="1:36">
      <c r="A53" t="s">
        <v>154</v>
      </c>
      <c r="B53" t="s">
        <v>155</v>
      </c>
      <c r="C53" t="s">
        <v>156</v>
      </c>
      <c r="D53" t="s">
        <v>47</v>
      </c>
      <c r="F53">
        <v>74.063698000000002</v>
      </c>
      <c r="G53">
        <v>70.525611999999995</v>
      </c>
      <c r="H53">
        <v>74.440796000000006</v>
      </c>
      <c r="I53">
        <v>77.914856</v>
      </c>
      <c r="J53">
        <v>79.591187000000005</v>
      </c>
      <c r="K53">
        <v>81.828643999999997</v>
      </c>
      <c r="L53">
        <v>83.563957000000002</v>
      </c>
      <c r="M53">
        <v>86.347922999999994</v>
      </c>
      <c r="N53">
        <v>89.081992999999997</v>
      </c>
      <c r="O53">
        <v>91.337913999999998</v>
      </c>
      <c r="P53">
        <v>93.610977000000005</v>
      </c>
      <c r="Q53">
        <v>97.199439999999996</v>
      </c>
      <c r="R53">
        <v>100.757164</v>
      </c>
      <c r="S53">
        <v>101.646019</v>
      </c>
      <c r="T53">
        <v>102.49258399999999</v>
      </c>
      <c r="U53">
        <v>104.427734</v>
      </c>
      <c r="V53">
        <v>107.304947</v>
      </c>
      <c r="W53">
        <v>111.214264</v>
      </c>
      <c r="X53">
        <v>115.60329400000001</v>
      </c>
      <c r="Y53">
        <v>119.628677</v>
      </c>
      <c r="Z53">
        <v>122.810913</v>
      </c>
      <c r="AA53">
        <v>125.418648</v>
      </c>
      <c r="AB53">
        <v>128.010651</v>
      </c>
      <c r="AC53">
        <v>130.39082300000001</v>
      </c>
      <c r="AD53">
        <v>132.36084</v>
      </c>
      <c r="AE53">
        <v>135.846069</v>
      </c>
      <c r="AF53">
        <v>138.75170900000001</v>
      </c>
      <c r="AG53">
        <v>141.09641999999999</v>
      </c>
      <c r="AH53">
        <v>144.80079699999999</v>
      </c>
      <c r="AI53">
        <v>147.26542699999999</v>
      </c>
      <c r="AJ53" s="70">
        <v>2.4E-2</v>
      </c>
    </row>
    <row r="54" spans="1:36">
      <c r="A54" t="s">
        <v>157</v>
      </c>
      <c r="B54" t="s">
        <v>158</v>
      </c>
      <c r="C54" t="s">
        <v>159</v>
      </c>
      <c r="D54" t="s">
        <v>47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75</v>
      </c>
    </row>
    <row r="55" spans="1:36">
      <c r="A55" t="s">
        <v>160</v>
      </c>
      <c r="B55" t="s">
        <v>161</v>
      </c>
    </row>
    <row r="56" spans="1:36">
      <c r="A56" t="s">
        <v>162</v>
      </c>
      <c r="B56" t="s">
        <v>163</v>
      </c>
      <c r="C56" t="s">
        <v>164</v>
      </c>
      <c r="D56" t="s">
        <v>47</v>
      </c>
      <c r="F56">
        <v>13433.044921999999</v>
      </c>
      <c r="G56">
        <v>11966.610352</v>
      </c>
      <c r="H56">
        <v>11948.764648</v>
      </c>
      <c r="I56">
        <v>11987.172852</v>
      </c>
      <c r="J56">
        <v>11784.688477</v>
      </c>
      <c r="K56">
        <v>11655.679688</v>
      </c>
      <c r="L56">
        <v>11441.440430000001</v>
      </c>
      <c r="M56">
        <v>11357.236328000001</v>
      </c>
      <c r="N56">
        <v>11266.191406</v>
      </c>
      <c r="O56">
        <v>11099.802734000001</v>
      </c>
      <c r="P56">
        <v>10952.915039</v>
      </c>
      <c r="Q56">
        <v>10912.773438</v>
      </c>
      <c r="R56">
        <v>10883.269531</v>
      </c>
      <c r="S56">
        <v>10596.859375</v>
      </c>
      <c r="T56">
        <v>10320.581055000001</v>
      </c>
      <c r="U56">
        <v>10173.295898</v>
      </c>
      <c r="V56">
        <v>10122.291992</v>
      </c>
      <c r="W56">
        <v>10162.921875</v>
      </c>
      <c r="X56">
        <v>10254.520508</v>
      </c>
      <c r="Y56">
        <v>10289.177734000001</v>
      </c>
      <c r="Z56">
        <v>10249.780273</v>
      </c>
      <c r="AA56">
        <v>10165.737305000001</v>
      </c>
      <c r="AB56">
        <v>10077.313477</v>
      </c>
      <c r="AC56">
        <v>9983.6328119999998</v>
      </c>
      <c r="AD56">
        <v>9869.5947269999997</v>
      </c>
      <c r="AE56">
        <v>9865.8603519999997</v>
      </c>
      <c r="AF56">
        <v>9824.3828119999998</v>
      </c>
      <c r="AG56">
        <v>9748.7285159999992</v>
      </c>
      <c r="AH56">
        <v>9766.5087889999995</v>
      </c>
      <c r="AI56">
        <v>9733.1904300000006</v>
      </c>
      <c r="AJ56" s="70">
        <v>-1.0999999999999999E-2</v>
      </c>
    </row>
    <row r="57" spans="1:36">
      <c r="A57" t="s">
        <v>165</v>
      </c>
      <c r="B57" t="s">
        <v>166</v>
      </c>
      <c r="C57" t="s">
        <v>167</v>
      </c>
      <c r="D57" t="s">
        <v>47</v>
      </c>
      <c r="F57">
        <v>46.474376999999997</v>
      </c>
      <c r="G57">
        <v>51.306229000000002</v>
      </c>
      <c r="H57">
        <v>54.753540000000001</v>
      </c>
      <c r="I57">
        <v>52.244777999999997</v>
      </c>
      <c r="J57">
        <v>51.283470000000001</v>
      </c>
      <c r="K57">
        <v>51.623837000000002</v>
      </c>
      <c r="L57">
        <v>51.784702000000003</v>
      </c>
      <c r="M57">
        <v>52.100876</v>
      </c>
      <c r="N57">
        <v>51.986438999999997</v>
      </c>
      <c r="O57">
        <v>52.998814000000003</v>
      </c>
      <c r="P57">
        <v>52.260264999999997</v>
      </c>
      <c r="Q57">
        <v>53.654530000000001</v>
      </c>
      <c r="R57">
        <v>54.077171</v>
      </c>
      <c r="S57">
        <v>53.405434</v>
      </c>
      <c r="T57">
        <v>52.140526000000001</v>
      </c>
      <c r="U57">
        <v>51.442619000000001</v>
      </c>
      <c r="V57">
        <v>51.017975</v>
      </c>
      <c r="W57">
        <v>51.729782</v>
      </c>
      <c r="X57">
        <v>52.010216</v>
      </c>
      <c r="Y57">
        <v>53.090339999999998</v>
      </c>
      <c r="Z57">
        <v>53.111794000000003</v>
      </c>
      <c r="AA57">
        <v>53.427242</v>
      </c>
      <c r="AB57">
        <v>53.197605000000003</v>
      </c>
      <c r="AC57">
        <v>52.404533000000001</v>
      </c>
      <c r="AD57">
        <v>52.310116000000001</v>
      </c>
      <c r="AE57">
        <v>52.380814000000001</v>
      </c>
      <c r="AF57">
        <v>52.781520999999998</v>
      </c>
      <c r="AG57">
        <v>53.110270999999997</v>
      </c>
      <c r="AH57">
        <v>53.507114000000001</v>
      </c>
      <c r="AI57">
        <v>53.247481999999998</v>
      </c>
      <c r="AJ57" s="70">
        <v>5.0000000000000001E-3</v>
      </c>
    </row>
    <row r="58" spans="1:36">
      <c r="A58" t="s">
        <v>168</v>
      </c>
      <c r="B58" t="s">
        <v>169</v>
      </c>
      <c r="C58" t="s">
        <v>170</v>
      </c>
      <c r="D58" t="s">
        <v>47</v>
      </c>
      <c r="F58">
        <v>666.61431900000002</v>
      </c>
      <c r="G58">
        <v>606.91516100000001</v>
      </c>
      <c r="H58">
        <v>618.10919200000001</v>
      </c>
      <c r="I58">
        <v>630.56426999999996</v>
      </c>
      <c r="J58">
        <v>628.59216300000003</v>
      </c>
      <c r="K58">
        <v>627.243469</v>
      </c>
      <c r="L58">
        <v>618.80017099999998</v>
      </c>
      <c r="M58">
        <v>616.67511000000002</v>
      </c>
      <c r="N58">
        <v>614.18988000000002</v>
      </c>
      <c r="O58">
        <v>606.61181599999998</v>
      </c>
      <c r="P58">
        <v>600.61334199999999</v>
      </c>
      <c r="Q58">
        <v>598.06311000000005</v>
      </c>
      <c r="R58">
        <v>597.705017</v>
      </c>
      <c r="S58">
        <v>583.15295400000002</v>
      </c>
      <c r="T58">
        <v>569.26599099999999</v>
      </c>
      <c r="U58">
        <v>562.737122</v>
      </c>
      <c r="V58">
        <v>561.62786900000003</v>
      </c>
      <c r="W58">
        <v>565.39031999999997</v>
      </c>
      <c r="X58">
        <v>572.54345699999999</v>
      </c>
      <c r="Y58">
        <v>575.56957999999997</v>
      </c>
      <c r="Z58">
        <v>574.92236300000002</v>
      </c>
      <c r="AA58">
        <v>571.55651899999998</v>
      </c>
      <c r="AB58">
        <v>567.67687999999998</v>
      </c>
      <c r="AC58">
        <v>563.86743200000001</v>
      </c>
      <c r="AD58">
        <v>559.07037400000002</v>
      </c>
      <c r="AE58">
        <v>560.43005400000004</v>
      </c>
      <c r="AF58">
        <v>559.84020999999996</v>
      </c>
      <c r="AG58">
        <v>557.37432899999999</v>
      </c>
      <c r="AH58">
        <v>560.09771699999999</v>
      </c>
      <c r="AI58">
        <v>560.37127699999996</v>
      </c>
      <c r="AJ58" s="70">
        <v>-6.0000000000000001E-3</v>
      </c>
    </row>
    <row r="59" spans="1:36">
      <c r="A59" t="s">
        <v>171</v>
      </c>
      <c r="B59" t="s">
        <v>172</v>
      </c>
      <c r="C59" t="s">
        <v>173</v>
      </c>
      <c r="D59" t="s">
        <v>47</v>
      </c>
      <c r="F59">
        <v>317.67672700000003</v>
      </c>
      <c r="G59">
        <v>349.16574100000003</v>
      </c>
      <c r="H59">
        <v>402.02710000000002</v>
      </c>
      <c r="I59">
        <v>448.68017600000002</v>
      </c>
      <c r="J59">
        <v>459.36792000000003</v>
      </c>
      <c r="K59">
        <v>469.61071800000002</v>
      </c>
      <c r="L59">
        <v>478.50216699999999</v>
      </c>
      <c r="M59">
        <v>494.52203400000002</v>
      </c>
      <c r="N59">
        <v>516.58148200000005</v>
      </c>
      <c r="O59">
        <v>542.41241500000001</v>
      </c>
      <c r="P59">
        <v>562.09228499999995</v>
      </c>
      <c r="Q59">
        <v>609.23364300000003</v>
      </c>
      <c r="R59">
        <v>647.51092500000004</v>
      </c>
      <c r="S59">
        <v>667.82763699999998</v>
      </c>
      <c r="T59">
        <v>688.57690400000001</v>
      </c>
      <c r="U59">
        <v>712.34136999999998</v>
      </c>
      <c r="V59">
        <v>742.12219200000004</v>
      </c>
      <c r="W59">
        <v>781.10626200000002</v>
      </c>
      <c r="X59">
        <v>819.298767</v>
      </c>
      <c r="Y59">
        <v>862.25433299999997</v>
      </c>
      <c r="Z59">
        <v>896.63806199999999</v>
      </c>
      <c r="AA59">
        <v>927.93292199999996</v>
      </c>
      <c r="AB59">
        <v>961.92571999999996</v>
      </c>
      <c r="AC59">
        <v>989.92858899999999</v>
      </c>
      <c r="AD59">
        <v>1011.607666</v>
      </c>
      <c r="AE59">
        <v>1048.212524</v>
      </c>
      <c r="AF59">
        <v>1078.1363530000001</v>
      </c>
      <c r="AG59">
        <v>1102.805298</v>
      </c>
      <c r="AH59">
        <v>1139.619385</v>
      </c>
      <c r="AI59">
        <v>1159.5817870000001</v>
      </c>
      <c r="AJ59" s="70">
        <v>4.5999999999999999E-2</v>
      </c>
    </row>
    <row r="60" spans="1:36">
      <c r="A60" t="s">
        <v>174</v>
      </c>
      <c r="B60" t="s">
        <v>175</v>
      </c>
      <c r="C60" t="s">
        <v>176</v>
      </c>
      <c r="D60" t="s">
        <v>47</v>
      </c>
      <c r="F60">
        <v>139.402084</v>
      </c>
      <c r="G60">
        <v>251.00242600000001</v>
      </c>
      <c r="H60">
        <v>281.45022599999999</v>
      </c>
      <c r="I60">
        <v>282.72653200000002</v>
      </c>
      <c r="J60">
        <v>276.52441399999998</v>
      </c>
      <c r="K60">
        <v>271.612213</v>
      </c>
      <c r="L60">
        <v>267.38400300000001</v>
      </c>
      <c r="M60">
        <v>268.012878</v>
      </c>
      <c r="N60">
        <v>270.37866200000002</v>
      </c>
      <c r="O60">
        <v>274.466339</v>
      </c>
      <c r="P60">
        <v>279.971924</v>
      </c>
      <c r="Q60">
        <v>293.645081</v>
      </c>
      <c r="R60">
        <v>303.75567599999999</v>
      </c>
      <c r="S60">
        <v>306.29040500000002</v>
      </c>
      <c r="T60">
        <v>308.38085899999999</v>
      </c>
      <c r="U60">
        <v>313.05123900000001</v>
      </c>
      <c r="V60">
        <v>320.13070699999997</v>
      </c>
      <c r="W60">
        <v>330.45059199999997</v>
      </c>
      <c r="X60">
        <v>341.32626299999998</v>
      </c>
      <c r="Y60">
        <v>352.33605999999997</v>
      </c>
      <c r="Z60">
        <v>359.36456299999998</v>
      </c>
      <c r="AA60">
        <v>364.57547</v>
      </c>
      <c r="AB60">
        <v>369.86917099999999</v>
      </c>
      <c r="AC60">
        <v>373.76666299999999</v>
      </c>
      <c r="AD60">
        <v>375.84780899999998</v>
      </c>
      <c r="AE60">
        <v>382.561981</v>
      </c>
      <c r="AF60">
        <v>387.16751099999999</v>
      </c>
      <c r="AG60">
        <v>390.01711999999998</v>
      </c>
      <c r="AH60">
        <v>396.67990099999997</v>
      </c>
      <c r="AI60">
        <v>399.29531900000001</v>
      </c>
      <c r="AJ60" s="70">
        <v>3.6999999999999998E-2</v>
      </c>
    </row>
    <row r="61" spans="1:36">
      <c r="A61" t="s">
        <v>177</v>
      </c>
      <c r="B61" t="s">
        <v>178</v>
      </c>
      <c r="C61" t="s">
        <v>179</v>
      </c>
      <c r="D61" t="s">
        <v>47</v>
      </c>
      <c r="F61">
        <v>790.50091599999996</v>
      </c>
      <c r="G61">
        <v>839.18139599999995</v>
      </c>
      <c r="H61">
        <v>912.99688700000002</v>
      </c>
      <c r="I61">
        <v>927.59228499999995</v>
      </c>
      <c r="J61">
        <v>908.62213099999997</v>
      </c>
      <c r="K61">
        <v>902.69940199999996</v>
      </c>
      <c r="L61">
        <v>895.091858</v>
      </c>
      <c r="M61">
        <v>898.67065400000001</v>
      </c>
      <c r="N61">
        <v>901.05969200000004</v>
      </c>
      <c r="O61">
        <v>901.79303000000004</v>
      </c>
      <c r="P61">
        <v>901.87097200000005</v>
      </c>
      <c r="Q61">
        <v>920.89209000000005</v>
      </c>
      <c r="R61">
        <v>931.76556400000004</v>
      </c>
      <c r="S61">
        <v>918.854736</v>
      </c>
      <c r="T61">
        <v>905.22100799999998</v>
      </c>
      <c r="U61">
        <v>900.46618699999999</v>
      </c>
      <c r="V61">
        <v>904.46850600000005</v>
      </c>
      <c r="W61">
        <v>917.81658900000002</v>
      </c>
      <c r="X61">
        <v>932.36926300000005</v>
      </c>
      <c r="Y61">
        <v>948.06146200000001</v>
      </c>
      <c r="Z61">
        <v>955.93798800000002</v>
      </c>
      <c r="AA61">
        <v>957.97692900000004</v>
      </c>
      <c r="AB61">
        <v>960.07733199999996</v>
      </c>
      <c r="AC61">
        <v>959.27154499999995</v>
      </c>
      <c r="AD61">
        <v>954.93206799999996</v>
      </c>
      <c r="AE61">
        <v>962.25</v>
      </c>
      <c r="AF61">
        <v>964.21698000000004</v>
      </c>
      <c r="AG61">
        <v>962.14801</v>
      </c>
      <c r="AH61">
        <v>969.50476100000003</v>
      </c>
      <c r="AI61">
        <v>966.84655799999996</v>
      </c>
      <c r="AJ61" s="70">
        <v>7.0000000000000001E-3</v>
      </c>
    </row>
    <row r="62" spans="1:36">
      <c r="A62" t="s">
        <v>180</v>
      </c>
      <c r="B62" t="s">
        <v>181</v>
      </c>
      <c r="C62" t="s">
        <v>182</v>
      </c>
      <c r="D62" t="s">
        <v>47</v>
      </c>
      <c r="F62">
        <v>0.89753700000000003</v>
      </c>
      <c r="G62">
        <v>1.122171</v>
      </c>
      <c r="H62">
        <v>1.2970619999999999</v>
      </c>
      <c r="I62">
        <v>1.3888579999999999</v>
      </c>
      <c r="J62">
        <v>1.4211180000000001</v>
      </c>
      <c r="K62">
        <v>1.4423170000000001</v>
      </c>
      <c r="L62">
        <v>1.4473929999999999</v>
      </c>
      <c r="M62">
        <v>1.454261</v>
      </c>
      <c r="N62">
        <v>1.450253</v>
      </c>
      <c r="O62">
        <v>1.460388</v>
      </c>
      <c r="P62">
        <v>1.4622360000000001</v>
      </c>
      <c r="Q62">
        <v>1.499341</v>
      </c>
      <c r="R62">
        <v>1.529442</v>
      </c>
      <c r="S62">
        <v>1.526526</v>
      </c>
      <c r="T62">
        <v>1.525431</v>
      </c>
      <c r="U62">
        <v>1.5401469999999999</v>
      </c>
      <c r="V62">
        <v>1.567688</v>
      </c>
      <c r="W62">
        <v>1.617386</v>
      </c>
      <c r="X62">
        <v>1.6690210000000001</v>
      </c>
      <c r="Y62">
        <v>1.732613</v>
      </c>
      <c r="Z62">
        <v>1.7791999999999999</v>
      </c>
      <c r="AA62">
        <v>1.827841</v>
      </c>
      <c r="AB62">
        <v>1.8775200000000001</v>
      </c>
      <c r="AC62">
        <v>1.9207970000000001</v>
      </c>
      <c r="AD62">
        <v>1.9707490000000001</v>
      </c>
      <c r="AE62">
        <v>2.0615239999999999</v>
      </c>
      <c r="AF62">
        <v>2.1457250000000001</v>
      </c>
      <c r="AG62">
        <v>2.2158959999999999</v>
      </c>
      <c r="AH62">
        <v>2.3111060000000001</v>
      </c>
      <c r="AI62">
        <v>2.3734769999999998</v>
      </c>
      <c r="AJ62" s="70">
        <v>3.4000000000000002E-2</v>
      </c>
    </row>
    <row r="63" spans="1:36">
      <c r="A63" t="s">
        <v>183</v>
      </c>
      <c r="B63" t="s">
        <v>184</v>
      </c>
      <c r="C63" t="s">
        <v>185</v>
      </c>
      <c r="D63" t="s">
        <v>47</v>
      </c>
      <c r="F63">
        <v>2.8111969999999999</v>
      </c>
      <c r="G63">
        <v>2.5832190000000002</v>
      </c>
      <c r="H63">
        <v>2.908118</v>
      </c>
      <c r="I63">
        <v>3.1108189999999998</v>
      </c>
      <c r="J63">
        <v>3.3822079999999999</v>
      </c>
      <c r="K63">
        <v>3.7736109999999998</v>
      </c>
      <c r="L63">
        <v>4.1110540000000002</v>
      </c>
      <c r="M63">
        <v>4.5264930000000003</v>
      </c>
      <c r="N63">
        <v>4.9076279999999999</v>
      </c>
      <c r="O63">
        <v>5.2362830000000002</v>
      </c>
      <c r="P63">
        <v>5.4983510000000004</v>
      </c>
      <c r="Q63">
        <v>5.8529210000000003</v>
      </c>
      <c r="R63">
        <v>6.2356590000000001</v>
      </c>
      <c r="S63">
        <v>6.2564510000000002</v>
      </c>
      <c r="T63">
        <v>6.2144060000000003</v>
      </c>
      <c r="U63">
        <v>6.1773809999999996</v>
      </c>
      <c r="V63">
        <v>6.1353840000000002</v>
      </c>
      <c r="W63">
        <v>6.3534119999999996</v>
      </c>
      <c r="X63">
        <v>6.5947370000000003</v>
      </c>
      <c r="Y63">
        <v>6.8095239999999997</v>
      </c>
      <c r="Z63">
        <v>7.0172600000000003</v>
      </c>
      <c r="AA63">
        <v>7.1527919999999998</v>
      </c>
      <c r="AB63">
        <v>7.2908939999999998</v>
      </c>
      <c r="AC63">
        <v>7.4036929999999996</v>
      </c>
      <c r="AD63">
        <v>7.454294</v>
      </c>
      <c r="AE63">
        <v>7.5783290000000001</v>
      </c>
      <c r="AF63">
        <v>7.6585179999999999</v>
      </c>
      <c r="AG63">
        <v>7.678229</v>
      </c>
      <c r="AH63">
        <v>7.758953</v>
      </c>
      <c r="AI63">
        <v>7.7553479999999997</v>
      </c>
      <c r="AJ63" s="70">
        <v>3.5999999999999997E-2</v>
      </c>
    </row>
    <row r="64" spans="1:36">
      <c r="A64" t="s">
        <v>186</v>
      </c>
      <c r="B64" t="s">
        <v>187</v>
      </c>
      <c r="C64" t="s">
        <v>188</v>
      </c>
      <c r="D64" t="s">
        <v>47</v>
      </c>
      <c r="F64">
        <v>15397.421875</v>
      </c>
      <c r="G64">
        <v>14067.885742</v>
      </c>
      <c r="H64">
        <v>14222.305664</v>
      </c>
      <c r="I64">
        <v>14333.480469</v>
      </c>
      <c r="J64">
        <v>14113.882812</v>
      </c>
      <c r="K64">
        <v>13983.685546999999</v>
      </c>
      <c r="L64">
        <v>13758.5625</v>
      </c>
      <c r="M64">
        <v>13693.199219</v>
      </c>
      <c r="N64">
        <v>13626.746094</v>
      </c>
      <c r="O64">
        <v>13484.783203000001</v>
      </c>
      <c r="P64">
        <v>13356.683594</v>
      </c>
      <c r="Q64">
        <v>13395.614258</v>
      </c>
      <c r="R64">
        <v>13425.847656</v>
      </c>
      <c r="S64">
        <v>13134.171875</v>
      </c>
      <c r="T64">
        <v>12851.907227</v>
      </c>
      <c r="U64">
        <v>12721.051758</v>
      </c>
      <c r="V64">
        <v>12709.361328000001</v>
      </c>
      <c r="W64">
        <v>12817.386719</v>
      </c>
      <c r="X64">
        <v>12980.332031</v>
      </c>
      <c r="Y64">
        <v>13089.032227</v>
      </c>
      <c r="Z64">
        <v>13098.551758</v>
      </c>
      <c r="AA64">
        <v>13050.186523</v>
      </c>
      <c r="AB64">
        <v>12999.229492</v>
      </c>
      <c r="AC64">
        <v>12932.197265999999</v>
      </c>
      <c r="AD64">
        <v>12832.787109000001</v>
      </c>
      <c r="AE64">
        <v>12881.333984000001</v>
      </c>
      <c r="AF64">
        <v>12876.330078000001</v>
      </c>
      <c r="AG64">
        <v>12824.078125</v>
      </c>
      <c r="AH64">
        <v>12895.989258</v>
      </c>
      <c r="AI64">
        <v>12882.662109000001</v>
      </c>
      <c r="AJ64" s="70">
        <v>-6.0000000000000001E-3</v>
      </c>
    </row>
    <row r="65" spans="1:36">
      <c r="A65" t="s">
        <v>189</v>
      </c>
      <c r="B65" t="s">
        <v>190</v>
      </c>
      <c r="C65" t="s">
        <v>191</v>
      </c>
      <c r="D65" t="s">
        <v>47</v>
      </c>
      <c r="F65">
        <v>4953.1132809999999</v>
      </c>
      <c r="G65">
        <v>4668.9975590000004</v>
      </c>
      <c r="H65">
        <v>4958.1450199999999</v>
      </c>
      <c r="I65">
        <v>5404.3681640000004</v>
      </c>
      <c r="J65">
        <v>5500.1508789999998</v>
      </c>
      <c r="K65">
        <v>5639.5771480000003</v>
      </c>
      <c r="L65">
        <v>5625.3178710000002</v>
      </c>
      <c r="M65">
        <v>5668.8452150000003</v>
      </c>
      <c r="N65">
        <v>5678.7172849999997</v>
      </c>
      <c r="O65">
        <v>5624.515625</v>
      </c>
      <c r="P65">
        <v>5562.1196289999998</v>
      </c>
      <c r="Q65">
        <v>5547.9023440000001</v>
      </c>
      <c r="R65">
        <v>5531.2270509999998</v>
      </c>
      <c r="S65">
        <v>5383.1025390000004</v>
      </c>
      <c r="T65">
        <v>5267.1528319999998</v>
      </c>
      <c r="U65">
        <v>5226.7104490000002</v>
      </c>
      <c r="V65">
        <v>5235.1162109999996</v>
      </c>
      <c r="W65">
        <v>5280.4731449999999</v>
      </c>
      <c r="X65">
        <v>5356.3334960000002</v>
      </c>
      <c r="Y65">
        <v>5373.9345700000003</v>
      </c>
      <c r="Z65">
        <v>5357.4409180000002</v>
      </c>
      <c r="AA65">
        <v>5315.6723629999997</v>
      </c>
      <c r="AB65">
        <v>5287.2612300000001</v>
      </c>
      <c r="AC65">
        <v>5251.5776370000003</v>
      </c>
      <c r="AD65">
        <v>5206.2436520000001</v>
      </c>
      <c r="AE65">
        <v>5220.0102539999998</v>
      </c>
      <c r="AF65">
        <v>5220.5039059999999</v>
      </c>
      <c r="AG65">
        <v>5181.3950199999999</v>
      </c>
      <c r="AH65">
        <v>5202.6357420000004</v>
      </c>
      <c r="AI65">
        <v>5189.8833009999998</v>
      </c>
      <c r="AJ65" s="70">
        <v>2E-3</v>
      </c>
    </row>
    <row r="66" spans="1:36">
      <c r="A66" t="s">
        <v>192</v>
      </c>
      <c r="B66" t="s">
        <v>193</v>
      </c>
      <c r="C66" t="s">
        <v>194</v>
      </c>
      <c r="D66" t="s">
        <v>47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75</v>
      </c>
    </row>
    <row r="67" spans="1:36">
      <c r="A67" t="s">
        <v>195</v>
      </c>
      <c r="B67" t="s">
        <v>196</v>
      </c>
      <c r="C67" t="s">
        <v>188</v>
      </c>
      <c r="D67" t="s">
        <v>47</v>
      </c>
      <c r="F67">
        <v>6917.4902339999999</v>
      </c>
      <c r="G67">
        <v>6770.2744140000004</v>
      </c>
      <c r="H67">
        <v>7231.6865230000003</v>
      </c>
      <c r="I67">
        <v>7750.6748049999997</v>
      </c>
      <c r="J67">
        <v>7829.3447269999997</v>
      </c>
      <c r="K67">
        <v>7967.5820309999999</v>
      </c>
      <c r="L67">
        <v>7942.4384769999997</v>
      </c>
      <c r="M67">
        <v>8004.8066410000001</v>
      </c>
      <c r="N67">
        <v>8039.2714839999999</v>
      </c>
      <c r="O67">
        <v>8009.4941410000001</v>
      </c>
      <c r="P67">
        <v>7965.8896480000003</v>
      </c>
      <c r="Q67">
        <v>8030.7421880000002</v>
      </c>
      <c r="R67">
        <v>8073.8066410000001</v>
      </c>
      <c r="S67">
        <v>7920.4160160000001</v>
      </c>
      <c r="T67">
        <v>7798.4775390000004</v>
      </c>
      <c r="U67">
        <v>7774.4658200000003</v>
      </c>
      <c r="V67">
        <v>7822.1865230000003</v>
      </c>
      <c r="W67">
        <v>7934.9375</v>
      </c>
      <c r="X67">
        <v>8082.1455079999996</v>
      </c>
      <c r="Y67">
        <v>8173.7871089999999</v>
      </c>
      <c r="Z67">
        <v>8206.2119139999995</v>
      </c>
      <c r="AA67">
        <v>8200.1220699999994</v>
      </c>
      <c r="AB67">
        <v>8209.1767579999996</v>
      </c>
      <c r="AC67">
        <v>8200.140625</v>
      </c>
      <c r="AD67">
        <v>8169.4365230000003</v>
      </c>
      <c r="AE67">
        <v>8235.4853519999997</v>
      </c>
      <c r="AF67">
        <v>8272.4511719999991</v>
      </c>
      <c r="AG67">
        <v>8256.7441409999992</v>
      </c>
      <c r="AH67">
        <v>8332.1142579999996</v>
      </c>
      <c r="AI67">
        <v>8339.3544920000004</v>
      </c>
      <c r="AJ67" s="70">
        <v>6.0000000000000001E-3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165B-DD12-4423-A2BA-35A2934A5C51}">
  <dimension ref="A1:AF87"/>
  <sheetViews>
    <sheetView workbookViewId="0">
      <selection activeCell="I10" sqref="I10"/>
    </sheetView>
  </sheetViews>
  <sheetFormatPr defaultColWidth="8.85546875" defaultRowHeight="15"/>
  <sheetData>
    <row r="1" spans="1:32" ht="15.75" thickBot="1">
      <c r="A1" s="74" t="s">
        <v>197</v>
      </c>
      <c r="B1" s="75">
        <v>2022</v>
      </c>
      <c r="C1" s="75">
        <v>2023</v>
      </c>
      <c r="D1" s="75">
        <v>2024</v>
      </c>
      <c r="E1" s="75">
        <v>2025</v>
      </c>
      <c r="F1" s="75">
        <v>2026</v>
      </c>
      <c r="G1" s="75">
        <v>2027</v>
      </c>
      <c r="H1" s="75">
        <v>2028</v>
      </c>
      <c r="I1" s="75">
        <v>2029</v>
      </c>
      <c r="J1" s="75">
        <v>2030</v>
      </c>
      <c r="K1" s="75">
        <v>2031</v>
      </c>
      <c r="L1" s="75">
        <v>2032</v>
      </c>
      <c r="M1" s="75">
        <v>2033</v>
      </c>
      <c r="N1" s="75">
        <v>2034</v>
      </c>
      <c r="O1" s="75">
        <v>2035</v>
      </c>
      <c r="P1" s="75">
        <v>2036</v>
      </c>
      <c r="Q1" s="75">
        <v>2037</v>
      </c>
      <c r="R1" s="75">
        <v>2038</v>
      </c>
      <c r="S1" s="75">
        <v>2039</v>
      </c>
      <c r="T1" s="75">
        <v>2040</v>
      </c>
      <c r="U1" s="75">
        <v>2041</v>
      </c>
      <c r="V1" s="75">
        <v>2042</v>
      </c>
      <c r="W1" s="75">
        <v>2043</v>
      </c>
      <c r="X1" s="75">
        <v>2044</v>
      </c>
      <c r="Y1" s="75">
        <v>2045</v>
      </c>
      <c r="Z1" s="75">
        <v>2046</v>
      </c>
      <c r="AA1" s="75">
        <v>2047</v>
      </c>
      <c r="AB1" s="75">
        <v>2048</v>
      </c>
      <c r="AC1" s="75">
        <v>2049</v>
      </c>
      <c r="AD1" s="75">
        <v>2050</v>
      </c>
    </row>
    <row r="2" spans="1:32" ht="15.75" thickTop="1"/>
    <row r="3" spans="1:32">
      <c r="B3" s="76" t="s">
        <v>198</v>
      </c>
      <c r="C3" s="76" t="s">
        <v>199</v>
      </c>
      <c r="D3" s="77"/>
      <c r="E3" s="77"/>
      <c r="F3" s="77"/>
    </row>
    <row r="4" spans="1:32">
      <c r="B4" s="76" t="s">
        <v>200</v>
      </c>
      <c r="C4" s="76" t="s">
        <v>201</v>
      </c>
      <c r="D4" s="77"/>
      <c r="E4" s="77"/>
      <c r="F4" s="76" t="s">
        <v>202</v>
      </c>
    </row>
    <row r="5" spans="1:32">
      <c r="B5" s="76" t="s">
        <v>203</v>
      </c>
      <c r="C5" s="76" t="s">
        <v>204</v>
      </c>
      <c r="D5" s="77"/>
      <c r="E5" s="77"/>
      <c r="F5" s="77"/>
    </row>
    <row r="6" spans="1:32">
      <c r="B6" s="76" t="s">
        <v>205</v>
      </c>
      <c r="C6" s="77"/>
      <c r="D6" s="76" t="s">
        <v>206</v>
      </c>
      <c r="E6" s="77"/>
      <c r="F6" s="77"/>
    </row>
    <row r="10" spans="1:32" ht="15.75">
      <c r="A10" s="79" t="s">
        <v>207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1" t="s">
        <v>208</v>
      </c>
      <c r="AF10" s="80"/>
    </row>
    <row r="11" spans="1:32">
      <c r="A11" s="82" t="s">
        <v>209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1" t="s">
        <v>210</v>
      </c>
      <c r="AF11" s="80"/>
    </row>
    <row r="12" spans="1:32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1" t="s">
        <v>211</v>
      </c>
      <c r="AF12" s="80"/>
    </row>
    <row r="13" spans="1:32" ht="37.5" thickBot="1">
      <c r="A13" s="84" t="s">
        <v>212</v>
      </c>
      <c r="B13" s="84">
        <v>2022</v>
      </c>
      <c r="C13" s="84">
        <v>2023</v>
      </c>
      <c r="D13" s="84">
        <v>2024</v>
      </c>
      <c r="E13" s="84">
        <v>2025</v>
      </c>
      <c r="F13" s="84">
        <v>2026</v>
      </c>
      <c r="G13" s="84">
        <v>2027</v>
      </c>
      <c r="H13" s="84">
        <v>2028</v>
      </c>
      <c r="I13" s="84">
        <v>2029</v>
      </c>
      <c r="J13" s="84">
        <v>2030</v>
      </c>
      <c r="K13" s="84">
        <v>2031</v>
      </c>
      <c r="L13" s="84">
        <v>2032</v>
      </c>
      <c r="M13" s="84">
        <v>2033</v>
      </c>
      <c r="N13" s="84">
        <v>2034</v>
      </c>
      <c r="O13" s="84">
        <v>2035</v>
      </c>
      <c r="P13" s="84">
        <v>2036</v>
      </c>
      <c r="Q13" s="84">
        <v>2037</v>
      </c>
      <c r="R13" s="84">
        <v>2038</v>
      </c>
      <c r="S13" s="84">
        <v>2039</v>
      </c>
      <c r="T13" s="84">
        <v>2040</v>
      </c>
      <c r="U13" s="84">
        <v>2041</v>
      </c>
      <c r="V13" s="84">
        <v>2042</v>
      </c>
      <c r="W13" s="84">
        <v>2043</v>
      </c>
      <c r="X13" s="84">
        <v>2044</v>
      </c>
      <c r="Y13" s="84">
        <v>2045</v>
      </c>
      <c r="Z13" s="84">
        <v>2046</v>
      </c>
      <c r="AA13" s="84">
        <v>2047</v>
      </c>
      <c r="AB13" s="84">
        <v>2048</v>
      </c>
      <c r="AC13" s="84">
        <v>2049</v>
      </c>
      <c r="AD13" s="84">
        <v>2050</v>
      </c>
      <c r="AE13" s="85">
        <v>2050</v>
      </c>
      <c r="AF13" s="80"/>
    </row>
    <row r="14" spans="1:32" ht="15.75" thickTop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</row>
    <row r="15" spans="1:32" ht="24.75">
      <c r="A15" s="86" t="s">
        <v>213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</row>
    <row r="16" spans="1:32" ht="36.75">
      <c r="A16" s="86" t="s">
        <v>214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</row>
    <row r="17" spans="1:32" ht="48.75">
      <c r="A17" s="87" t="s">
        <v>215</v>
      </c>
      <c r="B17" s="88">
        <v>745.48858600000005</v>
      </c>
      <c r="C17" s="88">
        <v>752.84777799999995</v>
      </c>
      <c r="D17" s="88">
        <v>752.35827600000005</v>
      </c>
      <c r="E17" s="88">
        <v>735.73345900000004</v>
      </c>
      <c r="F17" s="88">
        <v>714.39776600000005</v>
      </c>
      <c r="G17" s="88">
        <v>699.98785399999997</v>
      </c>
      <c r="H17" s="88">
        <v>685.04046600000004</v>
      </c>
      <c r="I17" s="88">
        <v>673.87493900000004</v>
      </c>
      <c r="J17" s="88">
        <v>663.85052499999995</v>
      </c>
      <c r="K17" s="88">
        <v>653.93218999999999</v>
      </c>
      <c r="L17" s="88">
        <v>646.67608600000005</v>
      </c>
      <c r="M17" s="88">
        <v>638</v>
      </c>
      <c r="N17" s="88">
        <v>632.65362500000003</v>
      </c>
      <c r="O17" s="88">
        <v>629.94421399999999</v>
      </c>
      <c r="P17" s="88">
        <v>630.54656999999997</v>
      </c>
      <c r="Q17" s="88">
        <v>627.93365500000004</v>
      </c>
      <c r="R17" s="88">
        <v>625.11895800000002</v>
      </c>
      <c r="S17" s="88">
        <v>622.16143799999998</v>
      </c>
      <c r="T17" s="88">
        <v>618.44097899999997</v>
      </c>
      <c r="U17" s="88">
        <v>611.17291299999999</v>
      </c>
      <c r="V17" s="88">
        <v>603.78057899999999</v>
      </c>
      <c r="W17" s="88">
        <v>594.08050500000002</v>
      </c>
      <c r="X17" s="88">
        <v>586.63452099999995</v>
      </c>
      <c r="Y17" s="88">
        <v>582.16729699999996</v>
      </c>
      <c r="Z17" s="88">
        <v>581.98821999999996</v>
      </c>
      <c r="AA17" s="88">
        <v>575.44702099999995</v>
      </c>
      <c r="AB17" s="88">
        <v>569.67370600000004</v>
      </c>
      <c r="AC17" s="88">
        <v>564.75280799999996</v>
      </c>
      <c r="AD17" s="88">
        <v>561.188354</v>
      </c>
      <c r="AE17" s="89">
        <v>-1.0090999999999999E-2</v>
      </c>
      <c r="AF17" s="80"/>
    </row>
    <row r="18" spans="1:32" ht="24.75">
      <c r="A18" s="87" t="s">
        <v>216</v>
      </c>
      <c r="B18" s="88">
        <v>0</v>
      </c>
      <c r="C18" s="88">
        <v>0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0</v>
      </c>
      <c r="Z18" s="88">
        <v>0</v>
      </c>
      <c r="AA18" s="88">
        <v>0</v>
      </c>
      <c r="AB18" s="88">
        <v>0</v>
      </c>
      <c r="AC18" s="88">
        <v>0</v>
      </c>
      <c r="AD18" s="88">
        <v>0</v>
      </c>
      <c r="AE18" s="89" t="s">
        <v>217</v>
      </c>
      <c r="AF18" s="80"/>
    </row>
    <row r="19" spans="1:32" ht="36.75">
      <c r="A19" s="87" t="s">
        <v>218</v>
      </c>
      <c r="B19" s="88">
        <v>745.48858600000005</v>
      </c>
      <c r="C19" s="88">
        <v>752.84777799999995</v>
      </c>
      <c r="D19" s="88">
        <v>752.35827600000005</v>
      </c>
      <c r="E19" s="88">
        <v>735.73345900000004</v>
      </c>
      <c r="F19" s="88">
        <v>714.39776600000005</v>
      </c>
      <c r="G19" s="88">
        <v>699.98785399999997</v>
      </c>
      <c r="H19" s="88">
        <v>685.04046600000004</v>
      </c>
      <c r="I19" s="88">
        <v>673.87493900000004</v>
      </c>
      <c r="J19" s="88">
        <v>663.85052499999995</v>
      </c>
      <c r="K19" s="88">
        <v>653.93218999999999</v>
      </c>
      <c r="L19" s="88">
        <v>646.67608600000005</v>
      </c>
      <c r="M19" s="88">
        <v>638</v>
      </c>
      <c r="N19" s="88">
        <v>632.65362500000003</v>
      </c>
      <c r="O19" s="88">
        <v>629.94421399999999</v>
      </c>
      <c r="P19" s="88">
        <v>630.54656999999997</v>
      </c>
      <c r="Q19" s="88">
        <v>627.93365500000004</v>
      </c>
      <c r="R19" s="88">
        <v>625.11895800000002</v>
      </c>
      <c r="S19" s="88">
        <v>622.16143799999998</v>
      </c>
      <c r="T19" s="88">
        <v>618.44097899999997</v>
      </c>
      <c r="U19" s="88">
        <v>611.17291299999999</v>
      </c>
      <c r="V19" s="88">
        <v>603.78057899999999</v>
      </c>
      <c r="W19" s="88">
        <v>594.08050500000002</v>
      </c>
      <c r="X19" s="88">
        <v>586.63452099999995</v>
      </c>
      <c r="Y19" s="88">
        <v>582.16729699999996</v>
      </c>
      <c r="Z19" s="88">
        <v>581.98821999999996</v>
      </c>
      <c r="AA19" s="88">
        <v>575.44702099999995</v>
      </c>
      <c r="AB19" s="88">
        <v>569.67370600000004</v>
      </c>
      <c r="AC19" s="88">
        <v>564.75280799999996</v>
      </c>
      <c r="AD19" s="88">
        <v>561.188354</v>
      </c>
      <c r="AE19" s="89">
        <v>-1.0090999999999999E-2</v>
      </c>
      <c r="AF19" s="80"/>
    </row>
    <row r="20" spans="1:32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</row>
    <row r="21" spans="1:32" ht="36.75">
      <c r="A21" s="86" t="s">
        <v>219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</row>
    <row r="22" spans="1:32" ht="36.75">
      <c r="A22" s="87" t="s">
        <v>220</v>
      </c>
      <c r="B22" s="88">
        <v>27.701494</v>
      </c>
      <c r="C22" s="88">
        <v>28.161213</v>
      </c>
      <c r="D22" s="88">
        <v>28.336245999999999</v>
      </c>
      <c r="E22" s="88">
        <v>27.930389000000002</v>
      </c>
      <c r="F22" s="88">
        <v>27.360482999999999</v>
      </c>
      <c r="G22" s="88">
        <v>27.062560999999999</v>
      </c>
      <c r="H22" s="88">
        <v>26.745170999999999</v>
      </c>
      <c r="I22" s="88">
        <v>26.574788999999999</v>
      </c>
      <c r="J22" s="88">
        <v>26.450092000000001</v>
      </c>
      <c r="K22" s="88">
        <v>26.327152000000002</v>
      </c>
      <c r="L22" s="88">
        <v>26.309853</v>
      </c>
      <c r="M22" s="88">
        <v>26.236436999999999</v>
      </c>
      <c r="N22" s="88">
        <v>26.300083000000001</v>
      </c>
      <c r="O22" s="88">
        <v>26.476437000000001</v>
      </c>
      <c r="P22" s="88">
        <v>26.802655999999999</v>
      </c>
      <c r="Q22" s="88">
        <v>26.993179000000001</v>
      </c>
      <c r="R22" s="88">
        <v>27.175011000000001</v>
      </c>
      <c r="S22" s="88">
        <v>27.356400000000001</v>
      </c>
      <c r="T22" s="88">
        <v>27.506229000000001</v>
      </c>
      <c r="U22" s="88">
        <v>27.497744000000001</v>
      </c>
      <c r="V22" s="88">
        <v>27.485579999999999</v>
      </c>
      <c r="W22" s="88">
        <v>27.36544</v>
      </c>
      <c r="X22" s="88">
        <v>27.347321999999998</v>
      </c>
      <c r="Y22" s="88">
        <v>27.466481999999999</v>
      </c>
      <c r="Z22" s="88">
        <v>27.773669999999999</v>
      </c>
      <c r="AA22" s="88">
        <v>27.796990999999998</v>
      </c>
      <c r="AB22" s="88">
        <v>27.862095</v>
      </c>
      <c r="AC22" s="88">
        <v>27.968413999999999</v>
      </c>
      <c r="AD22" s="88">
        <v>27.940854999999999</v>
      </c>
      <c r="AE22" s="89">
        <v>3.0699999999999998E-4</v>
      </c>
      <c r="AF22" s="80"/>
    </row>
    <row r="23" spans="1:32" ht="48.75">
      <c r="A23" s="87" t="s">
        <v>221</v>
      </c>
      <c r="B23" s="88">
        <v>1.7337320000000001</v>
      </c>
      <c r="C23" s="88">
        <v>2.0157180000000001</v>
      </c>
      <c r="D23" s="88">
        <v>2.2821009999999999</v>
      </c>
      <c r="E23" s="88">
        <v>2.4943019999999998</v>
      </c>
      <c r="F23" s="88">
        <v>2.6786949999999998</v>
      </c>
      <c r="G23" s="88">
        <v>2.8791380000000002</v>
      </c>
      <c r="H23" s="88">
        <v>3.0706500000000001</v>
      </c>
      <c r="I23" s="88">
        <v>3.2738580000000002</v>
      </c>
      <c r="J23" s="88">
        <v>3.4792079999999999</v>
      </c>
      <c r="K23" s="88">
        <v>3.682477</v>
      </c>
      <c r="L23" s="88">
        <v>3.8991889999999998</v>
      </c>
      <c r="M23" s="88">
        <v>4.1060140000000001</v>
      </c>
      <c r="N23" s="88">
        <v>4.3339280000000002</v>
      </c>
      <c r="O23" s="88">
        <v>4.5820100000000004</v>
      </c>
      <c r="P23" s="88">
        <v>4.8586029999999996</v>
      </c>
      <c r="Q23" s="88">
        <v>5.1157849999999998</v>
      </c>
      <c r="R23" s="88">
        <v>5.3752430000000002</v>
      </c>
      <c r="S23" s="88">
        <v>5.6369210000000001</v>
      </c>
      <c r="T23" s="88">
        <v>5.8950500000000003</v>
      </c>
      <c r="U23" s="88">
        <v>6.1207330000000004</v>
      </c>
      <c r="V23" s="88">
        <v>6.3446160000000003</v>
      </c>
      <c r="W23" s="88">
        <v>6.5425950000000004</v>
      </c>
      <c r="X23" s="88">
        <v>6.7636419999999999</v>
      </c>
      <c r="Y23" s="88">
        <v>7.0199959999999999</v>
      </c>
      <c r="Z23" s="88">
        <v>7.3329820000000003</v>
      </c>
      <c r="AA23" s="88">
        <v>7.5693910000000004</v>
      </c>
      <c r="AB23" s="88">
        <v>7.8167439999999999</v>
      </c>
      <c r="AC23" s="88">
        <v>8.0776070000000004</v>
      </c>
      <c r="AD23" s="88">
        <v>8.3581129999999995</v>
      </c>
      <c r="AE23" s="89">
        <v>5.7785000000000003E-2</v>
      </c>
      <c r="AF23" s="80"/>
    </row>
    <row r="24" spans="1:32" ht="48.75">
      <c r="A24" s="87" t="s">
        <v>222</v>
      </c>
      <c r="B24" s="88">
        <v>2.34727</v>
      </c>
      <c r="C24" s="88">
        <v>4.4234220000000004</v>
      </c>
      <c r="D24" s="88">
        <v>6.5103299999999997</v>
      </c>
      <c r="E24" s="88">
        <v>8.4475149999999992</v>
      </c>
      <c r="F24" s="88">
        <v>10.260118</v>
      </c>
      <c r="G24" s="88">
        <v>12.106405000000001</v>
      </c>
      <c r="H24" s="88">
        <v>13.894964</v>
      </c>
      <c r="I24" s="88">
        <v>15.720405</v>
      </c>
      <c r="J24" s="88">
        <v>17.546631000000001</v>
      </c>
      <c r="K24" s="88">
        <v>19.353251</v>
      </c>
      <c r="L24" s="88">
        <v>21.224616999999999</v>
      </c>
      <c r="M24" s="88">
        <v>23.038656</v>
      </c>
      <c r="N24" s="88">
        <v>24.968584</v>
      </c>
      <c r="O24" s="88">
        <v>27.018315999999999</v>
      </c>
      <c r="P24" s="88">
        <v>29.246431000000001</v>
      </c>
      <c r="Q24" s="88">
        <v>31.364456000000001</v>
      </c>
      <c r="R24" s="88">
        <v>33.500416000000001</v>
      </c>
      <c r="S24" s="88">
        <v>35.655448999999997</v>
      </c>
      <c r="T24" s="88">
        <v>37.791504000000003</v>
      </c>
      <c r="U24" s="88">
        <v>39.719631</v>
      </c>
      <c r="V24" s="88">
        <v>41.633910999999998</v>
      </c>
      <c r="W24" s="88">
        <v>43.373733999999999</v>
      </c>
      <c r="X24" s="88">
        <v>45.262123000000003</v>
      </c>
      <c r="Y24" s="88">
        <v>47.386184999999998</v>
      </c>
      <c r="Z24" s="88">
        <v>49.898257999999998</v>
      </c>
      <c r="AA24" s="88">
        <v>51.892063</v>
      </c>
      <c r="AB24" s="88">
        <v>53.959820000000001</v>
      </c>
      <c r="AC24" s="88">
        <v>56.121364999999997</v>
      </c>
      <c r="AD24" s="88">
        <v>58.420788000000002</v>
      </c>
      <c r="AE24" s="89">
        <v>0.12164999999999999</v>
      </c>
      <c r="AF24" s="80"/>
    </row>
    <row r="25" spans="1:32" ht="48.75">
      <c r="A25" s="87" t="s">
        <v>223</v>
      </c>
      <c r="B25" s="88">
        <v>16.660831000000002</v>
      </c>
      <c r="C25" s="88">
        <v>19.503101000000001</v>
      </c>
      <c r="D25" s="88">
        <v>22.200614999999999</v>
      </c>
      <c r="E25" s="88">
        <v>24.367394999999998</v>
      </c>
      <c r="F25" s="88">
        <v>26.257739999999998</v>
      </c>
      <c r="G25" s="88">
        <v>28.301953999999999</v>
      </c>
      <c r="H25" s="88">
        <v>30.256197</v>
      </c>
      <c r="I25" s="88">
        <v>32.324257000000003</v>
      </c>
      <c r="J25" s="88">
        <v>34.412506</v>
      </c>
      <c r="K25" s="88">
        <v>36.479725000000002</v>
      </c>
      <c r="L25" s="88">
        <v>38.679713999999997</v>
      </c>
      <c r="M25" s="88">
        <v>40.781128000000002</v>
      </c>
      <c r="N25" s="88">
        <v>43.091830999999999</v>
      </c>
      <c r="O25" s="88">
        <v>45.603496999999997</v>
      </c>
      <c r="P25" s="88">
        <v>48.399467000000001</v>
      </c>
      <c r="Q25" s="88">
        <v>51.002944999999997</v>
      </c>
      <c r="R25" s="88">
        <v>53.629680999999998</v>
      </c>
      <c r="S25" s="88">
        <v>56.278992000000002</v>
      </c>
      <c r="T25" s="88">
        <v>58.893321999999998</v>
      </c>
      <c r="U25" s="88">
        <v>61.183750000000003</v>
      </c>
      <c r="V25" s="88">
        <v>63.455978000000002</v>
      </c>
      <c r="W25" s="88">
        <v>65.468964</v>
      </c>
      <c r="X25" s="88">
        <v>67.712502000000001</v>
      </c>
      <c r="Y25" s="88">
        <v>70.309714999999997</v>
      </c>
      <c r="Z25" s="88">
        <v>73.475539999999995</v>
      </c>
      <c r="AA25" s="88">
        <v>75.873489000000006</v>
      </c>
      <c r="AB25" s="88">
        <v>78.380973999999995</v>
      </c>
      <c r="AC25" s="88">
        <v>81.024094000000005</v>
      </c>
      <c r="AD25" s="88">
        <v>83.864440999999999</v>
      </c>
      <c r="AE25" s="89">
        <v>5.9417999999999999E-2</v>
      </c>
      <c r="AF25" s="80"/>
    </row>
    <row r="26" spans="1:32" ht="48.75">
      <c r="A26" s="87" t="s">
        <v>224</v>
      </c>
      <c r="B26" s="88">
        <v>2.4163809999999999</v>
      </c>
      <c r="C26" s="88">
        <v>2.7793239999999999</v>
      </c>
      <c r="D26" s="88">
        <v>3.1208979999999999</v>
      </c>
      <c r="E26" s="88">
        <v>3.388887</v>
      </c>
      <c r="F26" s="88">
        <v>3.6195200000000001</v>
      </c>
      <c r="G26" s="88">
        <v>3.871928</v>
      </c>
      <c r="H26" s="88">
        <v>4.112279</v>
      </c>
      <c r="I26" s="88">
        <v>4.3681489999999998</v>
      </c>
      <c r="J26" s="88">
        <v>4.6265349999999996</v>
      </c>
      <c r="K26" s="88">
        <v>4.8819739999999996</v>
      </c>
      <c r="L26" s="88">
        <v>5.155017</v>
      </c>
      <c r="M26" s="88">
        <v>5.4144670000000001</v>
      </c>
      <c r="N26" s="88">
        <v>5.7013439999999997</v>
      </c>
      <c r="O26" s="88">
        <v>6.0141749999999998</v>
      </c>
      <c r="P26" s="88">
        <v>6.3630979999999999</v>
      </c>
      <c r="Q26" s="88">
        <v>6.6865069999999998</v>
      </c>
      <c r="R26" s="88">
        <v>7.0129149999999996</v>
      </c>
      <c r="S26" s="88">
        <v>7.3414060000000001</v>
      </c>
      <c r="T26" s="88">
        <v>7.6650020000000003</v>
      </c>
      <c r="U26" s="88">
        <v>7.9463210000000002</v>
      </c>
      <c r="V26" s="88">
        <v>8.2245559999999998</v>
      </c>
      <c r="W26" s="88">
        <v>8.4691089999999996</v>
      </c>
      <c r="X26" s="88">
        <v>8.7432219999999994</v>
      </c>
      <c r="Y26" s="88">
        <v>9.0630970000000008</v>
      </c>
      <c r="Z26" s="88">
        <v>9.4596110000000007</v>
      </c>
      <c r="AA26" s="88">
        <v>9.7537870000000009</v>
      </c>
      <c r="AB26" s="88">
        <v>10.060923000000001</v>
      </c>
      <c r="AC26" s="88">
        <v>10.385608</v>
      </c>
      <c r="AD26" s="88">
        <v>10.734817</v>
      </c>
      <c r="AE26" s="89">
        <v>5.4702000000000001E-2</v>
      </c>
      <c r="AF26" s="80"/>
    </row>
    <row r="27" spans="1:32" ht="48.75">
      <c r="A27" s="87" t="s">
        <v>225</v>
      </c>
      <c r="B27" s="88">
        <v>0.85057000000000005</v>
      </c>
      <c r="C27" s="88">
        <v>1.2301299999999999</v>
      </c>
      <c r="D27" s="88">
        <v>1.607591</v>
      </c>
      <c r="E27" s="88">
        <v>1.9478629999999999</v>
      </c>
      <c r="F27" s="88">
        <v>2.2618490000000002</v>
      </c>
      <c r="G27" s="88">
        <v>2.5850010000000001</v>
      </c>
      <c r="H27" s="88">
        <v>2.8968669999999999</v>
      </c>
      <c r="I27" s="88">
        <v>3.2170930000000002</v>
      </c>
      <c r="J27" s="88">
        <v>3.5376099999999999</v>
      </c>
      <c r="K27" s="88">
        <v>3.854425</v>
      </c>
      <c r="L27" s="88">
        <v>4.1841910000000002</v>
      </c>
      <c r="M27" s="88">
        <v>4.5023179999999998</v>
      </c>
      <c r="N27" s="88">
        <v>4.8428490000000002</v>
      </c>
      <c r="O27" s="88">
        <v>5.2059860000000002</v>
      </c>
      <c r="P27" s="88">
        <v>5.6019449999999997</v>
      </c>
      <c r="Q27" s="88">
        <v>5.9765319999999997</v>
      </c>
      <c r="R27" s="88">
        <v>6.354444</v>
      </c>
      <c r="S27" s="88">
        <v>6.7350919999999999</v>
      </c>
      <c r="T27" s="88">
        <v>7.1118160000000001</v>
      </c>
      <c r="U27" s="88">
        <v>7.4493419999999997</v>
      </c>
      <c r="V27" s="88">
        <v>7.7836749999999997</v>
      </c>
      <c r="W27" s="88">
        <v>8.0854420000000005</v>
      </c>
      <c r="X27" s="88">
        <v>8.414771</v>
      </c>
      <c r="Y27" s="88">
        <v>8.7880479999999999</v>
      </c>
      <c r="Z27" s="88">
        <v>9.2362420000000007</v>
      </c>
      <c r="AA27" s="88">
        <v>9.5852740000000001</v>
      </c>
      <c r="AB27" s="88">
        <v>9.9469960000000004</v>
      </c>
      <c r="AC27" s="88">
        <v>10.326148</v>
      </c>
      <c r="AD27" s="88">
        <v>10.729991999999999</v>
      </c>
      <c r="AE27" s="89">
        <v>9.4756000000000007E-2</v>
      </c>
      <c r="AF27" s="80"/>
    </row>
    <row r="28" spans="1:32" ht="36.75">
      <c r="A28" s="87" t="s">
        <v>226</v>
      </c>
      <c r="B28" s="88">
        <v>0</v>
      </c>
      <c r="C28" s="88">
        <v>0</v>
      </c>
      <c r="D28" s="88">
        <v>0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  <c r="X28" s="88">
        <v>0</v>
      </c>
      <c r="Y28" s="88">
        <v>0</v>
      </c>
      <c r="Z28" s="88">
        <v>0</v>
      </c>
      <c r="AA28" s="88">
        <v>0</v>
      </c>
      <c r="AB28" s="88">
        <v>0</v>
      </c>
      <c r="AC28" s="88">
        <v>0</v>
      </c>
      <c r="AD28" s="88">
        <v>0</v>
      </c>
      <c r="AE28" s="89" t="s">
        <v>217</v>
      </c>
      <c r="AF28" s="80"/>
    </row>
    <row r="29" spans="1:32" ht="36.75">
      <c r="A29" s="87" t="s">
        <v>227</v>
      </c>
      <c r="B29" s="88">
        <v>32.527453999999999</v>
      </c>
      <c r="C29" s="88">
        <v>34.683559000000002</v>
      </c>
      <c r="D29" s="88">
        <v>36.517467000000003</v>
      </c>
      <c r="E29" s="88">
        <v>37.527821000000003</v>
      </c>
      <c r="F29" s="88">
        <v>38.211796</v>
      </c>
      <c r="G29" s="88">
        <v>39.194439000000003</v>
      </c>
      <c r="H29" s="88">
        <v>40.098598000000003</v>
      </c>
      <c r="I29" s="88">
        <v>41.186400999999996</v>
      </c>
      <c r="J29" s="88">
        <v>42.318877999999998</v>
      </c>
      <c r="K29" s="88">
        <v>43.439338999999997</v>
      </c>
      <c r="L29" s="88">
        <v>44.725349000000001</v>
      </c>
      <c r="M29" s="88">
        <v>45.902386</v>
      </c>
      <c r="N29" s="88">
        <v>47.315739000000001</v>
      </c>
      <c r="O29" s="88">
        <v>48.939678000000001</v>
      </c>
      <c r="P29" s="88">
        <v>50.848151999999999</v>
      </c>
      <c r="Q29" s="88">
        <v>52.535007</v>
      </c>
      <c r="R29" s="88">
        <v>54.232723</v>
      </c>
      <c r="S29" s="88">
        <v>55.940033</v>
      </c>
      <c r="T29" s="88">
        <v>57.601685000000003</v>
      </c>
      <c r="U29" s="88">
        <v>58.942470999999998</v>
      </c>
      <c r="V29" s="88">
        <v>60.265563999999998</v>
      </c>
      <c r="W29" s="88">
        <v>61.346801999999997</v>
      </c>
      <c r="X29" s="88">
        <v>62.647990999999998</v>
      </c>
      <c r="Y29" s="88">
        <v>64.274544000000006</v>
      </c>
      <c r="Z29" s="88">
        <v>66.418464999999998</v>
      </c>
      <c r="AA29" s="88">
        <v>67.851569999999995</v>
      </c>
      <c r="AB29" s="88">
        <v>69.378135999999998</v>
      </c>
      <c r="AC29" s="88">
        <v>71.021629000000004</v>
      </c>
      <c r="AD29" s="88">
        <v>72.830382999999998</v>
      </c>
      <c r="AE29" s="89">
        <v>2.9205999999999999E-2</v>
      </c>
      <c r="AF29" s="80"/>
    </row>
    <row r="30" spans="1:32" ht="24.75">
      <c r="A30" s="87" t="s">
        <v>228</v>
      </c>
      <c r="B30" s="88">
        <v>0</v>
      </c>
      <c r="C30" s="88">
        <v>0</v>
      </c>
      <c r="D30" s="88">
        <v>0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  <c r="Z30" s="88">
        <v>0</v>
      </c>
      <c r="AA30" s="88">
        <v>0</v>
      </c>
      <c r="AB30" s="88">
        <v>0</v>
      </c>
      <c r="AC30" s="88">
        <v>0</v>
      </c>
      <c r="AD30" s="88">
        <v>0</v>
      </c>
      <c r="AE30" s="89" t="s">
        <v>217</v>
      </c>
      <c r="AF30" s="80"/>
    </row>
    <row r="31" spans="1:32" ht="36.75">
      <c r="A31" s="87" t="s">
        <v>229</v>
      </c>
      <c r="B31" s="88">
        <v>0</v>
      </c>
      <c r="C31" s="88">
        <v>0</v>
      </c>
      <c r="D31" s="88">
        <v>0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  <c r="Z31" s="88">
        <v>0</v>
      </c>
      <c r="AA31" s="88">
        <v>0</v>
      </c>
      <c r="AB31" s="88">
        <v>0</v>
      </c>
      <c r="AC31" s="88">
        <v>0</v>
      </c>
      <c r="AD31" s="88">
        <v>0</v>
      </c>
      <c r="AE31" s="89" t="s">
        <v>217</v>
      </c>
      <c r="AF31" s="80"/>
    </row>
    <row r="32" spans="1:32" ht="24.75">
      <c r="A32" s="87" t="s">
        <v>230</v>
      </c>
      <c r="B32" s="88">
        <v>0</v>
      </c>
      <c r="C32" s="88">
        <v>0</v>
      </c>
      <c r="D32" s="88">
        <v>0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  <c r="X32" s="88">
        <v>0</v>
      </c>
      <c r="Y32" s="88">
        <v>0</v>
      </c>
      <c r="Z32" s="88">
        <v>0</v>
      </c>
      <c r="AA32" s="88">
        <v>0</v>
      </c>
      <c r="AB32" s="88">
        <v>0</v>
      </c>
      <c r="AC32" s="88">
        <v>0</v>
      </c>
      <c r="AD32" s="88">
        <v>0</v>
      </c>
      <c r="AE32" s="89" t="s">
        <v>217</v>
      </c>
      <c r="AF32" s="80"/>
    </row>
    <row r="33" spans="1:32" ht="24.75">
      <c r="A33" s="87" t="s">
        <v>231</v>
      </c>
      <c r="B33" s="88">
        <v>0</v>
      </c>
      <c r="C33" s="88">
        <v>0</v>
      </c>
      <c r="D33" s="88">
        <v>0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  <c r="X33" s="88">
        <v>0</v>
      </c>
      <c r="Y33" s="88">
        <v>0</v>
      </c>
      <c r="Z33" s="88">
        <v>0</v>
      </c>
      <c r="AA33" s="88">
        <v>0</v>
      </c>
      <c r="AB33" s="88">
        <v>0</v>
      </c>
      <c r="AC33" s="88">
        <v>0</v>
      </c>
      <c r="AD33" s="88">
        <v>0</v>
      </c>
      <c r="AE33" s="89" t="s">
        <v>217</v>
      </c>
      <c r="AF33" s="80"/>
    </row>
    <row r="34" spans="1:32" ht="36.75">
      <c r="A34" s="87" t="s">
        <v>232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Z34" s="88">
        <v>0</v>
      </c>
      <c r="AA34" s="88">
        <v>0</v>
      </c>
      <c r="AB34" s="88">
        <v>0</v>
      </c>
      <c r="AC34" s="88">
        <v>0</v>
      </c>
      <c r="AD34" s="88">
        <v>0</v>
      </c>
      <c r="AE34" s="89" t="s">
        <v>217</v>
      </c>
      <c r="AF34" s="80"/>
    </row>
    <row r="35" spans="1:32" ht="36.75">
      <c r="A35" s="87" t="s">
        <v>233</v>
      </c>
      <c r="B35" s="88">
        <v>4.8113000000000003E-2</v>
      </c>
      <c r="C35" s="88">
        <v>9.2383999999999994E-2</v>
      </c>
      <c r="D35" s="88">
        <v>0.13745099999999999</v>
      </c>
      <c r="E35" s="88">
        <v>0.179425</v>
      </c>
      <c r="F35" s="88">
        <v>0.218551</v>
      </c>
      <c r="G35" s="88">
        <v>0.25812099999999999</v>
      </c>
      <c r="H35" s="88">
        <v>0.29622999999999999</v>
      </c>
      <c r="I35" s="88">
        <v>0.33490500000000001</v>
      </c>
      <c r="J35" s="88">
        <v>0.37334200000000001</v>
      </c>
      <c r="K35" s="88">
        <v>0.41120699999999999</v>
      </c>
      <c r="L35" s="88">
        <v>0.45029799999999998</v>
      </c>
      <c r="M35" s="88">
        <v>0.48788300000000001</v>
      </c>
      <c r="N35" s="88">
        <v>0.52772200000000002</v>
      </c>
      <c r="O35" s="88">
        <v>0.56985600000000003</v>
      </c>
      <c r="P35" s="88">
        <v>0.61519100000000004</v>
      </c>
      <c r="Q35" s="88">
        <v>0.65825</v>
      </c>
      <c r="R35" s="88">
        <v>0.70174800000000004</v>
      </c>
      <c r="S35" s="88">
        <v>0.74530600000000002</v>
      </c>
      <c r="T35" s="88">
        <v>0.78837999999999997</v>
      </c>
      <c r="U35" s="88">
        <v>0.82708400000000004</v>
      </c>
      <c r="V35" s="88">
        <v>0.86512500000000003</v>
      </c>
      <c r="W35" s="88">
        <v>0.89946000000000004</v>
      </c>
      <c r="X35" s="88">
        <v>0.93670200000000003</v>
      </c>
      <c r="Y35" s="88">
        <v>0.97888399999999998</v>
      </c>
      <c r="Z35" s="88">
        <v>1.03084</v>
      </c>
      <c r="AA35" s="88">
        <v>1.070397</v>
      </c>
      <c r="AB35" s="88">
        <v>1.1109290000000001</v>
      </c>
      <c r="AC35" s="88">
        <v>1.1534819999999999</v>
      </c>
      <c r="AD35" s="88">
        <v>1.1985399999999999</v>
      </c>
      <c r="AE35" s="89">
        <v>0.121686</v>
      </c>
      <c r="AF35" s="80"/>
    </row>
    <row r="36" spans="1:32" ht="36.75">
      <c r="A36" s="87" t="s">
        <v>234</v>
      </c>
      <c r="B36" s="88">
        <v>84.285843</v>
      </c>
      <c r="C36" s="88">
        <v>92.888846999999998</v>
      </c>
      <c r="D36" s="88">
        <v>100.7127</v>
      </c>
      <c r="E36" s="88">
        <v>106.283592</v>
      </c>
      <c r="F36" s="88">
        <v>110.868759</v>
      </c>
      <c r="G36" s="88">
        <v>116.25954400000001</v>
      </c>
      <c r="H36" s="88">
        <v>121.370949</v>
      </c>
      <c r="I36" s="88">
        <v>126.999863</v>
      </c>
      <c r="J36" s="88">
        <v>132.74479700000001</v>
      </c>
      <c r="K36" s="88">
        <v>138.42955000000001</v>
      </c>
      <c r="L36" s="88">
        <v>144.62823499999999</v>
      </c>
      <c r="M36" s="88">
        <v>150.46928399999999</v>
      </c>
      <c r="N36" s="88">
        <v>157.082077</v>
      </c>
      <c r="O36" s="88">
        <v>164.40995799999999</v>
      </c>
      <c r="P36" s="88">
        <v>172.73554999999999</v>
      </c>
      <c r="Q36" s="88">
        <v>180.33265700000001</v>
      </c>
      <c r="R36" s="88">
        <v>187.982193</v>
      </c>
      <c r="S36" s="88">
        <v>195.689606</v>
      </c>
      <c r="T36" s="88">
        <v>203.25299100000001</v>
      </c>
      <c r="U36" s="88">
        <v>209.687073</v>
      </c>
      <c r="V36" s="88">
        <v>216.059021</v>
      </c>
      <c r="W36" s="88">
        <v>221.55154400000001</v>
      </c>
      <c r="X36" s="88">
        <v>227.82827800000001</v>
      </c>
      <c r="Y36" s="88">
        <v>235.286957</v>
      </c>
      <c r="Z36" s="88">
        <v>244.62560999999999</v>
      </c>
      <c r="AA36" s="88">
        <v>251.39295999999999</v>
      </c>
      <c r="AB36" s="88">
        <v>258.51663200000002</v>
      </c>
      <c r="AC36" s="88">
        <v>266.07833900000003</v>
      </c>
      <c r="AD36" s="88">
        <v>274.07794200000001</v>
      </c>
      <c r="AE36" s="89">
        <v>4.3013999999999997E-2</v>
      </c>
      <c r="AF36" s="80"/>
    </row>
    <row r="37" spans="1:32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</row>
    <row r="38" spans="1:32" ht="48.75">
      <c r="A38" s="87" t="s">
        <v>235</v>
      </c>
      <c r="B38" s="88">
        <v>10.157681</v>
      </c>
      <c r="C38" s="88">
        <v>10.983188999999999</v>
      </c>
      <c r="D38" s="88">
        <v>11.805899999999999</v>
      </c>
      <c r="E38" s="88">
        <v>12.622498999999999</v>
      </c>
      <c r="F38" s="88">
        <v>13.434297000000001</v>
      </c>
      <c r="G38" s="88">
        <v>14.243176</v>
      </c>
      <c r="H38" s="88">
        <v>15.050748</v>
      </c>
      <c r="I38" s="88">
        <v>15.857642999999999</v>
      </c>
      <c r="J38" s="88">
        <v>16.664019</v>
      </c>
      <c r="K38" s="88">
        <v>17.470499</v>
      </c>
      <c r="L38" s="88">
        <v>18.277194999999999</v>
      </c>
      <c r="M38" s="88">
        <v>19.083721000000001</v>
      </c>
      <c r="N38" s="88">
        <v>19.890460999999998</v>
      </c>
      <c r="O38" s="88">
        <v>20.697310999999999</v>
      </c>
      <c r="P38" s="88">
        <v>21.503720999999999</v>
      </c>
      <c r="Q38" s="88">
        <v>22.311045</v>
      </c>
      <c r="R38" s="88">
        <v>23.119164999999999</v>
      </c>
      <c r="S38" s="88">
        <v>23.927289999999999</v>
      </c>
      <c r="T38" s="88">
        <v>24.735849000000002</v>
      </c>
      <c r="U38" s="88">
        <v>25.544803999999999</v>
      </c>
      <c r="V38" s="88">
        <v>26.353815000000001</v>
      </c>
      <c r="W38" s="88">
        <v>27.163171999999999</v>
      </c>
      <c r="X38" s="88">
        <v>27.972829999999998</v>
      </c>
      <c r="Y38" s="88">
        <v>28.782892</v>
      </c>
      <c r="Z38" s="88">
        <v>29.593699999999998</v>
      </c>
      <c r="AA38" s="88">
        <v>30.404064000000002</v>
      </c>
      <c r="AB38" s="88">
        <v>31.214642000000001</v>
      </c>
      <c r="AC38" s="88">
        <v>32.025562000000001</v>
      </c>
      <c r="AD38" s="88">
        <v>32.813243999999997</v>
      </c>
      <c r="AE38" s="89">
        <v>4.2768E-2</v>
      </c>
      <c r="AF38" s="80"/>
    </row>
    <row r="39" spans="1:32" ht="36.75">
      <c r="A39" s="87" t="s">
        <v>236</v>
      </c>
      <c r="B39" s="88">
        <v>829.77441399999998</v>
      </c>
      <c r="C39" s="88">
        <v>845.73663299999998</v>
      </c>
      <c r="D39" s="88">
        <v>853.07098399999995</v>
      </c>
      <c r="E39" s="88">
        <v>842.01702899999998</v>
      </c>
      <c r="F39" s="88">
        <v>825.26654099999996</v>
      </c>
      <c r="G39" s="88">
        <v>816.24737500000003</v>
      </c>
      <c r="H39" s="88">
        <v>806.41143799999998</v>
      </c>
      <c r="I39" s="88">
        <v>800.87481700000001</v>
      </c>
      <c r="J39" s="88">
        <v>796.59533699999997</v>
      </c>
      <c r="K39" s="88">
        <v>792.36175500000002</v>
      </c>
      <c r="L39" s="88">
        <v>791.30432099999996</v>
      </c>
      <c r="M39" s="88">
        <v>788.46929899999998</v>
      </c>
      <c r="N39" s="88">
        <v>789.73571800000002</v>
      </c>
      <c r="O39" s="88">
        <v>794.35418700000002</v>
      </c>
      <c r="P39" s="88">
        <v>803.282104</v>
      </c>
      <c r="Q39" s="88">
        <v>808.26629600000001</v>
      </c>
      <c r="R39" s="88">
        <v>813.101135</v>
      </c>
      <c r="S39" s="88">
        <v>817.85107400000004</v>
      </c>
      <c r="T39" s="88">
        <v>821.69397000000004</v>
      </c>
      <c r="U39" s="88">
        <v>820.85998500000005</v>
      </c>
      <c r="V39" s="88">
        <v>819.83960000000002</v>
      </c>
      <c r="W39" s="88">
        <v>815.63207999999997</v>
      </c>
      <c r="X39" s="88">
        <v>814.46276899999998</v>
      </c>
      <c r="Y39" s="88">
        <v>817.45422399999995</v>
      </c>
      <c r="Z39" s="88">
        <v>826.613831</v>
      </c>
      <c r="AA39" s="88">
        <v>826.839966</v>
      </c>
      <c r="AB39" s="88">
        <v>828.19030799999996</v>
      </c>
      <c r="AC39" s="88">
        <v>830.83117700000003</v>
      </c>
      <c r="AD39" s="88">
        <v>835.26629600000001</v>
      </c>
      <c r="AE39" s="89">
        <v>2.3599999999999999E-4</v>
      </c>
      <c r="AF39" s="80"/>
    </row>
    <row r="40" spans="1:32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</row>
    <row r="41" spans="1:32" ht="36.75">
      <c r="A41" s="86" t="s">
        <v>237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</row>
    <row r="42" spans="1:32" ht="48.75">
      <c r="A42" s="86" t="s">
        <v>238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</row>
    <row r="43" spans="1:32" ht="48.75">
      <c r="A43" s="87" t="s">
        <v>215</v>
      </c>
      <c r="B43" s="88">
        <v>1139.8826899999999</v>
      </c>
      <c r="C43" s="88">
        <v>1177.592163</v>
      </c>
      <c r="D43" s="88">
        <v>1225.1961670000001</v>
      </c>
      <c r="E43" s="88">
        <v>1266.6292719999999</v>
      </c>
      <c r="F43" s="88">
        <v>1280.5263669999999</v>
      </c>
      <c r="G43" s="88">
        <v>1273.6563719999999</v>
      </c>
      <c r="H43" s="88">
        <v>1266.3192140000001</v>
      </c>
      <c r="I43" s="88">
        <v>1266.370361</v>
      </c>
      <c r="J43" s="88">
        <v>1255.4794919999999</v>
      </c>
      <c r="K43" s="88">
        <v>1247.123413</v>
      </c>
      <c r="L43" s="88">
        <v>1238.2232670000001</v>
      </c>
      <c r="M43" s="88">
        <v>1229.9169919999999</v>
      </c>
      <c r="N43" s="88">
        <v>1228.6763920000001</v>
      </c>
      <c r="O43" s="88">
        <v>1234.7006839999999</v>
      </c>
      <c r="P43" s="88">
        <v>1240.9655760000001</v>
      </c>
      <c r="Q43" s="88">
        <v>1247.8654790000001</v>
      </c>
      <c r="R43" s="88">
        <v>1256.841919</v>
      </c>
      <c r="S43" s="88">
        <v>1264.0477289999999</v>
      </c>
      <c r="T43" s="88">
        <v>1273.665039</v>
      </c>
      <c r="U43" s="88">
        <v>1276.9398189999999</v>
      </c>
      <c r="V43" s="88">
        <v>1280.798096</v>
      </c>
      <c r="W43" s="88">
        <v>1284.902832</v>
      </c>
      <c r="X43" s="88">
        <v>1287.0942379999999</v>
      </c>
      <c r="Y43" s="88">
        <v>1296.9729</v>
      </c>
      <c r="Z43" s="88">
        <v>1299.4545900000001</v>
      </c>
      <c r="AA43" s="88">
        <v>1304.3114009999999</v>
      </c>
      <c r="AB43" s="88">
        <v>1303.9990230000001</v>
      </c>
      <c r="AC43" s="88">
        <v>1310.53125</v>
      </c>
      <c r="AD43" s="88">
        <v>1318.357544</v>
      </c>
      <c r="AE43" s="89">
        <v>5.2090000000000001E-3</v>
      </c>
      <c r="AF43" s="80"/>
    </row>
    <row r="44" spans="1:32" ht="24.75">
      <c r="A44" s="87" t="s">
        <v>216</v>
      </c>
      <c r="B44" s="88">
        <v>4.2833999999999997E-2</v>
      </c>
      <c r="C44" s="88">
        <v>4.48E-2</v>
      </c>
      <c r="D44" s="88">
        <v>4.7136999999999998E-2</v>
      </c>
      <c r="E44" s="88">
        <v>4.9204999999999999E-2</v>
      </c>
      <c r="F44" s="88">
        <v>5.0164E-2</v>
      </c>
      <c r="G44" s="88">
        <v>5.0279999999999998E-2</v>
      </c>
      <c r="H44" s="88">
        <v>5.0354000000000003E-2</v>
      </c>
      <c r="I44" s="88">
        <v>5.0707000000000002E-2</v>
      </c>
      <c r="J44" s="88">
        <v>5.0605999999999998E-2</v>
      </c>
      <c r="K44" s="88">
        <v>5.0601E-2</v>
      </c>
      <c r="L44" s="88">
        <v>5.0573E-2</v>
      </c>
      <c r="M44" s="88">
        <v>5.0560000000000001E-2</v>
      </c>
      <c r="N44" s="88">
        <v>5.0837E-2</v>
      </c>
      <c r="O44" s="88">
        <v>5.1416000000000003E-2</v>
      </c>
      <c r="P44" s="88">
        <v>5.1998999999999997E-2</v>
      </c>
      <c r="Q44" s="88">
        <v>5.2623000000000003E-2</v>
      </c>
      <c r="R44" s="88">
        <v>5.3331999999999997E-2</v>
      </c>
      <c r="S44" s="88">
        <v>5.3966E-2</v>
      </c>
      <c r="T44" s="88">
        <v>5.4716000000000001E-2</v>
      </c>
      <c r="U44" s="88">
        <v>5.5203000000000002E-2</v>
      </c>
      <c r="V44" s="88">
        <v>5.5719999999999999E-2</v>
      </c>
      <c r="W44" s="88">
        <v>5.6253999999999998E-2</v>
      </c>
      <c r="X44" s="88">
        <v>5.6709000000000002E-2</v>
      </c>
      <c r="Y44" s="88">
        <v>5.7514999999999997E-2</v>
      </c>
      <c r="Z44" s="88">
        <v>5.8032E-2</v>
      </c>
      <c r="AA44" s="88">
        <v>5.8631999999999997E-2</v>
      </c>
      <c r="AB44" s="88">
        <v>5.8999000000000003E-2</v>
      </c>
      <c r="AC44" s="88">
        <v>5.9676E-2</v>
      </c>
      <c r="AD44" s="88">
        <v>6.0409999999999998E-2</v>
      </c>
      <c r="AE44" s="89">
        <v>1.2355E-2</v>
      </c>
      <c r="AF44" s="80"/>
    </row>
    <row r="45" spans="1:32" ht="48.75">
      <c r="A45" s="87" t="s">
        <v>239</v>
      </c>
      <c r="B45" s="88">
        <v>1139.9255370000001</v>
      </c>
      <c r="C45" s="88">
        <v>1177.6369629999999</v>
      </c>
      <c r="D45" s="88">
        <v>1225.2432859999999</v>
      </c>
      <c r="E45" s="88">
        <v>1266.678467</v>
      </c>
      <c r="F45" s="88">
        <v>1280.576538</v>
      </c>
      <c r="G45" s="88">
        <v>1273.7066649999999</v>
      </c>
      <c r="H45" s="88">
        <v>1266.369629</v>
      </c>
      <c r="I45" s="88">
        <v>1266.4210210000001</v>
      </c>
      <c r="J45" s="88">
        <v>1255.5301509999999</v>
      </c>
      <c r="K45" s="88">
        <v>1247.174072</v>
      </c>
      <c r="L45" s="88">
        <v>1238.2738039999999</v>
      </c>
      <c r="M45" s="88">
        <v>1229.967529</v>
      </c>
      <c r="N45" s="88">
        <v>1228.727173</v>
      </c>
      <c r="O45" s="88">
        <v>1234.7520750000001</v>
      </c>
      <c r="P45" s="88">
        <v>1241.017578</v>
      </c>
      <c r="Q45" s="88">
        <v>1247.918091</v>
      </c>
      <c r="R45" s="88">
        <v>1256.895264</v>
      </c>
      <c r="S45" s="88">
        <v>1264.1016850000001</v>
      </c>
      <c r="T45" s="88">
        <v>1273.7197269999999</v>
      </c>
      <c r="U45" s="88">
        <v>1276.994995</v>
      </c>
      <c r="V45" s="88">
        <v>1280.85376</v>
      </c>
      <c r="W45" s="88">
        <v>1284.959106</v>
      </c>
      <c r="X45" s="88">
        <v>1287.151001</v>
      </c>
      <c r="Y45" s="88">
        <v>1297.0303960000001</v>
      </c>
      <c r="Z45" s="88">
        <v>1299.512573</v>
      </c>
      <c r="AA45" s="88">
        <v>1304.369995</v>
      </c>
      <c r="AB45" s="88">
        <v>1304.0579829999999</v>
      </c>
      <c r="AC45" s="88">
        <v>1310.590942</v>
      </c>
      <c r="AD45" s="88">
        <v>1318.4179690000001</v>
      </c>
      <c r="AE45" s="89">
        <v>5.2090000000000001E-3</v>
      </c>
      <c r="AF45" s="80"/>
    </row>
    <row r="46" spans="1:32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</row>
    <row r="47" spans="1:32" ht="48.75">
      <c r="A47" s="86" t="s">
        <v>240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</row>
    <row r="48" spans="1:32" ht="36.75">
      <c r="A48" s="87" t="s">
        <v>220</v>
      </c>
      <c r="B48" s="88">
        <v>97.975632000000004</v>
      </c>
      <c r="C48" s="88">
        <v>102.396866</v>
      </c>
      <c r="D48" s="88">
        <v>107.670074</v>
      </c>
      <c r="E48" s="88">
        <v>112.335747</v>
      </c>
      <c r="F48" s="88">
        <v>114.480133</v>
      </c>
      <c r="G48" s="88">
        <v>114.707611</v>
      </c>
      <c r="H48" s="88">
        <v>114.84384900000001</v>
      </c>
      <c r="I48" s="88">
        <v>115.61747699999999</v>
      </c>
      <c r="J48" s="88">
        <v>115.360405</v>
      </c>
      <c r="K48" s="88">
        <v>115.324371</v>
      </c>
      <c r="L48" s="88">
        <v>115.233521</v>
      </c>
      <c r="M48" s="88">
        <v>115.18001599999999</v>
      </c>
      <c r="N48" s="88">
        <v>115.78655999999999</v>
      </c>
      <c r="O48" s="88">
        <v>117.082176</v>
      </c>
      <c r="P48" s="88">
        <v>118.387558</v>
      </c>
      <c r="Q48" s="88">
        <v>119.784828</v>
      </c>
      <c r="R48" s="88">
        <v>121.377831</v>
      </c>
      <c r="S48" s="88">
        <v>122.802498</v>
      </c>
      <c r="T48" s="88">
        <v>124.48741099999999</v>
      </c>
      <c r="U48" s="88">
        <v>125.57402</v>
      </c>
      <c r="V48" s="88">
        <v>126.727165</v>
      </c>
      <c r="W48" s="88">
        <v>127.91965500000001</v>
      </c>
      <c r="X48" s="88">
        <v>128.931488</v>
      </c>
      <c r="Y48" s="88">
        <v>130.741165</v>
      </c>
      <c r="Z48" s="88">
        <v>131.88453699999999</v>
      </c>
      <c r="AA48" s="88">
        <v>133.223083</v>
      </c>
      <c r="AB48" s="88">
        <v>134.03350800000001</v>
      </c>
      <c r="AC48" s="88">
        <v>135.54968299999999</v>
      </c>
      <c r="AD48" s="88">
        <v>137.19546500000001</v>
      </c>
      <c r="AE48" s="89">
        <v>1.2097E-2</v>
      </c>
      <c r="AF48" s="80"/>
    </row>
    <row r="49" spans="1:32" ht="48.75">
      <c r="A49" s="87" t="s">
        <v>221</v>
      </c>
      <c r="B49" s="88">
        <v>7.7187000000000006E-2</v>
      </c>
      <c r="C49" s="88">
        <v>7.6893000000000003E-2</v>
      </c>
      <c r="D49" s="88">
        <v>7.7079999999999996E-2</v>
      </c>
      <c r="E49" s="88">
        <v>7.6725000000000002E-2</v>
      </c>
      <c r="F49" s="88">
        <v>7.4614E-2</v>
      </c>
      <c r="G49" s="88">
        <v>7.1290999999999993E-2</v>
      </c>
      <c r="H49" s="88">
        <v>6.7976999999999996E-2</v>
      </c>
      <c r="I49" s="88">
        <v>6.5073000000000006E-2</v>
      </c>
      <c r="J49" s="88">
        <v>6.1624999999999999E-2</v>
      </c>
      <c r="K49" s="88">
        <v>5.8332000000000002E-2</v>
      </c>
      <c r="L49" s="88">
        <v>5.5036000000000002E-2</v>
      </c>
      <c r="M49" s="88">
        <v>5.1792999999999999E-2</v>
      </c>
      <c r="N49" s="88">
        <v>4.8852E-2</v>
      </c>
      <c r="O49" s="88">
        <v>4.6171999999999998E-2</v>
      </c>
      <c r="P49" s="88">
        <v>4.3458999999999998E-2</v>
      </c>
      <c r="Q49" s="88">
        <v>4.0714E-2</v>
      </c>
      <c r="R49" s="88">
        <v>3.7982000000000002E-2</v>
      </c>
      <c r="S49" s="88">
        <v>3.5138999999999997E-2</v>
      </c>
      <c r="T49" s="88">
        <v>3.2300000000000002E-2</v>
      </c>
      <c r="U49" s="88">
        <v>2.9246000000000001E-2</v>
      </c>
      <c r="V49" s="88">
        <v>2.6165999999999998E-2</v>
      </c>
      <c r="W49" s="88">
        <v>2.3050000000000001E-2</v>
      </c>
      <c r="X49" s="88">
        <v>1.9861E-2</v>
      </c>
      <c r="Y49" s="88">
        <v>1.6736000000000001E-2</v>
      </c>
      <c r="Z49" s="88">
        <v>1.3457999999999999E-2</v>
      </c>
      <c r="AA49" s="88">
        <v>1.0167000000000001E-2</v>
      </c>
      <c r="AB49" s="88">
        <v>6.8009999999999998E-3</v>
      </c>
      <c r="AC49" s="88">
        <v>3.4299999999999999E-3</v>
      </c>
      <c r="AD49" s="88">
        <v>0</v>
      </c>
      <c r="AE49" s="89" t="s">
        <v>217</v>
      </c>
      <c r="AF49" s="80"/>
    </row>
    <row r="50" spans="1:32" ht="48.75">
      <c r="A50" s="87" t="s">
        <v>222</v>
      </c>
      <c r="B50" s="88">
        <v>3.6266189999999998</v>
      </c>
      <c r="C50" s="88">
        <v>7.1142820000000002</v>
      </c>
      <c r="D50" s="88">
        <v>10.936429</v>
      </c>
      <c r="E50" s="88">
        <v>14.991846000000001</v>
      </c>
      <c r="F50" s="88">
        <v>18.91403</v>
      </c>
      <c r="G50" s="88">
        <v>22.581854</v>
      </c>
      <c r="H50" s="88">
        <v>26.231238999999999</v>
      </c>
      <c r="I50" s="88">
        <v>30.044129999999999</v>
      </c>
      <c r="J50" s="88">
        <v>33.597034000000001</v>
      </c>
      <c r="K50" s="88">
        <v>37.191940000000002</v>
      </c>
      <c r="L50" s="88">
        <v>40.750644999999999</v>
      </c>
      <c r="M50" s="88">
        <v>44.308708000000003</v>
      </c>
      <c r="N50" s="88">
        <v>48.125022999999999</v>
      </c>
      <c r="O50" s="88">
        <v>52.274918</v>
      </c>
      <c r="P50" s="88">
        <v>56.508243999999998</v>
      </c>
      <c r="Q50" s="88">
        <v>60.848197999999996</v>
      </c>
      <c r="R50" s="88">
        <v>65.376472000000007</v>
      </c>
      <c r="S50" s="88">
        <v>69.901756000000006</v>
      </c>
      <c r="T50" s="88">
        <v>74.653328000000002</v>
      </c>
      <c r="U50" s="88">
        <v>79.114174000000006</v>
      </c>
      <c r="V50" s="88">
        <v>83.673812999999996</v>
      </c>
      <c r="W50" s="88">
        <v>88.316001999999997</v>
      </c>
      <c r="X50" s="88">
        <v>92.888107000000005</v>
      </c>
      <c r="Y50" s="88">
        <v>98.097862000000006</v>
      </c>
      <c r="Z50" s="88">
        <v>102.834633</v>
      </c>
      <c r="AA50" s="88">
        <v>107.82616400000001</v>
      </c>
      <c r="AB50" s="88">
        <v>112.44903600000001</v>
      </c>
      <c r="AC50" s="88">
        <v>117.727913</v>
      </c>
      <c r="AD50" s="88">
        <v>123.218712</v>
      </c>
      <c r="AE50" s="89">
        <v>0.134187</v>
      </c>
      <c r="AF50" s="80"/>
    </row>
    <row r="51" spans="1:32" ht="48.75">
      <c r="A51" s="87" t="s">
        <v>223</v>
      </c>
      <c r="B51" s="88">
        <v>1.5407519999999999</v>
      </c>
      <c r="C51" s="88">
        <v>2.0549010000000001</v>
      </c>
      <c r="D51" s="88">
        <v>2.6251910000000001</v>
      </c>
      <c r="E51" s="88">
        <v>3.2232090000000002</v>
      </c>
      <c r="F51" s="88">
        <v>3.7786979999999999</v>
      </c>
      <c r="G51" s="88">
        <v>4.2807060000000003</v>
      </c>
      <c r="H51" s="88">
        <v>4.7801239999999998</v>
      </c>
      <c r="I51" s="88">
        <v>5.3091759999999999</v>
      </c>
      <c r="J51" s="88">
        <v>5.7925469999999999</v>
      </c>
      <c r="K51" s="88">
        <v>6.2841839999999998</v>
      </c>
      <c r="L51" s="88">
        <v>6.7704449999999996</v>
      </c>
      <c r="M51" s="88">
        <v>7.25732</v>
      </c>
      <c r="N51" s="88">
        <v>7.7865450000000003</v>
      </c>
      <c r="O51" s="88">
        <v>8.3687529999999999</v>
      </c>
      <c r="P51" s="88">
        <v>8.9629480000000008</v>
      </c>
      <c r="Q51" s="88">
        <v>9.5726270000000007</v>
      </c>
      <c r="R51" s="88">
        <v>10.210526</v>
      </c>
      <c r="S51" s="88">
        <v>10.846562</v>
      </c>
      <c r="T51" s="88">
        <v>11.516315000000001</v>
      </c>
      <c r="U51" s="88">
        <v>12.140107</v>
      </c>
      <c r="V51" s="88">
        <v>12.778309</v>
      </c>
      <c r="W51" s="88">
        <v>13.428331999999999</v>
      </c>
      <c r="X51" s="88">
        <v>14.067024</v>
      </c>
      <c r="Y51" s="88">
        <v>14.801416</v>
      </c>
      <c r="Z51" s="88">
        <v>15.463592</v>
      </c>
      <c r="AA51" s="88">
        <v>16.163537999999999</v>
      </c>
      <c r="AB51" s="88">
        <v>16.80772</v>
      </c>
      <c r="AC51" s="88">
        <v>17.549416999999998</v>
      </c>
      <c r="AD51" s="88">
        <v>18.321916999999999</v>
      </c>
      <c r="AE51" s="89">
        <v>9.2450000000000004E-2</v>
      </c>
      <c r="AF51" s="80"/>
    </row>
    <row r="52" spans="1:32" ht="48.75">
      <c r="A52" s="87" t="s">
        <v>224</v>
      </c>
      <c r="B52" s="88">
        <v>4.7443010000000001</v>
      </c>
      <c r="C52" s="88">
        <v>5.0455069999999997</v>
      </c>
      <c r="D52" s="88">
        <v>5.4024989999999997</v>
      </c>
      <c r="E52" s="88">
        <v>5.7478610000000003</v>
      </c>
      <c r="F52" s="88">
        <v>5.9794809999999998</v>
      </c>
      <c r="G52" s="88">
        <v>6.1178429999999997</v>
      </c>
      <c r="H52" s="88">
        <v>6.2542980000000004</v>
      </c>
      <c r="I52" s="88">
        <v>6.4282649999999997</v>
      </c>
      <c r="J52" s="88">
        <v>6.5471839999999997</v>
      </c>
      <c r="K52" s="88">
        <v>6.6780039999999996</v>
      </c>
      <c r="L52" s="88">
        <v>6.8046899999999999</v>
      </c>
      <c r="M52" s="88">
        <v>6.9338360000000003</v>
      </c>
      <c r="N52" s="88">
        <v>7.1027570000000004</v>
      </c>
      <c r="O52" s="88">
        <v>7.3157490000000003</v>
      </c>
      <c r="P52" s="88">
        <v>7.5340819999999997</v>
      </c>
      <c r="Q52" s="88">
        <v>7.758972</v>
      </c>
      <c r="R52" s="88">
        <v>8.0011349999999997</v>
      </c>
      <c r="S52" s="88">
        <v>8.2362789999999997</v>
      </c>
      <c r="T52" s="88">
        <v>8.490767</v>
      </c>
      <c r="U52" s="88">
        <v>8.7061309999999992</v>
      </c>
      <c r="V52" s="88">
        <v>8.9281260000000007</v>
      </c>
      <c r="W52" s="88">
        <v>9.1544550000000005</v>
      </c>
      <c r="X52" s="88">
        <v>9.3696739999999998</v>
      </c>
      <c r="Y52" s="88">
        <v>9.6438179999999996</v>
      </c>
      <c r="Z52" s="88">
        <v>9.8639759999999992</v>
      </c>
      <c r="AA52" s="88">
        <v>10.107215</v>
      </c>
      <c r="AB52" s="88">
        <v>10.313154000000001</v>
      </c>
      <c r="AC52" s="88">
        <v>10.576283999999999</v>
      </c>
      <c r="AD52" s="88">
        <v>10.854796</v>
      </c>
      <c r="AE52" s="89">
        <v>3.0001E-2</v>
      </c>
      <c r="AF52" s="80"/>
    </row>
    <row r="53" spans="1:32" ht="48.75">
      <c r="A53" s="87" t="s">
        <v>225</v>
      </c>
      <c r="B53" s="88">
        <v>0.34685300000000002</v>
      </c>
      <c r="C53" s="88">
        <v>0.68548900000000001</v>
      </c>
      <c r="D53" s="88">
        <v>1.054651</v>
      </c>
      <c r="E53" s="88">
        <v>1.4450639999999999</v>
      </c>
      <c r="F53" s="88">
        <v>1.8217939999999999</v>
      </c>
      <c r="G53" s="88">
        <v>2.1732770000000001</v>
      </c>
      <c r="H53" s="88">
        <v>2.522332</v>
      </c>
      <c r="I53" s="88">
        <v>2.8865059999999998</v>
      </c>
      <c r="J53" s="88">
        <v>3.2252179999999999</v>
      </c>
      <c r="K53" s="88">
        <v>3.5672820000000001</v>
      </c>
      <c r="L53" s="88">
        <v>3.9051309999999999</v>
      </c>
      <c r="M53" s="88">
        <v>4.2424379999999999</v>
      </c>
      <c r="N53" s="88">
        <v>4.6038059999999996</v>
      </c>
      <c r="O53" s="88">
        <v>4.9964139999999997</v>
      </c>
      <c r="P53" s="88">
        <v>5.3968340000000001</v>
      </c>
      <c r="Q53" s="88">
        <v>5.8063060000000002</v>
      </c>
      <c r="R53" s="88">
        <v>6.2335190000000003</v>
      </c>
      <c r="S53" s="88">
        <v>6.6600770000000002</v>
      </c>
      <c r="T53" s="88">
        <v>7.1071929999999996</v>
      </c>
      <c r="U53" s="88">
        <v>7.525671</v>
      </c>
      <c r="V53" s="88">
        <v>7.9528939999999997</v>
      </c>
      <c r="W53" s="88">
        <v>8.3870989999999992</v>
      </c>
      <c r="X53" s="88">
        <v>8.8139050000000001</v>
      </c>
      <c r="Y53" s="88">
        <v>9.2999410000000005</v>
      </c>
      <c r="Z53" s="88">
        <v>9.7377129999999994</v>
      </c>
      <c r="AA53" s="88">
        <v>10.201078000000001</v>
      </c>
      <c r="AB53" s="88">
        <v>10.629158</v>
      </c>
      <c r="AC53" s="88">
        <v>11.118840000000001</v>
      </c>
      <c r="AD53" s="88">
        <v>11.628693999999999</v>
      </c>
      <c r="AE53" s="89">
        <v>0.13364799999999999</v>
      </c>
      <c r="AF53" s="80"/>
    </row>
    <row r="54" spans="1:32" ht="36.75">
      <c r="A54" s="87" t="s">
        <v>226</v>
      </c>
      <c r="B54" s="88">
        <v>0</v>
      </c>
      <c r="C54" s="88">
        <v>0</v>
      </c>
      <c r="D54" s="88">
        <v>0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  <c r="X54" s="88">
        <v>0</v>
      </c>
      <c r="Y54" s="88">
        <v>0</v>
      </c>
      <c r="Z54" s="88">
        <v>0</v>
      </c>
      <c r="AA54" s="88">
        <v>0</v>
      </c>
      <c r="AB54" s="88">
        <v>0</v>
      </c>
      <c r="AC54" s="88">
        <v>0</v>
      </c>
      <c r="AD54" s="88">
        <v>0</v>
      </c>
      <c r="AE54" s="89" t="s">
        <v>217</v>
      </c>
      <c r="AF54" s="80"/>
    </row>
    <row r="55" spans="1:32" ht="36.75">
      <c r="A55" s="87" t="s">
        <v>227</v>
      </c>
      <c r="B55" s="88">
        <v>37.296287999999997</v>
      </c>
      <c r="C55" s="88">
        <v>39.102524000000003</v>
      </c>
      <c r="D55" s="88">
        <v>41.305427999999999</v>
      </c>
      <c r="E55" s="88">
        <v>43.376812000000001</v>
      </c>
      <c r="F55" s="88">
        <v>44.561202999999999</v>
      </c>
      <c r="G55" s="88">
        <v>45.045020999999998</v>
      </c>
      <c r="H55" s="88">
        <v>45.519053999999997</v>
      </c>
      <c r="I55" s="88">
        <v>46.267310999999999</v>
      </c>
      <c r="J55" s="88">
        <v>46.621571000000003</v>
      </c>
      <c r="K55" s="88">
        <v>47.067920999999998</v>
      </c>
      <c r="L55" s="88">
        <v>47.492344000000003</v>
      </c>
      <c r="M55" s="88">
        <v>47.939545000000003</v>
      </c>
      <c r="N55" s="88">
        <v>48.665664999999997</v>
      </c>
      <c r="O55" s="88">
        <v>49.692073999999998</v>
      </c>
      <c r="P55" s="88">
        <v>50.747635000000002</v>
      </c>
      <c r="Q55" s="88">
        <v>51.845730000000003</v>
      </c>
      <c r="R55" s="88">
        <v>53.052174000000001</v>
      </c>
      <c r="S55" s="88">
        <v>54.205021000000002</v>
      </c>
      <c r="T55" s="88">
        <v>55.481574999999999</v>
      </c>
      <c r="U55" s="88">
        <v>56.500191000000001</v>
      </c>
      <c r="V55" s="88">
        <v>57.560111999999997</v>
      </c>
      <c r="W55" s="88">
        <v>58.646866000000003</v>
      </c>
      <c r="X55" s="88">
        <v>59.661129000000003</v>
      </c>
      <c r="Y55" s="88">
        <v>61.050877</v>
      </c>
      <c r="Z55" s="88">
        <v>62.110481</v>
      </c>
      <c r="AA55" s="88">
        <v>63.303482000000002</v>
      </c>
      <c r="AB55" s="88">
        <v>64.260459999999995</v>
      </c>
      <c r="AC55" s="88">
        <v>65.571258999999998</v>
      </c>
      <c r="AD55" s="88">
        <v>66.969986000000006</v>
      </c>
      <c r="AE55" s="89">
        <v>2.1125000000000001E-2</v>
      </c>
      <c r="AF55" s="80"/>
    </row>
    <row r="56" spans="1:32" ht="24.75">
      <c r="A56" s="87" t="s">
        <v>228</v>
      </c>
      <c r="B56" s="88">
        <v>0</v>
      </c>
      <c r="C56" s="88">
        <v>0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  <c r="X56" s="88">
        <v>0</v>
      </c>
      <c r="Y56" s="88">
        <v>0</v>
      </c>
      <c r="Z56" s="88">
        <v>0</v>
      </c>
      <c r="AA56" s="88">
        <v>0</v>
      </c>
      <c r="AB56" s="88">
        <v>0</v>
      </c>
      <c r="AC56" s="88">
        <v>0</v>
      </c>
      <c r="AD56" s="88">
        <v>0</v>
      </c>
      <c r="AE56" s="89" t="s">
        <v>217</v>
      </c>
      <c r="AF56" s="80"/>
    </row>
    <row r="57" spans="1:32" ht="36.75">
      <c r="A57" s="87" t="s">
        <v>229</v>
      </c>
      <c r="B57" s="88">
        <v>0</v>
      </c>
      <c r="C57" s="88">
        <v>0</v>
      </c>
      <c r="D57" s="88">
        <v>0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  <c r="X57" s="88">
        <v>0</v>
      </c>
      <c r="Y57" s="88">
        <v>0</v>
      </c>
      <c r="Z57" s="88">
        <v>0</v>
      </c>
      <c r="AA57" s="88">
        <v>0</v>
      </c>
      <c r="AB57" s="88">
        <v>0</v>
      </c>
      <c r="AC57" s="88">
        <v>0</v>
      </c>
      <c r="AD57" s="88">
        <v>0</v>
      </c>
      <c r="AE57" s="89" t="s">
        <v>217</v>
      </c>
      <c r="AF57" s="80"/>
    </row>
    <row r="58" spans="1:32" ht="24.75">
      <c r="A58" s="87" t="s">
        <v>230</v>
      </c>
      <c r="B58" s="88">
        <v>0</v>
      </c>
      <c r="C58" s="88">
        <v>0</v>
      </c>
      <c r="D58" s="88">
        <v>0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  <c r="X58" s="88">
        <v>0</v>
      </c>
      <c r="Y58" s="88">
        <v>0</v>
      </c>
      <c r="Z58" s="88">
        <v>0</v>
      </c>
      <c r="AA58" s="88">
        <v>0</v>
      </c>
      <c r="AB58" s="88">
        <v>0</v>
      </c>
      <c r="AC58" s="88">
        <v>0</v>
      </c>
      <c r="AD58" s="88">
        <v>0</v>
      </c>
      <c r="AE58" s="89" t="s">
        <v>217</v>
      </c>
      <c r="AF58" s="80"/>
    </row>
    <row r="59" spans="1:32" ht="24.75">
      <c r="A59" s="87" t="s">
        <v>231</v>
      </c>
      <c r="B59" s="88">
        <v>0</v>
      </c>
      <c r="C59" s="88">
        <v>0</v>
      </c>
      <c r="D59" s="88">
        <v>0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  <c r="X59" s="88">
        <v>0</v>
      </c>
      <c r="Y59" s="88">
        <v>0</v>
      </c>
      <c r="Z59" s="88">
        <v>0</v>
      </c>
      <c r="AA59" s="88">
        <v>0</v>
      </c>
      <c r="AB59" s="88">
        <v>0</v>
      </c>
      <c r="AC59" s="88">
        <v>0</v>
      </c>
      <c r="AD59" s="88">
        <v>0</v>
      </c>
      <c r="AE59" s="89" t="s">
        <v>217</v>
      </c>
      <c r="AF59" s="80"/>
    </row>
    <row r="60" spans="1:32" ht="36.75">
      <c r="A60" s="87" t="s">
        <v>232</v>
      </c>
      <c r="B60" s="88">
        <v>0</v>
      </c>
      <c r="C60" s="88">
        <v>0</v>
      </c>
      <c r="D60" s="88">
        <v>0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  <c r="X60" s="88">
        <v>0</v>
      </c>
      <c r="Y60" s="88">
        <v>0</v>
      </c>
      <c r="Z60" s="88">
        <v>0</v>
      </c>
      <c r="AA60" s="88">
        <v>0</v>
      </c>
      <c r="AB60" s="88">
        <v>0</v>
      </c>
      <c r="AC60" s="88">
        <v>0</v>
      </c>
      <c r="AD60" s="88">
        <v>0</v>
      </c>
      <c r="AE60" s="89" t="s">
        <v>217</v>
      </c>
      <c r="AF60" s="80"/>
    </row>
    <row r="61" spans="1:32" ht="36.75">
      <c r="A61" s="87" t="s">
        <v>233</v>
      </c>
      <c r="B61" s="88">
        <v>2.0339999999999998E-3</v>
      </c>
      <c r="C61" s="88">
        <v>4.2249999999999996E-3</v>
      </c>
      <c r="D61" s="88">
        <v>6.6280000000000002E-3</v>
      </c>
      <c r="E61" s="88">
        <v>9.1800000000000007E-3</v>
      </c>
      <c r="F61" s="88">
        <v>1.1653E-2</v>
      </c>
      <c r="G61" s="88">
        <v>1.3968E-2</v>
      </c>
      <c r="H61" s="88">
        <v>1.6271000000000001E-2</v>
      </c>
      <c r="I61" s="88">
        <v>1.8672000000000001E-2</v>
      </c>
      <c r="J61" s="88">
        <v>2.0910999999999999E-2</v>
      </c>
      <c r="K61" s="88">
        <v>2.3172999999999999E-2</v>
      </c>
      <c r="L61" s="88">
        <v>2.5411E-2</v>
      </c>
      <c r="M61" s="88">
        <v>2.7647000000000001E-2</v>
      </c>
      <c r="N61" s="88">
        <v>3.0044000000000001E-2</v>
      </c>
      <c r="O61" s="88">
        <v>3.2647000000000002E-2</v>
      </c>
      <c r="P61" s="88">
        <v>3.5303000000000001E-2</v>
      </c>
      <c r="Q61" s="88">
        <v>3.8024000000000002E-2</v>
      </c>
      <c r="R61" s="88">
        <v>4.0863999999999998E-2</v>
      </c>
      <c r="S61" s="88">
        <v>4.3702999999999999E-2</v>
      </c>
      <c r="T61" s="88">
        <v>4.6681E-2</v>
      </c>
      <c r="U61" s="88">
        <v>4.9474999999999998E-2</v>
      </c>
      <c r="V61" s="88">
        <v>5.2331000000000003E-2</v>
      </c>
      <c r="W61" s="88">
        <v>5.5236E-2</v>
      </c>
      <c r="X61" s="88">
        <v>5.8096000000000002E-2</v>
      </c>
      <c r="Y61" s="88">
        <v>6.1351999999999997E-2</v>
      </c>
      <c r="Z61" s="88">
        <v>6.4301999999999998E-2</v>
      </c>
      <c r="AA61" s="88">
        <v>6.7421999999999996E-2</v>
      </c>
      <c r="AB61" s="88">
        <v>7.0310999999999998E-2</v>
      </c>
      <c r="AC61" s="88">
        <v>7.3610999999999996E-2</v>
      </c>
      <c r="AD61" s="88">
        <v>7.7048000000000005E-2</v>
      </c>
      <c r="AE61" s="89">
        <v>0.13860700000000001</v>
      </c>
      <c r="AF61" s="80"/>
    </row>
    <row r="62" spans="1:32" ht="48.75">
      <c r="A62" s="87" t="s">
        <v>241</v>
      </c>
      <c r="B62" s="88">
        <v>145.60966500000001</v>
      </c>
      <c r="C62" s="88">
        <v>156.480682</v>
      </c>
      <c r="D62" s="88">
        <v>169.07797199999999</v>
      </c>
      <c r="E62" s="88">
        <v>181.20645099999999</v>
      </c>
      <c r="F62" s="88">
        <v>189.621613</v>
      </c>
      <c r="G62" s="88">
        <v>194.99156199999999</v>
      </c>
      <c r="H62" s="88">
        <v>200.235153</v>
      </c>
      <c r="I62" s="88">
        <v>206.636627</v>
      </c>
      <c r="J62" s="88">
        <v>211.226471</v>
      </c>
      <c r="K62" s="88">
        <v>216.195221</v>
      </c>
      <c r="L62" s="88">
        <v>221.037216</v>
      </c>
      <c r="M62" s="88">
        <v>225.941315</v>
      </c>
      <c r="N62" s="88">
        <v>232.14924600000001</v>
      </c>
      <c r="O62" s="88">
        <v>239.80892900000001</v>
      </c>
      <c r="P62" s="88">
        <v>247.616074</v>
      </c>
      <c r="Q62" s="88">
        <v>255.695404</v>
      </c>
      <c r="R62" s="88">
        <v>264.33047499999998</v>
      </c>
      <c r="S62" s="88">
        <v>272.73104899999998</v>
      </c>
      <c r="T62" s="88">
        <v>281.81561299999998</v>
      </c>
      <c r="U62" s="88">
        <v>289.63900799999999</v>
      </c>
      <c r="V62" s="88">
        <v>297.69894399999998</v>
      </c>
      <c r="W62" s="88">
        <v>305.930725</v>
      </c>
      <c r="X62" s="88">
        <v>313.80929600000002</v>
      </c>
      <c r="Y62" s="88">
        <v>323.713165</v>
      </c>
      <c r="Z62" s="88">
        <v>331.97268700000001</v>
      </c>
      <c r="AA62" s="88">
        <v>340.90216099999998</v>
      </c>
      <c r="AB62" s="88">
        <v>348.57012900000001</v>
      </c>
      <c r="AC62" s="88">
        <v>358.17044099999998</v>
      </c>
      <c r="AD62" s="88">
        <v>368.26666299999999</v>
      </c>
      <c r="AE62" s="89">
        <v>3.3694000000000002E-2</v>
      </c>
      <c r="AF62" s="80"/>
    </row>
    <row r="63" spans="1:32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</row>
    <row r="64" spans="1:32" ht="60.75">
      <c r="A64" s="87" t="s">
        <v>242</v>
      </c>
      <c r="B64" s="88">
        <v>11.326775</v>
      </c>
      <c r="C64" s="88">
        <v>11.729151999999999</v>
      </c>
      <c r="D64" s="88">
        <v>12.126184</v>
      </c>
      <c r="E64" s="88">
        <v>12.515253</v>
      </c>
      <c r="F64" s="88">
        <v>12.897691</v>
      </c>
      <c r="G64" s="88">
        <v>13.276489</v>
      </c>
      <c r="H64" s="88">
        <v>13.652972999999999</v>
      </c>
      <c r="I64" s="88">
        <v>14.027736000000001</v>
      </c>
      <c r="J64" s="88">
        <v>14.400922</v>
      </c>
      <c r="K64" s="88">
        <v>14.773797999999999</v>
      </c>
      <c r="L64" s="88">
        <v>15.146682999999999</v>
      </c>
      <c r="M64" s="88">
        <v>15.518919</v>
      </c>
      <c r="N64" s="88">
        <v>15.891093</v>
      </c>
      <c r="O64" s="88">
        <v>16.263072999999999</v>
      </c>
      <c r="P64" s="88">
        <v>16.633780999999999</v>
      </c>
      <c r="Q64" s="88">
        <v>17.005393999999999</v>
      </c>
      <c r="R64" s="88">
        <v>17.376149999999999</v>
      </c>
      <c r="S64" s="88">
        <v>17.746307000000002</v>
      </c>
      <c r="T64" s="88">
        <v>18.116952999999999</v>
      </c>
      <c r="U64" s="88">
        <v>18.487981999999999</v>
      </c>
      <c r="V64" s="88">
        <v>18.858979999999999</v>
      </c>
      <c r="W64" s="88">
        <v>19.230163999999998</v>
      </c>
      <c r="X64" s="88">
        <v>19.601316000000001</v>
      </c>
      <c r="Y64" s="88">
        <v>19.973127000000002</v>
      </c>
      <c r="Z64" s="88">
        <v>20.347881000000001</v>
      </c>
      <c r="AA64" s="88">
        <v>20.720106000000001</v>
      </c>
      <c r="AB64" s="88">
        <v>21.091866</v>
      </c>
      <c r="AC64" s="88">
        <v>21.463251</v>
      </c>
      <c r="AD64" s="88">
        <v>21.833759000000001</v>
      </c>
      <c r="AE64" s="89">
        <v>2.3716000000000001E-2</v>
      </c>
      <c r="AF64" s="80"/>
    </row>
    <row r="65" spans="1:32" ht="48.75">
      <c r="A65" s="87" t="s">
        <v>243</v>
      </c>
      <c r="B65" s="88">
        <v>1285.5351559999999</v>
      </c>
      <c r="C65" s="88">
        <v>1334.1176760000001</v>
      </c>
      <c r="D65" s="88">
        <v>1394.321289</v>
      </c>
      <c r="E65" s="88">
        <v>1447.884888</v>
      </c>
      <c r="F65" s="88">
        <v>1470.19812</v>
      </c>
      <c r="G65" s="88">
        <v>1468.6982419999999</v>
      </c>
      <c r="H65" s="88">
        <v>1466.604736</v>
      </c>
      <c r="I65" s="88">
        <v>1473.0576169999999</v>
      </c>
      <c r="J65" s="88">
        <v>1466.756592</v>
      </c>
      <c r="K65" s="88">
        <v>1463.369263</v>
      </c>
      <c r="L65" s="88">
        <v>1459.3110349999999</v>
      </c>
      <c r="M65" s="88">
        <v>1455.908813</v>
      </c>
      <c r="N65" s="88">
        <v>1460.8764650000001</v>
      </c>
      <c r="O65" s="88">
        <v>1474.5610349999999</v>
      </c>
      <c r="P65" s="88">
        <v>1488.6336670000001</v>
      </c>
      <c r="Q65" s="88">
        <v>1503.613525</v>
      </c>
      <c r="R65" s="88">
        <v>1521.2257079999999</v>
      </c>
      <c r="S65" s="88">
        <v>1536.832764</v>
      </c>
      <c r="T65" s="88">
        <v>1555.5354</v>
      </c>
      <c r="U65" s="88">
        <v>1566.634033</v>
      </c>
      <c r="V65" s="88">
        <v>1578.5527340000001</v>
      </c>
      <c r="W65" s="88">
        <v>1590.889893</v>
      </c>
      <c r="X65" s="88">
        <v>1600.960327</v>
      </c>
      <c r="Y65" s="88">
        <v>1620.74353</v>
      </c>
      <c r="Z65" s="88">
        <v>1631.4852289999999</v>
      </c>
      <c r="AA65" s="88">
        <v>1645.272217</v>
      </c>
      <c r="AB65" s="88">
        <v>1652.6281739999999</v>
      </c>
      <c r="AC65" s="88">
        <v>1668.7613530000001</v>
      </c>
      <c r="AD65" s="88">
        <v>1686.6845699999999</v>
      </c>
      <c r="AE65" s="89">
        <v>9.7470000000000005E-3</v>
      </c>
      <c r="AF65" s="80"/>
    </row>
    <row r="66" spans="1:32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</row>
    <row r="67" spans="1:32" ht="24.75">
      <c r="A67" s="86" t="s">
        <v>244</v>
      </c>
      <c r="B67" s="90">
        <v>2115.3095699999999</v>
      </c>
      <c r="C67" s="90">
        <v>2179.8542480000001</v>
      </c>
      <c r="D67" s="90">
        <v>2247.3923340000001</v>
      </c>
      <c r="E67" s="90">
        <v>2289.9018550000001</v>
      </c>
      <c r="F67" s="90">
        <v>2295.4645999999998</v>
      </c>
      <c r="G67" s="90">
        <v>2284.945557</v>
      </c>
      <c r="H67" s="90">
        <v>2273.0161130000001</v>
      </c>
      <c r="I67" s="90">
        <v>2273.9323730000001</v>
      </c>
      <c r="J67" s="90">
        <v>2263.3520509999998</v>
      </c>
      <c r="K67" s="90">
        <v>2255.7309570000002</v>
      </c>
      <c r="L67" s="90">
        <v>2250.6152339999999</v>
      </c>
      <c r="M67" s="90">
        <v>2244.3781739999999</v>
      </c>
      <c r="N67" s="90">
        <v>2250.6123050000001</v>
      </c>
      <c r="O67" s="90">
        <v>2268.9152829999998</v>
      </c>
      <c r="P67" s="90">
        <v>2291.9157709999999</v>
      </c>
      <c r="Q67" s="90">
        <v>2311.8798830000001</v>
      </c>
      <c r="R67" s="90">
        <v>2334.326904</v>
      </c>
      <c r="S67" s="90">
        <v>2354.6838379999999</v>
      </c>
      <c r="T67" s="90">
        <v>2377.2294919999999</v>
      </c>
      <c r="U67" s="90">
        <v>2387.4941410000001</v>
      </c>
      <c r="V67" s="90">
        <v>2398.3923340000001</v>
      </c>
      <c r="W67" s="90">
        <v>2406.5219729999999</v>
      </c>
      <c r="X67" s="90">
        <v>2415.423096</v>
      </c>
      <c r="Y67" s="90">
        <v>2438.1977539999998</v>
      </c>
      <c r="Z67" s="90">
        <v>2458.0991210000002</v>
      </c>
      <c r="AA67" s="90">
        <v>2472.1123050000001</v>
      </c>
      <c r="AB67" s="90">
        <v>2480.8183589999999</v>
      </c>
      <c r="AC67" s="90">
        <v>2499.592529</v>
      </c>
      <c r="AD67" s="90">
        <v>2521.9509280000002</v>
      </c>
      <c r="AE67" s="91">
        <v>6.2989999999999999E-3</v>
      </c>
      <c r="AF67" s="80"/>
    </row>
    <row r="68" spans="1:32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</row>
    <row r="69" spans="1:32" ht="48.75">
      <c r="A69" s="86" t="s">
        <v>245</v>
      </c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</row>
    <row r="70" spans="1:32" ht="24.75">
      <c r="A70" s="87" t="s">
        <v>246</v>
      </c>
      <c r="B70" s="88">
        <v>410.29077100000001</v>
      </c>
      <c r="C70" s="88">
        <v>411.86019900000002</v>
      </c>
      <c r="D70" s="88">
        <v>422.08718900000002</v>
      </c>
      <c r="E70" s="88">
        <v>427.93866000000003</v>
      </c>
      <c r="F70" s="88">
        <v>425.80892899999998</v>
      </c>
      <c r="G70" s="88">
        <v>420.11331200000001</v>
      </c>
      <c r="H70" s="88">
        <v>414.63775600000002</v>
      </c>
      <c r="I70" s="88">
        <v>410.573669</v>
      </c>
      <c r="J70" s="88">
        <v>405.62148999999999</v>
      </c>
      <c r="K70" s="88">
        <v>400.92529300000001</v>
      </c>
      <c r="L70" s="88">
        <v>396.546356</v>
      </c>
      <c r="M70" s="88">
        <v>391.28878800000001</v>
      </c>
      <c r="N70" s="88">
        <v>387.86077899999998</v>
      </c>
      <c r="O70" s="88">
        <v>386.62799100000001</v>
      </c>
      <c r="P70" s="88">
        <v>386.76229899999998</v>
      </c>
      <c r="Q70" s="88">
        <v>386.57772799999998</v>
      </c>
      <c r="R70" s="88">
        <v>387.32144199999999</v>
      </c>
      <c r="S70" s="88">
        <v>387.70996100000002</v>
      </c>
      <c r="T70" s="88">
        <v>388.84600799999998</v>
      </c>
      <c r="U70" s="88">
        <v>388.04797400000001</v>
      </c>
      <c r="V70" s="88">
        <v>387.545593</v>
      </c>
      <c r="W70" s="88">
        <v>386.55062900000001</v>
      </c>
      <c r="X70" s="88">
        <v>386.34115600000001</v>
      </c>
      <c r="Y70" s="88">
        <v>388.39727800000003</v>
      </c>
      <c r="Z70" s="88">
        <v>390.789581</v>
      </c>
      <c r="AA70" s="88">
        <v>393.30300899999997</v>
      </c>
      <c r="AB70" s="88">
        <v>393.95352200000002</v>
      </c>
      <c r="AC70" s="88">
        <v>395.859467</v>
      </c>
      <c r="AD70" s="88">
        <v>398.83917200000002</v>
      </c>
      <c r="AE70" s="89">
        <v>-1.01E-3</v>
      </c>
      <c r="AF70" s="80"/>
    </row>
    <row r="71" spans="1:32">
      <c r="A71" s="87" t="s">
        <v>247</v>
      </c>
      <c r="B71" s="88">
        <v>201.55270400000001</v>
      </c>
      <c r="C71" s="88">
        <v>203.643539</v>
      </c>
      <c r="D71" s="88">
        <v>209.879852</v>
      </c>
      <c r="E71" s="88">
        <v>213.99391199999999</v>
      </c>
      <c r="F71" s="88">
        <v>214.05772400000001</v>
      </c>
      <c r="G71" s="88">
        <v>212.224716</v>
      </c>
      <c r="H71" s="88">
        <v>210.50500500000001</v>
      </c>
      <c r="I71" s="88">
        <v>209.42543000000001</v>
      </c>
      <c r="J71" s="88">
        <v>207.82423399999999</v>
      </c>
      <c r="K71" s="88">
        <v>206.28251599999999</v>
      </c>
      <c r="L71" s="88">
        <v>205.665222</v>
      </c>
      <c r="M71" s="88">
        <v>205.245102</v>
      </c>
      <c r="N71" s="88">
        <v>205.64666700000001</v>
      </c>
      <c r="O71" s="88">
        <v>207.12898300000001</v>
      </c>
      <c r="P71" s="88">
        <v>209.04892000000001</v>
      </c>
      <c r="Q71" s="88">
        <v>210.68804900000001</v>
      </c>
      <c r="R71" s="88">
        <v>212.59925799999999</v>
      </c>
      <c r="S71" s="88">
        <v>214.24075300000001</v>
      </c>
      <c r="T71" s="88">
        <v>216.090149</v>
      </c>
      <c r="U71" s="88">
        <v>216.77891500000001</v>
      </c>
      <c r="V71" s="88">
        <v>217.48950199999999</v>
      </c>
      <c r="W71" s="88">
        <v>217.91325399999999</v>
      </c>
      <c r="X71" s="88">
        <v>218.44653299999999</v>
      </c>
      <c r="Y71" s="88">
        <v>220.21542400000001</v>
      </c>
      <c r="Z71" s="88">
        <v>221.82936100000001</v>
      </c>
      <c r="AA71" s="88">
        <v>223.04495199999999</v>
      </c>
      <c r="AB71" s="88">
        <v>223.587784</v>
      </c>
      <c r="AC71" s="88">
        <v>225.01087999999999</v>
      </c>
      <c r="AD71" s="88">
        <v>226.82165499999999</v>
      </c>
      <c r="AE71" s="89">
        <v>4.2269999999999999E-3</v>
      </c>
      <c r="AF71" s="80"/>
    </row>
    <row r="72" spans="1:32">
      <c r="A72" s="87" t="s">
        <v>248</v>
      </c>
      <c r="B72" s="88">
        <v>0</v>
      </c>
      <c r="C72" s="88">
        <v>0.42618899999999998</v>
      </c>
      <c r="D72" s="88">
        <v>0.44380199999999997</v>
      </c>
      <c r="E72" s="88">
        <v>0.45290200000000003</v>
      </c>
      <c r="F72" s="88">
        <v>0.472858</v>
      </c>
      <c r="G72" s="88">
        <v>0.49512299999999998</v>
      </c>
      <c r="H72" s="88">
        <v>0.52263599999999999</v>
      </c>
      <c r="I72" s="88">
        <v>0.55938299999999996</v>
      </c>
      <c r="J72" s="88">
        <v>0.60609500000000005</v>
      </c>
      <c r="K72" s="88">
        <v>0.666157</v>
      </c>
      <c r="L72" s="88">
        <v>0.73971799999999999</v>
      </c>
      <c r="M72" s="88">
        <v>0.82662000000000002</v>
      </c>
      <c r="N72" s="88">
        <v>0.93066599999999999</v>
      </c>
      <c r="O72" s="88">
        <v>1.058675</v>
      </c>
      <c r="P72" s="88">
        <v>1.215913</v>
      </c>
      <c r="Q72" s="88">
        <v>1.4003570000000001</v>
      </c>
      <c r="R72" s="88">
        <v>1.611812</v>
      </c>
      <c r="S72" s="88">
        <v>1.853485</v>
      </c>
      <c r="T72" s="88">
        <v>2.1219790000000001</v>
      </c>
      <c r="U72" s="88">
        <v>2.4104000000000001</v>
      </c>
      <c r="V72" s="88">
        <v>2.7167849999999998</v>
      </c>
      <c r="W72" s="88">
        <v>3.048225</v>
      </c>
      <c r="X72" s="88">
        <v>3.396039</v>
      </c>
      <c r="Y72" s="88">
        <v>3.7744909999999998</v>
      </c>
      <c r="Z72" s="88">
        <v>4.156269</v>
      </c>
      <c r="AA72" s="88">
        <v>4.5259840000000002</v>
      </c>
      <c r="AB72" s="88">
        <v>4.8633280000000001</v>
      </c>
      <c r="AC72" s="88">
        <v>5.1964600000000001</v>
      </c>
      <c r="AD72" s="88">
        <v>5.5149140000000001</v>
      </c>
      <c r="AE72" s="89" t="s">
        <v>217</v>
      </c>
      <c r="AF72" s="80"/>
    </row>
    <row r="73" spans="1:32" ht="72.75">
      <c r="A73" s="87" t="s">
        <v>249</v>
      </c>
      <c r="B73" s="88">
        <v>0</v>
      </c>
      <c r="C73" s="88">
        <v>0</v>
      </c>
      <c r="D73" s="88">
        <v>0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  <c r="X73" s="88">
        <v>0</v>
      </c>
      <c r="Y73" s="88">
        <v>0</v>
      </c>
      <c r="Z73" s="88">
        <v>0</v>
      </c>
      <c r="AA73" s="88">
        <v>0</v>
      </c>
      <c r="AB73" s="88">
        <v>0</v>
      </c>
      <c r="AC73" s="88">
        <v>0</v>
      </c>
      <c r="AD73" s="88">
        <v>0</v>
      </c>
      <c r="AE73" s="89" t="s">
        <v>217</v>
      </c>
      <c r="AF73" s="80"/>
    </row>
    <row r="74" spans="1:32" ht="24.75">
      <c r="A74" s="87" t="s">
        <v>250</v>
      </c>
      <c r="B74" s="88">
        <v>30.450520999999998</v>
      </c>
      <c r="C74" s="88">
        <v>34.585701</v>
      </c>
      <c r="D74" s="88">
        <v>41.047305999999999</v>
      </c>
      <c r="E74" s="88">
        <v>45.537776999999998</v>
      </c>
      <c r="F74" s="88">
        <v>49.499518999999999</v>
      </c>
      <c r="G74" s="88">
        <v>53.911239999999999</v>
      </c>
      <c r="H74" s="88">
        <v>56.826735999999997</v>
      </c>
      <c r="I74" s="88">
        <v>60.335323000000002</v>
      </c>
      <c r="J74" s="88">
        <v>64.028458000000001</v>
      </c>
      <c r="K74" s="88">
        <v>68.345496999999995</v>
      </c>
      <c r="L74" s="88">
        <v>72.455596999999997</v>
      </c>
      <c r="M74" s="88">
        <v>76.482697000000002</v>
      </c>
      <c r="N74" s="88">
        <v>80.193877999999998</v>
      </c>
      <c r="O74" s="88">
        <v>84.221335999999994</v>
      </c>
      <c r="P74" s="88">
        <v>87.631432000000004</v>
      </c>
      <c r="Q74" s="88">
        <v>90.807677999999996</v>
      </c>
      <c r="R74" s="88">
        <v>93.597556999999995</v>
      </c>
      <c r="S74" s="88">
        <v>96.278251999999995</v>
      </c>
      <c r="T74" s="88">
        <v>98.649979000000002</v>
      </c>
      <c r="U74" s="88">
        <v>100.454178</v>
      </c>
      <c r="V74" s="88">
        <v>102.048424</v>
      </c>
      <c r="W74" s="88">
        <v>103.66413900000001</v>
      </c>
      <c r="X74" s="88">
        <v>104.52655</v>
      </c>
      <c r="Y74" s="88">
        <v>105.990318</v>
      </c>
      <c r="Z74" s="88">
        <v>106.505348</v>
      </c>
      <c r="AA74" s="88">
        <v>105.59877</v>
      </c>
      <c r="AB74" s="88">
        <v>105.570808</v>
      </c>
      <c r="AC74" s="88">
        <v>106.518562</v>
      </c>
      <c r="AD74" s="88">
        <v>107.080376</v>
      </c>
      <c r="AE74" s="89">
        <v>4.5934000000000003E-2</v>
      </c>
      <c r="AF74" s="80"/>
    </row>
    <row r="75" spans="1:32">
      <c r="A75" s="87" t="s">
        <v>251</v>
      </c>
      <c r="B75" s="88">
        <v>0</v>
      </c>
      <c r="C75" s="88">
        <v>0</v>
      </c>
      <c r="D75" s="88">
        <v>0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  <c r="X75" s="88">
        <v>0</v>
      </c>
      <c r="Y75" s="88">
        <v>0</v>
      </c>
      <c r="Z75" s="88">
        <v>0</v>
      </c>
      <c r="AA75" s="88">
        <v>0</v>
      </c>
      <c r="AB75" s="88">
        <v>0</v>
      </c>
      <c r="AC75" s="88">
        <v>0</v>
      </c>
      <c r="AD75" s="88">
        <v>0</v>
      </c>
      <c r="AE75" s="89" t="s">
        <v>217</v>
      </c>
      <c r="AF75" s="80"/>
    </row>
    <row r="76" spans="1:32" ht="36.75">
      <c r="A76" s="87" t="s">
        <v>252</v>
      </c>
      <c r="B76" s="88">
        <v>0</v>
      </c>
      <c r="C76" s="88">
        <v>0.787767</v>
      </c>
      <c r="D76" s="88">
        <v>0.80016200000000004</v>
      </c>
      <c r="E76" s="88">
        <v>0.80872999999999995</v>
      </c>
      <c r="F76" s="88">
        <v>0.811863</v>
      </c>
      <c r="G76" s="88">
        <v>0.81890200000000002</v>
      </c>
      <c r="H76" s="88">
        <v>0.83272000000000002</v>
      </c>
      <c r="I76" s="88">
        <v>0.85792100000000004</v>
      </c>
      <c r="J76" s="88">
        <v>0.88896500000000001</v>
      </c>
      <c r="K76" s="88">
        <v>0.92687399999999998</v>
      </c>
      <c r="L76" s="88">
        <v>0.97534600000000005</v>
      </c>
      <c r="M76" s="88">
        <v>1.032321</v>
      </c>
      <c r="N76" s="88">
        <v>1.10005</v>
      </c>
      <c r="O76" s="88">
        <v>1.1823090000000001</v>
      </c>
      <c r="P76" s="88">
        <v>1.2826679999999999</v>
      </c>
      <c r="Q76" s="88">
        <v>1.3961220000000001</v>
      </c>
      <c r="R76" s="88">
        <v>1.5262450000000001</v>
      </c>
      <c r="S76" s="88">
        <v>1.6690529999999999</v>
      </c>
      <c r="T76" s="88">
        <v>1.8257080000000001</v>
      </c>
      <c r="U76" s="88">
        <v>1.9810030000000001</v>
      </c>
      <c r="V76" s="88">
        <v>2.139786</v>
      </c>
      <c r="W76" s="88">
        <v>2.2945030000000002</v>
      </c>
      <c r="X76" s="88">
        <v>2.4439440000000001</v>
      </c>
      <c r="Y76" s="88">
        <v>2.5983079999999998</v>
      </c>
      <c r="Z76" s="88">
        <v>2.7397170000000002</v>
      </c>
      <c r="AA76" s="88">
        <v>2.862724</v>
      </c>
      <c r="AB76" s="88">
        <v>2.9635039999999999</v>
      </c>
      <c r="AC76" s="88">
        <v>3.0635270000000001</v>
      </c>
      <c r="AD76" s="88">
        <v>3.1549130000000001</v>
      </c>
      <c r="AE76" s="89" t="s">
        <v>217</v>
      </c>
      <c r="AF76" s="80"/>
    </row>
    <row r="77" spans="1:32" ht="36.75">
      <c r="A77" s="87" t="s">
        <v>253</v>
      </c>
      <c r="B77" s="88">
        <v>0</v>
      </c>
      <c r="C77" s="88">
        <v>0.855433</v>
      </c>
      <c r="D77" s="88">
        <v>0.87832900000000003</v>
      </c>
      <c r="E77" s="88">
        <v>0.87276799999999999</v>
      </c>
      <c r="F77" s="88">
        <v>0.86602100000000004</v>
      </c>
      <c r="G77" s="88">
        <v>0.86097800000000002</v>
      </c>
      <c r="H77" s="88">
        <v>0.859267</v>
      </c>
      <c r="I77" s="88">
        <v>0.87018200000000001</v>
      </c>
      <c r="J77" s="88">
        <v>0.89291200000000004</v>
      </c>
      <c r="K77" s="88">
        <v>0.93141799999999997</v>
      </c>
      <c r="L77" s="88">
        <v>0.98409899999999995</v>
      </c>
      <c r="M77" s="88">
        <v>1.0506740000000001</v>
      </c>
      <c r="N77" s="88">
        <v>1.131704</v>
      </c>
      <c r="O77" s="88">
        <v>1.2364980000000001</v>
      </c>
      <c r="P77" s="88">
        <v>1.3594980000000001</v>
      </c>
      <c r="Q77" s="88">
        <v>1.5014730000000001</v>
      </c>
      <c r="R77" s="88">
        <v>1.6622209999999999</v>
      </c>
      <c r="S77" s="88">
        <v>1.841707</v>
      </c>
      <c r="T77" s="88">
        <v>2.0370430000000002</v>
      </c>
      <c r="U77" s="88">
        <v>2.2340399999999998</v>
      </c>
      <c r="V77" s="88">
        <v>2.4355039999999999</v>
      </c>
      <c r="W77" s="88">
        <v>2.635596</v>
      </c>
      <c r="X77" s="88">
        <v>2.8214579999999998</v>
      </c>
      <c r="Y77" s="88">
        <v>3.0137839999999998</v>
      </c>
      <c r="Z77" s="88">
        <v>3.179278</v>
      </c>
      <c r="AA77" s="88">
        <v>3.3277420000000002</v>
      </c>
      <c r="AB77" s="88">
        <v>3.442774</v>
      </c>
      <c r="AC77" s="88">
        <v>3.5613410000000001</v>
      </c>
      <c r="AD77" s="88">
        <v>3.6622810000000001</v>
      </c>
      <c r="AE77" s="89" t="s">
        <v>217</v>
      </c>
      <c r="AF77" s="80"/>
    </row>
    <row r="78" spans="1:32" ht="24.75">
      <c r="A78" s="87" t="s">
        <v>254</v>
      </c>
      <c r="B78" s="88">
        <v>0</v>
      </c>
      <c r="C78" s="88">
        <v>0</v>
      </c>
      <c r="D78" s="88">
        <v>0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  <c r="X78" s="88">
        <v>0</v>
      </c>
      <c r="Y78" s="88">
        <v>0</v>
      </c>
      <c r="Z78" s="88">
        <v>0</v>
      </c>
      <c r="AA78" s="88">
        <v>0</v>
      </c>
      <c r="AB78" s="88">
        <v>0</v>
      </c>
      <c r="AC78" s="88">
        <v>0</v>
      </c>
      <c r="AD78" s="88">
        <v>0</v>
      </c>
      <c r="AE78" s="89" t="s">
        <v>217</v>
      </c>
      <c r="AF78" s="80"/>
    </row>
    <row r="79" spans="1:32" ht="60.75">
      <c r="A79" s="86" t="s">
        <v>255</v>
      </c>
      <c r="B79" s="90">
        <v>642.29394500000001</v>
      </c>
      <c r="C79" s="90">
        <v>652.15881300000001</v>
      </c>
      <c r="D79" s="90">
        <v>675.13665800000001</v>
      </c>
      <c r="E79" s="90">
        <v>689.60467500000004</v>
      </c>
      <c r="F79" s="90">
        <v>691.51690699999995</v>
      </c>
      <c r="G79" s="90">
        <v>688.42425500000002</v>
      </c>
      <c r="H79" s="90">
        <v>684.18414299999995</v>
      </c>
      <c r="I79" s="90">
        <v>682.62188700000002</v>
      </c>
      <c r="J79" s="90">
        <v>679.86218299999996</v>
      </c>
      <c r="K79" s="90">
        <v>678.07775900000001</v>
      </c>
      <c r="L79" s="90">
        <v>677.36639400000001</v>
      </c>
      <c r="M79" s="90">
        <v>675.92620799999997</v>
      </c>
      <c r="N79" s="90">
        <v>676.86370799999997</v>
      </c>
      <c r="O79" s="90">
        <v>681.45581100000004</v>
      </c>
      <c r="P79" s="90">
        <v>687.30078100000003</v>
      </c>
      <c r="Q79" s="90">
        <v>692.37145999999996</v>
      </c>
      <c r="R79" s="90">
        <v>698.31860400000005</v>
      </c>
      <c r="S79" s="90">
        <v>703.59320100000002</v>
      </c>
      <c r="T79" s="90">
        <v>709.57092299999999</v>
      </c>
      <c r="U79" s="90">
        <v>711.90655500000003</v>
      </c>
      <c r="V79" s="90">
        <v>714.37567100000001</v>
      </c>
      <c r="W79" s="90">
        <v>716.10638400000005</v>
      </c>
      <c r="X79" s="90">
        <v>717.97564699999998</v>
      </c>
      <c r="Y79" s="90">
        <v>723.98962400000005</v>
      </c>
      <c r="Z79" s="90">
        <v>729.19946300000004</v>
      </c>
      <c r="AA79" s="90">
        <v>732.66320800000005</v>
      </c>
      <c r="AB79" s="90">
        <v>734.38165300000003</v>
      </c>
      <c r="AC79" s="90">
        <v>739.21014400000001</v>
      </c>
      <c r="AD79" s="90">
        <v>745.07336399999997</v>
      </c>
      <c r="AE79" s="91">
        <v>5.3150000000000003E-3</v>
      </c>
      <c r="AF79" s="80"/>
    </row>
    <row r="80" spans="1:32" ht="15.75" thickBo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</row>
    <row r="81" spans="1:32">
      <c r="A81" s="175" t="s">
        <v>256</v>
      </c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</row>
    <row r="82" spans="1:32">
      <c r="A82" s="80" t="s">
        <v>257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</row>
    <row r="83" spans="1:32">
      <c r="A83" s="80" t="s">
        <v>258</v>
      </c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</row>
    <row r="84" spans="1:32">
      <c r="A84" s="80" t="s">
        <v>259</v>
      </c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</row>
    <row r="85" spans="1:32">
      <c r="A85" s="80" t="s">
        <v>260</v>
      </c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</row>
    <row r="86" spans="1:32">
      <c r="A86" s="80" t="s">
        <v>261</v>
      </c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</row>
    <row r="87" spans="1:32">
      <c r="A87" s="80" t="s">
        <v>262</v>
      </c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</row>
  </sheetData>
  <mergeCells count="1">
    <mergeCell ref="A81:AF8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1A92-CFB5-42A4-A32D-335678EA7553}">
  <dimension ref="A1:AF259"/>
  <sheetViews>
    <sheetView workbookViewId="0">
      <selection activeCell="G15" sqref="G15"/>
    </sheetView>
  </sheetViews>
  <sheetFormatPr defaultColWidth="8.85546875" defaultRowHeight="15"/>
  <sheetData>
    <row r="1" spans="1:32" ht="15.75" thickBot="1">
      <c r="A1" s="74" t="s">
        <v>197</v>
      </c>
      <c r="B1" s="75">
        <v>2022</v>
      </c>
      <c r="C1" s="75">
        <v>2023</v>
      </c>
      <c r="D1" s="75">
        <v>2024</v>
      </c>
      <c r="E1" s="75">
        <v>2025</v>
      </c>
      <c r="F1" s="75">
        <v>2026</v>
      </c>
      <c r="G1" s="75">
        <v>2027</v>
      </c>
      <c r="H1" s="75">
        <v>2028</v>
      </c>
      <c r="I1" s="75">
        <v>2029</v>
      </c>
      <c r="J1" s="75">
        <v>2030</v>
      </c>
      <c r="K1" s="75">
        <v>2031</v>
      </c>
      <c r="L1" s="75">
        <v>2032</v>
      </c>
      <c r="M1" s="75">
        <v>2033</v>
      </c>
      <c r="N1" s="75">
        <v>2034</v>
      </c>
      <c r="O1" s="75">
        <v>2035</v>
      </c>
      <c r="P1" s="75">
        <v>2036</v>
      </c>
      <c r="Q1" s="75">
        <v>2037</v>
      </c>
      <c r="R1" s="75">
        <v>2038</v>
      </c>
      <c r="S1" s="75">
        <v>2039</v>
      </c>
      <c r="T1" s="75">
        <v>2040</v>
      </c>
      <c r="U1" s="75">
        <v>2041</v>
      </c>
      <c r="V1" s="75">
        <v>2042</v>
      </c>
      <c r="W1" s="75">
        <v>2043</v>
      </c>
      <c r="X1" s="75">
        <v>2044</v>
      </c>
      <c r="Y1" s="75">
        <v>2045</v>
      </c>
      <c r="Z1" s="75">
        <v>2046</v>
      </c>
      <c r="AA1" s="75">
        <v>2047</v>
      </c>
      <c r="AB1" s="75">
        <v>2048</v>
      </c>
      <c r="AC1" s="75">
        <v>2049</v>
      </c>
      <c r="AD1" s="75">
        <v>2050</v>
      </c>
    </row>
    <row r="2" spans="1:32" ht="15.75" thickTop="1"/>
    <row r="3" spans="1:32">
      <c r="B3" s="76" t="s">
        <v>198</v>
      </c>
      <c r="C3" s="76" t="s">
        <v>199</v>
      </c>
      <c r="D3" s="77"/>
      <c r="E3" s="77"/>
      <c r="F3" s="77"/>
    </row>
    <row r="4" spans="1:32">
      <c r="B4" s="76" t="s">
        <v>200</v>
      </c>
      <c r="C4" s="76" t="s">
        <v>201</v>
      </c>
      <c r="D4" s="77"/>
      <c r="E4" s="77"/>
      <c r="F4" s="76" t="s">
        <v>202</v>
      </c>
    </row>
    <row r="5" spans="1:32">
      <c r="B5" s="76" t="s">
        <v>203</v>
      </c>
      <c r="C5" s="76" t="s">
        <v>204</v>
      </c>
      <c r="D5" s="77"/>
      <c r="E5" s="77"/>
      <c r="F5" s="77"/>
    </row>
    <row r="6" spans="1:32">
      <c r="B6" s="76" t="s">
        <v>205</v>
      </c>
      <c r="C6" s="77"/>
      <c r="D6" s="76" t="s">
        <v>206</v>
      </c>
      <c r="E6" s="77"/>
      <c r="F6" s="77"/>
    </row>
    <row r="10" spans="1:32" ht="15.75">
      <c r="A10" s="79" t="s">
        <v>263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1" t="s">
        <v>208</v>
      </c>
      <c r="AF10" s="80"/>
    </row>
    <row r="11" spans="1:32">
      <c r="A11" s="82" t="s">
        <v>209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1" t="s">
        <v>210</v>
      </c>
      <c r="AF11" s="80"/>
    </row>
    <row r="12" spans="1:32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1" t="s">
        <v>211</v>
      </c>
      <c r="AF12" s="80"/>
    </row>
    <row r="13" spans="1:32" ht="37.5" thickBot="1">
      <c r="A13" s="84" t="s">
        <v>212</v>
      </c>
      <c r="B13" s="84">
        <v>2022</v>
      </c>
      <c r="C13" s="84">
        <v>2023</v>
      </c>
      <c r="D13" s="84">
        <v>2024</v>
      </c>
      <c r="E13" s="84">
        <v>2025</v>
      </c>
      <c r="F13" s="84">
        <v>2026</v>
      </c>
      <c r="G13" s="84">
        <v>2027</v>
      </c>
      <c r="H13" s="84">
        <v>2028</v>
      </c>
      <c r="I13" s="84">
        <v>2029</v>
      </c>
      <c r="J13" s="84">
        <v>2030</v>
      </c>
      <c r="K13" s="84">
        <v>2031</v>
      </c>
      <c r="L13" s="84">
        <v>2032</v>
      </c>
      <c r="M13" s="84">
        <v>2033</v>
      </c>
      <c r="N13" s="84">
        <v>2034</v>
      </c>
      <c r="O13" s="84">
        <v>2035</v>
      </c>
      <c r="P13" s="84">
        <v>2036</v>
      </c>
      <c r="Q13" s="84">
        <v>2037</v>
      </c>
      <c r="R13" s="84">
        <v>2038</v>
      </c>
      <c r="S13" s="84">
        <v>2039</v>
      </c>
      <c r="T13" s="84">
        <v>2040</v>
      </c>
      <c r="U13" s="84">
        <v>2041</v>
      </c>
      <c r="V13" s="84">
        <v>2042</v>
      </c>
      <c r="W13" s="84">
        <v>2043</v>
      </c>
      <c r="X13" s="84">
        <v>2044</v>
      </c>
      <c r="Y13" s="84">
        <v>2045</v>
      </c>
      <c r="Z13" s="84">
        <v>2046</v>
      </c>
      <c r="AA13" s="84">
        <v>2047</v>
      </c>
      <c r="AB13" s="84">
        <v>2048</v>
      </c>
      <c r="AC13" s="84">
        <v>2049</v>
      </c>
      <c r="AD13" s="84">
        <v>2050</v>
      </c>
      <c r="AE13" s="85">
        <v>2050</v>
      </c>
      <c r="AF13" s="80"/>
    </row>
    <row r="14" spans="1:32" ht="15.75" thickTop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</row>
    <row r="15" spans="1:32" ht="24.75">
      <c r="A15" s="86" t="s">
        <v>264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</row>
    <row r="16" spans="1:32" ht="36.75">
      <c r="A16" s="86" t="s">
        <v>214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</row>
    <row r="17" spans="1:32" ht="48.75">
      <c r="A17" s="87" t="s">
        <v>215</v>
      </c>
      <c r="B17" s="88">
        <v>5006.548828</v>
      </c>
      <c r="C17" s="88">
        <v>4623.4965819999998</v>
      </c>
      <c r="D17" s="88">
        <v>4322.0991210000002</v>
      </c>
      <c r="E17" s="88">
        <v>4050.3803710000002</v>
      </c>
      <c r="F17" s="88">
        <v>3798.4448240000002</v>
      </c>
      <c r="G17" s="88">
        <v>3573.9875489999999</v>
      </c>
      <c r="H17" s="88">
        <v>3375.2902829999998</v>
      </c>
      <c r="I17" s="88">
        <v>3201.9536130000001</v>
      </c>
      <c r="J17" s="88">
        <v>3049.9338379999999</v>
      </c>
      <c r="K17" s="88">
        <v>2915.8713379999999</v>
      </c>
      <c r="L17" s="88">
        <v>2799.1982419999999</v>
      </c>
      <c r="M17" s="88">
        <v>2695.3247070000002</v>
      </c>
      <c r="N17" s="88">
        <v>2605.9509280000002</v>
      </c>
      <c r="O17" s="88">
        <v>2531.272461</v>
      </c>
      <c r="P17" s="88">
        <v>2471.8771969999998</v>
      </c>
      <c r="Q17" s="88">
        <v>2420.798828</v>
      </c>
      <c r="R17" s="88">
        <v>2375.9213869999999</v>
      </c>
      <c r="S17" s="88">
        <v>2335.8723140000002</v>
      </c>
      <c r="T17" s="88">
        <v>2299.6142580000001</v>
      </c>
      <c r="U17" s="88">
        <v>2263.0639649999998</v>
      </c>
      <c r="V17" s="88">
        <v>2226.7246089999999</v>
      </c>
      <c r="W17" s="88">
        <v>2188.9047850000002</v>
      </c>
      <c r="X17" s="88">
        <v>2153.0827640000002</v>
      </c>
      <c r="Y17" s="88">
        <v>2121.883057</v>
      </c>
      <c r="Z17" s="88">
        <v>2098.4035640000002</v>
      </c>
      <c r="AA17" s="88">
        <v>2073.5654300000001</v>
      </c>
      <c r="AB17" s="88">
        <v>2048.201172</v>
      </c>
      <c r="AC17" s="88">
        <v>2023.400879</v>
      </c>
      <c r="AD17" s="88">
        <v>2001.2680660000001</v>
      </c>
      <c r="AE17" s="89">
        <v>-3.2217999999999997E-2</v>
      </c>
      <c r="AF17" s="80"/>
    </row>
    <row r="18" spans="1:32" ht="24.75">
      <c r="A18" s="87" t="s">
        <v>216</v>
      </c>
      <c r="B18" s="88">
        <v>16.267254000000001</v>
      </c>
      <c r="C18" s="88">
        <v>14.041601</v>
      </c>
      <c r="D18" s="88">
        <v>12.078984</v>
      </c>
      <c r="E18" s="88">
        <v>10.340630000000001</v>
      </c>
      <c r="F18" s="88">
        <v>8.8101280000000006</v>
      </c>
      <c r="G18" s="88">
        <v>7.4528740000000004</v>
      </c>
      <c r="H18" s="88">
        <v>6.2475370000000003</v>
      </c>
      <c r="I18" s="88">
        <v>5.194445</v>
      </c>
      <c r="J18" s="88">
        <v>4.2915020000000004</v>
      </c>
      <c r="K18" s="88">
        <v>3.5278659999999999</v>
      </c>
      <c r="L18" s="88">
        <v>2.8928690000000001</v>
      </c>
      <c r="M18" s="88">
        <v>2.3767160000000001</v>
      </c>
      <c r="N18" s="88">
        <v>1.9656169999999999</v>
      </c>
      <c r="O18" s="88">
        <v>1.6437999999999999</v>
      </c>
      <c r="P18" s="88">
        <v>1.3933960000000001</v>
      </c>
      <c r="Q18" s="88">
        <v>1.1985239999999999</v>
      </c>
      <c r="R18" s="88">
        <v>1.0473939999999999</v>
      </c>
      <c r="S18" s="88">
        <v>0.92833699999999997</v>
      </c>
      <c r="T18" s="88">
        <v>0.82880399999999999</v>
      </c>
      <c r="U18" s="88">
        <v>0.74240799999999996</v>
      </c>
      <c r="V18" s="88">
        <v>0.66700499999999996</v>
      </c>
      <c r="W18" s="88">
        <v>0.60045899999999996</v>
      </c>
      <c r="X18" s="88">
        <v>0.54111399999999998</v>
      </c>
      <c r="Y18" s="88">
        <v>0.48800300000000002</v>
      </c>
      <c r="Z18" s="88">
        <v>0.44044299999999997</v>
      </c>
      <c r="AA18" s="88">
        <v>0.39783000000000002</v>
      </c>
      <c r="AB18" s="88">
        <v>0.359624</v>
      </c>
      <c r="AC18" s="88">
        <v>0.32534800000000003</v>
      </c>
      <c r="AD18" s="88">
        <v>0.29457699999999998</v>
      </c>
      <c r="AE18" s="89">
        <v>-0.13347400000000001</v>
      </c>
      <c r="AF18" s="80"/>
    </row>
    <row r="19" spans="1:32" ht="36.75">
      <c r="A19" s="87" t="s">
        <v>218</v>
      </c>
      <c r="B19" s="88">
        <v>5022.8159180000002</v>
      </c>
      <c r="C19" s="88">
        <v>4637.5380859999996</v>
      </c>
      <c r="D19" s="88">
        <v>4334.1782229999999</v>
      </c>
      <c r="E19" s="88">
        <v>4060.7209469999998</v>
      </c>
      <c r="F19" s="88">
        <v>3807.2548830000001</v>
      </c>
      <c r="G19" s="88">
        <v>3581.4404300000001</v>
      </c>
      <c r="H19" s="88">
        <v>3381.5378420000002</v>
      </c>
      <c r="I19" s="88">
        <v>3207.1479490000002</v>
      </c>
      <c r="J19" s="88">
        <v>3054.2253420000002</v>
      </c>
      <c r="K19" s="88">
        <v>2919.3991700000001</v>
      </c>
      <c r="L19" s="88">
        <v>2802.0910640000002</v>
      </c>
      <c r="M19" s="88">
        <v>2697.7014159999999</v>
      </c>
      <c r="N19" s="88">
        <v>2607.9165039999998</v>
      </c>
      <c r="O19" s="88">
        <v>2532.91626</v>
      </c>
      <c r="P19" s="88">
        <v>2473.2705080000001</v>
      </c>
      <c r="Q19" s="88">
        <v>2421.9973140000002</v>
      </c>
      <c r="R19" s="88">
        <v>2376.96875</v>
      </c>
      <c r="S19" s="88">
        <v>2336.8005370000001</v>
      </c>
      <c r="T19" s="88">
        <v>2300.443115</v>
      </c>
      <c r="U19" s="88">
        <v>2263.8063959999999</v>
      </c>
      <c r="V19" s="88">
        <v>2227.3916020000001</v>
      </c>
      <c r="W19" s="88">
        <v>2189.5051269999999</v>
      </c>
      <c r="X19" s="88">
        <v>2153.623779</v>
      </c>
      <c r="Y19" s="88">
        <v>2122.3710940000001</v>
      </c>
      <c r="Z19" s="88">
        <v>2098.8439939999998</v>
      </c>
      <c r="AA19" s="88">
        <v>2073.9633789999998</v>
      </c>
      <c r="AB19" s="88">
        <v>2048.5607909999999</v>
      </c>
      <c r="AC19" s="88">
        <v>2023.7261960000001</v>
      </c>
      <c r="AD19" s="88">
        <v>2001.5626219999999</v>
      </c>
      <c r="AE19" s="89">
        <v>-3.2325E-2</v>
      </c>
      <c r="AF19" s="80"/>
    </row>
    <row r="20" spans="1:32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</row>
    <row r="21" spans="1:32" ht="36.75">
      <c r="A21" s="86" t="s">
        <v>219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</row>
    <row r="22" spans="1:32" ht="36.75">
      <c r="A22" s="87" t="s">
        <v>220</v>
      </c>
      <c r="B22" s="88">
        <v>260.40920999999997</v>
      </c>
      <c r="C22" s="88">
        <v>233.988113</v>
      </c>
      <c r="D22" s="88">
        <v>209.63816800000001</v>
      </c>
      <c r="E22" s="88">
        <v>186.641312</v>
      </c>
      <c r="F22" s="88">
        <v>165.97789</v>
      </c>
      <c r="G22" s="88">
        <v>147.821091</v>
      </c>
      <c r="H22" s="88">
        <v>132.07270800000001</v>
      </c>
      <c r="I22" s="88">
        <v>118.785217</v>
      </c>
      <c r="J22" s="88">
        <v>107.733772</v>
      </c>
      <c r="K22" s="88">
        <v>98.722213999999994</v>
      </c>
      <c r="L22" s="88">
        <v>91.63073</v>
      </c>
      <c r="M22" s="88">
        <v>86.220878999999996</v>
      </c>
      <c r="N22" s="88">
        <v>82.223006999999996</v>
      </c>
      <c r="O22" s="88">
        <v>79.438202000000004</v>
      </c>
      <c r="P22" s="88">
        <v>77.735916000000003</v>
      </c>
      <c r="Q22" s="88">
        <v>76.541740000000004</v>
      </c>
      <c r="R22" s="88">
        <v>75.666542000000007</v>
      </c>
      <c r="S22" s="88">
        <v>75.034683000000001</v>
      </c>
      <c r="T22" s="88">
        <v>74.555442999999997</v>
      </c>
      <c r="U22" s="88">
        <v>74.032272000000006</v>
      </c>
      <c r="V22" s="88">
        <v>73.489875999999995</v>
      </c>
      <c r="W22" s="88">
        <v>72.862831</v>
      </c>
      <c r="X22" s="88">
        <v>72.320983999999996</v>
      </c>
      <c r="Y22" s="88">
        <v>71.990898000000001</v>
      </c>
      <c r="Z22" s="88">
        <v>72.008469000000005</v>
      </c>
      <c r="AA22" s="88">
        <v>71.941269000000005</v>
      </c>
      <c r="AB22" s="88">
        <v>71.822685000000007</v>
      </c>
      <c r="AC22" s="88">
        <v>71.715027000000006</v>
      </c>
      <c r="AD22" s="88">
        <v>71.534599</v>
      </c>
      <c r="AE22" s="89">
        <v>-4.5096999999999998E-2</v>
      </c>
      <c r="AF22" s="80"/>
    </row>
    <row r="23" spans="1:32" ht="48.75">
      <c r="A23" s="87" t="s">
        <v>221</v>
      </c>
      <c r="B23" s="88">
        <v>11.328023999999999</v>
      </c>
      <c r="C23" s="88">
        <v>11.751799</v>
      </c>
      <c r="D23" s="88">
        <v>12.242355999999999</v>
      </c>
      <c r="E23" s="88">
        <v>12.619923999999999</v>
      </c>
      <c r="F23" s="88">
        <v>12.897100999999999</v>
      </c>
      <c r="G23" s="88">
        <v>13.181957000000001</v>
      </c>
      <c r="H23" s="88">
        <v>13.471306999999999</v>
      </c>
      <c r="I23" s="88">
        <v>13.783559</v>
      </c>
      <c r="J23" s="88">
        <v>14.123207000000001</v>
      </c>
      <c r="K23" s="88">
        <v>14.488545999999999</v>
      </c>
      <c r="L23" s="88">
        <v>14.888897999999999</v>
      </c>
      <c r="M23" s="88">
        <v>15.317131</v>
      </c>
      <c r="N23" s="88">
        <v>15.792070000000001</v>
      </c>
      <c r="O23" s="88">
        <v>16.327549000000001</v>
      </c>
      <c r="P23" s="88">
        <v>16.936695</v>
      </c>
      <c r="Q23" s="88">
        <v>17.576630000000002</v>
      </c>
      <c r="R23" s="88">
        <v>18.235157000000001</v>
      </c>
      <c r="S23" s="88">
        <v>18.903063</v>
      </c>
      <c r="T23" s="88">
        <v>19.57601</v>
      </c>
      <c r="U23" s="88">
        <v>20.217279000000001</v>
      </c>
      <c r="V23" s="88">
        <v>20.833856999999998</v>
      </c>
      <c r="W23" s="88">
        <v>21.407917000000001</v>
      </c>
      <c r="X23" s="88">
        <v>21.978210000000001</v>
      </c>
      <c r="Y23" s="88">
        <v>22.581918999999999</v>
      </c>
      <c r="Z23" s="88">
        <v>23.266811000000001</v>
      </c>
      <c r="AA23" s="88">
        <v>23.926888000000002</v>
      </c>
      <c r="AB23" s="88">
        <v>24.574036</v>
      </c>
      <c r="AC23" s="88">
        <v>25.223347</v>
      </c>
      <c r="AD23" s="88">
        <v>25.902096</v>
      </c>
      <c r="AE23" s="89">
        <v>2.9978000000000001E-2</v>
      </c>
      <c r="AF23" s="80"/>
    </row>
    <row r="24" spans="1:32" ht="48.75">
      <c r="A24" s="87" t="s">
        <v>222</v>
      </c>
      <c r="B24" s="88">
        <v>17.462101000000001</v>
      </c>
      <c r="C24" s="88">
        <v>18.744710999999999</v>
      </c>
      <c r="D24" s="88">
        <v>21.541321</v>
      </c>
      <c r="E24" s="88">
        <v>25.222059000000002</v>
      </c>
      <c r="F24" s="88">
        <v>29.118895999999999</v>
      </c>
      <c r="G24" s="88">
        <v>33.205460000000002</v>
      </c>
      <c r="H24" s="88">
        <v>37.426132000000003</v>
      </c>
      <c r="I24" s="88">
        <v>41.846263999999998</v>
      </c>
      <c r="J24" s="88">
        <v>46.466693999999997</v>
      </c>
      <c r="K24" s="88">
        <v>51.259414999999997</v>
      </c>
      <c r="L24" s="88">
        <v>56.274909999999998</v>
      </c>
      <c r="M24" s="88">
        <v>61.416988000000003</v>
      </c>
      <c r="N24" s="88">
        <v>66.797652999999997</v>
      </c>
      <c r="O24" s="88">
        <v>72.494193999999993</v>
      </c>
      <c r="P24" s="88">
        <v>78.615684999999999</v>
      </c>
      <c r="Q24" s="88">
        <v>84.929885999999996</v>
      </c>
      <c r="R24" s="88">
        <v>91.387435999999994</v>
      </c>
      <c r="S24" s="88">
        <v>97.968834000000001</v>
      </c>
      <c r="T24" s="88">
        <v>104.64284499999999</v>
      </c>
      <c r="U24" s="88">
        <v>111.18373099999999</v>
      </c>
      <c r="V24" s="88">
        <v>117.624878</v>
      </c>
      <c r="W24" s="88">
        <v>123.84116400000001</v>
      </c>
      <c r="X24" s="88">
        <v>130.079071</v>
      </c>
      <c r="Y24" s="88">
        <v>136.56813</v>
      </c>
      <c r="Z24" s="88">
        <v>143.622345</v>
      </c>
      <c r="AA24" s="88">
        <v>150.508972</v>
      </c>
      <c r="AB24" s="88">
        <v>157.309113</v>
      </c>
      <c r="AC24" s="88">
        <v>164.12808200000001</v>
      </c>
      <c r="AD24" s="88">
        <v>171.15566999999999</v>
      </c>
      <c r="AE24" s="89">
        <v>8.4933999999999996E-2</v>
      </c>
      <c r="AF24" s="80"/>
    </row>
    <row r="25" spans="1:32" ht="48.75">
      <c r="A25" s="87" t="s">
        <v>223</v>
      </c>
      <c r="B25" s="88">
        <v>55.467815000000002</v>
      </c>
      <c r="C25" s="88">
        <v>63.862431000000001</v>
      </c>
      <c r="D25" s="88">
        <v>72.749718000000001</v>
      </c>
      <c r="E25" s="88">
        <v>81.883339000000007</v>
      </c>
      <c r="F25" s="88">
        <v>90.405708000000004</v>
      </c>
      <c r="G25" s="88">
        <v>98.471451000000002</v>
      </c>
      <c r="H25" s="88">
        <v>106.067009</v>
      </c>
      <c r="I25" s="88">
        <v>113.402885</v>
      </c>
      <c r="J25" s="88">
        <v>120.48434399999999</v>
      </c>
      <c r="K25" s="88">
        <v>127.294693</v>
      </c>
      <c r="L25" s="88">
        <v>133.98381000000001</v>
      </c>
      <c r="M25" s="88">
        <v>140.44589199999999</v>
      </c>
      <c r="N25" s="88">
        <v>146.910034</v>
      </c>
      <c r="O25" s="88">
        <v>153.54129</v>
      </c>
      <c r="P25" s="88">
        <v>160.56230199999999</v>
      </c>
      <c r="Q25" s="88">
        <v>167.61523399999999</v>
      </c>
      <c r="R25" s="88">
        <v>174.68606600000001</v>
      </c>
      <c r="S25" s="88">
        <v>181.77105700000001</v>
      </c>
      <c r="T25" s="88">
        <v>188.86759900000001</v>
      </c>
      <c r="U25" s="88">
        <v>195.655945</v>
      </c>
      <c r="V25" s="88">
        <v>202.22496000000001</v>
      </c>
      <c r="W25" s="88">
        <v>208.409515</v>
      </c>
      <c r="X25" s="88">
        <v>214.599075</v>
      </c>
      <c r="Y25" s="88">
        <v>221.16119399999999</v>
      </c>
      <c r="Z25" s="88">
        <v>228.55313100000001</v>
      </c>
      <c r="AA25" s="88">
        <v>235.692307</v>
      </c>
      <c r="AB25" s="88">
        <v>242.69841</v>
      </c>
      <c r="AC25" s="88">
        <v>249.723175</v>
      </c>
      <c r="AD25" s="88">
        <v>257.04064899999997</v>
      </c>
      <c r="AE25" s="89">
        <v>5.6293000000000003E-2</v>
      </c>
      <c r="AF25" s="80"/>
    </row>
    <row r="26" spans="1:32" ht="48.75">
      <c r="A26" s="87" t="s">
        <v>224</v>
      </c>
      <c r="B26" s="88">
        <v>18.620896999999999</v>
      </c>
      <c r="C26" s="88">
        <v>18.742386</v>
      </c>
      <c r="D26" s="88">
        <v>19.225785999999999</v>
      </c>
      <c r="E26" s="88">
        <v>19.769812000000002</v>
      </c>
      <c r="F26" s="88">
        <v>20.255057999999998</v>
      </c>
      <c r="G26" s="88">
        <v>20.684639000000001</v>
      </c>
      <c r="H26" s="88">
        <v>21.07461</v>
      </c>
      <c r="I26" s="88">
        <v>21.458030999999998</v>
      </c>
      <c r="J26" s="88">
        <v>21.848562000000001</v>
      </c>
      <c r="K26" s="88">
        <v>22.249832000000001</v>
      </c>
      <c r="L26" s="88">
        <v>22.686924000000001</v>
      </c>
      <c r="M26" s="88">
        <v>23.151102000000002</v>
      </c>
      <c r="N26" s="88">
        <v>23.674931000000001</v>
      </c>
      <c r="O26" s="88">
        <v>24.288008000000001</v>
      </c>
      <c r="P26" s="88">
        <v>25.015554000000002</v>
      </c>
      <c r="Q26" s="88">
        <v>25.810991000000001</v>
      </c>
      <c r="R26" s="88">
        <v>26.663719</v>
      </c>
      <c r="S26" s="88">
        <v>27.561453</v>
      </c>
      <c r="T26" s="88">
        <v>28.491934000000001</v>
      </c>
      <c r="U26" s="88">
        <v>29.406262999999999</v>
      </c>
      <c r="V26" s="88">
        <v>30.308496000000002</v>
      </c>
      <c r="W26" s="88">
        <v>31.167662</v>
      </c>
      <c r="X26" s="88">
        <v>32.028728000000001</v>
      </c>
      <c r="Y26" s="88">
        <v>32.935436000000003</v>
      </c>
      <c r="Z26" s="88">
        <v>33.948967000000003</v>
      </c>
      <c r="AA26" s="88">
        <v>34.930641000000001</v>
      </c>
      <c r="AB26" s="88">
        <v>35.897713000000003</v>
      </c>
      <c r="AC26" s="88">
        <v>36.868178999999998</v>
      </c>
      <c r="AD26" s="88">
        <v>37.873576999999997</v>
      </c>
      <c r="AE26" s="89">
        <v>2.5680000000000001E-2</v>
      </c>
      <c r="AF26" s="80"/>
    </row>
    <row r="27" spans="1:32" ht="48.75">
      <c r="A27" s="87" t="s">
        <v>225</v>
      </c>
      <c r="B27" s="88">
        <v>9.1898499999999999</v>
      </c>
      <c r="C27" s="88">
        <v>9.2321910000000003</v>
      </c>
      <c r="D27" s="88">
        <v>9.5130649999999992</v>
      </c>
      <c r="E27" s="88">
        <v>9.8905469999999998</v>
      </c>
      <c r="F27" s="88">
        <v>10.297814000000001</v>
      </c>
      <c r="G27" s="88">
        <v>10.742392000000001</v>
      </c>
      <c r="H27" s="88">
        <v>11.226654999999999</v>
      </c>
      <c r="I27" s="88">
        <v>11.782159</v>
      </c>
      <c r="J27" s="88">
        <v>12.412929999999999</v>
      </c>
      <c r="K27" s="88">
        <v>13.113447000000001</v>
      </c>
      <c r="L27" s="88">
        <v>13.8957</v>
      </c>
      <c r="M27" s="88">
        <v>14.741248000000001</v>
      </c>
      <c r="N27" s="88">
        <v>15.667826</v>
      </c>
      <c r="O27" s="88">
        <v>16.685068000000001</v>
      </c>
      <c r="P27" s="88">
        <v>17.809175</v>
      </c>
      <c r="Q27" s="88">
        <v>18.991947</v>
      </c>
      <c r="R27" s="88">
        <v>20.221149</v>
      </c>
      <c r="S27" s="88">
        <v>21.486172</v>
      </c>
      <c r="T27" s="88">
        <v>22.775742000000001</v>
      </c>
      <c r="U27" s="88">
        <v>24.045905999999999</v>
      </c>
      <c r="V27" s="88">
        <v>25.302800999999999</v>
      </c>
      <c r="W27" s="88">
        <v>26.519762</v>
      </c>
      <c r="X27" s="88">
        <v>27.738803999999998</v>
      </c>
      <c r="Y27" s="88">
        <v>29.003209999999999</v>
      </c>
      <c r="Z27" s="88">
        <v>30.374689</v>
      </c>
      <c r="AA27" s="88">
        <v>31.715917999999999</v>
      </c>
      <c r="AB27" s="88">
        <v>33.043564000000003</v>
      </c>
      <c r="AC27" s="88">
        <v>34.375633000000001</v>
      </c>
      <c r="AD27" s="88">
        <v>35.743800999999998</v>
      </c>
      <c r="AE27" s="89">
        <v>4.9706E-2</v>
      </c>
      <c r="AF27" s="80"/>
    </row>
    <row r="28" spans="1:32" ht="36.75">
      <c r="A28" s="87" t="s">
        <v>226</v>
      </c>
      <c r="B28" s="88">
        <v>0</v>
      </c>
      <c r="C28" s="88">
        <v>0</v>
      </c>
      <c r="D28" s="88">
        <v>0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  <c r="X28" s="88">
        <v>0</v>
      </c>
      <c r="Y28" s="88">
        <v>0</v>
      </c>
      <c r="Z28" s="88">
        <v>0</v>
      </c>
      <c r="AA28" s="88">
        <v>0</v>
      </c>
      <c r="AB28" s="88">
        <v>0</v>
      </c>
      <c r="AC28" s="88">
        <v>0</v>
      </c>
      <c r="AD28" s="88">
        <v>0</v>
      </c>
      <c r="AE28" s="89" t="s">
        <v>217</v>
      </c>
      <c r="AF28" s="80"/>
    </row>
    <row r="29" spans="1:32" ht="36.75">
      <c r="A29" s="87" t="s">
        <v>227</v>
      </c>
      <c r="B29" s="88">
        <v>223.61549400000001</v>
      </c>
      <c r="C29" s="88">
        <v>216.07962000000001</v>
      </c>
      <c r="D29" s="88">
        <v>210.169006</v>
      </c>
      <c r="E29" s="88">
        <v>203.94279499999999</v>
      </c>
      <c r="F29" s="88">
        <v>198.13800000000001</v>
      </c>
      <c r="G29" s="88">
        <v>193.12855500000001</v>
      </c>
      <c r="H29" s="88">
        <v>188.948227</v>
      </c>
      <c r="I29" s="88">
        <v>185.78183000000001</v>
      </c>
      <c r="J29" s="88">
        <v>183.58956900000001</v>
      </c>
      <c r="K29" s="88">
        <v>182.24688699999999</v>
      </c>
      <c r="L29" s="88">
        <v>181.81208799999999</v>
      </c>
      <c r="M29" s="88">
        <v>182.02372700000001</v>
      </c>
      <c r="N29" s="88">
        <v>183.034592</v>
      </c>
      <c r="O29" s="88">
        <v>184.915085</v>
      </c>
      <c r="P29" s="88">
        <v>187.750809</v>
      </c>
      <c r="Q29" s="88">
        <v>191.071381</v>
      </c>
      <c r="R29" s="88">
        <v>194.74928299999999</v>
      </c>
      <c r="S29" s="88">
        <v>198.695999</v>
      </c>
      <c r="T29" s="88">
        <v>202.83294699999999</v>
      </c>
      <c r="U29" s="88">
        <v>206.79274000000001</v>
      </c>
      <c r="V29" s="88">
        <v>210.62626599999999</v>
      </c>
      <c r="W29" s="88">
        <v>214.15209999999999</v>
      </c>
      <c r="X29" s="88">
        <v>217.717209</v>
      </c>
      <c r="Y29" s="88">
        <v>221.63664199999999</v>
      </c>
      <c r="Z29" s="88">
        <v>226.31954999999999</v>
      </c>
      <c r="AA29" s="88">
        <v>230.77928199999999</v>
      </c>
      <c r="AB29" s="88">
        <v>235.12669399999999</v>
      </c>
      <c r="AC29" s="88">
        <v>239.49491900000001</v>
      </c>
      <c r="AD29" s="88">
        <v>244.11679100000001</v>
      </c>
      <c r="AE29" s="89">
        <v>3.1380000000000002E-3</v>
      </c>
      <c r="AF29" s="80"/>
    </row>
    <row r="30" spans="1:32" ht="24.75">
      <c r="A30" s="87" t="s">
        <v>228</v>
      </c>
      <c r="B30" s="88">
        <v>11.524046999999999</v>
      </c>
      <c r="C30" s="88">
        <v>10.680966</v>
      </c>
      <c r="D30" s="88">
        <v>9.7907329999999995</v>
      </c>
      <c r="E30" s="88">
        <v>8.885427</v>
      </c>
      <c r="F30" s="88">
        <v>7.9903449999999996</v>
      </c>
      <c r="G30" s="88">
        <v>7.1033359999999997</v>
      </c>
      <c r="H30" s="88">
        <v>6.2375930000000004</v>
      </c>
      <c r="I30" s="88">
        <v>5.4280480000000004</v>
      </c>
      <c r="J30" s="88">
        <v>4.7586219999999999</v>
      </c>
      <c r="K30" s="88">
        <v>4.1292390000000001</v>
      </c>
      <c r="L30" s="88">
        <v>3.577585</v>
      </c>
      <c r="M30" s="88">
        <v>3.1073620000000002</v>
      </c>
      <c r="N30" s="88">
        <v>2.7210860000000001</v>
      </c>
      <c r="O30" s="88">
        <v>2.3994659999999999</v>
      </c>
      <c r="P30" s="88">
        <v>2.1384289999999999</v>
      </c>
      <c r="Q30" s="88">
        <v>1.9661150000000001</v>
      </c>
      <c r="R30" s="88">
        <v>1.819323</v>
      </c>
      <c r="S30" s="88">
        <v>1.697581</v>
      </c>
      <c r="T30" s="88">
        <v>1.589439</v>
      </c>
      <c r="U30" s="88">
        <v>1.488186</v>
      </c>
      <c r="V30" s="88">
        <v>1.393384</v>
      </c>
      <c r="W30" s="88">
        <v>1.3046199999999999</v>
      </c>
      <c r="X30" s="88">
        <v>1.221511</v>
      </c>
      <c r="Y30" s="88">
        <v>1.143696</v>
      </c>
      <c r="Z30" s="88">
        <v>1.0708390000000001</v>
      </c>
      <c r="AA30" s="88">
        <v>1.0026219999999999</v>
      </c>
      <c r="AB30" s="88">
        <v>0.93875200000000003</v>
      </c>
      <c r="AC30" s="88">
        <v>0.87895000000000001</v>
      </c>
      <c r="AD30" s="88">
        <v>0.82295799999999997</v>
      </c>
      <c r="AE30" s="89">
        <v>-8.9954000000000006E-2</v>
      </c>
      <c r="AF30" s="80"/>
    </row>
    <row r="31" spans="1:32" ht="36.75">
      <c r="A31" s="87" t="s">
        <v>229</v>
      </c>
      <c r="B31" s="88">
        <v>0.307861</v>
      </c>
      <c r="C31" s="88">
        <v>0.26491900000000002</v>
      </c>
      <c r="D31" s="88">
        <v>0.23980199999999999</v>
      </c>
      <c r="E31" s="88">
        <v>0.224525</v>
      </c>
      <c r="F31" s="88">
        <v>0.21022199999999999</v>
      </c>
      <c r="G31" s="88">
        <v>0.19683</v>
      </c>
      <c r="H31" s="88">
        <v>0.18429200000000001</v>
      </c>
      <c r="I31" s="88">
        <v>0.17255100000000001</v>
      </c>
      <c r="J31" s="88">
        <v>0.16155900000000001</v>
      </c>
      <c r="K31" s="88">
        <v>0.15126700000000001</v>
      </c>
      <c r="L31" s="88">
        <v>0.14163100000000001</v>
      </c>
      <c r="M31" s="88">
        <v>0.132609</v>
      </c>
      <c r="N31" s="88">
        <v>0.12416099999999999</v>
      </c>
      <c r="O31" s="88">
        <v>0.11625199999999999</v>
      </c>
      <c r="P31" s="88">
        <v>0.108846</v>
      </c>
      <c r="Q31" s="88">
        <v>0.101912</v>
      </c>
      <c r="R31" s="88">
        <v>9.5420000000000005E-2</v>
      </c>
      <c r="S31" s="88">
        <v>8.9341000000000004E-2</v>
      </c>
      <c r="T31" s="88">
        <v>8.3650000000000002E-2</v>
      </c>
      <c r="U31" s="88">
        <v>7.8321000000000002E-2</v>
      </c>
      <c r="V31" s="88">
        <v>7.3331999999999994E-2</v>
      </c>
      <c r="W31" s="88">
        <v>6.8659999999999999E-2</v>
      </c>
      <c r="X31" s="88">
        <v>6.4285999999999996E-2</v>
      </c>
      <c r="Y31" s="88">
        <v>6.0191000000000001E-2</v>
      </c>
      <c r="Z31" s="88">
        <v>5.6356999999999997E-2</v>
      </c>
      <c r="AA31" s="88">
        <v>5.2767000000000001E-2</v>
      </c>
      <c r="AB31" s="88">
        <v>4.9404999999999998E-2</v>
      </c>
      <c r="AC31" s="88">
        <v>4.6258000000000001E-2</v>
      </c>
      <c r="AD31" s="88">
        <v>4.3311000000000002E-2</v>
      </c>
      <c r="AE31" s="89">
        <v>-6.7646999999999999E-2</v>
      </c>
      <c r="AF31" s="80"/>
    </row>
    <row r="32" spans="1:32" ht="24.75">
      <c r="A32" s="87" t="s">
        <v>230</v>
      </c>
      <c r="B32" s="88">
        <v>2.0879910000000002</v>
      </c>
      <c r="C32" s="88">
        <v>1.7846089999999999</v>
      </c>
      <c r="D32" s="88">
        <v>1.535312</v>
      </c>
      <c r="E32" s="88">
        <v>1.3333470000000001</v>
      </c>
      <c r="F32" s="88">
        <v>1.206512</v>
      </c>
      <c r="G32" s="88">
        <v>1.127065</v>
      </c>
      <c r="H32" s="88">
        <v>1.055267</v>
      </c>
      <c r="I32" s="88">
        <v>0.988043</v>
      </c>
      <c r="J32" s="88">
        <v>0.92510099999999995</v>
      </c>
      <c r="K32" s="88">
        <v>0.86616800000000005</v>
      </c>
      <c r="L32" s="88">
        <v>0.81099100000000002</v>
      </c>
      <c r="M32" s="88">
        <v>0.759328</v>
      </c>
      <c r="N32" s="88">
        <v>0.71095600000000003</v>
      </c>
      <c r="O32" s="88">
        <v>0.66566499999999995</v>
      </c>
      <c r="P32" s="88">
        <v>0.62326000000000004</v>
      </c>
      <c r="Q32" s="88">
        <v>0.58355599999999996</v>
      </c>
      <c r="R32" s="88">
        <v>0.54638100000000001</v>
      </c>
      <c r="S32" s="88">
        <v>0.511575</v>
      </c>
      <c r="T32" s="88">
        <v>0.47898600000000002</v>
      </c>
      <c r="U32" s="88">
        <v>0.44847300000000001</v>
      </c>
      <c r="V32" s="88">
        <v>0.41990300000000003</v>
      </c>
      <c r="W32" s="88">
        <v>0.393154</v>
      </c>
      <c r="X32" s="88">
        <v>0.36810900000000002</v>
      </c>
      <c r="Y32" s="88">
        <v>0.34465899999999999</v>
      </c>
      <c r="Z32" s="88">
        <v>0.32270300000000002</v>
      </c>
      <c r="AA32" s="88">
        <v>0.302145</v>
      </c>
      <c r="AB32" s="88">
        <v>0.28289799999999998</v>
      </c>
      <c r="AC32" s="88">
        <v>0.264876</v>
      </c>
      <c r="AD32" s="88">
        <v>0.248003</v>
      </c>
      <c r="AE32" s="89">
        <v>-7.3266999999999999E-2</v>
      </c>
      <c r="AF32" s="80"/>
    </row>
    <row r="33" spans="1:32" ht="24.75">
      <c r="A33" s="87" t="s">
        <v>231</v>
      </c>
      <c r="B33" s="88">
        <v>4.0826789999999997</v>
      </c>
      <c r="C33" s="88">
        <v>3.4803980000000001</v>
      </c>
      <c r="D33" s="88">
        <v>2.9777900000000002</v>
      </c>
      <c r="E33" s="88">
        <v>2.5650409999999999</v>
      </c>
      <c r="F33" s="88">
        <v>2.2838059999999998</v>
      </c>
      <c r="G33" s="88">
        <v>2.1086070000000001</v>
      </c>
      <c r="H33" s="88">
        <v>1.959856</v>
      </c>
      <c r="I33" s="88">
        <v>1.8350059999999999</v>
      </c>
      <c r="J33" s="88">
        <v>1.7181090000000001</v>
      </c>
      <c r="K33" s="88">
        <v>1.60866</v>
      </c>
      <c r="L33" s="88">
        <v>1.5061819999999999</v>
      </c>
      <c r="M33" s="88">
        <v>1.4102330000000001</v>
      </c>
      <c r="N33" s="88">
        <v>1.3203959999999999</v>
      </c>
      <c r="O33" s="88">
        <v>1.2362820000000001</v>
      </c>
      <c r="P33" s="88">
        <v>1.1575260000000001</v>
      </c>
      <c r="Q33" s="88">
        <v>1.083788</v>
      </c>
      <c r="R33" s="88">
        <v>1.0147470000000001</v>
      </c>
      <c r="S33" s="88">
        <v>0.95010399999999995</v>
      </c>
      <c r="T33" s="88">
        <v>0.88957900000000001</v>
      </c>
      <c r="U33" s="88">
        <v>0.83290900000000001</v>
      </c>
      <c r="V33" s="88">
        <v>0.77985000000000004</v>
      </c>
      <c r="W33" s="88">
        <v>0.73017100000000001</v>
      </c>
      <c r="X33" s="88">
        <v>0.68365600000000004</v>
      </c>
      <c r="Y33" s="88">
        <v>0.64010500000000004</v>
      </c>
      <c r="Z33" s="88">
        <v>0.59932799999999997</v>
      </c>
      <c r="AA33" s="88">
        <v>0.56114900000000001</v>
      </c>
      <c r="AB33" s="88">
        <v>0.52540100000000001</v>
      </c>
      <c r="AC33" s="88">
        <v>0.49193100000000001</v>
      </c>
      <c r="AD33" s="88">
        <v>0.460594</v>
      </c>
      <c r="AE33" s="89">
        <v>-7.4968999999999994E-2</v>
      </c>
      <c r="AF33" s="80"/>
    </row>
    <row r="34" spans="1:32" ht="36.75">
      <c r="A34" s="87" t="s">
        <v>232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Z34" s="88">
        <v>0</v>
      </c>
      <c r="AA34" s="88">
        <v>0</v>
      </c>
      <c r="AB34" s="88">
        <v>0</v>
      </c>
      <c r="AC34" s="88">
        <v>0</v>
      </c>
      <c r="AD34" s="88">
        <v>0</v>
      </c>
      <c r="AE34" s="89" t="s">
        <v>217</v>
      </c>
      <c r="AF34" s="80"/>
    </row>
    <row r="35" spans="1:32" ht="36.75">
      <c r="A35" s="87" t="s">
        <v>233</v>
      </c>
      <c r="B35" s="88">
        <v>0.695658</v>
      </c>
      <c r="C35" s="88">
        <v>0.69352499999999995</v>
      </c>
      <c r="D35" s="88">
        <v>0.730931</v>
      </c>
      <c r="E35" s="88">
        <v>0.79698999999999998</v>
      </c>
      <c r="F35" s="88">
        <v>0.88553999999999999</v>
      </c>
      <c r="G35" s="88">
        <v>0.98939999999999995</v>
      </c>
      <c r="H35" s="88">
        <v>1.10531</v>
      </c>
      <c r="I35" s="88">
        <v>1.234237</v>
      </c>
      <c r="J35" s="88">
        <v>1.3744749999999999</v>
      </c>
      <c r="K35" s="88">
        <v>1.5244759999999999</v>
      </c>
      <c r="L35" s="88">
        <v>1.6852279999999999</v>
      </c>
      <c r="M35" s="88">
        <v>1.8541810000000001</v>
      </c>
      <c r="N35" s="88">
        <v>2.033293</v>
      </c>
      <c r="O35" s="88">
        <v>2.2237119999999999</v>
      </c>
      <c r="P35" s="88">
        <v>2.4270939999999999</v>
      </c>
      <c r="Q35" s="88">
        <v>2.6390389999999999</v>
      </c>
      <c r="R35" s="88">
        <v>2.8586079999999998</v>
      </c>
      <c r="S35" s="88">
        <v>3.0842800000000001</v>
      </c>
      <c r="T35" s="88">
        <v>3.3144110000000002</v>
      </c>
      <c r="U35" s="88">
        <v>3.5441980000000002</v>
      </c>
      <c r="V35" s="88">
        <v>3.773129</v>
      </c>
      <c r="W35" s="88">
        <v>3.9972880000000002</v>
      </c>
      <c r="X35" s="88">
        <v>4.2207540000000003</v>
      </c>
      <c r="Y35" s="88">
        <v>4.4483009999999998</v>
      </c>
      <c r="Z35" s="88">
        <v>4.6884439999999996</v>
      </c>
      <c r="AA35" s="88">
        <v>4.9254730000000002</v>
      </c>
      <c r="AB35" s="88">
        <v>5.1619760000000001</v>
      </c>
      <c r="AC35" s="88">
        <v>5.3994140000000002</v>
      </c>
      <c r="AD35" s="88">
        <v>5.6399559999999997</v>
      </c>
      <c r="AE35" s="89">
        <v>7.7605999999999994E-2</v>
      </c>
      <c r="AF35" s="80"/>
    </row>
    <row r="36" spans="1:32" ht="36.75">
      <c r="A36" s="87" t="s">
        <v>234</v>
      </c>
      <c r="B36" s="88">
        <v>614.79174799999998</v>
      </c>
      <c r="C36" s="88">
        <v>589.30566399999998</v>
      </c>
      <c r="D36" s="88">
        <v>570.35400400000003</v>
      </c>
      <c r="E36" s="88">
        <v>553.77508499999999</v>
      </c>
      <c r="F36" s="88">
        <v>539.66693099999998</v>
      </c>
      <c r="G36" s="88">
        <v>528.76080300000001</v>
      </c>
      <c r="H36" s="88">
        <v>520.828979</v>
      </c>
      <c r="I36" s="88">
        <v>516.49780299999998</v>
      </c>
      <c r="J36" s="88">
        <v>515.59692399999994</v>
      </c>
      <c r="K36" s="88">
        <v>517.65484600000002</v>
      </c>
      <c r="L36" s="88">
        <v>522.89471400000002</v>
      </c>
      <c r="M36" s="88">
        <v>530.58074999999997</v>
      </c>
      <c r="N36" s="88">
        <v>541.01000999999997</v>
      </c>
      <c r="O36" s="88">
        <v>554.33074999999997</v>
      </c>
      <c r="P36" s="88">
        <v>570.881348</v>
      </c>
      <c r="Q36" s="88">
        <v>588.91223100000002</v>
      </c>
      <c r="R36" s="88">
        <v>607.94378700000004</v>
      </c>
      <c r="S36" s="88">
        <v>627.75414999999998</v>
      </c>
      <c r="T36" s="88">
        <v>648.09857199999999</v>
      </c>
      <c r="U36" s="88">
        <v>667.72619599999996</v>
      </c>
      <c r="V36" s="88">
        <v>686.85070800000005</v>
      </c>
      <c r="W36" s="88">
        <v>704.85485800000004</v>
      </c>
      <c r="X36" s="88">
        <v>723.02038600000003</v>
      </c>
      <c r="Y36" s="88">
        <v>742.51434300000005</v>
      </c>
      <c r="Z36" s="88">
        <v>764.83160399999997</v>
      </c>
      <c r="AA36" s="88">
        <v>786.33947799999999</v>
      </c>
      <c r="AB36" s="88">
        <v>807.43066399999998</v>
      </c>
      <c r="AC36" s="88">
        <v>828.60986300000002</v>
      </c>
      <c r="AD36" s="88">
        <v>850.58196999999996</v>
      </c>
      <c r="AE36" s="89">
        <v>1.1662E-2</v>
      </c>
      <c r="AF36" s="80"/>
    </row>
    <row r="37" spans="1:32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</row>
    <row r="38" spans="1:32" ht="24.75">
      <c r="A38" s="87" t="s">
        <v>265</v>
      </c>
      <c r="B38" s="88">
        <v>5637.607422</v>
      </c>
      <c r="C38" s="88">
        <v>5226.84375</v>
      </c>
      <c r="D38" s="88">
        <v>4904.5322269999997</v>
      </c>
      <c r="E38" s="88">
        <v>4614.4960940000001</v>
      </c>
      <c r="F38" s="88">
        <v>4346.921875</v>
      </c>
      <c r="G38" s="88">
        <v>4110.201172</v>
      </c>
      <c r="H38" s="88">
        <v>3902.3666990000002</v>
      </c>
      <c r="I38" s="88">
        <v>3723.6457519999999</v>
      </c>
      <c r="J38" s="88">
        <v>3569.8222660000001</v>
      </c>
      <c r="K38" s="88">
        <v>3437.0539549999999</v>
      </c>
      <c r="L38" s="88">
        <v>3324.9858399999998</v>
      </c>
      <c r="M38" s="88">
        <v>3228.2822270000001</v>
      </c>
      <c r="N38" s="88">
        <v>3148.9265140000002</v>
      </c>
      <c r="O38" s="88">
        <v>3087.2470699999999</v>
      </c>
      <c r="P38" s="88">
        <v>3044.1518550000001</v>
      </c>
      <c r="Q38" s="88">
        <v>3010.9096679999998</v>
      </c>
      <c r="R38" s="88">
        <v>2984.9125979999999</v>
      </c>
      <c r="S38" s="88">
        <v>2964.5546880000002</v>
      </c>
      <c r="T38" s="88">
        <v>2948.5417480000001</v>
      </c>
      <c r="U38" s="88">
        <v>2931.5327149999998</v>
      </c>
      <c r="V38" s="88">
        <v>2914.2421880000002</v>
      </c>
      <c r="W38" s="88">
        <v>2894.3598630000001</v>
      </c>
      <c r="X38" s="88">
        <v>2876.6440429999998</v>
      </c>
      <c r="Y38" s="88">
        <v>2864.8854980000001</v>
      </c>
      <c r="Z38" s="88">
        <v>2863.6755370000001</v>
      </c>
      <c r="AA38" s="88">
        <v>2860.3027339999999</v>
      </c>
      <c r="AB38" s="88">
        <v>2855.9914549999999</v>
      </c>
      <c r="AC38" s="88">
        <v>2852.3359380000002</v>
      </c>
      <c r="AD38" s="88">
        <v>2852.1445309999999</v>
      </c>
      <c r="AE38" s="89">
        <v>-2.4042000000000001E-2</v>
      </c>
      <c r="AF38" s="80"/>
    </row>
    <row r="39" spans="1:32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</row>
    <row r="40" spans="1:32" ht="24.75">
      <c r="A40" s="86" t="s">
        <v>266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</row>
    <row r="41" spans="1:32" ht="48.75">
      <c r="A41" s="86" t="s">
        <v>238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</row>
    <row r="42" spans="1:32" ht="48.75">
      <c r="A42" s="87" t="s">
        <v>215</v>
      </c>
      <c r="B42" s="88">
        <v>7639.0830079999996</v>
      </c>
      <c r="C42" s="88">
        <v>7655.0961909999996</v>
      </c>
      <c r="D42" s="88">
        <v>7760.3139650000003</v>
      </c>
      <c r="E42" s="88">
        <v>7895.3627930000002</v>
      </c>
      <c r="F42" s="88">
        <v>8023.1142579999996</v>
      </c>
      <c r="G42" s="88">
        <v>8127.6328119999998</v>
      </c>
      <c r="H42" s="88">
        <v>8212.9814449999994</v>
      </c>
      <c r="I42" s="88">
        <v>8290.5888670000004</v>
      </c>
      <c r="J42" s="88">
        <v>8349.9736329999996</v>
      </c>
      <c r="K42" s="88">
        <v>8394.4511719999991</v>
      </c>
      <c r="L42" s="88">
        <v>8423.9824219999991</v>
      </c>
      <c r="M42" s="88">
        <v>8440.4257809999999</v>
      </c>
      <c r="N42" s="88">
        <v>8451.6865230000003</v>
      </c>
      <c r="O42" s="88">
        <v>8465.3476559999999</v>
      </c>
      <c r="P42" s="88">
        <v>8480.6542969999991</v>
      </c>
      <c r="Q42" s="88">
        <v>8497.1035159999992</v>
      </c>
      <c r="R42" s="88">
        <v>8516.1015619999998</v>
      </c>
      <c r="S42" s="88">
        <v>8536.0273440000001</v>
      </c>
      <c r="T42" s="88">
        <v>8559.6494139999995</v>
      </c>
      <c r="U42" s="88">
        <v>8580.203125</v>
      </c>
      <c r="V42" s="88">
        <v>8599.4804690000001</v>
      </c>
      <c r="W42" s="88">
        <v>8618.3642579999996</v>
      </c>
      <c r="X42" s="88">
        <v>8635.5253909999992</v>
      </c>
      <c r="Y42" s="88">
        <v>8659.0556639999995</v>
      </c>
      <c r="Z42" s="88">
        <v>8680.4677730000003</v>
      </c>
      <c r="AA42" s="88">
        <v>8702.9228519999997</v>
      </c>
      <c r="AB42" s="88">
        <v>8720.7890619999998</v>
      </c>
      <c r="AC42" s="88">
        <v>8742.2802730000003</v>
      </c>
      <c r="AD42" s="88">
        <v>8768.0771480000003</v>
      </c>
      <c r="AE42" s="89">
        <v>4.9350000000000002E-3</v>
      </c>
      <c r="AF42" s="80"/>
    </row>
    <row r="43" spans="1:32" ht="24.75">
      <c r="A43" s="87" t="s">
        <v>216</v>
      </c>
      <c r="B43" s="88">
        <v>60.554519999999997</v>
      </c>
      <c r="C43" s="88">
        <v>54.813412</v>
      </c>
      <c r="D43" s="88">
        <v>48.998947000000001</v>
      </c>
      <c r="E43" s="88">
        <v>43.883667000000003</v>
      </c>
      <c r="F43" s="88">
        <v>39.715415999999998</v>
      </c>
      <c r="G43" s="88">
        <v>35.790714000000001</v>
      </c>
      <c r="H43" s="88">
        <v>32.023296000000002</v>
      </c>
      <c r="I43" s="88">
        <v>28.420086000000001</v>
      </c>
      <c r="J43" s="88">
        <v>24.994423000000001</v>
      </c>
      <c r="K43" s="88">
        <v>21.770368999999999</v>
      </c>
      <c r="L43" s="88">
        <v>18.758324000000002</v>
      </c>
      <c r="M43" s="88">
        <v>15.995414</v>
      </c>
      <c r="N43" s="88">
        <v>13.487584999999999</v>
      </c>
      <c r="O43" s="88">
        <v>11.270678999999999</v>
      </c>
      <c r="P43" s="88">
        <v>9.3356399999999997</v>
      </c>
      <c r="Q43" s="88">
        <v>7.6824560000000002</v>
      </c>
      <c r="R43" s="88">
        <v>6.3136010000000002</v>
      </c>
      <c r="S43" s="88">
        <v>5.1956619999999996</v>
      </c>
      <c r="T43" s="88">
        <v>4.3157319999999997</v>
      </c>
      <c r="U43" s="88">
        <v>3.6364559999999999</v>
      </c>
      <c r="V43" s="88">
        <v>3.103021</v>
      </c>
      <c r="W43" s="88">
        <v>2.68296</v>
      </c>
      <c r="X43" s="88">
        <v>2.3479139999999998</v>
      </c>
      <c r="Y43" s="88">
        <v>2.093235</v>
      </c>
      <c r="Z43" s="88">
        <v>1.8931100000000001</v>
      </c>
      <c r="AA43" s="88">
        <v>1.714415</v>
      </c>
      <c r="AB43" s="88">
        <v>1.55453</v>
      </c>
      <c r="AC43" s="88">
        <v>1.411821</v>
      </c>
      <c r="AD43" s="88">
        <v>1.2844409999999999</v>
      </c>
      <c r="AE43" s="89">
        <v>-0.12856600000000001</v>
      </c>
      <c r="AF43" s="80"/>
    </row>
    <row r="44" spans="1:32" ht="48.75">
      <c r="A44" s="87" t="s">
        <v>239</v>
      </c>
      <c r="B44" s="88">
        <v>7699.6376950000003</v>
      </c>
      <c r="C44" s="88">
        <v>7709.9096680000002</v>
      </c>
      <c r="D44" s="88">
        <v>7809.3129879999997</v>
      </c>
      <c r="E44" s="88">
        <v>7939.2465819999998</v>
      </c>
      <c r="F44" s="88">
        <v>8062.8295900000003</v>
      </c>
      <c r="G44" s="88">
        <v>8163.4233400000003</v>
      </c>
      <c r="H44" s="88">
        <v>8245.0048829999996</v>
      </c>
      <c r="I44" s="88">
        <v>8319.0087889999995</v>
      </c>
      <c r="J44" s="88">
        <v>8374.9677730000003</v>
      </c>
      <c r="K44" s="88">
        <v>8416.2216800000006</v>
      </c>
      <c r="L44" s="88">
        <v>8442.7412110000005</v>
      </c>
      <c r="M44" s="88">
        <v>8456.4208980000003</v>
      </c>
      <c r="N44" s="88">
        <v>8465.1738280000009</v>
      </c>
      <c r="O44" s="88">
        <v>8476.6181639999995</v>
      </c>
      <c r="P44" s="88">
        <v>8489.9902340000008</v>
      </c>
      <c r="Q44" s="88">
        <v>8504.7861329999996</v>
      </c>
      <c r="R44" s="88">
        <v>8522.4150389999995</v>
      </c>
      <c r="S44" s="88">
        <v>8541.2226559999999</v>
      </c>
      <c r="T44" s="88">
        <v>8563.9648440000001</v>
      </c>
      <c r="U44" s="88">
        <v>8583.8398440000001</v>
      </c>
      <c r="V44" s="88">
        <v>8602.5830079999996</v>
      </c>
      <c r="W44" s="88">
        <v>8621.046875</v>
      </c>
      <c r="X44" s="88">
        <v>8637.8730469999991</v>
      </c>
      <c r="Y44" s="88">
        <v>8661.1484380000002</v>
      </c>
      <c r="Z44" s="88">
        <v>8682.3613280000009</v>
      </c>
      <c r="AA44" s="88">
        <v>8704.6376949999994</v>
      </c>
      <c r="AB44" s="88">
        <v>8722.34375</v>
      </c>
      <c r="AC44" s="88">
        <v>8743.6923829999996</v>
      </c>
      <c r="AD44" s="88">
        <v>8769.3613280000009</v>
      </c>
      <c r="AE44" s="89">
        <v>4.6569999999999997E-3</v>
      </c>
      <c r="AF44" s="80"/>
    </row>
    <row r="45" spans="1:32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</row>
    <row r="46" spans="1:32" ht="48.75">
      <c r="A46" s="86" t="s">
        <v>240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</row>
    <row r="47" spans="1:32" ht="36.75">
      <c r="A47" s="87" t="s">
        <v>220</v>
      </c>
      <c r="B47" s="88">
        <v>1218.5097659999999</v>
      </c>
      <c r="C47" s="88">
        <v>1120.8608400000001</v>
      </c>
      <c r="D47" s="88">
        <v>1037.922607</v>
      </c>
      <c r="E47" s="88">
        <v>953.25146500000005</v>
      </c>
      <c r="F47" s="88">
        <v>874.385132</v>
      </c>
      <c r="G47" s="88">
        <v>799.14770499999997</v>
      </c>
      <c r="H47" s="88">
        <v>728.95617700000003</v>
      </c>
      <c r="I47" s="88">
        <v>665.63317900000004</v>
      </c>
      <c r="J47" s="88">
        <v>608.78552200000001</v>
      </c>
      <c r="K47" s="88">
        <v>558.96545400000002</v>
      </c>
      <c r="L47" s="88">
        <v>515.91949499999998</v>
      </c>
      <c r="M47" s="88">
        <v>479.58041400000002</v>
      </c>
      <c r="N47" s="88">
        <v>449.99478099999999</v>
      </c>
      <c r="O47" s="88">
        <v>427.03121900000002</v>
      </c>
      <c r="P47" s="88">
        <v>409.60955799999999</v>
      </c>
      <c r="Q47" s="88">
        <v>396.73980699999998</v>
      </c>
      <c r="R47" s="88">
        <v>387.82333399999999</v>
      </c>
      <c r="S47" s="88">
        <v>381.65939300000002</v>
      </c>
      <c r="T47" s="88">
        <v>377.57605000000001</v>
      </c>
      <c r="U47" s="88">
        <v>374.55401599999999</v>
      </c>
      <c r="V47" s="88">
        <v>372.48345899999998</v>
      </c>
      <c r="W47" s="88">
        <v>371.24044800000001</v>
      </c>
      <c r="X47" s="88">
        <v>370.602936</v>
      </c>
      <c r="Y47" s="88">
        <v>371.138733</v>
      </c>
      <c r="Z47" s="88">
        <v>371.85049400000003</v>
      </c>
      <c r="AA47" s="88">
        <v>372.85183699999999</v>
      </c>
      <c r="AB47" s="88">
        <v>373.50030500000003</v>
      </c>
      <c r="AC47" s="88">
        <v>374.77465799999999</v>
      </c>
      <c r="AD47" s="88">
        <v>376.67770400000001</v>
      </c>
      <c r="AE47" s="89">
        <v>-4.1062000000000001E-2</v>
      </c>
      <c r="AF47" s="80"/>
    </row>
    <row r="48" spans="1:32" ht="48.75">
      <c r="A48" s="87" t="s">
        <v>221</v>
      </c>
      <c r="B48" s="88">
        <v>0.40278399999999998</v>
      </c>
      <c r="C48" s="88">
        <v>0.42450199999999999</v>
      </c>
      <c r="D48" s="88">
        <v>0.45090000000000002</v>
      </c>
      <c r="E48" s="88">
        <v>0.47550700000000001</v>
      </c>
      <c r="F48" s="88">
        <v>0.49552499999999999</v>
      </c>
      <c r="G48" s="88">
        <v>0.51174399999999998</v>
      </c>
      <c r="H48" s="88">
        <v>0.52413100000000001</v>
      </c>
      <c r="I48" s="88">
        <v>0.53337500000000004</v>
      </c>
      <c r="J48" s="88">
        <v>0.53922700000000001</v>
      </c>
      <c r="K48" s="88">
        <v>0.542153</v>
      </c>
      <c r="L48" s="88">
        <v>0.54225900000000005</v>
      </c>
      <c r="M48" s="88">
        <v>0.53948099999999999</v>
      </c>
      <c r="N48" s="88">
        <v>0.53401699999999996</v>
      </c>
      <c r="O48" s="88">
        <v>0.52622400000000003</v>
      </c>
      <c r="P48" s="88">
        <v>0.516212</v>
      </c>
      <c r="Q48" s="88">
        <v>0.50370999999999999</v>
      </c>
      <c r="R48" s="88">
        <v>0.48858099999999999</v>
      </c>
      <c r="S48" s="88">
        <v>0.471082</v>
      </c>
      <c r="T48" s="88">
        <v>0.45154100000000003</v>
      </c>
      <c r="U48" s="88">
        <v>0.430114</v>
      </c>
      <c r="V48" s="88">
        <v>0.40718300000000002</v>
      </c>
      <c r="W48" s="88">
        <v>0.38306600000000002</v>
      </c>
      <c r="X48" s="88">
        <v>0.35797499999999999</v>
      </c>
      <c r="Y48" s="88">
        <v>0.33221000000000001</v>
      </c>
      <c r="Z48" s="88">
        <v>0.30586600000000003</v>
      </c>
      <c r="AA48" s="88">
        <v>0.27916400000000002</v>
      </c>
      <c r="AB48" s="88">
        <v>0.25207499999999999</v>
      </c>
      <c r="AC48" s="88">
        <v>0.22464600000000001</v>
      </c>
      <c r="AD48" s="88">
        <v>0.196857</v>
      </c>
      <c r="AE48" s="89">
        <v>-2.5243999999999999E-2</v>
      </c>
      <c r="AF48" s="80"/>
    </row>
    <row r="49" spans="1:32" ht="48.75">
      <c r="A49" s="87" t="s">
        <v>222</v>
      </c>
      <c r="B49" s="88">
        <v>7.4126669999999999</v>
      </c>
      <c r="C49" s="88">
        <v>13.531482</v>
      </c>
      <c r="D49" s="88">
        <v>22.335041</v>
      </c>
      <c r="E49" s="88">
        <v>33.406112999999998</v>
      </c>
      <c r="F49" s="88">
        <v>46.353321000000001</v>
      </c>
      <c r="G49" s="88">
        <v>60.676521000000001</v>
      </c>
      <c r="H49" s="88">
        <v>76.242644999999996</v>
      </c>
      <c r="I49" s="88">
        <v>93.138985000000005</v>
      </c>
      <c r="J49" s="88">
        <v>110.994789</v>
      </c>
      <c r="K49" s="88">
        <v>129.774933</v>
      </c>
      <c r="L49" s="88">
        <v>149.34217799999999</v>
      </c>
      <c r="M49" s="88">
        <v>169.62480199999999</v>
      </c>
      <c r="N49" s="88">
        <v>190.79437300000001</v>
      </c>
      <c r="O49" s="88">
        <v>213.05165099999999</v>
      </c>
      <c r="P49" s="88">
        <v>236.29544100000001</v>
      </c>
      <c r="Q49" s="88">
        <v>260.44390900000002</v>
      </c>
      <c r="R49" s="88">
        <v>285.51135299999999</v>
      </c>
      <c r="S49" s="88">
        <v>311.33316000000002</v>
      </c>
      <c r="T49" s="88">
        <v>338.007385</v>
      </c>
      <c r="U49" s="88">
        <v>365.09576399999997</v>
      </c>
      <c r="V49" s="88">
        <v>392.64248700000002</v>
      </c>
      <c r="W49" s="88">
        <v>420.65603599999997</v>
      </c>
      <c r="X49" s="88">
        <v>449.01431300000002</v>
      </c>
      <c r="Y49" s="88">
        <v>478.30361900000003</v>
      </c>
      <c r="Z49" s="88">
        <v>507.88632200000001</v>
      </c>
      <c r="AA49" s="88">
        <v>537.97442599999999</v>
      </c>
      <c r="AB49" s="88">
        <v>568.08892800000001</v>
      </c>
      <c r="AC49" s="88">
        <v>598.928223</v>
      </c>
      <c r="AD49" s="88">
        <v>630.58471699999996</v>
      </c>
      <c r="AE49" s="89">
        <v>0.17197999999999999</v>
      </c>
      <c r="AF49" s="80"/>
    </row>
    <row r="50" spans="1:32" ht="48.75">
      <c r="A50" s="87" t="s">
        <v>223</v>
      </c>
      <c r="B50" s="88">
        <v>4.682086</v>
      </c>
      <c r="C50" s="88">
        <v>6.2229380000000001</v>
      </c>
      <c r="D50" s="88">
        <v>8.1345430000000007</v>
      </c>
      <c r="E50" s="88">
        <v>10.340325</v>
      </c>
      <c r="F50" s="88">
        <v>12.714148</v>
      </c>
      <c r="G50" s="88">
        <v>15.219875</v>
      </c>
      <c r="H50" s="88">
        <v>17.849283</v>
      </c>
      <c r="I50" s="88">
        <v>20.622627000000001</v>
      </c>
      <c r="J50" s="88">
        <v>23.482182000000002</v>
      </c>
      <c r="K50" s="88">
        <v>26.428581000000001</v>
      </c>
      <c r="L50" s="88">
        <v>29.444866000000001</v>
      </c>
      <c r="M50" s="88">
        <v>32.522841999999997</v>
      </c>
      <c r="N50" s="88">
        <v>35.698284000000001</v>
      </c>
      <c r="O50" s="88">
        <v>39.007182999999998</v>
      </c>
      <c r="P50" s="88">
        <v>42.437012000000003</v>
      </c>
      <c r="Q50" s="88">
        <v>45.980494999999998</v>
      </c>
      <c r="R50" s="88">
        <v>49.641651000000003</v>
      </c>
      <c r="S50" s="88">
        <v>53.398612999999997</v>
      </c>
      <c r="T50" s="88">
        <v>57.268452000000003</v>
      </c>
      <c r="U50" s="88">
        <v>61.188079999999999</v>
      </c>
      <c r="V50" s="88">
        <v>65.168548999999999</v>
      </c>
      <c r="W50" s="88">
        <v>69.211051999999995</v>
      </c>
      <c r="X50" s="88">
        <v>73.297386000000003</v>
      </c>
      <c r="Y50" s="88">
        <v>77.517409999999998</v>
      </c>
      <c r="Z50" s="88">
        <v>81.776482000000001</v>
      </c>
      <c r="AA50" s="88">
        <v>86.108940000000004</v>
      </c>
      <c r="AB50" s="88">
        <v>90.443427999999997</v>
      </c>
      <c r="AC50" s="88">
        <v>94.884017999999998</v>
      </c>
      <c r="AD50" s="88">
        <v>99.444466000000006</v>
      </c>
      <c r="AE50" s="89">
        <v>0.115316</v>
      </c>
      <c r="AF50" s="80"/>
    </row>
    <row r="51" spans="1:32" ht="48.75">
      <c r="A51" s="87" t="s">
        <v>224</v>
      </c>
      <c r="B51" s="88">
        <v>19.925865000000002</v>
      </c>
      <c r="C51" s="88">
        <v>21.544412999999999</v>
      </c>
      <c r="D51" s="88">
        <v>23.247982</v>
      </c>
      <c r="E51" s="88">
        <v>26.570222999999999</v>
      </c>
      <c r="F51" s="88">
        <v>29.872574</v>
      </c>
      <c r="G51" s="88">
        <v>33.027237</v>
      </c>
      <c r="H51" s="88">
        <v>36.027607000000003</v>
      </c>
      <c r="I51" s="88">
        <v>38.916355000000003</v>
      </c>
      <c r="J51" s="88">
        <v>41.642071000000001</v>
      </c>
      <c r="K51" s="88">
        <v>44.229751999999998</v>
      </c>
      <c r="L51" s="88">
        <v>46.675167000000002</v>
      </c>
      <c r="M51" s="88">
        <v>48.983440000000002</v>
      </c>
      <c r="N51" s="88">
        <v>51.200951000000003</v>
      </c>
      <c r="O51" s="88">
        <v>53.372917000000001</v>
      </c>
      <c r="P51" s="88">
        <v>55.503917999999999</v>
      </c>
      <c r="Q51" s="88">
        <v>57.604095000000001</v>
      </c>
      <c r="R51" s="88">
        <v>59.697902999999997</v>
      </c>
      <c r="S51" s="88">
        <v>61.780059999999999</v>
      </c>
      <c r="T51" s="88">
        <v>63.879299000000003</v>
      </c>
      <c r="U51" s="88">
        <v>65.963065999999998</v>
      </c>
      <c r="V51" s="88">
        <v>68.048286000000004</v>
      </c>
      <c r="W51" s="88">
        <v>70.142859999999999</v>
      </c>
      <c r="X51" s="88">
        <v>72.239493999999993</v>
      </c>
      <c r="Y51" s="88">
        <v>74.405258000000003</v>
      </c>
      <c r="Z51" s="88">
        <v>76.580680999999998</v>
      </c>
      <c r="AA51" s="88">
        <v>78.79007</v>
      </c>
      <c r="AB51" s="88">
        <v>80.991341000000006</v>
      </c>
      <c r="AC51" s="88">
        <v>83.242904999999993</v>
      </c>
      <c r="AD51" s="88">
        <v>85.554489000000004</v>
      </c>
      <c r="AE51" s="89">
        <v>5.3418E-2</v>
      </c>
      <c r="AF51" s="80"/>
    </row>
    <row r="52" spans="1:32" ht="48.75">
      <c r="A52" s="87" t="s">
        <v>225</v>
      </c>
      <c r="B52" s="88">
        <v>1.216323</v>
      </c>
      <c r="C52" s="88">
        <v>1.8004869999999999</v>
      </c>
      <c r="D52" s="88">
        <v>2.6621299999999999</v>
      </c>
      <c r="E52" s="88">
        <v>3.8157960000000002</v>
      </c>
      <c r="F52" s="88">
        <v>5.2756109999999996</v>
      </c>
      <c r="G52" s="88">
        <v>6.9585080000000001</v>
      </c>
      <c r="H52" s="88">
        <v>8.8427710000000008</v>
      </c>
      <c r="I52" s="88">
        <v>10.92844</v>
      </c>
      <c r="J52" s="88">
        <v>13.17403</v>
      </c>
      <c r="K52" s="88">
        <v>15.571790999999999</v>
      </c>
      <c r="L52" s="88">
        <v>18.100981000000001</v>
      </c>
      <c r="M52" s="88">
        <v>20.747391</v>
      </c>
      <c r="N52" s="88">
        <v>23.521432999999998</v>
      </c>
      <c r="O52" s="88">
        <v>26.438811999999999</v>
      </c>
      <c r="P52" s="88">
        <v>29.488754</v>
      </c>
      <c r="Q52" s="88">
        <v>32.663853000000003</v>
      </c>
      <c r="R52" s="88">
        <v>35.966309000000003</v>
      </c>
      <c r="S52" s="88">
        <v>39.377879999999998</v>
      </c>
      <c r="T52" s="88">
        <v>42.906146999999997</v>
      </c>
      <c r="U52" s="88">
        <v>46.508395999999998</v>
      </c>
      <c r="V52" s="88">
        <v>50.184578000000002</v>
      </c>
      <c r="W52" s="88">
        <v>53.931499000000002</v>
      </c>
      <c r="X52" s="88">
        <v>57.733252999999998</v>
      </c>
      <c r="Y52" s="88">
        <v>61.644629999999999</v>
      </c>
      <c r="Z52" s="88">
        <v>65.605125000000001</v>
      </c>
      <c r="AA52" s="88">
        <v>69.635688999999999</v>
      </c>
      <c r="AB52" s="88">
        <v>73.692322000000004</v>
      </c>
      <c r="AC52" s="88">
        <v>77.833954000000006</v>
      </c>
      <c r="AD52" s="88">
        <v>82.071624999999997</v>
      </c>
      <c r="AE52" s="89">
        <v>0.16232199999999999</v>
      </c>
      <c r="AF52" s="80"/>
    </row>
    <row r="53" spans="1:32" ht="36.75">
      <c r="A53" s="87" t="s">
        <v>226</v>
      </c>
      <c r="B53" s="88">
        <v>0</v>
      </c>
      <c r="C53" s="88">
        <v>0</v>
      </c>
      <c r="D53" s="88">
        <v>0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  <c r="X53" s="88">
        <v>0</v>
      </c>
      <c r="Y53" s="88">
        <v>0</v>
      </c>
      <c r="Z53" s="88">
        <v>0</v>
      </c>
      <c r="AA53" s="88">
        <v>0</v>
      </c>
      <c r="AB53" s="88">
        <v>0</v>
      </c>
      <c r="AC53" s="88">
        <v>0</v>
      </c>
      <c r="AD53" s="88">
        <v>0</v>
      </c>
      <c r="AE53" s="89" t="s">
        <v>217</v>
      </c>
      <c r="AF53" s="80"/>
    </row>
    <row r="54" spans="1:32" ht="36.75">
      <c r="A54" s="87" t="s">
        <v>227</v>
      </c>
      <c r="B54" s="88">
        <v>135.86802700000001</v>
      </c>
      <c r="C54" s="88">
        <v>160.33596800000001</v>
      </c>
      <c r="D54" s="88">
        <v>184.473557</v>
      </c>
      <c r="E54" s="88">
        <v>209.81907699999999</v>
      </c>
      <c r="F54" s="88">
        <v>234.51753199999999</v>
      </c>
      <c r="G54" s="88">
        <v>257.46469100000002</v>
      </c>
      <c r="H54" s="88">
        <v>278.54953</v>
      </c>
      <c r="I54" s="88">
        <v>298.11563100000001</v>
      </c>
      <c r="J54" s="88">
        <v>315.834991</v>
      </c>
      <c r="K54" s="88">
        <v>331.873718</v>
      </c>
      <c r="L54" s="88">
        <v>346.20721400000002</v>
      </c>
      <c r="M54" s="88">
        <v>358.901276</v>
      </c>
      <c r="N54" s="88">
        <v>370.31750499999998</v>
      </c>
      <c r="O54" s="88">
        <v>380.79077100000001</v>
      </c>
      <c r="P54" s="88">
        <v>390.40115400000002</v>
      </c>
      <c r="Q54" s="88">
        <v>399.24508700000001</v>
      </c>
      <c r="R54" s="88">
        <v>407.54202299999997</v>
      </c>
      <c r="S54" s="88">
        <v>415.30740400000002</v>
      </c>
      <c r="T54" s="88">
        <v>422.79144300000002</v>
      </c>
      <c r="U54" s="88">
        <v>429.82556199999999</v>
      </c>
      <c r="V54" s="88">
        <v>436.565155</v>
      </c>
      <c r="W54" s="88">
        <v>443.109467</v>
      </c>
      <c r="X54" s="88">
        <v>449.46087599999998</v>
      </c>
      <c r="Y54" s="88">
        <v>456.09204099999999</v>
      </c>
      <c r="Z54" s="88">
        <v>462.64462300000002</v>
      </c>
      <c r="AA54" s="88">
        <v>469.25631700000002</v>
      </c>
      <c r="AB54" s="88">
        <v>475.66360500000002</v>
      </c>
      <c r="AC54" s="88">
        <v>482.26095600000002</v>
      </c>
      <c r="AD54" s="88">
        <v>489.10043300000001</v>
      </c>
      <c r="AE54" s="89">
        <v>4.6808000000000002E-2</v>
      </c>
      <c r="AF54" s="80"/>
    </row>
    <row r="55" spans="1:32" ht="24.75">
      <c r="A55" s="87" t="s">
        <v>228</v>
      </c>
      <c r="B55" s="88">
        <v>2.8394689999999998</v>
      </c>
      <c r="C55" s="88">
        <v>2.6402389999999998</v>
      </c>
      <c r="D55" s="88">
        <v>2.4714209999999999</v>
      </c>
      <c r="E55" s="88">
        <v>2.307671</v>
      </c>
      <c r="F55" s="88">
        <v>2.1489020000000001</v>
      </c>
      <c r="G55" s="88">
        <v>1.9944459999999999</v>
      </c>
      <c r="H55" s="88">
        <v>1.8519239999999999</v>
      </c>
      <c r="I55" s="88">
        <v>1.735058</v>
      </c>
      <c r="J55" s="88">
        <v>1.626692</v>
      </c>
      <c r="K55" s="88">
        <v>1.521126</v>
      </c>
      <c r="L55" s="88">
        <v>1.4203939999999999</v>
      </c>
      <c r="M55" s="88">
        <v>1.3247119999999999</v>
      </c>
      <c r="N55" s="88">
        <v>1.23502</v>
      </c>
      <c r="O55" s="88">
        <v>1.1505069999999999</v>
      </c>
      <c r="P55" s="88">
        <v>1.0719479999999999</v>
      </c>
      <c r="Q55" s="88">
        <v>1.010057</v>
      </c>
      <c r="R55" s="88">
        <v>0.95058600000000004</v>
      </c>
      <c r="S55" s="88">
        <v>0.89879100000000001</v>
      </c>
      <c r="T55" s="88">
        <v>0.84982899999999995</v>
      </c>
      <c r="U55" s="88">
        <v>0.80354300000000001</v>
      </c>
      <c r="V55" s="88">
        <v>0.75978599999999996</v>
      </c>
      <c r="W55" s="88">
        <v>0.71842099999999998</v>
      </c>
      <c r="X55" s="88">
        <v>0.679315</v>
      </c>
      <c r="Y55" s="88">
        <v>0.64234599999999997</v>
      </c>
      <c r="Z55" s="88">
        <v>0.60739500000000002</v>
      </c>
      <c r="AA55" s="88">
        <v>0.57435199999999997</v>
      </c>
      <c r="AB55" s="88">
        <v>0.54311299999999996</v>
      </c>
      <c r="AC55" s="88">
        <v>0.51357900000000001</v>
      </c>
      <c r="AD55" s="88">
        <v>0.48565700000000001</v>
      </c>
      <c r="AE55" s="89">
        <v>-6.1119E-2</v>
      </c>
      <c r="AF55" s="80"/>
    </row>
    <row r="56" spans="1:32" ht="36.75">
      <c r="A56" s="87" t="s">
        <v>229</v>
      </c>
      <c r="B56" s="88">
        <v>2.1852510000000001</v>
      </c>
      <c r="C56" s="88">
        <v>2.0150779999999999</v>
      </c>
      <c r="D56" s="88">
        <v>1.9048449999999999</v>
      </c>
      <c r="E56" s="88">
        <v>1.8006629999999999</v>
      </c>
      <c r="F56" s="88">
        <v>1.702199</v>
      </c>
      <c r="G56" s="88">
        <v>1.609138</v>
      </c>
      <c r="H56" s="88">
        <v>1.521183</v>
      </c>
      <c r="I56" s="88">
        <v>1.4380520000000001</v>
      </c>
      <c r="J56" s="88">
        <v>1.35948</v>
      </c>
      <c r="K56" s="88">
        <v>1.2852170000000001</v>
      </c>
      <c r="L56" s="88">
        <v>1.2150240000000001</v>
      </c>
      <c r="M56" s="88">
        <v>1.1486780000000001</v>
      </c>
      <c r="N56" s="88">
        <v>1.085968</v>
      </c>
      <c r="O56" s="88">
        <v>1.0266930000000001</v>
      </c>
      <c r="P56" s="88">
        <v>0.970665</v>
      </c>
      <c r="Q56" s="88">
        <v>0.91770499999999999</v>
      </c>
      <c r="R56" s="88">
        <v>0.867645</v>
      </c>
      <c r="S56" s="88">
        <v>0.82032499999999997</v>
      </c>
      <c r="T56" s="88">
        <v>0.77559500000000003</v>
      </c>
      <c r="U56" s="88">
        <v>0.73331199999999996</v>
      </c>
      <c r="V56" s="88">
        <v>0.69334200000000001</v>
      </c>
      <c r="W56" s="88">
        <v>0.655559</v>
      </c>
      <c r="X56" s="88">
        <v>0.619842</v>
      </c>
      <c r="Y56" s="88">
        <v>0.58607699999999996</v>
      </c>
      <c r="Z56" s="88">
        <v>0.55415800000000004</v>
      </c>
      <c r="AA56" s="88">
        <v>0.52398299999999998</v>
      </c>
      <c r="AB56" s="88">
        <v>0.49545699999999998</v>
      </c>
      <c r="AC56" s="88">
        <v>0.46848899999999999</v>
      </c>
      <c r="AD56" s="88">
        <v>0.44299500000000003</v>
      </c>
      <c r="AE56" s="89">
        <v>-5.5404000000000002E-2</v>
      </c>
      <c r="AF56" s="80"/>
    </row>
    <row r="57" spans="1:32" ht="24.75">
      <c r="A57" s="87" t="s">
        <v>230</v>
      </c>
      <c r="B57" s="88">
        <v>5.7546530000000002</v>
      </c>
      <c r="C57" s="88">
        <v>5.1709949999999996</v>
      </c>
      <c r="D57" s="88">
        <v>4.6336570000000004</v>
      </c>
      <c r="E57" s="88">
        <v>4.2048030000000001</v>
      </c>
      <c r="F57" s="88">
        <v>3.890476</v>
      </c>
      <c r="G57" s="88">
        <v>3.6618270000000002</v>
      </c>
      <c r="H57" s="88">
        <v>3.461627</v>
      </c>
      <c r="I57" s="88">
        <v>3.272411</v>
      </c>
      <c r="J57" s="88">
        <v>3.0935739999999998</v>
      </c>
      <c r="K57" s="88">
        <v>2.924544</v>
      </c>
      <c r="L57" s="88">
        <v>2.764783</v>
      </c>
      <c r="M57" s="88">
        <v>2.6137800000000002</v>
      </c>
      <c r="N57" s="88">
        <v>2.4710519999999998</v>
      </c>
      <c r="O57" s="88">
        <v>2.3361459999999998</v>
      </c>
      <c r="P57" s="88">
        <v>2.208631</v>
      </c>
      <c r="Q57" s="88">
        <v>2.0880999999999998</v>
      </c>
      <c r="R57" s="88">
        <v>1.97417</v>
      </c>
      <c r="S57" s="88">
        <v>1.8664780000000001</v>
      </c>
      <c r="T57" s="88">
        <v>1.7646809999999999</v>
      </c>
      <c r="U57" s="88">
        <v>1.668455</v>
      </c>
      <c r="V57" s="88">
        <v>1.577494</v>
      </c>
      <c r="W57" s="88">
        <v>1.4915099999999999</v>
      </c>
      <c r="X57" s="88">
        <v>1.410229</v>
      </c>
      <c r="Y57" s="88">
        <v>1.3333919999999999</v>
      </c>
      <c r="Z57" s="88">
        <v>1.2607569999999999</v>
      </c>
      <c r="AA57" s="88">
        <v>1.192091</v>
      </c>
      <c r="AB57" s="88">
        <v>1.1271789999999999</v>
      </c>
      <c r="AC57" s="88">
        <v>1.0658129999999999</v>
      </c>
      <c r="AD57" s="88">
        <v>1.0078</v>
      </c>
      <c r="AE57" s="89">
        <v>-6.0326999999999999E-2</v>
      </c>
      <c r="AF57" s="80"/>
    </row>
    <row r="58" spans="1:32" ht="24.75">
      <c r="A58" s="87" t="s">
        <v>231</v>
      </c>
      <c r="B58" s="88">
        <v>5.1262449999999999</v>
      </c>
      <c r="C58" s="88">
        <v>4.7267590000000004</v>
      </c>
      <c r="D58" s="88">
        <v>4.4681829999999998</v>
      </c>
      <c r="E58" s="88">
        <v>4.2238020000000001</v>
      </c>
      <c r="F58" s="88">
        <v>3.9928349999999999</v>
      </c>
      <c r="G58" s="88">
        <v>3.7745419999999998</v>
      </c>
      <c r="H58" s="88">
        <v>3.568225</v>
      </c>
      <c r="I58" s="88">
        <v>3.373224</v>
      </c>
      <c r="J58" s="88">
        <v>3.1889189999999998</v>
      </c>
      <c r="K58" s="88">
        <v>3.0147189999999999</v>
      </c>
      <c r="L58" s="88">
        <v>2.8500670000000001</v>
      </c>
      <c r="M58" s="88">
        <v>2.6944400000000002</v>
      </c>
      <c r="N58" s="88">
        <v>2.5473409999999999</v>
      </c>
      <c r="O58" s="88">
        <v>2.4083000000000001</v>
      </c>
      <c r="P58" s="88">
        <v>2.276875</v>
      </c>
      <c r="Q58" s="88">
        <v>2.152647</v>
      </c>
      <c r="R58" s="88">
        <v>2.0352209999999999</v>
      </c>
      <c r="S58" s="88">
        <v>1.924223</v>
      </c>
      <c r="T58" s="88">
        <v>1.819299</v>
      </c>
      <c r="U58" s="88">
        <v>1.7201169999999999</v>
      </c>
      <c r="V58" s="88">
        <v>1.62636</v>
      </c>
      <c r="W58" s="88">
        <v>1.5377320000000001</v>
      </c>
      <c r="X58" s="88">
        <v>1.4539500000000001</v>
      </c>
      <c r="Y58" s="88">
        <v>1.3747480000000001</v>
      </c>
      <c r="Z58" s="88">
        <v>1.299876</v>
      </c>
      <c r="AA58" s="88">
        <v>1.229095</v>
      </c>
      <c r="AB58" s="88">
        <v>1.162182</v>
      </c>
      <c r="AC58" s="88">
        <v>1.0989249999999999</v>
      </c>
      <c r="AD58" s="88">
        <v>1.0391220000000001</v>
      </c>
      <c r="AE58" s="89">
        <v>-5.5405999999999997E-2</v>
      </c>
      <c r="AF58" s="80"/>
    </row>
    <row r="59" spans="1:32" ht="36.75">
      <c r="A59" s="87" t="s">
        <v>232</v>
      </c>
      <c r="B59" s="88">
        <v>0</v>
      </c>
      <c r="C59" s="88">
        <v>0</v>
      </c>
      <c r="D59" s="88">
        <v>0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  <c r="X59" s="88">
        <v>0</v>
      </c>
      <c r="Y59" s="88">
        <v>0</v>
      </c>
      <c r="Z59" s="88">
        <v>0</v>
      </c>
      <c r="AA59" s="88">
        <v>0</v>
      </c>
      <c r="AB59" s="88">
        <v>0</v>
      </c>
      <c r="AC59" s="88">
        <v>0</v>
      </c>
      <c r="AD59" s="88">
        <v>0</v>
      </c>
      <c r="AE59" s="89" t="s">
        <v>217</v>
      </c>
      <c r="AF59" s="80"/>
    </row>
    <row r="60" spans="1:32" ht="36.75">
      <c r="A60" s="87" t="s">
        <v>233</v>
      </c>
      <c r="B60" s="88">
        <v>2.0339999999999998E-3</v>
      </c>
      <c r="C60" s="88">
        <v>6.2049999999999996E-3</v>
      </c>
      <c r="D60" s="88">
        <v>1.2722000000000001E-2</v>
      </c>
      <c r="E60" s="88">
        <v>2.1700000000000001E-2</v>
      </c>
      <c r="F60" s="88">
        <v>3.3008999999999997E-2</v>
      </c>
      <c r="G60" s="88">
        <v>4.6428999999999998E-2</v>
      </c>
      <c r="H60" s="88">
        <v>6.1843000000000002E-2</v>
      </c>
      <c r="I60" s="88">
        <v>7.9235E-2</v>
      </c>
      <c r="J60" s="88">
        <v>9.8308999999999994E-2</v>
      </c>
      <c r="K60" s="88">
        <v>0.118946</v>
      </c>
      <c r="L60" s="88">
        <v>0.140962</v>
      </c>
      <c r="M60" s="88">
        <v>0.164185</v>
      </c>
      <c r="N60" s="88">
        <v>0.188612</v>
      </c>
      <c r="O60" s="88">
        <v>0.214285</v>
      </c>
      <c r="P60" s="88">
        <v>0.241124</v>
      </c>
      <c r="Q60" s="88">
        <v>0.26907399999999998</v>
      </c>
      <c r="R60" s="88">
        <v>0.298147</v>
      </c>
      <c r="S60" s="88">
        <v>0.328241</v>
      </c>
      <c r="T60" s="88">
        <v>0.359404</v>
      </c>
      <c r="U60" s="88">
        <v>0.39135799999999998</v>
      </c>
      <c r="V60" s="88">
        <v>0.42408899999999999</v>
      </c>
      <c r="W60" s="88">
        <v>0.45756999999999998</v>
      </c>
      <c r="X60" s="88">
        <v>0.49168200000000001</v>
      </c>
      <c r="Y60" s="88">
        <v>0.52675700000000003</v>
      </c>
      <c r="Z60" s="88">
        <v>0.56241099999999999</v>
      </c>
      <c r="AA60" s="88">
        <v>0.598777</v>
      </c>
      <c r="AB60" s="88">
        <v>0.63556699999999999</v>
      </c>
      <c r="AC60" s="88">
        <v>0.67315000000000003</v>
      </c>
      <c r="AD60" s="88">
        <v>0.71160800000000002</v>
      </c>
      <c r="AE60" s="89">
        <v>0.23269400000000001</v>
      </c>
      <c r="AF60" s="80"/>
    </row>
    <row r="61" spans="1:32" ht="48.75">
      <c r="A61" s="87" t="s">
        <v>241</v>
      </c>
      <c r="B61" s="88">
        <v>1403.9254149999999</v>
      </c>
      <c r="C61" s="88">
        <v>1339.2801509999999</v>
      </c>
      <c r="D61" s="88">
        <v>1292.7174070000001</v>
      </c>
      <c r="E61" s="88">
        <v>1250.237183</v>
      </c>
      <c r="F61" s="88">
        <v>1215.381226</v>
      </c>
      <c r="G61" s="88">
        <v>1184.0926509999999</v>
      </c>
      <c r="H61" s="88">
        <v>1157.4570309999999</v>
      </c>
      <c r="I61" s="88">
        <v>1137.7867429999999</v>
      </c>
      <c r="J61" s="88">
        <v>1123.8199460000001</v>
      </c>
      <c r="K61" s="88">
        <v>1116.2508539999999</v>
      </c>
      <c r="L61" s="88">
        <v>1114.6232910000001</v>
      </c>
      <c r="M61" s="88">
        <v>1118.8454589999999</v>
      </c>
      <c r="N61" s="88">
        <v>1129.5892329999999</v>
      </c>
      <c r="O61" s="88">
        <v>1147.3548579999999</v>
      </c>
      <c r="P61" s="88">
        <v>1171.02124</v>
      </c>
      <c r="Q61" s="88">
        <v>1199.61853</v>
      </c>
      <c r="R61" s="88">
        <v>1232.7967530000001</v>
      </c>
      <c r="S61" s="88">
        <v>1269.1655270000001</v>
      </c>
      <c r="T61" s="88">
        <v>1308.4490969999999</v>
      </c>
      <c r="U61" s="88">
        <v>1348.881836</v>
      </c>
      <c r="V61" s="88">
        <v>1390.580811</v>
      </c>
      <c r="W61" s="88">
        <v>1433.535034</v>
      </c>
      <c r="X61" s="88">
        <v>1477.3614500000001</v>
      </c>
      <c r="Y61" s="88">
        <v>1523.897217</v>
      </c>
      <c r="Z61" s="88">
        <v>1570.9343260000001</v>
      </c>
      <c r="AA61" s="88">
        <v>1619.0146480000001</v>
      </c>
      <c r="AB61" s="88">
        <v>1666.595703</v>
      </c>
      <c r="AC61" s="88">
        <v>1715.9692379999999</v>
      </c>
      <c r="AD61" s="88">
        <v>1767.3173830000001</v>
      </c>
      <c r="AE61" s="89">
        <v>8.2550000000000002E-3</v>
      </c>
      <c r="AF61" s="80"/>
    </row>
    <row r="62" spans="1:3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</row>
    <row r="63" spans="1:32" ht="48.75">
      <c r="A63" s="87" t="s">
        <v>267</v>
      </c>
      <c r="B63" s="88">
        <v>9103.5634769999997</v>
      </c>
      <c r="C63" s="88">
        <v>9049.1894530000009</v>
      </c>
      <c r="D63" s="88">
        <v>9102.0302730000003</v>
      </c>
      <c r="E63" s="88">
        <v>9189.4833980000003</v>
      </c>
      <c r="F63" s="88">
        <v>9278.2109380000002</v>
      </c>
      <c r="G63" s="88">
        <v>9347.515625</v>
      </c>
      <c r="H63" s="88">
        <v>9402.4619139999995</v>
      </c>
      <c r="I63" s="88">
        <v>9456.7958980000003</v>
      </c>
      <c r="J63" s="88">
        <v>9498.7880860000005</v>
      </c>
      <c r="K63" s="88">
        <v>9532.4726559999999</v>
      </c>
      <c r="L63" s="88">
        <v>9557.3642579999996</v>
      </c>
      <c r="M63" s="88">
        <v>9575.2666019999997</v>
      </c>
      <c r="N63" s="88">
        <v>9594.7626949999994</v>
      </c>
      <c r="O63" s="88">
        <v>9623.9726559999999</v>
      </c>
      <c r="P63" s="88">
        <v>9661.0117190000001</v>
      </c>
      <c r="Q63" s="88">
        <v>9704.4042969999991</v>
      </c>
      <c r="R63" s="88">
        <v>9755.2119139999995</v>
      </c>
      <c r="S63" s="88">
        <v>9810.3886719999991</v>
      </c>
      <c r="T63" s="88">
        <v>9872.4140619999998</v>
      </c>
      <c r="U63" s="88">
        <v>9932.7216800000006</v>
      </c>
      <c r="V63" s="88">
        <v>9993.1640619999998</v>
      </c>
      <c r="W63" s="88">
        <v>10054.582031</v>
      </c>
      <c r="X63" s="88">
        <v>10115.234375</v>
      </c>
      <c r="Y63" s="88">
        <v>10185.045898</v>
      </c>
      <c r="Z63" s="88">
        <v>10253.295898</v>
      </c>
      <c r="AA63" s="88">
        <v>10323.652344</v>
      </c>
      <c r="AB63" s="88">
        <v>10388.939453000001</v>
      </c>
      <c r="AC63" s="88">
        <v>10459.662109000001</v>
      </c>
      <c r="AD63" s="88">
        <v>10536.678711</v>
      </c>
      <c r="AE63" s="89">
        <v>5.2350000000000001E-3</v>
      </c>
      <c r="AF63" s="80"/>
    </row>
    <row r="64" spans="1:32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</row>
    <row r="65" spans="1:32" ht="24.75">
      <c r="A65" s="86" t="s">
        <v>244</v>
      </c>
      <c r="B65" s="90">
        <v>14741.170898</v>
      </c>
      <c r="C65" s="90">
        <v>14276.033203000001</v>
      </c>
      <c r="D65" s="90">
        <v>14006.5625</v>
      </c>
      <c r="E65" s="90">
        <v>13803.979492</v>
      </c>
      <c r="F65" s="90">
        <v>13625.132812</v>
      </c>
      <c r="G65" s="90">
        <v>13457.716796999999</v>
      </c>
      <c r="H65" s="90">
        <v>13304.828125</v>
      </c>
      <c r="I65" s="90">
        <v>13180.441406</v>
      </c>
      <c r="J65" s="90">
        <v>13068.610352</v>
      </c>
      <c r="K65" s="90">
        <v>12969.526367</v>
      </c>
      <c r="L65" s="90">
        <v>12882.349609000001</v>
      </c>
      <c r="M65" s="90">
        <v>12803.548828000001</v>
      </c>
      <c r="N65" s="90">
        <v>12743.689453000001</v>
      </c>
      <c r="O65" s="90">
        <v>12711.219727</v>
      </c>
      <c r="P65" s="90">
        <v>12705.164062</v>
      </c>
      <c r="Q65" s="90">
        <v>12715.314453000001</v>
      </c>
      <c r="R65" s="90">
        <v>12740.125</v>
      </c>
      <c r="S65" s="90">
        <v>12774.943359000001</v>
      </c>
      <c r="T65" s="90">
        <v>12820.956055000001</v>
      </c>
      <c r="U65" s="90">
        <v>12864.253906</v>
      </c>
      <c r="V65" s="90">
        <v>12907.40625</v>
      </c>
      <c r="W65" s="90">
        <v>12948.941406</v>
      </c>
      <c r="X65" s="90">
        <v>12991.878906</v>
      </c>
      <c r="Y65" s="90">
        <v>13049.931640999999</v>
      </c>
      <c r="Z65" s="90">
        <v>13116.971680000001</v>
      </c>
      <c r="AA65" s="90">
        <v>13183.955078000001</v>
      </c>
      <c r="AB65" s="90">
        <v>13244.930664</v>
      </c>
      <c r="AC65" s="90">
        <v>13311.998046999999</v>
      </c>
      <c r="AD65" s="90">
        <v>13388.823242</v>
      </c>
      <c r="AE65" s="91">
        <v>-3.431E-3</v>
      </c>
      <c r="AF65" s="80"/>
    </row>
    <row r="66" spans="1:32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</row>
    <row r="67" spans="1:32" ht="48.75">
      <c r="A67" s="86" t="s">
        <v>268</v>
      </c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</row>
    <row r="68" spans="1:32" ht="24.75">
      <c r="A68" s="87" t="s">
        <v>246</v>
      </c>
      <c r="B68" s="88">
        <v>8031.3188479999999</v>
      </c>
      <c r="C68" s="88">
        <v>7940.3720700000003</v>
      </c>
      <c r="D68" s="88">
        <v>7903.7353519999997</v>
      </c>
      <c r="E68" s="88">
        <v>7909.8017579999996</v>
      </c>
      <c r="F68" s="88">
        <v>7940.830078</v>
      </c>
      <c r="G68" s="88">
        <v>7987.8505859999996</v>
      </c>
      <c r="H68" s="88">
        <v>8042.6831050000001</v>
      </c>
      <c r="I68" s="88">
        <v>8101.8808589999999</v>
      </c>
      <c r="J68" s="88">
        <v>8168.1220700000003</v>
      </c>
      <c r="K68" s="88">
        <v>8235.2177730000003</v>
      </c>
      <c r="L68" s="88">
        <v>8306.8525389999995</v>
      </c>
      <c r="M68" s="88">
        <v>8373.7109380000002</v>
      </c>
      <c r="N68" s="88">
        <v>8435.4941409999992</v>
      </c>
      <c r="O68" s="88">
        <v>8494.0546880000002</v>
      </c>
      <c r="P68" s="88">
        <v>8552.7587889999995</v>
      </c>
      <c r="Q68" s="88">
        <v>8606.1826170000004</v>
      </c>
      <c r="R68" s="88">
        <v>8658.1015619999998</v>
      </c>
      <c r="S68" s="88">
        <v>8711.0576170000004</v>
      </c>
      <c r="T68" s="88">
        <v>8762.5673829999996</v>
      </c>
      <c r="U68" s="88">
        <v>8814.5947269999997</v>
      </c>
      <c r="V68" s="88">
        <v>8864.6865230000003</v>
      </c>
      <c r="W68" s="88">
        <v>8916.5878909999992</v>
      </c>
      <c r="X68" s="88">
        <v>8972.7021480000003</v>
      </c>
      <c r="Y68" s="88">
        <v>9027.6074219999991</v>
      </c>
      <c r="Z68" s="88">
        <v>9080.1376949999994</v>
      </c>
      <c r="AA68" s="88">
        <v>9132.8710940000001</v>
      </c>
      <c r="AB68" s="88">
        <v>9182.9980469999991</v>
      </c>
      <c r="AC68" s="88">
        <v>9228.2011719999991</v>
      </c>
      <c r="AD68" s="88">
        <v>9269.6210940000001</v>
      </c>
      <c r="AE68" s="89">
        <v>5.1339999999999997E-3</v>
      </c>
      <c r="AF68" s="80"/>
    </row>
    <row r="69" spans="1:32">
      <c r="A69" s="87" t="s">
        <v>247</v>
      </c>
      <c r="B69" s="88">
        <v>5201.8085940000001</v>
      </c>
      <c r="C69" s="88">
        <v>5250.8969729999999</v>
      </c>
      <c r="D69" s="88">
        <v>5302.2626950000003</v>
      </c>
      <c r="E69" s="88">
        <v>5353.2270509999998</v>
      </c>
      <c r="F69" s="88">
        <v>5399.2612300000001</v>
      </c>
      <c r="G69" s="88">
        <v>5437.2954099999997</v>
      </c>
      <c r="H69" s="88">
        <v>5468.6098629999997</v>
      </c>
      <c r="I69" s="88">
        <v>5492.0893550000001</v>
      </c>
      <c r="J69" s="88">
        <v>5507.6777339999999</v>
      </c>
      <c r="K69" s="88">
        <v>5512.2534180000002</v>
      </c>
      <c r="L69" s="88">
        <v>5521.1801759999998</v>
      </c>
      <c r="M69" s="88">
        <v>5519.0473629999997</v>
      </c>
      <c r="N69" s="88">
        <v>5513.2485349999997</v>
      </c>
      <c r="O69" s="88">
        <v>5500.6274409999996</v>
      </c>
      <c r="P69" s="88">
        <v>5486.0024409999996</v>
      </c>
      <c r="Q69" s="88">
        <v>5469.0234380000002</v>
      </c>
      <c r="R69" s="88">
        <v>5449.0185549999997</v>
      </c>
      <c r="S69" s="88">
        <v>5431.8198240000002</v>
      </c>
      <c r="T69" s="88">
        <v>5414.2065430000002</v>
      </c>
      <c r="U69" s="88">
        <v>5406.3969729999999</v>
      </c>
      <c r="V69" s="88">
        <v>5405.3071289999998</v>
      </c>
      <c r="W69" s="88">
        <v>5420.1103519999997</v>
      </c>
      <c r="X69" s="88">
        <v>5445.6806640000004</v>
      </c>
      <c r="Y69" s="88">
        <v>5472.6030270000001</v>
      </c>
      <c r="Z69" s="88">
        <v>5500.2749020000001</v>
      </c>
      <c r="AA69" s="88">
        <v>5530.6381840000004</v>
      </c>
      <c r="AB69" s="88">
        <v>5561.6923829999996</v>
      </c>
      <c r="AC69" s="88">
        <v>5585.7548829999996</v>
      </c>
      <c r="AD69" s="88">
        <v>5608.0507809999999</v>
      </c>
      <c r="AE69" s="89">
        <v>2.689E-3</v>
      </c>
      <c r="AF69" s="80"/>
    </row>
    <row r="70" spans="1:32">
      <c r="A70" s="87" t="s">
        <v>248</v>
      </c>
      <c r="B70" s="88">
        <v>2.7199999999999998E-2</v>
      </c>
      <c r="C70" s="88">
        <v>0.446405</v>
      </c>
      <c r="D70" s="88">
        <v>0.88520500000000002</v>
      </c>
      <c r="E70" s="88">
        <v>1.334503</v>
      </c>
      <c r="F70" s="88">
        <v>1.8046040000000001</v>
      </c>
      <c r="G70" s="88">
        <v>2.2977280000000002</v>
      </c>
      <c r="H70" s="88">
        <v>2.8189009999999999</v>
      </c>
      <c r="I70" s="88">
        <v>3.3765900000000002</v>
      </c>
      <c r="J70" s="88">
        <v>3.9795349999999998</v>
      </c>
      <c r="K70" s="88">
        <v>4.6397399999999998</v>
      </c>
      <c r="L70" s="88">
        <v>5.3691800000000001</v>
      </c>
      <c r="M70" s="88">
        <v>6.1793230000000001</v>
      </c>
      <c r="N70" s="88">
        <v>7.0851259999999998</v>
      </c>
      <c r="O70" s="88">
        <v>8.1084790000000009</v>
      </c>
      <c r="P70" s="88">
        <v>9.2763559999999998</v>
      </c>
      <c r="Q70" s="88">
        <v>10.613517999999999</v>
      </c>
      <c r="R70" s="88">
        <v>12.144465</v>
      </c>
      <c r="S70" s="88">
        <v>13.896808999999999</v>
      </c>
      <c r="T70" s="88">
        <v>15.894682</v>
      </c>
      <c r="U70" s="88">
        <v>18.155231000000001</v>
      </c>
      <c r="V70" s="88">
        <v>20.693428000000001</v>
      </c>
      <c r="W70" s="88">
        <v>23.531113000000001</v>
      </c>
      <c r="X70" s="88">
        <v>26.681090999999999</v>
      </c>
      <c r="Y70" s="88">
        <v>30.170033</v>
      </c>
      <c r="Z70" s="88">
        <v>33.996665999999998</v>
      </c>
      <c r="AA70" s="88">
        <v>38.143760999999998</v>
      </c>
      <c r="AB70" s="88">
        <v>42.573020999999997</v>
      </c>
      <c r="AC70" s="88">
        <v>47.273494999999997</v>
      </c>
      <c r="AD70" s="88">
        <v>52.222855000000003</v>
      </c>
      <c r="AE70" s="89">
        <v>0.30996800000000002</v>
      </c>
      <c r="AF70" s="80"/>
    </row>
    <row r="71" spans="1:32" ht="72.75">
      <c r="A71" s="87" t="s">
        <v>249</v>
      </c>
      <c r="B71" s="88">
        <v>12.657215000000001</v>
      </c>
      <c r="C71" s="88">
        <v>12.253945999999999</v>
      </c>
      <c r="D71" s="88">
        <v>11.837052999999999</v>
      </c>
      <c r="E71" s="88">
        <v>11.405747</v>
      </c>
      <c r="F71" s="88">
        <v>10.958615999999999</v>
      </c>
      <c r="G71" s="88">
        <v>10.497102999999999</v>
      </c>
      <c r="H71" s="88">
        <v>10.004996999999999</v>
      </c>
      <c r="I71" s="88">
        <v>9.5020070000000008</v>
      </c>
      <c r="J71" s="88">
        <v>8.9698100000000007</v>
      </c>
      <c r="K71" s="88">
        <v>8.4179040000000001</v>
      </c>
      <c r="L71" s="88">
        <v>7.8272069999999996</v>
      </c>
      <c r="M71" s="88">
        <v>7.1769290000000003</v>
      </c>
      <c r="N71" s="88">
        <v>6.5703300000000002</v>
      </c>
      <c r="O71" s="88">
        <v>6.0011219999999996</v>
      </c>
      <c r="P71" s="88">
        <v>5.4681610000000003</v>
      </c>
      <c r="Q71" s="88">
        <v>4.9728019999999997</v>
      </c>
      <c r="R71" s="88">
        <v>4.5123030000000002</v>
      </c>
      <c r="S71" s="88">
        <v>4.0931480000000002</v>
      </c>
      <c r="T71" s="88">
        <v>3.7105700000000001</v>
      </c>
      <c r="U71" s="88">
        <v>3.3614989999999998</v>
      </c>
      <c r="V71" s="88">
        <v>3.0438139999999998</v>
      </c>
      <c r="W71" s="88">
        <v>2.7556120000000002</v>
      </c>
      <c r="X71" s="88">
        <v>2.4947569999999999</v>
      </c>
      <c r="Y71" s="88">
        <v>2.2507510000000002</v>
      </c>
      <c r="Z71" s="88">
        <v>1.9678009999999999</v>
      </c>
      <c r="AA71" s="88">
        <v>1.629623</v>
      </c>
      <c r="AB71" s="88">
        <v>1.333248</v>
      </c>
      <c r="AC71" s="88">
        <v>1.052214</v>
      </c>
      <c r="AD71" s="88">
        <v>0.83661700000000006</v>
      </c>
      <c r="AE71" s="89">
        <v>-9.2464000000000005E-2</v>
      </c>
      <c r="AF71" s="80"/>
    </row>
    <row r="72" spans="1:32" ht="24.75">
      <c r="A72" s="87" t="s">
        <v>250</v>
      </c>
      <c r="B72" s="88">
        <v>1568.900635</v>
      </c>
      <c r="C72" s="88">
        <v>1592.0656739999999</v>
      </c>
      <c r="D72" s="88">
        <v>1617.6141359999999</v>
      </c>
      <c r="E72" s="88">
        <v>1642.889404</v>
      </c>
      <c r="F72" s="88">
        <v>1666.8477780000001</v>
      </c>
      <c r="G72" s="88">
        <v>1689.6022949999999</v>
      </c>
      <c r="H72" s="88">
        <v>1709.506836</v>
      </c>
      <c r="I72" s="88">
        <v>1727.1770019999999</v>
      </c>
      <c r="J72" s="88">
        <v>1742.9711910000001</v>
      </c>
      <c r="K72" s="88">
        <v>1757.8314210000001</v>
      </c>
      <c r="L72" s="88">
        <v>1771.9936520000001</v>
      </c>
      <c r="M72" s="88">
        <v>1785.9129640000001</v>
      </c>
      <c r="N72" s="88">
        <v>1799.8901370000001</v>
      </c>
      <c r="O72" s="88">
        <v>1814.896606</v>
      </c>
      <c r="P72" s="88">
        <v>1830.9842530000001</v>
      </c>
      <c r="Q72" s="88">
        <v>1848.5692140000001</v>
      </c>
      <c r="R72" s="88">
        <v>1867.8732910000001</v>
      </c>
      <c r="S72" s="88">
        <v>1889.3264160000001</v>
      </c>
      <c r="T72" s="88">
        <v>1913.0802000000001</v>
      </c>
      <c r="U72" s="88">
        <v>1938.9139399999999</v>
      </c>
      <c r="V72" s="88">
        <v>1966.8549800000001</v>
      </c>
      <c r="W72" s="88">
        <v>1997.009155</v>
      </c>
      <c r="X72" s="88">
        <v>2025.797241</v>
      </c>
      <c r="Y72" s="88">
        <v>2053.891846</v>
      </c>
      <c r="Z72" s="88">
        <v>2081.9648440000001</v>
      </c>
      <c r="AA72" s="88">
        <v>2106.8190920000002</v>
      </c>
      <c r="AB72" s="88">
        <v>2130.8447270000001</v>
      </c>
      <c r="AC72" s="88">
        <v>2151.36499</v>
      </c>
      <c r="AD72" s="88">
        <v>2171.7822270000001</v>
      </c>
      <c r="AE72" s="89">
        <v>1.1681E-2</v>
      </c>
      <c r="AF72" s="80"/>
    </row>
    <row r="73" spans="1:32">
      <c r="A73" s="87" t="s">
        <v>251</v>
      </c>
      <c r="B73" s="88">
        <v>0</v>
      </c>
      <c r="C73" s="88">
        <v>0</v>
      </c>
      <c r="D73" s="88">
        <v>0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  <c r="X73" s="88">
        <v>0</v>
      </c>
      <c r="Y73" s="88">
        <v>0</v>
      </c>
      <c r="Z73" s="88">
        <v>0</v>
      </c>
      <c r="AA73" s="88">
        <v>0</v>
      </c>
      <c r="AB73" s="88">
        <v>0</v>
      </c>
      <c r="AC73" s="88">
        <v>0</v>
      </c>
      <c r="AD73" s="88">
        <v>0</v>
      </c>
      <c r="AE73" s="89" t="s">
        <v>217</v>
      </c>
      <c r="AF73" s="80"/>
    </row>
    <row r="74" spans="1:32" ht="36.75">
      <c r="A74" s="87" t="s">
        <v>252</v>
      </c>
      <c r="B74" s="88">
        <v>0</v>
      </c>
      <c r="C74" s="88">
        <v>0.787767</v>
      </c>
      <c r="D74" s="88">
        <v>1.5879289999999999</v>
      </c>
      <c r="E74" s="88">
        <v>2.3966599999999998</v>
      </c>
      <c r="F74" s="88">
        <v>3.208523</v>
      </c>
      <c r="G74" s="88">
        <v>4.0274260000000002</v>
      </c>
      <c r="H74" s="88">
        <v>4.8601450000000002</v>
      </c>
      <c r="I74" s="88">
        <v>5.7169280000000002</v>
      </c>
      <c r="J74" s="88">
        <v>6.6017650000000003</v>
      </c>
      <c r="K74" s="88">
        <v>7.5191460000000001</v>
      </c>
      <c r="L74" s="88">
        <v>8.4768489999999996</v>
      </c>
      <c r="M74" s="88">
        <v>9.4802370000000007</v>
      </c>
      <c r="N74" s="88">
        <v>10.536694000000001</v>
      </c>
      <c r="O74" s="88">
        <v>11.657214</v>
      </c>
      <c r="P74" s="88">
        <v>12.856301999999999</v>
      </c>
      <c r="Q74" s="88">
        <v>14.143478</v>
      </c>
      <c r="R74" s="88">
        <v>15.531952</v>
      </c>
      <c r="S74" s="88">
        <v>17.031109000000001</v>
      </c>
      <c r="T74" s="88">
        <v>18.651724000000002</v>
      </c>
      <c r="U74" s="88">
        <v>20.389593000000001</v>
      </c>
      <c r="V74" s="88">
        <v>22.245595999999999</v>
      </c>
      <c r="W74" s="88">
        <v>24.213246999999999</v>
      </c>
      <c r="X74" s="88">
        <v>26.284991999999999</v>
      </c>
      <c r="Y74" s="88">
        <v>28.463531</v>
      </c>
      <c r="Z74" s="88">
        <v>30.733688000000001</v>
      </c>
      <c r="AA74" s="88">
        <v>33.074711000000001</v>
      </c>
      <c r="AB74" s="88">
        <v>35.461925999999998</v>
      </c>
      <c r="AC74" s="88">
        <v>37.891818999999998</v>
      </c>
      <c r="AD74" s="88">
        <v>40.35284</v>
      </c>
      <c r="AE74" s="89" t="s">
        <v>217</v>
      </c>
      <c r="AF74" s="80"/>
    </row>
    <row r="75" spans="1:32" ht="36.75">
      <c r="A75" s="87" t="s">
        <v>253</v>
      </c>
      <c r="B75" s="88">
        <v>0</v>
      </c>
      <c r="C75" s="88">
        <v>0.855433</v>
      </c>
      <c r="D75" s="88">
        <v>1.733762</v>
      </c>
      <c r="E75" s="88">
        <v>2.6065299999999998</v>
      </c>
      <c r="F75" s="88">
        <v>3.4725510000000002</v>
      </c>
      <c r="G75" s="88">
        <v>4.3335290000000004</v>
      </c>
      <c r="H75" s="88">
        <v>5.1927940000000001</v>
      </c>
      <c r="I75" s="88">
        <v>6.0617429999999999</v>
      </c>
      <c r="J75" s="88">
        <v>6.9501559999999998</v>
      </c>
      <c r="K75" s="88">
        <v>7.8712400000000002</v>
      </c>
      <c r="L75" s="88">
        <v>8.836157</v>
      </c>
      <c r="M75" s="88">
        <v>9.8554539999999999</v>
      </c>
      <c r="N75" s="88">
        <v>10.940022000000001</v>
      </c>
      <c r="O75" s="88">
        <v>12.10994</v>
      </c>
      <c r="P75" s="88">
        <v>13.379708000000001</v>
      </c>
      <c r="Q75" s="88">
        <v>14.764685</v>
      </c>
      <c r="R75" s="88">
        <v>16.280159000000001</v>
      </c>
      <c r="S75" s="88">
        <v>17.941573999999999</v>
      </c>
      <c r="T75" s="88">
        <v>19.761744</v>
      </c>
      <c r="U75" s="88">
        <v>21.739498000000001</v>
      </c>
      <c r="V75" s="88">
        <v>23.876650000000001</v>
      </c>
      <c r="W75" s="88">
        <v>26.169352</v>
      </c>
      <c r="X75" s="88">
        <v>28.600905999999998</v>
      </c>
      <c r="Y75" s="88">
        <v>31.175287000000001</v>
      </c>
      <c r="Z75" s="88">
        <v>33.863022000000001</v>
      </c>
      <c r="AA75" s="88">
        <v>36.644165000000001</v>
      </c>
      <c r="AB75" s="88">
        <v>39.482059</v>
      </c>
      <c r="AC75" s="88">
        <v>42.376590999999998</v>
      </c>
      <c r="AD75" s="88">
        <v>45.306109999999997</v>
      </c>
      <c r="AE75" s="89" t="s">
        <v>217</v>
      </c>
      <c r="AF75" s="80"/>
    </row>
    <row r="76" spans="1:32" ht="24.75">
      <c r="A76" s="87" t="s">
        <v>254</v>
      </c>
      <c r="B76" s="88">
        <v>0</v>
      </c>
      <c r="C76" s="88">
        <v>0</v>
      </c>
      <c r="D76" s="88">
        <v>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  <c r="X76" s="88">
        <v>0</v>
      </c>
      <c r="Y76" s="88">
        <v>0</v>
      </c>
      <c r="Z76" s="88">
        <v>0</v>
      </c>
      <c r="AA76" s="88">
        <v>0</v>
      </c>
      <c r="AB76" s="88">
        <v>0</v>
      </c>
      <c r="AC76" s="88">
        <v>0</v>
      </c>
      <c r="AD76" s="88">
        <v>0</v>
      </c>
      <c r="AE76" s="89" t="s">
        <v>217</v>
      </c>
      <c r="AF76" s="80"/>
    </row>
    <row r="77" spans="1:32" ht="60.75">
      <c r="A77" s="86" t="s">
        <v>269</v>
      </c>
      <c r="B77" s="90">
        <v>14814.711914</v>
      </c>
      <c r="C77" s="90">
        <v>14797.678711</v>
      </c>
      <c r="D77" s="90">
        <v>14839.655273</v>
      </c>
      <c r="E77" s="90">
        <v>14923.662109000001</v>
      </c>
      <c r="F77" s="90">
        <v>15026.384765999999</v>
      </c>
      <c r="G77" s="90">
        <v>15135.905273</v>
      </c>
      <c r="H77" s="90">
        <v>15243.676758</v>
      </c>
      <c r="I77" s="90">
        <v>15345.804688</v>
      </c>
      <c r="J77" s="90">
        <v>15445.272461</v>
      </c>
      <c r="K77" s="90">
        <v>15533.75</v>
      </c>
      <c r="L77" s="90">
        <v>15630.535156</v>
      </c>
      <c r="M77" s="90">
        <v>15711.363281</v>
      </c>
      <c r="N77" s="90">
        <v>15783.764648</v>
      </c>
      <c r="O77" s="90">
        <v>15847.455078000001</v>
      </c>
      <c r="P77" s="90">
        <v>15910.726562</v>
      </c>
      <c r="Q77" s="90">
        <v>15968.269531</v>
      </c>
      <c r="R77" s="90">
        <v>16023.462890999999</v>
      </c>
      <c r="S77" s="90">
        <v>16085.165039</v>
      </c>
      <c r="T77" s="90">
        <v>16147.872069999999</v>
      </c>
      <c r="U77" s="90">
        <v>16223.551758</v>
      </c>
      <c r="V77" s="90">
        <v>16306.708008</v>
      </c>
      <c r="W77" s="90">
        <v>16410.376952999999</v>
      </c>
      <c r="X77" s="90">
        <v>16528.242188</v>
      </c>
      <c r="Y77" s="90">
        <v>16646.162109000001</v>
      </c>
      <c r="Z77" s="90">
        <v>16762.939452999999</v>
      </c>
      <c r="AA77" s="90">
        <v>16879.820312</v>
      </c>
      <c r="AB77" s="90">
        <v>16994.386718999998</v>
      </c>
      <c r="AC77" s="90">
        <v>17093.916015999999</v>
      </c>
      <c r="AD77" s="90">
        <v>17188.173827999999</v>
      </c>
      <c r="AE77" s="91">
        <v>5.3210000000000002E-3</v>
      </c>
      <c r="AF77" s="80"/>
    </row>
    <row r="78" spans="1:32" ht="15.75" thickBo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</row>
    <row r="79" spans="1:32">
      <c r="A79" s="175" t="s">
        <v>256</v>
      </c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</row>
    <row r="80" spans="1:32">
      <c r="A80" s="80" t="s">
        <v>257</v>
      </c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</row>
    <row r="81" spans="1:32">
      <c r="A81" s="80" t="s">
        <v>258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</row>
    <row r="82" spans="1:32">
      <c r="A82" s="80" t="s">
        <v>259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</row>
    <row r="83" spans="1:32">
      <c r="A83" s="80" t="s">
        <v>270</v>
      </c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</row>
    <row r="84" spans="1:32">
      <c r="A84" s="80" t="s">
        <v>261</v>
      </c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</row>
    <row r="85" spans="1:32">
      <c r="A85" s="80" t="s">
        <v>262</v>
      </c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</row>
    <row r="86" spans="1:32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</row>
    <row r="87" spans="1:32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</row>
    <row r="88" spans="1:32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</row>
    <row r="89" spans="1:32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</row>
    <row r="90" spans="1:32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spans="1:32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</row>
    <row r="92" spans="1:3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</row>
    <row r="93" spans="1:32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</row>
    <row r="94" spans="1:32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</row>
    <row r="95" spans="1:32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</row>
    <row r="96" spans="1:32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</row>
    <row r="97" spans="1:32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</row>
    <row r="98" spans="1:32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</row>
    <row r="99" spans="1:32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</row>
    <row r="100" spans="1:32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</row>
    <row r="101" spans="1:32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</row>
    <row r="102" spans="1:3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spans="1:32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</row>
    <row r="104" spans="1:32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</row>
    <row r="105" spans="1:32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</row>
    <row r="106" spans="1:32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</row>
    <row r="107" spans="1:32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</row>
    <row r="108" spans="1:32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</row>
    <row r="109" spans="1:32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 t="s">
        <v>271</v>
      </c>
      <c r="AF109" s="80"/>
    </row>
    <row r="117" spans="1:31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  <c r="AC117" s="177"/>
      <c r="AD117" s="177"/>
      <c r="AE117" s="177"/>
    </row>
    <row r="259" spans="1:31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</row>
  </sheetData>
  <mergeCells count="3">
    <mergeCell ref="A79:AF79"/>
    <mergeCell ref="A117:AE117"/>
    <mergeCell ref="A259:AE25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F280-22E2-4E71-8AC1-2F9F141B6A69}">
  <dimension ref="A1:AH4510"/>
  <sheetViews>
    <sheetView topLeftCell="B154" workbookViewId="0">
      <selection activeCell="C23" sqref="C23"/>
    </sheetView>
  </sheetViews>
  <sheetFormatPr defaultColWidth="8.85546875" defaultRowHeight="15"/>
  <cols>
    <col min="1" max="1" width="20.85546875" hidden="1" customWidth="1"/>
    <col min="2" max="2" width="45.7109375" customWidth="1"/>
  </cols>
  <sheetData>
    <row r="1" spans="1:33" ht="15" customHeight="1" thickBot="1">
      <c r="B1" s="74" t="s">
        <v>197</v>
      </c>
      <c r="C1" s="75">
        <v>2022</v>
      </c>
      <c r="D1" s="75">
        <v>2023</v>
      </c>
      <c r="E1" s="75">
        <v>2024</v>
      </c>
      <c r="F1" s="75">
        <v>2025</v>
      </c>
      <c r="G1" s="75">
        <v>2026</v>
      </c>
      <c r="H1" s="75">
        <v>2027</v>
      </c>
      <c r="I1" s="75">
        <v>2028</v>
      </c>
      <c r="J1" s="75">
        <v>2029</v>
      </c>
      <c r="K1" s="75">
        <v>2030</v>
      </c>
      <c r="L1" s="75">
        <v>2031</v>
      </c>
      <c r="M1" s="75">
        <v>2032</v>
      </c>
      <c r="N1" s="75">
        <v>2033</v>
      </c>
      <c r="O1" s="75">
        <v>2034</v>
      </c>
      <c r="P1" s="75">
        <v>2035</v>
      </c>
      <c r="Q1" s="75">
        <v>2036</v>
      </c>
      <c r="R1" s="75">
        <v>2037</v>
      </c>
      <c r="S1" s="75">
        <v>2038</v>
      </c>
      <c r="T1" s="75">
        <v>2039</v>
      </c>
      <c r="U1" s="75">
        <v>2040</v>
      </c>
      <c r="V1" s="75">
        <v>2041</v>
      </c>
      <c r="W1" s="75">
        <v>2042</v>
      </c>
      <c r="X1" s="75">
        <v>2043</v>
      </c>
      <c r="Y1" s="75">
        <v>2044</v>
      </c>
      <c r="Z1" s="75">
        <v>2045</v>
      </c>
      <c r="AA1" s="75">
        <v>2046</v>
      </c>
      <c r="AB1" s="75">
        <v>2047</v>
      </c>
      <c r="AC1" s="75">
        <v>2048</v>
      </c>
      <c r="AD1" s="75">
        <v>2049</v>
      </c>
      <c r="AE1" s="75">
        <v>2050</v>
      </c>
    </row>
    <row r="2" spans="1:33" ht="15" customHeight="1" thickTop="1"/>
    <row r="3" spans="1:33" ht="15" customHeight="1">
      <c r="C3" s="76" t="s">
        <v>198</v>
      </c>
      <c r="D3" s="76" t="s">
        <v>199</v>
      </c>
      <c r="E3" s="77"/>
      <c r="F3" s="77"/>
      <c r="G3" s="77"/>
    </row>
    <row r="4" spans="1:33" ht="15" customHeight="1">
      <c r="C4" s="76" t="s">
        <v>200</v>
      </c>
      <c r="D4" s="76" t="s">
        <v>201</v>
      </c>
      <c r="E4" s="77"/>
      <c r="F4" s="77"/>
      <c r="G4" s="76" t="s">
        <v>202</v>
      </c>
    </row>
    <row r="5" spans="1:33" ht="15" customHeight="1">
      <c r="C5" s="76" t="s">
        <v>203</v>
      </c>
      <c r="D5" s="76" t="s">
        <v>204</v>
      </c>
      <c r="E5" s="77"/>
      <c r="F5" s="77"/>
      <c r="G5" s="77"/>
    </row>
    <row r="6" spans="1:33" ht="15" customHeight="1">
      <c r="C6" s="76" t="s">
        <v>205</v>
      </c>
      <c r="D6" s="77"/>
      <c r="E6" s="76" t="s">
        <v>206</v>
      </c>
      <c r="F6" s="77"/>
      <c r="G6" s="77"/>
    </row>
    <row r="7" spans="1:33" ht="12" customHeight="1"/>
    <row r="8" spans="1:33" ht="12" customHeight="1"/>
    <row r="9" spans="1:33" ht="12" customHeight="1"/>
    <row r="10" spans="1:33" ht="15" customHeight="1">
      <c r="A10" s="78" t="s">
        <v>272</v>
      </c>
      <c r="B10" s="79" t="s">
        <v>273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1" t="s">
        <v>208</v>
      </c>
      <c r="AG10" s="80"/>
    </row>
    <row r="11" spans="1:33" ht="15" customHeight="1">
      <c r="B11" s="82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1" t="s">
        <v>210</v>
      </c>
      <c r="AG11" s="80"/>
    </row>
    <row r="12" spans="1:33" ht="15" customHeight="1">
      <c r="B12" s="82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1" t="s">
        <v>211</v>
      </c>
      <c r="AG12" s="80"/>
    </row>
    <row r="13" spans="1:33" ht="15" customHeight="1" thickBot="1">
      <c r="B13" s="84" t="s">
        <v>274</v>
      </c>
      <c r="C13" s="84">
        <v>2022</v>
      </c>
      <c r="D13" s="84">
        <v>2023</v>
      </c>
      <c r="E13" s="84">
        <v>2024</v>
      </c>
      <c r="F13" s="84">
        <v>2025</v>
      </c>
      <c r="G13" s="84">
        <v>2026</v>
      </c>
      <c r="H13" s="84">
        <v>2027</v>
      </c>
      <c r="I13" s="84">
        <v>2028</v>
      </c>
      <c r="J13" s="84">
        <v>2029</v>
      </c>
      <c r="K13" s="84">
        <v>2030</v>
      </c>
      <c r="L13" s="84">
        <v>2031</v>
      </c>
      <c r="M13" s="84">
        <v>2032</v>
      </c>
      <c r="N13" s="84">
        <v>2033</v>
      </c>
      <c r="O13" s="84">
        <v>2034</v>
      </c>
      <c r="P13" s="84">
        <v>2035</v>
      </c>
      <c r="Q13" s="84">
        <v>2036</v>
      </c>
      <c r="R13" s="84">
        <v>2037</v>
      </c>
      <c r="S13" s="84">
        <v>2038</v>
      </c>
      <c r="T13" s="84">
        <v>2039</v>
      </c>
      <c r="U13" s="84">
        <v>2040</v>
      </c>
      <c r="V13" s="84">
        <v>2041</v>
      </c>
      <c r="W13" s="84">
        <v>2042</v>
      </c>
      <c r="X13" s="84">
        <v>2043</v>
      </c>
      <c r="Y13" s="84">
        <v>2044</v>
      </c>
      <c r="Z13" s="84">
        <v>2045</v>
      </c>
      <c r="AA13" s="84">
        <v>2046</v>
      </c>
      <c r="AB13" s="84">
        <v>2047</v>
      </c>
      <c r="AC13" s="84">
        <v>2048</v>
      </c>
      <c r="AD13" s="84">
        <v>2049</v>
      </c>
      <c r="AE13" s="84">
        <v>2050</v>
      </c>
      <c r="AF13" s="85">
        <v>2050</v>
      </c>
      <c r="AG13" s="80"/>
    </row>
    <row r="14" spans="1:33" ht="15" customHeight="1" thickTop="1"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ht="15" customHeight="1">
      <c r="B15" s="86" t="s">
        <v>275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ht="15" customHeight="1"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1:33" ht="15" customHeight="1">
      <c r="B17" s="86" t="s">
        <v>276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1:33" ht="15" customHeight="1">
      <c r="B18" s="86" t="s">
        <v>277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ht="15" customHeight="1">
      <c r="A19" s="78" t="s">
        <v>278</v>
      </c>
      <c r="B19" s="87" t="s">
        <v>279</v>
      </c>
      <c r="C19" s="88">
        <v>54.392623999999998</v>
      </c>
      <c r="D19" s="88">
        <v>53.187412000000002</v>
      </c>
      <c r="E19" s="88">
        <v>52.529724000000002</v>
      </c>
      <c r="F19" s="88">
        <v>52.479733000000003</v>
      </c>
      <c r="G19" s="88">
        <v>52.720959000000001</v>
      </c>
      <c r="H19" s="88">
        <v>52.851050999999998</v>
      </c>
      <c r="I19" s="88">
        <v>52.993167999999997</v>
      </c>
      <c r="J19" s="88">
        <v>53.175175000000003</v>
      </c>
      <c r="K19" s="88">
        <v>53.566817999999998</v>
      </c>
      <c r="L19" s="88">
        <v>54.220244999999998</v>
      </c>
      <c r="M19" s="88">
        <v>55.079853</v>
      </c>
      <c r="N19" s="88">
        <v>55.840674999999997</v>
      </c>
      <c r="O19" s="88">
        <v>56.638934999999996</v>
      </c>
      <c r="P19" s="88">
        <v>57.504395000000002</v>
      </c>
      <c r="Q19" s="88">
        <v>58.304447000000003</v>
      </c>
      <c r="R19" s="88">
        <v>59.176174000000003</v>
      </c>
      <c r="S19" s="88">
        <v>60.063701999999999</v>
      </c>
      <c r="T19" s="88">
        <v>61.000945999999999</v>
      </c>
      <c r="U19" s="88">
        <v>62.044392000000002</v>
      </c>
      <c r="V19" s="88">
        <v>63.120776999999997</v>
      </c>
      <c r="W19" s="88">
        <v>64.186768000000001</v>
      </c>
      <c r="X19" s="88">
        <v>65.249404999999996</v>
      </c>
      <c r="Y19" s="88">
        <v>66.318534999999997</v>
      </c>
      <c r="Z19" s="88">
        <v>67.468947999999997</v>
      </c>
      <c r="AA19" s="88">
        <v>68.816581999999997</v>
      </c>
      <c r="AB19" s="88">
        <v>70.243613999999994</v>
      </c>
      <c r="AC19" s="88">
        <v>71.603301999999999</v>
      </c>
      <c r="AD19" s="88">
        <v>73.056640999999999</v>
      </c>
      <c r="AE19" s="88">
        <v>74.779610000000005</v>
      </c>
      <c r="AF19" s="89">
        <v>1.1433E-2</v>
      </c>
      <c r="AG19" s="80"/>
    </row>
    <row r="20" spans="1:33" ht="15" customHeight="1">
      <c r="A20" s="78" t="s">
        <v>280</v>
      </c>
      <c r="B20" s="87" t="s">
        <v>281</v>
      </c>
      <c r="C20" s="88">
        <v>16.846205000000001</v>
      </c>
      <c r="D20" s="88">
        <v>17.761892</v>
      </c>
      <c r="E20" s="88">
        <v>18.763459999999998</v>
      </c>
      <c r="F20" s="88">
        <v>19.899121999999998</v>
      </c>
      <c r="G20" s="88">
        <v>21.083855</v>
      </c>
      <c r="H20" s="88">
        <v>22.151053999999998</v>
      </c>
      <c r="I20" s="88">
        <v>23.138805000000001</v>
      </c>
      <c r="J20" s="88">
        <v>24.075592</v>
      </c>
      <c r="K20" s="88">
        <v>25.031351000000001</v>
      </c>
      <c r="L20" s="88">
        <v>26.026824999999999</v>
      </c>
      <c r="M20" s="88">
        <v>27.096857</v>
      </c>
      <c r="N20" s="88">
        <v>28.109197999999999</v>
      </c>
      <c r="O20" s="88">
        <v>29.092110000000002</v>
      </c>
      <c r="P20" s="88">
        <v>30.063576000000001</v>
      </c>
      <c r="Q20" s="88">
        <v>30.988947</v>
      </c>
      <c r="R20" s="88">
        <v>31.943773</v>
      </c>
      <c r="S20" s="88">
        <v>32.878410000000002</v>
      </c>
      <c r="T20" s="88">
        <v>33.782879000000001</v>
      </c>
      <c r="U20" s="88">
        <v>34.707160999999999</v>
      </c>
      <c r="V20" s="88">
        <v>35.655670000000001</v>
      </c>
      <c r="W20" s="88">
        <v>36.558773000000002</v>
      </c>
      <c r="X20" s="88">
        <v>37.368586999999998</v>
      </c>
      <c r="Y20" s="88">
        <v>38.121651</v>
      </c>
      <c r="Z20" s="88">
        <v>38.871417999999998</v>
      </c>
      <c r="AA20" s="88">
        <v>39.695540999999999</v>
      </c>
      <c r="AB20" s="88">
        <v>40.532322000000001</v>
      </c>
      <c r="AC20" s="88">
        <v>41.299179000000002</v>
      </c>
      <c r="AD20" s="88">
        <v>42.100203999999998</v>
      </c>
      <c r="AE20" s="88">
        <v>43.049956999999999</v>
      </c>
      <c r="AF20" s="89">
        <v>3.4076000000000002E-2</v>
      </c>
      <c r="AG20" s="80"/>
    </row>
    <row r="21" spans="1:33" ht="15" customHeight="1">
      <c r="A21" s="78" t="s">
        <v>282</v>
      </c>
      <c r="B21" s="87" t="s">
        <v>283</v>
      </c>
      <c r="C21" s="88">
        <v>5.8500000000000002E-4</v>
      </c>
      <c r="D21" s="88">
        <v>7.6309999999999998E-3</v>
      </c>
      <c r="E21" s="88">
        <v>1.4685E-2</v>
      </c>
      <c r="F21" s="88">
        <v>2.1224E-2</v>
      </c>
      <c r="G21" s="88">
        <v>2.7498000000000002E-2</v>
      </c>
      <c r="H21" s="88">
        <v>3.3387E-2</v>
      </c>
      <c r="I21" s="88">
        <v>3.8968000000000003E-2</v>
      </c>
      <c r="J21" s="88">
        <v>4.4345000000000002E-2</v>
      </c>
      <c r="K21" s="88">
        <v>4.9703999999999998E-2</v>
      </c>
      <c r="L21" s="88">
        <v>5.5247999999999998E-2</v>
      </c>
      <c r="M21" s="88">
        <v>6.1055999999999999E-2</v>
      </c>
      <c r="N21" s="88">
        <v>6.6844000000000001E-2</v>
      </c>
      <c r="O21" s="88">
        <v>7.2696999999999998E-2</v>
      </c>
      <c r="P21" s="88">
        <v>7.8773999999999997E-2</v>
      </c>
      <c r="Q21" s="88">
        <v>8.5073999999999997E-2</v>
      </c>
      <c r="R21" s="88">
        <v>9.1911000000000007E-2</v>
      </c>
      <c r="S21" s="88">
        <v>9.9267999999999995E-2</v>
      </c>
      <c r="T21" s="88">
        <v>0.10728699999999999</v>
      </c>
      <c r="U21" s="88">
        <v>0.116186</v>
      </c>
      <c r="V21" s="88">
        <v>0.125999</v>
      </c>
      <c r="W21" s="88">
        <v>0.13661799999999999</v>
      </c>
      <c r="X21" s="88">
        <v>0.14805499999999999</v>
      </c>
      <c r="Y21" s="88">
        <v>0.160189</v>
      </c>
      <c r="Z21" s="88">
        <v>0.173373</v>
      </c>
      <c r="AA21" s="88">
        <v>0.18800800000000001</v>
      </c>
      <c r="AB21" s="88">
        <v>0.203789</v>
      </c>
      <c r="AC21" s="88">
        <v>0.22024199999999999</v>
      </c>
      <c r="AD21" s="88">
        <v>0.237737</v>
      </c>
      <c r="AE21" s="88">
        <v>0.256857</v>
      </c>
      <c r="AF21" s="89">
        <v>0.242756</v>
      </c>
      <c r="AG21" s="80"/>
    </row>
    <row r="22" spans="1:33" ht="15" customHeight="1">
      <c r="A22" s="78" t="s">
        <v>284</v>
      </c>
      <c r="B22" s="87" t="s">
        <v>285</v>
      </c>
      <c r="C22" s="88">
        <v>1.5417999999999999E-2</v>
      </c>
      <c r="D22" s="88">
        <v>1.3986E-2</v>
      </c>
      <c r="E22" s="88">
        <v>1.2747E-2</v>
      </c>
      <c r="F22" s="88">
        <v>1.1705E-2</v>
      </c>
      <c r="G22" s="88">
        <v>1.0794E-2</v>
      </c>
      <c r="H22" s="88">
        <v>9.9299999999999996E-3</v>
      </c>
      <c r="I22" s="88">
        <v>9.1299999999999992E-3</v>
      </c>
      <c r="J22" s="88">
        <v>8.3929999999999994E-3</v>
      </c>
      <c r="K22" s="88">
        <v>7.7320000000000002E-3</v>
      </c>
      <c r="L22" s="88">
        <v>7.1459999999999996E-3</v>
      </c>
      <c r="M22" s="88">
        <v>6.6239999999999997E-3</v>
      </c>
      <c r="N22" s="88">
        <v>6.0930000000000003E-3</v>
      </c>
      <c r="O22" s="88">
        <v>5.5430000000000002E-3</v>
      </c>
      <c r="P22" s="88">
        <v>4.9630000000000004E-3</v>
      </c>
      <c r="Q22" s="88">
        <v>4.3689999999999996E-3</v>
      </c>
      <c r="R22" s="88">
        <v>3.7439999999999999E-3</v>
      </c>
      <c r="S22" s="88">
        <v>3.1649999999999998E-3</v>
      </c>
      <c r="T22" s="88">
        <v>2.637E-3</v>
      </c>
      <c r="U22" s="88">
        <v>2.1050000000000001E-3</v>
      </c>
      <c r="V22" s="88">
        <v>1.683E-3</v>
      </c>
      <c r="W22" s="88">
        <v>1.3730000000000001E-3</v>
      </c>
      <c r="X22" s="88">
        <v>1.147E-3</v>
      </c>
      <c r="Y22" s="88">
        <v>1E-3</v>
      </c>
      <c r="Z22" s="88">
        <v>8.9899999999999995E-4</v>
      </c>
      <c r="AA22" s="88">
        <v>8.1999999999999998E-4</v>
      </c>
      <c r="AB22" s="88">
        <v>7.6900000000000004E-4</v>
      </c>
      <c r="AC22" s="88">
        <v>7.0299999999999996E-4</v>
      </c>
      <c r="AD22" s="88">
        <v>6.2500000000000001E-4</v>
      </c>
      <c r="AE22" s="88">
        <v>5.2899999999999996E-4</v>
      </c>
      <c r="AF22" s="89">
        <v>-0.11348800000000001</v>
      </c>
      <c r="AG22" s="80"/>
    </row>
    <row r="23" spans="1:33" ht="15" customHeight="1">
      <c r="A23" s="78" t="s">
        <v>286</v>
      </c>
      <c r="B23" s="87" t="s">
        <v>287</v>
      </c>
      <c r="C23" s="88">
        <v>3.793104</v>
      </c>
      <c r="D23" s="88">
        <v>3.7339889999999998</v>
      </c>
      <c r="E23" s="88">
        <v>3.7011970000000001</v>
      </c>
      <c r="F23" s="88">
        <v>3.6948340000000002</v>
      </c>
      <c r="G23" s="88">
        <v>3.7055539999999998</v>
      </c>
      <c r="H23" s="88">
        <v>3.7133219999999998</v>
      </c>
      <c r="I23" s="88">
        <v>3.7223549999999999</v>
      </c>
      <c r="J23" s="88">
        <v>3.7376019999999999</v>
      </c>
      <c r="K23" s="88">
        <v>3.7636449999999999</v>
      </c>
      <c r="L23" s="88">
        <v>3.8070430000000002</v>
      </c>
      <c r="M23" s="88">
        <v>3.8642319999999999</v>
      </c>
      <c r="N23" s="88">
        <v>3.9146670000000001</v>
      </c>
      <c r="O23" s="88">
        <v>3.9473159999999998</v>
      </c>
      <c r="P23" s="88">
        <v>3.9684680000000001</v>
      </c>
      <c r="Q23" s="88">
        <v>3.9718550000000001</v>
      </c>
      <c r="R23" s="88">
        <v>3.975454</v>
      </c>
      <c r="S23" s="88">
        <v>3.964083</v>
      </c>
      <c r="T23" s="88">
        <v>3.9534349999999998</v>
      </c>
      <c r="U23" s="88">
        <v>3.955495</v>
      </c>
      <c r="V23" s="88">
        <v>3.9734389999999999</v>
      </c>
      <c r="W23" s="88">
        <v>4.000788</v>
      </c>
      <c r="X23" s="88">
        <v>4.0414599999999998</v>
      </c>
      <c r="Y23" s="88">
        <v>4.0953679999999997</v>
      </c>
      <c r="Z23" s="88">
        <v>4.15557</v>
      </c>
      <c r="AA23" s="88">
        <v>4.2257569999999998</v>
      </c>
      <c r="AB23" s="88">
        <v>4.2996879999999997</v>
      </c>
      <c r="AC23" s="88">
        <v>4.3678400000000002</v>
      </c>
      <c r="AD23" s="88">
        <v>4.4369680000000002</v>
      </c>
      <c r="AE23" s="88">
        <v>4.5171900000000003</v>
      </c>
      <c r="AF23" s="89">
        <v>6.2589999999999998E-3</v>
      </c>
      <c r="AG23" s="80"/>
    </row>
    <row r="24" spans="1:33" ht="15" customHeight="1">
      <c r="A24" s="78" t="s">
        <v>288</v>
      </c>
      <c r="B24" s="87" t="s">
        <v>289</v>
      </c>
      <c r="C24" s="88">
        <v>8.03E-4</v>
      </c>
      <c r="D24" s="88">
        <v>7.2599999999999997E-4</v>
      </c>
      <c r="E24" s="88">
        <v>6.6500000000000001E-4</v>
      </c>
      <c r="F24" s="88">
        <v>6.1799999999999995E-4</v>
      </c>
      <c r="G24" s="88">
        <v>5.8399999999999999E-4</v>
      </c>
      <c r="H24" s="88">
        <v>5.5699999999999999E-4</v>
      </c>
      <c r="I24" s="88">
        <v>5.3600000000000002E-4</v>
      </c>
      <c r="J24" s="88">
        <v>5.04E-4</v>
      </c>
      <c r="K24" s="88">
        <v>4.6299999999999998E-4</v>
      </c>
      <c r="L24" s="88">
        <v>4.2499999999999998E-4</v>
      </c>
      <c r="M24" s="88">
        <v>3.9199999999999999E-4</v>
      </c>
      <c r="N24" s="88">
        <v>3.3E-4</v>
      </c>
      <c r="O24" s="88">
        <v>2.5999999999999998E-4</v>
      </c>
      <c r="P24" s="88">
        <v>2.05E-4</v>
      </c>
      <c r="Q24" s="88">
        <v>1.6100000000000001E-4</v>
      </c>
      <c r="R24" s="88">
        <v>1.26E-4</v>
      </c>
      <c r="S24" s="88">
        <v>9.8999999999999994E-5</v>
      </c>
      <c r="T24" s="88">
        <v>7.7000000000000001E-5</v>
      </c>
      <c r="U24" s="88">
        <v>6.8999999999999997E-5</v>
      </c>
      <c r="V24" s="88">
        <v>6.7000000000000002E-5</v>
      </c>
      <c r="W24" s="88">
        <v>6.6000000000000005E-5</v>
      </c>
      <c r="X24" s="88">
        <v>6.3999999999999997E-5</v>
      </c>
      <c r="Y24" s="88">
        <v>5.1999999999999997E-5</v>
      </c>
      <c r="Z24" s="88">
        <v>3.6000000000000001E-5</v>
      </c>
      <c r="AA24" s="88">
        <v>2.5999999999999998E-5</v>
      </c>
      <c r="AB24" s="88">
        <v>1.8E-5</v>
      </c>
      <c r="AC24" s="88">
        <v>1.2999999999999999E-5</v>
      </c>
      <c r="AD24" s="88">
        <v>9.0000000000000002E-6</v>
      </c>
      <c r="AE24" s="88">
        <v>6.0000000000000002E-6</v>
      </c>
      <c r="AF24" s="89">
        <v>-0.15909799999999999</v>
      </c>
      <c r="AG24" s="80"/>
    </row>
    <row r="25" spans="1:33" ht="15" customHeight="1">
      <c r="A25" s="78" t="s">
        <v>290</v>
      </c>
      <c r="B25" s="87" t="s">
        <v>291</v>
      </c>
      <c r="C25" s="88">
        <v>0</v>
      </c>
      <c r="D25" s="88">
        <v>5.7910000000000001E-3</v>
      </c>
      <c r="E25" s="88">
        <v>1.1641E-2</v>
      </c>
      <c r="F25" s="88">
        <v>1.7745E-2</v>
      </c>
      <c r="G25" s="88">
        <v>2.4024E-2</v>
      </c>
      <c r="H25" s="88">
        <v>3.0276999999999998E-2</v>
      </c>
      <c r="I25" s="88">
        <v>3.6507999999999999E-2</v>
      </c>
      <c r="J25" s="88">
        <v>4.2764999999999997E-2</v>
      </c>
      <c r="K25" s="88">
        <v>4.9185E-2</v>
      </c>
      <c r="L25" s="88">
        <v>5.5924000000000001E-2</v>
      </c>
      <c r="M25" s="88">
        <v>6.3112000000000001E-2</v>
      </c>
      <c r="N25" s="88">
        <v>7.0484000000000005E-2</v>
      </c>
      <c r="O25" s="88">
        <v>7.8226000000000004E-2</v>
      </c>
      <c r="P25" s="88">
        <v>8.6534E-2</v>
      </c>
      <c r="Q25" s="88">
        <v>9.5422000000000007E-2</v>
      </c>
      <c r="R25" s="88">
        <v>0.10527400000000001</v>
      </c>
      <c r="S25" s="88">
        <v>0.11618100000000001</v>
      </c>
      <c r="T25" s="88">
        <v>0.128332</v>
      </c>
      <c r="U25" s="88">
        <v>0.14206299999999999</v>
      </c>
      <c r="V25" s="88">
        <v>0.157389</v>
      </c>
      <c r="W25" s="88">
        <v>0.17405100000000001</v>
      </c>
      <c r="X25" s="88">
        <v>0.19183600000000001</v>
      </c>
      <c r="Y25" s="88">
        <v>0.21071500000000001</v>
      </c>
      <c r="Z25" s="88">
        <v>0.23088900000000001</v>
      </c>
      <c r="AA25" s="88">
        <v>0.25246600000000002</v>
      </c>
      <c r="AB25" s="88">
        <v>0.27496199999999998</v>
      </c>
      <c r="AC25" s="88">
        <v>0.29769299999999999</v>
      </c>
      <c r="AD25" s="88">
        <v>0.32119900000000001</v>
      </c>
      <c r="AE25" s="88">
        <v>0.34622399999999998</v>
      </c>
      <c r="AF25" s="89" t="s">
        <v>217</v>
      </c>
      <c r="AG25" s="80"/>
    </row>
    <row r="26" spans="1:33" ht="15" customHeight="1">
      <c r="A26" s="78" t="s">
        <v>292</v>
      </c>
      <c r="B26" s="87" t="s">
        <v>293</v>
      </c>
      <c r="C26" s="88">
        <v>0</v>
      </c>
      <c r="D26" s="88">
        <v>6.025E-3</v>
      </c>
      <c r="E26" s="88">
        <v>1.2128999999999999E-2</v>
      </c>
      <c r="F26" s="88">
        <v>1.8395000000000002E-2</v>
      </c>
      <c r="G26" s="88">
        <v>2.4749E-2</v>
      </c>
      <c r="H26" s="88">
        <v>3.0966E-2</v>
      </c>
      <c r="I26" s="88">
        <v>3.7011000000000002E-2</v>
      </c>
      <c r="J26" s="88">
        <v>4.2945999999999998E-2</v>
      </c>
      <c r="K26" s="88">
        <v>4.8956E-2</v>
      </c>
      <c r="L26" s="88">
        <v>5.5273999999999997E-2</v>
      </c>
      <c r="M26" s="88">
        <v>6.2050000000000001E-2</v>
      </c>
      <c r="N26" s="88">
        <v>6.9098000000000007E-2</v>
      </c>
      <c r="O26" s="88">
        <v>7.6633999999999994E-2</v>
      </c>
      <c r="P26" s="88">
        <v>8.4903000000000006E-2</v>
      </c>
      <c r="Q26" s="88">
        <v>9.3932000000000002E-2</v>
      </c>
      <c r="R26" s="88">
        <v>0.104143</v>
      </c>
      <c r="S26" s="88">
        <v>0.115635</v>
      </c>
      <c r="T26" s="88">
        <v>0.12864999999999999</v>
      </c>
      <c r="U26" s="88">
        <v>0.14353199999999999</v>
      </c>
      <c r="V26" s="88">
        <v>0.160333</v>
      </c>
      <c r="W26" s="88">
        <v>0.17879300000000001</v>
      </c>
      <c r="X26" s="88">
        <v>0.198736</v>
      </c>
      <c r="Y26" s="88">
        <v>0.21998000000000001</v>
      </c>
      <c r="Z26" s="88">
        <v>0.24280499999999999</v>
      </c>
      <c r="AA26" s="88">
        <v>0.26719799999999999</v>
      </c>
      <c r="AB26" s="88">
        <v>0.29270299999999999</v>
      </c>
      <c r="AC26" s="88">
        <v>0.318521</v>
      </c>
      <c r="AD26" s="88">
        <v>0.34528500000000001</v>
      </c>
      <c r="AE26" s="88">
        <v>0.37370199999999998</v>
      </c>
      <c r="AF26" s="89" t="s">
        <v>217</v>
      </c>
      <c r="AG26" s="80"/>
    </row>
    <row r="27" spans="1:33" ht="15" customHeight="1">
      <c r="A27" s="78" t="s">
        <v>294</v>
      </c>
      <c r="B27" s="87" t="s">
        <v>295</v>
      </c>
      <c r="C27" s="88">
        <v>0</v>
      </c>
      <c r="D27" s="88">
        <v>0</v>
      </c>
      <c r="E27" s="88">
        <v>1.9999999999999999E-6</v>
      </c>
      <c r="F27" s="88">
        <v>3.9999999999999998E-6</v>
      </c>
      <c r="G27" s="88">
        <v>6.0000000000000002E-6</v>
      </c>
      <c r="H27" s="88">
        <v>7.9999999999999996E-6</v>
      </c>
      <c r="I27" s="88">
        <v>1.0000000000000001E-5</v>
      </c>
      <c r="J27" s="88">
        <v>1.1E-5</v>
      </c>
      <c r="K27" s="88">
        <v>1.2999999999999999E-5</v>
      </c>
      <c r="L27" s="88">
        <v>1.5E-5</v>
      </c>
      <c r="M27" s="88">
        <v>1.7E-5</v>
      </c>
      <c r="N27" s="88">
        <v>1.8E-5</v>
      </c>
      <c r="O27" s="88">
        <v>2.0000000000000002E-5</v>
      </c>
      <c r="P27" s="88">
        <v>2.0999999999999999E-5</v>
      </c>
      <c r="Q27" s="88">
        <v>2.1999999999999999E-5</v>
      </c>
      <c r="R27" s="88">
        <v>2.3E-5</v>
      </c>
      <c r="S27" s="88">
        <v>2.4000000000000001E-5</v>
      </c>
      <c r="T27" s="88">
        <v>2.5000000000000001E-5</v>
      </c>
      <c r="U27" s="88">
        <v>2.5999999999999998E-5</v>
      </c>
      <c r="V27" s="88">
        <v>2.6999999999999999E-5</v>
      </c>
      <c r="W27" s="88">
        <v>2.8E-5</v>
      </c>
      <c r="X27" s="88">
        <v>2.8E-5</v>
      </c>
      <c r="Y27" s="88">
        <v>2.8E-5</v>
      </c>
      <c r="Z27" s="88">
        <v>2.9E-5</v>
      </c>
      <c r="AA27" s="88">
        <v>2.9E-5</v>
      </c>
      <c r="AB27" s="88">
        <v>2.8E-5</v>
      </c>
      <c r="AC27" s="88">
        <v>2.8E-5</v>
      </c>
      <c r="AD27" s="88">
        <v>2.6999999999999999E-5</v>
      </c>
      <c r="AE27" s="88">
        <v>2.6999999999999999E-5</v>
      </c>
      <c r="AF27" s="89" t="s">
        <v>217</v>
      </c>
      <c r="AG27" s="80"/>
    </row>
    <row r="28" spans="1:33" ht="15" customHeight="1">
      <c r="A28" s="78" t="s">
        <v>296</v>
      </c>
      <c r="B28" s="87" t="s">
        <v>297</v>
      </c>
      <c r="C28" s="88">
        <v>75.048714000000004</v>
      </c>
      <c r="D28" s="88">
        <v>74.717513999999994</v>
      </c>
      <c r="E28" s="88">
        <v>75.046081999999998</v>
      </c>
      <c r="F28" s="88">
        <v>76.143508999999995</v>
      </c>
      <c r="G28" s="88">
        <v>77.597999999999999</v>
      </c>
      <c r="H28" s="88">
        <v>78.820419000000001</v>
      </c>
      <c r="I28" s="88">
        <v>79.976401999999993</v>
      </c>
      <c r="J28" s="88">
        <v>81.127167</v>
      </c>
      <c r="K28" s="88">
        <v>82.517714999999995</v>
      </c>
      <c r="L28" s="88">
        <v>84.228110999999998</v>
      </c>
      <c r="M28" s="88">
        <v>86.234122999999997</v>
      </c>
      <c r="N28" s="88">
        <v>88.077529999999996</v>
      </c>
      <c r="O28" s="88">
        <v>89.911659</v>
      </c>
      <c r="P28" s="88">
        <v>91.791747999999998</v>
      </c>
      <c r="Q28" s="88">
        <v>93.544196999999997</v>
      </c>
      <c r="R28" s="88">
        <v>95.400565999999998</v>
      </c>
      <c r="S28" s="88">
        <v>97.240463000000005</v>
      </c>
      <c r="T28" s="88">
        <v>99.104270999999997</v>
      </c>
      <c r="U28" s="88">
        <v>101.111</v>
      </c>
      <c r="V28" s="88">
        <v>103.19528200000001</v>
      </c>
      <c r="W28" s="88">
        <v>105.237099</v>
      </c>
      <c r="X28" s="88">
        <v>107.199234</v>
      </c>
      <c r="Y28" s="88">
        <v>109.127678</v>
      </c>
      <c r="Z28" s="88">
        <v>111.1437</v>
      </c>
      <c r="AA28" s="88">
        <v>113.446144</v>
      </c>
      <c r="AB28" s="88">
        <v>115.847984</v>
      </c>
      <c r="AC28" s="88">
        <v>118.10760500000001</v>
      </c>
      <c r="AD28" s="88">
        <v>120.49865</v>
      </c>
      <c r="AE28" s="88">
        <v>123.323883</v>
      </c>
      <c r="AF28" s="89">
        <v>1.7897E-2</v>
      </c>
      <c r="AG28" s="80"/>
    </row>
    <row r="29" spans="1:33" ht="15" customHeight="1">
      <c r="B29" s="86" t="s">
        <v>298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 spans="1:33" ht="15" customHeight="1">
      <c r="A30" s="78" t="s">
        <v>299</v>
      </c>
      <c r="B30" s="87" t="s">
        <v>279</v>
      </c>
      <c r="C30" s="88">
        <v>39.558543999999998</v>
      </c>
      <c r="D30" s="88">
        <v>39.337626999999998</v>
      </c>
      <c r="E30" s="88">
        <v>39.299655999999999</v>
      </c>
      <c r="F30" s="88">
        <v>39.581608000000003</v>
      </c>
      <c r="G30" s="88">
        <v>40.110664</v>
      </c>
      <c r="H30" s="88">
        <v>40.671706999999998</v>
      </c>
      <c r="I30" s="88">
        <v>41.263809000000002</v>
      </c>
      <c r="J30" s="88">
        <v>41.765324</v>
      </c>
      <c r="K30" s="88">
        <v>42.233722999999998</v>
      </c>
      <c r="L30" s="88">
        <v>42.755890000000001</v>
      </c>
      <c r="M30" s="88">
        <v>43.429985000000002</v>
      </c>
      <c r="N30" s="88">
        <v>44.019016000000001</v>
      </c>
      <c r="O30" s="88">
        <v>44.583286000000001</v>
      </c>
      <c r="P30" s="88">
        <v>45.18047</v>
      </c>
      <c r="Q30" s="88">
        <v>45.736732000000003</v>
      </c>
      <c r="R30" s="88">
        <v>46.355182999999997</v>
      </c>
      <c r="S30" s="88">
        <v>46.957836</v>
      </c>
      <c r="T30" s="88">
        <v>47.563808000000002</v>
      </c>
      <c r="U30" s="88">
        <v>48.222565000000003</v>
      </c>
      <c r="V30" s="88">
        <v>48.907677</v>
      </c>
      <c r="W30" s="88">
        <v>49.573700000000002</v>
      </c>
      <c r="X30" s="88">
        <v>50.240974000000001</v>
      </c>
      <c r="Y30" s="88">
        <v>50.887698999999998</v>
      </c>
      <c r="Z30" s="88">
        <v>51.487983999999997</v>
      </c>
      <c r="AA30" s="88">
        <v>52.142113000000002</v>
      </c>
      <c r="AB30" s="88">
        <v>52.823295999999999</v>
      </c>
      <c r="AC30" s="88">
        <v>53.454895</v>
      </c>
      <c r="AD30" s="88">
        <v>54.11842</v>
      </c>
      <c r="AE30" s="88">
        <v>54.955475</v>
      </c>
      <c r="AF30" s="89">
        <v>1.1809999999999999E-2</v>
      </c>
      <c r="AG30" s="80"/>
    </row>
    <row r="31" spans="1:33" ht="15" customHeight="1">
      <c r="A31" s="78" t="s">
        <v>300</v>
      </c>
      <c r="B31" s="87" t="s">
        <v>281</v>
      </c>
      <c r="C31" s="88">
        <v>19.487116</v>
      </c>
      <c r="D31" s="88">
        <v>19.215472999999999</v>
      </c>
      <c r="E31" s="88">
        <v>19.072890999999998</v>
      </c>
      <c r="F31" s="88">
        <v>19.059853</v>
      </c>
      <c r="G31" s="88">
        <v>19.182478</v>
      </c>
      <c r="H31" s="88">
        <v>19.313580999999999</v>
      </c>
      <c r="I31" s="88">
        <v>19.478919999999999</v>
      </c>
      <c r="J31" s="88">
        <v>19.629051</v>
      </c>
      <c r="K31" s="88">
        <v>19.775127000000001</v>
      </c>
      <c r="L31" s="88">
        <v>19.949099</v>
      </c>
      <c r="M31" s="88">
        <v>20.215589999999999</v>
      </c>
      <c r="N31" s="88">
        <v>20.442692000000001</v>
      </c>
      <c r="O31" s="88">
        <v>20.670752</v>
      </c>
      <c r="P31" s="88">
        <v>20.911200000000001</v>
      </c>
      <c r="Q31" s="88">
        <v>21.112674999999999</v>
      </c>
      <c r="R31" s="88">
        <v>21.367301999999999</v>
      </c>
      <c r="S31" s="88">
        <v>21.576695999999998</v>
      </c>
      <c r="T31" s="88">
        <v>21.845286999999999</v>
      </c>
      <c r="U31" s="88">
        <v>22.114789999999999</v>
      </c>
      <c r="V31" s="88">
        <v>22.415617000000001</v>
      </c>
      <c r="W31" s="88">
        <v>22.714939000000001</v>
      </c>
      <c r="X31" s="88">
        <v>23.016795999999999</v>
      </c>
      <c r="Y31" s="88">
        <v>23.311952999999999</v>
      </c>
      <c r="Z31" s="88">
        <v>23.583117999999999</v>
      </c>
      <c r="AA31" s="88">
        <v>23.878855000000001</v>
      </c>
      <c r="AB31" s="88">
        <v>24.179131999999999</v>
      </c>
      <c r="AC31" s="88">
        <v>24.450662999999999</v>
      </c>
      <c r="AD31" s="88">
        <v>24.739687</v>
      </c>
      <c r="AE31" s="88">
        <v>25.097049999999999</v>
      </c>
      <c r="AF31" s="89">
        <v>9.077E-3</v>
      </c>
      <c r="AG31" s="80"/>
    </row>
    <row r="32" spans="1:33" ht="15" customHeight="1">
      <c r="A32" s="78" t="s">
        <v>301</v>
      </c>
      <c r="B32" s="87" t="s">
        <v>283</v>
      </c>
      <c r="C32" s="88">
        <v>3.5519000000000002E-2</v>
      </c>
      <c r="D32" s="88">
        <v>3.6849E-2</v>
      </c>
      <c r="E32" s="88">
        <v>3.8300000000000001E-2</v>
      </c>
      <c r="F32" s="88">
        <v>3.9927999999999998E-2</v>
      </c>
      <c r="G32" s="88">
        <v>4.1890999999999998E-2</v>
      </c>
      <c r="H32" s="88">
        <v>4.3984000000000002E-2</v>
      </c>
      <c r="I32" s="88">
        <v>4.6241999999999998E-2</v>
      </c>
      <c r="J32" s="88">
        <v>4.8501000000000002E-2</v>
      </c>
      <c r="K32" s="88">
        <v>5.0944999999999997E-2</v>
      </c>
      <c r="L32" s="88">
        <v>5.3742999999999999E-2</v>
      </c>
      <c r="M32" s="88">
        <v>5.7158E-2</v>
      </c>
      <c r="N32" s="88">
        <v>6.1107000000000002E-2</v>
      </c>
      <c r="O32" s="88">
        <v>6.5478999999999996E-2</v>
      </c>
      <c r="P32" s="88">
        <v>6.9911000000000001E-2</v>
      </c>
      <c r="Q32" s="88">
        <v>7.4637999999999996E-2</v>
      </c>
      <c r="R32" s="88">
        <v>7.9952999999999996E-2</v>
      </c>
      <c r="S32" s="88">
        <v>8.5781999999999997E-2</v>
      </c>
      <c r="T32" s="88">
        <v>9.2218999999999995E-2</v>
      </c>
      <c r="U32" s="88">
        <v>9.9416000000000004E-2</v>
      </c>
      <c r="V32" s="88">
        <v>0.10742400000000001</v>
      </c>
      <c r="W32" s="88">
        <v>0.115934</v>
      </c>
      <c r="X32" s="88">
        <v>0.124888</v>
      </c>
      <c r="Y32" s="88">
        <v>0.13411600000000001</v>
      </c>
      <c r="Z32" s="88">
        <v>0.143486</v>
      </c>
      <c r="AA32" s="88">
        <v>0.153252</v>
      </c>
      <c r="AB32" s="88">
        <v>0.16322400000000001</v>
      </c>
      <c r="AC32" s="88">
        <v>0.17308100000000001</v>
      </c>
      <c r="AD32" s="88">
        <v>0.18249199999999999</v>
      </c>
      <c r="AE32" s="88">
        <v>0.19253300000000001</v>
      </c>
      <c r="AF32" s="89">
        <v>6.2223000000000001E-2</v>
      </c>
      <c r="AG32" s="80"/>
    </row>
    <row r="33" spans="1:33" ht="15" customHeight="1">
      <c r="A33" s="78" t="s">
        <v>302</v>
      </c>
      <c r="B33" s="87" t="s">
        <v>285</v>
      </c>
      <c r="C33" s="88">
        <v>4.0710999999999997E-2</v>
      </c>
      <c r="D33" s="88">
        <v>3.8744000000000001E-2</v>
      </c>
      <c r="E33" s="88">
        <v>3.6801E-2</v>
      </c>
      <c r="F33" s="88">
        <v>3.5048999999999997E-2</v>
      </c>
      <c r="G33" s="88">
        <v>3.3437000000000001E-2</v>
      </c>
      <c r="H33" s="88">
        <v>3.1725999999999997E-2</v>
      </c>
      <c r="I33" s="88">
        <v>3.0068000000000001E-2</v>
      </c>
      <c r="J33" s="88">
        <v>2.8327000000000001E-2</v>
      </c>
      <c r="K33" s="88">
        <v>2.6554000000000001E-2</v>
      </c>
      <c r="L33" s="88">
        <v>2.4896000000000001E-2</v>
      </c>
      <c r="M33" s="88">
        <v>2.3394999999999999E-2</v>
      </c>
      <c r="N33" s="88">
        <v>2.1885999999999999E-2</v>
      </c>
      <c r="O33" s="88">
        <v>2.0383999999999999E-2</v>
      </c>
      <c r="P33" s="88">
        <v>1.8924E-2</v>
      </c>
      <c r="Q33" s="88">
        <v>1.7500999999999999E-2</v>
      </c>
      <c r="R33" s="88">
        <v>1.6240000000000001E-2</v>
      </c>
      <c r="S33" s="88">
        <v>1.5091E-2</v>
      </c>
      <c r="T33" s="88">
        <v>1.4094000000000001E-2</v>
      </c>
      <c r="U33" s="88">
        <v>1.316E-2</v>
      </c>
      <c r="V33" s="88">
        <v>1.2222E-2</v>
      </c>
      <c r="W33" s="88">
        <v>1.1379999999999999E-2</v>
      </c>
      <c r="X33" s="88">
        <v>1.0423999999999999E-2</v>
      </c>
      <c r="Y33" s="88">
        <v>9.4500000000000001E-3</v>
      </c>
      <c r="Z33" s="88">
        <v>8.6359999999999996E-3</v>
      </c>
      <c r="AA33" s="88">
        <v>7.9539999999999993E-3</v>
      </c>
      <c r="AB33" s="88">
        <v>7.2659999999999999E-3</v>
      </c>
      <c r="AC33" s="88">
        <v>6.5680000000000001E-3</v>
      </c>
      <c r="AD33" s="88">
        <v>5.9379999999999997E-3</v>
      </c>
      <c r="AE33" s="88">
        <v>5.4149999999999997E-3</v>
      </c>
      <c r="AF33" s="89">
        <v>-6.9514000000000006E-2</v>
      </c>
      <c r="AG33" s="80"/>
    </row>
    <row r="34" spans="1:33" ht="15" customHeight="1">
      <c r="A34" s="78" t="s">
        <v>303</v>
      </c>
      <c r="B34" s="87" t="s">
        <v>287</v>
      </c>
      <c r="C34" s="88">
        <v>0.56798599999999999</v>
      </c>
      <c r="D34" s="88">
        <v>0.59782800000000003</v>
      </c>
      <c r="E34" s="88">
        <v>0.637764</v>
      </c>
      <c r="F34" s="88">
        <v>0.68537099999999995</v>
      </c>
      <c r="G34" s="88">
        <v>0.74296300000000004</v>
      </c>
      <c r="H34" s="88">
        <v>0.80857800000000002</v>
      </c>
      <c r="I34" s="88">
        <v>0.87989099999999998</v>
      </c>
      <c r="J34" s="88">
        <v>0.95517399999999997</v>
      </c>
      <c r="K34" s="88">
        <v>1.0367869999999999</v>
      </c>
      <c r="L34" s="88">
        <v>1.129257</v>
      </c>
      <c r="M34" s="88">
        <v>1.2372430000000001</v>
      </c>
      <c r="N34" s="88">
        <v>1.3557220000000001</v>
      </c>
      <c r="O34" s="88">
        <v>1.486297</v>
      </c>
      <c r="P34" s="88">
        <v>1.6277839999999999</v>
      </c>
      <c r="Q34" s="88">
        <v>1.7695620000000001</v>
      </c>
      <c r="R34" s="88">
        <v>1.9196610000000001</v>
      </c>
      <c r="S34" s="88">
        <v>2.070964</v>
      </c>
      <c r="T34" s="88">
        <v>2.2238769999999999</v>
      </c>
      <c r="U34" s="88">
        <v>2.3845040000000002</v>
      </c>
      <c r="V34" s="88">
        <v>2.5457839999999998</v>
      </c>
      <c r="W34" s="88">
        <v>2.7054459999999998</v>
      </c>
      <c r="X34" s="88">
        <v>2.8628369999999999</v>
      </c>
      <c r="Y34" s="88">
        <v>3.0127489999999999</v>
      </c>
      <c r="Z34" s="88">
        <v>3.1550750000000001</v>
      </c>
      <c r="AA34" s="88">
        <v>3.292932</v>
      </c>
      <c r="AB34" s="88">
        <v>3.4261879999999998</v>
      </c>
      <c r="AC34" s="88">
        <v>3.547679</v>
      </c>
      <c r="AD34" s="88">
        <v>3.667386</v>
      </c>
      <c r="AE34" s="88">
        <v>3.7930950000000001</v>
      </c>
      <c r="AF34" s="89">
        <v>7.0167999999999994E-2</v>
      </c>
      <c r="AG34" s="80"/>
    </row>
    <row r="35" spans="1:33" ht="15" customHeight="1">
      <c r="A35" s="78" t="s">
        <v>304</v>
      </c>
      <c r="B35" s="87" t="s">
        <v>289</v>
      </c>
      <c r="C35" s="88">
        <v>4.7990000000000003E-3</v>
      </c>
      <c r="D35" s="88">
        <v>5.7080000000000004E-3</v>
      </c>
      <c r="E35" s="88">
        <v>6.4009999999999996E-3</v>
      </c>
      <c r="F35" s="88">
        <v>6.9449999999999998E-3</v>
      </c>
      <c r="G35" s="88">
        <v>7.3709999999999999E-3</v>
      </c>
      <c r="H35" s="88">
        <v>7.6620000000000004E-3</v>
      </c>
      <c r="I35" s="88">
        <v>7.8370000000000002E-3</v>
      </c>
      <c r="J35" s="88">
        <v>7.9019999999999993E-3</v>
      </c>
      <c r="K35" s="88">
        <v>7.8869999999999999E-3</v>
      </c>
      <c r="L35" s="88">
        <v>7.8220000000000008E-3</v>
      </c>
      <c r="M35" s="88">
        <v>7.7270000000000004E-3</v>
      </c>
      <c r="N35" s="88">
        <v>7.5750000000000001E-3</v>
      </c>
      <c r="O35" s="88">
        <v>7.3740000000000003E-3</v>
      </c>
      <c r="P35" s="88">
        <v>7.1599999999999997E-3</v>
      </c>
      <c r="Q35" s="88">
        <v>6.8789999999999997E-3</v>
      </c>
      <c r="R35" s="88">
        <v>6.5760000000000002E-3</v>
      </c>
      <c r="S35" s="88">
        <v>6.319E-3</v>
      </c>
      <c r="T35" s="88">
        <v>6.0559999999999998E-3</v>
      </c>
      <c r="U35" s="88">
        <v>5.7580000000000001E-3</v>
      </c>
      <c r="V35" s="88">
        <v>5.4679999999999998E-3</v>
      </c>
      <c r="W35" s="88">
        <v>5.1850000000000004E-3</v>
      </c>
      <c r="X35" s="88">
        <v>4.9100000000000003E-3</v>
      </c>
      <c r="Y35" s="88">
        <v>4.6449999999999998E-3</v>
      </c>
      <c r="Z35" s="88">
        <v>4.3909999999999999E-3</v>
      </c>
      <c r="AA35" s="88">
        <v>4.1580000000000002E-3</v>
      </c>
      <c r="AB35" s="88">
        <v>3.9370000000000004E-3</v>
      </c>
      <c r="AC35" s="88">
        <v>3.7230000000000002E-3</v>
      </c>
      <c r="AD35" s="88">
        <v>3.516E-3</v>
      </c>
      <c r="AE35" s="88">
        <v>3.3319999999999999E-3</v>
      </c>
      <c r="AF35" s="89">
        <v>-1.2949E-2</v>
      </c>
      <c r="AG35" s="80"/>
    </row>
    <row r="36" spans="1:33" ht="15" customHeight="1">
      <c r="A36" s="78" t="s">
        <v>305</v>
      </c>
      <c r="B36" s="87" t="s">
        <v>291</v>
      </c>
      <c r="C36" s="88">
        <v>0</v>
      </c>
      <c r="D36" s="88">
        <v>0</v>
      </c>
      <c r="E36" s="88">
        <v>4.8300000000000001E-3</v>
      </c>
      <c r="F36" s="88">
        <v>9.332E-3</v>
      </c>
      <c r="G36" s="88">
        <v>1.3625E-2</v>
      </c>
      <c r="H36" s="88">
        <v>1.7784000000000001E-2</v>
      </c>
      <c r="I36" s="88">
        <v>2.1821E-2</v>
      </c>
      <c r="J36" s="88">
        <v>2.5634000000000001E-2</v>
      </c>
      <c r="K36" s="88">
        <v>2.9242000000000001E-2</v>
      </c>
      <c r="L36" s="88">
        <v>3.2780999999999998E-2</v>
      </c>
      <c r="M36" s="88">
        <v>3.644E-2</v>
      </c>
      <c r="N36" s="88">
        <v>4.0143999999999999E-2</v>
      </c>
      <c r="O36" s="88">
        <v>4.3930999999999998E-2</v>
      </c>
      <c r="P36" s="88">
        <v>4.7813000000000001E-2</v>
      </c>
      <c r="Q36" s="88">
        <v>5.1763000000000003E-2</v>
      </c>
      <c r="R36" s="88">
        <v>5.5931000000000002E-2</v>
      </c>
      <c r="S36" s="88">
        <v>6.0281000000000001E-2</v>
      </c>
      <c r="T36" s="88">
        <v>6.4887E-2</v>
      </c>
      <c r="U36" s="88">
        <v>6.9919999999999996E-2</v>
      </c>
      <c r="V36" s="88">
        <v>7.5448000000000001E-2</v>
      </c>
      <c r="W36" s="88">
        <v>8.1417000000000003E-2</v>
      </c>
      <c r="X36" s="88">
        <v>8.7566000000000005E-2</v>
      </c>
      <c r="Y36" s="88">
        <v>9.4056000000000001E-2</v>
      </c>
      <c r="Z36" s="88">
        <v>0.10083300000000001</v>
      </c>
      <c r="AA36" s="88">
        <v>0.108103</v>
      </c>
      <c r="AB36" s="88">
        <v>0.11576599999999999</v>
      </c>
      <c r="AC36" s="88">
        <v>0.123626</v>
      </c>
      <c r="AD36" s="88">
        <v>0.131829</v>
      </c>
      <c r="AE36" s="88">
        <v>0.140711</v>
      </c>
      <c r="AF36" s="89" t="s">
        <v>217</v>
      </c>
      <c r="AG36" s="80"/>
    </row>
    <row r="37" spans="1:33" ht="15" customHeight="1">
      <c r="A37" s="78" t="s">
        <v>306</v>
      </c>
      <c r="B37" s="87" t="s">
        <v>293</v>
      </c>
      <c r="C37" s="88">
        <v>0</v>
      </c>
      <c r="D37" s="88">
        <v>0</v>
      </c>
      <c r="E37" s="88">
        <v>4.6990000000000001E-3</v>
      </c>
      <c r="F37" s="88">
        <v>8.9820000000000004E-3</v>
      </c>
      <c r="G37" s="88">
        <v>1.3004E-2</v>
      </c>
      <c r="H37" s="88">
        <v>1.6833000000000001E-2</v>
      </c>
      <c r="I37" s="88">
        <v>2.0468E-2</v>
      </c>
      <c r="J37" s="88">
        <v>2.3865000000000001E-2</v>
      </c>
      <c r="K37" s="88">
        <v>2.7097E-2</v>
      </c>
      <c r="L37" s="88">
        <v>3.0356999999999999E-2</v>
      </c>
      <c r="M37" s="88">
        <v>3.3845E-2</v>
      </c>
      <c r="N37" s="88">
        <v>3.7533999999999998E-2</v>
      </c>
      <c r="O37" s="88">
        <v>4.1471000000000001E-2</v>
      </c>
      <c r="P37" s="88">
        <v>4.5675E-2</v>
      </c>
      <c r="Q37" s="88">
        <v>5.0146000000000003E-2</v>
      </c>
      <c r="R37" s="88">
        <v>5.5066999999999998E-2</v>
      </c>
      <c r="S37" s="88">
        <v>6.0408000000000003E-2</v>
      </c>
      <c r="T37" s="88">
        <v>6.6288E-2</v>
      </c>
      <c r="U37" s="88">
        <v>7.2910000000000003E-2</v>
      </c>
      <c r="V37" s="88">
        <v>8.0391000000000004E-2</v>
      </c>
      <c r="W37" s="88">
        <v>8.8689000000000004E-2</v>
      </c>
      <c r="X37" s="88">
        <v>9.7592999999999999E-2</v>
      </c>
      <c r="Y37" s="88">
        <v>0.107179</v>
      </c>
      <c r="Z37" s="88">
        <v>0.11736099999999999</v>
      </c>
      <c r="AA37" s="88">
        <v>0.12828400000000001</v>
      </c>
      <c r="AB37" s="88">
        <v>0.139872</v>
      </c>
      <c r="AC37" s="88">
        <v>0.15181700000000001</v>
      </c>
      <c r="AD37" s="88">
        <v>0.16430400000000001</v>
      </c>
      <c r="AE37" s="88">
        <v>0.177619</v>
      </c>
      <c r="AF37" s="89" t="s">
        <v>217</v>
      </c>
      <c r="AG37" s="80"/>
    </row>
    <row r="38" spans="1:33" ht="15" customHeight="1">
      <c r="A38" s="78" t="s">
        <v>307</v>
      </c>
      <c r="B38" s="87" t="s">
        <v>295</v>
      </c>
      <c r="C38" s="88">
        <v>0</v>
      </c>
      <c r="D38" s="88">
        <v>0</v>
      </c>
      <c r="E38" s="88">
        <v>8.0780000000000001E-3</v>
      </c>
      <c r="F38" s="88">
        <v>1.5644999999999999E-2</v>
      </c>
      <c r="G38" s="88">
        <v>2.2988999999999999E-2</v>
      </c>
      <c r="H38" s="88">
        <v>3.0179000000000001E-2</v>
      </c>
      <c r="I38" s="88">
        <v>3.7161E-2</v>
      </c>
      <c r="J38" s="88">
        <v>4.3795000000000001E-2</v>
      </c>
      <c r="K38" s="88">
        <v>5.0102000000000001E-2</v>
      </c>
      <c r="L38" s="88">
        <v>5.6294999999999998E-2</v>
      </c>
      <c r="M38" s="88">
        <v>6.2640000000000001E-2</v>
      </c>
      <c r="N38" s="88">
        <v>6.8956000000000003E-2</v>
      </c>
      <c r="O38" s="88">
        <v>7.5354000000000004E-2</v>
      </c>
      <c r="P38" s="88">
        <v>8.1948999999999994E-2</v>
      </c>
      <c r="Q38" s="88">
        <v>8.8664000000000007E-2</v>
      </c>
      <c r="R38" s="88">
        <v>9.5808000000000004E-2</v>
      </c>
      <c r="S38" s="88">
        <v>0.103379</v>
      </c>
      <c r="T38" s="88">
        <v>0.11151700000000001</v>
      </c>
      <c r="U38" s="88">
        <v>0.12053700000000001</v>
      </c>
      <c r="V38" s="88">
        <v>0.13056699999999999</v>
      </c>
      <c r="W38" s="88">
        <v>0.14152300000000001</v>
      </c>
      <c r="X38" s="88">
        <v>0.152972</v>
      </c>
      <c r="Y38" s="88">
        <v>0.16517100000000001</v>
      </c>
      <c r="Z38" s="88">
        <v>0.178007</v>
      </c>
      <c r="AA38" s="88">
        <v>0.191833</v>
      </c>
      <c r="AB38" s="88">
        <v>0.20646700000000001</v>
      </c>
      <c r="AC38" s="88">
        <v>0.22154599999999999</v>
      </c>
      <c r="AD38" s="88">
        <v>0.23730999999999999</v>
      </c>
      <c r="AE38" s="88">
        <v>0.25435600000000003</v>
      </c>
      <c r="AF38" s="89" t="s">
        <v>217</v>
      </c>
      <c r="AG38" s="80"/>
    </row>
    <row r="39" spans="1:33" ht="12" customHeight="1">
      <c r="A39" s="78" t="s">
        <v>308</v>
      </c>
      <c r="B39" s="87" t="s">
        <v>309</v>
      </c>
      <c r="C39" s="88">
        <v>59.694575999999998</v>
      </c>
      <c r="D39" s="88">
        <v>59.232098000000001</v>
      </c>
      <c r="E39" s="88">
        <v>59.109397999999999</v>
      </c>
      <c r="F39" s="88">
        <v>59.442653999999997</v>
      </c>
      <c r="G39" s="88">
        <v>60.168362000000002</v>
      </c>
      <c r="H39" s="88">
        <v>60.942036000000002</v>
      </c>
      <c r="I39" s="88">
        <v>61.786160000000002</v>
      </c>
      <c r="J39" s="88">
        <v>62.527434999999997</v>
      </c>
      <c r="K39" s="88">
        <v>63.237366000000002</v>
      </c>
      <c r="L39" s="88">
        <v>64.040108000000004</v>
      </c>
      <c r="M39" s="88">
        <v>65.104018999999994</v>
      </c>
      <c r="N39" s="88">
        <v>66.054314000000005</v>
      </c>
      <c r="O39" s="88">
        <v>66.994217000000006</v>
      </c>
      <c r="P39" s="88">
        <v>67.990768000000003</v>
      </c>
      <c r="Q39" s="88">
        <v>68.908278999999993</v>
      </c>
      <c r="R39" s="88">
        <v>69.951363000000001</v>
      </c>
      <c r="S39" s="88">
        <v>70.936751999999998</v>
      </c>
      <c r="T39" s="88">
        <v>71.987885000000006</v>
      </c>
      <c r="U39" s="88">
        <v>73.103226000000006</v>
      </c>
      <c r="V39" s="88">
        <v>74.280495000000002</v>
      </c>
      <c r="W39" s="88">
        <v>75.437995999999998</v>
      </c>
      <c r="X39" s="88">
        <v>76.598990999999998</v>
      </c>
      <c r="Y39" s="88">
        <v>77.726692</v>
      </c>
      <c r="Z39" s="88">
        <v>78.778594999999996</v>
      </c>
      <c r="AA39" s="88">
        <v>79.907218999999998</v>
      </c>
      <c r="AB39" s="88">
        <v>81.064887999999996</v>
      </c>
      <c r="AC39" s="88">
        <v>82.133056999999994</v>
      </c>
      <c r="AD39" s="88">
        <v>83.250366</v>
      </c>
      <c r="AE39" s="88">
        <v>84.619040999999996</v>
      </c>
      <c r="AF39" s="89">
        <v>1.2539E-2</v>
      </c>
      <c r="AG39" s="80"/>
    </row>
    <row r="40" spans="1:33" ht="12" customHeight="1">
      <c r="B40" s="86" t="s">
        <v>310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</row>
    <row r="41" spans="1:33" ht="12" customHeight="1">
      <c r="A41" s="78" t="s">
        <v>311</v>
      </c>
      <c r="B41" s="87" t="s">
        <v>279</v>
      </c>
      <c r="C41" s="88">
        <v>184.85647599999999</v>
      </c>
      <c r="D41" s="88">
        <v>184.36309800000001</v>
      </c>
      <c r="E41" s="88">
        <v>184.53233299999999</v>
      </c>
      <c r="F41" s="88">
        <v>185.92311100000001</v>
      </c>
      <c r="G41" s="88">
        <v>188.09622200000001</v>
      </c>
      <c r="H41" s="88">
        <v>189.92868000000001</v>
      </c>
      <c r="I41" s="88">
        <v>191.46675099999999</v>
      </c>
      <c r="J41" s="88">
        <v>192.31585699999999</v>
      </c>
      <c r="K41" s="88">
        <v>192.75872799999999</v>
      </c>
      <c r="L41" s="88">
        <v>193.261459</v>
      </c>
      <c r="M41" s="88">
        <v>194.18498199999999</v>
      </c>
      <c r="N41" s="88">
        <v>194.74160800000001</v>
      </c>
      <c r="O41" s="88">
        <v>195.212692</v>
      </c>
      <c r="P41" s="88">
        <v>195.789413</v>
      </c>
      <c r="Q41" s="88">
        <v>196.09771699999999</v>
      </c>
      <c r="R41" s="88">
        <v>196.645309</v>
      </c>
      <c r="S41" s="88">
        <v>197.177887</v>
      </c>
      <c r="T41" s="88">
        <v>197.587006</v>
      </c>
      <c r="U41" s="88">
        <v>198.118088</v>
      </c>
      <c r="V41" s="88">
        <v>198.717422</v>
      </c>
      <c r="W41" s="88">
        <v>199.29679899999999</v>
      </c>
      <c r="X41" s="88">
        <v>199.71180699999999</v>
      </c>
      <c r="Y41" s="88">
        <v>199.916168</v>
      </c>
      <c r="Z41" s="88">
        <v>199.88377399999999</v>
      </c>
      <c r="AA41" s="88">
        <v>199.97645600000001</v>
      </c>
      <c r="AB41" s="88">
        <v>200.03840600000001</v>
      </c>
      <c r="AC41" s="88">
        <v>199.82255599999999</v>
      </c>
      <c r="AD41" s="88">
        <v>199.676208</v>
      </c>
      <c r="AE41" s="88">
        <v>200.11251799999999</v>
      </c>
      <c r="AF41" s="89">
        <v>2.836E-3</v>
      </c>
      <c r="AG41" s="80"/>
    </row>
    <row r="42" spans="1:33" ht="12" customHeight="1">
      <c r="A42" s="78" t="s">
        <v>312</v>
      </c>
      <c r="B42" s="87" t="s">
        <v>281</v>
      </c>
      <c r="C42" s="88">
        <v>0.177811</v>
      </c>
      <c r="D42" s="88">
        <v>0.177786</v>
      </c>
      <c r="E42" s="88">
        <v>0.18096300000000001</v>
      </c>
      <c r="F42" s="88">
        <v>0.18684300000000001</v>
      </c>
      <c r="G42" s="88">
        <v>0.19617399999999999</v>
      </c>
      <c r="H42" s="88">
        <v>0.207373</v>
      </c>
      <c r="I42" s="88">
        <v>0.21936700000000001</v>
      </c>
      <c r="J42" s="88">
        <v>0.23114199999999999</v>
      </c>
      <c r="K42" s="88">
        <v>0.243587</v>
      </c>
      <c r="L42" s="88">
        <v>0.25589200000000001</v>
      </c>
      <c r="M42" s="88">
        <v>0.26813500000000001</v>
      </c>
      <c r="N42" s="88">
        <v>0.27929500000000002</v>
      </c>
      <c r="O42" s="88">
        <v>0.28943799999999997</v>
      </c>
      <c r="P42" s="88">
        <v>0.29867300000000002</v>
      </c>
      <c r="Q42" s="88">
        <v>0.30595</v>
      </c>
      <c r="R42" s="88">
        <v>0.31252000000000002</v>
      </c>
      <c r="S42" s="88">
        <v>0.317911</v>
      </c>
      <c r="T42" s="88">
        <v>0.32267299999999999</v>
      </c>
      <c r="U42" s="88">
        <v>0.32754699999999998</v>
      </c>
      <c r="V42" s="88">
        <v>0.33221099999999998</v>
      </c>
      <c r="W42" s="88">
        <v>0.33520299999999997</v>
      </c>
      <c r="X42" s="88">
        <v>0.33737800000000001</v>
      </c>
      <c r="Y42" s="88">
        <v>0.33995199999999998</v>
      </c>
      <c r="Z42" s="88">
        <v>0.34246199999999999</v>
      </c>
      <c r="AA42" s="88">
        <v>0.34548699999999999</v>
      </c>
      <c r="AB42" s="88">
        <v>0.34853699999999999</v>
      </c>
      <c r="AC42" s="88">
        <v>0.351078</v>
      </c>
      <c r="AD42" s="88">
        <v>0.35373399999999999</v>
      </c>
      <c r="AE42" s="88">
        <v>0.35739300000000002</v>
      </c>
      <c r="AF42" s="89">
        <v>2.5246000000000001E-2</v>
      </c>
      <c r="AG42" s="80"/>
    </row>
    <row r="43" spans="1:33" ht="12" customHeight="1">
      <c r="A43" s="78" t="s">
        <v>313</v>
      </c>
      <c r="B43" s="87" t="s">
        <v>283</v>
      </c>
      <c r="C43" s="88">
        <v>2.7640999999999999E-2</v>
      </c>
      <c r="D43" s="88">
        <v>3.0197000000000002E-2</v>
      </c>
      <c r="E43" s="88">
        <v>3.2635999999999998E-2</v>
      </c>
      <c r="F43" s="88">
        <v>3.4937000000000003E-2</v>
      </c>
      <c r="G43" s="88">
        <v>3.7206000000000003E-2</v>
      </c>
      <c r="H43" s="88">
        <v>3.9183000000000003E-2</v>
      </c>
      <c r="I43" s="88">
        <v>4.0808999999999998E-2</v>
      </c>
      <c r="J43" s="88">
        <v>4.1921E-2</v>
      </c>
      <c r="K43" s="88">
        <v>4.2710999999999999E-2</v>
      </c>
      <c r="L43" s="88">
        <v>4.3318000000000002E-2</v>
      </c>
      <c r="M43" s="88">
        <v>4.3885E-2</v>
      </c>
      <c r="N43" s="88">
        <v>4.4438999999999999E-2</v>
      </c>
      <c r="O43" s="88">
        <v>4.5072000000000001E-2</v>
      </c>
      <c r="P43" s="88">
        <v>4.5765E-2</v>
      </c>
      <c r="Q43" s="88">
        <v>4.6310999999999998E-2</v>
      </c>
      <c r="R43" s="88">
        <v>4.6865999999999998E-2</v>
      </c>
      <c r="S43" s="88">
        <v>4.7247999999999998E-2</v>
      </c>
      <c r="T43" s="88">
        <v>4.7566999999999998E-2</v>
      </c>
      <c r="U43" s="88">
        <v>4.7884999999999997E-2</v>
      </c>
      <c r="V43" s="88">
        <v>4.8297E-2</v>
      </c>
      <c r="W43" s="88">
        <v>4.8665E-2</v>
      </c>
      <c r="X43" s="88">
        <v>4.8979000000000002E-2</v>
      </c>
      <c r="Y43" s="88">
        <v>4.9224999999999998E-2</v>
      </c>
      <c r="Z43" s="88">
        <v>4.9414E-2</v>
      </c>
      <c r="AA43" s="88">
        <v>4.9660999999999997E-2</v>
      </c>
      <c r="AB43" s="88">
        <v>4.9919999999999999E-2</v>
      </c>
      <c r="AC43" s="88">
        <v>5.0112999999999998E-2</v>
      </c>
      <c r="AD43" s="88">
        <v>5.0276000000000001E-2</v>
      </c>
      <c r="AE43" s="88">
        <v>5.0529999999999999E-2</v>
      </c>
      <c r="AF43" s="89">
        <v>2.1777999999999999E-2</v>
      </c>
      <c r="AG43" s="80"/>
    </row>
    <row r="44" spans="1:33" ht="12" customHeight="1">
      <c r="A44" s="78" t="s">
        <v>314</v>
      </c>
      <c r="B44" s="87" t="s">
        <v>285</v>
      </c>
      <c r="C44" s="88">
        <v>2.1454529999999998</v>
      </c>
      <c r="D44" s="88">
        <v>2.1948080000000001</v>
      </c>
      <c r="E44" s="88">
        <v>2.238753</v>
      </c>
      <c r="F44" s="88">
        <v>2.2810100000000002</v>
      </c>
      <c r="G44" s="88">
        <v>2.3176160000000001</v>
      </c>
      <c r="H44" s="88">
        <v>2.333008</v>
      </c>
      <c r="I44" s="88">
        <v>2.3302770000000002</v>
      </c>
      <c r="J44" s="88">
        <v>2.3079909999999999</v>
      </c>
      <c r="K44" s="88">
        <v>2.2735799999999999</v>
      </c>
      <c r="L44" s="88">
        <v>2.2439960000000001</v>
      </c>
      <c r="M44" s="88">
        <v>2.2315640000000001</v>
      </c>
      <c r="N44" s="88">
        <v>2.2348680000000001</v>
      </c>
      <c r="O44" s="88">
        <v>2.258435</v>
      </c>
      <c r="P44" s="88">
        <v>2.300837</v>
      </c>
      <c r="Q44" s="88">
        <v>2.3548930000000001</v>
      </c>
      <c r="R44" s="88">
        <v>2.4257279999999999</v>
      </c>
      <c r="S44" s="88">
        <v>2.5085950000000001</v>
      </c>
      <c r="T44" s="88">
        <v>2.603091</v>
      </c>
      <c r="U44" s="88">
        <v>2.7135720000000001</v>
      </c>
      <c r="V44" s="88">
        <v>2.839585</v>
      </c>
      <c r="W44" s="88">
        <v>2.9759509999999998</v>
      </c>
      <c r="X44" s="88">
        <v>3.1213359999999999</v>
      </c>
      <c r="Y44" s="88">
        <v>3.2739780000000001</v>
      </c>
      <c r="Z44" s="88">
        <v>3.4313400000000001</v>
      </c>
      <c r="AA44" s="88">
        <v>3.5991050000000002</v>
      </c>
      <c r="AB44" s="88">
        <v>3.7760549999999999</v>
      </c>
      <c r="AC44" s="88">
        <v>3.9549439999999998</v>
      </c>
      <c r="AD44" s="88">
        <v>4.1425939999999999</v>
      </c>
      <c r="AE44" s="88">
        <v>4.3523269999999998</v>
      </c>
      <c r="AF44" s="89">
        <v>2.5585E-2</v>
      </c>
      <c r="AG44" s="80"/>
    </row>
    <row r="45" spans="1:33" ht="12" customHeight="1">
      <c r="A45" s="78" t="s">
        <v>315</v>
      </c>
      <c r="B45" s="87" t="s">
        <v>287</v>
      </c>
      <c r="C45" s="88">
        <v>0</v>
      </c>
      <c r="D45" s="88">
        <v>0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  <c r="X45" s="88">
        <v>0</v>
      </c>
      <c r="Y45" s="88">
        <v>0</v>
      </c>
      <c r="Z45" s="88">
        <v>0</v>
      </c>
      <c r="AA45" s="88">
        <v>0</v>
      </c>
      <c r="AB45" s="88">
        <v>0</v>
      </c>
      <c r="AC45" s="88">
        <v>0</v>
      </c>
      <c r="AD45" s="88">
        <v>0</v>
      </c>
      <c r="AE45" s="88">
        <v>0</v>
      </c>
      <c r="AF45" s="89" t="s">
        <v>217</v>
      </c>
      <c r="AG45" s="80"/>
    </row>
    <row r="46" spans="1:33" ht="12" customHeight="1">
      <c r="A46" s="78" t="s">
        <v>316</v>
      </c>
      <c r="B46" s="87" t="s">
        <v>289</v>
      </c>
      <c r="C46" s="88">
        <v>4.2640000000000004E-3</v>
      </c>
      <c r="D46" s="88">
        <v>4.9620000000000003E-3</v>
      </c>
      <c r="E46" s="88">
        <v>5.5589999999999997E-3</v>
      </c>
      <c r="F46" s="88">
        <v>6.0879999999999997E-3</v>
      </c>
      <c r="G46" s="88">
        <v>6.5510000000000004E-3</v>
      </c>
      <c r="H46" s="88">
        <v>6.9119999999999997E-3</v>
      </c>
      <c r="I46" s="88">
        <v>7.1720000000000004E-3</v>
      </c>
      <c r="J46" s="88">
        <v>7.3239999999999998E-3</v>
      </c>
      <c r="K46" s="88">
        <v>7.3829999999999998E-3</v>
      </c>
      <c r="L46" s="88">
        <v>7.3670000000000003E-3</v>
      </c>
      <c r="M46" s="88">
        <v>7.2839999999999997E-3</v>
      </c>
      <c r="N46" s="88">
        <v>7.1079999999999997E-3</v>
      </c>
      <c r="O46" s="88">
        <v>6.8630000000000002E-3</v>
      </c>
      <c r="P46" s="88">
        <v>6.574E-3</v>
      </c>
      <c r="Q46" s="88">
        <v>6.2440000000000004E-3</v>
      </c>
      <c r="R46" s="88">
        <v>5.9220000000000002E-3</v>
      </c>
      <c r="S46" s="88">
        <v>5.6039999999999996E-3</v>
      </c>
      <c r="T46" s="88">
        <v>5.2440000000000004E-3</v>
      </c>
      <c r="U46" s="88">
        <v>4.8760000000000001E-3</v>
      </c>
      <c r="V46" s="88">
        <v>4.5599999999999998E-3</v>
      </c>
      <c r="W46" s="88">
        <v>4.2989999999999999E-3</v>
      </c>
      <c r="X46" s="88">
        <v>4.0299999999999997E-3</v>
      </c>
      <c r="Y46" s="88">
        <v>3.7850000000000002E-3</v>
      </c>
      <c r="Z46" s="88">
        <v>3.5599999999999998E-3</v>
      </c>
      <c r="AA46" s="88">
        <v>3.3570000000000002E-3</v>
      </c>
      <c r="AB46" s="88">
        <v>3.1700000000000001E-3</v>
      </c>
      <c r="AC46" s="88">
        <v>2.9910000000000002E-3</v>
      </c>
      <c r="AD46" s="88">
        <v>2.826E-3</v>
      </c>
      <c r="AE46" s="88">
        <v>2.6809999999999998E-3</v>
      </c>
      <c r="AF46" s="89">
        <v>-1.6431000000000001E-2</v>
      </c>
      <c r="AG46" s="80"/>
    </row>
    <row r="47" spans="1:33" ht="12" customHeight="1">
      <c r="A47" s="78" t="s">
        <v>317</v>
      </c>
      <c r="B47" s="87" t="s">
        <v>291</v>
      </c>
      <c r="C47" s="88">
        <v>0</v>
      </c>
      <c r="D47" s="88">
        <v>0</v>
      </c>
      <c r="E47" s="88">
        <v>1.2459999999999999E-3</v>
      </c>
      <c r="F47" s="88">
        <v>2.4299999999999999E-3</v>
      </c>
      <c r="G47" s="88">
        <v>3.5999999999999999E-3</v>
      </c>
      <c r="H47" s="88">
        <v>4.7790000000000003E-3</v>
      </c>
      <c r="I47" s="88">
        <v>5.9699999999999996E-3</v>
      </c>
      <c r="J47" s="88">
        <v>7.1459999999999996E-3</v>
      </c>
      <c r="K47" s="88">
        <v>8.3099999999999997E-3</v>
      </c>
      <c r="L47" s="88">
        <v>9.4830000000000001E-3</v>
      </c>
      <c r="M47" s="88">
        <v>1.0697E-2</v>
      </c>
      <c r="N47" s="88">
        <v>1.1908E-2</v>
      </c>
      <c r="O47" s="88">
        <v>1.3110999999999999E-2</v>
      </c>
      <c r="P47" s="88">
        <v>1.4297000000000001E-2</v>
      </c>
      <c r="Q47" s="88">
        <v>1.5442000000000001E-2</v>
      </c>
      <c r="R47" s="88">
        <v>1.6583000000000001E-2</v>
      </c>
      <c r="S47" s="88">
        <v>1.7701999999999999E-2</v>
      </c>
      <c r="T47" s="88">
        <v>1.8821000000000001E-2</v>
      </c>
      <c r="U47" s="88">
        <v>1.9993E-2</v>
      </c>
      <c r="V47" s="88">
        <v>2.1249000000000001E-2</v>
      </c>
      <c r="W47" s="88">
        <v>2.2599000000000001E-2</v>
      </c>
      <c r="X47" s="88">
        <v>2.4008999999999999E-2</v>
      </c>
      <c r="Y47" s="88">
        <v>2.5467E-2</v>
      </c>
      <c r="Z47" s="88">
        <v>2.7012999999999999E-2</v>
      </c>
      <c r="AA47" s="88">
        <v>2.8766E-2</v>
      </c>
      <c r="AB47" s="88">
        <v>3.0682000000000001E-2</v>
      </c>
      <c r="AC47" s="88">
        <v>3.2723000000000002E-2</v>
      </c>
      <c r="AD47" s="88">
        <v>3.4948E-2</v>
      </c>
      <c r="AE47" s="88">
        <v>3.7458999999999999E-2</v>
      </c>
      <c r="AF47" s="89" t="s">
        <v>217</v>
      </c>
      <c r="AG47" s="80"/>
    </row>
    <row r="48" spans="1:33" ht="12" customHeight="1">
      <c r="A48" s="78" t="s">
        <v>318</v>
      </c>
      <c r="B48" s="87" t="s">
        <v>293</v>
      </c>
      <c r="C48" s="88">
        <v>0</v>
      </c>
      <c r="D48" s="88">
        <v>0</v>
      </c>
      <c r="E48" s="88">
        <v>2.7629999999999998E-3</v>
      </c>
      <c r="F48" s="88">
        <v>5.3410000000000003E-3</v>
      </c>
      <c r="G48" s="88">
        <v>7.8609999999999999E-3</v>
      </c>
      <c r="H48" s="88">
        <v>1.0366999999999999E-2</v>
      </c>
      <c r="I48" s="88">
        <v>1.2848999999999999E-2</v>
      </c>
      <c r="J48" s="88">
        <v>1.5254999999999999E-2</v>
      </c>
      <c r="K48" s="88">
        <v>1.7602E-2</v>
      </c>
      <c r="L48" s="88">
        <v>1.9949999999999999E-2</v>
      </c>
      <c r="M48" s="88">
        <v>2.2349999999999998E-2</v>
      </c>
      <c r="N48" s="88">
        <v>2.4709999999999999E-2</v>
      </c>
      <c r="O48" s="88">
        <v>2.7015999999999998E-2</v>
      </c>
      <c r="P48" s="88">
        <v>2.9253000000000001E-2</v>
      </c>
      <c r="Q48" s="88">
        <v>3.1358999999999998E-2</v>
      </c>
      <c r="R48" s="88">
        <v>3.3411999999999997E-2</v>
      </c>
      <c r="S48" s="88">
        <v>3.5375999999999998E-2</v>
      </c>
      <c r="T48" s="88">
        <v>3.7298999999999999E-2</v>
      </c>
      <c r="U48" s="88">
        <v>3.9281999999999997E-2</v>
      </c>
      <c r="V48" s="88">
        <v>4.1389000000000002E-2</v>
      </c>
      <c r="W48" s="88">
        <v>4.3633999999999999E-2</v>
      </c>
      <c r="X48" s="88">
        <v>4.5939000000000001E-2</v>
      </c>
      <c r="Y48" s="88">
        <v>4.8251000000000002E-2</v>
      </c>
      <c r="Z48" s="88">
        <v>5.0642E-2</v>
      </c>
      <c r="AA48" s="88">
        <v>5.3318999999999998E-2</v>
      </c>
      <c r="AB48" s="88">
        <v>5.6163999999999999E-2</v>
      </c>
      <c r="AC48" s="88">
        <v>5.9069999999999998E-2</v>
      </c>
      <c r="AD48" s="88">
        <v>6.2129999999999998E-2</v>
      </c>
      <c r="AE48" s="88">
        <v>6.5481999999999999E-2</v>
      </c>
      <c r="AF48" s="89" t="s">
        <v>217</v>
      </c>
      <c r="AG48" s="80"/>
    </row>
    <row r="49" spans="1:33" ht="12" customHeight="1">
      <c r="A49" s="78" t="s">
        <v>319</v>
      </c>
      <c r="B49" s="87" t="s">
        <v>295</v>
      </c>
      <c r="C49" s="88">
        <v>0</v>
      </c>
      <c r="D49" s="88">
        <v>0</v>
      </c>
      <c r="E49" s="88">
        <v>6.7799999999999996E-3</v>
      </c>
      <c r="F49" s="88">
        <v>1.3259E-2</v>
      </c>
      <c r="G49" s="88">
        <v>1.9751000000000001E-2</v>
      </c>
      <c r="H49" s="88">
        <v>2.6343999999999999E-2</v>
      </c>
      <c r="I49" s="88">
        <v>3.2989999999999998E-2</v>
      </c>
      <c r="J49" s="88">
        <v>3.9545999999999998E-2</v>
      </c>
      <c r="K49" s="88">
        <v>4.5989000000000002E-2</v>
      </c>
      <c r="L49" s="88">
        <v>5.2422999999999997E-2</v>
      </c>
      <c r="M49" s="88">
        <v>5.8964999999999997E-2</v>
      </c>
      <c r="N49" s="88">
        <v>6.5315999999999999E-2</v>
      </c>
      <c r="O49" s="88">
        <v>7.1456000000000006E-2</v>
      </c>
      <c r="P49" s="88">
        <v>7.7359999999999998E-2</v>
      </c>
      <c r="Q49" s="88">
        <v>8.2834000000000005E-2</v>
      </c>
      <c r="R49" s="88">
        <v>8.8063000000000002E-2</v>
      </c>
      <c r="S49" s="88">
        <v>9.2966999999999994E-2</v>
      </c>
      <c r="T49" s="88">
        <v>9.7628999999999994E-2</v>
      </c>
      <c r="U49" s="88">
        <v>0.102295</v>
      </c>
      <c r="V49" s="88">
        <v>0.107098</v>
      </c>
      <c r="W49" s="88">
        <v>0.112072</v>
      </c>
      <c r="X49" s="88">
        <v>0.117018</v>
      </c>
      <c r="Y49" s="88">
        <v>0.121867</v>
      </c>
      <c r="Z49" s="88">
        <v>0.126833</v>
      </c>
      <c r="AA49" s="88">
        <v>0.13251499999999999</v>
      </c>
      <c r="AB49" s="88">
        <v>0.13867199999999999</v>
      </c>
      <c r="AC49" s="88">
        <v>0.14514199999999999</v>
      </c>
      <c r="AD49" s="88">
        <v>0.15223400000000001</v>
      </c>
      <c r="AE49" s="88">
        <v>0.16041800000000001</v>
      </c>
      <c r="AF49" s="89" t="s">
        <v>217</v>
      </c>
      <c r="AG49" s="80"/>
    </row>
    <row r="50" spans="1:33" ht="15" customHeight="1">
      <c r="A50" s="78" t="s">
        <v>320</v>
      </c>
      <c r="B50" s="87" t="s">
        <v>321</v>
      </c>
      <c r="C50" s="88">
        <v>187.21160900000001</v>
      </c>
      <c r="D50" s="88">
        <v>186.77065999999999</v>
      </c>
      <c r="E50" s="88">
        <v>187.000778</v>
      </c>
      <c r="F50" s="88">
        <v>188.45283499999999</v>
      </c>
      <c r="G50" s="88">
        <v>190.68485999999999</v>
      </c>
      <c r="H50" s="88">
        <v>192.55638099999999</v>
      </c>
      <c r="I50" s="88">
        <v>194.11634799999999</v>
      </c>
      <c r="J50" s="88">
        <v>194.965881</v>
      </c>
      <c r="K50" s="88">
        <v>195.39752200000001</v>
      </c>
      <c r="L50" s="88">
        <v>195.89364599999999</v>
      </c>
      <c r="M50" s="88">
        <v>196.827133</v>
      </c>
      <c r="N50" s="88">
        <v>197.409042</v>
      </c>
      <c r="O50" s="88">
        <v>197.923721</v>
      </c>
      <c r="P50" s="88">
        <v>198.56163000000001</v>
      </c>
      <c r="Q50" s="88">
        <v>198.940033</v>
      </c>
      <c r="R50" s="88">
        <v>199.57363900000001</v>
      </c>
      <c r="S50" s="88">
        <v>200.20254499999999</v>
      </c>
      <c r="T50" s="88">
        <v>200.71847500000001</v>
      </c>
      <c r="U50" s="88">
        <v>201.372726</v>
      </c>
      <c r="V50" s="88">
        <v>202.11119099999999</v>
      </c>
      <c r="W50" s="88">
        <v>202.83833300000001</v>
      </c>
      <c r="X50" s="88">
        <v>203.409256</v>
      </c>
      <c r="Y50" s="88">
        <v>203.777603</v>
      </c>
      <c r="Z50" s="88">
        <v>203.91366600000001</v>
      </c>
      <c r="AA50" s="88">
        <v>204.18713399999999</v>
      </c>
      <c r="AB50" s="88">
        <v>204.44009399999999</v>
      </c>
      <c r="AC50" s="88">
        <v>204.41752600000001</v>
      </c>
      <c r="AD50" s="88">
        <v>204.47378499999999</v>
      </c>
      <c r="AE50" s="88">
        <v>205.13784799999999</v>
      </c>
      <c r="AF50" s="89">
        <v>3.271E-3</v>
      </c>
      <c r="AG50" s="80"/>
    </row>
    <row r="51" spans="1:33" ht="15" customHeight="1">
      <c r="A51" s="78" t="s">
        <v>322</v>
      </c>
      <c r="B51" s="86" t="s">
        <v>323</v>
      </c>
      <c r="C51" s="90">
        <v>321.95382699999999</v>
      </c>
      <c r="D51" s="90">
        <v>320.71957400000002</v>
      </c>
      <c r="E51" s="90">
        <v>321.15536500000002</v>
      </c>
      <c r="F51" s="90">
        <v>324.03747600000003</v>
      </c>
      <c r="G51" s="90">
        <v>328.449524</v>
      </c>
      <c r="H51" s="90">
        <v>332.317474</v>
      </c>
      <c r="I51" s="90">
        <v>335.87713600000001</v>
      </c>
      <c r="J51" s="90">
        <v>338.61987299999998</v>
      </c>
      <c r="K51" s="90">
        <v>341.150757</v>
      </c>
      <c r="L51" s="90">
        <v>344.15997299999998</v>
      </c>
      <c r="M51" s="90">
        <v>348.16451999999998</v>
      </c>
      <c r="N51" s="90">
        <v>351.53851300000002</v>
      </c>
      <c r="O51" s="90">
        <v>354.827271</v>
      </c>
      <c r="P51" s="90">
        <v>358.34310900000003</v>
      </c>
      <c r="Q51" s="90">
        <v>361.39160199999998</v>
      </c>
      <c r="R51" s="90">
        <v>364.92498799999998</v>
      </c>
      <c r="S51" s="90">
        <v>368.37805200000003</v>
      </c>
      <c r="T51" s="90">
        <v>371.80917399999998</v>
      </c>
      <c r="U51" s="90">
        <v>375.585419</v>
      </c>
      <c r="V51" s="90">
        <v>379.58303799999999</v>
      </c>
      <c r="W51" s="90">
        <v>383.51110799999998</v>
      </c>
      <c r="X51" s="90">
        <v>387.20507800000001</v>
      </c>
      <c r="Y51" s="90">
        <v>390.63012700000002</v>
      </c>
      <c r="Z51" s="90">
        <v>393.83450299999998</v>
      </c>
      <c r="AA51" s="90">
        <v>397.53842200000003</v>
      </c>
      <c r="AB51" s="90">
        <v>401.35025000000002</v>
      </c>
      <c r="AC51" s="90">
        <v>404.65438799999998</v>
      </c>
      <c r="AD51" s="90">
        <v>408.21890300000001</v>
      </c>
      <c r="AE51" s="90">
        <v>413.07754499999999</v>
      </c>
      <c r="AF51" s="91">
        <v>8.9409999999999993E-3</v>
      </c>
      <c r="AG51" s="80"/>
    </row>
    <row r="52" spans="1:33" ht="1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</row>
    <row r="53" spans="1:33" ht="15" customHeight="1">
      <c r="B53" s="86" t="s">
        <v>324</v>
      </c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</row>
    <row r="54" spans="1:33" ht="15" customHeight="1">
      <c r="B54" s="86" t="s">
        <v>277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</row>
    <row r="55" spans="1:33" ht="15" customHeight="1">
      <c r="A55" s="78" t="s">
        <v>325</v>
      </c>
      <c r="B55" s="87" t="s">
        <v>279</v>
      </c>
      <c r="C55" s="88">
        <v>503.23831200000001</v>
      </c>
      <c r="D55" s="88">
        <v>484.80926499999998</v>
      </c>
      <c r="E55" s="88">
        <v>470.10183699999999</v>
      </c>
      <c r="F55" s="88">
        <v>459.78448500000002</v>
      </c>
      <c r="G55" s="88">
        <v>451.87814300000002</v>
      </c>
      <c r="H55" s="88">
        <v>443.24606299999999</v>
      </c>
      <c r="I55" s="88">
        <v>435.43273900000003</v>
      </c>
      <c r="J55" s="88">
        <v>428.57592799999998</v>
      </c>
      <c r="K55" s="88">
        <v>424.18490600000001</v>
      </c>
      <c r="L55" s="88">
        <v>422.56686400000001</v>
      </c>
      <c r="M55" s="88">
        <v>423.05703699999998</v>
      </c>
      <c r="N55" s="88">
        <v>423.25711100000001</v>
      </c>
      <c r="O55" s="88">
        <v>424.284088</v>
      </c>
      <c r="P55" s="88">
        <v>426.25698899999998</v>
      </c>
      <c r="Q55" s="88">
        <v>428.07437099999999</v>
      </c>
      <c r="R55" s="88">
        <v>430.74142499999999</v>
      </c>
      <c r="S55" s="88">
        <v>433.84167500000001</v>
      </c>
      <c r="T55" s="88">
        <v>437.71460000000002</v>
      </c>
      <c r="U55" s="88">
        <v>442.68820199999999</v>
      </c>
      <c r="V55" s="88">
        <v>448.15237400000001</v>
      </c>
      <c r="W55" s="88">
        <v>453.842896</v>
      </c>
      <c r="X55" s="88">
        <v>459.89022799999998</v>
      </c>
      <c r="Y55" s="88">
        <v>466.29980499999999</v>
      </c>
      <c r="Z55" s="88">
        <v>473.53125</v>
      </c>
      <c r="AA55" s="88">
        <v>482.34017899999998</v>
      </c>
      <c r="AB55" s="88">
        <v>491.89630099999999</v>
      </c>
      <c r="AC55" s="88">
        <v>501.23675500000002</v>
      </c>
      <c r="AD55" s="88">
        <v>511.31161500000002</v>
      </c>
      <c r="AE55" s="88">
        <v>523.31237799999997</v>
      </c>
      <c r="AF55" s="89">
        <v>1.3979999999999999E-3</v>
      </c>
      <c r="AG55" s="80"/>
    </row>
    <row r="56" spans="1:33" ht="15" customHeight="1">
      <c r="A56" s="78" t="s">
        <v>326</v>
      </c>
      <c r="B56" s="87" t="s">
        <v>281</v>
      </c>
      <c r="C56" s="88">
        <v>196.41987599999999</v>
      </c>
      <c r="D56" s="88">
        <v>201.42117300000001</v>
      </c>
      <c r="E56" s="88">
        <v>206.93258700000001</v>
      </c>
      <c r="F56" s="88">
        <v>213.48280299999999</v>
      </c>
      <c r="G56" s="88">
        <v>220.532242</v>
      </c>
      <c r="H56" s="88">
        <v>226.21765099999999</v>
      </c>
      <c r="I56" s="88">
        <v>231.31050099999999</v>
      </c>
      <c r="J56" s="88">
        <v>235.959091</v>
      </c>
      <c r="K56" s="88">
        <v>241.020599</v>
      </c>
      <c r="L56" s="88">
        <v>246.62307699999999</v>
      </c>
      <c r="M56" s="88">
        <v>253.26930200000001</v>
      </c>
      <c r="N56" s="88">
        <v>259.52279700000003</v>
      </c>
      <c r="O56" s="88">
        <v>265.59988399999997</v>
      </c>
      <c r="P56" s="88">
        <v>271.63848899999999</v>
      </c>
      <c r="Q56" s="88">
        <v>277.36450200000002</v>
      </c>
      <c r="R56" s="88">
        <v>283.44360399999999</v>
      </c>
      <c r="S56" s="88">
        <v>289.37484699999999</v>
      </c>
      <c r="T56" s="88">
        <v>295.02786300000002</v>
      </c>
      <c r="U56" s="88">
        <v>300.90585299999998</v>
      </c>
      <c r="V56" s="88">
        <v>307.12255900000002</v>
      </c>
      <c r="W56" s="88">
        <v>313.00485200000003</v>
      </c>
      <c r="X56" s="88">
        <v>318.11236600000001</v>
      </c>
      <c r="Y56" s="88">
        <v>322.94775399999997</v>
      </c>
      <c r="Z56" s="88">
        <v>327.87622099999999</v>
      </c>
      <c r="AA56" s="88">
        <v>333.58059700000001</v>
      </c>
      <c r="AB56" s="88">
        <v>339.54461700000002</v>
      </c>
      <c r="AC56" s="88">
        <v>345.05282599999998</v>
      </c>
      <c r="AD56" s="88">
        <v>350.95578</v>
      </c>
      <c r="AE56" s="88">
        <v>358.22073399999999</v>
      </c>
      <c r="AF56" s="89">
        <v>2.1693E-2</v>
      </c>
      <c r="AG56" s="80"/>
    </row>
    <row r="57" spans="1:33" ht="15" customHeight="1">
      <c r="A57" s="78" t="s">
        <v>327</v>
      </c>
      <c r="B57" s="87" t="s">
        <v>283</v>
      </c>
      <c r="C57" s="88">
        <v>8.8240000000000002E-3</v>
      </c>
      <c r="D57" s="88">
        <v>7.9077999999999996E-2</v>
      </c>
      <c r="E57" s="88">
        <v>0.148368</v>
      </c>
      <c r="F57" s="88">
        <v>0.21179600000000001</v>
      </c>
      <c r="G57" s="88">
        <v>0.27223000000000003</v>
      </c>
      <c r="H57" s="88">
        <v>0.32808500000000002</v>
      </c>
      <c r="I57" s="88">
        <v>0.38041599999999998</v>
      </c>
      <c r="J57" s="88">
        <v>0.42970399999999997</v>
      </c>
      <c r="K57" s="88">
        <v>0.47746899999999998</v>
      </c>
      <c r="L57" s="88">
        <v>0.52570099999999997</v>
      </c>
      <c r="M57" s="88">
        <v>0.57518100000000005</v>
      </c>
      <c r="N57" s="88">
        <v>0.62354500000000002</v>
      </c>
      <c r="O57" s="88">
        <v>0.67189600000000005</v>
      </c>
      <c r="P57" s="88">
        <v>0.72209299999999998</v>
      </c>
      <c r="Q57" s="88">
        <v>0.774258</v>
      </c>
      <c r="R57" s="88">
        <v>0.83129299999999995</v>
      </c>
      <c r="S57" s="88">
        <v>0.89303100000000002</v>
      </c>
      <c r="T57" s="88">
        <v>0.96070500000000003</v>
      </c>
      <c r="U57" s="88">
        <v>1.0362130000000001</v>
      </c>
      <c r="V57" s="88">
        <v>1.1198399999999999</v>
      </c>
      <c r="W57" s="88">
        <v>1.2106049999999999</v>
      </c>
      <c r="X57" s="88">
        <v>1.308586</v>
      </c>
      <c r="Y57" s="88">
        <v>1.4124559999999999</v>
      </c>
      <c r="Z57" s="88">
        <v>1.5254019999999999</v>
      </c>
      <c r="AA57" s="88">
        <v>1.6511499999999999</v>
      </c>
      <c r="AB57" s="88">
        <v>1.7869219999999999</v>
      </c>
      <c r="AC57" s="88">
        <v>1.9285939999999999</v>
      </c>
      <c r="AD57" s="88">
        <v>2.0794359999999998</v>
      </c>
      <c r="AE57" s="88">
        <v>2.2445430000000002</v>
      </c>
      <c r="AF57" s="89">
        <v>0.21873799999999999</v>
      </c>
      <c r="AG57" s="80"/>
    </row>
    <row r="58" spans="1:33" ht="15" customHeight="1">
      <c r="A58" s="78" t="s">
        <v>328</v>
      </c>
      <c r="B58" s="87" t="s">
        <v>285</v>
      </c>
      <c r="C58" s="88">
        <v>0.19211600000000001</v>
      </c>
      <c r="D58" s="88">
        <v>0.174257</v>
      </c>
      <c r="E58" s="88">
        <v>0.158799</v>
      </c>
      <c r="F58" s="88">
        <v>0.14580599999999999</v>
      </c>
      <c r="G58" s="88">
        <v>0.134438</v>
      </c>
      <c r="H58" s="88">
        <v>0.123654</v>
      </c>
      <c r="I58" s="88">
        <v>0.113679</v>
      </c>
      <c r="J58" s="88">
        <v>0.10448499999999999</v>
      </c>
      <c r="K58" s="88">
        <v>9.6243999999999996E-2</v>
      </c>
      <c r="L58" s="88">
        <v>8.8942999999999994E-2</v>
      </c>
      <c r="M58" s="88">
        <v>8.2427E-2</v>
      </c>
      <c r="N58" s="88">
        <v>7.5772999999999993E-2</v>
      </c>
      <c r="O58" s="88">
        <v>6.8821999999999994E-2</v>
      </c>
      <c r="P58" s="88">
        <v>6.1432E-2</v>
      </c>
      <c r="Q58" s="88">
        <v>5.3884000000000001E-2</v>
      </c>
      <c r="R58" s="88">
        <v>4.5974000000000001E-2</v>
      </c>
      <c r="S58" s="88">
        <v>3.8684999999999997E-2</v>
      </c>
      <c r="T58" s="88">
        <v>3.2133000000000002E-2</v>
      </c>
      <c r="U58" s="88">
        <v>2.5618999999999999E-2</v>
      </c>
      <c r="V58" s="88">
        <v>2.0525000000000002E-2</v>
      </c>
      <c r="W58" s="88">
        <v>1.6806999999999999E-2</v>
      </c>
      <c r="X58" s="88">
        <v>1.4121999999999999E-2</v>
      </c>
      <c r="Y58" s="88">
        <v>1.2397999999999999E-2</v>
      </c>
      <c r="Z58" s="88">
        <v>1.1207999999999999E-2</v>
      </c>
      <c r="AA58" s="88">
        <v>1.0267E-2</v>
      </c>
      <c r="AB58" s="88">
        <v>9.6069999999999992E-3</v>
      </c>
      <c r="AC58" s="88">
        <v>8.7349999999999997E-3</v>
      </c>
      <c r="AD58" s="88">
        <v>7.7340000000000004E-3</v>
      </c>
      <c r="AE58" s="88">
        <v>6.4900000000000001E-3</v>
      </c>
      <c r="AF58" s="89">
        <v>-0.11396199999999999</v>
      </c>
      <c r="AG58" s="80"/>
    </row>
    <row r="59" spans="1:33" ht="15" customHeight="1">
      <c r="A59" s="78" t="s">
        <v>329</v>
      </c>
      <c r="B59" s="87" t="s">
        <v>287</v>
      </c>
      <c r="C59" s="88">
        <v>45.964244999999998</v>
      </c>
      <c r="D59" s="88">
        <v>44.611794000000003</v>
      </c>
      <c r="E59" s="88">
        <v>43.499820999999997</v>
      </c>
      <c r="F59" s="88">
        <v>42.670467000000002</v>
      </c>
      <c r="G59" s="88">
        <v>42.056103</v>
      </c>
      <c r="H59" s="88">
        <v>41.417850000000001</v>
      </c>
      <c r="I59" s="88">
        <v>40.858673000000003</v>
      </c>
      <c r="J59" s="88">
        <v>40.401375000000002</v>
      </c>
      <c r="K59" s="88">
        <v>40.094642999999998</v>
      </c>
      <c r="L59" s="88">
        <v>39.995682000000002</v>
      </c>
      <c r="M59" s="88">
        <v>40.077168</v>
      </c>
      <c r="N59" s="88">
        <v>40.087780000000002</v>
      </c>
      <c r="O59" s="88">
        <v>39.881618000000003</v>
      </c>
      <c r="P59" s="88">
        <v>39.530631999999997</v>
      </c>
      <c r="Q59" s="88">
        <v>38.979152999999997</v>
      </c>
      <c r="R59" s="88">
        <v>38.427227000000002</v>
      </c>
      <c r="S59" s="88">
        <v>37.705452000000001</v>
      </c>
      <c r="T59" s="88">
        <v>37.000895999999997</v>
      </c>
      <c r="U59" s="88">
        <v>36.440112999999997</v>
      </c>
      <c r="V59" s="88">
        <v>36.083660000000002</v>
      </c>
      <c r="W59" s="88">
        <v>35.872028</v>
      </c>
      <c r="X59" s="88">
        <v>35.852294999999998</v>
      </c>
      <c r="Y59" s="88">
        <v>36.018428999999998</v>
      </c>
      <c r="Z59" s="88">
        <v>36.285957000000003</v>
      </c>
      <c r="AA59" s="88">
        <v>36.676158999999998</v>
      </c>
      <c r="AB59" s="88">
        <v>37.130253000000003</v>
      </c>
      <c r="AC59" s="88">
        <v>37.561069000000003</v>
      </c>
      <c r="AD59" s="88">
        <v>38.004097000000002</v>
      </c>
      <c r="AE59" s="88">
        <v>38.549273999999997</v>
      </c>
      <c r="AF59" s="89">
        <v>-6.2630000000000003E-3</v>
      </c>
      <c r="AG59" s="80"/>
    </row>
    <row r="60" spans="1:33" ht="15" customHeight="1">
      <c r="A60" s="78" t="s">
        <v>330</v>
      </c>
      <c r="B60" s="87" t="s">
        <v>289</v>
      </c>
      <c r="C60" s="88">
        <v>4.6179999999999997E-3</v>
      </c>
      <c r="D60" s="88">
        <v>4.1770000000000002E-3</v>
      </c>
      <c r="E60" s="88">
        <v>3.8210000000000002E-3</v>
      </c>
      <c r="F60" s="88">
        <v>3.5539999999999999E-3</v>
      </c>
      <c r="G60" s="88">
        <v>3.3570000000000002E-3</v>
      </c>
      <c r="H60" s="88">
        <v>3.2000000000000002E-3</v>
      </c>
      <c r="I60" s="88">
        <v>3.0839999999999999E-3</v>
      </c>
      <c r="J60" s="88">
        <v>2.8990000000000001E-3</v>
      </c>
      <c r="K60" s="88">
        <v>2.6640000000000001E-3</v>
      </c>
      <c r="L60" s="88">
        <v>2.4459999999999998E-3</v>
      </c>
      <c r="M60" s="88">
        <v>2.2529999999999998E-3</v>
      </c>
      <c r="N60" s="88">
        <v>1.897E-3</v>
      </c>
      <c r="O60" s="88">
        <v>1.495E-3</v>
      </c>
      <c r="P60" s="88">
        <v>1.176E-3</v>
      </c>
      <c r="Q60" s="88">
        <v>9.2299999999999999E-4</v>
      </c>
      <c r="R60" s="88">
        <v>7.2400000000000003E-4</v>
      </c>
      <c r="S60" s="88">
        <v>5.6800000000000004E-4</v>
      </c>
      <c r="T60" s="88">
        <v>4.44E-4</v>
      </c>
      <c r="U60" s="88">
        <v>3.9599999999999998E-4</v>
      </c>
      <c r="V60" s="88">
        <v>3.8699999999999997E-4</v>
      </c>
      <c r="W60" s="88">
        <v>3.7800000000000003E-4</v>
      </c>
      <c r="X60" s="88">
        <v>3.68E-4</v>
      </c>
      <c r="Y60" s="88">
        <v>2.9799999999999998E-4</v>
      </c>
      <c r="Z60" s="88">
        <v>2.0900000000000001E-4</v>
      </c>
      <c r="AA60" s="88">
        <v>1.47E-4</v>
      </c>
      <c r="AB60" s="88">
        <v>1.03E-4</v>
      </c>
      <c r="AC60" s="88">
        <v>7.2999999999999999E-5</v>
      </c>
      <c r="AD60" s="88">
        <v>5.1E-5</v>
      </c>
      <c r="AE60" s="88">
        <v>3.6000000000000001E-5</v>
      </c>
      <c r="AF60" s="89">
        <v>-0.15909899999999999</v>
      </c>
      <c r="AG60" s="80"/>
    </row>
    <row r="61" spans="1:33" ht="15" customHeight="1">
      <c r="A61" s="78" t="s">
        <v>331</v>
      </c>
      <c r="B61" s="87" t="s">
        <v>291</v>
      </c>
      <c r="C61" s="88">
        <v>0</v>
      </c>
      <c r="D61" s="88">
        <v>3.4696999999999999E-2</v>
      </c>
      <c r="E61" s="88">
        <v>6.8790000000000004E-2</v>
      </c>
      <c r="F61" s="88">
        <v>0.10378999999999999</v>
      </c>
      <c r="G61" s="88">
        <v>0.13921900000000001</v>
      </c>
      <c r="H61" s="88">
        <v>0.17366699999999999</v>
      </c>
      <c r="I61" s="88">
        <v>0.207235</v>
      </c>
      <c r="J61" s="88">
        <v>0.239813</v>
      </c>
      <c r="K61" s="88">
        <v>0.27203899999999998</v>
      </c>
      <c r="L61" s="88">
        <v>0.30468499999999998</v>
      </c>
      <c r="M61" s="88">
        <v>0.338422</v>
      </c>
      <c r="N61" s="88">
        <v>0.37222899999999998</v>
      </c>
      <c r="O61" s="88">
        <v>0.40734900000000002</v>
      </c>
      <c r="P61" s="88">
        <v>0.444994</v>
      </c>
      <c r="Q61" s="88">
        <v>0.48526599999999998</v>
      </c>
      <c r="R61" s="88">
        <v>0.53018200000000004</v>
      </c>
      <c r="S61" s="88">
        <v>0.58024100000000001</v>
      </c>
      <c r="T61" s="88">
        <v>0.63640699999999994</v>
      </c>
      <c r="U61" s="88">
        <v>0.70034300000000005</v>
      </c>
      <c r="V61" s="88">
        <v>0.77213600000000004</v>
      </c>
      <c r="W61" s="88">
        <v>0.85035000000000005</v>
      </c>
      <c r="X61" s="88">
        <v>0.93393899999999996</v>
      </c>
      <c r="Y61" s="88">
        <v>1.022764</v>
      </c>
      <c r="Z61" s="88">
        <v>1.1177969999999999</v>
      </c>
      <c r="AA61" s="88">
        <v>1.219284</v>
      </c>
      <c r="AB61" s="88">
        <v>1.324989</v>
      </c>
      <c r="AC61" s="88">
        <v>1.431711</v>
      </c>
      <c r="AD61" s="88">
        <v>1.542152</v>
      </c>
      <c r="AE61" s="88">
        <v>1.6598889999999999</v>
      </c>
      <c r="AF61" s="89" t="s">
        <v>217</v>
      </c>
      <c r="AG61" s="80"/>
    </row>
    <row r="62" spans="1:33" ht="15" customHeight="1">
      <c r="A62" s="78" t="s">
        <v>332</v>
      </c>
      <c r="B62" s="87" t="s">
        <v>293</v>
      </c>
      <c r="C62" s="88">
        <v>0</v>
      </c>
      <c r="D62" s="88">
        <v>3.9742E-2</v>
      </c>
      <c r="E62" s="88">
        <v>7.9436000000000007E-2</v>
      </c>
      <c r="F62" s="88">
        <v>0.11969100000000001</v>
      </c>
      <c r="G62" s="88">
        <v>0.160329</v>
      </c>
      <c r="H62" s="88">
        <v>0.19969200000000001</v>
      </c>
      <c r="I62" s="88">
        <v>0.23766300000000001</v>
      </c>
      <c r="J62" s="88">
        <v>0.27445999999999998</v>
      </c>
      <c r="K62" s="88">
        <v>0.311191</v>
      </c>
      <c r="L62" s="88">
        <v>0.34926800000000002</v>
      </c>
      <c r="M62" s="88">
        <v>0.38959700000000003</v>
      </c>
      <c r="N62" s="88">
        <v>0.43108600000000002</v>
      </c>
      <c r="O62" s="88">
        <v>0.47512700000000002</v>
      </c>
      <c r="P62" s="88">
        <v>0.523366</v>
      </c>
      <c r="Q62" s="88">
        <v>0.57591300000000001</v>
      </c>
      <c r="R62" s="88">
        <v>0.63542900000000002</v>
      </c>
      <c r="S62" s="88">
        <v>0.70260500000000004</v>
      </c>
      <c r="T62" s="88">
        <v>0.77890000000000004</v>
      </c>
      <c r="U62" s="88">
        <v>0.86641400000000002</v>
      </c>
      <c r="V62" s="88">
        <v>0.96546299999999996</v>
      </c>
      <c r="W62" s="88">
        <v>1.074376</v>
      </c>
      <c r="X62" s="88">
        <v>1.1920660000000001</v>
      </c>
      <c r="Y62" s="88">
        <v>1.317839</v>
      </c>
      <c r="Z62" s="88">
        <v>1.452814</v>
      </c>
      <c r="AA62" s="88">
        <v>1.5967849999999999</v>
      </c>
      <c r="AB62" s="88">
        <v>1.746942</v>
      </c>
      <c r="AC62" s="88">
        <v>1.89845</v>
      </c>
      <c r="AD62" s="88">
        <v>2.054983</v>
      </c>
      <c r="AE62" s="88">
        <v>2.2206440000000001</v>
      </c>
      <c r="AF62" s="89" t="s">
        <v>217</v>
      </c>
      <c r="AG62" s="80"/>
    </row>
    <row r="63" spans="1:33" ht="15" customHeight="1">
      <c r="A63" s="78" t="s">
        <v>333</v>
      </c>
      <c r="B63" s="87" t="s">
        <v>295</v>
      </c>
      <c r="C63" s="88">
        <v>0</v>
      </c>
      <c r="D63" s="88">
        <v>0</v>
      </c>
      <c r="E63" s="88">
        <v>1.4E-5</v>
      </c>
      <c r="F63" s="88">
        <v>3.0000000000000001E-5</v>
      </c>
      <c r="G63" s="88">
        <v>4.6999999999999997E-5</v>
      </c>
      <c r="H63" s="88">
        <v>6.3E-5</v>
      </c>
      <c r="I63" s="88">
        <v>8.0000000000000007E-5</v>
      </c>
      <c r="J63" s="88">
        <v>9.5000000000000005E-5</v>
      </c>
      <c r="K63" s="88">
        <v>1.1E-4</v>
      </c>
      <c r="L63" s="88">
        <v>1.25E-4</v>
      </c>
      <c r="M63" s="88">
        <v>1.3999999999999999E-4</v>
      </c>
      <c r="N63" s="88">
        <v>1.5300000000000001E-4</v>
      </c>
      <c r="O63" s="88">
        <v>1.66E-4</v>
      </c>
      <c r="P63" s="88">
        <v>1.7699999999999999E-4</v>
      </c>
      <c r="Q63" s="88">
        <v>1.8799999999999999E-4</v>
      </c>
      <c r="R63" s="88">
        <v>1.9699999999999999E-4</v>
      </c>
      <c r="S63" s="88">
        <v>2.0599999999999999E-4</v>
      </c>
      <c r="T63" s="88">
        <v>2.1499999999999999E-4</v>
      </c>
      <c r="U63" s="88">
        <v>2.22E-4</v>
      </c>
      <c r="V63" s="88">
        <v>2.2900000000000001E-4</v>
      </c>
      <c r="W63" s="88">
        <v>2.3499999999999999E-4</v>
      </c>
      <c r="X63" s="88">
        <v>2.3900000000000001E-4</v>
      </c>
      <c r="Y63" s="88">
        <v>2.41E-4</v>
      </c>
      <c r="Z63" s="88">
        <v>2.43E-4</v>
      </c>
      <c r="AA63" s="88">
        <v>2.43E-4</v>
      </c>
      <c r="AB63" s="88">
        <v>2.41E-4</v>
      </c>
      <c r="AC63" s="88">
        <v>2.3800000000000001E-4</v>
      </c>
      <c r="AD63" s="88">
        <v>2.32E-4</v>
      </c>
      <c r="AE63" s="88">
        <v>2.2599999999999999E-4</v>
      </c>
      <c r="AF63" s="89" t="s">
        <v>217</v>
      </c>
      <c r="AG63" s="80"/>
    </row>
    <row r="64" spans="1:33" ht="15" customHeight="1">
      <c r="A64" s="78" t="s">
        <v>334</v>
      </c>
      <c r="B64" s="87" t="s">
        <v>297</v>
      </c>
      <c r="C64" s="88">
        <v>745.82800299999997</v>
      </c>
      <c r="D64" s="88">
        <v>731.17419400000006</v>
      </c>
      <c r="E64" s="88">
        <v>720.99334699999997</v>
      </c>
      <c r="F64" s="88">
        <v>716.52270499999997</v>
      </c>
      <c r="G64" s="88">
        <v>715.17602499999998</v>
      </c>
      <c r="H64" s="88">
        <v>711.70977800000003</v>
      </c>
      <c r="I64" s="88">
        <v>708.54400599999997</v>
      </c>
      <c r="J64" s="88">
        <v>705.98767099999998</v>
      </c>
      <c r="K64" s="88">
        <v>706.45977800000003</v>
      </c>
      <c r="L64" s="88">
        <v>710.45648200000005</v>
      </c>
      <c r="M64" s="88">
        <v>717.79107699999997</v>
      </c>
      <c r="N64" s="88">
        <v>724.37237500000003</v>
      </c>
      <c r="O64" s="88">
        <v>731.39025900000001</v>
      </c>
      <c r="P64" s="88">
        <v>739.17913799999997</v>
      </c>
      <c r="Q64" s="88">
        <v>746.30835000000002</v>
      </c>
      <c r="R64" s="88">
        <v>754.65625</v>
      </c>
      <c r="S64" s="88">
        <v>763.13678000000004</v>
      </c>
      <c r="T64" s="88">
        <v>772.15191700000003</v>
      </c>
      <c r="U64" s="88">
        <v>782.66351299999997</v>
      </c>
      <c r="V64" s="88">
        <v>794.23699999999997</v>
      </c>
      <c r="W64" s="88">
        <v>805.87268100000006</v>
      </c>
      <c r="X64" s="88">
        <v>817.30413799999997</v>
      </c>
      <c r="Y64" s="88">
        <v>829.03204300000004</v>
      </c>
      <c r="Z64" s="88">
        <v>841.80078100000003</v>
      </c>
      <c r="AA64" s="88">
        <v>857.074524</v>
      </c>
      <c r="AB64" s="88">
        <v>873.44000200000005</v>
      </c>
      <c r="AC64" s="88">
        <v>889.11822500000005</v>
      </c>
      <c r="AD64" s="88">
        <v>905.955872</v>
      </c>
      <c r="AE64" s="88">
        <v>926.21386700000005</v>
      </c>
      <c r="AF64" s="89">
        <v>7.7660000000000003E-3</v>
      </c>
      <c r="AG64" s="80"/>
    </row>
    <row r="65" spans="1:33" ht="15" customHeight="1">
      <c r="B65" s="86" t="s">
        <v>298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</row>
    <row r="66" spans="1:33" ht="15" customHeight="1">
      <c r="A66" s="78" t="s">
        <v>335</v>
      </c>
      <c r="B66" s="87" t="s">
        <v>279</v>
      </c>
      <c r="C66" s="88">
        <v>596.79718000000003</v>
      </c>
      <c r="D66" s="88">
        <v>582.57031199999994</v>
      </c>
      <c r="E66" s="88">
        <v>570.54583700000001</v>
      </c>
      <c r="F66" s="88">
        <v>562.60992399999998</v>
      </c>
      <c r="G66" s="88">
        <v>557.47637899999995</v>
      </c>
      <c r="H66" s="88">
        <v>552.10058600000002</v>
      </c>
      <c r="I66" s="88">
        <v>547.56726100000003</v>
      </c>
      <c r="J66" s="88">
        <v>541.83489999999995</v>
      </c>
      <c r="K66" s="88">
        <v>535.99304199999995</v>
      </c>
      <c r="L66" s="88">
        <v>531.105774</v>
      </c>
      <c r="M66" s="88">
        <v>528.55798300000004</v>
      </c>
      <c r="N66" s="88">
        <v>525.61999500000002</v>
      </c>
      <c r="O66" s="88">
        <v>523.05523700000003</v>
      </c>
      <c r="P66" s="88">
        <v>521.635132</v>
      </c>
      <c r="Q66" s="88">
        <v>520.47326699999996</v>
      </c>
      <c r="R66" s="88">
        <v>520.68817100000001</v>
      </c>
      <c r="S66" s="88">
        <v>521.26672399999995</v>
      </c>
      <c r="T66" s="88">
        <v>522.35955799999999</v>
      </c>
      <c r="U66" s="88">
        <v>524.42358400000001</v>
      </c>
      <c r="V66" s="88">
        <v>527.08154300000001</v>
      </c>
      <c r="W66" s="88">
        <v>529.90252699999996</v>
      </c>
      <c r="X66" s="88">
        <v>533.30059800000004</v>
      </c>
      <c r="Y66" s="88">
        <v>536.98974599999997</v>
      </c>
      <c r="Z66" s="88">
        <v>540.51788299999998</v>
      </c>
      <c r="AA66" s="88">
        <v>544.76953100000003</v>
      </c>
      <c r="AB66" s="88">
        <v>549.50622599999997</v>
      </c>
      <c r="AC66" s="88">
        <v>553.89520300000004</v>
      </c>
      <c r="AD66" s="88">
        <v>558.68853799999999</v>
      </c>
      <c r="AE66" s="88">
        <v>565.29272500000002</v>
      </c>
      <c r="AF66" s="89">
        <v>-1.9350000000000001E-3</v>
      </c>
      <c r="AG66" s="80"/>
    </row>
    <row r="67" spans="1:33" ht="15" customHeight="1">
      <c r="A67" s="78" t="s">
        <v>336</v>
      </c>
      <c r="B67" s="87" t="s">
        <v>281</v>
      </c>
      <c r="C67" s="88">
        <v>361.09713699999998</v>
      </c>
      <c r="D67" s="88">
        <v>352.45266700000002</v>
      </c>
      <c r="E67" s="88">
        <v>345.87948599999999</v>
      </c>
      <c r="F67" s="88">
        <v>341.195312</v>
      </c>
      <c r="G67" s="88">
        <v>338.49740600000001</v>
      </c>
      <c r="H67" s="88">
        <v>335.44927999999999</v>
      </c>
      <c r="I67" s="88">
        <v>333.12942500000003</v>
      </c>
      <c r="J67" s="88">
        <v>330.41744999999997</v>
      </c>
      <c r="K67" s="88">
        <v>327.605164</v>
      </c>
      <c r="L67" s="88">
        <v>325.20840500000003</v>
      </c>
      <c r="M67" s="88">
        <v>324.38137799999998</v>
      </c>
      <c r="N67" s="88">
        <v>322.96948200000003</v>
      </c>
      <c r="O67" s="88">
        <v>321.80856299999999</v>
      </c>
      <c r="P67" s="88">
        <v>321.02459700000003</v>
      </c>
      <c r="Q67" s="88">
        <v>319.85522500000002</v>
      </c>
      <c r="R67" s="88">
        <v>319.80575599999997</v>
      </c>
      <c r="S67" s="88">
        <v>319.18862899999999</v>
      </c>
      <c r="T67" s="88">
        <v>319.81021099999998</v>
      </c>
      <c r="U67" s="88">
        <v>320.52459700000003</v>
      </c>
      <c r="V67" s="88">
        <v>321.91735799999998</v>
      </c>
      <c r="W67" s="88">
        <v>323.479828</v>
      </c>
      <c r="X67" s="88">
        <v>325.354736</v>
      </c>
      <c r="Y67" s="88">
        <v>327.38092</v>
      </c>
      <c r="Z67" s="88">
        <v>329.19854700000002</v>
      </c>
      <c r="AA67" s="88">
        <v>331.44744900000001</v>
      </c>
      <c r="AB67" s="88">
        <v>333.82504299999999</v>
      </c>
      <c r="AC67" s="88">
        <v>335.92965700000002</v>
      </c>
      <c r="AD67" s="88">
        <v>338.38473499999998</v>
      </c>
      <c r="AE67" s="88">
        <v>341.79480000000001</v>
      </c>
      <c r="AF67" s="89">
        <v>-1.9599999999999999E-3</v>
      </c>
      <c r="AG67" s="80"/>
    </row>
    <row r="68" spans="1:33" ht="15" customHeight="1">
      <c r="A68" s="78" t="s">
        <v>337</v>
      </c>
      <c r="B68" s="87" t="s">
        <v>283</v>
      </c>
      <c r="C68" s="88">
        <v>0.66559500000000005</v>
      </c>
      <c r="D68" s="88">
        <v>0.68273300000000003</v>
      </c>
      <c r="E68" s="88">
        <v>0.70085900000000001</v>
      </c>
      <c r="F68" s="88">
        <v>0.72075599999999995</v>
      </c>
      <c r="G68" s="88">
        <v>0.74448800000000004</v>
      </c>
      <c r="H68" s="88">
        <v>0.76778900000000005</v>
      </c>
      <c r="I68" s="88">
        <v>0.79256400000000005</v>
      </c>
      <c r="J68" s="88">
        <v>0.81504200000000004</v>
      </c>
      <c r="K68" s="88">
        <v>0.83886099999999997</v>
      </c>
      <c r="L68" s="88">
        <v>0.86650700000000003</v>
      </c>
      <c r="M68" s="88">
        <v>0.90220500000000003</v>
      </c>
      <c r="N68" s="88">
        <v>0.94494599999999995</v>
      </c>
      <c r="O68" s="88">
        <v>0.99329800000000001</v>
      </c>
      <c r="P68" s="88">
        <v>1.0406519999999999</v>
      </c>
      <c r="Q68" s="88">
        <v>1.0919840000000001</v>
      </c>
      <c r="R68" s="88">
        <v>1.1519010000000001</v>
      </c>
      <c r="S68" s="88">
        <v>1.219368</v>
      </c>
      <c r="T68" s="88">
        <v>1.295874</v>
      </c>
      <c r="U68" s="88">
        <v>1.3836520000000001</v>
      </c>
      <c r="V68" s="88">
        <v>1.4835039999999999</v>
      </c>
      <c r="W68" s="88">
        <v>1.590991</v>
      </c>
      <c r="X68" s="88">
        <v>1.705203</v>
      </c>
      <c r="Y68" s="88">
        <v>1.8237920000000001</v>
      </c>
      <c r="Z68" s="88">
        <v>1.9449419999999999</v>
      </c>
      <c r="AA68" s="88">
        <v>2.071958</v>
      </c>
      <c r="AB68" s="88">
        <v>2.202169</v>
      </c>
      <c r="AC68" s="88">
        <v>2.3311099999999998</v>
      </c>
      <c r="AD68" s="88">
        <v>2.4515280000000002</v>
      </c>
      <c r="AE68" s="88">
        <v>2.5810140000000001</v>
      </c>
      <c r="AF68" s="89">
        <v>4.9591999999999997E-2</v>
      </c>
      <c r="AG68" s="80"/>
    </row>
    <row r="69" spans="1:33" ht="15" customHeight="1">
      <c r="A69" s="78" t="s">
        <v>338</v>
      </c>
      <c r="B69" s="87" t="s">
        <v>285</v>
      </c>
      <c r="C69" s="88">
        <v>0.76194399999999995</v>
      </c>
      <c r="D69" s="88">
        <v>0.71869899999999998</v>
      </c>
      <c r="E69" s="88">
        <v>0.67632099999999995</v>
      </c>
      <c r="F69" s="88">
        <v>0.637992</v>
      </c>
      <c r="G69" s="88">
        <v>0.60286899999999999</v>
      </c>
      <c r="H69" s="88">
        <v>0.56657000000000002</v>
      </c>
      <c r="I69" s="88">
        <v>0.53246199999999999</v>
      </c>
      <c r="J69" s="88">
        <v>0.49757600000000002</v>
      </c>
      <c r="K69" s="88">
        <v>0.46278799999999998</v>
      </c>
      <c r="L69" s="88">
        <v>0.43082799999999999</v>
      </c>
      <c r="M69" s="88">
        <v>0.40238600000000002</v>
      </c>
      <c r="N69" s="88">
        <v>0.37443300000000002</v>
      </c>
      <c r="O69" s="88">
        <v>0.346945</v>
      </c>
      <c r="P69" s="88">
        <v>0.32059799999999999</v>
      </c>
      <c r="Q69" s="88">
        <v>0.29521900000000001</v>
      </c>
      <c r="R69" s="88">
        <v>0.27301599999999998</v>
      </c>
      <c r="S69" s="88">
        <v>0.253025</v>
      </c>
      <c r="T69" s="88">
        <v>0.23599700000000001</v>
      </c>
      <c r="U69" s="88">
        <v>0.22023300000000001</v>
      </c>
      <c r="V69" s="88">
        <v>0.204292</v>
      </c>
      <c r="W69" s="88">
        <v>0.19014900000000001</v>
      </c>
      <c r="X69" s="88">
        <v>0.17355699999999999</v>
      </c>
      <c r="Y69" s="88">
        <v>0.156469</v>
      </c>
      <c r="Z69" s="88">
        <v>0.14242199999999999</v>
      </c>
      <c r="AA69" s="88">
        <v>0.13080600000000001</v>
      </c>
      <c r="AB69" s="88">
        <v>0.11888700000000001</v>
      </c>
      <c r="AC69" s="88">
        <v>0.106766</v>
      </c>
      <c r="AD69" s="88">
        <v>9.5868999999999996E-2</v>
      </c>
      <c r="AE69" s="88">
        <v>8.6902999999999994E-2</v>
      </c>
      <c r="AF69" s="89">
        <v>-7.4608999999999995E-2</v>
      </c>
      <c r="AG69" s="80"/>
    </row>
    <row r="70" spans="1:33" ht="12" customHeight="1">
      <c r="A70" s="78" t="s">
        <v>339</v>
      </c>
      <c r="B70" s="87" t="s">
        <v>287</v>
      </c>
      <c r="C70" s="88">
        <v>10.331885</v>
      </c>
      <c r="D70" s="88">
        <v>10.758182</v>
      </c>
      <c r="E70" s="88">
        <v>11.321586</v>
      </c>
      <c r="F70" s="88">
        <v>11.975374</v>
      </c>
      <c r="G70" s="88">
        <v>12.744726</v>
      </c>
      <c r="H70" s="88">
        <v>13.587192999999999</v>
      </c>
      <c r="I70" s="88">
        <v>14.506133999999999</v>
      </c>
      <c r="J70" s="88">
        <v>15.44483</v>
      </c>
      <c r="K70" s="88">
        <v>16.450348000000002</v>
      </c>
      <c r="L70" s="88">
        <v>17.581883999999999</v>
      </c>
      <c r="M70" s="88">
        <v>18.915562000000001</v>
      </c>
      <c r="N70" s="88">
        <v>20.372982</v>
      </c>
      <c r="O70" s="88">
        <v>22.01041</v>
      </c>
      <c r="P70" s="88">
        <v>23.794563</v>
      </c>
      <c r="Q70" s="88">
        <v>25.577529999999999</v>
      </c>
      <c r="R70" s="88">
        <v>27.489719000000001</v>
      </c>
      <c r="S70" s="88">
        <v>29.423684999999999</v>
      </c>
      <c r="T70" s="88">
        <v>31.3827</v>
      </c>
      <c r="U70" s="88">
        <v>33.470939999999999</v>
      </c>
      <c r="V70" s="88">
        <v>35.564487</v>
      </c>
      <c r="W70" s="88">
        <v>37.641945</v>
      </c>
      <c r="X70" s="88">
        <v>39.693420000000003</v>
      </c>
      <c r="Y70" s="88">
        <v>41.646500000000003</v>
      </c>
      <c r="Z70" s="88">
        <v>43.501041000000001</v>
      </c>
      <c r="AA70" s="88">
        <v>45.296207000000003</v>
      </c>
      <c r="AB70" s="88">
        <v>47.027523000000002</v>
      </c>
      <c r="AC70" s="88">
        <v>48.595694999999999</v>
      </c>
      <c r="AD70" s="88">
        <v>50.145443</v>
      </c>
      <c r="AE70" s="88">
        <v>51.783786999999997</v>
      </c>
      <c r="AF70" s="89">
        <v>5.9255000000000002E-2</v>
      </c>
      <c r="AG70" s="80"/>
    </row>
    <row r="71" spans="1:33" ht="15" customHeight="1">
      <c r="A71" s="78" t="s">
        <v>340</v>
      </c>
      <c r="B71" s="87" t="s">
        <v>289</v>
      </c>
      <c r="C71" s="88">
        <v>3.8241999999999998E-2</v>
      </c>
      <c r="D71" s="88">
        <v>4.5435000000000003E-2</v>
      </c>
      <c r="E71" s="88">
        <v>5.0754000000000001E-2</v>
      </c>
      <c r="F71" s="88">
        <v>5.4753000000000003E-2</v>
      </c>
      <c r="G71" s="88">
        <v>5.7683999999999999E-2</v>
      </c>
      <c r="H71" s="88">
        <v>5.9468E-2</v>
      </c>
      <c r="I71" s="88">
        <v>6.0365000000000002E-2</v>
      </c>
      <c r="J71" s="88">
        <v>6.0382999999999999E-2</v>
      </c>
      <c r="K71" s="88">
        <v>5.9790000000000003E-2</v>
      </c>
      <c r="L71" s="88">
        <v>5.8833999999999997E-2</v>
      </c>
      <c r="M71" s="88">
        <v>5.7679000000000001E-2</v>
      </c>
      <c r="N71" s="88">
        <v>5.6148999999999998E-2</v>
      </c>
      <c r="O71" s="88">
        <v>5.4413999999999997E-2</v>
      </c>
      <c r="P71" s="88">
        <v>5.2582999999999998E-2</v>
      </c>
      <c r="Q71" s="88">
        <v>5.0235000000000002E-2</v>
      </c>
      <c r="R71" s="88">
        <v>4.7787000000000003E-2</v>
      </c>
      <c r="S71" s="88">
        <v>4.5777999999999999E-2</v>
      </c>
      <c r="T71" s="88">
        <v>4.3761000000000001E-2</v>
      </c>
      <c r="U71" s="88">
        <v>4.1475999999999999E-2</v>
      </c>
      <c r="V71" s="88">
        <v>3.9280000000000002E-2</v>
      </c>
      <c r="W71" s="88">
        <v>3.7173999999999999E-2</v>
      </c>
      <c r="X71" s="88">
        <v>3.5144000000000002E-2</v>
      </c>
      <c r="Y71" s="88">
        <v>3.3201000000000001E-2</v>
      </c>
      <c r="Z71" s="88">
        <v>3.1363000000000002E-2</v>
      </c>
      <c r="AA71" s="88">
        <v>2.9679000000000001E-2</v>
      </c>
      <c r="AB71" s="88">
        <v>2.809E-2</v>
      </c>
      <c r="AC71" s="88">
        <v>2.6553E-2</v>
      </c>
      <c r="AD71" s="88">
        <v>2.5127E-2</v>
      </c>
      <c r="AE71" s="88">
        <v>2.3810000000000001E-2</v>
      </c>
      <c r="AF71" s="89">
        <v>-1.678E-2</v>
      </c>
      <c r="AG71" s="80"/>
    </row>
    <row r="72" spans="1:33" ht="15" customHeight="1">
      <c r="A72" s="78" t="s">
        <v>341</v>
      </c>
      <c r="B72" s="87" t="s">
        <v>291</v>
      </c>
      <c r="C72" s="88">
        <v>0</v>
      </c>
      <c r="D72" s="88">
        <v>0</v>
      </c>
      <c r="E72" s="88">
        <v>4.6031000000000002E-2</v>
      </c>
      <c r="F72" s="88">
        <v>8.7363999999999997E-2</v>
      </c>
      <c r="G72" s="88">
        <v>0.125998</v>
      </c>
      <c r="H72" s="88">
        <v>0.162359</v>
      </c>
      <c r="I72" s="88">
        <v>0.19692899999999999</v>
      </c>
      <c r="J72" s="88">
        <v>0.22856599999999999</v>
      </c>
      <c r="K72" s="88">
        <v>0.25760300000000003</v>
      </c>
      <c r="L72" s="88">
        <v>0.28515600000000002</v>
      </c>
      <c r="M72" s="88">
        <v>0.31272899999999998</v>
      </c>
      <c r="N72" s="88">
        <v>0.339615</v>
      </c>
      <c r="O72" s="88">
        <v>0.36632999999999999</v>
      </c>
      <c r="P72" s="88">
        <v>0.39357700000000001</v>
      </c>
      <c r="Q72" s="88">
        <v>0.42073300000000002</v>
      </c>
      <c r="R72" s="88">
        <v>0.44928600000000002</v>
      </c>
      <c r="S72" s="88">
        <v>0.47926000000000002</v>
      </c>
      <c r="T72" s="88">
        <v>0.51125699999999996</v>
      </c>
      <c r="U72" s="88">
        <v>0.54663899999999999</v>
      </c>
      <c r="V72" s="88">
        <v>0.58593899999999999</v>
      </c>
      <c r="W72" s="88">
        <v>0.62877000000000005</v>
      </c>
      <c r="X72" s="88">
        <v>0.672651</v>
      </c>
      <c r="Y72" s="88">
        <v>0.71931100000000003</v>
      </c>
      <c r="Z72" s="88">
        <v>0.76830799999999999</v>
      </c>
      <c r="AA72" s="88">
        <v>0.82118100000000005</v>
      </c>
      <c r="AB72" s="88">
        <v>0.877112</v>
      </c>
      <c r="AC72" s="88">
        <v>0.93461899999999998</v>
      </c>
      <c r="AD72" s="88">
        <v>0.99479200000000001</v>
      </c>
      <c r="AE72" s="88">
        <v>1.0601590000000001</v>
      </c>
      <c r="AF72" s="89" t="s">
        <v>217</v>
      </c>
      <c r="AG72" s="80"/>
    </row>
    <row r="73" spans="1:33" ht="15" customHeight="1">
      <c r="A73" s="78" t="s">
        <v>342</v>
      </c>
      <c r="B73" s="87" t="s">
        <v>293</v>
      </c>
      <c r="C73" s="88">
        <v>0</v>
      </c>
      <c r="D73" s="88">
        <v>0</v>
      </c>
      <c r="E73" s="88">
        <v>5.5973000000000002E-2</v>
      </c>
      <c r="F73" s="88">
        <v>0.10538500000000001</v>
      </c>
      <c r="G73" s="88">
        <v>0.15109300000000001</v>
      </c>
      <c r="H73" s="88">
        <v>0.193687</v>
      </c>
      <c r="I73" s="88">
        <v>0.233462</v>
      </c>
      <c r="J73" s="88">
        <v>0.26946999999999999</v>
      </c>
      <c r="K73" s="88">
        <v>0.30264600000000003</v>
      </c>
      <c r="L73" s="88">
        <v>0.33501599999999998</v>
      </c>
      <c r="M73" s="88">
        <v>0.368535</v>
      </c>
      <c r="N73" s="88">
        <v>0.40277000000000002</v>
      </c>
      <c r="O73" s="88">
        <v>0.43828299999999998</v>
      </c>
      <c r="P73" s="88">
        <v>0.47615099999999999</v>
      </c>
      <c r="Q73" s="88">
        <v>0.51575199999999999</v>
      </c>
      <c r="R73" s="88">
        <v>0.55924499999999999</v>
      </c>
      <c r="S73" s="88">
        <v>0.606796</v>
      </c>
      <c r="T73" s="88">
        <v>0.65962699999999996</v>
      </c>
      <c r="U73" s="88">
        <v>0.71974099999999996</v>
      </c>
      <c r="V73" s="88">
        <v>0.78828900000000002</v>
      </c>
      <c r="W73" s="88">
        <v>0.86488600000000004</v>
      </c>
      <c r="X73" s="88">
        <v>0.94691499999999995</v>
      </c>
      <c r="Y73" s="88">
        <v>1.0356989999999999</v>
      </c>
      <c r="Z73" s="88">
        <v>1.130374</v>
      </c>
      <c r="AA73" s="88">
        <v>1.23231</v>
      </c>
      <c r="AB73" s="88">
        <v>1.340697</v>
      </c>
      <c r="AC73" s="88">
        <v>1.452583</v>
      </c>
      <c r="AD73" s="88">
        <v>1.5697239999999999</v>
      </c>
      <c r="AE73" s="88">
        <v>1.6954130000000001</v>
      </c>
      <c r="AF73" s="89" t="s">
        <v>217</v>
      </c>
      <c r="AG73" s="80"/>
    </row>
    <row r="74" spans="1:33" ht="15" customHeight="1">
      <c r="A74" s="78" t="s">
        <v>343</v>
      </c>
      <c r="B74" s="87" t="s">
        <v>295</v>
      </c>
      <c r="C74" s="88">
        <v>0</v>
      </c>
      <c r="D74" s="88">
        <v>0</v>
      </c>
      <c r="E74" s="88">
        <v>9.7281999999999993E-2</v>
      </c>
      <c r="F74" s="88">
        <v>0.18842100000000001</v>
      </c>
      <c r="G74" s="88">
        <v>0.27685799999999999</v>
      </c>
      <c r="H74" s="88">
        <v>0.363454</v>
      </c>
      <c r="I74" s="88">
        <v>0.44753700000000002</v>
      </c>
      <c r="J74" s="88">
        <v>0.52742900000000004</v>
      </c>
      <c r="K74" s="88">
        <v>0.60339299999999996</v>
      </c>
      <c r="L74" s="88">
        <v>0.67797099999999999</v>
      </c>
      <c r="M74" s="88">
        <v>0.75438000000000005</v>
      </c>
      <c r="N74" s="88">
        <v>0.83045100000000005</v>
      </c>
      <c r="O74" s="88">
        <v>0.90750299999999995</v>
      </c>
      <c r="P74" s="88">
        <v>0.98692000000000002</v>
      </c>
      <c r="Q74" s="88">
        <v>1.0677970000000001</v>
      </c>
      <c r="R74" s="88">
        <v>1.153837</v>
      </c>
      <c r="S74" s="88">
        <v>1.2450049999999999</v>
      </c>
      <c r="T74" s="88">
        <v>1.3430200000000001</v>
      </c>
      <c r="U74" s="88">
        <v>1.4516439999999999</v>
      </c>
      <c r="V74" s="88">
        <v>1.572443</v>
      </c>
      <c r="W74" s="88">
        <v>1.7043809999999999</v>
      </c>
      <c r="X74" s="88">
        <v>1.8422590000000001</v>
      </c>
      <c r="Y74" s="88">
        <v>1.9891760000000001</v>
      </c>
      <c r="Z74" s="88">
        <v>2.1437659999999998</v>
      </c>
      <c r="AA74" s="88">
        <v>2.310273</v>
      </c>
      <c r="AB74" s="88">
        <v>2.48651</v>
      </c>
      <c r="AC74" s="88">
        <v>2.6681050000000002</v>
      </c>
      <c r="AD74" s="88">
        <v>2.8579460000000001</v>
      </c>
      <c r="AE74" s="88">
        <v>3.0632440000000001</v>
      </c>
      <c r="AF74" s="89" t="s">
        <v>217</v>
      </c>
      <c r="AG74" s="80"/>
    </row>
    <row r="75" spans="1:33" ht="15" customHeight="1">
      <c r="A75" s="78" t="s">
        <v>344</v>
      </c>
      <c r="B75" s="87" t="s">
        <v>309</v>
      </c>
      <c r="C75" s="88">
        <v>969.69219999999996</v>
      </c>
      <c r="D75" s="88">
        <v>947.22790499999996</v>
      </c>
      <c r="E75" s="88">
        <v>929.37390100000005</v>
      </c>
      <c r="F75" s="88">
        <v>917.57488999999998</v>
      </c>
      <c r="G75" s="88">
        <v>910.67767300000003</v>
      </c>
      <c r="H75" s="88">
        <v>903.25073199999997</v>
      </c>
      <c r="I75" s="88">
        <v>897.46606399999996</v>
      </c>
      <c r="J75" s="88">
        <v>890.09558100000004</v>
      </c>
      <c r="K75" s="88">
        <v>882.57385299999999</v>
      </c>
      <c r="L75" s="88">
        <v>876.55035399999997</v>
      </c>
      <c r="M75" s="88">
        <v>874.65283199999999</v>
      </c>
      <c r="N75" s="88">
        <v>871.910706</v>
      </c>
      <c r="O75" s="88">
        <v>869.98089600000003</v>
      </c>
      <c r="P75" s="88">
        <v>869.72479199999998</v>
      </c>
      <c r="Q75" s="88">
        <v>869.347534</v>
      </c>
      <c r="R75" s="88">
        <v>871.618469</v>
      </c>
      <c r="S75" s="88">
        <v>873.72820999999999</v>
      </c>
      <c r="T75" s="88">
        <v>877.64209000000005</v>
      </c>
      <c r="U75" s="88">
        <v>882.78265399999998</v>
      </c>
      <c r="V75" s="88">
        <v>889.23706100000004</v>
      </c>
      <c r="W75" s="88">
        <v>896.04046600000004</v>
      </c>
      <c r="X75" s="88">
        <v>903.72448699999995</v>
      </c>
      <c r="Y75" s="88">
        <v>911.77453600000001</v>
      </c>
      <c r="Z75" s="88">
        <v>919.37823500000002</v>
      </c>
      <c r="AA75" s="88">
        <v>928.10968000000003</v>
      </c>
      <c r="AB75" s="88">
        <v>937.41241500000001</v>
      </c>
      <c r="AC75" s="88">
        <v>945.94018600000004</v>
      </c>
      <c r="AD75" s="88">
        <v>955.21374500000002</v>
      </c>
      <c r="AE75" s="88">
        <v>967.38214100000005</v>
      </c>
      <c r="AF75" s="89">
        <v>-8.5000000000000006E-5</v>
      </c>
      <c r="AG75" s="80"/>
    </row>
    <row r="76" spans="1:33" ht="15" customHeight="1">
      <c r="B76" s="86" t="s">
        <v>310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</row>
    <row r="77" spans="1:33" ht="15" customHeight="1">
      <c r="A77" s="78" t="s">
        <v>345</v>
      </c>
      <c r="B77" s="87" t="s">
        <v>279</v>
      </c>
      <c r="C77" s="88">
        <v>4152.294922</v>
      </c>
      <c r="D77" s="88">
        <v>4082.8315429999998</v>
      </c>
      <c r="E77" s="88">
        <v>4021.451172</v>
      </c>
      <c r="F77" s="88">
        <v>3982.2763669999999</v>
      </c>
      <c r="G77" s="88">
        <v>3955.953125</v>
      </c>
      <c r="H77" s="88">
        <v>3919.7482909999999</v>
      </c>
      <c r="I77" s="88">
        <v>3881.1032709999999</v>
      </c>
      <c r="J77" s="88">
        <v>3831.7788089999999</v>
      </c>
      <c r="K77" s="88">
        <v>3778.5307619999999</v>
      </c>
      <c r="L77" s="88">
        <v>3730.3295899999998</v>
      </c>
      <c r="M77" s="88">
        <v>3694.220703</v>
      </c>
      <c r="N77" s="88">
        <v>3656.8642580000001</v>
      </c>
      <c r="O77" s="88">
        <v>3623.7570799999999</v>
      </c>
      <c r="P77" s="88">
        <v>3598.0146479999999</v>
      </c>
      <c r="Q77" s="88">
        <v>3572.140625</v>
      </c>
      <c r="R77" s="88">
        <v>3555.0131839999999</v>
      </c>
      <c r="S77" s="88">
        <v>3541.656982</v>
      </c>
      <c r="T77" s="88">
        <v>3529.0092770000001</v>
      </c>
      <c r="U77" s="88">
        <v>3520.9711910000001</v>
      </c>
      <c r="V77" s="88">
        <v>3515.9072270000001</v>
      </c>
      <c r="W77" s="88">
        <v>3513.1889649999998</v>
      </c>
      <c r="X77" s="88">
        <v>3509.6179200000001</v>
      </c>
      <c r="Y77" s="88">
        <v>3504.0908199999999</v>
      </c>
      <c r="Z77" s="88">
        <v>3495.7058109999998</v>
      </c>
      <c r="AA77" s="88">
        <v>3490.008057</v>
      </c>
      <c r="AB77" s="88">
        <v>3484.0903320000002</v>
      </c>
      <c r="AC77" s="88">
        <v>3473.501953</v>
      </c>
      <c r="AD77" s="88">
        <v>3463.9399410000001</v>
      </c>
      <c r="AE77" s="88">
        <v>3464.1235350000002</v>
      </c>
      <c r="AF77" s="89">
        <v>-6.4510000000000001E-3</v>
      </c>
      <c r="AG77" s="80"/>
    </row>
    <row r="78" spans="1:33" ht="15" customHeight="1">
      <c r="A78" s="78" t="s">
        <v>346</v>
      </c>
      <c r="B78" s="87" t="s">
        <v>281</v>
      </c>
      <c r="C78" s="88">
        <v>3.9674480000000001</v>
      </c>
      <c r="D78" s="88">
        <v>3.9112100000000001</v>
      </c>
      <c r="E78" s="88">
        <v>3.927975</v>
      </c>
      <c r="F78" s="88">
        <v>4.0033329999999996</v>
      </c>
      <c r="G78" s="88">
        <v>4.154909</v>
      </c>
      <c r="H78" s="88">
        <v>4.3465829999999999</v>
      </c>
      <c r="I78" s="88">
        <v>4.5559409999999998</v>
      </c>
      <c r="J78" s="88">
        <v>4.7584520000000001</v>
      </c>
      <c r="K78" s="88">
        <v>4.9760099999999996</v>
      </c>
      <c r="L78" s="88">
        <v>5.1881700000000004</v>
      </c>
      <c r="M78" s="88">
        <v>5.3957819999999996</v>
      </c>
      <c r="N78" s="88">
        <v>5.5792359999999999</v>
      </c>
      <c r="O78" s="88">
        <v>5.7431809999999999</v>
      </c>
      <c r="P78" s="88">
        <v>5.8900360000000003</v>
      </c>
      <c r="Q78" s="88">
        <v>5.9984260000000003</v>
      </c>
      <c r="R78" s="88">
        <v>6.0940690000000002</v>
      </c>
      <c r="S78" s="88">
        <v>6.1672099999999999</v>
      </c>
      <c r="T78" s="88">
        <v>6.22837</v>
      </c>
      <c r="U78" s="88">
        <v>6.2926219999999997</v>
      </c>
      <c r="V78" s="88">
        <v>6.356681</v>
      </c>
      <c r="W78" s="88">
        <v>6.3895749999999998</v>
      </c>
      <c r="X78" s="88">
        <v>6.4071030000000002</v>
      </c>
      <c r="Y78" s="88">
        <v>6.4340310000000001</v>
      </c>
      <c r="Z78" s="88">
        <v>6.4656529999999997</v>
      </c>
      <c r="AA78" s="88">
        <v>6.5095479999999997</v>
      </c>
      <c r="AB78" s="88">
        <v>6.5554730000000001</v>
      </c>
      <c r="AC78" s="88">
        <v>6.5929979999999997</v>
      </c>
      <c r="AD78" s="88">
        <v>6.6332560000000003</v>
      </c>
      <c r="AE78" s="88">
        <v>6.6926329999999998</v>
      </c>
      <c r="AF78" s="89">
        <v>1.8849999999999999E-2</v>
      </c>
      <c r="AG78" s="80"/>
    </row>
    <row r="79" spans="1:33" ht="15" customHeight="1">
      <c r="A79" s="78" t="s">
        <v>347</v>
      </c>
      <c r="B79" s="87" t="s">
        <v>283</v>
      </c>
      <c r="C79" s="88">
        <v>0.57084699999999999</v>
      </c>
      <c r="D79" s="88">
        <v>0.62436700000000001</v>
      </c>
      <c r="E79" s="88">
        <v>0.67565299999999995</v>
      </c>
      <c r="F79" s="88">
        <v>0.72345599999999999</v>
      </c>
      <c r="G79" s="88">
        <v>0.76954900000000004</v>
      </c>
      <c r="H79" s="88">
        <v>0.80783199999999999</v>
      </c>
      <c r="I79" s="88">
        <v>0.83759799999999995</v>
      </c>
      <c r="J79" s="88">
        <v>0.85494300000000001</v>
      </c>
      <c r="K79" s="88">
        <v>0.86416899999999996</v>
      </c>
      <c r="L79" s="88">
        <v>0.86825799999999997</v>
      </c>
      <c r="M79" s="88">
        <v>0.87042299999999995</v>
      </c>
      <c r="N79" s="88">
        <v>0.87198200000000003</v>
      </c>
      <c r="O79" s="88">
        <v>0.876027</v>
      </c>
      <c r="P79" s="88">
        <v>0.88223799999999997</v>
      </c>
      <c r="Q79" s="88">
        <v>0.88616399999999995</v>
      </c>
      <c r="R79" s="88">
        <v>0.890656</v>
      </c>
      <c r="S79" s="88">
        <v>0.89219300000000001</v>
      </c>
      <c r="T79" s="88">
        <v>0.89300599999999997</v>
      </c>
      <c r="U79" s="88">
        <v>0.89404300000000003</v>
      </c>
      <c r="V79" s="88">
        <v>0.89725900000000003</v>
      </c>
      <c r="W79" s="88">
        <v>0.90047600000000005</v>
      </c>
      <c r="X79" s="88">
        <v>0.90321899999999999</v>
      </c>
      <c r="Y79" s="88">
        <v>0.90516799999999997</v>
      </c>
      <c r="Z79" s="88">
        <v>0.90654199999999996</v>
      </c>
      <c r="AA79" s="88">
        <v>0.90933900000000001</v>
      </c>
      <c r="AB79" s="88">
        <v>0.91265600000000002</v>
      </c>
      <c r="AC79" s="88">
        <v>0.91492600000000002</v>
      </c>
      <c r="AD79" s="88">
        <v>0.91651300000000002</v>
      </c>
      <c r="AE79" s="88">
        <v>0.91947900000000005</v>
      </c>
      <c r="AF79" s="89">
        <v>1.7170000000000001E-2</v>
      </c>
      <c r="AG79" s="80"/>
    </row>
    <row r="80" spans="1:33" ht="15" customHeight="1">
      <c r="A80" s="78" t="s">
        <v>348</v>
      </c>
      <c r="B80" s="87" t="s">
        <v>285</v>
      </c>
      <c r="C80" s="88">
        <v>50.390869000000002</v>
      </c>
      <c r="D80" s="88">
        <v>50.880237999999999</v>
      </c>
      <c r="E80" s="88">
        <v>51.130661000000003</v>
      </c>
      <c r="F80" s="88">
        <v>51.278004000000003</v>
      </c>
      <c r="G80" s="88">
        <v>51.266300000000001</v>
      </c>
      <c r="H80" s="88">
        <v>50.763759999999998</v>
      </c>
      <c r="I80" s="88">
        <v>49.941105</v>
      </c>
      <c r="J80" s="88">
        <v>48.755848</v>
      </c>
      <c r="K80" s="88">
        <v>47.376193999999998</v>
      </c>
      <c r="L80" s="88">
        <v>46.136257000000001</v>
      </c>
      <c r="M80" s="88">
        <v>45.289948000000003</v>
      </c>
      <c r="N80" s="88">
        <v>44.815620000000003</v>
      </c>
      <c r="O80" s="88">
        <v>44.797992999999998</v>
      </c>
      <c r="P80" s="88">
        <v>45.188122</v>
      </c>
      <c r="Q80" s="88">
        <v>45.832714000000003</v>
      </c>
      <c r="R80" s="88">
        <v>46.829082</v>
      </c>
      <c r="S80" s="88">
        <v>48.081806</v>
      </c>
      <c r="T80" s="88">
        <v>49.582222000000002</v>
      </c>
      <c r="U80" s="88">
        <v>51.412018000000003</v>
      </c>
      <c r="V80" s="88">
        <v>53.560184</v>
      </c>
      <c r="W80" s="88">
        <v>55.921677000000003</v>
      </c>
      <c r="X80" s="88">
        <v>58.465366000000003</v>
      </c>
      <c r="Y80" s="88">
        <v>61.153961000000002</v>
      </c>
      <c r="Z80" s="88">
        <v>63.935595999999997</v>
      </c>
      <c r="AA80" s="88">
        <v>66.919730999999999</v>
      </c>
      <c r="AB80" s="88">
        <v>70.067229999999995</v>
      </c>
      <c r="AC80" s="88">
        <v>73.232262000000006</v>
      </c>
      <c r="AD80" s="88">
        <v>76.543907000000004</v>
      </c>
      <c r="AE80" s="88">
        <v>80.243094999999997</v>
      </c>
      <c r="AF80" s="89">
        <v>1.6754999999999999E-2</v>
      </c>
      <c r="AG80" s="80"/>
    </row>
    <row r="81" spans="1:33" ht="15" customHeight="1">
      <c r="A81" s="78" t="s">
        <v>349</v>
      </c>
      <c r="B81" s="87" t="s">
        <v>287</v>
      </c>
      <c r="C81" s="88">
        <v>0</v>
      </c>
      <c r="D81" s="88">
        <v>0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  <c r="X81" s="88">
        <v>0</v>
      </c>
      <c r="Y81" s="88">
        <v>0</v>
      </c>
      <c r="Z81" s="88">
        <v>0</v>
      </c>
      <c r="AA81" s="88">
        <v>0</v>
      </c>
      <c r="AB81" s="88">
        <v>0</v>
      </c>
      <c r="AC81" s="88">
        <v>0</v>
      </c>
      <c r="AD81" s="88">
        <v>0</v>
      </c>
      <c r="AE81" s="88">
        <v>0</v>
      </c>
      <c r="AF81" s="89" t="s">
        <v>217</v>
      </c>
      <c r="AG81" s="80"/>
    </row>
    <row r="82" spans="1:33" ht="15" customHeight="1">
      <c r="A82" s="78" t="s">
        <v>350</v>
      </c>
      <c r="B82" s="87" t="s">
        <v>289</v>
      </c>
      <c r="C82" s="88">
        <v>4.7272000000000002E-2</v>
      </c>
      <c r="D82" s="88">
        <v>5.6365999999999999E-2</v>
      </c>
      <c r="E82" s="88">
        <v>6.4062999999999995E-2</v>
      </c>
      <c r="F82" s="88">
        <v>7.0821999999999996E-2</v>
      </c>
      <c r="G82" s="88">
        <v>7.6726000000000003E-2</v>
      </c>
      <c r="H82" s="88">
        <v>8.1382999999999997E-2</v>
      </c>
      <c r="I82" s="88">
        <v>8.4830000000000003E-2</v>
      </c>
      <c r="J82" s="88">
        <v>8.6957999999999994E-2</v>
      </c>
      <c r="K82" s="88">
        <v>8.7952000000000002E-2</v>
      </c>
      <c r="L82" s="88">
        <v>8.8012999999999994E-2</v>
      </c>
      <c r="M82" s="88">
        <v>8.7249999999999994E-2</v>
      </c>
      <c r="N82" s="88">
        <v>8.5333000000000006E-2</v>
      </c>
      <c r="O82" s="88">
        <v>8.2535999999999998E-2</v>
      </c>
      <c r="P82" s="88">
        <v>7.9114000000000004E-2</v>
      </c>
      <c r="Q82" s="88">
        <v>7.5203999999999993E-2</v>
      </c>
      <c r="R82" s="88">
        <v>7.1353E-2</v>
      </c>
      <c r="S82" s="88">
        <v>6.7466999999999999E-2</v>
      </c>
      <c r="T82" s="88">
        <v>6.3056000000000001E-2</v>
      </c>
      <c r="U82" s="88">
        <v>5.8637000000000002E-2</v>
      </c>
      <c r="V82" s="88">
        <v>5.4799E-2</v>
      </c>
      <c r="W82" s="88">
        <v>5.1536999999999999E-2</v>
      </c>
      <c r="X82" s="88">
        <v>4.8205999999999999E-2</v>
      </c>
      <c r="Y82" s="88">
        <v>4.5224E-2</v>
      </c>
      <c r="Z82" s="88">
        <v>4.2495999999999999E-2</v>
      </c>
      <c r="AA82" s="88">
        <v>4.0057000000000002E-2</v>
      </c>
      <c r="AB82" s="88">
        <v>3.7803999999999997E-2</v>
      </c>
      <c r="AC82" s="88">
        <v>3.5659000000000003E-2</v>
      </c>
      <c r="AD82" s="88">
        <v>3.3694000000000002E-2</v>
      </c>
      <c r="AE82" s="88">
        <v>3.1962999999999998E-2</v>
      </c>
      <c r="AF82" s="89">
        <v>-1.3879000000000001E-2</v>
      </c>
      <c r="AG82" s="80"/>
    </row>
    <row r="83" spans="1:33" ht="15" customHeight="1">
      <c r="A83" s="78" t="s">
        <v>351</v>
      </c>
      <c r="B83" s="87" t="s">
        <v>291</v>
      </c>
      <c r="C83" s="88">
        <v>0</v>
      </c>
      <c r="D83" s="88">
        <v>0</v>
      </c>
      <c r="E83" s="88">
        <v>0.111749</v>
      </c>
      <c r="F83" s="88">
        <v>0.12651799999999999</v>
      </c>
      <c r="G83" s="88">
        <v>0.14269399999999999</v>
      </c>
      <c r="H83" s="88">
        <v>0.15934000000000001</v>
      </c>
      <c r="I83" s="88">
        <v>0.17621300000000001</v>
      </c>
      <c r="J83" s="88">
        <v>0.19222800000000001</v>
      </c>
      <c r="K83" s="88">
        <v>0.20724500000000001</v>
      </c>
      <c r="L83" s="88">
        <v>0.22140099999999999</v>
      </c>
      <c r="M83" s="88">
        <v>0.23488800000000001</v>
      </c>
      <c r="N83" s="88">
        <v>0.24656900000000001</v>
      </c>
      <c r="O83" s="88">
        <v>0.25659700000000002</v>
      </c>
      <c r="P83" s="88">
        <v>0.26520700000000003</v>
      </c>
      <c r="Q83" s="88">
        <v>0.27205200000000002</v>
      </c>
      <c r="R83" s="88">
        <v>0.278225</v>
      </c>
      <c r="S83" s="88">
        <v>0.28399799999999997</v>
      </c>
      <c r="T83" s="88">
        <v>0.29017999999999999</v>
      </c>
      <c r="U83" s="88">
        <v>0.29806500000000002</v>
      </c>
      <c r="V83" s="88">
        <v>0.30863000000000002</v>
      </c>
      <c r="W83" s="88">
        <v>0.32256400000000002</v>
      </c>
      <c r="X83" s="88">
        <v>0.334818</v>
      </c>
      <c r="Y83" s="88">
        <v>0.34677599999999997</v>
      </c>
      <c r="Z83" s="88">
        <v>0.36227599999999999</v>
      </c>
      <c r="AA83" s="88">
        <v>0.384801</v>
      </c>
      <c r="AB83" s="88">
        <v>0.40742899999999999</v>
      </c>
      <c r="AC83" s="88">
        <v>0.43170500000000001</v>
      </c>
      <c r="AD83" s="88">
        <v>0.458424</v>
      </c>
      <c r="AE83" s="88">
        <v>0.48888399999999999</v>
      </c>
      <c r="AF83" s="89" t="s">
        <v>217</v>
      </c>
      <c r="AG83" s="80"/>
    </row>
    <row r="84" spans="1:33" ht="15" customHeight="1">
      <c r="A84" s="78" t="s">
        <v>352</v>
      </c>
      <c r="B84" s="87" t="s">
        <v>293</v>
      </c>
      <c r="C84" s="88">
        <v>0</v>
      </c>
      <c r="D84" s="88">
        <v>0</v>
      </c>
      <c r="E84" s="88">
        <v>0.23414399999999999</v>
      </c>
      <c r="F84" s="88">
        <v>0.26273600000000003</v>
      </c>
      <c r="G84" s="88">
        <v>0.29418100000000003</v>
      </c>
      <c r="H84" s="88">
        <v>0.326345</v>
      </c>
      <c r="I84" s="88">
        <v>0.35836099999999999</v>
      </c>
      <c r="J84" s="88">
        <v>0.388214</v>
      </c>
      <c r="K84" s="88">
        <v>0.41574299999999997</v>
      </c>
      <c r="L84" s="88">
        <v>0.44134699999999999</v>
      </c>
      <c r="M84" s="88">
        <v>0.46522400000000003</v>
      </c>
      <c r="N84" s="88">
        <v>0.485016</v>
      </c>
      <c r="O84" s="88">
        <v>0.50097899999999995</v>
      </c>
      <c r="P84" s="88">
        <v>0.51362799999999997</v>
      </c>
      <c r="Q84" s="88">
        <v>0.522262</v>
      </c>
      <c r="R84" s="88">
        <v>0.52908999999999995</v>
      </c>
      <c r="S84" s="88">
        <v>0.53469299999999997</v>
      </c>
      <c r="T84" s="88">
        <v>0.54074299999999997</v>
      </c>
      <c r="U84" s="88">
        <v>0.54972399999999999</v>
      </c>
      <c r="V84" s="88">
        <v>0.56356499999999998</v>
      </c>
      <c r="W84" s="88">
        <v>0.58364300000000002</v>
      </c>
      <c r="X84" s="88">
        <v>0.59923099999999996</v>
      </c>
      <c r="Y84" s="88">
        <v>0.613008</v>
      </c>
      <c r="Z84" s="88">
        <v>0.63285800000000003</v>
      </c>
      <c r="AA84" s="88">
        <v>0.66527599999999998</v>
      </c>
      <c r="AB84" s="88">
        <v>0.69548399999999999</v>
      </c>
      <c r="AC84" s="88">
        <v>0.72656200000000004</v>
      </c>
      <c r="AD84" s="88">
        <v>0.75966500000000003</v>
      </c>
      <c r="AE84" s="88">
        <v>0.79641600000000001</v>
      </c>
      <c r="AF84" s="89" t="s">
        <v>217</v>
      </c>
      <c r="AG84" s="80"/>
    </row>
    <row r="85" spans="1:33" ht="15" customHeight="1">
      <c r="A85" s="78" t="s">
        <v>353</v>
      </c>
      <c r="B85" s="87" t="s">
        <v>295</v>
      </c>
      <c r="C85" s="88">
        <v>0</v>
      </c>
      <c r="D85" s="88">
        <v>0</v>
      </c>
      <c r="E85" s="88">
        <v>0.13243099999999999</v>
      </c>
      <c r="F85" s="88">
        <v>0.25880199999999998</v>
      </c>
      <c r="G85" s="88">
        <v>0.385407</v>
      </c>
      <c r="H85" s="88">
        <v>0.51399799999999995</v>
      </c>
      <c r="I85" s="88">
        <v>0.64363300000000001</v>
      </c>
      <c r="J85" s="88">
        <v>0.77151199999999998</v>
      </c>
      <c r="K85" s="88">
        <v>0.89717499999999994</v>
      </c>
      <c r="L85" s="88">
        <v>1.0226690000000001</v>
      </c>
      <c r="M85" s="88">
        <v>1.1502559999999999</v>
      </c>
      <c r="N85" s="88">
        <v>1.2741119999999999</v>
      </c>
      <c r="O85" s="88">
        <v>1.393794</v>
      </c>
      <c r="P85" s="88">
        <v>1.5088429999999999</v>
      </c>
      <c r="Q85" s="88">
        <v>1.6154120000000001</v>
      </c>
      <c r="R85" s="88">
        <v>1.717117</v>
      </c>
      <c r="S85" s="88">
        <v>1.812324</v>
      </c>
      <c r="T85" s="88">
        <v>1.902677</v>
      </c>
      <c r="U85" s="88">
        <v>1.9929779999999999</v>
      </c>
      <c r="V85" s="88">
        <v>2.0859009999999998</v>
      </c>
      <c r="W85" s="88">
        <v>2.1821549999999998</v>
      </c>
      <c r="X85" s="88">
        <v>2.2778990000000001</v>
      </c>
      <c r="Y85" s="88">
        <v>2.3718539999999999</v>
      </c>
      <c r="Z85" s="88">
        <v>2.4681579999999999</v>
      </c>
      <c r="AA85" s="88">
        <v>2.5784799999999999</v>
      </c>
      <c r="AB85" s="88">
        <v>2.69808</v>
      </c>
      <c r="AC85" s="88">
        <v>2.8237719999999999</v>
      </c>
      <c r="AD85" s="88">
        <v>2.9616039999999999</v>
      </c>
      <c r="AE85" s="88">
        <v>3.1206100000000001</v>
      </c>
      <c r="AF85" s="89" t="s">
        <v>217</v>
      </c>
      <c r="AG85" s="80"/>
    </row>
    <row r="86" spans="1:33" ht="15" customHeight="1">
      <c r="A86" s="78" t="s">
        <v>354</v>
      </c>
      <c r="B86" s="87" t="s">
        <v>321</v>
      </c>
      <c r="C86" s="88">
        <v>4207.2734380000002</v>
      </c>
      <c r="D86" s="88">
        <v>4138.3027339999999</v>
      </c>
      <c r="E86" s="88">
        <v>4077.727539</v>
      </c>
      <c r="F86" s="88">
        <v>4039.0002439999998</v>
      </c>
      <c r="G86" s="88">
        <v>4013.0429690000001</v>
      </c>
      <c r="H86" s="88">
        <v>3976.7485350000002</v>
      </c>
      <c r="I86" s="88">
        <v>3937.7006839999999</v>
      </c>
      <c r="J86" s="88">
        <v>3887.586182</v>
      </c>
      <c r="K86" s="88">
        <v>3833.3564449999999</v>
      </c>
      <c r="L86" s="88">
        <v>3784.2958979999999</v>
      </c>
      <c r="M86" s="88">
        <v>3747.7145999999998</v>
      </c>
      <c r="N86" s="88">
        <v>3710.2214359999998</v>
      </c>
      <c r="O86" s="88">
        <v>3677.4077149999998</v>
      </c>
      <c r="P86" s="88">
        <v>3652.3427729999999</v>
      </c>
      <c r="Q86" s="88">
        <v>3627.3422850000002</v>
      </c>
      <c r="R86" s="88">
        <v>3611.421875</v>
      </c>
      <c r="S86" s="88">
        <v>3599.4953609999998</v>
      </c>
      <c r="T86" s="88">
        <v>3588.5097660000001</v>
      </c>
      <c r="U86" s="88">
        <v>3582.46875</v>
      </c>
      <c r="V86" s="88">
        <v>3579.7346189999998</v>
      </c>
      <c r="W86" s="88">
        <v>3579.5410160000001</v>
      </c>
      <c r="X86" s="88">
        <v>3578.6530760000001</v>
      </c>
      <c r="Y86" s="88">
        <v>3575.961182</v>
      </c>
      <c r="Z86" s="88">
        <v>3570.5195309999999</v>
      </c>
      <c r="AA86" s="88">
        <v>3568.0158689999998</v>
      </c>
      <c r="AB86" s="88">
        <v>3565.4648440000001</v>
      </c>
      <c r="AC86" s="88">
        <v>3558.258789</v>
      </c>
      <c r="AD86" s="88">
        <v>3552.2460940000001</v>
      </c>
      <c r="AE86" s="88">
        <v>3556.4155270000001</v>
      </c>
      <c r="AF86" s="89">
        <v>-5.9839999999999997E-3</v>
      </c>
      <c r="AG86" s="80"/>
    </row>
    <row r="87" spans="1:33" ht="15" customHeight="1">
      <c r="B87" s="86" t="s">
        <v>355</v>
      </c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1:33" ht="15" customHeight="1">
      <c r="A88" s="78" t="s">
        <v>356</v>
      </c>
      <c r="B88" s="87" t="s">
        <v>279</v>
      </c>
      <c r="C88" s="88">
        <v>5252.3305659999996</v>
      </c>
      <c r="D88" s="88">
        <v>5150.2109380000002</v>
      </c>
      <c r="E88" s="88">
        <v>5062.0986329999996</v>
      </c>
      <c r="F88" s="88">
        <v>5004.6708980000003</v>
      </c>
      <c r="G88" s="88">
        <v>4965.3076170000004</v>
      </c>
      <c r="H88" s="88">
        <v>4915.0947269999997</v>
      </c>
      <c r="I88" s="88">
        <v>4864.1035160000001</v>
      </c>
      <c r="J88" s="88">
        <v>4802.189453</v>
      </c>
      <c r="K88" s="88">
        <v>4738.7089839999999</v>
      </c>
      <c r="L88" s="88">
        <v>4684.001953</v>
      </c>
      <c r="M88" s="88">
        <v>4645.8359380000002</v>
      </c>
      <c r="N88" s="88">
        <v>4605.7412109999996</v>
      </c>
      <c r="O88" s="88">
        <v>4571.0966799999997</v>
      </c>
      <c r="P88" s="88">
        <v>4545.9067379999997</v>
      </c>
      <c r="Q88" s="88">
        <v>4520.6884769999997</v>
      </c>
      <c r="R88" s="88">
        <v>4506.4428710000002</v>
      </c>
      <c r="S88" s="88">
        <v>4496.765625</v>
      </c>
      <c r="T88" s="88">
        <v>4489.0834960000002</v>
      </c>
      <c r="U88" s="88">
        <v>4488.0830079999996</v>
      </c>
      <c r="V88" s="88">
        <v>4491.1411129999997</v>
      </c>
      <c r="W88" s="88">
        <v>4496.9345700000003</v>
      </c>
      <c r="X88" s="88">
        <v>4502.8085940000001</v>
      </c>
      <c r="Y88" s="88">
        <v>4507.3803710000002</v>
      </c>
      <c r="Z88" s="88">
        <v>4509.7548829999996</v>
      </c>
      <c r="AA88" s="88">
        <v>4517.1176759999998</v>
      </c>
      <c r="AB88" s="88">
        <v>4525.4931640000004</v>
      </c>
      <c r="AC88" s="88">
        <v>4528.6337890000004</v>
      </c>
      <c r="AD88" s="88">
        <v>4533.9399409999996</v>
      </c>
      <c r="AE88" s="88">
        <v>4552.7285160000001</v>
      </c>
      <c r="AF88" s="89">
        <v>-5.0920000000000002E-3</v>
      </c>
      <c r="AG88" s="80"/>
    </row>
    <row r="89" spans="1:33" ht="15" customHeight="1">
      <c r="A89" s="78" t="s">
        <v>357</v>
      </c>
      <c r="B89" s="87" t="s">
        <v>281</v>
      </c>
      <c r="C89" s="88">
        <v>561.48449700000003</v>
      </c>
      <c r="D89" s="88">
        <v>557.785034</v>
      </c>
      <c r="E89" s="88">
        <v>556.74005099999999</v>
      </c>
      <c r="F89" s="88">
        <v>558.68145800000002</v>
      </c>
      <c r="G89" s="88">
        <v>563.18457000000001</v>
      </c>
      <c r="H89" s="88">
        <v>566.01348900000005</v>
      </c>
      <c r="I89" s="88">
        <v>568.99591099999998</v>
      </c>
      <c r="J89" s="88">
        <v>571.13494900000001</v>
      </c>
      <c r="K89" s="88">
        <v>573.60174600000005</v>
      </c>
      <c r="L89" s="88">
        <v>577.01965299999995</v>
      </c>
      <c r="M89" s="88">
        <v>583.04650900000001</v>
      </c>
      <c r="N89" s="88">
        <v>588.07153300000004</v>
      </c>
      <c r="O89" s="88">
        <v>593.151611</v>
      </c>
      <c r="P89" s="88">
        <v>598.55310099999997</v>
      </c>
      <c r="Q89" s="88">
        <v>603.21813999999995</v>
      </c>
      <c r="R89" s="88">
        <v>609.34344499999997</v>
      </c>
      <c r="S89" s="88">
        <v>614.73071300000004</v>
      </c>
      <c r="T89" s="88">
        <v>621.06646699999999</v>
      </c>
      <c r="U89" s="88">
        <v>627.72302200000001</v>
      </c>
      <c r="V89" s="88">
        <v>635.39660600000002</v>
      </c>
      <c r="W89" s="88">
        <v>642.87426800000003</v>
      </c>
      <c r="X89" s="88">
        <v>649.87420699999996</v>
      </c>
      <c r="Y89" s="88">
        <v>656.76269500000001</v>
      </c>
      <c r="Z89" s="88">
        <v>663.54040499999996</v>
      </c>
      <c r="AA89" s="88">
        <v>671.537598</v>
      </c>
      <c r="AB89" s="88">
        <v>679.92511000000002</v>
      </c>
      <c r="AC89" s="88">
        <v>687.57550000000003</v>
      </c>
      <c r="AD89" s="88">
        <v>695.97375499999998</v>
      </c>
      <c r="AE89" s="88">
        <v>706.70812999999998</v>
      </c>
      <c r="AF89" s="89">
        <v>8.2489999999999994E-3</v>
      </c>
      <c r="AG89" s="80"/>
    </row>
    <row r="90" spans="1:33" ht="15" customHeight="1">
      <c r="A90" s="78" t="s">
        <v>358</v>
      </c>
      <c r="B90" s="87" t="s">
        <v>283</v>
      </c>
      <c r="C90" s="88">
        <v>1.2452650000000001</v>
      </c>
      <c r="D90" s="88">
        <v>1.3861779999999999</v>
      </c>
      <c r="E90" s="88">
        <v>1.52488</v>
      </c>
      <c r="F90" s="88">
        <v>1.6560079999999999</v>
      </c>
      <c r="G90" s="88">
        <v>1.7862659999999999</v>
      </c>
      <c r="H90" s="88">
        <v>1.903707</v>
      </c>
      <c r="I90" s="88">
        <v>2.0105780000000002</v>
      </c>
      <c r="J90" s="88">
        <v>2.099688</v>
      </c>
      <c r="K90" s="88">
        <v>2.1804990000000002</v>
      </c>
      <c r="L90" s="88">
        <v>2.2604660000000001</v>
      </c>
      <c r="M90" s="88">
        <v>2.3478080000000001</v>
      </c>
      <c r="N90" s="88">
        <v>2.4404729999999999</v>
      </c>
      <c r="O90" s="88">
        <v>2.5412210000000002</v>
      </c>
      <c r="P90" s="88">
        <v>2.6449829999999999</v>
      </c>
      <c r="Q90" s="88">
        <v>2.752405</v>
      </c>
      <c r="R90" s="88">
        <v>2.8738489999999999</v>
      </c>
      <c r="S90" s="88">
        <v>3.004591</v>
      </c>
      <c r="T90" s="88">
        <v>3.1495850000000001</v>
      </c>
      <c r="U90" s="88">
        <v>3.3139080000000001</v>
      </c>
      <c r="V90" s="88">
        <v>3.5006020000000002</v>
      </c>
      <c r="W90" s="88">
        <v>3.7020719999999998</v>
      </c>
      <c r="X90" s="88">
        <v>3.9170069999999999</v>
      </c>
      <c r="Y90" s="88">
        <v>4.1414150000000003</v>
      </c>
      <c r="Z90" s="88">
        <v>4.3768859999999998</v>
      </c>
      <c r="AA90" s="88">
        <v>4.632447</v>
      </c>
      <c r="AB90" s="88">
        <v>4.9017460000000002</v>
      </c>
      <c r="AC90" s="88">
        <v>5.1746309999999998</v>
      </c>
      <c r="AD90" s="88">
        <v>5.4474770000000001</v>
      </c>
      <c r="AE90" s="88">
        <v>5.7450359999999998</v>
      </c>
      <c r="AF90" s="89">
        <v>5.6125000000000001E-2</v>
      </c>
      <c r="AG90" s="80"/>
    </row>
    <row r="91" spans="1:33" ht="12" customHeight="1">
      <c r="A91" s="78" t="s">
        <v>359</v>
      </c>
      <c r="B91" s="87" t="s">
        <v>285</v>
      </c>
      <c r="C91" s="88">
        <v>51.344929</v>
      </c>
      <c r="D91" s="88">
        <v>51.773192999999999</v>
      </c>
      <c r="E91" s="88">
        <v>51.965781999999997</v>
      </c>
      <c r="F91" s="88">
        <v>52.061802</v>
      </c>
      <c r="G91" s="88">
        <v>52.003608999999997</v>
      </c>
      <c r="H91" s="88">
        <v>51.453983000000001</v>
      </c>
      <c r="I91" s="88">
        <v>50.587246</v>
      </c>
      <c r="J91" s="88">
        <v>49.357909999999997</v>
      </c>
      <c r="K91" s="88">
        <v>47.935226</v>
      </c>
      <c r="L91" s="88">
        <v>46.656028999999997</v>
      </c>
      <c r="M91" s="88">
        <v>45.774760999999998</v>
      </c>
      <c r="N91" s="88">
        <v>45.265827000000002</v>
      </c>
      <c r="O91" s="88">
        <v>45.213760000000001</v>
      </c>
      <c r="P91" s="88">
        <v>45.570152</v>
      </c>
      <c r="Q91" s="88">
        <v>46.181815999999998</v>
      </c>
      <c r="R91" s="88">
        <v>47.148071000000002</v>
      </c>
      <c r="S91" s="88">
        <v>48.373516000000002</v>
      </c>
      <c r="T91" s="88">
        <v>49.850352999999998</v>
      </c>
      <c r="U91" s="88">
        <v>51.657871</v>
      </c>
      <c r="V91" s="88">
        <v>53.785004000000001</v>
      </c>
      <c r="W91" s="88">
        <v>56.128632000000003</v>
      </c>
      <c r="X91" s="88">
        <v>58.653046000000003</v>
      </c>
      <c r="Y91" s="88">
        <v>61.322830000000003</v>
      </c>
      <c r="Z91" s="88">
        <v>64.089225999999996</v>
      </c>
      <c r="AA91" s="88">
        <v>67.060805999999999</v>
      </c>
      <c r="AB91" s="88">
        <v>70.195723999999998</v>
      </c>
      <c r="AC91" s="88">
        <v>73.347763</v>
      </c>
      <c r="AD91" s="88">
        <v>76.647514000000001</v>
      </c>
      <c r="AE91" s="88">
        <v>80.336487000000005</v>
      </c>
      <c r="AF91" s="89">
        <v>1.6115999999999998E-2</v>
      </c>
      <c r="AG91" s="80"/>
    </row>
    <row r="92" spans="1:33" ht="15" customHeight="1">
      <c r="A92" s="78" t="s">
        <v>360</v>
      </c>
      <c r="B92" s="87" t="s">
        <v>287</v>
      </c>
      <c r="C92" s="88">
        <v>56.296131000000003</v>
      </c>
      <c r="D92" s="88">
        <v>55.369976000000001</v>
      </c>
      <c r="E92" s="88">
        <v>54.821407000000001</v>
      </c>
      <c r="F92" s="88">
        <v>54.645843999999997</v>
      </c>
      <c r="G92" s="88">
        <v>54.800826999999998</v>
      </c>
      <c r="H92" s="88">
        <v>55.005043000000001</v>
      </c>
      <c r="I92" s="88">
        <v>55.364806999999999</v>
      </c>
      <c r="J92" s="88">
        <v>55.846207</v>
      </c>
      <c r="K92" s="88">
        <v>56.544991000000003</v>
      </c>
      <c r="L92" s="88">
        <v>57.577567999999999</v>
      </c>
      <c r="M92" s="88">
        <v>58.992728999999997</v>
      </c>
      <c r="N92" s="88">
        <v>60.460762000000003</v>
      </c>
      <c r="O92" s="88">
        <v>61.892029000000001</v>
      </c>
      <c r="P92" s="88">
        <v>63.325195000000001</v>
      </c>
      <c r="Q92" s="88">
        <v>64.556685999999999</v>
      </c>
      <c r="R92" s="88">
        <v>65.916945999999996</v>
      </c>
      <c r="S92" s="88">
        <v>67.129135000000005</v>
      </c>
      <c r="T92" s="88">
        <v>68.383598000000006</v>
      </c>
      <c r="U92" s="88">
        <v>69.911057</v>
      </c>
      <c r="V92" s="88">
        <v>71.648148000000006</v>
      </c>
      <c r="W92" s="88">
        <v>73.513976999999997</v>
      </c>
      <c r="X92" s="88">
        <v>75.545715000000001</v>
      </c>
      <c r="Y92" s="88">
        <v>77.664931999999993</v>
      </c>
      <c r="Z92" s="88">
        <v>79.787002999999999</v>
      </c>
      <c r="AA92" s="88">
        <v>81.972365999999994</v>
      </c>
      <c r="AB92" s="88">
        <v>84.157775999999998</v>
      </c>
      <c r="AC92" s="88">
        <v>86.156768999999997</v>
      </c>
      <c r="AD92" s="88">
        <v>88.149535999999998</v>
      </c>
      <c r="AE92" s="88">
        <v>90.333061000000001</v>
      </c>
      <c r="AF92" s="89">
        <v>1.7031999999999999E-2</v>
      </c>
      <c r="AG92" s="80"/>
    </row>
    <row r="93" spans="1:33" ht="15" customHeight="1">
      <c r="A93" s="78" t="s">
        <v>361</v>
      </c>
      <c r="B93" s="87" t="s">
        <v>289</v>
      </c>
      <c r="C93" s="88">
        <v>9.0132000000000004E-2</v>
      </c>
      <c r="D93" s="88">
        <v>0.105979</v>
      </c>
      <c r="E93" s="88">
        <v>0.11863799999999999</v>
      </c>
      <c r="F93" s="88">
        <v>0.12912899999999999</v>
      </c>
      <c r="G93" s="88">
        <v>0.137766</v>
      </c>
      <c r="H93" s="88">
        <v>0.14405100000000001</v>
      </c>
      <c r="I93" s="88">
        <v>0.14827899999999999</v>
      </c>
      <c r="J93" s="88">
        <v>0.15024000000000001</v>
      </c>
      <c r="K93" s="88">
        <v>0.15040500000000001</v>
      </c>
      <c r="L93" s="88">
        <v>0.14929400000000001</v>
      </c>
      <c r="M93" s="88">
        <v>0.14718300000000001</v>
      </c>
      <c r="N93" s="88">
        <v>0.14337900000000001</v>
      </c>
      <c r="O93" s="88">
        <v>0.13844500000000001</v>
      </c>
      <c r="P93" s="88">
        <v>0.13287299999999999</v>
      </c>
      <c r="Q93" s="88">
        <v>0.126362</v>
      </c>
      <c r="R93" s="88">
        <v>0.119864</v>
      </c>
      <c r="S93" s="88">
        <v>0.113812</v>
      </c>
      <c r="T93" s="88">
        <v>0.107261</v>
      </c>
      <c r="U93" s="88">
        <v>0.100509</v>
      </c>
      <c r="V93" s="88">
        <v>9.4465999999999994E-2</v>
      </c>
      <c r="W93" s="88">
        <v>8.9089000000000002E-2</v>
      </c>
      <c r="X93" s="88">
        <v>8.3718000000000001E-2</v>
      </c>
      <c r="Y93" s="88">
        <v>7.8723000000000001E-2</v>
      </c>
      <c r="Z93" s="88">
        <v>7.4067999999999995E-2</v>
      </c>
      <c r="AA93" s="88">
        <v>6.9883000000000001E-2</v>
      </c>
      <c r="AB93" s="88">
        <v>6.5998000000000001E-2</v>
      </c>
      <c r="AC93" s="88">
        <v>6.2285E-2</v>
      </c>
      <c r="AD93" s="88">
        <v>5.8872000000000001E-2</v>
      </c>
      <c r="AE93" s="88">
        <v>5.5808999999999997E-2</v>
      </c>
      <c r="AF93" s="89">
        <v>-1.6974E-2</v>
      </c>
      <c r="AG93" s="80"/>
    </row>
    <row r="94" spans="1:33" ht="15" customHeight="1">
      <c r="A94" s="78" t="s">
        <v>362</v>
      </c>
      <c r="B94" s="87" t="s">
        <v>291</v>
      </c>
      <c r="C94" s="88">
        <v>0</v>
      </c>
      <c r="D94" s="88">
        <v>3.4696999999999999E-2</v>
      </c>
      <c r="E94" s="88">
        <v>0.22656999999999999</v>
      </c>
      <c r="F94" s="88">
        <v>0.31767200000000001</v>
      </c>
      <c r="G94" s="88">
        <v>0.40790999999999999</v>
      </c>
      <c r="H94" s="88">
        <v>0.495367</v>
      </c>
      <c r="I94" s="88">
        <v>0.58037700000000003</v>
      </c>
      <c r="J94" s="88">
        <v>0.66060700000000006</v>
      </c>
      <c r="K94" s="88">
        <v>0.73688600000000004</v>
      </c>
      <c r="L94" s="88">
        <v>0.81124300000000005</v>
      </c>
      <c r="M94" s="88">
        <v>0.88603900000000002</v>
      </c>
      <c r="N94" s="88">
        <v>0.95841299999999996</v>
      </c>
      <c r="O94" s="88">
        <v>1.030276</v>
      </c>
      <c r="P94" s="88">
        <v>1.1037779999999999</v>
      </c>
      <c r="Q94" s="88">
        <v>1.1780520000000001</v>
      </c>
      <c r="R94" s="88">
        <v>1.2576940000000001</v>
      </c>
      <c r="S94" s="88">
        <v>1.343499</v>
      </c>
      <c r="T94" s="88">
        <v>1.4378439999999999</v>
      </c>
      <c r="U94" s="88">
        <v>1.5450470000000001</v>
      </c>
      <c r="V94" s="88">
        <v>1.6667050000000001</v>
      </c>
      <c r="W94" s="88">
        <v>1.8016829999999999</v>
      </c>
      <c r="X94" s="88">
        <v>1.9414089999999999</v>
      </c>
      <c r="Y94" s="88">
        <v>2.088851</v>
      </c>
      <c r="Z94" s="88">
        <v>2.2483810000000002</v>
      </c>
      <c r="AA94" s="88">
        <v>2.4252669999999998</v>
      </c>
      <c r="AB94" s="88">
        <v>2.6095299999999999</v>
      </c>
      <c r="AC94" s="88">
        <v>2.798035</v>
      </c>
      <c r="AD94" s="88">
        <v>2.995368</v>
      </c>
      <c r="AE94" s="88">
        <v>3.2089319999999999</v>
      </c>
      <c r="AF94" s="89" t="s">
        <v>217</v>
      </c>
      <c r="AG94" s="80"/>
    </row>
    <row r="95" spans="1:33" ht="15" customHeight="1">
      <c r="A95" s="78" t="s">
        <v>363</v>
      </c>
      <c r="B95" s="87" t="s">
        <v>293</v>
      </c>
      <c r="C95" s="88">
        <v>0</v>
      </c>
      <c r="D95" s="88">
        <v>3.9742E-2</v>
      </c>
      <c r="E95" s="88">
        <v>0.36955300000000002</v>
      </c>
      <c r="F95" s="88">
        <v>0.48781200000000002</v>
      </c>
      <c r="G95" s="88">
        <v>0.605603</v>
      </c>
      <c r="H95" s="88">
        <v>0.71972499999999995</v>
      </c>
      <c r="I95" s="88">
        <v>0.82948599999999995</v>
      </c>
      <c r="J95" s="88">
        <v>0.93214399999999997</v>
      </c>
      <c r="K95" s="88">
        <v>1.0295799999999999</v>
      </c>
      <c r="L95" s="88">
        <v>1.1256299999999999</v>
      </c>
      <c r="M95" s="88">
        <v>1.223357</v>
      </c>
      <c r="N95" s="88">
        <v>1.3188709999999999</v>
      </c>
      <c r="O95" s="88">
        <v>1.4143889999999999</v>
      </c>
      <c r="P95" s="88">
        <v>1.513145</v>
      </c>
      <c r="Q95" s="88">
        <v>1.6139269999999999</v>
      </c>
      <c r="R95" s="88">
        <v>1.7237640000000001</v>
      </c>
      <c r="S95" s="88">
        <v>1.8440939999999999</v>
      </c>
      <c r="T95" s="88">
        <v>1.979271</v>
      </c>
      <c r="U95" s="88">
        <v>2.1358799999999998</v>
      </c>
      <c r="V95" s="88">
        <v>2.3173180000000002</v>
      </c>
      <c r="W95" s="88">
        <v>2.522904</v>
      </c>
      <c r="X95" s="88">
        <v>2.7382110000000002</v>
      </c>
      <c r="Y95" s="88">
        <v>2.9665469999999998</v>
      </c>
      <c r="Z95" s="88">
        <v>3.2160470000000001</v>
      </c>
      <c r="AA95" s="88">
        <v>3.49437</v>
      </c>
      <c r="AB95" s="88">
        <v>3.7831229999999998</v>
      </c>
      <c r="AC95" s="88">
        <v>4.0775949999999996</v>
      </c>
      <c r="AD95" s="88">
        <v>4.3843719999999999</v>
      </c>
      <c r="AE95" s="88">
        <v>4.712472</v>
      </c>
      <c r="AF95" s="89" t="s">
        <v>217</v>
      </c>
      <c r="AG95" s="80"/>
    </row>
    <row r="96" spans="1:33" ht="12" customHeight="1">
      <c r="A96" s="78" t="s">
        <v>364</v>
      </c>
      <c r="B96" s="87" t="s">
        <v>295</v>
      </c>
      <c r="C96" s="88">
        <v>0</v>
      </c>
      <c r="D96" s="88">
        <v>0</v>
      </c>
      <c r="E96" s="88">
        <v>0.22972699999999999</v>
      </c>
      <c r="F96" s="88">
        <v>0.44725199999999998</v>
      </c>
      <c r="G96" s="88">
        <v>0.66231200000000001</v>
      </c>
      <c r="H96" s="88">
        <v>0.87751500000000004</v>
      </c>
      <c r="I96" s="88">
        <v>1.0912500000000001</v>
      </c>
      <c r="J96" s="88">
        <v>1.2990360000000001</v>
      </c>
      <c r="K96" s="88">
        <v>1.5006790000000001</v>
      </c>
      <c r="L96" s="88">
        <v>1.7007650000000001</v>
      </c>
      <c r="M96" s="88">
        <v>1.904776</v>
      </c>
      <c r="N96" s="88">
        <v>2.1047159999999998</v>
      </c>
      <c r="O96" s="88">
        <v>2.3014619999999999</v>
      </c>
      <c r="P96" s="88">
        <v>2.49594</v>
      </c>
      <c r="Q96" s="88">
        <v>2.6833969999999998</v>
      </c>
      <c r="R96" s="88">
        <v>2.8711519999999999</v>
      </c>
      <c r="S96" s="88">
        <v>3.0575359999999998</v>
      </c>
      <c r="T96" s="88">
        <v>3.245911</v>
      </c>
      <c r="U96" s="88">
        <v>3.4448439999999998</v>
      </c>
      <c r="V96" s="88">
        <v>3.6585730000000001</v>
      </c>
      <c r="W96" s="88">
        <v>3.886771</v>
      </c>
      <c r="X96" s="88">
        <v>4.1203969999999996</v>
      </c>
      <c r="Y96" s="88">
        <v>4.3612710000000003</v>
      </c>
      <c r="Z96" s="88">
        <v>4.6121660000000002</v>
      </c>
      <c r="AA96" s="88">
        <v>4.8889959999999997</v>
      </c>
      <c r="AB96" s="88">
        <v>5.184831</v>
      </c>
      <c r="AC96" s="88">
        <v>5.4921150000000001</v>
      </c>
      <c r="AD96" s="88">
        <v>5.8197830000000002</v>
      </c>
      <c r="AE96" s="88">
        <v>6.1840799999999998</v>
      </c>
      <c r="AF96" s="89" t="s">
        <v>217</v>
      </c>
      <c r="AG96" s="80"/>
    </row>
    <row r="97" spans="1:33" ht="15" customHeight="1">
      <c r="A97" s="78" t="s">
        <v>365</v>
      </c>
      <c r="B97" s="86" t="s">
        <v>366</v>
      </c>
      <c r="C97" s="90">
        <v>5922.7944340000004</v>
      </c>
      <c r="D97" s="90">
        <v>5816.705078</v>
      </c>
      <c r="E97" s="90">
        <v>5728.095703</v>
      </c>
      <c r="F97" s="90">
        <v>5673.0986329999996</v>
      </c>
      <c r="G97" s="90">
        <v>5638.8974609999996</v>
      </c>
      <c r="H97" s="90">
        <v>5591.7060549999997</v>
      </c>
      <c r="I97" s="90">
        <v>5543.7099609999996</v>
      </c>
      <c r="J97" s="90">
        <v>5483.6723629999997</v>
      </c>
      <c r="K97" s="90">
        <v>5422.3881840000004</v>
      </c>
      <c r="L97" s="90">
        <v>5371.3041990000002</v>
      </c>
      <c r="M97" s="90">
        <v>5340.1577150000003</v>
      </c>
      <c r="N97" s="90">
        <v>5306.5058589999999</v>
      </c>
      <c r="O97" s="90">
        <v>5278.78125</v>
      </c>
      <c r="P97" s="90">
        <v>5261.2451170000004</v>
      </c>
      <c r="Q97" s="90">
        <v>5243.0034180000002</v>
      </c>
      <c r="R97" s="90">
        <v>5237.6967770000001</v>
      </c>
      <c r="S97" s="90">
        <v>5236.3603519999997</v>
      </c>
      <c r="T97" s="90">
        <v>5238.3046880000002</v>
      </c>
      <c r="U97" s="90">
        <v>5247.9135740000002</v>
      </c>
      <c r="V97" s="90">
        <v>5263.2055659999996</v>
      </c>
      <c r="W97" s="90">
        <v>5281.453125</v>
      </c>
      <c r="X97" s="90">
        <v>5299.6840819999998</v>
      </c>
      <c r="Y97" s="90">
        <v>5316.767578</v>
      </c>
      <c r="Z97" s="90">
        <v>5331.7001950000003</v>
      </c>
      <c r="AA97" s="90">
        <v>5353.1962890000004</v>
      </c>
      <c r="AB97" s="90">
        <v>5376.3159180000002</v>
      </c>
      <c r="AC97" s="90">
        <v>5393.3193359999996</v>
      </c>
      <c r="AD97" s="90">
        <v>5413.4169920000004</v>
      </c>
      <c r="AE97" s="90">
        <v>5450.013672</v>
      </c>
      <c r="AF97" s="91">
        <v>-2.967E-3</v>
      </c>
      <c r="AG97" s="80"/>
    </row>
    <row r="98" spans="1:33" ht="12" customHeight="1"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1:33" ht="15" customHeight="1">
      <c r="B99" s="86" t="s">
        <v>367</v>
      </c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00" spans="1:33" ht="15" customHeight="1">
      <c r="B100" s="86" t="s">
        <v>277</v>
      </c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</row>
    <row r="101" spans="1:33" ht="15" customHeight="1">
      <c r="A101" s="78" t="s">
        <v>368</v>
      </c>
      <c r="B101" s="87" t="s">
        <v>279</v>
      </c>
      <c r="C101" s="88">
        <v>14.991417999999999</v>
      </c>
      <c r="D101" s="88">
        <v>15.216495999999999</v>
      </c>
      <c r="E101" s="88">
        <v>15.498507</v>
      </c>
      <c r="F101" s="88">
        <v>15.831193000000001</v>
      </c>
      <c r="G101" s="88">
        <v>16.182243</v>
      </c>
      <c r="H101" s="88">
        <v>16.538081999999999</v>
      </c>
      <c r="I101" s="88">
        <v>16.880116000000001</v>
      </c>
      <c r="J101" s="88">
        <v>17.209087</v>
      </c>
      <c r="K101" s="88">
        <v>17.515287000000001</v>
      </c>
      <c r="L101" s="88">
        <v>17.796841000000001</v>
      </c>
      <c r="M101" s="88">
        <v>18.058009999999999</v>
      </c>
      <c r="N101" s="88">
        <v>18.298815000000001</v>
      </c>
      <c r="O101" s="88">
        <v>18.515478000000002</v>
      </c>
      <c r="P101" s="88">
        <v>18.711390999999999</v>
      </c>
      <c r="Q101" s="88">
        <v>18.891172000000001</v>
      </c>
      <c r="R101" s="88">
        <v>19.054907</v>
      </c>
      <c r="S101" s="88">
        <v>19.202491999999999</v>
      </c>
      <c r="T101" s="88">
        <v>19.329568999999999</v>
      </c>
      <c r="U101" s="88">
        <v>19.439314</v>
      </c>
      <c r="V101" s="88">
        <v>19.535429000000001</v>
      </c>
      <c r="W101" s="88">
        <v>19.61628</v>
      </c>
      <c r="X101" s="88">
        <v>19.678816000000001</v>
      </c>
      <c r="Y101" s="88">
        <v>19.726330000000001</v>
      </c>
      <c r="Z101" s="88">
        <v>19.762045000000001</v>
      </c>
      <c r="AA101" s="88">
        <v>19.788633000000001</v>
      </c>
      <c r="AB101" s="88">
        <v>19.806604</v>
      </c>
      <c r="AC101" s="88">
        <v>19.813744</v>
      </c>
      <c r="AD101" s="88">
        <v>19.817585000000001</v>
      </c>
      <c r="AE101" s="88">
        <v>19.819794000000002</v>
      </c>
      <c r="AF101" s="89">
        <v>1.0021E-2</v>
      </c>
      <c r="AG101" s="80"/>
    </row>
    <row r="102" spans="1:33" ht="15" customHeight="1">
      <c r="A102" s="78" t="s">
        <v>369</v>
      </c>
      <c r="B102" s="87" t="s">
        <v>281</v>
      </c>
      <c r="C102" s="88">
        <v>10.726876000000001</v>
      </c>
      <c r="D102" s="88">
        <v>11.029114999999999</v>
      </c>
      <c r="E102" s="88">
        <v>11.340722</v>
      </c>
      <c r="F102" s="88">
        <v>11.658097</v>
      </c>
      <c r="G102" s="88">
        <v>11.957341</v>
      </c>
      <c r="H102" s="88">
        <v>12.246843</v>
      </c>
      <c r="I102" s="88">
        <v>12.511288</v>
      </c>
      <c r="J102" s="88">
        <v>12.761357</v>
      </c>
      <c r="K102" s="88">
        <v>12.989336</v>
      </c>
      <c r="L102" s="88">
        <v>13.199085999999999</v>
      </c>
      <c r="M102" s="88">
        <v>13.381130000000001</v>
      </c>
      <c r="N102" s="88">
        <v>13.546595999999999</v>
      </c>
      <c r="O102" s="88">
        <v>13.699472</v>
      </c>
      <c r="P102" s="88">
        <v>13.842229</v>
      </c>
      <c r="Q102" s="88">
        <v>13.973739</v>
      </c>
      <c r="R102" s="88">
        <v>14.095364</v>
      </c>
      <c r="S102" s="88">
        <v>14.210414999999999</v>
      </c>
      <c r="T102" s="88">
        <v>14.321558</v>
      </c>
      <c r="U102" s="88">
        <v>14.425992000000001</v>
      </c>
      <c r="V102" s="88">
        <v>14.520219000000001</v>
      </c>
      <c r="W102" s="88">
        <v>14.608215</v>
      </c>
      <c r="X102" s="88">
        <v>14.692059</v>
      </c>
      <c r="Y102" s="88">
        <v>14.763736</v>
      </c>
      <c r="Z102" s="88">
        <v>14.827795999999999</v>
      </c>
      <c r="AA102" s="88">
        <v>14.883236999999999</v>
      </c>
      <c r="AB102" s="88">
        <v>14.930063000000001</v>
      </c>
      <c r="AC102" s="88">
        <v>14.969678</v>
      </c>
      <c r="AD102" s="88">
        <v>15.003341000000001</v>
      </c>
      <c r="AE102" s="88">
        <v>15.030684000000001</v>
      </c>
      <c r="AF102" s="89">
        <v>1.2121E-2</v>
      </c>
      <c r="AG102" s="80"/>
    </row>
    <row r="103" spans="1:33" ht="15" customHeight="1">
      <c r="A103" s="78" t="s">
        <v>370</v>
      </c>
      <c r="B103" s="87" t="s">
        <v>283</v>
      </c>
      <c r="C103" s="88">
        <v>8.2871159999999993</v>
      </c>
      <c r="D103" s="88">
        <v>12.070017</v>
      </c>
      <c r="E103" s="88">
        <v>12.378905</v>
      </c>
      <c r="F103" s="88">
        <v>12.533067000000001</v>
      </c>
      <c r="G103" s="88">
        <v>12.633637</v>
      </c>
      <c r="H103" s="88">
        <v>12.727520999999999</v>
      </c>
      <c r="I103" s="88">
        <v>12.811731999999999</v>
      </c>
      <c r="J103" s="88">
        <v>12.9071</v>
      </c>
      <c r="K103" s="88">
        <v>13.019793999999999</v>
      </c>
      <c r="L103" s="88">
        <v>13.144209</v>
      </c>
      <c r="M103" s="88">
        <v>13.276356</v>
      </c>
      <c r="N103" s="88">
        <v>13.407525</v>
      </c>
      <c r="O103" s="88">
        <v>13.532327</v>
      </c>
      <c r="P103" s="88">
        <v>13.644149000000001</v>
      </c>
      <c r="Q103" s="88">
        <v>13.742635</v>
      </c>
      <c r="R103" s="88">
        <v>13.828310999999999</v>
      </c>
      <c r="S103" s="88">
        <v>13.902666</v>
      </c>
      <c r="T103" s="88">
        <v>13.967390999999999</v>
      </c>
      <c r="U103" s="88">
        <v>14.023659</v>
      </c>
      <c r="V103" s="88">
        <v>14.072395999999999</v>
      </c>
      <c r="W103" s="88">
        <v>14.11443</v>
      </c>
      <c r="X103" s="88">
        <v>14.150719</v>
      </c>
      <c r="Y103" s="88">
        <v>14.184551000000001</v>
      </c>
      <c r="Z103" s="88">
        <v>14.215185999999999</v>
      </c>
      <c r="AA103" s="88">
        <v>14.241229000000001</v>
      </c>
      <c r="AB103" s="88">
        <v>14.26371</v>
      </c>
      <c r="AC103" s="88">
        <v>14.282851000000001</v>
      </c>
      <c r="AD103" s="88">
        <v>14.299067000000001</v>
      </c>
      <c r="AE103" s="88">
        <v>14.312678</v>
      </c>
      <c r="AF103" s="89">
        <v>1.9708E-2</v>
      </c>
      <c r="AG103" s="80"/>
    </row>
    <row r="104" spans="1:33" ht="15" customHeight="1">
      <c r="A104" s="78" t="s">
        <v>371</v>
      </c>
      <c r="B104" s="87" t="s">
        <v>285</v>
      </c>
      <c r="C104" s="88">
        <v>10.037065</v>
      </c>
      <c r="D104" s="88">
        <v>10.03825</v>
      </c>
      <c r="E104" s="88">
        <v>10.039481</v>
      </c>
      <c r="F104" s="88">
        <v>10.040760000000001</v>
      </c>
      <c r="G104" s="88">
        <v>10.04208</v>
      </c>
      <c r="H104" s="88">
        <v>10.043437000000001</v>
      </c>
      <c r="I104" s="88">
        <v>10.044827</v>
      </c>
      <c r="J104" s="88">
        <v>10.046251</v>
      </c>
      <c r="K104" s="88">
        <v>10.047701</v>
      </c>
      <c r="L104" s="88">
        <v>10.049175999999999</v>
      </c>
      <c r="M104" s="88">
        <v>10.050672</v>
      </c>
      <c r="N104" s="88">
        <v>10.057157</v>
      </c>
      <c r="O104" s="88">
        <v>10.073521</v>
      </c>
      <c r="P104" s="88">
        <v>10.105247</v>
      </c>
      <c r="Q104" s="88">
        <v>10.140972</v>
      </c>
      <c r="R104" s="88">
        <v>10.185604</v>
      </c>
      <c r="S104" s="88">
        <v>10.231821</v>
      </c>
      <c r="T104" s="88">
        <v>10.265867999999999</v>
      </c>
      <c r="U104" s="88">
        <v>10.275093</v>
      </c>
      <c r="V104" s="88">
        <v>10.25789</v>
      </c>
      <c r="W104" s="88">
        <v>10.216537000000001</v>
      </c>
      <c r="X104" s="88">
        <v>10.161300000000001</v>
      </c>
      <c r="Y104" s="88">
        <v>10.092753999999999</v>
      </c>
      <c r="Z104" s="88">
        <v>10.027177</v>
      </c>
      <c r="AA104" s="88">
        <v>9.99404</v>
      </c>
      <c r="AB104" s="88">
        <v>10.014455</v>
      </c>
      <c r="AC104" s="88">
        <v>10.061934000000001</v>
      </c>
      <c r="AD104" s="88">
        <v>10.114001</v>
      </c>
      <c r="AE104" s="88">
        <v>10.188727</v>
      </c>
      <c r="AF104" s="89">
        <v>5.3600000000000002E-4</v>
      </c>
      <c r="AG104" s="80"/>
    </row>
    <row r="105" spans="1:33" ht="15" customHeight="1">
      <c r="A105" s="78" t="s">
        <v>372</v>
      </c>
      <c r="B105" s="87" t="s">
        <v>287</v>
      </c>
      <c r="C105" s="88">
        <v>10.321225</v>
      </c>
      <c r="D105" s="88">
        <v>10.468386000000001</v>
      </c>
      <c r="E105" s="88">
        <v>10.641707</v>
      </c>
      <c r="F105" s="88">
        <v>10.829888</v>
      </c>
      <c r="G105" s="88">
        <v>11.019978999999999</v>
      </c>
      <c r="H105" s="88">
        <v>11.213248</v>
      </c>
      <c r="I105" s="88">
        <v>11.394366</v>
      </c>
      <c r="J105" s="88">
        <v>11.570538000000001</v>
      </c>
      <c r="K105" s="88">
        <v>11.740290999999999</v>
      </c>
      <c r="L105" s="88">
        <v>11.905053000000001</v>
      </c>
      <c r="M105" s="88">
        <v>12.059313</v>
      </c>
      <c r="N105" s="88">
        <v>12.213480000000001</v>
      </c>
      <c r="O105" s="88">
        <v>12.379014</v>
      </c>
      <c r="P105" s="88">
        <v>12.555837</v>
      </c>
      <c r="Q105" s="88">
        <v>12.744346</v>
      </c>
      <c r="R105" s="88">
        <v>12.939107999999999</v>
      </c>
      <c r="S105" s="88">
        <v>13.149075</v>
      </c>
      <c r="T105" s="88">
        <v>13.363464</v>
      </c>
      <c r="U105" s="88">
        <v>13.576193</v>
      </c>
      <c r="V105" s="88">
        <v>13.772496</v>
      </c>
      <c r="W105" s="88">
        <v>13.949099</v>
      </c>
      <c r="X105" s="88">
        <v>14.098661999999999</v>
      </c>
      <c r="Y105" s="88">
        <v>14.220824</v>
      </c>
      <c r="Z105" s="88">
        <v>14.323482</v>
      </c>
      <c r="AA105" s="88">
        <v>14.410444</v>
      </c>
      <c r="AB105" s="88">
        <v>14.483241</v>
      </c>
      <c r="AC105" s="88">
        <v>14.544046</v>
      </c>
      <c r="AD105" s="88">
        <v>14.60201</v>
      </c>
      <c r="AE105" s="88">
        <v>14.655778</v>
      </c>
      <c r="AF105" s="89">
        <v>1.2600999999999999E-2</v>
      </c>
      <c r="AG105" s="80"/>
    </row>
    <row r="106" spans="1:33" ht="15" customHeight="1">
      <c r="A106" s="78" t="s">
        <v>373</v>
      </c>
      <c r="B106" s="87" t="s">
        <v>289</v>
      </c>
      <c r="C106" s="88">
        <v>24.120543999999999</v>
      </c>
      <c r="D106" s="88">
        <v>24.120650999999999</v>
      </c>
      <c r="E106" s="88">
        <v>24.120832</v>
      </c>
      <c r="F106" s="88">
        <v>24.121077</v>
      </c>
      <c r="G106" s="88">
        <v>24.121357</v>
      </c>
      <c r="H106" s="88">
        <v>24.121646999999999</v>
      </c>
      <c r="I106" s="88">
        <v>24.121905999999999</v>
      </c>
      <c r="J106" s="88">
        <v>24.1206</v>
      </c>
      <c r="K106" s="88">
        <v>24.120342000000001</v>
      </c>
      <c r="L106" s="88">
        <v>24.120311999999998</v>
      </c>
      <c r="M106" s="88">
        <v>24.120283000000001</v>
      </c>
      <c r="N106" s="88">
        <v>24.116168999999999</v>
      </c>
      <c r="O106" s="88">
        <v>24.116142</v>
      </c>
      <c r="P106" s="88">
        <v>24.116114</v>
      </c>
      <c r="Q106" s="88">
        <v>24.116087</v>
      </c>
      <c r="R106" s="88">
        <v>24.116057999999999</v>
      </c>
      <c r="S106" s="88">
        <v>24.116029999999999</v>
      </c>
      <c r="T106" s="88">
        <v>24.116002999999999</v>
      </c>
      <c r="U106" s="88">
        <v>24.121919999999999</v>
      </c>
      <c r="V106" s="88">
        <v>24.121894999999999</v>
      </c>
      <c r="W106" s="88">
        <v>24.121872</v>
      </c>
      <c r="X106" s="88">
        <v>24.121846999999999</v>
      </c>
      <c r="Y106" s="88">
        <v>24.121846999999999</v>
      </c>
      <c r="Z106" s="88">
        <v>24.121846999999999</v>
      </c>
      <c r="AA106" s="88">
        <v>24.121846999999999</v>
      </c>
      <c r="AB106" s="88">
        <v>24.121846999999999</v>
      </c>
      <c r="AC106" s="88">
        <v>24.121846999999999</v>
      </c>
      <c r="AD106" s="88">
        <v>24.121846999999999</v>
      </c>
      <c r="AE106" s="88">
        <v>24.121849000000001</v>
      </c>
      <c r="AF106" s="89">
        <v>1.9999999999999999E-6</v>
      </c>
      <c r="AG106" s="80"/>
    </row>
    <row r="107" spans="1:33" ht="15" customHeight="1">
      <c r="A107" s="78" t="s">
        <v>374</v>
      </c>
      <c r="B107" s="87" t="s">
        <v>291</v>
      </c>
      <c r="C107" s="88">
        <v>0</v>
      </c>
      <c r="D107" s="88">
        <v>23.149469</v>
      </c>
      <c r="E107" s="88">
        <v>23.472180999999999</v>
      </c>
      <c r="F107" s="88">
        <v>23.713379</v>
      </c>
      <c r="G107" s="88">
        <v>23.934065</v>
      </c>
      <c r="H107" s="88">
        <v>24.180558999999999</v>
      </c>
      <c r="I107" s="88">
        <v>24.434350999999999</v>
      </c>
      <c r="J107" s="88">
        <v>24.733726999999998</v>
      </c>
      <c r="K107" s="88">
        <v>25.076927000000001</v>
      </c>
      <c r="L107" s="88">
        <v>25.458096999999999</v>
      </c>
      <c r="M107" s="88">
        <v>25.866046999999998</v>
      </c>
      <c r="N107" s="88">
        <v>26.263549999999999</v>
      </c>
      <c r="O107" s="88">
        <v>26.635529999999999</v>
      </c>
      <c r="P107" s="88">
        <v>26.971720000000001</v>
      </c>
      <c r="Q107" s="88">
        <v>27.273852999999999</v>
      </c>
      <c r="R107" s="88">
        <v>27.540438000000002</v>
      </c>
      <c r="S107" s="88">
        <v>27.771664000000001</v>
      </c>
      <c r="T107" s="88">
        <v>27.968972999999998</v>
      </c>
      <c r="U107" s="88">
        <v>28.134948999999999</v>
      </c>
      <c r="V107" s="88">
        <v>28.272074</v>
      </c>
      <c r="W107" s="88">
        <v>28.389306999999999</v>
      </c>
      <c r="X107" s="88">
        <v>28.489751999999999</v>
      </c>
      <c r="Y107" s="88">
        <v>28.575668</v>
      </c>
      <c r="Z107" s="88">
        <v>28.649501999999998</v>
      </c>
      <c r="AA107" s="88">
        <v>28.719356999999999</v>
      </c>
      <c r="AB107" s="88">
        <v>28.78302</v>
      </c>
      <c r="AC107" s="88">
        <v>28.839659000000001</v>
      </c>
      <c r="AD107" s="88">
        <v>28.888365</v>
      </c>
      <c r="AE107" s="88">
        <v>28.930430999999999</v>
      </c>
      <c r="AF107" s="89" t="s">
        <v>217</v>
      </c>
      <c r="AG107" s="80"/>
    </row>
    <row r="108" spans="1:33" ht="15" customHeight="1">
      <c r="A108" s="78" t="s">
        <v>375</v>
      </c>
      <c r="B108" s="87" t="s">
        <v>293</v>
      </c>
      <c r="C108" s="88">
        <v>0</v>
      </c>
      <c r="D108" s="88">
        <v>18.959842999999999</v>
      </c>
      <c r="E108" s="88">
        <v>19.097798999999998</v>
      </c>
      <c r="F108" s="88">
        <v>19.221861000000001</v>
      </c>
      <c r="G108" s="88">
        <v>19.306705000000001</v>
      </c>
      <c r="H108" s="88">
        <v>19.394665</v>
      </c>
      <c r="I108" s="88">
        <v>19.477266</v>
      </c>
      <c r="J108" s="88">
        <v>19.57037</v>
      </c>
      <c r="K108" s="88">
        <v>19.676134000000001</v>
      </c>
      <c r="L108" s="88">
        <v>19.793496999999999</v>
      </c>
      <c r="M108" s="88">
        <v>19.919716000000001</v>
      </c>
      <c r="N108" s="88">
        <v>20.047338</v>
      </c>
      <c r="O108" s="88">
        <v>20.172951000000001</v>
      </c>
      <c r="P108" s="88">
        <v>20.289746999999998</v>
      </c>
      <c r="Q108" s="88">
        <v>20.399184999999999</v>
      </c>
      <c r="R108" s="88">
        <v>20.498297000000001</v>
      </c>
      <c r="S108" s="88">
        <v>20.584267000000001</v>
      </c>
      <c r="T108" s="88">
        <v>20.657764</v>
      </c>
      <c r="U108" s="88">
        <v>20.719555</v>
      </c>
      <c r="V108" s="88">
        <v>20.770308</v>
      </c>
      <c r="W108" s="88">
        <v>20.813773999999999</v>
      </c>
      <c r="X108" s="88">
        <v>20.851306999999998</v>
      </c>
      <c r="Y108" s="88">
        <v>20.877443</v>
      </c>
      <c r="Z108" s="88">
        <v>20.902785999999999</v>
      </c>
      <c r="AA108" s="88">
        <v>20.928736000000001</v>
      </c>
      <c r="AB108" s="88">
        <v>20.955839000000001</v>
      </c>
      <c r="AC108" s="88">
        <v>20.984338999999999</v>
      </c>
      <c r="AD108" s="88">
        <v>21.014859999999999</v>
      </c>
      <c r="AE108" s="88">
        <v>21.047606999999999</v>
      </c>
      <c r="AF108" s="89" t="s">
        <v>217</v>
      </c>
      <c r="AG108" s="80"/>
    </row>
    <row r="109" spans="1:33" ht="15" customHeight="1">
      <c r="A109" s="78" t="s">
        <v>376</v>
      </c>
      <c r="B109" s="87" t="s">
        <v>295</v>
      </c>
      <c r="C109" s="88">
        <v>0</v>
      </c>
      <c r="D109" s="88">
        <v>0</v>
      </c>
      <c r="E109" s="88">
        <v>18.589186000000002</v>
      </c>
      <c r="F109" s="88">
        <v>17.317968</v>
      </c>
      <c r="G109" s="88">
        <v>16.950768</v>
      </c>
      <c r="H109" s="88">
        <v>16.763815000000001</v>
      </c>
      <c r="I109" s="88">
        <v>16.648444999999999</v>
      </c>
      <c r="J109" s="88">
        <v>16.569084</v>
      </c>
      <c r="K109" s="88">
        <v>16.510998000000001</v>
      </c>
      <c r="L109" s="88">
        <v>16.466656</v>
      </c>
      <c r="M109" s="88">
        <v>16.431818</v>
      </c>
      <c r="N109" s="88">
        <v>16.404015000000001</v>
      </c>
      <c r="O109" s="88">
        <v>16.381551999999999</v>
      </c>
      <c r="P109" s="88">
        <v>16.363289000000002</v>
      </c>
      <c r="Q109" s="88">
        <v>16.348462999999999</v>
      </c>
      <c r="R109" s="88">
        <v>16.336552000000001</v>
      </c>
      <c r="S109" s="88">
        <v>16.327078</v>
      </c>
      <c r="T109" s="88">
        <v>16.319696</v>
      </c>
      <c r="U109" s="88">
        <v>16.314050999999999</v>
      </c>
      <c r="V109" s="88">
        <v>16.30987</v>
      </c>
      <c r="W109" s="88">
        <v>16.306847000000001</v>
      </c>
      <c r="X109" s="88">
        <v>16.301434</v>
      </c>
      <c r="Y109" s="88">
        <v>16.296316000000001</v>
      </c>
      <c r="Z109" s="88">
        <v>16.291889000000001</v>
      </c>
      <c r="AA109" s="88">
        <v>16.288053999999999</v>
      </c>
      <c r="AB109" s="88">
        <v>16.279157999999999</v>
      </c>
      <c r="AC109" s="88">
        <v>16.272285</v>
      </c>
      <c r="AD109" s="88">
        <v>16.266923999999999</v>
      </c>
      <c r="AE109" s="88">
        <v>16.262709000000001</v>
      </c>
      <c r="AF109" s="89" t="s">
        <v>217</v>
      </c>
      <c r="AG109" s="80"/>
    </row>
    <row r="110" spans="1:33" ht="15" customHeight="1">
      <c r="A110" s="78" t="s">
        <v>377</v>
      </c>
      <c r="B110" s="87" t="s">
        <v>378</v>
      </c>
      <c r="C110" s="88">
        <v>13.701998</v>
      </c>
      <c r="D110" s="88">
        <v>13.894455000000001</v>
      </c>
      <c r="E110" s="88">
        <v>14.1332</v>
      </c>
      <c r="F110" s="88">
        <v>14.411139</v>
      </c>
      <c r="G110" s="88">
        <v>14.696726999999999</v>
      </c>
      <c r="H110" s="88">
        <v>14.984973999999999</v>
      </c>
      <c r="I110" s="88">
        <v>15.258081000000001</v>
      </c>
      <c r="J110" s="88">
        <v>15.520238000000001</v>
      </c>
      <c r="K110" s="88">
        <v>15.762815</v>
      </c>
      <c r="L110" s="88">
        <v>15.987064999999999</v>
      </c>
      <c r="M110" s="88">
        <v>16.188490000000002</v>
      </c>
      <c r="N110" s="88">
        <v>16.371717</v>
      </c>
      <c r="O110" s="88">
        <v>16.538298000000001</v>
      </c>
      <c r="P110" s="88">
        <v>16.691216000000001</v>
      </c>
      <c r="Q110" s="88">
        <v>16.830991999999998</v>
      </c>
      <c r="R110" s="88">
        <v>16.958241999999998</v>
      </c>
      <c r="S110" s="88">
        <v>17.075382000000001</v>
      </c>
      <c r="T110" s="88">
        <v>17.182625000000002</v>
      </c>
      <c r="U110" s="88">
        <v>17.279478000000001</v>
      </c>
      <c r="V110" s="88">
        <v>17.364405000000001</v>
      </c>
      <c r="W110" s="88">
        <v>17.440176000000001</v>
      </c>
      <c r="X110" s="88">
        <v>17.507937999999999</v>
      </c>
      <c r="Y110" s="88">
        <v>17.564014</v>
      </c>
      <c r="Z110" s="88">
        <v>17.611903999999999</v>
      </c>
      <c r="AA110" s="88">
        <v>17.652002</v>
      </c>
      <c r="AB110" s="88">
        <v>17.684301000000001</v>
      </c>
      <c r="AC110" s="88">
        <v>17.708280999999999</v>
      </c>
      <c r="AD110" s="88">
        <v>17.728021999999999</v>
      </c>
      <c r="AE110" s="88">
        <v>17.743794999999999</v>
      </c>
      <c r="AF110" s="89">
        <v>9.2750000000000003E-3</v>
      </c>
      <c r="AG110" s="80"/>
    </row>
    <row r="111" spans="1:33" ht="15" customHeight="1">
      <c r="B111" s="86" t="s">
        <v>298</v>
      </c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</row>
    <row r="112" spans="1:33" ht="15" customHeight="1">
      <c r="A112" s="78" t="s">
        <v>379</v>
      </c>
      <c r="B112" s="87" t="s">
        <v>279</v>
      </c>
      <c r="C112" s="88">
        <v>9.1936929999999997</v>
      </c>
      <c r="D112" s="88">
        <v>9.3656079999999999</v>
      </c>
      <c r="E112" s="88">
        <v>9.5537709999999993</v>
      </c>
      <c r="F112" s="88">
        <v>9.7580460000000002</v>
      </c>
      <c r="G112" s="88">
        <v>9.9795289999999994</v>
      </c>
      <c r="H112" s="88">
        <v>10.217642</v>
      </c>
      <c r="I112" s="88">
        <v>10.452211999999999</v>
      </c>
      <c r="J112" s="88">
        <v>10.691178000000001</v>
      </c>
      <c r="K112" s="88">
        <v>10.928903</v>
      </c>
      <c r="L112" s="88">
        <v>11.165851</v>
      </c>
      <c r="M112" s="88">
        <v>11.396546000000001</v>
      </c>
      <c r="N112" s="88">
        <v>11.615690000000001</v>
      </c>
      <c r="O112" s="88">
        <v>11.822267999999999</v>
      </c>
      <c r="P112" s="88">
        <v>12.013245</v>
      </c>
      <c r="Q112" s="88">
        <v>12.188295</v>
      </c>
      <c r="R112" s="88">
        <v>12.348012000000001</v>
      </c>
      <c r="S112" s="88">
        <v>12.494664999999999</v>
      </c>
      <c r="T112" s="88">
        <v>12.629422999999999</v>
      </c>
      <c r="U112" s="88">
        <v>12.753945</v>
      </c>
      <c r="V112" s="88">
        <v>12.869916999999999</v>
      </c>
      <c r="W112" s="88">
        <v>12.975726</v>
      </c>
      <c r="X112" s="88">
        <v>13.066599</v>
      </c>
      <c r="Y112" s="88">
        <v>13.143876000000001</v>
      </c>
      <c r="Z112" s="88">
        <v>13.212106</v>
      </c>
      <c r="AA112" s="88">
        <v>13.275549</v>
      </c>
      <c r="AB112" s="88">
        <v>13.33305</v>
      </c>
      <c r="AC112" s="88">
        <v>13.385566000000001</v>
      </c>
      <c r="AD112" s="88">
        <v>13.435430999999999</v>
      </c>
      <c r="AE112" s="88">
        <v>13.483851</v>
      </c>
      <c r="AF112" s="89">
        <v>1.3772E-2</v>
      </c>
      <c r="AG112" s="80"/>
    </row>
    <row r="113" spans="1:33" ht="15" customHeight="1">
      <c r="A113" s="78" t="s">
        <v>380</v>
      </c>
      <c r="B113" s="87" t="s">
        <v>281</v>
      </c>
      <c r="C113" s="88">
        <v>6.749625</v>
      </c>
      <c r="D113" s="88">
        <v>6.8187819999999997</v>
      </c>
      <c r="E113" s="88">
        <v>6.8968119999999997</v>
      </c>
      <c r="F113" s="88">
        <v>6.9867109999999997</v>
      </c>
      <c r="G113" s="88">
        <v>7.0877090000000003</v>
      </c>
      <c r="H113" s="88">
        <v>7.2009949999999998</v>
      </c>
      <c r="I113" s="88">
        <v>7.3132250000000001</v>
      </c>
      <c r="J113" s="88">
        <v>7.4300740000000003</v>
      </c>
      <c r="K113" s="88">
        <v>7.5496179999999997</v>
      </c>
      <c r="L113" s="88">
        <v>7.6721680000000001</v>
      </c>
      <c r="M113" s="88">
        <v>7.7944769999999997</v>
      </c>
      <c r="N113" s="88">
        <v>7.9165010000000002</v>
      </c>
      <c r="O113" s="88">
        <v>8.0336940000000006</v>
      </c>
      <c r="P113" s="88">
        <v>8.1469880000000003</v>
      </c>
      <c r="Q113" s="88">
        <v>8.2555569999999996</v>
      </c>
      <c r="R113" s="88">
        <v>8.3564089999999993</v>
      </c>
      <c r="S113" s="88">
        <v>8.4546189999999992</v>
      </c>
      <c r="T113" s="88">
        <v>8.5432349999999992</v>
      </c>
      <c r="U113" s="88">
        <v>8.6293539999999993</v>
      </c>
      <c r="V113" s="88">
        <v>8.708888</v>
      </c>
      <c r="W113" s="88">
        <v>8.7825589999999991</v>
      </c>
      <c r="X113" s="88">
        <v>8.8479890000000001</v>
      </c>
      <c r="Y113" s="88">
        <v>8.9059849999999994</v>
      </c>
      <c r="Z113" s="88">
        <v>8.9598390000000006</v>
      </c>
      <c r="AA113" s="88">
        <v>9.0106319999999993</v>
      </c>
      <c r="AB113" s="88">
        <v>9.0589600000000008</v>
      </c>
      <c r="AC113" s="88">
        <v>9.1032890000000002</v>
      </c>
      <c r="AD113" s="88">
        <v>9.1440789999999996</v>
      </c>
      <c r="AE113" s="88">
        <v>9.1836179999999992</v>
      </c>
      <c r="AF113" s="89">
        <v>1.1058E-2</v>
      </c>
      <c r="AG113" s="80"/>
    </row>
    <row r="114" spans="1:33" ht="12" customHeight="1">
      <c r="A114" s="78" t="s">
        <v>381</v>
      </c>
      <c r="B114" s="87" t="s">
        <v>283</v>
      </c>
      <c r="C114" s="88">
        <v>6.6743629999999996</v>
      </c>
      <c r="D114" s="88">
        <v>6.7503399999999996</v>
      </c>
      <c r="E114" s="88">
        <v>6.8347340000000001</v>
      </c>
      <c r="F114" s="88">
        <v>6.9285519999999998</v>
      </c>
      <c r="G114" s="88">
        <v>7.0375389999999998</v>
      </c>
      <c r="H114" s="88">
        <v>7.1648250000000004</v>
      </c>
      <c r="I114" s="88">
        <v>7.2973169999999996</v>
      </c>
      <c r="J114" s="88">
        <v>7.4426379999999996</v>
      </c>
      <c r="K114" s="88">
        <v>7.595675</v>
      </c>
      <c r="L114" s="88">
        <v>7.7572469999999996</v>
      </c>
      <c r="M114" s="88">
        <v>7.9236519999999997</v>
      </c>
      <c r="N114" s="88">
        <v>8.0880279999999996</v>
      </c>
      <c r="O114" s="88">
        <v>8.2448350000000001</v>
      </c>
      <c r="P114" s="88">
        <v>8.4022679999999994</v>
      </c>
      <c r="Q114" s="88">
        <v>8.5486609999999992</v>
      </c>
      <c r="R114" s="88">
        <v>8.6811869999999995</v>
      </c>
      <c r="S114" s="88">
        <v>8.7986620000000002</v>
      </c>
      <c r="T114" s="88">
        <v>8.9005259999999993</v>
      </c>
      <c r="U114" s="88">
        <v>8.9864390000000007</v>
      </c>
      <c r="V114" s="88">
        <v>9.0566899999999997</v>
      </c>
      <c r="W114" s="88">
        <v>9.1138080000000006</v>
      </c>
      <c r="X114" s="88">
        <v>9.1601370000000006</v>
      </c>
      <c r="Y114" s="88">
        <v>9.1973389999999995</v>
      </c>
      <c r="Z114" s="88">
        <v>9.2269989999999993</v>
      </c>
      <c r="AA114" s="88">
        <v>9.2508189999999999</v>
      </c>
      <c r="AB114" s="88">
        <v>9.2702109999999998</v>
      </c>
      <c r="AC114" s="88">
        <v>9.2862960000000001</v>
      </c>
      <c r="AD114" s="88">
        <v>9.3103250000000006</v>
      </c>
      <c r="AE114" s="88">
        <v>9.3297629999999998</v>
      </c>
      <c r="AF114" s="89">
        <v>1.2034E-2</v>
      </c>
      <c r="AG114" s="80"/>
    </row>
    <row r="115" spans="1:33" ht="15" customHeight="1">
      <c r="A115" s="78" t="s">
        <v>382</v>
      </c>
      <c r="B115" s="87" t="s">
        <v>285</v>
      </c>
      <c r="C115" s="88">
        <v>6.6825780000000004</v>
      </c>
      <c r="D115" s="88">
        <v>6.7423450000000003</v>
      </c>
      <c r="E115" s="88">
        <v>6.8055500000000002</v>
      </c>
      <c r="F115" s="88">
        <v>6.8709239999999996</v>
      </c>
      <c r="G115" s="88">
        <v>6.936928</v>
      </c>
      <c r="H115" s="88">
        <v>7.0035639999999999</v>
      </c>
      <c r="I115" s="88">
        <v>7.0627769999999996</v>
      </c>
      <c r="J115" s="88">
        <v>7.1203580000000004</v>
      </c>
      <c r="K115" s="88">
        <v>7.1764029999999996</v>
      </c>
      <c r="L115" s="88">
        <v>7.227449</v>
      </c>
      <c r="M115" s="88">
        <v>7.2715829999999997</v>
      </c>
      <c r="N115" s="88">
        <v>7.310689</v>
      </c>
      <c r="O115" s="88">
        <v>7.3482479999999999</v>
      </c>
      <c r="P115" s="88">
        <v>7.3825830000000003</v>
      </c>
      <c r="Q115" s="88">
        <v>7.4144519999999998</v>
      </c>
      <c r="R115" s="88">
        <v>7.4396360000000001</v>
      </c>
      <c r="S115" s="88">
        <v>7.4596830000000001</v>
      </c>
      <c r="T115" s="88">
        <v>7.4693519999999998</v>
      </c>
      <c r="U115" s="88">
        <v>7.4733830000000001</v>
      </c>
      <c r="V115" s="88">
        <v>7.4823339999999998</v>
      </c>
      <c r="W115" s="88">
        <v>7.4853820000000004</v>
      </c>
      <c r="X115" s="88">
        <v>7.5116059999999996</v>
      </c>
      <c r="Y115" s="88">
        <v>7.5539040000000002</v>
      </c>
      <c r="Z115" s="88">
        <v>7.5841479999999999</v>
      </c>
      <c r="AA115" s="88">
        <v>7.6054649999999997</v>
      </c>
      <c r="AB115" s="88">
        <v>7.643802</v>
      </c>
      <c r="AC115" s="88">
        <v>7.6943020000000004</v>
      </c>
      <c r="AD115" s="88">
        <v>7.7469619999999999</v>
      </c>
      <c r="AE115" s="88">
        <v>7.7930609999999998</v>
      </c>
      <c r="AF115" s="89">
        <v>5.5050000000000003E-3</v>
      </c>
      <c r="AG115" s="80"/>
    </row>
    <row r="116" spans="1:33" ht="15" customHeight="1">
      <c r="A116" s="78" t="s">
        <v>383</v>
      </c>
      <c r="B116" s="87" t="s">
        <v>287</v>
      </c>
      <c r="C116" s="88">
        <v>6.8756690000000003</v>
      </c>
      <c r="D116" s="88">
        <v>6.9501460000000002</v>
      </c>
      <c r="E116" s="88">
        <v>7.0454549999999996</v>
      </c>
      <c r="F116" s="88">
        <v>7.1580300000000001</v>
      </c>
      <c r="G116" s="88">
        <v>7.2911039999999998</v>
      </c>
      <c r="H116" s="88">
        <v>7.4430180000000004</v>
      </c>
      <c r="I116" s="88">
        <v>7.5863610000000001</v>
      </c>
      <c r="J116" s="88">
        <v>7.7349189999999997</v>
      </c>
      <c r="K116" s="88">
        <v>7.8826219999999996</v>
      </c>
      <c r="L116" s="88">
        <v>8.0331209999999995</v>
      </c>
      <c r="M116" s="88">
        <v>8.1807379999999998</v>
      </c>
      <c r="N116" s="88">
        <v>8.3228650000000002</v>
      </c>
      <c r="O116" s="88">
        <v>8.4456779999999991</v>
      </c>
      <c r="P116" s="88">
        <v>8.5560939999999999</v>
      </c>
      <c r="Q116" s="88">
        <v>8.6529340000000001</v>
      </c>
      <c r="R116" s="88">
        <v>8.7339490000000009</v>
      </c>
      <c r="S116" s="88">
        <v>8.803032</v>
      </c>
      <c r="T116" s="88">
        <v>8.8629239999999996</v>
      </c>
      <c r="U116" s="88">
        <v>8.910183</v>
      </c>
      <c r="V116" s="88">
        <v>8.9528590000000001</v>
      </c>
      <c r="W116" s="88">
        <v>8.9892479999999999</v>
      </c>
      <c r="X116" s="88">
        <v>9.0205870000000008</v>
      </c>
      <c r="Y116" s="88">
        <v>9.0477559999999997</v>
      </c>
      <c r="Z116" s="88">
        <v>9.0712449999999993</v>
      </c>
      <c r="AA116" s="88">
        <v>9.0923820000000006</v>
      </c>
      <c r="AB116" s="88">
        <v>9.1120409999999996</v>
      </c>
      <c r="AC116" s="88">
        <v>9.1306829999999994</v>
      </c>
      <c r="AD116" s="88">
        <v>9.1470629999999993</v>
      </c>
      <c r="AE116" s="88">
        <v>9.1612849999999995</v>
      </c>
      <c r="AF116" s="89">
        <v>1.0303E-2</v>
      </c>
      <c r="AG116" s="80"/>
    </row>
    <row r="117" spans="1:33" ht="15" customHeight="1">
      <c r="A117" s="78" t="s">
        <v>384</v>
      </c>
      <c r="B117" s="178" t="s">
        <v>289</v>
      </c>
      <c r="C117" s="179">
        <v>17.406853000000002</v>
      </c>
      <c r="D117" s="179">
        <v>17.424419</v>
      </c>
      <c r="E117" s="179">
        <v>17.492840000000001</v>
      </c>
      <c r="F117" s="179">
        <v>17.594168</v>
      </c>
      <c r="G117" s="179">
        <v>17.723022</v>
      </c>
      <c r="H117" s="179">
        <v>17.870365</v>
      </c>
      <c r="I117" s="179">
        <v>18.006972999999999</v>
      </c>
      <c r="J117" s="179">
        <v>18.150782</v>
      </c>
      <c r="K117" s="179">
        <v>18.295826000000002</v>
      </c>
      <c r="L117" s="179">
        <v>18.440176000000001</v>
      </c>
      <c r="M117" s="179">
        <v>18.580342999999999</v>
      </c>
      <c r="N117" s="179">
        <v>18.711387999999999</v>
      </c>
      <c r="O117" s="179">
        <v>18.795469000000001</v>
      </c>
      <c r="P117" s="179">
        <v>18.886208</v>
      </c>
      <c r="Q117" s="179">
        <v>18.994534999999999</v>
      </c>
      <c r="R117" s="179">
        <v>19.086106999999998</v>
      </c>
      <c r="S117" s="179">
        <v>19.144750999999999</v>
      </c>
      <c r="T117" s="179">
        <v>19.193377999999999</v>
      </c>
      <c r="U117" s="179">
        <v>19.256512000000001</v>
      </c>
      <c r="V117" s="179">
        <v>19.306592999999999</v>
      </c>
      <c r="W117" s="179">
        <v>19.347332000000002</v>
      </c>
      <c r="X117" s="179">
        <v>19.379252999999999</v>
      </c>
      <c r="Y117" s="179">
        <v>19.403368</v>
      </c>
      <c r="Z117" s="179">
        <v>19.420500000000001</v>
      </c>
      <c r="AA117" s="179">
        <v>19.432022</v>
      </c>
      <c r="AB117" s="179">
        <v>19.441696</v>
      </c>
      <c r="AC117" s="179">
        <v>19.448132999999999</v>
      </c>
      <c r="AD117" s="179">
        <v>19.409203000000002</v>
      </c>
      <c r="AE117" s="179">
        <v>19.409485</v>
      </c>
      <c r="AF117" s="180">
        <v>3.8969999999999999E-3</v>
      </c>
      <c r="AG117" s="80"/>
    </row>
    <row r="118" spans="1:33" ht="15" customHeight="1">
      <c r="A118" s="78" t="s">
        <v>385</v>
      </c>
      <c r="B118" s="87" t="s">
        <v>291</v>
      </c>
      <c r="C118" s="88">
        <v>0</v>
      </c>
      <c r="D118" s="88">
        <v>0</v>
      </c>
      <c r="E118" s="88">
        <v>14.553951</v>
      </c>
      <c r="F118" s="88">
        <v>14.815011999999999</v>
      </c>
      <c r="G118" s="88">
        <v>14.998927999999999</v>
      </c>
      <c r="H118" s="88">
        <v>15.192572</v>
      </c>
      <c r="I118" s="88">
        <v>15.368869</v>
      </c>
      <c r="J118" s="88">
        <v>15.555434</v>
      </c>
      <c r="K118" s="88">
        <v>15.744630000000001</v>
      </c>
      <c r="L118" s="88">
        <v>15.944782999999999</v>
      </c>
      <c r="M118" s="88">
        <v>16.161604000000001</v>
      </c>
      <c r="N118" s="88">
        <v>16.394955</v>
      </c>
      <c r="O118" s="88">
        <v>16.63316</v>
      </c>
      <c r="P118" s="88">
        <v>16.849796000000001</v>
      </c>
      <c r="Q118" s="88">
        <v>17.064274000000001</v>
      </c>
      <c r="R118" s="88">
        <v>17.266493000000001</v>
      </c>
      <c r="S118" s="88">
        <v>17.445629</v>
      </c>
      <c r="T118" s="88">
        <v>17.603285</v>
      </c>
      <c r="U118" s="88">
        <v>17.74091</v>
      </c>
      <c r="V118" s="88">
        <v>17.859545000000001</v>
      </c>
      <c r="W118" s="88">
        <v>17.959697999999999</v>
      </c>
      <c r="X118" s="88">
        <v>18.056013</v>
      </c>
      <c r="Y118" s="88">
        <v>18.136147000000001</v>
      </c>
      <c r="Z118" s="88">
        <v>18.203022000000001</v>
      </c>
      <c r="AA118" s="88">
        <v>18.258938000000001</v>
      </c>
      <c r="AB118" s="88">
        <v>18.306379</v>
      </c>
      <c r="AC118" s="88">
        <v>18.346488999999998</v>
      </c>
      <c r="AD118" s="88">
        <v>18.380383999999999</v>
      </c>
      <c r="AE118" s="88">
        <v>18.409164000000001</v>
      </c>
      <c r="AF118" s="89" t="s">
        <v>217</v>
      </c>
      <c r="AG118" s="80"/>
    </row>
    <row r="119" spans="1:33" ht="15" customHeight="1">
      <c r="A119" s="78" t="s">
        <v>386</v>
      </c>
      <c r="B119" s="87" t="s">
        <v>293</v>
      </c>
      <c r="C119" s="88">
        <v>0</v>
      </c>
      <c r="D119" s="88">
        <v>0</v>
      </c>
      <c r="E119" s="88">
        <v>10.500607</v>
      </c>
      <c r="F119" s="88">
        <v>10.659801</v>
      </c>
      <c r="G119" s="88">
        <v>10.764203999999999</v>
      </c>
      <c r="H119" s="88">
        <v>10.869498999999999</v>
      </c>
      <c r="I119" s="88">
        <v>10.965210000000001</v>
      </c>
      <c r="J119" s="88">
        <v>11.076699</v>
      </c>
      <c r="K119" s="88">
        <v>11.197986</v>
      </c>
      <c r="L119" s="88">
        <v>11.333318999999999</v>
      </c>
      <c r="M119" s="88">
        <v>11.486076000000001</v>
      </c>
      <c r="N119" s="88">
        <v>11.655321000000001</v>
      </c>
      <c r="O119" s="88">
        <v>11.834339</v>
      </c>
      <c r="P119" s="88">
        <v>11.997350000000001</v>
      </c>
      <c r="Q119" s="88">
        <v>12.160628000000001</v>
      </c>
      <c r="R119" s="88">
        <v>12.31541</v>
      </c>
      <c r="S119" s="88">
        <v>12.45102</v>
      </c>
      <c r="T119" s="88">
        <v>12.568764</v>
      </c>
      <c r="U119" s="88">
        <v>12.669667</v>
      </c>
      <c r="V119" s="88">
        <v>12.754915</v>
      </c>
      <c r="W119" s="88">
        <v>12.825293</v>
      </c>
      <c r="X119" s="88">
        <v>12.890333999999999</v>
      </c>
      <c r="Y119" s="88">
        <v>12.942886</v>
      </c>
      <c r="Z119" s="88">
        <v>12.985455</v>
      </c>
      <c r="AA119" s="88">
        <v>13.019958000000001</v>
      </c>
      <c r="AB119" s="88">
        <v>13.048401999999999</v>
      </c>
      <c r="AC119" s="88">
        <v>13.071823999999999</v>
      </c>
      <c r="AD119" s="88">
        <v>13.091234999999999</v>
      </c>
      <c r="AE119" s="88">
        <v>13.10303</v>
      </c>
      <c r="AF119" s="89" t="s">
        <v>217</v>
      </c>
      <c r="AG119" s="80"/>
    </row>
    <row r="120" spans="1:33" ht="15" customHeight="1">
      <c r="A120" s="78" t="s">
        <v>387</v>
      </c>
      <c r="B120" s="87" t="s">
        <v>295</v>
      </c>
      <c r="C120" s="88">
        <v>0</v>
      </c>
      <c r="D120" s="88">
        <v>0</v>
      </c>
      <c r="E120" s="88">
        <v>11.516576000000001</v>
      </c>
      <c r="F120" s="88">
        <v>11.516745</v>
      </c>
      <c r="G120" s="88">
        <v>11.516781999999999</v>
      </c>
      <c r="H120" s="88">
        <v>11.516798</v>
      </c>
      <c r="I120" s="88">
        <v>11.516812</v>
      </c>
      <c r="J120" s="88">
        <v>11.516826</v>
      </c>
      <c r="K120" s="88">
        <v>11.51684</v>
      </c>
      <c r="L120" s="88">
        <v>11.516855</v>
      </c>
      <c r="M120" s="88">
        <v>11.516871999999999</v>
      </c>
      <c r="N120" s="88">
        <v>11.516886</v>
      </c>
      <c r="O120" s="88">
        <v>11.516901000000001</v>
      </c>
      <c r="P120" s="88">
        <v>11.516908000000001</v>
      </c>
      <c r="Q120" s="88">
        <v>11.516905</v>
      </c>
      <c r="R120" s="88">
        <v>11.516907</v>
      </c>
      <c r="S120" s="88">
        <v>11.516909</v>
      </c>
      <c r="T120" s="88">
        <v>11.516912</v>
      </c>
      <c r="U120" s="88">
        <v>11.516919</v>
      </c>
      <c r="V120" s="88">
        <v>11.516923999999999</v>
      </c>
      <c r="W120" s="88">
        <v>11.516925000000001</v>
      </c>
      <c r="X120" s="88">
        <v>11.516932000000001</v>
      </c>
      <c r="Y120" s="88">
        <v>11.516935999999999</v>
      </c>
      <c r="Z120" s="88">
        <v>11.516940999999999</v>
      </c>
      <c r="AA120" s="88">
        <v>11.516942999999999</v>
      </c>
      <c r="AB120" s="88">
        <v>11.516949</v>
      </c>
      <c r="AC120" s="88">
        <v>11.516953000000001</v>
      </c>
      <c r="AD120" s="88">
        <v>11.516953000000001</v>
      </c>
      <c r="AE120" s="88">
        <v>11.516959</v>
      </c>
      <c r="AF120" s="89" t="s">
        <v>217</v>
      </c>
      <c r="AG120" s="80"/>
    </row>
    <row r="121" spans="1:33" ht="15" customHeight="1">
      <c r="A121" s="78" t="s">
        <v>388</v>
      </c>
      <c r="B121" s="87" t="s">
        <v>389</v>
      </c>
      <c r="C121" s="88">
        <v>8.2098399999999998</v>
      </c>
      <c r="D121" s="88">
        <v>8.3404410000000002</v>
      </c>
      <c r="E121" s="88">
        <v>8.4829690000000006</v>
      </c>
      <c r="F121" s="88">
        <v>8.6408909999999999</v>
      </c>
      <c r="G121" s="88">
        <v>8.8129430000000006</v>
      </c>
      <c r="H121" s="88">
        <v>9.0002259999999996</v>
      </c>
      <c r="I121" s="88">
        <v>9.1844359999999998</v>
      </c>
      <c r="J121" s="88">
        <v>9.3722469999999998</v>
      </c>
      <c r="K121" s="88">
        <v>9.5603230000000003</v>
      </c>
      <c r="L121" s="88">
        <v>9.7494200000000006</v>
      </c>
      <c r="M121" s="88">
        <v>9.9342159999999993</v>
      </c>
      <c r="N121" s="88">
        <v>10.112831999999999</v>
      </c>
      <c r="O121" s="88">
        <v>10.281893999999999</v>
      </c>
      <c r="P121" s="88">
        <v>10.441013999999999</v>
      </c>
      <c r="Q121" s="88">
        <v>10.590353</v>
      </c>
      <c r="R121" s="88">
        <v>10.726647</v>
      </c>
      <c r="S121" s="88">
        <v>10.856488000000001</v>
      </c>
      <c r="T121" s="88">
        <v>10.972559</v>
      </c>
      <c r="U121" s="88">
        <v>11.083036</v>
      </c>
      <c r="V121" s="88">
        <v>11.184754999999999</v>
      </c>
      <c r="W121" s="88">
        <v>11.277801999999999</v>
      </c>
      <c r="X121" s="88">
        <v>11.358744</v>
      </c>
      <c r="Y121" s="88">
        <v>11.428658</v>
      </c>
      <c r="Z121" s="88">
        <v>11.491809999999999</v>
      </c>
      <c r="AA121" s="88">
        <v>11.55086</v>
      </c>
      <c r="AB121" s="88">
        <v>11.605866000000001</v>
      </c>
      <c r="AC121" s="88">
        <v>11.656457</v>
      </c>
      <c r="AD121" s="88">
        <v>11.703754999999999</v>
      </c>
      <c r="AE121" s="88">
        <v>11.750068000000001</v>
      </c>
      <c r="AF121" s="89">
        <v>1.2886999999999999E-2</v>
      </c>
      <c r="AG121" s="80"/>
    </row>
    <row r="122" spans="1:33" ht="15" customHeight="1">
      <c r="B122" s="86" t="s">
        <v>310</v>
      </c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</row>
    <row r="123" spans="1:33" ht="15" customHeight="1">
      <c r="A123" s="78" t="s">
        <v>390</v>
      </c>
      <c r="B123" s="87" t="s">
        <v>279</v>
      </c>
      <c r="C123" s="88">
        <v>6.174798</v>
      </c>
      <c r="D123" s="88">
        <v>6.2630949999999999</v>
      </c>
      <c r="E123" s="88">
        <v>6.3645230000000002</v>
      </c>
      <c r="F123" s="88">
        <v>6.4755140000000004</v>
      </c>
      <c r="G123" s="88">
        <v>6.5947199999999997</v>
      </c>
      <c r="H123" s="88">
        <v>6.7204090000000001</v>
      </c>
      <c r="I123" s="88">
        <v>6.8422190000000001</v>
      </c>
      <c r="J123" s="88">
        <v>6.9609690000000004</v>
      </c>
      <c r="K123" s="88">
        <v>7.0752560000000004</v>
      </c>
      <c r="L123" s="88">
        <v>7.1852980000000004</v>
      </c>
      <c r="M123" s="88">
        <v>7.2900910000000003</v>
      </c>
      <c r="N123" s="88">
        <v>7.3855190000000004</v>
      </c>
      <c r="O123" s="88">
        <v>7.4707850000000002</v>
      </c>
      <c r="P123" s="88">
        <v>7.5460839999999996</v>
      </c>
      <c r="Q123" s="88">
        <v>7.6121340000000002</v>
      </c>
      <c r="R123" s="88">
        <v>7.6693059999999997</v>
      </c>
      <c r="S123" s="88">
        <v>7.7178800000000001</v>
      </c>
      <c r="T123" s="88">
        <v>7.7600699999999998</v>
      </c>
      <c r="U123" s="88">
        <v>7.7969379999999999</v>
      </c>
      <c r="V123" s="88">
        <v>7.8299960000000004</v>
      </c>
      <c r="W123" s="88">
        <v>7.8573079999999997</v>
      </c>
      <c r="X123" s="88">
        <v>7.880395</v>
      </c>
      <c r="Y123" s="88">
        <v>7.8999480000000002</v>
      </c>
      <c r="Z123" s="88">
        <v>7.9169460000000003</v>
      </c>
      <c r="AA123" s="88">
        <v>7.9330990000000003</v>
      </c>
      <c r="AB123" s="88">
        <v>7.9487300000000003</v>
      </c>
      <c r="AC123" s="88">
        <v>7.9641529999999996</v>
      </c>
      <c r="AD123" s="88">
        <v>7.9801409999999997</v>
      </c>
      <c r="AE123" s="88">
        <v>7.9969340000000004</v>
      </c>
      <c r="AF123" s="89">
        <v>9.2779999999999998E-3</v>
      </c>
      <c r="AG123" s="80"/>
    </row>
    <row r="124" spans="1:33" ht="15" customHeight="1">
      <c r="A124" s="78" t="s">
        <v>391</v>
      </c>
      <c r="B124" s="87" t="s">
        <v>281</v>
      </c>
      <c r="C124" s="88">
        <v>5.6053519999999999</v>
      </c>
      <c r="D124" s="88">
        <v>5.6851630000000002</v>
      </c>
      <c r="E124" s="88">
        <v>5.7620750000000003</v>
      </c>
      <c r="F124" s="88">
        <v>5.8372330000000003</v>
      </c>
      <c r="G124" s="88">
        <v>5.9050890000000003</v>
      </c>
      <c r="H124" s="88">
        <v>5.9668659999999996</v>
      </c>
      <c r="I124" s="88">
        <v>6.0218819999999997</v>
      </c>
      <c r="J124" s="88">
        <v>6.0750270000000004</v>
      </c>
      <c r="K124" s="88">
        <v>6.1221620000000003</v>
      </c>
      <c r="L124" s="88">
        <v>6.1683779999999997</v>
      </c>
      <c r="M124" s="88">
        <v>6.2146990000000004</v>
      </c>
      <c r="N124" s="88">
        <v>6.2603840000000002</v>
      </c>
      <c r="O124" s="88">
        <v>6.3023579999999999</v>
      </c>
      <c r="P124" s="88">
        <v>6.3409950000000004</v>
      </c>
      <c r="Q124" s="88">
        <v>6.3776359999999999</v>
      </c>
      <c r="R124" s="88">
        <v>6.4116439999999999</v>
      </c>
      <c r="S124" s="88">
        <v>6.4439479999999998</v>
      </c>
      <c r="T124" s="88">
        <v>6.4750249999999996</v>
      </c>
      <c r="U124" s="88">
        <v>6.5043160000000002</v>
      </c>
      <c r="V124" s="88">
        <v>6.5290499999999998</v>
      </c>
      <c r="W124" s="88">
        <v>6.5526530000000003</v>
      </c>
      <c r="X124" s="88">
        <v>6.5760810000000003</v>
      </c>
      <c r="Y124" s="88">
        <v>6.5977519999999998</v>
      </c>
      <c r="Z124" s="88">
        <v>6.6134740000000001</v>
      </c>
      <c r="AA124" s="88">
        <v>6.6265970000000003</v>
      </c>
      <c r="AB124" s="88">
        <v>6.6380759999999999</v>
      </c>
      <c r="AC124" s="88">
        <v>6.6483280000000002</v>
      </c>
      <c r="AD124" s="88">
        <v>6.6579069999999998</v>
      </c>
      <c r="AE124" s="88">
        <v>6.6670059999999998</v>
      </c>
      <c r="AF124" s="89">
        <v>6.2139999999999999E-3</v>
      </c>
      <c r="AG124" s="80"/>
    </row>
    <row r="125" spans="1:33" ht="15" customHeight="1">
      <c r="A125" s="78" t="s">
        <v>392</v>
      </c>
      <c r="B125" s="87" t="s">
        <v>283</v>
      </c>
      <c r="C125" s="88">
        <v>6.0561619999999996</v>
      </c>
      <c r="D125" s="88">
        <v>6.0490139999999997</v>
      </c>
      <c r="E125" s="88">
        <v>6.0413300000000003</v>
      </c>
      <c r="F125" s="88">
        <v>6.0397550000000004</v>
      </c>
      <c r="G125" s="88">
        <v>6.0466559999999996</v>
      </c>
      <c r="H125" s="88">
        <v>6.0661889999999996</v>
      </c>
      <c r="I125" s="88">
        <v>6.0933279999999996</v>
      </c>
      <c r="J125" s="88">
        <v>6.1323319999999999</v>
      </c>
      <c r="K125" s="88">
        <v>6.1810369999999999</v>
      </c>
      <c r="L125" s="88">
        <v>6.2393669999999997</v>
      </c>
      <c r="M125" s="88">
        <v>6.3051560000000002</v>
      </c>
      <c r="N125" s="88">
        <v>6.3731140000000002</v>
      </c>
      <c r="O125" s="88">
        <v>6.4338220000000002</v>
      </c>
      <c r="P125" s="88">
        <v>6.4864230000000003</v>
      </c>
      <c r="Q125" s="88">
        <v>6.5340740000000004</v>
      </c>
      <c r="R125" s="88">
        <v>6.5780960000000004</v>
      </c>
      <c r="S125" s="88">
        <v>6.6189390000000001</v>
      </c>
      <c r="T125" s="88">
        <v>6.656015</v>
      </c>
      <c r="U125" s="88">
        <v>6.6907750000000004</v>
      </c>
      <c r="V125" s="88">
        <v>6.7222429999999997</v>
      </c>
      <c r="W125" s="88">
        <v>6.7477010000000002</v>
      </c>
      <c r="X125" s="88">
        <v>6.7691860000000004</v>
      </c>
      <c r="Y125" s="88">
        <v>6.7874949999999998</v>
      </c>
      <c r="Z125" s="88">
        <v>6.802632</v>
      </c>
      <c r="AA125" s="88">
        <v>6.8150360000000001</v>
      </c>
      <c r="AB125" s="88">
        <v>6.8253909999999998</v>
      </c>
      <c r="AC125" s="88">
        <v>6.8345450000000003</v>
      </c>
      <c r="AD125" s="88">
        <v>6.8446889999999998</v>
      </c>
      <c r="AE125" s="88">
        <v>6.8567840000000002</v>
      </c>
      <c r="AF125" s="89">
        <v>4.444E-3</v>
      </c>
      <c r="AG125" s="80"/>
    </row>
    <row r="126" spans="1:33" ht="15" customHeight="1">
      <c r="A126" s="78" t="s">
        <v>393</v>
      </c>
      <c r="B126" s="87" t="s">
        <v>285</v>
      </c>
      <c r="C126" s="88">
        <v>5.905322</v>
      </c>
      <c r="D126" s="88">
        <v>5.9830639999999997</v>
      </c>
      <c r="E126" s="88">
        <v>6.0729699999999998</v>
      </c>
      <c r="F126" s="88">
        <v>6.1697509999999998</v>
      </c>
      <c r="G126" s="88">
        <v>6.2701130000000003</v>
      </c>
      <c r="H126" s="88">
        <v>6.3741599999999998</v>
      </c>
      <c r="I126" s="88">
        <v>6.4715020000000001</v>
      </c>
      <c r="J126" s="88">
        <v>6.5653430000000004</v>
      </c>
      <c r="K126" s="88">
        <v>6.6557139999999997</v>
      </c>
      <c r="L126" s="88">
        <v>6.7455530000000001</v>
      </c>
      <c r="M126" s="88">
        <v>6.8333729999999999</v>
      </c>
      <c r="N126" s="88">
        <v>6.9156950000000004</v>
      </c>
      <c r="O126" s="88">
        <v>6.9910300000000003</v>
      </c>
      <c r="P126" s="88">
        <v>7.0602270000000003</v>
      </c>
      <c r="Q126" s="88">
        <v>7.1236040000000003</v>
      </c>
      <c r="R126" s="88">
        <v>7.1804309999999996</v>
      </c>
      <c r="S126" s="88">
        <v>7.2303940000000004</v>
      </c>
      <c r="T126" s="88">
        <v>7.2732939999999999</v>
      </c>
      <c r="U126" s="88">
        <v>7.3093329999999996</v>
      </c>
      <c r="V126" s="88">
        <v>7.3391260000000003</v>
      </c>
      <c r="W126" s="88">
        <v>7.3641690000000004</v>
      </c>
      <c r="X126" s="88">
        <v>7.3857489999999997</v>
      </c>
      <c r="Y126" s="88">
        <v>7.4047210000000003</v>
      </c>
      <c r="Z126" s="88">
        <v>7.4218250000000001</v>
      </c>
      <c r="AA126" s="88">
        <v>7.4367340000000004</v>
      </c>
      <c r="AB126" s="88">
        <v>7.451314</v>
      </c>
      <c r="AC126" s="88">
        <v>7.4666230000000002</v>
      </c>
      <c r="AD126" s="88">
        <v>7.4822319999999998</v>
      </c>
      <c r="AE126" s="88">
        <v>7.498291</v>
      </c>
      <c r="AF126" s="89">
        <v>8.5660000000000007E-3</v>
      </c>
      <c r="AG126" s="80"/>
    </row>
    <row r="127" spans="1:33" ht="15" customHeight="1">
      <c r="A127" s="78" t="s">
        <v>394</v>
      </c>
      <c r="B127" s="87" t="s">
        <v>287</v>
      </c>
      <c r="C127" s="88">
        <v>0</v>
      </c>
      <c r="D127" s="88">
        <v>0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  <c r="X127" s="88">
        <v>0</v>
      </c>
      <c r="Y127" s="88">
        <v>0</v>
      </c>
      <c r="Z127" s="88">
        <v>0</v>
      </c>
      <c r="AA127" s="88">
        <v>0</v>
      </c>
      <c r="AB127" s="88">
        <v>0</v>
      </c>
      <c r="AC127" s="88">
        <v>0</v>
      </c>
      <c r="AD127" s="88">
        <v>0</v>
      </c>
      <c r="AE127" s="88">
        <v>0</v>
      </c>
      <c r="AF127" s="89" t="s">
        <v>217</v>
      </c>
      <c r="AG127" s="80"/>
    </row>
    <row r="128" spans="1:33" ht="15" customHeight="1">
      <c r="A128" s="78" t="s">
        <v>395</v>
      </c>
      <c r="B128" s="87" t="s">
        <v>289</v>
      </c>
      <c r="C128" s="88">
        <v>12.511471999999999</v>
      </c>
      <c r="D128" s="88">
        <v>12.210798</v>
      </c>
      <c r="E128" s="88">
        <v>12.035378</v>
      </c>
      <c r="F128" s="88">
        <v>11.922769000000001</v>
      </c>
      <c r="G128" s="88">
        <v>11.842131</v>
      </c>
      <c r="H128" s="88">
        <v>11.780157000000001</v>
      </c>
      <c r="I128" s="88">
        <v>11.726812000000001</v>
      </c>
      <c r="J128" s="88">
        <v>11.681986</v>
      </c>
      <c r="K128" s="88">
        <v>11.643143999999999</v>
      </c>
      <c r="L128" s="88">
        <v>11.608420000000001</v>
      </c>
      <c r="M128" s="88">
        <v>11.577750999999999</v>
      </c>
      <c r="N128" s="88">
        <v>11.55185</v>
      </c>
      <c r="O128" s="88">
        <v>11.532499</v>
      </c>
      <c r="P128" s="88">
        <v>11.522676000000001</v>
      </c>
      <c r="Q128" s="88">
        <v>11.51253</v>
      </c>
      <c r="R128" s="88">
        <v>11.507656000000001</v>
      </c>
      <c r="S128" s="88">
        <v>11.514357</v>
      </c>
      <c r="T128" s="88">
        <v>11.526049</v>
      </c>
      <c r="U128" s="88">
        <v>11.521922999999999</v>
      </c>
      <c r="V128" s="88">
        <v>11.528378</v>
      </c>
      <c r="W128" s="88">
        <v>11.553936999999999</v>
      </c>
      <c r="X128" s="88">
        <v>11.578481999999999</v>
      </c>
      <c r="Y128" s="88">
        <v>11.590909</v>
      </c>
      <c r="Z128" s="88">
        <v>11.599613</v>
      </c>
      <c r="AA128" s="88">
        <v>11.605518999999999</v>
      </c>
      <c r="AB128" s="88">
        <v>11.609627</v>
      </c>
      <c r="AC128" s="88">
        <v>11.612548</v>
      </c>
      <c r="AD128" s="88">
        <v>11.614598000000001</v>
      </c>
      <c r="AE128" s="88">
        <v>11.615857</v>
      </c>
      <c r="AF128" s="89">
        <v>-2.6489999999999999E-3</v>
      </c>
      <c r="AG128" s="80"/>
    </row>
    <row r="129" spans="1:33" ht="12" customHeight="1">
      <c r="A129" s="78" t="s">
        <v>396</v>
      </c>
      <c r="B129" s="87" t="s">
        <v>291</v>
      </c>
      <c r="C129" s="88">
        <v>0</v>
      </c>
      <c r="D129" s="88">
        <v>0</v>
      </c>
      <c r="E129" s="88">
        <v>1.546108</v>
      </c>
      <c r="F129" s="88">
        <v>2.664183</v>
      </c>
      <c r="G129" s="88">
        <v>3.4990290000000002</v>
      </c>
      <c r="H129" s="88">
        <v>4.1596690000000001</v>
      </c>
      <c r="I129" s="88">
        <v>4.6990999999999996</v>
      </c>
      <c r="J129" s="88">
        <v>5.1562080000000003</v>
      </c>
      <c r="K129" s="88">
        <v>5.5611940000000004</v>
      </c>
      <c r="L129" s="88">
        <v>5.9406049999999997</v>
      </c>
      <c r="M129" s="88">
        <v>6.3162120000000002</v>
      </c>
      <c r="N129" s="88">
        <v>6.6977019999999996</v>
      </c>
      <c r="O129" s="88">
        <v>7.0859899999999998</v>
      </c>
      <c r="P129" s="88">
        <v>7.4756780000000003</v>
      </c>
      <c r="Q129" s="88">
        <v>7.8704789999999996</v>
      </c>
      <c r="R129" s="88">
        <v>8.2631910000000008</v>
      </c>
      <c r="S129" s="88">
        <v>8.6400120000000005</v>
      </c>
      <c r="T129" s="88">
        <v>8.9883590000000009</v>
      </c>
      <c r="U129" s="88">
        <v>9.2928049999999995</v>
      </c>
      <c r="V129" s="88">
        <v>9.5358350000000005</v>
      </c>
      <c r="W129" s="88">
        <v>9.700844</v>
      </c>
      <c r="X129" s="88">
        <v>9.9268219999999996</v>
      </c>
      <c r="Y129" s="88">
        <v>10.164901</v>
      </c>
      <c r="Z129" s="88">
        <v>10.319011</v>
      </c>
      <c r="AA129" s="88">
        <v>10.344773</v>
      </c>
      <c r="AB129" s="88">
        <v>10.42065</v>
      </c>
      <c r="AC129" s="88">
        <v>10.488389</v>
      </c>
      <c r="AD129" s="88">
        <v>10.548454</v>
      </c>
      <c r="AE129" s="88">
        <v>10.601648000000001</v>
      </c>
      <c r="AF129" s="89" t="s">
        <v>217</v>
      </c>
      <c r="AG129" s="80"/>
    </row>
    <row r="130" spans="1:33" ht="12" customHeight="1">
      <c r="A130" s="78" t="s">
        <v>397</v>
      </c>
      <c r="B130" s="87" t="s">
        <v>293</v>
      </c>
      <c r="C130" s="88">
        <v>0</v>
      </c>
      <c r="D130" s="88">
        <v>0</v>
      </c>
      <c r="E130" s="88">
        <v>1.475894</v>
      </c>
      <c r="F130" s="88">
        <v>2.5423819999999999</v>
      </c>
      <c r="G130" s="88">
        <v>3.3420420000000002</v>
      </c>
      <c r="H130" s="88">
        <v>3.9731420000000002</v>
      </c>
      <c r="I130" s="88">
        <v>4.4840580000000001</v>
      </c>
      <c r="J130" s="88">
        <v>4.9145440000000002</v>
      </c>
      <c r="K130" s="88">
        <v>5.2951240000000004</v>
      </c>
      <c r="L130" s="88">
        <v>5.6530180000000003</v>
      </c>
      <c r="M130" s="88">
        <v>6.0081530000000001</v>
      </c>
      <c r="N130" s="88">
        <v>6.3713059999999997</v>
      </c>
      <c r="O130" s="88">
        <v>6.7437389999999997</v>
      </c>
      <c r="P130" s="88">
        <v>7.1219239999999999</v>
      </c>
      <c r="Q130" s="88">
        <v>7.5077629999999997</v>
      </c>
      <c r="R130" s="88">
        <v>7.8949509999999998</v>
      </c>
      <c r="S130" s="88">
        <v>8.2699909999999992</v>
      </c>
      <c r="T130" s="88">
        <v>8.6198800000000002</v>
      </c>
      <c r="U130" s="88">
        <v>8.9274210000000007</v>
      </c>
      <c r="V130" s="88">
        <v>9.1725209999999997</v>
      </c>
      <c r="W130" s="88">
        <v>9.3351539999999993</v>
      </c>
      <c r="X130" s="88">
        <v>9.5703130000000005</v>
      </c>
      <c r="Y130" s="88">
        <v>9.8242899999999995</v>
      </c>
      <c r="Z130" s="88">
        <v>9.9863700000000009</v>
      </c>
      <c r="AA130" s="88">
        <v>10.00128</v>
      </c>
      <c r="AB130" s="88">
        <v>10.076916000000001</v>
      </c>
      <c r="AC130" s="88">
        <v>10.144606</v>
      </c>
      <c r="AD130" s="88">
        <v>10.20481</v>
      </c>
      <c r="AE130" s="88">
        <v>10.258661</v>
      </c>
      <c r="AF130" s="89" t="s">
        <v>217</v>
      </c>
      <c r="AG130" s="80"/>
    </row>
    <row r="131" spans="1:33" ht="12" customHeight="1">
      <c r="A131" s="78" t="s">
        <v>398</v>
      </c>
      <c r="B131" s="87" t="s">
        <v>295</v>
      </c>
      <c r="C131" s="88">
        <v>0</v>
      </c>
      <c r="D131" s="88">
        <v>0</v>
      </c>
      <c r="E131" s="88">
        <v>7.1006340000000003</v>
      </c>
      <c r="F131" s="88">
        <v>7.1057309999999996</v>
      </c>
      <c r="G131" s="88">
        <v>7.1073639999999996</v>
      </c>
      <c r="H131" s="88">
        <v>7.1081630000000002</v>
      </c>
      <c r="I131" s="88">
        <v>7.1086039999999997</v>
      </c>
      <c r="J131" s="88">
        <v>7.1088789999999999</v>
      </c>
      <c r="K131" s="88">
        <v>7.1090270000000002</v>
      </c>
      <c r="L131" s="88">
        <v>7.1090970000000002</v>
      </c>
      <c r="M131" s="88">
        <v>7.1091550000000003</v>
      </c>
      <c r="N131" s="88">
        <v>7.1092209999999998</v>
      </c>
      <c r="O131" s="88">
        <v>7.1092950000000004</v>
      </c>
      <c r="P131" s="88">
        <v>7.1093820000000001</v>
      </c>
      <c r="Q131" s="88">
        <v>7.1094809999999997</v>
      </c>
      <c r="R131" s="88">
        <v>7.1095889999999997</v>
      </c>
      <c r="S131" s="88">
        <v>7.1097070000000002</v>
      </c>
      <c r="T131" s="88">
        <v>7.1098350000000003</v>
      </c>
      <c r="U131" s="88">
        <v>7.109972</v>
      </c>
      <c r="V131" s="88">
        <v>7.1101159999999997</v>
      </c>
      <c r="W131" s="88">
        <v>7.1102699999999999</v>
      </c>
      <c r="X131" s="88">
        <v>7.1104589999999996</v>
      </c>
      <c r="Y131" s="88">
        <v>7.110671</v>
      </c>
      <c r="Z131" s="88">
        <v>7.1108859999999998</v>
      </c>
      <c r="AA131" s="88">
        <v>7.1110879999999996</v>
      </c>
      <c r="AB131" s="88">
        <v>7.1113179999999998</v>
      </c>
      <c r="AC131" s="88">
        <v>7.1115579999999996</v>
      </c>
      <c r="AD131" s="88">
        <v>7.111809</v>
      </c>
      <c r="AE131" s="88">
        <v>7.1120650000000003</v>
      </c>
      <c r="AF131" s="89" t="s">
        <v>217</v>
      </c>
      <c r="AG131" s="80"/>
    </row>
    <row r="132" spans="1:33" ht="12" customHeight="1">
      <c r="A132" s="78" t="s">
        <v>399</v>
      </c>
      <c r="B132" s="87" t="s">
        <v>400</v>
      </c>
      <c r="C132" s="88">
        <v>6.1709569999999996</v>
      </c>
      <c r="D132" s="88">
        <v>6.2590110000000001</v>
      </c>
      <c r="E132" s="88">
        <v>6.3601650000000003</v>
      </c>
      <c r="F132" s="88">
        <v>6.4708430000000003</v>
      </c>
      <c r="G132" s="88">
        <v>6.589664</v>
      </c>
      <c r="H132" s="88">
        <v>6.7149279999999996</v>
      </c>
      <c r="I132" s="88">
        <v>6.8362869999999996</v>
      </c>
      <c r="J132" s="88">
        <v>6.9546010000000003</v>
      </c>
      <c r="K132" s="88">
        <v>7.068473</v>
      </c>
      <c r="L132" s="88">
        <v>7.1781480000000002</v>
      </c>
      <c r="M132" s="88">
        <v>7.282597</v>
      </c>
      <c r="N132" s="88">
        <v>7.3776999999999999</v>
      </c>
      <c r="O132" s="88">
        <v>7.4626390000000002</v>
      </c>
      <c r="P132" s="88">
        <v>7.5376300000000001</v>
      </c>
      <c r="Q132" s="88">
        <v>7.6034009999999999</v>
      </c>
      <c r="R132" s="88">
        <v>7.6603089999999998</v>
      </c>
      <c r="S132" s="88">
        <v>7.7086389999999998</v>
      </c>
      <c r="T132" s="88">
        <v>7.750559</v>
      </c>
      <c r="U132" s="88">
        <v>7.7871069999999998</v>
      </c>
      <c r="V132" s="88">
        <v>7.819769</v>
      </c>
      <c r="W132" s="88">
        <v>7.8466990000000001</v>
      </c>
      <c r="X132" s="88">
        <v>7.8693970000000002</v>
      </c>
      <c r="Y132" s="88">
        <v>7.8885500000000004</v>
      </c>
      <c r="Z132" s="88">
        <v>7.9051289999999996</v>
      </c>
      <c r="AA132" s="88">
        <v>7.9208100000000004</v>
      </c>
      <c r="AB132" s="88">
        <v>7.9359409999999997</v>
      </c>
      <c r="AC132" s="88">
        <v>7.9508619999999999</v>
      </c>
      <c r="AD132" s="88">
        <v>7.9663209999999998</v>
      </c>
      <c r="AE132" s="88">
        <v>7.9825520000000001</v>
      </c>
      <c r="AF132" s="89">
        <v>9.2350000000000002E-3</v>
      </c>
      <c r="AG132" s="80"/>
    </row>
    <row r="133" spans="1:33" ht="12" customHeight="1">
      <c r="A133" s="78" t="s">
        <v>401</v>
      </c>
      <c r="B133" s="86" t="s">
        <v>402</v>
      </c>
      <c r="C133" s="90">
        <v>7.4724060000000003</v>
      </c>
      <c r="D133" s="90">
        <v>7.5785309999999999</v>
      </c>
      <c r="E133" s="90">
        <v>7.7053209999999996</v>
      </c>
      <c r="F133" s="90">
        <v>7.8485909999999999</v>
      </c>
      <c r="G133" s="90">
        <v>8.0023800000000005</v>
      </c>
      <c r="H133" s="90">
        <v>8.1636780000000009</v>
      </c>
      <c r="I133" s="90">
        <v>8.3212820000000001</v>
      </c>
      <c r="J133" s="90">
        <v>8.4797530000000005</v>
      </c>
      <c r="K133" s="90">
        <v>8.6382940000000001</v>
      </c>
      <c r="L133" s="90">
        <v>8.7959300000000002</v>
      </c>
      <c r="M133" s="90">
        <v>8.9485519999999994</v>
      </c>
      <c r="N133" s="90">
        <v>9.0909969999999998</v>
      </c>
      <c r="O133" s="90">
        <v>9.2225169999999999</v>
      </c>
      <c r="P133" s="90">
        <v>9.3430680000000006</v>
      </c>
      <c r="Q133" s="90">
        <v>9.4533190000000005</v>
      </c>
      <c r="R133" s="90">
        <v>9.5530659999999994</v>
      </c>
      <c r="S133" s="90">
        <v>9.6434460000000009</v>
      </c>
      <c r="T133" s="90">
        <v>9.7267150000000004</v>
      </c>
      <c r="U133" s="90">
        <v>9.8045980000000004</v>
      </c>
      <c r="V133" s="90">
        <v>9.8772749999999991</v>
      </c>
      <c r="W133" s="90">
        <v>9.9424340000000004</v>
      </c>
      <c r="X133" s="90">
        <v>10.001575000000001</v>
      </c>
      <c r="Y133" s="90">
        <v>10.055849</v>
      </c>
      <c r="Z133" s="90">
        <v>10.108461999999999</v>
      </c>
      <c r="AA133" s="90">
        <v>10.161237</v>
      </c>
      <c r="AB133" s="90">
        <v>10.213322</v>
      </c>
      <c r="AC133" s="90">
        <v>10.263771999999999</v>
      </c>
      <c r="AD133" s="90">
        <v>10.314520999999999</v>
      </c>
      <c r="AE133" s="90">
        <v>10.365862999999999</v>
      </c>
      <c r="AF133" s="91">
        <v>1.1757999999999999E-2</v>
      </c>
      <c r="AG133" s="80"/>
    </row>
    <row r="134" spans="1:33" ht="12" customHeight="1"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</row>
    <row r="135" spans="1:33" ht="12" customHeight="1">
      <c r="B135" s="86" t="s">
        <v>403</v>
      </c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</row>
    <row r="136" spans="1:33" ht="12" customHeight="1">
      <c r="B136" s="86" t="s">
        <v>277</v>
      </c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</row>
    <row r="137" spans="1:33" ht="12" customHeight="1">
      <c r="A137" s="78" t="s">
        <v>404</v>
      </c>
      <c r="B137" s="87" t="s">
        <v>279</v>
      </c>
      <c r="C137" s="92">
        <v>3.0155479999999999</v>
      </c>
      <c r="D137" s="92">
        <v>3.0975450000000002</v>
      </c>
      <c r="E137" s="92">
        <v>3.1834560000000001</v>
      </c>
      <c r="F137" s="92">
        <v>3.2715930000000002</v>
      </c>
      <c r="G137" s="92">
        <v>3.3587579999999999</v>
      </c>
      <c r="H137" s="92">
        <v>3.4430320000000001</v>
      </c>
      <c r="I137" s="92">
        <v>3.5241380000000002</v>
      </c>
      <c r="J137" s="92">
        <v>3.6023369999999999</v>
      </c>
      <c r="K137" s="92">
        <v>3.6774779999999998</v>
      </c>
      <c r="L137" s="92">
        <v>3.7492040000000002</v>
      </c>
      <c r="M137" s="92">
        <v>3.8192210000000002</v>
      </c>
      <c r="N137" s="92">
        <v>3.8820770000000002</v>
      </c>
      <c r="O137" s="92">
        <v>3.9423219999999999</v>
      </c>
      <c r="P137" s="92">
        <v>4.0002969999999998</v>
      </c>
      <c r="Q137" s="92">
        <v>4.0587710000000001</v>
      </c>
      <c r="R137" s="92">
        <v>4.1174879999999998</v>
      </c>
      <c r="S137" s="92">
        <v>4.1771779999999996</v>
      </c>
      <c r="T137" s="92">
        <v>4.2348249999999998</v>
      </c>
      <c r="U137" s="92">
        <v>4.2897980000000002</v>
      </c>
      <c r="V137" s="92">
        <v>4.3460570000000001</v>
      </c>
      <c r="W137" s="92">
        <v>4.4020840000000003</v>
      </c>
      <c r="X137" s="92">
        <v>4.4646600000000003</v>
      </c>
      <c r="Y137" s="92">
        <v>4.531682</v>
      </c>
      <c r="Z137" s="92">
        <v>4.5975450000000002</v>
      </c>
      <c r="AA137" s="92">
        <v>4.6616299999999997</v>
      </c>
      <c r="AB137" s="92">
        <v>4.7283970000000002</v>
      </c>
      <c r="AC137" s="92">
        <v>4.796106</v>
      </c>
      <c r="AD137" s="92">
        <v>4.8608450000000003</v>
      </c>
      <c r="AE137" s="92">
        <v>4.9257439999999999</v>
      </c>
      <c r="AF137" s="89">
        <v>1.7679E-2</v>
      </c>
      <c r="AG137" s="80"/>
    </row>
    <row r="138" spans="1:33" ht="12" customHeight="1">
      <c r="A138" s="78" t="s">
        <v>405</v>
      </c>
      <c r="B138" s="87" t="s">
        <v>281</v>
      </c>
      <c r="C138" s="92">
        <v>1.3121959999999999</v>
      </c>
      <c r="D138" s="92">
        <v>1.390077</v>
      </c>
      <c r="E138" s="92">
        <v>1.475538</v>
      </c>
      <c r="F138" s="92">
        <v>1.5668089999999999</v>
      </c>
      <c r="G138" s="92">
        <v>1.6607769999999999</v>
      </c>
      <c r="H138" s="92">
        <v>1.755242</v>
      </c>
      <c r="I138" s="92">
        <v>1.8484970000000001</v>
      </c>
      <c r="J138" s="92">
        <v>1.9400980000000001</v>
      </c>
      <c r="K138" s="92">
        <v>2.0310440000000001</v>
      </c>
      <c r="L138" s="92">
        <v>2.1199050000000002</v>
      </c>
      <c r="M138" s="92">
        <v>2.2087729999999999</v>
      </c>
      <c r="N138" s="92">
        <v>2.2942230000000001</v>
      </c>
      <c r="O138" s="92">
        <v>2.378069</v>
      </c>
      <c r="P138" s="92">
        <v>2.4599419999999999</v>
      </c>
      <c r="Q138" s="92">
        <v>2.5430779999999999</v>
      </c>
      <c r="R138" s="92">
        <v>2.6269550000000002</v>
      </c>
      <c r="S138" s="92">
        <v>2.7103890000000002</v>
      </c>
      <c r="T138" s="92">
        <v>2.793024</v>
      </c>
      <c r="U138" s="92">
        <v>2.8754759999999999</v>
      </c>
      <c r="V138" s="92">
        <v>2.9603380000000001</v>
      </c>
      <c r="W138" s="92">
        <v>3.0429689999999998</v>
      </c>
      <c r="X138" s="92">
        <v>3.128209</v>
      </c>
      <c r="Y138" s="92">
        <v>3.2178049999999998</v>
      </c>
      <c r="Z138" s="92">
        <v>3.3088250000000001</v>
      </c>
      <c r="AA138" s="92">
        <v>3.3999440000000001</v>
      </c>
      <c r="AB138" s="92">
        <v>3.492642</v>
      </c>
      <c r="AC138" s="92">
        <v>3.5847199999999999</v>
      </c>
      <c r="AD138" s="92">
        <v>3.6734100000000001</v>
      </c>
      <c r="AE138" s="92">
        <v>3.7600479999999998</v>
      </c>
      <c r="AF138" s="89">
        <v>3.8313E-2</v>
      </c>
      <c r="AG138" s="80"/>
    </row>
    <row r="139" spans="1:33" ht="12" customHeight="1">
      <c r="A139" s="78" t="s">
        <v>406</v>
      </c>
      <c r="B139" s="87" t="s">
        <v>283</v>
      </c>
      <c r="C139" s="92">
        <v>1.18E-4</v>
      </c>
      <c r="D139" s="92">
        <v>3.9100000000000002E-4</v>
      </c>
      <c r="E139" s="92">
        <v>6.7400000000000001E-4</v>
      </c>
      <c r="F139" s="92">
        <v>9.5699999999999995E-4</v>
      </c>
      <c r="G139" s="92">
        <v>1.2470000000000001E-3</v>
      </c>
      <c r="H139" s="92">
        <v>1.542E-3</v>
      </c>
      <c r="I139" s="92">
        <v>1.843E-3</v>
      </c>
      <c r="J139" s="92">
        <v>2.1510000000000001E-3</v>
      </c>
      <c r="K139" s="92">
        <v>2.4689999999999998E-3</v>
      </c>
      <c r="L139" s="92">
        <v>2.7989999999999998E-3</v>
      </c>
      <c r="M139" s="92">
        <v>3.143E-3</v>
      </c>
      <c r="N139" s="92">
        <v>3.5010000000000002E-3</v>
      </c>
      <c r="O139" s="92">
        <v>3.859E-3</v>
      </c>
      <c r="P139" s="92">
        <v>4.2300000000000003E-3</v>
      </c>
      <c r="Q139" s="92">
        <v>4.6340000000000001E-3</v>
      </c>
      <c r="R139" s="92">
        <v>5.071E-3</v>
      </c>
      <c r="S139" s="92">
        <v>5.5459999999999997E-3</v>
      </c>
      <c r="T139" s="92">
        <v>6.0610000000000004E-3</v>
      </c>
      <c r="U139" s="92">
        <v>6.6210000000000001E-3</v>
      </c>
      <c r="V139" s="92">
        <v>7.228E-3</v>
      </c>
      <c r="W139" s="92">
        <v>7.8829999999999994E-3</v>
      </c>
      <c r="X139" s="92">
        <v>8.5920000000000007E-3</v>
      </c>
      <c r="Y139" s="92">
        <v>9.3589999999999993E-3</v>
      </c>
      <c r="Z139" s="92">
        <v>1.0192E-2</v>
      </c>
      <c r="AA139" s="92">
        <v>1.1091E-2</v>
      </c>
      <c r="AB139" s="92">
        <v>1.2054E-2</v>
      </c>
      <c r="AC139" s="92">
        <v>1.3077999999999999E-2</v>
      </c>
      <c r="AD139" s="92">
        <v>1.4161E-2</v>
      </c>
      <c r="AE139" s="92">
        <v>1.5303000000000001E-2</v>
      </c>
      <c r="AF139" s="89">
        <v>0.189804</v>
      </c>
      <c r="AG139" s="80"/>
    </row>
    <row r="140" spans="1:33" ht="12" customHeight="1">
      <c r="A140" s="78" t="s">
        <v>407</v>
      </c>
      <c r="B140" s="87" t="s">
        <v>285</v>
      </c>
      <c r="C140" s="92">
        <v>8.1099999999999998E-4</v>
      </c>
      <c r="D140" s="92">
        <v>8.0800000000000002E-4</v>
      </c>
      <c r="E140" s="92">
        <v>8.0500000000000005E-4</v>
      </c>
      <c r="F140" s="92">
        <v>8.0099999999999995E-4</v>
      </c>
      <c r="G140" s="92">
        <v>7.9600000000000005E-4</v>
      </c>
      <c r="H140" s="92">
        <v>7.9100000000000004E-4</v>
      </c>
      <c r="I140" s="92">
        <v>7.8399999999999997E-4</v>
      </c>
      <c r="J140" s="92">
        <v>7.7800000000000005E-4</v>
      </c>
      <c r="K140" s="92">
        <v>7.6999999999999996E-4</v>
      </c>
      <c r="L140" s="92">
        <v>7.6199999999999998E-4</v>
      </c>
      <c r="M140" s="92">
        <v>7.5299999999999998E-4</v>
      </c>
      <c r="N140" s="92">
        <v>7.4299999999999995E-4</v>
      </c>
      <c r="O140" s="92">
        <v>7.3300000000000004E-4</v>
      </c>
      <c r="P140" s="92">
        <v>7.2199999999999999E-4</v>
      </c>
      <c r="Q140" s="92">
        <v>7.1100000000000004E-4</v>
      </c>
      <c r="R140" s="92">
        <v>6.9899999999999997E-4</v>
      </c>
      <c r="S140" s="92">
        <v>6.8599999999999998E-4</v>
      </c>
      <c r="T140" s="92">
        <v>6.7299999999999999E-4</v>
      </c>
      <c r="U140" s="92">
        <v>6.6E-4</v>
      </c>
      <c r="V140" s="92">
        <v>6.4599999999999998E-4</v>
      </c>
      <c r="W140" s="92">
        <v>6.3199999999999997E-4</v>
      </c>
      <c r="X140" s="92">
        <v>6.1700000000000004E-4</v>
      </c>
      <c r="Y140" s="92">
        <v>6.02E-4</v>
      </c>
      <c r="Z140" s="92">
        <v>5.8699999999999996E-4</v>
      </c>
      <c r="AA140" s="92">
        <v>5.6400000000000005E-4</v>
      </c>
      <c r="AB140" s="92">
        <v>5.2999999999999998E-4</v>
      </c>
      <c r="AC140" s="92">
        <v>4.8200000000000001E-4</v>
      </c>
      <c r="AD140" s="92">
        <v>4.2700000000000002E-4</v>
      </c>
      <c r="AE140" s="92">
        <v>3.5799999999999997E-4</v>
      </c>
      <c r="AF140" s="89">
        <v>-2.8745E-2</v>
      </c>
      <c r="AG140" s="80"/>
    </row>
    <row r="141" spans="1:33" ht="12" customHeight="1">
      <c r="A141" s="78" t="s">
        <v>408</v>
      </c>
      <c r="B141" s="87" t="s">
        <v>287</v>
      </c>
      <c r="C141" s="92">
        <v>0.228495</v>
      </c>
      <c r="D141" s="92">
        <v>0.23946799999999999</v>
      </c>
      <c r="E141" s="92">
        <v>0.25094</v>
      </c>
      <c r="F141" s="92">
        <v>0.26208999999999999</v>
      </c>
      <c r="G141" s="92">
        <v>0.27283400000000002</v>
      </c>
      <c r="H141" s="92">
        <v>0.28325600000000001</v>
      </c>
      <c r="I141" s="92">
        <v>0.29306500000000002</v>
      </c>
      <c r="J141" s="92">
        <v>0.30256499999999997</v>
      </c>
      <c r="K141" s="92">
        <v>0.311807</v>
      </c>
      <c r="L141" s="92">
        <v>0.32098700000000002</v>
      </c>
      <c r="M141" s="92">
        <v>0.32999000000000001</v>
      </c>
      <c r="N141" s="92">
        <v>0.33899699999999999</v>
      </c>
      <c r="O141" s="92">
        <v>0.34797400000000001</v>
      </c>
      <c r="P141" s="92">
        <v>0.35700599999999999</v>
      </c>
      <c r="Q141" s="92">
        <v>0.36603000000000002</v>
      </c>
      <c r="R141" s="92">
        <v>0.37504999999999999</v>
      </c>
      <c r="S141" s="92">
        <v>0.38404199999999999</v>
      </c>
      <c r="T141" s="92">
        <v>0.39302700000000002</v>
      </c>
      <c r="U141" s="92">
        <v>0.402001</v>
      </c>
      <c r="V141" s="92">
        <v>0.41092400000000001</v>
      </c>
      <c r="W141" s="92">
        <v>0.419794</v>
      </c>
      <c r="X141" s="92">
        <v>0.42865399999999998</v>
      </c>
      <c r="Y141" s="92">
        <v>0.43625900000000001</v>
      </c>
      <c r="Z141" s="92">
        <v>0.44089800000000001</v>
      </c>
      <c r="AA141" s="92">
        <v>0.44327499999999997</v>
      </c>
      <c r="AB141" s="92">
        <v>0.44412699999999999</v>
      </c>
      <c r="AC141" s="92">
        <v>0.44450499999999998</v>
      </c>
      <c r="AD141" s="92">
        <v>0.44182100000000002</v>
      </c>
      <c r="AE141" s="92">
        <v>0.43831300000000001</v>
      </c>
      <c r="AF141" s="89">
        <v>2.3538E-2</v>
      </c>
      <c r="AG141" s="80"/>
    </row>
    <row r="142" spans="1:33" ht="12" customHeight="1">
      <c r="A142" s="78" t="s">
        <v>409</v>
      </c>
      <c r="B142" s="87" t="s">
        <v>289</v>
      </c>
      <c r="C142" s="92">
        <v>6.7000000000000002E-5</v>
      </c>
      <c r="D142" s="92">
        <v>6.6000000000000005E-5</v>
      </c>
      <c r="E142" s="92">
        <v>6.4999999999999994E-5</v>
      </c>
      <c r="F142" s="92">
        <v>6.4999999999999994E-5</v>
      </c>
      <c r="G142" s="92">
        <v>6.3999999999999997E-5</v>
      </c>
      <c r="H142" s="92">
        <v>6.3E-5</v>
      </c>
      <c r="I142" s="92">
        <v>6.2000000000000003E-5</v>
      </c>
      <c r="J142" s="92">
        <v>6.0999999999999999E-5</v>
      </c>
      <c r="K142" s="92">
        <v>6.0000000000000002E-5</v>
      </c>
      <c r="L142" s="92">
        <v>5.8999999999999998E-5</v>
      </c>
      <c r="M142" s="92">
        <v>5.8E-5</v>
      </c>
      <c r="N142" s="92">
        <v>5.7000000000000003E-5</v>
      </c>
      <c r="O142" s="92">
        <v>5.5999999999999999E-5</v>
      </c>
      <c r="P142" s="92">
        <v>5.5000000000000002E-5</v>
      </c>
      <c r="Q142" s="92">
        <v>5.3999999999999998E-5</v>
      </c>
      <c r="R142" s="92">
        <v>5.3000000000000001E-5</v>
      </c>
      <c r="S142" s="92">
        <v>5.1E-5</v>
      </c>
      <c r="T142" s="92">
        <v>5.0000000000000002E-5</v>
      </c>
      <c r="U142" s="92">
        <v>4.8999999999999998E-5</v>
      </c>
      <c r="V142" s="92">
        <v>4.6999999999999997E-5</v>
      </c>
      <c r="W142" s="92">
        <v>4.6E-5</v>
      </c>
      <c r="X142" s="92">
        <v>4.5000000000000003E-5</v>
      </c>
      <c r="Y142" s="92">
        <v>3.6000000000000001E-5</v>
      </c>
      <c r="Z142" s="92">
        <v>2.5000000000000001E-5</v>
      </c>
      <c r="AA142" s="92">
        <v>1.8E-5</v>
      </c>
      <c r="AB142" s="92">
        <v>1.2E-5</v>
      </c>
      <c r="AC142" s="92">
        <v>9.0000000000000002E-6</v>
      </c>
      <c r="AD142" s="92">
        <v>6.0000000000000002E-6</v>
      </c>
      <c r="AE142" s="92">
        <v>3.9999999999999998E-6</v>
      </c>
      <c r="AF142" s="89">
        <v>-9.3524999999999997E-2</v>
      </c>
      <c r="AG142" s="80"/>
    </row>
    <row r="143" spans="1:33" ht="12" customHeight="1">
      <c r="A143" s="78" t="s">
        <v>410</v>
      </c>
      <c r="B143" s="87" t="s">
        <v>291</v>
      </c>
      <c r="C143" s="92">
        <v>0</v>
      </c>
      <c r="D143" s="92">
        <v>3.1599999999999998E-4</v>
      </c>
      <c r="E143" s="92">
        <v>6.4700000000000001E-4</v>
      </c>
      <c r="F143" s="92">
        <v>9.8799999999999995E-4</v>
      </c>
      <c r="G143" s="92">
        <v>1.3370000000000001E-3</v>
      </c>
      <c r="H143" s="92">
        <v>1.6949999999999999E-3</v>
      </c>
      <c r="I143" s="92">
        <v>2.0669999999999998E-3</v>
      </c>
      <c r="J143" s="92">
        <v>2.4559999999999998E-3</v>
      </c>
      <c r="K143" s="92">
        <v>2.8660000000000001E-3</v>
      </c>
      <c r="L143" s="92">
        <v>3.3E-3</v>
      </c>
      <c r="M143" s="92">
        <v>3.7629999999999999E-3</v>
      </c>
      <c r="N143" s="92">
        <v>4.2560000000000002E-3</v>
      </c>
      <c r="O143" s="92">
        <v>4.7840000000000001E-3</v>
      </c>
      <c r="P143" s="92">
        <v>5.3569999999999998E-3</v>
      </c>
      <c r="Q143" s="92">
        <v>5.9829999999999996E-3</v>
      </c>
      <c r="R143" s="92">
        <v>6.6709999999999998E-3</v>
      </c>
      <c r="S143" s="92">
        <v>7.4289999999999998E-3</v>
      </c>
      <c r="T143" s="92">
        <v>8.2660000000000008E-3</v>
      </c>
      <c r="U143" s="92">
        <v>9.1909999999999995E-3</v>
      </c>
      <c r="V143" s="92">
        <v>1.0203E-2</v>
      </c>
      <c r="W143" s="92">
        <v>1.1304E-2</v>
      </c>
      <c r="X143" s="92">
        <v>1.2494999999999999E-2</v>
      </c>
      <c r="Y143" s="92">
        <v>1.3772E-2</v>
      </c>
      <c r="Z143" s="92">
        <v>1.5141E-2</v>
      </c>
      <c r="AA143" s="92">
        <v>1.6594999999999999E-2</v>
      </c>
      <c r="AB143" s="92">
        <v>1.8123E-2</v>
      </c>
      <c r="AC143" s="92">
        <v>1.9715E-2</v>
      </c>
      <c r="AD143" s="92">
        <v>2.1368000000000002E-2</v>
      </c>
      <c r="AE143" s="92">
        <v>2.308E-2</v>
      </c>
      <c r="AF143" s="89" t="s">
        <v>217</v>
      </c>
      <c r="AG143" s="80"/>
    </row>
    <row r="144" spans="1:33" ht="12" customHeight="1">
      <c r="A144" s="78" t="s">
        <v>411</v>
      </c>
      <c r="B144" s="87" t="s">
        <v>293</v>
      </c>
      <c r="C144" s="92">
        <v>0</v>
      </c>
      <c r="D144" s="92">
        <v>3.2899999999999997E-4</v>
      </c>
      <c r="E144" s="92">
        <v>6.7400000000000001E-4</v>
      </c>
      <c r="F144" s="92">
        <v>1.024E-3</v>
      </c>
      <c r="G144" s="92">
        <v>1.377E-3</v>
      </c>
      <c r="H144" s="92">
        <v>1.7340000000000001E-3</v>
      </c>
      <c r="I144" s="92">
        <v>2.0950000000000001E-3</v>
      </c>
      <c r="J144" s="92">
        <v>2.467E-3</v>
      </c>
      <c r="K144" s="92">
        <v>2.856E-3</v>
      </c>
      <c r="L144" s="92">
        <v>3.2680000000000001E-3</v>
      </c>
      <c r="M144" s="92">
        <v>3.7100000000000002E-3</v>
      </c>
      <c r="N144" s="92">
        <v>4.1869999999999997E-3</v>
      </c>
      <c r="O144" s="92">
        <v>4.705E-3</v>
      </c>
      <c r="P144" s="92">
        <v>5.2760000000000003E-3</v>
      </c>
      <c r="Q144" s="92">
        <v>5.9090000000000002E-3</v>
      </c>
      <c r="R144" s="92">
        <v>6.6140000000000001E-3</v>
      </c>
      <c r="S144" s="92">
        <v>7.4009999999999996E-3</v>
      </c>
      <c r="T144" s="92">
        <v>8.2810000000000002E-3</v>
      </c>
      <c r="U144" s="92">
        <v>9.2630000000000004E-3</v>
      </c>
      <c r="V144" s="92">
        <v>1.0349000000000001E-2</v>
      </c>
      <c r="W144" s="92">
        <v>1.1542999999999999E-2</v>
      </c>
      <c r="X144" s="92">
        <v>1.2847000000000001E-2</v>
      </c>
      <c r="Y144" s="92">
        <v>1.4251E-2</v>
      </c>
      <c r="Z144" s="92">
        <v>1.5765000000000001E-2</v>
      </c>
      <c r="AA144" s="92">
        <v>1.7374000000000001E-2</v>
      </c>
      <c r="AB144" s="92">
        <v>1.9071000000000001E-2</v>
      </c>
      <c r="AC144" s="92">
        <v>2.0840999999999998E-2</v>
      </c>
      <c r="AD144" s="92">
        <v>2.2685E-2</v>
      </c>
      <c r="AE144" s="92">
        <v>2.4594000000000001E-2</v>
      </c>
      <c r="AF144" s="89" t="s">
        <v>217</v>
      </c>
      <c r="AG144" s="80"/>
    </row>
    <row r="145" spans="1:33" ht="12" customHeight="1">
      <c r="A145" s="78" t="s">
        <v>412</v>
      </c>
      <c r="B145" s="87" t="s">
        <v>295</v>
      </c>
      <c r="C145" s="92">
        <v>0</v>
      </c>
      <c r="D145" s="92">
        <v>0</v>
      </c>
      <c r="E145" s="92">
        <v>0</v>
      </c>
      <c r="F145" s="92">
        <v>0</v>
      </c>
      <c r="G145" s="92">
        <v>0</v>
      </c>
      <c r="H145" s="92">
        <v>0</v>
      </c>
      <c r="I145" s="92">
        <v>9.9999999999999995E-7</v>
      </c>
      <c r="J145" s="92">
        <v>9.9999999999999995E-7</v>
      </c>
      <c r="K145" s="92">
        <v>9.9999999999999995E-7</v>
      </c>
      <c r="L145" s="92">
        <v>9.9999999999999995E-7</v>
      </c>
      <c r="M145" s="92">
        <v>9.9999999999999995E-7</v>
      </c>
      <c r="N145" s="92">
        <v>9.9999999999999995E-7</v>
      </c>
      <c r="O145" s="92">
        <v>9.9999999999999995E-7</v>
      </c>
      <c r="P145" s="92">
        <v>9.9999999999999995E-7</v>
      </c>
      <c r="Q145" s="92">
        <v>9.9999999999999995E-7</v>
      </c>
      <c r="R145" s="92">
        <v>9.9999999999999995E-7</v>
      </c>
      <c r="S145" s="92">
        <v>1.9999999999999999E-6</v>
      </c>
      <c r="T145" s="92">
        <v>1.9999999999999999E-6</v>
      </c>
      <c r="U145" s="92">
        <v>1.9999999999999999E-6</v>
      </c>
      <c r="V145" s="92">
        <v>1.9999999999999999E-6</v>
      </c>
      <c r="W145" s="92">
        <v>1.9999999999999999E-6</v>
      </c>
      <c r="X145" s="92">
        <v>1.9999999999999999E-6</v>
      </c>
      <c r="Y145" s="92">
        <v>1.9999999999999999E-6</v>
      </c>
      <c r="Z145" s="92">
        <v>1.9999999999999999E-6</v>
      </c>
      <c r="AA145" s="92">
        <v>1.9999999999999999E-6</v>
      </c>
      <c r="AB145" s="92">
        <v>1.9999999999999999E-6</v>
      </c>
      <c r="AC145" s="92">
        <v>1.9999999999999999E-6</v>
      </c>
      <c r="AD145" s="92">
        <v>1.9999999999999999E-6</v>
      </c>
      <c r="AE145" s="92">
        <v>1.9999999999999999E-6</v>
      </c>
      <c r="AF145" s="89" t="s">
        <v>217</v>
      </c>
      <c r="AG145" s="80"/>
    </row>
    <row r="146" spans="1:33" ht="12" customHeight="1">
      <c r="A146" s="78" t="s">
        <v>413</v>
      </c>
      <c r="B146" s="87" t="s">
        <v>297</v>
      </c>
      <c r="C146" s="92">
        <v>4.5572350000000004</v>
      </c>
      <c r="D146" s="92">
        <v>4.7290020000000004</v>
      </c>
      <c r="E146" s="92">
        <v>4.9127999999999998</v>
      </c>
      <c r="F146" s="92">
        <v>5.1043260000000004</v>
      </c>
      <c r="G146" s="92">
        <v>5.2971899999999996</v>
      </c>
      <c r="H146" s="92">
        <v>5.487355</v>
      </c>
      <c r="I146" s="92">
        <v>5.6725500000000002</v>
      </c>
      <c r="J146" s="92">
        <v>5.8529099999999996</v>
      </c>
      <c r="K146" s="92">
        <v>6.02935</v>
      </c>
      <c r="L146" s="92">
        <v>6.2002790000000001</v>
      </c>
      <c r="M146" s="92">
        <v>6.3694100000000002</v>
      </c>
      <c r="N146" s="92">
        <v>6.5280370000000003</v>
      </c>
      <c r="O146" s="92">
        <v>6.6825029999999996</v>
      </c>
      <c r="P146" s="92">
        <v>6.8328829999999998</v>
      </c>
      <c r="Q146" s="92">
        <v>6.9851679999999998</v>
      </c>
      <c r="R146" s="92">
        <v>7.1385949999999996</v>
      </c>
      <c r="S146" s="92">
        <v>7.2927179999999998</v>
      </c>
      <c r="T146" s="92">
        <v>7.444204</v>
      </c>
      <c r="U146" s="92">
        <v>7.5930559999999998</v>
      </c>
      <c r="V146" s="92">
        <v>7.7457929999999999</v>
      </c>
      <c r="W146" s="92">
        <v>7.8962500000000002</v>
      </c>
      <c r="X146" s="92">
        <v>8.0561190000000007</v>
      </c>
      <c r="Y146" s="92">
        <v>8.2237679999999997</v>
      </c>
      <c r="Z146" s="92">
        <v>8.3889849999999999</v>
      </c>
      <c r="AA146" s="92">
        <v>8.5504960000000008</v>
      </c>
      <c r="AB146" s="92">
        <v>8.7149520000000003</v>
      </c>
      <c r="AC146" s="92">
        <v>8.8794520000000006</v>
      </c>
      <c r="AD146" s="92">
        <v>9.0347190000000008</v>
      </c>
      <c r="AE146" s="92">
        <v>9.1874509999999994</v>
      </c>
      <c r="AF146" s="89">
        <v>2.5356E-2</v>
      </c>
      <c r="AG146" s="80"/>
    </row>
    <row r="147" spans="1:33" ht="12" customHeight="1">
      <c r="B147" s="86" t="s">
        <v>298</v>
      </c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</row>
    <row r="148" spans="1:33" ht="12" customHeight="1">
      <c r="A148" s="78" t="s">
        <v>414</v>
      </c>
      <c r="B148" s="87" t="s">
        <v>279</v>
      </c>
      <c r="C148" s="92">
        <v>2.2437369999999999</v>
      </c>
      <c r="D148" s="92">
        <v>2.286295</v>
      </c>
      <c r="E148" s="92">
        <v>2.3282590000000001</v>
      </c>
      <c r="F148" s="92">
        <v>2.3705020000000001</v>
      </c>
      <c r="G148" s="92">
        <v>2.414231</v>
      </c>
      <c r="H148" s="92">
        <v>2.4601289999999998</v>
      </c>
      <c r="I148" s="92">
        <v>2.5065369999999998</v>
      </c>
      <c r="J148" s="92">
        <v>2.5488789999999999</v>
      </c>
      <c r="K148" s="92">
        <v>2.5876809999999999</v>
      </c>
      <c r="L148" s="92">
        <v>2.6220119999999998</v>
      </c>
      <c r="M148" s="92">
        <v>2.655789</v>
      </c>
      <c r="N148" s="92">
        <v>2.685311</v>
      </c>
      <c r="O148" s="92">
        <v>2.7116950000000002</v>
      </c>
      <c r="P148" s="92">
        <v>2.7389969999999999</v>
      </c>
      <c r="Q148" s="92">
        <v>2.7686130000000002</v>
      </c>
      <c r="R148" s="92">
        <v>2.7995800000000002</v>
      </c>
      <c r="S148" s="92">
        <v>2.8301050000000001</v>
      </c>
      <c r="T148" s="92">
        <v>2.8587389999999999</v>
      </c>
      <c r="U148" s="92">
        <v>2.8855249999999999</v>
      </c>
      <c r="V148" s="92">
        <v>2.9108130000000001</v>
      </c>
      <c r="W148" s="92">
        <v>2.9366029999999999</v>
      </c>
      <c r="X148" s="92">
        <v>2.96862</v>
      </c>
      <c r="Y148" s="92">
        <v>3.0048659999999998</v>
      </c>
      <c r="Z148" s="92">
        <v>3.0403660000000001</v>
      </c>
      <c r="AA148" s="92">
        <v>3.0729690000000001</v>
      </c>
      <c r="AB148" s="92">
        <v>3.1057389999999998</v>
      </c>
      <c r="AC148" s="92">
        <v>3.1385649999999998</v>
      </c>
      <c r="AD148" s="92">
        <v>3.1691940000000001</v>
      </c>
      <c r="AE148" s="92">
        <v>3.1979829999999998</v>
      </c>
      <c r="AF148" s="89">
        <v>1.2737E-2</v>
      </c>
      <c r="AG148" s="80"/>
    </row>
    <row r="149" spans="1:33" ht="12" customHeight="1">
      <c r="A149" s="78" t="s">
        <v>415</v>
      </c>
      <c r="B149" s="87" t="s">
        <v>281</v>
      </c>
      <c r="C149" s="92">
        <v>1.5028010000000001</v>
      </c>
      <c r="D149" s="92">
        <v>1.5106599999999999</v>
      </c>
      <c r="E149" s="92">
        <v>1.521682</v>
      </c>
      <c r="F149" s="92">
        <v>1.536027</v>
      </c>
      <c r="G149" s="92">
        <v>1.553299</v>
      </c>
      <c r="H149" s="92">
        <v>1.5740670000000001</v>
      </c>
      <c r="I149" s="92">
        <v>1.595553</v>
      </c>
      <c r="J149" s="92">
        <v>1.615586</v>
      </c>
      <c r="K149" s="92">
        <v>1.634533</v>
      </c>
      <c r="L149" s="92">
        <v>1.6496409999999999</v>
      </c>
      <c r="M149" s="92">
        <v>1.6660779999999999</v>
      </c>
      <c r="N149" s="92">
        <v>1.679308</v>
      </c>
      <c r="O149" s="92">
        <v>1.691457</v>
      </c>
      <c r="P149" s="92">
        <v>1.7060569999999999</v>
      </c>
      <c r="Q149" s="92">
        <v>1.72157</v>
      </c>
      <c r="R149" s="92">
        <v>1.7378290000000001</v>
      </c>
      <c r="S149" s="92">
        <v>1.753844</v>
      </c>
      <c r="T149" s="92">
        <v>1.770923</v>
      </c>
      <c r="U149" s="92">
        <v>1.786276</v>
      </c>
      <c r="V149" s="92">
        <v>1.802689</v>
      </c>
      <c r="W149" s="92">
        <v>1.8201099999999999</v>
      </c>
      <c r="X149" s="92">
        <v>1.840473</v>
      </c>
      <c r="Y149" s="92">
        <v>1.862393</v>
      </c>
      <c r="Z149" s="92">
        <v>1.8824430000000001</v>
      </c>
      <c r="AA149" s="92">
        <v>1.900587</v>
      </c>
      <c r="AB149" s="92">
        <v>1.9178740000000001</v>
      </c>
      <c r="AC149" s="92">
        <v>1.9347449999999999</v>
      </c>
      <c r="AD149" s="92">
        <v>1.9508810000000001</v>
      </c>
      <c r="AE149" s="92">
        <v>1.9650270000000001</v>
      </c>
      <c r="AF149" s="89">
        <v>9.6240000000000006E-3</v>
      </c>
      <c r="AG149" s="80"/>
    </row>
    <row r="150" spans="1:33" ht="15" customHeight="1">
      <c r="A150" s="78" t="s">
        <v>416</v>
      </c>
      <c r="B150" s="87" t="s">
        <v>283</v>
      </c>
      <c r="C150" s="92">
        <v>2.4919999999999999E-3</v>
      </c>
      <c r="D150" s="92">
        <v>2.5119999999999999E-3</v>
      </c>
      <c r="E150" s="92">
        <v>2.565E-3</v>
      </c>
      <c r="F150" s="92">
        <v>2.6389999999999999E-3</v>
      </c>
      <c r="G150" s="92">
        <v>2.7409999999999999E-3</v>
      </c>
      <c r="H150" s="92">
        <v>2.8609999999999998E-3</v>
      </c>
      <c r="I150" s="92">
        <v>2.9970000000000001E-3</v>
      </c>
      <c r="J150" s="92">
        <v>3.1280000000000001E-3</v>
      </c>
      <c r="K150" s="92">
        <v>3.2650000000000001E-3</v>
      </c>
      <c r="L150" s="92">
        <v>3.4060000000000002E-3</v>
      </c>
      <c r="M150" s="92">
        <v>3.5660000000000002E-3</v>
      </c>
      <c r="N150" s="92">
        <v>3.7569999999999999E-3</v>
      </c>
      <c r="O150" s="92">
        <v>3.9490000000000003E-3</v>
      </c>
      <c r="P150" s="92">
        <v>4.1520000000000003E-3</v>
      </c>
      <c r="Q150" s="92">
        <v>4.3949999999999996E-3</v>
      </c>
      <c r="R150" s="92">
        <v>4.6769999999999997E-3</v>
      </c>
      <c r="S150" s="92">
        <v>4.9950000000000003E-3</v>
      </c>
      <c r="T150" s="92">
        <v>5.3480000000000003E-3</v>
      </c>
      <c r="U150" s="92">
        <v>5.7359999999999998E-3</v>
      </c>
      <c r="V150" s="92">
        <v>6.1580000000000003E-3</v>
      </c>
      <c r="W150" s="92">
        <v>6.6080000000000002E-3</v>
      </c>
      <c r="X150" s="92">
        <v>7.0899999999999999E-3</v>
      </c>
      <c r="Y150" s="92">
        <v>7.5950000000000002E-3</v>
      </c>
      <c r="Z150" s="92">
        <v>8.116E-3</v>
      </c>
      <c r="AA150" s="92">
        <v>8.6529999999999992E-3</v>
      </c>
      <c r="AB150" s="92">
        <v>9.2040000000000004E-3</v>
      </c>
      <c r="AC150" s="92">
        <v>9.7710000000000002E-3</v>
      </c>
      <c r="AD150" s="92">
        <v>1.0267999999999999E-2</v>
      </c>
      <c r="AE150" s="92">
        <v>1.0788000000000001E-2</v>
      </c>
      <c r="AF150" s="89">
        <v>5.3726999999999997E-2</v>
      </c>
      <c r="AG150" s="80"/>
    </row>
    <row r="151" spans="1:33" ht="15" customHeight="1">
      <c r="A151" s="78" t="s">
        <v>417</v>
      </c>
      <c r="B151" s="87" t="s">
        <v>285</v>
      </c>
      <c r="C151" s="92">
        <v>2.4350000000000001E-3</v>
      </c>
      <c r="D151" s="92">
        <v>2.467E-3</v>
      </c>
      <c r="E151" s="92">
        <v>2.4859999999999999E-3</v>
      </c>
      <c r="F151" s="92">
        <v>2.493E-3</v>
      </c>
      <c r="G151" s="92">
        <v>2.4880000000000002E-3</v>
      </c>
      <c r="H151" s="92">
        <v>2.4729999999999999E-3</v>
      </c>
      <c r="I151" s="92">
        <v>2.4499999999999999E-3</v>
      </c>
      <c r="J151" s="92">
        <v>2.4160000000000002E-3</v>
      </c>
      <c r="K151" s="92">
        <v>2.3749999999999999E-3</v>
      </c>
      <c r="L151" s="92">
        <v>2.3249999999999998E-3</v>
      </c>
      <c r="M151" s="92">
        <v>2.2680000000000001E-3</v>
      </c>
      <c r="N151" s="92">
        <v>2.2060000000000001E-3</v>
      </c>
      <c r="O151" s="92">
        <v>2.137E-3</v>
      </c>
      <c r="P151" s="92">
        <v>2.062E-3</v>
      </c>
      <c r="Q151" s="92">
        <v>1.977E-3</v>
      </c>
      <c r="R151" s="92">
        <v>1.89E-3</v>
      </c>
      <c r="S151" s="92">
        <v>1.802E-3</v>
      </c>
      <c r="T151" s="92">
        <v>1.719E-3</v>
      </c>
      <c r="U151" s="92">
        <v>1.6410000000000001E-3</v>
      </c>
      <c r="V151" s="92">
        <v>1.5510000000000001E-3</v>
      </c>
      <c r="W151" s="92">
        <v>1.47E-3</v>
      </c>
      <c r="X151" s="92">
        <v>1.3649999999999999E-3</v>
      </c>
      <c r="Y151" s="92">
        <v>1.2509999999999999E-3</v>
      </c>
      <c r="Z151" s="92">
        <v>1.158E-3</v>
      </c>
      <c r="AA151" s="92">
        <v>1.077E-3</v>
      </c>
      <c r="AB151" s="92">
        <v>9.9200000000000004E-4</v>
      </c>
      <c r="AC151" s="92">
        <v>9.0200000000000002E-4</v>
      </c>
      <c r="AD151" s="92">
        <v>8.1999999999999998E-4</v>
      </c>
      <c r="AE151" s="92">
        <v>7.5000000000000002E-4</v>
      </c>
      <c r="AF151" s="89">
        <v>-4.1189000000000003E-2</v>
      </c>
      <c r="AG151" s="80"/>
    </row>
    <row r="152" spans="1:33" ht="15" customHeight="1">
      <c r="A152" s="78" t="s">
        <v>418</v>
      </c>
      <c r="B152" s="87" t="s">
        <v>287</v>
      </c>
      <c r="C152" s="92">
        <v>3.3721000000000001E-2</v>
      </c>
      <c r="D152" s="92">
        <v>3.7009E-2</v>
      </c>
      <c r="E152" s="92">
        <v>4.0771000000000002E-2</v>
      </c>
      <c r="F152" s="92">
        <v>4.4796000000000002E-2</v>
      </c>
      <c r="G152" s="92">
        <v>4.9252999999999998E-2</v>
      </c>
      <c r="H152" s="92">
        <v>5.4266000000000002E-2</v>
      </c>
      <c r="I152" s="92">
        <v>5.9671000000000002E-2</v>
      </c>
      <c r="J152" s="92">
        <v>6.5405000000000005E-2</v>
      </c>
      <c r="K152" s="92">
        <v>7.1421999999999999E-2</v>
      </c>
      <c r="L152" s="92">
        <v>7.7891000000000002E-2</v>
      </c>
      <c r="M152" s="92">
        <v>8.4977999999999998E-2</v>
      </c>
      <c r="N152" s="92">
        <v>9.2817999999999998E-2</v>
      </c>
      <c r="O152" s="92">
        <v>0.101296</v>
      </c>
      <c r="P152" s="92">
        <v>0.11043600000000001</v>
      </c>
      <c r="Q152" s="92">
        <v>0.120042</v>
      </c>
      <c r="R152" s="92">
        <v>0.13008800000000001</v>
      </c>
      <c r="S152" s="92">
        <v>0.140457</v>
      </c>
      <c r="T152" s="92">
        <v>0.15113299999999999</v>
      </c>
      <c r="U152" s="92">
        <v>0.16206599999999999</v>
      </c>
      <c r="V152" s="92">
        <v>0.17324300000000001</v>
      </c>
      <c r="W152" s="92">
        <v>0.184556</v>
      </c>
      <c r="X152" s="92">
        <v>0.19605900000000001</v>
      </c>
      <c r="Y152" s="92">
        <v>0.20741200000000001</v>
      </c>
      <c r="Z152" s="92">
        <v>0.21848600000000001</v>
      </c>
      <c r="AA152" s="92">
        <v>0.22906399999999999</v>
      </c>
      <c r="AB152" s="92">
        <v>0.239314</v>
      </c>
      <c r="AC152" s="92">
        <v>0.24909800000000001</v>
      </c>
      <c r="AD152" s="92">
        <v>0.25861600000000001</v>
      </c>
      <c r="AE152" s="92">
        <v>0.26780399999999999</v>
      </c>
      <c r="AF152" s="89">
        <v>7.6813000000000006E-2</v>
      </c>
      <c r="AG152" s="80"/>
    </row>
    <row r="153" spans="1:33" ht="15" customHeight="1">
      <c r="A153" s="78" t="s">
        <v>419</v>
      </c>
      <c r="B153" s="87" t="s">
        <v>289</v>
      </c>
      <c r="C153" s="92">
        <v>2.4399999999999999E-4</v>
      </c>
      <c r="D153" s="92">
        <v>3.0200000000000002E-4</v>
      </c>
      <c r="E153" s="92">
        <v>3.5399999999999999E-4</v>
      </c>
      <c r="F153" s="92">
        <v>3.9800000000000002E-4</v>
      </c>
      <c r="G153" s="92">
        <v>4.3800000000000002E-4</v>
      </c>
      <c r="H153" s="92">
        <v>4.7199999999999998E-4</v>
      </c>
      <c r="I153" s="92">
        <v>5.0199999999999995E-4</v>
      </c>
      <c r="J153" s="92">
        <v>5.2599999999999999E-4</v>
      </c>
      <c r="K153" s="92">
        <v>5.4500000000000002E-4</v>
      </c>
      <c r="L153" s="92">
        <v>5.5900000000000004E-4</v>
      </c>
      <c r="M153" s="92">
        <v>5.6899999999999995E-4</v>
      </c>
      <c r="N153" s="92">
        <v>5.7600000000000001E-4</v>
      </c>
      <c r="O153" s="92">
        <v>5.7899999999999998E-4</v>
      </c>
      <c r="P153" s="92">
        <v>5.7899999999999998E-4</v>
      </c>
      <c r="Q153" s="92">
        <v>5.7700000000000004E-4</v>
      </c>
      <c r="R153" s="92">
        <v>5.71E-4</v>
      </c>
      <c r="S153" s="92">
        <v>5.6300000000000002E-4</v>
      </c>
      <c r="T153" s="92">
        <v>5.53E-4</v>
      </c>
      <c r="U153" s="92">
        <v>5.4100000000000003E-4</v>
      </c>
      <c r="V153" s="92">
        <v>5.2800000000000004E-4</v>
      </c>
      <c r="W153" s="92">
        <v>5.13E-4</v>
      </c>
      <c r="X153" s="92">
        <v>4.9700000000000005E-4</v>
      </c>
      <c r="Y153" s="92">
        <v>4.8000000000000001E-4</v>
      </c>
      <c r="Z153" s="92">
        <v>4.6200000000000001E-4</v>
      </c>
      <c r="AA153" s="92">
        <v>4.44E-4</v>
      </c>
      <c r="AB153" s="92">
        <v>4.26E-4</v>
      </c>
      <c r="AC153" s="92">
        <v>4.08E-4</v>
      </c>
      <c r="AD153" s="92">
        <v>3.8900000000000002E-4</v>
      </c>
      <c r="AE153" s="92">
        <v>3.7100000000000002E-4</v>
      </c>
      <c r="AF153" s="89">
        <v>1.5082E-2</v>
      </c>
      <c r="AG153" s="80"/>
    </row>
    <row r="154" spans="1:33" ht="15" customHeight="1">
      <c r="A154" s="78" t="s">
        <v>420</v>
      </c>
      <c r="B154" s="87" t="s">
        <v>291</v>
      </c>
      <c r="C154" s="92">
        <v>0</v>
      </c>
      <c r="D154" s="92">
        <v>0</v>
      </c>
      <c r="E154" s="92">
        <v>2.2499999999999999E-4</v>
      </c>
      <c r="F154" s="92">
        <v>4.5199999999999998E-4</v>
      </c>
      <c r="G154" s="92">
        <v>6.8199999999999999E-4</v>
      </c>
      <c r="H154" s="92">
        <v>9.2100000000000005E-4</v>
      </c>
      <c r="I154" s="92">
        <v>1.1659999999999999E-3</v>
      </c>
      <c r="J154" s="92">
        <v>1.413E-3</v>
      </c>
      <c r="K154" s="92">
        <v>1.6570000000000001E-3</v>
      </c>
      <c r="L154" s="92">
        <v>1.9009999999999999E-3</v>
      </c>
      <c r="M154" s="92">
        <v>2.1510000000000001E-3</v>
      </c>
      <c r="N154" s="92">
        <v>2.4130000000000002E-3</v>
      </c>
      <c r="O154" s="92">
        <v>2.6849999999999999E-3</v>
      </c>
      <c r="P154" s="92">
        <v>2.9680000000000002E-3</v>
      </c>
      <c r="Q154" s="92">
        <v>3.264E-3</v>
      </c>
      <c r="R154" s="92">
        <v>3.5739999999999999E-3</v>
      </c>
      <c r="S154" s="92">
        <v>3.8990000000000001E-3</v>
      </c>
      <c r="T154" s="92">
        <v>4.241E-3</v>
      </c>
      <c r="U154" s="92">
        <v>4.6030000000000003E-3</v>
      </c>
      <c r="V154" s="92">
        <v>4.9880000000000002E-3</v>
      </c>
      <c r="W154" s="92">
        <v>5.3949999999999996E-3</v>
      </c>
      <c r="X154" s="92">
        <v>5.8279999999999998E-3</v>
      </c>
      <c r="Y154" s="92">
        <v>6.2830000000000004E-3</v>
      </c>
      <c r="Z154" s="92">
        <v>6.7559999999999999E-3</v>
      </c>
      <c r="AA154" s="92">
        <v>7.2459999999999998E-3</v>
      </c>
      <c r="AB154" s="92">
        <v>7.757E-3</v>
      </c>
      <c r="AC154" s="92">
        <v>8.2869999999999992E-3</v>
      </c>
      <c r="AD154" s="92">
        <v>8.8350000000000008E-3</v>
      </c>
      <c r="AE154" s="92">
        <v>9.3989999999999994E-3</v>
      </c>
      <c r="AF154" s="89" t="s">
        <v>217</v>
      </c>
      <c r="AG154" s="80"/>
    </row>
    <row r="155" spans="1:33" ht="15" customHeight="1">
      <c r="A155" s="78" t="s">
        <v>421</v>
      </c>
      <c r="B155" s="87" t="s">
        <v>293</v>
      </c>
      <c r="C155" s="92">
        <v>0</v>
      </c>
      <c r="D155" s="92">
        <v>0</v>
      </c>
      <c r="E155" s="92">
        <v>2.1900000000000001E-4</v>
      </c>
      <c r="F155" s="92">
        <v>4.35E-4</v>
      </c>
      <c r="G155" s="92">
        <v>6.5200000000000002E-4</v>
      </c>
      <c r="H155" s="92">
        <v>8.7200000000000005E-4</v>
      </c>
      <c r="I155" s="92">
        <v>1.096E-3</v>
      </c>
      <c r="J155" s="92">
        <v>1.3179999999999999E-3</v>
      </c>
      <c r="K155" s="92">
        <v>1.539E-3</v>
      </c>
      <c r="L155" s="92">
        <v>1.7639999999999999E-3</v>
      </c>
      <c r="M155" s="92">
        <v>2.0010000000000002E-3</v>
      </c>
      <c r="N155" s="92">
        <v>2.2560000000000002E-3</v>
      </c>
      <c r="O155" s="92">
        <v>2.529E-3</v>
      </c>
      <c r="P155" s="92">
        <v>2.8219999999999999E-3</v>
      </c>
      <c r="Q155" s="92">
        <v>3.1380000000000002E-3</v>
      </c>
      <c r="R155" s="92">
        <v>3.48E-3</v>
      </c>
      <c r="S155" s="92">
        <v>3.8500000000000001E-3</v>
      </c>
      <c r="T155" s="92">
        <v>4.2529999999999998E-3</v>
      </c>
      <c r="U155" s="92">
        <v>4.6940000000000003E-3</v>
      </c>
      <c r="V155" s="92">
        <v>5.1770000000000002E-3</v>
      </c>
      <c r="W155" s="92">
        <v>5.7060000000000001E-3</v>
      </c>
      <c r="X155" s="92">
        <v>6.2849999999999998E-3</v>
      </c>
      <c r="Y155" s="92">
        <v>6.9100000000000003E-3</v>
      </c>
      <c r="Z155" s="92">
        <v>7.5719999999999997E-3</v>
      </c>
      <c r="AA155" s="92">
        <v>8.2699999999999996E-3</v>
      </c>
      <c r="AB155" s="92">
        <v>9.0060000000000001E-3</v>
      </c>
      <c r="AC155" s="92">
        <v>9.7789999999999995E-3</v>
      </c>
      <c r="AD155" s="92">
        <v>1.0584E-2</v>
      </c>
      <c r="AE155" s="92">
        <v>1.1415E-2</v>
      </c>
      <c r="AF155" s="89" t="s">
        <v>217</v>
      </c>
      <c r="AG155" s="80"/>
    </row>
    <row r="156" spans="1:33" ht="15" customHeight="1">
      <c r="A156" s="78" t="s">
        <v>422</v>
      </c>
      <c r="B156" s="87" t="s">
        <v>295</v>
      </c>
      <c r="C156" s="92">
        <v>0</v>
      </c>
      <c r="D156" s="92">
        <v>0</v>
      </c>
      <c r="E156" s="92">
        <v>3.7599999999999998E-4</v>
      </c>
      <c r="F156" s="92">
        <v>7.5799999999999999E-4</v>
      </c>
      <c r="G156" s="92">
        <v>1.1509999999999999E-3</v>
      </c>
      <c r="H156" s="92">
        <v>1.5610000000000001E-3</v>
      </c>
      <c r="I156" s="92">
        <v>1.9840000000000001E-3</v>
      </c>
      <c r="J156" s="92">
        <v>2.4109999999999999E-3</v>
      </c>
      <c r="K156" s="92">
        <v>2.8349999999999998E-3</v>
      </c>
      <c r="L156" s="92">
        <v>3.2590000000000002E-3</v>
      </c>
      <c r="M156" s="92">
        <v>3.692E-3</v>
      </c>
      <c r="N156" s="92">
        <v>4.1390000000000003E-3</v>
      </c>
      <c r="O156" s="92">
        <v>4.6020000000000002E-3</v>
      </c>
      <c r="P156" s="92">
        <v>5.084E-3</v>
      </c>
      <c r="Q156" s="92">
        <v>5.5890000000000002E-3</v>
      </c>
      <c r="R156" s="92">
        <v>6.1209999999999997E-3</v>
      </c>
      <c r="S156" s="92">
        <v>6.6839999999999998E-3</v>
      </c>
      <c r="T156" s="92">
        <v>7.2820000000000003E-3</v>
      </c>
      <c r="U156" s="92">
        <v>7.9209999999999992E-3</v>
      </c>
      <c r="V156" s="92">
        <v>8.6079999999999993E-3</v>
      </c>
      <c r="W156" s="92">
        <v>9.3430000000000006E-3</v>
      </c>
      <c r="X156" s="92">
        <v>1.0130999999999999E-2</v>
      </c>
      <c r="Y156" s="92">
        <v>1.0968E-2</v>
      </c>
      <c r="Z156" s="92">
        <v>1.1842999999999999E-2</v>
      </c>
      <c r="AA156" s="92">
        <v>1.2758E-2</v>
      </c>
      <c r="AB156" s="92">
        <v>1.3715E-2</v>
      </c>
      <c r="AC156" s="92">
        <v>1.4716E-2</v>
      </c>
      <c r="AD156" s="92">
        <v>1.5751999999999999E-2</v>
      </c>
      <c r="AE156" s="92">
        <v>1.6823000000000001E-2</v>
      </c>
      <c r="AF156" s="89" t="s">
        <v>217</v>
      </c>
      <c r="AG156" s="80"/>
    </row>
    <row r="157" spans="1:33" ht="15" customHeight="1">
      <c r="A157" s="78" t="s">
        <v>423</v>
      </c>
      <c r="B157" s="87" t="s">
        <v>309</v>
      </c>
      <c r="C157" s="92">
        <v>3.7854269999999999</v>
      </c>
      <c r="D157" s="92">
        <v>3.8392460000000002</v>
      </c>
      <c r="E157" s="92">
        <v>3.896935</v>
      </c>
      <c r="F157" s="92">
        <v>3.9585020000000002</v>
      </c>
      <c r="G157" s="92">
        <v>4.0249319999999997</v>
      </c>
      <c r="H157" s="92">
        <v>4.097626</v>
      </c>
      <c r="I157" s="92">
        <v>4.1719590000000002</v>
      </c>
      <c r="J157" s="92">
        <v>4.2410829999999997</v>
      </c>
      <c r="K157" s="92">
        <v>4.3058509999999997</v>
      </c>
      <c r="L157" s="92">
        <v>4.3627609999999999</v>
      </c>
      <c r="M157" s="92">
        <v>4.4210929999999999</v>
      </c>
      <c r="N157" s="92">
        <v>4.4727800000000002</v>
      </c>
      <c r="O157" s="92">
        <v>4.5209279999999996</v>
      </c>
      <c r="P157" s="92">
        <v>4.5731520000000003</v>
      </c>
      <c r="Q157" s="92">
        <v>4.6291640000000003</v>
      </c>
      <c r="R157" s="92">
        <v>4.6878130000000002</v>
      </c>
      <c r="S157" s="92">
        <v>4.7462020000000003</v>
      </c>
      <c r="T157" s="92">
        <v>4.8041939999999999</v>
      </c>
      <c r="U157" s="92">
        <v>4.8590020000000003</v>
      </c>
      <c r="V157" s="92">
        <v>4.9137469999999999</v>
      </c>
      <c r="W157" s="92">
        <v>4.9703020000000002</v>
      </c>
      <c r="X157" s="92">
        <v>5.0363410000000002</v>
      </c>
      <c r="Y157" s="92">
        <v>5.1081560000000001</v>
      </c>
      <c r="Z157" s="92">
        <v>5.1772010000000002</v>
      </c>
      <c r="AA157" s="92">
        <v>5.2410680000000003</v>
      </c>
      <c r="AB157" s="92">
        <v>5.3040250000000002</v>
      </c>
      <c r="AC157" s="92">
        <v>5.3662710000000002</v>
      </c>
      <c r="AD157" s="92">
        <v>5.4253349999999996</v>
      </c>
      <c r="AE157" s="92">
        <v>5.4803610000000003</v>
      </c>
      <c r="AF157" s="89">
        <v>1.3302E-2</v>
      </c>
      <c r="AG157" s="80"/>
    </row>
    <row r="158" spans="1:33" ht="15" customHeight="1">
      <c r="B158" s="86" t="s">
        <v>310</v>
      </c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</row>
    <row r="159" spans="1:33" ht="15" customHeight="1">
      <c r="A159" s="78" t="s">
        <v>424</v>
      </c>
      <c r="B159" s="87" t="s">
        <v>279</v>
      </c>
      <c r="C159" s="92">
        <v>5.2064019999999998</v>
      </c>
      <c r="D159" s="92">
        <v>5.2888780000000004</v>
      </c>
      <c r="E159" s="92">
        <v>5.3703010000000004</v>
      </c>
      <c r="F159" s="92">
        <v>5.4525410000000001</v>
      </c>
      <c r="G159" s="92">
        <v>5.5382790000000002</v>
      </c>
      <c r="H159" s="92">
        <v>5.627815</v>
      </c>
      <c r="I159" s="92">
        <v>5.7139410000000002</v>
      </c>
      <c r="J159" s="92">
        <v>5.7869250000000001</v>
      </c>
      <c r="K159" s="92">
        <v>5.8481120000000004</v>
      </c>
      <c r="L159" s="92">
        <v>5.9006040000000004</v>
      </c>
      <c r="M159" s="92">
        <v>5.9465589999999997</v>
      </c>
      <c r="N159" s="92">
        <v>5.9845050000000004</v>
      </c>
      <c r="O159" s="92">
        <v>6.0113009999999996</v>
      </c>
      <c r="P159" s="92">
        <v>6.0395349999999999</v>
      </c>
      <c r="Q159" s="92">
        <v>6.0732929999999996</v>
      </c>
      <c r="R159" s="92">
        <v>6.1074250000000001</v>
      </c>
      <c r="S159" s="92">
        <v>6.1398859999999997</v>
      </c>
      <c r="T159" s="92">
        <v>6.1630339999999997</v>
      </c>
      <c r="U159" s="92">
        <v>6.179583</v>
      </c>
      <c r="V159" s="92">
        <v>6.1844590000000004</v>
      </c>
      <c r="W159" s="92">
        <v>6.1998239999999996</v>
      </c>
      <c r="X159" s="92">
        <v>6.2213029999999998</v>
      </c>
      <c r="Y159" s="92">
        <v>6.2479550000000001</v>
      </c>
      <c r="Z159" s="92">
        <v>6.2727950000000003</v>
      </c>
      <c r="AA159" s="92">
        <v>6.2884719999999996</v>
      </c>
      <c r="AB159" s="92">
        <v>6.2973910000000002</v>
      </c>
      <c r="AC159" s="92">
        <v>6.3017019999999997</v>
      </c>
      <c r="AD159" s="92">
        <v>6.2968999999999999</v>
      </c>
      <c r="AE159" s="92">
        <v>6.2831700000000001</v>
      </c>
      <c r="AF159" s="89">
        <v>6.7359999999999998E-3</v>
      </c>
      <c r="AG159" s="80"/>
    </row>
    <row r="160" spans="1:33" ht="15" customHeight="1">
      <c r="A160" s="78" t="s">
        <v>425</v>
      </c>
      <c r="B160" s="87" t="s">
        <v>281</v>
      </c>
      <c r="C160" s="92">
        <v>4.3720000000000002E-2</v>
      </c>
      <c r="D160" s="92">
        <v>3.9244000000000001E-2</v>
      </c>
      <c r="E160" s="92">
        <v>3.5563999999999998E-2</v>
      </c>
      <c r="F160" s="92">
        <v>3.2551999999999998E-2</v>
      </c>
      <c r="G160" s="92">
        <v>3.0339000000000001E-2</v>
      </c>
      <c r="H160" s="92">
        <v>2.8802999999999999E-2</v>
      </c>
      <c r="I160" s="92">
        <v>2.7737999999999999E-2</v>
      </c>
      <c r="J160" s="92">
        <v>2.6907E-2</v>
      </c>
      <c r="K160" s="92">
        <v>2.6339000000000001E-2</v>
      </c>
      <c r="L160" s="92">
        <v>2.5862E-2</v>
      </c>
      <c r="M160" s="92">
        <v>2.5571E-2</v>
      </c>
      <c r="N160" s="92">
        <v>2.5485000000000001E-2</v>
      </c>
      <c r="O160" s="92">
        <v>2.5562000000000001E-2</v>
      </c>
      <c r="P160" s="92">
        <v>2.5825000000000001E-2</v>
      </c>
      <c r="Q160" s="92">
        <v>2.6147E-2</v>
      </c>
      <c r="R160" s="92">
        <v>2.6608E-2</v>
      </c>
      <c r="S160" s="92">
        <v>2.7149E-2</v>
      </c>
      <c r="T160" s="92">
        <v>2.7682999999999999E-2</v>
      </c>
      <c r="U160" s="92">
        <v>2.8167000000000001E-2</v>
      </c>
      <c r="V160" s="92">
        <v>2.8698999999999999E-2</v>
      </c>
      <c r="W160" s="92">
        <v>2.913E-2</v>
      </c>
      <c r="X160" s="92">
        <v>2.9527000000000001E-2</v>
      </c>
      <c r="Y160" s="92">
        <v>2.9994E-2</v>
      </c>
      <c r="Z160" s="92">
        <v>3.0487E-2</v>
      </c>
      <c r="AA160" s="92">
        <v>3.0977000000000001E-2</v>
      </c>
      <c r="AB160" s="92">
        <v>3.1455999999999998E-2</v>
      </c>
      <c r="AC160" s="92">
        <v>3.1931000000000001E-2</v>
      </c>
      <c r="AD160" s="92">
        <v>3.2369000000000002E-2</v>
      </c>
      <c r="AE160" s="92">
        <v>3.2777000000000001E-2</v>
      </c>
      <c r="AF160" s="89">
        <v>-1.0236E-2</v>
      </c>
      <c r="AG160" s="80"/>
    </row>
    <row r="161" spans="1:33" ht="15" customHeight="1">
      <c r="A161" s="78" t="s">
        <v>426</v>
      </c>
      <c r="B161" s="87" t="s">
        <v>283</v>
      </c>
      <c r="C161" s="92">
        <v>3.2079999999999999E-3</v>
      </c>
      <c r="D161" s="92">
        <v>3.1340000000000001E-3</v>
      </c>
      <c r="E161" s="92">
        <v>3.0799999999999998E-3</v>
      </c>
      <c r="F161" s="92">
        <v>3.0439999999999998E-3</v>
      </c>
      <c r="G161" s="92">
        <v>3.052E-3</v>
      </c>
      <c r="H161" s="92">
        <v>3.0769999999999999E-3</v>
      </c>
      <c r="I161" s="92">
        <v>3.0990000000000002E-3</v>
      </c>
      <c r="J161" s="92">
        <v>3.0829999999999998E-3</v>
      </c>
      <c r="K161" s="92">
        <v>3.075E-3</v>
      </c>
      <c r="L161" s="92">
        <v>3.068E-3</v>
      </c>
      <c r="M161" s="92">
        <v>3.058E-3</v>
      </c>
      <c r="N161" s="92">
        <v>3.0829999999999998E-3</v>
      </c>
      <c r="O161" s="92">
        <v>3.1280000000000001E-3</v>
      </c>
      <c r="P161" s="92">
        <v>3.1879999999999999E-3</v>
      </c>
      <c r="Q161" s="92">
        <v>3.2569999999999999E-3</v>
      </c>
      <c r="R161" s="92">
        <v>3.3300000000000001E-3</v>
      </c>
      <c r="S161" s="92">
        <v>3.405E-3</v>
      </c>
      <c r="T161" s="92">
        <v>3.4789999999999999E-3</v>
      </c>
      <c r="U161" s="92">
        <v>3.5530000000000002E-3</v>
      </c>
      <c r="V161" s="92">
        <v>3.6229999999999999E-3</v>
      </c>
      <c r="W161" s="92">
        <v>3.6909999999999998E-3</v>
      </c>
      <c r="X161" s="92">
        <v>3.7550000000000001E-3</v>
      </c>
      <c r="Y161" s="92">
        <v>3.8159999999999999E-3</v>
      </c>
      <c r="Z161" s="92">
        <v>3.8709999999999999E-3</v>
      </c>
      <c r="AA161" s="92">
        <v>3.921E-3</v>
      </c>
      <c r="AB161" s="92">
        <v>3.967E-3</v>
      </c>
      <c r="AC161" s="92">
        <v>4.0090000000000004E-3</v>
      </c>
      <c r="AD161" s="92">
        <v>4.0270000000000002E-3</v>
      </c>
      <c r="AE161" s="92">
        <v>4.0179999999999999E-3</v>
      </c>
      <c r="AF161" s="89">
        <v>8.071E-3</v>
      </c>
      <c r="AG161" s="80"/>
    </row>
    <row r="162" spans="1:33" ht="15" customHeight="1">
      <c r="A162" s="78" t="s">
        <v>427</v>
      </c>
      <c r="B162" s="87" t="s">
        <v>285</v>
      </c>
      <c r="C162" s="92">
        <v>4.9806000000000003E-2</v>
      </c>
      <c r="D162" s="92">
        <v>5.3505999999999998E-2</v>
      </c>
      <c r="E162" s="92">
        <v>5.7007000000000002E-2</v>
      </c>
      <c r="F162" s="92">
        <v>6.0267000000000001E-2</v>
      </c>
      <c r="G162" s="92">
        <v>6.3335000000000002E-2</v>
      </c>
      <c r="H162" s="92">
        <v>6.6187999999999997E-2</v>
      </c>
      <c r="I162" s="92">
        <v>6.8793000000000007E-2</v>
      </c>
      <c r="J162" s="92">
        <v>7.1056999999999995E-2</v>
      </c>
      <c r="K162" s="92">
        <v>7.2950000000000001E-2</v>
      </c>
      <c r="L162" s="92">
        <v>7.4646000000000004E-2</v>
      </c>
      <c r="M162" s="92">
        <v>7.6287999999999995E-2</v>
      </c>
      <c r="N162" s="92">
        <v>7.7964000000000006E-2</v>
      </c>
      <c r="O162" s="92">
        <v>7.9705999999999999E-2</v>
      </c>
      <c r="P162" s="92">
        <v>8.1534999999999996E-2</v>
      </c>
      <c r="Q162" s="92">
        <v>8.3455000000000001E-2</v>
      </c>
      <c r="R162" s="92">
        <v>8.5483000000000003E-2</v>
      </c>
      <c r="S162" s="92">
        <v>8.7620000000000003E-2</v>
      </c>
      <c r="T162" s="92">
        <v>8.9883000000000005E-2</v>
      </c>
      <c r="U162" s="92">
        <v>9.2301999999999995E-2</v>
      </c>
      <c r="V162" s="92">
        <v>9.4889000000000001E-2</v>
      </c>
      <c r="W162" s="92">
        <v>9.7609000000000001E-2</v>
      </c>
      <c r="X162" s="92">
        <v>0.100438</v>
      </c>
      <c r="Y162" s="92">
        <v>0.103409</v>
      </c>
      <c r="Z162" s="92">
        <v>0.106421</v>
      </c>
      <c r="AA162" s="92">
        <v>0.109391</v>
      </c>
      <c r="AB162" s="92">
        <v>0.112428</v>
      </c>
      <c r="AC162" s="92">
        <v>0.11534700000000001</v>
      </c>
      <c r="AD162" s="92">
        <v>0.11822199999999999</v>
      </c>
      <c r="AE162" s="92">
        <v>0.12117</v>
      </c>
      <c r="AF162" s="89">
        <v>3.2260999999999998E-2</v>
      </c>
      <c r="AG162" s="80"/>
    </row>
    <row r="163" spans="1:33" ht="12" customHeight="1">
      <c r="A163" s="78" t="s">
        <v>428</v>
      </c>
      <c r="B163" s="87" t="s">
        <v>287</v>
      </c>
      <c r="C163" s="92">
        <v>0</v>
      </c>
      <c r="D163" s="92">
        <v>0</v>
      </c>
      <c r="E163" s="92">
        <v>0</v>
      </c>
      <c r="F163" s="92">
        <v>0</v>
      </c>
      <c r="G163" s="92">
        <v>0</v>
      </c>
      <c r="H163" s="92">
        <v>0</v>
      </c>
      <c r="I163" s="92">
        <v>0</v>
      </c>
      <c r="J163" s="92">
        <v>0</v>
      </c>
      <c r="K163" s="92">
        <v>0</v>
      </c>
      <c r="L163" s="92">
        <v>0</v>
      </c>
      <c r="M163" s="92">
        <v>0</v>
      </c>
      <c r="N163" s="92">
        <v>0</v>
      </c>
      <c r="O163" s="92">
        <v>0</v>
      </c>
      <c r="P163" s="92">
        <v>0</v>
      </c>
      <c r="Q163" s="92">
        <v>0</v>
      </c>
      <c r="R163" s="92">
        <v>0</v>
      </c>
      <c r="S163" s="92">
        <v>0</v>
      </c>
      <c r="T163" s="92">
        <v>0</v>
      </c>
      <c r="U163" s="92">
        <v>0</v>
      </c>
      <c r="V163" s="92">
        <v>0</v>
      </c>
      <c r="W163" s="92">
        <v>0</v>
      </c>
      <c r="X163" s="92">
        <v>0</v>
      </c>
      <c r="Y163" s="92">
        <v>0</v>
      </c>
      <c r="Z163" s="92">
        <v>0</v>
      </c>
      <c r="AA163" s="92">
        <v>0</v>
      </c>
      <c r="AB163" s="92">
        <v>0</v>
      </c>
      <c r="AC163" s="92">
        <v>0</v>
      </c>
      <c r="AD163" s="92">
        <v>0</v>
      </c>
      <c r="AE163" s="92">
        <v>0</v>
      </c>
      <c r="AF163" s="89" t="s">
        <v>217</v>
      </c>
      <c r="AG163" s="80"/>
    </row>
    <row r="164" spans="1:33" ht="15" customHeight="1">
      <c r="A164" s="78" t="s">
        <v>429</v>
      </c>
      <c r="B164" s="87" t="s">
        <v>289</v>
      </c>
      <c r="C164" s="92">
        <v>2.13E-4</v>
      </c>
      <c r="D164" s="92">
        <v>2.5500000000000002E-4</v>
      </c>
      <c r="E164" s="92">
        <v>2.92E-4</v>
      </c>
      <c r="F164" s="92">
        <v>3.2400000000000001E-4</v>
      </c>
      <c r="G164" s="92">
        <v>3.5199999999999999E-4</v>
      </c>
      <c r="H164" s="92">
        <v>3.77E-4</v>
      </c>
      <c r="I164" s="92">
        <v>3.9899999999999999E-4</v>
      </c>
      <c r="J164" s="92">
        <v>4.17E-4</v>
      </c>
      <c r="K164" s="92">
        <v>4.3100000000000001E-4</v>
      </c>
      <c r="L164" s="92">
        <v>4.4200000000000001E-4</v>
      </c>
      <c r="M164" s="92">
        <v>4.5100000000000001E-4</v>
      </c>
      <c r="N164" s="92">
        <v>4.57E-4</v>
      </c>
      <c r="O164" s="92">
        <v>4.6200000000000001E-4</v>
      </c>
      <c r="P164" s="92">
        <v>4.64E-4</v>
      </c>
      <c r="Q164" s="92">
        <v>4.64E-4</v>
      </c>
      <c r="R164" s="92">
        <v>4.6299999999999998E-4</v>
      </c>
      <c r="S164" s="92">
        <v>4.5899999999999999E-4</v>
      </c>
      <c r="T164" s="92">
        <v>4.55E-4</v>
      </c>
      <c r="U164" s="92">
        <v>4.4900000000000002E-4</v>
      </c>
      <c r="V164" s="92">
        <v>4.4200000000000001E-4</v>
      </c>
      <c r="W164" s="92">
        <v>4.3399999999999998E-4</v>
      </c>
      <c r="X164" s="92">
        <v>4.2499999999999998E-4</v>
      </c>
      <c r="Y164" s="92">
        <v>4.15E-4</v>
      </c>
      <c r="Z164" s="92">
        <v>4.0400000000000001E-4</v>
      </c>
      <c r="AA164" s="92">
        <v>3.9300000000000001E-4</v>
      </c>
      <c r="AB164" s="92">
        <v>3.8200000000000002E-4</v>
      </c>
      <c r="AC164" s="92">
        <v>3.6999999999999999E-4</v>
      </c>
      <c r="AD164" s="92">
        <v>3.5799999999999997E-4</v>
      </c>
      <c r="AE164" s="92">
        <v>3.4600000000000001E-4</v>
      </c>
      <c r="AF164" s="89">
        <v>1.7475000000000001E-2</v>
      </c>
      <c r="AG164" s="80"/>
    </row>
    <row r="165" spans="1:33" ht="15" customHeight="1">
      <c r="A165" s="78" t="s">
        <v>430</v>
      </c>
      <c r="B165" s="87" t="s">
        <v>291</v>
      </c>
      <c r="C165" s="92">
        <v>0</v>
      </c>
      <c r="D165" s="92">
        <v>0</v>
      </c>
      <c r="E165" s="92">
        <v>1.2400000000000001E-4</v>
      </c>
      <c r="F165" s="92">
        <v>2.4699999999999999E-4</v>
      </c>
      <c r="G165" s="92">
        <v>3.7100000000000002E-4</v>
      </c>
      <c r="H165" s="92">
        <v>4.9700000000000005E-4</v>
      </c>
      <c r="I165" s="92">
        <v>6.2600000000000004E-4</v>
      </c>
      <c r="J165" s="92">
        <v>7.54E-4</v>
      </c>
      <c r="K165" s="92">
        <v>8.8099999999999995E-4</v>
      </c>
      <c r="L165" s="92">
        <v>1.0059999999999999E-3</v>
      </c>
      <c r="M165" s="92">
        <v>1.134E-3</v>
      </c>
      <c r="N165" s="92">
        <v>1.266E-3</v>
      </c>
      <c r="O165" s="92">
        <v>1.403E-3</v>
      </c>
      <c r="P165" s="92">
        <v>1.5430000000000001E-3</v>
      </c>
      <c r="Q165" s="92">
        <v>1.689E-3</v>
      </c>
      <c r="R165" s="92">
        <v>1.8400000000000001E-3</v>
      </c>
      <c r="S165" s="92">
        <v>1.9970000000000001E-3</v>
      </c>
      <c r="T165" s="92">
        <v>2.1589999999999999E-3</v>
      </c>
      <c r="U165" s="92">
        <v>2.33E-3</v>
      </c>
      <c r="V165" s="92">
        <v>2.5089999999999999E-3</v>
      </c>
      <c r="W165" s="92">
        <v>2.6970000000000002E-3</v>
      </c>
      <c r="X165" s="92">
        <v>2.8969999999999998E-3</v>
      </c>
      <c r="Y165" s="92">
        <v>3.1080000000000001E-3</v>
      </c>
      <c r="Z165" s="92">
        <v>3.3279999999999998E-3</v>
      </c>
      <c r="AA165" s="92">
        <v>3.5590000000000001E-3</v>
      </c>
      <c r="AB165" s="92">
        <v>3.803E-3</v>
      </c>
      <c r="AC165" s="92">
        <v>4.0629999999999998E-3</v>
      </c>
      <c r="AD165" s="92">
        <v>4.3379999999999998E-3</v>
      </c>
      <c r="AE165" s="92">
        <v>4.6299999999999996E-3</v>
      </c>
      <c r="AF165" s="89" t="s">
        <v>217</v>
      </c>
      <c r="AG165" s="80"/>
    </row>
    <row r="166" spans="1:33" ht="15" customHeight="1">
      <c r="A166" s="78" t="s">
        <v>431</v>
      </c>
      <c r="B166" s="87" t="s">
        <v>293</v>
      </c>
      <c r="C166" s="92">
        <v>0</v>
      </c>
      <c r="D166" s="92">
        <v>0</v>
      </c>
      <c r="E166" s="92">
        <v>2.7500000000000002E-4</v>
      </c>
      <c r="F166" s="92">
        <v>5.44E-4</v>
      </c>
      <c r="G166" s="92">
        <v>8.0999999999999996E-4</v>
      </c>
      <c r="H166" s="92">
        <v>1.0790000000000001E-3</v>
      </c>
      <c r="I166" s="92">
        <v>1.348E-3</v>
      </c>
      <c r="J166" s="92">
        <v>1.6100000000000001E-3</v>
      </c>
      <c r="K166" s="92">
        <v>1.866E-3</v>
      </c>
      <c r="L166" s="92">
        <v>2.117E-3</v>
      </c>
      <c r="M166" s="92">
        <v>2.3709999999999998E-3</v>
      </c>
      <c r="N166" s="92">
        <v>2.6310000000000001E-3</v>
      </c>
      <c r="O166" s="92">
        <v>2.8960000000000001E-3</v>
      </c>
      <c r="P166" s="92">
        <v>3.166E-3</v>
      </c>
      <c r="Q166" s="92">
        <v>3.4429999999999999E-3</v>
      </c>
      <c r="R166" s="92">
        <v>3.7269999999999998E-3</v>
      </c>
      <c r="S166" s="92">
        <v>4.0179999999999999E-3</v>
      </c>
      <c r="T166" s="92">
        <v>4.3169999999999997E-3</v>
      </c>
      <c r="U166" s="92">
        <v>4.6259999999999999E-3</v>
      </c>
      <c r="V166" s="92">
        <v>4.9480000000000001E-3</v>
      </c>
      <c r="W166" s="92">
        <v>5.2830000000000004E-3</v>
      </c>
      <c r="X166" s="92">
        <v>5.6319999999999999E-3</v>
      </c>
      <c r="Y166" s="92">
        <v>5.9940000000000002E-3</v>
      </c>
      <c r="Z166" s="92">
        <v>6.3629999999999997E-3</v>
      </c>
      <c r="AA166" s="92">
        <v>6.7409999999999996E-3</v>
      </c>
      <c r="AB166" s="92">
        <v>7.1279999999999998E-3</v>
      </c>
      <c r="AC166" s="92">
        <v>7.5269999999999998E-3</v>
      </c>
      <c r="AD166" s="92">
        <v>7.9330000000000008E-3</v>
      </c>
      <c r="AE166" s="92">
        <v>8.3479999999999995E-3</v>
      </c>
      <c r="AF166" s="89" t="s">
        <v>217</v>
      </c>
      <c r="AG166" s="80"/>
    </row>
    <row r="167" spans="1:33" ht="15" customHeight="1">
      <c r="A167" s="78" t="s">
        <v>432</v>
      </c>
      <c r="B167" s="87" t="s">
        <v>295</v>
      </c>
      <c r="C167" s="92">
        <v>0</v>
      </c>
      <c r="D167" s="92">
        <v>0</v>
      </c>
      <c r="E167" s="92">
        <v>4.0999999999999999E-4</v>
      </c>
      <c r="F167" s="92">
        <v>8.1999999999999998E-4</v>
      </c>
      <c r="G167" s="92">
        <v>1.2359999999999999E-3</v>
      </c>
      <c r="H167" s="92">
        <v>1.6659999999999999E-3</v>
      </c>
      <c r="I167" s="92">
        <v>2.1020000000000001E-3</v>
      </c>
      <c r="J167" s="92">
        <v>2.5360000000000001E-3</v>
      </c>
      <c r="K167" s="92">
        <v>2.9610000000000001E-3</v>
      </c>
      <c r="L167" s="92">
        <v>3.3800000000000002E-3</v>
      </c>
      <c r="M167" s="92">
        <v>3.7989999999999999E-3</v>
      </c>
      <c r="N167" s="92">
        <v>4.2220000000000001E-3</v>
      </c>
      <c r="O167" s="92">
        <v>4.6490000000000004E-3</v>
      </c>
      <c r="P167" s="92">
        <v>5.0800000000000003E-3</v>
      </c>
      <c r="Q167" s="92">
        <v>5.5160000000000001E-3</v>
      </c>
      <c r="R167" s="92">
        <v>5.9569999999999996E-3</v>
      </c>
      <c r="S167" s="92">
        <v>6.404E-3</v>
      </c>
      <c r="T167" s="92">
        <v>6.8560000000000001E-3</v>
      </c>
      <c r="U167" s="92">
        <v>7.3169999999999997E-3</v>
      </c>
      <c r="V167" s="92">
        <v>7.7889999999999999E-3</v>
      </c>
      <c r="W167" s="92">
        <v>8.2699999999999996E-3</v>
      </c>
      <c r="X167" s="92">
        <v>8.7650000000000002E-3</v>
      </c>
      <c r="Y167" s="92">
        <v>9.2700000000000005E-3</v>
      </c>
      <c r="Z167" s="92">
        <v>9.783E-3</v>
      </c>
      <c r="AA167" s="92">
        <v>1.0307E-2</v>
      </c>
      <c r="AB167" s="92">
        <v>1.0848999999999999E-2</v>
      </c>
      <c r="AC167" s="92">
        <v>1.1415E-2</v>
      </c>
      <c r="AD167" s="92">
        <v>1.2005E-2</v>
      </c>
      <c r="AE167" s="92">
        <v>1.2626E-2</v>
      </c>
      <c r="AF167" s="89" t="s">
        <v>217</v>
      </c>
      <c r="AG167" s="80"/>
    </row>
    <row r="168" spans="1:33" ht="15" customHeight="1">
      <c r="A168" s="78" t="s">
        <v>433</v>
      </c>
      <c r="B168" s="87" t="s">
        <v>321</v>
      </c>
      <c r="C168" s="92">
        <v>5.3033510000000001</v>
      </c>
      <c r="D168" s="92">
        <v>5.3850160000000002</v>
      </c>
      <c r="E168" s="92">
        <v>5.4670500000000004</v>
      </c>
      <c r="F168" s="92">
        <v>5.5503419999999997</v>
      </c>
      <c r="G168" s="92">
        <v>5.6377740000000003</v>
      </c>
      <c r="H168" s="92">
        <v>5.7295040000000004</v>
      </c>
      <c r="I168" s="92">
        <v>5.8180490000000002</v>
      </c>
      <c r="J168" s="92">
        <v>5.8932869999999999</v>
      </c>
      <c r="K168" s="92">
        <v>5.9566129999999999</v>
      </c>
      <c r="L168" s="92">
        <v>6.011126</v>
      </c>
      <c r="M168" s="92">
        <v>6.0592329999999999</v>
      </c>
      <c r="N168" s="92">
        <v>6.0996160000000001</v>
      </c>
      <c r="O168" s="92">
        <v>6.1291029999999997</v>
      </c>
      <c r="P168" s="92">
        <v>6.1603370000000002</v>
      </c>
      <c r="Q168" s="92">
        <v>6.1972659999999999</v>
      </c>
      <c r="R168" s="92">
        <v>6.2348379999999999</v>
      </c>
      <c r="S168" s="92">
        <v>6.2709359999999998</v>
      </c>
      <c r="T168" s="92">
        <v>6.2978690000000004</v>
      </c>
      <c r="U168" s="92">
        <v>6.318327</v>
      </c>
      <c r="V168" s="92">
        <v>6.3273599999999997</v>
      </c>
      <c r="W168" s="92">
        <v>6.3469429999999996</v>
      </c>
      <c r="X168" s="92">
        <v>6.3727369999999999</v>
      </c>
      <c r="Y168" s="92">
        <v>6.4039590000000004</v>
      </c>
      <c r="Z168" s="92">
        <v>6.4334600000000002</v>
      </c>
      <c r="AA168" s="92">
        <v>6.4537589999999998</v>
      </c>
      <c r="AB168" s="92">
        <v>6.4674019999999999</v>
      </c>
      <c r="AC168" s="92">
        <v>6.4763640000000002</v>
      </c>
      <c r="AD168" s="92">
        <v>6.476153</v>
      </c>
      <c r="AE168" s="92">
        <v>6.4670829999999997</v>
      </c>
      <c r="AF168" s="89">
        <v>7.11E-3</v>
      </c>
      <c r="AG168" s="80"/>
    </row>
    <row r="169" spans="1:33" ht="15" customHeight="1">
      <c r="A169" s="78" t="s">
        <v>434</v>
      </c>
      <c r="B169" s="86" t="s">
        <v>435</v>
      </c>
      <c r="C169" s="93">
        <v>13.646018</v>
      </c>
      <c r="D169" s="93">
        <v>13.95327</v>
      </c>
      <c r="E169" s="93">
        <v>14.276797999999999</v>
      </c>
      <c r="F169" s="93">
        <v>14.613163</v>
      </c>
      <c r="G169" s="93">
        <v>14.959908</v>
      </c>
      <c r="H169" s="93">
        <v>15.314479</v>
      </c>
      <c r="I169" s="93">
        <v>15.662544</v>
      </c>
      <c r="J169" s="93">
        <v>15.987280999999999</v>
      </c>
      <c r="K169" s="93">
        <v>16.291819</v>
      </c>
      <c r="L169" s="93">
        <v>16.574141999999998</v>
      </c>
      <c r="M169" s="93">
        <v>16.849737000000001</v>
      </c>
      <c r="N169" s="93">
        <v>17.100439000000001</v>
      </c>
      <c r="O169" s="93">
        <v>17.332543999999999</v>
      </c>
      <c r="P169" s="93">
        <v>17.566399000000001</v>
      </c>
      <c r="Q169" s="93">
        <v>17.811584</v>
      </c>
      <c r="R169" s="93">
        <v>18.061226000000001</v>
      </c>
      <c r="S169" s="93">
        <v>18.309864000000001</v>
      </c>
      <c r="T169" s="93">
        <v>18.546267</v>
      </c>
      <c r="U169" s="93">
        <v>18.770368999999999</v>
      </c>
      <c r="V169" s="93">
        <v>18.986908</v>
      </c>
      <c r="W169" s="93">
        <v>19.213488000000002</v>
      </c>
      <c r="X169" s="93">
        <v>19.465219000000001</v>
      </c>
      <c r="Y169" s="93">
        <v>19.735880000000002</v>
      </c>
      <c r="Z169" s="93">
        <v>19.999655000000001</v>
      </c>
      <c r="AA169" s="93">
        <v>20.24531</v>
      </c>
      <c r="AB169" s="93">
        <v>20.486383</v>
      </c>
      <c r="AC169" s="93">
        <v>20.722092</v>
      </c>
      <c r="AD169" s="93">
        <v>20.936222000000001</v>
      </c>
      <c r="AE169" s="93">
        <v>21.134900999999999</v>
      </c>
      <c r="AF169" s="91">
        <v>1.5747000000000001E-2</v>
      </c>
      <c r="AG169" s="80"/>
    </row>
    <row r="170" spans="1:33" ht="15" customHeight="1"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</row>
    <row r="171" spans="1:33" ht="15" customHeight="1">
      <c r="B171" s="86" t="s">
        <v>436</v>
      </c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</row>
    <row r="172" spans="1:33" ht="12" customHeight="1"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</row>
    <row r="173" spans="1:33" ht="15" customHeight="1">
      <c r="B173" s="86" t="s">
        <v>367</v>
      </c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</row>
    <row r="174" spans="1:33" ht="15" customHeight="1">
      <c r="B174" s="86" t="s">
        <v>277</v>
      </c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</row>
    <row r="175" spans="1:33" ht="15" customHeight="1">
      <c r="A175" s="78" t="s">
        <v>437</v>
      </c>
      <c r="B175" s="87" t="s">
        <v>279</v>
      </c>
      <c r="C175" s="88">
        <v>17.217651</v>
      </c>
      <c r="D175" s="88">
        <v>17.743234999999999</v>
      </c>
      <c r="E175" s="88">
        <v>18.596025000000001</v>
      </c>
      <c r="F175" s="88">
        <v>19.408501000000001</v>
      </c>
      <c r="G175" s="88">
        <v>19.821732999999998</v>
      </c>
      <c r="H175" s="88">
        <v>20.081854</v>
      </c>
      <c r="I175" s="88">
        <v>20.115541</v>
      </c>
      <c r="J175" s="88">
        <v>20.175732</v>
      </c>
      <c r="K175" s="88">
        <v>20.175187999999999</v>
      </c>
      <c r="L175" s="88">
        <v>20.160620000000002</v>
      </c>
      <c r="M175" s="88">
        <v>20.126877</v>
      </c>
      <c r="N175" s="88">
        <v>20.083185</v>
      </c>
      <c r="O175" s="88">
        <v>20.045784000000001</v>
      </c>
      <c r="P175" s="88">
        <v>20.013750000000002</v>
      </c>
      <c r="Q175" s="88">
        <v>19.985996</v>
      </c>
      <c r="R175" s="88">
        <v>19.962015000000001</v>
      </c>
      <c r="S175" s="88">
        <v>19.941241999999999</v>
      </c>
      <c r="T175" s="88">
        <v>19.923152999999999</v>
      </c>
      <c r="U175" s="88">
        <v>19.907523999999999</v>
      </c>
      <c r="V175" s="88">
        <v>19.893719000000001</v>
      </c>
      <c r="W175" s="88">
        <v>19.881819</v>
      </c>
      <c r="X175" s="88">
        <v>19.871511000000002</v>
      </c>
      <c r="Y175" s="88">
        <v>19.862354</v>
      </c>
      <c r="Z175" s="88">
        <v>19.854208</v>
      </c>
      <c r="AA175" s="88">
        <v>19.847239999999999</v>
      </c>
      <c r="AB175" s="88">
        <v>19.841653999999998</v>
      </c>
      <c r="AC175" s="88">
        <v>19.799841000000001</v>
      </c>
      <c r="AD175" s="88">
        <v>19.799527999999999</v>
      </c>
      <c r="AE175" s="88">
        <v>19.801586</v>
      </c>
      <c r="AF175" s="89">
        <v>5.006E-3</v>
      </c>
      <c r="AG175" s="80"/>
    </row>
    <row r="176" spans="1:33" ht="15" customHeight="1">
      <c r="A176" s="78" t="s">
        <v>438</v>
      </c>
      <c r="B176" s="87" t="s">
        <v>281</v>
      </c>
      <c r="C176" s="88">
        <v>12.59516</v>
      </c>
      <c r="D176" s="88">
        <v>13.424738</v>
      </c>
      <c r="E176" s="88">
        <v>13.843267000000001</v>
      </c>
      <c r="F176" s="88">
        <v>14.275459</v>
      </c>
      <c r="G176" s="88">
        <v>14.428558000000001</v>
      </c>
      <c r="H176" s="88">
        <v>14.685053</v>
      </c>
      <c r="I176" s="88">
        <v>14.690815000000001</v>
      </c>
      <c r="J176" s="88">
        <v>14.856868</v>
      </c>
      <c r="K176" s="88">
        <v>14.931994</v>
      </c>
      <c r="L176" s="88">
        <v>14.986435</v>
      </c>
      <c r="M176" s="88">
        <v>14.919237000000001</v>
      </c>
      <c r="N176" s="88">
        <v>15.001118999999999</v>
      </c>
      <c r="O176" s="88">
        <v>15.069096999999999</v>
      </c>
      <c r="P176" s="88">
        <v>15.113496</v>
      </c>
      <c r="Q176" s="88">
        <v>15.145144</v>
      </c>
      <c r="R176" s="88">
        <v>15.166649</v>
      </c>
      <c r="S176" s="88">
        <v>15.177457</v>
      </c>
      <c r="T176" s="88">
        <v>15.176923</v>
      </c>
      <c r="U176" s="88">
        <v>15.17581</v>
      </c>
      <c r="V176" s="88">
        <v>15.174847</v>
      </c>
      <c r="W176" s="88">
        <v>15.174041000000001</v>
      </c>
      <c r="X176" s="88">
        <v>15.173346</v>
      </c>
      <c r="Y176" s="88">
        <v>15.172763</v>
      </c>
      <c r="Z176" s="88">
        <v>15.172198</v>
      </c>
      <c r="AA176" s="88">
        <v>15.171754</v>
      </c>
      <c r="AB176" s="88">
        <v>15.171353999999999</v>
      </c>
      <c r="AC176" s="88">
        <v>15.171044</v>
      </c>
      <c r="AD176" s="88">
        <v>15.170722</v>
      </c>
      <c r="AE176" s="88">
        <v>15.170489999999999</v>
      </c>
      <c r="AF176" s="89">
        <v>6.6660000000000001E-3</v>
      </c>
      <c r="AG176" s="80"/>
    </row>
    <row r="177" spans="1:33" ht="15" customHeight="1">
      <c r="A177" s="78" t="s">
        <v>439</v>
      </c>
      <c r="B177" s="87" t="s">
        <v>283</v>
      </c>
      <c r="C177" s="88">
        <v>12.370099</v>
      </c>
      <c r="D177" s="88">
        <v>12.423861</v>
      </c>
      <c r="E177" s="88">
        <v>12.630001999999999</v>
      </c>
      <c r="F177" s="88">
        <v>12.778555000000001</v>
      </c>
      <c r="G177" s="88">
        <v>12.863218</v>
      </c>
      <c r="H177" s="88">
        <v>13.019094000000001</v>
      </c>
      <c r="I177" s="88">
        <v>13.145066</v>
      </c>
      <c r="J177" s="88">
        <v>13.360619</v>
      </c>
      <c r="K177" s="88">
        <v>13.615053</v>
      </c>
      <c r="L177" s="88">
        <v>13.851718</v>
      </c>
      <c r="M177" s="88">
        <v>14.074310000000001</v>
      </c>
      <c r="N177" s="88">
        <v>14.236444000000001</v>
      </c>
      <c r="O177" s="88">
        <v>14.328803000000001</v>
      </c>
      <c r="P177" s="88">
        <v>14.355442</v>
      </c>
      <c r="Q177" s="88">
        <v>14.372279000000001</v>
      </c>
      <c r="R177" s="88">
        <v>14.372299</v>
      </c>
      <c r="S177" s="88">
        <v>14.369871</v>
      </c>
      <c r="T177" s="88">
        <v>14.368024999999999</v>
      </c>
      <c r="U177" s="88">
        <v>14.366300000000001</v>
      </c>
      <c r="V177" s="88">
        <v>14.365119999999999</v>
      </c>
      <c r="W177" s="88">
        <v>14.364024000000001</v>
      </c>
      <c r="X177" s="88">
        <v>14.363379999999999</v>
      </c>
      <c r="Y177" s="88">
        <v>14.362422</v>
      </c>
      <c r="Z177" s="88">
        <v>14.361484000000001</v>
      </c>
      <c r="AA177" s="88">
        <v>14.3536</v>
      </c>
      <c r="AB177" s="88">
        <v>14.353339</v>
      </c>
      <c r="AC177" s="88">
        <v>14.353724</v>
      </c>
      <c r="AD177" s="88">
        <v>14.355268000000001</v>
      </c>
      <c r="AE177" s="88">
        <v>14.357434</v>
      </c>
      <c r="AF177" s="89">
        <v>5.3350000000000003E-3</v>
      </c>
      <c r="AG177" s="80"/>
    </row>
    <row r="178" spans="1:33" ht="15" customHeight="1">
      <c r="A178" s="78" t="s">
        <v>440</v>
      </c>
      <c r="B178" s="87" t="s">
        <v>285</v>
      </c>
      <c r="C178" s="88">
        <v>12.486860999999999</v>
      </c>
      <c r="D178" s="88">
        <v>12.486863</v>
      </c>
      <c r="E178" s="88">
        <v>12.48686</v>
      </c>
      <c r="F178" s="88">
        <v>12.486863</v>
      </c>
      <c r="G178" s="88">
        <v>12.486863</v>
      </c>
      <c r="H178" s="88">
        <v>12.486863</v>
      </c>
      <c r="I178" s="88">
        <v>12.486860999999999</v>
      </c>
      <c r="J178" s="88">
        <v>12.486864000000001</v>
      </c>
      <c r="K178" s="88">
        <v>12.486863</v>
      </c>
      <c r="L178" s="88">
        <v>12.486863</v>
      </c>
      <c r="M178" s="88">
        <v>12.486863</v>
      </c>
      <c r="N178" s="88">
        <v>12.486863</v>
      </c>
      <c r="O178" s="88">
        <v>12.486860999999999</v>
      </c>
      <c r="P178" s="88">
        <v>12.486860999999999</v>
      </c>
      <c r="Q178" s="88">
        <v>12.486860999999999</v>
      </c>
      <c r="R178" s="88">
        <v>12.486863</v>
      </c>
      <c r="S178" s="88">
        <v>12.48686</v>
      </c>
      <c r="T178" s="88">
        <v>12.48686</v>
      </c>
      <c r="U178" s="88">
        <v>12.486860999999999</v>
      </c>
      <c r="V178" s="88">
        <v>12.48686</v>
      </c>
      <c r="W178" s="88">
        <v>12.486863</v>
      </c>
      <c r="X178" s="88">
        <v>12.486863</v>
      </c>
      <c r="Y178" s="88">
        <v>12.486860999999999</v>
      </c>
      <c r="Z178" s="88">
        <v>12.486863</v>
      </c>
      <c r="AA178" s="88">
        <v>12.48686</v>
      </c>
      <c r="AB178" s="88">
        <v>12.486863</v>
      </c>
      <c r="AC178" s="88">
        <v>12.486860999999999</v>
      </c>
      <c r="AD178" s="88">
        <v>12.486863</v>
      </c>
      <c r="AE178" s="88">
        <v>12.486863</v>
      </c>
      <c r="AF178" s="89">
        <v>0</v>
      </c>
      <c r="AG178" s="80"/>
    </row>
    <row r="179" spans="1:33" ht="15" customHeight="1">
      <c r="A179" s="78" t="s">
        <v>441</v>
      </c>
      <c r="B179" s="87" t="s">
        <v>287</v>
      </c>
      <c r="C179" s="88">
        <v>12.846411</v>
      </c>
      <c r="D179" s="88">
        <v>13.218121999999999</v>
      </c>
      <c r="E179" s="88">
        <v>13.627822999999999</v>
      </c>
      <c r="F179" s="88">
        <v>14.042638999999999</v>
      </c>
      <c r="G179" s="88">
        <v>14.186604000000001</v>
      </c>
      <c r="H179" s="88">
        <v>14.434004</v>
      </c>
      <c r="I179" s="88">
        <v>14.442583000000001</v>
      </c>
      <c r="J179" s="88">
        <v>14.608980000000001</v>
      </c>
      <c r="K179" s="88">
        <v>14.684302000000001</v>
      </c>
      <c r="L179" s="88">
        <v>14.735426</v>
      </c>
      <c r="M179" s="88">
        <v>14.661357000000001</v>
      </c>
      <c r="N179" s="88">
        <v>14.739395</v>
      </c>
      <c r="O179" s="88">
        <v>14.804073000000001</v>
      </c>
      <c r="P179" s="88">
        <v>14.848421</v>
      </c>
      <c r="Q179" s="88">
        <v>14.881249</v>
      </c>
      <c r="R179" s="88">
        <v>14.904825000000001</v>
      </c>
      <c r="S179" s="88">
        <v>14.916617</v>
      </c>
      <c r="T179" s="88">
        <v>14.917142</v>
      </c>
      <c r="U179" s="88">
        <v>14.915953</v>
      </c>
      <c r="V179" s="88">
        <v>14.915247000000001</v>
      </c>
      <c r="W179" s="88">
        <v>14.914173</v>
      </c>
      <c r="X179" s="88">
        <v>14.913214999999999</v>
      </c>
      <c r="Y179" s="88">
        <v>14.911542000000001</v>
      </c>
      <c r="Z179" s="88">
        <v>14.911346999999999</v>
      </c>
      <c r="AA179" s="88">
        <v>14.910938</v>
      </c>
      <c r="AB179" s="88">
        <v>14.912041</v>
      </c>
      <c r="AC179" s="88">
        <v>14.912226</v>
      </c>
      <c r="AD179" s="88">
        <v>14.913921999999999</v>
      </c>
      <c r="AE179" s="88">
        <v>14.914241000000001</v>
      </c>
      <c r="AF179" s="89">
        <v>5.3449999999999999E-3</v>
      </c>
      <c r="AG179" s="80"/>
    </row>
    <row r="180" spans="1:33" ht="15" customHeight="1">
      <c r="A180" s="78" t="s">
        <v>442</v>
      </c>
      <c r="B180" s="87" t="s">
        <v>289</v>
      </c>
      <c r="C180" s="88">
        <v>27.219131000000001</v>
      </c>
      <c r="D180" s="88">
        <v>27.246206000000001</v>
      </c>
      <c r="E180" s="88">
        <v>27.281466000000002</v>
      </c>
      <c r="F180" s="88">
        <v>27.325966000000001</v>
      </c>
      <c r="G180" s="88">
        <v>27.380199000000001</v>
      </c>
      <c r="H180" s="88">
        <v>27.443327</v>
      </c>
      <c r="I180" s="88">
        <v>27.474117</v>
      </c>
      <c r="J180" s="88">
        <v>27.529731999999999</v>
      </c>
      <c r="K180" s="88">
        <v>27.583223</v>
      </c>
      <c r="L180" s="88">
        <v>27.632815999999998</v>
      </c>
      <c r="M180" s="88">
        <v>27.676708000000001</v>
      </c>
      <c r="N180" s="88">
        <v>27.703455000000002</v>
      </c>
      <c r="O180" s="88">
        <v>27.712814000000002</v>
      </c>
      <c r="P180" s="88">
        <v>27.721041</v>
      </c>
      <c r="Q180" s="88">
        <v>27.722708000000001</v>
      </c>
      <c r="R180" s="88">
        <v>27.722674999999999</v>
      </c>
      <c r="S180" s="88">
        <v>27.722640999999999</v>
      </c>
      <c r="T180" s="88">
        <v>27.722618000000001</v>
      </c>
      <c r="U180" s="88">
        <v>27.722601000000001</v>
      </c>
      <c r="V180" s="88">
        <v>27.722587999999998</v>
      </c>
      <c r="W180" s="88">
        <v>27.722577999999999</v>
      </c>
      <c r="X180" s="88">
        <v>27.722570000000001</v>
      </c>
      <c r="Y180" s="88">
        <v>27.722560999999999</v>
      </c>
      <c r="Z180" s="88">
        <v>27.722559</v>
      </c>
      <c r="AA180" s="88">
        <v>27.722549000000001</v>
      </c>
      <c r="AB180" s="88">
        <v>27.722548</v>
      </c>
      <c r="AC180" s="88">
        <v>27.722542000000001</v>
      </c>
      <c r="AD180" s="88">
        <v>27.722543999999999</v>
      </c>
      <c r="AE180" s="88">
        <v>27.722542000000001</v>
      </c>
      <c r="AF180" s="89">
        <v>6.5499999999999998E-4</v>
      </c>
      <c r="AG180" s="80"/>
    </row>
    <row r="181" spans="1:33" ht="12" customHeight="1">
      <c r="A181" s="78" t="s">
        <v>443</v>
      </c>
      <c r="B181" s="87" t="s">
        <v>291</v>
      </c>
      <c r="C181" s="88">
        <v>0</v>
      </c>
      <c r="D181" s="88">
        <v>23.149469</v>
      </c>
      <c r="E181" s="88">
        <v>23.788757</v>
      </c>
      <c r="F181" s="88">
        <v>24.201412000000001</v>
      </c>
      <c r="G181" s="88">
        <v>24.593264000000001</v>
      </c>
      <c r="H181" s="88">
        <v>25.140753</v>
      </c>
      <c r="I181" s="88">
        <v>25.620788999999998</v>
      </c>
      <c r="J181" s="88">
        <v>26.339625999999999</v>
      </c>
      <c r="K181" s="88">
        <v>27.120087000000002</v>
      </c>
      <c r="L181" s="88">
        <v>27.894962</v>
      </c>
      <c r="M181" s="88">
        <v>28.583632999999999</v>
      </c>
      <c r="N181" s="88">
        <v>28.93169</v>
      </c>
      <c r="O181" s="88">
        <v>29.087039999999998</v>
      </c>
      <c r="P181" s="88">
        <v>29.106612999999999</v>
      </c>
      <c r="Q181" s="88">
        <v>29.125404</v>
      </c>
      <c r="R181" s="88">
        <v>29.129776</v>
      </c>
      <c r="S181" s="88">
        <v>29.124500000000001</v>
      </c>
      <c r="T181" s="88">
        <v>29.119802</v>
      </c>
      <c r="U181" s="88">
        <v>29.115503</v>
      </c>
      <c r="V181" s="88">
        <v>29.111118000000001</v>
      </c>
      <c r="W181" s="88">
        <v>29.106992999999999</v>
      </c>
      <c r="X181" s="88">
        <v>29.103442999999999</v>
      </c>
      <c r="Y181" s="88">
        <v>29.100300000000001</v>
      </c>
      <c r="Z181" s="88">
        <v>29.097477000000001</v>
      </c>
      <c r="AA181" s="88">
        <v>29.095098</v>
      </c>
      <c r="AB181" s="88">
        <v>29.093209999999999</v>
      </c>
      <c r="AC181" s="88">
        <v>29.091781999999998</v>
      </c>
      <c r="AD181" s="88">
        <v>29.083096000000001</v>
      </c>
      <c r="AE181" s="88">
        <v>29.086570999999999</v>
      </c>
      <c r="AF181" s="89" t="s">
        <v>217</v>
      </c>
      <c r="AG181" s="80"/>
    </row>
    <row r="182" spans="1:33" ht="12" customHeight="1">
      <c r="A182" s="78" t="s">
        <v>444</v>
      </c>
      <c r="B182" s="87" t="s">
        <v>293</v>
      </c>
      <c r="C182" s="88">
        <v>0</v>
      </c>
      <c r="D182" s="88">
        <v>18.959845000000001</v>
      </c>
      <c r="E182" s="88">
        <v>19.230974</v>
      </c>
      <c r="F182" s="88">
        <v>19.473016999999999</v>
      </c>
      <c r="G182" s="88">
        <v>19.562275</v>
      </c>
      <c r="H182" s="88">
        <v>19.736988</v>
      </c>
      <c r="I182" s="88">
        <v>19.864495999999999</v>
      </c>
      <c r="J182" s="88">
        <v>20.069866000000001</v>
      </c>
      <c r="K182" s="88">
        <v>20.301096000000001</v>
      </c>
      <c r="L182" s="88">
        <v>20.525687999999999</v>
      </c>
      <c r="M182" s="88">
        <v>20.728285</v>
      </c>
      <c r="N182" s="88">
        <v>20.866682000000001</v>
      </c>
      <c r="O182" s="88">
        <v>20.968336000000001</v>
      </c>
      <c r="P182" s="88">
        <v>21.002409</v>
      </c>
      <c r="Q182" s="88">
        <v>21.046901999999999</v>
      </c>
      <c r="R182" s="88">
        <v>21.067965999999998</v>
      </c>
      <c r="S182" s="88">
        <v>21.064533000000001</v>
      </c>
      <c r="T182" s="88">
        <v>21.062408000000001</v>
      </c>
      <c r="U182" s="88">
        <v>21.060576999999999</v>
      </c>
      <c r="V182" s="88">
        <v>21.057089000000001</v>
      </c>
      <c r="W182" s="88">
        <v>21.059256000000001</v>
      </c>
      <c r="X182" s="88">
        <v>21.063654</v>
      </c>
      <c r="Y182" s="88">
        <v>21.017776000000001</v>
      </c>
      <c r="Z182" s="88">
        <v>21.046399999999998</v>
      </c>
      <c r="AA182" s="88">
        <v>21.070132999999998</v>
      </c>
      <c r="AB182" s="88">
        <v>21.104872</v>
      </c>
      <c r="AC182" s="88">
        <v>21.148212000000001</v>
      </c>
      <c r="AD182" s="88">
        <v>21.199916999999999</v>
      </c>
      <c r="AE182" s="88">
        <v>21.257977</v>
      </c>
      <c r="AF182" s="89" t="s">
        <v>217</v>
      </c>
      <c r="AG182" s="80"/>
    </row>
    <row r="183" spans="1:33" ht="15" customHeight="1">
      <c r="A183" s="78" t="s">
        <v>445</v>
      </c>
      <c r="B183" s="87" t="s">
        <v>295</v>
      </c>
      <c r="C183" s="88">
        <v>0</v>
      </c>
      <c r="D183" s="88">
        <v>0</v>
      </c>
      <c r="E183" s="88">
        <v>18.589186000000002</v>
      </c>
      <c r="F183" s="88">
        <v>16.244858000000001</v>
      </c>
      <c r="G183" s="88">
        <v>16.244858000000001</v>
      </c>
      <c r="H183" s="88">
        <v>16.244858000000001</v>
      </c>
      <c r="I183" s="88">
        <v>16.244858000000001</v>
      </c>
      <c r="J183" s="88">
        <v>16.244858000000001</v>
      </c>
      <c r="K183" s="88">
        <v>16.244858000000001</v>
      </c>
      <c r="L183" s="88">
        <v>16.244858000000001</v>
      </c>
      <c r="M183" s="88">
        <v>16.244858000000001</v>
      </c>
      <c r="N183" s="88">
        <v>16.244858000000001</v>
      </c>
      <c r="O183" s="88">
        <v>16.244858000000001</v>
      </c>
      <c r="P183" s="88">
        <v>16.244858000000001</v>
      </c>
      <c r="Q183" s="88">
        <v>16.244858000000001</v>
      </c>
      <c r="R183" s="88">
        <v>16.244858000000001</v>
      </c>
      <c r="S183" s="88">
        <v>16.244858000000001</v>
      </c>
      <c r="T183" s="88">
        <v>16.244858000000001</v>
      </c>
      <c r="U183" s="88">
        <v>16.244858000000001</v>
      </c>
      <c r="V183" s="88">
        <v>16.244858000000001</v>
      </c>
      <c r="W183" s="88">
        <v>16.244858000000001</v>
      </c>
      <c r="X183" s="88">
        <v>16.244858000000001</v>
      </c>
      <c r="Y183" s="88">
        <v>16.244858000000001</v>
      </c>
      <c r="Z183" s="88">
        <v>16.244858000000001</v>
      </c>
      <c r="AA183" s="88">
        <v>16.244858000000001</v>
      </c>
      <c r="AB183" s="88">
        <v>16.244858000000001</v>
      </c>
      <c r="AC183" s="88">
        <v>16.244858000000001</v>
      </c>
      <c r="AD183" s="88">
        <v>16.244858000000001</v>
      </c>
      <c r="AE183" s="88">
        <v>16.244858000000001</v>
      </c>
      <c r="AF183" s="89" t="s">
        <v>217</v>
      </c>
      <c r="AG183" s="80"/>
    </row>
    <row r="184" spans="1:33" ht="15" customHeight="1">
      <c r="A184" s="78" t="s">
        <v>446</v>
      </c>
      <c r="B184" s="87" t="s">
        <v>378</v>
      </c>
      <c r="C184" s="88">
        <v>15.487391000000001</v>
      </c>
      <c r="D184" s="88">
        <v>16.165934</v>
      </c>
      <c r="E184" s="88">
        <v>16.852744999999999</v>
      </c>
      <c r="F184" s="88">
        <v>17.521813999999999</v>
      </c>
      <c r="G184" s="88">
        <v>17.836521000000001</v>
      </c>
      <c r="H184" s="88">
        <v>18.110120999999999</v>
      </c>
      <c r="I184" s="88">
        <v>18.140739</v>
      </c>
      <c r="J184" s="88">
        <v>18.257238000000001</v>
      </c>
      <c r="K184" s="88">
        <v>18.297186</v>
      </c>
      <c r="L184" s="88">
        <v>18.318868999999999</v>
      </c>
      <c r="M184" s="88">
        <v>18.275967000000001</v>
      </c>
      <c r="N184" s="88">
        <v>18.290842000000001</v>
      </c>
      <c r="O184" s="88">
        <v>18.302257999999998</v>
      </c>
      <c r="P184" s="88">
        <v>18.305890999999999</v>
      </c>
      <c r="Q184" s="88">
        <v>18.306034</v>
      </c>
      <c r="R184" s="88">
        <v>18.303612000000001</v>
      </c>
      <c r="S184" s="88">
        <v>18.298258000000001</v>
      </c>
      <c r="T184" s="88">
        <v>18.289453999999999</v>
      </c>
      <c r="U184" s="88">
        <v>18.281590000000001</v>
      </c>
      <c r="V184" s="88">
        <v>18.27459</v>
      </c>
      <c r="W184" s="88">
        <v>18.26857</v>
      </c>
      <c r="X184" s="88">
        <v>18.263286999999998</v>
      </c>
      <c r="Y184" s="88">
        <v>18.258537</v>
      </c>
      <c r="Z184" s="88">
        <v>18.25423</v>
      </c>
      <c r="AA184" s="88">
        <v>18.250519000000001</v>
      </c>
      <c r="AB184" s="88">
        <v>18.247578000000001</v>
      </c>
      <c r="AC184" s="88">
        <v>18.222587999999998</v>
      </c>
      <c r="AD184" s="88">
        <v>18.222778000000002</v>
      </c>
      <c r="AE184" s="88">
        <v>18.224402999999999</v>
      </c>
      <c r="AF184" s="89">
        <v>5.829E-3</v>
      </c>
      <c r="AG184" s="80"/>
    </row>
    <row r="185" spans="1:33" ht="15" customHeight="1">
      <c r="B185" s="86" t="s">
        <v>298</v>
      </c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</row>
    <row r="186" spans="1:33" ht="15" customHeight="1">
      <c r="A186" s="78" t="s">
        <v>447</v>
      </c>
      <c r="B186" s="87" t="s">
        <v>279</v>
      </c>
      <c r="C186" s="88">
        <v>10.573097000000001</v>
      </c>
      <c r="D186" s="88">
        <v>11.142485000000001</v>
      </c>
      <c r="E186" s="88">
        <v>11.550504999999999</v>
      </c>
      <c r="F186" s="88">
        <v>11.977176</v>
      </c>
      <c r="G186" s="88">
        <v>12.42301</v>
      </c>
      <c r="H186" s="88">
        <v>12.830263</v>
      </c>
      <c r="I186" s="88">
        <v>12.987424000000001</v>
      </c>
      <c r="J186" s="88">
        <v>13.305011</v>
      </c>
      <c r="K186" s="88">
        <v>13.589658</v>
      </c>
      <c r="L186" s="88">
        <v>13.852079</v>
      </c>
      <c r="M186" s="88">
        <v>13.977544999999999</v>
      </c>
      <c r="N186" s="88">
        <v>13.952327</v>
      </c>
      <c r="O186" s="88">
        <v>13.932137000000001</v>
      </c>
      <c r="P186" s="88">
        <v>13.905892</v>
      </c>
      <c r="Q186" s="88">
        <v>13.899329</v>
      </c>
      <c r="R186" s="88">
        <v>13.892861</v>
      </c>
      <c r="S186" s="88">
        <v>13.886645</v>
      </c>
      <c r="T186" s="88">
        <v>13.880846999999999</v>
      </c>
      <c r="U186" s="88">
        <v>13.875050999999999</v>
      </c>
      <c r="V186" s="88">
        <v>13.869313</v>
      </c>
      <c r="W186" s="88">
        <v>13.864424</v>
      </c>
      <c r="X186" s="88">
        <v>13.860239</v>
      </c>
      <c r="Y186" s="88">
        <v>13.8566</v>
      </c>
      <c r="Z186" s="88">
        <v>13.853432</v>
      </c>
      <c r="AA186" s="88">
        <v>13.850702</v>
      </c>
      <c r="AB186" s="88">
        <v>13.848376999999999</v>
      </c>
      <c r="AC186" s="88">
        <v>13.846394</v>
      </c>
      <c r="AD186" s="88">
        <v>13.844652999999999</v>
      </c>
      <c r="AE186" s="88">
        <v>13.843116999999999</v>
      </c>
      <c r="AF186" s="89">
        <v>9.6710000000000008E-3</v>
      </c>
      <c r="AG186" s="80"/>
    </row>
    <row r="187" spans="1:33" ht="15" customHeight="1">
      <c r="A187" s="78" t="s">
        <v>448</v>
      </c>
      <c r="B187" s="87" t="s">
        <v>281</v>
      </c>
      <c r="C187" s="88">
        <v>7.5911910000000002</v>
      </c>
      <c r="D187" s="88">
        <v>7.6611630000000002</v>
      </c>
      <c r="E187" s="88">
        <v>7.8782069999999997</v>
      </c>
      <c r="F187" s="88">
        <v>8.1282580000000006</v>
      </c>
      <c r="G187" s="88">
        <v>8.4002669999999995</v>
      </c>
      <c r="H187" s="88">
        <v>8.6649030000000007</v>
      </c>
      <c r="I187" s="88">
        <v>8.7525060000000003</v>
      </c>
      <c r="J187" s="88">
        <v>8.9603819999999992</v>
      </c>
      <c r="K187" s="88">
        <v>9.1422589999999992</v>
      </c>
      <c r="L187" s="88">
        <v>9.3097940000000001</v>
      </c>
      <c r="M187" s="88">
        <v>9.4206289999999999</v>
      </c>
      <c r="N187" s="88">
        <v>9.4643309999999996</v>
      </c>
      <c r="O187" s="88">
        <v>9.4966589999999993</v>
      </c>
      <c r="P187" s="88">
        <v>9.5174789999999998</v>
      </c>
      <c r="Q187" s="88">
        <v>9.5179650000000002</v>
      </c>
      <c r="R187" s="88">
        <v>9.5173430000000003</v>
      </c>
      <c r="S187" s="88">
        <v>9.5168689999999998</v>
      </c>
      <c r="T187" s="88">
        <v>9.5165019999999991</v>
      </c>
      <c r="U187" s="88">
        <v>9.5162209999999998</v>
      </c>
      <c r="V187" s="88">
        <v>9.516</v>
      </c>
      <c r="W187" s="88">
        <v>9.5158260000000006</v>
      </c>
      <c r="X187" s="88">
        <v>9.5156919999999996</v>
      </c>
      <c r="Y187" s="88">
        <v>9.5155860000000008</v>
      </c>
      <c r="Z187" s="88">
        <v>9.5155010000000004</v>
      </c>
      <c r="AA187" s="88">
        <v>9.5154379999999996</v>
      </c>
      <c r="AB187" s="88">
        <v>9.51539</v>
      </c>
      <c r="AC187" s="88">
        <v>9.5153510000000008</v>
      </c>
      <c r="AD187" s="88">
        <v>9.5153219999999994</v>
      </c>
      <c r="AE187" s="88">
        <v>9.5152990000000006</v>
      </c>
      <c r="AF187" s="89">
        <v>8.1010000000000006E-3</v>
      </c>
      <c r="AG187" s="80"/>
    </row>
    <row r="188" spans="1:33" ht="12" customHeight="1">
      <c r="A188" s="78" t="s">
        <v>449</v>
      </c>
      <c r="B188" s="87" t="s">
        <v>283</v>
      </c>
      <c r="C188" s="88">
        <v>7.1242470000000004</v>
      </c>
      <c r="D188" s="88">
        <v>7.2168130000000001</v>
      </c>
      <c r="E188" s="88">
        <v>7.3563900000000002</v>
      </c>
      <c r="F188" s="88">
        <v>7.5275650000000001</v>
      </c>
      <c r="G188" s="88">
        <v>7.7367249999999999</v>
      </c>
      <c r="H188" s="88">
        <v>7.9800310000000003</v>
      </c>
      <c r="I188" s="88">
        <v>8.1323980000000002</v>
      </c>
      <c r="J188" s="88">
        <v>8.3864009999999993</v>
      </c>
      <c r="K188" s="88">
        <v>8.6378269999999997</v>
      </c>
      <c r="L188" s="88">
        <v>8.8904259999999997</v>
      </c>
      <c r="M188" s="88">
        <v>9.1115209999999998</v>
      </c>
      <c r="N188" s="88">
        <v>9.2799289999999992</v>
      </c>
      <c r="O188" s="88">
        <v>9.3770019999999992</v>
      </c>
      <c r="P188" s="88">
        <v>9.4107590000000005</v>
      </c>
      <c r="Q188" s="88">
        <v>9.4246560000000006</v>
      </c>
      <c r="R188" s="88">
        <v>9.4245020000000004</v>
      </c>
      <c r="S188" s="88">
        <v>9.4241159999999997</v>
      </c>
      <c r="T188" s="88">
        <v>9.4238</v>
      </c>
      <c r="U188" s="88">
        <v>9.4235679999999995</v>
      </c>
      <c r="V188" s="88">
        <v>9.4233779999999996</v>
      </c>
      <c r="W188" s="88">
        <v>9.4232479999999992</v>
      </c>
      <c r="X188" s="88">
        <v>9.4231280000000002</v>
      </c>
      <c r="Y188" s="88">
        <v>9.4230619999999998</v>
      </c>
      <c r="Z188" s="88">
        <v>9.423019</v>
      </c>
      <c r="AA188" s="88">
        <v>9.4229979999999998</v>
      </c>
      <c r="AB188" s="88">
        <v>9.4229979999999998</v>
      </c>
      <c r="AC188" s="88">
        <v>9.4230040000000006</v>
      </c>
      <c r="AD188" s="88">
        <v>9.4230070000000001</v>
      </c>
      <c r="AE188" s="88">
        <v>9.4230029999999996</v>
      </c>
      <c r="AF188" s="89">
        <v>1.0038E-2</v>
      </c>
      <c r="AG188" s="80"/>
    </row>
    <row r="189" spans="1:33" ht="15" customHeight="1">
      <c r="A189" s="78" t="s">
        <v>450</v>
      </c>
      <c r="B189" s="87" t="s">
        <v>285</v>
      </c>
      <c r="C189" s="88">
        <v>7.292211</v>
      </c>
      <c r="D189" s="88">
        <v>7.4884079999999997</v>
      </c>
      <c r="E189" s="88">
        <v>7.6983680000000003</v>
      </c>
      <c r="F189" s="88">
        <v>7.9397979999999997</v>
      </c>
      <c r="G189" s="88">
        <v>8.1937759999999997</v>
      </c>
      <c r="H189" s="88">
        <v>8.4428420000000006</v>
      </c>
      <c r="I189" s="88">
        <v>8.5494730000000008</v>
      </c>
      <c r="J189" s="88">
        <v>8.7347490000000008</v>
      </c>
      <c r="K189" s="88">
        <v>8.8995069999999998</v>
      </c>
      <c r="L189" s="88">
        <v>9.0537989999999997</v>
      </c>
      <c r="M189" s="88">
        <v>9.1548890000000007</v>
      </c>
      <c r="N189" s="88">
        <v>9.1676400000000005</v>
      </c>
      <c r="O189" s="88">
        <v>9.1625399999999999</v>
      </c>
      <c r="P189" s="88">
        <v>9.1586540000000003</v>
      </c>
      <c r="Q189" s="88">
        <v>9.1556639999999998</v>
      </c>
      <c r="R189" s="88">
        <v>9.1533379999999998</v>
      </c>
      <c r="S189" s="88">
        <v>9.1515199999999997</v>
      </c>
      <c r="T189" s="88">
        <v>9.1500839999999997</v>
      </c>
      <c r="U189" s="88">
        <v>9.1489410000000007</v>
      </c>
      <c r="V189" s="88">
        <v>9.1480250000000005</v>
      </c>
      <c r="W189" s="88">
        <v>9.1472890000000007</v>
      </c>
      <c r="X189" s="88">
        <v>9.1466879999999993</v>
      </c>
      <c r="Y189" s="88">
        <v>9.1461900000000007</v>
      </c>
      <c r="Z189" s="88">
        <v>9.1457750000000004</v>
      </c>
      <c r="AA189" s="88">
        <v>9.1454409999999999</v>
      </c>
      <c r="AB189" s="88">
        <v>9.1451709999999995</v>
      </c>
      <c r="AC189" s="88">
        <v>9.1449479999999994</v>
      </c>
      <c r="AD189" s="88">
        <v>9.1447570000000002</v>
      </c>
      <c r="AE189" s="88">
        <v>9.1445919999999994</v>
      </c>
      <c r="AF189" s="89">
        <v>8.1169999999999992E-3</v>
      </c>
      <c r="AG189" s="80"/>
    </row>
    <row r="190" spans="1:33" ht="15" customHeight="1">
      <c r="A190" s="78" t="s">
        <v>451</v>
      </c>
      <c r="B190" s="87" t="s">
        <v>287</v>
      </c>
      <c r="C190" s="88">
        <v>7.268243</v>
      </c>
      <c r="D190" s="88">
        <v>7.4635480000000003</v>
      </c>
      <c r="E190" s="88">
        <v>7.6750480000000003</v>
      </c>
      <c r="F190" s="88">
        <v>7.9198219999999999</v>
      </c>
      <c r="G190" s="88">
        <v>8.185416</v>
      </c>
      <c r="H190" s="88">
        <v>8.4430309999999995</v>
      </c>
      <c r="I190" s="88">
        <v>8.5276650000000007</v>
      </c>
      <c r="J190" s="88">
        <v>8.7294079999999994</v>
      </c>
      <c r="K190" s="88">
        <v>8.9058630000000001</v>
      </c>
      <c r="L190" s="88">
        <v>9.0684369999999994</v>
      </c>
      <c r="M190" s="88">
        <v>9.1760070000000002</v>
      </c>
      <c r="N190" s="88">
        <v>9.2184139999999992</v>
      </c>
      <c r="O190" s="88">
        <v>9.2498050000000003</v>
      </c>
      <c r="P190" s="88">
        <v>9.2703319999999998</v>
      </c>
      <c r="Q190" s="88">
        <v>9.2718019999999992</v>
      </c>
      <c r="R190" s="88">
        <v>9.2710109999999997</v>
      </c>
      <c r="S190" s="88">
        <v>9.2704079999999998</v>
      </c>
      <c r="T190" s="88">
        <v>9.269933</v>
      </c>
      <c r="U190" s="88">
        <v>9.2696070000000006</v>
      </c>
      <c r="V190" s="88">
        <v>9.2693589999999997</v>
      </c>
      <c r="W190" s="88">
        <v>9.2692110000000003</v>
      </c>
      <c r="X190" s="88">
        <v>9.2690979999999996</v>
      </c>
      <c r="Y190" s="88">
        <v>9.2690529999999995</v>
      </c>
      <c r="Z190" s="88">
        <v>9.2689599999999999</v>
      </c>
      <c r="AA190" s="88">
        <v>9.2688970000000008</v>
      </c>
      <c r="AB190" s="88">
        <v>9.2687869999999997</v>
      </c>
      <c r="AC190" s="88">
        <v>9.2687290000000004</v>
      </c>
      <c r="AD190" s="88">
        <v>9.2686460000000004</v>
      </c>
      <c r="AE190" s="88">
        <v>9.2686039999999998</v>
      </c>
      <c r="AF190" s="89">
        <v>8.7209999999999996E-3</v>
      </c>
      <c r="AG190" s="80"/>
    </row>
    <row r="191" spans="1:33" ht="15" customHeight="1">
      <c r="A191" s="78" t="s">
        <v>452</v>
      </c>
      <c r="B191" s="87" t="s">
        <v>289</v>
      </c>
      <c r="C191" s="88">
        <v>17.261649999999999</v>
      </c>
      <c r="D191" s="88">
        <v>17.508261000000001</v>
      </c>
      <c r="E191" s="88">
        <v>17.854417999999999</v>
      </c>
      <c r="F191" s="88">
        <v>18.277363000000001</v>
      </c>
      <c r="G191" s="88">
        <v>18.790918000000001</v>
      </c>
      <c r="H191" s="88">
        <v>19.316697999999999</v>
      </c>
      <c r="I191" s="88">
        <v>19.565182</v>
      </c>
      <c r="J191" s="88">
        <v>20.084275999999999</v>
      </c>
      <c r="K191" s="88">
        <v>20.588906999999999</v>
      </c>
      <c r="L191" s="88">
        <v>21.061657</v>
      </c>
      <c r="M191" s="88">
        <v>21.391763999999998</v>
      </c>
      <c r="N191" s="88">
        <v>21.534663999999999</v>
      </c>
      <c r="O191" s="88">
        <v>21.618568</v>
      </c>
      <c r="P191" s="88">
        <v>21.688912999999999</v>
      </c>
      <c r="Q191" s="88">
        <v>21.743261</v>
      </c>
      <c r="R191" s="88">
        <v>21.778696</v>
      </c>
      <c r="S191" s="88">
        <v>21.801825000000001</v>
      </c>
      <c r="T191" s="88">
        <v>21.804839999999999</v>
      </c>
      <c r="U191" s="88">
        <v>21.806774000000001</v>
      </c>
      <c r="V191" s="88">
        <v>21.808716</v>
      </c>
      <c r="W191" s="88">
        <v>21.810666999999999</v>
      </c>
      <c r="X191" s="88">
        <v>21.812643000000001</v>
      </c>
      <c r="Y191" s="88">
        <v>21.814662999999999</v>
      </c>
      <c r="Z191" s="88">
        <v>21.816706</v>
      </c>
      <c r="AA191" s="88">
        <v>21.818787</v>
      </c>
      <c r="AB191" s="88">
        <v>21.821026</v>
      </c>
      <c r="AC191" s="88">
        <v>21.823440999999999</v>
      </c>
      <c r="AD191" s="88">
        <v>21.825979</v>
      </c>
      <c r="AE191" s="88">
        <v>21.828533</v>
      </c>
      <c r="AF191" s="89">
        <v>8.4180000000000001E-3</v>
      </c>
      <c r="AG191" s="80"/>
    </row>
    <row r="192" spans="1:33" ht="15" customHeight="1">
      <c r="A192" s="78" t="s">
        <v>453</v>
      </c>
      <c r="B192" s="87" t="s">
        <v>291</v>
      </c>
      <c r="C192" s="88">
        <v>0</v>
      </c>
      <c r="D192" s="88">
        <v>0</v>
      </c>
      <c r="E192" s="88">
        <v>14.553951</v>
      </c>
      <c r="F192" s="88">
        <v>15.06725</v>
      </c>
      <c r="G192" s="88">
        <v>15.341901</v>
      </c>
      <c r="H192" s="88">
        <v>15.710222999999999</v>
      </c>
      <c r="I192" s="88">
        <v>15.970879</v>
      </c>
      <c r="J192" s="88">
        <v>16.342666999999999</v>
      </c>
      <c r="K192" s="88">
        <v>16.697527000000001</v>
      </c>
      <c r="L192" s="88">
        <v>17.096664000000001</v>
      </c>
      <c r="M192" s="88">
        <v>17.514284</v>
      </c>
      <c r="N192" s="88">
        <v>17.923280999999999</v>
      </c>
      <c r="O192" s="88">
        <v>18.248905000000001</v>
      </c>
      <c r="P192" s="88">
        <v>18.335930000000001</v>
      </c>
      <c r="Q192" s="88">
        <v>18.547796000000002</v>
      </c>
      <c r="R192" s="88">
        <v>18.661673</v>
      </c>
      <c r="S192" s="88">
        <v>18.668140000000001</v>
      </c>
      <c r="T192" s="88">
        <v>18.668623</v>
      </c>
      <c r="U192" s="88">
        <v>18.665022</v>
      </c>
      <c r="V192" s="88">
        <v>18.661655</v>
      </c>
      <c r="W192" s="88">
        <v>18.658579</v>
      </c>
      <c r="X192" s="88">
        <v>18.654143999999999</v>
      </c>
      <c r="Y192" s="88">
        <v>18.648935000000002</v>
      </c>
      <c r="Z192" s="88">
        <v>18.644413</v>
      </c>
      <c r="AA192" s="88">
        <v>18.640536999999998</v>
      </c>
      <c r="AB192" s="88">
        <v>18.637250999999999</v>
      </c>
      <c r="AC192" s="88">
        <v>18.63447</v>
      </c>
      <c r="AD192" s="88">
        <v>18.632059000000002</v>
      </c>
      <c r="AE192" s="88">
        <v>18.629958999999999</v>
      </c>
      <c r="AF192" s="89" t="s">
        <v>217</v>
      </c>
      <c r="AG192" s="80"/>
    </row>
    <row r="193" spans="1:33" ht="15" customHeight="1">
      <c r="A193" s="78" t="s">
        <v>454</v>
      </c>
      <c r="B193" s="87" t="s">
        <v>293</v>
      </c>
      <c r="C193" s="88">
        <v>0</v>
      </c>
      <c r="D193" s="88">
        <v>0</v>
      </c>
      <c r="E193" s="88">
        <v>10.500607</v>
      </c>
      <c r="F193" s="88">
        <v>10.816065</v>
      </c>
      <c r="G193" s="88">
        <v>10.962262000000001</v>
      </c>
      <c r="H193" s="88">
        <v>11.156472000000001</v>
      </c>
      <c r="I193" s="88">
        <v>11.301285999999999</v>
      </c>
      <c r="J193" s="88">
        <v>11.561089000000001</v>
      </c>
      <c r="K193" s="88">
        <v>11.822108999999999</v>
      </c>
      <c r="L193" s="88">
        <v>12.112679</v>
      </c>
      <c r="M193" s="88">
        <v>12.419242000000001</v>
      </c>
      <c r="N193" s="88">
        <v>12.713984999999999</v>
      </c>
      <c r="O193" s="88">
        <v>12.972481999999999</v>
      </c>
      <c r="P193" s="88">
        <v>13.026942</v>
      </c>
      <c r="Q193" s="88">
        <v>13.184941</v>
      </c>
      <c r="R193" s="88">
        <v>13.26976</v>
      </c>
      <c r="S193" s="88">
        <v>13.268578</v>
      </c>
      <c r="T193" s="88">
        <v>13.262771000000001</v>
      </c>
      <c r="U193" s="88">
        <v>13.254457</v>
      </c>
      <c r="V193" s="88">
        <v>13.247040999999999</v>
      </c>
      <c r="W193" s="88">
        <v>13.24062</v>
      </c>
      <c r="X193" s="88">
        <v>13.234921999999999</v>
      </c>
      <c r="Y193" s="88">
        <v>13.230038</v>
      </c>
      <c r="Z193" s="88">
        <v>13.225935</v>
      </c>
      <c r="AA193" s="88">
        <v>13.222815000000001</v>
      </c>
      <c r="AB193" s="88">
        <v>13.220615</v>
      </c>
      <c r="AC193" s="88">
        <v>13.219594000000001</v>
      </c>
      <c r="AD193" s="88">
        <v>13.219208999999999</v>
      </c>
      <c r="AE193" s="88">
        <v>13.183807</v>
      </c>
      <c r="AF193" s="89" t="s">
        <v>217</v>
      </c>
      <c r="AG193" s="80"/>
    </row>
    <row r="194" spans="1:33" ht="12" customHeight="1">
      <c r="A194" s="78" t="s">
        <v>455</v>
      </c>
      <c r="B194" s="87" t="s">
        <v>295</v>
      </c>
      <c r="C194" s="88">
        <v>0</v>
      </c>
      <c r="D194" s="88">
        <v>0</v>
      </c>
      <c r="E194" s="88">
        <v>11.516576000000001</v>
      </c>
      <c r="F194" s="88">
        <v>11.5169</v>
      </c>
      <c r="G194" s="88">
        <v>11.51685</v>
      </c>
      <c r="H194" s="88">
        <v>11.516837000000001</v>
      </c>
      <c r="I194" s="88">
        <v>11.516859</v>
      </c>
      <c r="J194" s="88">
        <v>11.51688</v>
      </c>
      <c r="K194" s="88">
        <v>11.516907</v>
      </c>
      <c r="L194" s="88">
        <v>11.516935</v>
      </c>
      <c r="M194" s="88">
        <v>11.516961999999999</v>
      </c>
      <c r="N194" s="88">
        <v>11.516977000000001</v>
      </c>
      <c r="O194" s="88">
        <v>11.516978999999999</v>
      </c>
      <c r="P194" s="88">
        <v>11.51695</v>
      </c>
      <c r="Q194" s="88">
        <v>11.51689</v>
      </c>
      <c r="R194" s="88">
        <v>11.516907</v>
      </c>
      <c r="S194" s="88">
        <v>11.516923999999999</v>
      </c>
      <c r="T194" s="88">
        <v>11.516938</v>
      </c>
      <c r="U194" s="88">
        <v>11.516947999999999</v>
      </c>
      <c r="V194" s="88">
        <v>11.516954999999999</v>
      </c>
      <c r="W194" s="88">
        <v>11.516959999999999</v>
      </c>
      <c r="X194" s="88">
        <v>11.516964</v>
      </c>
      <c r="Y194" s="88">
        <v>11.516964</v>
      </c>
      <c r="Z194" s="88">
        <v>11.516968</v>
      </c>
      <c r="AA194" s="88">
        <v>11.516969</v>
      </c>
      <c r="AB194" s="88">
        <v>11.516973</v>
      </c>
      <c r="AC194" s="88">
        <v>11.516973999999999</v>
      </c>
      <c r="AD194" s="88">
        <v>11.516978</v>
      </c>
      <c r="AE194" s="88">
        <v>11.516980999999999</v>
      </c>
      <c r="AF194" s="89" t="s">
        <v>217</v>
      </c>
      <c r="AG194" s="80"/>
    </row>
    <row r="195" spans="1:33" ht="15" customHeight="1">
      <c r="A195" s="78" t="s">
        <v>456</v>
      </c>
      <c r="B195" s="87" t="s">
        <v>389</v>
      </c>
      <c r="C195" s="88">
        <v>9.5247820000000001</v>
      </c>
      <c r="D195" s="88">
        <v>9.8885430000000003</v>
      </c>
      <c r="E195" s="88">
        <v>10.224921</v>
      </c>
      <c r="F195" s="88">
        <v>10.587244999999999</v>
      </c>
      <c r="G195" s="88">
        <v>10.97054</v>
      </c>
      <c r="H195" s="88">
        <v>11.328587000000001</v>
      </c>
      <c r="I195" s="88">
        <v>11.461983</v>
      </c>
      <c r="J195" s="88">
        <v>11.742497999999999</v>
      </c>
      <c r="K195" s="88">
        <v>11.992036000000001</v>
      </c>
      <c r="L195" s="88">
        <v>12.222080999999999</v>
      </c>
      <c r="M195" s="88">
        <v>12.347753000000001</v>
      </c>
      <c r="N195" s="88">
        <v>12.356037000000001</v>
      </c>
      <c r="O195" s="88">
        <v>12.361373</v>
      </c>
      <c r="P195" s="88">
        <v>12.357457</v>
      </c>
      <c r="Q195" s="88">
        <v>12.355285</v>
      </c>
      <c r="R195" s="88">
        <v>12.352421</v>
      </c>
      <c r="S195" s="88">
        <v>12.349617</v>
      </c>
      <c r="T195" s="88">
        <v>12.34694</v>
      </c>
      <c r="U195" s="88">
        <v>12.344196</v>
      </c>
      <c r="V195" s="88">
        <v>12.341397000000001</v>
      </c>
      <c r="W195" s="88">
        <v>12.33905</v>
      </c>
      <c r="X195" s="88">
        <v>12.337028</v>
      </c>
      <c r="Y195" s="88">
        <v>12.335281999999999</v>
      </c>
      <c r="Z195" s="88">
        <v>12.333774</v>
      </c>
      <c r="AA195" s="88">
        <v>12.332497999999999</v>
      </c>
      <c r="AB195" s="88">
        <v>12.33145</v>
      </c>
      <c r="AC195" s="88">
        <v>12.330605</v>
      </c>
      <c r="AD195" s="88">
        <v>12.329912999999999</v>
      </c>
      <c r="AE195" s="88">
        <v>12.329328</v>
      </c>
      <c r="AF195" s="89">
        <v>9.2599999999999991E-3</v>
      </c>
      <c r="AG195" s="80"/>
    </row>
    <row r="196" spans="1:33" ht="15" customHeight="1">
      <c r="B196" s="86" t="s">
        <v>310</v>
      </c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</row>
    <row r="197" spans="1:33" ht="15" customHeight="1">
      <c r="A197" s="78" t="s">
        <v>457</v>
      </c>
      <c r="B197" s="87" t="s">
        <v>279</v>
      </c>
      <c r="C197" s="88">
        <v>6.6741390000000003</v>
      </c>
      <c r="D197" s="88">
        <v>6.8852849999999997</v>
      </c>
      <c r="E197" s="88">
        <v>7.1006530000000003</v>
      </c>
      <c r="F197" s="88">
        <v>7.3028760000000004</v>
      </c>
      <c r="G197" s="88">
        <v>7.4948119999999996</v>
      </c>
      <c r="H197" s="88">
        <v>7.663227</v>
      </c>
      <c r="I197" s="88">
        <v>7.7350300000000001</v>
      </c>
      <c r="J197" s="88">
        <v>7.8437489999999999</v>
      </c>
      <c r="K197" s="88">
        <v>7.9559100000000003</v>
      </c>
      <c r="L197" s="88">
        <v>8.0614980000000003</v>
      </c>
      <c r="M197" s="88">
        <v>8.1245209999999997</v>
      </c>
      <c r="N197" s="88">
        <v>8.1302219999999998</v>
      </c>
      <c r="O197" s="88">
        <v>8.1312309999999997</v>
      </c>
      <c r="P197" s="88">
        <v>8.1314919999999997</v>
      </c>
      <c r="Q197" s="88">
        <v>8.1320390000000007</v>
      </c>
      <c r="R197" s="88">
        <v>8.132225</v>
      </c>
      <c r="S197" s="88">
        <v>8.1321949999999994</v>
      </c>
      <c r="T197" s="88">
        <v>8.1307700000000001</v>
      </c>
      <c r="U197" s="88">
        <v>8.1306799999999999</v>
      </c>
      <c r="V197" s="88">
        <v>8.1299430000000008</v>
      </c>
      <c r="W197" s="88">
        <v>8.1248360000000002</v>
      </c>
      <c r="X197" s="88">
        <v>8.1218679999999992</v>
      </c>
      <c r="Y197" s="88">
        <v>8.1227850000000004</v>
      </c>
      <c r="Z197" s="88">
        <v>8.1243200000000009</v>
      </c>
      <c r="AA197" s="88">
        <v>8.1272590000000005</v>
      </c>
      <c r="AB197" s="88">
        <v>8.1302529999999997</v>
      </c>
      <c r="AC197" s="88">
        <v>8.1340679999999992</v>
      </c>
      <c r="AD197" s="88">
        <v>8.1372649999999993</v>
      </c>
      <c r="AE197" s="88">
        <v>8.1407100000000003</v>
      </c>
      <c r="AF197" s="89">
        <v>7.1190000000000003E-3</v>
      </c>
      <c r="AG197" s="80"/>
    </row>
    <row r="198" spans="1:33" ht="15" customHeight="1">
      <c r="A198" s="78" t="s">
        <v>458</v>
      </c>
      <c r="B198" s="87" t="s">
        <v>281</v>
      </c>
      <c r="C198" s="88">
        <v>6.9596289999999996</v>
      </c>
      <c r="D198" s="88">
        <v>5.9529370000000004</v>
      </c>
      <c r="E198" s="88">
        <v>6.0073610000000004</v>
      </c>
      <c r="F198" s="88">
        <v>6.0720479999999997</v>
      </c>
      <c r="G198" s="88">
        <v>6.1373980000000001</v>
      </c>
      <c r="H198" s="88">
        <v>6.2228519999999996</v>
      </c>
      <c r="I198" s="88">
        <v>6.2788729999999999</v>
      </c>
      <c r="J198" s="88">
        <v>6.3708169999999997</v>
      </c>
      <c r="K198" s="88">
        <v>6.4585290000000004</v>
      </c>
      <c r="L198" s="88">
        <v>6.5475839999999996</v>
      </c>
      <c r="M198" s="88">
        <v>6.6296109999999997</v>
      </c>
      <c r="N198" s="88">
        <v>6.6995250000000004</v>
      </c>
      <c r="O198" s="88">
        <v>6.7108980000000003</v>
      </c>
      <c r="P198" s="88">
        <v>6.7106630000000003</v>
      </c>
      <c r="Q198" s="88">
        <v>6.7066330000000001</v>
      </c>
      <c r="R198" s="88">
        <v>6.7053219999999998</v>
      </c>
      <c r="S198" s="88">
        <v>6.7082680000000003</v>
      </c>
      <c r="T198" s="88">
        <v>6.711773</v>
      </c>
      <c r="U198" s="88">
        <v>6.7035689999999999</v>
      </c>
      <c r="V198" s="88">
        <v>6.7096999999999998</v>
      </c>
      <c r="W198" s="88">
        <v>6.7159459999999997</v>
      </c>
      <c r="X198" s="88">
        <v>6.7233270000000003</v>
      </c>
      <c r="Y198" s="88">
        <v>6.7327940000000002</v>
      </c>
      <c r="Z198" s="88">
        <v>6.7314930000000004</v>
      </c>
      <c r="AA198" s="88">
        <v>6.7413860000000003</v>
      </c>
      <c r="AB198" s="88">
        <v>6.7536569999999996</v>
      </c>
      <c r="AC198" s="88">
        <v>6.7673569999999996</v>
      </c>
      <c r="AD198" s="88">
        <v>6.7780480000000001</v>
      </c>
      <c r="AE198" s="88">
        <v>6.7935040000000004</v>
      </c>
      <c r="AF198" s="89">
        <v>-8.6200000000000003E-4</v>
      </c>
      <c r="AG198" s="80"/>
    </row>
    <row r="199" spans="1:33" ht="15" customHeight="1">
      <c r="A199" s="78" t="s">
        <v>459</v>
      </c>
      <c r="B199" s="87" t="s">
        <v>283</v>
      </c>
      <c r="C199" s="88">
        <v>6.8185469999999997</v>
      </c>
      <c r="D199" s="88">
        <v>5.9032249999999999</v>
      </c>
      <c r="E199" s="88">
        <v>5.9652900000000004</v>
      </c>
      <c r="F199" s="88">
        <v>6.0359860000000003</v>
      </c>
      <c r="G199" s="88">
        <v>6.1126189999999996</v>
      </c>
      <c r="H199" s="88">
        <v>6.2137469999999997</v>
      </c>
      <c r="I199" s="88">
        <v>6.279903</v>
      </c>
      <c r="J199" s="88">
        <v>6.3897709999999996</v>
      </c>
      <c r="K199" s="88">
        <v>6.5028079999999999</v>
      </c>
      <c r="L199" s="88">
        <v>6.6191000000000004</v>
      </c>
      <c r="M199" s="88">
        <v>6.7335399999999996</v>
      </c>
      <c r="N199" s="88">
        <v>6.8337839999999996</v>
      </c>
      <c r="O199" s="88">
        <v>6.8738299999999999</v>
      </c>
      <c r="P199" s="88">
        <v>6.8977680000000001</v>
      </c>
      <c r="Q199" s="88">
        <v>6.9141079999999997</v>
      </c>
      <c r="R199" s="88">
        <v>6.9316990000000001</v>
      </c>
      <c r="S199" s="88">
        <v>6.9468240000000003</v>
      </c>
      <c r="T199" s="88">
        <v>6.9481419999999998</v>
      </c>
      <c r="U199" s="88">
        <v>6.9544230000000002</v>
      </c>
      <c r="V199" s="88">
        <v>6.9588419999999998</v>
      </c>
      <c r="W199" s="88">
        <v>6.9626419999999998</v>
      </c>
      <c r="X199" s="88">
        <v>6.9627559999999997</v>
      </c>
      <c r="Y199" s="88">
        <v>6.967187</v>
      </c>
      <c r="Z199" s="88">
        <v>6.9683719999999996</v>
      </c>
      <c r="AA199" s="88">
        <v>6.9689730000000001</v>
      </c>
      <c r="AB199" s="88">
        <v>6.9715740000000004</v>
      </c>
      <c r="AC199" s="88">
        <v>6.9744000000000002</v>
      </c>
      <c r="AD199" s="88">
        <v>6.9764480000000004</v>
      </c>
      <c r="AE199" s="88">
        <v>6.9796610000000001</v>
      </c>
      <c r="AF199" s="89">
        <v>8.34E-4</v>
      </c>
      <c r="AG199" s="80"/>
    </row>
    <row r="200" spans="1:33" ht="12" customHeight="1">
      <c r="A200" s="78" t="s">
        <v>460</v>
      </c>
      <c r="B200" s="87" t="s">
        <v>285</v>
      </c>
      <c r="C200" s="88">
        <v>6.2555990000000001</v>
      </c>
      <c r="D200" s="88">
        <v>6.4593990000000003</v>
      </c>
      <c r="E200" s="88">
        <v>6.6792319999999998</v>
      </c>
      <c r="F200" s="88">
        <v>6.8722630000000002</v>
      </c>
      <c r="G200" s="88">
        <v>7.0303750000000003</v>
      </c>
      <c r="H200" s="88">
        <v>7.197673</v>
      </c>
      <c r="I200" s="88">
        <v>7.2429790000000001</v>
      </c>
      <c r="J200" s="88">
        <v>7.3378269999999999</v>
      </c>
      <c r="K200" s="88">
        <v>7.4347209999999997</v>
      </c>
      <c r="L200" s="88">
        <v>7.5286330000000001</v>
      </c>
      <c r="M200" s="88">
        <v>7.5792349999999997</v>
      </c>
      <c r="N200" s="88">
        <v>7.5904689999999997</v>
      </c>
      <c r="O200" s="88">
        <v>7.592085</v>
      </c>
      <c r="P200" s="88">
        <v>7.5954969999999999</v>
      </c>
      <c r="Q200" s="88">
        <v>7.5945070000000001</v>
      </c>
      <c r="R200" s="88">
        <v>7.5939490000000003</v>
      </c>
      <c r="S200" s="88">
        <v>7.5919169999999996</v>
      </c>
      <c r="T200" s="88">
        <v>7.5879479999999999</v>
      </c>
      <c r="U200" s="88">
        <v>7.5832319999999998</v>
      </c>
      <c r="V200" s="88">
        <v>7.5789249999999999</v>
      </c>
      <c r="W200" s="88">
        <v>7.5766530000000003</v>
      </c>
      <c r="X200" s="88">
        <v>7.5721049999999996</v>
      </c>
      <c r="Y200" s="88">
        <v>7.5735400000000004</v>
      </c>
      <c r="Z200" s="88">
        <v>7.5757190000000003</v>
      </c>
      <c r="AA200" s="88">
        <v>7.5675840000000001</v>
      </c>
      <c r="AB200" s="88">
        <v>7.5741889999999996</v>
      </c>
      <c r="AC200" s="88">
        <v>7.5766689999999999</v>
      </c>
      <c r="AD200" s="88">
        <v>7.5783950000000004</v>
      </c>
      <c r="AE200" s="88">
        <v>7.5872270000000004</v>
      </c>
      <c r="AF200" s="89">
        <v>6.9160000000000003E-3</v>
      </c>
      <c r="AG200" s="80"/>
    </row>
    <row r="201" spans="1:33" ht="15" customHeight="1">
      <c r="A201" s="78" t="s">
        <v>461</v>
      </c>
      <c r="B201" s="87" t="s">
        <v>287</v>
      </c>
      <c r="C201" s="88">
        <v>0</v>
      </c>
      <c r="D201" s="88">
        <v>0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  <c r="X201" s="88">
        <v>0</v>
      </c>
      <c r="Y201" s="88">
        <v>0</v>
      </c>
      <c r="Z201" s="88">
        <v>0</v>
      </c>
      <c r="AA201" s="88">
        <v>0</v>
      </c>
      <c r="AB201" s="88">
        <v>0</v>
      </c>
      <c r="AC201" s="88">
        <v>0</v>
      </c>
      <c r="AD201" s="88">
        <v>0</v>
      </c>
      <c r="AE201" s="88">
        <v>0</v>
      </c>
      <c r="AF201" s="89" t="s">
        <v>217</v>
      </c>
      <c r="AG201" s="80"/>
    </row>
    <row r="202" spans="1:33" ht="15" customHeight="1">
      <c r="A202" s="78" t="s">
        <v>462</v>
      </c>
      <c r="B202" s="87" t="s">
        <v>289</v>
      </c>
      <c r="C202" s="88">
        <v>10.834061999999999</v>
      </c>
      <c r="D202" s="88">
        <v>10.882393</v>
      </c>
      <c r="E202" s="88">
        <v>10.964416999999999</v>
      </c>
      <c r="F202" s="88">
        <v>11.061455</v>
      </c>
      <c r="G202" s="88">
        <v>11.153900999999999</v>
      </c>
      <c r="H202" s="88">
        <v>11.253285</v>
      </c>
      <c r="I202" s="88">
        <v>11.296942</v>
      </c>
      <c r="J202" s="88">
        <v>11.379332</v>
      </c>
      <c r="K202" s="88">
        <v>11.454438</v>
      </c>
      <c r="L202" s="88">
        <v>11.507104</v>
      </c>
      <c r="M202" s="88">
        <v>11.546773</v>
      </c>
      <c r="N202" s="88">
        <v>11.565410999999999</v>
      </c>
      <c r="O202" s="88">
        <v>11.569518</v>
      </c>
      <c r="P202" s="88">
        <v>11.570686</v>
      </c>
      <c r="Q202" s="88">
        <v>11.571607</v>
      </c>
      <c r="R202" s="88">
        <v>11.572569</v>
      </c>
      <c r="S202" s="88">
        <v>11.573530999999999</v>
      </c>
      <c r="T202" s="88">
        <v>11.574866</v>
      </c>
      <c r="U202" s="88">
        <v>11.57612</v>
      </c>
      <c r="V202" s="88">
        <v>11.575917</v>
      </c>
      <c r="W202" s="88">
        <v>11.578455</v>
      </c>
      <c r="X202" s="88">
        <v>11.581327</v>
      </c>
      <c r="Y202" s="88">
        <v>11.584543</v>
      </c>
      <c r="Z202" s="88">
        <v>11.58811</v>
      </c>
      <c r="AA202" s="88">
        <v>11.592025</v>
      </c>
      <c r="AB202" s="88">
        <v>11.596264</v>
      </c>
      <c r="AC202" s="88">
        <v>11.600784000000001</v>
      </c>
      <c r="AD202" s="88">
        <v>11.605504</v>
      </c>
      <c r="AE202" s="88">
        <v>11.610388</v>
      </c>
      <c r="AF202" s="89">
        <v>2.4750000000000002E-3</v>
      </c>
      <c r="AG202" s="80"/>
    </row>
    <row r="203" spans="1:33" ht="15" customHeight="1">
      <c r="A203" s="78" t="s">
        <v>463</v>
      </c>
      <c r="B203" s="87" t="s">
        <v>291</v>
      </c>
      <c r="C203" s="88">
        <v>0</v>
      </c>
      <c r="D203" s="88">
        <v>0</v>
      </c>
      <c r="E203" s="88">
        <v>1.546108</v>
      </c>
      <c r="F203" s="88">
        <v>9.1605530000000002</v>
      </c>
      <c r="G203" s="88">
        <v>9.3005800000000001</v>
      </c>
      <c r="H203" s="88">
        <v>9.4671909999999997</v>
      </c>
      <c r="I203" s="88">
        <v>9.5727759999999993</v>
      </c>
      <c r="J203" s="88">
        <v>9.7524759999999997</v>
      </c>
      <c r="K203" s="88">
        <v>9.9656310000000001</v>
      </c>
      <c r="L203" s="88">
        <v>10.195888999999999</v>
      </c>
      <c r="M203" s="88">
        <v>10.426992</v>
      </c>
      <c r="N203" s="88">
        <v>10.635256999999999</v>
      </c>
      <c r="O203" s="88">
        <v>10.808609000000001</v>
      </c>
      <c r="P203" s="88">
        <v>10.854663</v>
      </c>
      <c r="Q203" s="88">
        <v>10.974729</v>
      </c>
      <c r="R203" s="88">
        <v>11.053928000000001</v>
      </c>
      <c r="S203" s="88">
        <v>11.057185</v>
      </c>
      <c r="T203" s="88">
        <v>11.058393000000001</v>
      </c>
      <c r="U203" s="88">
        <v>11.058843</v>
      </c>
      <c r="V203" s="88">
        <v>11.059227999999999</v>
      </c>
      <c r="W203" s="88">
        <v>11.059545999999999</v>
      </c>
      <c r="X203" s="88">
        <v>11.059043000000001</v>
      </c>
      <c r="Y203" s="88">
        <v>11.057752000000001</v>
      </c>
      <c r="Z203" s="88">
        <v>11.056799</v>
      </c>
      <c r="AA203" s="88">
        <v>11.056058999999999</v>
      </c>
      <c r="AB203" s="88">
        <v>11.055630000000001</v>
      </c>
      <c r="AC203" s="88">
        <v>11.055448999999999</v>
      </c>
      <c r="AD203" s="88">
        <v>11.055422999999999</v>
      </c>
      <c r="AE203" s="88">
        <v>11.055533</v>
      </c>
      <c r="AF203" s="89" t="s">
        <v>217</v>
      </c>
      <c r="AG203" s="80"/>
    </row>
    <row r="204" spans="1:33" ht="12" customHeight="1">
      <c r="A204" s="78" t="s">
        <v>464</v>
      </c>
      <c r="B204" s="87" t="s">
        <v>293</v>
      </c>
      <c r="C204" s="88">
        <v>0</v>
      </c>
      <c r="D204" s="88">
        <v>0</v>
      </c>
      <c r="E204" s="88">
        <v>1.475894</v>
      </c>
      <c r="F204" s="88">
        <v>9.1378389999999996</v>
      </c>
      <c r="G204" s="88">
        <v>9.2392439999999993</v>
      </c>
      <c r="H204" s="88">
        <v>9.3649430000000002</v>
      </c>
      <c r="I204" s="88">
        <v>9.4529390000000006</v>
      </c>
      <c r="J204" s="88">
        <v>9.6037499999999998</v>
      </c>
      <c r="K204" s="88">
        <v>9.7867789999999992</v>
      </c>
      <c r="L204" s="88">
        <v>9.9874130000000001</v>
      </c>
      <c r="M204" s="88">
        <v>10.191250999999999</v>
      </c>
      <c r="N204" s="88">
        <v>10.398272</v>
      </c>
      <c r="O204" s="88">
        <v>10.578143000000001</v>
      </c>
      <c r="P204" s="88">
        <v>10.638639</v>
      </c>
      <c r="Q204" s="88">
        <v>10.754894</v>
      </c>
      <c r="R204" s="88">
        <v>10.829401000000001</v>
      </c>
      <c r="S204" s="88">
        <v>10.826708999999999</v>
      </c>
      <c r="T204" s="88">
        <v>10.823515</v>
      </c>
      <c r="U204" s="88">
        <v>10.820962</v>
      </c>
      <c r="V204" s="88">
        <v>10.818721999999999</v>
      </c>
      <c r="W204" s="88">
        <v>10.816976</v>
      </c>
      <c r="X204" s="88">
        <v>10.815467999999999</v>
      </c>
      <c r="Y204" s="88">
        <v>10.814412000000001</v>
      </c>
      <c r="Z204" s="88">
        <v>10.81321</v>
      </c>
      <c r="AA204" s="88">
        <v>10.812366000000001</v>
      </c>
      <c r="AB204" s="88">
        <v>10.811446</v>
      </c>
      <c r="AC204" s="88">
        <v>10.811028</v>
      </c>
      <c r="AD204" s="88">
        <v>10.810542</v>
      </c>
      <c r="AE204" s="88">
        <v>10.81532</v>
      </c>
      <c r="AF204" s="89" t="s">
        <v>217</v>
      </c>
      <c r="AG204" s="80"/>
    </row>
    <row r="205" spans="1:33" ht="15" customHeight="1">
      <c r="A205" s="78" t="s">
        <v>465</v>
      </c>
      <c r="B205" s="87" t="s">
        <v>295</v>
      </c>
      <c r="C205" s="88">
        <v>0</v>
      </c>
      <c r="D205" s="88">
        <v>0</v>
      </c>
      <c r="E205" s="88">
        <v>7.1006340000000003</v>
      </c>
      <c r="F205" s="88">
        <v>7.1107129999999996</v>
      </c>
      <c r="G205" s="88">
        <v>7.1105650000000002</v>
      </c>
      <c r="H205" s="88">
        <v>7.1104979999999998</v>
      </c>
      <c r="I205" s="88">
        <v>7.1103259999999997</v>
      </c>
      <c r="J205" s="88">
        <v>7.1101960000000002</v>
      </c>
      <c r="K205" s="88">
        <v>7.1098470000000002</v>
      </c>
      <c r="L205" s="88">
        <v>7.1094480000000004</v>
      </c>
      <c r="M205" s="88">
        <v>7.1093760000000001</v>
      </c>
      <c r="N205" s="88">
        <v>7.1094819999999999</v>
      </c>
      <c r="O205" s="88">
        <v>7.1096539999999999</v>
      </c>
      <c r="P205" s="88">
        <v>7.1098749999999997</v>
      </c>
      <c r="Q205" s="88">
        <v>7.1101169999999998</v>
      </c>
      <c r="R205" s="88">
        <v>7.110366</v>
      </c>
      <c r="S205" s="88">
        <v>7.110633</v>
      </c>
      <c r="T205" s="88">
        <v>7.1109080000000002</v>
      </c>
      <c r="U205" s="88">
        <v>7.1111890000000004</v>
      </c>
      <c r="V205" s="88">
        <v>7.1114670000000002</v>
      </c>
      <c r="W205" s="88">
        <v>7.1117710000000001</v>
      </c>
      <c r="X205" s="88">
        <v>7.112063</v>
      </c>
      <c r="Y205" s="88">
        <v>7.1123690000000002</v>
      </c>
      <c r="Z205" s="88">
        <v>7.1126670000000001</v>
      </c>
      <c r="AA205" s="88">
        <v>7.1129499999999997</v>
      </c>
      <c r="AB205" s="88">
        <v>7.1132410000000004</v>
      </c>
      <c r="AC205" s="88">
        <v>7.113537</v>
      </c>
      <c r="AD205" s="88">
        <v>7.1138349999999999</v>
      </c>
      <c r="AE205" s="88">
        <v>7.1141290000000001</v>
      </c>
      <c r="AF205" s="89" t="s">
        <v>217</v>
      </c>
      <c r="AG205" s="80"/>
    </row>
    <row r="206" spans="1:33" ht="15" customHeight="1">
      <c r="A206" s="78" t="s">
        <v>466</v>
      </c>
      <c r="B206" s="87" t="s">
        <v>400</v>
      </c>
      <c r="C206" s="88">
        <v>6.6682579999999998</v>
      </c>
      <c r="D206" s="88">
        <v>6.8778709999999998</v>
      </c>
      <c r="E206" s="88">
        <v>7.093121</v>
      </c>
      <c r="F206" s="88">
        <v>7.29514</v>
      </c>
      <c r="G206" s="88">
        <v>7.4865729999999999</v>
      </c>
      <c r="H206" s="88">
        <v>7.6551429999999998</v>
      </c>
      <c r="I206" s="88">
        <v>7.7268739999999996</v>
      </c>
      <c r="J206" s="88">
        <v>7.8356810000000001</v>
      </c>
      <c r="K206" s="88">
        <v>7.9478730000000004</v>
      </c>
      <c r="L206" s="88">
        <v>8.0532990000000009</v>
      </c>
      <c r="M206" s="88">
        <v>8.1160700000000006</v>
      </c>
      <c r="N206" s="88">
        <v>8.1216530000000002</v>
      </c>
      <c r="O206" s="88">
        <v>8.1223130000000001</v>
      </c>
      <c r="P206" s="88">
        <v>8.1222189999999994</v>
      </c>
      <c r="Q206" s="88">
        <v>8.1223200000000002</v>
      </c>
      <c r="R206" s="88">
        <v>8.1220510000000008</v>
      </c>
      <c r="S206" s="88">
        <v>8.1215309999999992</v>
      </c>
      <c r="T206" s="88">
        <v>8.1195880000000002</v>
      </c>
      <c r="U206" s="88">
        <v>8.1188830000000003</v>
      </c>
      <c r="V206" s="88">
        <v>8.1175420000000003</v>
      </c>
      <c r="W206" s="88">
        <v>8.1119409999999998</v>
      </c>
      <c r="X206" s="88">
        <v>8.1083350000000003</v>
      </c>
      <c r="Y206" s="88">
        <v>8.1086290000000005</v>
      </c>
      <c r="Z206" s="88">
        <v>8.1095199999999998</v>
      </c>
      <c r="AA206" s="88">
        <v>8.1115200000000005</v>
      </c>
      <c r="AB206" s="88">
        <v>8.1139039999999998</v>
      </c>
      <c r="AC206" s="88">
        <v>8.1169639999999994</v>
      </c>
      <c r="AD206" s="88">
        <v>8.1193819999999999</v>
      </c>
      <c r="AE206" s="88">
        <v>8.1222469999999998</v>
      </c>
      <c r="AF206" s="89">
        <v>7.0689999999999998E-3</v>
      </c>
      <c r="AG206" s="80"/>
    </row>
    <row r="207" spans="1:33" ht="15" customHeight="1">
      <c r="A207" s="78" t="s">
        <v>467</v>
      </c>
      <c r="B207" s="86" t="s">
        <v>402</v>
      </c>
      <c r="C207" s="90">
        <v>7.9143220000000003</v>
      </c>
      <c r="D207" s="90">
        <v>8.2052589999999999</v>
      </c>
      <c r="E207" s="90">
        <v>8.5296900000000004</v>
      </c>
      <c r="F207" s="90">
        <v>8.8359380000000005</v>
      </c>
      <c r="G207" s="90">
        <v>9.0870700000000006</v>
      </c>
      <c r="H207" s="90">
        <v>9.2903500000000001</v>
      </c>
      <c r="I207" s="90">
        <v>9.3778360000000003</v>
      </c>
      <c r="J207" s="90">
        <v>9.5450739999999996</v>
      </c>
      <c r="K207" s="90">
        <v>9.7218040000000006</v>
      </c>
      <c r="L207" s="90">
        <v>9.8842239999999997</v>
      </c>
      <c r="M207" s="90">
        <v>9.9741850000000003</v>
      </c>
      <c r="N207" s="90">
        <v>9.9937349999999991</v>
      </c>
      <c r="O207" s="90">
        <v>10.014434</v>
      </c>
      <c r="P207" s="90">
        <v>10.036740999999999</v>
      </c>
      <c r="Q207" s="90">
        <v>10.062286</v>
      </c>
      <c r="R207" s="90">
        <v>10.086017</v>
      </c>
      <c r="S207" s="90">
        <v>10.112781999999999</v>
      </c>
      <c r="T207" s="90">
        <v>10.137606</v>
      </c>
      <c r="U207" s="90">
        <v>10.162179999999999</v>
      </c>
      <c r="V207" s="90">
        <v>10.179931</v>
      </c>
      <c r="W207" s="90">
        <v>10.198067999999999</v>
      </c>
      <c r="X207" s="90">
        <v>10.214041</v>
      </c>
      <c r="Y207" s="90">
        <v>10.242611</v>
      </c>
      <c r="Z207" s="90">
        <v>10.288869</v>
      </c>
      <c r="AA207" s="90">
        <v>10.332796999999999</v>
      </c>
      <c r="AB207" s="90">
        <v>10.365648999999999</v>
      </c>
      <c r="AC207" s="90">
        <v>10.388572999999999</v>
      </c>
      <c r="AD207" s="90">
        <v>10.421341999999999</v>
      </c>
      <c r="AE207" s="90">
        <v>10.451606999999999</v>
      </c>
      <c r="AF207" s="91">
        <v>9.9810000000000003E-3</v>
      </c>
      <c r="AG207" s="80"/>
    </row>
    <row r="208" spans="1:33" ht="15" customHeight="1"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</row>
    <row r="209" spans="1:33" ht="12" customHeight="1">
      <c r="B209" s="86" t="s">
        <v>468</v>
      </c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</row>
    <row r="210" spans="1:33" ht="15" customHeight="1">
      <c r="B210" s="86" t="s">
        <v>277</v>
      </c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</row>
    <row r="211" spans="1:33" ht="15" customHeight="1">
      <c r="A211" s="78" t="s">
        <v>469</v>
      </c>
      <c r="B211" s="87" t="s">
        <v>279</v>
      </c>
      <c r="C211" s="88">
        <v>136.77049299999999</v>
      </c>
      <c r="D211" s="88">
        <v>142.56779499999999</v>
      </c>
      <c r="E211" s="88">
        <v>150.771683</v>
      </c>
      <c r="F211" s="88">
        <v>157.08109999999999</v>
      </c>
      <c r="G211" s="88">
        <v>160.30355800000001</v>
      </c>
      <c r="H211" s="88">
        <v>162.00412</v>
      </c>
      <c r="I211" s="88">
        <v>163.38394199999999</v>
      </c>
      <c r="J211" s="88">
        <v>165.319534</v>
      </c>
      <c r="K211" s="88">
        <v>166.83865399999999</v>
      </c>
      <c r="L211" s="88">
        <v>168.393936</v>
      </c>
      <c r="M211" s="88">
        <v>170.32385300000001</v>
      </c>
      <c r="N211" s="88">
        <v>171.88102699999999</v>
      </c>
      <c r="O211" s="88">
        <v>174.06727599999999</v>
      </c>
      <c r="P211" s="88">
        <v>177.34086600000001</v>
      </c>
      <c r="Q211" s="88">
        <v>181.10180700000001</v>
      </c>
      <c r="R211" s="88">
        <v>184.59545900000001</v>
      </c>
      <c r="S211" s="88">
        <v>188.38859600000001</v>
      </c>
      <c r="T211" s="88">
        <v>191.97610499999999</v>
      </c>
      <c r="U211" s="88">
        <v>195.80365</v>
      </c>
      <c r="V211" s="88">
        <v>198.572205</v>
      </c>
      <c r="W211" s="88">
        <v>201.28009</v>
      </c>
      <c r="X211" s="88">
        <v>203.783401</v>
      </c>
      <c r="Y211" s="88">
        <v>206.34025600000001</v>
      </c>
      <c r="Z211" s="88">
        <v>210.204849</v>
      </c>
      <c r="AA211" s="88">
        <v>213.990906</v>
      </c>
      <c r="AB211" s="88">
        <v>217.19418300000001</v>
      </c>
      <c r="AC211" s="88">
        <v>219.837097</v>
      </c>
      <c r="AD211" s="88">
        <v>223.46331799999999</v>
      </c>
      <c r="AE211" s="88">
        <v>227.60270700000001</v>
      </c>
      <c r="AF211" s="89">
        <v>1.8356000000000001E-2</v>
      </c>
      <c r="AG211" s="80"/>
    </row>
    <row r="212" spans="1:33" ht="15" customHeight="1">
      <c r="A212" s="78" t="s">
        <v>470</v>
      </c>
      <c r="B212" s="87" t="s">
        <v>281</v>
      </c>
      <c r="C212" s="88">
        <v>103.59671</v>
      </c>
      <c r="D212" s="88">
        <v>106.848747</v>
      </c>
      <c r="E212" s="88">
        <v>111.904686</v>
      </c>
      <c r="F212" s="88">
        <v>115.554222</v>
      </c>
      <c r="G212" s="88">
        <v>116.96676600000001</v>
      </c>
      <c r="H212" s="88">
        <v>117.32727800000001</v>
      </c>
      <c r="I212" s="88">
        <v>117.518852</v>
      </c>
      <c r="J212" s="88">
        <v>118.16703</v>
      </c>
      <c r="K212" s="88">
        <v>118.568787</v>
      </c>
      <c r="L212" s="88">
        <v>119.044769</v>
      </c>
      <c r="M212" s="88">
        <v>119.82862900000001</v>
      </c>
      <c r="N212" s="88">
        <v>120.389702</v>
      </c>
      <c r="O212" s="88">
        <v>121.42692599999999</v>
      </c>
      <c r="P212" s="88">
        <v>123.25087000000001</v>
      </c>
      <c r="Q212" s="88">
        <v>125.43590500000001</v>
      </c>
      <c r="R212" s="88">
        <v>127.456306</v>
      </c>
      <c r="S212" s="88">
        <v>129.702652</v>
      </c>
      <c r="T212" s="88">
        <v>131.82530199999999</v>
      </c>
      <c r="U212" s="88">
        <v>134.129547</v>
      </c>
      <c r="V212" s="88">
        <v>135.72537199999999</v>
      </c>
      <c r="W212" s="88">
        <v>137.29719499999999</v>
      </c>
      <c r="X212" s="88">
        <v>138.74612400000001</v>
      </c>
      <c r="Y212" s="88">
        <v>140.24710099999999</v>
      </c>
      <c r="Z212" s="88">
        <v>142.65003999999999</v>
      </c>
      <c r="AA212" s="88">
        <v>145.01057399999999</v>
      </c>
      <c r="AB212" s="88">
        <v>146.987076</v>
      </c>
      <c r="AC212" s="88">
        <v>148.59549000000001</v>
      </c>
      <c r="AD212" s="88">
        <v>150.87861599999999</v>
      </c>
      <c r="AE212" s="88">
        <v>153.516571</v>
      </c>
      <c r="AF212" s="89">
        <v>1.4146000000000001E-2</v>
      </c>
      <c r="AG212" s="80"/>
    </row>
    <row r="213" spans="1:33" ht="15" customHeight="1">
      <c r="A213" s="78" t="s">
        <v>471</v>
      </c>
      <c r="B213" s="87" t="s">
        <v>283</v>
      </c>
      <c r="C213" s="88">
        <v>0</v>
      </c>
      <c r="D213" s="88">
        <v>0.27569399999999999</v>
      </c>
      <c r="E213" s="88">
        <v>0.28487499999999999</v>
      </c>
      <c r="F213" s="88">
        <v>0.28564000000000001</v>
      </c>
      <c r="G213" s="88">
        <v>0.29235</v>
      </c>
      <c r="H213" s="88">
        <v>0.29807899999999998</v>
      </c>
      <c r="I213" s="88">
        <v>0.303676</v>
      </c>
      <c r="J213" s="88">
        <v>0.31213600000000002</v>
      </c>
      <c r="K213" s="88">
        <v>0.32277899999999998</v>
      </c>
      <c r="L213" s="88">
        <v>0.33666600000000002</v>
      </c>
      <c r="M213" s="88">
        <v>0.35173100000000002</v>
      </c>
      <c r="N213" s="88">
        <v>0.36679499999999998</v>
      </c>
      <c r="O213" s="88">
        <v>0.38325999999999999</v>
      </c>
      <c r="P213" s="88">
        <v>0.40495500000000001</v>
      </c>
      <c r="Q213" s="88">
        <v>0.43248700000000001</v>
      </c>
      <c r="R213" s="88">
        <v>0.46502100000000002</v>
      </c>
      <c r="S213" s="88">
        <v>0.50168199999999996</v>
      </c>
      <c r="T213" s="88">
        <v>0.54403000000000001</v>
      </c>
      <c r="U213" s="88">
        <v>0.59080999999999995</v>
      </c>
      <c r="V213" s="88">
        <v>0.64069900000000002</v>
      </c>
      <c r="W213" s="88">
        <v>0.693214</v>
      </c>
      <c r="X213" s="88">
        <v>0.75207100000000005</v>
      </c>
      <c r="Y213" s="88">
        <v>0.81472999999999995</v>
      </c>
      <c r="Z213" s="88">
        <v>0.88600299999999999</v>
      </c>
      <c r="AA213" s="88">
        <v>0.95893600000000001</v>
      </c>
      <c r="AB213" s="88">
        <v>1.030097</v>
      </c>
      <c r="AC213" s="88">
        <v>1.0986610000000001</v>
      </c>
      <c r="AD213" s="88">
        <v>1.166161</v>
      </c>
      <c r="AE213" s="88">
        <v>1.234235</v>
      </c>
      <c r="AF213" s="89" t="s">
        <v>217</v>
      </c>
      <c r="AG213" s="80"/>
    </row>
    <row r="214" spans="1:33" ht="15" customHeight="1">
      <c r="A214" s="78" t="s">
        <v>472</v>
      </c>
      <c r="B214" s="87" t="s">
        <v>285</v>
      </c>
      <c r="C214" s="88">
        <v>0</v>
      </c>
      <c r="D214" s="88">
        <v>0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  <c r="X214" s="88">
        <v>0</v>
      </c>
      <c r="Y214" s="88">
        <v>0</v>
      </c>
      <c r="Z214" s="88">
        <v>0</v>
      </c>
      <c r="AA214" s="88">
        <v>0</v>
      </c>
      <c r="AB214" s="88">
        <v>0</v>
      </c>
      <c r="AC214" s="88">
        <v>0</v>
      </c>
      <c r="AD214" s="88">
        <v>0</v>
      </c>
      <c r="AE214" s="88">
        <v>0</v>
      </c>
      <c r="AF214" s="89" t="s">
        <v>217</v>
      </c>
      <c r="AG214" s="80"/>
    </row>
    <row r="215" spans="1:33" ht="15" customHeight="1">
      <c r="A215" s="78" t="s">
        <v>473</v>
      </c>
      <c r="B215" s="87" t="s">
        <v>287</v>
      </c>
      <c r="C215" s="88">
        <v>11.755768</v>
      </c>
      <c r="D215" s="88">
        <v>11.862360000000001</v>
      </c>
      <c r="E215" s="88">
        <v>12.543434</v>
      </c>
      <c r="F215" s="88">
        <v>12.408045</v>
      </c>
      <c r="G215" s="88">
        <v>12.201530999999999</v>
      </c>
      <c r="H215" s="88">
        <v>12.086430999999999</v>
      </c>
      <c r="I215" s="88">
        <v>11.693008000000001</v>
      </c>
      <c r="J215" s="88">
        <v>11.609571000000001</v>
      </c>
      <c r="K215" s="88">
        <v>11.587203000000001</v>
      </c>
      <c r="L215" s="88">
        <v>11.766098</v>
      </c>
      <c r="M215" s="88">
        <v>11.835867</v>
      </c>
      <c r="N215" s="88">
        <v>12.092966000000001</v>
      </c>
      <c r="O215" s="88">
        <v>12.317826999999999</v>
      </c>
      <c r="P215" s="88">
        <v>12.631629</v>
      </c>
      <c r="Q215" s="88">
        <v>12.885059999999999</v>
      </c>
      <c r="R215" s="88">
        <v>13.143001999999999</v>
      </c>
      <c r="S215" s="88">
        <v>13.377981</v>
      </c>
      <c r="T215" s="88">
        <v>13.633929999999999</v>
      </c>
      <c r="U215" s="88">
        <v>13.884437</v>
      </c>
      <c r="V215" s="88">
        <v>14.094258</v>
      </c>
      <c r="W215" s="88">
        <v>14.300129999999999</v>
      </c>
      <c r="X215" s="88">
        <v>14.546765000000001</v>
      </c>
      <c r="Y215" s="88">
        <v>14.697861</v>
      </c>
      <c r="Z215" s="88">
        <v>14.965305000000001</v>
      </c>
      <c r="AA215" s="88">
        <v>15.107173</v>
      </c>
      <c r="AB215" s="88">
        <v>15.276312000000001</v>
      </c>
      <c r="AC215" s="88">
        <v>15.38072</v>
      </c>
      <c r="AD215" s="88">
        <v>15.579879</v>
      </c>
      <c r="AE215" s="88">
        <v>15.731930999999999</v>
      </c>
      <c r="AF215" s="89">
        <v>1.0460000000000001E-2</v>
      </c>
      <c r="AG215" s="80"/>
    </row>
    <row r="216" spans="1:33" ht="15" customHeight="1">
      <c r="A216" s="78" t="s">
        <v>474</v>
      </c>
      <c r="B216" s="87" t="s">
        <v>289</v>
      </c>
      <c r="C216" s="88">
        <v>0</v>
      </c>
      <c r="D216" s="88">
        <v>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  <c r="X216" s="88">
        <v>0</v>
      </c>
      <c r="Y216" s="88">
        <v>0</v>
      </c>
      <c r="Z216" s="88">
        <v>0</v>
      </c>
      <c r="AA216" s="88">
        <v>0</v>
      </c>
      <c r="AB216" s="88">
        <v>0</v>
      </c>
      <c r="AC216" s="88">
        <v>0</v>
      </c>
      <c r="AD216" s="88">
        <v>0</v>
      </c>
      <c r="AE216" s="88">
        <v>0</v>
      </c>
      <c r="AF216" s="89" t="s">
        <v>217</v>
      </c>
      <c r="AG216" s="80"/>
    </row>
    <row r="217" spans="1:33" ht="15" customHeight="1">
      <c r="A217" s="78" t="s">
        <v>475</v>
      </c>
      <c r="B217" s="87" t="s">
        <v>291</v>
      </c>
      <c r="C217" s="88">
        <v>0</v>
      </c>
      <c r="D217" s="88">
        <v>0.31605299999999997</v>
      </c>
      <c r="E217" s="88">
        <v>0.33107700000000001</v>
      </c>
      <c r="F217" s="88">
        <v>0.34040199999999998</v>
      </c>
      <c r="G217" s="88">
        <v>0.349107</v>
      </c>
      <c r="H217" s="88">
        <v>0.35911599999999999</v>
      </c>
      <c r="I217" s="88">
        <v>0.37227199999999999</v>
      </c>
      <c r="J217" s="88">
        <v>0.39096999999999998</v>
      </c>
      <c r="K217" s="88">
        <v>0.41283500000000001</v>
      </c>
      <c r="L217" s="88">
        <v>0.43845699999999999</v>
      </c>
      <c r="M217" s="88">
        <v>0.46888299999999999</v>
      </c>
      <c r="N217" s="88">
        <v>0.50065899999999997</v>
      </c>
      <c r="O217" s="88">
        <v>0.53854100000000005</v>
      </c>
      <c r="P217" s="88">
        <v>0.585642</v>
      </c>
      <c r="Q217" s="88">
        <v>0.64264399999999999</v>
      </c>
      <c r="R217" s="88">
        <v>0.70755999999999997</v>
      </c>
      <c r="S217" s="88">
        <v>0.78264699999999998</v>
      </c>
      <c r="T217" s="88">
        <v>0.86579399999999995</v>
      </c>
      <c r="U217" s="88">
        <v>0.95799100000000004</v>
      </c>
      <c r="V217" s="88">
        <v>1.0510919999999999</v>
      </c>
      <c r="W217" s="88">
        <v>1.1473150000000001</v>
      </c>
      <c r="X217" s="88">
        <v>1.243325</v>
      </c>
      <c r="Y217" s="88">
        <v>1.3379430000000001</v>
      </c>
      <c r="Z217" s="88">
        <v>1.437713</v>
      </c>
      <c r="AA217" s="88">
        <v>1.532467</v>
      </c>
      <c r="AB217" s="88">
        <v>1.6170869999999999</v>
      </c>
      <c r="AC217" s="88">
        <v>1.6923090000000001</v>
      </c>
      <c r="AD217" s="88">
        <v>1.7661230000000001</v>
      </c>
      <c r="AE217" s="88">
        <v>1.8381050000000001</v>
      </c>
      <c r="AF217" s="89" t="s">
        <v>217</v>
      </c>
      <c r="AG217" s="80"/>
    </row>
    <row r="218" spans="1:33" ht="15" customHeight="1">
      <c r="A218" s="78" t="s">
        <v>476</v>
      </c>
      <c r="B218" s="87" t="s">
        <v>293</v>
      </c>
      <c r="C218" s="88">
        <v>0</v>
      </c>
      <c r="D218" s="88">
        <v>0.32879999999999998</v>
      </c>
      <c r="E218" s="88">
        <v>0.34547</v>
      </c>
      <c r="F218" s="88">
        <v>0.34941499999999998</v>
      </c>
      <c r="G218" s="88">
        <v>0.35311300000000001</v>
      </c>
      <c r="H218" s="88">
        <v>0.35725600000000002</v>
      </c>
      <c r="I218" s="88">
        <v>0.36241400000000001</v>
      </c>
      <c r="J218" s="88">
        <v>0.37389899999999998</v>
      </c>
      <c r="K218" s="88">
        <v>0.391291</v>
      </c>
      <c r="L218" s="88">
        <v>0.41677700000000001</v>
      </c>
      <c r="M218" s="88">
        <v>0.44823800000000003</v>
      </c>
      <c r="N218" s="88">
        <v>0.48479499999999998</v>
      </c>
      <c r="O218" s="88">
        <v>0.52864800000000001</v>
      </c>
      <c r="P218" s="88">
        <v>0.58403799999999995</v>
      </c>
      <c r="Q218" s="88">
        <v>0.64941700000000002</v>
      </c>
      <c r="R218" s="88">
        <v>0.72499999999999998</v>
      </c>
      <c r="S218" s="88">
        <v>0.81109100000000001</v>
      </c>
      <c r="T218" s="88">
        <v>0.90827100000000005</v>
      </c>
      <c r="U218" s="88">
        <v>1.0153730000000001</v>
      </c>
      <c r="V218" s="88">
        <v>1.125429</v>
      </c>
      <c r="W218" s="88">
        <v>1.239638</v>
      </c>
      <c r="X218" s="88">
        <v>1.3565320000000001</v>
      </c>
      <c r="Y218" s="88">
        <v>1.4644839999999999</v>
      </c>
      <c r="Z218" s="88">
        <v>1.5821670000000001</v>
      </c>
      <c r="AA218" s="88">
        <v>1.6880930000000001</v>
      </c>
      <c r="AB218" s="88">
        <v>1.7864690000000001</v>
      </c>
      <c r="AC218" s="88">
        <v>1.8713010000000001</v>
      </c>
      <c r="AD218" s="88">
        <v>1.9580740000000001</v>
      </c>
      <c r="AE218" s="88">
        <v>2.0376029999999998</v>
      </c>
      <c r="AF218" s="89" t="s">
        <v>217</v>
      </c>
      <c r="AG218" s="80"/>
    </row>
    <row r="219" spans="1:33" ht="15" customHeight="1">
      <c r="A219" s="78" t="s">
        <v>477</v>
      </c>
      <c r="B219" s="87" t="s">
        <v>295</v>
      </c>
      <c r="C219" s="88">
        <v>0</v>
      </c>
      <c r="D219" s="88">
        <v>0</v>
      </c>
      <c r="E219" s="88">
        <v>1.0399999999999999E-4</v>
      </c>
      <c r="F219" s="88">
        <v>1.07E-4</v>
      </c>
      <c r="G219" s="88">
        <v>1.0900000000000001E-4</v>
      </c>
      <c r="H219" s="88">
        <v>1.0900000000000001E-4</v>
      </c>
      <c r="I219" s="88">
        <v>1.0900000000000001E-4</v>
      </c>
      <c r="J219" s="88">
        <v>1.1E-4</v>
      </c>
      <c r="K219" s="88">
        <v>1.1E-4</v>
      </c>
      <c r="L219" s="88">
        <v>1.1E-4</v>
      </c>
      <c r="M219" s="88">
        <v>1.1E-4</v>
      </c>
      <c r="N219" s="88">
        <v>1.0900000000000001E-4</v>
      </c>
      <c r="O219" s="88">
        <v>1.0900000000000001E-4</v>
      </c>
      <c r="P219" s="88">
        <v>1.0900000000000001E-4</v>
      </c>
      <c r="Q219" s="88">
        <v>1.08E-4</v>
      </c>
      <c r="R219" s="88">
        <v>1.07E-4</v>
      </c>
      <c r="S219" s="88">
        <v>1.06E-4</v>
      </c>
      <c r="T219" s="88">
        <v>1.0399999999999999E-4</v>
      </c>
      <c r="U219" s="88">
        <v>1.01E-4</v>
      </c>
      <c r="V219" s="88">
        <v>9.7E-5</v>
      </c>
      <c r="W219" s="88">
        <v>9.2E-5</v>
      </c>
      <c r="X219" s="88">
        <v>8.6000000000000003E-5</v>
      </c>
      <c r="Y219" s="88">
        <v>8.0000000000000007E-5</v>
      </c>
      <c r="Z219" s="88">
        <v>7.3999999999999996E-5</v>
      </c>
      <c r="AA219" s="88">
        <v>6.7999999999999999E-5</v>
      </c>
      <c r="AB219" s="88">
        <v>6.0999999999999999E-5</v>
      </c>
      <c r="AC219" s="88">
        <v>5.3999999999999998E-5</v>
      </c>
      <c r="AD219" s="88">
        <v>4.8000000000000001E-5</v>
      </c>
      <c r="AE219" s="88">
        <v>4.1999999999999998E-5</v>
      </c>
      <c r="AF219" s="89" t="s">
        <v>217</v>
      </c>
      <c r="AG219" s="80"/>
    </row>
    <row r="220" spans="1:33" ht="15" customHeight="1">
      <c r="A220" s="78" t="s">
        <v>478</v>
      </c>
      <c r="B220" s="87" t="s">
        <v>297</v>
      </c>
      <c r="C220" s="88">
        <v>252.12297100000001</v>
      </c>
      <c r="D220" s="88">
        <v>262.199432</v>
      </c>
      <c r="E220" s="88">
        <v>276.18127399999997</v>
      </c>
      <c r="F220" s="88">
        <v>286.01892099999998</v>
      </c>
      <c r="G220" s="88">
        <v>290.46655299999998</v>
      </c>
      <c r="H220" s="88">
        <v>292.43240400000002</v>
      </c>
      <c r="I220" s="88">
        <v>293.63424700000002</v>
      </c>
      <c r="J220" s="88">
        <v>296.173248</v>
      </c>
      <c r="K220" s="88">
        <v>298.12170400000002</v>
      </c>
      <c r="L220" s="88">
        <v>300.39685100000003</v>
      </c>
      <c r="M220" s="88">
        <v>303.257294</v>
      </c>
      <c r="N220" s="88">
        <v>305.71603399999998</v>
      </c>
      <c r="O220" s="88">
        <v>309.26257299999997</v>
      </c>
      <c r="P220" s="88">
        <v>314.79812600000002</v>
      </c>
      <c r="Q220" s="88">
        <v>321.14746100000002</v>
      </c>
      <c r="R220" s="88">
        <v>327.09249899999998</v>
      </c>
      <c r="S220" s="88">
        <v>333.56478900000002</v>
      </c>
      <c r="T220" s="88">
        <v>339.75351000000001</v>
      </c>
      <c r="U220" s="88">
        <v>346.38189699999998</v>
      </c>
      <c r="V220" s="88">
        <v>351.209137</v>
      </c>
      <c r="W220" s="88">
        <v>355.95761099999999</v>
      </c>
      <c r="X220" s="88">
        <v>360.42837500000002</v>
      </c>
      <c r="Y220" s="88">
        <v>364.902466</v>
      </c>
      <c r="Z220" s="88">
        <v>371.72610500000002</v>
      </c>
      <c r="AA220" s="88">
        <v>378.28823899999998</v>
      </c>
      <c r="AB220" s="88">
        <v>383.89129600000001</v>
      </c>
      <c r="AC220" s="88">
        <v>388.47567700000002</v>
      </c>
      <c r="AD220" s="88">
        <v>394.81222500000001</v>
      </c>
      <c r="AE220" s="88">
        <v>401.96115099999997</v>
      </c>
      <c r="AF220" s="89">
        <v>1.6798E-2</v>
      </c>
      <c r="AG220" s="80"/>
    </row>
    <row r="221" spans="1:33" ht="15" customHeight="1">
      <c r="B221" s="86" t="s">
        <v>298</v>
      </c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</row>
    <row r="222" spans="1:33" ht="15" customHeight="1">
      <c r="A222" s="78" t="s">
        <v>479</v>
      </c>
      <c r="B222" s="87" t="s">
        <v>279</v>
      </c>
      <c r="C222" s="88">
        <v>108.315331</v>
      </c>
      <c r="D222" s="88">
        <v>111.86180899999999</v>
      </c>
      <c r="E222" s="88">
        <v>112.663895</v>
      </c>
      <c r="F222" s="88">
        <v>113.75501300000001</v>
      </c>
      <c r="G222" s="88">
        <v>116.360794</v>
      </c>
      <c r="H222" s="88">
        <v>120.664314</v>
      </c>
      <c r="I222" s="88">
        <v>123.277176</v>
      </c>
      <c r="J222" s="88">
        <v>123.222191</v>
      </c>
      <c r="K222" s="88">
        <v>121.07485200000001</v>
      </c>
      <c r="L222" s="88">
        <v>119.570702</v>
      </c>
      <c r="M222" s="88">
        <v>120.336288</v>
      </c>
      <c r="N222" s="88">
        <v>121.886032</v>
      </c>
      <c r="O222" s="88">
        <v>123.167618</v>
      </c>
      <c r="P222" s="88">
        <v>124.72809599999999</v>
      </c>
      <c r="Q222" s="88">
        <v>126.319824</v>
      </c>
      <c r="R222" s="88">
        <v>127.848488</v>
      </c>
      <c r="S222" s="88">
        <v>129.178223</v>
      </c>
      <c r="T222" s="88">
        <v>130.386765</v>
      </c>
      <c r="U222" s="88">
        <v>131.92759699999999</v>
      </c>
      <c r="V222" s="88">
        <v>133.48138399999999</v>
      </c>
      <c r="W222" s="88">
        <v>134.51525899999999</v>
      </c>
      <c r="X222" s="88">
        <v>135.85908499999999</v>
      </c>
      <c r="Y222" s="88">
        <v>136.21057099999999</v>
      </c>
      <c r="Z222" s="88">
        <v>135.419983</v>
      </c>
      <c r="AA222" s="88">
        <v>135.072632</v>
      </c>
      <c r="AB222" s="88">
        <v>135.62127699999999</v>
      </c>
      <c r="AC222" s="88">
        <v>136.81350699999999</v>
      </c>
      <c r="AD222" s="88">
        <v>137.64428699999999</v>
      </c>
      <c r="AE222" s="88">
        <v>139.15571600000001</v>
      </c>
      <c r="AF222" s="89">
        <v>8.9879999999999995E-3</v>
      </c>
      <c r="AG222" s="80"/>
    </row>
    <row r="223" spans="1:33" ht="15" customHeight="1">
      <c r="A223" s="78" t="s">
        <v>480</v>
      </c>
      <c r="B223" s="87" t="s">
        <v>281</v>
      </c>
      <c r="C223" s="88">
        <v>68.839256000000006</v>
      </c>
      <c r="D223" s="88">
        <v>70.735229000000004</v>
      </c>
      <c r="E223" s="88">
        <v>70.912659000000005</v>
      </c>
      <c r="F223" s="88">
        <v>71.294334000000006</v>
      </c>
      <c r="G223" s="88">
        <v>72.641609000000003</v>
      </c>
      <c r="H223" s="88">
        <v>75.056540999999996</v>
      </c>
      <c r="I223" s="88">
        <v>76.427368000000001</v>
      </c>
      <c r="J223" s="88">
        <v>76.160088000000002</v>
      </c>
      <c r="K223" s="88">
        <v>74.622658000000001</v>
      </c>
      <c r="L223" s="88">
        <v>73.505134999999996</v>
      </c>
      <c r="M223" s="88">
        <v>73.799858</v>
      </c>
      <c r="N223" s="88">
        <v>74.586723000000006</v>
      </c>
      <c r="O223" s="88">
        <v>75.219261000000003</v>
      </c>
      <c r="P223" s="88">
        <v>76.031173999999993</v>
      </c>
      <c r="Q223" s="88">
        <v>76.870277000000002</v>
      </c>
      <c r="R223" s="88">
        <v>77.678650000000005</v>
      </c>
      <c r="S223" s="88">
        <v>78.373497</v>
      </c>
      <c r="T223" s="88">
        <v>79.001953</v>
      </c>
      <c r="U223" s="88">
        <v>79.838211000000001</v>
      </c>
      <c r="V223" s="88">
        <v>80.688086999999996</v>
      </c>
      <c r="W223" s="88">
        <v>81.229370000000003</v>
      </c>
      <c r="X223" s="88">
        <v>81.963241999999994</v>
      </c>
      <c r="Y223" s="88">
        <v>82.103797999999998</v>
      </c>
      <c r="Z223" s="88">
        <v>81.561913000000004</v>
      </c>
      <c r="AA223" s="88">
        <v>81.292777999999998</v>
      </c>
      <c r="AB223" s="88">
        <v>81.567595999999995</v>
      </c>
      <c r="AC223" s="88">
        <v>82.233161999999993</v>
      </c>
      <c r="AD223" s="88">
        <v>82.684783999999993</v>
      </c>
      <c r="AE223" s="88">
        <v>83.548218000000006</v>
      </c>
      <c r="AF223" s="89">
        <v>6.94E-3</v>
      </c>
      <c r="AG223" s="80"/>
    </row>
    <row r="224" spans="1:33" ht="15" customHeight="1">
      <c r="A224" s="78" t="s">
        <v>481</v>
      </c>
      <c r="B224" s="87" t="s">
        <v>283</v>
      </c>
      <c r="C224" s="88">
        <v>0.19042999999999999</v>
      </c>
      <c r="D224" s="88">
        <v>0.19422300000000001</v>
      </c>
      <c r="E224" s="88">
        <v>0.19656999999999999</v>
      </c>
      <c r="F224" s="88">
        <v>0.196077</v>
      </c>
      <c r="G224" s="88">
        <v>0.20480999999999999</v>
      </c>
      <c r="H224" s="88">
        <v>0.21737600000000001</v>
      </c>
      <c r="I224" s="88">
        <v>0.22798099999999999</v>
      </c>
      <c r="J224" s="88">
        <v>0.23441400000000001</v>
      </c>
      <c r="K224" s="88">
        <v>0.23872599999999999</v>
      </c>
      <c r="L224" s="88">
        <v>0.247721</v>
      </c>
      <c r="M224" s="88">
        <v>0.263905</v>
      </c>
      <c r="N224" s="88">
        <v>0.28577399999999997</v>
      </c>
      <c r="O224" s="88">
        <v>0.307006</v>
      </c>
      <c r="P224" s="88">
        <v>0.33141100000000001</v>
      </c>
      <c r="Q224" s="88">
        <v>0.35905500000000001</v>
      </c>
      <c r="R224" s="88">
        <v>0.39071699999999998</v>
      </c>
      <c r="S224" s="88">
        <v>0.42327700000000001</v>
      </c>
      <c r="T224" s="88">
        <v>0.45851599999999998</v>
      </c>
      <c r="U224" s="88">
        <v>0.49489499999999997</v>
      </c>
      <c r="V224" s="88">
        <v>0.53306299999999995</v>
      </c>
      <c r="W224" s="88">
        <v>0.56726100000000002</v>
      </c>
      <c r="X224" s="88">
        <v>0.60443800000000003</v>
      </c>
      <c r="Y224" s="88">
        <v>0.63577700000000004</v>
      </c>
      <c r="Z224" s="88">
        <v>0.65985499999999997</v>
      </c>
      <c r="AA224" s="88">
        <v>0.68360100000000001</v>
      </c>
      <c r="AB224" s="88">
        <v>0.70903000000000005</v>
      </c>
      <c r="AC224" s="88">
        <v>0.73458299999999999</v>
      </c>
      <c r="AD224" s="88">
        <v>0.75465000000000004</v>
      </c>
      <c r="AE224" s="88">
        <v>0.77672799999999997</v>
      </c>
      <c r="AF224" s="89">
        <v>5.1489E-2</v>
      </c>
      <c r="AG224" s="80"/>
    </row>
    <row r="225" spans="1:33" ht="15" customHeight="1">
      <c r="A225" s="78" t="s">
        <v>482</v>
      </c>
      <c r="B225" s="87" t="s">
        <v>285</v>
      </c>
      <c r="C225" s="88">
        <v>8.8756000000000002E-2</v>
      </c>
      <c r="D225" s="88">
        <v>8.0241000000000007E-2</v>
      </c>
      <c r="E225" s="88">
        <v>7.1048E-2</v>
      </c>
      <c r="F225" s="88">
        <v>6.2378000000000003E-2</v>
      </c>
      <c r="G225" s="88">
        <v>5.543E-2</v>
      </c>
      <c r="H225" s="88">
        <v>4.9847000000000002E-2</v>
      </c>
      <c r="I225" s="88">
        <v>4.4072E-2</v>
      </c>
      <c r="J225" s="88">
        <v>3.8059999999999997E-2</v>
      </c>
      <c r="K225" s="88">
        <v>3.2244000000000002E-2</v>
      </c>
      <c r="L225" s="88">
        <v>2.7390000000000001E-2</v>
      </c>
      <c r="M225" s="88">
        <v>2.3635E-2</v>
      </c>
      <c r="N225" s="88">
        <v>2.0455000000000001E-2</v>
      </c>
      <c r="O225" s="88">
        <v>1.7596000000000001E-2</v>
      </c>
      <c r="P225" s="88">
        <v>1.512E-2</v>
      </c>
      <c r="Q225" s="88">
        <v>1.2947999999999999E-2</v>
      </c>
      <c r="R225" s="88">
        <v>1.1051E-2</v>
      </c>
      <c r="S225" s="88">
        <v>9.3919999999999993E-3</v>
      </c>
      <c r="T225" s="88">
        <v>7.9559999999999995E-3</v>
      </c>
      <c r="U225" s="88">
        <v>6.7409999999999996E-3</v>
      </c>
      <c r="V225" s="88">
        <v>5.7010000000000003E-3</v>
      </c>
      <c r="W225" s="88">
        <v>4.7920000000000003E-3</v>
      </c>
      <c r="X225" s="88">
        <v>4.0299999999999997E-3</v>
      </c>
      <c r="Y225" s="88">
        <v>3.3570000000000002E-3</v>
      </c>
      <c r="Z225" s="88">
        <v>2.7699999999999999E-3</v>
      </c>
      <c r="AA225" s="88">
        <v>2.2889999999999998E-3</v>
      </c>
      <c r="AB225" s="88">
        <v>1.9040000000000001E-3</v>
      </c>
      <c r="AC225" s="88">
        <v>1.5900000000000001E-3</v>
      </c>
      <c r="AD225" s="88">
        <v>1.323E-3</v>
      </c>
      <c r="AE225" s="88">
        <v>1.106E-3</v>
      </c>
      <c r="AF225" s="89">
        <v>-0.144952</v>
      </c>
      <c r="AG225" s="80"/>
    </row>
    <row r="226" spans="1:33" ht="15" customHeight="1">
      <c r="A226" s="78" t="s">
        <v>483</v>
      </c>
      <c r="B226" s="87" t="s">
        <v>287</v>
      </c>
      <c r="C226" s="88">
        <v>3.1209169999999999</v>
      </c>
      <c r="D226" s="88">
        <v>3.562824</v>
      </c>
      <c r="E226" s="88">
        <v>4.1059590000000004</v>
      </c>
      <c r="F226" s="88">
        <v>4.4477089999999997</v>
      </c>
      <c r="G226" s="88">
        <v>4.9635889999999998</v>
      </c>
      <c r="H226" s="88">
        <v>5.6116510000000002</v>
      </c>
      <c r="I226" s="88">
        <v>6.101458</v>
      </c>
      <c r="J226" s="88">
        <v>6.5357409999999998</v>
      </c>
      <c r="K226" s="88">
        <v>6.9304500000000004</v>
      </c>
      <c r="L226" s="88">
        <v>7.5008939999999997</v>
      </c>
      <c r="M226" s="88">
        <v>8.2456250000000004</v>
      </c>
      <c r="N226" s="88">
        <v>9.1310850000000006</v>
      </c>
      <c r="O226" s="88">
        <v>9.9110980000000009</v>
      </c>
      <c r="P226" s="88">
        <v>10.721723000000001</v>
      </c>
      <c r="Q226" s="88">
        <v>11.346403</v>
      </c>
      <c r="R226" s="88">
        <v>11.955226</v>
      </c>
      <c r="S226" s="88">
        <v>12.458663</v>
      </c>
      <c r="T226" s="88">
        <v>12.958193</v>
      </c>
      <c r="U226" s="88">
        <v>13.419568999999999</v>
      </c>
      <c r="V226" s="88">
        <v>13.88363</v>
      </c>
      <c r="W226" s="88">
        <v>14.252980000000001</v>
      </c>
      <c r="X226" s="88">
        <v>14.691565000000001</v>
      </c>
      <c r="Y226" s="88">
        <v>14.861463000000001</v>
      </c>
      <c r="Z226" s="88">
        <v>14.905587000000001</v>
      </c>
      <c r="AA226" s="88">
        <v>14.814135</v>
      </c>
      <c r="AB226" s="88">
        <v>14.890703999999999</v>
      </c>
      <c r="AC226" s="88">
        <v>14.942218</v>
      </c>
      <c r="AD226" s="88">
        <v>15.033702999999999</v>
      </c>
      <c r="AE226" s="88">
        <v>15.088609</v>
      </c>
      <c r="AF226" s="89">
        <v>5.7893E-2</v>
      </c>
      <c r="AG226" s="80"/>
    </row>
    <row r="227" spans="1:33" ht="15" customHeight="1">
      <c r="A227" s="78" t="s">
        <v>484</v>
      </c>
      <c r="B227" s="87" t="s">
        <v>289</v>
      </c>
      <c r="C227" s="88">
        <v>6.5137E-2</v>
      </c>
      <c r="D227" s="88">
        <v>5.9175999999999999E-2</v>
      </c>
      <c r="E227" s="88">
        <v>5.2366000000000003E-2</v>
      </c>
      <c r="F227" s="88">
        <v>4.6144999999999999E-2</v>
      </c>
      <c r="G227" s="88">
        <v>4.1158E-2</v>
      </c>
      <c r="H227" s="88">
        <v>3.7145999999999998E-2</v>
      </c>
      <c r="I227" s="88">
        <v>3.2967000000000003E-2</v>
      </c>
      <c r="J227" s="88">
        <v>2.8586E-2</v>
      </c>
      <c r="K227" s="88">
        <v>2.4323000000000001E-2</v>
      </c>
      <c r="L227" s="88">
        <v>2.0753000000000001E-2</v>
      </c>
      <c r="M227" s="88">
        <v>1.7988000000000001E-2</v>
      </c>
      <c r="N227" s="88">
        <v>1.5639E-2</v>
      </c>
      <c r="O227" s="88">
        <v>1.3513000000000001E-2</v>
      </c>
      <c r="P227" s="88">
        <v>1.1663E-2</v>
      </c>
      <c r="Q227" s="88">
        <v>1.0030000000000001E-2</v>
      </c>
      <c r="R227" s="88">
        <v>8.5970000000000005E-3</v>
      </c>
      <c r="S227" s="88">
        <v>7.3359999999999996E-3</v>
      </c>
      <c r="T227" s="88">
        <v>6.241E-3</v>
      </c>
      <c r="U227" s="88">
        <v>5.3090000000000004E-3</v>
      </c>
      <c r="V227" s="88">
        <v>4.5069999999999997E-3</v>
      </c>
      <c r="W227" s="88">
        <v>3.8040000000000001E-3</v>
      </c>
      <c r="X227" s="88">
        <v>3.212E-3</v>
      </c>
      <c r="Y227" s="88">
        <v>2.6870000000000002E-3</v>
      </c>
      <c r="Z227" s="88">
        <v>2.2260000000000001E-3</v>
      </c>
      <c r="AA227" s="88">
        <v>1.8489999999999999E-3</v>
      </c>
      <c r="AB227" s="88">
        <v>1.5460000000000001E-3</v>
      </c>
      <c r="AC227" s="88">
        <v>1.2979999999999999E-3</v>
      </c>
      <c r="AD227" s="88">
        <v>1.0870000000000001E-3</v>
      </c>
      <c r="AE227" s="88">
        <v>9.1399999999999999E-4</v>
      </c>
      <c r="AF227" s="89">
        <v>-0.141343</v>
      </c>
      <c r="AG227" s="80"/>
    </row>
    <row r="228" spans="1:33" ht="15" customHeight="1">
      <c r="A228" s="78" t="s">
        <v>485</v>
      </c>
      <c r="B228" s="87" t="s">
        <v>291</v>
      </c>
      <c r="C228" s="88">
        <v>0</v>
      </c>
      <c r="D228" s="88">
        <v>0</v>
      </c>
      <c r="E228" s="88">
        <v>0.22504299999999999</v>
      </c>
      <c r="F228" s="88">
        <v>0.22714799999999999</v>
      </c>
      <c r="G228" s="88">
        <v>0.23027900000000001</v>
      </c>
      <c r="H228" s="88">
        <v>0.23857500000000001</v>
      </c>
      <c r="I228" s="88">
        <v>0.24623999999999999</v>
      </c>
      <c r="J228" s="88">
        <v>0.24834500000000001</v>
      </c>
      <c r="K228" s="88">
        <v>0.247229</v>
      </c>
      <c r="L228" s="88">
        <v>0.249005</v>
      </c>
      <c r="M228" s="88">
        <v>0.25837700000000002</v>
      </c>
      <c r="N228" s="88">
        <v>0.27263700000000002</v>
      </c>
      <c r="O228" s="88">
        <v>0.28715600000000002</v>
      </c>
      <c r="P228" s="88">
        <v>0.30215799999999998</v>
      </c>
      <c r="Q228" s="88">
        <v>0.320687</v>
      </c>
      <c r="R228" s="88">
        <v>0.34081499999999998</v>
      </c>
      <c r="S228" s="88">
        <v>0.36212299999999997</v>
      </c>
      <c r="T228" s="88">
        <v>0.38599099999999997</v>
      </c>
      <c r="U228" s="88">
        <v>0.41384599999999999</v>
      </c>
      <c r="V228" s="88">
        <v>0.44478200000000001</v>
      </c>
      <c r="W228" s="88">
        <v>0.47659899999999999</v>
      </c>
      <c r="X228" s="88">
        <v>0.51157799999999998</v>
      </c>
      <c r="Y228" s="88">
        <v>0.54397300000000004</v>
      </c>
      <c r="Z228" s="88">
        <v>0.57172999999999996</v>
      </c>
      <c r="AA228" s="88">
        <v>0.60040700000000002</v>
      </c>
      <c r="AB228" s="88">
        <v>0.631637</v>
      </c>
      <c r="AC228" s="88">
        <v>0.66413</v>
      </c>
      <c r="AD228" s="88">
        <v>0.69267100000000004</v>
      </c>
      <c r="AE228" s="88">
        <v>0.72231699999999999</v>
      </c>
      <c r="AF228" s="89" t="s">
        <v>217</v>
      </c>
      <c r="AG228" s="80"/>
    </row>
    <row r="229" spans="1:33" ht="15" customHeight="1">
      <c r="A229" s="78" t="s">
        <v>486</v>
      </c>
      <c r="B229" s="87" t="s">
        <v>293</v>
      </c>
      <c r="C229" s="88">
        <v>0</v>
      </c>
      <c r="D229" s="88">
        <v>0</v>
      </c>
      <c r="E229" s="88">
        <v>0.21895000000000001</v>
      </c>
      <c r="F229" s="88">
        <v>0.21643299999999999</v>
      </c>
      <c r="G229" s="88">
        <v>0.21639600000000001</v>
      </c>
      <c r="H229" s="88">
        <v>0.22101599999999999</v>
      </c>
      <c r="I229" s="88">
        <v>0.22417100000000001</v>
      </c>
      <c r="J229" s="88">
        <v>0.224302</v>
      </c>
      <c r="K229" s="88">
        <v>0.22405600000000001</v>
      </c>
      <c r="L229" s="88">
        <v>0.22989499999999999</v>
      </c>
      <c r="M229" s="88">
        <v>0.244149</v>
      </c>
      <c r="N229" s="88">
        <v>0.265212</v>
      </c>
      <c r="O229" s="88">
        <v>0.28737600000000002</v>
      </c>
      <c r="P229" s="88">
        <v>0.31066100000000002</v>
      </c>
      <c r="Q229" s="88">
        <v>0.33900400000000003</v>
      </c>
      <c r="R229" s="88">
        <v>0.37101699999999999</v>
      </c>
      <c r="S229" s="88">
        <v>0.404947</v>
      </c>
      <c r="T229" s="88">
        <v>0.44428299999999998</v>
      </c>
      <c r="U229" s="88">
        <v>0.48955100000000001</v>
      </c>
      <c r="V229" s="88">
        <v>0.54082399999999997</v>
      </c>
      <c r="W229" s="88">
        <v>0.59456699999999996</v>
      </c>
      <c r="X229" s="88">
        <v>0.65479900000000002</v>
      </c>
      <c r="Y229" s="88">
        <v>0.70982199999999995</v>
      </c>
      <c r="Z229" s="88">
        <v>0.75931499999999996</v>
      </c>
      <c r="AA229" s="88">
        <v>0.80587200000000003</v>
      </c>
      <c r="AB229" s="88">
        <v>0.85718000000000005</v>
      </c>
      <c r="AC229" s="88">
        <v>0.90732199999999996</v>
      </c>
      <c r="AD229" s="88">
        <v>0.95350299999999999</v>
      </c>
      <c r="AE229" s="88">
        <v>0.99503299999999995</v>
      </c>
      <c r="AF229" s="89" t="s">
        <v>217</v>
      </c>
      <c r="AG229" s="80"/>
    </row>
    <row r="230" spans="1:33" ht="15" customHeight="1">
      <c r="A230" s="78" t="s">
        <v>487</v>
      </c>
      <c r="B230" s="87" t="s">
        <v>295</v>
      </c>
      <c r="C230" s="88">
        <v>0</v>
      </c>
      <c r="D230" s="88">
        <v>0</v>
      </c>
      <c r="E230" s="88">
        <v>0.37634600000000001</v>
      </c>
      <c r="F230" s="88">
        <v>0.38173499999999999</v>
      </c>
      <c r="G230" s="88">
        <v>0.39291799999999999</v>
      </c>
      <c r="H230" s="88">
        <v>0.410806</v>
      </c>
      <c r="I230" s="88">
        <v>0.42415799999999998</v>
      </c>
      <c r="J230" s="88">
        <v>0.42967499999999997</v>
      </c>
      <c r="K230" s="88">
        <v>0.42928899999999998</v>
      </c>
      <c r="L230" s="88">
        <v>0.43275599999999997</v>
      </c>
      <c r="M230" s="88">
        <v>0.44654500000000003</v>
      </c>
      <c r="N230" s="88">
        <v>0.46606599999999998</v>
      </c>
      <c r="O230" s="88">
        <v>0.487985</v>
      </c>
      <c r="P230" s="88">
        <v>0.515046</v>
      </c>
      <c r="Q230" s="88">
        <v>0.54696100000000003</v>
      </c>
      <c r="R230" s="88">
        <v>0.58394299999999999</v>
      </c>
      <c r="S230" s="88">
        <v>0.62582199999999999</v>
      </c>
      <c r="T230" s="88">
        <v>0.67317400000000005</v>
      </c>
      <c r="U230" s="88">
        <v>0.72845700000000002</v>
      </c>
      <c r="V230" s="88">
        <v>0.789906</v>
      </c>
      <c r="W230" s="88">
        <v>0.85352700000000004</v>
      </c>
      <c r="X230" s="88">
        <v>0.92321799999999998</v>
      </c>
      <c r="Y230" s="88">
        <v>0.98855099999999996</v>
      </c>
      <c r="Z230" s="88">
        <v>1.0453749999999999</v>
      </c>
      <c r="AA230" s="88">
        <v>1.1034539999999999</v>
      </c>
      <c r="AB230" s="88">
        <v>1.1658329999999999</v>
      </c>
      <c r="AC230" s="88">
        <v>1.2301740000000001</v>
      </c>
      <c r="AD230" s="88">
        <v>1.2869170000000001</v>
      </c>
      <c r="AE230" s="88">
        <v>1.345232</v>
      </c>
      <c r="AF230" s="89" t="s">
        <v>217</v>
      </c>
      <c r="AG230" s="80"/>
    </row>
    <row r="231" spans="1:33" ht="15" customHeight="1">
      <c r="A231" s="78" t="s">
        <v>488</v>
      </c>
      <c r="B231" s="87" t="s">
        <v>309</v>
      </c>
      <c r="C231" s="88">
        <v>180.61982699999999</v>
      </c>
      <c r="D231" s="88">
        <v>186.49350000000001</v>
      </c>
      <c r="E231" s="88">
        <v>188.82283000000001</v>
      </c>
      <c r="F231" s="88">
        <v>190.626938</v>
      </c>
      <c r="G231" s="88">
        <v>195.106979</v>
      </c>
      <c r="H231" s="88">
        <v>202.50727800000001</v>
      </c>
      <c r="I231" s="88">
        <v>207.005585</v>
      </c>
      <c r="J231" s="88">
        <v>207.12138400000001</v>
      </c>
      <c r="K231" s="88">
        <v>203.823837</v>
      </c>
      <c r="L231" s="88">
        <v>201.78428600000001</v>
      </c>
      <c r="M231" s="88">
        <v>203.63635300000001</v>
      </c>
      <c r="N231" s="88">
        <v>206.92961099999999</v>
      </c>
      <c r="O231" s="88">
        <v>209.69859299999999</v>
      </c>
      <c r="P231" s="88">
        <v>212.967072</v>
      </c>
      <c r="Q231" s="88">
        <v>216.125214</v>
      </c>
      <c r="R231" s="88">
        <v>219.188492</v>
      </c>
      <c r="S231" s="88">
        <v>221.84333799999999</v>
      </c>
      <c r="T231" s="88">
        <v>224.323059</v>
      </c>
      <c r="U231" s="88">
        <v>227.32418799999999</v>
      </c>
      <c r="V231" s="88">
        <v>230.371872</v>
      </c>
      <c r="W231" s="88">
        <v>232.498154</v>
      </c>
      <c r="X231" s="88">
        <v>235.21517900000001</v>
      </c>
      <c r="Y231" s="88">
        <v>236.05999800000001</v>
      </c>
      <c r="Z231" s="88">
        <v>234.92872600000001</v>
      </c>
      <c r="AA231" s="88">
        <v>234.37702899999999</v>
      </c>
      <c r="AB231" s="88">
        <v>235.44674699999999</v>
      </c>
      <c r="AC231" s="88">
        <v>237.52796900000001</v>
      </c>
      <c r="AD231" s="88">
        <v>239.052933</v>
      </c>
      <c r="AE231" s="88">
        <v>241.633881</v>
      </c>
      <c r="AF231" s="89">
        <v>1.0448000000000001E-2</v>
      </c>
      <c r="AG231" s="80"/>
    </row>
    <row r="232" spans="1:33" ht="15" customHeight="1">
      <c r="B232" s="86" t="s">
        <v>310</v>
      </c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</row>
    <row r="233" spans="1:33" ht="15" customHeight="1">
      <c r="A233" s="78" t="s">
        <v>489</v>
      </c>
      <c r="B233" s="87" t="s">
        <v>279</v>
      </c>
      <c r="C233" s="88">
        <v>273.15377799999999</v>
      </c>
      <c r="D233" s="88">
        <v>277.07376099999999</v>
      </c>
      <c r="E233" s="88">
        <v>274.69210800000002</v>
      </c>
      <c r="F233" s="88">
        <v>272.49237099999999</v>
      </c>
      <c r="G233" s="88">
        <v>274.15902699999998</v>
      </c>
      <c r="H233" s="88">
        <v>279.90683000000001</v>
      </c>
      <c r="I233" s="88">
        <v>281.52694700000001</v>
      </c>
      <c r="J233" s="88">
        <v>277.27740499999999</v>
      </c>
      <c r="K233" s="88">
        <v>268.671448</v>
      </c>
      <c r="L233" s="88">
        <v>261.83212300000002</v>
      </c>
      <c r="M233" s="88">
        <v>260.10656699999998</v>
      </c>
      <c r="N233" s="88">
        <v>260.1875</v>
      </c>
      <c r="O233" s="88">
        <v>259.58990499999999</v>
      </c>
      <c r="P233" s="88">
        <v>259.61502100000001</v>
      </c>
      <c r="Q233" s="88">
        <v>259.50140399999998</v>
      </c>
      <c r="R233" s="88">
        <v>259.26907299999999</v>
      </c>
      <c r="S233" s="88">
        <v>258.56124899999998</v>
      </c>
      <c r="T233" s="88">
        <v>257.66332999999997</v>
      </c>
      <c r="U233" s="88">
        <v>257.36483800000002</v>
      </c>
      <c r="V233" s="88">
        <v>257.10897799999998</v>
      </c>
      <c r="W233" s="88">
        <v>255.83055100000001</v>
      </c>
      <c r="X233" s="88">
        <v>255.20024100000001</v>
      </c>
      <c r="Y233" s="88">
        <v>252.56401099999999</v>
      </c>
      <c r="Z233" s="88">
        <v>247.90344200000001</v>
      </c>
      <c r="AA233" s="88">
        <v>243.960342</v>
      </c>
      <c r="AB233" s="88">
        <v>241.76246599999999</v>
      </c>
      <c r="AC233" s="88">
        <v>240.633118</v>
      </c>
      <c r="AD233" s="88">
        <v>238.96373</v>
      </c>
      <c r="AE233" s="88">
        <v>238.36341899999999</v>
      </c>
      <c r="AF233" s="89">
        <v>-4.8539999999999998E-3</v>
      </c>
      <c r="AG233" s="80"/>
    </row>
    <row r="234" spans="1:33" ht="15" customHeight="1">
      <c r="A234" s="78" t="s">
        <v>490</v>
      </c>
      <c r="B234" s="87" t="s">
        <v>281</v>
      </c>
      <c r="C234" s="88">
        <v>1.4683170000000001</v>
      </c>
      <c r="D234" s="88">
        <v>1.4740150000000001</v>
      </c>
      <c r="E234" s="88">
        <v>1.4485300000000001</v>
      </c>
      <c r="F234" s="88">
        <v>1.4262159999999999</v>
      </c>
      <c r="G234" s="88">
        <v>1.425861</v>
      </c>
      <c r="H234" s="88">
        <v>1.447959</v>
      </c>
      <c r="I234" s="88">
        <v>1.44973</v>
      </c>
      <c r="J234" s="88">
        <v>1.4223749999999999</v>
      </c>
      <c r="K234" s="88">
        <v>1.373761</v>
      </c>
      <c r="L234" s="88">
        <v>1.3351310000000001</v>
      </c>
      <c r="M234" s="88">
        <v>1.323261</v>
      </c>
      <c r="N234" s="88">
        <v>1.3210850000000001</v>
      </c>
      <c r="O234" s="88">
        <v>1.315885</v>
      </c>
      <c r="P234" s="88">
        <v>1.314187</v>
      </c>
      <c r="Q234" s="88">
        <v>1.312079</v>
      </c>
      <c r="R234" s="88">
        <v>1.309604</v>
      </c>
      <c r="S234" s="88">
        <v>1.3049500000000001</v>
      </c>
      <c r="T234" s="88">
        <v>1.2995000000000001</v>
      </c>
      <c r="U234" s="88">
        <v>1.2972220000000001</v>
      </c>
      <c r="V234" s="88">
        <v>1.295293</v>
      </c>
      <c r="W234" s="88">
        <v>1.2883119999999999</v>
      </c>
      <c r="X234" s="88">
        <v>1.284683</v>
      </c>
      <c r="Y234" s="88">
        <v>1.2710330000000001</v>
      </c>
      <c r="Z234" s="88">
        <v>1.2472639999999999</v>
      </c>
      <c r="AA234" s="88">
        <v>1.227174</v>
      </c>
      <c r="AB234" s="88">
        <v>1.215902</v>
      </c>
      <c r="AC234" s="88">
        <v>1.2100420000000001</v>
      </c>
      <c r="AD234" s="88">
        <v>1.2014899999999999</v>
      </c>
      <c r="AE234" s="88">
        <v>1.198337</v>
      </c>
      <c r="AF234" s="89">
        <v>-7.2300000000000003E-3</v>
      </c>
      <c r="AG234" s="80"/>
    </row>
    <row r="235" spans="1:33" ht="15" customHeight="1">
      <c r="A235" s="78" t="s">
        <v>491</v>
      </c>
      <c r="B235" s="87" t="s">
        <v>283</v>
      </c>
      <c r="C235" s="88">
        <v>0.173008</v>
      </c>
      <c r="D235" s="88">
        <v>0.17172299999999999</v>
      </c>
      <c r="E235" s="88">
        <v>0.169068</v>
      </c>
      <c r="F235" s="88">
        <v>0.164576</v>
      </c>
      <c r="G235" s="88">
        <v>0.16542399999999999</v>
      </c>
      <c r="H235" s="88">
        <v>0.16841900000000001</v>
      </c>
      <c r="I235" s="88">
        <v>0.168487</v>
      </c>
      <c r="J235" s="88">
        <v>0.164966</v>
      </c>
      <c r="K235" s="88">
        <v>0.158774</v>
      </c>
      <c r="L235" s="88">
        <v>0.15432899999999999</v>
      </c>
      <c r="M235" s="88">
        <v>0.15285599999999999</v>
      </c>
      <c r="N235" s="88">
        <v>0.15282999999999999</v>
      </c>
      <c r="O235" s="88">
        <v>0.15127099999999999</v>
      </c>
      <c r="P235" s="88">
        <v>0.15037500000000001</v>
      </c>
      <c r="Q235" s="88">
        <v>0.14968300000000001</v>
      </c>
      <c r="R235" s="88">
        <v>0.149451</v>
      </c>
      <c r="S235" s="88">
        <v>0.14862800000000001</v>
      </c>
      <c r="T235" s="88">
        <v>0.14777999999999999</v>
      </c>
      <c r="U235" s="88">
        <v>0.14705699999999999</v>
      </c>
      <c r="V235" s="88">
        <v>0.14660300000000001</v>
      </c>
      <c r="W235" s="88">
        <v>0.14538499999999999</v>
      </c>
      <c r="X235" s="88">
        <v>0.14497399999999999</v>
      </c>
      <c r="Y235" s="88">
        <v>0.14352400000000001</v>
      </c>
      <c r="Z235" s="88">
        <v>0.14100499999999999</v>
      </c>
      <c r="AA235" s="88">
        <v>0.13896900000000001</v>
      </c>
      <c r="AB235" s="88">
        <v>0.13796600000000001</v>
      </c>
      <c r="AC235" s="88">
        <v>0.137487</v>
      </c>
      <c r="AD235" s="88">
        <v>0.13655200000000001</v>
      </c>
      <c r="AE235" s="88">
        <v>0.13630700000000001</v>
      </c>
      <c r="AF235" s="89">
        <v>-8.4790000000000004E-3</v>
      </c>
      <c r="AG235" s="80"/>
    </row>
    <row r="236" spans="1:33" ht="15" customHeight="1">
      <c r="A236" s="78" t="s">
        <v>492</v>
      </c>
      <c r="B236" s="87" t="s">
        <v>285</v>
      </c>
      <c r="C236" s="88">
        <v>4.3201349999999996</v>
      </c>
      <c r="D236" s="88">
        <v>4.0431869999999996</v>
      </c>
      <c r="E236" s="88">
        <v>3.9238460000000002</v>
      </c>
      <c r="F236" s="88">
        <v>3.769495</v>
      </c>
      <c r="G236" s="88">
        <v>3.6716500000000001</v>
      </c>
      <c r="H236" s="88">
        <v>3.5551919999999999</v>
      </c>
      <c r="I236" s="88">
        <v>3.410104</v>
      </c>
      <c r="J236" s="88">
        <v>3.1770309999999999</v>
      </c>
      <c r="K236" s="88">
        <v>2.9144230000000002</v>
      </c>
      <c r="L236" s="88">
        <v>2.829548</v>
      </c>
      <c r="M236" s="88">
        <v>2.8854839999999999</v>
      </c>
      <c r="N236" s="88">
        <v>3.0298370000000001</v>
      </c>
      <c r="O236" s="88">
        <v>3.2043180000000002</v>
      </c>
      <c r="P236" s="88">
        <v>3.3965519999999998</v>
      </c>
      <c r="Q236" s="88">
        <v>3.5950709999999999</v>
      </c>
      <c r="R236" s="88">
        <v>3.8028870000000001</v>
      </c>
      <c r="S236" s="88">
        <v>4.0112290000000002</v>
      </c>
      <c r="T236" s="88">
        <v>4.2221770000000003</v>
      </c>
      <c r="U236" s="88">
        <v>4.4554580000000001</v>
      </c>
      <c r="V236" s="88">
        <v>4.7012130000000001</v>
      </c>
      <c r="W236" s="88">
        <v>4.9360179999999998</v>
      </c>
      <c r="X236" s="88">
        <v>5.2028869999999996</v>
      </c>
      <c r="Y236" s="88">
        <v>5.4368910000000001</v>
      </c>
      <c r="Z236" s="88">
        <v>5.6219320000000002</v>
      </c>
      <c r="AA236" s="88">
        <v>5.8171609999999996</v>
      </c>
      <c r="AB236" s="88">
        <v>6.0639770000000004</v>
      </c>
      <c r="AC236" s="88">
        <v>6.339137</v>
      </c>
      <c r="AD236" s="88">
        <v>6.6010340000000003</v>
      </c>
      <c r="AE236" s="88">
        <v>6.8982409999999996</v>
      </c>
      <c r="AF236" s="89">
        <v>1.6854000000000001E-2</v>
      </c>
      <c r="AG236" s="80"/>
    </row>
    <row r="237" spans="1:33" ht="15" customHeight="1">
      <c r="A237" s="78" t="s">
        <v>493</v>
      </c>
      <c r="B237" s="87" t="s">
        <v>287</v>
      </c>
      <c r="C237" s="88">
        <v>0</v>
      </c>
      <c r="D237" s="88">
        <v>0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  <c r="X237" s="88">
        <v>0</v>
      </c>
      <c r="Y237" s="88">
        <v>0</v>
      </c>
      <c r="Z237" s="88">
        <v>0</v>
      </c>
      <c r="AA237" s="88">
        <v>0</v>
      </c>
      <c r="AB237" s="88">
        <v>0</v>
      </c>
      <c r="AC237" s="88">
        <v>0</v>
      </c>
      <c r="AD237" s="88">
        <v>0</v>
      </c>
      <c r="AE237" s="88">
        <v>0</v>
      </c>
      <c r="AF237" s="89" t="s">
        <v>217</v>
      </c>
      <c r="AG237" s="80"/>
    </row>
    <row r="238" spans="1:33" ht="15" customHeight="1">
      <c r="A238" s="78" t="s">
        <v>494</v>
      </c>
      <c r="B238" s="87" t="s">
        <v>289</v>
      </c>
      <c r="C238" s="88">
        <v>4.6861E-2</v>
      </c>
      <c r="D238" s="88">
        <v>4.2104000000000003E-2</v>
      </c>
      <c r="E238" s="88">
        <v>3.7054999999999998E-2</v>
      </c>
      <c r="F238" s="88">
        <v>3.2542000000000001E-2</v>
      </c>
      <c r="G238" s="88">
        <v>2.8996999999999998E-2</v>
      </c>
      <c r="H238" s="88">
        <v>2.6221999999999999E-2</v>
      </c>
      <c r="I238" s="88">
        <v>2.3376999999999998E-2</v>
      </c>
      <c r="J238" s="88">
        <v>2.0413000000000001E-2</v>
      </c>
      <c r="K238" s="88">
        <v>1.7541000000000001E-2</v>
      </c>
      <c r="L238" s="88">
        <v>1.5166000000000001E-2</v>
      </c>
      <c r="M238" s="88">
        <v>1.3365999999999999E-2</v>
      </c>
      <c r="N238" s="88">
        <v>1.1858E-2</v>
      </c>
      <c r="O238" s="88">
        <v>1.0488000000000001E-2</v>
      </c>
      <c r="P238" s="88">
        <v>9.2910000000000006E-3</v>
      </c>
      <c r="Q238" s="88">
        <v>8.2199999999999999E-3</v>
      </c>
      <c r="R238" s="88">
        <v>7.2639999999999996E-3</v>
      </c>
      <c r="S238" s="88">
        <v>6.4009999999999996E-3</v>
      </c>
      <c r="T238" s="88">
        <v>5.6319999999999999E-3</v>
      </c>
      <c r="U238" s="88">
        <v>4.9620000000000003E-3</v>
      </c>
      <c r="V238" s="88">
        <v>4.3670000000000002E-3</v>
      </c>
      <c r="W238" s="88">
        <v>3.8249999999999998E-3</v>
      </c>
      <c r="X238" s="88">
        <v>3.3549999999999999E-3</v>
      </c>
      <c r="Y238" s="88">
        <v>2.9150000000000001E-3</v>
      </c>
      <c r="Z238" s="88">
        <v>2.5100000000000001E-3</v>
      </c>
      <c r="AA238" s="88">
        <v>2.1640000000000001E-3</v>
      </c>
      <c r="AB238" s="88">
        <v>1.8760000000000001E-3</v>
      </c>
      <c r="AC238" s="88">
        <v>1.6310000000000001E-3</v>
      </c>
      <c r="AD238" s="88">
        <v>1.413E-3</v>
      </c>
      <c r="AE238" s="88">
        <v>1.2279999999999999E-3</v>
      </c>
      <c r="AF238" s="89">
        <v>-0.121974</v>
      </c>
      <c r="AG238" s="80"/>
    </row>
    <row r="239" spans="1:33" ht="15" customHeight="1">
      <c r="A239" s="78" t="s">
        <v>495</v>
      </c>
      <c r="B239" s="87" t="s">
        <v>291</v>
      </c>
      <c r="C239" s="88">
        <v>0</v>
      </c>
      <c r="D239" s="88">
        <v>0</v>
      </c>
      <c r="E239" s="88">
        <v>0.124004</v>
      </c>
      <c r="F239" s="88">
        <v>0.12336999999999999</v>
      </c>
      <c r="G239" s="88">
        <v>0.123497</v>
      </c>
      <c r="H239" s="88">
        <v>0.12639400000000001</v>
      </c>
      <c r="I239" s="88">
        <v>0.12881799999999999</v>
      </c>
      <c r="J239" s="88">
        <v>0.12857199999999999</v>
      </c>
      <c r="K239" s="88">
        <v>0.12715799999999999</v>
      </c>
      <c r="L239" s="88">
        <v>0.127133</v>
      </c>
      <c r="M239" s="88">
        <v>0.13075700000000001</v>
      </c>
      <c r="N239" s="88">
        <v>0.13653799999999999</v>
      </c>
      <c r="O239" s="88">
        <v>0.14230000000000001</v>
      </c>
      <c r="P239" s="88">
        <v>0.14810699999999999</v>
      </c>
      <c r="Q239" s="88">
        <v>0.155443</v>
      </c>
      <c r="R239" s="88">
        <v>0.16337199999999999</v>
      </c>
      <c r="S239" s="88">
        <v>0.17139299999999999</v>
      </c>
      <c r="T239" s="88">
        <v>0.18044499999999999</v>
      </c>
      <c r="U239" s="88">
        <v>0.191217</v>
      </c>
      <c r="V239" s="88">
        <v>0.203458</v>
      </c>
      <c r="W239" s="88">
        <v>0.21637600000000001</v>
      </c>
      <c r="X239" s="88">
        <v>0.231353</v>
      </c>
      <c r="Y239" s="88">
        <v>0.24589900000000001</v>
      </c>
      <c r="Z239" s="88">
        <v>0.25953599999999999</v>
      </c>
      <c r="AA239" s="88">
        <v>0.27476200000000001</v>
      </c>
      <c r="AB239" s="88">
        <v>0.29278399999999999</v>
      </c>
      <c r="AC239" s="88">
        <v>0.31290899999999999</v>
      </c>
      <c r="AD239" s="88">
        <v>0.332872</v>
      </c>
      <c r="AE239" s="88">
        <v>0.35465200000000002</v>
      </c>
      <c r="AF239" s="89" t="s">
        <v>217</v>
      </c>
      <c r="AG239" s="80"/>
    </row>
    <row r="240" spans="1:33" ht="15" customHeight="1">
      <c r="A240" s="78" t="s">
        <v>496</v>
      </c>
      <c r="B240" s="87" t="s">
        <v>293</v>
      </c>
      <c r="C240" s="88">
        <v>0</v>
      </c>
      <c r="D240" s="88">
        <v>0</v>
      </c>
      <c r="E240" s="88">
        <v>0.27505000000000002</v>
      </c>
      <c r="F240" s="88">
        <v>0.26865899999999998</v>
      </c>
      <c r="G240" s="88">
        <v>0.26628800000000002</v>
      </c>
      <c r="H240" s="88">
        <v>0.268984</v>
      </c>
      <c r="I240" s="88">
        <v>0.26871</v>
      </c>
      <c r="J240" s="88">
        <v>0.26366499999999998</v>
      </c>
      <c r="K240" s="88">
        <v>0.257156</v>
      </c>
      <c r="L240" s="88">
        <v>0.255056</v>
      </c>
      <c r="M240" s="88">
        <v>0.25977699999999998</v>
      </c>
      <c r="N240" s="88">
        <v>0.26896799999999998</v>
      </c>
      <c r="O240" s="88">
        <v>0.27766999999999997</v>
      </c>
      <c r="P240" s="88">
        <v>0.28694399999999998</v>
      </c>
      <c r="Q240" s="88">
        <v>0.297906</v>
      </c>
      <c r="R240" s="88">
        <v>0.31016899999999997</v>
      </c>
      <c r="S240" s="88">
        <v>0.32225300000000001</v>
      </c>
      <c r="T240" s="88">
        <v>0.33644299999999999</v>
      </c>
      <c r="U240" s="88">
        <v>0.35324499999999998</v>
      </c>
      <c r="V240" s="88">
        <v>0.37246200000000002</v>
      </c>
      <c r="W240" s="88">
        <v>0.39206400000000002</v>
      </c>
      <c r="X240" s="88">
        <v>0.41481699999999999</v>
      </c>
      <c r="Y240" s="88">
        <v>0.43431999999999998</v>
      </c>
      <c r="Z240" s="88">
        <v>0.45070199999999999</v>
      </c>
      <c r="AA240" s="88">
        <v>0.46655400000000002</v>
      </c>
      <c r="AB240" s="88">
        <v>0.48563899999999999</v>
      </c>
      <c r="AC240" s="88">
        <v>0.504992</v>
      </c>
      <c r="AD240" s="88">
        <v>0.52243700000000004</v>
      </c>
      <c r="AE240" s="88">
        <v>0.53968000000000005</v>
      </c>
      <c r="AF240" s="89" t="s">
        <v>217</v>
      </c>
      <c r="AG240" s="80"/>
    </row>
    <row r="241" spans="1:33" ht="15" customHeight="1">
      <c r="A241" s="78" t="s">
        <v>497</v>
      </c>
      <c r="B241" s="87" t="s">
        <v>295</v>
      </c>
      <c r="C241" s="88">
        <v>0</v>
      </c>
      <c r="D241" s="88">
        <v>0</v>
      </c>
      <c r="E241" s="88">
        <v>0.41006300000000001</v>
      </c>
      <c r="F241" s="88">
        <v>0.41000599999999998</v>
      </c>
      <c r="G241" s="88">
        <v>0.41621000000000002</v>
      </c>
      <c r="H241" s="88">
        <v>0.42923</v>
      </c>
      <c r="I241" s="88">
        <v>0.43662499999999999</v>
      </c>
      <c r="J241" s="88">
        <v>0.435529</v>
      </c>
      <c r="K241" s="88">
        <v>0.42805599999999999</v>
      </c>
      <c r="L241" s="88">
        <v>0.42384300000000003</v>
      </c>
      <c r="M241" s="88">
        <v>0.42857499999999998</v>
      </c>
      <c r="N241" s="88">
        <v>0.43723400000000001</v>
      </c>
      <c r="O241" s="88">
        <v>0.445851</v>
      </c>
      <c r="P241" s="88">
        <v>0.45676800000000001</v>
      </c>
      <c r="Q241" s="88">
        <v>0.46883200000000003</v>
      </c>
      <c r="R241" s="88">
        <v>0.48222100000000001</v>
      </c>
      <c r="S241" s="88">
        <v>0.49639699999999998</v>
      </c>
      <c r="T241" s="88">
        <v>0.51200900000000005</v>
      </c>
      <c r="U241" s="88">
        <v>0.53081999999999996</v>
      </c>
      <c r="V241" s="88">
        <v>0.55196599999999996</v>
      </c>
      <c r="W241" s="88">
        <v>0.57327099999999998</v>
      </c>
      <c r="X241" s="88">
        <v>0.59853599999999996</v>
      </c>
      <c r="Y241" s="88">
        <v>0.62161699999999998</v>
      </c>
      <c r="Z241" s="88">
        <v>0.64187300000000003</v>
      </c>
      <c r="AA241" s="88">
        <v>0.66601399999999999</v>
      </c>
      <c r="AB241" s="88">
        <v>0.69730700000000001</v>
      </c>
      <c r="AC241" s="88">
        <v>0.73452300000000004</v>
      </c>
      <c r="AD241" s="88">
        <v>0.77302800000000005</v>
      </c>
      <c r="AE241" s="88">
        <v>0.81800399999999995</v>
      </c>
      <c r="AF241" s="89" t="s">
        <v>217</v>
      </c>
      <c r="AG241" s="80"/>
    </row>
    <row r="242" spans="1:33" ht="15" customHeight="1">
      <c r="A242" s="78" t="s">
        <v>498</v>
      </c>
      <c r="B242" s="87" t="s">
        <v>321</v>
      </c>
      <c r="C242" s="88">
        <v>279.16204800000003</v>
      </c>
      <c r="D242" s="88">
        <v>282.80480999999997</v>
      </c>
      <c r="E242" s="88">
        <v>281.07968099999999</v>
      </c>
      <c r="F242" s="88">
        <v>278.68725599999999</v>
      </c>
      <c r="G242" s="88">
        <v>280.256958</v>
      </c>
      <c r="H242" s="88">
        <v>285.92919899999998</v>
      </c>
      <c r="I242" s="88">
        <v>287.41281099999998</v>
      </c>
      <c r="J242" s="88">
        <v>282.88992300000001</v>
      </c>
      <c r="K242" s="88">
        <v>273.94830300000001</v>
      </c>
      <c r="L242" s="88">
        <v>266.97226000000001</v>
      </c>
      <c r="M242" s="88">
        <v>265.300659</v>
      </c>
      <c r="N242" s="88">
        <v>265.54583700000001</v>
      </c>
      <c r="O242" s="88">
        <v>265.13763399999999</v>
      </c>
      <c r="P242" s="88">
        <v>265.377228</v>
      </c>
      <c r="Q242" s="88">
        <v>265.48864700000001</v>
      </c>
      <c r="R242" s="88">
        <v>265.49408</v>
      </c>
      <c r="S242" s="88">
        <v>265.022491</v>
      </c>
      <c r="T242" s="88">
        <v>264.367279</v>
      </c>
      <c r="U242" s="88">
        <v>264.34481799999998</v>
      </c>
      <c r="V242" s="88">
        <v>264.38436899999999</v>
      </c>
      <c r="W242" s="88">
        <v>263.38577299999997</v>
      </c>
      <c r="X242" s="88">
        <v>263.080872</v>
      </c>
      <c r="Y242" s="88">
        <v>260.720215</v>
      </c>
      <c r="Z242" s="88">
        <v>256.26821899999999</v>
      </c>
      <c r="AA242" s="88">
        <v>252.55316199999999</v>
      </c>
      <c r="AB242" s="88">
        <v>250.65791300000001</v>
      </c>
      <c r="AC242" s="88">
        <v>249.87380999999999</v>
      </c>
      <c r="AD242" s="88">
        <v>248.53254699999999</v>
      </c>
      <c r="AE242" s="88">
        <v>248.30985999999999</v>
      </c>
      <c r="AF242" s="89">
        <v>-4.1739999999999998E-3</v>
      </c>
      <c r="AG242" s="80"/>
    </row>
    <row r="243" spans="1:33" ht="15" customHeight="1">
      <c r="A243" s="78" t="s">
        <v>499</v>
      </c>
      <c r="B243" s="86" t="s">
        <v>500</v>
      </c>
      <c r="C243" s="90">
        <v>711.90508999999997</v>
      </c>
      <c r="D243" s="90">
        <v>731.49768100000006</v>
      </c>
      <c r="E243" s="90">
        <v>746.08410600000002</v>
      </c>
      <c r="F243" s="90">
        <v>755.33306900000002</v>
      </c>
      <c r="G243" s="90">
        <v>765.83038299999998</v>
      </c>
      <c r="H243" s="90">
        <v>780.86895800000002</v>
      </c>
      <c r="I243" s="90">
        <v>788.05279499999995</v>
      </c>
      <c r="J243" s="90">
        <v>786.18463099999997</v>
      </c>
      <c r="K243" s="90">
        <v>775.89386000000002</v>
      </c>
      <c r="L243" s="90">
        <v>769.153503</v>
      </c>
      <c r="M243" s="90">
        <v>772.19421399999999</v>
      </c>
      <c r="N243" s="90">
        <v>778.19146699999999</v>
      </c>
      <c r="O243" s="90">
        <v>784.09899900000005</v>
      </c>
      <c r="P243" s="90">
        <v>793.142517</v>
      </c>
      <c r="Q243" s="90">
        <v>802.76110800000004</v>
      </c>
      <c r="R243" s="90">
        <v>811.77514599999995</v>
      </c>
      <c r="S243" s="90">
        <v>820.43054199999995</v>
      </c>
      <c r="T243" s="90">
        <v>828.44409199999996</v>
      </c>
      <c r="U243" s="90">
        <v>838.05096400000002</v>
      </c>
      <c r="V243" s="90">
        <v>845.96551499999998</v>
      </c>
      <c r="W243" s="90">
        <v>851.84161400000005</v>
      </c>
      <c r="X243" s="90">
        <v>858.72430399999996</v>
      </c>
      <c r="Y243" s="90">
        <v>861.682861</v>
      </c>
      <c r="Z243" s="90">
        <v>862.92309599999999</v>
      </c>
      <c r="AA243" s="90">
        <v>865.21826199999998</v>
      </c>
      <c r="AB243" s="90">
        <v>869.99597200000005</v>
      </c>
      <c r="AC243" s="90">
        <v>875.87756300000001</v>
      </c>
      <c r="AD243" s="90">
        <v>882.39776600000005</v>
      </c>
      <c r="AE243" s="90">
        <v>891.90478499999995</v>
      </c>
      <c r="AF243" s="91">
        <v>8.0829999999999999E-3</v>
      </c>
      <c r="AG243" s="80"/>
    </row>
    <row r="244" spans="1:33" ht="15" customHeight="1"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</row>
    <row r="245" spans="1:33" ht="15" customHeight="1"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</row>
    <row r="246" spans="1:33" ht="15" customHeight="1"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</row>
    <row r="247" spans="1:33" ht="15" customHeight="1">
      <c r="B247" s="86" t="s">
        <v>501</v>
      </c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</row>
    <row r="248" spans="1:33" ht="12" customHeight="1">
      <c r="A248" s="78" t="s">
        <v>502</v>
      </c>
      <c r="B248" s="87" t="s">
        <v>503</v>
      </c>
      <c r="C248" s="94">
        <v>1620.4948730000001</v>
      </c>
      <c r="D248" s="94">
        <v>1600.1008300000001</v>
      </c>
      <c r="E248" s="94">
        <v>1666.9197999999999</v>
      </c>
      <c r="F248" s="94">
        <v>1628.408447</v>
      </c>
      <c r="G248" s="94">
        <v>1561.420654</v>
      </c>
      <c r="H248" s="94">
        <v>1509.649414</v>
      </c>
      <c r="I248" s="94">
        <v>1489.7312010000001</v>
      </c>
      <c r="J248" s="94">
        <v>1507.5151370000001</v>
      </c>
      <c r="K248" s="94">
        <v>1500.1649170000001</v>
      </c>
      <c r="L248" s="94">
        <v>1506.952393</v>
      </c>
      <c r="M248" s="94">
        <v>1522.1982419999999</v>
      </c>
      <c r="N248" s="94">
        <v>1534.73938</v>
      </c>
      <c r="O248" s="94">
        <v>1543.237427</v>
      </c>
      <c r="P248" s="94">
        <v>1554.590698</v>
      </c>
      <c r="Q248" s="94">
        <v>1557.5253909999999</v>
      </c>
      <c r="R248" s="94">
        <v>1562.481567</v>
      </c>
      <c r="S248" s="94">
        <v>1568.966064</v>
      </c>
      <c r="T248" s="94">
        <v>1568.3394780000001</v>
      </c>
      <c r="U248" s="94">
        <v>1571.777466</v>
      </c>
      <c r="V248" s="94">
        <v>1585.611206</v>
      </c>
      <c r="W248" s="94">
        <v>1597.3070070000001</v>
      </c>
      <c r="X248" s="94">
        <v>1600.190918</v>
      </c>
      <c r="Y248" s="94">
        <v>1601.832764</v>
      </c>
      <c r="Z248" s="94">
        <v>1602.998779</v>
      </c>
      <c r="AA248" s="94">
        <v>1608.1293949999999</v>
      </c>
      <c r="AB248" s="94">
        <v>1618.0823969999999</v>
      </c>
      <c r="AC248" s="94">
        <v>1630.8079829999999</v>
      </c>
      <c r="AD248" s="94">
        <v>1636.8905030000001</v>
      </c>
      <c r="AE248" s="94">
        <v>1649.469482</v>
      </c>
      <c r="AF248" s="89">
        <v>6.3299999999999999E-4</v>
      </c>
      <c r="AG248" s="80"/>
    </row>
    <row r="249" spans="1:33" ht="15" customHeight="1">
      <c r="A249" s="78" t="s">
        <v>504</v>
      </c>
      <c r="B249" s="87" t="s">
        <v>505</v>
      </c>
      <c r="C249" s="88">
        <v>3.3663400000000001</v>
      </c>
      <c r="D249" s="88">
        <v>3.3698929999999998</v>
      </c>
      <c r="E249" s="88">
        <v>3.3734500000000001</v>
      </c>
      <c r="F249" s="88">
        <v>3.3770099999999998</v>
      </c>
      <c r="G249" s="88">
        <v>3.3805740000000002</v>
      </c>
      <c r="H249" s="88">
        <v>3.3841420000000002</v>
      </c>
      <c r="I249" s="88">
        <v>3.3877130000000002</v>
      </c>
      <c r="J249" s="88">
        <v>3.391289</v>
      </c>
      <c r="K249" s="88">
        <v>3.3948680000000002</v>
      </c>
      <c r="L249" s="88">
        <v>3.3984510000000001</v>
      </c>
      <c r="M249" s="88">
        <v>3.402037</v>
      </c>
      <c r="N249" s="88">
        <v>3.4056280000000001</v>
      </c>
      <c r="O249" s="88">
        <v>3.4092220000000002</v>
      </c>
      <c r="P249" s="88">
        <v>3.41282</v>
      </c>
      <c r="Q249" s="88">
        <v>3.4164219999999998</v>
      </c>
      <c r="R249" s="88">
        <v>3.4200270000000002</v>
      </c>
      <c r="S249" s="88">
        <v>3.4236369999999998</v>
      </c>
      <c r="T249" s="88">
        <v>3.4272499999999999</v>
      </c>
      <c r="U249" s="88">
        <v>3.4308670000000001</v>
      </c>
      <c r="V249" s="88">
        <v>3.434488</v>
      </c>
      <c r="W249" s="88">
        <v>3.438113</v>
      </c>
      <c r="X249" s="88">
        <v>3.4417409999999999</v>
      </c>
      <c r="Y249" s="88">
        <v>3.445373</v>
      </c>
      <c r="Z249" s="88">
        <v>3.4490099999999999</v>
      </c>
      <c r="AA249" s="88">
        <v>3.4526490000000001</v>
      </c>
      <c r="AB249" s="88">
        <v>3.4562930000000001</v>
      </c>
      <c r="AC249" s="88">
        <v>3.4599410000000002</v>
      </c>
      <c r="AD249" s="88">
        <v>3.4635929999999999</v>
      </c>
      <c r="AE249" s="88">
        <v>3.4672480000000001</v>
      </c>
      <c r="AF249" s="89">
        <v>1.0549999999999999E-3</v>
      </c>
      <c r="AG249" s="80"/>
    </row>
    <row r="250" spans="1:33" ht="15" customHeight="1">
      <c r="B250" s="86" t="s">
        <v>506</v>
      </c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</row>
    <row r="251" spans="1:33" ht="15" customHeight="1">
      <c r="A251" s="78" t="s">
        <v>507</v>
      </c>
      <c r="B251" s="87" t="s">
        <v>508</v>
      </c>
      <c r="C251" s="88">
        <v>480.86654700000003</v>
      </c>
      <c r="D251" s="88">
        <v>473.79251099999999</v>
      </c>
      <c r="E251" s="88">
        <v>492.51501500000001</v>
      </c>
      <c r="F251" s="88">
        <v>480.10034200000001</v>
      </c>
      <c r="G251" s="88">
        <v>459.17535400000003</v>
      </c>
      <c r="H251" s="88">
        <v>442.59573399999999</v>
      </c>
      <c r="I251" s="88">
        <v>435.204926</v>
      </c>
      <c r="J251" s="88">
        <v>438.61608899999999</v>
      </c>
      <c r="K251" s="88">
        <v>434.49127199999998</v>
      </c>
      <c r="L251" s="88">
        <v>434.25302099999999</v>
      </c>
      <c r="M251" s="88">
        <v>435.99301100000002</v>
      </c>
      <c r="N251" s="88">
        <v>436.48690800000003</v>
      </c>
      <c r="O251" s="88">
        <v>435.37204000000003</v>
      </c>
      <c r="P251" s="88">
        <v>434.60772700000001</v>
      </c>
      <c r="Q251" s="88">
        <v>431.05429099999998</v>
      </c>
      <c r="R251" s="88">
        <v>427.65039100000001</v>
      </c>
      <c r="S251" s="88">
        <v>424.25372299999998</v>
      </c>
      <c r="T251" s="88">
        <v>418.55365</v>
      </c>
      <c r="U251" s="88">
        <v>413.58151199999998</v>
      </c>
      <c r="V251" s="88">
        <v>410.946777</v>
      </c>
      <c r="W251" s="88">
        <v>407.33846999999997</v>
      </c>
      <c r="X251" s="88">
        <v>401.121399</v>
      </c>
      <c r="Y251" s="88">
        <v>394.29074100000003</v>
      </c>
      <c r="Z251" s="88">
        <v>387.06680299999999</v>
      </c>
      <c r="AA251" s="88">
        <v>380.52633700000001</v>
      </c>
      <c r="AB251" s="88">
        <v>373.70101899999997</v>
      </c>
      <c r="AC251" s="88">
        <v>367.609375</v>
      </c>
      <c r="AD251" s="88">
        <v>360.13336199999998</v>
      </c>
      <c r="AE251" s="88">
        <v>354.19946299999998</v>
      </c>
      <c r="AF251" s="89">
        <v>-1.0859000000000001E-2</v>
      </c>
      <c r="AG251" s="80"/>
    </row>
    <row r="252" spans="1:33" ht="12" customHeight="1">
      <c r="A252" s="78" t="s">
        <v>509</v>
      </c>
      <c r="B252" s="87" t="s">
        <v>510</v>
      </c>
      <c r="C252" s="88">
        <v>0</v>
      </c>
      <c r="D252" s="88">
        <v>0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  <c r="X252" s="88">
        <v>0</v>
      </c>
      <c r="Y252" s="88">
        <v>0</v>
      </c>
      <c r="Z252" s="88">
        <v>0</v>
      </c>
      <c r="AA252" s="88">
        <v>0</v>
      </c>
      <c r="AB252" s="88">
        <v>0</v>
      </c>
      <c r="AC252" s="88">
        <v>0</v>
      </c>
      <c r="AD252" s="88">
        <v>0</v>
      </c>
      <c r="AE252" s="88">
        <v>0</v>
      </c>
      <c r="AF252" s="89" t="s">
        <v>217</v>
      </c>
      <c r="AG252" s="80"/>
    </row>
    <row r="253" spans="1:33" ht="15" customHeight="1">
      <c r="A253" s="78" t="s">
        <v>511</v>
      </c>
      <c r="B253" s="87" t="s">
        <v>512</v>
      </c>
      <c r="C253" s="88">
        <v>0</v>
      </c>
      <c r="D253" s="88">
        <v>0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  <c r="X253" s="88">
        <v>0</v>
      </c>
      <c r="Y253" s="88">
        <v>0</v>
      </c>
      <c r="Z253" s="88">
        <v>0</v>
      </c>
      <c r="AA253" s="88">
        <v>0</v>
      </c>
      <c r="AB253" s="88">
        <v>0</v>
      </c>
      <c r="AC253" s="88">
        <v>0</v>
      </c>
      <c r="AD253" s="88">
        <v>0</v>
      </c>
      <c r="AE253" s="88">
        <v>0</v>
      </c>
      <c r="AF253" s="89" t="s">
        <v>217</v>
      </c>
      <c r="AG253" s="80"/>
    </row>
    <row r="254" spans="1:33" ht="15" customHeight="1">
      <c r="A254" s="78" t="s">
        <v>513</v>
      </c>
      <c r="B254" s="87" t="s">
        <v>514</v>
      </c>
      <c r="C254" s="88">
        <v>0.51516300000000004</v>
      </c>
      <c r="D254" s="88">
        <v>1.02989</v>
      </c>
      <c r="E254" s="88">
        <v>1.6141289999999999</v>
      </c>
      <c r="F254" s="88">
        <v>2.1038670000000002</v>
      </c>
      <c r="G254" s="88">
        <v>2.7049910000000001</v>
      </c>
      <c r="H254" s="88">
        <v>3.499511</v>
      </c>
      <c r="I254" s="88">
        <v>4.5404369999999998</v>
      </c>
      <c r="J254" s="88">
        <v>5.9096029999999997</v>
      </c>
      <c r="K254" s="88">
        <v>7.4006509999999999</v>
      </c>
      <c r="L254" s="88">
        <v>9.1702840000000005</v>
      </c>
      <c r="M254" s="88">
        <v>11.444215</v>
      </c>
      <c r="N254" s="88">
        <v>14.161068</v>
      </c>
      <c r="O254" s="88">
        <v>17.293554</v>
      </c>
      <c r="P254" s="88">
        <v>20.907318</v>
      </c>
      <c r="Q254" s="88">
        <v>24.839417000000001</v>
      </c>
      <c r="R254" s="88">
        <v>29.211893</v>
      </c>
      <c r="S254" s="88">
        <v>34.020896999999998</v>
      </c>
      <c r="T254" s="88">
        <v>39.055110999999997</v>
      </c>
      <c r="U254" s="88">
        <v>44.546832999999999</v>
      </c>
      <c r="V254" s="88">
        <v>50.726470999999997</v>
      </c>
      <c r="W254" s="88">
        <v>57.249889000000003</v>
      </c>
      <c r="X254" s="88">
        <v>63.815086000000001</v>
      </c>
      <c r="Y254" s="88">
        <v>70.632087999999996</v>
      </c>
      <c r="Z254" s="88">
        <v>77.703888000000006</v>
      </c>
      <c r="AA254" s="88">
        <v>85.240448000000001</v>
      </c>
      <c r="AB254" s="88">
        <v>94.454329999999999</v>
      </c>
      <c r="AC254" s="88">
        <v>103.730484</v>
      </c>
      <c r="AD254" s="88">
        <v>112.465706</v>
      </c>
      <c r="AE254" s="88">
        <v>121.52919799999999</v>
      </c>
      <c r="AF254" s="89">
        <v>0.21546000000000001</v>
      </c>
      <c r="AG254" s="80"/>
    </row>
    <row r="255" spans="1:33" ht="15" customHeight="1"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</row>
    <row r="256" spans="1:33" ht="12" customHeight="1">
      <c r="B256" s="86" t="s">
        <v>515</v>
      </c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</row>
    <row r="257" spans="1:33" ht="15" customHeight="1">
      <c r="A257" s="78" t="s">
        <v>516</v>
      </c>
      <c r="B257" s="87" t="s">
        <v>517</v>
      </c>
      <c r="C257" s="94">
        <v>444.898865</v>
      </c>
      <c r="D257" s="94">
        <v>450.42761200000001</v>
      </c>
      <c r="E257" s="94">
        <v>448.61004600000001</v>
      </c>
      <c r="F257" s="94">
        <v>446.74627700000002</v>
      </c>
      <c r="G257" s="94">
        <v>445.22772200000003</v>
      </c>
      <c r="H257" s="94">
        <v>442.84777800000001</v>
      </c>
      <c r="I257" s="94">
        <v>440.43005399999998</v>
      </c>
      <c r="J257" s="94">
        <v>437.02459700000003</v>
      </c>
      <c r="K257" s="94">
        <v>434.036407</v>
      </c>
      <c r="L257" s="94">
        <v>431.39211999999998</v>
      </c>
      <c r="M257" s="94">
        <v>429.99737499999998</v>
      </c>
      <c r="N257" s="94">
        <v>428.16067500000003</v>
      </c>
      <c r="O257" s="94">
        <v>426.27862499999998</v>
      </c>
      <c r="P257" s="94">
        <v>424.17816199999999</v>
      </c>
      <c r="Q257" s="94">
        <v>421.71697999999998</v>
      </c>
      <c r="R257" s="94">
        <v>419.81463600000001</v>
      </c>
      <c r="S257" s="94">
        <v>417.567047</v>
      </c>
      <c r="T257" s="94">
        <v>415.80767800000001</v>
      </c>
      <c r="U257" s="94">
        <v>414.04513500000002</v>
      </c>
      <c r="V257" s="94">
        <v>412.52209499999998</v>
      </c>
      <c r="W257" s="94">
        <v>411.24774200000002</v>
      </c>
      <c r="X257" s="94">
        <v>409.97735599999999</v>
      </c>
      <c r="Y257" s="94">
        <v>408.52224699999999</v>
      </c>
      <c r="Z257" s="94">
        <v>406.63034099999999</v>
      </c>
      <c r="AA257" s="94">
        <v>405.358521</v>
      </c>
      <c r="AB257" s="94">
        <v>403.865906</v>
      </c>
      <c r="AC257" s="94">
        <v>401.97906499999999</v>
      </c>
      <c r="AD257" s="94">
        <v>400.55664100000001</v>
      </c>
      <c r="AE257" s="94">
        <v>400.09832799999998</v>
      </c>
      <c r="AF257" s="89">
        <v>-3.7829999999999999E-3</v>
      </c>
      <c r="AG257" s="80"/>
    </row>
    <row r="258" spans="1:33" ht="15" customHeight="1">
      <c r="A258" s="78" t="s">
        <v>518</v>
      </c>
      <c r="B258" s="87" t="s">
        <v>505</v>
      </c>
      <c r="C258" s="88">
        <v>4.8202259999999999</v>
      </c>
      <c r="D258" s="88">
        <v>4.8389660000000001</v>
      </c>
      <c r="E258" s="88">
        <v>4.8577789999999998</v>
      </c>
      <c r="F258" s="88">
        <v>4.876665</v>
      </c>
      <c r="G258" s="88">
        <v>4.8956239999999998</v>
      </c>
      <c r="H258" s="88">
        <v>4.9146570000000001</v>
      </c>
      <c r="I258" s="88">
        <v>4.933764</v>
      </c>
      <c r="J258" s="88">
        <v>4.9529449999999997</v>
      </c>
      <c r="K258" s="88">
        <v>4.9722</v>
      </c>
      <c r="L258" s="88">
        <v>4.9915310000000002</v>
      </c>
      <c r="M258" s="88">
        <v>5.0109370000000002</v>
      </c>
      <c r="N258" s="88">
        <v>5.0304180000000001</v>
      </c>
      <c r="O258" s="88">
        <v>5.0499749999999999</v>
      </c>
      <c r="P258" s="88">
        <v>5.0696079999999997</v>
      </c>
      <c r="Q258" s="88">
        <v>5.0893170000000003</v>
      </c>
      <c r="R258" s="88">
        <v>5.1091030000000002</v>
      </c>
      <c r="S258" s="88">
        <v>5.1289660000000001</v>
      </c>
      <c r="T258" s="88">
        <v>5.1489060000000002</v>
      </c>
      <c r="U258" s="88">
        <v>5.1689230000000004</v>
      </c>
      <c r="V258" s="88">
        <v>5.189019</v>
      </c>
      <c r="W258" s="88">
        <v>5.2091919999999998</v>
      </c>
      <c r="X258" s="88">
        <v>5.2294450000000001</v>
      </c>
      <c r="Y258" s="88">
        <v>5.2497749999999996</v>
      </c>
      <c r="Z258" s="88">
        <v>5.2701849999999997</v>
      </c>
      <c r="AA258" s="88">
        <v>5.2906740000000001</v>
      </c>
      <c r="AB258" s="88">
        <v>5.3112430000000002</v>
      </c>
      <c r="AC258" s="88">
        <v>5.3318919999999999</v>
      </c>
      <c r="AD258" s="88">
        <v>5.3526210000000001</v>
      </c>
      <c r="AE258" s="88">
        <v>5.3734299999999999</v>
      </c>
      <c r="AF258" s="89">
        <v>3.888E-3</v>
      </c>
      <c r="AG258" s="80"/>
    </row>
    <row r="259" spans="1:33" ht="15" customHeight="1">
      <c r="B259" s="181" t="s">
        <v>506</v>
      </c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  <c r="AC259" s="182"/>
      <c r="AD259" s="182"/>
      <c r="AE259" s="182"/>
      <c r="AF259" s="182"/>
      <c r="AG259" s="80"/>
    </row>
    <row r="260" spans="1:33" ht="15" customHeight="1">
      <c r="A260" s="78" t="s">
        <v>519</v>
      </c>
      <c r="B260" s="87" t="s">
        <v>508</v>
      </c>
      <c r="C260" s="88">
        <v>95.724982999999995</v>
      </c>
      <c r="D260" s="88">
        <v>96.410872999999995</v>
      </c>
      <c r="E260" s="88">
        <v>95.648369000000002</v>
      </c>
      <c r="F260" s="88">
        <v>94.922400999999994</v>
      </c>
      <c r="G260" s="88">
        <v>94.299674999999993</v>
      </c>
      <c r="H260" s="88">
        <v>93.480141000000003</v>
      </c>
      <c r="I260" s="88">
        <v>92.663535999999993</v>
      </c>
      <c r="J260" s="88">
        <v>91.636002000000005</v>
      </c>
      <c r="K260" s="88">
        <v>90.709732000000002</v>
      </c>
      <c r="L260" s="88">
        <v>89.864052000000001</v>
      </c>
      <c r="M260" s="88">
        <v>89.271820000000005</v>
      </c>
      <c r="N260" s="88">
        <v>88.583907999999994</v>
      </c>
      <c r="O260" s="88">
        <v>87.881882000000004</v>
      </c>
      <c r="P260" s="88">
        <v>87.154610000000005</v>
      </c>
      <c r="Q260" s="88">
        <v>86.355025999999995</v>
      </c>
      <c r="R260" s="88">
        <v>85.672011999999995</v>
      </c>
      <c r="S260" s="88">
        <v>84.929305999999997</v>
      </c>
      <c r="T260" s="88">
        <v>84.290549999999996</v>
      </c>
      <c r="U260" s="88">
        <v>83.598647999999997</v>
      </c>
      <c r="V260" s="88">
        <v>82.885955999999993</v>
      </c>
      <c r="W260" s="88">
        <v>82.221778999999998</v>
      </c>
      <c r="X260" s="88">
        <v>81.555756000000002</v>
      </c>
      <c r="Y260" s="88">
        <v>80.850998000000004</v>
      </c>
      <c r="Z260" s="88">
        <v>80.058989999999994</v>
      </c>
      <c r="AA260" s="88">
        <v>79.380050999999995</v>
      </c>
      <c r="AB260" s="88">
        <v>78.650115999999997</v>
      </c>
      <c r="AC260" s="88">
        <v>77.846335999999994</v>
      </c>
      <c r="AD260" s="88">
        <v>77.124741</v>
      </c>
      <c r="AE260" s="88">
        <v>76.572761999999997</v>
      </c>
      <c r="AF260" s="89">
        <v>-7.9410000000000001E-3</v>
      </c>
      <c r="AG260" s="80"/>
    </row>
    <row r="261" spans="1:33" ht="15" customHeight="1">
      <c r="A261" s="78" t="s">
        <v>520</v>
      </c>
      <c r="B261" s="87" t="s">
        <v>510</v>
      </c>
      <c r="C261" s="88">
        <v>1.875904</v>
      </c>
      <c r="D261" s="88">
        <v>1.8078829999999999</v>
      </c>
      <c r="E261" s="88">
        <v>1.7136819999999999</v>
      </c>
      <c r="F261" s="88">
        <v>1.621937</v>
      </c>
      <c r="G261" s="88">
        <v>1.5413140000000001</v>
      </c>
      <c r="H261" s="88">
        <v>1.455168</v>
      </c>
      <c r="I261" s="88">
        <v>1.371278</v>
      </c>
      <c r="J261" s="88">
        <v>1.2863249999999999</v>
      </c>
      <c r="K261" s="88">
        <v>1.1999850000000001</v>
      </c>
      <c r="L261" s="88">
        <v>1.1125510000000001</v>
      </c>
      <c r="M261" s="88">
        <v>1.0315639999999999</v>
      </c>
      <c r="N261" s="88">
        <v>0.94839600000000002</v>
      </c>
      <c r="O261" s="88">
        <v>0.86860599999999999</v>
      </c>
      <c r="P261" s="88">
        <v>0.79182399999999997</v>
      </c>
      <c r="Q261" s="88">
        <v>0.72530600000000001</v>
      </c>
      <c r="R261" s="88">
        <v>0.65481</v>
      </c>
      <c r="S261" s="88">
        <v>0.57531900000000002</v>
      </c>
      <c r="T261" s="88">
        <v>0.49192999999999998</v>
      </c>
      <c r="U261" s="88">
        <v>0.417902</v>
      </c>
      <c r="V261" s="88">
        <v>0.41475499999999998</v>
      </c>
      <c r="W261" s="88">
        <v>0.41187499999999999</v>
      </c>
      <c r="X261" s="88">
        <v>0.40901599999999999</v>
      </c>
      <c r="Y261" s="88">
        <v>0.40599000000000002</v>
      </c>
      <c r="Z261" s="88">
        <v>0.40254800000000002</v>
      </c>
      <c r="AA261" s="88">
        <v>0.39974100000000001</v>
      </c>
      <c r="AB261" s="88">
        <v>0.396733</v>
      </c>
      <c r="AC261" s="88">
        <v>0.39335599999999998</v>
      </c>
      <c r="AD261" s="88">
        <v>0.39045299999999999</v>
      </c>
      <c r="AE261" s="88">
        <v>0.38850499999999999</v>
      </c>
      <c r="AF261" s="89">
        <v>-5.4682000000000001E-2</v>
      </c>
      <c r="AG261" s="80"/>
    </row>
    <row r="262" spans="1:33" ht="15" customHeight="1">
      <c r="A262" s="78" t="s">
        <v>521</v>
      </c>
      <c r="B262" s="87" t="s">
        <v>512</v>
      </c>
      <c r="C262" s="88">
        <v>0</v>
      </c>
      <c r="D262" s="88">
        <v>0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  <c r="X262" s="88">
        <v>0</v>
      </c>
      <c r="Y262" s="88">
        <v>0</v>
      </c>
      <c r="Z262" s="88">
        <v>0</v>
      </c>
      <c r="AA262" s="88">
        <v>0</v>
      </c>
      <c r="AB262" s="88">
        <v>0</v>
      </c>
      <c r="AC262" s="88">
        <v>0</v>
      </c>
      <c r="AD262" s="88">
        <v>0</v>
      </c>
      <c r="AE262" s="88">
        <v>0</v>
      </c>
      <c r="AF262" s="89" t="s">
        <v>217</v>
      </c>
      <c r="AG262" s="80"/>
    </row>
    <row r="263" spans="1:33" ht="15" customHeight="1">
      <c r="A263" s="78" t="s">
        <v>522</v>
      </c>
      <c r="B263" s="87" t="s">
        <v>514</v>
      </c>
      <c r="C263" s="88">
        <v>0.638131</v>
      </c>
      <c r="D263" s="88">
        <v>0.70199999999999996</v>
      </c>
      <c r="E263" s="88">
        <v>0.75260700000000003</v>
      </c>
      <c r="F263" s="88">
        <v>0.80172500000000002</v>
      </c>
      <c r="G263" s="88">
        <v>0.84487999999999996</v>
      </c>
      <c r="H263" s="88">
        <v>0.88815699999999997</v>
      </c>
      <c r="I263" s="88">
        <v>0.92988400000000004</v>
      </c>
      <c r="J263" s="88">
        <v>0.96818099999999996</v>
      </c>
      <c r="K263" s="88">
        <v>1.009477</v>
      </c>
      <c r="L263" s="88">
        <v>1.053212</v>
      </c>
      <c r="M263" s="88">
        <v>1.0977250000000001</v>
      </c>
      <c r="N263" s="88">
        <v>1.1419189999999999</v>
      </c>
      <c r="O263" s="88">
        <v>1.183538</v>
      </c>
      <c r="P263" s="88">
        <v>1.2224330000000001</v>
      </c>
      <c r="Q263" s="88">
        <v>1.252678</v>
      </c>
      <c r="R263" s="88">
        <v>1.2881480000000001</v>
      </c>
      <c r="S263" s="88">
        <v>1.3287279999999999</v>
      </c>
      <c r="T263" s="88">
        <v>1.374214</v>
      </c>
      <c r="U263" s="88">
        <v>1.4570460000000001</v>
      </c>
      <c r="V263" s="88">
        <v>1.54541</v>
      </c>
      <c r="W263" s="88">
        <v>1.640115</v>
      </c>
      <c r="X263" s="88">
        <v>1.7406269999999999</v>
      </c>
      <c r="Y263" s="88">
        <v>1.8464670000000001</v>
      </c>
      <c r="Z263" s="88">
        <v>1.956663</v>
      </c>
      <c r="AA263" s="88">
        <v>2.0764179999999999</v>
      </c>
      <c r="AB263" s="88">
        <v>2.2021730000000002</v>
      </c>
      <c r="AC263" s="88">
        <v>2.3334239999999999</v>
      </c>
      <c r="AD263" s="88">
        <v>2.4752070000000002</v>
      </c>
      <c r="AE263" s="88">
        <v>2.6315870000000001</v>
      </c>
      <c r="AF263" s="89">
        <v>5.1901999999999997E-2</v>
      </c>
      <c r="AG263" s="80"/>
    </row>
    <row r="264" spans="1:33" ht="15" customHeight="1"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</row>
    <row r="265" spans="1:33" ht="15" customHeight="1">
      <c r="B265" s="86" t="s">
        <v>523</v>
      </c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</row>
    <row r="266" spans="1:33" ht="15" customHeight="1">
      <c r="A266" s="78" t="s">
        <v>524</v>
      </c>
      <c r="B266" s="87" t="s">
        <v>525</v>
      </c>
      <c r="C266" s="94">
        <v>5234.1591799999997</v>
      </c>
      <c r="D266" s="94">
        <v>5273.296875</v>
      </c>
      <c r="E266" s="94">
        <v>5362.6445309999999</v>
      </c>
      <c r="F266" s="94">
        <v>5516.3344729999999</v>
      </c>
      <c r="G266" s="94">
        <v>5699.1494140000004</v>
      </c>
      <c r="H266" s="94">
        <v>5878.9716799999997</v>
      </c>
      <c r="I266" s="94">
        <v>6041.2578119999998</v>
      </c>
      <c r="J266" s="94">
        <v>6192.2470700000003</v>
      </c>
      <c r="K266" s="94">
        <v>6343.6660160000001</v>
      </c>
      <c r="L266" s="94">
        <v>6511.3486329999996</v>
      </c>
      <c r="M266" s="94">
        <v>6715.9096680000002</v>
      </c>
      <c r="N266" s="94">
        <v>6915.4399409999996</v>
      </c>
      <c r="O266" s="94">
        <v>7116.8901370000003</v>
      </c>
      <c r="P266" s="94">
        <v>7327.4184569999998</v>
      </c>
      <c r="Q266" s="94">
        <v>7523.0537109999996</v>
      </c>
      <c r="R266" s="94">
        <v>7718.1992190000001</v>
      </c>
      <c r="S266" s="94">
        <v>7912.0834960000002</v>
      </c>
      <c r="T266" s="94">
        <v>8137.939453</v>
      </c>
      <c r="U266" s="94">
        <v>8368.4814449999994</v>
      </c>
      <c r="V266" s="94">
        <v>8606.8613280000009</v>
      </c>
      <c r="W266" s="94">
        <v>8874.4423829999996</v>
      </c>
      <c r="X266" s="94">
        <v>9160.3457030000009</v>
      </c>
      <c r="Y266" s="94">
        <v>9472.5527340000008</v>
      </c>
      <c r="Z266" s="94">
        <v>9798.0292969999991</v>
      </c>
      <c r="AA266" s="94">
        <v>10143.948242</v>
      </c>
      <c r="AB266" s="94">
        <v>10485.746094</v>
      </c>
      <c r="AC266" s="94">
        <v>10850.213867</v>
      </c>
      <c r="AD266" s="94">
        <v>11224.771484000001</v>
      </c>
      <c r="AE266" s="94">
        <v>11635.883789</v>
      </c>
      <c r="AF266" s="89">
        <v>2.8943E-2</v>
      </c>
      <c r="AG266" s="80"/>
    </row>
    <row r="267" spans="1:33" ht="15" customHeight="1">
      <c r="A267" s="78" t="s">
        <v>526</v>
      </c>
      <c r="B267" s="87" t="s">
        <v>527</v>
      </c>
      <c r="C267" s="94">
        <v>1831.682251</v>
      </c>
      <c r="D267" s="94">
        <v>1866.1319579999999</v>
      </c>
      <c r="E267" s="94">
        <v>1903.4384769999999</v>
      </c>
      <c r="F267" s="94">
        <v>1962.4832759999999</v>
      </c>
      <c r="G267" s="94">
        <v>2030.4210210000001</v>
      </c>
      <c r="H267" s="94">
        <v>2091.8476559999999</v>
      </c>
      <c r="I267" s="94">
        <v>2140.1359859999998</v>
      </c>
      <c r="J267" s="94">
        <v>2176.3395999999998</v>
      </c>
      <c r="K267" s="94">
        <v>2205.485107</v>
      </c>
      <c r="L267" s="94">
        <v>2234.9177249999998</v>
      </c>
      <c r="M267" s="94">
        <v>2273.3510740000002</v>
      </c>
      <c r="N267" s="94">
        <v>2317.189453</v>
      </c>
      <c r="O267" s="94">
        <v>2363.84375</v>
      </c>
      <c r="P267" s="94">
        <v>2415.5078119999998</v>
      </c>
      <c r="Q267" s="94">
        <v>2471.7585450000001</v>
      </c>
      <c r="R267" s="94">
        <v>2534.2473140000002</v>
      </c>
      <c r="S267" s="94">
        <v>2596.5371089999999</v>
      </c>
      <c r="T267" s="94">
        <v>2674.233643</v>
      </c>
      <c r="U267" s="94">
        <v>2759.7326659999999</v>
      </c>
      <c r="V267" s="94">
        <v>2843.7934570000002</v>
      </c>
      <c r="W267" s="94">
        <v>2937.530518</v>
      </c>
      <c r="X267" s="94">
        <v>3038.2260740000002</v>
      </c>
      <c r="Y267" s="94">
        <v>3149.4558109999998</v>
      </c>
      <c r="Z267" s="94">
        <v>3264.0588379999999</v>
      </c>
      <c r="AA267" s="94">
        <v>3390.117432</v>
      </c>
      <c r="AB267" s="94">
        <v>3513.3171390000002</v>
      </c>
      <c r="AC267" s="94">
        <v>3646.149414</v>
      </c>
      <c r="AD267" s="94">
        <v>3789.6210940000001</v>
      </c>
      <c r="AE267" s="94">
        <v>3944.2458499999998</v>
      </c>
      <c r="AF267" s="89">
        <v>2.7772000000000002E-2</v>
      </c>
      <c r="AG267" s="80"/>
    </row>
    <row r="268" spans="1:33" ht="12" customHeight="1">
      <c r="A268" s="78" t="s">
        <v>528</v>
      </c>
      <c r="B268" s="87" t="s">
        <v>529</v>
      </c>
      <c r="C268" s="94">
        <v>3402.476807</v>
      </c>
      <c r="D268" s="94">
        <v>3407.165039</v>
      </c>
      <c r="E268" s="94">
        <v>3459.2060550000001</v>
      </c>
      <c r="F268" s="94">
        <v>3553.8510740000002</v>
      </c>
      <c r="G268" s="94">
        <v>3668.7282709999999</v>
      </c>
      <c r="H268" s="94">
        <v>3787.123779</v>
      </c>
      <c r="I268" s="94">
        <v>3901.1220699999999</v>
      </c>
      <c r="J268" s="94">
        <v>4015.9077149999998</v>
      </c>
      <c r="K268" s="94">
        <v>4138.1806640000004</v>
      </c>
      <c r="L268" s="94">
        <v>4276.4311520000001</v>
      </c>
      <c r="M268" s="94">
        <v>4442.5585940000001</v>
      </c>
      <c r="N268" s="94">
        <v>4598.2504879999997</v>
      </c>
      <c r="O268" s="94">
        <v>4753.0463870000003</v>
      </c>
      <c r="P268" s="94">
        <v>4911.9106449999999</v>
      </c>
      <c r="Q268" s="94">
        <v>5051.294922</v>
      </c>
      <c r="R268" s="94">
        <v>5183.9516599999997</v>
      </c>
      <c r="S268" s="94">
        <v>5315.5463870000003</v>
      </c>
      <c r="T268" s="94">
        <v>5463.7055659999996</v>
      </c>
      <c r="U268" s="94">
        <v>5608.7485349999997</v>
      </c>
      <c r="V268" s="94">
        <v>5763.0683589999999</v>
      </c>
      <c r="W268" s="94">
        <v>5936.9116210000002</v>
      </c>
      <c r="X268" s="94">
        <v>6122.1201170000004</v>
      </c>
      <c r="Y268" s="94">
        <v>6323.0971680000002</v>
      </c>
      <c r="Z268" s="94">
        <v>6533.9702150000003</v>
      </c>
      <c r="AA268" s="94">
        <v>6753.8305659999996</v>
      </c>
      <c r="AB268" s="94">
        <v>6972.4287109999996</v>
      </c>
      <c r="AC268" s="94">
        <v>7204.064453</v>
      </c>
      <c r="AD268" s="94">
        <v>7435.1499020000001</v>
      </c>
      <c r="AE268" s="94">
        <v>7691.6376950000003</v>
      </c>
      <c r="AF268" s="89">
        <v>2.9558000000000001E-2</v>
      </c>
      <c r="AG268" s="80"/>
    </row>
    <row r="269" spans="1:33" ht="12" customHeight="1">
      <c r="B269" s="86" t="s">
        <v>506</v>
      </c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</row>
    <row r="270" spans="1:33" ht="12" customHeight="1">
      <c r="A270" s="78" t="s">
        <v>530</v>
      </c>
      <c r="B270" s="87" t="s">
        <v>508</v>
      </c>
      <c r="C270" s="88">
        <v>222.93867499999999</v>
      </c>
      <c r="D270" s="88">
        <v>318.21374500000002</v>
      </c>
      <c r="E270" s="88">
        <v>318.50683600000002</v>
      </c>
      <c r="F270" s="88">
        <v>321.42748999999998</v>
      </c>
      <c r="G270" s="88">
        <v>326.40893599999998</v>
      </c>
      <c r="H270" s="88">
        <v>331.75039700000002</v>
      </c>
      <c r="I270" s="88">
        <v>339.13262900000001</v>
      </c>
      <c r="J270" s="88">
        <v>343.65380900000002</v>
      </c>
      <c r="K270" s="88">
        <v>348.44000199999999</v>
      </c>
      <c r="L270" s="88">
        <v>348.61184700000001</v>
      </c>
      <c r="M270" s="88">
        <v>349.93618800000002</v>
      </c>
      <c r="N270" s="88">
        <v>351.71850599999999</v>
      </c>
      <c r="O270" s="88">
        <v>354.40063500000002</v>
      </c>
      <c r="P270" s="88">
        <v>355.17700200000002</v>
      </c>
      <c r="Q270" s="88">
        <v>356.67022700000001</v>
      </c>
      <c r="R270" s="88">
        <v>356.87670900000001</v>
      </c>
      <c r="S270" s="88">
        <v>358.82894900000002</v>
      </c>
      <c r="T270" s="88">
        <v>358.93920900000001</v>
      </c>
      <c r="U270" s="88">
        <v>360.572205</v>
      </c>
      <c r="V270" s="88">
        <v>361.26196299999998</v>
      </c>
      <c r="W270" s="88">
        <v>361.28478999999999</v>
      </c>
      <c r="X270" s="88">
        <v>360.64623999999998</v>
      </c>
      <c r="Y270" s="88">
        <v>360.38775600000002</v>
      </c>
      <c r="Z270" s="88">
        <v>360.05560300000002</v>
      </c>
      <c r="AA270" s="88">
        <v>358.46176100000002</v>
      </c>
      <c r="AB270" s="88">
        <v>357.26376299999998</v>
      </c>
      <c r="AC270" s="88">
        <v>357.07412699999998</v>
      </c>
      <c r="AD270" s="88">
        <v>355.22808800000001</v>
      </c>
      <c r="AE270" s="88">
        <v>354.51147500000002</v>
      </c>
      <c r="AF270" s="89">
        <v>1.6704E-2</v>
      </c>
      <c r="AG270" s="80"/>
    </row>
    <row r="271" spans="1:33" ht="12" customHeight="1">
      <c r="A271" s="78" t="s">
        <v>531</v>
      </c>
      <c r="B271" s="87" t="s">
        <v>510</v>
      </c>
      <c r="C271" s="88">
        <v>685.66516100000001</v>
      </c>
      <c r="D271" s="88">
        <v>532.149719</v>
      </c>
      <c r="E271" s="88">
        <v>519.35320999999999</v>
      </c>
      <c r="F271" s="88">
        <v>520.34844999999996</v>
      </c>
      <c r="G271" s="88">
        <v>497.46441700000003</v>
      </c>
      <c r="H271" s="88">
        <v>487.75363199999998</v>
      </c>
      <c r="I271" s="88">
        <v>469.75631700000002</v>
      </c>
      <c r="J271" s="88">
        <v>458.26986699999998</v>
      </c>
      <c r="K271" s="88">
        <v>449.82733200000001</v>
      </c>
      <c r="L271" s="88">
        <v>449.95632899999998</v>
      </c>
      <c r="M271" s="88">
        <v>449.27517699999999</v>
      </c>
      <c r="N271" s="88">
        <v>449.44375600000001</v>
      </c>
      <c r="O271" s="88">
        <v>447.34497099999999</v>
      </c>
      <c r="P271" s="88">
        <v>447.23684700000001</v>
      </c>
      <c r="Q271" s="88">
        <v>444.02316300000001</v>
      </c>
      <c r="R271" s="88">
        <v>442.96899400000001</v>
      </c>
      <c r="S271" s="88">
        <v>441.815674</v>
      </c>
      <c r="T271" s="88">
        <v>439.63165300000003</v>
      </c>
      <c r="U271" s="88">
        <v>437.97662400000002</v>
      </c>
      <c r="V271" s="88">
        <v>436.76757800000001</v>
      </c>
      <c r="W271" s="88">
        <v>436.80938700000002</v>
      </c>
      <c r="X271" s="88">
        <v>435.24386600000003</v>
      </c>
      <c r="Y271" s="88">
        <v>434.29315200000002</v>
      </c>
      <c r="Z271" s="88">
        <v>432.733093</v>
      </c>
      <c r="AA271" s="88">
        <v>438.45755000000003</v>
      </c>
      <c r="AB271" s="88">
        <v>437.70047</v>
      </c>
      <c r="AC271" s="88">
        <v>432.92089800000002</v>
      </c>
      <c r="AD271" s="88">
        <v>429.24749800000001</v>
      </c>
      <c r="AE271" s="88">
        <v>424.56079099999999</v>
      </c>
      <c r="AF271" s="89">
        <v>-1.6972999999999999E-2</v>
      </c>
      <c r="AG271" s="80"/>
    </row>
    <row r="272" spans="1:33" ht="12" customHeight="1">
      <c r="A272" s="78" t="s">
        <v>532</v>
      </c>
      <c r="B272" s="87" t="s">
        <v>512</v>
      </c>
      <c r="C272" s="88">
        <v>0</v>
      </c>
      <c r="D272" s="88">
        <v>0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  <c r="X272" s="88">
        <v>0</v>
      </c>
      <c r="Y272" s="88">
        <v>0</v>
      </c>
      <c r="Z272" s="88">
        <v>0</v>
      </c>
      <c r="AA272" s="88">
        <v>0</v>
      </c>
      <c r="AB272" s="88">
        <v>0</v>
      </c>
      <c r="AC272" s="88">
        <v>0</v>
      </c>
      <c r="AD272" s="88">
        <v>0</v>
      </c>
      <c r="AE272" s="88">
        <v>0</v>
      </c>
      <c r="AF272" s="89" t="s">
        <v>217</v>
      </c>
      <c r="AG272" s="80"/>
    </row>
    <row r="273" spans="1:34" ht="12" customHeight="1">
      <c r="A273" s="78" t="s">
        <v>533</v>
      </c>
      <c r="B273" s="87" t="s">
        <v>514</v>
      </c>
      <c r="C273" s="88">
        <v>26.423862</v>
      </c>
      <c r="D273" s="88">
        <v>31.466925</v>
      </c>
      <c r="E273" s="88">
        <v>39.867241</v>
      </c>
      <c r="F273" s="88">
        <v>36.828189999999999</v>
      </c>
      <c r="G273" s="88">
        <v>47.376953</v>
      </c>
      <c r="H273" s="88">
        <v>48.944679000000001</v>
      </c>
      <c r="I273" s="88">
        <v>53.800423000000002</v>
      </c>
      <c r="J273" s="88">
        <v>57.218277</v>
      </c>
      <c r="K273" s="88">
        <v>58.367088000000003</v>
      </c>
      <c r="L273" s="88">
        <v>58.568268000000003</v>
      </c>
      <c r="M273" s="88">
        <v>58.225639000000001</v>
      </c>
      <c r="N273" s="88">
        <v>56.838042999999999</v>
      </c>
      <c r="O273" s="88">
        <v>56.014595</v>
      </c>
      <c r="P273" s="88">
        <v>55.804080999999996</v>
      </c>
      <c r="Q273" s="88">
        <v>56.853912000000001</v>
      </c>
      <c r="R273" s="88">
        <v>57.767783999999999</v>
      </c>
      <c r="S273" s="88">
        <v>56.989986000000002</v>
      </c>
      <c r="T273" s="88">
        <v>58.778945999999998</v>
      </c>
      <c r="U273" s="88">
        <v>58.696617000000003</v>
      </c>
      <c r="V273" s="88">
        <v>59.2714</v>
      </c>
      <c r="W273" s="88">
        <v>59.735518999999996</v>
      </c>
      <c r="X273" s="88">
        <v>61.929656999999999</v>
      </c>
      <c r="Y273" s="88">
        <v>63.367027</v>
      </c>
      <c r="Z273" s="88">
        <v>65.278946000000005</v>
      </c>
      <c r="AA273" s="88">
        <v>63.714081</v>
      </c>
      <c r="AB273" s="88">
        <v>65.960021999999995</v>
      </c>
      <c r="AC273" s="88">
        <v>69.839432000000002</v>
      </c>
      <c r="AD273" s="88">
        <v>74.646148999999994</v>
      </c>
      <c r="AE273" s="88">
        <v>79.022368999999998</v>
      </c>
      <c r="AF273" s="89">
        <v>3.9898999999999997E-2</v>
      </c>
      <c r="AG273" s="80"/>
    </row>
    <row r="274" spans="1:34" ht="12" customHeight="1" thickBot="1"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</row>
    <row r="275" spans="1:34" ht="12" customHeight="1">
      <c r="B275" s="175" t="s">
        <v>534</v>
      </c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6"/>
      <c r="AH275" s="95"/>
    </row>
    <row r="276" spans="1:34" ht="12" customHeight="1">
      <c r="B276" s="80" t="s">
        <v>535</v>
      </c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</row>
    <row r="277" spans="1:34" ht="12" customHeight="1">
      <c r="B277" s="80" t="s">
        <v>536</v>
      </c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</row>
    <row r="278" spans="1:34" ht="12" customHeight="1">
      <c r="B278" s="80" t="s">
        <v>270</v>
      </c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</row>
    <row r="279" spans="1:34" ht="12" customHeight="1">
      <c r="B279" s="80" t="s">
        <v>537</v>
      </c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</row>
    <row r="280" spans="1:34" ht="12" customHeight="1">
      <c r="B280" s="80" t="s">
        <v>538</v>
      </c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</row>
    <row r="281" spans="1:34" ht="12" customHeight="1">
      <c r="B281" s="80" t="s">
        <v>539</v>
      </c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</row>
    <row r="282" spans="1:34" ht="12" customHeight="1">
      <c r="B282" s="80" t="s">
        <v>540</v>
      </c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</row>
    <row r="283" spans="1:34" ht="12" customHeight="1"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</row>
    <row r="284" spans="1:34" ht="12" customHeight="1"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</row>
    <row r="285" spans="1:34" ht="12" customHeight="1"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</row>
    <row r="286" spans="1:34" ht="12" customHeight="1"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</row>
    <row r="287" spans="1:34" ht="12" customHeight="1"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</row>
    <row r="288" spans="1:34" ht="12" customHeight="1"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</row>
    <row r="289" spans="2:33" ht="12" customHeight="1"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</row>
    <row r="290" spans="2:33" ht="12" customHeight="1"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</row>
    <row r="291" spans="2:33" ht="12" customHeight="1"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</row>
    <row r="292" spans="2:33" ht="12" customHeight="1"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</row>
    <row r="293" spans="2:33" ht="12" customHeight="1"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</row>
    <row r="294" spans="2:33" ht="12" customHeight="1"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</row>
    <row r="295" spans="2:33" ht="12" customHeight="1"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</row>
    <row r="296" spans="2:33" ht="12" customHeight="1"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</row>
    <row r="297" spans="2:33" ht="12" customHeight="1"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</row>
    <row r="298" spans="2:33" ht="12" customHeight="1"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</row>
    <row r="299" spans="2:33" ht="12" customHeight="1"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</row>
    <row r="300" spans="2:33" ht="15" customHeight="1"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</row>
    <row r="301" spans="2:33" ht="15" customHeight="1"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</row>
    <row r="302" spans="2:33" ht="15" customHeight="1"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</row>
    <row r="303" spans="2:33" ht="15" customHeight="1"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</row>
    <row r="304" spans="2:33" ht="15" customHeight="1"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</row>
    <row r="305" spans="2:33" ht="15" customHeight="1"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</row>
    <row r="306" spans="2:33" ht="15" customHeight="1"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</row>
    <row r="307" spans="2:33" ht="15" customHeight="1"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</row>
    <row r="308" spans="2:33" ht="15" customHeight="1"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</row>
    <row r="309" spans="2:33" ht="15" customHeight="1"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</row>
    <row r="310" spans="2:33" ht="12" customHeight="1"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</row>
    <row r="311" spans="2:33" ht="15" customHeight="1"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</row>
    <row r="312" spans="2:33" ht="15" customHeight="1"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</row>
    <row r="313" spans="2:33" ht="15" customHeight="1"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</row>
    <row r="314" spans="2:33" ht="15" customHeight="1"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</row>
    <row r="315" spans="2:33" ht="15" customHeight="1"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</row>
    <row r="316" spans="2:33" ht="15" customHeight="1"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</row>
    <row r="317" spans="2:33" ht="15" customHeight="1"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</row>
    <row r="318" spans="2:33" ht="15" customHeight="1"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</row>
    <row r="319" spans="2:33" ht="15" customHeight="1"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</row>
    <row r="320" spans="2:33" ht="15" customHeight="1"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</row>
    <row r="321" spans="2:33" ht="15" customHeight="1"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</row>
    <row r="322" spans="2:33" ht="15" customHeight="1"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</row>
    <row r="323" spans="2:33" ht="15" customHeight="1"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</row>
    <row r="324" spans="2:33" ht="15" customHeight="1"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</row>
    <row r="325" spans="2:33" ht="15" customHeight="1"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</row>
    <row r="326" spans="2:33" ht="15" customHeight="1"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</row>
    <row r="327" spans="2:33" ht="12" customHeight="1"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</row>
    <row r="328" spans="2:33" ht="15" customHeight="1"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</row>
    <row r="329" spans="2:33" ht="12" customHeight="1"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</row>
    <row r="330" spans="2:33" ht="15" customHeight="1"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</row>
    <row r="331" spans="2:33" ht="15" customHeight="1"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</row>
    <row r="332" spans="2:33" ht="15" customHeight="1"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</row>
    <row r="333" spans="2:33" ht="15" customHeight="1"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</row>
    <row r="334" spans="2:33" ht="15" customHeight="1"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 t="s">
        <v>271</v>
      </c>
      <c r="AG334" s="80"/>
    </row>
    <row r="335" spans="2:33" ht="15" customHeight="1"/>
    <row r="336" spans="2:33" ht="15" customHeight="1"/>
    <row r="337" spans="2:32" ht="15" customHeight="1"/>
    <row r="338" spans="2:32" ht="15" customHeight="1"/>
    <row r="339" spans="2:32" ht="15" customHeight="1"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  <c r="AA339" s="177"/>
      <c r="AB339" s="177"/>
      <c r="AC339" s="177"/>
      <c r="AD339" s="177"/>
      <c r="AE339" s="177"/>
      <c r="AF339" s="177"/>
    </row>
    <row r="340" spans="2:32" ht="15" customHeight="1"/>
    <row r="341" spans="2:32" ht="15" customHeight="1"/>
    <row r="342" spans="2:32" ht="15" customHeight="1"/>
    <row r="343" spans="2:32" ht="15" customHeight="1"/>
    <row r="344" spans="2:32" ht="15" customHeight="1"/>
    <row r="345" spans="2:32" ht="15" customHeight="1"/>
    <row r="346" spans="2:32" ht="15" customHeight="1"/>
    <row r="347" spans="2:32" ht="15" customHeight="1"/>
    <row r="348" spans="2:32" ht="12" customHeight="1"/>
    <row r="349" spans="2:32" ht="12" customHeight="1"/>
    <row r="350" spans="2:32" ht="12" customHeight="1"/>
    <row r="351" spans="2:32" ht="12" customHeight="1"/>
    <row r="352" spans="2:32" ht="12" customHeight="1"/>
    <row r="353" customFormat="1" ht="12" customHeight="1"/>
    <row r="354" customFormat="1" ht="12" customHeight="1"/>
    <row r="355" customFormat="1" ht="12" customHeight="1"/>
    <row r="356" customFormat="1" ht="12" customHeight="1"/>
    <row r="357" customFormat="1" ht="12" customHeight="1"/>
    <row r="358" customFormat="1" ht="12" customHeight="1"/>
    <row r="359" customFormat="1" ht="12" customHeight="1"/>
    <row r="360" customFormat="1" ht="12" customHeight="1"/>
    <row r="361" customFormat="1" ht="12" customHeight="1"/>
    <row r="362" customFormat="1" ht="12" customHeight="1"/>
    <row r="363" customFormat="1" ht="12" customHeight="1"/>
    <row r="364" customFormat="1" ht="12" customHeight="1"/>
    <row r="365" customFormat="1" ht="12" customHeight="1"/>
    <row r="366" customFormat="1" ht="12" customHeight="1"/>
    <row r="367" customFormat="1" ht="12" customHeight="1"/>
    <row r="368" customFormat="1" ht="12" customHeight="1"/>
    <row r="369" customFormat="1" ht="12" customHeight="1"/>
    <row r="370" customFormat="1" ht="12" customHeight="1"/>
    <row r="371" customFormat="1" ht="12" customHeight="1"/>
    <row r="372" customFormat="1" ht="12" customHeight="1"/>
    <row r="373" customFormat="1" ht="12" customHeight="1"/>
    <row r="374" customFormat="1" ht="12" customHeight="1"/>
    <row r="375" customFormat="1" ht="15" customHeight="1"/>
    <row r="376" customFormat="1" ht="15" customHeight="1"/>
    <row r="377" customFormat="1" ht="15" customHeight="1"/>
    <row r="378" customFormat="1" ht="15" customHeight="1"/>
    <row r="379" customFormat="1" ht="15" customHeight="1"/>
    <row r="380" customFormat="1" ht="15" customHeight="1"/>
    <row r="381" customFormat="1" ht="15" customHeight="1"/>
    <row r="382" customFormat="1" ht="15" customHeight="1"/>
    <row r="383" customFormat="1" ht="15" customHeight="1"/>
    <row r="384" customFormat="1" ht="15" customHeight="1"/>
    <row r="385" customFormat="1" ht="12" customHeight="1"/>
    <row r="386" customFormat="1" ht="15" customHeight="1"/>
    <row r="387" customFormat="1" ht="15" customHeight="1"/>
    <row r="388" customFormat="1" ht="15" customHeight="1"/>
    <row r="389" customFormat="1" ht="15" customHeight="1"/>
    <row r="390" customFormat="1" ht="15" customHeight="1"/>
    <row r="391" customFormat="1" ht="15" customHeight="1"/>
    <row r="392" customFormat="1" ht="15" customHeight="1"/>
    <row r="393" customFormat="1" ht="15" customHeight="1"/>
    <row r="394" customFormat="1" ht="15" customHeight="1"/>
    <row r="395" customFormat="1" ht="15" customHeight="1"/>
    <row r="396" customFormat="1" ht="15" customHeight="1"/>
    <row r="397" customFormat="1" ht="15" customHeight="1"/>
    <row r="398" customFormat="1" ht="15" customHeight="1"/>
    <row r="399" customFormat="1" ht="15" customHeight="1"/>
    <row r="400" customFormat="1" ht="15" customHeight="1"/>
    <row r="401" customFormat="1" ht="15" customHeight="1"/>
    <row r="402" customFormat="1" ht="12" customHeight="1"/>
    <row r="403" customFormat="1" ht="15" customHeight="1"/>
    <row r="404" customFormat="1" ht="15" customHeight="1"/>
    <row r="405" customFormat="1" ht="12" customHeight="1"/>
    <row r="406" customFormat="1" ht="15" customHeight="1"/>
    <row r="407" customFormat="1" ht="15" customHeight="1"/>
    <row r="408" customFormat="1" ht="15" customHeight="1"/>
    <row r="409" customFormat="1" ht="15" customHeight="1"/>
    <row r="410" customFormat="1" ht="15" customHeight="1"/>
    <row r="411" customFormat="1" ht="12" customHeight="1"/>
    <row r="412" customFormat="1" ht="15" customHeight="1"/>
    <row r="413" customFormat="1" ht="15" customHeight="1"/>
    <row r="414" customFormat="1" ht="15" customHeight="1"/>
    <row r="415" customFormat="1" ht="15" customHeight="1"/>
    <row r="416" customFormat="1" ht="15" customHeight="1"/>
    <row r="417" customFormat="1" ht="15" customHeight="1"/>
    <row r="418" customFormat="1" ht="15" customHeight="1"/>
    <row r="419" customFormat="1" ht="15" customHeight="1"/>
    <row r="420" customFormat="1" ht="15" customHeight="1"/>
    <row r="421" customFormat="1" ht="15" customHeight="1"/>
    <row r="422" customFormat="1" ht="15" customHeight="1"/>
    <row r="423" customFormat="1" ht="15" customHeight="1"/>
    <row r="424" customFormat="1" ht="15" customHeight="1"/>
    <row r="425" customFormat="1" ht="15" customHeight="1"/>
    <row r="426" customFormat="1" ht="15" customHeight="1"/>
    <row r="427" customFormat="1" ht="15" customHeight="1"/>
    <row r="428" customFormat="1" ht="12" customHeight="1"/>
    <row r="429" customFormat="1" ht="15" customHeight="1"/>
    <row r="430" customFormat="1" ht="15" customHeight="1"/>
    <row r="431" customFormat="1" ht="12" customHeight="1"/>
    <row r="432" customFormat="1" ht="15" customHeight="1"/>
    <row r="433" customFormat="1" ht="15" customHeight="1"/>
    <row r="434" customFormat="1" ht="15" customHeight="1"/>
    <row r="435" customFormat="1" ht="12" customHeight="1"/>
    <row r="436" customFormat="1" ht="15" customHeight="1"/>
    <row r="437" customFormat="1" ht="15" customHeight="1"/>
    <row r="438" customFormat="1" ht="15" customHeight="1"/>
    <row r="439" customFormat="1" ht="15" customHeight="1"/>
    <row r="440" customFormat="1" ht="15" customHeight="1"/>
    <row r="441" customFormat="1" ht="15" customHeight="1"/>
    <row r="442" customFormat="1" ht="15" customHeight="1"/>
    <row r="443" customFormat="1" ht="15" customHeight="1"/>
    <row r="444" customFormat="1" ht="15" customHeight="1"/>
    <row r="445" customFormat="1" ht="15" customHeight="1"/>
    <row r="446" customFormat="1" ht="12" customHeight="1"/>
    <row r="447" customFormat="1" ht="15" customHeight="1"/>
    <row r="448" customFormat="1" ht="15" customHeight="1"/>
    <row r="449" spans="2:32" ht="12" customHeight="1"/>
    <row r="450" spans="2:32" ht="15" customHeight="1"/>
    <row r="451" spans="2:32" ht="15" customHeight="1"/>
    <row r="452" spans="2:32" ht="15" customHeight="1"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  <c r="AA452" s="177"/>
      <c r="AB452" s="177"/>
      <c r="AC452" s="177"/>
      <c r="AD452" s="177"/>
      <c r="AE452" s="177"/>
      <c r="AF452" s="177"/>
    </row>
    <row r="453" spans="2:32" ht="15" customHeight="1"/>
    <row r="454" spans="2:32" ht="15" customHeight="1"/>
    <row r="455" spans="2:32" ht="15" customHeight="1"/>
    <row r="456" spans="2:32" ht="15" customHeight="1"/>
    <row r="457" spans="2:32" ht="15" customHeight="1"/>
    <row r="458" spans="2:32" ht="15" customHeight="1"/>
    <row r="459" spans="2:32" ht="15" customHeight="1"/>
    <row r="460" spans="2:32" ht="15" customHeight="1"/>
    <row r="461" spans="2:32" ht="12" customHeight="1"/>
    <row r="462" spans="2:32" ht="12" customHeight="1"/>
    <row r="463" spans="2:32" ht="12" customHeight="1"/>
    <row r="464" spans="2:32" ht="12" customHeight="1"/>
    <row r="465" customFormat="1" ht="12" customHeight="1"/>
    <row r="466" customFormat="1" ht="12" customHeight="1"/>
    <row r="467" customFormat="1" ht="12" customHeight="1"/>
    <row r="468" customFormat="1" ht="12" customHeight="1"/>
    <row r="469" customFormat="1" ht="12" customHeight="1"/>
    <row r="470" customFormat="1" ht="12" customHeight="1"/>
    <row r="471" customFormat="1" ht="12" customHeight="1"/>
    <row r="472" customFormat="1" ht="12" customHeight="1"/>
    <row r="473" customFormat="1" ht="12" customHeight="1"/>
    <row r="474" customFormat="1" ht="12" customHeight="1"/>
    <row r="475" customFormat="1" ht="12" customHeight="1"/>
    <row r="476" customFormat="1" ht="12" customHeight="1"/>
    <row r="477" customFormat="1" ht="12" customHeight="1"/>
    <row r="478" customFormat="1" ht="12" customHeight="1"/>
    <row r="479" customFormat="1" ht="12" customHeight="1"/>
    <row r="480" customFormat="1" ht="12" customHeight="1"/>
    <row r="481" customFormat="1" ht="12" customHeight="1"/>
    <row r="482" customFormat="1" ht="12" customHeight="1"/>
    <row r="483" customFormat="1" ht="12" customHeight="1"/>
    <row r="484" customFormat="1" ht="12" customHeight="1"/>
    <row r="485" customFormat="1" ht="12" customHeight="1"/>
    <row r="486" customFormat="1" ht="12" customHeight="1"/>
    <row r="487" customFormat="1" ht="12" customHeight="1"/>
    <row r="488" customFormat="1" ht="12" customHeight="1"/>
    <row r="489" customFormat="1" ht="12" customHeight="1"/>
    <row r="490" customFormat="1" ht="12" customHeight="1"/>
    <row r="491" customFormat="1" ht="12" customHeight="1"/>
    <row r="492" customFormat="1" ht="12" customHeight="1"/>
    <row r="493" customFormat="1" ht="12" customHeight="1"/>
    <row r="494" customFormat="1" ht="12" customHeight="1"/>
    <row r="495" customFormat="1" ht="12" customHeight="1"/>
    <row r="496" customFormat="1" ht="12" customHeight="1"/>
    <row r="497" customFormat="1" ht="12" customHeight="1"/>
    <row r="498" customFormat="1" ht="12" customHeight="1"/>
    <row r="499" customFormat="1" ht="12" customHeight="1"/>
    <row r="500" customFormat="1" ht="15" customHeight="1"/>
    <row r="501" customFormat="1" ht="15" customHeight="1"/>
    <row r="502" customFormat="1" ht="15" customHeight="1"/>
    <row r="503" customFormat="1" ht="15" customHeight="1"/>
    <row r="504" customFormat="1" ht="15" customHeight="1"/>
    <row r="505" customFormat="1" ht="15" customHeight="1"/>
    <row r="506" customFormat="1" ht="15" customHeight="1"/>
    <row r="507" customFormat="1" ht="15" customHeight="1"/>
    <row r="508" customFormat="1" ht="15" customHeight="1"/>
    <row r="509" customFormat="1" ht="15" customHeight="1"/>
    <row r="510" customFormat="1" ht="12" customHeight="1"/>
    <row r="511" customFormat="1" ht="15" customHeight="1"/>
    <row r="512" customFormat="1" ht="15" customHeight="1"/>
    <row r="513" customFormat="1" ht="15" customHeight="1"/>
    <row r="514" customFormat="1" ht="15" customHeight="1"/>
    <row r="515" customFormat="1" ht="15" customHeight="1"/>
    <row r="516" customFormat="1" ht="15" customHeight="1"/>
    <row r="517" customFormat="1" ht="15" customHeight="1"/>
    <row r="518" customFormat="1" ht="15" customHeight="1"/>
    <row r="519" customFormat="1" ht="15" customHeight="1"/>
    <row r="520" customFormat="1" ht="15" customHeight="1"/>
    <row r="521" customFormat="1" ht="15" customHeight="1"/>
    <row r="522" customFormat="1" ht="15" customHeight="1"/>
    <row r="523" customFormat="1" ht="15" customHeight="1"/>
    <row r="524" customFormat="1" ht="15" customHeight="1"/>
    <row r="525" customFormat="1" ht="15" customHeight="1"/>
    <row r="526" customFormat="1" ht="15" customHeight="1"/>
    <row r="527" customFormat="1" ht="12" customHeight="1"/>
    <row r="528" customFormat="1" ht="15" customHeight="1"/>
    <row r="529" customFormat="1" ht="12" customHeight="1"/>
    <row r="530" customFormat="1" ht="15" customHeight="1"/>
    <row r="531" customFormat="1" ht="15" customHeight="1"/>
    <row r="532" customFormat="1" ht="15" customHeight="1"/>
    <row r="533" customFormat="1" ht="15" customHeight="1"/>
    <row r="534" customFormat="1" ht="15" customHeight="1"/>
    <row r="535" customFormat="1" ht="12" customHeight="1"/>
    <row r="536" customFormat="1" ht="15" customHeight="1"/>
    <row r="537" customFormat="1" ht="15" customHeight="1"/>
    <row r="538" customFormat="1" ht="15" customHeight="1"/>
    <row r="539" customFormat="1" ht="15" customHeight="1"/>
    <row r="540" customFormat="1" ht="15" customHeight="1"/>
    <row r="541" customFormat="1" ht="15" customHeight="1"/>
    <row r="542" customFormat="1" ht="15" customHeight="1"/>
    <row r="543" customFormat="1" ht="15" customHeight="1"/>
    <row r="544" customFormat="1" ht="15" customHeight="1"/>
    <row r="545" customFormat="1" ht="15" customHeight="1"/>
    <row r="546" customFormat="1" ht="15" customHeight="1"/>
    <row r="547" customFormat="1" ht="15" customHeight="1"/>
    <row r="548" customFormat="1" ht="15" customHeight="1"/>
    <row r="549" customFormat="1" ht="15" customHeight="1"/>
    <row r="550" customFormat="1" ht="15" customHeight="1"/>
    <row r="551" customFormat="1" ht="15" customHeight="1"/>
    <row r="552" customFormat="1" ht="12" customHeight="1"/>
    <row r="553" customFormat="1" ht="15" customHeight="1"/>
    <row r="554" customFormat="1" ht="12" customHeight="1"/>
    <row r="555" customFormat="1" ht="15" customHeight="1"/>
    <row r="556" customFormat="1" ht="15" customHeight="1"/>
    <row r="557" customFormat="1" ht="15" customHeight="1"/>
    <row r="558" customFormat="1" ht="15" customHeight="1"/>
    <row r="559" customFormat="1" ht="15" customHeight="1"/>
    <row r="560" customFormat="1" ht="15" customHeight="1"/>
    <row r="561" spans="2:32" ht="15" customHeight="1"/>
    <row r="562" spans="2:32" ht="15" customHeight="1"/>
    <row r="563" spans="2:32" ht="15" customHeight="1"/>
    <row r="564" spans="2:32" ht="15" customHeight="1"/>
    <row r="565" spans="2:32" ht="15" customHeight="1"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  <c r="AA565" s="177"/>
      <c r="AB565" s="177"/>
      <c r="AC565" s="177"/>
      <c r="AD565" s="177"/>
      <c r="AE565" s="177"/>
      <c r="AF565" s="177"/>
    </row>
    <row r="566" spans="2:32" ht="15" customHeight="1"/>
    <row r="567" spans="2:32" ht="15" customHeight="1"/>
    <row r="568" spans="2:32" ht="15" customHeight="1"/>
    <row r="569" spans="2:32" ht="15" customHeight="1"/>
    <row r="570" spans="2:32" ht="15" customHeight="1"/>
    <row r="571" spans="2:32" ht="12" customHeight="1"/>
    <row r="572" spans="2:32" ht="12" customHeight="1"/>
    <row r="573" spans="2:32" ht="12" customHeight="1"/>
    <row r="574" spans="2:32" ht="12" customHeight="1"/>
    <row r="575" spans="2:32" ht="12" customHeight="1"/>
    <row r="576" spans="2:32" ht="12" customHeight="1"/>
    <row r="577" customFormat="1" ht="12" customHeight="1"/>
    <row r="578" customFormat="1" ht="12" customHeight="1"/>
    <row r="579" customFormat="1" ht="12" customHeight="1"/>
    <row r="580" customFormat="1" ht="12" customHeight="1"/>
    <row r="581" customFormat="1" ht="12" customHeight="1"/>
    <row r="582" customFormat="1" ht="12" customHeight="1"/>
    <row r="583" customFormat="1" ht="12" customHeight="1"/>
    <row r="584" customFormat="1" ht="12" customHeight="1"/>
    <row r="585" customFormat="1" ht="12" customHeight="1"/>
    <row r="586" customFormat="1" ht="12" customHeight="1"/>
    <row r="587" customFormat="1" ht="12" customHeight="1"/>
    <row r="588" customFormat="1" ht="12" customHeight="1"/>
    <row r="589" customFormat="1" ht="12" customHeight="1"/>
    <row r="590" customFormat="1" ht="12" customHeight="1"/>
    <row r="591" customFormat="1" ht="12" customHeight="1"/>
    <row r="592" customFormat="1" ht="12" customHeight="1"/>
    <row r="593" customFormat="1" ht="12" customHeight="1"/>
    <row r="594" customFormat="1" ht="12" customHeight="1"/>
    <row r="595" customFormat="1" ht="12" customHeight="1"/>
    <row r="596" customFormat="1" ht="12" customHeight="1"/>
    <row r="597" customFormat="1" ht="12" customHeight="1"/>
    <row r="598" customFormat="1" ht="12" customHeight="1"/>
    <row r="599" customFormat="1" ht="12" customHeight="1"/>
    <row r="600" customFormat="1" ht="15" customHeight="1"/>
    <row r="601" customFormat="1" ht="15" customHeight="1"/>
    <row r="602" customFormat="1" ht="15" customHeight="1"/>
    <row r="603" customFormat="1" ht="15" customHeight="1"/>
    <row r="604" customFormat="1" ht="15" customHeight="1"/>
    <row r="605" customFormat="1" ht="15" customHeight="1"/>
    <row r="606" customFormat="1" ht="15" customHeight="1"/>
    <row r="607" customFormat="1" ht="15" customHeight="1"/>
    <row r="608" customFormat="1" ht="15" customHeight="1"/>
    <row r="609" customFormat="1" ht="12" customHeight="1"/>
    <row r="610" customFormat="1" ht="15" customHeight="1"/>
    <row r="611" customFormat="1" ht="15" customHeight="1"/>
    <row r="612" customFormat="1" ht="15" customHeight="1"/>
    <row r="613" customFormat="1" ht="15" customHeight="1"/>
    <row r="614" customFormat="1" ht="15" customHeight="1"/>
    <row r="615" customFormat="1" ht="15" customHeight="1"/>
    <row r="616" customFormat="1" ht="15" customHeight="1"/>
    <row r="617" customFormat="1" ht="15" customHeight="1"/>
    <row r="618" customFormat="1" ht="15" customHeight="1"/>
    <row r="619" customFormat="1" ht="15" customHeight="1"/>
    <row r="620" customFormat="1" ht="15" customHeight="1"/>
    <row r="621" customFormat="1" ht="15" customHeight="1"/>
    <row r="622" customFormat="1" ht="15" customHeight="1"/>
    <row r="623" customFormat="1" ht="15" customHeight="1"/>
    <row r="624" customFormat="1" ht="15" customHeight="1"/>
    <row r="625" customFormat="1" ht="12" customHeight="1"/>
    <row r="626" customFormat="1" ht="15" customHeight="1"/>
    <row r="627" customFormat="1" ht="12" customHeight="1"/>
    <row r="628" customFormat="1" ht="15" customHeight="1"/>
    <row r="629" customFormat="1" ht="15" customHeight="1"/>
    <row r="630" customFormat="1" ht="15" customHeight="1"/>
    <row r="631" customFormat="1" ht="15" customHeight="1"/>
    <row r="632" customFormat="1" ht="12" customHeight="1"/>
    <row r="633" customFormat="1" ht="15" customHeight="1"/>
    <row r="634" customFormat="1" ht="15" customHeight="1"/>
    <row r="635" customFormat="1" ht="15" customHeight="1"/>
    <row r="636" customFormat="1" ht="15" customHeight="1"/>
    <row r="637" customFormat="1" ht="15" customHeight="1"/>
    <row r="638" customFormat="1" ht="15" customHeight="1"/>
    <row r="639" customFormat="1" ht="15" customHeight="1"/>
    <row r="640" customFormat="1" ht="15" customHeight="1"/>
    <row r="641" customFormat="1" ht="15" customHeight="1"/>
    <row r="642" customFormat="1" ht="15" customHeight="1"/>
    <row r="643" customFormat="1" ht="15" customHeight="1"/>
    <row r="644" customFormat="1" ht="15" customHeight="1"/>
    <row r="645" customFormat="1" ht="15" customHeight="1"/>
    <row r="646" customFormat="1" ht="15" customHeight="1"/>
    <row r="647" customFormat="1" ht="15" customHeight="1"/>
    <row r="648" customFormat="1" ht="12" customHeight="1"/>
    <row r="649" customFormat="1" ht="15" customHeight="1"/>
    <row r="650" customFormat="1" ht="12" customHeight="1"/>
    <row r="651" customFormat="1" ht="15" customHeight="1"/>
    <row r="652" customFormat="1" ht="12" customHeight="1"/>
    <row r="653" customFormat="1" ht="15" customHeight="1"/>
    <row r="654" customFormat="1" ht="15" customHeight="1"/>
    <row r="655" customFormat="1" ht="12" customHeight="1"/>
    <row r="656" customFormat="1" ht="15" customHeight="1"/>
    <row r="657" spans="2:32" ht="12" customHeight="1"/>
    <row r="658" spans="2:32" ht="12" customHeight="1"/>
    <row r="659" spans="2:32" ht="15" customHeight="1"/>
    <row r="660" spans="2:32" ht="12" customHeight="1"/>
    <row r="661" spans="2:32" ht="15" customHeight="1"/>
    <row r="662" spans="2:32" ht="15" customHeight="1"/>
    <row r="663" spans="2:32" ht="15" customHeight="1"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  <c r="AA663" s="177"/>
      <c r="AB663" s="177"/>
      <c r="AC663" s="177"/>
      <c r="AD663" s="177"/>
      <c r="AE663" s="177"/>
      <c r="AF663" s="177"/>
    </row>
    <row r="664" spans="2:32" ht="15" customHeight="1"/>
    <row r="665" spans="2:32" ht="15" customHeight="1"/>
    <row r="666" spans="2:32" ht="15" customHeight="1"/>
    <row r="667" spans="2:32" ht="15" customHeight="1"/>
    <row r="668" spans="2:32" ht="15" customHeight="1"/>
    <row r="669" spans="2:32" ht="12" customHeight="1"/>
    <row r="670" spans="2:32" ht="12" customHeight="1"/>
    <row r="671" spans="2:32" ht="12" customHeight="1"/>
    <row r="672" spans="2:32" ht="12" customHeight="1"/>
    <row r="673" customFormat="1" ht="12" customHeight="1"/>
    <row r="674" customFormat="1" ht="12" customHeight="1"/>
    <row r="675" customFormat="1" ht="12" customHeight="1"/>
    <row r="676" customFormat="1" ht="12" customHeight="1"/>
    <row r="677" customFormat="1" ht="12" customHeight="1"/>
    <row r="678" customFormat="1" ht="12" customHeight="1"/>
    <row r="679" customFormat="1" ht="12" customHeight="1"/>
    <row r="680" customFormat="1" ht="12" customHeight="1"/>
    <row r="681" customFormat="1" ht="12" customHeight="1"/>
    <row r="682" customFormat="1" ht="12" customHeight="1"/>
    <row r="683" customFormat="1" ht="12" customHeight="1"/>
    <row r="684" customFormat="1" ht="12" customHeight="1"/>
    <row r="685" customFormat="1" ht="12" customHeight="1"/>
    <row r="686" customFormat="1" ht="12" customHeight="1"/>
    <row r="687" customFormat="1" ht="12" customHeight="1"/>
    <row r="688" customFormat="1" ht="12" customHeight="1"/>
    <row r="689" customFormat="1" ht="12" customHeight="1"/>
    <row r="690" customFormat="1" ht="12" customHeight="1"/>
    <row r="691" customFormat="1" ht="12" customHeight="1"/>
    <row r="692" customFormat="1" ht="12" customHeight="1"/>
    <row r="693" customFormat="1" ht="12" customHeight="1"/>
    <row r="694" customFormat="1" ht="12" customHeight="1"/>
    <row r="695" customFormat="1" ht="12" customHeight="1"/>
    <row r="696" customFormat="1" ht="12" customHeight="1"/>
    <row r="697" customFormat="1" ht="12" customHeight="1"/>
    <row r="698" customFormat="1" ht="12" customHeight="1"/>
    <row r="699" customFormat="1" ht="12" customHeight="1"/>
    <row r="700" customFormat="1" ht="15" customHeight="1"/>
    <row r="701" customFormat="1" ht="15" customHeight="1"/>
    <row r="702" customFormat="1" ht="15" customHeight="1"/>
    <row r="703" customFormat="1" ht="15" customHeight="1"/>
    <row r="704" customFormat="1" ht="15" customHeight="1"/>
    <row r="705" customFormat="1" ht="15" customHeight="1"/>
    <row r="706" customFormat="1" ht="15" customHeight="1"/>
    <row r="707" customFormat="1" ht="12" customHeight="1"/>
    <row r="708" customFormat="1" ht="15" customHeight="1"/>
    <row r="709" customFormat="1" ht="15" customHeight="1"/>
    <row r="710" customFormat="1" ht="15" customHeight="1"/>
    <row r="711" customFormat="1" ht="15" customHeight="1"/>
    <row r="712" customFormat="1" ht="15" customHeight="1"/>
    <row r="713" customFormat="1" ht="15" customHeight="1"/>
    <row r="714" customFormat="1" ht="15" customHeight="1"/>
    <row r="715" customFormat="1" ht="15" customHeight="1"/>
    <row r="716" customFormat="1" ht="15" customHeight="1"/>
    <row r="717" customFormat="1" ht="15" customHeight="1"/>
    <row r="718" customFormat="1" ht="15" customHeight="1"/>
    <row r="719" customFormat="1" ht="15" customHeight="1"/>
    <row r="720" customFormat="1" ht="15" customHeight="1"/>
    <row r="721" spans="2:32" ht="15" customHeight="1"/>
    <row r="722" spans="2:32" ht="15" customHeight="1"/>
    <row r="723" spans="2:32" ht="12" customHeight="1"/>
    <row r="724" spans="2:32" ht="15" customHeight="1"/>
    <row r="725" spans="2:32" ht="15" customHeight="1"/>
    <row r="726" spans="2:32" ht="15" customHeight="1"/>
    <row r="727" spans="2:32" ht="15" customHeight="1"/>
    <row r="728" spans="2:32" ht="12" customHeight="1"/>
    <row r="729" spans="2:32" ht="15" customHeight="1"/>
    <row r="730" spans="2:32" ht="15" customHeight="1"/>
    <row r="731" spans="2:32" ht="15" customHeight="1"/>
    <row r="732" spans="2:32" ht="15" customHeight="1"/>
    <row r="733" spans="2:32" ht="15" customHeight="1"/>
    <row r="734" spans="2:32" ht="15" customHeight="1"/>
    <row r="735" spans="2:32" ht="15" customHeight="1"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  <c r="AB735" s="177"/>
      <c r="AC735" s="177"/>
      <c r="AD735" s="177"/>
      <c r="AE735" s="177"/>
      <c r="AF735" s="177"/>
    </row>
    <row r="736" spans="2:32" ht="15" customHeight="1"/>
    <row r="737" customFormat="1" ht="15" customHeight="1"/>
    <row r="738" customFormat="1" ht="15" customHeight="1"/>
    <row r="739" customFormat="1" ht="15" customHeight="1"/>
    <row r="740" customFormat="1" ht="15" customHeight="1"/>
    <row r="741" customFormat="1" ht="15" customHeight="1"/>
    <row r="742" customFormat="1" ht="12" customHeight="1"/>
    <row r="743" customFormat="1" ht="12" customHeight="1"/>
    <row r="744" customFormat="1" ht="12" customHeight="1"/>
    <row r="745" customFormat="1" ht="12" customHeight="1"/>
    <row r="746" customFormat="1" ht="12" customHeight="1"/>
    <row r="747" customFormat="1" ht="12" customHeight="1"/>
    <row r="748" customFormat="1" ht="12" customHeight="1"/>
    <row r="749" customFormat="1" ht="12" customHeight="1"/>
    <row r="750" customFormat="1" ht="12" customHeight="1"/>
    <row r="751" customFormat="1" ht="12" customHeight="1"/>
    <row r="752" customFormat="1" ht="12" customHeight="1"/>
    <row r="753" customFormat="1" ht="12" customHeight="1"/>
    <row r="754" customFormat="1" ht="12" customHeight="1"/>
    <row r="755" customFormat="1" ht="12" customHeight="1"/>
    <row r="756" customFormat="1" ht="12" customHeight="1"/>
    <row r="757" customFormat="1" ht="12" customHeight="1"/>
    <row r="758" customFormat="1" ht="12" customHeight="1"/>
    <row r="759" customFormat="1" ht="12" customHeight="1"/>
    <row r="760" customFormat="1" ht="12" customHeight="1"/>
    <row r="761" customFormat="1" ht="12" customHeight="1"/>
    <row r="762" customFormat="1" ht="12" customHeight="1"/>
    <row r="763" customFormat="1" ht="12" customHeight="1"/>
    <row r="764" customFormat="1" ht="12" customHeight="1"/>
    <row r="765" customFormat="1" ht="12" customHeight="1"/>
    <row r="766" customFormat="1" ht="12" customHeight="1"/>
    <row r="767" customFormat="1" ht="12" customHeight="1"/>
    <row r="768" customFormat="1" ht="12" customHeight="1"/>
    <row r="769" customFormat="1" ht="12" customHeight="1"/>
    <row r="770" customFormat="1" ht="12" customHeight="1"/>
    <row r="771" customFormat="1" ht="12" customHeight="1"/>
    <row r="772" customFormat="1" ht="12" customHeight="1"/>
    <row r="773" customFormat="1" ht="12" customHeight="1"/>
    <row r="774" customFormat="1" ht="12" customHeight="1"/>
    <row r="775" customFormat="1" ht="15" customHeight="1"/>
    <row r="776" customFormat="1" ht="15" customHeight="1"/>
    <row r="777" customFormat="1" ht="15" customHeight="1"/>
    <row r="778" customFormat="1" ht="15" customHeight="1"/>
    <row r="779" customFormat="1" ht="15" customHeight="1"/>
    <row r="780" customFormat="1" ht="15" customHeight="1"/>
    <row r="781" customFormat="1" ht="15" customHeight="1"/>
    <row r="782" customFormat="1" ht="15" customHeight="1"/>
    <row r="783" customFormat="1" ht="15" customHeight="1"/>
    <row r="784" customFormat="1" ht="15" customHeight="1"/>
    <row r="785" customFormat="1" ht="15" customHeight="1"/>
    <row r="786" customFormat="1" ht="15" customHeight="1"/>
    <row r="787" customFormat="1" ht="15" customHeight="1"/>
    <row r="788" customFormat="1" ht="15" customHeight="1"/>
    <row r="789" customFormat="1" ht="15" customHeight="1"/>
    <row r="790" customFormat="1" ht="15" customHeight="1"/>
    <row r="791" customFormat="1" ht="15" customHeight="1"/>
    <row r="792" customFormat="1" ht="15" customHeight="1"/>
    <row r="793" customFormat="1" ht="12" customHeight="1"/>
    <row r="794" customFormat="1" ht="15" customHeight="1"/>
    <row r="795" customFormat="1" ht="15" customHeight="1"/>
    <row r="796" customFormat="1" ht="15" customHeight="1"/>
    <row r="797" customFormat="1" ht="15" customHeight="1"/>
    <row r="798" customFormat="1" ht="15" customHeight="1"/>
    <row r="799" customFormat="1" ht="15" customHeight="1"/>
    <row r="800" customFormat="1" ht="15" customHeight="1"/>
    <row r="801" customFormat="1" ht="15" customHeight="1"/>
    <row r="802" customFormat="1" ht="15" customHeight="1"/>
    <row r="803" customFormat="1" ht="15" customHeight="1"/>
    <row r="804" customFormat="1" ht="15" customHeight="1"/>
    <row r="805" customFormat="1" ht="12" customHeight="1"/>
    <row r="806" customFormat="1" ht="15" customHeight="1"/>
    <row r="807" customFormat="1" ht="15" customHeight="1"/>
    <row r="808" customFormat="1" ht="15" customHeight="1"/>
    <row r="809" customFormat="1" ht="12" customHeight="1"/>
    <row r="810" customFormat="1" ht="15" customHeight="1"/>
    <row r="811" customFormat="1" ht="15" customHeight="1"/>
    <row r="812" customFormat="1" ht="15" customHeight="1"/>
    <row r="813" customFormat="1" ht="15" customHeight="1"/>
    <row r="814" customFormat="1" ht="15" customHeight="1"/>
    <row r="815" customFormat="1" ht="15" customHeight="1"/>
    <row r="816" customFormat="1" ht="15" customHeight="1"/>
    <row r="817" customFormat="1" ht="15" customHeight="1"/>
    <row r="818" customFormat="1" ht="15" customHeight="1"/>
    <row r="819" customFormat="1" ht="15" customHeight="1"/>
    <row r="820" customFormat="1" ht="15" customHeight="1"/>
    <row r="821" customFormat="1" ht="12" customHeight="1"/>
    <row r="822" customFormat="1" ht="15" customHeight="1"/>
    <row r="823" customFormat="1" ht="15" customHeight="1"/>
    <row r="824" customFormat="1" ht="15" customHeight="1"/>
    <row r="825" customFormat="1" ht="15" customHeight="1"/>
    <row r="826" customFormat="1" ht="15" customHeight="1"/>
    <row r="827" customFormat="1" ht="15" customHeight="1"/>
    <row r="828" customFormat="1" ht="15" customHeight="1"/>
    <row r="829" customFormat="1" ht="15" customHeight="1"/>
    <row r="830" customFormat="1" ht="15" customHeight="1"/>
    <row r="831" customFormat="1" ht="15" customHeight="1"/>
    <row r="832" customFormat="1" ht="15" customHeight="1"/>
    <row r="833" customFormat="1" ht="15" customHeight="1"/>
    <row r="834" customFormat="1" ht="15" customHeight="1"/>
    <row r="835" customFormat="1" ht="12" customHeight="1"/>
    <row r="836" customFormat="1" ht="15" customHeight="1"/>
    <row r="837" customFormat="1" ht="15" customHeight="1"/>
    <row r="838" customFormat="1" ht="15" customHeight="1"/>
    <row r="839" customFormat="1" ht="12" customHeight="1"/>
    <row r="840" customFormat="1" ht="15" customHeight="1"/>
    <row r="841" customFormat="1" ht="15" customHeight="1"/>
    <row r="842" customFormat="1" ht="15" customHeight="1"/>
    <row r="843" customFormat="1" ht="15" customHeight="1"/>
    <row r="844" customFormat="1" ht="15" customHeight="1"/>
    <row r="845" customFormat="1" ht="15" customHeight="1"/>
    <row r="846" customFormat="1" ht="15" customHeight="1"/>
    <row r="847" customFormat="1" ht="15" customHeight="1"/>
    <row r="848" customFormat="1" ht="15" customHeight="1"/>
    <row r="849" customFormat="1" ht="15" customHeight="1"/>
    <row r="850" customFormat="1" ht="12" customHeight="1"/>
    <row r="851" customFormat="1" ht="15" customHeight="1"/>
    <row r="852" customFormat="1" ht="15" customHeight="1"/>
    <row r="853" customFormat="1" ht="15" customHeight="1"/>
    <row r="854" customFormat="1" ht="15" customHeight="1"/>
    <row r="855" customFormat="1" ht="15" customHeight="1"/>
    <row r="856" customFormat="1" ht="15" customHeight="1"/>
    <row r="857" customFormat="1" ht="15" customHeight="1"/>
    <row r="858" customFormat="1" ht="15" customHeight="1"/>
    <row r="859" customFormat="1" ht="15" customHeight="1"/>
    <row r="860" customFormat="1" ht="12" customHeight="1"/>
    <row r="861" customFormat="1" ht="15" customHeight="1"/>
    <row r="862" customFormat="1" ht="15" customHeight="1"/>
    <row r="863" customFormat="1" ht="15" customHeight="1"/>
    <row r="864" customFormat="1" ht="15" customHeight="1"/>
    <row r="865" customFormat="1" ht="15" customHeight="1"/>
    <row r="866" customFormat="1" ht="15" customHeight="1"/>
    <row r="867" customFormat="1" ht="15" customHeight="1"/>
    <row r="868" customFormat="1" ht="15" customHeight="1"/>
    <row r="869" customFormat="1" ht="15" customHeight="1"/>
    <row r="870" customFormat="1" ht="15" customHeight="1"/>
    <row r="871" customFormat="1" ht="15" customHeight="1"/>
    <row r="872" customFormat="1" ht="12" customHeight="1"/>
    <row r="873" customFormat="1" ht="15" customHeight="1"/>
    <row r="874" customFormat="1" ht="15" customHeight="1"/>
    <row r="875" customFormat="1" ht="15" customHeight="1"/>
    <row r="876" customFormat="1" ht="15" customHeight="1"/>
    <row r="877" customFormat="1" ht="15" customHeight="1"/>
    <row r="878" customFormat="1" ht="15" customHeight="1"/>
    <row r="879" customFormat="1" ht="15" customHeight="1"/>
    <row r="880" customFormat="1" ht="15" customHeight="1"/>
    <row r="881" customFormat="1" ht="15" customHeight="1"/>
    <row r="882" customFormat="1" ht="15" customHeight="1"/>
    <row r="883" customFormat="1" ht="12" customHeight="1"/>
    <row r="884" customFormat="1" ht="15" customHeight="1"/>
    <row r="885" customFormat="1" ht="15" customHeight="1"/>
    <row r="886" customFormat="1" ht="15" customHeight="1"/>
    <row r="887" customFormat="1" ht="15" customHeight="1"/>
    <row r="888" customFormat="1" ht="15" customHeight="1"/>
    <row r="889" customFormat="1" ht="15" customHeight="1"/>
    <row r="890" customFormat="1" ht="15" customHeight="1"/>
    <row r="891" customFormat="1" ht="15" customHeight="1"/>
    <row r="892" customFormat="1" ht="15" customHeight="1"/>
    <row r="893" customFormat="1" ht="15" customHeight="1"/>
    <row r="894" customFormat="1" ht="15" customHeight="1"/>
    <row r="895" customFormat="1" ht="12" customHeight="1"/>
    <row r="896" customFormat="1" ht="15" customHeight="1"/>
    <row r="897" spans="2:32" ht="15" customHeight="1"/>
    <row r="898" spans="2:32" ht="15" customHeight="1"/>
    <row r="899" spans="2:32" ht="15" customHeight="1"/>
    <row r="900" spans="2:32" ht="15" customHeight="1"/>
    <row r="901" spans="2:32" ht="15" customHeight="1"/>
    <row r="902" spans="2:32" ht="15" customHeight="1"/>
    <row r="903" spans="2:32" ht="15" customHeight="1"/>
    <row r="904" spans="2:32" ht="15" customHeight="1"/>
    <row r="905" spans="2:32" ht="15" customHeight="1"/>
    <row r="906" spans="2:32" ht="12" customHeight="1"/>
    <row r="907" spans="2:32" ht="15" customHeight="1"/>
    <row r="908" spans="2:32" ht="15" customHeight="1"/>
    <row r="909" spans="2:32" ht="15" customHeight="1"/>
    <row r="910" spans="2:32" ht="15" customHeight="1"/>
    <row r="911" spans="2:32" ht="15" customHeight="1"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  <c r="AA911" s="177"/>
      <c r="AB911" s="177"/>
      <c r="AC911" s="177"/>
      <c r="AD911" s="177"/>
      <c r="AE911" s="177"/>
      <c r="AF911" s="177"/>
    </row>
    <row r="912" spans="2:32" ht="15" customHeight="1"/>
    <row r="913" customFormat="1" ht="15" customHeight="1"/>
    <row r="914" customFormat="1" ht="12" customHeight="1"/>
    <row r="915" customFormat="1" ht="12" customHeight="1"/>
    <row r="916" customFormat="1" ht="12" customHeight="1"/>
    <row r="917" customFormat="1" ht="12" customHeight="1"/>
    <row r="918" customFormat="1" ht="12" customHeight="1"/>
    <row r="919" customFormat="1" ht="12" customHeight="1"/>
    <row r="920" customFormat="1" ht="12" customHeight="1"/>
    <row r="921" customFormat="1" ht="12" customHeight="1"/>
    <row r="922" customFormat="1" ht="12" customHeight="1"/>
    <row r="923" customFormat="1" ht="12" customHeight="1"/>
    <row r="924" customFormat="1" ht="12" customHeight="1"/>
    <row r="925" customFormat="1" ht="15" customHeight="1"/>
    <row r="926" customFormat="1" ht="15" customHeight="1"/>
    <row r="927" customFormat="1" ht="15" customHeight="1"/>
    <row r="928" customFormat="1" ht="15" customHeight="1"/>
    <row r="929" customFormat="1" ht="15" customHeight="1"/>
    <row r="930" customFormat="1" ht="15" customHeight="1"/>
    <row r="931" customFormat="1" ht="15" customHeight="1"/>
    <row r="932" customFormat="1" ht="15" customHeight="1"/>
    <row r="933" customFormat="1" ht="15" customHeight="1"/>
    <row r="934" customFormat="1" ht="15" customHeight="1"/>
    <row r="935" customFormat="1" ht="12" customHeight="1"/>
    <row r="936" customFormat="1" ht="15" customHeight="1"/>
    <row r="937" customFormat="1" ht="15" customHeight="1"/>
    <row r="938" customFormat="1" ht="15" customHeight="1"/>
    <row r="939" customFormat="1" ht="15" customHeight="1"/>
    <row r="940" customFormat="1" ht="15" customHeight="1"/>
    <row r="941" customFormat="1" ht="15" customHeight="1"/>
    <row r="942" customFormat="1" ht="15" customHeight="1"/>
    <row r="943" customFormat="1" ht="15" customHeight="1"/>
    <row r="944" customFormat="1" ht="15" customHeight="1"/>
    <row r="945" customFormat="1" ht="15" customHeight="1"/>
    <row r="946" customFormat="1" ht="15" customHeight="1"/>
    <row r="947" customFormat="1" ht="15" customHeight="1"/>
    <row r="948" customFormat="1" ht="15" customHeight="1"/>
    <row r="949" customFormat="1" ht="15" customHeight="1"/>
    <row r="950" customFormat="1" ht="15" customHeight="1"/>
    <row r="951" customFormat="1" ht="15" customHeight="1"/>
    <row r="952" customFormat="1" ht="12" customHeight="1"/>
    <row r="953" customFormat="1" ht="15" customHeight="1"/>
    <row r="954" customFormat="1" ht="12" customHeight="1"/>
    <row r="955" customFormat="1" ht="15" customHeight="1"/>
    <row r="956" customFormat="1" ht="15" customHeight="1"/>
    <row r="957" customFormat="1" ht="15" customHeight="1"/>
    <row r="958" customFormat="1" ht="15" customHeight="1"/>
    <row r="959" customFormat="1" ht="15" customHeight="1"/>
    <row r="960" customFormat="1" ht="12" customHeight="1"/>
    <row r="961" customFormat="1" ht="15" customHeight="1"/>
    <row r="962" customFormat="1" ht="15" customHeight="1"/>
    <row r="963" customFormat="1" ht="15" customHeight="1"/>
    <row r="964" customFormat="1" ht="15" customHeight="1"/>
    <row r="965" customFormat="1" ht="15" customHeight="1"/>
    <row r="966" customFormat="1" ht="15" customHeight="1"/>
    <row r="967" customFormat="1" ht="15" customHeight="1"/>
    <row r="968" customFormat="1" ht="15" customHeight="1"/>
    <row r="969" customFormat="1" ht="15" customHeight="1"/>
    <row r="970" customFormat="1" ht="15" customHeight="1"/>
    <row r="971" customFormat="1" ht="15" customHeight="1"/>
    <row r="972" customFormat="1" ht="15" customHeight="1"/>
    <row r="973" customFormat="1" ht="15" customHeight="1"/>
    <row r="974" customFormat="1" ht="15" customHeight="1"/>
    <row r="975" customFormat="1" ht="15" customHeight="1"/>
    <row r="976" customFormat="1" ht="15" customHeight="1"/>
    <row r="977" customFormat="1" ht="12" customHeight="1"/>
    <row r="978" customFormat="1" ht="15" customHeight="1"/>
    <row r="979" customFormat="1" ht="12" customHeight="1"/>
    <row r="980" customFormat="1" ht="15" customHeight="1"/>
    <row r="981" customFormat="1" ht="12" customHeight="1"/>
    <row r="982" customFormat="1" ht="15" customHeight="1"/>
    <row r="983" customFormat="1" ht="15" customHeight="1"/>
    <row r="984" customFormat="1" ht="15" customHeight="1"/>
    <row r="985" customFormat="1" ht="15" customHeight="1"/>
    <row r="986" customFormat="1" ht="15" customHeight="1"/>
    <row r="987" customFormat="1" ht="15" customHeight="1"/>
    <row r="988" customFormat="1" ht="15" customHeight="1"/>
    <row r="989" customFormat="1" ht="15" customHeight="1"/>
    <row r="990" customFormat="1" ht="15" customHeight="1"/>
    <row r="991" customFormat="1" ht="15" customHeight="1"/>
    <row r="992" customFormat="1" ht="15" customHeight="1"/>
    <row r="993" spans="2:32" ht="15" customHeight="1"/>
    <row r="994" spans="2:32" ht="15" customHeight="1"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  <c r="AA994" s="177"/>
      <c r="AB994" s="177"/>
      <c r="AC994" s="177"/>
      <c r="AD994" s="177"/>
      <c r="AE994" s="177"/>
      <c r="AF994" s="177"/>
    </row>
    <row r="995" spans="2:32" ht="15" customHeight="1"/>
    <row r="996" spans="2:32" ht="15" customHeight="1"/>
    <row r="997" spans="2:32" ht="15" customHeight="1"/>
    <row r="998" spans="2:32" ht="15" customHeight="1"/>
    <row r="999" spans="2:32" ht="15" customHeight="1"/>
    <row r="1000" spans="2:32" ht="15" customHeight="1"/>
    <row r="1001" spans="2:32" ht="12" customHeight="1"/>
    <row r="1002" spans="2:32" ht="12" customHeight="1"/>
    <row r="1003" spans="2:32" ht="12" customHeight="1"/>
    <row r="1004" spans="2:32" ht="12" customHeight="1"/>
    <row r="1005" spans="2:32" ht="12" customHeight="1"/>
    <row r="1006" spans="2:32" ht="12" customHeight="1"/>
    <row r="1007" spans="2:32" ht="12" customHeight="1"/>
    <row r="1008" spans="2:32" ht="12" customHeight="1"/>
    <row r="1009" customFormat="1" ht="12" customHeight="1"/>
    <row r="1010" customFormat="1" ht="12" customHeight="1"/>
    <row r="1011" customFormat="1" ht="12" customHeight="1"/>
    <row r="1012" customFormat="1" ht="12" customHeight="1"/>
    <row r="1013" customFormat="1" ht="12" customHeight="1"/>
    <row r="1014" customFormat="1" ht="12" customHeight="1"/>
    <row r="1015" customFormat="1" ht="12" customHeight="1"/>
    <row r="1016" customFormat="1" ht="12" customHeight="1"/>
    <row r="1017" customFormat="1" ht="12" customHeight="1"/>
    <row r="1018" customFormat="1" ht="12" customHeight="1"/>
    <row r="1019" customFormat="1" ht="12" customHeight="1"/>
    <row r="1020" customFormat="1" ht="12" customHeight="1"/>
    <row r="1021" customFormat="1" ht="12" customHeight="1"/>
    <row r="1022" customFormat="1" ht="12" customHeight="1"/>
    <row r="1023" customFormat="1" ht="12" customHeight="1"/>
    <row r="1024" customFormat="1" ht="12" customHeight="1"/>
    <row r="1025" customFormat="1" ht="15" customHeight="1"/>
    <row r="1026" customFormat="1" ht="15" customHeight="1"/>
    <row r="1027" customFormat="1" ht="15" customHeight="1"/>
    <row r="1028" customFormat="1" ht="15" customHeight="1"/>
    <row r="1029" customFormat="1" ht="15" customHeight="1"/>
    <row r="1030" customFormat="1" ht="15" customHeight="1"/>
    <row r="1031" customFormat="1" ht="15" customHeight="1"/>
    <row r="1032" customFormat="1" ht="15" customHeight="1"/>
    <row r="1033" customFormat="1" ht="15" customHeight="1"/>
    <row r="1034" customFormat="1" ht="15" customHeight="1"/>
    <row r="1035" customFormat="1" ht="12" customHeight="1"/>
    <row r="1036" customFormat="1" ht="15" customHeight="1"/>
    <row r="1037" customFormat="1" ht="15" customHeight="1"/>
    <row r="1038" customFormat="1" ht="15" customHeight="1"/>
    <row r="1039" customFormat="1" ht="15" customHeight="1"/>
    <row r="1040" customFormat="1" ht="15" customHeight="1"/>
    <row r="1041" customFormat="1" ht="15" customHeight="1"/>
    <row r="1042" customFormat="1" ht="15" customHeight="1"/>
    <row r="1043" customFormat="1" ht="15" customHeight="1"/>
    <row r="1044" customFormat="1" ht="15" customHeight="1"/>
    <row r="1045" customFormat="1" ht="15" customHeight="1"/>
    <row r="1046" customFormat="1" ht="15" customHeight="1"/>
    <row r="1047" customFormat="1" ht="15" customHeight="1"/>
    <row r="1048" customFormat="1" ht="15" customHeight="1"/>
    <row r="1049" customFormat="1" ht="15" customHeight="1"/>
    <row r="1050" customFormat="1" ht="15" customHeight="1"/>
    <row r="1051" customFormat="1" ht="15" customHeight="1"/>
    <row r="1052" customFormat="1" ht="12" customHeight="1"/>
    <row r="1053" customFormat="1" ht="15" customHeight="1"/>
    <row r="1054" customFormat="1" ht="15" customHeight="1"/>
    <row r="1055" customFormat="1" ht="12" customHeight="1"/>
    <row r="1056" customFormat="1" ht="15" customHeight="1"/>
    <row r="1057" customFormat="1" ht="15" customHeight="1"/>
    <row r="1058" customFormat="1" ht="15" customHeight="1"/>
    <row r="1059" customFormat="1" ht="15" customHeight="1"/>
    <row r="1060" customFormat="1" ht="15" customHeight="1"/>
    <row r="1061" customFormat="1" ht="12" customHeight="1"/>
    <row r="1062" customFormat="1" ht="15" customHeight="1"/>
    <row r="1063" customFormat="1" ht="15" customHeight="1"/>
    <row r="1064" customFormat="1" ht="15" customHeight="1"/>
    <row r="1065" customFormat="1" ht="15" customHeight="1"/>
    <row r="1066" customFormat="1" ht="15" customHeight="1"/>
    <row r="1067" customFormat="1" ht="15" customHeight="1"/>
    <row r="1068" customFormat="1" ht="15" customHeight="1"/>
    <row r="1069" customFormat="1" ht="15" customHeight="1"/>
    <row r="1070" customFormat="1" ht="15" customHeight="1"/>
    <row r="1071" customFormat="1" ht="15" customHeight="1"/>
    <row r="1072" customFormat="1" ht="15" customHeight="1"/>
    <row r="1073" customFormat="1" ht="15" customHeight="1"/>
    <row r="1074" customFormat="1" ht="15" customHeight="1"/>
    <row r="1075" customFormat="1" ht="15" customHeight="1"/>
    <row r="1076" customFormat="1" ht="15" customHeight="1"/>
    <row r="1077" customFormat="1" ht="15" customHeight="1"/>
    <row r="1078" customFormat="1" ht="12" customHeight="1"/>
    <row r="1079" customFormat="1" ht="15" customHeight="1"/>
    <row r="1080" customFormat="1" ht="15" customHeight="1"/>
    <row r="1081" customFormat="1" ht="12" customHeight="1"/>
    <row r="1082" customFormat="1" ht="15" customHeight="1"/>
    <row r="1083" customFormat="1" ht="12" customHeight="1"/>
    <row r="1084" customFormat="1" ht="15" customHeight="1"/>
    <row r="1085" customFormat="1" ht="15" customHeight="1"/>
    <row r="1086" customFormat="1" ht="15" customHeight="1"/>
    <row r="1087" customFormat="1" ht="15" customHeight="1"/>
    <row r="1088" customFormat="1" ht="15" customHeight="1"/>
    <row r="1089" spans="2:32" ht="15" customHeight="1"/>
    <row r="1090" spans="2:32" ht="15" customHeight="1"/>
    <row r="1091" spans="2:32" ht="15" customHeight="1"/>
    <row r="1092" spans="2:32" ht="15" customHeight="1"/>
    <row r="1093" spans="2:32" ht="15" customHeight="1"/>
    <row r="1094" spans="2:32" ht="15" customHeight="1"/>
    <row r="1095" spans="2:32" ht="15" customHeight="1"/>
    <row r="1096" spans="2:32" ht="15" customHeight="1">
      <c r="B1096" s="177"/>
      <c r="C1096" s="177"/>
      <c r="D1096" s="177"/>
      <c r="E1096" s="177"/>
      <c r="F1096" s="177"/>
      <c r="G1096" s="177"/>
      <c r="H1096" s="177"/>
      <c r="I1096" s="177"/>
      <c r="J1096" s="177"/>
      <c r="K1096" s="177"/>
      <c r="L1096" s="177"/>
      <c r="M1096" s="177"/>
      <c r="N1096" s="177"/>
      <c r="O1096" s="177"/>
      <c r="P1096" s="177"/>
      <c r="Q1096" s="177"/>
      <c r="R1096" s="177"/>
      <c r="S1096" s="177"/>
      <c r="T1096" s="177"/>
      <c r="U1096" s="177"/>
      <c r="V1096" s="177"/>
      <c r="W1096" s="177"/>
      <c r="X1096" s="177"/>
      <c r="Y1096" s="177"/>
      <c r="Z1096" s="177"/>
      <c r="AA1096" s="177"/>
      <c r="AB1096" s="177"/>
      <c r="AC1096" s="177"/>
      <c r="AD1096" s="177"/>
      <c r="AE1096" s="177"/>
      <c r="AF1096" s="177"/>
    </row>
    <row r="1097" spans="2:32" ht="15" customHeight="1"/>
    <row r="1098" spans="2:32" ht="15" customHeight="1"/>
    <row r="1099" spans="2:32" ht="15" customHeight="1"/>
    <row r="1100" spans="2:32" ht="15" customHeight="1"/>
    <row r="1101" spans="2:32" ht="15" customHeight="1"/>
    <row r="1102" spans="2:32" ht="15" customHeight="1"/>
    <row r="1103" spans="2:32" ht="12" customHeight="1"/>
    <row r="1104" spans="2:32" ht="12" customHeight="1"/>
    <row r="1105" customFormat="1" ht="12" customHeight="1"/>
    <row r="1106" customFormat="1" ht="12" customHeight="1"/>
    <row r="1107" customFormat="1" ht="12" customHeight="1"/>
    <row r="1108" customFormat="1" ht="12" customHeight="1"/>
    <row r="1109" customFormat="1" ht="12" customHeight="1"/>
    <row r="1110" customFormat="1" ht="12" customHeight="1"/>
    <row r="1111" customFormat="1" ht="12" customHeight="1"/>
    <row r="1112" customFormat="1" ht="12" customHeight="1"/>
    <row r="1113" customFormat="1" ht="12" customHeight="1"/>
    <row r="1114" customFormat="1" ht="12" customHeight="1"/>
    <row r="1115" customFormat="1" ht="12" customHeight="1"/>
    <row r="1116" customFormat="1" ht="12" customHeight="1"/>
    <row r="1117" customFormat="1" ht="12" customHeight="1"/>
    <row r="1118" customFormat="1" ht="12" customHeight="1"/>
    <row r="1119" customFormat="1" ht="12" customHeight="1"/>
    <row r="1120" customFormat="1" ht="12" customHeight="1"/>
    <row r="1121" customFormat="1" ht="12" customHeight="1"/>
    <row r="1122" customFormat="1" ht="12" customHeight="1"/>
    <row r="1123" customFormat="1" ht="12" customHeight="1"/>
    <row r="1124" customFormat="1" ht="12" customHeight="1"/>
    <row r="1125" customFormat="1" ht="15" customHeight="1"/>
    <row r="1126" customFormat="1" ht="15" customHeight="1"/>
    <row r="1127" customFormat="1" ht="15" customHeight="1"/>
    <row r="1128" customFormat="1" ht="15" customHeight="1"/>
    <row r="1129" customFormat="1" ht="15" customHeight="1"/>
    <row r="1130" customFormat="1" ht="15" customHeight="1"/>
    <row r="1131" customFormat="1" ht="15" customHeight="1"/>
    <row r="1132" customFormat="1" ht="15" customHeight="1"/>
    <row r="1133" customFormat="1" ht="15" customHeight="1"/>
    <row r="1134" customFormat="1" ht="15" customHeight="1"/>
    <row r="1135" customFormat="1" ht="12" customHeight="1"/>
    <row r="1136" customFormat="1" ht="15" customHeight="1"/>
    <row r="1137" customFormat="1" ht="15" customHeight="1"/>
    <row r="1138" customFormat="1" ht="15" customHeight="1"/>
    <row r="1139" customFormat="1" ht="15" customHeight="1"/>
    <row r="1140" customFormat="1" ht="15" customHeight="1"/>
    <row r="1141" customFormat="1" ht="15" customHeight="1"/>
    <row r="1142" customFormat="1" ht="15" customHeight="1"/>
    <row r="1143" customFormat="1" ht="15" customHeight="1"/>
    <row r="1144" customFormat="1" ht="15" customHeight="1"/>
    <row r="1145" customFormat="1" ht="15" customHeight="1"/>
    <row r="1146" customFormat="1" ht="15" customHeight="1"/>
    <row r="1147" customFormat="1" ht="15" customHeight="1"/>
    <row r="1148" customFormat="1" ht="15" customHeight="1"/>
    <row r="1149" customFormat="1" ht="15" customHeight="1"/>
    <row r="1150" customFormat="1" ht="15" customHeight="1"/>
    <row r="1151" customFormat="1" ht="15" customHeight="1"/>
    <row r="1152" customFormat="1" ht="12" customHeight="1"/>
    <row r="1153" customFormat="1" ht="15" customHeight="1"/>
    <row r="1154" customFormat="1" ht="12" customHeight="1"/>
    <row r="1155" customFormat="1" ht="15" customHeight="1"/>
    <row r="1156" customFormat="1" ht="15" customHeight="1"/>
    <row r="1157" customFormat="1" ht="15" customHeight="1"/>
    <row r="1158" customFormat="1" ht="15" customHeight="1"/>
    <row r="1159" customFormat="1" ht="15" customHeight="1"/>
    <row r="1160" customFormat="1" ht="12" customHeight="1"/>
    <row r="1161" customFormat="1" ht="15" customHeight="1"/>
    <row r="1162" customFormat="1" ht="15" customHeight="1"/>
    <row r="1163" customFormat="1" ht="15" customHeight="1"/>
    <row r="1164" customFormat="1" ht="15" customHeight="1"/>
    <row r="1165" customFormat="1" ht="15" customHeight="1"/>
    <row r="1166" customFormat="1" ht="15" customHeight="1"/>
    <row r="1167" customFormat="1" ht="15" customHeight="1"/>
    <row r="1168" customFormat="1" ht="15" customHeight="1"/>
    <row r="1169" customFormat="1" ht="15" customHeight="1"/>
    <row r="1170" customFormat="1" ht="15" customHeight="1"/>
    <row r="1171" customFormat="1" ht="15" customHeight="1"/>
    <row r="1172" customFormat="1" ht="15" customHeight="1"/>
    <row r="1173" customFormat="1" ht="15" customHeight="1"/>
    <row r="1174" customFormat="1" ht="15" customHeight="1"/>
    <row r="1175" customFormat="1" ht="15" customHeight="1"/>
    <row r="1176" customFormat="1" ht="15" customHeight="1"/>
    <row r="1177" customFormat="1" ht="12" customHeight="1"/>
    <row r="1178" customFormat="1" ht="15" customHeight="1"/>
    <row r="1179" customFormat="1" ht="12" customHeight="1"/>
    <row r="1180" customFormat="1" ht="15" customHeight="1"/>
    <row r="1181" customFormat="1" ht="12" customHeight="1"/>
    <row r="1182" customFormat="1" ht="15" customHeight="1"/>
    <row r="1183" customFormat="1" ht="15" customHeight="1"/>
    <row r="1184" customFormat="1" ht="15" customHeight="1"/>
    <row r="1185" spans="2:32" ht="15" customHeight="1"/>
    <row r="1186" spans="2:32" ht="15" customHeight="1"/>
    <row r="1187" spans="2:32" ht="15" customHeight="1"/>
    <row r="1188" spans="2:32" ht="15" customHeight="1"/>
    <row r="1189" spans="2:32" ht="15" customHeight="1"/>
    <row r="1190" spans="2:32" ht="15" customHeight="1"/>
    <row r="1191" spans="2:32" ht="15" customHeight="1"/>
    <row r="1192" spans="2:32" ht="15" customHeight="1"/>
    <row r="1193" spans="2:32" ht="15" customHeight="1"/>
    <row r="1194" spans="2:32" ht="15" customHeight="1">
      <c r="B1194" s="177"/>
      <c r="C1194" s="177"/>
      <c r="D1194" s="177"/>
      <c r="E1194" s="177"/>
      <c r="F1194" s="177"/>
      <c r="G1194" s="177"/>
      <c r="H1194" s="177"/>
      <c r="I1194" s="177"/>
      <c r="J1194" s="177"/>
      <c r="K1194" s="177"/>
      <c r="L1194" s="177"/>
      <c r="M1194" s="177"/>
      <c r="N1194" s="177"/>
      <c r="O1194" s="177"/>
      <c r="P1194" s="177"/>
      <c r="Q1194" s="177"/>
      <c r="R1194" s="177"/>
      <c r="S1194" s="177"/>
      <c r="T1194" s="177"/>
      <c r="U1194" s="177"/>
      <c r="V1194" s="177"/>
      <c r="W1194" s="177"/>
      <c r="X1194" s="177"/>
      <c r="Y1194" s="177"/>
      <c r="Z1194" s="177"/>
      <c r="AA1194" s="177"/>
      <c r="AB1194" s="177"/>
      <c r="AC1194" s="177"/>
      <c r="AD1194" s="177"/>
      <c r="AE1194" s="177"/>
      <c r="AF1194" s="177"/>
    </row>
    <row r="1195" spans="2:32" ht="15" customHeight="1"/>
    <row r="1196" spans="2:32" ht="15" customHeight="1"/>
    <row r="1197" spans="2:32" ht="15" customHeight="1"/>
    <row r="1198" spans="2:32" ht="15" customHeight="1"/>
    <row r="1199" spans="2:32" ht="15" customHeight="1"/>
    <row r="1200" spans="2:32" ht="15" customHeight="1"/>
    <row r="1201" customFormat="1" ht="12" customHeight="1"/>
    <row r="1202" customFormat="1" ht="12" customHeight="1"/>
    <row r="1203" customFormat="1" ht="12" customHeight="1"/>
    <row r="1204" customFormat="1" ht="12" customHeight="1"/>
    <row r="1205" customFormat="1" ht="12" customHeight="1"/>
    <row r="1206" customFormat="1" ht="12" customHeight="1"/>
    <row r="1207" customFormat="1" ht="12" customHeight="1"/>
    <row r="1208" customFormat="1" ht="12" customHeight="1"/>
    <row r="1209" customFormat="1" ht="12" customHeight="1"/>
    <row r="1210" customFormat="1" ht="12" customHeight="1"/>
    <row r="1211" customFormat="1" ht="12" customHeight="1"/>
    <row r="1212" customFormat="1" ht="12" customHeight="1"/>
    <row r="1213" customFormat="1" ht="12" customHeight="1"/>
    <row r="1214" customFormat="1" ht="12" customHeight="1"/>
    <row r="1215" customFormat="1" ht="12" customHeight="1"/>
    <row r="1216" customFormat="1" ht="12" customHeight="1"/>
    <row r="1217" customFormat="1" ht="12" customHeight="1"/>
    <row r="1218" customFormat="1" ht="12" customHeight="1"/>
    <row r="1219" customFormat="1" ht="12" customHeight="1"/>
    <row r="1220" customFormat="1" ht="12" customHeight="1"/>
    <row r="1221" customFormat="1" ht="12" customHeight="1"/>
    <row r="1222" customFormat="1" ht="12" customHeight="1"/>
    <row r="1223" customFormat="1" ht="12" customHeight="1"/>
    <row r="1224" customFormat="1" ht="12" customHeight="1"/>
    <row r="1225" customFormat="1" ht="15" customHeight="1"/>
    <row r="1226" customFormat="1" ht="15" customHeight="1"/>
    <row r="1227" customFormat="1" ht="15" customHeight="1"/>
    <row r="1228" customFormat="1" ht="15" customHeight="1"/>
    <row r="1229" customFormat="1" ht="15" customHeight="1"/>
    <row r="1230" customFormat="1" ht="15" customHeight="1"/>
    <row r="1231" customFormat="1" ht="15" customHeight="1"/>
    <row r="1232" customFormat="1" ht="15" customHeight="1"/>
    <row r="1233" customFormat="1" ht="15" customHeight="1"/>
    <row r="1234" customFormat="1" ht="15" customHeight="1"/>
    <row r="1235" customFormat="1" ht="12" customHeight="1"/>
    <row r="1236" customFormat="1" ht="15" customHeight="1"/>
    <row r="1237" customFormat="1" ht="15" customHeight="1"/>
    <row r="1238" customFormat="1" ht="15" customHeight="1"/>
    <row r="1239" customFormat="1" ht="15" customHeight="1"/>
    <row r="1240" customFormat="1" ht="15" customHeight="1"/>
    <row r="1241" customFormat="1" ht="15" customHeight="1"/>
    <row r="1242" customFormat="1" ht="15" customHeight="1"/>
    <row r="1243" customFormat="1" ht="15" customHeight="1"/>
    <row r="1244" customFormat="1" ht="15" customHeight="1"/>
    <row r="1245" customFormat="1" ht="15" customHeight="1"/>
    <row r="1246" customFormat="1" ht="15" customHeight="1"/>
    <row r="1247" customFormat="1" ht="15" customHeight="1"/>
    <row r="1248" customFormat="1" ht="15" customHeight="1"/>
    <row r="1249" customFormat="1" ht="15" customHeight="1"/>
    <row r="1250" customFormat="1" ht="15" customHeight="1"/>
    <row r="1251" customFormat="1" ht="15" customHeight="1"/>
    <row r="1252" customFormat="1" ht="12" customHeight="1"/>
    <row r="1253" customFormat="1" ht="15" customHeight="1"/>
    <row r="1254" customFormat="1" ht="12" customHeight="1"/>
    <row r="1255" customFormat="1" ht="15" customHeight="1"/>
    <row r="1256" customFormat="1" ht="15" customHeight="1"/>
    <row r="1257" customFormat="1" ht="15" customHeight="1"/>
    <row r="1258" customFormat="1" ht="15" customHeight="1"/>
    <row r="1259" customFormat="1" ht="15" customHeight="1"/>
    <row r="1260" customFormat="1" ht="12" customHeight="1"/>
    <row r="1261" customFormat="1" ht="15" customHeight="1"/>
    <row r="1262" customFormat="1" ht="15" customHeight="1"/>
    <row r="1263" customFormat="1" ht="15" customHeight="1"/>
    <row r="1264" customFormat="1" ht="15" customHeight="1"/>
    <row r="1265" customFormat="1" ht="15" customHeight="1"/>
    <row r="1266" customFormat="1" ht="15" customHeight="1"/>
    <row r="1267" customFormat="1" ht="15" customHeight="1"/>
    <row r="1268" customFormat="1" ht="15" customHeight="1"/>
    <row r="1269" customFormat="1" ht="15" customHeight="1"/>
    <row r="1270" customFormat="1" ht="15" customHeight="1"/>
    <row r="1271" customFormat="1" ht="15" customHeight="1"/>
    <row r="1272" customFormat="1" ht="15" customHeight="1"/>
    <row r="1273" customFormat="1" ht="15" customHeight="1"/>
    <row r="1274" customFormat="1" ht="15" customHeight="1"/>
    <row r="1275" customFormat="1" ht="15" customHeight="1"/>
    <row r="1276" customFormat="1" ht="15" customHeight="1"/>
    <row r="1277" customFormat="1" ht="12" customHeight="1"/>
    <row r="1278" customFormat="1" ht="15" customHeight="1"/>
    <row r="1279" customFormat="1" ht="12" customHeight="1"/>
    <row r="1280" customFormat="1" ht="15" customHeight="1"/>
    <row r="1281" spans="2:32" ht="12" customHeight="1"/>
    <row r="1282" spans="2:32" ht="15" customHeight="1"/>
    <row r="1283" spans="2:32" ht="15" customHeight="1"/>
    <row r="1284" spans="2:32" ht="15" customHeight="1"/>
    <row r="1285" spans="2:32" ht="15" customHeight="1"/>
    <row r="1286" spans="2:32" ht="15" customHeight="1"/>
    <row r="1287" spans="2:32" ht="15" customHeight="1"/>
    <row r="1288" spans="2:32" ht="15" customHeight="1"/>
    <row r="1289" spans="2:32" ht="15" customHeight="1"/>
    <row r="1290" spans="2:32" ht="15" customHeight="1"/>
    <row r="1291" spans="2:32" ht="15" customHeight="1"/>
    <row r="1292" spans="2:32" ht="15" customHeight="1"/>
    <row r="1293" spans="2:32" ht="15" customHeight="1"/>
    <row r="1294" spans="2:32" ht="15" customHeight="1">
      <c r="B1294" s="177"/>
      <c r="C1294" s="177"/>
      <c r="D1294" s="177"/>
      <c r="E1294" s="177"/>
      <c r="F1294" s="177"/>
      <c r="G1294" s="177"/>
      <c r="H1294" s="177"/>
      <c r="I1294" s="177"/>
      <c r="J1294" s="177"/>
      <c r="K1294" s="177"/>
      <c r="L1294" s="177"/>
      <c r="M1294" s="177"/>
      <c r="N1294" s="177"/>
      <c r="O1294" s="177"/>
      <c r="P1294" s="177"/>
      <c r="Q1294" s="177"/>
      <c r="R1294" s="177"/>
      <c r="S1294" s="177"/>
      <c r="T1294" s="177"/>
      <c r="U1294" s="177"/>
      <c r="V1294" s="177"/>
      <c r="W1294" s="177"/>
      <c r="X1294" s="177"/>
      <c r="Y1294" s="177"/>
      <c r="Z1294" s="177"/>
      <c r="AA1294" s="177"/>
      <c r="AB1294" s="177"/>
      <c r="AC1294" s="177"/>
      <c r="AD1294" s="177"/>
      <c r="AE1294" s="177"/>
      <c r="AF1294" s="177"/>
    </row>
    <row r="1295" spans="2:32" ht="15" customHeight="1"/>
    <row r="1296" spans="2:32" ht="15" customHeight="1"/>
    <row r="1297" customFormat="1" ht="15" customHeight="1"/>
    <row r="1298" customFormat="1" ht="15" customHeight="1"/>
    <row r="1299" customFormat="1" ht="15" customHeight="1"/>
    <row r="1300" customFormat="1" ht="15" customHeight="1"/>
    <row r="1301" customFormat="1" ht="12" customHeight="1"/>
    <row r="1302" customFormat="1" ht="12" customHeight="1"/>
    <row r="1303" customFormat="1" ht="12" customHeight="1"/>
    <row r="1304" customFormat="1" ht="12" customHeight="1"/>
    <row r="1305" customFormat="1" ht="12" customHeight="1"/>
    <row r="1306" customFormat="1" ht="12" customHeight="1"/>
    <row r="1307" customFormat="1" ht="12" customHeight="1"/>
    <row r="1308" customFormat="1" ht="12" customHeight="1"/>
    <row r="1309" customFormat="1" ht="12" customHeight="1"/>
    <row r="1310" customFormat="1" ht="12" customHeight="1"/>
    <row r="1311" customFormat="1" ht="12" customHeight="1"/>
    <row r="1312" customFormat="1" ht="12" customHeight="1"/>
    <row r="1313" customFormat="1" ht="12" customHeight="1"/>
    <row r="1314" customFormat="1" ht="12" customHeight="1"/>
    <row r="1315" customFormat="1" ht="12" customHeight="1"/>
    <row r="1316" customFormat="1" ht="12" customHeight="1"/>
    <row r="1317" customFormat="1" ht="12" customHeight="1"/>
    <row r="1318" customFormat="1" ht="12" customHeight="1"/>
    <row r="1319" customFormat="1" ht="12" customHeight="1"/>
    <row r="1320" customFormat="1" ht="12" customHeight="1"/>
    <row r="1321" customFormat="1" ht="12" customHeight="1"/>
    <row r="1322" customFormat="1" ht="12" customHeight="1"/>
    <row r="1323" customFormat="1" ht="12" customHeight="1"/>
    <row r="1324" customFormat="1" ht="12" customHeight="1"/>
    <row r="1325" customFormat="1" ht="15" customHeight="1"/>
    <row r="1326" customFormat="1" ht="15" customHeight="1"/>
    <row r="1327" customFormat="1" ht="15" customHeight="1"/>
    <row r="1328" customFormat="1" ht="15" customHeight="1"/>
    <row r="1329" customFormat="1" ht="15" customHeight="1"/>
    <row r="1330" customFormat="1" ht="15" customHeight="1"/>
    <row r="1331" customFormat="1" ht="12" customHeight="1"/>
    <row r="1332" customFormat="1" ht="15" customHeight="1"/>
    <row r="1333" customFormat="1" ht="15" customHeight="1"/>
    <row r="1334" customFormat="1" ht="15" customHeight="1"/>
    <row r="1335" customFormat="1" ht="12" customHeight="1"/>
    <row r="1336" customFormat="1" ht="15" customHeight="1"/>
    <row r="1337" customFormat="1" ht="15" customHeight="1"/>
    <row r="1338" customFormat="1" ht="15" customHeight="1"/>
    <row r="1339" customFormat="1" ht="15" customHeight="1"/>
    <row r="1340" customFormat="1" ht="15" customHeight="1"/>
    <row r="1341" customFormat="1" ht="15" customHeight="1"/>
    <row r="1342" customFormat="1" ht="15" customHeight="1"/>
    <row r="1343" customFormat="1" ht="15" customHeight="1"/>
    <row r="1344" customFormat="1" ht="15" customHeight="1"/>
    <row r="1345" customFormat="1" ht="15" customHeight="1"/>
    <row r="1346" customFormat="1" ht="15" customHeight="1"/>
    <row r="1347" customFormat="1" ht="15" customHeight="1"/>
    <row r="1348" customFormat="1" ht="15" customHeight="1"/>
    <row r="1349" customFormat="1" ht="15" customHeight="1"/>
    <row r="1350" customFormat="1" ht="15" customHeight="1"/>
    <row r="1351" customFormat="1" ht="15" customHeight="1"/>
    <row r="1352" customFormat="1" ht="15" customHeight="1"/>
    <row r="1353" customFormat="1" ht="15" customHeight="1"/>
    <row r="1354" customFormat="1" ht="12" customHeight="1"/>
    <row r="1355" customFormat="1" ht="15" customHeight="1"/>
    <row r="1356" customFormat="1" ht="15" customHeight="1"/>
    <row r="1357" customFormat="1" ht="15" customHeight="1"/>
    <row r="1358" customFormat="1" ht="15" customHeight="1"/>
    <row r="1359" customFormat="1" ht="15" customHeight="1"/>
    <row r="1360" customFormat="1" ht="15" customHeight="1"/>
    <row r="1361" customFormat="1" ht="15" customHeight="1"/>
    <row r="1362" customFormat="1" ht="15" customHeight="1"/>
    <row r="1363" customFormat="1" ht="15" customHeight="1"/>
    <row r="1364" customFormat="1" ht="15" customHeight="1"/>
    <row r="1365" customFormat="1" ht="15" customHeight="1"/>
    <row r="1366" customFormat="1" ht="15" customHeight="1"/>
    <row r="1367" customFormat="1" ht="15" customHeight="1"/>
    <row r="1368" customFormat="1" ht="15" customHeight="1"/>
    <row r="1369" customFormat="1" ht="15" customHeight="1"/>
    <row r="1370" customFormat="1" ht="15" customHeight="1"/>
    <row r="1371" customFormat="1" ht="15" customHeight="1"/>
    <row r="1372" customFormat="1" ht="15" customHeight="1"/>
    <row r="1373" customFormat="1" ht="15" customHeight="1"/>
    <row r="1374" customFormat="1" ht="15" customHeight="1"/>
    <row r="1375" customFormat="1" ht="15" customHeight="1"/>
    <row r="1376" customFormat="1" ht="15" customHeight="1"/>
    <row r="1377" customFormat="1" ht="15" customHeight="1"/>
    <row r="1378" customFormat="1" ht="15" customHeight="1"/>
    <row r="1379" customFormat="1" ht="15" customHeight="1"/>
    <row r="1380" customFormat="1" ht="15" customHeight="1"/>
    <row r="1381" customFormat="1" ht="15" customHeight="1"/>
    <row r="1382" customFormat="1" ht="15" customHeight="1"/>
    <row r="1383" customFormat="1" ht="15" customHeight="1"/>
    <row r="1384" customFormat="1" ht="15" customHeight="1"/>
    <row r="1385" customFormat="1" ht="15" customHeight="1"/>
    <row r="1386" customFormat="1" ht="15" customHeight="1"/>
    <row r="1387" customFormat="1" ht="15" customHeight="1"/>
    <row r="1388" customFormat="1" ht="15" customHeight="1"/>
    <row r="1389" customFormat="1" ht="15" customHeight="1"/>
    <row r="1390" customFormat="1" ht="15" customHeight="1"/>
    <row r="1391" customFormat="1" ht="15" customHeight="1"/>
    <row r="1392" customFormat="1" ht="15" customHeight="1"/>
    <row r="1393" customFormat="1" ht="15" customHeight="1"/>
    <row r="1394" customFormat="1" ht="12" customHeight="1"/>
    <row r="1395" customFormat="1" ht="15" customHeight="1"/>
    <row r="1396" customFormat="1" ht="15" customHeight="1"/>
    <row r="1397" customFormat="1" ht="15" customHeight="1"/>
    <row r="1398" customFormat="1" ht="15" customHeight="1"/>
    <row r="1399" customFormat="1" ht="15" customHeight="1"/>
    <row r="1400" customFormat="1" ht="15" customHeight="1"/>
    <row r="1401" customFormat="1" ht="15" customHeight="1"/>
    <row r="1402" customFormat="1" ht="15" customHeight="1"/>
    <row r="1403" customFormat="1" ht="15" customHeight="1"/>
    <row r="1404" customFormat="1" ht="15" customHeight="1"/>
    <row r="1405" customFormat="1" ht="15" customHeight="1"/>
    <row r="1406" customFormat="1" ht="15" customHeight="1"/>
    <row r="1407" customFormat="1" ht="15" customHeight="1"/>
    <row r="1408" customFormat="1" ht="15" customHeight="1"/>
    <row r="1409" customFormat="1" ht="15" customHeight="1"/>
    <row r="1410" customFormat="1" ht="15" customHeight="1"/>
    <row r="1411" customFormat="1" ht="15" customHeight="1"/>
    <row r="1412" customFormat="1" ht="15" customHeight="1"/>
    <row r="1413" customFormat="1" ht="15" customHeight="1"/>
    <row r="1414" customFormat="1" ht="15" customHeight="1"/>
    <row r="1415" customFormat="1" ht="12" customHeight="1"/>
    <row r="1416" customFormat="1" ht="15" customHeight="1"/>
    <row r="1417" customFormat="1" ht="15" customHeight="1"/>
    <row r="1418" customFormat="1" ht="15" customHeight="1"/>
    <row r="1419" customFormat="1" ht="15" customHeight="1"/>
    <row r="1420" customFormat="1" ht="15" customHeight="1"/>
    <row r="1421" customFormat="1" ht="15" customHeight="1"/>
    <row r="1422" customFormat="1" ht="15" customHeight="1"/>
    <row r="1423" customFormat="1" ht="15" customHeight="1"/>
    <row r="1424" customFormat="1" ht="15" customHeight="1"/>
    <row r="1425" customFormat="1" ht="15" customHeight="1"/>
    <row r="1426" customFormat="1" ht="15" customHeight="1"/>
    <row r="1427" customFormat="1" ht="15" customHeight="1"/>
    <row r="1428" customFormat="1" ht="15" customHeight="1"/>
    <row r="1429" customFormat="1" ht="15" customHeight="1"/>
    <row r="1430" customFormat="1" ht="15" customHeight="1"/>
    <row r="1431" customFormat="1" ht="15" customHeight="1"/>
    <row r="1432" customFormat="1" ht="15" customHeight="1"/>
    <row r="1433" customFormat="1" ht="15" customHeight="1"/>
    <row r="1434" customFormat="1" ht="15" customHeight="1"/>
    <row r="1435" customFormat="1" ht="15" customHeight="1"/>
    <row r="1436" customFormat="1" ht="15" customHeight="1"/>
    <row r="1437" customFormat="1" ht="15" customHeight="1"/>
    <row r="1438" customFormat="1" ht="15" customHeight="1"/>
    <row r="1439" customFormat="1" ht="15" customHeight="1"/>
    <row r="1440" customFormat="1" ht="15" customHeight="1"/>
    <row r="1441" customFormat="1" ht="15" customHeight="1"/>
    <row r="1442" customFormat="1" ht="15" customHeight="1"/>
    <row r="1443" customFormat="1" ht="15" customHeight="1"/>
    <row r="1444" customFormat="1" ht="15" customHeight="1"/>
    <row r="1445" customFormat="1" ht="15" customHeight="1"/>
    <row r="1446" customFormat="1" ht="15" customHeight="1"/>
    <row r="1447" customFormat="1" ht="15" customHeight="1"/>
    <row r="1448" customFormat="1" ht="15" customHeight="1"/>
    <row r="1449" customFormat="1" ht="15" customHeight="1"/>
    <row r="1450" customFormat="1" ht="15" customHeight="1"/>
    <row r="1451" customFormat="1" ht="15" customHeight="1"/>
    <row r="1452" customFormat="1" ht="15" customHeight="1"/>
    <row r="1453" customFormat="1" ht="15" customHeight="1"/>
    <row r="1454" customFormat="1" ht="15" customHeight="1"/>
    <row r="1455" customFormat="1" ht="15" customHeight="1"/>
    <row r="1456" customFormat="1" ht="15" customHeight="1"/>
    <row r="1457" customFormat="1" ht="15" customHeight="1"/>
    <row r="1458" customFormat="1" ht="15" customHeight="1"/>
    <row r="1459" customFormat="1" ht="15" customHeight="1"/>
    <row r="1460" customFormat="1" ht="15" customHeight="1"/>
    <row r="1461" customFormat="1" ht="15" customHeight="1"/>
    <row r="1462" customFormat="1" ht="15" customHeight="1"/>
    <row r="1463" customFormat="1" ht="15" customHeight="1"/>
    <row r="1464" customFormat="1" ht="15" customHeight="1"/>
    <row r="1465" customFormat="1" ht="15" customHeight="1"/>
    <row r="1466" customFormat="1" ht="15" customHeight="1"/>
    <row r="1467" customFormat="1" ht="15" customHeight="1"/>
    <row r="1468" customFormat="1" ht="15" customHeight="1"/>
    <row r="1469" customFormat="1" ht="15" customHeight="1"/>
    <row r="1470" customFormat="1" ht="15" customHeight="1"/>
    <row r="1471" customFormat="1" ht="15" customHeight="1"/>
    <row r="1472" customFormat="1" ht="15" customHeight="1"/>
    <row r="1473" customFormat="1" ht="15" customHeight="1"/>
    <row r="1474" customFormat="1" ht="15" customHeight="1"/>
    <row r="1475" customFormat="1" ht="15" customHeight="1"/>
    <row r="1476" customFormat="1" ht="15" customHeight="1"/>
    <row r="1477" customFormat="1" ht="15" customHeight="1"/>
    <row r="1478" customFormat="1" ht="15" customHeight="1"/>
    <row r="1479" customFormat="1" ht="15" customHeight="1"/>
    <row r="1480" customFormat="1" ht="15" customHeight="1"/>
    <row r="1481" customFormat="1" ht="15" customHeight="1"/>
    <row r="1482" customFormat="1" ht="15" customHeight="1"/>
    <row r="1483" customFormat="1" ht="15" customHeight="1"/>
    <row r="1484" customFormat="1" ht="15" customHeight="1"/>
    <row r="1485" customFormat="1" ht="12" customHeight="1"/>
    <row r="1486" customFormat="1" ht="15" customHeight="1"/>
    <row r="1487" customFormat="1" ht="15" customHeight="1"/>
    <row r="1488" customFormat="1" ht="15" customHeight="1"/>
    <row r="1489" customFormat="1" ht="15" customHeight="1"/>
    <row r="1490" customFormat="1" ht="15" customHeight="1"/>
    <row r="1491" customFormat="1" ht="15" customHeight="1"/>
    <row r="1492" customFormat="1" ht="15" customHeight="1"/>
    <row r="1493" customFormat="1" ht="15" customHeight="1"/>
    <row r="1494" customFormat="1" ht="15" customHeight="1"/>
    <row r="1495" customFormat="1" ht="15" customHeight="1"/>
    <row r="1496" customFormat="1" ht="15" customHeight="1"/>
    <row r="1497" customFormat="1" ht="15" customHeight="1"/>
    <row r="1498" customFormat="1" ht="15" customHeight="1"/>
    <row r="1499" customFormat="1" ht="15" customHeight="1"/>
    <row r="1500" customFormat="1" ht="15" customHeight="1"/>
    <row r="1501" customFormat="1" ht="15" customHeight="1"/>
    <row r="1502" customFormat="1" ht="15" customHeight="1"/>
    <row r="1503" customFormat="1" ht="15" customHeight="1"/>
    <row r="1504" customFormat="1" ht="15" customHeight="1"/>
    <row r="1505" customFormat="1" ht="15" customHeight="1"/>
    <row r="1506" customFormat="1" ht="15" customHeight="1"/>
    <row r="1507" customFormat="1" ht="15" customHeight="1"/>
    <row r="1508" customFormat="1" ht="15" customHeight="1"/>
    <row r="1509" customFormat="1" ht="15" customHeight="1"/>
    <row r="1510" customFormat="1" ht="15" customHeight="1"/>
    <row r="1511" customFormat="1" ht="15" customHeight="1"/>
    <row r="1512" customFormat="1" ht="15" customHeight="1"/>
    <row r="1513" customFormat="1" ht="15" customHeight="1"/>
    <row r="1514" customFormat="1" ht="15" customHeight="1"/>
    <row r="1515" customFormat="1" ht="15" customHeight="1"/>
    <row r="1516" customFormat="1" ht="15" customHeight="1"/>
    <row r="1517" customFormat="1" ht="15" customHeight="1"/>
    <row r="1518" customFormat="1" ht="15" customHeight="1"/>
    <row r="1519" customFormat="1" ht="15" customHeight="1"/>
    <row r="1520" customFormat="1" ht="15" customHeight="1"/>
    <row r="1521" customFormat="1" ht="15" customHeight="1"/>
    <row r="1522" customFormat="1" ht="15" customHeight="1"/>
    <row r="1523" customFormat="1" ht="15" customHeight="1"/>
    <row r="1524" customFormat="1" ht="15" customHeight="1"/>
    <row r="1525" customFormat="1" ht="15" customHeight="1"/>
    <row r="1526" customFormat="1" ht="15" customHeight="1"/>
    <row r="1527" customFormat="1" ht="15" customHeight="1"/>
    <row r="1528" customFormat="1" ht="15" customHeight="1"/>
    <row r="1529" customFormat="1" ht="15" customHeight="1"/>
    <row r="1530" customFormat="1" ht="15" customHeight="1"/>
    <row r="1531" customFormat="1" ht="15" customHeight="1"/>
    <row r="1532" customFormat="1" ht="15" customHeight="1"/>
    <row r="1533" customFormat="1" ht="15" customHeight="1"/>
    <row r="1534" customFormat="1" ht="15" customHeight="1"/>
    <row r="1535" customFormat="1" ht="15" customHeight="1"/>
    <row r="1536" customFormat="1" ht="15" customHeight="1"/>
    <row r="1537" customFormat="1" ht="15" customHeight="1"/>
    <row r="1538" customFormat="1" ht="15" customHeight="1"/>
    <row r="1539" customFormat="1" ht="15" customHeight="1"/>
    <row r="1540" customFormat="1" ht="15" customHeight="1"/>
    <row r="1541" customFormat="1" ht="15" customHeight="1"/>
    <row r="1542" customFormat="1" ht="15" customHeight="1"/>
    <row r="1543" customFormat="1" ht="15" customHeight="1"/>
    <row r="1544" customFormat="1" ht="15" customHeight="1"/>
    <row r="1545" customFormat="1" ht="15" customHeight="1"/>
    <row r="1546" customFormat="1" ht="15" customHeight="1"/>
    <row r="1547" customFormat="1" ht="15" customHeight="1"/>
    <row r="1548" customFormat="1" ht="15" customHeight="1"/>
    <row r="1549" customFormat="1" ht="15" customHeight="1"/>
    <row r="1550" customFormat="1" ht="15" customHeight="1"/>
    <row r="1551" customFormat="1" ht="15" customHeight="1"/>
    <row r="1552" customFormat="1" ht="15" customHeight="1"/>
    <row r="1553" customFormat="1" ht="15" customHeight="1"/>
    <row r="1554" customFormat="1" ht="15" customHeight="1"/>
    <row r="1555" customFormat="1" ht="12" customHeight="1"/>
    <row r="1556" customFormat="1" ht="15" customHeight="1"/>
    <row r="1557" customFormat="1" ht="15" customHeight="1"/>
    <row r="1558" customFormat="1" ht="15" customHeight="1"/>
    <row r="1559" customFormat="1" ht="15" customHeight="1"/>
    <row r="1560" customFormat="1" ht="15" customHeight="1"/>
    <row r="1561" customFormat="1" ht="15" customHeight="1"/>
    <row r="1562" customFormat="1" ht="15" customHeight="1"/>
    <row r="1563" customFormat="1" ht="15" customHeight="1"/>
    <row r="1564" customFormat="1" ht="15" customHeight="1"/>
    <row r="1565" customFormat="1" ht="15" customHeight="1"/>
    <row r="1566" customFormat="1" ht="15" customHeight="1"/>
    <row r="1567" customFormat="1" ht="12" customHeight="1"/>
    <row r="1568" customFormat="1" ht="15" customHeight="1"/>
    <row r="1569" customFormat="1" ht="15" customHeight="1"/>
    <row r="1570" customFormat="1" ht="15" customHeight="1"/>
    <row r="1571" customFormat="1" ht="15" customHeight="1"/>
    <row r="1572" customFormat="1" ht="15" customHeight="1"/>
    <row r="1573" customFormat="1" ht="15" customHeight="1"/>
    <row r="1574" customFormat="1" ht="15" customHeight="1"/>
    <row r="1575" customFormat="1" ht="15" customHeight="1"/>
    <row r="1576" customFormat="1" ht="15" customHeight="1"/>
    <row r="1577" customFormat="1" ht="15" customHeight="1"/>
    <row r="1578" customFormat="1" ht="15" customHeight="1"/>
    <row r="1579" customFormat="1" ht="15" customHeight="1"/>
    <row r="1580" customFormat="1" ht="15" customHeight="1"/>
    <row r="1581" customFormat="1" ht="15" customHeight="1"/>
    <row r="1582" customFormat="1" ht="15" customHeight="1"/>
    <row r="1583" customFormat="1" ht="15" customHeight="1"/>
    <row r="1584" customFormat="1" ht="15" customHeight="1"/>
    <row r="1585" spans="2:32" ht="15" customHeight="1"/>
    <row r="1586" spans="2:32" ht="15" customHeight="1"/>
    <row r="1587" spans="2:32" ht="15" customHeight="1"/>
    <row r="1588" spans="2:32" ht="15" customHeight="1"/>
    <row r="1589" spans="2:32" ht="15" customHeight="1"/>
    <row r="1590" spans="2:32" ht="15" customHeight="1">
      <c r="B1590" s="177"/>
      <c r="C1590" s="177"/>
      <c r="D1590" s="177"/>
      <c r="E1590" s="177"/>
      <c r="F1590" s="177"/>
      <c r="G1590" s="177"/>
      <c r="H1590" s="177"/>
      <c r="I1590" s="177"/>
      <c r="J1590" s="177"/>
      <c r="K1590" s="177"/>
      <c r="L1590" s="177"/>
      <c r="M1590" s="177"/>
      <c r="N1590" s="177"/>
      <c r="O1590" s="177"/>
      <c r="P1590" s="177"/>
      <c r="Q1590" s="177"/>
      <c r="R1590" s="177"/>
      <c r="S1590" s="177"/>
      <c r="T1590" s="177"/>
      <c r="U1590" s="177"/>
      <c r="V1590" s="177"/>
      <c r="W1590" s="177"/>
      <c r="X1590" s="177"/>
      <c r="Y1590" s="177"/>
      <c r="Z1590" s="177"/>
      <c r="AA1590" s="177"/>
      <c r="AB1590" s="177"/>
      <c r="AC1590" s="177"/>
      <c r="AD1590" s="177"/>
      <c r="AE1590" s="177"/>
      <c r="AF1590" s="177"/>
    </row>
    <row r="1591" spans="2:32" ht="15" customHeight="1"/>
    <row r="1592" spans="2:32" ht="15" customHeight="1"/>
    <row r="1593" spans="2:32" ht="15" customHeight="1"/>
    <row r="1594" spans="2:32" ht="15" customHeight="1"/>
    <row r="1595" spans="2:32" ht="15" customHeight="1"/>
    <row r="1596" spans="2:32" ht="15" customHeight="1"/>
    <row r="1597" spans="2:32" ht="15" customHeight="1"/>
    <row r="1598" spans="2:32" ht="15" customHeight="1"/>
    <row r="1599" spans="2:32" ht="12" customHeight="1"/>
    <row r="1600" spans="2:32" ht="12" customHeight="1"/>
    <row r="1601" customFormat="1" ht="12" customHeight="1"/>
    <row r="1602" customFormat="1" ht="12" customHeight="1"/>
    <row r="1603" customFormat="1" ht="12" customHeight="1"/>
    <row r="1604" customFormat="1" ht="12" customHeight="1"/>
    <row r="1605" customFormat="1" ht="12" customHeight="1"/>
    <row r="1606" customFormat="1" ht="12" customHeight="1"/>
    <row r="1607" customFormat="1" ht="12" customHeight="1"/>
    <row r="1608" customFormat="1" ht="12" customHeight="1"/>
    <row r="1609" customFormat="1" ht="12" customHeight="1"/>
    <row r="1610" customFormat="1" ht="12" customHeight="1"/>
    <row r="1611" customFormat="1" ht="12" customHeight="1"/>
    <row r="1612" customFormat="1" ht="12" customHeight="1"/>
    <row r="1613" customFormat="1" ht="12" customHeight="1"/>
    <row r="1614" customFormat="1" ht="12" customHeight="1"/>
    <row r="1615" customFormat="1" ht="12" customHeight="1"/>
    <row r="1616" customFormat="1" ht="12" customHeight="1"/>
    <row r="1617" customFormat="1" ht="12" customHeight="1"/>
    <row r="1618" customFormat="1" ht="12" customHeight="1"/>
    <row r="1619" customFormat="1" ht="12" customHeight="1"/>
    <row r="1620" customFormat="1" ht="12" customHeight="1"/>
    <row r="1621" customFormat="1" ht="12" customHeight="1"/>
    <row r="1622" customFormat="1" ht="12" customHeight="1"/>
    <row r="1623" customFormat="1" ht="12" customHeight="1"/>
    <row r="1624" customFormat="1" ht="12" customHeight="1"/>
    <row r="1625" customFormat="1" ht="15" customHeight="1"/>
    <row r="1626" customFormat="1" ht="15" customHeight="1"/>
    <row r="1627" customFormat="1" ht="15" customHeight="1"/>
    <row r="1628" customFormat="1" ht="15" customHeight="1"/>
    <row r="1629" customFormat="1" ht="15" customHeight="1"/>
    <row r="1630" customFormat="1" ht="15" customHeight="1"/>
    <row r="1631" customFormat="1" ht="15" customHeight="1"/>
    <row r="1632" customFormat="1" ht="15" customHeight="1"/>
    <row r="1633" customFormat="1" ht="15" customHeight="1"/>
    <row r="1634" customFormat="1" ht="15" customHeight="1"/>
    <row r="1635" customFormat="1" ht="15" customHeight="1"/>
    <row r="1636" customFormat="1" ht="15" customHeight="1"/>
    <row r="1637" customFormat="1" ht="15" customHeight="1"/>
    <row r="1638" customFormat="1" ht="15" customHeight="1"/>
    <row r="1639" customFormat="1" ht="15" customHeight="1"/>
    <row r="1640" customFormat="1" ht="15" customHeight="1"/>
    <row r="1641" customFormat="1" ht="15" customHeight="1"/>
    <row r="1642" customFormat="1" ht="15" customHeight="1"/>
    <row r="1643" customFormat="1" ht="15" customHeight="1"/>
    <row r="1644" customFormat="1" ht="15" customHeight="1"/>
    <row r="1645" customFormat="1" ht="15" customHeight="1"/>
    <row r="1646" customFormat="1" ht="15" customHeight="1"/>
    <row r="1647" customFormat="1" ht="15" customHeight="1"/>
    <row r="1648" customFormat="1" ht="15" customHeight="1"/>
    <row r="1649" customFormat="1" ht="15" customHeight="1"/>
    <row r="1650" customFormat="1" ht="15" customHeight="1"/>
    <row r="1651" customFormat="1" ht="15" customHeight="1"/>
    <row r="1652" customFormat="1" ht="15" customHeight="1"/>
    <row r="1653" customFormat="1" ht="15" customHeight="1"/>
    <row r="1654" customFormat="1" ht="15" customHeight="1"/>
    <row r="1655" customFormat="1" ht="15" customHeight="1"/>
    <row r="1656" customFormat="1" ht="15" customHeight="1"/>
    <row r="1657" customFormat="1" ht="15" customHeight="1"/>
    <row r="1658" customFormat="1" ht="15" customHeight="1"/>
    <row r="1659" customFormat="1" ht="15" customHeight="1"/>
    <row r="1660" customFormat="1" ht="15" customHeight="1"/>
    <row r="1661" customFormat="1" ht="15" customHeight="1"/>
    <row r="1662" customFormat="1" ht="15" customHeight="1"/>
    <row r="1663" customFormat="1" ht="15" customHeight="1"/>
    <row r="1664" customFormat="1" ht="15" customHeight="1"/>
    <row r="1665" customFormat="1" ht="15" customHeight="1"/>
    <row r="1666" customFormat="1" ht="15" customHeight="1"/>
    <row r="1667" customFormat="1" ht="15" customHeight="1"/>
    <row r="1668" customFormat="1" ht="15" customHeight="1"/>
    <row r="1669" customFormat="1" ht="15" customHeight="1"/>
    <row r="1670" customFormat="1" ht="15" customHeight="1"/>
    <row r="1671" customFormat="1" ht="15" customHeight="1"/>
    <row r="1672" customFormat="1" ht="15" customHeight="1"/>
    <row r="1673" customFormat="1" ht="15" customHeight="1"/>
    <row r="1674" customFormat="1" ht="15" customHeight="1"/>
    <row r="1675" customFormat="1" ht="15" customHeight="1"/>
    <row r="1676" customFormat="1" ht="15" customHeight="1"/>
    <row r="1677" customFormat="1" ht="15" customHeight="1"/>
    <row r="1678" customFormat="1" ht="15" customHeight="1"/>
    <row r="1679" customFormat="1" ht="15" customHeight="1"/>
    <row r="1680" customFormat="1" ht="15" customHeight="1"/>
    <row r="1681" customFormat="1" ht="15" customHeight="1"/>
    <row r="1682" customFormat="1" ht="15" customHeight="1"/>
    <row r="1683" customFormat="1" ht="15" customHeight="1"/>
    <row r="1684" customFormat="1" ht="12" customHeight="1"/>
    <row r="1685" customFormat="1" ht="12" customHeight="1"/>
    <row r="1686" customFormat="1" ht="15" customHeight="1"/>
    <row r="1687" customFormat="1" ht="15" customHeight="1"/>
    <row r="1688" customFormat="1" ht="15" customHeight="1"/>
    <row r="1689" customFormat="1" ht="15" customHeight="1"/>
    <row r="1690" customFormat="1" ht="15" customHeight="1"/>
    <row r="1691" customFormat="1" ht="15" customHeight="1"/>
    <row r="1692" customFormat="1" ht="15" customHeight="1"/>
    <row r="1693" customFormat="1" ht="15" customHeight="1"/>
    <row r="1694" customFormat="1" ht="15" customHeight="1"/>
    <row r="1695" customFormat="1" ht="15" customHeight="1"/>
    <row r="1696" customFormat="1" ht="15" customHeight="1"/>
    <row r="1697" customFormat="1" ht="15" customHeight="1"/>
    <row r="1698" customFormat="1" ht="15" customHeight="1"/>
    <row r="1699" customFormat="1" ht="15" customHeight="1"/>
    <row r="1700" customFormat="1" ht="15" customHeight="1"/>
    <row r="1701" customFormat="1" ht="15" customHeight="1"/>
    <row r="1702" customFormat="1" ht="15" customHeight="1"/>
    <row r="1703" customFormat="1" ht="15" customHeight="1"/>
    <row r="1704" customFormat="1" ht="15" customHeight="1"/>
    <row r="1705" customFormat="1" ht="15" customHeight="1"/>
    <row r="1706" customFormat="1" ht="15" customHeight="1"/>
    <row r="1707" customFormat="1" ht="15" customHeight="1"/>
    <row r="1708" customFormat="1" ht="15" customHeight="1"/>
    <row r="1709" customFormat="1" ht="15" customHeight="1"/>
    <row r="1710" customFormat="1" ht="15" customHeight="1"/>
    <row r="1711" customFormat="1" ht="15" customHeight="1"/>
    <row r="1712" customFormat="1" ht="15" customHeight="1"/>
    <row r="1713" customFormat="1" ht="15" customHeight="1"/>
    <row r="1714" customFormat="1" ht="15" customHeight="1"/>
    <row r="1715" customFormat="1" ht="15" customHeight="1"/>
    <row r="1716" customFormat="1" ht="15" customHeight="1"/>
    <row r="1717" customFormat="1" ht="15" customHeight="1"/>
    <row r="1718" customFormat="1" ht="15" customHeight="1"/>
    <row r="1719" customFormat="1" ht="15" customHeight="1"/>
    <row r="1720" customFormat="1" ht="15" customHeight="1"/>
    <row r="1721" customFormat="1" ht="15" customHeight="1"/>
    <row r="1722" customFormat="1" ht="15" customHeight="1"/>
    <row r="1723" customFormat="1" ht="15" customHeight="1"/>
    <row r="1724" customFormat="1" ht="15" customHeight="1"/>
    <row r="1725" customFormat="1" ht="15" customHeight="1"/>
    <row r="1726" customFormat="1" ht="15" customHeight="1"/>
    <row r="1727" customFormat="1" ht="15" customHeight="1"/>
    <row r="1728" customFormat="1" ht="15" customHeight="1"/>
    <row r="1729" customFormat="1" ht="15" customHeight="1"/>
    <row r="1730" customFormat="1" ht="15" customHeight="1"/>
    <row r="1731" customFormat="1" ht="15" customHeight="1"/>
    <row r="1732" customFormat="1" ht="15" customHeight="1"/>
    <row r="1733" customFormat="1" ht="15" customHeight="1"/>
    <row r="1734" customFormat="1" ht="15" customHeight="1"/>
    <row r="1735" customFormat="1" ht="15" customHeight="1"/>
    <row r="1736" customFormat="1" ht="15" customHeight="1"/>
    <row r="1737" customFormat="1" ht="15" customHeight="1"/>
    <row r="1738" customFormat="1" ht="15" customHeight="1"/>
    <row r="1739" customFormat="1" ht="15" customHeight="1"/>
    <row r="1740" customFormat="1" ht="12" customHeight="1"/>
    <row r="1741" customFormat="1" ht="12" customHeight="1"/>
    <row r="1742" customFormat="1" ht="15" customHeight="1"/>
    <row r="1743" customFormat="1" ht="15" customHeight="1"/>
    <row r="1744" customFormat="1" ht="15" customHeight="1"/>
    <row r="1745" customFormat="1" ht="15" customHeight="1"/>
    <row r="1746" customFormat="1" ht="15" customHeight="1"/>
    <row r="1747" customFormat="1" ht="15" customHeight="1"/>
    <row r="1748" customFormat="1" ht="15" customHeight="1"/>
    <row r="1749" customFormat="1" ht="15" customHeight="1"/>
    <row r="1750" customFormat="1" ht="15" customHeight="1"/>
    <row r="1751" customFormat="1" ht="15" customHeight="1"/>
    <row r="1752" customFormat="1" ht="15" customHeight="1"/>
    <row r="1753" customFormat="1" ht="15" customHeight="1"/>
    <row r="1754" customFormat="1" ht="15" customHeight="1"/>
    <row r="1755" customFormat="1" ht="15" customHeight="1"/>
    <row r="1756" customFormat="1" ht="15" customHeight="1"/>
    <row r="1757" customFormat="1" ht="15" customHeight="1"/>
    <row r="1758" customFormat="1" ht="15" customHeight="1"/>
    <row r="1759" customFormat="1" ht="15" customHeight="1"/>
    <row r="1760" customFormat="1" ht="15" customHeight="1"/>
    <row r="1761" customFormat="1" ht="15" customHeight="1"/>
    <row r="1762" customFormat="1" ht="15" customHeight="1"/>
    <row r="1763" customFormat="1" ht="15" customHeight="1"/>
    <row r="1764" customFormat="1" ht="15" customHeight="1"/>
    <row r="1765" customFormat="1" ht="15" customHeight="1"/>
    <row r="1766" customFormat="1" ht="15" customHeight="1"/>
    <row r="1767" customFormat="1" ht="15" customHeight="1"/>
    <row r="1768" customFormat="1" ht="15" customHeight="1"/>
    <row r="1769" customFormat="1" ht="15" customHeight="1"/>
    <row r="1770" customFormat="1" ht="15" customHeight="1"/>
    <row r="1771" customFormat="1" ht="15" customHeight="1"/>
    <row r="1772" customFormat="1" ht="15" customHeight="1"/>
    <row r="1773" customFormat="1" ht="15" customHeight="1"/>
    <row r="1774" customFormat="1" ht="15" customHeight="1"/>
    <row r="1775" customFormat="1" ht="15" customHeight="1"/>
    <row r="1776" customFormat="1" ht="15" customHeight="1"/>
    <row r="1777" customFormat="1" ht="15" customHeight="1"/>
    <row r="1778" customFormat="1" ht="15" customHeight="1"/>
    <row r="1779" customFormat="1" ht="15" customHeight="1"/>
    <row r="1780" customFormat="1" ht="15" customHeight="1"/>
    <row r="1781" customFormat="1" ht="15" customHeight="1"/>
    <row r="1782" customFormat="1" ht="15" customHeight="1"/>
    <row r="1783" customFormat="1" ht="15" customHeight="1"/>
    <row r="1784" customFormat="1" ht="15" customHeight="1"/>
    <row r="1785" customFormat="1" ht="15" customHeight="1"/>
    <row r="1786" customFormat="1" ht="15" customHeight="1"/>
    <row r="1787" customFormat="1" ht="15" customHeight="1"/>
    <row r="1788" customFormat="1" ht="15" customHeight="1"/>
    <row r="1789" customFormat="1" ht="15" customHeight="1"/>
    <row r="1790" customFormat="1" ht="15" customHeight="1"/>
    <row r="1791" customFormat="1" ht="15" customHeight="1"/>
    <row r="1792" customFormat="1" ht="15" customHeight="1"/>
    <row r="1793" customFormat="1" ht="15" customHeight="1"/>
    <row r="1794" customFormat="1" ht="15" customHeight="1"/>
    <row r="1795" customFormat="1" ht="15" customHeight="1"/>
    <row r="1796" customFormat="1" ht="12" customHeight="1"/>
    <row r="1797" customFormat="1" ht="12" customHeight="1"/>
    <row r="1798" customFormat="1" ht="15" customHeight="1"/>
    <row r="1799" customFormat="1" ht="15" customHeight="1"/>
    <row r="1800" customFormat="1" ht="15" customHeight="1"/>
    <row r="1801" customFormat="1" ht="15" customHeight="1"/>
    <row r="1802" customFormat="1" ht="15" customHeight="1"/>
    <row r="1803" customFormat="1" ht="15" customHeight="1"/>
    <row r="1804" customFormat="1" ht="15" customHeight="1"/>
    <row r="1805" customFormat="1" ht="15" customHeight="1"/>
    <row r="1806" customFormat="1" ht="15" customHeight="1"/>
    <row r="1807" customFormat="1" ht="15" customHeight="1"/>
    <row r="1808" customFormat="1" ht="15" customHeight="1"/>
    <row r="1809" spans="2:32" ht="15" customHeight="1"/>
    <row r="1810" spans="2:32" ht="15" customHeight="1"/>
    <row r="1811" spans="2:32" ht="15" customHeight="1"/>
    <row r="1812" spans="2:32" ht="15" customHeight="1"/>
    <row r="1813" spans="2:32" ht="15" customHeight="1">
      <c r="B1813" s="177"/>
      <c r="C1813" s="177"/>
      <c r="D1813" s="177"/>
      <c r="E1813" s="177"/>
      <c r="F1813" s="177"/>
      <c r="G1813" s="177"/>
      <c r="H1813" s="177"/>
      <c r="I1813" s="177"/>
      <c r="J1813" s="177"/>
      <c r="K1813" s="177"/>
      <c r="L1813" s="177"/>
      <c r="M1813" s="177"/>
      <c r="N1813" s="177"/>
      <c r="O1813" s="177"/>
      <c r="P1813" s="177"/>
      <c r="Q1813" s="177"/>
      <c r="R1813" s="177"/>
      <c r="S1813" s="177"/>
      <c r="T1813" s="177"/>
      <c r="U1813" s="177"/>
      <c r="V1813" s="177"/>
      <c r="W1813" s="177"/>
      <c r="X1813" s="177"/>
      <c r="Y1813" s="177"/>
      <c r="Z1813" s="177"/>
      <c r="AA1813" s="177"/>
      <c r="AB1813" s="177"/>
      <c r="AC1813" s="177"/>
      <c r="AD1813" s="177"/>
      <c r="AE1813" s="177"/>
      <c r="AF1813" s="177"/>
    </row>
    <row r="1814" spans="2:32" ht="12" customHeight="1"/>
    <row r="1815" spans="2:32" ht="12" customHeight="1"/>
    <row r="1816" spans="2:32" ht="12" customHeight="1"/>
    <row r="1817" spans="2:32" ht="12" customHeight="1"/>
    <row r="1818" spans="2:32" ht="12" customHeight="1"/>
    <row r="1819" spans="2:32" ht="12" customHeight="1"/>
    <row r="1820" spans="2:32" ht="12" customHeight="1"/>
    <row r="1821" spans="2:32" ht="12" customHeight="1"/>
    <row r="1822" spans="2:32" ht="12" customHeight="1"/>
    <row r="1823" spans="2:32" ht="12" customHeight="1"/>
    <row r="1824" spans="2:32" ht="12" customHeight="1"/>
    <row r="1825" customFormat="1" ht="15" customHeight="1"/>
    <row r="1826" customFormat="1" ht="15" customHeight="1"/>
    <row r="1827" customFormat="1" ht="15" customHeight="1"/>
    <row r="1828" customFormat="1" ht="15" customHeight="1"/>
    <row r="1829" customFormat="1" ht="15" customHeight="1"/>
    <row r="1830" customFormat="1" ht="15" customHeight="1"/>
    <row r="1831" customFormat="1" ht="12" customHeight="1"/>
    <row r="1832" customFormat="1" ht="15" customHeight="1"/>
    <row r="1833" customFormat="1" ht="15" customHeight="1"/>
    <row r="1834" customFormat="1" ht="15" customHeight="1"/>
    <row r="1835" customFormat="1" ht="15" customHeight="1"/>
    <row r="1836" customFormat="1" ht="15" customHeight="1"/>
    <row r="1837" customFormat="1" ht="15" customHeight="1"/>
    <row r="1838" customFormat="1" ht="15" customHeight="1"/>
    <row r="1839" customFormat="1" ht="15" customHeight="1"/>
    <row r="1840" customFormat="1" ht="15" customHeight="1"/>
    <row r="1841" customFormat="1" ht="15" customHeight="1"/>
    <row r="1842" customFormat="1" ht="15" customHeight="1"/>
    <row r="1843" customFormat="1" ht="15" customHeight="1"/>
    <row r="1844" customFormat="1" ht="15" customHeight="1"/>
    <row r="1845" customFormat="1" ht="15" customHeight="1"/>
    <row r="1846" customFormat="1" ht="15" customHeight="1"/>
    <row r="1847" customFormat="1" ht="15" customHeight="1"/>
    <row r="1848" customFormat="1" ht="15" customHeight="1"/>
    <row r="1849" customFormat="1" ht="15" customHeight="1"/>
    <row r="1850" customFormat="1" ht="15" customHeight="1"/>
    <row r="1851" customFormat="1" ht="15" customHeight="1"/>
    <row r="1852" customFormat="1" ht="15" customHeight="1"/>
    <row r="1853" customFormat="1" ht="15" customHeight="1"/>
    <row r="1854" customFormat="1" ht="15" customHeight="1"/>
    <row r="1855" customFormat="1" ht="15" customHeight="1"/>
    <row r="1856" customFormat="1" ht="15" customHeight="1"/>
    <row r="1857" customFormat="1" ht="15" customHeight="1"/>
    <row r="1858" customFormat="1" ht="15" customHeight="1"/>
    <row r="1859" customFormat="1" ht="15" customHeight="1"/>
    <row r="1860" customFormat="1" ht="15" customHeight="1"/>
    <row r="1861" customFormat="1" ht="15" customHeight="1"/>
    <row r="1862" customFormat="1" ht="15" customHeight="1"/>
    <row r="1863" customFormat="1" ht="15" customHeight="1"/>
    <row r="1864" customFormat="1" ht="15" customHeight="1"/>
    <row r="1865" customFormat="1" ht="15" customHeight="1"/>
    <row r="1866" customFormat="1" ht="15" customHeight="1"/>
    <row r="1867" customFormat="1" ht="12" customHeight="1"/>
    <row r="1868" customFormat="1" ht="15" customHeight="1"/>
    <row r="1869" customFormat="1" ht="15" customHeight="1"/>
    <row r="1870" customFormat="1" ht="15" customHeight="1"/>
    <row r="1871" customFormat="1" ht="15" customHeight="1"/>
    <row r="1872" customFormat="1" ht="15" customHeight="1"/>
    <row r="1873" customFormat="1" ht="15" customHeight="1"/>
    <row r="1874" customFormat="1" ht="15" customHeight="1"/>
    <row r="1875" customFormat="1" ht="15" customHeight="1"/>
    <row r="1876" customFormat="1" ht="15" customHeight="1"/>
    <row r="1877" customFormat="1" ht="15" customHeight="1"/>
    <row r="1878" customFormat="1" ht="15" customHeight="1"/>
    <row r="1879" customFormat="1" ht="15" customHeight="1"/>
    <row r="1880" customFormat="1" ht="15" customHeight="1"/>
    <row r="1881" customFormat="1" ht="15" customHeight="1"/>
    <row r="1882" customFormat="1" ht="15" customHeight="1"/>
    <row r="1883" customFormat="1" ht="15" customHeight="1"/>
    <row r="1884" customFormat="1" ht="15" customHeight="1"/>
    <row r="1885" customFormat="1" ht="15" customHeight="1"/>
    <row r="1886" customFormat="1" ht="15" customHeight="1"/>
    <row r="1887" customFormat="1" ht="15" customHeight="1"/>
    <row r="1888" customFormat="1" ht="15" customHeight="1"/>
    <row r="1889" customFormat="1" ht="15" customHeight="1"/>
    <row r="1890" customFormat="1" ht="15" customHeight="1"/>
    <row r="1891" customFormat="1" ht="15" customHeight="1"/>
    <row r="1892" customFormat="1" ht="15" customHeight="1"/>
    <row r="1893" customFormat="1" ht="15" customHeight="1"/>
    <row r="1894" customFormat="1" ht="15" customHeight="1"/>
    <row r="1895" customFormat="1" ht="15" customHeight="1"/>
    <row r="1896" customFormat="1" ht="15" customHeight="1"/>
    <row r="1897" customFormat="1" ht="15" customHeight="1"/>
    <row r="1898" customFormat="1" ht="15" customHeight="1"/>
    <row r="1899" customFormat="1" ht="15" customHeight="1"/>
    <row r="1900" customFormat="1" ht="15" customHeight="1"/>
    <row r="1901" customFormat="1" ht="15" customHeight="1"/>
    <row r="1902" customFormat="1" ht="15" customHeight="1"/>
    <row r="1903" customFormat="1" ht="15" customHeight="1"/>
    <row r="1904" customFormat="1" ht="15" customHeight="1"/>
    <row r="1905" customFormat="1" ht="15" customHeight="1"/>
    <row r="1906" customFormat="1" ht="15" customHeight="1"/>
    <row r="1907" customFormat="1" ht="15" customHeight="1"/>
    <row r="1908" customFormat="1" ht="15" customHeight="1"/>
    <row r="1909" customFormat="1" ht="15" customHeight="1"/>
    <row r="1910" customFormat="1" ht="15" customHeight="1"/>
    <row r="1911" customFormat="1" ht="15" customHeight="1"/>
    <row r="1912" customFormat="1" ht="15" customHeight="1"/>
    <row r="1913" customFormat="1" ht="12" customHeight="1"/>
    <row r="1914" customFormat="1" ht="15" customHeight="1"/>
    <row r="1915" customFormat="1" ht="15" customHeight="1"/>
    <row r="1916" customFormat="1" ht="15" customHeight="1"/>
    <row r="1917" customFormat="1" ht="15" customHeight="1"/>
    <row r="1918" customFormat="1" ht="15" customHeight="1"/>
    <row r="1919" customFormat="1" ht="15" customHeight="1"/>
    <row r="1920" customFormat="1" ht="15" customHeight="1"/>
    <row r="1921" customFormat="1" ht="15" customHeight="1"/>
    <row r="1922" customFormat="1" ht="15" customHeight="1"/>
    <row r="1923" customFormat="1" ht="15" customHeight="1"/>
    <row r="1924" customFormat="1" ht="15" customHeight="1"/>
    <row r="1925" customFormat="1" ht="15" customHeight="1"/>
    <row r="1926" customFormat="1" ht="15" customHeight="1"/>
    <row r="1927" customFormat="1" ht="15" customHeight="1"/>
    <row r="1928" customFormat="1" ht="15" customHeight="1"/>
    <row r="1929" customFormat="1" ht="15" customHeight="1"/>
    <row r="1930" customFormat="1" ht="15" customHeight="1"/>
    <row r="1931" customFormat="1" ht="15" customHeight="1"/>
    <row r="1932" customFormat="1" ht="15" customHeight="1"/>
    <row r="1933" customFormat="1" ht="15" customHeight="1"/>
    <row r="1934" customFormat="1" ht="15" customHeight="1"/>
    <row r="1935" customFormat="1" ht="15" customHeight="1"/>
    <row r="1936" customFormat="1" ht="15" customHeight="1"/>
    <row r="1937" customFormat="1" ht="15" customHeight="1"/>
    <row r="1938" customFormat="1" ht="15" customHeight="1"/>
    <row r="1939" customFormat="1" ht="15" customHeight="1"/>
    <row r="1940" customFormat="1" ht="15" customHeight="1"/>
    <row r="1941" customFormat="1" ht="15" customHeight="1"/>
    <row r="1942" customFormat="1" ht="15" customHeight="1"/>
    <row r="1943" customFormat="1" ht="15" customHeight="1"/>
    <row r="1944" customFormat="1" ht="15" customHeight="1"/>
    <row r="1945" customFormat="1" ht="15" customHeight="1"/>
    <row r="1946" customFormat="1" ht="15" customHeight="1"/>
    <row r="1947" customFormat="1" ht="15" customHeight="1"/>
    <row r="1948" customFormat="1" ht="15" customHeight="1"/>
    <row r="1949" customFormat="1" ht="12" customHeight="1"/>
    <row r="1950" customFormat="1" ht="15" customHeight="1"/>
    <row r="1951" customFormat="1" ht="15" customHeight="1"/>
    <row r="1952" customFormat="1" ht="15" customHeight="1"/>
    <row r="1953" customFormat="1" ht="15" customHeight="1"/>
    <row r="1954" customFormat="1" ht="15" customHeight="1"/>
    <row r="1955" customFormat="1" ht="15" customHeight="1"/>
    <row r="1956" customFormat="1" ht="15" customHeight="1"/>
    <row r="1957" customFormat="1" ht="15" customHeight="1"/>
    <row r="1958" customFormat="1" ht="15" customHeight="1"/>
    <row r="1959" customFormat="1" ht="15" customHeight="1"/>
    <row r="1960" customFormat="1" ht="15" customHeight="1"/>
    <row r="1961" customFormat="1" ht="15" customHeight="1"/>
    <row r="1962" customFormat="1" ht="15" customHeight="1"/>
    <row r="1963" customFormat="1" ht="15" customHeight="1"/>
    <row r="1964" customFormat="1" ht="15" customHeight="1"/>
    <row r="1965" customFormat="1" ht="15" customHeight="1"/>
    <row r="1966" customFormat="1" ht="15" customHeight="1"/>
    <row r="1967" customFormat="1" ht="15" customHeight="1"/>
    <row r="1968" customFormat="1" ht="15" customHeight="1"/>
    <row r="1969" customFormat="1" ht="15" customHeight="1"/>
    <row r="1970" customFormat="1" ht="15" customHeight="1"/>
    <row r="1971" customFormat="1" ht="15" customHeight="1"/>
    <row r="1972" customFormat="1" ht="15" customHeight="1"/>
    <row r="1973" customFormat="1" ht="15" customHeight="1"/>
    <row r="1974" customFormat="1" ht="15" customHeight="1"/>
    <row r="1975" customFormat="1" ht="15" customHeight="1"/>
    <row r="1976" customFormat="1" ht="15" customHeight="1"/>
    <row r="1977" customFormat="1" ht="15" customHeight="1"/>
    <row r="1978" customFormat="1" ht="15" customHeight="1"/>
    <row r="1979" customFormat="1" ht="15" customHeight="1"/>
    <row r="1980" customFormat="1" ht="15" customHeight="1"/>
    <row r="1981" customFormat="1" ht="15" customHeight="1"/>
    <row r="1982" customFormat="1" ht="15" customHeight="1"/>
    <row r="1983" customFormat="1" ht="15" customHeight="1"/>
    <row r="1984" customFormat="1" ht="15" customHeight="1"/>
    <row r="1985" customFormat="1" ht="12" customHeight="1"/>
    <row r="1986" customFormat="1" ht="15" customHeight="1"/>
    <row r="1987" customFormat="1" ht="12" customHeight="1"/>
    <row r="1988" customFormat="1" ht="15" customHeight="1"/>
    <row r="1989" customFormat="1" ht="15" customHeight="1"/>
    <row r="1990" customFormat="1" ht="15" customHeight="1"/>
    <row r="1991" customFormat="1" ht="15" customHeight="1"/>
    <row r="1992" customFormat="1" ht="15" customHeight="1"/>
    <row r="1993" customFormat="1" ht="15" customHeight="1"/>
    <row r="1994" customFormat="1" ht="15" customHeight="1"/>
    <row r="1995" customFormat="1" ht="15" customHeight="1"/>
    <row r="1996" customFormat="1" ht="15" customHeight="1"/>
    <row r="1997" customFormat="1" ht="15" customHeight="1"/>
    <row r="1998" customFormat="1" ht="15" customHeight="1"/>
    <row r="1999" customFormat="1" ht="15" customHeight="1"/>
    <row r="2000" customFormat="1" ht="15" customHeight="1"/>
    <row r="2001" customFormat="1" ht="15" customHeight="1"/>
    <row r="2002" customFormat="1" ht="15" customHeight="1"/>
    <row r="2003" customFormat="1" ht="15" customHeight="1"/>
    <row r="2004" customFormat="1" ht="15" customHeight="1"/>
    <row r="2005" customFormat="1" ht="15" customHeight="1"/>
    <row r="2006" customFormat="1" ht="15" customHeight="1"/>
    <row r="2007" customFormat="1" ht="15" customHeight="1"/>
    <row r="2008" customFormat="1" ht="15" customHeight="1"/>
    <row r="2009" customFormat="1" ht="15" customHeight="1"/>
    <row r="2010" customFormat="1" ht="15" customHeight="1"/>
    <row r="2011" customFormat="1" ht="15" customHeight="1"/>
    <row r="2012" customFormat="1" ht="15" customHeight="1"/>
    <row r="2013" customFormat="1" ht="15" customHeight="1"/>
    <row r="2014" customFormat="1" ht="15" customHeight="1"/>
    <row r="2015" customFormat="1" ht="15" customHeight="1"/>
    <row r="2016" customFormat="1" ht="15" customHeight="1"/>
    <row r="2017" customFormat="1" ht="15" customHeight="1"/>
    <row r="2018" customFormat="1" ht="15" customHeight="1"/>
    <row r="2019" customFormat="1" ht="15" customHeight="1"/>
    <row r="2020" customFormat="1" ht="15" customHeight="1"/>
    <row r="2021" customFormat="1" ht="15" customHeight="1"/>
    <row r="2022" customFormat="1" ht="15" customHeight="1"/>
    <row r="2023" customFormat="1" ht="12" customHeight="1"/>
    <row r="2024" customFormat="1" ht="15" customHeight="1"/>
    <row r="2025" customFormat="1" ht="15" customHeight="1"/>
    <row r="2026" customFormat="1" ht="15" customHeight="1"/>
    <row r="2027" customFormat="1" ht="15" customHeight="1"/>
    <row r="2028" customFormat="1" ht="15" customHeight="1"/>
    <row r="2029" customFormat="1" ht="15" customHeight="1"/>
    <row r="2030" customFormat="1" ht="15" customHeight="1"/>
    <row r="2031" customFormat="1" ht="15" customHeight="1"/>
    <row r="2032" customFormat="1" ht="15" customHeight="1"/>
    <row r="2033" customFormat="1" ht="15" customHeight="1"/>
    <row r="2034" customFormat="1" ht="15" customHeight="1"/>
    <row r="2035" customFormat="1" ht="15" customHeight="1"/>
    <row r="2036" customFormat="1" ht="15" customHeight="1"/>
    <row r="2037" customFormat="1" ht="15" customHeight="1"/>
    <row r="2038" customFormat="1" ht="15" customHeight="1"/>
    <row r="2039" customFormat="1" ht="15" customHeight="1"/>
    <row r="2040" customFormat="1" ht="15" customHeight="1"/>
    <row r="2041" customFormat="1" ht="15" customHeight="1"/>
    <row r="2042" customFormat="1" ht="15" customHeight="1"/>
    <row r="2043" customFormat="1" ht="15" customHeight="1"/>
    <row r="2044" customFormat="1" ht="15" customHeight="1"/>
    <row r="2045" customFormat="1" ht="15" customHeight="1"/>
    <row r="2046" customFormat="1" ht="15" customHeight="1"/>
    <row r="2047" customFormat="1" ht="15" customHeight="1"/>
    <row r="2048" customFormat="1" ht="15" customHeight="1"/>
    <row r="2049" customFormat="1" ht="15" customHeight="1"/>
    <row r="2050" customFormat="1" ht="15" customHeight="1"/>
    <row r="2051" customFormat="1" ht="15" customHeight="1"/>
    <row r="2052" customFormat="1" ht="15" customHeight="1"/>
    <row r="2053" customFormat="1" ht="15" customHeight="1"/>
    <row r="2054" customFormat="1" ht="15" customHeight="1"/>
    <row r="2055" customFormat="1" ht="15" customHeight="1"/>
    <row r="2056" customFormat="1" ht="15" customHeight="1"/>
    <row r="2057" customFormat="1" ht="15" customHeight="1"/>
    <row r="2058" customFormat="1" ht="15" customHeight="1"/>
    <row r="2059" customFormat="1" ht="12" customHeight="1"/>
    <row r="2060" customFormat="1" ht="12" customHeight="1"/>
    <row r="2061" customFormat="1" ht="12" customHeight="1"/>
    <row r="2062" customFormat="1" ht="15" customHeight="1"/>
    <row r="2063" customFormat="1" ht="15" customHeight="1"/>
    <row r="2064" customFormat="1" ht="15" customHeight="1"/>
    <row r="2065" customFormat="1" ht="15" customHeight="1"/>
    <row r="2066" customFormat="1" ht="15" customHeight="1"/>
    <row r="2067" customFormat="1" ht="15" customHeight="1"/>
    <row r="2068" customFormat="1" ht="15" customHeight="1"/>
    <row r="2069" customFormat="1" ht="15" customHeight="1"/>
    <row r="2070" customFormat="1" ht="12" customHeight="1"/>
    <row r="2071" customFormat="1" ht="15" customHeight="1"/>
    <row r="2072" customFormat="1" ht="15" customHeight="1"/>
    <row r="2073" customFormat="1" ht="15" customHeight="1"/>
    <row r="2074" customFormat="1" ht="15" customHeight="1"/>
    <row r="2075" customFormat="1" ht="15" customHeight="1"/>
    <row r="2076" customFormat="1" ht="15" customHeight="1"/>
    <row r="2077" customFormat="1" ht="15" customHeight="1"/>
    <row r="2078" customFormat="1" ht="15" customHeight="1"/>
    <row r="2079" customFormat="1" ht="12" customHeight="1"/>
    <row r="2080" customFormat="1" ht="15" customHeight="1"/>
    <row r="2081" spans="2:32" ht="15" customHeight="1"/>
    <row r="2082" spans="2:32" ht="15" customHeight="1"/>
    <row r="2083" spans="2:32" ht="15" customHeight="1"/>
    <row r="2084" spans="2:32" ht="15" customHeight="1"/>
    <row r="2085" spans="2:32" ht="15" customHeight="1"/>
    <row r="2086" spans="2:32" ht="15" customHeight="1"/>
    <row r="2087" spans="2:32" ht="15" customHeight="1"/>
    <row r="2088" spans="2:32" ht="15" customHeight="1"/>
    <row r="2089" spans="2:32" ht="15" customHeight="1"/>
    <row r="2090" spans="2:32" ht="15" customHeight="1">
      <c r="B2090" s="177"/>
      <c r="C2090" s="177"/>
      <c r="D2090" s="177"/>
      <c r="E2090" s="177"/>
      <c r="F2090" s="177"/>
      <c r="G2090" s="177"/>
      <c r="H2090" s="177"/>
      <c r="I2090" s="177"/>
      <c r="J2090" s="177"/>
      <c r="K2090" s="177"/>
      <c r="L2090" s="177"/>
      <c r="M2090" s="177"/>
      <c r="N2090" s="177"/>
      <c r="O2090" s="177"/>
      <c r="P2090" s="177"/>
      <c r="Q2090" s="177"/>
      <c r="R2090" s="177"/>
      <c r="S2090" s="177"/>
      <c r="T2090" s="177"/>
      <c r="U2090" s="177"/>
      <c r="V2090" s="177"/>
      <c r="W2090" s="177"/>
      <c r="X2090" s="177"/>
      <c r="Y2090" s="177"/>
      <c r="Z2090" s="177"/>
      <c r="AA2090" s="177"/>
      <c r="AB2090" s="177"/>
      <c r="AC2090" s="177"/>
      <c r="AD2090" s="177"/>
      <c r="AE2090" s="177"/>
      <c r="AF2090" s="177"/>
    </row>
    <row r="2091" spans="2:32" ht="15" customHeight="1"/>
    <row r="2092" spans="2:32" ht="15" customHeight="1"/>
    <row r="2093" spans="2:32" ht="15" customHeight="1"/>
    <row r="2094" spans="2:32" ht="15" customHeight="1"/>
    <row r="2095" spans="2:32" ht="15" customHeight="1"/>
    <row r="2096" spans="2:32" ht="15" customHeight="1"/>
    <row r="2097" customFormat="1" ht="15" customHeight="1"/>
    <row r="2098" customFormat="1" ht="12" customHeight="1"/>
    <row r="2099" customFormat="1" ht="12" customHeight="1"/>
    <row r="2100" customFormat="1" ht="12" customHeight="1"/>
    <row r="2101" customFormat="1" ht="12" customHeight="1"/>
    <row r="2102" customFormat="1" ht="12" customHeight="1"/>
    <row r="2103" customFormat="1" ht="12" customHeight="1"/>
    <row r="2104" customFormat="1" ht="12" customHeight="1"/>
    <row r="2105" customFormat="1" ht="12" customHeight="1"/>
    <row r="2106" customFormat="1" ht="12" customHeight="1"/>
    <row r="2107" customFormat="1" ht="12" customHeight="1"/>
    <row r="2108" customFormat="1" ht="12" customHeight="1"/>
    <row r="2109" customFormat="1" ht="12" customHeight="1"/>
    <row r="2110" customFormat="1" ht="12" customHeight="1"/>
    <row r="2111" customFormat="1" ht="12" customHeight="1"/>
    <row r="2112" customFormat="1" ht="12" customHeight="1"/>
    <row r="2113" customFormat="1" ht="12" customHeight="1"/>
    <row r="2114" customFormat="1" ht="12" customHeight="1"/>
    <row r="2115" customFormat="1" ht="12" customHeight="1"/>
    <row r="2116" customFormat="1" ht="12" customHeight="1"/>
    <row r="2117" customFormat="1" ht="12" customHeight="1"/>
    <row r="2118" customFormat="1" ht="12" customHeight="1"/>
    <row r="2119" customFormat="1" ht="12" customHeight="1"/>
    <row r="2120" customFormat="1" ht="12" customHeight="1"/>
    <row r="2121" customFormat="1" ht="12" customHeight="1"/>
    <row r="2122" customFormat="1" ht="12" customHeight="1"/>
    <row r="2123" customFormat="1" ht="12" customHeight="1"/>
    <row r="2124" customFormat="1" ht="12" customHeight="1"/>
    <row r="2125" customFormat="1" ht="12" customHeight="1"/>
    <row r="2126" customFormat="1" ht="12" customHeight="1"/>
    <row r="2127" customFormat="1" ht="12" customHeight="1"/>
    <row r="2128" customFormat="1" ht="12" customHeight="1"/>
    <row r="2129" customFormat="1" ht="12" customHeight="1"/>
    <row r="2130" customFormat="1" ht="12" customHeight="1"/>
    <row r="2131" customFormat="1" ht="12" customHeight="1"/>
    <row r="2132" customFormat="1" ht="12" customHeight="1"/>
    <row r="2133" customFormat="1" ht="12" customHeight="1"/>
    <row r="2134" customFormat="1" ht="12" customHeight="1"/>
    <row r="2135" customFormat="1" ht="12" customHeight="1"/>
    <row r="2136" customFormat="1" ht="12" customHeight="1"/>
    <row r="2137" customFormat="1" ht="12" customHeight="1"/>
    <row r="2138" customFormat="1" ht="12" customHeight="1"/>
    <row r="2139" customFormat="1" ht="12" customHeight="1"/>
    <row r="2140" customFormat="1" ht="12" customHeight="1"/>
    <row r="2141" customFormat="1" ht="12" customHeight="1"/>
    <row r="2142" customFormat="1" ht="12" customHeight="1"/>
    <row r="2143" customFormat="1" ht="12" customHeight="1"/>
    <row r="2144" customFormat="1" ht="12" customHeight="1"/>
    <row r="2145" customFormat="1" ht="12" customHeight="1"/>
    <row r="2146" customFormat="1" ht="12" customHeight="1"/>
    <row r="2147" customFormat="1" ht="12" customHeight="1"/>
    <row r="2148" customFormat="1" ht="12" customHeight="1"/>
    <row r="2149" customFormat="1" ht="12" customHeight="1"/>
    <row r="2150" customFormat="1" ht="15" customHeight="1"/>
    <row r="2151" customFormat="1" ht="15" customHeight="1"/>
    <row r="2152" customFormat="1" ht="15" customHeight="1"/>
    <row r="2153" customFormat="1" ht="15" customHeight="1"/>
    <row r="2154" customFormat="1" ht="15" customHeight="1"/>
    <row r="2155" customFormat="1" ht="15" customHeight="1"/>
    <row r="2156" customFormat="1" ht="15" customHeight="1"/>
    <row r="2157" customFormat="1" ht="15" customHeight="1"/>
    <row r="2158" customFormat="1" ht="15" customHeight="1"/>
    <row r="2159" customFormat="1" ht="15" customHeight="1"/>
    <row r="2160" customFormat="1" ht="15" customHeight="1"/>
    <row r="2161" customFormat="1" ht="15" customHeight="1"/>
    <row r="2162" customFormat="1" ht="15" customHeight="1"/>
    <row r="2163" customFormat="1" ht="15" customHeight="1"/>
    <row r="2164" customFormat="1" ht="15" customHeight="1"/>
    <row r="2165" customFormat="1" ht="15" customHeight="1"/>
    <row r="2166" customFormat="1" ht="15" customHeight="1"/>
    <row r="2167" customFormat="1" ht="15" customHeight="1"/>
    <row r="2168" customFormat="1" ht="15" customHeight="1"/>
    <row r="2169" customFormat="1" ht="15" customHeight="1"/>
    <row r="2170" customFormat="1" ht="15" customHeight="1"/>
    <row r="2171" customFormat="1" ht="15" customHeight="1"/>
    <row r="2172" customFormat="1" ht="15" customHeight="1"/>
    <row r="2173" customFormat="1" ht="15" customHeight="1"/>
    <row r="2174" customFormat="1" ht="15" customHeight="1"/>
    <row r="2175" customFormat="1" ht="15" customHeight="1"/>
    <row r="2176" customFormat="1" ht="15" customHeight="1"/>
    <row r="2177" customFormat="1" ht="15" customHeight="1"/>
    <row r="2178" customFormat="1" ht="15" customHeight="1"/>
    <row r="2179" customFormat="1" ht="15" customHeight="1"/>
    <row r="2180" customFormat="1" ht="15" customHeight="1"/>
    <row r="2181" customFormat="1" ht="15" customHeight="1"/>
    <row r="2182" customFormat="1" ht="15" customHeight="1"/>
    <row r="2183" customFormat="1" ht="15" customHeight="1"/>
    <row r="2184" customFormat="1" ht="15" customHeight="1"/>
    <row r="2185" customFormat="1" ht="15" customHeight="1"/>
    <row r="2186" customFormat="1" ht="15" customHeight="1"/>
    <row r="2187" customFormat="1" ht="15" customHeight="1"/>
    <row r="2188" customFormat="1" ht="15" customHeight="1"/>
    <row r="2189" customFormat="1" ht="15" customHeight="1"/>
    <row r="2190" customFormat="1" ht="15" customHeight="1"/>
    <row r="2191" customFormat="1" ht="15" customHeight="1"/>
    <row r="2192" customFormat="1" ht="15" customHeight="1"/>
    <row r="2193" customFormat="1" ht="15" customHeight="1"/>
    <row r="2194" customFormat="1" ht="15" customHeight="1"/>
    <row r="2195" customFormat="1" ht="15" customHeight="1"/>
    <row r="2196" customFormat="1" ht="15" customHeight="1"/>
    <row r="2197" customFormat="1" ht="15" customHeight="1"/>
    <row r="2198" customFormat="1" ht="15" customHeight="1"/>
    <row r="2199" customFormat="1" ht="15" customHeight="1"/>
    <row r="2200" customFormat="1" ht="15" customHeight="1"/>
    <row r="2201" customFormat="1" ht="15" customHeight="1"/>
    <row r="2202" customFormat="1" ht="15" customHeight="1"/>
    <row r="2203" customFormat="1" ht="15" customHeight="1"/>
    <row r="2204" customFormat="1" ht="15" customHeight="1"/>
    <row r="2205" customFormat="1" ht="15" customHeight="1"/>
    <row r="2206" customFormat="1" ht="15" customHeight="1"/>
    <row r="2207" customFormat="1" ht="15" customHeight="1"/>
    <row r="2208" customFormat="1" ht="15" customHeight="1"/>
    <row r="2209" customFormat="1" ht="15" customHeight="1"/>
    <row r="2210" customFormat="1" ht="15" customHeight="1"/>
    <row r="2211" customFormat="1" ht="15" customHeight="1"/>
    <row r="2212" customFormat="1" ht="15" customHeight="1"/>
    <row r="2213" customFormat="1" ht="15" customHeight="1"/>
    <row r="2214" customFormat="1" ht="15" customHeight="1"/>
    <row r="2215" customFormat="1" ht="15" customHeight="1"/>
    <row r="2216" customFormat="1" ht="15" customHeight="1"/>
    <row r="2217" customFormat="1" ht="15" customHeight="1"/>
    <row r="2218" customFormat="1" ht="15" customHeight="1"/>
    <row r="2219" customFormat="1" ht="15" customHeight="1"/>
    <row r="2220" customFormat="1" ht="15" customHeight="1"/>
    <row r="2221" customFormat="1" ht="15" customHeight="1"/>
    <row r="2222" customFormat="1" ht="15" customHeight="1"/>
    <row r="2223" customFormat="1" ht="15" customHeight="1"/>
    <row r="2224" customFormat="1" ht="15" customHeight="1"/>
    <row r="2225" customFormat="1" ht="15" customHeight="1"/>
    <row r="2226" customFormat="1" ht="15" customHeight="1"/>
    <row r="2227" customFormat="1" ht="15" customHeight="1"/>
    <row r="2228" customFormat="1" ht="15" customHeight="1"/>
    <row r="2229" customFormat="1" ht="15" customHeight="1"/>
    <row r="2230" customFormat="1" ht="15" customHeight="1"/>
    <row r="2231" customFormat="1" ht="15" customHeight="1"/>
    <row r="2232" customFormat="1" ht="15" customHeight="1"/>
    <row r="2233" customFormat="1" ht="15" customHeight="1"/>
    <row r="2234" customFormat="1" ht="15" customHeight="1"/>
    <row r="2235" customFormat="1" ht="15" customHeight="1"/>
    <row r="2236" customFormat="1" ht="15" customHeight="1"/>
    <row r="2237" customFormat="1" ht="15" customHeight="1"/>
    <row r="2238" customFormat="1" ht="15" customHeight="1"/>
    <row r="2239" customFormat="1" ht="15" customHeight="1"/>
    <row r="2240" customFormat="1" ht="15" customHeight="1"/>
    <row r="2241" customFormat="1" ht="15" customHeight="1"/>
    <row r="2242" customFormat="1" ht="15" customHeight="1"/>
    <row r="2243" customFormat="1" ht="15" customHeight="1"/>
    <row r="2244" customFormat="1" ht="12" customHeight="1"/>
    <row r="2245" customFormat="1" ht="15" customHeight="1"/>
    <row r="2246" customFormat="1" ht="15" customHeight="1"/>
    <row r="2247" customFormat="1" ht="15" customHeight="1"/>
    <row r="2248" customFormat="1" ht="15" customHeight="1"/>
    <row r="2249" customFormat="1" ht="15" customHeight="1"/>
    <row r="2250" customFormat="1" ht="15" customHeight="1"/>
    <row r="2251" customFormat="1" ht="15" customHeight="1"/>
    <row r="2252" customFormat="1" ht="15" customHeight="1"/>
    <row r="2253" customFormat="1" ht="15" customHeight="1"/>
    <row r="2254" customFormat="1" ht="15" customHeight="1"/>
    <row r="2255" customFormat="1" ht="15" customHeight="1"/>
    <row r="2256" customFormat="1" ht="15" customHeight="1"/>
    <row r="2257" customFormat="1" ht="15" customHeight="1"/>
    <row r="2258" customFormat="1" ht="15" customHeight="1"/>
    <row r="2259" customFormat="1" ht="15" customHeight="1"/>
    <row r="2260" customFormat="1" ht="15" customHeight="1"/>
    <row r="2261" customFormat="1" ht="15" customHeight="1"/>
    <row r="2262" customFormat="1" ht="15" customHeight="1"/>
    <row r="2263" customFormat="1" ht="15" customHeight="1"/>
    <row r="2264" customFormat="1" ht="15" customHeight="1"/>
    <row r="2265" customFormat="1" ht="15" customHeight="1"/>
    <row r="2266" customFormat="1" ht="15" customHeight="1"/>
    <row r="2267" customFormat="1" ht="15" customHeight="1"/>
    <row r="2268" customFormat="1" ht="15" customHeight="1"/>
    <row r="2269" customFormat="1" ht="15" customHeight="1"/>
    <row r="2270" customFormat="1" ht="15" customHeight="1"/>
    <row r="2271" customFormat="1" ht="15" customHeight="1"/>
    <row r="2272" customFormat="1" ht="15" customHeight="1"/>
    <row r="2273" customFormat="1" ht="15" customHeight="1"/>
    <row r="2274" customFormat="1" ht="15" customHeight="1"/>
    <row r="2275" customFormat="1" ht="15" customHeight="1"/>
    <row r="2276" customFormat="1" ht="15" customHeight="1"/>
    <row r="2277" customFormat="1" ht="15" customHeight="1"/>
    <row r="2278" customFormat="1" ht="15" customHeight="1"/>
    <row r="2279" customFormat="1" ht="15" customHeight="1"/>
    <row r="2280" customFormat="1" ht="15" customHeight="1"/>
    <row r="2281" customFormat="1" ht="15" customHeight="1"/>
    <row r="2282" customFormat="1" ht="15" customHeight="1"/>
    <row r="2283" customFormat="1" ht="15" customHeight="1"/>
    <row r="2284" customFormat="1" ht="15" customHeight="1"/>
    <row r="2285" customFormat="1" ht="15" customHeight="1"/>
    <row r="2286" customFormat="1" ht="15" customHeight="1"/>
    <row r="2287" customFormat="1" ht="15" customHeight="1"/>
    <row r="2288" customFormat="1" ht="15" customHeight="1"/>
    <row r="2289" customFormat="1" ht="15" customHeight="1"/>
    <row r="2290" customFormat="1" ht="15" customHeight="1"/>
    <row r="2291" customFormat="1" ht="15" customHeight="1"/>
    <row r="2292" customFormat="1" ht="15" customHeight="1"/>
    <row r="2293" customFormat="1" ht="15" customHeight="1"/>
    <row r="2294" customFormat="1" ht="15" customHeight="1"/>
    <row r="2295" customFormat="1" ht="15" customHeight="1"/>
    <row r="2296" customFormat="1" ht="15" customHeight="1"/>
    <row r="2297" customFormat="1" ht="15" customHeight="1"/>
    <row r="2298" customFormat="1" ht="15" customHeight="1"/>
    <row r="2299" customFormat="1" ht="15" customHeight="1"/>
    <row r="2300" customFormat="1" ht="15" customHeight="1"/>
    <row r="2301" customFormat="1" ht="15" customHeight="1"/>
    <row r="2302" customFormat="1" ht="15" customHeight="1"/>
    <row r="2303" customFormat="1" ht="15" customHeight="1"/>
    <row r="2304" customFormat="1" ht="15" customHeight="1"/>
    <row r="2305" customFormat="1" ht="15" customHeight="1"/>
    <row r="2306" customFormat="1" ht="15" customHeight="1"/>
    <row r="2307" customFormat="1" ht="15" customHeight="1"/>
    <row r="2308" customFormat="1" ht="15" customHeight="1"/>
    <row r="2309" customFormat="1" ht="15" customHeight="1"/>
    <row r="2310" customFormat="1" ht="15" customHeight="1"/>
    <row r="2311" customFormat="1" ht="15" customHeight="1"/>
    <row r="2312" customFormat="1" ht="15" customHeight="1"/>
    <row r="2313" customFormat="1" ht="15" customHeight="1"/>
    <row r="2314" customFormat="1" ht="15" customHeight="1"/>
    <row r="2315" customFormat="1" ht="15" customHeight="1"/>
    <row r="2316" customFormat="1" ht="15" customHeight="1"/>
    <row r="2317" customFormat="1" ht="15" customHeight="1"/>
    <row r="2318" customFormat="1" ht="15" customHeight="1"/>
    <row r="2319" customFormat="1" ht="15" customHeight="1"/>
    <row r="2320" customFormat="1" ht="15" customHeight="1"/>
    <row r="2321" customFormat="1" ht="15" customHeight="1"/>
    <row r="2322" customFormat="1" ht="15" customHeight="1"/>
    <row r="2323" customFormat="1" ht="15" customHeight="1"/>
    <row r="2324" customFormat="1" ht="15" customHeight="1"/>
    <row r="2325" customFormat="1" ht="15" customHeight="1"/>
    <row r="2326" customFormat="1" ht="15" customHeight="1"/>
    <row r="2327" customFormat="1" ht="15" customHeight="1"/>
    <row r="2328" customFormat="1" ht="15" customHeight="1"/>
    <row r="2329" customFormat="1" ht="15" customHeight="1"/>
    <row r="2330" customFormat="1" ht="15" customHeight="1"/>
    <row r="2331" customFormat="1" ht="15" customHeight="1"/>
    <row r="2332" customFormat="1" ht="15" customHeight="1"/>
    <row r="2333" customFormat="1" ht="15" customHeight="1"/>
    <row r="2334" customFormat="1" ht="12" customHeight="1"/>
    <row r="2335" customFormat="1" ht="15" customHeight="1"/>
    <row r="2336" customFormat="1" ht="15" customHeight="1"/>
    <row r="2337" customFormat="1" ht="15" customHeight="1"/>
    <row r="2338" customFormat="1" ht="15" customHeight="1"/>
    <row r="2339" customFormat="1" ht="15" customHeight="1"/>
    <row r="2340" customFormat="1" ht="15" customHeight="1"/>
    <row r="2341" customFormat="1" ht="15" customHeight="1"/>
    <row r="2342" customFormat="1" ht="15" customHeight="1"/>
    <row r="2343" customFormat="1" ht="15" customHeight="1"/>
    <row r="2344" customFormat="1" ht="15" customHeight="1"/>
    <row r="2345" customFormat="1" ht="15" customHeight="1"/>
    <row r="2346" customFormat="1" ht="15" customHeight="1"/>
    <row r="2347" customFormat="1" ht="15" customHeight="1"/>
    <row r="2348" customFormat="1" ht="15" customHeight="1"/>
    <row r="2349" customFormat="1" ht="15" customHeight="1"/>
    <row r="2350" customFormat="1" ht="15" customHeight="1"/>
    <row r="2351" customFormat="1" ht="15" customHeight="1"/>
    <row r="2352" customFormat="1" ht="15" customHeight="1"/>
    <row r="2353" customFormat="1" ht="15" customHeight="1"/>
    <row r="2354" customFormat="1" ht="15" customHeight="1"/>
    <row r="2355" customFormat="1" ht="15" customHeight="1"/>
    <row r="2356" customFormat="1" ht="15" customHeight="1"/>
    <row r="2357" customFormat="1" ht="15" customHeight="1"/>
    <row r="2358" customFormat="1" ht="15" customHeight="1"/>
    <row r="2359" customFormat="1" ht="15" customHeight="1"/>
    <row r="2360" customFormat="1" ht="15" customHeight="1"/>
    <row r="2361" customFormat="1" ht="15" customHeight="1"/>
    <row r="2362" customFormat="1" ht="15" customHeight="1"/>
    <row r="2363" customFormat="1" ht="15" customHeight="1"/>
    <row r="2364" customFormat="1" ht="15" customHeight="1"/>
    <row r="2365" customFormat="1" ht="15" customHeight="1"/>
    <row r="2366" customFormat="1" ht="15" customHeight="1"/>
    <row r="2367" customFormat="1" ht="15" customHeight="1"/>
    <row r="2368" customFormat="1" ht="15" customHeight="1"/>
    <row r="2369" customFormat="1" ht="15" customHeight="1"/>
    <row r="2370" customFormat="1" ht="15" customHeight="1"/>
    <row r="2371" customFormat="1" ht="15" customHeight="1"/>
    <row r="2372" customFormat="1" ht="15" customHeight="1"/>
    <row r="2373" customFormat="1" ht="15" customHeight="1"/>
    <row r="2374" customFormat="1" ht="15" customHeight="1"/>
    <row r="2375" customFormat="1" ht="15" customHeight="1"/>
    <row r="2376" customFormat="1" ht="15" customHeight="1"/>
    <row r="2377" customFormat="1" ht="15" customHeight="1"/>
    <row r="2378" customFormat="1" ht="15" customHeight="1"/>
    <row r="2379" customFormat="1" ht="15" customHeight="1"/>
    <row r="2380" customFormat="1" ht="15" customHeight="1"/>
    <row r="2381" customFormat="1" ht="15" customHeight="1"/>
    <row r="2382" customFormat="1" ht="15" customHeight="1"/>
    <row r="2383" customFormat="1" ht="15" customHeight="1"/>
    <row r="2384" customFormat="1" ht="15" customHeight="1"/>
    <row r="2385" customFormat="1" ht="15" customHeight="1"/>
    <row r="2386" customFormat="1" ht="15" customHeight="1"/>
    <row r="2387" customFormat="1" ht="15" customHeight="1"/>
    <row r="2388" customFormat="1" ht="15" customHeight="1"/>
    <row r="2389" customFormat="1" ht="15" customHeight="1"/>
    <row r="2390" customFormat="1" ht="15" customHeight="1"/>
    <row r="2391" customFormat="1" ht="15" customHeight="1"/>
    <row r="2392" customFormat="1" ht="15" customHeight="1"/>
    <row r="2393" customFormat="1" ht="15" customHeight="1"/>
    <row r="2394" customFormat="1" ht="15" customHeight="1"/>
    <row r="2395" customFormat="1" ht="15" customHeight="1"/>
    <row r="2396" customFormat="1" ht="15" customHeight="1"/>
    <row r="2397" customFormat="1" ht="15" customHeight="1"/>
    <row r="2398" customFormat="1" ht="15" customHeight="1"/>
    <row r="2399" customFormat="1" ht="15" customHeight="1"/>
    <row r="2400" customFormat="1" ht="15" customHeight="1"/>
    <row r="2401" customFormat="1" ht="15" customHeight="1"/>
    <row r="2402" customFormat="1" ht="15" customHeight="1"/>
    <row r="2403" customFormat="1" ht="15" customHeight="1"/>
    <row r="2404" customFormat="1" ht="15" customHeight="1"/>
    <row r="2405" customFormat="1" ht="15" customHeight="1"/>
    <row r="2406" customFormat="1" ht="15" customHeight="1"/>
    <row r="2407" customFormat="1" ht="15" customHeight="1"/>
    <row r="2408" customFormat="1" ht="15" customHeight="1"/>
    <row r="2409" customFormat="1" ht="15" customHeight="1"/>
    <row r="2410" customFormat="1" ht="15" customHeight="1"/>
    <row r="2411" customFormat="1" ht="15" customHeight="1"/>
    <row r="2412" customFormat="1" ht="15" customHeight="1"/>
    <row r="2413" customFormat="1" ht="15" customHeight="1"/>
    <row r="2414" customFormat="1" ht="15" customHeight="1"/>
    <row r="2415" customFormat="1" ht="15" customHeight="1"/>
    <row r="2416" customFormat="1" ht="15" customHeight="1"/>
    <row r="2417" spans="2:32" ht="15" customHeight="1"/>
    <row r="2418" spans="2:32" ht="15" customHeight="1"/>
    <row r="2419" spans="2:32" ht="15" customHeight="1"/>
    <row r="2420" spans="2:32" ht="15" customHeight="1"/>
    <row r="2421" spans="2:32" ht="15" customHeight="1"/>
    <row r="2422" spans="2:32" ht="15" customHeight="1"/>
    <row r="2423" spans="2:32" ht="15" customHeight="1"/>
    <row r="2424" spans="2:32" ht="15" customHeight="1"/>
    <row r="2425" spans="2:32" ht="15" customHeight="1">
      <c r="B2425" s="177"/>
      <c r="C2425" s="177"/>
      <c r="D2425" s="177"/>
      <c r="E2425" s="177"/>
      <c r="F2425" s="177"/>
      <c r="G2425" s="177"/>
      <c r="H2425" s="177"/>
      <c r="I2425" s="177"/>
      <c r="J2425" s="177"/>
      <c r="K2425" s="177"/>
      <c r="L2425" s="177"/>
      <c r="M2425" s="177"/>
      <c r="N2425" s="177"/>
      <c r="O2425" s="177"/>
      <c r="P2425" s="177"/>
      <c r="Q2425" s="177"/>
      <c r="R2425" s="177"/>
      <c r="S2425" s="177"/>
      <c r="T2425" s="177"/>
      <c r="U2425" s="177"/>
      <c r="V2425" s="177"/>
      <c r="W2425" s="177"/>
      <c r="X2425" s="177"/>
      <c r="Y2425" s="177"/>
      <c r="Z2425" s="177"/>
      <c r="AA2425" s="177"/>
      <c r="AB2425" s="177"/>
      <c r="AC2425" s="177"/>
      <c r="AD2425" s="177"/>
      <c r="AE2425" s="177"/>
      <c r="AF2425" s="177"/>
    </row>
    <row r="2426" spans="2:32" ht="15" customHeight="1"/>
    <row r="2427" spans="2:32" ht="15" customHeight="1"/>
    <row r="2428" spans="2:32" ht="15" customHeight="1"/>
    <row r="2429" spans="2:32" ht="15" customHeight="1"/>
    <row r="2430" spans="2:32" ht="15" customHeight="1"/>
    <row r="2431" spans="2:32" ht="15" customHeight="1"/>
    <row r="2432" spans="2:32" ht="15" customHeight="1"/>
    <row r="2433" customFormat="1" ht="15" customHeight="1"/>
    <row r="2434" customFormat="1" ht="15" customHeight="1"/>
    <row r="2435" customFormat="1" ht="15" customHeight="1"/>
    <row r="2436" customFormat="1" ht="15" customHeight="1"/>
    <row r="2437" customFormat="1" ht="12" customHeight="1"/>
    <row r="2438" customFormat="1" ht="12" customHeight="1"/>
    <row r="2439" customFormat="1" ht="12" customHeight="1"/>
    <row r="2440" customFormat="1" ht="12" customHeight="1"/>
    <row r="2441" customFormat="1" ht="12" customHeight="1"/>
    <row r="2442" customFormat="1" ht="12" customHeight="1"/>
    <row r="2443" customFormat="1" ht="12" customHeight="1"/>
    <row r="2444" customFormat="1" ht="12" customHeight="1"/>
    <row r="2445" customFormat="1" ht="12" customHeight="1"/>
    <row r="2446" customFormat="1" ht="12" customHeight="1"/>
    <row r="2447" customFormat="1" ht="12" customHeight="1"/>
    <row r="2448" customFormat="1" ht="12" customHeight="1"/>
    <row r="2449" customFormat="1" ht="12" customHeight="1"/>
    <row r="2450" customFormat="1" ht="15" customHeight="1"/>
    <row r="2451" customFormat="1" ht="15" customHeight="1"/>
    <row r="2452" customFormat="1" ht="15" customHeight="1"/>
    <row r="2453" customFormat="1" ht="15" customHeight="1"/>
    <row r="2454" customFormat="1" ht="15" customHeight="1"/>
    <row r="2455" customFormat="1" ht="15" customHeight="1"/>
    <row r="2456" customFormat="1" ht="15" customHeight="1"/>
    <row r="2457" customFormat="1" ht="15" customHeight="1"/>
    <row r="2458" customFormat="1" ht="15" customHeight="1"/>
    <row r="2459" customFormat="1" ht="15" customHeight="1"/>
    <row r="2460" customFormat="1" ht="15" customHeight="1"/>
    <row r="2461" customFormat="1" ht="15" customHeight="1"/>
    <row r="2462" customFormat="1" ht="15" customHeight="1"/>
    <row r="2463" customFormat="1" ht="15" customHeight="1"/>
    <row r="2464" customFormat="1" ht="15" customHeight="1"/>
    <row r="2465" customFormat="1" ht="15" customHeight="1"/>
    <row r="2466" customFormat="1" ht="15" customHeight="1"/>
    <row r="2467" customFormat="1" ht="15" customHeight="1"/>
    <row r="2468" customFormat="1" ht="15" customHeight="1"/>
    <row r="2469" customFormat="1" ht="15" customHeight="1"/>
    <row r="2470" customFormat="1" ht="15" customHeight="1"/>
    <row r="2471" customFormat="1" ht="15" customHeight="1"/>
    <row r="2472" customFormat="1" ht="12" customHeight="1"/>
    <row r="2473" customFormat="1" ht="15" customHeight="1"/>
    <row r="2474" customFormat="1" ht="15" customHeight="1"/>
    <row r="2475" customFormat="1" ht="15" customHeight="1"/>
    <row r="2476" customFormat="1" ht="15" customHeight="1"/>
    <row r="2477" customFormat="1" ht="15" customHeight="1"/>
    <row r="2478" customFormat="1" ht="15" customHeight="1"/>
    <row r="2479" customFormat="1" ht="15" customHeight="1"/>
    <row r="2480" customFormat="1" ht="15" customHeight="1"/>
    <row r="2481" customFormat="1" ht="15" customHeight="1"/>
    <row r="2482" customFormat="1" ht="15" customHeight="1"/>
    <row r="2483" customFormat="1" ht="15" customHeight="1"/>
    <row r="2484" customFormat="1" ht="15" customHeight="1"/>
    <row r="2485" customFormat="1" ht="15" customHeight="1"/>
    <row r="2486" customFormat="1" ht="15" customHeight="1"/>
    <row r="2487" customFormat="1" ht="15" customHeight="1"/>
    <row r="2488" customFormat="1" ht="15" customHeight="1"/>
    <row r="2489" customFormat="1" ht="15" customHeight="1"/>
    <row r="2490" customFormat="1" ht="12" customHeight="1"/>
    <row r="2491" customFormat="1" ht="15" customHeight="1"/>
    <row r="2492" customFormat="1" ht="15" customHeight="1"/>
    <row r="2493" customFormat="1" ht="15" customHeight="1"/>
    <row r="2494" customFormat="1" ht="15" customHeight="1"/>
    <row r="2495" customFormat="1" ht="15" customHeight="1"/>
    <row r="2496" customFormat="1" ht="15" customHeight="1"/>
    <row r="2497" customFormat="1" ht="15" customHeight="1"/>
    <row r="2498" customFormat="1" ht="15" customHeight="1"/>
    <row r="2499" customFormat="1" ht="15" customHeight="1"/>
    <row r="2500" customFormat="1" ht="15" customHeight="1"/>
    <row r="2501" customFormat="1" ht="15" customHeight="1"/>
    <row r="2502" customFormat="1" ht="15" customHeight="1"/>
    <row r="2503" customFormat="1" ht="15" customHeight="1"/>
    <row r="2504" customFormat="1" ht="15" customHeight="1"/>
    <row r="2505" customFormat="1" ht="15" customHeight="1"/>
    <row r="2506" customFormat="1" ht="15" customHeight="1"/>
    <row r="2507" customFormat="1" ht="15" customHeight="1"/>
    <row r="2508" customFormat="1" ht="12" customHeight="1"/>
    <row r="2509" customFormat="1" ht="15" customHeight="1"/>
    <row r="2510" customFormat="1" ht="15" customHeight="1"/>
    <row r="2511" customFormat="1" ht="15" customHeight="1"/>
    <row r="2512" customFormat="1" ht="15" customHeight="1"/>
    <row r="2513" customFormat="1" ht="15" customHeight="1"/>
    <row r="2514" customFormat="1" ht="15" customHeight="1"/>
    <row r="2515" customFormat="1" ht="15" customHeight="1"/>
    <row r="2516" customFormat="1" ht="15" customHeight="1"/>
    <row r="2517" customFormat="1" ht="15" customHeight="1"/>
    <row r="2518" customFormat="1" ht="15" customHeight="1"/>
    <row r="2519" customFormat="1" ht="15" customHeight="1"/>
    <row r="2520" customFormat="1" ht="15" customHeight="1"/>
    <row r="2521" customFormat="1" ht="15" customHeight="1"/>
    <row r="2522" customFormat="1" ht="15" customHeight="1"/>
    <row r="2523" customFormat="1" ht="15" customHeight="1"/>
    <row r="2524" customFormat="1" ht="15" customHeight="1"/>
    <row r="2525" customFormat="1" ht="15" customHeight="1"/>
    <row r="2526" customFormat="1" ht="12" customHeight="1"/>
    <row r="2527" customFormat="1" ht="15" customHeight="1"/>
    <row r="2528" customFormat="1" ht="15" customHeight="1"/>
    <row r="2529" customFormat="1" ht="15" customHeight="1"/>
    <row r="2530" customFormat="1" ht="15" customHeight="1"/>
    <row r="2531" customFormat="1" ht="15" customHeight="1"/>
    <row r="2532" customFormat="1" ht="15" customHeight="1"/>
    <row r="2533" customFormat="1" ht="15" customHeight="1"/>
    <row r="2534" customFormat="1" ht="15" customHeight="1"/>
    <row r="2535" customFormat="1" ht="15" customHeight="1"/>
    <row r="2536" customFormat="1" ht="15" customHeight="1"/>
    <row r="2537" customFormat="1" ht="15" customHeight="1"/>
    <row r="2538" customFormat="1" ht="15" customHeight="1"/>
    <row r="2539" customFormat="1" ht="15" customHeight="1"/>
    <row r="2540" customFormat="1" ht="15" customHeight="1"/>
    <row r="2541" customFormat="1" ht="15" customHeight="1"/>
    <row r="2542" customFormat="1" ht="15" customHeight="1"/>
    <row r="2543" customFormat="1" ht="15" customHeight="1"/>
    <row r="2544" customFormat="1" ht="12" customHeight="1"/>
    <row r="2545" customFormat="1" ht="15" customHeight="1"/>
    <row r="2546" customFormat="1" ht="15" customHeight="1"/>
    <row r="2547" customFormat="1" ht="15" customHeight="1"/>
    <row r="2548" customFormat="1" ht="15" customHeight="1"/>
    <row r="2549" customFormat="1" ht="15" customHeight="1"/>
    <row r="2550" customFormat="1" ht="15" customHeight="1"/>
    <row r="2551" customFormat="1" ht="15" customHeight="1"/>
    <row r="2552" customFormat="1" ht="15" customHeight="1"/>
    <row r="2553" customFormat="1" ht="15" customHeight="1"/>
    <row r="2554" customFormat="1" ht="15" customHeight="1"/>
    <row r="2555" customFormat="1" ht="15" customHeight="1"/>
    <row r="2556" customFormat="1" ht="15" customHeight="1"/>
    <row r="2557" customFormat="1" ht="15" customHeight="1"/>
    <row r="2558" customFormat="1" ht="15" customHeight="1"/>
    <row r="2559" customFormat="1" ht="15" customHeight="1"/>
    <row r="2560" customFormat="1" ht="15" customHeight="1"/>
    <row r="2561" customFormat="1" ht="15" customHeight="1"/>
    <row r="2562" customFormat="1" ht="12" customHeight="1"/>
    <row r="2563" customFormat="1" ht="12" customHeight="1"/>
    <row r="2564" customFormat="1" ht="15" customHeight="1"/>
    <row r="2565" customFormat="1" ht="15" customHeight="1"/>
    <row r="2566" customFormat="1" ht="15" customHeight="1"/>
    <row r="2567" customFormat="1" ht="15" customHeight="1"/>
    <row r="2568" customFormat="1" ht="15" customHeight="1"/>
    <row r="2569" customFormat="1" ht="15" customHeight="1"/>
    <row r="2570" customFormat="1" ht="15" customHeight="1"/>
    <row r="2571" customFormat="1" ht="15" customHeight="1"/>
    <row r="2572" customFormat="1" ht="15" customHeight="1"/>
    <row r="2573" customFormat="1" ht="15" customHeight="1"/>
    <row r="2574" customFormat="1" ht="15" customHeight="1"/>
    <row r="2575" customFormat="1" ht="15" customHeight="1"/>
    <row r="2576" customFormat="1" ht="15" customHeight="1"/>
    <row r="2577" customFormat="1" ht="15" customHeight="1"/>
    <row r="2578" customFormat="1" ht="15" customHeight="1"/>
    <row r="2579" customFormat="1" ht="15" customHeight="1"/>
    <row r="2580" customFormat="1" ht="15" customHeight="1"/>
    <row r="2581" customFormat="1" ht="12" customHeight="1"/>
    <row r="2582" customFormat="1" ht="15" customHeight="1"/>
    <row r="2583" customFormat="1" ht="15" customHeight="1"/>
    <row r="2584" customFormat="1" ht="15" customHeight="1"/>
    <row r="2585" customFormat="1" ht="15" customHeight="1"/>
    <row r="2586" customFormat="1" ht="15" customHeight="1"/>
    <row r="2587" customFormat="1" ht="15" customHeight="1"/>
    <row r="2588" customFormat="1" ht="15" customHeight="1"/>
    <row r="2589" customFormat="1" ht="15" customHeight="1"/>
    <row r="2590" customFormat="1" ht="15" customHeight="1"/>
    <row r="2591" customFormat="1" ht="15" customHeight="1"/>
    <row r="2592" customFormat="1" ht="15" customHeight="1"/>
    <row r="2593" customFormat="1" ht="15" customHeight="1"/>
    <row r="2594" customFormat="1" ht="15" customHeight="1"/>
    <row r="2595" customFormat="1" ht="15" customHeight="1"/>
    <row r="2596" customFormat="1" ht="15" customHeight="1"/>
    <row r="2597" customFormat="1" ht="15" customHeight="1"/>
    <row r="2598" customFormat="1" ht="15" customHeight="1"/>
    <row r="2599" customFormat="1" ht="12" customHeight="1"/>
    <row r="2600" customFormat="1" ht="15" customHeight="1"/>
    <row r="2601" customFormat="1" ht="15" customHeight="1"/>
    <row r="2602" customFormat="1" ht="15" customHeight="1"/>
    <row r="2603" customFormat="1" ht="15" customHeight="1"/>
    <row r="2604" customFormat="1" ht="15" customHeight="1"/>
    <row r="2605" customFormat="1" ht="15" customHeight="1"/>
    <row r="2606" customFormat="1" ht="15" customHeight="1"/>
    <row r="2607" customFormat="1" ht="15" customHeight="1"/>
    <row r="2608" customFormat="1" ht="15" customHeight="1"/>
    <row r="2609" customFormat="1" ht="15" customHeight="1"/>
    <row r="2610" customFormat="1" ht="15" customHeight="1"/>
    <row r="2611" customFormat="1" ht="15" customHeight="1"/>
    <row r="2612" customFormat="1" ht="15" customHeight="1"/>
    <row r="2613" customFormat="1" ht="15" customHeight="1"/>
    <row r="2614" customFormat="1" ht="15" customHeight="1"/>
    <row r="2615" customFormat="1" ht="15" customHeight="1"/>
    <row r="2616" customFormat="1" ht="15" customHeight="1"/>
    <row r="2617" customFormat="1" ht="12" customHeight="1"/>
    <row r="2618" customFormat="1" ht="12" customHeight="1"/>
    <row r="2619" customFormat="1" ht="15" customHeight="1"/>
    <row r="2620" customFormat="1" ht="15" customHeight="1"/>
    <row r="2621" customFormat="1" ht="15" customHeight="1"/>
    <row r="2622" customFormat="1" ht="15" customHeight="1"/>
    <row r="2623" customFormat="1" ht="15" customHeight="1"/>
    <row r="2624" customFormat="1" ht="15" customHeight="1"/>
    <row r="2625" customFormat="1" ht="15" customHeight="1"/>
    <row r="2626" customFormat="1" ht="15" customHeight="1"/>
    <row r="2627" customFormat="1" ht="15" customHeight="1"/>
    <row r="2628" customFormat="1" ht="15" customHeight="1"/>
    <row r="2629" customFormat="1" ht="15" customHeight="1"/>
    <row r="2630" customFormat="1" ht="15" customHeight="1"/>
    <row r="2631" customFormat="1" ht="15" customHeight="1"/>
    <row r="2632" customFormat="1" ht="15" customHeight="1"/>
    <row r="2633" customFormat="1" ht="15" customHeight="1"/>
    <row r="2634" customFormat="1" ht="15" customHeight="1"/>
    <row r="2635" customFormat="1" ht="15" customHeight="1"/>
    <row r="2636" customFormat="1" ht="12" customHeight="1"/>
    <row r="2637" customFormat="1" ht="15" customHeight="1"/>
    <row r="2638" customFormat="1" ht="15" customHeight="1"/>
    <row r="2639" customFormat="1" ht="15" customHeight="1"/>
    <row r="2640" customFormat="1" ht="15" customHeight="1"/>
    <row r="2641" customFormat="1" ht="15" customHeight="1"/>
    <row r="2642" customFormat="1" ht="15" customHeight="1"/>
    <row r="2643" customFormat="1" ht="15" customHeight="1"/>
    <row r="2644" customFormat="1" ht="15" customHeight="1"/>
    <row r="2645" customFormat="1" ht="15" customHeight="1"/>
    <row r="2646" customFormat="1" ht="15" customHeight="1"/>
    <row r="2647" customFormat="1" ht="15" customHeight="1"/>
    <row r="2648" customFormat="1" ht="15" customHeight="1"/>
    <row r="2649" customFormat="1" ht="15" customHeight="1"/>
    <row r="2650" customFormat="1" ht="15" customHeight="1"/>
    <row r="2651" customFormat="1" ht="15" customHeight="1"/>
    <row r="2652" customFormat="1" ht="15" customHeight="1"/>
    <row r="2653" customFormat="1" ht="15" customHeight="1"/>
    <row r="2654" customFormat="1" ht="12" customHeight="1"/>
    <row r="2655" customFormat="1" ht="15" customHeight="1"/>
    <row r="2656" customFormat="1" ht="15" customHeight="1"/>
    <row r="2657" customFormat="1" ht="15" customHeight="1"/>
    <row r="2658" customFormat="1" ht="15" customHeight="1"/>
    <row r="2659" customFormat="1" ht="15" customHeight="1"/>
    <row r="2660" customFormat="1" ht="15" customHeight="1"/>
    <row r="2661" customFormat="1" ht="15" customHeight="1"/>
    <row r="2662" customFormat="1" ht="15" customHeight="1"/>
    <row r="2663" customFormat="1" ht="15" customHeight="1"/>
    <row r="2664" customFormat="1" ht="15" customHeight="1"/>
    <row r="2665" customFormat="1" ht="15" customHeight="1"/>
    <row r="2666" customFormat="1" ht="15" customHeight="1"/>
    <row r="2667" customFormat="1" ht="15" customHeight="1"/>
    <row r="2668" customFormat="1" ht="15" customHeight="1"/>
    <row r="2669" customFormat="1" ht="15" customHeight="1"/>
    <row r="2670" customFormat="1" ht="15" customHeight="1"/>
    <row r="2671" customFormat="1" ht="15" customHeight="1"/>
    <row r="2672" customFormat="1" ht="12" customHeight="1"/>
    <row r="2673" customFormat="1" ht="15" customHeight="1"/>
    <row r="2674" customFormat="1" ht="15" customHeight="1"/>
    <row r="2675" customFormat="1" ht="15" customHeight="1"/>
    <row r="2676" customFormat="1" ht="15" customHeight="1"/>
    <row r="2677" customFormat="1" ht="15" customHeight="1"/>
    <row r="2678" customFormat="1" ht="15" customHeight="1"/>
    <row r="2679" customFormat="1" ht="15" customHeight="1"/>
    <row r="2680" customFormat="1" ht="15" customHeight="1"/>
    <row r="2681" customFormat="1" ht="15" customHeight="1"/>
    <row r="2682" customFormat="1" ht="15" customHeight="1"/>
    <row r="2683" customFormat="1" ht="15" customHeight="1"/>
    <row r="2684" customFormat="1" ht="15" customHeight="1"/>
    <row r="2685" customFormat="1" ht="15" customHeight="1"/>
    <row r="2686" customFormat="1" ht="15" customHeight="1"/>
    <row r="2687" customFormat="1" ht="15" customHeight="1"/>
    <row r="2688" customFormat="1" ht="15" customHeight="1"/>
    <row r="2689" customFormat="1" ht="15" customHeight="1"/>
    <row r="2690" customFormat="1" ht="12" customHeight="1"/>
    <row r="2691" customFormat="1" ht="15" customHeight="1"/>
    <row r="2692" customFormat="1" ht="15" customHeight="1"/>
    <row r="2693" customFormat="1" ht="15" customHeight="1"/>
    <row r="2694" customFormat="1" ht="15" customHeight="1"/>
    <row r="2695" customFormat="1" ht="15" customHeight="1"/>
    <row r="2696" customFormat="1" ht="15" customHeight="1"/>
    <row r="2697" customFormat="1" ht="15" customHeight="1"/>
    <row r="2698" customFormat="1" ht="15" customHeight="1"/>
    <row r="2699" customFormat="1" ht="15" customHeight="1"/>
    <row r="2700" customFormat="1" ht="15" customHeight="1"/>
    <row r="2701" customFormat="1" ht="15" customHeight="1"/>
    <row r="2702" customFormat="1" ht="15" customHeight="1"/>
    <row r="2703" customFormat="1" ht="15" customHeight="1"/>
    <row r="2704" customFormat="1" ht="15" customHeight="1"/>
    <row r="2705" customFormat="1" ht="15" customHeight="1"/>
    <row r="2706" customFormat="1" ht="15" customHeight="1"/>
    <row r="2707" customFormat="1" ht="15" customHeight="1"/>
    <row r="2708" customFormat="1" ht="12" customHeight="1"/>
    <row r="2709" customFormat="1" ht="15" customHeight="1"/>
    <row r="2710" customFormat="1" ht="15" customHeight="1"/>
    <row r="2711" customFormat="1" ht="15" customHeight="1"/>
    <row r="2712" customFormat="1" ht="15" customHeight="1"/>
    <row r="2713" customFormat="1" ht="15" customHeight="1"/>
    <row r="2714" customFormat="1" ht="15" customHeight="1"/>
    <row r="2715" customFormat="1" ht="15" customHeight="1"/>
    <row r="2716" customFormat="1" ht="15" customHeight="1"/>
    <row r="2717" customFormat="1" ht="15" customHeight="1"/>
    <row r="2718" customFormat="1" ht="15" customHeight="1"/>
    <row r="2719" customFormat="1" ht="15" customHeight="1"/>
    <row r="2720" customFormat="1" ht="15" customHeight="1"/>
    <row r="2721" customFormat="1" ht="15" customHeight="1"/>
    <row r="2722" customFormat="1" ht="15" customHeight="1"/>
    <row r="2723" customFormat="1" ht="15" customHeight="1"/>
    <row r="2724" customFormat="1" ht="15" customHeight="1"/>
    <row r="2725" customFormat="1" ht="15" customHeight="1"/>
    <row r="2726" customFormat="1" ht="12" customHeight="1"/>
    <row r="2727" customFormat="1" ht="15" customHeight="1"/>
    <row r="2728" customFormat="1" ht="15" customHeight="1"/>
    <row r="2729" customFormat="1" ht="15" customHeight="1"/>
    <row r="2730" customFormat="1" ht="15" customHeight="1"/>
    <row r="2731" customFormat="1" ht="15" customHeight="1"/>
    <row r="2732" customFormat="1" ht="15" customHeight="1"/>
    <row r="2733" customFormat="1" ht="15" customHeight="1"/>
    <row r="2734" customFormat="1" ht="15" customHeight="1"/>
    <row r="2735" customFormat="1" ht="15" customHeight="1"/>
    <row r="2736" customFormat="1" ht="15" customHeight="1"/>
    <row r="2737" spans="2:32" ht="15" customHeight="1"/>
    <row r="2738" spans="2:32" ht="15" customHeight="1"/>
    <row r="2739" spans="2:32" ht="15" customHeight="1"/>
    <row r="2740" spans="2:32" ht="15" customHeight="1"/>
    <row r="2741" spans="2:32" ht="15" customHeight="1"/>
    <row r="2742" spans="2:32" ht="15" customHeight="1"/>
    <row r="2743" spans="2:32" ht="15" customHeight="1"/>
    <row r="2744" spans="2:32" ht="15" customHeight="1"/>
    <row r="2745" spans="2:32" ht="15" customHeight="1">
      <c r="B2745" s="177"/>
      <c r="C2745" s="177"/>
      <c r="D2745" s="177"/>
      <c r="E2745" s="177"/>
      <c r="F2745" s="177"/>
      <c r="G2745" s="177"/>
      <c r="H2745" s="177"/>
      <c r="I2745" s="177"/>
      <c r="J2745" s="177"/>
      <c r="K2745" s="177"/>
      <c r="L2745" s="177"/>
      <c r="M2745" s="177"/>
      <c r="N2745" s="177"/>
      <c r="O2745" s="177"/>
      <c r="P2745" s="177"/>
      <c r="Q2745" s="177"/>
      <c r="R2745" s="177"/>
      <c r="S2745" s="177"/>
      <c r="T2745" s="177"/>
      <c r="U2745" s="177"/>
      <c r="V2745" s="177"/>
      <c r="W2745" s="177"/>
      <c r="X2745" s="177"/>
      <c r="Y2745" s="177"/>
      <c r="Z2745" s="177"/>
      <c r="AA2745" s="177"/>
      <c r="AB2745" s="177"/>
      <c r="AC2745" s="177"/>
      <c r="AD2745" s="177"/>
      <c r="AE2745" s="177"/>
      <c r="AF2745" s="177"/>
    </row>
    <row r="2746" spans="2:32" ht="15" customHeight="1"/>
    <row r="2747" spans="2:32" ht="12" customHeight="1"/>
    <row r="2748" spans="2:32" ht="12" customHeight="1"/>
    <row r="2749" spans="2:32" ht="12" customHeight="1"/>
    <row r="2750" spans="2:32" ht="12" customHeight="1"/>
    <row r="2751" spans="2:32" ht="12" customHeight="1"/>
    <row r="2752" spans="2:32" ht="12" customHeight="1"/>
    <row r="2753" customFormat="1" ht="12" customHeight="1"/>
    <row r="2754" customFormat="1" ht="12" customHeight="1"/>
    <row r="2755" customFormat="1" ht="12" customHeight="1"/>
    <row r="2756" customFormat="1" ht="12" customHeight="1"/>
    <row r="2757" customFormat="1" ht="12" customHeight="1"/>
    <row r="2758" customFormat="1" ht="12" customHeight="1"/>
    <row r="2759" customFormat="1" ht="12" customHeight="1"/>
    <row r="2760" customFormat="1" ht="12" customHeight="1"/>
    <row r="2761" customFormat="1" ht="12" customHeight="1"/>
    <row r="2762" customFormat="1" ht="12" customHeight="1"/>
    <row r="2763" customFormat="1" ht="12" customHeight="1"/>
    <row r="2764" customFormat="1" ht="12" customHeight="1"/>
    <row r="2765" customFormat="1" ht="12" customHeight="1"/>
    <row r="2766" customFormat="1" ht="12" customHeight="1"/>
    <row r="2767" customFormat="1" ht="12" customHeight="1"/>
    <row r="2768" customFormat="1" ht="12" customHeight="1"/>
    <row r="2769" customFormat="1" ht="12" customHeight="1"/>
    <row r="2770" customFormat="1" ht="12" customHeight="1"/>
    <row r="2771" customFormat="1" ht="12" customHeight="1"/>
    <row r="2772" customFormat="1" ht="12" customHeight="1"/>
    <row r="2773" customFormat="1" ht="12" customHeight="1"/>
    <row r="2774" customFormat="1" ht="12" customHeight="1"/>
    <row r="2775" customFormat="1" ht="15" customHeight="1"/>
    <row r="2776" customFormat="1" ht="15" customHeight="1"/>
    <row r="2777" customFormat="1" ht="15" customHeight="1"/>
    <row r="2778" customFormat="1" ht="15" customHeight="1"/>
    <row r="2779" customFormat="1" ht="15" customHeight="1"/>
    <row r="2780" customFormat="1" ht="15" customHeight="1"/>
    <row r="2781" customFormat="1" ht="15" customHeight="1"/>
    <row r="2782" customFormat="1" ht="15" customHeight="1"/>
    <row r="2783" customFormat="1" ht="15" customHeight="1"/>
    <row r="2784" customFormat="1" ht="15" customHeight="1"/>
    <row r="2785" customFormat="1" ht="15" customHeight="1"/>
    <row r="2786" customFormat="1" ht="15" customHeight="1"/>
    <row r="2787" customFormat="1" ht="15" customHeight="1"/>
    <row r="2788" customFormat="1" ht="15" customHeight="1"/>
    <row r="2789" customFormat="1" ht="15" customHeight="1"/>
    <row r="2790" customFormat="1" ht="15" customHeight="1"/>
    <row r="2791" customFormat="1" ht="15" customHeight="1"/>
    <row r="2792" customFormat="1" ht="15" customHeight="1"/>
    <row r="2793" customFormat="1" ht="15" customHeight="1"/>
    <row r="2794" customFormat="1" ht="15" customHeight="1"/>
    <row r="2795" customFormat="1" ht="15" customHeight="1"/>
    <row r="2796" customFormat="1" ht="15" customHeight="1"/>
    <row r="2797" customFormat="1" ht="12" customHeight="1"/>
    <row r="2798" customFormat="1" ht="15" customHeight="1"/>
    <row r="2799" customFormat="1" ht="15" customHeight="1"/>
    <row r="2800" customFormat="1" ht="15" customHeight="1"/>
    <row r="2801" customFormat="1" ht="15" customHeight="1"/>
    <row r="2802" customFormat="1" ht="15" customHeight="1"/>
    <row r="2803" customFormat="1" ht="15" customHeight="1"/>
    <row r="2804" customFormat="1" ht="15" customHeight="1"/>
    <row r="2805" customFormat="1" ht="15" customHeight="1"/>
    <row r="2806" customFormat="1" ht="15" customHeight="1"/>
    <row r="2807" customFormat="1" ht="15" customHeight="1"/>
    <row r="2808" customFormat="1" ht="15" customHeight="1"/>
    <row r="2809" customFormat="1" ht="15" customHeight="1"/>
    <row r="2810" customFormat="1" ht="15" customHeight="1"/>
    <row r="2811" customFormat="1" ht="15" customHeight="1"/>
    <row r="2812" customFormat="1" ht="15" customHeight="1"/>
    <row r="2813" customFormat="1" ht="15" customHeight="1"/>
    <row r="2814" customFormat="1" ht="15" customHeight="1"/>
    <row r="2815" customFormat="1" ht="12" customHeight="1"/>
    <row r="2816" customFormat="1" ht="15" customHeight="1"/>
    <row r="2817" customFormat="1" ht="15" customHeight="1"/>
    <row r="2818" customFormat="1" ht="15" customHeight="1"/>
    <row r="2819" customFormat="1" ht="15" customHeight="1"/>
    <row r="2820" customFormat="1" ht="15" customHeight="1"/>
    <row r="2821" customFormat="1" ht="15" customHeight="1"/>
    <row r="2822" customFormat="1" ht="15" customHeight="1"/>
    <row r="2823" customFormat="1" ht="15" customHeight="1"/>
    <row r="2824" customFormat="1" ht="15" customHeight="1"/>
    <row r="2825" customFormat="1" ht="15" customHeight="1"/>
    <row r="2826" customFormat="1" ht="15" customHeight="1"/>
    <row r="2827" customFormat="1" ht="15" customHeight="1"/>
    <row r="2828" customFormat="1" ht="15" customHeight="1"/>
    <row r="2829" customFormat="1" ht="15" customHeight="1"/>
    <row r="2830" customFormat="1" ht="15" customHeight="1"/>
    <row r="2831" customFormat="1" ht="15" customHeight="1"/>
    <row r="2832" customFormat="1" ht="15" customHeight="1"/>
    <row r="2833" customFormat="1" ht="12" customHeight="1"/>
    <row r="2834" customFormat="1" ht="15" customHeight="1"/>
    <row r="2835" customFormat="1" ht="15" customHeight="1"/>
    <row r="2836" customFormat="1" ht="15" customHeight="1"/>
    <row r="2837" customFormat="1" ht="15" customHeight="1"/>
    <row r="2838" customFormat="1" ht="15" customHeight="1"/>
    <row r="2839" customFormat="1" ht="15" customHeight="1"/>
    <row r="2840" customFormat="1" ht="15" customHeight="1"/>
    <row r="2841" customFormat="1" ht="15" customHeight="1"/>
    <row r="2842" customFormat="1" ht="15" customHeight="1"/>
    <row r="2843" customFormat="1" ht="15" customHeight="1"/>
    <row r="2844" customFormat="1" ht="15" customHeight="1"/>
    <row r="2845" customFormat="1" ht="15" customHeight="1"/>
    <row r="2846" customFormat="1" ht="15" customHeight="1"/>
    <row r="2847" customFormat="1" ht="15" customHeight="1"/>
    <row r="2848" customFormat="1" ht="15" customHeight="1"/>
    <row r="2849" customFormat="1" ht="15" customHeight="1"/>
    <row r="2850" customFormat="1" ht="15" customHeight="1"/>
    <row r="2851" customFormat="1" ht="12" customHeight="1"/>
    <row r="2852" customFormat="1" ht="15" customHeight="1"/>
    <row r="2853" customFormat="1" ht="15" customHeight="1"/>
    <row r="2854" customFormat="1" ht="15" customHeight="1"/>
    <row r="2855" customFormat="1" ht="15" customHeight="1"/>
    <row r="2856" customFormat="1" ht="15" customHeight="1"/>
    <row r="2857" customFormat="1" ht="15" customHeight="1"/>
    <row r="2858" customFormat="1" ht="15" customHeight="1"/>
    <row r="2859" customFormat="1" ht="15" customHeight="1"/>
    <row r="2860" customFormat="1" ht="15" customHeight="1"/>
    <row r="2861" customFormat="1" ht="15" customHeight="1"/>
    <row r="2862" customFormat="1" ht="15" customHeight="1"/>
    <row r="2863" customFormat="1" ht="15" customHeight="1"/>
    <row r="2864" customFormat="1" ht="15" customHeight="1"/>
    <row r="2865" customFormat="1" ht="15" customHeight="1"/>
    <row r="2866" customFormat="1" ht="15" customHeight="1"/>
    <row r="2867" customFormat="1" ht="15" customHeight="1"/>
    <row r="2868" customFormat="1" ht="15" customHeight="1"/>
    <row r="2869" customFormat="1" ht="15" customHeight="1"/>
    <row r="2870" customFormat="1" ht="15" customHeight="1"/>
    <row r="2871" customFormat="1" ht="15" customHeight="1"/>
    <row r="2872" customFormat="1" ht="15" customHeight="1"/>
    <row r="2873" customFormat="1" ht="15" customHeight="1"/>
    <row r="2874" customFormat="1" ht="15" customHeight="1"/>
    <row r="2875" customFormat="1" ht="15" customHeight="1"/>
    <row r="2876" customFormat="1" ht="15" customHeight="1"/>
    <row r="2877" customFormat="1" ht="15" customHeight="1"/>
    <row r="2878" customFormat="1" ht="15" customHeight="1"/>
    <row r="2879" customFormat="1" ht="15" customHeight="1"/>
    <row r="2880" customFormat="1" ht="15" customHeight="1"/>
    <row r="2881" customFormat="1" ht="15" customHeight="1"/>
    <row r="2882" customFormat="1" ht="15" customHeight="1"/>
    <row r="2883" customFormat="1" ht="15" customHeight="1"/>
    <row r="2884" customFormat="1" ht="15" customHeight="1"/>
    <row r="2885" customFormat="1" ht="15" customHeight="1"/>
    <row r="2886" customFormat="1" ht="12" customHeight="1"/>
    <row r="2887" customFormat="1" ht="15" customHeight="1"/>
    <row r="2888" customFormat="1" ht="15" customHeight="1"/>
    <row r="2889" customFormat="1" ht="15" customHeight="1"/>
    <row r="2890" customFormat="1" ht="15" customHeight="1"/>
    <row r="2891" customFormat="1" ht="15" customHeight="1"/>
    <row r="2892" customFormat="1" ht="15" customHeight="1"/>
    <row r="2893" customFormat="1" ht="15" customHeight="1"/>
    <row r="2894" customFormat="1" ht="15" customHeight="1"/>
    <row r="2895" customFormat="1" ht="15" customHeight="1"/>
    <row r="2896" customFormat="1" ht="15" customHeight="1"/>
    <row r="2897" customFormat="1" ht="15" customHeight="1"/>
    <row r="2898" customFormat="1" ht="15" customHeight="1"/>
    <row r="2899" customFormat="1" ht="15" customHeight="1"/>
    <row r="2900" customFormat="1" ht="15" customHeight="1"/>
    <row r="2901" customFormat="1" ht="15" customHeight="1"/>
    <row r="2902" customFormat="1" ht="15" customHeight="1"/>
    <row r="2903" customFormat="1" ht="15" customHeight="1"/>
    <row r="2904" customFormat="1" ht="12" customHeight="1"/>
    <row r="2905" customFormat="1" ht="15" customHeight="1"/>
    <row r="2906" customFormat="1" ht="15" customHeight="1"/>
    <row r="2907" customFormat="1" ht="15" customHeight="1"/>
    <row r="2908" customFormat="1" ht="15" customHeight="1"/>
    <row r="2909" customFormat="1" ht="15" customHeight="1"/>
    <row r="2910" customFormat="1" ht="15" customHeight="1"/>
    <row r="2911" customFormat="1" ht="15" customHeight="1"/>
    <row r="2912" customFormat="1" ht="15" customHeight="1"/>
    <row r="2913" customFormat="1" ht="15" customHeight="1"/>
    <row r="2914" customFormat="1" ht="15" customHeight="1"/>
    <row r="2915" customFormat="1" ht="15" customHeight="1"/>
    <row r="2916" customFormat="1" ht="15" customHeight="1"/>
    <row r="2917" customFormat="1" ht="15" customHeight="1"/>
    <row r="2918" customFormat="1" ht="15" customHeight="1"/>
    <row r="2919" customFormat="1" ht="15" customHeight="1"/>
    <row r="2920" customFormat="1" ht="15" customHeight="1"/>
    <row r="2921" customFormat="1" ht="15" customHeight="1"/>
    <row r="2922" customFormat="1" ht="15" customHeight="1"/>
    <row r="2923" customFormat="1" ht="15" customHeight="1"/>
    <row r="2924" customFormat="1" ht="15" customHeight="1"/>
    <row r="2925" customFormat="1" ht="15" customHeight="1"/>
    <row r="2926" customFormat="1" ht="15" customHeight="1"/>
    <row r="2927" customFormat="1" ht="15" customHeight="1"/>
    <row r="2928" customFormat="1" ht="15" customHeight="1"/>
    <row r="2929" customFormat="1" ht="15" customHeight="1"/>
    <row r="2930" customFormat="1" ht="15" customHeight="1"/>
    <row r="2931" customFormat="1" ht="15" customHeight="1"/>
    <row r="2932" customFormat="1" ht="15" customHeight="1"/>
    <row r="2933" customFormat="1" ht="15" customHeight="1"/>
    <row r="2934" customFormat="1" ht="15" customHeight="1"/>
    <row r="2935" customFormat="1" ht="15" customHeight="1"/>
    <row r="2936" customFormat="1" ht="15" customHeight="1"/>
    <row r="2937" customFormat="1" ht="15" customHeight="1"/>
    <row r="2938" customFormat="1" ht="15" customHeight="1"/>
    <row r="2939" customFormat="1" ht="12" customHeight="1"/>
    <row r="2940" customFormat="1" ht="15" customHeight="1"/>
    <row r="2941" customFormat="1" ht="15" customHeight="1"/>
    <row r="2942" customFormat="1" ht="15" customHeight="1"/>
    <row r="2943" customFormat="1" ht="15" customHeight="1"/>
    <row r="2944" customFormat="1" ht="15" customHeight="1"/>
    <row r="2945" customFormat="1" ht="15" customHeight="1"/>
    <row r="2946" customFormat="1" ht="15" customHeight="1"/>
    <row r="2947" customFormat="1" ht="15" customHeight="1"/>
    <row r="2948" customFormat="1" ht="15" customHeight="1"/>
    <row r="2949" customFormat="1" ht="15" customHeight="1"/>
    <row r="2950" customFormat="1" ht="15" customHeight="1"/>
    <row r="2951" customFormat="1" ht="15" customHeight="1"/>
    <row r="2952" customFormat="1" ht="15" customHeight="1"/>
    <row r="2953" customFormat="1" ht="15" customHeight="1"/>
    <row r="2954" customFormat="1" ht="15" customHeight="1"/>
    <row r="2955" customFormat="1" ht="15" customHeight="1"/>
    <row r="2956" customFormat="1" ht="15" customHeight="1"/>
    <row r="2957" customFormat="1" ht="12" customHeight="1"/>
    <row r="2958" customFormat="1" ht="15" customHeight="1"/>
    <row r="2959" customFormat="1" ht="15" customHeight="1"/>
    <row r="2960" customFormat="1" ht="15" customHeight="1"/>
    <row r="2961" customFormat="1" ht="15" customHeight="1"/>
    <row r="2962" customFormat="1" ht="15" customHeight="1"/>
    <row r="2963" customFormat="1" ht="15" customHeight="1"/>
    <row r="2964" customFormat="1" ht="15" customHeight="1"/>
    <row r="2965" customFormat="1" ht="15" customHeight="1"/>
    <row r="2966" customFormat="1" ht="15" customHeight="1"/>
    <row r="2967" customFormat="1" ht="15" customHeight="1"/>
    <row r="2968" customFormat="1" ht="15" customHeight="1"/>
    <row r="2969" customFormat="1" ht="15" customHeight="1"/>
    <row r="2970" customFormat="1" ht="15" customHeight="1"/>
    <row r="2971" customFormat="1" ht="15" customHeight="1"/>
    <row r="2972" customFormat="1" ht="15" customHeight="1"/>
    <row r="2973" customFormat="1" ht="15" customHeight="1"/>
    <row r="2974" customFormat="1" ht="15" customHeight="1"/>
    <row r="2975" customFormat="1" ht="12" customHeight="1"/>
    <row r="2976" customFormat="1" ht="15" customHeight="1"/>
    <row r="2977" customFormat="1" ht="15" customHeight="1"/>
    <row r="2978" customFormat="1" ht="15" customHeight="1"/>
    <row r="2979" customFormat="1" ht="15" customHeight="1"/>
    <row r="2980" customFormat="1" ht="15" customHeight="1"/>
    <row r="2981" customFormat="1" ht="15" customHeight="1"/>
    <row r="2982" customFormat="1" ht="15" customHeight="1"/>
    <row r="2983" customFormat="1" ht="15" customHeight="1"/>
    <row r="2984" customFormat="1" ht="15" customHeight="1"/>
    <row r="2985" customFormat="1" ht="15" customHeight="1"/>
    <row r="2986" customFormat="1" ht="15" customHeight="1"/>
    <row r="2987" customFormat="1" ht="15" customHeight="1"/>
    <row r="2988" customFormat="1" ht="15" customHeight="1"/>
    <row r="2989" customFormat="1" ht="15" customHeight="1"/>
    <row r="2990" customFormat="1" ht="15" customHeight="1"/>
    <row r="2991" customFormat="1" ht="15" customHeight="1"/>
    <row r="2992" customFormat="1" ht="15" customHeight="1"/>
    <row r="2993" customFormat="1" ht="12" customHeight="1"/>
    <row r="2994" customFormat="1" ht="15" customHeight="1"/>
    <row r="2995" customFormat="1" ht="15" customHeight="1"/>
    <row r="2996" customFormat="1" ht="15" customHeight="1"/>
    <row r="2997" customFormat="1" ht="15" customHeight="1"/>
    <row r="2998" customFormat="1" ht="15" customHeight="1"/>
    <row r="2999" customFormat="1" ht="15" customHeight="1"/>
    <row r="3000" customFormat="1" ht="15" customHeight="1"/>
    <row r="3001" customFormat="1" ht="15" customHeight="1"/>
    <row r="3002" customFormat="1" ht="15" customHeight="1"/>
    <row r="3003" customFormat="1" ht="15" customHeight="1"/>
    <row r="3004" customFormat="1" ht="15" customHeight="1"/>
    <row r="3005" customFormat="1" ht="15" customHeight="1"/>
    <row r="3006" customFormat="1" ht="15" customHeight="1"/>
    <row r="3007" customFormat="1" ht="15" customHeight="1"/>
    <row r="3008" customFormat="1" ht="15" customHeight="1"/>
    <row r="3009" customFormat="1" ht="15" customHeight="1"/>
    <row r="3010" customFormat="1" ht="15" customHeight="1"/>
    <row r="3011" customFormat="1" ht="12" customHeight="1"/>
    <row r="3012" customFormat="1" ht="15" customHeight="1"/>
    <row r="3013" customFormat="1" ht="15" customHeight="1"/>
    <row r="3014" customFormat="1" ht="15" customHeight="1"/>
    <row r="3015" customFormat="1" ht="15" customHeight="1"/>
    <row r="3016" customFormat="1" ht="15" customHeight="1"/>
    <row r="3017" customFormat="1" ht="15" customHeight="1"/>
    <row r="3018" customFormat="1" ht="15" customHeight="1"/>
    <row r="3019" customFormat="1" ht="15" customHeight="1"/>
    <row r="3020" customFormat="1" ht="15" customHeight="1"/>
    <row r="3021" customFormat="1" ht="15" customHeight="1"/>
    <row r="3022" customFormat="1" ht="15" customHeight="1"/>
    <row r="3023" customFormat="1" ht="15" customHeight="1"/>
    <row r="3024" customFormat="1" ht="15" customHeight="1"/>
    <row r="3025" customFormat="1" ht="15" customHeight="1"/>
    <row r="3026" customFormat="1" ht="15" customHeight="1"/>
    <row r="3027" customFormat="1" ht="15" customHeight="1"/>
    <row r="3028" customFormat="1" ht="15" customHeight="1"/>
    <row r="3029" customFormat="1" ht="12" customHeight="1"/>
    <row r="3030" customFormat="1" ht="15" customHeight="1"/>
    <row r="3031" customFormat="1" ht="15" customHeight="1"/>
    <row r="3032" customFormat="1" ht="15" customHeight="1"/>
    <row r="3033" customFormat="1" ht="15" customHeight="1"/>
    <row r="3034" customFormat="1" ht="15" customHeight="1"/>
    <row r="3035" customFormat="1" ht="15" customHeight="1"/>
    <row r="3036" customFormat="1" ht="15" customHeight="1"/>
    <row r="3037" customFormat="1" ht="15" customHeight="1"/>
    <row r="3038" customFormat="1" ht="15" customHeight="1"/>
    <row r="3039" customFormat="1" ht="15" customHeight="1"/>
    <row r="3040" customFormat="1" ht="15" customHeight="1"/>
    <row r="3041" customFormat="1" ht="15" customHeight="1"/>
    <row r="3042" customFormat="1" ht="15" customHeight="1"/>
    <row r="3043" customFormat="1" ht="15" customHeight="1"/>
    <row r="3044" customFormat="1" ht="15" customHeight="1"/>
    <row r="3045" customFormat="1" ht="15" customHeight="1"/>
    <row r="3046" customFormat="1" ht="15" customHeight="1"/>
    <row r="3047" customFormat="1" ht="12" customHeight="1"/>
    <row r="3048" customFormat="1" ht="15" customHeight="1"/>
    <row r="3049" customFormat="1" ht="15" customHeight="1"/>
    <row r="3050" customFormat="1" ht="15" customHeight="1"/>
    <row r="3051" customFormat="1" ht="15" customHeight="1"/>
    <row r="3052" customFormat="1" ht="15" customHeight="1"/>
    <row r="3053" customFormat="1" ht="15" customHeight="1"/>
    <row r="3054" customFormat="1" ht="15" customHeight="1"/>
    <row r="3055" customFormat="1" ht="15" customHeight="1"/>
    <row r="3056" customFormat="1" ht="15" customHeight="1"/>
    <row r="3057" customFormat="1" ht="15" customHeight="1"/>
    <row r="3058" customFormat="1" ht="15" customHeight="1"/>
    <row r="3059" customFormat="1" ht="15" customHeight="1"/>
    <row r="3060" customFormat="1" ht="15" customHeight="1"/>
    <row r="3061" customFormat="1" ht="15" customHeight="1"/>
    <row r="3062" customFormat="1" ht="15" customHeight="1"/>
    <row r="3063" customFormat="1" ht="15" customHeight="1"/>
    <row r="3064" customFormat="1" ht="15" customHeight="1"/>
    <row r="3065" customFormat="1" ht="12" customHeight="1"/>
    <row r="3066" customFormat="1" ht="15" customHeight="1"/>
    <row r="3067" customFormat="1" ht="15" customHeight="1"/>
    <row r="3068" customFormat="1" ht="15" customHeight="1"/>
    <row r="3069" customFormat="1" ht="15" customHeight="1"/>
    <row r="3070" customFormat="1" ht="12" customHeight="1"/>
    <row r="3071" customFormat="1" ht="12" customHeight="1"/>
    <row r="3072" customFormat="1" ht="15" customHeight="1"/>
    <row r="3073" spans="2:32" ht="15" customHeight="1"/>
    <row r="3074" spans="2:32" ht="15" customHeight="1"/>
    <row r="3075" spans="2:32" ht="15" customHeight="1"/>
    <row r="3076" spans="2:32" ht="15" customHeight="1">
      <c r="B3076" s="177"/>
      <c r="C3076" s="177"/>
      <c r="D3076" s="177"/>
      <c r="E3076" s="177"/>
      <c r="F3076" s="177"/>
      <c r="G3076" s="177"/>
      <c r="H3076" s="177"/>
      <c r="I3076" s="177"/>
      <c r="J3076" s="177"/>
      <c r="K3076" s="177"/>
      <c r="L3076" s="177"/>
      <c r="M3076" s="177"/>
      <c r="N3076" s="177"/>
      <c r="O3076" s="177"/>
      <c r="P3076" s="177"/>
      <c r="Q3076" s="177"/>
      <c r="R3076" s="177"/>
      <c r="S3076" s="177"/>
      <c r="T3076" s="177"/>
      <c r="U3076" s="177"/>
      <c r="V3076" s="177"/>
      <c r="W3076" s="177"/>
      <c r="X3076" s="177"/>
      <c r="Y3076" s="177"/>
      <c r="Z3076" s="177"/>
      <c r="AA3076" s="177"/>
      <c r="AB3076" s="177"/>
      <c r="AC3076" s="177"/>
      <c r="AD3076" s="177"/>
      <c r="AE3076" s="177"/>
      <c r="AF3076" s="177"/>
    </row>
    <row r="3077" spans="2:32" ht="15" customHeight="1"/>
    <row r="3078" spans="2:32" ht="15" customHeight="1"/>
    <row r="3079" spans="2:32" ht="12" customHeight="1"/>
    <row r="3080" spans="2:32" ht="12" customHeight="1"/>
    <row r="3081" spans="2:32" ht="12" customHeight="1"/>
    <row r="3082" spans="2:32" ht="12" customHeight="1"/>
    <row r="3083" spans="2:32" ht="12" customHeight="1"/>
    <row r="3084" spans="2:32" ht="12" customHeight="1"/>
    <row r="3085" spans="2:32" ht="12" customHeight="1"/>
    <row r="3086" spans="2:32" ht="12" customHeight="1"/>
    <row r="3087" spans="2:32" ht="12" customHeight="1"/>
    <row r="3088" spans="2:32" ht="12" customHeight="1"/>
    <row r="3089" customFormat="1" ht="12" customHeight="1"/>
    <row r="3090" customFormat="1" ht="12" customHeight="1"/>
    <row r="3091" customFormat="1" ht="12" customHeight="1"/>
    <row r="3092" customFormat="1" ht="12" customHeight="1"/>
    <row r="3093" customFormat="1" ht="12" customHeight="1"/>
    <row r="3094" customFormat="1" ht="12" customHeight="1"/>
    <row r="3095" customFormat="1" ht="12" customHeight="1"/>
    <row r="3096" customFormat="1" ht="12" customHeight="1"/>
    <row r="3097" customFormat="1" ht="12" customHeight="1"/>
    <row r="3098" customFormat="1" ht="12" customHeight="1"/>
    <row r="3099" customFormat="1" ht="12" customHeight="1"/>
    <row r="3100" customFormat="1" ht="15" customHeight="1"/>
    <row r="3101" customFormat="1" ht="15" customHeight="1"/>
    <row r="3102" customFormat="1" ht="15" customHeight="1"/>
    <row r="3103" customFormat="1" ht="15" customHeight="1"/>
    <row r="3104" customFormat="1" ht="15" customHeight="1"/>
    <row r="3105" customFormat="1" ht="15" customHeight="1"/>
    <row r="3106" customFormat="1" ht="15" customHeight="1"/>
    <row r="3107" customFormat="1" ht="15" customHeight="1"/>
    <row r="3108" customFormat="1" ht="15" customHeight="1"/>
    <row r="3109" customFormat="1" ht="15" customHeight="1"/>
    <row r="3110" customFormat="1" ht="15" customHeight="1"/>
    <row r="3111" customFormat="1" ht="15" customHeight="1"/>
    <row r="3112" customFormat="1" ht="15" customHeight="1"/>
    <row r="3113" customFormat="1" ht="15" customHeight="1"/>
    <row r="3114" customFormat="1" ht="15" customHeight="1"/>
    <row r="3115" customFormat="1" ht="15" customHeight="1"/>
    <row r="3116" customFormat="1" ht="15" customHeight="1"/>
    <row r="3117" customFormat="1" ht="15" customHeight="1"/>
    <row r="3118" customFormat="1" ht="15" customHeight="1"/>
    <row r="3119" customFormat="1" ht="15" customHeight="1"/>
    <row r="3120" customFormat="1" ht="15" customHeight="1"/>
    <row r="3121" customFormat="1" ht="15" customHeight="1"/>
    <row r="3122" customFormat="1" ht="12" customHeight="1"/>
    <row r="3123" customFormat="1" ht="15" customHeight="1"/>
    <row r="3124" customFormat="1" ht="15" customHeight="1"/>
    <row r="3125" customFormat="1" ht="15" customHeight="1"/>
    <row r="3126" customFormat="1" ht="15" customHeight="1"/>
    <row r="3127" customFormat="1" ht="15" customHeight="1"/>
    <row r="3128" customFormat="1" ht="15" customHeight="1"/>
    <row r="3129" customFormat="1" ht="15" customHeight="1"/>
    <row r="3130" customFormat="1" ht="15" customHeight="1"/>
    <row r="3131" customFormat="1" ht="15" customHeight="1"/>
    <row r="3132" customFormat="1" ht="15" customHeight="1"/>
    <row r="3133" customFormat="1" ht="15" customHeight="1"/>
    <row r="3134" customFormat="1" ht="15" customHeight="1"/>
    <row r="3135" customFormat="1" ht="15" customHeight="1"/>
    <row r="3136" customFormat="1" ht="15" customHeight="1"/>
    <row r="3137" customFormat="1" ht="15" customHeight="1"/>
    <row r="3138" customFormat="1" ht="15" customHeight="1"/>
    <row r="3139" customFormat="1" ht="15" customHeight="1"/>
    <row r="3140" customFormat="1" ht="12" customHeight="1"/>
    <row r="3141" customFormat="1" ht="15" customHeight="1"/>
    <row r="3142" customFormat="1" ht="15" customHeight="1"/>
    <row r="3143" customFormat="1" ht="15" customHeight="1"/>
    <row r="3144" customFormat="1" ht="15" customHeight="1"/>
    <row r="3145" customFormat="1" ht="15" customHeight="1"/>
    <row r="3146" customFormat="1" ht="15" customHeight="1"/>
    <row r="3147" customFormat="1" ht="15" customHeight="1"/>
    <row r="3148" customFormat="1" ht="15" customHeight="1"/>
    <row r="3149" customFormat="1" ht="15" customHeight="1"/>
    <row r="3150" customFormat="1" ht="15" customHeight="1"/>
    <row r="3151" customFormat="1" ht="15" customHeight="1"/>
    <row r="3152" customFormat="1" ht="15" customHeight="1"/>
    <row r="3153" customFormat="1" ht="15" customHeight="1"/>
    <row r="3154" customFormat="1" ht="15" customHeight="1"/>
    <row r="3155" customFormat="1" ht="15" customHeight="1"/>
    <row r="3156" customFormat="1" ht="15" customHeight="1"/>
    <row r="3157" customFormat="1" ht="15" customHeight="1"/>
    <row r="3158" customFormat="1" ht="12" customHeight="1"/>
    <row r="3159" customFormat="1" ht="15" customHeight="1"/>
    <row r="3160" customFormat="1" ht="15" customHeight="1"/>
    <row r="3161" customFormat="1" ht="15" customHeight="1"/>
    <row r="3162" customFormat="1" ht="15" customHeight="1"/>
    <row r="3163" customFormat="1" ht="15" customHeight="1"/>
    <row r="3164" customFormat="1" ht="15" customHeight="1"/>
    <row r="3165" customFormat="1" ht="15" customHeight="1"/>
    <row r="3166" customFormat="1" ht="15" customHeight="1"/>
    <row r="3167" customFormat="1" ht="15" customHeight="1"/>
    <row r="3168" customFormat="1" ht="15" customHeight="1"/>
    <row r="3169" customFormat="1" ht="15" customHeight="1"/>
    <row r="3170" customFormat="1" ht="15" customHeight="1"/>
    <row r="3171" customFormat="1" ht="15" customHeight="1"/>
    <row r="3172" customFormat="1" ht="15" customHeight="1"/>
    <row r="3173" customFormat="1" ht="15" customHeight="1"/>
    <row r="3174" customFormat="1" ht="15" customHeight="1"/>
    <row r="3175" customFormat="1" ht="15" customHeight="1"/>
    <row r="3176" customFormat="1" ht="12" customHeight="1"/>
    <row r="3177" customFormat="1" ht="15" customHeight="1"/>
    <row r="3178" customFormat="1" ht="15" customHeight="1"/>
    <row r="3179" customFormat="1" ht="15" customHeight="1"/>
    <row r="3180" customFormat="1" ht="15" customHeight="1"/>
    <row r="3181" customFormat="1" ht="15" customHeight="1"/>
    <row r="3182" customFormat="1" ht="15" customHeight="1"/>
    <row r="3183" customFormat="1" ht="15" customHeight="1"/>
    <row r="3184" customFormat="1" ht="15" customHeight="1"/>
    <row r="3185" customFormat="1" ht="15" customHeight="1"/>
    <row r="3186" customFormat="1" ht="15" customHeight="1"/>
    <row r="3187" customFormat="1" ht="15" customHeight="1"/>
    <row r="3188" customFormat="1" ht="15" customHeight="1"/>
    <row r="3189" customFormat="1" ht="15" customHeight="1"/>
    <row r="3190" customFormat="1" ht="15" customHeight="1"/>
    <row r="3191" customFormat="1" ht="15" customHeight="1"/>
    <row r="3192" customFormat="1" ht="15" customHeight="1"/>
    <row r="3193" customFormat="1" ht="15" customHeight="1"/>
    <row r="3194" customFormat="1" ht="15" customHeight="1"/>
    <row r="3195" customFormat="1" ht="15" customHeight="1"/>
    <row r="3196" customFormat="1" ht="15" customHeight="1"/>
    <row r="3197" customFormat="1" ht="15" customHeight="1"/>
    <row r="3198" customFormat="1" ht="15" customHeight="1"/>
    <row r="3199" customFormat="1" ht="15" customHeight="1"/>
    <row r="3200" customFormat="1" ht="15" customHeight="1"/>
    <row r="3201" customFormat="1" ht="15" customHeight="1"/>
    <row r="3202" customFormat="1" ht="15" customHeight="1"/>
    <row r="3203" customFormat="1" ht="15" customHeight="1"/>
    <row r="3204" customFormat="1" ht="15" customHeight="1"/>
    <row r="3205" customFormat="1" ht="15" customHeight="1"/>
    <row r="3206" customFormat="1" ht="15" customHeight="1"/>
    <row r="3207" customFormat="1" ht="15" customHeight="1"/>
    <row r="3208" customFormat="1" ht="15" customHeight="1"/>
    <row r="3209" customFormat="1" ht="15" customHeight="1"/>
    <row r="3210" customFormat="1" ht="15" customHeight="1"/>
    <row r="3211" customFormat="1" ht="12" customHeight="1"/>
    <row r="3212" customFormat="1" ht="15" customHeight="1"/>
    <row r="3213" customFormat="1" ht="15" customHeight="1"/>
    <row r="3214" customFormat="1" ht="15" customHeight="1"/>
    <row r="3215" customFormat="1" ht="15" customHeight="1"/>
    <row r="3216" customFormat="1" ht="15" customHeight="1"/>
    <row r="3217" customFormat="1" ht="15" customHeight="1"/>
    <row r="3218" customFormat="1" ht="15" customHeight="1"/>
    <row r="3219" customFormat="1" ht="15" customHeight="1"/>
    <row r="3220" customFormat="1" ht="15" customHeight="1"/>
    <row r="3221" customFormat="1" ht="15" customHeight="1"/>
    <row r="3222" customFormat="1" ht="15" customHeight="1"/>
    <row r="3223" customFormat="1" ht="15" customHeight="1"/>
    <row r="3224" customFormat="1" ht="15" customHeight="1"/>
    <row r="3225" customFormat="1" ht="15" customHeight="1"/>
    <row r="3226" customFormat="1" ht="15" customHeight="1"/>
    <row r="3227" customFormat="1" ht="15" customHeight="1"/>
    <row r="3228" customFormat="1" ht="15" customHeight="1"/>
    <row r="3229" customFormat="1" ht="12" customHeight="1"/>
    <row r="3230" customFormat="1" ht="15" customHeight="1"/>
    <row r="3231" customFormat="1" ht="15" customHeight="1"/>
    <row r="3232" customFormat="1" ht="15" customHeight="1"/>
    <row r="3233" customFormat="1" ht="15" customHeight="1"/>
    <row r="3234" customFormat="1" ht="15" customHeight="1"/>
    <row r="3235" customFormat="1" ht="15" customHeight="1"/>
    <row r="3236" customFormat="1" ht="15" customHeight="1"/>
    <row r="3237" customFormat="1" ht="15" customHeight="1"/>
    <row r="3238" customFormat="1" ht="15" customHeight="1"/>
    <row r="3239" customFormat="1" ht="15" customHeight="1"/>
    <row r="3240" customFormat="1" ht="15" customHeight="1"/>
    <row r="3241" customFormat="1" ht="15" customHeight="1"/>
    <row r="3242" customFormat="1" ht="15" customHeight="1"/>
    <row r="3243" customFormat="1" ht="15" customHeight="1"/>
    <row r="3244" customFormat="1" ht="15" customHeight="1"/>
    <row r="3245" customFormat="1" ht="15" customHeight="1"/>
    <row r="3246" customFormat="1" ht="15" customHeight="1"/>
    <row r="3247" customFormat="1" ht="12" customHeight="1"/>
    <row r="3248" customFormat="1" ht="15" customHeight="1"/>
    <row r="3249" customFormat="1" ht="15" customHeight="1"/>
    <row r="3250" customFormat="1" ht="15" customHeight="1"/>
    <row r="3251" customFormat="1" ht="15" customHeight="1"/>
    <row r="3252" customFormat="1" ht="15" customHeight="1"/>
    <row r="3253" customFormat="1" ht="15" customHeight="1"/>
    <row r="3254" customFormat="1" ht="15" customHeight="1"/>
    <row r="3255" customFormat="1" ht="15" customHeight="1"/>
    <row r="3256" customFormat="1" ht="15" customHeight="1"/>
    <row r="3257" customFormat="1" ht="15" customHeight="1"/>
    <row r="3258" customFormat="1" ht="15" customHeight="1"/>
    <row r="3259" customFormat="1" ht="15" customHeight="1"/>
    <row r="3260" customFormat="1" ht="15" customHeight="1"/>
    <row r="3261" customFormat="1" ht="15" customHeight="1"/>
    <row r="3262" customFormat="1" ht="15" customHeight="1"/>
    <row r="3263" customFormat="1" ht="15" customHeight="1"/>
    <row r="3264" customFormat="1" ht="15" customHeight="1"/>
    <row r="3265" customFormat="1" ht="12" customHeight="1"/>
    <row r="3266" customFormat="1" ht="12" customHeight="1"/>
    <row r="3267" customFormat="1" ht="15" customHeight="1"/>
    <row r="3268" customFormat="1" ht="15" customHeight="1"/>
    <row r="3269" customFormat="1" ht="15" customHeight="1"/>
    <row r="3270" customFormat="1" ht="15" customHeight="1"/>
    <row r="3271" customFormat="1" ht="15" customHeight="1"/>
    <row r="3272" customFormat="1" ht="15" customHeight="1"/>
    <row r="3273" customFormat="1" ht="15" customHeight="1"/>
    <row r="3274" customFormat="1" ht="15" customHeight="1"/>
    <row r="3275" customFormat="1" ht="15" customHeight="1"/>
    <row r="3276" customFormat="1" ht="15" customHeight="1"/>
    <row r="3277" customFormat="1" ht="15" customHeight="1"/>
    <row r="3278" customFormat="1" ht="15" customHeight="1"/>
    <row r="3279" customFormat="1" ht="15" customHeight="1"/>
    <row r="3280" customFormat="1" ht="15" customHeight="1"/>
    <row r="3281" customFormat="1" ht="15" customHeight="1"/>
    <row r="3282" customFormat="1" ht="15" customHeight="1"/>
    <row r="3283" customFormat="1" ht="15" customHeight="1"/>
    <row r="3284" customFormat="1" ht="12" customHeight="1"/>
    <row r="3285" customFormat="1" ht="15" customHeight="1"/>
    <row r="3286" customFormat="1" ht="15" customHeight="1"/>
    <row r="3287" customFormat="1" ht="15" customHeight="1"/>
    <row r="3288" customFormat="1" ht="15" customHeight="1"/>
    <row r="3289" customFormat="1" ht="15" customHeight="1"/>
    <row r="3290" customFormat="1" ht="15" customHeight="1"/>
    <row r="3291" customFormat="1" ht="15" customHeight="1"/>
    <row r="3292" customFormat="1" ht="15" customHeight="1"/>
    <row r="3293" customFormat="1" ht="15" customHeight="1"/>
    <row r="3294" customFormat="1" ht="15" customHeight="1"/>
    <row r="3295" customFormat="1" ht="15" customHeight="1"/>
    <row r="3296" customFormat="1" ht="15" customHeight="1"/>
    <row r="3297" customFormat="1" ht="15" customHeight="1"/>
    <row r="3298" customFormat="1" ht="15" customHeight="1"/>
    <row r="3299" customFormat="1" ht="15" customHeight="1"/>
    <row r="3300" customFormat="1" ht="15" customHeight="1"/>
    <row r="3301" customFormat="1" ht="15" customHeight="1"/>
    <row r="3302" customFormat="1" ht="12" customHeight="1"/>
    <row r="3303" customFormat="1" ht="15" customHeight="1"/>
    <row r="3304" customFormat="1" ht="15" customHeight="1"/>
    <row r="3305" customFormat="1" ht="15" customHeight="1"/>
    <row r="3306" customFormat="1" ht="15" customHeight="1"/>
    <row r="3307" customFormat="1" ht="15" customHeight="1"/>
    <row r="3308" customFormat="1" ht="15" customHeight="1"/>
    <row r="3309" customFormat="1" ht="15" customHeight="1"/>
    <row r="3310" customFormat="1" ht="15" customHeight="1"/>
    <row r="3311" customFormat="1" ht="15" customHeight="1"/>
    <row r="3312" customFormat="1" ht="15" customHeight="1"/>
    <row r="3313" customFormat="1" ht="15" customHeight="1"/>
    <row r="3314" customFormat="1" ht="15" customHeight="1"/>
    <row r="3315" customFormat="1" ht="15" customHeight="1"/>
    <row r="3316" customFormat="1" ht="15" customHeight="1"/>
    <row r="3317" customFormat="1" ht="15" customHeight="1"/>
    <row r="3318" customFormat="1" ht="15" customHeight="1"/>
    <row r="3319" customFormat="1" ht="15" customHeight="1"/>
    <row r="3320" customFormat="1" ht="12" customHeight="1"/>
    <row r="3321" customFormat="1" ht="15" customHeight="1"/>
    <row r="3322" customFormat="1" ht="15" customHeight="1"/>
    <row r="3323" customFormat="1" ht="15" customHeight="1"/>
    <row r="3324" customFormat="1" ht="15" customHeight="1"/>
    <row r="3325" customFormat="1" ht="15" customHeight="1"/>
    <row r="3326" customFormat="1" ht="15" customHeight="1"/>
    <row r="3327" customFormat="1" ht="15" customHeight="1"/>
    <row r="3328" customFormat="1" ht="15" customHeight="1"/>
    <row r="3329" customFormat="1" ht="15" customHeight="1"/>
    <row r="3330" customFormat="1" ht="15" customHeight="1"/>
    <row r="3331" customFormat="1" ht="15" customHeight="1"/>
    <row r="3332" customFormat="1" ht="15" customHeight="1"/>
    <row r="3333" customFormat="1" ht="15" customHeight="1"/>
    <row r="3334" customFormat="1" ht="15" customHeight="1"/>
    <row r="3335" customFormat="1" ht="15" customHeight="1"/>
    <row r="3336" customFormat="1" ht="15" customHeight="1"/>
    <row r="3337" customFormat="1" ht="15" customHeight="1"/>
    <row r="3338" customFormat="1" ht="12" customHeight="1"/>
    <row r="3339" customFormat="1" ht="15" customHeight="1"/>
    <row r="3340" customFormat="1" ht="15" customHeight="1"/>
    <row r="3341" customFormat="1" ht="15" customHeight="1"/>
    <row r="3342" customFormat="1" ht="15" customHeight="1"/>
    <row r="3343" customFormat="1" ht="15" customHeight="1"/>
    <row r="3344" customFormat="1" ht="15" customHeight="1"/>
    <row r="3345" customFormat="1" ht="15" customHeight="1"/>
    <row r="3346" customFormat="1" ht="15" customHeight="1"/>
    <row r="3347" customFormat="1" ht="15" customHeight="1"/>
    <row r="3348" customFormat="1" ht="15" customHeight="1"/>
    <row r="3349" customFormat="1" ht="15" customHeight="1"/>
    <row r="3350" customFormat="1" ht="15" customHeight="1"/>
    <row r="3351" customFormat="1" ht="15" customHeight="1"/>
    <row r="3352" customFormat="1" ht="15" customHeight="1"/>
    <row r="3353" customFormat="1" ht="15" customHeight="1"/>
    <row r="3354" customFormat="1" ht="15" customHeight="1"/>
    <row r="3355" customFormat="1" ht="15" customHeight="1"/>
    <row r="3356" customFormat="1" ht="12" customHeight="1"/>
    <row r="3357" customFormat="1" ht="15" customHeight="1"/>
    <row r="3358" customFormat="1" ht="15" customHeight="1"/>
    <row r="3359" customFormat="1" ht="15" customHeight="1"/>
    <row r="3360" customFormat="1" ht="15" customHeight="1"/>
    <row r="3361" customFormat="1" ht="15" customHeight="1"/>
    <row r="3362" customFormat="1" ht="15" customHeight="1"/>
    <row r="3363" customFormat="1" ht="15" customHeight="1"/>
    <row r="3364" customFormat="1" ht="15" customHeight="1"/>
    <row r="3365" customFormat="1" ht="15" customHeight="1"/>
    <row r="3366" customFormat="1" ht="15" customHeight="1"/>
    <row r="3367" customFormat="1" ht="15" customHeight="1"/>
    <row r="3368" customFormat="1" ht="15" customHeight="1"/>
    <row r="3369" customFormat="1" ht="15" customHeight="1"/>
    <row r="3370" customFormat="1" ht="15" customHeight="1"/>
    <row r="3371" customFormat="1" ht="15" customHeight="1"/>
    <row r="3372" customFormat="1" ht="15" customHeight="1"/>
    <row r="3373" customFormat="1" ht="15" customHeight="1"/>
    <row r="3374" customFormat="1" ht="12" customHeight="1"/>
    <row r="3375" customFormat="1" ht="15" customHeight="1"/>
    <row r="3376" customFormat="1" ht="15" customHeight="1"/>
    <row r="3377" customFormat="1" ht="15" customHeight="1"/>
    <row r="3378" customFormat="1" ht="15" customHeight="1"/>
    <row r="3379" customFormat="1" ht="15" customHeight="1"/>
    <row r="3380" customFormat="1" ht="15" customHeight="1"/>
    <row r="3381" customFormat="1" ht="15" customHeight="1"/>
    <row r="3382" customFormat="1" ht="15" customHeight="1"/>
    <row r="3383" customFormat="1" ht="15" customHeight="1"/>
    <row r="3384" customFormat="1" ht="15" customHeight="1"/>
    <row r="3385" customFormat="1" ht="15" customHeight="1"/>
    <row r="3386" customFormat="1" ht="15" customHeight="1"/>
    <row r="3387" customFormat="1" ht="15" customHeight="1"/>
    <row r="3388" customFormat="1" ht="15" customHeight="1"/>
    <row r="3389" customFormat="1" ht="15" customHeight="1"/>
    <row r="3390" customFormat="1" ht="15" customHeight="1"/>
    <row r="3391" customFormat="1" ht="15" customHeight="1"/>
    <row r="3392" customFormat="1" ht="15" customHeight="1"/>
    <row r="3393" spans="2:32" ht="15" customHeight="1">
      <c r="B3393" s="177"/>
      <c r="C3393" s="177"/>
      <c r="D3393" s="177"/>
      <c r="E3393" s="177"/>
      <c r="F3393" s="177"/>
      <c r="G3393" s="177"/>
      <c r="H3393" s="177"/>
      <c r="I3393" s="177"/>
      <c r="J3393" s="177"/>
      <c r="K3393" s="177"/>
      <c r="L3393" s="177"/>
      <c r="M3393" s="177"/>
      <c r="N3393" s="177"/>
      <c r="O3393" s="177"/>
      <c r="P3393" s="177"/>
      <c r="Q3393" s="177"/>
      <c r="R3393" s="177"/>
      <c r="S3393" s="177"/>
      <c r="T3393" s="177"/>
      <c r="U3393" s="177"/>
      <c r="V3393" s="177"/>
      <c r="W3393" s="177"/>
      <c r="X3393" s="177"/>
      <c r="Y3393" s="177"/>
      <c r="Z3393" s="177"/>
      <c r="AA3393" s="177"/>
      <c r="AB3393" s="177"/>
      <c r="AC3393" s="177"/>
      <c r="AD3393" s="177"/>
      <c r="AE3393" s="177"/>
      <c r="AF3393" s="177"/>
    </row>
    <row r="3394" spans="2:32" ht="12" customHeight="1"/>
    <row r="3395" spans="2:32" ht="12" customHeight="1"/>
    <row r="3396" spans="2:32" ht="12" customHeight="1"/>
    <row r="3397" spans="2:32" ht="12" customHeight="1"/>
    <row r="3398" spans="2:32" ht="12" customHeight="1"/>
    <row r="3399" spans="2:32" ht="12" customHeight="1"/>
    <row r="3400" spans="2:32" ht="12" customHeight="1"/>
    <row r="3401" spans="2:32" ht="12" customHeight="1"/>
    <row r="3402" spans="2:32" ht="12" customHeight="1"/>
    <row r="3403" spans="2:32" ht="12" customHeight="1"/>
    <row r="3404" spans="2:32" ht="12" customHeight="1"/>
    <row r="3405" spans="2:32" ht="12" customHeight="1"/>
    <row r="3406" spans="2:32" ht="12" customHeight="1"/>
    <row r="3407" spans="2:32" ht="12" customHeight="1"/>
    <row r="3408" spans="2:32" ht="12" customHeight="1"/>
    <row r="3409" customFormat="1" ht="12" customHeight="1"/>
    <row r="3410" customFormat="1" ht="12" customHeight="1"/>
    <row r="3411" customFormat="1" ht="12" customHeight="1"/>
    <row r="3412" customFormat="1" ht="12" customHeight="1"/>
    <row r="3413" customFormat="1" ht="12" customHeight="1"/>
    <row r="3414" customFormat="1" ht="12" customHeight="1"/>
    <row r="3415" customFormat="1" ht="12" customHeight="1"/>
    <row r="3416" customFormat="1" ht="12" customHeight="1"/>
    <row r="3417" customFormat="1" ht="12" customHeight="1"/>
    <row r="3418" customFormat="1" ht="12" customHeight="1"/>
    <row r="3419" customFormat="1" ht="12" customHeight="1"/>
    <row r="3420" customFormat="1" ht="12" customHeight="1"/>
    <row r="3421" customFormat="1" ht="12" customHeight="1"/>
    <row r="3422" customFormat="1" ht="12" customHeight="1"/>
    <row r="3423" customFormat="1" ht="12" customHeight="1"/>
    <row r="3424" customFormat="1" ht="12" customHeight="1"/>
    <row r="3425" customFormat="1" ht="15" customHeight="1"/>
    <row r="3426" customFormat="1" ht="15" customHeight="1"/>
    <row r="3427" customFormat="1" ht="15" customHeight="1"/>
    <row r="3428" customFormat="1" ht="15" customHeight="1"/>
    <row r="3429" customFormat="1" ht="15" customHeight="1"/>
    <row r="3430" customFormat="1" ht="15" customHeight="1"/>
    <row r="3431" customFormat="1" ht="15" customHeight="1"/>
    <row r="3432" customFormat="1" ht="15" customHeight="1"/>
    <row r="3433" customFormat="1" ht="15" customHeight="1"/>
    <row r="3434" customFormat="1" ht="15" customHeight="1"/>
    <row r="3435" customFormat="1" ht="12" customHeight="1"/>
    <row r="3436" customFormat="1" ht="15" customHeight="1"/>
    <row r="3437" customFormat="1" ht="15" customHeight="1"/>
    <row r="3438" customFormat="1" ht="15" customHeight="1"/>
    <row r="3439" customFormat="1" ht="15" customHeight="1"/>
    <row r="3440" customFormat="1" ht="15" customHeight="1"/>
    <row r="3441" customFormat="1" ht="15" customHeight="1"/>
    <row r="3442" customFormat="1" ht="15" customHeight="1"/>
    <row r="3443" customFormat="1" ht="15" customHeight="1"/>
    <row r="3444" customFormat="1" ht="15" customHeight="1"/>
    <row r="3445" customFormat="1" ht="15" customHeight="1"/>
    <row r="3446" customFormat="1" ht="15" customHeight="1"/>
    <row r="3447" customFormat="1" ht="15" customHeight="1"/>
    <row r="3448" customFormat="1" ht="15" customHeight="1"/>
    <row r="3449" customFormat="1" ht="15" customHeight="1"/>
    <row r="3450" customFormat="1" ht="15" customHeight="1"/>
    <row r="3451" customFormat="1" ht="15" customHeight="1"/>
    <row r="3452" customFormat="1" ht="12" customHeight="1"/>
    <row r="3453" customFormat="1" ht="15" customHeight="1"/>
    <row r="3454" customFormat="1" ht="15" customHeight="1"/>
    <row r="3455" customFormat="1" ht="12" customHeight="1"/>
    <row r="3456" customFormat="1" ht="15" customHeight="1"/>
    <row r="3457" customFormat="1" ht="15" customHeight="1"/>
    <row r="3458" customFormat="1" ht="15" customHeight="1"/>
    <row r="3459" customFormat="1" ht="15" customHeight="1"/>
    <row r="3460" customFormat="1" ht="15" customHeight="1"/>
    <row r="3461" customFormat="1" ht="12" customHeight="1"/>
    <row r="3462" customFormat="1" ht="15" customHeight="1"/>
    <row r="3463" customFormat="1" ht="15" customHeight="1"/>
    <row r="3464" customFormat="1" ht="15" customHeight="1"/>
    <row r="3465" customFormat="1" ht="15" customHeight="1"/>
    <row r="3466" customFormat="1" ht="15" customHeight="1"/>
    <row r="3467" customFormat="1" ht="15" customHeight="1"/>
    <row r="3468" customFormat="1" ht="15" customHeight="1"/>
    <row r="3469" customFormat="1" ht="15" customHeight="1"/>
    <row r="3470" customFormat="1" ht="15" customHeight="1"/>
    <row r="3471" customFormat="1" ht="15" customHeight="1"/>
    <row r="3472" customFormat="1" ht="15" customHeight="1"/>
    <row r="3473" customFormat="1" ht="15" customHeight="1"/>
    <row r="3474" customFormat="1" ht="15" customHeight="1"/>
    <row r="3475" customFormat="1" ht="15" customHeight="1"/>
    <row r="3476" customFormat="1" ht="15" customHeight="1"/>
    <row r="3477" customFormat="1" ht="15" customHeight="1"/>
    <row r="3478" customFormat="1" ht="12" customHeight="1"/>
    <row r="3479" customFormat="1" ht="15" customHeight="1"/>
    <row r="3480" customFormat="1" ht="15" customHeight="1"/>
    <row r="3481" customFormat="1" ht="12" customHeight="1"/>
    <row r="3482" customFormat="1" ht="15" customHeight="1"/>
    <row r="3483" customFormat="1" ht="15" customHeight="1"/>
    <row r="3484" customFormat="1" ht="15" customHeight="1"/>
    <row r="3485" customFormat="1" ht="12" customHeight="1"/>
    <row r="3486" customFormat="1" ht="15" customHeight="1"/>
    <row r="3487" customFormat="1" ht="15" customHeight="1"/>
    <row r="3488" customFormat="1" ht="15" customHeight="1"/>
    <row r="3489" spans="2:32" ht="15" customHeight="1"/>
    <row r="3490" spans="2:32" ht="15" customHeight="1"/>
    <row r="3491" spans="2:32" ht="15" customHeight="1"/>
    <row r="3492" spans="2:32" ht="15" customHeight="1"/>
    <row r="3493" spans="2:32" ht="15" customHeight="1"/>
    <row r="3494" spans="2:32" ht="15" customHeight="1"/>
    <row r="3495" spans="2:32" ht="15" customHeight="1"/>
    <row r="3496" spans="2:32" ht="12" customHeight="1"/>
    <row r="3497" spans="2:32" ht="15" customHeight="1"/>
    <row r="3498" spans="2:32" ht="15" customHeight="1"/>
    <row r="3499" spans="2:32" ht="12" customHeight="1"/>
    <row r="3500" spans="2:32" ht="15" customHeight="1"/>
    <row r="3501" spans="2:32" ht="15" customHeight="1"/>
    <row r="3502" spans="2:32" ht="15" customHeight="1">
      <c r="B3502" s="177"/>
      <c r="C3502" s="177"/>
      <c r="D3502" s="177"/>
      <c r="E3502" s="177"/>
      <c r="F3502" s="177"/>
      <c r="G3502" s="177"/>
      <c r="H3502" s="177"/>
      <c r="I3502" s="177"/>
      <c r="J3502" s="177"/>
      <c r="K3502" s="177"/>
      <c r="L3502" s="177"/>
      <c r="M3502" s="177"/>
      <c r="N3502" s="177"/>
      <c r="O3502" s="177"/>
      <c r="P3502" s="177"/>
      <c r="Q3502" s="177"/>
      <c r="R3502" s="177"/>
      <c r="S3502" s="177"/>
      <c r="T3502" s="177"/>
      <c r="U3502" s="177"/>
      <c r="V3502" s="177"/>
      <c r="W3502" s="177"/>
      <c r="X3502" s="177"/>
      <c r="Y3502" s="177"/>
      <c r="Z3502" s="177"/>
      <c r="AA3502" s="177"/>
      <c r="AB3502" s="177"/>
      <c r="AC3502" s="177"/>
      <c r="AD3502" s="177"/>
      <c r="AE3502" s="177"/>
      <c r="AF3502" s="177"/>
    </row>
    <row r="3503" spans="2:32" ht="15" customHeight="1"/>
    <row r="3504" spans="2:32" ht="15" customHeight="1"/>
    <row r="3505" customFormat="1" ht="15" customHeight="1"/>
    <row r="3506" customFormat="1" ht="15" customHeight="1"/>
    <row r="3507" customFormat="1" ht="15" customHeight="1"/>
    <row r="3508" customFormat="1" ht="15" customHeight="1"/>
    <row r="3509" customFormat="1" ht="15" customHeight="1"/>
    <row r="3510" customFormat="1" ht="15" customHeight="1"/>
    <row r="3511" customFormat="1" ht="12" customHeight="1"/>
    <row r="3512" customFormat="1" ht="12" customHeight="1"/>
    <row r="3513" customFormat="1" ht="12" customHeight="1"/>
    <row r="3514" customFormat="1" ht="12" customHeight="1"/>
    <row r="3515" customFormat="1" ht="12" customHeight="1"/>
    <row r="3516" customFormat="1" ht="12" customHeight="1"/>
    <row r="3517" customFormat="1" ht="12" customHeight="1"/>
    <row r="3518" customFormat="1" ht="12" customHeight="1"/>
    <row r="3519" customFormat="1" ht="12" customHeight="1"/>
    <row r="3520" customFormat="1" ht="12" customHeight="1"/>
    <row r="3521" customFormat="1" ht="12" customHeight="1"/>
    <row r="3522" customFormat="1" ht="12" customHeight="1"/>
    <row r="3523" customFormat="1" ht="12" customHeight="1"/>
    <row r="3524" customFormat="1" ht="12" customHeight="1"/>
    <row r="3525" customFormat="1" ht="12" customHeight="1"/>
    <row r="3526" customFormat="1" ht="12" customHeight="1"/>
    <row r="3527" customFormat="1" ht="12" customHeight="1"/>
    <row r="3528" customFormat="1" ht="12" customHeight="1"/>
    <row r="3529" customFormat="1" ht="12" customHeight="1"/>
    <row r="3530" customFormat="1" ht="12" customHeight="1"/>
    <row r="3531" customFormat="1" ht="12" customHeight="1"/>
    <row r="3532" customFormat="1" ht="12" customHeight="1"/>
    <row r="3533" customFormat="1" ht="12" customHeight="1"/>
    <row r="3534" customFormat="1" ht="12" customHeight="1"/>
    <row r="3535" customFormat="1" ht="12" customHeight="1"/>
    <row r="3536" customFormat="1" ht="12" customHeight="1"/>
    <row r="3537" customFormat="1" ht="12" customHeight="1"/>
    <row r="3538" customFormat="1" ht="12" customHeight="1"/>
    <row r="3539" customFormat="1" ht="12" customHeight="1"/>
    <row r="3540" customFormat="1" ht="12" customHeight="1"/>
    <row r="3541" customFormat="1" ht="12" customHeight="1"/>
    <row r="3542" customFormat="1" ht="12" customHeight="1"/>
    <row r="3543" customFormat="1" ht="12" customHeight="1"/>
    <row r="3544" customFormat="1" ht="12" customHeight="1"/>
    <row r="3545" customFormat="1" ht="12" customHeight="1"/>
    <row r="3546" customFormat="1" ht="12" customHeight="1"/>
    <row r="3547" customFormat="1" ht="12" customHeight="1"/>
    <row r="3548" customFormat="1" ht="12" customHeight="1"/>
    <row r="3549" customFormat="1" ht="12" customHeight="1"/>
    <row r="3550" customFormat="1" ht="15" customHeight="1"/>
    <row r="3551" customFormat="1" ht="15" customHeight="1"/>
    <row r="3552" customFormat="1" ht="15" customHeight="1"/>
    <row r="3553" customFormat="1" ht="15" customHeight="1"/>
    <row r="3554" customFormat="1" ht="15" customHeight="1"/>
    <row r="3555" customFormat="1" ht="15" customHeight="1"/>
    <row r="3556" customFormat="1" ht="15" customHeight="1"/>
    <row r="3557" customFormat="1" ht="15" customHeight="1"/>
    <row r="3558" customFormat="1" ht="15" customHeight="1"/>
    <row r="3559" customFormat="1" ht="15" customHeight="1"/>
    <row r="3560" customFormat="1" ht="12" customHeight="1"/>
    <row r="3561" customFormat="1" ht="15" customHeight="1"/>
    <row r="3562" customFormat="1" ht="15" customHeight="1"/>
    <row r="3563" customFormat="1" ht="15" customHeight="1"/>
    <row r="3564" customFormat="1" ht="15" customHeight="1"/>
    <row r="3565" customFormat="1" ht="15" customHeight="1"/>
    <row r="3566" customFormat="1" ht="15" customHeight="1"/>
    <row r="3567" customFormat="1" ht="15" customHeight="1"/>
    <row r="3568" customFormat="1" ht="15" customHeight="1"/>
    <row r="3569" customFormat="1" ht="15" customHeight="1"/>
    <row r="3570" customFormat="1" ht="15" customHeight="1"/>
    <row r="3571" customFormat="1" ht="15" customHeight="1"/>
    <row r="3572" customFormat="1" ht="15" customHeight="1"/>
    <row r="3573" customFormat="1" ht="15" customHeight="1"/>
    <row r="3574" customFormat="1" ht="15" customHeight="1"/>
    <row r="3575" customFormat="1" ht="15" customHeight="1"/>
    <row r="3576" customFormat="1" ht="15" customHeight="1"/>
    <row r="3577" customFormat="1" ht="12" customHeight="1"/>
    <row r="3578" customFormat="1" ht="15" customHeight="1"/>
    <row r="3579" customFormat="1" ht="15" customHeight="1"/>
    <row r="3580" customFormat="1" ht="12" customHeight="1"/>
    <row r="3581" customFormat="1" ht="15" customHeight="1"/>
    <row r="3582" customFormat="1" ht="15" customHeight="1"/>
    <row r="3583" customFormat="1" ht="15" customHeight="1"/>
    <row r="3584" customFormat="1" ht="15" customHeight="1"/>
    <row r="3585" customFormat="1" ht="15" customHeight="1"/>
    <row r="3586" customFormat="1" ht="12" customHeight="1"/>
    <row r="3587" customFormat="1" ht="15" customHeight="1"/>
    <row r="3588" customFormat="1" ht="15" customHeight="1"/>
    <row r="3589" customFormat="1" ht="15" customHeight="1"/>
    <row r="3590" customFormat="1" ht="15" customHeight="1"/>
    <row r="3591" customFormat="1" ht="15" customHeight="1"/>
    <row r="3592" customFormat="1" ht="15" customHeight="1"/>
    <row r="3593" customFormat="1" ht="15" customHeight="1"/>
    <row r="3594" customFormat="1" ht="15" customHeight="1"/>
    <row r="3595" customFormat="1" ht="15" customHeight="1"/>
    <row r="3596" customFormat="1" ht="15" customHeight="1"/>
    <row r="3597" customFormat="1" ht="15" customHeight="1"/>
    <row r="3598" customFormat="1" ht="15" customHeight="1"/>
    <row r="3599" customFormat="1" ht="15" customHeight="1"/>
    <row r="3600" customFormat="1" ht="15" customHeight="1"/>
    <row r="3601" customFormat="1" ht="15" customHeight="1"/>
    <row r="3602" customFormat="1" ht="15" customHeight="1"/>
    <row r="3603" customFormat="1" ht="12" customHeight="1"/>
    <row r="3604" customFormat="1" ht="15" customHeight="1"/>
    <row r="3605" customFormat="1" ht="15" customHeight="1"/>
    <row r="3606" customFormat="1" ht="12" customHeight="1"/>
    <row r="3607" customFormat="1" ht="15" customHeight="1"/>
    <row r="3608" customFormat="1" ht="15" customHeight="1"/>
    <row r="3609" customFormat="1" ht="15" customHeight="1"/>
    <row r="3610" customFormat="1" ht="12" customHeight="1"/>
    <row r="3611" customFormat="1" ht="15" customHeight="1"/>
    <row r="3612" customFormat="1" ht="15" customHeight="1"/>
    <row r="3613" customFormat="1" ht="15" customHeight="1"/>
    <row r="3614" customFormat="1" ht="15" customHeight="1"/>
    <row r="3615" customFormat="1" ht="15" customHeight="1"/>
    <row r="3616" customFormat="1" ht="15" customHeight="1"/>
    <row r="3617" spans="2:32" ht="15" customHeight="1"/>
    <row r="3618" spans="2:32" ht="15" customHeight="1"/>
    <row r="3619" spans="2:32" ht="15" customHeight="1"/>
    <row r="3620" spans="2:32" ht="15" customHeight="1"/>
    <row r="3621" spans="2:32" ht="12" customHeight="1"/>
    <row r="3622" spans="2:32" ht="15" customHeight="1"/>
    <row r="3623" spans="2:32" ht="15" customHeight="1"/>
    <row r="3624" spans="2:32" ht="12" customHeight="1"/>
    <row r="3625" spans="2:32" ht="15" customHeight="1"/>
    <row r="3626" spans="2:32" ht="15" customHeight="1"/>
    <row r="3627" spans="2:32" ht="15" customHeight="1">
      <c r="B3627" s="177"/>
      <c r="C3627" s="177"/>
      <c r="D3627" s="177"/>
      <c r="E3627" s="177"/>
      <c r="F3627" s="177"/>
      <c r="G3627" s="177"/>
      <c r="H3627" s="177"/>
      <c r="I3627" s="177"/>
      <c r="J3627" s="177"/>
      <c r="K3627" s="177"/>
      <c r="L3627" s="177"/>
      <c r="M3627" s="177"/>
      <c r="N3627" s="177"/>
      <c r="O3627" s="177"/>
      <c r="P3627" s="177"/>
      <c r="Q3627" s="177"/>
      <c r="R3627" s="177"/>
      <c r="S3627" s="177"/>
      <c r="T3627" s="177"/>
      <c r="U3627" s="177"/>
      <c r="V3627" s="177"/>
      <c r="W3627" s="177"/>
      <c r="X3627" s="177"/>
      <c r="Y3627" s="177"/>
      <c r="Z3627" s="177"/>
      <c r="AA3627" s="177"/>
      <c r="AB3627" s="177"/>
      <c r="AC3627" s="177"/>
      <c r="AD3627" s="177"/>
      <c r="AE3627" s="177"/>
      <c r="AF3627" s="177"/>
    </row>
    <row r="3628" spans="2:32" ht="15" customHeight="1"/>
    <row r="3629" spans="2:32" ht="15" customHeight="1"/>
    <row r="3630" spans="2:32" ht="15" customHeight="1"/>
    <row r="3631" spans="2:32" ht="15" customHeight="1"/>
    <row r="3632" spans="2:32" ht="15" customHeight="1"/>
    <row r="3633" customFormat="1" ht="15" customHeight="1"/>
    <row r="3634" customFormat="1" ht="15" customHeight="1"/>
    <row r="3635" customFormat="1" ht="15" customHeight="1"/>
    <row r="3636" customFormat="1" ht="12" customHeight="1"/>
    <row r="3637" customFormat="1" ht="12" customHeight="1"/>
    <row r="3638" customFormat="1" ht="12" customHeight="1"/>
    <row r="3639" customFormat="1" ht="12" customHeight="1"/>
    <row r="3640" customFormat="1" ht="12" customHeight="1"/>
    <row r="3641" customFormat="1" ht="12" customHeight="1"/>
    <row r="3642" customFormat="1" ht="12" customHeight="1"/>
    <row r="3643" customFormat="1" ht="12" customHeight="1"/>
    <row r="3644" customFormat="1" ht="12" customHeight="1"/>
    <row r="3645" customFormat="1" ht="12" customHeight="1"/>
    <row r="3646" customFormat="1" ht="12" customHeight="1"/>
    <row r="3647" customFormat="1" ht="12" customHeight="1"/>
    <row r="3648" customFormat="1" ht="12" customHeight="1"/>
    <row r="3649" customFormat="1" ht="12" customHeight="1"/>
    <row r="3650" customFormat="1" ht="12" customHeight="1"/>
    <row r="3651" customFormat="1" ht="12" customHeight="1"/>
    <row r="3652" customFormat="1" ht="12" customHeight="1"/>
    <row r="3653" customFormat="1" ht="12" customHeight="1"/>
    <row r="3654" customFormat="1" ht="12" customHeight="1"/>
    <row r="3655" customFormat="1" ht="12" customHeight="1"/>
    <row r="3656" customFormat="1" ht="12" customHeight="1"/>
    <row r="3657" customFormat="1" ht="12" customHeight="1"/>
    <row r="3658" customFormat="1" ht="12" customHeight="1"/>
    <row r="3659" customFormat="1" ht="12" customHeight="1"/>
    <row r="3660" customFormat="1" ht="12" customHeight="1"/>
    <row r="3661" customFormat="1" ht="12" customHeight="1"/>
    <row r="3662" customFormat="1" ht="12" customHeight="1"/>
    <row r="3663" customFormat="1" ht="12" customHeight="1"/>
    <row r="3664" customFormat="1" ht="12" customHeight="1"/>
    <row r="3665" customFormat="1" ht="12" customHeight="1"/>
    <row r="3666" customFormat="1" ht="12" customHeight="1"/>
    <row r="3667" customFormat="1" ht="12" customHeight="1"/>
    <row r="3668" customFormat="1" ht="12" customHeight="1"/>
    <row r="3669" customFormat="1" ht="12" customHeight="1"/>
    <row r="3670" customFormat="1" ht="12" customHeight="1"/>
    <row r="3671" customFormat="1" ht="12" customHeight="1"/>
    <row r="3672" customFormat="1" ht="12" customHeight="1"/>
    <row r="3673" customFormat="1" ht="12" customHeight="1"/>
    <row r="3674" customFormat="1" ht="12" customHeight="1"/>
    <row r="3675" customFormat="1" ht="15" customHeight="1"/>
    <row r="3676" customFormat="1" ht="15" customHeight="1"/>
    <row r="3677" customFormat="1" ht="15" customHeight="1"/>
    <row r="3678" customFormat="1" ht="15" customHeight="1"/>
    <row r="3679" customFormat="1" ht="15" customHeight="1"/>
    <row r="3680" customFormat="1" ht="15" customHeight="1"/>
    <row r="3681" customFormat="1" ht="15" customHeight="1"/>
    <row r="3682" customFormat="1" ht="15" customHeight="1"/>
    <row r="3683" customFormat="1" ht="15" customHeight="1"/>
    <row r="3684" customFormat="1" ht="15" customHeight="1"/>
    <row r="3685" customFormat="1" ht="12" customHeight="1"/>
    <row r="3686" customFormat="1" ht="15" customHeight="1"/>
    <row r="3687" customFormat="1" ht="15" customHeight="1"/>
    <row r="3688" customFormat="1" ht="15" customHeight="1"/>
    <row r="3689" customFormat="1" ht="15" customHeight="1"/>
    <row r="3690" customFormat="1" ht="15" customHeight="1"/>
    <row r="3691" customFormat="1" ht="15" customHeight="1"/>
    <row r="3692" customFormat="1" ht="15" customHeight="1"/>
    <row r="3693" customFormat="1" ht="15" customHeight="1"/>
    <row r="3694" customFormat="1" ht="15" customHeight="1"/>
    <row r="3695" customFormat="1" ht="15" customHeight="1"/>
    <row r="3696" customFormat="1" ht="15" customHeight="1"/>
    <row r="3697" customFormat="1" ht="15" customHeight="1"/>
    <row r="3698" customFormat="1" ht="15" customHeight="1"/>
    <row r="3699" customFormat="1" ht="15" customHeight="1"/>
    <row r="3700" customFormat="1" ht="15" customHeight="1"/>
    <row r="3701" customFormat="1" ht="15" customHeight="1"/>
    <row r="3702" customFormat="1" ht="12" customHeight="1"/>
    <row r="3703" customFormat="1" ht="15" customHeight="1"/>
    <row r="3704" customFormat="1" ht="15" customHeight="1"/>
    <row r="3705" customFormat="1" ht="12" customHeight="1"/>
    <row r="3706" customFormat="1" ht="15" customHeight="1"/>
    <row r="3707" customFormat="1" ht="15" customHeight="1"/>
    <row r="3708" customFormat="1" ht="15" customHeight="1"/>
    <row r="3709" customFormat="1" ht="15" customHeight="1"/>
    <row r="3710" customFormat="1" ht="15" customHeight="1"/>
    <row r="3711" customFormat="1" ht="12" customHeight="1"/>
    <row r="3712" customFormat="1" ht="15" customHeight="1"/>
    <row r="3713" customFormat="1" ht="15" customHeight="1"/>
    <row r="3714" customFormat="1" ht="15" customHeight="1"/>
    <row r="3715" customFormat="1" ht="15" customHeight="1"/>
    <row r="3716" customFormat="1" ht="15" customHeight="1"/>
    <row r="3717" customFormat="1" ht="15" customHeight="1"/>
    <row r="3718" customFormat="1" ht="15" customHeight="1"/>
    <row r="3719" customFormat="1" ht="15" customHeight="1"/>
    <row r="3720" customFormat="1" ht="15" customHeight="1"/>
    <row r="3721" customFormat="1" ht="15" customHeight="1"/>
    <row r="3722" customFormat="1" ht="15" customHeight="1"/>
    <row r="3723" customFormat="1" ht="15" customHeight="1"/>
    <row r="3724" customFormat="1" ht="15" customHeight="1"/>
    <row r="3725" customFormat="1" ht="15" customHeight="1"/>
    <row r="3726" customFormat="1" ht="15" customHeight="1"/>
    <row r="3727" customFormat="1" ht="15" customHeight="1"/>
    <row r="3728" customFormat="1" ht="12" customHeight="1"/>
    <row r="3729" customFormat="1" ht="15" customHeight="1"/>
    <row r="3730" customFormat="1" ht="15" customHeight="1"/>
    <row r="3731" customFormat="1" ht="12" customHeight="1"/>
    <row r="3732" customFormat="1" ht="15" customHeight="1"/>
    <row r="3733" customFormat="1" ht="15" customHeight="1"/>
    <row r="3734" customFormat="1" ht="15" customHeight="1"/>
    <row r="3735" customFormat="1" ht="12" customHeight="1"/>
    <row r="3736" customFormat="1" ht="15" customHeight="1"/>
    <row r="3737" customFormat="1" ht="15" customHeight="1"/>
    <row r="3738" customFormat="1" ht="15" customHeight="1"/>
    <row r="3739" customFormat="1" ht="15" customHeight="1"/>
    <row r="3740" customFormat="1" ht="15" customHeight="1"/>
    <row r="3741" customFormat="1" ht="15" customHeight="1"/>
    <row r="3742" customFormat="1" ht="15" customHeight="1"/>
    <row r="3743" customFormat="1" ht="15" customHeight="1"/>
    <row r="3744" customFormat="1" ht="15" customHeight="1"/>
    <row r="3745" spans="2:32" ht="15" customHeight="1"/>
    <row r="3746" spans="2:32" ht="12" customHeight="1"/>
    <row r="3747" spans="2:32" ht="15" customHeight="1"/>
    <row r="3748" spans="2:32" ht="15" customHeight="1"/>
    <row r="3749" spans="2:32" ht="12" customHeight="1"/>
    <row r="3750" spans="2:32" ht="15" customHeight="1"/>
    <row r="3751" spans="2:32" ht="15" customHeight="1"/>
    <row r="3752" spans="2:32" ht="15" customHeight="1">
      <c r="B3752" s="177"/>
      <c r="C3752" s="177"/>
      <c r="D3752" s="177"/>
      <c r="E3752" s="177"/>
      <c r="F3752" s="177"/>
      <c r="G3752" s="177"/>
      <c r="H3752" s="177"/>
      <c r="I3752" s="177"/>
      <c r="J3752" s="177"/>
      <c r="K3752" s="177"/>
      <c r="L3752" s="177"/>
      <c r="M3752" s="177"/>
      <c r="N3752" s="177"/>
      <c r="O3752" s="177"/>
      <c r="P3752" s="177"/>
      <c r="Q3752" s="177"/>
      <c r="R3752" s="177"/>
      <c r="S3752" s="177"/>
      <c r="T3752" s="177"/>
      <c r="U3752" s="177"/>
      <c r="V3752" s="177"/>
      <c r="W3752" s="177"/>
      <c r="X3752" s="177"/>
      <c r="Y3752" s="177"/>
      <c r="Z3752" s="177"/>
      <c r="AA3752" s="177"/>
      <c r="AB3752" s="177"/>
      <c r="AC3752" s="177"/>
      <c r="AD3752" s="177"/>
      <c r="AE3752" s="177"/>
      <c r="AF3752" s="177"/>
    </row>
    <row r="3753" spans="2:32" ht="15" customHeight="1"/>
    <row r="3754" spans="2:32" ht="15" customHeight="1"/>
    <row r="3755" spans="2:32" ht="15" customHeight="1"/>
    <row r="3756" spans="2:32" ht="15" customHeight="1"/>
    <row r="3757" spans="2:32" ht="15" customHeight="1"/>
    <row r="3758" spans="2:32" ht="15" customHeight="1"/>
    <row r="3759" spans="2:32" ht="15" customHeight="1"/>
    <row r="3760" spans="2:32" ht="15" customHeight="1"/>
    <row r="3761" customFormat="1" ht="12" customHeight="1"/>
    <row r="3762" customFormat="1" ht="12" customHeight="1"/>
    <row r="3763" customFormat="1" ht="12" customHeight="1"/>
    <row r="3764" customFormat="1" ht="12" customHeight="1"/>
    <row r="3765" customFormat="1" ht="12" customHeight="1"/>
    <row r="3766" customFormat="1" ht="12" customHeight="1"/>
    <row r="3767" customFormat="1" ht="12" customHeight="1"/>
    <row r="3768" customFormat="1" ht="12" customHeight="1"/>
    <row r="3769" customFormat="1" ht="12" customHeight="1"/>
    <row r="3770" customFormat="1" ht="12" customHeight="1"/>
    <row r="3771" customFormat="1" ht="12" customHeight="1"/>
    <row r="3772" customFormat="1" ht="12" customHeight="1"/>
    <row r="3773" customFormat="1" ht="12" customHeight="1"/>
    <row r="3774" customFormat="1" ht="12" customHeight="1"/>
    <row r="3775" customFormat="1" ht="12" customHeight="1"/>
    <row r="3776" customFormat="1" ht="12" customHeight="1"/>
    <row r="3777" customFormat="1" ht="12" customHeight="1"/>
    <row r="3778" customFormat="1" ht="12" customHeight="1"/>
    <row r="3779" customFormat="1" ht="12" customHeight="1"/>
    <row r="3780" customFormat="1" ht="12" customHeight="1"/>
    <row r="3781" customFormat="1" ht="12" customHeight="1"/>
    <row r="3782" customFormat="1" ht="12" customHeight="1"/>
    <row r="3783" customFormat="1" ht="12" customHeight="1"/>
    <row r="3784" customFormat="1" ht="12" customHeight="1"/>
    <row r="3785" customFormat="1" ht="12" customHeight="1"/>
    <row r="3786" customFormat="1" ht="12" customHeight="1"/>
    <row r="3787" customFormat="1" ht="12" customHeight="1"/>
    <row r="3788" customFormat="1" ht="12" customHeight="1"/>
    <row r="3789" customFormat="1" ht="12" customHeight="1"/>
    <row r="3790" customFormat="1" ht="12" customHeight="1"/>
    <row r="3791" customFormat="1" ht="12" customHeight="1"/>
    <row r="3792" customFormat="1" ht="12" customHeight="1"/>
    <row r="3793" customFormat="1" ht="12" customHeight="1"/>
    <row r="3794" customFormat="1" ht="12" customHeight="1"/>
    <row r="3795" customFormat="1" ht="12" customHeight="1"/>
    <row r="3796" customFormat="1" ht="12" customHeight="1"/>
    <row r="3797" customFormat="1" ht="12" customHeight="1"/>
    <row r="3798" customFormat="1" ht="12" customHeight="1"/>
    <row r="3799" customFormat="1" ht="12" customHeight="1"/>
    <row r="3800" customFormat="1" ht="15" customHeight="1"/>
    <row r="3801" customFormat="1" ht="15" customHeight="1"/>
    <row r="3802" customFormat="1" ht="15" customHeight="1"/>
    <row r="3803" customFormat="1" ht="15" customHeight="1"/>
    <row r="3804" customFormat="1" ht="15" customHeight="1"/>
    <row r="3805" customFormat="1" ht="15" customHeight="1"/>
    <row r="3806" customFormat="1" ht="15" customHeight="1"/>
    <row r="3807" customFormat="1" ht="15" customHeight="1"/>
    <row r="3808" customFormat="1" ht="15" customHeight="1"/>
    <row r="3809" customFormat="1" ht="15" customHeight="1"/>
    <row r="3810" customFormat="1" ht="12" customHeight="1"/>
    <row r="3811" customFormat="1" ht="15" customHeight="1"/>
    <row r="3812" customFormat="1" ht="15" customHeight="1"/>
    <row r="3813" customFormat="1" ht="15" customHeight="1"/>
    <row r="3814" customFormat="1" ht="15" customHeight="1"/>
    <row r="3815" customFormat="1" ht="15" customHeight="1"/>
    <row r="3816" customFormat="1" ht="15" customHeight="1"/>
    <row r="3817" customFormat="1" ht="15" customHeight="1"/>
    <row r="3818" customFormat="1" ht="15" customHeight="1"/>
    <row r="3819" customFormat="1" ht="15" customHeight="1"/>
    <row r="3820" customFormat="1" ht="15" customHeight="1"/>
    <row r="3821" customFormat="1" ht="15" customHeight="1"/>
    <row r="3822" customFormat="1" ht="15" customHeight="1"/>
    <row r="3823" customFormat="1" ht="15" customHeight="1"/>
    <row r="3824" customFormat="1" ht="15" customHeight="1"/>
    <row r="3825" customFormat="1" ht="15" customHeight="1"/>
    <row r="3826" customFormat="1" ht="15" customHeight="1"/>
    <row r="3827" customFormat="1" ht="12" customHeight="1"/>
    <row r="3828" customFormat="1" ht="15" customHeight="1"/>
    <row r="3829" customFormat="1" ht="15" customHeight="1"/>
    <row r="3830" customFormat="1" ht="12" customHeight="1"/>
    <row r="3831" customFormat="1" ht="15" customHeight="1"/>
    <row r="3832" customFormat="1" ht="15" customHeight="1"/>
    <row r="3833" customFormat="1" ht="15" customHeight="1"/>
    <row r="3834" customFormat="1" ht="15" customHeight="1"/>
    <row r="3835" customFormat="1" ht="15" customHeight="1"/>
    <row r="3836" customFormat="1" ht="12" customHeight="1"/>
    <row r="3837" customFormat="1" ht="15" customHeight="1"/>
    <row r="3838" customFormat="1" ht="15" customHeight="1"/>
    <row r="3839" customFormat="1" ht="15" customHeight="1"/>
    <row r="3840" customFormat="1" ht="15" customHeight="1"/>
    <row r="3841" customFormat="1" ht="15" customHeight="1"/>
    <row r="3842" customFormat="1" ht="15" customHeight="1"/>
    <row r="3843" customFormat="1" ht="15" customHeight="1"/>
    <row r="3844" customFormat="1" ht="15" customHeight="1"/>
    <row r="3845" customFormat="1" ht="15" customHeight="1"/>
    <row r="3846" customFormat="1" ht="15" customHeight="1"/>
    <row r="3847" customFormat="1" ht="15" customHeight="1"/>
    <row r="3848" customFormat="1" ht="15" customHeight="1"/>
    <row r="3849" customFormat="1" ht="15" customHeight="1"/>
    <row r="3850" customFormat="1" ht="15" customHeight="1"/>
    <row r="3851" customFormat="1" ht="15" customHeight="1"/>
    <row r="3852" customFormat="1" ht="15" customHeight="1"/>
    <row r="3853" customFormat="1" ht="12" customHeight="1"/>
    <row r="3854" customFormat="1" ht="15" customHeight="1"/>
    <row r="3855" customFormat="1" ht="15" customHeight="1"/>
    <row r="3856" customFormat="1" ht="12" customHeight="1"/>
    <row r="3857" customFormat="1" ht="15" customHeight="1"/>
    <row r="3858" customFormat="1" ht="15" customHeight="1"/>
    <row r="3859" customFormat="1" ht="15" customHeight="1"/>
    <row r="3860" customFormat="1" ht="12" customHeight="1"/>
    <row r="3861" customFormat="1" ht="15" customHeight="1"/>
    <row r="3862" customFormat="1" ht="15" customHeight="1"/>
    <row r="3863" customFormat="1" ht="15" customHeight="1"/>
    <row r="3864" customFormat="1" ht="15" customHeight="1"/>
    <row r="3865" customFormat="1" ht="15" customHeight="1"/>
    <row r="3866" customFormat="1" ht="15" customHeight="1"/>
    <row r="3867" customFormat="1" ht="15" customHeight="1"/>
    <row r="3868" customFormat="1" ht="15" customHeight="1"/>
    <row r="3869" customFormat="1" ht="15" customHeight="1"/>
    <row r="3870" customFormat="1" ht="15" customHeight="1"/>
    <row r="3871" customFormat="1" ht="12" customHeight="1"/>
    <row r="3872" customFormat="1" ht="15" customHeight="1"/>
    <row r="3873" spans="2:32" ht="15" customHeight="1"/>
    <row r="3874" spans="2:32" ht="12" customHeight="1"/>
    <row r="3875" spans="2:32" ht="15" customHeight="1"/>
    <row r="3876" spans="2:32" ht="15" customHeight="1"/>
    <row r="3877" spans="2:32" ht="15" customHeight="1">
      <c r="B3877" s="177"/>
      <c r="C3877" s="177"/>
      <c r="D3877" s="177"/>
      <c r="E3877" s="177"/>
      <c r="F3877" s="177"/>
      <c r="G3877" s="177"/>
      <c r="H3877" s="177"/>
      <c r="I3877" s="177"/>
      <c r="J3877" s="177"/>
      <c r="K3877" s="177"/>
      <c r="L3877" s="177"/>
      <c r="M3877" s="177"/>
      <c r="N3877" s="177"/>
      <c r="O3877" s="177"/>
      <c r="P3877" s="177"/>
      <c r="Q3877" s="177"/>
      <c r="R3877" s="177"/>
      <c r="S3877" s="177"/>
      <c r="T3877" s="177"/>
      <c r="U3877" s="177"/>
      <c r="V3877" s="177"/>
      <c r="W3877" s="177"/>
      <c r="X3877" s="177"/>
      <c r="Y3877" s="177"/>
      <c r="Z3877" s="177"/>
      <c r="AA3877" s="177"/>
      <c r="AB3877" s="177"/>
      <c r="AC3877" s="177"/>
      <c r="AD3877" s="177"/>
      <c r="AE3877" s="177"/>
      <c r="AF3877" s="177"/>
    </row>
    <row r="3878" spans="2:32" ht="15" customHeight="1"/>
    <row r="3879" spans="2:32" ht="15" customHeight="1"/>
    <row r="3880" spans="2:32" ht="15" customHeight="1"/>
    <row r="3881" spans="2:32" ht="15" customHeight="1"/>
    <row r="3882" spans="2:32" ht="15" customHeight="1"/>
    <row r="3883" spans="2:32" ht="15" customHeight="1"/>
    <row r="3884" spans="2:32" ht="15" customHeight="1"/>
    <row r="3885" spans="2:32" ht="15" customHeight="1"/>
    <row r="3886" spans="2:32" ht="12" customHeight="1"/>
    <row r="3887" spans="2:32" ht="12" customHeight="1"/>
    <row r="3888" spans="2:32" ht="12" customHeight="1"/>
    <row r="3889" customFormat="1" ht="12" customHeight="1"/>
    <row r="3890" customFormat="1" ht="12" customHeight="1"/>
    <row r="3891" customFormat="1" ht="12" customHeight="1"/>
    <row r="3892" customFormat="1" ht="12" customHeight="1"/>
    <row r="3893" customFormat="1" ht="12" customHeight="1"/>
    <row r="3894" customFormat="1" ht="12" customHeight="1"/>
    <row r="3895" customFormat="1" ht="12" customHeight="1"/>
    <row r="3896" customFormat="1" ht="12" customHeight="1"/>
    <row r="3897" customFormat="1" ht="12" customHeight="1"/>
    <row r="3898" customFormat="1" ht="12" customHeight="1"/>
    <row r="3899" customFormat="1" ht="12" customHeight="1"/>
    <row r="3900" customFormat="1" ht="12" customHeight="1"/>
    <row r="3901" customFormat="1" ht="12" customHeight="1"/>
    <row r="3902" customFormat="1" ht="12" customHeight="1"/>
    <row r="3903" customFormat="1" ht="12" customHeight="1"/>
    <row r="3904" customFormat="1" ht="12" customHeight="1"/>
    <row r="3905" customFormat="1" ht="12" customHeight="1"/>
    <row r="3906" customFormat="1" ht="12" customHeight="1"/>
    <row r="3907" customFormat="1" ht="12" customHeight="1"/>
    <row r="3908" customFormat="1" ht="12" customHeight="1"/>
    <row r="3909" customFormat="1" ht="12" customHeight="1"/>
    <row r="3910" customFormat="1" ht="12" customHeight="1"/>
    <row r="3911" customFormat="1" ht="12" customHeight="1"/>
    <row r="3912" customFormat="1" ht="12" customHeight="1"/>
    <row r="3913" customFormat="1" ht="12" customHeight="1"/>
    <row r="3914" customFormat="1" ht="12" customHeight="1"/>
    <row r="3915" customFormat="1" ht="12" customHeight="1"/>
    <row r="3916" customFormat="1" ht="12" customHeight="1"/>
    <row r="3917" customFormat="1" ht="12" customHeight="1"/>
    <row r="3918" customFormat="1" ht="12" customHeight="1"/>
    <row r="3919" customFormat="1" ht="12" customHeight="1"/>
    <row r="3920" customFormat="1" ht="12" customHeight="1"/>
    <row r="3921" customFormat="1" ht="12" customHeight="1"/>
    <row r="3922" customFormat="1" ht="12" customHeight="1"/>
    <row r="3923" customFormat="1" ht="12" customHeight="1"/>
    <row r="3924" customFormat="1" ht="12" customHeight="1"/>
    <row r="3925" customFormat="1" ht="15" customHeight="1"/>
    <row r="3926" customFormat="1" ht="15" customHeight="1"/>
    <row r="3927" customFormat="1" ht="15" customHeight="1"/>
    <row r="3928" customFormat="1" ht="15" customHeight="1"/>
    <row r="3929" customFormat="1" ht="15" customHeight="1"/>
    <row r="3930" customFormat="1" ht="15" customHeight="1"/>
    <row r="3931" customFormat="1" ht="15" customHeight="1"/>
    <row r="3932" customFormat="1" ht="15" customHeight="1"/>
    <row r="3933" customFormat="1" ht="15" customHeight="1"/>
    <row r="3934" customFormat="1" ht="15" customHeight="1"/>
    <row r="3935" customFormat="1" ht="12" customHeight="1"/>
    <row r="3936" customFormat="1" ht="15" customHeight="1"/>
    <row r="3937" customFormat="1" ht="15" customHeight="1"/>
    <row r="3938" customFormat="1" ht="15" customHeight="1"/>
    <row r="3939" customFormat="1" ht="15" customHeight="1"/>
    <row r="3940" customFormat="1" ht="15" customHeight="1"/>
    <row r="3941" customFormat="1" ht="15" customHeight="1"/>
    <row r="3942" customFormat="1" ht="15" customHeight="1"/>
    <row r="3943" customFormat="1" ht="15" customHeight="1"/>
    <row r="3944" customFormat="1" ht="15" customHeight="1"/>
    <row r="3945" customFormat="1" ht="15" customHeight="1"/>
    <row r="3946" customFormat="1" ht="15" customHeight="1"/>
    <row r="3947" customFormat="1" ht="15" customHeight="1"/>
    <row r="3948" customFormat="1" ht="15" customHeight="1"/>
    <row r="3949" customFormat="1" ht="15" customHeight="1"/>
    <row r="3950" customFormat="1" ht="15" customHeight="1"/>
    <row r="3951" customFormat="1" ht="15" customHeight="1"/>
    <row r="3952" customFormat="1" ht="12" customHeight="1"/>
    <row r="3953" customFormat="1" ht="15" customHeight="1"/>
    <row r="3954" customFormat="1" ht="15" customHeight="1"/>
    <row r="3955" customFormat="1" ht="12" customHeight="1"/>
    <row r="3956" customFormat="1" ht="15" customHeight="1"/>
    <row r="3957" customFormat="1" ht="15" customHeight="1"/>
    <row r="3958" customFormat="1" ht="15" customHeight="1"/>
    <row r="3959" customFormat="1" ht="15" customHeight="1"/>
    <row r="3960" customFormat="1" ht="15" customHeight="1"/>
    <row r="3961" customFormat="1" ht="12" customHeight="1"/>
    <row r="3962" customFormat="1" ht="15" customHeight="1"/>
    <row r="3963" customFormat="1" ht="15" customHeight="1"/>
    <row r="3964" customFormat="1" ht="15" customHeight="1"/>
    <row r="3965" customFormat="1" ht="15" customHeight="1"/>
    <row r="3966" customFormat="1" ht="15" customHeight="1"/>
    <row r="3967" customFormat="1" ht="15" customHeight="1"/>
    <row r="3968" customFormat="1" ht="15" customHeight="1"/>
    <row r="3969" customFormat="1" ht="15" customHeight="1"/>
    <row r="3970" customFormat="1" ht="15" customHeight="1"/>
    <row r="3971" customFormat="1" ht="15" customHeight="1"/>
    <row r="3972" customFormat="1" ht="15" customHeight="1"/>
    <row r="3973" customFormat="1" ht="15" customHeight="1"/>
    <row r="3974" customFormat="1" ht="15" customHeight="1"/>
    <row r="3975" customFormat="1" ht="15" customHeight="1"/>
    <row r="3976" customFormat="1" ht="15" customHeight="1"/>
    <row r="3977" customFormat="1" ht="15" customHeight="1"/>
    <row r="3978" customFormat="1" ht="12" customHeight="1"/>
    <row r="3979" customFormat="1" ht="15" customHeight="1"/>
    <row r="3980" customFormat="1" ht="15" customHeight="1"/>
    <row r="3981" customFormat="1" ht="12" customHeight="1"/>
    <row r="3982" customFormat="1" ht="15" customHeight="1"/>
    <row r="3983" customFormat="1" ht="15" customHeight="1"/>
    <row r="3984" customFormat="1" ht="15" customHeight="1"/>
    <row r="3985" customFormat="1" ht="12" customHeight="1"/>
    <row r="3986" customFormat="1" ht="15" customHeight="1"/>
    <row r="3987" customFormat="1" ht="15" customHeight="1"/>
    <row r="3988" customFormat="1" ht="15" customHeight="1"/>
    <row r="3989" customFormat="1" ht="15" customHeight="1"/>
    <row r="3990" customFormat="1" ht="15" customHeight="1"/>
    <row r="3991" customFormat="1" ht="15" customHeight="1"/>
    <row r="3992" customFormat="1" ht="15" customHeight="1"/>
    <row r="3993" customFormat="1" ht="15" customHeight="1"/>
    <row r="3994" customFormat="1" ht="15" customHeight="1"/>
    <row r="3995" customFormat="1" ht="15" customHeight="1"/>
    <row r="3996" customFormat="1" ht="12" customHeight="1"/>
    <row r="3997" customFormat="1" ht="15" customHeight="1"/>
    <row r="3998" customFormat="1" ht="15" customHeight="1"/>
    <row r="3999" customFormat="1" ht="12" customHeight="1"/>
    <row r="4000" customFormat="1" ht="15" customHeight="1"/>
    <row r="4001" spans="2:32" ht="15" customHeight="1"/>
    <row r="4002" spans="2:32" ht="15" customHeight="1">
      <c r="B4002" s="177"/>
      <c r="C4002" s="177"/>
      <c r="D4002" s="177"/>
      <c r="E4002" s="177"/>
      <c r="F4002" s="177"/>
      <c r="G4002" s="177"/>
      <c r="H4002" s="177"/>
      <c r="I4002" s="177"/>
      <c r="J4002" s="177"/>
      <c r="K4002" s="177"/>
      <c r="L4002" s="177"/>
      <c r="M4002" s="177"/>
      <c r="N4002" s="177"/>
      <c r="O4002" s="177"/>
      <c r="P4002" s="177"/>
      <c r="Q4002" s="177"/>
      <c r="R4002" s="177"/>
      <c r="S4002" s="177"/>
      <c r="T4002" s="177"/>
      <c r="U4002" s="177"/>
      <c r="V4002" s="177"/>
      <c r="W4002" s="177"/>
      <c r="X4002" s="177"/>
      <c r="Y4002" s="177"/>
      <c r="Z4002" s="177"/>
      <c r="AA4002" s="177"/>
      <c r="AB4002" s="177"/>
      <c r="AC4002" s="177"/>
      <c r="AD4002" s="177"/>
      <c r="AE4002" s="177"/>
      <c r="AF4002" s="177"/>
    </row>
    <row r="4003" spans="2:32" ht="15" customHeight="1"/>
    <row r="4004" spans="2:32" ht="15" customHeight="1"/>
    <row r="4005" spans="2:32" ht="15" customHeight="1"/>
    <row r="4006" spans="2:32" ht="15" customHeight="1"/>
    <row r="4007" spans="2:32" ht="15" customHeight="1"/>
    <row r="4008" spans="2:32" ht="15" customHeight="1"/>
    <row r="4009" spans="2:32" ht="15" customHeight="1"/>
    <row r="4010" spans="2:32" ht="15" customHeight="1"/>
    <row r="4011" spans="2:32" ht="12" customHeight="1"/>
    <row r="4012" spans="2:32" ht="12" customHeight="1"/>
    <row r="4013" spans="2:32" ht="12" customHeight="1"/>
    <row r="4014" spans="2:32" ht="12" customHeight="1"/>
    <row r="4015" spans="2:32" ht="12" customHeight="1"/>
    <row r="4016" spans="2:32" ht="12" customHeight="1"/>
    <row r="4017" customFormat="1" ht="12" customHeight="1"/>
    <row r="4018" customFormat="1" ht="12" customHeight="1"/>
    <row r="4019" customFormat="1" ht="12" customHeight="1"/>
    <row r="4020" customFormat="1" ht="12" customHeight="1"/>
    <row r="4021" customFormat="1" ht="12" customHeight="1"/>
    <row r="4022" customFormat="1" ht="12" customHeight="1"/>
    <row r="4023" customFormat="1" ht="12" customHeight="1"/>
    <row r="4024" customFormat="1" ht="12" customHeight="1"/>
    <row r="4025" customFormat="1" ht="12" customHeight="1"/>
    <row r="4026" customFormat="1" ht="12" customHeight="1"/>
    <row r="4027" customFormat="1" ht="12" customHeight="1"/>
    <row r="4028" customFormat="1" ht="12" customHeight="1"/>
    <row r="4029" customFormat="1" ht="12" customHeight="1"/>
    <row r="4030" customFormat="1" ht="12" customHeight="1"/>
    <row r="4031" customFormat="1" ht="12" customHeight="1"/>
    <row r="4032" customFormat="1" ht="12" customHeight="1"/>
    <row r="4033" customFormat="1" ht="12" customHeight="1"/>
    <row r="4034" customFormat="1" ht="12" customHeight="1"/>
    <row r="4035" customFormat="1" ht="12" customHeight="1"/>
    <row r="4036" customFormat="1" ht="12" customHeight="1"/>
    <row r="4037" customFormat="1" ht="12" customHeight="1"/>
    <row r="4038" customFormat="1" ht="12" customHeight="1"/>
    <row r="4039" customFormat="1" ht="12" customHeight="1"/>
    <row r="4040" customFormat="1" ht="12" customHeight="1"/>
    <row r="4041" customFormat="1" ht="12" customHeight="1"/>
    <row r="4042" customFormat="1" ht="12" customHeight="1"/>
    <row r="4043" customFormat="1" ht="12" customHeight="1"/>
    <row r="4044" customFormat="1" ht="12" customHeight="1"/>
    <row r="4045" customFormat="1" ht="12" customHeight="1"/>
    <row r="4046" customFormat="1" ht="12" customHeight="1"/>
    <row r="4047" customFormat="1" ht="12" customHeight="1"/>
    <row r="4048" customFormat="1" ht="12" customHeight="1"/>
    <row r="4049" customFormat="1" ht="12" customHeight="1"/>
    <row r="4050" customFormat="1" ht="15" customHeight="1"/>
    <row r="4051" customFormat="1" ht="15" customHeight="1"/>
    <row r="4052" customFormat="1" ht="15" customHeight="1"/>
    <row r="4053" customFormat="1" ht="15" customHeight="1"/>
    <row r="4054" customFormat="1" ht="15" customHeight="1"/>
    <row r="4055" customFormat="1" ht="15" customHeight="1"/>
    <row r="4056" customFormat="1" ht="15" customHeight="1"/>
    <row r="4057" customFormat="1" ht="15" customHeight="1"/>
    <row r="4058" customFormat="1" ht="15" customHeight="1"/>
    <row r="4059" customFormat="1" ht="15" customHeight="1"/>
    <row r="4060" customFormat="1" ht="12" customHeight="1"/>
    <row r="4061" customFormat="1" ht="15" customHeight="1"/>
    <row r="4062" customFormat="1" ht="15" customHeight="1"/>
    <row r="4063" customFormat="1" ht="15" customHeight="1"/>
    <row r="4064" customFormat="1" ht="15" customHeight="1"/>
    <row r="4065" customFormat="1" ht="15" customHeight="1"/>
    <row r="4066" customFormat="1" ht="15" customHeight="1"/>
    <row r="4067" customFormat="1" ht="15" customHeight="1"/>
    <row r="4068" customFormat="1" ht="15" customHeight="1"/>
    <row r="4069" customFormat="1" ht="15" customHeight="1"/>
    <row r="4070" customFormat="1" ht="15" customHeight="1"/>
    <row r="4071" customFormat="1" ht="15" customHeight="1"/>
    <row r="4072" customFormat="1" ht="15" customHeight="1"/>
    <row r="4073" customFormat="1" ht="15" customHeight="1"/>
    <row r="4074" customFormat="1" ht="15" customHeight="1"/>
    <row r="4075" customFormat="1" ht="15" customHeight="1"/>
    <row r="4076" customFormat="1" ht="15" customHeight="1"/>
    <row r="4077" customFormat="1" ht="12" customHeight="1"/>
    <row r="4078" customFormat="1" ht="15" customHeight="1"/>
    <row r="4079" customFormat="1" ht="15" customHeight="1"/>
    <row r="4080" customFormat="1" ht="12" customHeight="1"/>
    <row r="4081" customFormat="1" ht="15" customHeight="1"/>
    <row r="4082" customFormat="1" ht="15" customHeight="1"/>
    <row r="4083" customFormat="1" ht="15" customHeight="1"/>
    <row r="4084" customFormat="1" ht="15" customHeight="1"/>
    <row r="4085" customFormat="1" ht="15" customHeight="1"/>
    <row r="4086" customFormat="1" ht="12" customHeight="1"/>
    <row r="4087" customFormat="1" ht="15" customHeight="1"/>
    <row r="4088" customFormat="1" ht="15" customHeight="1"/>
    <row r="4089" customFormat="1" ht="15" customHeight="1"/>
    <row r="4090" customFormat="1" ht="15" customHeight="1"/>
    <row r="4091" customFormat="1" ht="15" customHeight="1"/>
    <row r="4092" customFormat="1" ht="15" customHeight="1"/>
    <row r="4093" customFormat="1" ht="15" customHeight="1"/>
    <row r="4094" customFormat="1" ht="15" customHeight="1"/>
    <row r="4095" customFormat="1" ht="15" customHeight="1"/>
    <row r="4096" customFormat="1" ht="15" customHeight="1"/>
    <row r="4097" customFormat="1" ht="15" customHeight="1"/>
    <row r="4098" customFormat="1" ht="15" customHeight="1"/>
    <row r="4099" customFormat="1" ht="15" customHeight="1"/>
    <row r="4100" customFormat="1" ht="15" customHeight="1"/>
    <row r="4101" customFormat="1" ht="15" customHeight="1"/>
    <row r="4102" customFormat="1" ht="15" customHeight="1"/>
    <row r="4103" customFormat="1" ht="12" customHeight="1"/>
    <row r="4104" customFormat="1" ht="15" customHeight="1"/>
    <row r="4105" customFormat="1" ht="15" customHeight="1"/>
    <row r="4106" customFormat="1" ht="12" customHeight="1"/>
    <row r="4107" customFormat="1" ht="15" customHeight="1"/>
    <row r="4108" customFormat="1" ht="15" customHeight="1"/>
    <row r="4109" customFormat="1" ht="15" customHeight="1"/>
    <row r="4110" customFormat="1" ht="12" customHeight="1"/>
    <row r="4111" customFormat="1" ht="15" customHeight="1"/>
    <row r="4112" customFormat="1" ht="15" customHeight="1"/>
    <row r="4113" spans="2:32" ht="15" customHeight="1"/>
    <row r="4114" spans="2:32" ht="15" customHeight="1"/>
    <row r="4115" spans="2:32" ht="15" customHeight="1"/>
    <row r="4116" spans="2:32" ht="15" customHeight="1"/>
    <row r="4117" spans="2:32" ht="15" customHeight="1"/>
    <row r="4118" spans="2:32" ht="15" customHeight="1"/>
    <row r="4119" spans="2:32" ht="15" customHeight="1"/>
    <row r="4120" spans="2:32" ht="15" customHeight="1"/>
    <row r="4121" spans="2:32" ht="12" customHeight="1"/>
    <row r="4122" spans="2:32" ht="15" customHeight="1"/>
    <row r="4123" spans="2:32" ht="15" customHeight="1"/>
    <row r="4124" spans="2:32" ht="12" customHeight="1"/>
    <row r="4125" spans="2:32" ht="15" customHeight="1"/>
    <row r="4126" spans="2:32" ht="15" customHeight="1"/>
    <row r="4127" spans="2:32" ht="15" customHeight="1">
      <c r="B4127" s="177"/>
      <c r="C4127" s="177"/>
      <c r="D4127" s="177"/>
      <c r="E4127" s="177"/>
      <c r="F4127" s="177"/>
      <c r="G4127" s="177"/>
      <c r="H4127" s="177"/>
      <c r="I4127" s="177"/>
      <c r="J4127" s="177"/>
      <c r="K4127" s="177"/>
      <c r="L4127" s="177"/>
      <c r="M4127" s="177"/>
      <c r="N4127" s="177"/>
      <c r="O4127" s="177"/>
      <c r="P4127" s="177"/>
      <c r="Q4127" s="177"/>
      <c r="R4127" s="177"/>
      <c r="S4127" s="177"/>
      <c r="T4127" s="177"/>
      <c r="U4127" s="177"/>
      <c r="V4127" s="177"/>
      <c r="W4127" s="177"/>
      <c r="X4127" s="177"/>
      <c r="Y4127" s="177"/>
      <c r="Z4127" s="177"/>
      <c r="AA4127" s="177"/>
      <c r="AB4127" s="177"/>
      <c r="AC4127" s="177"/>
      <c r="AD4127" s="177"/>
      <c r="AE4127" s="177"/>
      <c r="AF4127" s="177"/>
    </row>
    <row r="4128" spans="2:32" ht="15" customHeight="1"/>
    <row r="4129" customFormat="1" ht="15" customHeight="1"/>
    <row r="4130" customFormat="1" ht="15" customHeight="1"/>
    <row r="4131" customFormat="1" ht="15" customHeight="1"/>
    <row r="4132" customFormat="1" ht="15" customHeight="1"/>
    <row r="4133" customFormat="1" ht="15" customHeight="1"/>
    <row r="4134" customFormat="1" ht="15" customHeight="1"/>
    <row r="4135" customFormat="1" ht="15" customHeight="1"/>
    <row r="4136" customFormat="1" ht="12" customHeight="1"/>
    <row r="4137" customFormat="1" ht="12" customHeight="1"/>
    <row r="4138" customFormat="1" ht="12" customHeight="1"/>
    <row r="4139" customFormat="1" ht="12" customHeight="1"/>
    <row r="4140" customFormat="1" ht="12" customHeight="1"/>
    <row r="4141" customFormat="1" ht="12" customHeight="1"/>
    <row r="4142" customFormat="1" ht="12" customHeight="1"/>
    <row r="4143" customFormat="1" ht="12" customHeight="1"/>
    <row r="4144" customFormat="1" ht="12" customHeight="1"/>
    <row r="4145" customFormat="1" ht="12" customHeight="1"/>
    <row r="4146" customFormat="1" ht="12" customHeight="1"/>
    <row r="4147" customFormat="1" ht="12" customHeight="1"/>
    <row r="4148" customFormat="1" ht="12" customHeight="1"/>
    <row r="4149" customFormat="1" ht="12" customHeight="1"/>
    <row r="4150" customFormat="1" ht="12" customHeight="1"/>
    <row r="4151" customFormat="1" ht="12" customHeight="1"/>
    <row r="4152" customFormat="1" ht="12" customHeight="1"/>
    <row r="4153" customFormat="1" ht="12" customHeight="1"/>
    <row r="4154" customFormat="1" ht="12" customHeight="1"/>
    <row r="4155" customFormat="1" ht="12" customHeight="1"/>
    <row r="4156" customFormat="1" ht="12" customHeight="1"/>
    <row r="4157" customFormat="1" ht="12" customHeight="1"/>
    <row r="4158" customFormat="1" ht="12" customHeight="1"/>
    <row r="4159" customFormat="1" ht="12" customHeight="1"/>
    <row r="4160" customFormat="1" ht="12" customHeight="1"/>
    <row r="4161" customFormat="1" ht="12" customHeight="1"/>
    <row r="4162" customFormat="1" ht="12" customHeight="1"/>
    <row r="4163" customFormat="1" ht="12" customHeight="1"/>
    <row r="4164" customFormat="1" ht="12" customHeight="1"/>
    <row r="4165" customFormat="1" ht="12" customHeight="1"/>
    <row r="4166" customFormat="1" ht="12" customHeight="1"/>
    <row r="4167" customFormat="1" ht="12" customHeight="1"/>
    <row r="4168" customFormat="1" ht="12" customHeight="1"/>
    <row r="4169" customFormat="1" ht="12" customHeight="1"/>
    <row r="4170" customFormat="1" ht="12" customHeight="1"/>
    <row r="4171" customFormat="1" ht="12" customHeight="1"/>
    <row r="4172" customFormat="1" ht="12" customHeight="1"/>
    <row r="4173" customFormat="1" ht="12" customHeight="1"/>
    <row r="4174" customFormat="1" ht="12" customHeight="1"/>
    <row r="4175" customFormat="1" ht="15" customHeight="1"/>
    <row r="4176" customFormat="1" ht="15" customHeight="1"/>
    <row r="4177" customFormat="1" ht="15" customHeight="1"/>
    <row r="4178" customFormat="1" ht="15" customHeight="1"/>
    <row r="4179" customFormat="1" ht="15" customHeight="1"/>
    <row r="4180" customFormat="1" ht="15" customHeight="1"/>
    <row r="4181" customFormat="1" ht="15" customHeight="1"/>
    <row r="4182" customFormat="1" ht="15" customHeight="1"/>
    <row r="4183" customFormat="1" ht="15" customHeight="1"/>
    <row r="4184" customFormat="1" ht="15" customHeight="1"/>
    <row r="4185" customFormat="1" ht="12" customHeight="1"/>
    <row r="4186" customFormat="1" ht="15" customHeight="1"/>
    <row r="4187" customFormat="1" ht="15" customHeight="1"/>
    <row r="4188" customFormat="1" ht="15" customHeight="1"/>
    <row r="4189" customFormat="1" ht="15" customHeight="1"/>
    <row r="4190" customFormat="1" ht="15" customHeight="1"/>
    <row r="4191" customFormat="1" ht="15" customHeight="1"/>
    <row r="4192" customFormat="1" ht="15" customHeight="1"/>
    <row r="4193" customFormat="1" ht="15" customHeight="1"/>
    <row r="4194" customFormat="1" ht="15" customHeight="1"/>
    <row r="4195" customFormat="1" ht="15" customHeight="1"/>
    <row r="4196" customFormat="1" ht="15" customHeight="1"/>
    <row r="4197" customFormat="1" ht="15" customHeight="1"/>
    <row r="4198" customFormat="1" ht="15" customHeight="1"/>
    <row r="4199" customFormat="1" ht="15" customHeight="1"/>
    <row r="4200" customFormat="1" ht="15" customHeight="1"/>
    <row r="4201" customFormat="1" ht="15" customHeight="1"/>
    <row r="4202" customFormat="1" ht="12" customHeight="1"/>
    <row r="4203" customFormat="1" ht="15" customHeight="1"/>
    <row r="4204" customFormat="1" ht="15" customHeight="1"/>
    <row r="4205" customFormat="1" ht="12" customHeight="1"/>
    <row r="4206" customFormat="1" ht="15" customHeight="1"/>
    <row r="4207" customFormat="1" ht="15" customHeight="1"/>
    <row r="4208" customFormat="1" ht="15" customHeight="1"/>
    <row r="4209" customFormat="1" ht="15" customHeight="1"/>
    <row r="4210" customFormat="1" ht="15" customHeight="1"/>
    <row r="4211" customFormat="1" ht="12" customHeight="1"/>
    <row r="4212" customFormat="1" ht="15" customHeight="1"/>
    <row r="4213" customFormat="1" ht="15" customHeight="1"/>
    <row r="4214" customFormat="1" ht="15" customHeight="1"/>
    <row r="4215" customFormat="1" ht="15" customHeight="1"/>
    <row r="4216" customFormat="1" ht="15" customHeight="1"/>
    <row r="4217" customFormat="1" ht="15" customHeight="1"/>
    <row r="4218" customFormat="1" ht="15" customHeight="1"/>
    <row r="4219" customFormat="1" ht="15" customHeight="1"/>
    <row r="4220" customFormat="1" ht="15" customHeight="1"/>
    <row r="4221" customFormat="1" ht="15" customHeight="1"/>
    <row r="4222" customFormat="1" ht="15" customHeight="1"/>
    <row r="4223" customFormat="1" ht="15" customHeight="1"/>
    <row r="4224" customFormat="1" ht="15" customHeight="1"/>
    <row r="4225" customFormat="1" ht="15" customHeight="1"/>
    <row r="4226" customFormat="1" ht="15" customHeight="1"/>
    <row r="4227" customFormat="1" ht="15" customHeight="1"/>
    <row r="4228" customFormat="1" ht="12" customHeight="1"/>
    <row r="4229" customFormat="1" ht="15" customHeight="1"/>
    <row r="4230" customFormat="1" ht="15" customHeight="1"/>
    <row r="4231" customFormat="1" ht="12" customHeight="1"/>
    <row r="4232" customFormat="1" ht="15" customHeight="1"/>
    <row r="4233" customFormat="1" ht="15" customHeight="1"/>
    <row r="4234" customFormat="1" ht="15" customHeight="1"/>
    <row r="4235" customFormat="1" ht="12" customHeight="1"/>
    <row r="4236" customFormat="1" ht="15" customHeight="1"/>
    <row r="4237" customFormat="1" ht="15" customHeight="1"/>
    <row r="4238" customFormat="1" ht="15" customHeight="1"/>
    <row r="4239" customFormat="1" ht="15" customHeight="1"/>
    <row r="4240" customFormat="1" ht="15" customHeight="1"/>
    <row r="4241" spans="2:32" ht="15" customHeight="1"/>
    <row r="4242" spans="2:32" ht="15" customHeight="1"/>
    <row r="4243" spans="2:32" ht="15" customHeight="1"/>
    <row r="4244" spans="2:32" ht="15" customHeight="1"/>
    <row r="4245" spans="2:32" ht="15" customHeight="1"/>
    <row r="4246" spans="2:32" ht="12" customHeight="1"/>
    <row r="4247" spans="2:32" ht="15" customHeight="1"/>
    <row r="4248" spans="2:32" ht="15" customHeight="1"/>
    <row r="4249" spans="2:32" ht="12" customHeight="1"/>
    <row r="4250" spans="2:32" ht="15" customHeight="1"/>
    <row r="4251" spans="2:32" ht="15" customHeight="1"/>
    <row r="4252" spans="2:32" ht="15" customHeight="1">
      <c r="B4252" s="177"/>
      <c r="C4252" s="177"/>
      <c r="D4252" s="177"/>
      <c r="E4252" s="177"/>
      <c r="F4252" s="177"/>
      <c r="G4252" s="177"/>
      <c r="H4252" s="177"/>
      <c r="I4252" s="177"/>
      <c r="J4252" s="177"/>
      <c r="K4252" s="177"/>
      <c r="L4252" s="177"/>
      <c r="M4252" s="177"/>
      <c r="N4252" s="177"/>
      <c r="O4252" s="177"/>
      <c r="P4252" s="177"/>
      <c r="Q4252" s="177"/>
      <c r="R4252" s="177"/>
      <c r="S4252" s="177"/>
      <c r="T4252" s="177"/>
      <c r="U4252" s="177"/>
      <c r="V4252" s="177"/>
      <c r="W4252" s="177"/>
      <c r="X4252" s="177"/>
      <c r="Y4252" s="177"/>
      <c r="Z4252" s="177"/>
      <c r="AA4252" s="177"/>
      <c r="AB4252" s="177"/>
      <c r="AC4252" s="177"/>
      <c r="AD4252" s="177"/>
      <c r="AE4252" s="177"/>
      <c r="AF4252" s="177"/>
    </row>
    <row r="4253" spans="2:32" ht="15" customHeight="1"/>
    <row r="4254" spans="2:32" ht="15" customHeight="1"/>
    <row r="4255" spans="2:32" ht="15" customHeight="1"/>
    <row r="4256" spans="2:32" ht="15" customHeight="1"/>
    <row r="4257" customFormat="1" ht="15" customHeight="1"/>
    <row r="4258" customFormat="1" ht="15" customHeight="1"/>
    <row r="4259" customFormat="1" ht="15" customHeight="1"/>
    <row r="4260" customFormat="1" ht="15" customHeight="1"/>
    <row r="4261" customFormat="1" ht="12" customHeight="1"/>
    <row r="4262" customFormat="1" ht="12" customHeight="1"/>
    <row r="4263" customFormat="1" ht="12" customHeight="1"/>
    <row r="4264" customFormat="1" ht="12" customHeight="1"/>
    <row r="4265" customFormat="1" ht="12" customHeight="1"/>
    <row r="4266" customFormat="1" ht="12" customHeight="1"/>
    <row r="4267" customFormat="1" ht="12" customHeight="1"/>
    <row r="4268" customFormat="1" ht="12" customHeight="1"/>
    <row r="4269" customFormat="1" ht="12" customHeight="1"/>
    <row r="4270" customFormat="1" ht="12" customHeight="1"/>
    <row r="4271" customFormat="1" ht="12" customHeight="1"/>
    <row r="4272" customFormat="1" ht="12" customHeight="1"/>
    <row r="4273" customFormat="1" ht="12" customHeight="1"/>
    <row r="4274" customFormat="1" ht="12" customHeight="1"/>
    <row r="4275" customFormat="1" ht="12" customHeight="1"/>
    <row r="4276" customFormat="1" ht="12" customHeight="1"/>
    <row r="4277" customFormat="1" ht="12" customHeight="1"/>
    <row r="4278" customFormat="1" ht="12" customHeight="1"/>
    <row r="4279" customFormat="1" ht="12" customHeight="1"/>
    <row r="4280" customFormat="1" ht="12" customHeight="1"/>
    <row r="4281" customFormat="1" ht="12" customHeight="1"/>
    <row r="4282" customFormat="1" ht="12" customHeight="1"/>
    <row r="4283" customFormat="1" ht="12" customHeight="1"/>
    <row r="4284" customFormat="1" ht="12" customHeight="1"/>
    <row r="4285" customFormat="1" ht="12" customHeight="1"/>
    <row r="4286" customFormat="1" ht="12" customHeight="1"/>
    <row r="4287" customFormat="1" ht="12" customHeight="1"/>
    <row r="4288" customFormat="1" ht="12" customHeight="1"/>
    <row r="4289" customFormat="1" ht="12" customHeight="1"/>
    <row r="4290" customFormat="1" ht="12" customHeight="1"/>
    <row r="4291" customFormat="1" ht="12" customHeight="1"/>
    <row r="4292" customFormat="1" ht="12" customHeight="1"/>
    <row r="4293" customFormat="1" ht="12" customHeight="1"/>
    <row r="4294" customFormat="1" ht="12" customHeight="1"/>
    <row r="4295" customFormat="1" ht="12" customHeight="1"/>
    <row r="4296" customFormat="1" ht="12" customHeight="1"/>
    <row r="4297" customFormat="1" ht="12" customHeight="1"/>
    <row r="4298" customFormat="1" ht="12" customHeight="1"/>
    <row r="4299" customFormat="1" ht="12" customHeight="1"/>
    <row r="4300" customFormat="1" ht="15" customHeight="1"/>
    <row r="4301" customFormat="1" ht="15" customHeight="1"/>
    <row r="4302" customFormat="1" ht="15" customHeight="1"/>
    <row r="4303" customFormat="1" ht="15" customHeight="1"/>
    <row r="4304" customFormat="1" ht="15" customHeight="1"/>
    <row r="4305" customFormat="1" ht="15" customHeight="1"/>
    <row r="4306" customFormat="1" ht="15" customHeight="1"/>
    <row r="4307" customFormat="1" ht="15" customHeight="1"/>
    <row r="4308" customFormat="1" ht="15" customHeight="1"/>
    <row r="4309" customFormat="1" ht="15" customHeight="1"/>
    <row r="4310" customFormat="1" ht="12" customHeight="1"/>
    <row r="4311" customFormat="1" ht="15" customHeight="1"/>
    <row r="4312" customFormat="1" ht="15" customHeight="1"/>
    <row r="4313" customFormat="1" ht="15" customHeight="1"/>
    <row r="4314" customFormat="1" ht="15" customHeight="1"/>
    <row r="4315" customFormat="1" ht="15" customHeight="1"/>
    <row r="4316" customFormat="1" ht="15" customHeight="1"/>
    <row r="4317" customFormat="1" ht="15" customHeight="1"/>
    <row r="4318" customFormat="1" ht="15" customHeight="1"/>
    <row r="4319" customFormat="1" ht="15" customHeight="1"/>
    <row r="4320" customFormat="1" ht="15" customHeight="1"/>
    <row r="4321" customFormat="1" ht="15" customHeight="1"/>
    <row r="4322" customFormat="1" ht="15" customHeight="1"/>
    <row r="4323" customFormat="1" ht="15" customHeight="1"/>
    <row r="4324" customFormat="1" ht="15" customHeight="1"/>
    <row r="4325" customFormat="1" ht="15" customHeight="1"/>
    <row r="4326" customFormat="1" ht="15" customHeight="1"/>
    <row r="4327" customFormat="1" ht="12" customHeight="1"/>
    <row r="4328" customFormat="1" ht="15" customHeight="1"/>
    <row r="4329" customFormat="1" ht="15" customHeight="1"/>
    <row r="4330" customFormat="1" ht="12" customHeight="1"/>
    <row r="4331" customFormat="1" ht="15" customHeight="1"/>
    <row r="4332" customFormat="1" ht="15" customHeight="1"/>
    <row r="4333" customFormat="1" ht="15" customHeight="1"/>
    <row r="4334" customFormat="1" ht="15" customHeight="1"/>
    <row r="4335" customFormat="1" ht="15" customHeight="1"/>
    <row r="4336" customFormat="1" ht="12" customHeight="1"/>
    <row r="4337" customFormat="1" ht="15" customHeight="1"/>
    <row r="4338" customFormat="1" ht="15" customHeight="1"/>
    <row r="4339" customFormat="1" ht="15" customHeight="1"/>
    <row r="4340" customFormat="1" ht="15" customHeight="1"/>
    <row r="4341" customFormat="1" ht="15" customHeight="1"/>
    <row r="4342" customFormat="1" ht="15" customHeight="1"/>
    <row r="4343" customFormat="1" ht="15" customHeight="1"/>
    <row r="4344" customFormat="1" ht="15" customHeight="1"/>
    <row r="4345" customFormat="1" ht="15" customHeight="1"/>
    <row r="4346" customFormat="1" ht="15" customHeight="1"/>
    <row r="4347" customFormat="1" ht="15" customHeight="1"/>
    <row r="4348" customFormat="1" ht="15" customHeight="1"/>
    <row r="4349" customFormat="1" ht="15" customHeight="1"/>
    <row r="4350" customFormat="1" ht="15" customHeight="1"/>
    <row r="4351" customFormat="1" ht="15" customHeight="1"/>
    <row r="4352" customFormat="1" ht="15" customHeight="1"/>
    <row r="4353" customFormat="1" ht="12" customHeight="1"/>
    <row r="4354" customFormat="1" ht="15" customHeight="1"/>
    <row r="4355" customFormat="1" ht="15" customHeight="1"/>
    <row r="4356" customFormat="1" ht="12" customHeight="1"/>
    <row r="4357" customFormat="1" ht="15" customHeight="1"/>
    <row r="4358" customFormat="1" ht="15" customHeight="1"/>
    <row r="4359" customFormat="1" ht="15" customHeight="1"/>
    <row r="4360" customFormat="1" ht="12" customHeight="1"/>
    <row r="4361" customFormat="1" ht="15" customHeight="1"/>
    <row r="4362" customFormat="1" ht="15" customHeight="1"/>
    <row r="4363" customFormat="1" ht="15" customHeight="1"/>
    <row r="4364" customFormat="1" ht="15" customHeight="1"/>
    <row r="4365" customFormat="1" ht="15" customHeight="1"/>
    <row r="4366" customFormat="1" ht="15" customHeight="1"/>
    <row r="4367" customFormat="1" ht="15" customHeight="1"/>
    <row r="4368" customFormat="1" ht="15" customHeight="1"/>
    <row r="4369" spans="2:32" ht="15" customHeight="1"/>
    <row r="4370" spans="2:32" ht="15" customHeight="1"/>
    <row r="4371" spans="2:32" ht="12" customHeight="1"/>
    <row r="4372" spans="2:32" ht="15" customHeight="1"/>
    <row r="4373" spans="2:32" ht="15" customHeight="1"/>
    <row r="4374" spans="2:32" ht="12" customHeight="1"/>
    <row r="4375" spans="2:32" ht="15" customHeight="1"/>
    <row r="4376" spans="2:32" ht="15" customHeight="1"/>
    <row r="4377" spans="2:32" ht="15" customHeight="1">
      <c r="B4377" s="177"/>
      <c r="C4377" s="177"/>
      <c r="D4377" s="177"/>
      <c r="E4377" s="177"/>
      <c r="F4377" s="177"/>
      <c r="G4377" s="177"/>
      <c r="H4377" s="177"/>
      <c r="I4377" s="177"/>
      <c r="J4377" s="177"/>
      <c r="K4377" s="177"/>
      <c r="L4377" s="177"/>
      <c r="M4377" s="177"/>
      <c r="N4377" s="177"/>
      <c r="O4377" s="177"/>
      <c r="P4377" s="177"/>
      <c r="Q4377" s="177"/>
      <c r="R4377" s="177"/>
      <c r="S4377" s="177"/>
      <c r="T4377" s="177"/>
      <c r="U4377" s="177"/>
      <c r="V4377" s="177"/>
      <c r="W4377" s="177"/>
      <c r="X4377" s="177"/>
      <c r="Y4377" s="177"/>
      <c r="Z4377" s="177"/>
      <c r="AA4377" s="177"/>
      <c r="AB4377" s="177"/>
      <c r="AC4377" s="177"/>
      <c r="AD4377" s="177"/>
      <c r="AE4377" s="177"/>
      <c r="AF4377" s="177"/>
    </row>
    <row r="4378" spans="2:32" ht="15" customHeight="1"/>
    <row r="4379" spans="2:32" ht="15" customHeight="1"/>
    <row r="4380" spans="2:32" ht="15" customHeight="1"/>
    <row r="4381" spans="2:32" ht="15" customHeight="1"/>
    <row r="4382" spans="2:32" ht="15" customHeight="1"/>
    <row r="4383" spans="2:32" ht="15" customHeight="1"/>
    <row r="4384" spans="2:32" ht="15" customHeight="1"/>
    <row r="4385" customFormat="1" ht="15" customHeight="1"/>
    <row r="4386" customFormat="1" ht="12" customHeight="1"/>
    <row r="4387" customFormat="1" ht="12" customHeight="1"/>
    <row r="4388" customFormat="1" ht="12" customHeight="1"/>
    <row r="4389" customFormat="1" ht="12" customHeight="1"/>
    <row r="4390" customFormat="1" ht="12" customHeight="1"/>
    <row r="4391" customFormat="1" ht="12" customHeight="1"/>
    <row r="4392" customFormat="1" ht="12" customHeight="1"/>
    <row r="4393" customFormat="1" ht="12" customHeight="1"/>
    <row r="4394" customFormat="1" ht="12" customHeight="1"/>
    <row r="4395" customFormat="1" ht="12" customHeight="1"/>
    <row r="4396" customFormat="1" ht="12" customHeight="1"/>
    <row r="4397" customFormat="1" ht="12" customHeight="1"/>
    <row r="4398" customFormat="1" ht="12" customHeight="1"/>
    <row r="4399" customFormat="1" ht="12" customHeight="1"/>
    <row r="4400" customFormat="1" ht="12" customHeight="1"/>
    <row r="4401" customFormat="1" ht="12" customHeight="1"/>
    <row r="4402" customFormat="1" ht="12" customHeight="1"/>
    <row r="4403" customFormat="1" ht="12" customHeight="1"/>
    <row r="4404" customFormat="1" ht="12" customHeight="1"/>
    <row r="4405" customFormat="1" ht="12" customHeight="1"/>
    <row r="4406" customFormat="1" ht="12" customHeight="1"/>
    <row r="4407" customFormat="1" ht="12" customHeight="1"/>
    <row r="4408" customFormat="1" ht="12" customHeight="1"/>
    <row r="4409" customFormat="1" ht="12" customHeight="1"/>
    <row r="4410" customFormat="1" ht="12" customHeight="1"/>
    <row r="4411" customFormat="1" ht="12" customHeight="1"/>
    <row r="4412" customFormat="1" ht="12" customHeight="1"/>
    <row r="4413" customFormat="1" ht="12" customHeight="1"/>
    <row r="4414" customFormat="1" ht="12" customHeight="1"/>
    <row r="4415" customFormat="1" ht="12" customHeight="1"/>
    <row r="4416" customFormat="1" ht="12" customHeight="1"/>
    <row r="4417" customFormat="1" ht="12" customHeight="1"/>
    <row r="4418" customFormat="1" ht="12" customHeight="1"/>
    <row r="4419" customFormat="1" ht="12" customHeight="1"/>
    <row r="4420" customFormat="1" ht="12" customHeight="1"/>
    <row r="4421" customFormat="1" ht="12" customHeight="1"/>
    <row r="4422" customFormat="1" ht="12" customHeight="1"/>
    <row r="4423" customFormat="1" ht="12" customHeight="1"/>
    <row r="4424" customFormat="1" ht="12" customHeight="1"/>
    <row r="4425" customFormat="1" ht="15" customHeight="1"/>
    <row r="4426" customFormat="1" ht="15" customHeight="1"/>
    <row r="4427" customFormat="1" ht="15" customHeight="1"/>
    <row r="4428" customFormat="1" ht="15" customHeight="1"/>
    <row r="4429" customFormat="1" ht="15" customHeight="1"/>
    <row r="4430" customFormat="1" ht="15" customHeight="1"/>
    <row r="4431" customFormat="1" ht="15" customHeight="1"/>
    <row r="4432" customFormat="1" ht="15" customHeight="1"/>
    <row r="4433" customFormat="1" ht="15" customHeight="1"/>
    <row r="4434" customFormat="1" ht="15" customHeight="1"/>
    <row r="4435" customFormat="1" ht="12" customHeight="1"/>
    <row r="4436" customFormat="1" ht="15" customHeight="1"/>
    <row r="4437" customFormat="1" ht="15" customHeight="1"/>
    <row r="4438" customFormat="1" ht="15" customHeight="1"/>
    <row r="4439" customFormat="1" ht="15" customHeight="1"/>
    <row r="4440" customFormat="1" ht="15" customHeight="1"/>
    <row r="4441" customFormat="1" ht="15" customHeight="1"/>
    <row r="4442" customFormat="1" ht="15" customHeight="1"/>
    <row r="4443" customFormat="1" ht="15" customHeight="1"/>
    <row r="4444" customFormat="1" ht="15" customHeight="1"/>
    <row r="4445" customFormat="1" ht="15" customHeight="1"/>
    <row r="4446" customFormat="1" ht="15" customHeight="1"/>
    <row r="4447" customFormat="1" ht="15" customHeight="1"/>
    <row r="4448" customFormat="1" ht="15" customHeight="1"/>
    <row r="4449" customFormat="1" ht="15" customHeight="1"/>
    <row r="4450" customFormat="1" ht="15" customHeight="1"/>
    <row r="4451" customFormat="1" ht="15" customHeight="1"/>
    <row r="4452" customFormat="1" ht="12" customHeight="1"/>
    <row r="4453" customFormat="1" ht="15" customHeight="1"/>
    <row r="4454" customFormat="1" ht="15" customHeight="1"/>
    <row r="4455" customFormat="1" ht="12" customHeight="1"/>
    <row r="4456" customFormat="1" ht="15" customHeight="1"/>
    <row r="4457" customFormat="1" ht="15" customHeight="1"/>
    <row r="4458" customFormat="1" ht="15" customHeight="1"/>
    <row r="4459" customFormat="1" ht="15" customHeight="1"/>
    <row r="4460" customFormat="1" ht="15" customHeight="1"/>
    <row r="4461" customFormat="1" ht="12" customHeight="1"/>
    <row r="4462" customFormat="1" ht="15" customHeight="1"/>
    <row r="4463" customFormat="1" ht="15" customHeight="1"/>
    <row r="4464" customFormat="1" ht="15" customHeight="1"/>
    <row r="4465" customFormat="1" ht="15" customHeight="1"/>
    <row r="4466" customFormat="1" ht="15" customHeight="1"/>
    <row r="4467" customFormat="1" ht="15" customHeight="1"/>
    <row r="4468" customFormat="1" ht="15" customHeight="1"/>
    <row r="4469" customFormat="1" ht="15" customHeight="1"/>
    <row r="4470" customFormat="1" ht="15" customHeight="1"/>
    <row r="4471" customFormat="1" ht="15" customHeight="1"/>
    <row r="4472" customFormat="1" ht="15" customHeight="1"/>
    <row r="4473" customFormat="1" ht="15" customHeight="1"/>
    <row r="4474" customFormat="1" ht="15" customHeight="1"/>
    <row r="4475" customFormat="1" ht="15" customHeight="1"/>
    <row r="4476" customFormat="1" ht="15" customHeight="1"/>
    <row r="4477" customFormat="1" ht="15" customHeight="1"/>
    <row r="4478" customFormat="1" ht="12" customHeight="1"/>
    <row r="4479" customFormat="1" ht="15" customHeight="1"/>
    <row r="4480" customFormat="1" ht="15" customHeight="1"/>
    <row r="4481" customFormat="1" ht="12" customHeight="1"/>
    <row r="4482" customFormat="1" ht="15" customHeight="1"/>
    <row r="4483" customFormat="1" ht="15" customHeight="1"/>
    <row r="4484" customFormat="1" ht="15" customHeight="1"/>
    <row r="4485" customFormat="1" ht="12" customHeight="1"/>
    <row r="4486" customFormat="1" ht="15" customHeight="1"/>
    <row r="4487" customFormat="1" ht="15" customHeight="1"/>
    <row r="4488" customFormat="1" ht="15" customHeight="1"/>
    <row r="4489" customFormat="1" ht="15" customHeight="1"/>
    <row r="4490" customFormat="1" ht="15" customHeight="1"/>
    <row r="4491" customFormat="1" ht="15" customHeight="1"/>
    <row r="4492" customFormat="1" ht="15" customHeight="1"/>
    <row r="4493" customFormat="1" ht="15" customHeight="1"/>
    <row r="4494" customFormat="1" ht="15" customHeight="1"/>
    <row r="4495" customFormat="1" ht="15" customHeight="1"/>
    <row r="4496" customFormat="1" ht="12" customHeight="1"/>
    <row r="4497" spans="2:32" ht="15" customHeight="1"/>
    <row r="4498" spans="2:32" ht="15" customHeight="1"/>
    <row r="4499" spans="2:32" ht="12" customHeight="1"/>
    <row r="4500" spans="2:32" ht="15" customHeight="1"/>
    <row r="4501" spans="2:32" ht="15" customHeight="1"/>
    <row r="4502" spans="2:32" ht="15" customHeight="1">
      <c r="B4502" s="177"/>
      <c r="C4502" s="177"/>
      <c r="D4502" s="177"/>
      <c r="E4502" s="177"/>
      <c r="F4502" s="177"/>
      <c r="G4502" s="177"/>
      <c r="H4502" s="177"/>
      <c r="I4502" s="177"/>
      <c r="J4502" s="177"/>
      <c r="K4502" s="177"/>
      <c r="L4502" s="177"/>
      <c r="M4502" s="177"/>
      <c r="N4502" s="177"/>
      <c r="O4502" s="177"/>
      <c r="P4502" s="177"/>
      <c r="Q4502" s="177"/>
      <c r="R4502" s="177"/>
      <c r="S4502" s="177"/>
      <c r="T4502" s="177"/>
      <c r="U4502" s="177"/>
      <c r="V4502" s="177"/>
      <c r="W4502" s="177"/>
      <c r="X4502" s="177"/>
      <c r="Y4502" s="177"/>
      <c r="Z4502" s="177"/>
      <c r="AA4502" s="177"/>
      <c r="AB4502" s="177"/>
      <c r="AC4502" s="177"/>
      <c r="AD4502" s="177"/>
      <c r="AE4502" s="177"/>
      <c r="AF4502" s="177"/>
    </row>
    <row r="4503" spans="2:32" ht="15" customHeight="1"/>
    <row r="4504" spans="2:32" ht="15" customHeight="1"/>
    <row r="4505" spans="2:32" ht="15" customHeight="1"/>
    <row r="4506" spans="2:32" ht="15" customHeight="1"/>
    <row r="4507" spans="2:32" ht="15" customHeight="1"/>
    <row r="4508" spans="2:32" ht="15" customHeight="1"/>
    <row r="4509" spans="2:32" ht="15" customHeight="1"/>
    <row r="4510" spans="2:32" ht="15" customHeight="1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73AB-5C43-4FAF-BB3E-330A3B437C33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61"/>
  <sheetViews>
    <sheetView workbookViewId="0">
      <selection sqref="A1:AB1"/>
    </sheetView>
  </sheetViews>
  <sheetFormatPr defaultColWidth="9.140625" defaultRowHeight="15"/>
  <cols>
    <col min="1" max="1" width="19.42578125" customWidth="1"/>
    <col min="2" max="27" width="7.7109375" customWidth="1"/>
    <col min="28" max="28" width="7.140625" customWidth="1"/>
  </cols>
  <sheetData>
    <row r="1" spans="1:54" ht="16.5" customHeight="1" thickBot="1">
      <c r="A1" s="187" t="s">
        <v>541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</row>
    <row r="2" spans="1:54" ht="16.5" customHeight="1">
      <c r="A2" s="38"/>
      <c r="B2" s="39">
        <v>1980</v>
      </c>
      <c r="C2" s="40">
        <v>1985</v>
      </c>
      <c r="D2" s="40">
        <v>1990</v>
      </c>
      <c r="E2" s="40">
        <v>1991</v>
      </c>
      <c r="F2" s="40">
        <v>1992</v>
      </c>
      <c r="G2" s="40">
        <v>1993</v>
      </c>
      <c r="H2" s="40">
        <v>1994</v>
      </c>
      <c r="I2" s="40">
        <v>1995</v>
      </c>
      <c r="J2" s="40">
        <v>1996</v>
      </c>
      <c r="K2" s="40">
        <v>1997</v>
      </c>
      <c r="L2" s="40">
        <v>1998</v>
      </c>
      <c r="M2" s="40">
        <v>1999</v>
      </c>
      <c r="N2" s="40">
        <v>2000</v>
      </c>
      <c r="O2" s="40">
        <v>2001</v>
      </c>
      <c r="P2" s="40">
        <v>2002</v>
      </c>
      <c r="Q2" s="40">
        <v>2003</v>
      </c>
      <c r="R2" s="40">
        <v>2004</v>
      </c>
      <c r="S2" s="40">
        <v>2005</v>
      </c>
      <c r="T2" s="40">
        <v>2006</v>
      </c>
      <c r="U2" s="40">
        <v>2007</v>
      </c>
      <c r="V2" s="40">
        <v>2008</v>
      </c>
      <c r="W2" s="40">
        <v>2009</v>
      </c>
      <c r="X2" s="40">
        <v>2010</v>
      </c>
      <c r="Y2" s="40">
        <v>2011</v>
      </c>
      <c r="Z2" s="41">
        <v>2012</v>
      </c>
      <c r="AA2" s="40">
        <v>2013</v>
      </c>
      <c r="AB2" s="42">
        <v>2014</v>
      </c>
      <c r="AC2" s="43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5"/>
      <c r="AV2" s="45"/>
      <c r="AW2" s="45"/>
      <c r="AX2" s="45"/>
      <c r="AY2" s="45"/>
      <c r="AZ2" s="45"/>
      <c r="BA2" s="45"/>
      <c r="BB2" s="46"/>
    </row>
    <row r="3" spans="1:54" ht="16.5" customHeight="1">
      <c r="A3" s="47" t="s">
        <v>542</v>
      </c>
      <c r="B3" s="48">
        <v>11306</v>
      </c>
      <c r="C3" s="48">
        <v>14460</v>
      </c>
      <c r="D3" s="48">
        <v>12615</v>
      </c>
      <c r="E3" s="48">
        <v>12573</v>
      </c>
      <c r="F3" s="48">
        <v>12172</v>
      </c>
      <c r="G3" s="48">
        <v>13211</v>
      </c>
      <c r="H3" s="48">
        <v>14125</v>
      </c>
      <c r="I3" s="48">
        <v>15145</v>
      </c>
      <c r="J3" s="48">
        <v>13144</v>
      </c>
      <c r="K3" s="48">
        <v>14458</v>
      </c>
      <c r="L3" s="48">
        <v>14456</v>
      </c>
      <c r="M3" s="48">
        <v>15215</v>
      </c>
      <c r="N3" s="48">
        <v>16571</v>
      </c>
      <c r="O3" s="48">
        <v>15605</v>
      </c>
      <c r="P3" s="48">
        <v>16115</v>
      </c>
      <c r="Q3" s="48">
        <v>15773</v>
      </c>
      <c r="R3" s="48">
        <v>15709</v>
      </c>
      <c r="S3" s="48">
        <v>15892</v>
      </c>
      <c r="T3" s="48">
        <v>15104</v>
      </c>
      <c r="U3" s="48">
        <v>15276</v>
      </c>
      <c r="V3" s="48">
        <v>13898</v>
      </c>
      <c r="W3" s="48">
        <v>9316</v>
      </c>
      <c r="X3" s="48">
        <v>11110</v>
      </c>
      <c r="Y3" s="48">
        <v>12003</v>
      </c>
      <c r="Z3" s="48">
        <v>13438</v>
      </c>
      <c r="AA3" s="48">
        <v>14846</v>
      </c>
      <c r="AB3" s="49" t="s">
        <v>543</v>
      </c>
      <c r="AC3" s="47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</row>
    <row r="4" spans="1:54" ht="16.5" customHeight="1">
      <c r="A4" s="50" t="s">
        <v>544</v>
      </c>
      <c r="B4" s="51">
        <v>9443</v>
      </c>
      <c r="C4" s="51">
        <v>10791</v>
      </c>
      <c r="D4" s="51">
        <v>8810</v>
      </c>
      <c r="E4" s="51">
        <v>8524</v>
      </c>
      <c r="F4" s="51">
        <v>8108</v>
      </c>
      <c r="G4" s="51">
        <v>8456</v>
      </c>
      <c r="H4" s="51">
        <v>8415</v>
      </c>
      <c r="I4" s="51">
        <v>9396</v>
      </c>
      <c r="J4" s="51">
        <v>7890</v>
      </c>
      <c r="K4" s="51">
        <v>8334</v>
      </c>
      <c r="L4" s="51">
        <v>7971</v>
      </c>
      <c r="M4" s="51">
        <v>8376</v>
      </c>
      <c r="N4" s="51">
        <v>9125</v>
      </c>
      <c r="O4" s="51">
        <v>8405</v>
      </c>
      <c r="P4" s="51">
        <v>8301</v>
      </c>
      <c r="Q4" s="51">
        <v>7921</v>
      </c>
      <c r="R4" s="51">
        <v>7537</v>
      </c>
      <c r="S4" s="51">
        <v>8027</v>
      </c>
      <c r="T4" s="51">
        <v>7993</v>
      </c>
      <c r="U4" s="51">
        <v>8082</v>
      </c>
      <c r="V4" s="51">
        <v>7319</v>
      </c>
      <c r="W4" s="51">
        <v>5636</v>
      </c>
      <c r="X4" s="51">
        <v>6055</v>
      </c>
      <c r="Y4" s="52">
        <v>5728</v>
      </c>
      <c r="Z4" s="52">
        <v>7379</v>
      </c>
      <c r="AA4" s="52">
        <v>7907</v>
      </c>
      <c r="AB4" s="51" t="s">
        <v>543</v>
      </c>
      <c r="AC4" s="50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2"/>
      <c r="BB4" s="52"/>
    </row>
    <row r="5" spans="1:54" ht="16.5" customHeight="1">
      <c r="A5" s="50" t="s">
        <v>545</v>
      </c>
      <c r="B5" s="51">
        <v>0</v>
      </c>
      <c r="C5" s="51">
        <v>88</v>
      </c>
      <c r="D5" s="51">
        <v>65</v>
      </c>
      <c r="E5" s="51">
        <v>224</v>
      </c>
      <c r="F5" s="51">
        <v>243</v>
      </c>
      <c r="G5" s="51">
        <v>473</v>
      </c>
      <c r="H5" s="51">
        <v>332</v>
      </c>
      <c r="I5" s="51">
        <v>220</v>
      </c>
      <c r="J5" s="51">
        <v>287</v>
      </c>
      <c r="K5" s="51">
        <v>361</v>
      </c>
      <c r="L5" s="51">
        <v>454</v>
      </c>
      <c r="M5" s="51">
        <v>488</v>
      </c>
      <c r="N5" s="51">
        <v>617</v>
      </c>
      <c r="O5" s="51">
        <v>743</v>
      </c>
      <c r="P5" s="51">
        <v>603</v>
      </c>
      <c r="Q5" s="51">
        <v>575</v>
      </c>
      <c r="R5" s="51">
        <v>639</v>
      </c>
      <c r="S5" s="51">
        <v>813</v>
      </c>
      <c r="T5" s="51">
        <v>751</v>
      </c>
      <c r="U5" s="51">
        <v>919</v>
      </c>
      <c r="V5" s="51">
        <v>924</v>
      </c>
      <c r="W5" s="51">
        <v>608</v>
      </c>
      <c r="X5" s="51">
        <v>915</v>
      </c>
      <c r="Y5" s="52">
        <v>1207</v>
      </c>
      <c r="Z5" s="52">
        <v>1269</v>
      </c>
      <c r="AA5" s="52">
        <v>1470</v>
      </c>
      <c r="AB5" s="51" t="s">
        <v>543</v>
      </c>
      <c r="AC5" s="50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2"/>
      <c r="BB5" s="52"/>
    </row>
    <row r="6" spans="1:54" ht="16.5" customHeight="1">
      <c r="A6" s="50" t="s">
        <v>546</v>
      </c>
      <c r="B6" s="51">
        <v>1437</v>
      </c>
      <c r="C6" s="51">
        <v>2078</v>
      </c>
      <c r="D6" s="51">
        <v>1835</v>
      </c>
      <c r="E6" s="51">
        <v>1920</v>
      </c>
      <c r="F6" s="51">
        <v>1840</v>
      </c>
      <c r="G6" s="51">
        <v>2002</v>
      </c>
      <c r="H6" s="51">
        <v>2669</v>
      </c>
      <c r="I6" s="51">
        <v>2271</v>
      </c>
      <c r="J6" s="51">
        <v>1955</v>
      </c>
      <c r="K6" s="51">
        <v>2408</v>
      </c>
      <c r="L6" s="51">
        <v>2415</v>
      </c>
      <c r="M6" s="51">
        <v>2544</v>
      </c>
      <c r="N6" s="51">
        <v>2612</v>
      </c>
      <c r="O6" s="51">
        <v>2519</v>
      </c>
      <c r="P6" s="51">
        <v>2380</v>
      </c>
      <c r="Q6" s="51">
        <v>2474</v>
      </c>
      <c r="R6" s="51">
        <v>2505</v>
      </c>
      <c r="S6" s="51">
        <v>2300</v>
      </c>
      <c r="T6" s="51">
        <v>2188</v>
      </c>
      <c r="U6" s="51">
        <v>2113</v>
      </c>
      <c r="V6" s="51">
        <v>1794</v>
      </c>
      <c r="W6" s="51">
        <v>989</v>
      </c>
      <c r="X6" s="51">
        <v>1276</v>
      </c>
      <c r="Y6" s="52">
        <v>1479</v>
      </c>
      <c r="Z6" s="52">
        <v>1357</v>
      </c>
      <c r="AA6" s="52">
        <v>1577</v>
      </c>
      <c r="AB6" s="51" t="s">
        <v>543</v>
      </c>
      <c r="AC6" s="50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2"/>
      <c r="BB6" s="52"/>
    </row>
    <row r="7" spans="1:54" ht="16.5" customHeight="1">
      <c r="A7" s="50" t="s">
        <v>547</v>
      </c>
      <c r="B7" s="51">
        <v>242</v>
      </c>
      <c r="C7" s="51">
        <v>855</v>
      </c>
      <c r="D7" s="51">
        <v>1262</v>
      </c>
      <c r="E7" s="51">
        <v>1034</v>
      </c>
      <c r="F7" s="51">
        <v>1221</v>
      </c>
      <c r="G7" s="51">
        <v>1441</v>
      </c>
      <c r="H7" s="51">
        <v>1418</v>
      </c>
      <c r="I7" s="51">
        <v>1662</v>
      </c>
      <c r="J7" s="51">
        <v>1409</v>
      </c>
      <c r="K7" s="51">
        <v>1265</v>
      </c>
      <c r="L7" s="51">
        <v>1489</v>
      </c>
      <c r="M7" s="51">
        <v>1463</v>
      </c>
      <c r="N7" s="51">
        <v>1691</v>
      </c>
      <c r="O7" s="51">
        <v>1232</v>
      </c>
      <c r="P7" s="51">
        <v>1243</v>
      </c>
      <c r="Q7" s="51">
        <v>1232</v>
      </c>
      <c r="R7" s="51">
        <v>953</v>
      </c>
      <c r="S7" s="51">
        <v>1481</v>
      </c>
      <c r="T7" s="51">
        <v>1166</v>
      </c>
      <c r="U7" s="51">
        <v>847</v>
      </c>
      <c r="V7" s="51">
        <v>790</v>
      </c>
      <c r="W7" s="51">
        <v>368</v>
      </c>
      <c r="X7" s="51">
        <v>559</v>
      </c>
      <c r="Y7" s="52">
        <v>521</v>
      </c>
      <c r="Z7" s="52">
        <v>661</v>
      </c>
      <c r="AA7" s="52">
        <v>571</v>
      </c>
      <c r="AB7" s="51" t="s">
        <v>543</v>
      </c>
      <c r="AC7" s="50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2"/>
      <c r="BB7" s="52"/>
    </row>
    <row r="8" spans="1:54" ht="16.5" customHeight="1">
      <c r="A8" s="50" t="s">
        <v>548</v>
      </c>
      <c r="B8" s="51">
        <v>184</v>
      </c>
      <c r="C8" s="51">
        <v>648</v>
      </c>
      <c r="D8" s="51">
        <v>643</v>
      </c>
      <c r="E8" s="51">
        <v>871</v>
      </c>
      <c r="F8" s="51">
        <v>761</v>
      </c>
      <c r="G8" s="51">
        <v>838</v>
      </c>
      <c r="H8" s="51">
        <v>1291</v>
      </c>
      <c r="I8" s="51">
        <v>1596</v>
      </c>
      <c r="J8" s="51">
        <v>1603</v>
      </c>
      <c r="K8" s="51">
        <v>2089</v>
      </c>
      <c r="L8" s="51">
        <v>2127</v>
      </c>
      <c r="M8" s="51">
        <v>2342</v>
      </c>
      <c r="N8" s="51">
        <v>2526</v>
      </c>
      <c r="O8" s="51">
        <v>2707</v>
      </c>
      <c r="P8" s="51">
        <v>3588</v>
      </c>
      <c r="Q8" s="51">
        <v>3571</v>
      </c>
      <c r="R8" s="51">
        <v>4075</v>
      </c>
      <c r="S8" s="51">
        <v>3272</v>
      </c>
      <c r="T8" s="51">
        <v>3006</v>
      </c>
      <c r="U8" s="51">
        <v>3314</v>
      </c>
      <c r="V8" s="51">
        <v>3072</v>
      </c>
      <c r="W8" s="51">
        <v>1713</v>
      </c>
      <c r="X8" s="51">
        <v>2305</v>
      </c>
      <c r="Y8" s="52">
        <v>3069</v>
      </c>
      <c r="Z8" s="52">
        <v>2773</v>
      </c>
      <c r="AA8" s="52">
        <v>3321</v>
      </c>
      <c r="AB8" s="51" t="s">
        <v>543</v>
      </c>
      <c r="AC8" s="50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2"/>
      <c r="BB8" s="52"/>
    </row>
    <row r="9" spans="1:54" ht="16.5" customHeight="1">
      <c r="A9" s="53" t="s">
        <v>549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3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</row>
    <row r="10" spans="1:54" ht="16.5" customHeight="1">
      <c r="A10" s="50" t="s">
        <v>544</v>
      </c>
      <c r="B10" s="55">
        <f>B4/B$3*100</f>
        <v>83.522023704227848</v>
      </c>
      <c r="C10" s="55">
        <f>C4/C$3*100</f>
        <v>74.626556016597505</v>
      </c>
      <c r="D10" s="55">
        <v>69.8</v>
      </c>
      <c r="E10" s="55">
        <v>67.800000000000011</v>
      </c>
      <c r="F10" s="55">
        <v>66.600000000000009</v>
      </c>
      <c r="G10" s="55">
        <v>64</v>
      </c>
      <c r="H10" s="55">
        <v>59.599999999999994</v>
      </c>
      <c r="I10" s="55">
        <v>62</v>
      </c>
      <c r="J10" s="55">
        <v>60</v>
      </c>
      <c r="K10" s="55">
        <v>57.599999999999994</v>
      </c>
      <c r="L10" s="55">
        <v>55.1</v>
      </c>
      <c r="M10" s="55">
        <v>55.1</v>
      </c>
      <c r="N10" s="55">
        <v>55.1</v>
      </c>
      <c r="O10" s="55">
        <v>53.900000000000006</v>
      </c>
      <c r="P10" s="55">
        <v>51.5</v>
      </c>
      <c r="Q10" s="55">
        <v>50.2</v>
      </c>
      <c r="R10" s="55">
        <v>48</v>
      </c>
      <c r="S10" s="55">
        <v>50.5</v>
      </c>
      <c r="T10" s="55">
        <v>52.900000000000006</v>
      </c>
      <c r="U10" s="55">
        <v>52.900000000000006</v>
      </c>
      <c r="V10" s="55">
        <v>52.7</v>
      </c>
      <c r="W10" s="55">
        <v>60.5</v>
      </c>
      <c r="X10" s="55">
        <v>54.500000000000007</v>
      </c>
      <c r="Y10" s="55">
        <v>47.699999999999996</v>
      </c>
      <c r="Z10" s="55">
        <v>54.900000000000006</v>
      </c>
      <c r="AA10" s="55">
        <v>53.300000000000004</v>
      </c>
      <c r="AB10" s="55">
        <v>51.300000000000004</v>
      </c>
      <c r="AC10" s="50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</row>
    <row r="11" spans="1:54" ht="16.5" customHeight="1">
      <c r="A11" s="50" t="s">
        <v>545</v>
      </c>
      <c r="B11" s="55">
        <v>0</v>
      </c>
      <c r="C11" s="55">
        <v>0.6</v>
      </c>
      <c r="D11" s="55">
        <v>0.5</v>
      </c>
      <c r="E11" s="55">
        <v>1.7999999999999998</v>
      </c>
      <c r="F11" s="55">
        <v>2</v>
      </c>
      <c r="G11" s="55">
        <v>3.5999999999999996</v>
      </c>
      <c r="H11" s="55">
        <v>2.2999999999999998</v>
      </c>
      <c r="I11" s="55">
        <v>1.5</v>
      </c>
      <c r="J11" s="55">
        <v>2.1999999999999997</v>
      </c>
      <c r="K11" s="55">
        <v>2.5</v>
      </c>
      <c r="L11" s="55">
        <v>3.1</v>
      </c>
      <c r="M11" s="55">
        <v>3.2</v>
      </c>
      <c r="N11" s="55">
        <v>3.6999999999999997</v>
      </c>
      <c r="O11" s="55">
        <v>4.8</v>
      </c>
      <c r="P11" s="55">
        <v>3.6999999999999997</v>
      </c>
      <c r="Q11" s="55">
        <v>3.5999999999999996</v>
      </c>
      <c r="R11" s="55">
        <v>4.1000000000000005</v>
      </c>
      <c r="S11" s="55">
        <v>5.0999999999999996</v>
      </c>
      <c r="T11" s="55">
        <v>5</v>
      </c>
      <c r="U11" s="55">
        <v>6</v>
      </c>
      <c r="V11" s="55">
        <v>6.6000000000000005</v>
      </c>
      <c r="W11" s="55">
        <v>6.5</v>
      </c>
      <c r="X11" s="55">
        <v>8.2000000000000011</v>
      </c>
      <c r="Y11" s="55">
        <v>10.100000000000001</v>
      </c>
      <c r="Z11" s="55">
        <v>9.4</v>
      </c>
      <c r="AA11" s="55">
        <v>9.9</v>
      </c>
      <c r="AB11" s="55">
        <v>10</v>
      </c>
      <c r="AC11" s="50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</row>
    <row r="12" spans="1:54" ht="16.5" customHeight="1">
      <c r="A12" s="50" t="s">
        <v>546</v>
      </c>
      <c r="B12" s="57">
        <v>12.7</v>
      </c>
      <c r="C12" s="55">
        <v>14.399999999999999</v>
      </c>
      <c r="D12" s="55">
        <v>14.499999999999998</v>
      </c>
      <c r="E12" s="55">
        <v>15.299999999999999</v>
      </c>
      <c r="F12" s="55">
        <v>15.1</v>
      </c>
      <c r="G12" s="55">
        <v>15.2</v>
      </c>
      <c r="H12" s="55">
        <v>18.899999999999999</v>
      </c>
      <c r="I12" s="55">
        <v>15</v>
      </c>
      <c r="J12" s="55">
        <v>14.899999999999999</v>
      </c>
      <c r="K12" s="55">
        <v>16.7</v>
      </c>
      <c r="L12" s="55">
        <v>16.7</v>
      </c>
      <c r="M12" s="55">
        <v>16.7</v>
      </c>
      <c r="N12" s="55">
        <v>15.8</v>
      </c>
      <c r="O12" s="55">
        <v>16.100000000000001</v>
      </c>
      <c r="P12" s="55">
        <v>14.799999999999999</v>
      </c>
      <c r="Q12" s="55">
        <v>15.7</v>
      </c>
      <c r="R12" s="55">
        <v>15.9</v>
      </c>
      <c r="S12" s="55">
        <v>14.499999999999998</v>
      </c>
      <c r="T12" s="55">
        <v>14.499999999999998</v>
      </c>
      <c r="U12" s="55">
        <v>13.8</v>
      </c>
      <c r="V12" s="55">
        <v>12.9</v>
      </c>
      <c r="W12" s="55">
        <v>10.6</v>
      </c>
      <c r="X12" s="55">
        <v>11.5</v>
      </c>
      <c r="Y12" s="55">
        <v>12.3</v>
      </c>
      <c r="Z12" s="55">
        <v>10.100000000000001</v>
      </c>
      <c r="AA12" s="55">
        <v>10.6</v>
      </c>
      <c r="AB12" s="55">
        <v>11.5</v>
      </c>
      <c r="AC12" s="50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</row>
    <row r="13" spans="1:54" ht="16.5" customHeight="1">
      <c r="A13" s="50" t="s">
        <v>547</v>
      </c>
      <c r="B13" s="57">
        <v>2.1</v>
      </c>
      <c r="C13" s="55">
        <v>5.8999999999999995</v>
      </c>
      <c r="D13" s="55">
        <v>10</v>
      </c>
      <c r="E13" s="55">
        <v>8.2000000000000011</v>
      </c>
      <c r="F13" s="55">
        <v>10</v>
      </c>
      <c r="G13" s="55">
        <v>10.9</v>
      </c>
      <c r="H13" s="55">
        <v>10</v>
      </c>
      <c r="I13" s="55">
        <v>11</v>
      </c>
      <c r="J13" s="55">
        <v>10.7</v>
      </c>
      <c r="K13" s="55">
        <v>8.7999999999999989</v>
      </c>
      <c r="L13" s="55">
        <v>10.299999999999999</v>
      </c>
      <c r="M13" s="55">
        <v>9.6</v>
      </c>
      <c r="N13" s="55">
        <v>10.199999999999999</v>
      </c>
      <c r="O13" s="55">
        <v>7.9</v>
      </c>
      <c r="P13" s="55">
        <v>7.7</v>
      </c>
      <c r="Q13" s="55">
        <v>7.8</v>
      </c>
      <c r="R13" s="55">
        <v>6.1</v>
      </c>
      <c r="S13" s="55">
        <v>9.3000000000000007</v>
      </c>
      <c r="T13" s="55">
        <v>7.7</v>
      </c>
      <c r="U13" s="55">
        <v>5.5</v>
      </c>
      <c r="V13" s="55">
        <v>5.7</v>
      </c>
      <c r="W13" s="55">
        <v>4</v>
      </c>
      <c r="X13" s="55">
        <v>5</v>
      </c>
      <c r="Y13" s="55">
        <v>4.3</v>
      </c>
      <c r="Z13" s="55">
        <v>4.9000000000000004</v>
      </c>
      <c r="AA13" s="55">
        <v>3.8</v>
      </c>
      <c r="AB13" s="55">
        <v>3.9</v>
      </c>
      <c r="AC13" s="50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</row>
    <row r="14" spans="1:54" ht="16.5" customHeight="1">
      <c r="A14" s="50" t="s">
        <v>548</v>
      </c>
      <c r="B14" s="57">
        <v>1.6</v>
      </c>
      <c r="C14" s="55">
        <v>4.5</v>
      </c>
      <c r="D14" s="55">
        <v>5.0999999999999996</v>
      </c>
      <c r="E14" s="55">
        <v>6.9</v>
      </c>
      <c r="F14" s="55">
        <v>6.2</v>
      </c>
      <c r="G14" s="55">
        <v>6.3</v>
      </c>
      <c r="H14" s="55">
        <v>9.1</v>
      </c>
      <c r="I14" s="55">
        <v>10.5</v>
      </c>
      <c r="J14" s="55">
        <v>12.2</v>
      </c>
      <c r="K14" s="55">
        <v>14.499999999999998</v>
      </c>
      <c r="L14" s="55">
        <v>14.7</v>
      </c>
      <c r="M14" s="55">
        <v>15.4</v>
      </c>
      <c r="N14" s="55">
        <v>15.2</v>
      </c>
      <c r="O14" s="55">
        <v>17.299999999999997</v>
      </c>
      <c r="P14" s="55">
        <v>22.3</v>
      </c>
      <c r="Q14" s="55">
        <v>22.6</v>
      </c>
      <c r="R14" s="55">
        <v>25.900000000000002</v>
      </c>
      <c r="S14" s="55">
        <v>20.599999999999998</v>
      </c>
      <c r="T14" s="55">
        <v>19.900000000000002</v>
      </c>
      <c r="U14" s="55">
        <v>21.7</v>
      </c>
      <c r="V14" s="55">
        <v>22.1</v>
      </c>
      <c r="W14" s="55">
        <v>18.399999999999999</v>
      </c>
      <c r="X14" s="55">
        <v>20.8</v>
      </c>
      <c r="Y14" s="55">
        <v>25.6</v>
      </c>
      <c r="Z14" s="55">
        <v>20.599999999999998</v>
      </c>
      <c r="AA14" s="55">
        <v>22.400000000000002</v>
      </c>
      <c r="AB14" s="55">
        <v>23.3</v>
      </c>
      <c r="AC14" s="50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</row>
    <row r="15" spans="1:54" ht="16.5" customHeight="1">
      <c r="A15" s="47" t="s">
        <v>550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4"/>
      <c r="AB15" s="54"/>
      <c r="AC15" s="47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</row>
    <row r="16" spans="1:54" ht="16.5" customHeight="1">
      <c r="A16" s="50" t="s">
        <v>544</v>
      </c>
      <c r="B16" s="59">
        <v>20</v>
      </c>
      <c r="C16" s="59">
        <v>23</v>
      </c>
      <c r="D16" s="59">
        <v>23.3</v>
      </c>
      <c r="E16" s="59">
        <v>23.4</v>
      </c>
      <c r="F16" s="59">
        <v>23.1</v>
      </c>
      <c r="G16" s="59">
        <v>23.5</v>
      </c>
      <c r="H16" s="59">
        <v>23.3</v>
      </c>
      <c r="I16" s="59">
        <v>23.4</v>
      </c>
      <c r="J16" s="59">
        <v>23.3</v>
      </c>
      <c r="K16" s="59">
        <v>23.4</v>
      </c>
      <c r="L16" s="59">
        <v>23.4</v>
      </c>
      <c r="M16" s="59">
        <v>23</v>
      </c>
      <c r="N16" s="59">
        <v>22.9</v>
      </c>
      <c r="O16" s="59">
        <v>23</v>
      </c>
      <c r="P16" s="59">
        <v>23.1</v>
      </c>
      <c r="Q16" s="59">
        <v>23.3</v>
      </c>
      <c r="R16" s="59">
        <v>23.1</v>
      </c>
      <c r="S16" s="59">
        <v>23.5</v>
      </c>
      <c r="T16" s="59">
        <v>23.3</v>
      </c>
      <c r="U16" s="59">
        <v>24.1</v>
      </c>
      <c r="V16" s="59">
        <v>24.3</v>
      </c>
      <c r="W16" s="59">
        <v>25.3</v>
      </c>
      <c r="X16" s="59">
        <v>26.2</v>
      </c>
      <c r="Y16" s="59">
        <v>26</v>
      </c>
      <c r="Z16" s="59">
        <v>27.8</v>
      </c>
      <c r="AA16" s="54">
        <v>28.3</v>
      </c>
      <c r="AB16" s="54">
        <v>28.7</v>
      </c>
      <c r="AC16" s="50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</row>
    <row r="17" spans="1:54" ht="16.5" customHeight="1">
      <c r="A17" s="50" t="s">
        <v>545</v>
      </c>
      <c r="B17" s="59">
        <v>14.6</v>
      </c>
      <c r="C17" s="59">
        <v>20.100000000000001</v>
      </c>
      <c r="D17" s="59">
        <v>18.8</v>
      </c>
      <c r="E17" s="59">
        <v>18.2</v>
      </c>
      <c r="F17" s="59">
        <v>17.8</v>
      </c>
      <c r="G17" s="59">
        <v>17</v>
      </c>
      <c r="H17" s="59">
        <v>18</v>
      </c>
      <c r="I17" s="59">
        <v>17.8</v>
      </c>
      <c r="J17" s="59">
        <v>18.399999999999999</v>
      </c>
      <c r="K17" s="59">
        <v>19.2</v>
      </c>
      <c r="L17" s="59">
        <v>18.2</v>
      </c>
      <c r="M17" s="59">
        <v>18.5</v>
      </c>
      <c r="N17" s="59">
        <v>17.899999999999999</v>
      </c>
      <c r="O17" s="59">
        <v>18.8</v>
      </c>
      <c r="P17" s="59">
        <v>19.3</v>
      </c>
      <c r="Q17" s="59">
        <v>19.899999999999999</v>
      </c>
      <c r="R17" s="59">
        <v>20</v>
      </c>
      <c r="S17" s="59">
        <v>20.2</v>
      </c>
      <c r="T17" s="59">
        <v>20.5</v>
      </c>
      <c r="U17" s="59">
        <v>20.6</v>
      </c>
      <c r="V17" s="59">
        <v>21.2</v>
      </c>
      <c r="W17" s="59">
        <v>22</v>
      </c>
      <c r="X17" s="59">
        <v>23</v>
      </c>
      <c r="Y17" s="59">
        <v>23.6</v>
      </c>
      <c r="Z17" s="59">
        <v>23.4</v>
      </c>
      <c r="AA17" s="54">
        <v>24.5</v>
      </c>
      <c r="AB17" s="54">
        <v>24.3</v>
      </c>
      <c r="AC17" s="50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</row>
    <row r="18" spans="1:54" ht="16.5" customHeight="1">
      <c r="A18" s="50" t="s">
        <v>546</v>
      </c>
      <c r="B18" s="59">
        <v>16.5</v>
      </c>
      <c r="C18" s="59">
        <v>18.2</v>
      </c>
      <c r="D18" s="59">
        <v>17.399999999999999</v>
      </c>
      <c r="E18" s="59">
        <v>18.2</v>
      </c>
      <c r="F18" s="59">
        <v>17.5</v>
      </c>
      <c r="G18" s="59">
        <v>17.600000000000001</v>
      </c>
      <c r="H18" s="59">
        <v>17.399999999999999</v>
      </c>
      <c r="I18" s="59">
        <v>16.899999999999999</v>
      </c>
      <c r="J18" s="59">
        <v>17.100000000000001</v>
      </c>
      <c r="K18" s="59">
        <v>16.8</v>
      </c>
      <c r="L18" s="59">
        <v>17</v>
      </c>
      <c r="M18" s="59">
        <v>16.3</v>
      </c>
      <c r="N18" s="59">
        <v>16.7</v>
      </c>
      <c r="O18" s="59">
        <v>16</v>
      </c>
      <c r="P18" s="59">
        <v>15.8</v>
      </c>
      <c r="Q18" s="59">
        <v>16.100000000000001</v>
      </c>
      <c r="R18" s="59">
        <v>15.7</v>
      </c>
      <c r="S18" s="59">
        <v>15.8</v>
      </c>
      <c r="T18" s="59">
        <v>16.100000000000001</v>
      </c>
      <c r="U18" s="59">
        <v>16.2</v>
      </c>
      <c r="V18" s="59">
        <v>16.5</v>
      </c>
      <c r="W18" s="59">
        <v>16.899999999999999</v>
      </c>
      <c r="X18" s="59">
        <v>16.899999999999999</v>
      </c>
      <c r="Y18" s="59">
        <v>17.2</v>
      </c>
      <c r="Z18" s="59">
        <v>17.2</v>
      </c>
      <c r="AA18" s="54">
        <v>17.399999999999999</v>
      </c>
      <c r="AB18" s="59">
        <v>18</v>
      </c>
      <c r="AC18" s="50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</row>
    <row r="19" spans="1:54" ht="16.5" customHeight="1">
      <c r="A19" s="50" t="s">
        <v>547</v>
      </c>
      <c r="B19" s="59">
        <v>14.1</v>
      </c>
      <c r="C19" s="59">
        <v>16.5</v>
      </c>
      <c r="D19" s="59">
        <v>17.8</v>
      </c>
      <c r="E19" s="59">
        <v>17.899999999999999</v>
      </c>
      <c r="F19" s="59">
        <v>17.899999999999999</v>
      </c>
      <c r="G19" s="59">
        <v>18.2</v>
      </c>
      <c r="H19" s="59">
        <v>17.8</v>
      </c>
      <c r="I19" s="59">
        <v>18.100000000000001</v>
      </c>
      <c r="J19" s="59">
        <v>18.3</v>
      </c>
      <c r="K19" s="59">
        <v>18.2</v>
      </c>
      <c r="L19" s="59">
        <v>18.7</v>
      </c>
      <c r="M19" s="59">
        <v>18.3</v>
      </c>
      <c r="N19" s="59">
        <v>18.600000000000001</v>
      </c>
      <c r="O19" s="59">
        <v>18</v>
      </c>
      <c r="P19" s="59">
        <v>18.7</v>
      </c>
      <c r="Q19" s="59">
        <v>19</v>
      </c>
      <c r="R19" s="59">
        <v>19.2</v>
      </c>
      <c r="S19" s="59">
        <v>19.3</v>
      </c>
      <c r="T19" s="59">
        <v>19.5</v>
      </c>
      <c r="U19" s="59">
        <v>19.5</v>
      </c>
      <c r="V19" s="59">
        <v>19.8</v>
      </c>
      <c r="W19" s="59">
        <v>20.100000000000001</v>
      </c>
      <c r="X19" s="59">
        <v>20.100000000000001</v>
      </c>
      <c r="Y19" s="59">
        <v>21</v>
      </c>
      <c r="Z19" s="59">
        <v>21.4</v>
      </c>
      <c r="AA19" s="54">
        <v>21.1</v>
      </c>
      <c r="AB19" s="54">
        <v>21.2</v>
      </c>
      <c r="AC19" s="50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</row>
    <row r="20" spans="1:54" ht="16.5" customHeight="1" thickBot="1">
      <c r="A20" s="60" t="s">
        <v>548</v>
      </c>
      <c r="B20" s="61">
        <v>13.2</v>
      </c>
      <c r="C20" s="61">
        <v>16.5</v>
      </c>
      <c r="D20" s="61">
        <v>16.399999999999999</v>
      </c>
      <c r="E20" s="61">
        <v>16.7</v>
      </c>
      <c r="F20" s="61">
        <v>16.2</v>
      </c>
      <c r="G20" s="61">
        <v>16.3</v>
      </c>
      <c r="H20" s="61">
        <v>16</v>
      </c>
      <c r="I20" s="61">
        <v>16</v>
      </c>
      <c r="J20" s="61">
        <v>16.2</v>
      </c>
      <c r="K20" s="61">
        <v>16.100000000000001</v>
      </c>
      <c r="L20" s="61">
        <v>16.2</v>
      </c>
      <c r="M20" s="61">
        <v>16.100000000000001</v>
      </c>
      <c r="N20" s="61">
        <v>16</v>
      </c>
      <c r="O20" s="61">
        <v>16.399999999999999</v>
      </c>
      <c r="P20" s="61">
        <v>16.3</v>
      </c>
      <c r="Q20" s="61">
        <v>16.399999999999999</v>
      </c>
      <c r="R20" s="61">
        <v>16.5</v>
      </c>
      <c r="S20" s="61">
        <v>16.7</v>
      </c>
      <c r="T20" s="61">
        <v>17.2</v>
      </c>
      <c r="U20" s="61">
        <v>17.7</v>
      </c>
      <c r="V20" s="61">
        <v>18.2</v>
      </c>
      <c r="W20" s="61">
        <v>19.3</v>
      </c>
      <c r="X20" s="61">
        <v>19.7</v>
      </c>
      <c r="Y20" s="61">
        <v>19.8</v>
      </c>
      <c r="Z20" s="61">
        <v>20</v>
      </c>
      <c r="AA20" s="62">
        <v>20.9</v>
      </c>
      <c r="AB20" s="62">
        <v>21.2</v>
      </c>
      <c r="AC20" s="50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</row>
    <row r="21" spans="1:54" s="63" customFormat="1" ht="12.75" customHeight="1">
      <c r="A21" s="189" t="s">
        <v>551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</row>
    <row r="22" spans="1:54" s="63" customFormat="1" ht="12.75" customHeight="1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</row>
    <row r="23" spans="1:54" s="63" customFormat="1" ht="12.75" customHeight="1">
      <c r="A23" s="190" t="s">
        <v>552</v>
      </c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</row>
    <row r="24" spans="1:54" s="63" customFormat="1" ht="12.75" customHeight="1">
      <c r="A24" s="183" t="s">
        <v>553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</row>
    <row r="25" spans="1:54" s="63" customFormat="1" ht="12.75" customHeight="1">
      <c r="A25" s="183" t="s">
        <v>554</v>
      </c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</row>
    <row r="26" spans="1:54" s="63" customFormat="1" ht="27.75" customHeight="1">
      <c r="A26" s="184" t="s">
        <v>555</v>
      </c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</row>
    <row r="27" spans="1:54" s="63" customFormat="1" ht="12.75" customHeight="1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</row>
    <row r="28" spans="1:54" s="63" customFormat="1" ht="12.75" customHeight="1">
      <c r="A28" s="185" t="s">
        <v>556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</row>
    <row r="29" spans="1:54" s="63" customFormat="1" ht="25.5" customHeight="1">
      <c r="A29" s="186" t="s">
        <v>557</v>
      </c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1">
    <mergeCell ref="A24:Q24"/>
    <mergeCell ref="A1:AB1"/>
    <mergeCell ref="AC1:BB1"/>
    <mergeCell ref="A21:Q21"/>
    <mergeCell ref="A22:Q22"/>
    <mergeCell ref="A23:Q23"/>
    <mergeCell ref="A25:Q25"/>
    <mergeCell ref="A26:Q26"/>
    <mergeCell ref="A27:Q27"/>
    <mergeCell ref="A28:Q28"/>
    <mergeCell ref="A29:Q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8"/>
  <sheetViews>
    <sheetView workbookViewId="0">
      <selection activeCell="G28" sqref="G28"/>
    </sheetView>
  </sheetViews>
  <sheetFormatPr defaultColWidth="9.140625" defaultRowHeight="15"/>
  <cols>
    <col min="1" max="1" width="30.140625" style="3" customWidth="1"/>
    <col min="2" max="2" width="29.85546875" style="3" customWidth="1"/>
    <col min="3" max="3" width="25.28515625" style="3" customWidth="1"/>
    <col min="4" max="4" width="22.7109375" style="3" customWidth="1"/>
    <col min="5" max="5" width="25.140625" style="3" customWidth="1"/>
    <col min="6" max="14" width="9.140625" style="3"/>
    <col min="15" max="15" width="15.42578125" style="3" customWidth="1"/>
    <col min="16" max="16" width="22.42578125" style="3" customWidth="1"/>
    <col min="17" max="16384" width="9.140625" style="3"/>
  </cols>
  <sheetData>
    <row r="1" spans="1:16" customFormat="1" ht="15.75" thickBot="1">
      <c r="A1" s="6" t="s">
        <v>558</v>
      </c>
      <c r="B1" s="33"/>
      <c r="C1" s="33"/>
      <c r="D1" s="33"/>
      <c r="E1" s="33"/>
    </row>
    <row r="2" spans="1:16" s="2" customFormat="1" ht="60">
      <c r="A2" s="2" t="s">
        <v>559</v>
      </c>
      <c r="B2" s="7" t="s">
        <v>560</v>
      </c>
      <c r="C2" s="2" t="s">
        <v>561</v>
      </c>
      <c r="D2" s="2" t="s">
        <v>562</v>
      </c>
      <c r="E2" s="7" t="s">
        <v>563</v>
      </c>
      <c r="O2" s="71"/>
      <c r="P2" s="72"/>
    </row>
    <row r="3" spans="1:16" ht="15.75" thickBot="1">
      <c r="A3" s="3">
        <v>13</v>
      </c>
      <c r="B3" s="68">
        <v>14</v>
      </c>
      <c r="C3" s="5">
        <f>AVERAGE(SUM('NTS 1-20'!X4:X5),SUM('NTS 1-20'!Y4:Y5),SUM('NTS 1-20'!Z4:Z5),SUM('NTS 1-20'!AA4:AA5))</f>
        <v>7982.5</v>
      </c>
      <c r="D3" s="5">
        <f>AVERAGE(SUM('NTS 1-20'!X6:X8),SUM('NTS 1-20'!Y6:Y8),SUM('NTS 1-20'!Z6:Z8),SUM('NTS 1-20'!AA6:AA8))</f>
        <v>4867.25</v>
      </c>
      <c r="E3" s="8">
        <f>(A3*C3+B3*D3)/(C3+D3)</f>
        <v>13.378781688359696</v>
      </c>
      <c r="P3" s="72"/>
    </row>
    <row r="4" spans="1:16">
      <c r="P4" s="72"/>
    </row>
    <row r="5" spans="1:16" ht="15.75" thickBot="1">
      <c r="A5" s="10" t="s">
        <v>564</v>
      </c>
      <c r="P5" s="72"/>
    </row>
    <row r="6" spans="1:16" ht="30">
      <c r="A6" s="7" t="s">
        <v>565</v>
      </c>
      <c r="B6" s="64" t="s">
        <v>566</v>
      </c>
      <c r="C6" s="7" t="s">
        <v>567</v>
      </c>
      <c r="D6" s="64" t="s">
        <v>568</v>
      </c>
      <c r="E6" s="2"/>
    </row>
    <row r="7" spans="1:16" ht="15.75" thickBot="1">
      <c r="A7" s="68">
        <v>28</v>
      </c>
      <c r="B7" s="65">
        <v>11932239</v>
      </c>
      <c r="C7" s="68">
        <v>23</v>
      </c>
      <c r="D7" s="66">
        <v>1007829.3084223459</v>
      </c>
      <c r="E7" s="67"/>
    </row>
    <row r="10" spans="1:16">
      <c r="A10" s="10" t="s">
        <v>18</v>
      </c>
      <c r="B10" s="34"/>
      <c r="C10" s="34"/>
      <c r="D10" s="34"/>
      <c r="E10" s="34"/>
    </row>
    <row r="11" spans="1:16" s="9" customFormat="1">
      <c r="A11" s="15" t="s">
        <v>569</v>
      </c>
      <c r="B11" s="14"/>
      <c r="C11" s="15"/>
    </row>
    <row r="12" spans="1:16" s="9" customFormat="1">
      <c r="A12" s="9" t="s">
        <v>570</v>
      </c>
      <c r="B12" s="16" t="s">
        <v>571</v>
      </c>
    </row>
    <row r="13" spans="1:16" s="9" customFormat="1">
      <c r="A13" s="9" t="s">
        <v>572</v>
      </c>
      <c r="B13" s="16" t="s">
        <v>573</v>
      </c>
    </row>
    <row r="14" spans="1:16" s="9" customFormat="1" ht="15.75" thickBot="1">
      <c r="A14" s="9" t="s">
        <v>574</v>
      </c>
      <c r="B14" s="16" t="s">
        <v>575</v>
      </c>
    </row>
    <row r="15" spans="1:16" s="9" customFormat="1">
      <c r="A15" s="17" t="s">
        <v>576</v>
      </c>
    </row>
    <row r="16" spans="1:16" s="9" customFormat="1" ht="15.75" thickBot="1">
      <c r="A16" s="18">
        <v>24</v>
      </c>
    </row>
    <row r="18" spans="1:5">
      <c r="A18" s="10" t="s">
        <v>577</v>
      </c>
      <c r="B18" s="34"/>
      <c r="C18" s="34"/>
      <c r="D18" s="34"/>
      <c r="E18" s="34"/>
    </row>
    <row r="19" spans="1:5">
      <c r="A19" s="15" t="s">
        <v>578</v>
      </c>
      <c r="B19" s="15" t="s">
        <v>579</v>
      </c>
      <c r="C19" s="15" t="s">
        <v>580</v>
      </c>
    </row>
    <row r="20" spans="1:5">
      <c r="A20" t="s">
        <v>581</v>
      </c>
      <c r="B20" t="s">
        <v>582</v>
      </c>
      <c r="C20" s="9">
        <v>33</v>
      </c>
    </row>
    <row r="21" spans="1:5" ht="15.75" thickBot="1">
      <c r="A21" t="s">
        <v>583</v>
      </c>
      <c r="B21" t="s">
        <v>584</v>
      </c>
      <c r="C21" s="9">
        <v>35</v>
      </c>
    </row>
    <row r="22" spans="1:5" ht="15.75" thickBot="1">
      <c r="A22"/>
      <c r="B22" s="11" t="s">
        <v>576</v>
      </c>
      <c r="C22" s="12">
        <v>34</v>
      </c>
    </row>
    <row r="23" spans="1:5">
      <c r="A23" t="s">
        <v>585</v>
      </c>
    </row>
    <row r="24" spans="1:5">
      <c r="A24" t="s">
        <v>586</v>
      </c>
    </row>
    <row r="26" spans="1:5">
      <c r="A26" s="10" t="s">
        <v>587</v>
      </c>
      <c r="B26" s="34"/>
      <c r="C26" s="34"/>
      <c r="D26" s="34"/>
      <c r="E26" s="34"/>
    </row>
    <row r="27" spans="1:5" ht="15.75" thickBot="1">
      <c r="A27" s="15" t="s">
        <v>578</v>
      </c>
      <c r="B27" s="15" t="s">
        <v>579</v>
      </c>
      <c r="C27" s="15" t="s">
        <v>580</v>
      </c>
    </row>
    <row r="28" spans="1:5" ht="15.75" thickBot="1">
      <c r="A28" t="s">
        <v>588</v>
      </c>
      <c r="B28" s="13" t="s">
        <v>589</v>
      </c>
      <c r="C28" s="12">
        <v>33</v>
      </c>
    </row>
    <row r="30" spans="1:5" ht="15.75" thickBot="1">
      <c r="A30" s="10" t="s">
        <v>25</v>
      </c>
      <c r="B30" s="34"/>
      <c r="C30" s="34"/>
      <c r="D30" s="34"/>
      <c r="E30" s="34"/>
    </row>
    <row r="31" spans="1:5" ht="30">
      <c r="A31" s="21" t="s">
        <v>590</v>
      </c>
      <c r="B31" s="26" t="s">
        <v>591</v>
      </c>
      <c r="C31" s="29" t="s">
        <v>592</v>
      </c>
      <c r="D31" s="30" t="s">
        <v>593</v>
      </c>
      <c r="E31" s="30" t="s">
        <v>594</v>
      </c>
    </row>
    <row r="32" spans="1:5">
      <c r="A32" s="20">
        <v>1997</v>
      </c>
      <c r="B32" s="24">
        <v>3826373</v>
      </c>
      <c r="C32" s="27">
        <v>260000</v>
      </c>
      <c r="D32" s="9"/>
      <c r="E32" s="9"/>
    </row>
    <row r="33" spans="1:5">
      <c r="A33" s="20">
        <v>1998</v>
      </c>
      <c r="B33" s="24">
        <v>3879450</v>
      </c>
      <c r="C33" s="27">
        <v>311000</v>
      </c>
      <c r="D33" s="24">
        <f t="shared" ref="D33:D41" si="0">C33-(B33-B32)</f>
        <v>257923</v>
      </c>
      <c r="E33" s="31">
        <f>D33/B33</f>
        <v>6.6484424338501588E-2</v>
      </c>
    </row>
    <row r="34" spans="1:5">
      <c r="A34" s="20">
        <v>1999</v>
      </c>
      <c r="B34" s="24">
        <v>4152433</v>
      </c>
      <c r="C34" s="27">
        <v>394000</v>
      </c>
      <c r="D34" s="24">
        <f t="shared" si="0"/>
        <v>121017</v>
      </c>
      <c r="E34" s="31">
        <f t="shared" ref="E34:E42" si="1">D34/B34</f>
        <v>2.9143636995467476E-2</v>
      </c>
    </row>
    <row r="35" spans="1:5">
      <c r="A35" s="20">
        <v>2000</v>
      </c>
      <c r="B35" s="24">
        <v>4346068</v>
      </c>
      <c r="C35" s="27">
        <v>490000</v>
      </c>
      <c r="D35" s="24">
        <f t="shared" si="0"/>
        <v>296365</v>
      </c>
      <c r="E35" s="31">
        <f t="shared" si="1"/>
        <v>6.8191523924614153E-2</v>
      </c>
    </row>
    <row r="36" spans="1:5">
      <c r="A36" s="20">
        <v>2001</v>
      </c>
      <c r="B36" s="24">
        <v>4903056</v>
      </c>
      <c r="C36" s="27">
        <v>577000</v>
      </c>
      <c r="D36" s="24">
        <f t="shared" si="0"/>
        <v>20012</v>
      </c>
      <c r="E36" s="31">
        <f t="shared" si="1"/>
        <v>4.0815360868813244E-3</v>
      </c>
    </row>
    <row r="37" spans="1:5">
      <c r="A37" s="20">
        <v>2002</v>
      </c>
      <c r="B37" s="24">
        <v>5004156</v>
      </c>
      <c r="C37" s="27">
        <v>640000</v>
      </c>
      <c r="D37" s="24">
        <f t="shared" si="0"/>
        <v>538900</v>
      </c>
      <c r="E37" s="31">
        <f t="shared" si="1"/>
        <v>0.10769048766665149</v>
      </c>
    </row>
    <row r="38" spans="1:5">
      <c r="A38" s="20">
        <v>2003</v>
      </c>
      <c r="B38" s="24">
        <v>5370035</v>
      </c>
      <c r="C38" s="27">
        <v>683000</v>
      </c>
      <c r="D38" s="24">
        <f t="shared" si="0"/>
        <v>317121</v>
      </c>
      <c r="E38" s="31">
        <f t="shared" si="1"/>
        <v>5.9053805049687755E-2</v>
      </c>
    </row>
    <row r="39" spans="1:5">
      <c r="A39" s="20">
        <v>2004</v>
      </c>
      <c r="B39" s="24">
        <v>5780870</v>
      </c>
      <c r="C39" s="27">
        <v>750000</v>
      </c>
      <c r="D39" s="24">
        <f t="shared" si="0"/>
        <v>339165</v>
      </c>
      <c r="E39" s="31">
        <f t="shared" si="1"/>
        <v>5.8670234757052138E-2</v>
      </c>
    </row>
    <row r="40" spans="1:5">
      <c r="A40" s="20">
        <v>2005</v>
      </c>
      <c r="B40" s="24">
        <v>6227146</v>
      </c>
      <c r="C40" s="27">
        <v>831000</v>
      </c>
      <c r="D40" s="24">
        <f t="shared" si="0"/>
        <v>384724</v>
      </c>
      <c r="E40" s="31">
        <f t="shared" si="1"/>
        <v>6.1781753631599455E-2</v>
      </c>
    </row>
    <row r="41" spans="1:5">
      <c r="A41" s="20">
        <v>2006</v>
      </c>
      <c r="B41" s="24">
        <v>6678958</v>
      </c>
      <c r="C41" s="27">
        <v>892000</v>
      </c>
      <c r="D41" s="24">
        <f t="shared" si="0"/>
        <v>440188</v>
      </c>
      <c r="E41" s="31">
        <f t="shared" si="1"/>
        <v>6.5906687839630079E-2</v>
      </c>
    </row>
    <row r="42" spans="1:5" ht="15.75" thickBot="1">
      <c r="A42" s="25">
        <v>2007</v>
      </c>
      <c r="B42" s="23">
        <v>7138476</v>
      </c>
      <c r="C42" s="22">
        <v>885000</v>
      </c>
      <c r="D42" s="24">
        <f>C42-(B42-B41)</f>
        <v>425482</v>
      </c>
      <c r="E42" s="31">
        <f t="shared" si="1"/>
        <v>5.9604038733197397E-2</v>
      </c>
    </row>
    <row r="43" spans="1:5">
      <c r="A43"/>
      <c r="B43"/>
      <c r="C43"/>
      <c r="D43"/>
      <c r="E43"/>
    </row>
    <row r="44" spans="1:5">
      <c r="A44" s="1" t="s">
        <v>595</v>
      </c>
      <c r="B44"/>
      <c r="C44"/>
      <c r="D44"/>
    </row>
    <row r="45" spans="1:5">
      <c r="A45" s="28">
        <f>AVERAGE(E33:E42)</f>
        <v>5.8060812902328285E-2</v>
      </c>
      <c r="B45"/>
      <c r="C45"/>
      <c r="D45"/>
    </row>
    <row r="46" spans="1:5" ht="15.75" thickBot="1">
      <c r="A46"/>
      <c r="B46"/>
      <c r="C46"/>
      <c r="D46"/>
    </row>
    <row r="47" spans="1:5" ht="30">
      <c r="A47" s="36" t="s">
        <v>596</v>
      </c>
      <c r="B47"/>
      <c r="C47"/>
      <c r="D47"/>
    </row>
    <row r="48" spans="1:5" ht="15.75" thickBot="1">
      <c r="A48" s="35">
        <f>1/A45</f>
        <v>17.22332068760786</v>
      </c>
      <c r="B48"/>
      <c r="C48"/>
      <c r="D48"/>
    </row>
  </sheetData>
  <pageMargins left="0.7" right="0.7" top="0.75" bottom="0.75" header="0.3" footer="0.3"/>
  <ignoredErrors>
    <ignoredError sqref="C3:D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1426-123E-4577-A9C8-93E89562BFE4}">
  <dimension ref="A2:B21"/>
  <sheetViews>
    <sheetView workbookViewId="0">
      <selection activeCell="B21" sqref="B21"/>
    </sheetView>
  </sheetViews>
  <sheetFormatPr defaultColWidth="8.85546875" defaultRowHeight="15"/>
  <cols>
    <col min="1" max="1" width="25.140625" customWidth="1"/>
  </cols>
  <sheetData>
    <row r="2" spans="1:2">
      <c r="A2" t="s">
        <v>597</v>
      </c>
      <c r="B2" s="37">
        <f>'Table 44'!B79*1000</f>
        <v>642293.94500000007</v>
      </c>
    </row>
    <row r="3" spans="1:2">
      <c r="A3" t="s">
        <v>598</v>
      </c>
      <c r="B3" s="37">
        <f>'Table 45'!B77*1000</f>
        <v>14814711.913999999</v>
      </c>
    </row>
    <row r="4" spans="1:2">
      <c r="A4" t="s">
        <v>599</v>
      </c>
      <c r="B4" s="37">
        <f>1/(B2/B3)</f>
        <v>23.06531461074259</v>
      </c>
    </row>
    <row r="5" spans="1:2">
      <c r="B5" s="37"/>
    </row>
    <row r="6" spans="1:2">
      <c r="B6" s="37"/>
    </row>
    <row r="7" spans="1:2">
      <c r="A7" t="s">
        <v>600</v>
      </c>
      <c r="B7" s="37">
        <f>SUM('Table 49'!C220,'Table 49'!C231)*1000</f>
        <v>432742.79800000001</v>
      </c>
    </row>
    <row r="8" spans="1:2">
      <c r="A8" t="s">
        <v>601</v>
      </c>
      <c r="B8" s="37">
        <f>SUM('Table 49'!C146,'Table 49'!C157)*10^6</f>
        <v>8342662.0000000009</v>
      </c>
    </row>
    <row r="9" spans="1:2">
      <c r="A9" t="s">
        <v>599</v>
      </c>
      <c r="B9" s="37">
        <f>1/(B7/B8)</f>
        <v>19.278569253046243</v>
      </c>
    </row>
    <row r="10" spans="1:2">
      <c r="B10" s="37"/>
    </row>
    <row r="11" spans="1:2">
      <c r="A11" t="s">
        <v>602</v>
      </c>
      <c r="B11" s="37">
        <f>'Table 49'!C242*1000</f>
        <v>279162.04800000001</v>
      </c>
    </row>
    <row r="12" spans="1:2">
      <c r="A12" t="s">
        <v>603</v>
      </c>
      <c r="B12" s="37">
        <f>'Table 49'!C168*10^6</f>
        <v>5303351</v>
      </c>
    </row>
    <row r="13" spans="1:2">
      <c r="A13" t="s">
        <v>599</v>
      </c>
      <c r="B13" s="37">
        <f>1/(B11/B12)</f>
        <v>18.997392510890304</v>
      </c>
    </row>
    <row r="15" spans="1:2">
      <c r="A15" t="s">
        <v>604</v>
      </c>
      <c r="B15">
        <v>6000</v>
      </c>
    </row>
    <row r="16" spans="1:2">
      <c r="A16" t="s">
        <v>605</v>
      </c>
      <c r="B16">
        <v>73000</v>
      </c>
    </row>
    <row r="17" spans="1:2">
      <c r="A17" t="s">
        <v>606</v>
      </c>
      <c r="B17">
        <f>1/(B15/B16)</f>
        <v>12.166666666666668</v>
      </c>
    </row>
    <row r="19" spans="1:2">
      <c r="A19" t="s">
        <v>607</v>
      </c>
      <c r="B19">
        <v>14</v>
      </c>
    </row>
    <row r="20" spans="1:2">
      <c r="A20" t="s">
        <v>608</v>
      </c>
      <c r="B20">
        <v>237</v>
      </c>
    </row>
    <row r="21" spans="1:2">
      <c r="A21" t="s">
        <v>606</v>
      </c>
      <c r="B21">
        <f>1/(B19/B20)</f>
        <v>16.928571428571427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H3" sqref="H3"/>
    </sheetView>
  </sheetViews>
  <sheetFormatPr defaultColWidth="8.85546875" defaultRowHeight="15"/>
  <cols>
    <col min="1" max="1" width="14.42578125" style="193" customWidth="1"/>
    <col min="2" max="2" width="19" style="193" customWidth="1"/>
    <col min="3" max="3" width="15.42578125" style="193" customWidth="1"/>
    <col min="4" max="16384" width="8.85546875" style="193"/>
  </cols>
  <sheetData>
    <row r="1" spans="1:3" ht="45">
      <c r="A1" s="191" t="s">
        <v>609</v>
      </c>
      <c r="B1" s="192" t="s">
        <v>610</v>
      </c>
      <c r="C1" s="192" t="s">
        <v>611</v>
      </c>
    </row>
    <row r="2" spans="1:3">
      <c r="A2" s="193" t="s">
        <v>558</v>
      </c>
      <c r="B2" s="194">
        <f>ROUND('Mexico Road Fleet'!AB39,0)</f>
        <v>24</v>
      </c>
      <c r="C2" s="194">
        <f>B2</f>
        <v>24</v>
      </c>
    </row>
    <row r="3" spans="1:3">
      <c r="A3" s="193" t="s">
        <v>564</v>
      </c>
      <c r="B3" s="194">
        <f>ROUND('Mexico Road Fleet'!AC194,0)</f>
        <v>25</v>
      </c>
      <c r="C3" s="194">
        <f>B3*About!A64</f>
        <v>33.25</v>
      </c>
    </row>
    <row r="4" spans="1:3">
      <c r="A4" s="193" t="s">
        <v>18</v>
      </c>
      <c r="B4" s="194">
        <f>ROUND('Mexico AirFleet'!B30,0)</f>
        <v>15</v>
      </c>
      <c r="C4" s="194">
        <f>B4</f>
        <v>15</v>
      </c>
    </row>
    <row r="5" spans="1:3">
      <c r="A5" s="193" t="s">
        <v>577</v>
      </c>
      <c r="B5" s="193">
        <f>ROUND(Calculations!C22*About!$A$64,0)</f>
        <v>45</v>
      </c>
      <c r="C5" s="193">
        <f>B5</f>
        <v>45</v>
      </c>
    </row>
    <row r="6" spans="1:3">
      <c r="A6" s="193" t="s">
        <v>587</v>
      </c>
      <c r="B6" s="193">
        <f>ROUND(Calculations!C28*About!$A$64,0)</f>
        <v>44</v>
      </c>
      <c r="C6" s="193">
        <f>B6</f>
        <v>44</v>
      </c>
    </row>
    <row r="7" spans="1:3">
      <c r="A7" s="193" t="s">
        <v>25</v>
      </c>
      <c r="B7" s="194">
        <f>ROUND('Mexico Road Fleet'!BE118*2,0)</f>
        <v>11</v>
      </c>
      <c r="C7" s="194">
        <f>B7</f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6817C8-7D6D-4E1B-9509-C77AC63BB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FB5FD7-2E02-402A-BE92-5F7330302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A990DD-979F-47FF-B335-8DC58680C05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Mexico Road Fleet</vt:lpstr>
      <vt:lpstr>Mexico AirFleet</vt:lpstr>
      <vt:lpstr>Table_38._Light-Duty_Vehicle_Sa</vt:lpstr>
      <vt:lpstr>Table 44</vt:lpstr>
      <vt:lpstr>Table 45</vt:lpstr>
      <vt:lpstr>Table 49</vt:lpstr>
      <vt:lpstr>Sheet1</vt:lpstr>
      <vt:lpstr>NTS 1-20</vt:lpstr>
      <vt:lpstr>Calculations</vt:lpstr>
      <vt:lpstr>Freight and Buses</vt:lpstr>
      <vt:lpstr>AVL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>Updated for Mexico by Fernando Olea. Feb,2025</dc:description>
  <cp:lastModifiedBy>Olivia Ashmoore</cp:lastModifiedBy>
  <cp:revision/>
  <dcterms:created xsi:type="dcterms:W3CDTF">2014-03-17T23:54:25Z</dcterms:created>
  <dcterms:modified xsi:type="dcterms:W3CDTF">2026-02-18T18:50:43Z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