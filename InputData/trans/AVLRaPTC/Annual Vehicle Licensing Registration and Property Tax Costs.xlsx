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AVLRaPTC/"/>
    </mc:Choice>
  </mc:AlternateContent>
  <xr:revisionPtr revIDLastSave="0" documentId="13_ncr:1_{D2886936-04EF-C14A-B25C-7E8B845D16E0}" xr6:coauthVersionLast="47" xr6:coauthVersionMax="47" xr10:uidLastSave="{00000000-0000-0000-0000-000000000000}"/>
  <bookViews>
    <workbookView xWindow="0" yWindow="500" windowWidth="26520" windowHeight="20500" activeTab="1" xr2:uid="{AF599D04-C13D-45D7-BEF0-770B4B16FC27}"/>
  </bookViews>
  <sheets>
    <sheet name="About" sheetId="1" r:id="rId1"/>
    <sheet name="Data" sheetId="3" r:id="rId2"/>
    <sheet name="AVLRaPT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32" i="3"/>
  <c r="E29" i="3"/>
  <c r="E25" i="3"/>
  <c r="E22" i="3"/>
  <c r="E19" i="3"/>
  <c r="E16" i="3"/>
  <c r="E14" i="3"/>
  <c r="E12" i="3"/>
  <c r="I2" i="3"/>
  <c r="E8" i="3"/>
  <c r="E7" i="3"/>
  <c r="E6" i="3"/>
  <c r="E5" i="3"/>
  <c r="E34" i="3" l="1"/>
  <c r="E30" i="3"/>
  <c r="G29" i="3" s="1"/>
  <c r="I29" i="3" s="1"/>
  <c r="E26" i="3"/>
  <c r="E24" i="3"/>
  <c r="G22" i="3" s="1"/>
  <c r="I22" i="3" s="1"/>
  <c r="E23" i="3"/>
  <c r="E18" i="3"/>
  <c r="E17" i="3"/>
  <c r="G16" i="3" s="1"/>
  <c r="I16" i="3" s="1"/>
  <c r="G12" i="3"/>
  <c r="I12" i="3" s="1"/>
  <c r="E9" i="3"/>
  <c r="G5" i="3" s="1"/>
  <c r="J29" i="3" l="1"/>
  <c r="C3" i="2" s="1"/>
  <c r="J22" i="3"/>
  <c r="C2" i="2" s="1"/>
  <c r="J16" i="3"/>
  <c r="B7" i="2" s="1"/>
  <c r="J12" i="3"/>
  <c r="B3" i="2" s="1"/>
  <c r="I5" i="3"/>
  <c r="J5" i="3" l="1"/>
  <c r="B2" i="2" s="1"/>
</calcChain>
</file>

<file path=xl/sharedStrings.xml><?xml version="1.0" encoding="utf-8"?>
<sst xmlns="http://schemas.openxmlformats.org/spreadsheetml/2006/main" count="96" uniqueCount="53">
  <si>
    <t>AVLRaPTC Annual Vehicle Licensing Registration and Property Tax Costs</t>
  </si>
  <si>
    <t>Sources:</t>
  </si>
  <si>
    <t>Data</t>
  </si>
  <si>
    <t>SEMOVI</t>
  </si>
  <si>
    <t>Department of Mobility of Mexico City</t>
  </si>
  <si>
    <t>Trámites y Servicios / Vehículos Particulares / Licencias y Permisos</t>
  </si>
  <si>
    <t>https://www.semovi.cdmx.gob.mx/tramites-y-servicios/vehiculos-particulares/automovil/licencias/licencia-expedicion-nueva</t>
  </si>
  <si>
    <t>Notes</t>
  </si>
  <si>
    <t>motorbikes</t>
  </si>
  <si>
    <t>HDVs</t>
  </si>
  <si>
    <t>Currency Conversion</t>
  </si>
  <si>
    <t>2019 to 2012 USD</t>
  </si>
  <si>
    <t>2012 USD</t>
  </si>
  <si>
    <t>Mexico city costs</t>
  </si>
  <si>
    <t>Passenger LDV</t>
  </si>
  <si>
    <t>2022 MXN</t>
  </si>
  <si>
    <t>Lifespan</t>
  </si>
  <si>
    <t>annualized property cost</t>
  </si>
  <si>
    <t>Licence</t>
  </si>
  <si>
    <t>every 3 years</t>
  </si>
  <si>
    <t>Plates</t>
  </si>
  <si>
    <t>once</t>
  </si>
  <si>
    <t>Cancel plates</t>
  </si>
  <si>
    <t>Registration (t.circulación)</t>
  </si>
  <si>
    <t>every 5 years</t>
  </si>
  <si>
    <t>Auto tax (tenencia y refrendo)</t>
  </si>
  <si>
    <t>every year</t>
  </si>
  <si>
    <t>Emissions verification</t>
  </si>
  <si>
    <t>twice a year</t>
  </si>
  <si>
    <t>Passenger HDV</t>
  </si>
  <si>
    <t>Revista</t>
  </si>
  <si>
    <t>Registration</t>
  </si>
  <si>
    <t>Motorcycles</t>
  </si>
  <si>
    <t>Cargo LDV</t>
  </si>
  <si>
    <t>Cargo HDV</t>
  </si>
  <si>
    <t>Concession sign-in</t>
  </si>
  <si>
    <t>Concession</t>
  </si>
  <si>
    <t>2012 USD/year</t>
  </si>
  <si>
    <t>passenger</t>
  </si>
  <si>
    <t>freight</t>
  </si>
  <si>
    <t>LDVs</t>
  </si>
  <si>
    <t>aircraft</t>
  </si>
  <si>
    <t>rail</t>
  </si>
  <si>
    <t>ships</t>
  </si>
  <si>
    <t>Auto tax (refrendo y tenencia solo en algunos casos)</t>
  </si>
  <si>
    <t>2022 USD</t>
  </si>
  <si>
    <t>MXN/USD 2022</t>
  </si>
  <si>
    <t>2020 to 2012 USD</t>
  </si>
  <si>
    <t>2021 to 2012 USD</t>
  </si>
  <si>
    <t>2022 to 2012 USD</t>
  </si>
  <si>
    <t>2023 to 2012 USD</t>
  </si>
  <si>
    <t>2024 to 2012 USD</t>
  </si>
  <si>
    <t>USD/MXN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</si>
</sst>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5" formatCode="_(* #,##0.000_);_(* \(#,##0.000\);_(* &quot;-&quot;??_);_(@_)"/>
    <numFmt numFmtId="166" formatCode="0.000"/>
    <numFmt numFmtId="168" formatCode="&quot;$&quot;#,##0.000_);[Red]\(&quot;$&quot;#,##0.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" fontId="0" fillId="0" borderId="0" xfId="0" applyNumberFormat="1"/>
    <xf numFmtId="0" fontId="1" fillId="2" borderId="0" xfId="1" applyFont="1" applyFill="1"/>
    <xf numFmtId="0" fontId="3" fillId="0" borderId="0" xfId="1"/>
    <xf numFmtId="0" fontId="3" fillId="0" borderId="0" xfId="1" applyAlignment="1">
      <alignment horizontal="left"/>
    </xf>
    <xf numFmtId="0" fontId="2" fillId="0" borderId="0" xfId="2"/>
    <xf numFmtId="0" fontId="1" fillId="0" borderId="0" xfId="1" applyFont="1"/>
    <xf numFmtId="6" fontId="3" fillId="3" borderId="0" xfId="1" applyNumberFormat="1" applyFill="1"/>
    <xf numFmtId="2" fontId="3" fillId="0" borderId="0" xfId="1" applyNumberFormat="1"/>
    <xf numFmtId="0" fontId="2" fillId="0" borderId="0" xfId="3"/>
    <xf numFmtId="165" fontId="4" fillId="4" borderId="0" xfId="4" applyNumberFormat="1" applyFont="1" applyFill="1"/>
    <xf numFmtId="166" fontId="0" fillId="0" borderId="0" xfId="0" applyNumberFormat="1"/>
    <xf numFmtId="168" fontId="3" fillId="3" borderId="0" xfId="1" applyNumberFormat="1" applyFill="1"/>
  </cellXfs>
  <cellStyles count="5">
    <cellStyle name="Comma" xfId="4" builtinId="3"/>
    <cellStyle name="Hyperlink" xfId="3" builtinId="8"/>
    <cellStyle name="Hyperlink 2" xfId="2" xr:uid="{37154EAF-EEE9-432C-9132-761A10D61FAB}"/>
    <cellStyle name="Normal" xfId="0" builtinId="0"/>
    <cellStyle name="Normal 2" xfId="1" xr:uid="{C94E0D64-0F7B-422D-86FA-DE237AA379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emovi.cdmx.gob.mx/tramites-y-servicios/vehiculos-particulares/automovil/licencias/licencia-expedicion-nue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CD7F-A224-4C3A-9A5E-D38F07B136AE}">
  <dimension ref="A1:B19"/>
  <sheetViews>
    <sheetView workbookViewId="0">
      <selection activeCell="A10" sqref="A10"/>
    </sheetView>
  </sheetViews>
  <sheetFormatPr baseColWidth="10" defaultColWidth="8.83203125" defaultRowHeight="15" x14ac:dyDescent="0.2"/>
  <cols>
    <col min="2" max="2" width="61.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5" t="s">
        <v>2</v>
      </c>
    </row>
    <row r="4" spans="1:2" x14ac:dyDescent="0.2">
      <c r="B4" s="6" t="s">
        <v>3</v>
      </c>
    </row>
    <row r="5" spans="1:2" x14ac:dyDescent="0.2">
      <c r="B5" s="7" t="s">
        <v>4</v>
      </c>
    </row>
    <row r="6" spans="1:2" x14ac:dyDescent="0.2">
      <c r="B6" s="6" t="s">
        <v>5</v>
      </c>
    </row>
    <row r="7" spans="1:2" x14ac:dyDescent="0.2">
      <c r="B7" s="12" t="s">
        <v>6</v>
      </c>
    </row>
    <row r="9" spans="1:2" x14ac:dyDescent="0.2">
      <c r="A9" s="1" t="s">
        <v>7</v>
      </c>
    </row>
    <row r="10" spans="1:2" x14ac:dyDescent="0.2">
      <c r="A10" s="6"/>
      <c r="B10" s="6"/>
    </row>
    <row r="11" spans="1:2" x14ac:dyDescent="0.2">
      <c r="A11" s="6"/>
      <c r="B11" s="6"/>
    </row>
    <row r="12" spans="1:2" x14ac:dyDescent="0.2">
      <c r="A12" s="9" t="s">
        <v>10</v>
      </c>
      <c r="B12" s="6"/>
    </row>
    <row r="13" spans="1:2" x14ac:dyDescent="0.2">
      <c r="A13" s="13">
        <v>20.124999726027369</v>
      </c>
      <c r="B13" s="6" t="s">
        <v>46</v>
      </c>
    </row>
    <row r="14" spans="1:2" x14ac:dyDescent="0.2">
      <c r="A14" s="6">
        <v>0.89800000000000002</v>
      </c>
      <c r="B14" s="6" t="s">
        <v>11</v>
      </c>
    </row>
    <row r="15" spans="1:2" x14ac:dyDescent="0.2">
      <c r="A15" s="14">
        <v>0.89805481563188172</v>
      </c>
      <c r="B15" t="s">
        <v>47</v>
      </c>
    </row>
    <row r="16" spans="1:2" x14ac:dyDescent="0.2">
      <c r="A16" s="14">
        <v>0.88711067149387013</v>
      </c>
      <c r="B16" t="s">
        <v>48</v>
      </c>
    </row>
    <row r="17" spans="1:2" x14ac:dyDescent="0.2">
      <c r="A17" s="14">
        <v>0.84730412960844359</v>
      </c>
      <c r="B17" t="s">
        <v>49</v>
      </c>
    </row>
    <row r="18" spans="1:2" x14ac:dyDescent="0.2">
      <c r="A18" s="14">
        <v>0.78452102304761584</v>
      </c>
      <c r="B18" t="s">
        <v>50</v>
      </c>
    </row>
    <row r="19" spans="1:2" x14ac:dyDescent="0.2">
      <c r="A19" s="14">
        <v>0.75350342301658668</v>
      </c>
      <c r="B19" t="s">
        <v>51</v>
      </c>
    </row>
  </sheetData>
  <hyperlinks>
    <hyperlink ref="B7" r:id="rId1" xr:uid="{3BB2464B-AA08-4E43-A4D2-C65323B9092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54AB-A372-4BD4-83AD-1469047EB819}">
  <dimension ref="A1:J34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2" max="2" width="23.6640625" bestFit="1" customWidth="1"/>
  </cols>
  <sheetData>
    <row r="1" spans="1:10" x14ac:dyDescent="0.2">
      <c r="A1" s="6"/>
      <c r="B1" s="8"/>
      <c r="C1" s="6"/>
      <c r="D1" s="6"/>
      <c r="E1" s="6"/>
      <c r="F1" s="6"/>
      <c r="G1" s="6"/>
      <c r="H1" s="6"/>
      <c r="I1" s="6" t="s">
        <v>52</v>
      </c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15">
        <f>About!A13</f>
        <v>20.124999726027369</v>
      </c>
      <c r="J2" s="6"/>
    </row>
    <row r="3" spans="1:10" x14ac:dyDescent="0.2">
      <c r="A3" s="9"/>
      <c r="B3" s="6"/>
      <c r="C3" s="6"/>
      <c r="D3" s="6"/>
      <c r="E3" s="6"/>
      <c r="F3" s="6"/>
      <c r="G3" s="9" t="s">
        <v>15</v>
      </c>
      <c r="H3" s="6"/>
      <c r="I3" s="9" t="s">
        <v>45</v>
      </c>
      <c r="J3" s="9" t="s">
        <v>12</v>
      </c>
    </row>
    <row r="4" spans="1:10" x14ac:dyDescent="0.2">
      <c r="A4" s="6" t="s">
        <v>13</v>
      </c>
      <c r="B4" s="9" t="s">
        <v>14</v>
      </c>
      <c r="C4" s="6" t="s">
        <v>15</v>
      </c>
      <c r="D4" s="6"/>
      <c r="E4" s="6"/>
      <c r="F4" s="6" t="s">
        <v>16</v>
      </c>
      <c r="G4" s="6" t="s">
        <v>17</v>
      </c>
      <c r="H4" s="6"/>
      <c r="I4" s="6"/>
      <c r="J4" s="6"/>
    </row>
    <row r="5" spans="1:10" x14ac:dyDescent="0.2">
      <c r="A5" s="6"/>
      <c r="B5" s="6" t="s">
        <v>18</v>
      </c>
      <c r="C5" s="10">
        <v>945</v>
      </c>
      <c r="D5" s="6" t="s">
        <v>21</v>
      </c>
      <c r="E5" s="11">
        <f>1/$F$5</f>
        <v>6.6666666666666666E-2</v>
      </c>
      <c r="F5" s="6">
        <v>15</v>
      </c>
      <c r="G5" s="6">
        <f>SUMPRODUCT(C5:C10,E5:E10)</f>
        <v>3024.2</v>
      </c>
      <c r="H5" s="6"/>
      <c r="I5" s="6">
        <f>G5/$I$2</f>
        <v>150.27080949913486</v>
      </c>
      <c r="J5" s="6">
        <f>I5*About!$A$17</f>
        <v>127.3250774482207</v>
      </c>
    </row>
    <row r="6" spans="1:10" x14ac:dyDescent="0.2">
      <c r="A6" s="6"/>
      <c r="B6" s="6" t="s">
        <v>20</v>
      </c>
      <c r="C6" s="10">
        <v>800</v>
      </c>
      <c r="D6" s="6" t="s">
        <v>21</v>
      </c>
      <c r="E6" s="11">
        <f>1/$F$5</f>
        <v>6.6666666666666666E-2</v>
      </c>
      <c r="F6" s="6"/>
      <c r="G6" s="6"/>
      <c r="H6" s="6"/>
      <c r="I6" s="6"/>
      <c r="J6" s="6"/>
    </row>
    <row r="7" spans="1:10" x14ac:dyDescent="0.2">
      <c r="A7" s="6"/>
      <c r="B7" s="6" t="s">
        <v>22</v>
      </c>
      <c r="C7" s="10">
        <v>488</v>
      </c>
      <c r="D7" s="6" t="s">
        <v>21</v>
      </c>
      <c r="E7" s="11">
        <f>1/$F$5</f>
        <v>6.6666666666666666E-2</v>
      </c>
      <c r="F7" s="6"/>
      <c r="G7" s="6"/>
      <c r="H7" s="6"/>
      <c r="I7" s="6"/>
      <c r="J7" s="6"/>
    </row>
    <row r="8" spans="1:10" x14ac:dyDescent="0.2">
      <c r="A8" s="6"/>
      <c r="B8" s="6" t="s">
        <v>23</v>
      </c>
      <c r="C8" s="10">
        <v>358</v>
      </c>
      <c r="D8" s="6" t="s">
        <v>24</v>
      </c>
      <c r="E8" s="11">
        <f>5/F5</f>
        <v>0.33333333333333331</v>
      </c>
      <c r="F8" s="6"/>
      <c r="G8" s="6"/>
      <c r="H8" s="6"/>
      <c r="I8" s="6"/>
      <c r="J8" s="6"/>
    </row>
    <row r="9" spans="1:10" x14ac:dyDescent="0.2">
      <c r="A9" s="6"/>
      <c r="B9" s="6" t="s">
        <v>44</v>
      </c>
      <c r="C9" s="10">
        <v>1500</v>
      </c>
      <c r="D9" s="6" t="s">
        <v>26</v>
      </c>
      <c r="E9" s="11">
        <f>1</f>
        <v>1</v>
      </c>
      <c r="F9" s="6"/>
      <c r="G9" s="6"/>
      <c r="H9" s="6"/>
      <c r="I9" s="6"/>
      <c r="J9" s="6"/>
    </row>
    <row r="10" spans="1:10" x14ac:dyDescent="0.2">
      <c r="A10" s="6"/>
      <c r="B10" s="6" t="s">
        <v>27</v>
      </c>
      <c r="C10" s="10">
        <v>628</v>
      </c>
      <c r="D10" s="6" t="s">
        <v>28</v>
      </c>
      <c r="E10" s="11">
        <v>2</v>
      </c>
      <c r="F10" s="6"/>
      <c r="G10" s="6"/>
      <c r="H10" s="6"/>
      <c r="I10" s="6"/>
      <c r="J10" s="6"/>
    </row>
    <row r="11" spans="1:10" x14ac:dyDescent="0.2">
      <c r="A11" s="6"/>
      <c r="B11" s="9" t="s">
        <v>29</v>
      </c>
      <c r="C11" s="6"/>
      <c r="D11" s="6"/>
      <c r="E11" s="6"/>
      <c r="F11" s="6" t="s">
        <v>16</v>
      </c>
      <c r="G11" s="6" t="s">
        <v>17</v>
      </c>
      <c r="H11" s="6"/>
      <c r="I11" s="6"/>
      <c r="J11" s="6"/>
    </row>
    <row r="12" spans="1:10" x14ac:dyDescent="0.2">
      <c r="A12" s="6"/>
      <c r="B12" s="6" t="s">
        <v>18</v>
      </c>
      <c r="C12" s="10">
        <v>2553</v>
      </c>
      <c r="D12" s="6" t="s">
        <v>19</v>
      </c>
      <c r="E12" s="11">
        <f>3/F12</f>
        <v>0.15</v>
      </c>
      <c r="F12" s="6">
        <v>20</v>
      </c>
      <c r="G12" s="6">
        <f>SUMPRODUCT(C12:C14,E12:E14)</f>
        <v>1262.95</v>
      </c>
      <c r="H12" s="6"/>
      <c r="I12" s="6">
        <f>G12/$I$2</f>
        <v>62.755280357427544</v>
      </c>
      <c r="J12" s="6">
        <f>I12*About!$A$17</f>
        <v>53.172808201584004</v>
      </c>
    </row>
    <row r="13" spans="1:10" x14ac:dyDescent="0.2">
      <c r="A13" s="6"/>
      <c r="B13" s="6" t="s">
        <v>30</v>
      </c>
      <c r="C13" s="10">
        <v>822</v>
      </c>
      <c r="D13" s="6" t="s">
        <v>26</v>
      </c>
      <c r="E13" s="11">
        <v>1</v>
      </c>
      <c r="F13" s="6"/>
      <c r="G13" s="6"/>
      <c r="H13" s="6"/>
      <c r="I13" s="6"/>
      <c r="J13" s="6"/>
    </row>
    <row r="14" spans="1:10" x14ac:dyDescent="0.2">
      <c r="A14" s="6"/>
      <c r="B14" s="6" t="s">
        <v>31</v>
      </c>
      <c r="C14" s="10">
        <v>232</v>
      </c>
      <c r="D14" s="6" t="s">
        <v>24</v>
      </c>
      <c r="E14" s="11">
        <f>5/F12</f>
        <v>0.25</v>
      </c>
      <c r="F14" s="6"/>
      <c r="G14" s="6"/>
      <c r="H14" s="6"/>
      <c r="I14" s="6"/>
      <c r="J14" s="6"/>
    </row>
    <row r="15" spans="1:10" x14ac:dyDescent="0.2">
      <c r="A15" s="6"/>
      <c r="B15" s="9" t="s">
        <v>32</v>
      </c>
      <c r="C15" s="6"/>
      <c r="D15" s="6"/>
      <c r="E15" s="6"/>
      <c r="F15" s="6" t="s">
        <v>16</v>
      </c>
      <c r="G15" s="6" t="s">
        <v>17</v>
      </c>
      <c r="H15" s="6"/>
      <c r="I15" s="6"/>
      <c r="J15" s="6"/>
    </row>
    <row r="16" spans="1:10" x14ac:dyDescent="0.2">
      <c r="A16" s="6"/>
      <c r="B16" s="6" t="s">
        <v>18</v>
      </c>
      <c r="C16" s="10">
        <v>473</v>
      </c>
      <c r="D16" s="6" t="s">
        <v>19</v>
      </c>
      <c r="E16" s="11">
        <f>3/F16</f>
        <v>0.3</v>
      </c>
      <c r="F16" s="6">
        <v>10</v>
      </c>
      <c r="G16" s="6">
        <f>SUMPRODUCT(C16:C19,E16:E19)</f>
        <v>357.6</v>
      </c>
      <c r="H16" s="6"/>
      <c r="I16" s="6">
        <f>G16/$I$2</f>
        <v>17.768944341277241</v>
      </c>
      <c r="J16" s="6">
        <f>I16*About!$A$17</f>
        <v>15.055699919146791</v>
      </c>
    </row>
    <row r="17" spans="1:10" x14ac:dyDescent="0.2">
      <c r="A17" s="6"/>
      <c r="B17" s="6" t="s">
        <v>20</v>
      </c>
      <c r="C17" s="10">
        <v>586</v>
      </c>
      <c r="D17" s="6" t="s">
        <v>21</v>
      </c>
      <c r="E17" s="11">
        <f>1/F16</f>
        <v>0.1</v>
      </c>
      <c r="F17" s="6"/>
      <c r="G17" s="6"/>
      <c r="H17" s="6"/>
      <c r="I17" s="6"/>
      <c r="J17" s="6"/>
    </row>
    <row r="18" spans="1:10" x14ac:dyDescent="0.2">
      <c r="A18" s="6"/>
      <c r="B18" s="6" t="s">
        <v>22</v>
      </c>
      <c r="C18" s="10">
        <v>401</v>
      </c>
      <c r="D18" s="6"/>
      <c r="E18" s="11">
        <f>1/F16</f>
        <v>0.1</v>
      </c>
      <c r="F18" s="6"/>
      <c r="G18" s="6"/>
      <c r="H18" s="6"/>
      <c r="I18" s="6"/>
      <c r="J18" s="6"/>
    </row>
    <row r="19" spans="1:10" x14ac:dyDescent="0.2">
      <c r="A19" s="6"/>
      <c r="B19" s="6" t="s">
        <v>31</v>
      </c>
      <c r="C19" s="10">
        <v>234</v>
      </c>
      <c r="D19" s="6" t="s">
        <v>24</v>
      </c>
      <c r="E19" s="11">
        <f>5/F16</f>
        <v>0.5</v>
      </c>
      <c r="F19" s="6"/>
      <c r="G19" s="6"/>
      <c r="H19" s="6"/>
      <c r="I19" s="6"/>
      <c r="J19" s="6"/>
    </row>
    <row r="20" spans="1:10" x14ac:dyDescent="0.2">
      <c r="A20" s="6"/>
      <c r="B20" s="6"/>
      <c r="D20" s="6"/>
      <c r="E20" s="11"/>
      <c r="F20" s="6"/>
      <c r="G20" s="6"/>
      <c r="H20" s="6"/>
      <c r="I20" s="6"/>
      <c r="J20" s="6"/>
    </row>
    <row r="21" spans="1:10" x14ac:dyDescent="0.2">
      <c r="A21" s="6" t="s">
        <v>13</v>
      </c>
      <c r="B21" s="9" t="s">
        <v>33</v>
      </c>
      <c r="C21" s="6"/>
      <c r="D21" s="6"/>
      <c r="E21" s="6"/>
      <c r="F21" s="6" t="s">
        <v>16</v>
      </c>
      <c r="G21" s="6" t="s">
        <v>17</v>
      </c>
      <c r="H21" s="6"/>
      <c r="I21" s="6"/>
      <c r="J21" s="6"/>
    </row>
    <row r="22" spans="1:10" x14ac:dyDescent="0.2">
      <c r="A22" s="6"/>
      <c r="B22" s="6" t="s">
        <v>18</v>
      </c>
      <c r="C22" s="10">
        <v>945</v>
      </c>
      <c r="D22" s="6" t="s">
        <v>19</v>
      </c>
      <c r="E22" s="11">
        <f>3/F22</f>
        <v>0.3</v>
      </c>
      <c r="F22" s="6">
        <v>10</v>
      </c>
      <c r="G22" s="6">
        <f>SUMPRODUCT(C22:C27,E22:E27)</f>
        <v>3347.3</v>
      </c>
      <c r="H22" s="6"/>
      <c r="I22" s="6">
        <f>G22/$I$2</f>
        <v>166.32546810278888</v>
      </c>
      <c r="J22" s="6">
        <f>I22*About!$A$17</f>
        <v>140.92825598255047</v>
      </c>
    </row>
    <row r="23" spans="1:10" x14ac:dyDescent="0.2">
      <c r="A23" s="6"/>
      <c r="B23" s="6" t="s">
        <v>20</v>
      </c>
      <c r="C23" s="10">
        <v>800</v>
      </c>
      <c r="D23" s="6" t="s">
        <v>21</v>
      </c>
      <c r="E23" s="11">
        <f>1/F22</f>
        <v>0.1</v>
      </c>
      <c r="F23" s="6"/>
      <c r="G23" s="6"/>
      <c r="H23" s="6"/>
      <c r="I23" s="6"/>
      <c r="J23" s="6"/>
    </row>
    <row r="24" spans="1:10" x14ac:dyDescent="0.2">
      <c r="A24" s="6"/>
      <c r="B24" s="6" t="s">
        <v>22</v>
      </c>
      <c r="C24" s="10">
        <v>488</v>
      </c>
      <c r="D24" s="6" t="s">
        <v>21</v>
      </c>
      <c r="E24" s="11">
        <f>1/F22</f>
        <v>0.1</v>
      </c>
      <c r="F24" s="6"/>
      <c r="G24" s="6"/>
      <c r="H24" s="6"/>
      <c r="I24" s="6"/>
      <c r="J24" s="6"/>
    </row>
    <row r="25" spans="1:10" x14ac:dyDescent="0.2">
      <c r="A25" s="6"/>
      <c r="B25" s="6" t="s">
        <v>23</v>
      </c>
      <c r="C25" s="10">
        <v>358</v>
      </c>
      <c r="D25" s="6" t="s">
        <v>24</v>
      </c>
      <c r="E25" s="11">
        <f>5/F22</f>
        <v>0.5</v>
      </c>
      <c r="F25" s="6"/>
      <c r="G25" s="6"/>
      <c r="H25" s="6"/>
      <c r="I25" s="6"/>
      <c r="J25" s="6"/>
    </row>
    <row r="26" spans="1:10" x14ac:dyDescent="0.2">
      <c r="A26" s="6"/>
      <c r="B26" s="6" t="s">
        <v>25</v>
      </c>
      <c r="C26" s="10">
        <v>1500</v>
      </c>
      <c r="D26" s="6" t="s">
        <v>26</v>
      </c>
      <c r="E26" s="11">
        <f>1</f>
        <v>1</v>
      </c>
      <c r="F26" s="6"/>
      <c r="G26" s="6"/>
      <c r="H26" s="6"/>
      <c r="I26" s="6"/>
      <c r="J26" s="6"/>
    </row>
    <row r="27" spans="1:10" x14ac:dyDescent="0.2">
      <c r="A27" s="6"/>
      <c r="B27" s="6" t="s">
        <v>27</v>
      </c>
      <c r="C27" s="10">
        <v>628</v>
      </c>
      <c r="D27" s="6" t="s">
        <v>28</v>
      </c>
      <c r="E27" s="11">
        <v>2</v>
      </c>
      <c r="F27" s="6"/>
      <c r="G27" s="6"/>
      <c r="H27" s="6"/>
      <c r="I27" s="6"/>
      <c r="J27" s="6"/>
    </row>
    <row r="28" spans="1:10" x14ac:dyDescent="0.2">
      <c r="A28" s="6"/>
      <c r="B28" s="9" t="s">
        <v>34</v>
      </c>
      <c r="C28" s="6"/>
      <c r="D28" s="6"/>
      <c r="E28" s="6"/>
      <c r="F28" s="6" t="s">
        <v>16</v>
      </c>
      <c r="G28" s="6" t="s">
        <v>17</v>
      </c>
      <c r="H28" s="6"/>
      <c r="I28" s="6"/>
      <c r="J28" s="6"/>
    </row>
    <row r="29" spans="1:10" x14ac:dyDescent="0.2">
      <c r="A29" s="6"/>
      <c r="B29" s="6" t="s">
        <v>18</v>
      </c>
      <c r="C29" s="10">
        <v>2553</v>
      </c>
      <c r="D29" s="6" t="s">
        <v>19</v>
      </c>
      <c r="E29" s="11">
        <f>3/F29</f>
        <v>0.15</v>
      </c>
      <c r="F29" s="6">
        <v>20</v>
      </c>
      <c r="G29" s="6">
        <f>SUMPRODUCT(C29:C34,E29:E34)</f>
        <v>23655.75</v>
      </c>
      <c r="H29" s="6"/>
      <c r="I29" s="6">
        <f>G29/$I$2</f>
        <v>1175.4410097907412</v>
      </c>
      <c r="J29" s="6">
        <f>I29*About!$A$17</f>
        <v>995.956021706814</v>
      </c>
    </row>
    <row r="30" spans="1:10" x14ac:dyDescent="0.2">
      <c r="A30" s="6"/>
      <c r="B30" s="6" t="s">
        <v>22</v>
      </c>
      <c r="C30" s="10">
        <v>590</v>
      </c>
      <c r="D30" s="6" t="s">
        <v>21</v>
      </c>
      <c r="E30" s="11">
        <f>1/F29</f>
        <v>0.05</v>
      </c>
      <c r="F30" s="6"/>
      <c r="G30" s="6"/>
      <c r="H30" s="6"/>
      <c r="I30" s="6"/>
      <c r="J30" s="6"/>
    </row>
    <row r="31" spans="1:10" x14ac:dyDescent="0.2">
      <c r="A31" s="6"/>
      <c r="B31" s="6" t="s">
        <v>30</v>
      </c>
      <c r="C31" s="10">
        <v>1246</v>
      </c>
      <c r="D31" s="6" t="s">
        <v>26</v>
      </c>
      <c r="E31" s="11">
        <v>1</v>
      </c>
      <c r="F31" s="6"/>
      <c r="G31" s="6"/>
      <c r="H31" s="6"/>
      <c r="I31" s="6"/>
      <c r="J31" s="6"/>
    </row>
    <row r="32" spans="1:10" x14ac:dyDescent="0.2">
      <c r="A32" s="6"/>
      <c r="B32" s="6" t="s">
        <v>23</v>
      </c>
      <c r="C32" s="10">
        <v>232</v>
      </c>
      <c r="D32" s="6" t="s">
        <v>24</v>
      </c>
      <c r="E32" s="11">
        <f>5/F29</f>
        <v>0.25</v>
      </c>
      <c r="F32" s="6"/>
      <c r="G32" s="6"/>
      <c r="H32" s="6"/>
      <c r="I32" s="6"/>
      <c r="J32" s="6"/>
    </row>
    <row r="33" spans="1:10" x14ac:dyDescent="0.2">
      <c r="A33" s="6"/>
      <c r="B33" s="6" t="s">
        <v>35</v>
      </c>
      <c r="C33" s="10">
        <v>1586</v>
      </c>
      <c r="D33" s="6" t="s">
        <v>21</v>
      </c>
      <c r="E33">
        <f>1/F29</f>
        <v>0.05</v>
      </c>
      <c r="F33" s="6"/>
      <c r="G33" s="6"/>
      <c r="H33" s="6"/>
      <c r="I33" s="6"/>
      <c r="J33" s="6"/>
    </row>
    <row r="34" spans="1:10" x14ac:dyDescent="0.2">
      <c r="A34" s="6"/>
      <c r="B34" s="6" t="s">
        <v>36</v>
      </c>
      <c r="C34" s="10">
        <v>21860</v>
      </c>
      <c r="D34" s="6" t="s">
        <v>26</v>
      </c>
      <c r="E34" s="6">
        <f>1/1</f>
        <v>1</v>
      </c>
      <c r="F34" s="6"/>
      <c r="G34" s="6"/>
      <c r="H34" s="6"/>
      <c r="I34" s="6"/>
      <c r="J3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4B8D-70F0-48E9-8C0A-87C272523328}">
  <sheetPr>
    <tabColor theme="4" tint="-0.249977111117893"/>
  </sheetPr>
  <dimension ref="A1:C7"/>
  <sheetViews>
    <sheetView workbookViewId="0"/>
  </sheetViews>
  <sheetFormatPr baseColWidth="10" defaultColWidth="8.83203125" defaultRowHeight="15" x14ac:dyDescent="0.2"/>
  <cols>
    <col min="1" max="1" width="16.1640625" customWidth="1"/>
    <col min="2" max="3" width="12.33203125" customWidth="1"/>
  </cols>
  <sheetData>
    <row r="1" spans="1:3" ht="16" x14ac:dyDescent="0.2">
      <c r="A1" s="2" t="s">
        <v>37</v>
      </c>
      <c r="B1" s="3" t="s">
        <v>38</v>
      </c>
      <c r="C1" s="3" t="s">
        <v>39</v>
      </c>
    </row>
    <row r="2" spans="1:3" x14ac:dyDescent="0.2">
      <c r="A2" s="1" t="s">
        <v>40</v>
      </c>
      <c r="B2" s="4">
        <f>Data!J5</f>
        <v>127.3250774482207</v>
      </c>
      <c r="C2" s="4">
        <f>Data!J22</f>
        <v>140.92825598255047</v>
      </c>
    </row>
    <row r="3" spans="1:3" x14ac:dyDescent="0.2">
      <c r="A3" s="1" t="s">
        <v>9</v>
      </c>
      <c r="B3" s="4">
        <f>Data!J12</f>
        <v>53.172808201584004</v>
      </c>
      <c r="C3" s="4">
        <f>Data!J29</f>
        <v>995.956021706814</v>
      </c>
    </row>
    <row r="4" spans="1:3" x14ac:dyDescent="0.2">
      <c r="A4" s="1" t="s">
        <v>41</v>
      </c>
      <c r="B4">
        <v>0</v>
      </c>
      <c r="C4">
        <v>0</v>
      </c>
    </row>
    <row r="5" spans="1:3" x14ac:dyDescent="0.2">
      <c r="A5" s="1" t="s">
        <v>42</v>
      </c>
      <c r="B5">
        <v>0</v>
      </c>
      <c r="C5">
        <v>0</v>
      </c>
    </row>
    <row r="6" spans="1:3" x14ac:dyDescent="0.2">
      <c r="A6" s="1" t="s">
        <v>43</v>
      </c>
      <c r="B6">
        <v>0</v>
      </c>
      <c r="C6">
        <v>0</v>
      </c>
    </row>
    <row r="7" spans="1:3" x14ac:dyDescent="0.2">
      <c r="A7" s="1" t="s">
        <v>8</v>
      </c>
      <c r="B7" s="4">
        <f>Data!J16</f>
        <v>15.055699919146791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6DC4DB-A01B-4442-826C-4D381C72CB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C7FC72-44E5-4D65-97F3-4E86E33F96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CB86A-72FE-4774-89A8-A0971A0C95D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AVLRaPTC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>Reviewed for Mexico by Fernando Olea, March2025
</dc:description>
  <cp:lastModifiedBy>Fernando Olea</cp:lastModifiedBy>
  <cp:revision/>
  <dcterms:created xsi:type="dcterms:W3CDTF">2021-12-15T23:27:55Z</dcterms:created>
  <dcterms:modified xsi:type="dcterms:W3CDTF">2025-03-18T02:54:30Z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