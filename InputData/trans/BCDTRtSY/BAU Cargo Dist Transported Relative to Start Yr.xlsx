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BCDTRtSY\"/>
    </mc:Choice>
  </mc:AlternateContent>
  <xr:revisionPtr revIDLastSave="0" documentId="13_ncr:1_{345E1DF7-738B-47A7-959F-1ADECE585CD8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About" sheetId="1" r:id="rId1"/>
    <sheet name="Mexico-Christopher" sheetId="60" r:id="rId2"/>
    <sheet name="Oil Prospective" sheetId="61" r:id="rId3"/>
    <sheet name="Motorcycles INEGI" sheetId="62" r:id="rId4"/>
    <sheet name="BCDTRtSY-psgr" sheetId="23" r:id="rId5"/>
    <sheet name="BCDTRtSY-frgt" sheetId="24" r:id="rId6"/>
  </sheets>
  <externalReferences>
    <externalReference r:id="rId7"/>
    <externalReference r:id="rId8"/>
    <externalReference r:id="rId9"/>
  </externalReferences>
  <definedNames>
    <definedName name="Eno_TM" localSheetId="5">'[1]1997  Table 1a Modified'!#REF!</definedName>
    <definedName name="Eno_TM" localSheetId="1">'[2]1997  Table 1a Modified'!#REF!</definedName>
    <definedName name="Eno_TM">'[1]1997  Table 1a Modified'!#REF!</definedName>
    <definedName name="Eno_Tons" localSheetId="5">'[1]1997  Table 1a Modified'!#REF!</definedName>
    <definedName name="Eno_Tons" localSheetId="1">'[2]1997  Table 1a Modified'!#REF!</definedName>
    <definedName name="Eno_Tons">'[1]1997  Table 1a Modified'!#REF!</definedName>
    <definedName name="NTS_YR">[3]About!$B$136</definedName>
    <definedName name="Sum_T2" localSheetId="5">'[1]1997  Table 1a Modified'!#REF!</definedName>
    <definedName name="Sum_T2">'[1]1997  Table 1a Modified'!#REF!</definedName>
    <definedName name="Sum_TTM" localSheetId="5">'[1]1997  Table 1a Modified'!#REF!</definedName>
    <definedName name="Sum_TTM">'[1]1997  Table 1a Modified'!#REF!</definedName>
    <definedName name="ti_tbl_50" localSheetId="5">#REF!</definedName>
    <definedName name="ti_tbl_50" localSheetId="1">#REF!</definedName>
    <definedName name="ti_tbl_50">#REF!</definedName>
    <definedName name="ti_tbl_69" localSheetId="5">#REF!</definedName>
    <definedName name="ti_tbl_69" localSheetId="1">#REF!</definedName>
    <definedName name="ti_tbl_6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4" l="1"/>
  <c r="C2" i="24"/>
  <c r="B3" i="24"/>
  <c r="C3" i="24"/>
  <c r="B4" i="24"/>
  <c r="C4" i="24"/>
  <c r="B5" i="24"/>
  <c r="C5" i="24"/>
  <c r="B6" i="24"/>
  <c r="C6" i="24"/>
  <c r="B7" i="23"/>
  <c r="C7" i="23"/>
  <c r="F4" i="62" a="1"/>
  <c r="F4" i="62" s="1"/>
  <c r="D15" i="62"/>
  <c r="D16" i="62"/>
  <c r="D17" i="62"/>
  <c r="D18" i="62"/>
  <c r="D19" i="62"/>
  <c r="D20" i="62"/>
  <c r="H7" i="23" s="1"/>
  <c r="D21" i="62"/>
  <c r="I7" i="23" s="1"/>
  <c r="D22" i="62"/>
  <c r="J7" i="23" s="1"/>
  <c r="D23" i="62"/>
  <c r="D24" i="62"/>
  <c r="D25" i="62"/>
  <c r="D26" i="62"/>
  <c r="D27" i="62"/>
  <c r="D28" i="62"/>
  <c r="P7" i="23" s="1"/>
  <c r="D29" i="62"/>
  <c r="Q7" i="23" s="1"/>
  <c r="D30" i="62"/>
  <c r="R7" i="23" s="1"/>
  <c r="D31" i="62"/>
  <c r="D32" i="62"/>
  <c r="D33" i="62"/>
  <c r="D34" i="62"/>
  <c r="D35" i="62"/>
  <c r="D36" i="62"/>
  <c r="X7" i="23" s="1"/>
  <c r="D37" i="62"/>
  <c r="Y7" i="23" s="1"/>
  <c r="D38" i="62"/>
  <c r="Z7" i="23" s="1"/>
  <c r="D39" i="62"/>
  <c r="D40" i="62"/>
  <c r="D41" i="62"/>
  <c r="D42" i="62"/>
  <c r="D43" i="62"/>
  <c r="D44" i="62"/>
  <c r="AF7" i="23" s="1"/>
  <c r="D14" i="62"/>
  <c r="E7" i="23"/>
  <c r="H17" i="61"/>
  <c r="D6" i="24" s="1"/>
  <c r="B2" i="23"/>
  <c r="C2" i="23"/>
  <c r="B3" i="23"/>
  <c r="C3" i="23"/>
  <c r="B4" i="23"/>
  <c r="C4" i="23"/>
  <c r="B5" i="23"/>
  <c r="C5" i="23"/>
  <c r="B6" i="23"/>
  <c r="C6" i="23"/>
  <c r="G13" i="61"/>
  <c r="H13" i="61"/>
  <c r="I13" i="61"/>
  <c r="J13" i="61"/>
  <c r="K13" i="61"/>
  <c r="L13" i="61"/>
  <c r="M13" i="61"/>
  <c r="N13" i="61"/>
  <c r="O13" i="61"/>
  <c r="P13" i="61"/>
  <c r="Q13" i="61"/>
  <c r="R13" i="61"/>
  <c r="S13" i="61"/>
  <c r="T13" i="61"/>
  <c r="U13" i="61"/>
  <c r="V13" i="61"/>
  <c r="W13" i="61"/>
  <c r="X13" i="61"/>
  <c r="Y13" i="61"/>
  <c r="Z13" i="61"/>
  <c r="AA13" i="61"/>
  <c r="AB13" i="61"/>
  <c r="AC13" i="61"/>
  <c r="AD13" i="61"/>
  <c r="AE13" i="61"/>
  <c r="AF13" i="61"/>
  <c r="AG13" i="61"/>
  <c r="AH13" i="61"/>
  <c r="AI13" i="61"/>
  <c r="AJ13" i="61"/>
  <c r="G14" i="61"/>
  <c r="H14" i="61"/>
  <c r="I14" i="61"/>
  <c r="J14" i="61"/>
  <c r="K14" i="61"/>
  <c r="L14" i="61"/>
  <c r="M14" i="61"/>
  <c r="N14" i="61"/>
  <c r="O14" i="61"/>
  <c r="P14" i="61"/>
  <c r="Q14" i="61"/>
  <c r="R14" i="61"/>
  <c r="S14" i="61"/>
  <c r="T14" i="61"/>
  <c r="U14" i="61"/>
  <c r="V14" i="61"/>
  <c r="W14" i="61"/>
  <c r="X14" i="61"/>
  <c r="Y14" i="61"/>
  <c r="Z14" i="61"/>
  <c r="AA14" i="61"/>
  <c r="AB14" i="61"/>
  <c r="AC14" i="61"/>
  <c r="AD14" i="61"/>
  <c r="AE14" i="61"/>
  <c r="AF14" i="61"/>
  <c r="AG14" i="61"/>
  <c r="AH14" i="61"/>
  <c r="AI14" i="61"/>
  <c r="AJ14" i="61"/>
  <c r="G15" i="61"/>
  <c r="H15" i="61"/>
  <c r="I15" i="61"/>
  <c r="J15" i="61"/>
  <c r="F4" i="24" s="1"/>
  <c r="K15" i="61"/>
  <c r="L15" i="61"/>
  <c r="M15" i="61"/>
  <c r="N15" i="61"/>
  <c r="O15" i="61"/>
  <c r="K4" i="23" s="1"/>
  <c r="P15" i="61"/>
  <c r="Q15" i="61"/>
  <c r="R15" i="61"/>
  <c r="N4" i="24" s="1"/>
  <c r="S15" i="61"/>
  <c r="T15" i="61"/>
  <c r="U15" i="61"/>
  <c r="V15" i="61"/>
  <c r="W15" i="61"/>
  <c r="S4" i="23" s="1"/>
  <c r="X15" i="61"/>
  <c r="Y15" i="61"/>
  <c r="Z15" i="61"/>
  <c r="V4" i="24" s="1"/>
  <c r="AA15" i="61"/>
  <c r="AB15" i="61"/>
  <c r="AC15" i="61"/>
  <c r="AD15" i="61"/>
  <c r="AE15" i="61"/>
  <c r="AA4" i="23" s="1"/>
  <c r="AF15" i="61"/>
  <c r="AG15" i="61"/>
  <c r="AH15" i="61"/>
  <c r="AD4" i="24" s="1"/>
  <c r="AI15" i="61"/>
  <c r="AJ15" i="61"/>
  <c r="G16" i="61"/>
  <c r="H16" i="61"/>
  <c r="I16" i="61"/>
  <c r="E5" i="23" s="1"/>
  <c r="J16" i="61"/>
  <c r="K16" i="61"/>
  <c r="L16" i="61"/>
  <c r="H5" i="24" s="1"/>
  <c r="M16" i="61"/>
  <c r="N16" i="61"/>
  <c r="O16" i="61"/>
  <c r="P16" i="61"/>
  <c r="Q16" i="61"/>
  <c r="M5" i="23" s="1"/>
  <c r="R16" i="61"/>
  <c r="S16" i="61"/>
  <c r="T16" i="61"/>
  <c r="P5" i="24" s="1"/>
  <c r="U16" i="61"/>
  <c r="V16" i="61"/>
  <c r="W16" i="61"/>
  <c r="X16" i="61"/>
  <c r="Y16" i="61"/>
  <c r="U5" i="23" s="1"/>
  <c r="Z16" i="61"/>
  <c r="AA16" i="61"/>
  <c r="AB16" i="61"/>
  <c r="X5" i="24" s="1"/>
  <c r="AC16" i="61"/>
  <c r="AD16" i="61"/>
  <c r="AE16" i="61"/>
  <c r="AF16" i="61"/>
  <c r="AG16" i="61"/>
  <c r="AC5" i="23" s="1"/>
  <c r="AH16" i="61"/>
  <c r="AI16" i="61"/>
  <c r="AJ16" i="61"/>
  <c r="AF5" i="24" s="1"/>
  <c r="G17" i="61"/>
  <c r="I17" i="61"/>
  <c r="J17" i="61"/>
  <c r="K17" i="61"/>
  <c r="G6" i="23" s="1"/>
  <c r="L17" i="61"/>
  <c r="M17" i="61"/>
  <c r="N17" i="61"/>
  <c r="J6" i="24" s="1"/>
  <c r="O17" i="61"/>
  <c r="P17" i="61"/>
  <c r="Q17" i="61"/>
  <c r="R17" i="61"/>
  <c r="S17" i="61"/>
  <c r="O6" i="23" s="1"/>
  <c r="T17" i="61"/>
  <c r="U17" i="61"/>
  <c r="V17" i="61"/>
  <c r="R6" i="24" s="1"/>
  <c r="W17" i="61"/>
  <c r="X17" i="61"/>
  <c r="Y17" i="61"/>
  <c r="Z17" i="61"/>
  <c r="AA17" i="61"/>
  <c r="W6" i="23" s="1"/>
  <c r="AB17" i="61"/>
  <c r="AC17" i="61"/>
  <c r="AD17" i="61"/>
  <c r="Z6" i="24" s="1"/>
  <c r="AE17" i="61"/>
  <c r="AF17" i="61"/>
  <c r="AG17" i="61"/>
  <c r="AH17" i="61"/>
  <c r="AI17" i="61"/>
  <c r="AE6" i="23" s="1"/>
  <c r="AJ17" i="61"/>
  <c r="F17" i="61"/>
  <c r="F16" i="61"/>
  <c r="F15" i="61"/>
  <c r="F14" i="61"/>
  <c r="F13" i="61"/>
  <c r="BY50" i="60"/>
  <c r="BZ48" i="60"/>
  <c r="CA48" i="60"/>
  <c r="CB48" i="60"/>
  <c r="CC48" i="60"/>
  <c r="CD48" i="60"/>
  <c r="CE48" i="60"/>
  <c r="CF48" i="60"/>
  <c r="CG48" i="60"/>
  <c r="J2" i="23" s="1"/>
  <c r="CH48" i="60"/>
  <c r="CI48" i="60"/>
  <c r="CJ48" i="60"/>
  <c r="CK48" i="60"/>
  <c r="CL48" i="60"/>
  <c r="CM48" i="60"/>
  <c r="CN48" i="60"/>
  <c r="CO48" i="60"/>
  <c r="R2" i="23" s="1"/>
  <c r="CP48" i="60"/>
  <c r="CQ48" i="60"/>
  <c r="CR48" i="60"/>
  <c r="CS48" i="60"/>
  <c r="CT48" i="60"/>
  <c r="CU48" i="60"/>
  <c r="CV48" i="60"/>
  <c r="CW48" i="60"/>
  <c r="Z2" i="23" s="1"/>
  <c r="CX48" i="60"/>
  <c r="CY48" i="60"/>
  <c r="CZ48" i="60"/>
  <c r="DA48" i="60"/>
  <c r="DB48" i="60"/>
  <c r="DC48" i="60"/>
  <c r="BZ49" i="60"/>
  <c r="CA49" i="60"/>
  <c r="D3" i="23" s="1"/>
  <c r="CB49" i="60"/>
  <c r="CC49" i="60"/>
  <c r="CD49" i="60"/>
  <c r="CE49" i="60"/>
  <c r="CF49" i="60"/>
  <c r="CG49" i="60"/>
  <c r="CH49" i="60"/>
  <c r="CI49" i="60"/>
  <c r="L3" i="23" s="1"/>
  <c r="CJ49" i="60"/>
  <c r="CK49" i="60"/>
  <c r="CL49" i="60"/>
  <c r="CM49" i="60"/>
  <c r="CN49" i="60"/>
  <c r="CO49" i="60"/>
  <c r="CP49" i="60"/>
  <c r="CQ49" i="60"/>
  <c r="T3" i="23" s="1"/>
  <c r="CR49" i="60"/>
  <c r="CS49" i="60"/>
  <c r="CT49" i="60"/>
  <c r="CU49" i="60"/>
  <c r="CV49" i="60"/>
  <c r="CW49" i="60"/>
  <c r="CX49" i="60"/>
  <c r="CY49" i="60"/>
  <c r="AB3" i="23" s="1"/>
  <c r="CZ49" i="60"/>
  <c r="DA49" i="60"/>
  <c r="DB49" i="60"/>
  <c r="DC49" i="60"/>
  <c r="BZ50" i="60"/>
  <c r="CA50" i="60"/>
  <c r="CB50" i="60"/>
  <c r="CC50" i="60"/>
  <c r="CD50" i="60"/>
  <c r="CE50" i="60"/>
  <c r="CF50" i="60"/>
  <c r="CG50" i="60"/>
  <c r="CH50" i="60"/>
  <c r="CI50" i="60"/>
  <c r="CJ50" i="60"/>
  <c r="CK50" i="60"/>
  <c r="CL50" i="60"/>
  <c r="CM50" i="60"/>
  <c r="CN50" i="60"/>
  <c r="CO50" i="60"/>
  <c r="CP50" i="60"/>
  <c r="CQ50" i="60"/>
  <c r="CR50" i="60"/>
  <c r="CS50" i="60"/>
  <c r="CT50" i="60"/>
  <c r="CU50" i="60"/>
  <c r="CV50" i="60"/>
  <c r="CW50" i="60"/>
  <c r="CX50" i="60"/>
  <c r="CY50" i="60"/>
  <c r="CZ50" i="60"/>
  <c r="DA50" i="60"/>
  <c r="DB50" i="60"/>
  <c r="DC50" i="60"/>
  <c r="BZ51" i="60"/>
  <c r="CA51" i="60"/>
  <c r="CB51" i="60"/>
  <c r="CC51" i="60"/>
  <c r="CD51" i="60"/>
  <c r="CE51" i="60"/>
  <c r="H2" i="24" s="1"/>
  <c r="CF51" i="60"/>
  <c r="CG51" i="60"/>
  <c r="CH51" i="60"/>
  <c r="CI51" i="60"/>
  <c r="CJ51" i="60"/>
  <c r="CK51" i="60"/>
  <c r="CL51" i="60"/>
  <c r="CM51" i="60"/>
  <c r="P2" i="24" s="1"/>
  <c r="CN51" i="60"/>
  <c r="CO51" i="60"/>
  <c r="CP51" i="60"/>
  <c r="CQ51" i="60"/>
  <c r="CR51" i="60"/>
  <c r="CS51" i="60"/>
  <c r="CT51" i="60"/>
  <c r="CU51" i="60"/>
  <c r="X2" i="24" s="1"/>
  <c r="CV51" i="60"/>
  <c r="CW51" i="60"/>
  <c r="CX51" i="60"/>
  <c r="CY51" i="60"/>
  <c r="CZ51" i="60"/>
  <c r="DA51" i="60"/>
  <c r="DB51" i="60"/>
  <c r="DC51" i="60"/>
  <c r="AF2" i="24" s="1"/>
  <c r="BZ52" i="60"/>
  <c r="CA52" i="60"/>
  <c r="CB52" i="60"/>
  <c r="CC52" i="60"/>
  <c r="CD52" i="60"/>
  <c r="CE52" i="60"/>
  <c r="CF52" i="60"/>
  <c r="CG52" i="60"/>
  <c r="J3" i="24" s="1"/>
  <c r="CH52" i="60"/>
  <c r="CI52" i="60"/>
  <c r="CJ52" i="60"/>
  <c r="CK52" i="60"/>
  <c r="CL52" i="60"/>
  <c r="CM52" i="60"/>
  <c r="CN52" i="60"/>
  <c r="CO52" i="60"/>
  <c r="R3" i="24" s="1"/>
  <c r="CP52" i="60"/>
  <c r="CQ52" i="60"/>
  <c r="CR52" i="60"/>
  <c r="CS52" i="60"/>
  <c r="CT52" i="60"/>
  <c r="CU52" i="60"/>
  <c r="CV52" i="60"/>
  <c r="CW52" i="60"/>
  <c r="Z3" i="24" s="1"/>
  <c r="CX52" i="60"/>
  <c r="CY52" i="60"/>
  <c r="CZ52" i="60"/>
  <c r="DA52" i="60"/>
  <c r="DB52" i="60"/>
  <c r="DC52" i="60"/>
  <c r="BY52" i="60"/>
  <c r="BY51" i="60"/>
  <c r="BY49" i="60"/>
  <c r="BY48" i="60"/>
  <c r="CB40" i="60"/>
  <c r="CC40" i="60"/>
  <c r="CD40" i="60"/>
  <c r="CE40" i="60"/>
  <c r="CF40" i="60"/>
  <c r="CG40" i="60"/>
  <c r="CH40" i="60"/>
  <c r="CI40" i="60"/>
  <c r="CJ40" i="60"/>
  <c r="CK40" i="60"/>
  <c r="CL40" i="60"/>
  <c r="CM40" i="60"/>
  <c r="CN40" i="60"/>
  <c r="CO40" i="60"/>
  <c r="CP40" i="60"/>
  <c r="CQ40" i="60"/>
  <c r="CR40" i="60"/>
  <c r="CS40" i="60"/>
  <c r="CT40" i="60"/>
  <c r="CU40" i="60"/>
  <c r="CV40" i="60"/>
  <c r="CW40" i="60"/>
  <c r="CX40" i="60"/>
  <c r="CY40" i="60"/>
  <c r="CZ40" i="60"/>
  <c r="DA40" i="60"/>
  <c r="DB40" i="60"/>
  <c r="DC40" i="60"/>
  <c r="BV40" i="60"/>
  <c r="BW40" i="60"/>
  <c r="BX40" i="60"/>
  <c r="BY40" i="60"/>
  <c r="BZ40" i="60"/>
  <c r="CA40" i="60"/>
  <c r="CA41" i="60"/>
  <c r="AG7" i="24"/>
  <c r="AH7" i="24" s="1"/>
  <c r="AI7" i="24" s="1"/>
  <c r="AJ7" i="24" s="1"/>
  <c r="AK7" i="24" s="1"/>
  <c r="AL7" i="24" s="1"/>
  <c r="AM7" i="24" s="1"/>
  <c r="AN7" i="24" s="1"/>
  <c r="AO7" i="24" s="1"/>
  <c r="AP7" i="24" s="1"/>
  <c r="AQ7" i="24" s="1"/>
  <c r="AR7" i="24" s="1"/>
  <c r="AS7" i="24" s="1"/>
  <c r="AT7" i="24" s="1"/>
  <c r="AU7" i="24" s="1"/>
  <c r="AV7" i="24" s="1"/>
  <c r="AW7" i="24" s="1"/>
  <c r="AX7" i="24" s="1"/>
  <c r="AY7" i="24" s="1"/>
  <c r="AZ7" i="24" s="1"/>
  <c r="AF6" i="24"/>
  <c r="AD6" i="24"/>
  <c r="AC6" i="24"/>
  <c r="AB6" i="24"/>
  <c r="AA6" i="24"/>
  <c r="Y6" i="24"/>
  <c r="X6" i="24"/>
  <c r="V6" i="24"/>
  <c r="U6" i="24"/>
  <c r="T6" i="24"/>
  <c r="S6" i="24"/>
  <c r="Q6" i="24"/>
  <c r="P6" i="24"/>
  <c r="N6" i="24"/>
  <c r="M6" i="24"/>
  <c r="L6" i="24"/>
  <c r="K6" i="24"/>
  <c r="I6" i="24"/>
  <c r="H6" i="24"/>
  <c r="F6" i="24"/>
  <c r="E6" i="24"/>
  <c r="AE5" i="24"/>
  <c r="AD5" i="24"/>
  <c r="AB5" i="24"/>
  <c r="AA5" i="24"/>
  <c r="Z5" i="24"/>
  <c r="Y5" i="24"/>
  <c r="W5" i="24"/>
  <c r="V5" i="24"/>
  <c r="T5" i="24"/>
  <c r="S5" i="24"/>
  <c r="R5" i="24"/>
  <c r="Q5" i="24"/>
  <c r="O5" i="24"/>
  <c r="N5" i="24"/>
  <c r="L5" i="24"/>
  <c r="K5" i="24"/>
  <c r="J5" i="24"/>
  <c r="I5" i="24"/>
  <c r="G5" i="24"/>
  <c r="F5" i="24"/>
  <c r="D5" i="24"/>
  <c r="AF4" i="24"/>
  <c r="AE4" i="24"/>
  <c r="AC4" i="24"/>
  <c r="AB4" i="24"/>
  <c r="AA4" i="24"/>
  <c r="Z4" i="24"/>
  <c r="Y4" i="24"/>
  <c r="X4" i="24"/>
  <c r="W4" i="24"/>
  <c r="U4" i="24"/>
  <c r="T4" i="24"/>
  <c r="S4" i="24"/>
  <c r="R4" i="24"/>
  <c r="Q4" i="24"/>
  <c r="P4" i="24"/>
  <c r="O4" i="24"/>
  <c r="M4" i="24"/>
  <c r="L4" i="24"/>
  <c r="K4" i="24"/>
  <c r="J4" i="24"/>
  <c r="I4" i="24"/>
  <c r="H4" i="24"/>
  <c r="G4" i="24"/>
  <c r="E4" i="24"/>
  <c r="D4" i="24"/>
  <c r="D4" i="23"/>
  <c r="E4" i="23"/>
  <c r="G4" i="23"/>
  <c r="H4" i="23"/>
  <c r="I4" i="23"/>
  <c r="J4" i="23"/>
  <c r="L4" i="23"/>
  <c r="M4" i="23"/>
  <c r="O4" i="23"/>
  <c r="P4" i="23"/>
  <c r="Q4" i="23"/>
  <c r="R4" i="23"/>
  <c r="T4" i="23"/>
  <c r="U4" i="23"/>
  <c r="W4" i="23"/>
  <c r="X4" i="23"/>
  <c r="Y4" i="23"/>
  <c r="Z4" i="23"/>
  <c r="AB4" i="23"/>
  <c r="AC4" i="23"/>
  <c r="AE4" i="23"/>
  <c r="AF4" i="23"/>
  <c r="D5" i="23"/>
  <c r="F5" i="23"/>
  <c r="G5" i="23"/>
  <c r="I5" i="23"/>
  <c r="J5" i="23"/>
  <c r="K5" i="23"/>
  <c r="L5" i="23"/>
  <c r="N5" i="23"/>
  <c r="O5" i="23"/>
  <c r="Q5" i="23"/>
  <c r="R5" i="23"/>
  <c r="S5" i="23"/>
  <c r="T5" i="23"/>
  <c r="V5" i="23"/>
  <c r="W5" i="23"/>
  <c r="Y5" i="23"/>
  <c r="Z5" i="23"/>
  <c r="AA5" i="23"/>
  <c r="AB5" i="23"/>
  <c r="AD5" i="23"/>
  <c r="AE5" i="23"/>
  <c r="D6" i="23"/>
  <c r="E6" i="23"/>
  <c r="F6" i="23"/>
  <c r="H6" i="23"/>
  <c r="I6" i="23"/>
  <c r="J6" i="23"/>
  <c r="K6" i="23"/>
  <c r="L6" i="23"/>
  <c r="M6" i="23"/>
  <c r="N6" i="23"/>
  <c r="P6" i="23"/>
  <c r="Q6" i="23"/>
  <c r="R6" i="23"/>
  <c r="S6" i="23"/>
  <c r="T6" i="23"/>
  <c r="U6" i="23"/>
  <c r="V6" i="23"/>
  <c r="X6" i="23"/>
  <c r="Y6" i="23"/>
  <c r="Z6" i="23"/>
  <c r="AA6" i="23"/>
  <c r="AB6" i="23"/>
  <c r="AC6" i="23"/>
  <c r="AD6" i="23"/>
  <c r="AF6" i="23"/>
  <c r="AG6" i="23" s="1"/>
  <c r="AH6" i="23" s="1"/>
  <c r="L7" i="23"/>
  <c r="AE7" i="23"/>
  <c r="AD7" i="23"/>
  <c r="AC7" i="23"/>
  <c r="AB7" i="23"/>
  <c r="AA7" i="23"/>
  <c r="W7" i="23"/>
  <c r="V7" i="23"/>
  <c r="U7" i="23"/>
  <c r="T7" i="23"/>
  <c r="S7" i="23"/>
  <c r="O7" i="23"/>
  <c r="N7" i="23"/>
  <c r="M7" i="23"/>
  <c r="K7" i="23"/>
  <c r="G7" i="23"/>
  <c r="F7" i="23"/>
  <c r="D7" i="23"/>
  <c r="D2" i="24"/>
  <c r="E2" i="24"/>
  <c r="F2" i="24"/>
  <c r="G2" i="24"/>
  <c r="I2" i="24"/>
  <c r="J2" i="24"/>
  <c r="K2" i="24"/>
  <c r="L2" i="24"/>
  <c r="M2" i="24"/>
  <c r="N2" i="24"/>
  <c r="O2" i="24"/>
  <c r="Q2" i="24"/>
  <c r="R2" i="24"/>
  <c r="S2" i="24"/>
  <c r="T2" i="24"/>
  <c r="U2" i="24"/>
  <c r="V2" i="24"/>
  <c r="W2" i="24"/>
  <c r="Y2" i="24"/>
  <c r="Z2" i="24"/>
  <c r="AA2" i="24"/>
  <c r="AB2" i="24"/>
  <c r="AC2" i="24"/>
  <c r="AD2" i="24"/>
  <c r="AE2" i="24"/>
  <c r="D3" i="24"/>
  <c r="E3" i="24"/>
  <c r="F3" i="24"/>
  <c r="G3" i="24"/>
  <c r="H3" i="24"/>
  <c r="I3" i="24"/>
  <c r="K3" i="24"/>
  <c r="L3" i="24"/>
  <c r="M3" i="24"/>
  <c r="N3" i="24"/>
  <c r="O3" i="24"/>
  <c r="P3" i="24"/>
  <c r="Q3" i="24"/>
  <c r="S3" i="24"/>
  <c r="T3" i="24"/>
  <c r="U3" i="24"/>
  <c r="V3" i="24"/>
  <c r="W3" i="24"/>
  <c r="X3" i="24"/>
  <c r="Y3" i="24"/>
  <c r="AA3" i="24"/>
  <c r="AB3" i="24"/>
  <c r="AC3" i="24"/>
  <c r="AD3" i="24"/>
  <c r="AE3" i="24"/>
  <c r="AF3" i="24"/>
  <c r="D2" i="23"/>
  <c r="E2" i="23"/>
  <c r="F2" i="23"/>
  <c r="G2" i="23"/>
  <c r="H2" i="23"/>
  <c r="I2" i="23"/>
  <c r="K2" i="23"/>
  <c r="L2" i="23"/>
  <c r="M2" i="23"/>
  <c r="N2" i="23"/>
  <c r="O2" i="23"/>
  <c r="P2" i="23"/>
  <c r="Q2" i="23"/>
  <c r="S2" i="23"/>
  <c r="T2" i="23"/>
  <c r="U2" i="23"/>
  <c r="V2" i="23"/>
  <c r="W2" i="23"/>
  <c r="X2" i="23"/>
  <c r="Y2" i="23"/>
  <c r="AA2" i="23"/>
  <c r="AB2" i="23"/>
  <c r="AC2" i="23"/>
  <c r="AD2" i="23"/>
  <c r="AE2" i="23"/>
  <c r="AF2" i="23"/>
  <c r="E3" i="23"/>
  <c r="F3" i="23"/>
  <c r="G3" i="23"/>
  <c r="H3" i="23"/>
  <c r="I3" i="23"/>
  <c r="J3" i="23"/>
  <c r="K3" i="23"/>
  <c r="M3" i="23"/>
  <c r="N3" i="23"/>
  <c r="O3" i="23"/>
  <c r="P3" i="23"/>
  <c r="Q3" i="23"/>
  <c r="R3" i="23"/>
  <c r="S3" i="23"/>
  <c r="U3" i="23"/>
  <c r="V3" i="23"/>
  <c r="W3" i="23"/>
  <c r="X3" i="23"/>
  <c r="Y3" i="23"/>
  <c r="Z3" i="23"/>
  <c r="AA3" i="23"/>
  <c r="AC3" i="23"/>
  <c r="AD3" i="23"/>
  <c r="AE3" i="23"/>
  <c r="AF3" i="23"/>
  <c r="R2" i="61"/>
  <c r="CM43" i="60"/>
  <c r="CE43" i="60"/>
  <c r="CD43" i="60"/>
  <c r="BW43" i="60"/>
  <c r="CM37" i="60"/>
  <c r="CL37" i="60"/>
  <c r="CK37" i="60"/>
  <c r="CJ37" i="60"/>
  <c r="CI37" i="60"/>
  <c r="CH37" i="60"/>
  <c r="CG37" i="60"/>
  <c r="CF37" i="60"/>
  <c r="CE37" i="60"/>
  <c r="CD37" i="60"/>
  <c r="CC37" i="60"/>
  <c r="CB37" i="60"/>
  <c r="CA37" i="60"/>
  <c r="BZ37" i="60"/>
  <c r="BY37" i="60"/>
  <c r="BX37" i="60"/>
  <c r="BW37" i="60"/>
  <c r="BV37" i="60"/>
  <c r="BU37" i="60"/>
  <c r="CM36" i="60"/>
  <c r="CL36" i="60"/>
  <c r="CJ36" i="60"/>
  <c r="CI36" i="60"/>
  <c r="CH36" i="60"/>
  <c r="CD36" i="60"/>
  <c r="CB36" i="60"/>
  <c r="CA36" i="60"/>
  <c r="BZ36" i="60"/>
  <c r="BY36" i="60"/>
  <c r="BF36" i="60"/>
  <c r="CP36" i="60" s="1"/>
  <c r="BE36" i="60"/>
  <c r="BD36" i="60"/>
  <c r="E36" i="60"/>
  <c r="D36" i="60"/>
  <c r="CL35" i="60"/>
  <c r="CK35" i="60"/>
  <c r="CJ35" i="60"/>
  <c r="CI35" i="60"/>
  <c r="CG35" i="60"/>
  <c r="CC35" i="60"/>
  <c r="CB35" i="60"/>
  <c r="CA35" i="60"/>
  <c r="BY35" i="60"/>
  <c r="BX35" i="60"/>
  <c r="BF35" i="60"/>
  <c r="CP35" i="60" s="1"/>
  <c r="BE35" i="60"/>
  <c r="CO35" i="60" s="1"/>
  <c r="BD35" i="60"/>
  <c r="E35" i="60"/>
  <c r="CM35" i="60" s="1"/>
  <c r="D35" i="60"/>
  <c r="CQ34" i="60"/>
  <c r="CP34" i="60"/>
  <c r="CA34" i="60"/>
  <c r="BZ34" i="60"/>
  <c r="BE34" i="60"/>
  <c r="BF34" i="60" s="1"/>
  <c r="BG34" i="60" s="1"/>
  <c r="BD34" i="60"/>
  <c r="E34" i="60"/>
  <c r="CF34" i="60" s="1"/>
  <c r="D34" i="60"/>
  <c r="CP33" i="60"/>
  <c r="CN33" i="60"/>
  <c r="CM33" i="60"/>
  <c r="CL33" i="60"/>
  <c r="CK33" i="60"/>
  <c r="CI33" i="60"/>
  <c r="CH33" i="60"/>
  <c r="CG33" i="60"/>
  <c r="CF33" i="60"/>
  <c r="CE33" i="60"/>
  <c r="CD33" i="60"/>
  <c r="CC33" i="60"/>
  <c r="CA33" i="60"/>
  <c r="BZ33" i="60"/>
  <c r="BY33" i="60"/>
  <c r="BX33" i="60"/>
  <c r="BW33" i="60"/>
  <c r="BV33" i="60"/>
  <c r="BU33" i="60"/>
  <c r="BF33" i="60"/>
  <c r="BE33" i="60"/>
  <c r="BD33" i="60"/>
  <c r="E33" i="60"/>
  <c r="CJ33" i="60" s="1"/>
  <c r="D33" i="60"/>
  <c r="CH32" i="60"/>
  <c r="CF32" i="60"/>
  <c r="CE32" i="60"/>
  <c r="CD32" i="60"/>
  <c r="BW32" i="60"/>
  <c r="BV32" i="60"/>
  <c r="BU32" i="60"/>
  <c r="BD32" i="60"/>
  <c r="CN32" i="60" s="1"/>
  <c r="E32" i="60"/>
  <c r="D32" i="60"/>
  <c r="CP31" i="60"/>
  <c r="CO31" i="60"/>
  <c r="CH31" i="60"/>
  <c r="CG31" i="60"/>
  <c r="CF31" i="60"/>
  <c r="CE31" i="60"/>
  <c r="BX31" i="60"/>
  <c r="BW31" i="60"/>
  <c r="BU31" i="60"/>
  <c r="BD31" i="60"/>
  <c r="BE31" i="60" s="1"/>
  <c r="BF31" i="60" s="1"/>
  <c r="BG31" i="60" s="1"/>
  <c r="E31" i="60"/>
  <c r="D31" i="60"/>
  <c r="CO30" i="60"/>
  <c r="CF30" i="60"/>
  <c r="CE30" i="60"/>
  <c r="BV30" i="60"/>
  <c r="BU30" i="60"/>
  <c r="BD30" i="60"/>
  <c r="BE30" i="60" s="1"/>
  <c r="E30" i="60"/>
  <c r="CH30" i="60" s="1"/>
  <c r="D30" i="60"/>
  <c r="BD29" i="60"/>
  <c r="E29" i="60"/>
  <c r="D29" i="60"/>
  <c r="CL28" i="60"/>
  <c r="CF28" i="60"/>
  <c r="CE28" i="60"/>
  <c r="BD28" i="60"/>
  <c r="E28" i="60"/>
  <c r="CM28" i="60" s="1"/>
  <c r="D28" i="60"/>
  <c r="CK27" i="60"/>
  <c r="CE27" i="60"/>
  <c r="CD27" i="60"/>
  <c r="BD27" i="60"/>
  <c r="E27" i="60"/>
  <c r="CL27" i="60" s="1"/>
  <c r="D27" i="60"/>
  <c r="CM26" i="60"/>
  <c r="CL26" i="60"/>
  <c r="CJ26" i="60"/>
  <c r="CI26" i="60"/>
  <c r="CD26" i="60"/>
  <c r="CD42" i="60" s="1"/>
  <c r="CB26" i="60"/>
  <c r="CA26" i="60"/>
  <c r="BZ26" i="60"/>
  <c r="BE26" i="60"/>
  <c r="BF26" i="60" s="1"/>
  <c r="CP26" i="60" s="1"/>
  <c r="BD26" i="60"/>
  <c r="E26" i="60"/>
  <c r="D26" i="60"/>
  <c r="D42" i="60" s="1"/>
  <c r="CL25" i="60"/>
  <c r="CK25" i="60"/>
  <c r="CJ25" i="60"/>
  <c r="CI25" i="60"/>
  <c r="CC25" i="60"/>
  <c r="CB25" i="60"/>
  <c r="CA25" i="60"/>
  <c r="BY25" i="60"/>
  <c r="E25" i="60"/>
  <c r="CM25" i="60" s="1"/>
  <c r="D25" i="60"/>
  <c r="CM24" i="60"/>
  <c r="CL24" i="60"/>
  <c r="CL43" i="60" s="1"/>
  <c r="CK24" i="60"/>
  <c r="CK43" i="60" s="1"/>
  <c r="CJ24" i="60"/>
  <c r="CJ43" i="60" s="1"/>
  <c r="CI24" i="60"/>
  <c r="CI43" i="60" s="1"/>
  <c r="CH24" i="60"/>
  <c r="CH43" i="60" s="1"/>
  <c r="CG24" i="60"/>
  <c r="CG43" i="60" s="1"/>
  <c r="CF24" i="60"/>
  <c r="CF43" i="60" s="1"/>
  <c r="CE24" i="60"/>
  <c r="CD24" i="60"/>
  <c r="CC24" i="60"/>
  <c r="CC43" i="60" s="1"/>
  <c r="CB24" i="60"/>
  <c r="CB43" i="60" s="1"/>
  <c r="CA24" i="60"/>
  <c r="CA43" i="60" s="1"/>
  <c r="BZ24" i="60"/>
  <c r="BZ43" i="60" s="1"/>
  <c r="BY24" i="60"/>
  <c r="BY43" i="60" s="1"/>
  <c r="BX24" i="60"/>
  <c r="BX43" i="60" s="1"/>
  <c r="BW24" i="60"/>
  <c r="BV24" i="60"/>
  <c r="BV43" i="60" s="1"/>
  <c r="BU24" i="60"/>
  <c r="BU43" i="60" s="1"/>
  <c r="BD24" i="60"/>
  <c r="CN24" i="60" s="1"/>
  <c r="CN43" i="60" s="1"/>
  <c r="D24" i="60"/>
  <c r="D43" i="60" s="1"/>
  <c r="CL23" i="60"/>
  <c r="CK23" i="60"/>
  <c r="CJ23" i="60"/>
  <c r="CH23" i="60"/>
  <c r="CG23" i="60"/>
  <c r="CD23" i="60"/>
  <c r="CC23" i="60"/>
  <c r="CB23" i="60"/>
  <c r="BZ23" i="60"/>
  <c r="BY23" i="60"/>
  <c r="BX23" i="60"/>
  <c r="BU23" i="60"/>
  <c r="BE23" i="60"/>
  <c r="BD23" i="60"/>
  <c r="CN23" i="60" s="1"/>
  <c r="E23" i="60"/>
  <c r="CM23" i="60" s="1"/>
  <c r="D23" i="60"/>
  <c r="CK22" i="60"/>
  <c r="CJ22" i="60"/>
  <c r="CI22" i="60"/>
  <c r="CH22" i="60"/>
  <c r="CG22" i="60"/>
  <c r="CC22" i="60"/>
  <c r="CB22" i="60"/>
  <c r="CA22" i="60"/>
  <c r="BZ22" i="60"/>
  <c r="BY22" i="60"/>
  <c r="BW22" i="60"/>
  <c r="BD22" i="60"/>
  <c r="CN22" i="60" s="1"/>
  <c r="E22" i="60"/>
  <c r="CM22" i="60" s="1"/>
  <c r="D22" i="60"/>
  <c r="CJ21" i="60"/>
  <c r="CI21" i="60"/>
  <c r="CH21" i="60"/>
  <c r="CG21" i="60"/>
  <c r="CF21" i="60"/>
  <c r="CE21" i="60"/>
  <c r="CA21" i="60"/>
  <c r="BY21" i="60"/>
  <c r="BX21" i="60"/>
  <c r="BW21" i="60"/>
  <c r="BV21" i="60"/>
  <c r="BE21" i="60"/>
  <c r="BE20" i="60" s="1"/>
  <c r="CO20" i="60" s="1"/>
  <c r="BD21" i="60"/>
  <c r="E21" i="60"/>
  <c r="D21" i="60"/>
  <c r="CM20" i="60"/>
  <c r="CK20" i="60"/>
  <c r="CJ20" i="60"/>
  <c r="CC20" i="60"/>
  <c r="CB20" i="60"/>
  <c r="CA20" i="60"/>
  <c r="BD20" i="60"/>
  <c r="E20" i="60"/>
  <c r="CN20" i="60" s="1"/>
  <c r="CN45" i="60" s="1"/>
  <c r="D20" i="60"/>
  <c r="D45" i="60" s="1"/>
  <c r="CN19" i="60"/>
  <c r="CL19" i="60"/>
  <c r="CK19" i="60"/>
  <c r="CJ19" i="60"/>
  <c r="CI19" i="60"/>
  <c r="CH19" i="60"/>
  <c r="CF19" i="60"/>
  <c r="CD19" i="60"/>
  <c r="CC19" i="60"/>
  <c r="CB19" i="60"/>
  <c r="CA19" i="60"/>
  <c r="BZ19" i="60"/>
  <c r="BY19" i="60"/>
  <c r="BU19" i="60"/>
  <c r="BE19" i="60"/>
  <c r="BD19" i="60"/>
  <c r="E19" i="60"/>
  <c r="D19" i="60"/>
  <c r="CM18" i="60"/>
  <c r="CL18" i="60"/>
  <c r="CK18" i="60"/>
  <c r="CI18" i="60"/>
  <c r="CH18" i="60"/>
  <c r="CG18" i="60"/>
  <c r="CF18" i="60"/>
  <c r="CE18" i="60"/>
  <c r="CD18" i="60"/>
  <c r="CC18" i="60"/>
  <c r="CA18" i="60"/>
  <c r="BZ18" i="60"/>
  <c r="BY18" i="60"/>
  <c r="BX18" i="60"/>
  <c r="BW18" i="60"/>
  <c r="BV18" i="60"/>
  <c r="BU18" i="60"/>
  <c r="BD18" i="60"/>
  <c r="CN18" i="60" s="1"/>
  <c r="E18" i="60"/>
  <c r="CJ18" i="60" s="1"/>
  <c r="D18" i="60"/>
  <c r="CN17" i="60"/>
  <c r="CH17" i="60"/>
  <c r="BW17" i="60"/>
  <c r="BV17" i="60"/>
  <c r="BD17" i="60"/>
  <c r="E17" i="60"/>
  <c r="D17" i="60"/>
  <c r="CC16" i="60"/>
  <c r="BW16" i="60"/>
  <c r="BU16" i="60"/>
  <c r="E16" i="60"/>
  <c r="D16" i="60"/>
  <c r="CM15" i="60"/>
  <c r="CL15" i="60"/>
  <c r="CK15" i="60"/>
  <c r="CD15" i="60"/>
  <c r="CC15" i="60"/>
  <c r="CB15" i="60"/>
  <c r="BU15" i="60"/>
  <c r="BD15" i="60"/>
  <c r="BE15" i="60" s="1"/>
  <c r="E15" i="60"/>
  <c r="D15" i="60"/>
  <c r="CL14" i="60"/>
  <c r="CK14" i="60"/>
  <c r="CJ14" i="60"/>
  <c r="CC14" i="60"/>
  <c r="CB14" i="60"/>
  <c r="CA14" i="60"/>
  <c r="BD14" i="60"/>
  <c r="E14" i="60"/>
  <c r="CM14" i="60" s="1"/>
  <c r="D14" i="60"/>
  <c r="CM13" i="60"/>
  <c r="CL13" i="60"/>
  <c r="CJ13" i="60"/>
  <c r="CI13" i="60"/>
  <c r="CH13" i="60"/>
  <c r="CD13" i="60"/>
  <c r="CB13" i="60"/>
  <c r="CA13" i="60"/>
  <c r="BZ13" i="60"/>
  <c r="BY13" i="60"/>
  <c r="BF13" i="60"/>
  <c r="CP13" i="60" s="1"/>
  <c r="BE13" i="60"/>
  <c r="BD13" i="60"/>
  <c r="E13" i="60"/>
  <c r="CN13" i="60" s="1"/>
  <c r="D13" i="60"/>
  <c r="D44" i="60" s="1"/>
  <c r="CL12" i="60"/>
  <c r="CK12" i="60"/>
  <c r="CJ12" i="60"/>
  <c r="CI12" i="60"/>
  <c r="CG12" i="60"/>
  <c r="CC12" i="60"/>
  <c r="CB12" i="60"/>
  <c r="CA12" i="60"/>
  <c r="BY12" i="60"/>
  <c r="BX12" i="60"/>
  <c r="BU12" i="60"/>
  <c r="BD12" i="60"/>
  <c r="BE12" i="60" s="1"/>
  <c r="CO12" i="60" s="1"/>
  <c r="E12" i="60"/>
  <c r="CE12" i="60" s="1"/>
  <c r="D12" i="60"/>
  <c r="CL11" i="60"/>
  <c r="CK11" i="60"/>
  <c r="BU11" i="60"/>
  <c r="BD11" i="60"/>
  <c r="E11" i="60"/>
  <c r="BV11" i="60" s="1"/>
  <c r="D11" i="60"/>
  <c r="CI10" i="60"/>
  <c r="CH10" i="60"/>
  <c r="CG10" i="60"/>
  <c r="CA10" i="60"/>
  <c r="BZ10" i="60"/>
  <c r="BY10" i="60"/>
  <c r="BD10" i="60"/>
  <c r="CN10" i="60" s="1"/>
  <c r="E10" i="60"/>
  <c r="CF10" i="60" s="1"/>
  <c r="D10" i="60"/>
  <c r="CN9" i="60"/>
  <c r="CM9" i="60"/>
  <c r="CL9" i="60"/>
  <c r="CI9" i="60"/>
  <c r="CH9" i="60"/>
  <c r="CG9" i="60"/>
  <c r="CF9" i="60"/>
  <c r="CE9" i="60"/>
  <c r="CD9" i="60"/>
  <c r="CA9" i="60"/>
  <c r="BZ9" i="60"/>
  <c r="BY9" i="60"/>
  <c r="BX9" i="60"/>
  <c r="BW9" i="60"/>
  <c r="BV9" i="60"/>
  <c r="BE9" i="60"/>
  <c r="CO9" i="60" s="1"/>
  <c r="BD9" i="60"/>
  <c r="E9" i="60"/>
  <c r="CK9" i="60" s="1"/>
  <c r="D9" i="60"/>
  <c r="CK8" i="60"/>
  <c r="CJ8" i="60"/>
  <c r="CA8" i="60"/>
  <c r="BU8" i="60"/>
  <c r="BD8" i="60"/>
  <c r="E8" i="60"/>
  <c r="D8" i="60"/>
  <c r="CI7" i="60"/>
  <c r="CH7" i="60"/>
  <c r="CG7" i="60"/>
  <c r="CF7" i="60"/>
  <c r="CB7" i="60"/>
  <c r="CA7" i="60"/>
  <c r="BZ7" i="60"/>
  <c r="BY7" i="60"/>
  <c r="BX7" i="60"/>
  <c r="E7" i="60"/>
  <c r="CM7" i="60" s="1"/>
  <c r="D7" i="60"/>
  <c r="AG5" i="24" l="1"/>
  <c r="AH5" i="24" s="1"/>
  <c r="AG6" i="24"/>
  <c r="AH6" i="24" s="1"/>
  <c r="AI6" i="24" s="1"/>
  <c r="AJ6" i="24" s="1"/>
  <c r="AG7" i="23"/>
  <c r="AH7" i="23" s="1"/>
  <c r="AI7" i="23" s="1"/>
  <c r="AJ7" i="23" s="1"/>
  <c r="AK7" i="23" s="1"/>
  <c r="AL7" i="23" s="1"/>
  <c r="AM7" i="23" s="1"/>
  <c r="AN7" i="23" s="1"/>
  <c r="AO7" i="23" s="1"/>
  <c r="AP7" i="23" s="1"/>
  <c r="AQ7" i="23" s="1"/>
  <c r="AR7" i="23" s="1"/>
  <c r="AS7" i="23" s="1"/>
  <c r="AT7" i="23" s="1"/>
  <c r="AU7" i="23" s="1"/>
  <c r="AV7" i="23" s="1"/>
  <c r="AW7" i="23" s="1"/>
  <c r="AX7" i="23" s="1"/>
  <c r="AY7" i="23" s="1"/>
  <c r="AZ7" i="23" s="1"/>
  <c r="AG3" i="23"/>
  <c r="AG2" i="23"/>
  <c r="AH2" i="23" s="1"/>
  <c r="AI2" i="23" s="1"/>
  <c r="AJ2" i="23" s="1"/>
  <c r="AK2" i="23" s="1"/>
  <c r="AL2" i="23" s="1"/>
  <c r="AM2" i="23" s="1"/>
  <c r="AN2" i="23" s="1"/>
  <c r="AO2" i="23" s="1"/>
  <c r="AP2" i="23" s="1"/>
  <c r="AQ2" i="23" s="1"/>
  <c r="AR2" i="23" s="1"/>
  <c r="AS2" i="23" s="1"/>
  <c r="AT2" i="23" s="1"/>
  <c r="AU2" i="23" s="1"/>
  <c r="AV2" i="23" s="1"/>
  <c r="AW2" i="23" s="1"/>
  <c r="AX2" i="23" s="1"/>
  <c r="AY2" i="23" s="1"/>
  <c r="AZ2" i="23" s="1"/>
  <c r="AI6" i="23"/>
  <c r="AJ6" i="23" s="1"/>
  <c r="AK6" i="23"/>
  <c r="AL6" i="23" s="1"/>
  <c r="AM6" i="23" s="1"/>
  <c r="AN6" i="23" s="1"/>
  <c r="AO6" i="23" s="1"/>
  <c r="AP6" i="23" s="1"/>
  <c r="AQ6" i="23" s="1"/>
  <c r="AR6" i="23" s="1"/>
  <c r="AS6" i="23" s="1"/>
  <c r="AT6" i="23" s="1"/>
  <c r="AU6" i="23" s="1"/>
  <c r="AV6" i="23" s="1"/>
  <c r="AW6" i="23" s="1"/>
  <c r="AX6" i="23" s="1"/>
  <c r="AY6" i="23" s="1"/>
  <c r="AZ6" i="23" s="1"/>
  <c r="AD4" i="23"/>
  <c r="V4" i="23"/>
  <c r="N4" i="23"/>
  <c r="F4" i="23"/>
  <c r="G6" i="24"/>
  <c r="O6" i="24"/>
  <c r="W6" i="24"/>
  <c r="AE6" i="24"/>
  <c r="AF5" i="23"/>
  <c r="AG5" i="23" s="1"/>
  <c r="AH5" i="23" s="1"/>
  <c r="AI5" i="23" s="1"/>
  <c r="AJ5" i="23" s="1"/>
  <c r="AK5" i="23" s="1"/>
  <c r="AL5" i="23" s="1"/>
  <c r="AM5" i="23" s="1"/>
  <c r="AN5" i="23" s="1"/>
  <c r="AO5" i="23" s="1"/>
  <c r="AP5" i="23" s="1"/>
  <c r="AQ5" i="23" s="1"/>
  <c r="AR5" i="23" s="1"/>
  <c r="AS5" i="23" s="1"/>
  <c r="AT5" i="23" s="1"/>
  <c r="AU5" i="23" s="1"/>
  <c r="AV5" i="23" s="1"/>
  <c r="AW5" i="23" s="1"/>
  <c r="AX5" i="23" s="1"/>
  <c r="AY5" i="23" s="1"/>
  <c r="AZ5" i="23" s="1"/>
  <c r="X5" i="23"/>
  <c r="P5" i="23"/>
  <c r="H5" i="23"/>
  <c r="E5" i="24"/>
  <c r="M5" i="24"/>
  <c r="U5" i="24"/>
  <c r="AC5" i="24"/>
  <c r="AI5" i="24" s="1"/>
  <c r="AJ5" i="24" s="1"/>
  <c r="AK5" i="24" s="1"/>
  <c r="AL5" i="24" s="1"/>
  <c r="AM5" i="24" s="1"/>
  <c r="AN5" i="24" s="1"/>
  <c r="AO5" i="24" s="1"/>
  <c r="AP5" i="24" s="1"/>
  <c r="AQ5" i="24" s="1"/>
  <c r="AR5" i="24" s="1"/>
  <c r="AS5" i="24" s="1"/>
  <c r="AT5" i="24" s="1"/>
  <c r="AU5" i="24" s="1"/>
  <c r="AV5" i="24" s="1"/>
  <c r="AW5" i="24" s="1"/>
  <c r="AX5" i="24" s="1"/>
  <c r="AY5" i="24" s="1"/>
  <c r="AZ5" i="24" s="1"/>
  <c r="AH3" i="23"/>
  <c r="AI3" i="23" s="1"/>
  <c r="AJ3" i="23" s="1"/>
  <c r="AK3" i="23" s="1"/>
  <c r="AL3" i="23" s="1"/>
  <c r="AM3" i="23" s="1"/>
  <c r="AN3" i="23" s="1"/>
  <c r="AO3" i="23" s="1"/>
  <c r="AP3" i="23" s="1"/>
  <c r="AQ3" i="23" s="1"/>
  <c r="AR3" i="23" s="1"/>
  <c r="AS3" i="23" s="1"/>
  <c r="AT3" i="23" s="1"/>
  <c r="AU3" i="23" s="1"/>
  <c r="AV3" i="23" s="1"/>
  <c r="AW3" i="23" s="1"/>
  <c r="AX3" i="23" s="1"/>
  <c r="AY3" i="23" s="1"/>
  <c r="AZ3" i="23" s="1"/>
  <c r="AG4" i="24"/>
  <c r="AH4" i="24" s="1"/>
  <c r="AI4" i="24" s="1"/>
  <c r="AJ4" i="24" s="1"/>
  <c r="AK4" i="24" s="1"/>
  <c r="AL4" i="24" s="1"/>
  <c r="AM4" i="24" s="1"/>
  <c r="AN4" i="24" s="1"/>
  <c r="AO4" i="24" s="1"/>
  <c r="AP4" i="24" s="1"/>
  <c r="AQ4" i="24" s="1"/>
  <c r="AR4" i="24" s="1"/>
  <c r="AS4" i="24" s="1"/>
  <c r="AT4" i="24" s="1"/>
  <c r="AU4" i="24" s="1"/>
  <c r="AV4" i="24" s="1"/>
  <c r="AW4" i="24" s="1"/>
  <c r="AX4" i="24" s="1"/>
  <c r="AY4" i="24" s="1"/>
  <c r="AZ4" i="24" s="1"/>
  <c r="AG3" i="24"/>
  <c r="AH3" i="24" s="1"/>
  <c r="AI3" i="24" s="1"/>
  <c r="AJ3" i="24" s="1"/>
  <c r="AK3" i="24" s="1"/>
  <c r="AL3" i="24" s="1"/>
  <c r="AM3" i="24" s="1"/>
  <c r="AN3" i="24" s="1"/>
  <c r="AO3" i="24" s="1"/>
  <c r="AP3" i="24" s="1"/>
  <c r="AQ3" i="24" s="1"/>
  <c r="AR3" i="24" s="1"/>
  <c r="AS3" i="24" s="1"/>
  <c r="AT3" i="24" s="1"/>
  <c r="AU3" i="24" s="1"/>
  <c r="AV3" i="24" s="1"/>
  <c r="AW3" i="24" s="1"/>
  <c r="AX3" i="24" s="1"/>
  <c r="AY3" i="24" s="1"/>
  <c r="AZ3" i="24" s="1"/>
  <c r="AG2" i="24"/>
  <c r="AH2" i="24" s="1"/>
  <c r="AI2" i="24" s="1"/>
  <c r="AJ2" i="24" s="1"/>
  <c r="AK2" i="24" s="1"/>
  <c r="AL2" i="24" s="1"/>
  <c r="AM2" i="24" s="1"/>
  <c r="AN2" i="24" s="1"/>
  <c r="AO2" i="24" s="1"/>
  <c r="AP2" i="24" s="1"/>
  <c r="AQ2" i="24" s="1"/>
  <c r="AR2" i="24" s="1"/>
  <c r="AS2" i="24" s="1"/>
  <c r="AT2" i="24" s="1"/>
  <c r="AU2" i="24" s="1"/>
  <c r="AV2" i="24" s="1"/>
  <c r="AW2" i="24" s="1"/>
  <c r="AX2" i="24" s="1"/>
  <c r="AY2" i="24" s="1"/>
  <c r="AZ2" i="24" s="1"/>
  <c r="AG4" i="23"/>
  <c r="AH4" i="23" s="1"/>
  <c r="AI4" i="23" s="1"/>
  <c r="AK4" i="62"/>
  <c r="CO21" i="60"/>
  <c r="CO23" i="60"/>
  <c r="BE22" i="60"/>
  <c r="CO22" i="60" s="1"/>
  <c r="CI42" i="60"/>
  <c r="CK45" i="60"/>
  <c r="BF15" i="60"/>
  <c r="CO15" i="60"/>
  <c r="CI11" i="60"/>
  <c r="CA11" i="60"/>
  <c r="CH11" i="60"/>
  <c r="BZ11" i="60"/>
  <c r="BY11" i="60"/>
  <c r="CG11" i="60"/>
  <c r="BX11" i="60"/>
  <c r="CF11" i="60"/>
  <c r="CM11" i="60"/>
  <c r="CE11" i="60"/>
  <c r="BW11" i="60"/>
  <c r="CA45" i="60"/>
  <c r="CF29" i="60"/>
  <c r="BX29" i="60"/>
  <c r="CG29" i="60"/>
  <c r="BW29" i="60"/>
  <c r="CE29" i="60"/>
  <c r="BU29" i="60"/>
  <c r="CD29" i="60"/>
  <c r="CM29" i="60"/>
  <c r="CC29" i="60"/>
  <c r="CL29" i="60"/>
  <c r="CB29" i="60"/>
  <c r="CK29" i="60"/>
  <c r="CA29" i="60"/>
  <c r="CJ29" i="60"/>
  <c r="BZ29" i="60"/>
  <c r="CH29" i="60"/>
  <c r="BY29" i="60"/>
  <c r="BV29" i="60"/>
  <c r="BF21" i="60"/>
  <c r="BF12" i="60"/>
  <c r="CH8" i="60"/>
  <c r="BZ8" i="60"/>
  <c r="BY8" i="60"/>
  <c r="CF8" i="60"/>
  <c r="CM8" i="60"/>
  <c r="CE8" i="60"/>
  <c r="CG8" i="60"/>
  <c r="BX8" i="60"/>
  <c r="BW8" i="60"/>
  <c r="CD8" i="60"/>
  <c r="BV8" i="60"/>
  <c r="CL8" i="60"/>
  <c r="CN11" i="60"/>
  <c r="CL16" i="60"/>
  <c r="CD16" i="60"/>
  <c r="BV16" i="60"/>
  <c r="CK16" i="60"/>
  <c r="CB16" i="60"/>
  <c r="CJ16" i="60"/>
  <c r="CA16" i="60"/>
  <c r="BZ16" i="60"/>
  <c r="CI16" i="60"/>
  <c r="CH16" i="60"/>
  <c r="BY16" i="60"/>
  <c r="CG16" i="60"/>
  <c r="BX16" i="60"/>
  <c r="CM41" i="60"/>
  <c r="CB8" i="60"/>
  <c r="CF16" i="60"/>
  <c r="CG17" i="60"/>
  <c r="BY17" i="60"/>
  <c r="CM17" i="60"/>
  <c r="CD17" i="60"/>
  <c r="CD44" i="60" s="1"/>
  <c r="BU17" i="60"/>
  <c r="CC17" i="60"/>
  <c r="CK17" i="60"/>
  <c r="CL17" i="60"/>
  <c r="CB17" i="60"/>
  <c r="CB44" i="60" s="1"/>
  <c r="CJ17" i="60"/>
  <c r="CA17" i="60"/>
  <c r="CI17" i="60"/>
  <c r="BZ17" i="60"/>
  <c r="BX17" i="60"/>
  <c r="BE18" i="60"/>
  <c r="BX41" i="60"/>
  <c r="BF9" i="60"/>
  <c r="CB11" i="60"/>
  <c r="BD7" i="60"/>
  <c r="CN7" i="60" s="1"/>
  <c r="CN41" i="60" s="1"/>
  <c r="CN8" i="60"/>
  <c r="BE8" i="60"/>
  <c r="CC11" i="60"/>
  <c r="CI29" i="60"/>
  <c r="BF19" i="60"/>
  <c r="CO19" i="60"/>
  <c r="BF23" i="60"/>
  <c r="CE16" i="60"/>
  <c r="BE11" i="60"/>
  <c r="CO11" i="60" s="1"/>
  <c r="BZ44" i="60"/>
  <c r="CC8" i="60"/>
  <c r="CD11" i="60"/>
  <c r="CM16" i="60"/>
  <c r="BD16" i="60"/>
  <c r="CN16" i="60" s="1"/>
  <c r="CE17" i="60"/>
  <c r="CC45" i="60"/>
  <c r="CI8" i="60"/>
  <c r="CJ11" i="60"/>
  <c r="BG13" i="60"/>
  <c r="BE17" i="60"/>
  <c r="CF17" i="60"/>
  <c r="CJ45" i="60"/>
  <c r="CB10" i="60"/>
  <c r="CJ10" i="60"/>
  <c r="BU14" i="60"/>
  <c r="CD14" i="60"/>
  <c r="CI15" i="60"/>
  <c r="CA15" i="60"/>
  <c r="CA44" i="60" s="1"/>
  <c r="BV15" i="60"/>
  <c r="CE15" i="60"/>
  <c r="CN15" i="60"/>
  <c r="BU20" i="60"/>
  <c r="CD20" i="60"/>
  <c r="CL42" i="60"/>
  <c r="BU28" i="60"/>
  <c r="CK10" i="60"/>
  <c r="CF14" i="60"/>
  <c r="BX14" i="60"/>
  <c r="BV14" i="60"/>
  <c r="CE14" i="60"/>
  <c r="BW15" i="60"/>
  <c r="CF15" i="60"/>
  <c r="CH20" i="60"/>
  <c r="CH45" i="60" s="1"/>
  <c r="BZ20" i="60"/>
  <c r="BZ45" i="60" s="1"/>
  <c r="CL20" i="60"/>
  <c r="BV20" i="60"/>
  <c r="CE20" i="60"/>
  <c r="CF27" i="60"/>
  <c r="BX27" i="60"/>
  <c r="CJ27" i="60"/>
  <c r="CJ42" i="60" s="1"/>
  <c r="CA27" i="60"/>
  <c r="CA42" i="60" s="1"/>
  <c r="CI27" i="60"/>
  <c r="BZ27" i="60"/>
  <c r="BZ42" i="60" s="1"/>
  <c r="CH27" i="60"/>
  <c r="BY27" i="60"/>
  <c r="CG27" i="60"/>
  <c r="BW27" i="60"/>
  <c r="BU27" i="60"/>
  <c r="CM27" i="60"/>
  <c r="CM42" i="60" s="1"/>
  <c r="CI28" i="60"/>
  <c r="CA28" i="60"/>
  <c r="CK28" i="60"/>
  <c r="CB28" i="60"/>
  <c r="CJ28" i="60"/>
  <c r="BZ28" i="60"/>
  <c r="CH28" i="60"/>
  <c r="BY28" i="60"/>
  <c r="BY41" i="60" s="1"/>
  <c r="CG28" i="60"/>
  <c r="BX28" i="60"/>
  <c r="BV28" i="60"/>
  <c r="BH31" i="60"/>
  <c r="CQ31" i="60"/>
  <c r="CK7" i="60"/>
  <c r="CK41" i="60" s="1"/>
  <c r="CL10" i="60"/>
  <c r="CM12" i="60"/>
  <c r="CG14" i="60"/>
  <c r="BX15" i="60"/>
  <c r="CG15" i="60"/>
  <c r="BW20" i="60"/>
  <c r="BW45" i="60" s="1"/>
  <c r="CF20" i="60"/>
  <c r="CF45" i="60" s="1"/>
  <c r="BG26" i="60"/>
  <c r="BV27" i="60"/>
  <c r="BD25" i="60"/>
  <c r="CN25" i="60" s="1"/>
  <c r="BE28" i="60"/>
  <c r="CN28" i="60"/>
  <c r="BW28" i="60"/>
  <c r="CO33" i="60"/>
  <c r="CJ7" i="60"/>
  <c r="CC10" i="60"/>
  <c r="BU7" i="60"/>
  <c r="BU41" i="60" s="1"/>
  <c r="BV10" i="60"/>
  <c r="CK13" i="60"/>
  <c r="CC13" i="60"/>
  <c r="CC44" i="60" s="1"/>
  <c r="BU13" i="60"/>
  <c r="CN14" i="60"/>
  <c r="CN44" i="60" s="1"/>
  <c r="CE10" i="60"/>
  <c r="BW13" i="60"/>
  <c r="BE14" i="60"/>
  <c r="BY15" i="60"/>
  <c r="BY44" i="60" s="1"/>
  <c r="CM19" i="60"/>
  <c r="CM44" i="60" s="1"/>
  <c r="CE19" i="60"/>
  <c r="BW19" i="60"/>
  <c r="BV19" i="60"/>
  <c r="BX20" i="60"/>
  <c r="CG20" i="60"/>
  <c r="CG45" i="60" s="1"/>
  <c r="CB27" i="60"/>
  <c r="CC28" i="60"/>
  <c r="D38" i="60"/>
  <c r="D41" i="60"/>
  <c r="BU10" i="60"/>
  <c r="CC7" i="60"/>
  <c r="BE10" i="60"/>
  <c r="CD10" i="60"/>
  <c r="CH12" i="60"/>
  <c r="CH41" i="60" s="1"/>
  <c r="BZ12" i="60"/>
  <c r="BZ41" i="60" s="1"/>
  <c r="CD12" i="60"/>
  <c r="BV13" i="60"/>
  <c r="CE13" i="60"/>
  <c r="BW14" i="60"/>
  <c r="BV7" i="60"/>
  <c r="BV41" i="60" s="1"/>
  <c r="CD7" i="60"/>
  <c r="CL7" i="60"/>
  <c r="CL41" i="60" s="1"/>
  <c r="CB9" i="60"/>
  <c r="CJ9" i="60"/>
  <c r="BW10" i="60"/>
  <c r="CM10" i="60"/>
  <c r="BV12" i="60"/>
  <c r="CN12" i="60"/>
  <c r="CF13" i="60"/>
  <c r="CO13" i="60"/>
  <c r="BY14" i="60"/>
  <c r="CH14" i="60"/>
  <c r="CH44" i="60" s="1"/>
  <c r="CH15" i="60"/>
  <c r="BW7" i="60"/>
  <c r="CE7" i="60"/>
  <c r="CE41" i="60" s="1"/>
  <c r="BU9" i="60"/>
  <c r="CC9" i="60"/>
  <c r="BX10" i="60"/>
  <c r="BW12" i="60"/>
  <c r="CF12" i="60"/>
  <c r="CF41" i="60" s="1"/>
  <c r="BX13" i="60"/>
  <c r="CG13" i="60"/>
  <c r="CG44" i="60" s="1"/>
  <c r="BZ14" i="60"/>
  <c r="CI14" i="60"/>
  <c r="CI44" i="60" s="1"/>
  <c r="BZ15" i="60"/>
  <c r="CJ15" i="60"/>
  <c r="CJ44" i="60" s="1"/>
  <c r="BX19" i="60"/>
  <c r="CG19" i="60"/>
  <c r="BY20" i="60"/>
  <c r="CI20" i="60"/>
  <c r="CK21" i="60"/>
  <c r="CC21" i="60"/>
  <c r="BU21" i="60"/>
  <c r="CM21" i="60"/>
  <c r="CD21" i="60"/>
  <c r="CL21" i="60"/>
  <c r="CB21" i="60"/>
  <c r="BZ21" i="60"/>
  <c r="CN21" i="60"/>
  <c r="CB42" i="60"/>
  <c r="CC27" i="60"/>
  <c r="CD28" i="60"/>
  <c r="BH34" i="60"/>
  <c r="CN29" i="60"/>
  <c r="BW30" i="60"/>
  <c r="CI30" i="60"/>
  <c r="CI41" i="60" s="1"/>
  <c r="CA30" i="60"/>
  <c r="CG30" i="60"/>
  <c r="CG41" i="60" s="1"/>
  <c r="BX30" i="60"/>
  <c r="BY30" i="60"/>
  <c r="CJ30" i="60"/>
  <c r="CM34" i="60"/>
  <c r="CE34" i="60"/>
  <c r="BW34" i="60"/>
  <c r="CD34" i="60"/>
  <c r="BU34" i="60"/>
  <c r="CL34" i="60"/>
  <c r="CC34" i="60"/>
  <c r="CK34" i="60"/>
  <c r="CB34" i="60"/>
  <c r="CG34" i="60"/>
  <c r="BU25" i="60"/>
  <c r="CD25" i="60"/>
  <c r="CK26" i="60"/>
  <c r="CK42" i="60" s="1"/>
  <c r="CC26" i="60"/>
  <c r="BU26" i="60"/>
  <c r="BV26" i="60"/>
  <c r="BV42" i="60" s="1"/>
  <c r="CE26" i="60"/>
  <c r="CE42" i="60" s="1"/>
  <c r="CN26" i="60"/>
  <c r="CN27" i="60"/>
  <c r="BE29" i="60"/>
  <c r="CO29" i="60" s="1"/>
  <c r="BZ30" i="60"/>
  <c r="CK30" i="60"/>
  <c r="CL31" i="60"/>
  <c r="CL44" i="60" s="1"/>
  <c r="CD31" i="60"/>
  <c r="BV31" i="60"/>
  <c r="CI31" i="60"/>
  <c r="BZ31" i="60"/>
  <c r="BY31" i="60"/>
  <c r="CJ31" i="60"/>
  <c r="CG32" i="60"/>
  <c r="BY32" i="60"/>
  <c r="CK32" i="60"/>
  <c r="CB32" i="60"/>
  <c r="CB45" i="60" s="1"/>
  <c r="CJ32" i="60"/>
  <c r="CI32" i="60"/>
  <c r="BX32" i="60"/>
  <c r="CL32" i="60"/>
  <c r="CN34" i="60"/>
  <c r="CH34" i="60"/>
  <c r="CL22" i="60"/>
  <c r="CH25" i="60"/>
  <c r="BZ25" i="60"/>
  <c r="BV25" i="60"/>
  <c r="CE25" i="60"/>
  <c r="BW26" i="60"/>
  <c r="BW42" i="60" s="1"/>
  <c r="CF26" i="60"/>
  <c r="CO26" i="60"/>
  <c r="BE27" i="60"/>
  <c r="BF30" i="60"/>
  <c r="CB30" i="60"/>
  <c r="CL30" i="60"/>
  <c r="CA31" i="60"/>
  <c r="CK31" i="60"/>
  <c r="BZ32" i="60"/>
  <c r="CM32" i="60"/>
  <c r="CM45" i="60" s="1"/>
  <c r="BV34" i="60"/>
  <c r="CI34" i="60"/>
  <c r="BU22" i="60"/>
  <c r="CD22" i="60"/>
  <c r="CI23" i="60"/>
  <c r="CA23" i="60"/>
  <c r="BV23" i="60"/>
  <c r="CE23" i="60"/>
  <c r="BE24" i="60"/>
  <c r="BW25" i="60"/>
  <c r="CF25" i="60"/>
  <c r="BX26" i="60"/>
  <c r="BX42" i="60" s="1"/>
  <c r="CG26" i="60"/>
  <c r="CG42" i="60" s="1"/>
  <c r="CC30" i="60"/>
  <c r="CM30" i="60"/>
  <c r="CB31" i="60"/>
  <c r="CM31" i="60"/>
  <c r="BE32" i="60"/>
  <c r="CA32" i="60"/>
  <c r="BX34" i="60"/>
  <c r="CJ34" i="60"/>
  <c r="BG35" i="60"/>
  <c r="BG36" i="60"/>
  <c r="CF22" i="60"/>
  <c r="BX22" i="60"/>
  <c r="BV22" i="60"/>
  <c r="CE22" i="60"/>
  <c r="BW23" i="60"/>
  <c r="CF23" i="60"/>
  <c r="BX25" i="60"/>
  <c r="CG25" i="60"/>
  <c r="BY26" i="60"/>
  <c r="CH26" i="60"/>
  <c r="CH42" i="60" s="1"/>
  <c r="CD30" i="60"/>
  <c r="CN30" i="60"/>
  <c r="CC31" i="60"/>
  <c r="CN31" i="60"/>
  <c r="CC32" i="60"/>
  <c r="BY34" i="60"/>
  <c r="CO34" i="60"/>
  <c r="R7" i="61" a="1"/>
  <c r="R7" i="61" s="1"/>
  <c r="R6" i="61" a="1"/>
  <c r="R6" i="61" s="1"/>
  <c r="R5" i="61" a="1"/>
  <c r="R5" i="61" s="1"/>
  <c r="R4" i="61" a="1"/>
  <c r="R4" i="61" s="1"/>
  <c r="R3" i="61" a="1"/>
  <c r="R3" i="61" s="1"/>
  <c r="S2" i="61"/>
  <c r="S5" i="61" a="1"/>
  <c r="S5" i="61" s="1"/>
  <c r="BU35" i="60"/>
  <c r="CD35" i="60"/>
  <c r="CK36" i="60"/>
  <c r="CC36" i="60"/>
  <c r="BU36" i="60"/>
  <c r="BV36" i="60"/>
  <c r="CE36" i="60"/>
  <c r="CN36" i="60"/>
  <c r="CH35" i="60"/>
  <c r="BZ35" i="60"/>
  <c r="BV35" i="60"/>
  <c r="CE35" i="60"/>
  <c r="CN35" i="60"/>
  <c r="BW36" i="60"/>
  <c r="CF36" i="60"/>
  <c r="CO36" i="60"/>
  <c r="CB18" i="60"/>
  <c r="BW35" i="60"/>
  <c r="CF35" i="60"/>
  <c r="BX36" i="60"/>
  <c r="CG36" i="60"/>
  <c r="CB33" i="60"/>
  <c r="CB41" i="60" s="1"/>
  <c r="AK6" i="24" l="1"/>
  <c r="AL6" i="24" s="1"/>
  <c r="AM6" i="24" s="1"/>
  <c r="AN6" i="24" s="1"/>
  <c r="AO6" i="24" s="1"/>
  <c r="AP6" i="24" s="1"/>
  <c r="AQ6" i="24" s="1"/>
  <c r="AR6" i="24" s="1"/>
  <c r="AS6" i="24" s="1"/>
  <c r="AT6" i="24" s="1"/>
  <c r="AU6" i="24" s="1"/>
  <c r="AV6" i="24" s="1"/>
  <c r="AW6" i="24" s="1"/>
  <c r="AX6" i="24" s="1"/>
  <c r="AY6" i="24" s="1"/>
  <c r="AZ6" i="24" s="1"/>
  <c r="AJ4" i="23"/>
  <c r="AK4" i="23" s="1"/>
  <c r="AL4" i="23" s="1"/>
  <c r="AM4" i="23" s="1"/>
  <c r="AN4" i="23" s="1"/>
  <c r="AO4" i="23" s="1"/>
  <c r="AP4" i="23" s="1"/>
  <c r="AQ4" i="23" s="1"/>
  <c r="AR4" i="23" s="1"/>
  <c r="AS4" i="23" s="1"/>
  <c r="AT4" i="23" s="1"/>
  <c r="AU4" i="23" s="1"/>
  <c r="AV4" i="23" s="1"/>
  <c r="AW4" i="23" s="1"/>
  <c r="AX4" i="23" s="1"/>
  <c r="AY4" i="23" s="1"/>
  <c r="AZ4" i="23" s="1"/>
  <c r="AL4" i="62"/>
  <c r="BH35" i="60"/>
  <c r="CQ35" i="60"/>
  <c r="CK44" i="60"/>
  <c r="CN42" i="60"/>
  <c r="CC41" i="60"/>
  <c r="BF14" i="60"/>
  <c r="CO14" i="60"/>
  <c r="CP9" i="60"/>
  <c r="BG9" i="60"/>
  <c r="CP12" i="60"/>
  <c r="BF11" i="60"/>
  <c r="CP11" i="60" s="1"/>
  <c r="BG12" i="60"/>
  <c r="CQ26" i="60"/>
  <c r="BH26" i="60"/>
  <c r="CI45" i="60"/>
  <c r="BW41" i="60"/>
  <c r="CE44" i="60"/>
  <c r="BW44" i="60"/>
  <c r="BF28" i="60"/>
  <c r="CO28" i="60"/>
  <c r="CR31" i="60"/>
  <c r="BI31" i="60"/>
  <c r="CO17" i="60"/>
  <c r="BE16" i="60"/>
  <c r="CO16" i="60" s="1"/>
  <c r="BF17" i="60"/>
  <c r="CL45" i="60"/>
  <c r="CD41" i="60"/>
  <c r="BF10" i="60"/>
  <c r="CO10" i="60"/>
  <c r="S4" i="61" a="1"/>
  <c r="S4" i="61" s="1"/>
  <c r="S3" i="61" a="1"/>
  <c r="S3" i="61" s="1"/>
  <c r="CO32" i="60"/>
  <c r="CO45" i="60" s="1"/>
  <c r="BF32" i="60"/>
  <c r="CP30" i="60"/>
  <c r="BG30" i="60"/>
  <c r="T2" i="61"/>
  <c r="BY42" i="60"/>
  <c r="BF24" i="60"/>
  <c r="CO24" i="60"/>
  <c r="CO43" i="60" s="1"/>
  <c r="BE25" i="60"/>
  <c r="CO25" i="60" s="1"/>
  <c r="BF27" i="60"/>
  <c r="CO27" i="60"/>
  <c r="BY45" i="60"/>
  <c r="BX44" i="60"/>
  <c r="BV44" i="60"/>
  <c r="BX45" i="60"/>
  <c r="CD45" i="60"/>
  <c r="CQ13" i="60"/>
  <c r="BH13" i="60"/>
  <c r="CO18" i="60"/>
  <c r="BF18" i="60"/>
  <c r="BF20" i="60"/>
  <c r="CP20" i="60" s="1"/>
  <c r="BG21" i="60"/>
  <c r="CP21" i="60"/>
  <c r="BG15" i="60"/>
  <c r="CP15" i="60"/>
  <c r="CO44" i="60"/>
  <c r="CF44" i="60"/>
  <c r="CP19" i="60"/>
  <c r="BG19" i="60"/>
  <c r="T4" i="61" a="1"/>
  <c r="T4" i="61" s="1"/>
  <c r="CO42" i="60"/>
  <c r="BU42" i="60"/>
  <c r="BH33" i="60"/>
  <c r="BI34" i="60"/>
  <c r="CR34" i="60"/>
  <c r="CJ41" i="60"/>
  <c r="CE45" i="60"/>
  <c r="BU45" i="60"/>
  <c r="CP23" i="60"/>
  <c r="BF22" i="60"/>
  <c r="CP22" i="60" s="1"/>
  <c r="BG23" i="60"/>
  <c r="CO8" i="60"/>
  <c r="BF8" i="60"/>
  <c r="BE7" i="60"/>
  <c r="CO7" i="60" s="1"/>
  <c r="CO41" i="60" s="1"/>
  <c r="BD37" i="60"/>
  <c r="CN37" i="60" s="1"/>
  <c r="S7" i="61" a="1"/>
  <c r="S7" i="61" s="1"/>
  <c r="S6" i="61" a="1"/>
  <c r="S6" i="61" s="1"/>
  <c r="BH36" i="60"/>
  <c r="CQ36" i="60"/>
  <c r="CF42" i="60"/>
  <c r="CC42" i="60"/>
  <c r="BG33" i="60"/>
  <c r="BU44" i="60"/>
  <c r="BV45" i="60"/>
  <c r="AM4" i="62" l="1"/>
  <c r="AN4" i="62" s="1"/>
  <c r="AO4" i="62" s="1"/>
  <c r="AP4" i="62" s="1"/>
  <c r="AQ4" i="62" s="1"/>
  <c r="AR4" i="62" s="1"/>
  <c r="AS4" i="62" s="1"/>
  <c r="AT4" i="62" s="1"/>
  <c r="AU4" i="62" s="1"/>
  <c r="AV4" i="62" s="1"/>
  <c r="AW4" i="62" s="1"/>
  <c r="AX4" i="62" s="1"/>
  <c r="AY4" i="62" s="1"/>
  <c r="AZ4" i="62" s="1"/>
  <c r="BA4" i="62" s="1"/>
  <c r="BB4" i="62" s="1"/>
  <c r="BC4" i="62" s="1"/>
  <c r="BD4" i="62" s="1"/>
  <c r="CS31" i="60"/>
  <c r="BJ31" i="60"/>
  <c r="BH12" i="60"/>
  <c r="CQ12" i="60"/>
  <c r="CQ19" i="60"/>
  <c r="BH19" i="60"/>
  <c r="U2" i="61"/>
  <c r="U3" i="61" a="1"/>
  <c r="U3" i="61" s="1"/>
  <c r="BG27" i="60"/>
  <c r="CP27" i="60"/>
  <c r="CP42" i="60" s="1"/>
  <c r="BF25" i="60"/>
  <c r="CP25" i="60" s="1"/>
  <c r="CP32" i="60"/>
  <c r="BG32" i="60"/>
  <c r="BG29" i="60" s="1"/>
  <c r="T3" i="61" a="1"/>
  <c r="T3" i="61" s="1"/>
  <c r="BG28" i="60"/>
  <c r="CP28" i="60"/>
  <c r="CQ9" i="60"/>
  <c r="BH9" i="60"/>
  <c r="BI35" i="60"/>
  <c r="CR35" i="60"/>
  <c r="CR33" i="60"/>
  <c r="T7" i="61" a="1"/>
  <c r="T7" i="61" s="1"/>
  <c r="CP8" i="60"/>
  <c r="BF7" i="60"/>
  <c r="CP7" i="60" s="1"/>
  <c r="CP41" i="60" s="1"/>
  <c r="BG8" i="60"/>
  <c r="CQ15" i="60"/>
  <c r="BH15" i="60"/>
  <c r="CQ33" i="60"/>
  <c r="BJ34" i="60"/>
  <c r="CS34" i="60"/>
  <c r="BG24" i="60"/>
  <c r="CP24" i="60"/>
  <c r="CP43" i="60" s="1"/>
  <c r="CQ23" i="60"/>
  <c r="BG22" i="60"/>
  <c r="CQ22" i="60" s="1"/>
  <c r="BH23" i="60"/>
  <c r="BG17" i="60"/>
  <c r="BF16" i="60"/>
  <c r="CP16" i="60" s="1"/>
  <c r="CP17" i="60"/>
  <c r="BI13" i="60"/>
  <c r="CR13" i="60"/>
  <c r="BE37" i="60"/>
  <c r="CO37" i="60" s="1"/>
  <c r="BH21" i="60"/>
  <c r="BG20" i="60"/>
  <c r="CQ20" i="60" s="1"/>
  <c r="CQ21" i="60"/>
  <c r="CP45" i="60"/>
  <c r="BF29" i="60"/>
  <c r="T5" i="61" a="1"/>
  <c r="T5" i="61" s="1"/>
  <c r="BG18" i="60"/>
  <c r="CP18" i="60"/>
  <c r="CQ30" i="60"/>
  <c r="BH30" i="60"/>
  <c r="BI26" i="60"/>
  <c r="CR26" i="60"/>
  <c r="BG14" i="60"/>
  <c r="BG11" i="60" s="1"/>
  <c r="CQ11" i="60" s="1"/>
  <c r="CP14" i="60"/>
  <c r="CR36" i="60"/>
  <c r="BI36" i="60"/>
  <c r="BI33" i="60" s="1"/>
  <c r="T6" i="61" a="1"/>
  <c r="T6" i="61" s="1"/>
  <c r="BG10" i="60"/>
  <c r="CP10" i="60"/>
  <c r="CS33" i="60" l="1"/>
  <c r="CQ29" i="60"/>
  <c r="CR9" i="60"/>
  <c r="BI9" i="60"/>
  <c r="BI21" i="60"/>
  <c r="CR21" i="60"/>
  <c r="BH20" i="60"/>
  <c r="CR20" i="60" s="1"/>
  <c r="BI23" i="60"/>
  <c r="CR23" i="60"/>
  <c r="BH22" i="60"/>
  <c r="CR22" i="60" s="1"/>
  <c r="BK34" i="60"/>
  <c r="CT34" i="60"/>
  <c r="CQ28" i="60"/>
  <c r="BH28" i="60"/>
  <c r="V2" i="61"/>
  <c r="V5" i="61" a="1"/>
  <c r="V5" i="61" s="1"/>
  <c r="BH11" i="60"/>
  <c r="CR11" i="60" s="1"/>
  <c r="BI12" i="60"/>
  <c r="CR12" i="60"/>
  <c r="V3" i="61" a="1"/>
  <c r="V3" i="61" s="1"/>
  <c r="BH8" i="60"/>
  <c r="BG7" i="60"/>
  <c r="CQ7" i="60" s="1"/>
  <c r="CQ41" i="60" s="1"/>
  <c r="CQ8" i="60"/>
  <c r="CR30" i="60"/>
  <c r="BI30" i="60"/>
  <c r="CR15" i="60"/>
  <c r="BI15" i="60"/>
  <c r="CS26" i="60"/>
  <c r="BJ26" i="60"/>
  <c r="CP29" i="60"/>
  <c r="BF37" i="60"/>
  <c r="CP37" i="60" s="1"/>
  <c r="BH27" i="60"/>
  <c r="CQ27" i="60"/>
  <c r="CQ42" i="60" s="1"/>
  <c r="BG25" i="60"/>
  <c r="CQ25" i="60" s="1"/>
  <c r="U7" i="61" a="1"/>
  <c r="U7" i="61" s="1"/>
  <c r="CT31" i="60"/>
  <c r="BK31" i="60"/>
  <c r="BH24" i="60"/>
  <c r="CQ24" i="60"/>
  <c r="CQ43" i="60" s="1"/>
  <c r="BI19" i="60"/>
  <c r="CR19" i="60"/>
  <c r="CS36" i="60"/>
  <c r="BJ36" i="60"/>
  <c r="BH18" i="60"/>
  <c r="CQ18" i="60"/>
  <c r="BH17" i="60"/>
  <c r="BG16" i="60"/>
  <c r="CQ16" i="60" s="1"/>
  <c r="CQ17" i="60"/>
  <c r="BH32" i="60"/>
  <c r="CQ32" i="60"/>
  <c r="CQ45" i="60" s="1"/>
  <c r="CQ10" i="60"/>
  <c r="BH10" i="60"/>
  <c r="CP44" i="60"/>
  <c r="CQ14" i="60"/>
  <c r="CQ44" i="60" s="1"/>
  <c r="BH14" i="60"/>
  <c r="U4" i="61" a="1"/>
  <c r="U4" i="61" s="1"/>
  <c r="U6" i="61" a="1"/>
  <c r="U6" i="61" s="1"/>
  <c r="CS13" i="60"/>
  <c r="BJ13" i="60"/>
  <c r="CS35" i="60"/>
  <c r="BJ35" i="60"/>
  <c r="U5" i="61" a="1"/>
  <c r="U5" i="61" s="1"/>
  <c r="V7" i="61" l="1" a="1"/>
  <c r="V7" i="61" s="1"/>
  <c r="BH16" i="60"/>
  <c r="CR16" i="60" s="1"/>
  <c r="BI17" i="60"/>
  <c r="CR17" i="60"/>
  <c r="CR27" i="60"/>
  <c r="CR42" i="60" s="1"/>
  <c r="BI27" i="60"/>
  <c r="BH25" i="60"/>
  <c r="CR25" i="60" s="1"/>
  <c r="BJ30" i="60"/>
  <c r="CS30" i="60"/>
  <c r="CU34" i="60"/>
  <c r="BL34" i="60"/>
  <c r="BI11" i="60"/>
  <c r="CS11" i="60" s="1"/>
  <c r="BJ12" i="60"/>
  <c r="CS12" i="60"/>
  <c r="CS9" i="60"/>
  <c r="BJ9" i="60"/>
  <c r="BI32" i="60"/>
  <c r="CR32" i="60"/>
  <c r="BK35" i="60"/>
  <c r="CT35" i="60"/>
  <c r="CR18" i="60"/>
  <c r="BI18" i="60"/>
  <c r="BK13" i="60"/>
  <c r="CT13" i="60"/>
  <c r="BK36" i="60"/>
  <c r="CT36" i="60"/>
  <c r="BH29" i="60"/>
  <c r="V6" i="61" a="1"/>
  <c r="V6" i="61" s="1"/>
  <c r="BI24" i="60"/>
  <c r="CR24" i="60"/>
  <c r="CR43" i="60" s="1"/>
  <c r="CR10" i="60"/>
  <c r="BI10" i="60"/>
  <c r="CU31" i="60"/>
  <c r="BL31" i="60"/>
  <c r="BK26" i="60"/>
  <c r="CT26" i="60"/>
  <c r="BJ23" i="60"/>
  <c r="BI22" i="60"/>
  <c r="CS22" i="60" s="1"/>
  <c r="CS23" i="60"/>
  <c r="BG37" i="60"/>
  <c r="CQ37" i="60" s="1"/>
  <c r="CR28" i="60"/>
  <c r="BI28" i="60"/>
  <c r="CR45" i="60"/>
  <c r="V4" i="61" a="1"/>
  <c r="V4" i="61" s="1"/>
  <c r="BJ19" i="60"/>
  <c r="CS19" i="60"/>
  <c r="BI8" i="60"/>
  <c r="BH7" i="60"/>
  <c r="CR7" i="60" s="1"/>
  <c r="CR41" i="60" s="1"/>
  <c r="CR8" i="60"/>
  <c r="CR14" i="60"/>
  <c r="CR44" i="60" s="1"/>
  <c r="BI14" i="60"/>
  <c r="BJ15" i="60"/>
  <c r="CS15" i="60"/>
  <c r="W2" i="61"/>
  <c r="W4" i="61" a="1"/>
  <c r="W4" i="61" s="1"/>
  <c r="W5" i="61" a="1"/>
  <c r="W5" i="61" s="1"/>
  <c r="W7" i="61" a="1"/>
  <c r="W7" i="61" s="1"/>
  <c r="BJ33" i="60"/>
  <c r="CS21" i="60"/>
  <c r="BI20" i="60"/>
  <c r="CS20" i="60" s="1"/>
  <c r="BJ21" i="60"/>
  <c r="BJ18" i="60" l="1"/>
  <c r="CS18" i="60"/>
  <c r="CS24" i="60"/>
  <c r="CS43" i="60" s="1"/>
  <c r="BJ24" i="60"/>
  <c r="CS8" i="60"/>
  <c r="BJ8" i="60"/>
  <c r="BI7" i="60"/>
  <c r="CS7" i="60" s="1"/>
  <c r="CR29" i="60"/>
  <c r="BH37" i="60"/>
  <c r="CR37" i="60" s="1"/>
  <c r="BL35" i="60"/>
  <c r="CU35" i="60"/>
  <c r="CV34" i="60"/>
  <c r="BL33" i="60"/>
  <c r="BM34" i="60"/>
  <c r="BL26" i="60"/>
  <c r="CU26" i="60"/>
  <c r="CT33" i="60"/>
  <c r="BM31" i="60"/>
  <c r="CV31" i="60"/>
  <c r="BK33" i="60"/>
  <c r="BJ28" i="60"/>
  <c r="CS28" i="60"/>
  <c r="BL36" i="60"/>
  <c r="CU36" i="60"/>
  <c r="CS32" i="60"/>
  <c r="CS45" i="60" s="1"/>
  <c r="BJ32" i="60"/>
  <c r="BI16" i="60"/>
  <c r="CS16" i="60" s="1"/>
  <c r="BJ17" i="60"/>
  <c r="CS17" i="60"/>
  <c r="CT30" i="60"/>
  <c r="BK30" i="60"/>
  <c r="CT21" i="60"/>
  <c r="BK21" i="60"/>
  <c r="BJ20" i="60"/>
  <c r="CT20" i="60" s="1"/>
  <c r="W6" i="61" a="1"/>
  <c r="W6" i="61" s="1"/>
  <c r="CT15" i="60"/>
  <c r="BK15" i="60"/>
  <c r="BK19" i="60"/>
  <c r="CT19" i="60"/>
  <c r="CS10" i="60"/>
  <c r="BJ10" i="60"/>
  <c r="BK9" i="60"/>
  <c r="CT9" i="60"/>
  <c r="BK12" i="60"/>
  <c r="CT12" i="60"/>
  <c r="CS27" i="60"/>
  <c r="CS42" i="60" s="1"/>
  <c r="BJ27" i="60"/>
  <c r="BI25" i="60"/>
  <c r="CS25" i="60" s="1"/>
  <c r="X2" i="61"/>
  <c r="X4" i="61" a="1"/>
  <c r="X4" i="61" s="1"/>
  <c r="W3" i="61" a="1"/>
  <c r="W3" i="61" s="1"/>
  <c r="BJ14" i="60"/>
  <c r="CS14" i="60"/>
  <c r="CS44" i="60" s="1"/>
  <c r="BK23" i="60"/>
  <c r="BJ22" i="60"/>
  <c r="CT22" i="60" s="1"/>
  <c r="CT23" i="60"/>
  <c r="BL13" i="60"/>
  <c r="CU13" i="60"/>
  <c r="BI29" i="60"/>
  <c r="CU33" i="60" l="1"/>
  <c r="BN34" i="60"/>
  <c r="CW34" i="60"/>
  <c r="CT8" i="60"/>
  <c r="BJ7" i="60"/>
  <c r="CT7" i="60" s="1"/>
  <c r="BK8" i="60"/>
  <c r="X3" i="61" a="1"/>
  <c r="X3" i="61" s="1"/>
  <c r="X6" i="61" a="1"/>
  <c r="X6" i="61" s="1"/>
  <c r="CT27" i="60"/>
  <c r="CT42" i="60" s="1"/>
  <c r="BK27" i="60"/>
  <c r="BJ25" i="60"/>
  <c r="CT25" i="60" s="1"/>
  <c r="CT10" i="60"/>
  <c r="BK10" i="60"/>
  <c r="BL21" i="60"/>
  <c r="CU21" i="60"/>
  <c r="BK20" i="60"/>
  <c r="CU20" i="60" s="1"/>
  <c r="CT32" i="60"/>
  <c r="CT45" i="60" s="1"/>
  <c r="BK32" i="60"/>
  <c r="CV33" i="60"/>
  <c r="BM13" i="60"/>
  <c r="CV13" i="60"/>
  <c r="CW31" i="60"/>
  <c r="BN31" i="60"/>
  <c r="Y2" i="61"/>
  <c r="Y4" i="61" a="1"/>
  <c r="Y4" i="61" s="1"/>
  <c r="X7" i="61" a="1"/>
  <c r="X7" i="61" s="1"/>
  <c r="Y7" i="61" a="1"/>
  <c r="Y7" i="61" s="1"/>
  <c r="Y3" i="61" a="1"/>
  <c r="Y3" i="61" s="1"/>
  <c r="CU30" i="60"/>
  <c r="BL30" i="60"/>
  <c r="BK29" i="60"/>
  <c r="CU29" i="60" s="1"/>
  <c r="CT24" i="60"/>
  <c r="CT43" i="60" s="1"/>
  <c r="BK24" i="60"/>
  <c r="BL12" i="60"/>
  <c r="CU12" i="60"/>
  <c r="BK11" i="60"/>
  <c r="CU11" i="60" s="1"/>
  <c r="CU19" i="60"/>
  <c r="BL19" i="60"/>
  <c r="BM36" i="60"/>
  <c r="BM33" i="60" s="1"/>
  <c r="CV36" i="60"/>
  <c r="BM35" i="60"/>
  <c r="CV35" i="60"/>
  <c r="BK14" i="60"/>
  <c r="CT14" i="60"/>
  <c r="BL9" i="60"/>
  <c r="CU9" i="60"/>
  <c r="CS29" i="60"/>
  <c r="BI37" i="60"/>
  <c r="CS37" i="60" s="1"/>
  <c r="BL23" i="60"/>
  <c r="BK22" i="60"/>
  <c r="CU22" i="60" s="1"/>
  <c r="CU23" i="60"/>
  <c r="BJ11" i="60"/>
  <c r="CT11" i="60" s="1"/>
  <c r="BL15" i="60"/>
  <c r="CU15" i="60"/>
  <c r="BJ29" i="60"/>
  <c r="CT28" i="60"/>
  <c r="BK28" i="60"/>
  <c r="BK17" i="60"/>
  <c r="CT17" i="60"/>
  <c r="BJ16" i="60"/>
  <c r="CT16" i="60" s="1"/>
  <c r="X5" i="61" a="1"/>
  <c r="X5" i="61" s="1"/>
  <c r="BM26" i="60"/>
  <c r="CV26" i="60"/>
  <c r="CS41" i="60"/>
  <c r="BK18" i="60"/>
  <c r="CT18" i="60"/>
  <c r="CW33" i="60" l="1"/>
  <c r="CT41" i="60"/>
  <c r="BL32" i="60"/>
  <c r="CU32" i="60"/>
  <c r="CU45" i="60" s="1"/>
  <c r="CU27" i="60"/>
  <c r="CU42" i="60" s="1"/>
  <c r="BL27" i="60"/>
  <c r="BK25" i="60"/>
  <c r="CU25" i="60" s="1"/>
  <c r="BL18" i="60"/>
  <c r="CU18" i="60"/>
  <c r="CU17" i="60"/>
  <c r="BK16" i="60"/>
  <c r="CU16" i="60" s="1"/>
  <c r="BL17" i="60"/>
  <c r="BM9" i="60"/>
  <c r="CV9" i="60"/>
  <c r="CX31" i="60"/>
  <c r="BO31" i="60"/>
  <c r="Y6" i="61" a="1"/>
  <c r="Y6" i="61" s="1"/>
  <c r="CV30" i="60"/>
  <c r="BM30" i="60"/>
  <c r="CT44" i="60"/>
  <c r="CX34" i="60"/>
  <c r="BO34" i="60"/>
  <c r="Y5" i="61" a="1"/>
  <c r="Y5" i="61" s="1"/>
  <c r="BM15" i="60"/>
  <c r="CV15" i="60"/>
  <c r="BN36" i="60"/>
  <c r="CW36" i="60"/>
  <c r="CU28" i="60"/>
  <c r="BL28" i="60"/>
  <c r="BL14" i="60"/>
  <c r="CU14" i="60"/>
  <c r="CU44" i="60" s="1"/>
  <c r="Z2" i="61"/>
  <c r="Z3" i="61" a="1"/>
  <c r="Z3" i="61" s="1"/>
  <c r="Z7" i="61" a="1"/>
  <c r="Z7" i="61" s="1"/>
  <c r="CV21" i="60"/>
  <c r="BM21" i="60"/>
  <c r="BL20" i="60"/>
  <c r="CV20" i="60" s="1"/>
  <c r="BN13" i="60"/>
  <c r="CW13" i="60"/>
  <c r="CU10" i="60"/>
  <c r="BL10" i="60"/>
  <c r="BK37" i="60"/>
  <c r="CU37" i="60" s="1"/>
  <c r="BM19" i="60"/>
  <c r="CV19" i="60"/>
  <c r="BM12" i="60"/>
  <c r="CV12" i="60"/>
  <c r="BL11" i="60"/>
  <c r="CV11" i="60" s="1"/>
  <c r="BN26" i="60"/>
  <c r="CW26" i="60"/>
  <c r="CT29" i="60"/>
  <c r="BJ37" i="60"/>
  <c r="CT37" i="60" s="1"/>
  <c r="BM23" i="60"/>
  <c r="BL22" i="60"/>
  <c r="CV22" i="60" s="1"/>
  <c r="CV23" i="60"/>
  <c r="CW35" i="60"/>
  <c r="BN35" i="60"/>
  <c r="CU24" i="60"/>
  <c r="CU43" i="60" s="1"/>
  <c r="BL24" i="60"/>
  <c r="CU8" i="60"/>
  <c r="BK7" i="60"/>
  <c r="CU7" i="60" s="1"/>
  <c r="CU41" i="60" s="1"/>
  <c r="BL8" i="60"/>
  <c r="BN15" i="60" l="1"/>
  <c r="CW15" i="60"/>
  <c r="BN30" i="60"/>
  <c r="BM29" i="60"/>
  <c r="CW30" i="60"/>
  <c r="CW9" i="60"/>
  <c r="BN9" i="60"/>
  <c r="CV14" i="60"/>
  <c r="BM14" i="60"/>
  <c r="CV17" i="60"/>
  <c r="BL16" i="60"/>
  <c r="CV16" i="60" s="1"/>
  <c r="BM17" i="60"/>
  <c r="BO26" i="60"/>
  <c r="CX26" i="60"/>
  <c r="BM32" i="60"/>
  <c r="CV32" i="60"/>
  <c r="CV8" i="60"/>
  <c r="BL7" i="60"/>
  <c r="CV7" i="60" s="1"/>
  <c r="BM8" i="60"/>
  <c r="CX35" i="60"/>
  <c r="BO35" i="60"/>
  <c r="Z6" i="61" a="1"/>
  <c r="Z6" i="61" s="1"/>
  <c r="CX13" i="60"/>
  <c r="BO13" i="60"/>
  <c r="CY34" i="60"/>
  <c r="BP34" i="60"/>
  <c r="CV10" i="60"/>
  <c r="BM10" i="60"/>
  <c r="AA2" i="61"/>
  <c r="AA3" i="61" a="1"/>
  <c r="AA3" i="61" s="1"/>
  <c r="Z4" i="61" a="1"/>
  <c r="Z4" i="61" s="1"/>
  <c r="CV28" i="60"/>
  <c r="BM28" i="60"/>
  <c r="CW23" i="60"/>
  <c r="BM22" i="60"/>
  <c r="CW22" i="60" s="1"/>
  <c r="BN23" i="60"/>
  <c r="Z5" i="61" a="1"/>
  <c r="Z5" i="61" s="1"/>
  <c r="AA7" i="61" a="1"/>
  <c r="AA7" i="61" s="1"/>
  <c r="AA4" i="61" a="1"/>
  <c r="AA4" i="61" s="1"/>
  <c r="CW12" i="60"/>
  <c r="BN12" i="60"/>
  <c r="BN33" i="60"/>
  <c r="BP31" i="60"/>
  <c r="CY31" i="60"/>
  <c r="CV18" i="60"/>
  <c r="BM18" i="60"/>
  <c r="CV24" i="60"/>
  <c r="CV43" i="60" s="1"/>
  <c r="BM24" i="60"/>
  <c r="CV45" i="60"/>
  <c r="CX36" i="60"/>
  <c r="BO36" i="60"/>
  <c r="BN19" i="60"/>
  <c r="CW19" i="60"/>
  <c r="BN21" i="60"/>
  <c r="BM20" i="60"/>
  <c r="CW20" i="60" s="1"/>
  <c r="CW21" i="60"/>
  <c r="BL29" i="60"/>
  <c r="CV27" i="60"/>
  <c r="CV42" i="60" s="1"/>
  <c r="BM27" i="60"/>
  <c r="BL25" i="60"/>
  <c r="CV25" i="60" s="1"/>
  <c r="CX9" i="60" l="1"/>
  <c r="BO9" i="60"/>
  <c r="CZ34" i="60"/>
  <c r="BQ34" i="60"/>
  <c r="CY35" i="60"/>
  <c r="BP35" i="60"/>
  <c r="CY26" i="60"/>
  <c r="BP26" i="60"/>
  <c r="BN20" i="60"/>
  <c r="CX20" i="60" s="1"/>
  <c r="CX21" i="60"/>
  <c r="BO21" i="60"/>
  <c r="BO33" i="60"/>
  <c r="CW8" i="60"/>
  <c r="BM7" i="60"/>
  <c r="CW7" i="60" s="1"/>
  <c r="BN8" i="60"/>
  <c r="CW17" i="60"/>
  <c r="BM16" i="60"/>
  <c r="CW16" i="60" s="1"/>
  <c r="BN17" i="60"/>
  <c r="CW29" i="60"/>
  <c r="BM37" i="60"/>
  <c r="CW37" i="60" s="1"/>
  <c r="BN27" i="60"/>
  <c r="CW27" i="60"/>
  <c r="CW42" i="60" s="1"/>
  <c r="BM25" i="60"/>
  <c r="CW25" i="60" s="1"/>
  <c r="BN24" i="60"/>
  <c r="CW24" i="60"/>
  <c r="CW43" i="60" s="1"/>
  <c r="AB2" i="61"/>
  <c r="CY13" i="60"/>
  <c r="BP13" i="60"/>
  <c r="CV41" i="60"/>
  <c r="CX30" i="60"/>
  <c r="BO30" i="60"/>
  <c r="CX12" i="60"/>
  <c r="BO12" i="60"/>
  <c r="CV29" i="60"/>
  <c r="BL37" i="60"/>
  <c r="CV37" i="60" s="1"/>
  <c r="BN14" i="60"/>
  <c r="CW14" i="60"/>
  <c r="BO15" i="60"/>
  <c r="CX15" i="60"/>
  <c r="BN28" i="60"/>
  <c r="CW28" i="60"/>
  <c r="BQ31" i="60"/>
  <c r="CZ31" i="60"/>
  <c r="CX33" i="60"/>
  <c r="CX19" i="60"/>
  <c r="BO19" i="60"/>
  <c r="AA6" i="61" a="1"/>
  <c r="AA6" i="61" s="1"/>
  <c r="CX23" i="60"/>
  <c r="BN22" i="60"/>
  <c r="CX22" i="60" s="1"/>
  <c r="BO23" i="60"/>
  <c r="CY36" i="60"/>
  <c r="BP36" i="60"/>
  <c r="CW18" i="60"/>
  <c r="BN18" i="60"/>
  <c r="BM11" i="60"/>
  <c r="CW11" i="60" s="1"/>
  <c r="AA5" i="61" a="1"/>
  <c r="AA5" i="61" s="1"/>
  <c r="BN10" i="60"/>
  <c r="CW10" i="60"/>
  <c r="CW32" i="60"/>
  <c r="CW45" i="60" s="1"/>
  <c r="BN32" i="60"/>
  <c r="BN29" i="60" s="1"/>
  <c r="CV44" i="60"/>
  <c r="CX29" i="60" l="1"/>
  <c r="CY19" i="60"/>
  <c r="BP19" i="60"/>
  <c r="AC2" i="61"/>
  <c r="AB3" i="61" a="1"/>
  <c r="AB3" i="61" s="1"/>
  <c r="AB7" i="61" a="1"/>
  <c r="AB7" i="61" s="1"/>
  <c r="AB4" i="61" a="1"/>
  <c r="AB4" i="61" s="1"/>
  <c r="BO27" i="60"/>
  <c r="CX27" i="60"/>
  <c r="CX42" i="60" s="1"/>
  <c r="BN25" i="60"/>
  <c r="CX25" i="60" s="1"/>
  <c r="BQ35" i="60"/>
  <c r="CZ35" i="60"/>
  <c r="CY15" i="60"/>
  <c r="BP15" i="60"/>
  <c r="CZ13" i="60"/>
  <c r="BQ13" i="60"/>
  <c r="CY33" i="60"/>
  <c r="BO10" i="60"/>
  <c r="CX10" i="60"/>
  <c r="CW44" i="60"/>
  <c r="CY12" i="60"/>
  <c r="BO11" i="60"/>
  <c r="CY11" i="60" s="1"/>
  <c r="BP12" i="60"/>
  <c r="BO20" i="60"/>
  <c r="CY20" i="60" s="1"/>
  <c r="CY21" i="60"/>
  <c r="BP21" i="60"/>
  <c r="BR34" i="60"/>
  <c r="DA34" i="60"/>
  <c r="CY23" i="60"/>
  <c r="BO22" i="60"/>
  <c r="CY22" i="60" s="1"/>
  <c r="BP23" i="60"/>
  <c r="BO14" i="60"/>
  <c r="CX14" i="60"/>
  <c r="CX44" i="60" s="1"/>
  <c r="BN11" i="60"/>
  <c r="CX11" i="60" s="1"/>
  <c r="AB6" i="61" a="1"/>
  <c r="AB6" i="61" s="1"/>
  <c r="BO17" i="60"/>
  <c r="BN16" i="60"/>
  <c r="CX16" i="60" s="1"/>
  <c r="CX17" i="60"/>
  <c r="AB5" i="61" a="1"/>
  <c r="AB5" i="61" s="1"/>
  <c r="AC3" i="61" a="1"/>
  <c r="AC3" i="61" s="1"/>
  <c r="BP33" i="60"/>
  <c r="BO18" i="60"/>
  <c r="CX18" i="60"/>
  <c r="DA31" i="60"/>
  <c r="BR31" i="60"/>
  <c r="AC5" i="61" a="1"/>
  <c r="AC5" i="61" s="1"/>
  <c r="AC4" i="61" a="1"/>
  <c r="AC4" i="61" s="1"/>
  <c r="CX24" i="60"/>
  <c r="CX43" i="60" s="1"/>
  <c r="BO24" i="60"/>
  <c r="CZ26" i="60"/>
  <c r="BQ26" i="60"/>
  <c r="CY9" i="60"/>
  <c r="BP9" i="60"/>
  <c r="CY30" i="60"/>
  <c r="BP30" i="60"/>
  <c r="CX8" i="60"/>
  <c r="BN7" i="60"/>
  <c r="CX7" i="60" s="1"/>
  <c r="BO8" i="60"/>
  <c r="BO32" i="60"/>
  <c r="BO29" i="60" s="1"/>
  <c r="CX32" i="60"/>
  <c r="CX45" i="60" s="1"/>
  <c r="CZ36" i="60"/>
  <c r="BQ36" i="60"/>
  <c r="AC7" i="61" a="1"/>
  <c r="AC7" i="61" s="1"/>
  <c r="BO28" i="60"/>
  <c r="CX28" i="60"/>
  <c r="CW41" i="60"/>
  <c r="CY29" i="60" l="1"/>
  <c r="BQ12" i="60"/>
  <c r="BP11" i="60"/>
  <c r="CZ11" i="60" s="1"/>
  <c r="CZ12" i="60"/>
  <c r="AD4" i="61" a="1"/>
  <c r="AD4" i="61" s="1"/>
  <c r="BS34" i="60"/>
  <c r="DB34" i="60"/>
  <c r="AC6" i="61" a="1"/>
  <c r="AC6" i="61" s="1"/>
  <c r="BP18" i="60"/>
  <c r="CY18" i="60"/>
  <c r="DA36" i="60"/>
  <c r="BR36" i="60"/>
  <c r="CZ30" i="60"/>
  <c r="BQ30" i="60"/>
  <c r="BP24" i="60"/>
  <c r="CY24" i="60"/>
  <c r="CY43" i="60" s="1"/>
  <c r="CZ33" i="60"/>
  <c r="BQ33" i="60"/>
  <c r="DA13" i="60"/>
  <c r="BR13" i="60"/>
  <c r="BP27" i="60"/>
  <c r="CY27" i="60"/>
  <c r="CY42" i="60" s="1"/>
  <c r="BO25" i="60"/>
  <c r="CY25" i="60" s="1"/>
  <c r="CZ21" i="60"/>
  <c r="BP20" i="60"/>
  <c r="CZ20" i="60" s="1"/>
  <c r="BQ21" i="60"/>
  <c r="BP14" i="60"/>
  <c r="CY14" i="60"/>
  <c r="CY44" i="60" s="1"/>
  <c r="CZ15" i="60"/>
  <c r="BQ15" i="60"/>
  <c r="AD6" i="61" a="1"/>
  <c r="AD6" i="61" s="1"/>
  <c r="BQ19" i="60"/>
  <c r="CZ19" i="60"/>
  <c r="CZ9" i="60"/>
  <c r="BQ9" i="60"/>
  <c r="BP8" i="60"/>
  <c r="CY8" i="60"/>
  <c r="BO7" i="60"/>
  <c r="CY7" i="60" s="1"/>
  <c r="DB31" i="60"/>
  <c r="BS31" i="60"/>
  <c r="DC31" i="60" s="1"/>
  <c r="BQ23" i="60"/>
  <c r="BP22" i="60"/>
  <c r="CZ22" i="60" s="1"/>
  <c r="CZ23" i="60"/>
  <c r="AD5" i="61" a="1"/>
  <c r="AD5" i="61" s="1"/>
  <c r="BP10" i="60"/>
  <c r="CY10" i="60"/>
  <c r="BN37" i="60"/>
  <c r="CX37" i="60" s="1"/>
  <c r="BP32" i="60"/>
  <c r="CY32" i="60"/>
  <c r="CY45" i="60" s="1"/>
  <c r="CX41" i="60"/>
  <c r="DA26" i="60"/>
  <c r="BR26" i="60"/>
  <c r="CY28" i="60"/>
  <c r="BP28" i="60"/>
  <c r="BP17" i="60"/>
  <c r="BO16" i="60"/>
  <c r="CY16" i="60" s="1"/>
  <c r="CY17" i="60"/>
  <c r="DA35" i="60"/>
  <c r="BR35" i="60"/>
  <c r="AD2" i="61"/>
  <c r="AD3" i="61" a="1"/>
  <c r="AD3" i="61" s="1"/>
  <c r="AD7" i="61" a="1"/>
  <c r="AD7" i="61" s="1"/>
  <c r="DC34" i="60" l="1"/>
  <c r="BS33" i="60"/>
  <c r="BP16" i="60"/>
  <c r="CZ16" i="60" s="1"/>
  <c r="BQ17" i="60"/>
  <c r="CZ17" i="60"/>
  <c r="BQ32" i="60"/>
  <c r="CZ32" i="60"/>
  <c r="BR23" i="60"/>
  <c r="BQ22" i="60"/>
  <c r="DA22" i="60" s="1"/>
  <c r="DA23" i="60"/>
  <c r="DA21" i="60"/>
  <c r="BQ20" i="60"/>
  <c r="DA20" i="60" s="1"/>
  <c r="BR21" i="60"/>
  <c r="DA33" i="60"/>
  <c r="BS36" i="60"/>
  <c r="DC36" i="60" s="1"/>
  <c r="DB36" i="60"/>
  <c r="BR33" i="60"/>
  <c r="CZ45" i="60"/>
  <c r="BS26" i="60"/>
  <c r="DB26" i="60"/>
  <c r="CZ10" i="60"/>
  <c r="BQ10" i="60"/>
  <c r="CY41" i="60"/>
  <c r="BR15" i="60"/>
  <c r="DA15" i="60"/>
  <c r="CZ18" i="60"/>
  <c r="BQ18" i="60"/>
  <c r="BR19" i="60"/>
  <c r="DA19" i="60"/>
  <c r="CZ24" i="60"/>
  <c r="CZ43" i="60" s="1"/>
  <c r="BQ24" i="60"/>
  <c r="BR12" i="60"/>
  <c r="DA12" i="60"/>
  <c r="BQ28" i="60"/>
  <c r="CZ28" i="60"/>
  <c r="DB35" i="60"/>
  <c r="BS35" i="60"/>
  <c r="DC35" i="60" s="1"/>
  <c r="BO37" i="60"/>
  <c r="CY37" i="60" s="1"/>
  <c r="BQ8" i="60"/>
  <c r="CZ8" i="60"/>
  <c r="BP7" i="60"/>
  <c r="CZ7" i="60" s="1"/>
  <c r="BQ27" i="60"/>
  <c r="CZ27" i="60"/>
  <c r="CZ42" i="60" s="1"/>
  <c r="BP25" i="60"/>
  <c r="CZ25" i="60" s="1"/>
  <c r="BP29" i="60"/>
  <c r="AE2" i="61"/>
  <c r="DA9" i="60"/>
  <c r="BR9" i="60"/>
  <c r="CZ14" i="60"/>
  <c r="CZ44" i="60" s="1"/>
  <c r="BQ14" i="60"/>
  <c r="BS13" i="60"/>
  <c r="DC13" i="60" s="1"/>
  <c r="DB13" i="60"/>
  <c r="BR30" i="60"/>
  <c r="BQ29" i="60"/>
  <c r="DA29" i="60" s="1"/>
  <c r="DA30" i="60"/>
  <c r="AF2" i="61" l="1"/>
  <c r="DA27" i="60"/>
  <c r="DA42" i="60" s="1"/>
  <c r="BR27" i="60"/>
  <c r="BQ25" i="60"/>
  <c r="DA25" i="60" s="1"/>
  <c r="BS19" i="60"/>
  <c r="DC19" i="60" s="1"/>
  <c r="DB19" i="60"/>
  <c r="BR32" i="60"/>
  <c r="DA32" i="60"/>
  <c r="DA45" i="60" s="1"/>
  <c r="AE4" i="61" a="1"/>
  <c r="AE4" i="61" s="1"/>
  <c r="CZ41" i="60"/>
  <c r="BR28" i="60"/>
  <c r="DA28" i="60"/>
  <c r="BR18" i="60"/>
  <c r="DA18" i="60"/>
  <c r="BS21" i="60"/>
  <c r="DB21" i="60"/>
  <c r="BR20" i="60"/>
  <c r="DB20" i="60" s="1"/>
  <c r="AF4" i="61" a="1"/>
  <c r="AF4" i="61" s="1"/>
  <c r="DC26" i="60"/>
  <c r="BQ16" i="60"/>
  <c r="DA16" i="60" s="1"/>
  <c r="BR17" i="60"/>
  <c r="DA17" i="60"/>
  <c r="AE3" i="61" a="1"/>
  <c r="AE3" i="61" s="1"/>
  <c r="DA8" i="60"/>
  <c r="BQ7" i="60"/>
  <c r="DA7" i="60" s="1"/>
  <c r="DA41" i="60" s="1"/>
  <c r="BR8" i="60"/>
  <c r="AE7" i="61" a="1"/>
  <c r="AE7" i="61" s="1"/>
  <c r="BR11" i="60"/>
  <c r="DB11" i="60" s="1"/>
  <c r="BS12" i="60"/>
  <c r="DB12" i="60"/>
  <c r="DA14" i="60"/>
  <c r="DA44" i="60" s="1"/>
  <c r="BR14" i="60"/>
  <c r="AF6" i="61" a="1"/>
  <c r="AF6" i="61" s="1"/>
  <c r="BQ11" i="60"/>
  <c r="DA11" i="60" s="1"/>
  <c r="DB15" i="60"/>
  <c r="BS15" i="60"/>
  <c r="DC15" i="60" s="1"/>
  <c r="DB33" i="60"/>
  <c r="DC33" i="60"/>
  <c r="AE6" i="61" a="1"/>
  <c r="AE6" i="61" s="1"/>
  <c r="CZ29" i="60"/>
  <c r="BP37" i="60"/>
  <c r="CZ37" i="60" s="1"/>
  <c r="DA24" i="60"/>
  <c r="DA43" i="60" s="1"/>
  <c r="BR24" i="60"/>
  <c r="BS30" i="60"/>
  <c r="BR29" i="60"/>
  <c r="DB29" i="60" s="1"/>
  <c r="DB30" i="60"/>
  <c r="BS9" i="60"/>
  <c r="DC9" i="60" s="1"/>
  <c r="DB9" i="60"/>
  <c r="AE5" i="61" a="1"/>
  <c r="AE5" i="61" s="1"/>
  <c r="DA10" i="60"/>
  <c r="BR10" i="60"/>
  <c r="BS23" i="60"/>
  <c r="BR22" i="60"/>
  <c r="DB22" i="60" s="1"/>
  <c r="DB23" i="60"/>
  <c r="DB24" i="60" l="1"/>
  <c r="DB43" i="60" s="1"/>
  <c r="BS24" i="60"/>
  <c r="DC24" i="60" s="1"/>
  <c r="DC43" i="60" s="1"/>
  <c r="AF3" i="61" a="1"/>
  <c r="AF3" i="61" s="1"/>
  <c r="DB14" i="60"/>
  <c r="BS14" i="60"/>
  <c r="DC14" i="60" s="1"/>
  <c r="DB8" i="60"/>
  <c r="BR7" i="60"/>
  <c r="DB7" i="60" s="1"/>
  <c r="BS8" i="60"/>
  <c r="DC21" i="60"/>
  <c r="BS20" i="60"/>
  <c r="DC20" i="60" s="1"/>
  <c r="AF7" i="61" a="1"/>
  <c r="AF7" i="61" s="1"/>
  <c r="DB27" i="60"/>
  <c r="DB42" i="60" s="1"/>
  <c r="BS27" i="60"/>
  <c r="BR25" i="60"/>
  <c r="DB25" i="60" s="1"/>
  <c r="AG2" i="61"/>
  <c r="BS18" i="60"/>
  <c r="DC18" i="60" s="1"/>
  <c r="DB18" i="60"/>
  <c r="DB32" i="60"/>
  <c r="DB45" i="60" s="1"/>
  <c r="BS32" i="60"/>
  <c r="DC32" i="60" s="1"/>
  <c r="BQ37" i="60"/>
  <c r="DA37" i="60" s="1"/>
  <c r="AG3" i="61" a="1"/>
  <c r="AG3" i="61" s="1"/>
  <c r="AF5" i="61" a="1"/>
  <c r="AF5" i="61" s="1"/>
  <c r="DB28" i="60"/>
  <c r="BS28" i="60"/>
  <c r="DC28" i="60" s="1"/>
  <c r="BS22" i="60"/>
  <c r="DC22" i="60" s="1"/>
  <c r="DC23" i="60"/>
  <c r="DC12" i="60"/>
  <c r="DB10" i="60"/>
  <c r="BS10" i="60"/>
  <c r="DC10" i="60" s="1"/>
  <c r="BS29" i="60"/>
  <c r="DC30" i="60"/>
  <c r="BR16" i="60"/>
  <c r="DB16" i="60" s="1"/>
  <c r="BS17" i="60"/>
  <c r="DB17" i="60"/>
  <c r="DC8" i="60" l="1"/>
  <c r="BS7" i="60"/>
  <c r="DC7" i="60" s="1"/>
  <c r="DC41" i="60" s="1"/>
  <c r="DB41" i="60"/>
  <c r="AG5" i="61" a="1"/>
  <c r="AG5" i="61" s="1"/>
  <c r="AH7" i="61" a="1"/>
  <c r="AH7" i="61" s="1"/>
  <c r="DC29" i="60"/>
  <c r="DB44" i="60"/>
  <c r="DC17" i="60"/>
  <c r="DC44" i="60" s="1"/>
  <c r="BS16" i="60"/>
  <c r="DC16" i="60" s="1"/>
  <c r="BS11" i="60"/>
  <c r="DC11" i="60" s="1"/>
  <c r="DC27" i="60"/>
  <c r="DC42" i="60" s="1"/>
  <c r="BS25" i="60"/>
  <c r="DC25" i="60" s="1"/>
  <c r="AG7" i="61" a="1"/>
  <c r="AG7" i="61" s="1"/>
  <c r="BR37" i="60"/>
  <c r="DB37" i="60" s="1"/>
  <c r="AH2" i="61"/>
  <c r="AG4" i="61" a="1"/>
  <c r="AG4" i="61" s="1"/>
  <c r="DC45" i="60"/>
  <c r="AG6" i="61" a="1"/>
  <c r="AG6" i="61" s="1"/>
  <c r="AH4" i="61" l="1" a="1"/>
  <c r="AH4" i="61" s="1"/>
  <c r="BS37" i="60"/>
  <c r="AI2" i="61"/>
  <c r="AI7" i="61" a="1"/>
  <c r="AI7" i="61" s="1"/>
  <c r="AH5" i="61" a="1"/>
  <c r="AH5" i="61" s="1"/>
  <c r="AH6" i="61" a="1"/>
  <c r="AH6" i="61" s="1"/>
  <c r="AH3" i="61" a="1"/>
  <c r="AH3" i="61" s="1"/>
  <c r="AJ2" i="61" l="1"/>
  <c r="AJ7" i="61" a="1"/>
  <c r="AJ7" i="61" s="1"/>
  <c r="AI5" i="61" a="1"/>
  <c r="AI5" i="61" s="1"/>
  <c r="DC37" i="60"/>
  <c r="BT37" i="60"/>
  <c r="AI4" i="61" a="1"/>
  <c r="AI4" i="61" s="1"/>
  <c r="AI3" i="61" a="1"/>
  <c r="AI3" i="61" s="1"/>
  <c r="AI6" i="61" a="1"/>
  <c r="AI6" i="61" s="1"/>
  <c r="AM7" i="61" l="1"/>
  <c r="AJ3" i="61" a="1"/>
  <c r="AJ3" i="61" s="1"/>
  <c r="AJ4" i="61" a="1"/>
  <c r="AJ4" i="61" s="1"/>
  <c r="AJ5" i="61" a="1"/>
  <c r="AJ5" i="61" s="1"/>
  <c r="AK2" i="61"/>
  <c r="AK7" i="61" s="1" a="1"/>
  <c r="AK7" i="61" s="1"/>
  <c r="AJ6" i="61" a="1"/>
  <c r="AJ6" i="61" s="1"/>
  <c r="AM5" i="61" l="1"/>
  <c r="AK5" i="61" a="1"/>
  <c r="AK5" i="61" s="1"/>
  <c r="AM3" i="61"/>
  <c r="AM4" i="61"/>
  <c r="AK4" i="61" a="1"/>
  <c r="AK4" i="61" s="1"/>
  <c r="AM6" i="61"/>
  <c r="AK6" i="61" a="1"/>
  <c r="AK6" i="61" s="1"/>
  <c r="AK3" i="61" a="1"/>
  <c r="AK3" i="6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<sst xmlns="http://schemas.openxmlformats.org/spreadsheetml/2006/main" count="221" uniqueCount="95">
  <si>
    <t>BCDTRtSY BAU Cargo Dist Transported Relative to Start Year</t>
  </si>
  <si>
    <t>Mexico:</t>
  </si>
  <si>
    <t xml:space="preserve">Fuel demand for transport sector </t>
  </si>
  <si>
    <t>INECC</t>
  </si>
  <si>
    <t>Modelo Christopher de flota vehicular</t>
  </si>
  <si>
    <t>N/A</t>
  </si>
  <si>
    <t>Motorcycle anual travelled distance</t>
  </si>
  <si>
    <t>INEGI</t>
  </si>
  <si>
    <t>Vehicle fleet</t>
  </si>
  <si>
    <t>http://www.inegi.org.mx/lib/olap/consulta/general_ver4/MDXQueryDatos.asp?#Regreso&amp;c=</t>
  </si>
  <si>
    <t>Mexico Notes</t>
  </si>
  <si>
    <t xml:space="preserve">We used the energy demand annual growth rate to estimate this variable for </t>
  </si>
  <si>
    <t xml:space="preserve">LDVs, HDVs, rail, aircraft and ships. </t>
  </si>
  <si>
    <t xml:space="preserve">For motorcycles we used INEGI proyections for anual distance travelled. </t>
  </si>
  <si>
    <t>Notes</t>
  </si>
  <si>
    <t>This variable contains ratios of cargo distance transported in each year of the</t>
  </si>
  <si>
    <t>model run relative to the start year.  The start year is the year before the</t>
  </si>
  <si>
    <t>first simulated year.  So if the first year for which the model outputs data</t>
  </si>
  <si>
    <t>is 2020, the start year is 2019.  The start year column does not have to be</t>
  </si>
  <si>
    <t>included in the outputs but is retained here for visual clarity.</t>
  </si>
  <si>
    <t>We use AEO 2021 to calculate start year vehicles, as AEO 2021 does not include 2019 data.</t>
  </si>
  <si>
    <t>Km/mile</t>
  </si>
  <si>
    <t>L/Gallon</t>
  </si>
  <si>
    <t>Modelo Christopher</t>
  </si>
  <si>
    <t>2016 data</t>
  </si>
  <si>
    <t>Kilómetros recorridos (Flota total)</t>
  </si>
  <si>
    <t>CARGO-DISTANCE (Km)</t>
  </si>
  <si>
    <t>Gasoline</t>
  </si>
  <si>
    <t>Flota total por categoría</t>
  </si>
  <si>
    <t>litres</t>
  </si>
  <si>
    <t>Pax/Cargo</t>
  </si>
  <si>
    <t>Ligeros</t>
  </si>
  <si>
    <t>Compactos</t>
  </si>
  <si>
    <t>Sumcompactos</t>
  </si>
  <si>
    <t>Lujo y deportivos</t>
  </si>
  <si>
    <t>Camionetas</t>
  </si>
  <si>
    <t>Uso Múltiple</t>
  </si>
  <si>
    <t>C1</t>
  </si>
  <si>
    <t>C2</t>
  </si>
  <si>
    <t>C3</t>
  </si>
  <si>
    <t>Carga Ligeros</t>
  </si>
  <si>
    <t>C4</t>
  </si>
  <si>
    <t>C5</t>
  </si>
  <si>
    <t>C6</t>
  </si>
  <si>
    <t>Carga extrapesados</t>
  </si>
  <si>
    <t>C7</t>
  </si>
  <si>
    <t>Tractocamiones</t>
  </si>
  <si>
    <t>C8</t>
  </si>
  <si>
    <t>Motocicletas</t>
  </si>
  <si>
    <t>No privado</t>
  </si>
  <si>
    <t>Autobuses</t>
  </si>
  <si>
    <t>Urbano y Suburbano</t>
  </si>
  <si>
    <t>Taxis</t>
  </si>
  <si>
    <t>Importados</t>
  </si>
  <si>
    <t>Ligeros importados</t>
  </si>
  <si>
    <t>Camionetas importadas</t>
  </si>
  <si>
    <t>Pesados importados</t>
  </si>
  <si>
    <t>Nuevas tecnologías</t>
  </si>
  <si>
    <t>Híbridos</t>
  </si>
  <si>
    <t>Eléctricos</t>
  </si>
  <si>
    <t>Celdas Hidrógeno</t>
  </si>
  <si>
    <t>KILOMETROS RECORRIDOS (MILLONES)</t>
  </si>
  <si>
    <t>Km</t>
  </si>
  <si>
    <t>Cargo-Distance</t>
  </si>
  <si>
    <t>LDV</t>
  </si>
  <si>
    <t>Passengers</t>
  </si>
  <si>
    <t>HDV</t>
  </si>
  <si>
    <t>Motorcycle</t>
  </si>
  <si>
    <t>Freight</t>
  </si>
  <si>
    <t>BTU per Gallon Liquid Fuels</t>
  </si>
  <si>
    <t>x</t>
  </si>
  <si>
    <t>gasoline</t>
  </si>
  <si>
    <t>diesel</t>
  </si>
  <si>
    <t>PAX</t>
  </si>
  <si>
    <t>FREIGHT</t>
  </si>
  <si>
    <t>LDVs</t>
  </si>
  <si>
    <t>HDVs</t>
  </si>
  <si>
    <t>aircraft</t>
  </si>
  <si>
    <t>rail</t>
  </si>
  <si>
    <t>ships</t>
  </si>
  <si>
    <t>motorbikes</t>
  </si>
  <si>
    <t>Fuels demand - Oil industry prospective 2017-2031</t>
  </si>
  <si>
    <t>2017-2030</t>
  </si>
  <si>
    <t>2030-2050</t>
  </si>
  <si>
    <t>TMCA</t>
  </si>
  <si>
    <t>Air</t>
  </si>
  <si>
    <t>Aéreo</t>
  </si>
  <si>
    <t>Ferroviario</t>
  </si>
  <si>
    <t>Ship</t>
  </si>
  <si>
    <t>Marítimo</t>
  </si>
  <si>
    <t>Year</t>
  </si>
  <si>
    <t>Distance/motorbike/year</t>
  </si>
  <si>
    <t>Growth ratio</t>
  </si>
  <si>
    <t>Motorcycle growth</t>
  </si>
  <si>
    <t>Cargo Dist Transported Relative to Start Year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</si>
</sst>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##0.00_)"/>
    <numFmt numFmtId="166" formatCode="#,##0_)"/>
    <numFmt numFmtId="167" formatCode="_(* #,##0_);_(* \(#,##0\);_(* &quot;-&quot;??_);_(@_)"/>
    <numFmt numFmtId="168" formatCode="_(* #,##0.0_);_(* \(#,##0.0\);_(* &quot;-&quot;??_);_(@_)"/>
    <numFmt numFmtId="169" formatCode="_(* #,##0.0_);_(* \(#,##0.0\);_(* &quot;-&quot;?_);_(@_)"/>
    <numFmt numFmtId="170" formatCode="0.0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0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14" fillId="0" borderId="8" applyNumberFormat="0" applyFill="0">
      <alignment horizontal="right"/>
    </xf>
    <xf numFmtId="165" fontId="15" fillId="0" borderId="8" applyNumberFormat="0" applyFill="0">
      <alignment horizontal="right"/>
    </xf>
    <xf numFmtId="166" fontId="16" fillId="0" borderId="8">
      <alignment horizontal="right" vertical="center"/>
    </xf>
    <xf numFmtId="49" fontId="17" fillId="0" borderId="8">
      <alignment horizontal="left" vertical="center"/>
    </xf>
    <xf numFmtId="165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5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0" fillId="0" borderId="0" applyNumberFormat="0" applyFill="0" applyBorder="0" applyAlignment="0" applyProtection="0"/>
    <xf numFmtId="0" fontId="41" fillId="0" borderId="19" applyNumberFormat="0" applyFill="0" applyAlignment="0" applyProtection="0"/>
    <xf numFmtId="0" fontId="42" fillId="0" borderId="20" applyNumberFormat="0" applyFill="0" applyAlignment="0" applyProtection="0"/>
    <xf numFmtId="0" fontId="43" fillId="0" borderId="21" applyNumberFormat="0" applyFill="0" applyAlignment="0" applyProtection="0"/>
    <xf numFmtId="0" fontId="43" fillId="0" borderId="0" applyNumberFormat="0" applyFill="0" applyBorder="0" applyAlignment="0" applyProtection="0"/>
    <xf numFmtId="0" fontId="44" fillId="29" borderId="0" applyNumberFormat="0" applyBorder="0" applyAlignment="0" applyProtection="0"/>
    <xf numFmtId="0" fontId="45" fillId="30" borderId="0" applyNumberFormat="0" applyBorder="0" applyAlignment="0" applyProtection="0"/>
    <xf numFmtId="0" fontId="46" fillId="32" borderId="22" applyNumberFormat="0" applyAlignment="0" applyProtection="0"/>
    <xf numFmtId="0" fontId="47" fillId="33" borderId="23" applyNumberFormat="0" applyAlignment="0" applyProtection="0"/>
    <xf numFmtId="0" fontId="48" fillId="33" borderId="22" applyNumberFormat="0" applyAlignment="0" applyProtection="0"/>
    <xf numFmtId="0" fontId="49" fillId="0" borderId="24" applyNumberFormat="0" applyFill="0" applyAlignment="0" applyProtection="0"/>
    <xf numFmtId="0" fontId="50" fillId="34" borderId="25" applyNumberFormat="0" applyAlignment="0" applyProtection="0"/>
    <xf numFmtId="0" fontId="51" fillId="0" borderId="0" applyNumberFormat="0" applyFill="0" applyBorder="0" applyAlignment="0" applyProtection="0"/>
    <xf numFmtId="0" fontId="1" fillId="2" borderId="1" applyNumberFormat="0" applyFont="0" applyAlignment="0" applyProtection="0"/>
    <xf numFmtId="0" fontId="52" fillId="0" borderId="0" applyNumberFormat="0" applyFill="0" applyBorder="0" applyAlignment="0" applyProtection="0"/>
    <xf numFmtId="0" fontId="2" fillId="0" borderId="26" applyNumberFormat="0" applyFill="0" applyAlignment="0" applyProtection="0"/>
    <xf numFmtId="0" fontId="5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53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53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53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53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53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54" fillId="0" borderId="0" applyNumberFormat="0" applyFill="0" applyBorder="0" applyAlignment="0" applyProtection="0"/>
    <xf numFmtId="0" fontId="55" fillId="31" borderId="0" applyNumberFormat="0" applyBorder="0" applyAlignment="0" applyProtection="0"/>
    <xf numFmtId="0" fontId="53" fillId="38" borderId="0" applyNumberFormat="0" applyBorder="0" applyAlignment="0" applyProtection="0"/>
    <xf numFmtId="0" fontId="53" fillId="42" borderId="0" applyNumberFormat="0" applyBorder="0" applyAlignment="0" applyProtection="0"/>
    <xf numFmtId="0" fontId="53" fillId="46" borderId="0" applyNumberFormat="0" applyBorder="0" applyAlignment="0" applyProtection="0"/>
    <xf numFmtId="0" fontId="53" fillId="50" borderId="0" applyNumberFormat="0" applyBorder="0" applyAlignment="0" applyProtection="0"/>
    <xf numFmtId="0" fontId="53" fillId="54" borderId="0" applyNumberFormat="0" applyBorder="0" applyAlignment="0" applyProtection="0"/>
    <xf numFmtId="0" fontId="53" fillId="58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9" fontId="1" fillId="0" borderId="0" applyFont="0" applyFill="0" applyBorder="0" applyAlignment="0" applyProtection="0"/>
    <xf numFmtId="0" fontId="3" fillId="0" borderId="4">
      <alignment wrapText="1"/>
    </xf>
    <xf numFmtId="0" fontId="3" fillId="0" borderId="0"/>
    <xf numFmtId="0" fontId="3" fillId="0" borderId="2">
      <alignment wrapText="1"/>
    </xf>
    <xf numFmtId="0" fontId="4" fillId="0" borderId="5">
      <alignment wrapText="1"/>
    </xf>
    <xf numFmtId="0" fontId="4" fillId="0" borderId="3">
      <alignment wrapText="1"/>
    </xf>
    <xf numFmtId="0" fontId="5" fillId="0" borderId="0">
      <alignment horizontal="left"/>
    </xf>
    <xf numFmtId="0" fontId="3" fillId="0" borderId="0"/>
    <xf numFmtId="0" fontId="3" fillId="0" borderId="4">
      <alignment wrapText="1"/>
    </xf>
    <xf numFmtId="0" fontId="3" fillId="0" borderId="0"/>
    <xf numFmtId="0" fontId="3" fillId="0" borderId="2">
      <alignment wrapText="1"/>
    </xf>
    <xf numFmtId="0" fontId="4" fillId="0" borderId="5">
      <alignment wrapText="1"/>
    </xf>
    <xf numFmtId="0" fontId="4" fillId="0" borderId="3">
      <alignment wrapText="1"/>
    </xf>
    <xf numFmtId="0" fontId="5" fillId="0" borderId="0">
      <alignment horizontal="left"/>
    </xf>
    <xf numFmtId="0" fontId="3" fillId="0" borderId="4">
      <alignment wrapText="1"/>
    </xf>
    <xf numFmtId="0" fontId="3" fillId="0" borderId="0"/>
    <xf numFmtId="0" fontId="3" fillId="0" borderId="2">
      <alignment wrapText="1"/>
    </xf>
    <xf numFmtId="0" fontId="4" fillId="0" borderId="5">
      <alignment wrapText="1"/>
    </xf>
    <xf numFmtId="0" fontId="4" fillId="0" borderId="3">
      <alignment wrapText="1"/>
    </xf>
    <xf numFmtId="0" fontId="5" fillId="0" borderId="0">
      <alignment horizontal="left"/>
    </xf>
    <xf numFmtId="43" fontId="1" fillId="0" borderId="0" applyFont="0" applyFill="0" applyBorder="0" applyAlignment="0" applyProtection="0"/>
    <xf numFmtId="0" fontId="57" fillId="31" borderId="0" applyNumberFormat="0" applyBorder="0" applyAlignment="0" applyProtection="0"/>
    <xf numFmtId="0" fontId="61" fillId="32" borderId="22" applyNumberFormat="0" applyAlignment="0" applyProtection="0"/>
  </cellStyleXfs>
  <cellXfs count="52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28" borderId="0" xfId="0" applyFill="1"/>
    <xf numFmtId="0" fontId="0" fillId="0" borderId="0" xfId="0" applyAlignment="1">
      <alignment horizontal="right"/>
    </xf>
    <xf numFmtId="11" fontId="0" fillId="0" borderId="0" xfId="0" applyNumberFormat="1"/>
    <xf numFmtId="164" fontId="0" fillId="0" borderId="0" xfId="207" applyNumberFormat="1" applyFont="1"/>
    <xf numFmtId="3" fontId="0" fillId="0" borderId="0" xfId="0" applyNumberFormat="1"/>
    <xf numFmtId="0" fontId="54" fillId="0" borderId="0" xfId="187" applyFill="1"/>
    <xf numFmtId="0" fontId="58" fillId="59" borderId="27" xfId="0" applyFont="1" applyFill="1" applyBorder="1" applyAlignment="1">
      <alignment horizontal="left" vertical="top"/>
    </xf>
    <xf numFmtId="0" fontId="58" fillId="59" borderId="28" xfId="0" applyFont="1" applyFill="1" applyBorder="1" applyAlignment="1">
      <alignment horizontal="left" vertical="top" wrapText="1"/>
    </xf>
    <xf numFmtId="0" fontId="58" fillId="59" borderId="29" xfId="0" applyFont="1" applyFill="1" applyBorder="1" applyAlignment="1">
      <alignment horizontal="left" vertical="top" wrapText="1"/>
    </xf>
    <xf numFmtId="0" fontId="59" fillId="0" borderId="0" xfId="0" applyFont="1"/>
    <xf numFmtId="0" fontId="60" fillId="31" borderId="0" xfId="228" applyFont="1" applyAlignment="1">
      <alignment horizontal="center" vertical="center" wrapText="1"/>
    </xf>
    <xf numFmtId="0" fontId="58" fillId="59" borderId="28" xfId="0" applyFont="1" applyFill="1" applyBorder="1" applyAlignment="1">
      <alignment horizontal="center" vertical="top" textRotation="90" wrapText="1"/>
    </xf>
    <xf numFmtId="0" fontId="61" fillId="32" borderId="22" xfId="229" applyAlignment="1">
      <alignment wrapText="1"/>
    </xf>
    <xf numFmtId="0" fontId="60" fillId="31" borderId="0" xfId="228" applyFont="1" applyAlignment="1">
      <alignment horizontal="left" vertical="center"/>
    </xf>
    <xf numFmtId="167" fontId="0" fillId="0" borderId="0" xfId="227" applyNumberFormat="1" applyFont="1"/>
    <xf numFmtId="168" fontId="0" fillId="0" borderId="0" xfId="227" applyNumberFormat="1" applyFont="1"/>
    <xf numFmtId="0" fontId="58" fillId="59" borderId="0" xfId="0" applyFont="1" applyFill="1" applyAlignment="1">
      <alignment horizontal="center" vertical="top" textRotation="90" wrapText="1"/>
    </xf>
    <xf numFmtId="3" fontId="62" fillId="60" borderId="0" xfId="0" applyNumberFormat="1" applyFont="1" applyFill="1"/>
    <xf numFmtId="3" fontId="62" fillId="61" borderId="0" xfId="0" applyNumberFormat="1" applyFont="1" applyFill="1"/>
    <xf numFmtId="43" fontId="62" fillId="61" borderId="0" xfId="0" applyNumberFormat="1" applyFont="1" applyFill="1"/>
    <xf numFmtId="0" fontId="63" fillId="31" borderId="0" xfId="228" applyFont="1" applyAlignment="1">
      <alignment horizontal="left" vertical="center"/>
    </xf>
    <xf numFmtId="0" fontId="56" fillId="31" borderId="0" xfId="228" applyFont="1" applyAlignment="1">
      <alignment horizontal="left" vertical="center"/>
    </xf>
    <xf numFmtId="3" fontId="64" fillId="60" borderId="0" xfId="0" applyNumberFormat="1" applyFont="1" applyFill="1"/>
    <xf numFmtId="3" fontId="64" fillId="61" borderId="0" xfId="0" applyNumberFormat="1" applyFont="1" applyFill="1"/>
    <xf numFmtId="43" fontId="64" fillId="61" borderId="0" xfId="0" applyNumberFormat="1" applyFont="1" applyFill="1"/>
    <xf numFmtId="0" fontId="63" fillId="31" borderId="0" xfId="228" applyFont="1" applyAlignment="1">
      <alignment horizontal="left"/>
    </xf>
    <xf numFmtId="0" fontId="56" fillId="31" borderId="0" xfId="228" applyFont="1" applyAlignment="1">
      <alignment horizontal="left"/>
    </xf>
    <xf numFmtId="0" fontId="60" fillId="31" borderId="0" xfId="228" applyFont="1" applyAlignment="1">
      <alignment horizontal="left"/>
    </xf>
    <xf numFmtId="0" fontId="56" fillId="28" borderId="0" xfId="228" applyFont="1" applyFill="1" applyAlignment="1">
      <alignment horizontal="left"/>
    </xf>
    <xf numFmtId="168" fontId="0" fillId="28" borderId="0" xfId="227" applyNumberFormat="1" applyFont="1" applyFill="1"/>
    <xf numFmtId="169" fontId="64" fillId="61" borderId="0" xfId="0" applyNumberFormat="1" applyFont="1" applyFill="1"/>
    <xf numFmtId="0" fontId="65" fillId="0" borderId="0" xfId="0" applyFont="1" applyAlignment="1">
      <alignment horizontal="left"/>
    </xf>
    <xf numFmtId="167" fontId="0" fillId="0" borderId="0" xfId="0" applyNumberFormat="1"/>
    <xf numFmtId="0" fontId="0" fillId="3" borderId="0" xfId="0" applyFill="1"/>
    <xf numFmtId="0" fontId="2" fillId="0" borderId="0" xfId="0" applyFont="1" applyAlignment="1">
      <alignment horizontal="right"/>
    </xf>
    <xf numFmtId="2" fontId="0" fillId="0" borderId="0" xfId="0" applyNumberFormat="1"/>
    <xf numFmtId="170" fontId="0" fillId="0" borderId="0" xfId="0" applyNumberFormat="1"/>
    <xf numFmtId="1" fontId="0" fillId="0" borderId="0" xfId="0" applyNumberFormat="1"/>
    <xf numFmtId="10" fontId="0" fillId="0" borderId="0" xfId="207" applyNumberFormat="1" applyFont="1"/>
    <xf numFmtId="0" fontId="0" fillId="62" borderId="30" xfId="0" applyFill="1" applyBorder="1"/>
    <xf numFmtId="0" fontId="0" fillId="62" borderId="30" xfId="0" applyFill="1" applyBorder="1" applyAlignment="1">
      <alignment wrapText="1"/>
    </xf>
    <xf numFmtId="0" fontId="0" fillId="62" borderId="31" xfId="0" applyFill="1" applyBorder="1"/>
    <xf numFmtId="0" fontId="0" fillId="62" borderId="32" xfId="0" applyFill="1" applyBorder="1"/>
    <xf numFmtId="0" fontId="0" fillId="62" borderId="33" xfId="0" applyFill="1" applyBorder="1"/>
    <xf numFmtId="0" fontId="0" fillId="0" borderId="30" xfId="0" applyBorder="1"/>
    <xf numFmtId="0" fontId="0" fillId="28" borderId="30" xfId="0" applyFill="1" applyBorder="1"/>
    <xf numFmtId="0" fontId="0" fillId="63" borderId="0" xfId="0" applyFill="1"/>
  </cellXfs>
  <cellStyles count="230">
    <cellStyle name="20% - Accent1" xfId="170" builtinId="30" customBuiltin="1"/>
    <cellStyle name="20% - Accent1 2" xfId="8" xr:uid="{00000000-0005-0000-0000-000001000000}"/>
    <cellStyle name="20% - Accent1 2 2" xfId="195" xr:uid="{00000000-0005-0000-0000-000002000000}"/>
    <cellStyle name="20% - Accent2" xfId="173" builtinId="34" customBuiltin="1"/>
    <cellStyle name="20% - Accent2 2" xfId="9" xr:uid="{00000000-0005-0000-0000-000004000000}"/>
    <cellStyle name="20% - Accent2 2 2" xfId="197" xr:uid="{00000000-0005-0000-0000-000005000000}"/>
    <cellStyle name="20% - Accent3" xfId="176" builtinId="38" customBuiltin="1"/>
    <cellStyle name="20% - Accent3 2" xfId="10" xr:uid="{00000000-0005-0000-0000-000007000000}"/>
    <cellStyle name="20% - Accent3 2 2" xfId="199" xr:uid="{00000000-0005-0000-0000-000008000000}"/>
    <cellStyle name="20% - Accent4" xfId="179" builtinId="42" customBuiltin="1"/>
    <cellStyle name="20% - Accent4 2" xfId="11" xr:uid="{00000000-0005-0000-0000-00000A000000}"/>
    <cellStyle name="20% - Accent4 2 2" xfId="201" xr:uid="{00000000-0005-0000-0000-00000B000000}"/>
    <cellStyle name="20% - Accent5" xfId="182" builtinId="46" customBuiltin="1"/>
    <cellStyle name="20% - Accent5 2" xfId="12" xr:uid="{00000000-0005-0000-0000-00000D000000}"/>
    <cellStyle name="20% - Accent5 2 2" xfId="203" xr:uid="{00000000-0005-0000-0000-00000E000000}"/>
    <cellStyle name="20% - Accent6" xfId="185" builtinId="50" customBuiltin="1"/>
    <cellStyle name="20% - Accent6 2" xfId="13" xr:uid="{00000000-0005-0000-0000-000010000000}"/>
    <cellStyle name="20% - Accent6 2 2" xfId="205" xr:uid="{00000000-0005-0000-0000-000011000000}"/>
    <cellStyle name="40% - Accent1" xfId="171" builtinId="31" customBuiltin="1"/>
    <cellStyle name="40% - Accent1 2" xfId="14" xr:uid="{00000000-0005-0000-0000-000013000000}"/>
    <cellStyle name="40% - Accent1 2 2" xfId="196" xr:uid="{00000000-0005-0000-0000-000014000000}"/>
    <cellStyle name="40% - Accent2" xfId="174" builtinId="35" customBuiltin="1"/>
    <cellStyle name="40% - Accent2 2" xfId="15" xr:uid="{00000000-0005-0000-0000-000016000000}"/>
    <cellStyle name="40% - Accent2 2 2" xfId="198" xr:uid="{00000000-0005-0000-0000-000017000000}"/>
    <cellStyle name="40% - Accent3" xfId="177" builtinId="39" customBuiltin="1"/>
    <cellStyle name="40% - Accent3 2" xfId="16" xr:uid="{00000000-0005-0000-0000-000019000000}"/>
    <cellStyle name="40% - Accent3 2 2" xfId="200" xr:uid="{00000000-0005-0000-0000-00001A000000}"/>
    <cellStyle name="40% - Accent4" xfId="180" builtinId="43" customBuiltin="1"/>
    <cellStyle name="40% - Accent4 2" xfId="17" xr:uid="{00000000-0005-0000-0000-00001C000000}"/>
    <cellStyle name="40% - Accent4 2 2" xfId="202" xr:uid="{00000000-0005-0000-0000-00001D000000}"/>
    <cellStyle name="40% - Accent5" xfId="183" builtinId="47" customBuiltin="1"/>
    <cellStyle name="40% - Accent5 2" xfId="18" xr:uid="{00000000-0005-0000-0000-00001F000000}"/>
    <cellStyle name="40% - Accent5 2 2" xfId="204" xr:uid="{00000000-0005-0000-0000-000020000000}"/>
    <cellStyle name="40% - Accent6" xfId="186" builtinId="51" customBuiltin="1"/>
    <cellStyle name="40% - Accent6 2" xfId="19" xr:uid="{00000000-0005-0000-0000-000022000000}"/>
    <cellStyle name="40% - Accent6 2 2" xfId="206" xr:uid="{00000000-0005-0000-0000-000023000000}"/>
    <cellStyle name="60% - Accent1 2" xfId="20" xr:uid="{00000000-0005-0000-0000-000024000000}"/>
    <cellStyle name="60% - Accent1 3" xfId="189" xr:uid="{00000000-0005-0000-0000-000025000000}"/>
    <cellStyle name="60% - Accent2 2" xfId="21" xr:uid="{00000000-0005-0000-0000-000026000000}"/>
    <cellStyle name="60% - Accent2 3" xfId="190" xr:uid="{00000000-0005-0000-0000-000027000000}"/>
    <cellStyle name="60% - Accent3 2" xfId="22" xr:uid="{00000000-0005-0000-0000-000028000000}"/>
    <cellStyle name="60% - Accent3 3" xfId="191" xr:uid="{00000000-0005-0000-0000-000029000000}"/>
    <cellStyle name="60% - Accent4 2" xfId="23" xr:uid="{00000000-0005-0000-0000-00002A000000}"/>
    <cellStyle name="60% - Accent4 3" xfId="192" xr:uid="{00000000-0005-0000-0000-00002B000000}"/>
    <cellStyle name="60% - Accent5 2" xfId="24" xr:uid="{00000000-0005-0000-0000-00002C000000}"/>
    <cellStyle name="60% - Accent5 3" xfId="193" xr:uid="{00000000-0005-0000-0000-00002D000000}"/>
    <cellStyle name="60% - Accent6 2" xfId="25" xr:uid="{00000000-0005-0000-0000-00002E000000}"/>
    <cellStyle name="60% - Accent6 3" xfId="194" xr:uid="{00000000-0005-0000-0000-00002F000000}"/>
    <cellStyle name="Accent1" xfId="169" builtinId="29" customBuiltin="1"/>
    <cellStyle name="Accent1 2" xfId="26" xr:uid="{00000000-0005-0000-0000-000031000000}"/>
    <cellStyle name="Accent2" xfId="172" builtinId="33" customBuiltin="1"/>
    <cellStyle name="Accent2 2" xfId="27" xr:uid="{00000000-0005-0000-0000-000033000000}"/>
    <cellStyle name="Accent3" xfId="175" builtinId="37" customBuiltin="1"/>
    <cellStyle name="Accent3 2" xfId="28" xr:uid="{00000000-0005-0000-0000-000035000000}"/>
    <cellStyle name="Accent4" xfId="178" builtinId="41" customBuiltin="1"/>
    <cellStyle name="Accent4 2" xfId="29" xr:uid="{00000000-0005-0000-0000-000037000000}"/>
    <cellStyle name="Accent5" xfId="181" builtinId="45" customBuiltin="1"/>
    <cellStyle name="Accent5 2" xfId="30" xr:uid="{00000000-0005-0000-0000-000039000000}"/>
    <cellStyle name="Accent6" xfId="184" builtinId="49" customBuiltin="1"/>
    <cellStyle name="Accent6 2" xfId="31" xr:uid="{00000000-0005-0000-0000-00003B000000}"/>
    <cellStyle name="Bad" xfId="159" builtinId="27" customBuiltin="1"/>
    <cellStyle name="Bad 2" xfId="32" xr:uid="{00000000-0005-0000-0000-00003D000000}"/>
    <cellStyle name="Body: normal cell" xfId="4" xr:uid="{00000000-0005-0000-0000-00003E000000}"/>
    <cellStyle name="Body: normal cell 2" xfId="33" xr:uid="{00000000-0005-0000-0000-00003F000000}"/>
    <cellStyle name="Body: normal cell 2 2" xfId="221" xr:uid="{9F1189E0-253F-4740-8EF7-1E1F7170DDF5}"/>
    <cellStyle name="Body: normal cell 3" xfId="215" xr:uid="{06F9487A-E3B1-4401-B33F-A1D59968A6A2}"/>
    <cellStyle name="Body: normal cell 4" xfId="208" xr:uid="{C6305E00-CA4D-49E4-A695-2171446F05F2}"/>
    <cellStyle name="Calculation" xfId="162" builtinId="22" customBuiltin="1"/>
    <cellStyle name="Calculation 2" xfId="34" xr:uid="{00000000-0005-0000-0000-000041000000}"/>
    <cellStyle name="Check Cell" xfId="164" builtinId="23" customBuiltin="1"/>
    <cellStyle name="Check Cell 2" xfId="35" xr:uid="{00000000-0005-0000-0000-000043000000}"/>
    <cellStyle name="Column heading" xfId="36" xr:uid="{00000000-0005-0000-0000-000044000000}"/>
    <cellStyle name="Comma" xfId="227" builtinId="3"/>
    <cellStyle name="Comma 2" xfId="37" xr:uid="{00000000-0005-0000-0000-000045000000}"/>
    <cellStyle name="Comma 2 2" xfId="38" xr:uid="{00000000-0005-0000-0000-000046000000}"/>
    <cellStyle name="Comma 3" xfId="39" xr:uid="{00000000-0005-0000-0000-000047000000}"/>
    <cellStyle name="Comma 4" xfId="40" xr:uid="{00000000-0005-0000-0000-000048000000}"/>
    <cellStyle name="Comma 5" xfId="41" xr:uid="{00000000-0005-0000-0000-000049000000}"/>
    <cellStyle name="Comma 6" xfId="42" xr:uid="{00000000-0005-0000-0000-00004A000000}"/>
    <cellStyle name="Comma 7" xfId="43" xr:uid="{00000000-0005-0000-0000-00004B000000}"/>
    <cellStyle name="Comma 8" xfId="44" xr:uid="{00000000-0005-0000-0000-00004C000000}"/>
    <cellStyle name="Corner heading" xfId="45" xr:uid="{00000000-0005-0000-0000-00004D000000}"/>
    <cellStyle name="Currency 2" xfId="46" xr:uid="{00000000-0005-0000-0000-00004E000000}"/>
    <cellStyle name="Currency 3" xfId="47" xr:uid="{00000000-0005-0000-0000-00004F000000}"/>
    <cellStyle name="Currency 3 2" xfId="48" xr:uid="{00000000-0005-0000-0000-000050000000}"/>
    <cellStyle name="Data" xfId="49" xr:uid="{00000000-0005-0000-0000-000051000000}"/>
    <cellStyle name="Data 2" xfId="50" xr:uid="{00000000-0005-0000-0000-000052000000}"/>
    <cellStyle name="Data no deci" xfId="51" xr:uid="{00000000-0005-0000-0000-000053000000}"/>
    <cellStyle name="Data Superscript" xfId="52" xr:uid="{00000000-0005-0000-0000-000054000000}"/>
    <cellStyle name="Data_1-1A-Regular" xfId="53" xr:uid="{00000000-0005-0000-0000-000055000000}"/>
    <cellStyle name="Explanatory Text" xfId="167" builtinId="53" customBuiltin="1"/>
    <cellStyle name="Explanatory Text 2" xfId="54" xr:uid="{00000000-0005-0000-0000-000057000000}"/>
    <cellStyle name="Font: Calibri, 9pt regular" xfId="6" xr:uid="{00000000-0005-0000-0000-000058000000}"/>
    <cellStyle name="Font: Calibri, 9pt regular 2" xfId="55" xr:uid="{00000000-0005-0000-0000-000059000000}"/>
    <cellStyle name="Font: Calibri, 9pt regular 2 2" xfId="222" xr:uid="{BCD055C3-1FEB-498B-B408-784A080E8E38}"/>
    <cellStyle name="Font: Calibri, 9pt regular 3" xfId="216" xr:uid="{0BD7D402-278F-4782-A177-BADCF3B581A9}"/>
    <cellStyle name="Font: Calibri, 9pt regular 4" xfId="209" xr:uid="{519CF548-359B-4491-8B1A-D50E86113721}"/>
    <cellStyle name="Footnotes: top row" xfId="2" xr:uid="{00000000-0005-0000-0000-00005A000000}"/>
    <cellStyle name="Footnotes: top row 2" xfId="56" xr:uid="{00000000-0005-0000-0000-00005B000000}"/>
    <cellStyle name="Footnotes: top row 2 2" xfId="223" xr:uid="{5F106645-4A5E-425C-8474-CF6B55DAA707}"/>
    <cellStyle name="Footnotes: top row 3" xfId="217" xr:uid="{A936FBD4-269B-416E-A371-0F26F5E8842C}"/>
    <cellStyle name="Footnotes: top row 4" xfId="210" xr:uid="{98969F2B-9162-4D43-8D7B-4878AB5C436D}"/>
    <cellStyle name="Good" xfId="158" builtinId="26" customBuiltin="1"/>
    <cellStyle name="Good 2" xfId="57" xr:uid="{00000000-0005-0000-0000-00005D000000}"/>
    <cellStyle name="Header: bottom row" xfId="5" xr:uid="{00000000-0005-0000-0000-00005E000000}"/>
    <cellStyle name="Header: bottom row 2" xfId="58" xr:uid="{00000000-0005-0000-0000-00005F000000}"/>
    <cellStyle name="Header: bottom row 2 2" xfId="224" xr:uid="{49771800-68B2-41F3-9DA5-445EB1C6759C}"/>
    <cellStyle name="Header: bottom row 3" xfId="218" xr:uid="{8290FB4E-9BD8-484A-AF49-F7A30BEF32E5}"/>
    <cellStyle name="Header: bottom row 4" xfId="211" xr:uid="{639BC003-3855-42E3-85DF-BA800ECAF917}"/>
    <cellStyle name="Heading 1" xfId="154" builtinId="16" customBuiltin="1"/>
    <cellStyle name="Heading 1 2" xfId="59" xr:uid="{00000000-0005-0000-0000-000061000000}"/>
    <cellStyle name="Heading 2" xfId="155" builtinId="17" customBuiltin="1"/>
    <cellStyle name="Heading 2 2" xfId="60" xr:uid="{00000000-0005-0000-0000-000063000000}"/>
    <cellStyle name="Heading 3" xfId="156" builtinId="18" customBuiltin="1"/>
    <cellStyle name="Heading 3 2" xfId="61" xr:uid="{00000000-0005-0000-0000-000065000000}"/>
    <cellStyle name="Heading 4" xfId="157" builtinId="19" customBuiltin="1"/>
    <cellStyle name="Heading 4 2" xfId="62" xr:uid="{00000000-0005-0000-0000-000067000000}"/>
    <cellStyle name="Hed Side" xfId="63" xr:uid="{00000000-0005-0000-0000-000068000000}"/>
    <cellStyle name="Hed Side 2" xfId="64" xr:uid="{00000000-0005-0000-0000-000069000000}"/>
    <cellStyle name="Hed Side bold" xfId="65" xr:uid="{00000000-0005-0000-0000-00006A000000}"/>
    <cellStyle name="Hed Side Indent" xfId="66" xr:uid="{00000000-0005-0000-0000-00006B000000}"/>
    <cellStyle name="Hed Side Regular" xfId="67" xr:uid="{00000000-0005-0000-0000-00006C000000}"/>
    <cellStyle name="Hed Side_1-1A-Regular" xfId="68" xr:uid="{00000000-0005-0000-0000-00006D000000}"/>
    <cellStyle name="Hed Top" xfId="69" xr:uid="{00000000-0005-0000-0000-00006E000000}"/>
    <cellStyle name="Hed Top - SECTION" xfId="70" xr:uid="{00000000-0005-0000-0000-00006F000000}"/>
    <cellStyle name="Hed Top_3-new4" xfId="71" xr:uid="{00000000-0005-0000-0000-000070000000}"/>
    <cellStyle name="Hyperlink" xfId="187" builtinId="8"/>
    <cellStyle name="Hyperlink 2" xfId="72" xr:uid="{00000000-0005-0000-0000-000072000000}"/>
    <cellStyle name="Input" xfId="160" builtinId="20" customBuiltin="1"/>
    <cellStyle name="Input 2" xfId="73" xr:uid="{00000000-0005-0000-0000-000074000000}"/>
    <cellStyle name="Input 3" xfId="229" xr:uid="{12EE064D-C087-9141-A0F0-EFEE1D7FE48D}"/>
    <cellStyle name="Linked Cell" xfId="163" builtinId="24" customBuiltin="1"/>
    <cellStyle name="Linked Cell 2" xfId="74" xr:uid="{00000000-0005-0000-0000-000076000000}"/>
    <cellStyle name="Neutral" xfId="228" builtinId="28"/>
    <cellStyle name="Neutral 2" xfId="75" xr:uid="{00000000-0005-0000-0000-000077000000}"/>
    <cellStyle name="Neutral 3" xfId="188" xr:uid="{00000000-0005-0000-0000-000078000000}"/>
    <cellStyle name="Normal" xfId="0" builtinId="0"/>
    <cellStyle name="Normal 10" xfId="76" xr:uid="{00000000-0005-0000-0000-00007A000000}"/>
    <cellStyle name="Normal 11" xfId="77" xr:uid="{00000000-0005-0000-0000-00007B000000}"/>
    <cellStyle name="Normal 2" xfId="1" xr:uid="{00000000-0005-0000-0000-00007C000000}"/>
    <cellStyle name="Normal 2 2" xfId="78" xr:uid="{00000000-0005-0000-0000-00007D000000}"/>
    <cellStyle name="Normal 2 3" xfId="79" xr:uid="{00000000-0005-0000-0000-00007E000000}"/>
    <cellStyle name="Normal 3" xfId="80" xr:uid="{00000000-0005-0000-0000-00007F000000}"/>
    <cellStyle name="Normal 3 2" xfId="81" xr:uid="{00000000-0005-0000-0000-000080000000}"/>
    <cellStyle name="Normal 3 2 2" xfId="82" xr:uid="{00000000-0005-0000-0000-000081000000}"/>
    <cellStyle name="Normal 3 2 2 2" xfId="83" xr:uid="{00000000-0005-0000-0000-000082000000}"/>
    <cellStyle name="Normal 3 2 3" xfId="84" xr:uid="{00000000-0005-0000-0000-000083000000}"/>
    <cellStyle name="Normal 3 3" xfId="85" xr:uid="{00000000-0005-0000-0000-000084000000}"/>
    <cellStyle name="Normal 3 3 2" xfId="86" xr:uid="{00000000-0005-0000-0000-000085000000}"/>
    <cellStyle name="Normal 3 3 2 2" xfId="87" xr:uid="{00000000-0005-0000-0000-000086000000}"/>
    <cellStyle name="Normal 3 3 3" xfId="88" xr:uid="{00000000-0005-0000-0000-000087000000}"/>
    <cellStyle name="Normal 3 4" xfId="89" xr:uid="{00000000-0005-0000-0000-000088000000}"/>
    <cellStyle name="Normal 3 4 2" xfId="90" xr:uid="{00000000-0005-0000-0000-000089000000}"/>
    <cellStyle name="Normal 3 5" xfId="91" xr:uid="{00000000-0005-0000-0000-00008A000000}"/>
    <cellStyle name="Normal 3 6" xfId="92" xr:uid="{00000000-0005-0000-0000-00008B000000}"/>
    <cellStyle name="Normal 3 7" xfId="93" xr:uid="{00000000-0005-0000-0000-00008C000000}"/>
    <cellStyle name="Normal 4" xfId="94" xr:uid="{00000000-0005-0000-0000-00008D000000}"/>
    <cellStyle name="Normal 4 2" xfId="95" xr:uid="{00000000-0005-0000-0000-00008E000000}"/>
    <cellStyle name="Normal 4 2 2" xfId="96" xr:uid="{00000000-0005-0000-0000-00008F000000}"/>
    <cellStyle name="Normal 4 2 2 2" xfId="97" xr:uid="{00000000-0005-0000-0000-000090000000}"/>
    <cellStyle name="Normal 4 2 3" xfId="98" xr:uid="{00000000-0005-0000-0000-000091000000}"/>
    <cellStyle name="Normal 4 3" xfId="99" xr:uid="{00000000-0005-0000-0000-000092000000}"/>
    <cellStyle name="Normal 4 3 2" xfId="100" xr:uid="{00000000-0005-0000-0000-000093000000}"/>
    <cellStyle name="Normal 4 3 2 2" xfId="101" xr:uid="{00000000-0005-0000-0000-000094000000}"/>
    <cellStyle name="Normal 4 3 3" xfId="102" xr:uid="{00000000-0005-0000-0000-000095000000}"/>
    <cellStyle name="Normal 4 4" xfId="103" xr:uid="{00000000-0005-0000-0000-000096000000}"/>
    <cellStyle name="Normal 4 4 2" xfId="104" xr:uid="{00000000-0005-0000-0000-000097000000}"/>
    <cellStyle name="Normal 4 5" xfId="105" xr:uid="{00000000-0005-0000-0000-000098000000}"/>
    <cellStyle name="Normal 4 6" xfId="106" xr:uid="{00000000-0005-0000-0000-000099000000}"/>
    <cellStyle name="Normal 4 7" xfId="107" xr:uid="{00000000-0005-0000-0000-00009A000000}"/>
    <cellStyle name="Normal 4 8" xfId="214" xr:uid="{C66652ED-7207-4F72-99D7-B2F497538203}"/>
    <cellStyle name="Normal 5" xfId="108" xr:uid="{00000000-0005-0000-0000-00009B000000}"/>
    <cellStyle name="Normal 5 2" xfId="109" xr:uid="{00000000-0005-0000-0000-00009C000000}"/>
    <cellStyle name="Normal 5 3" xfId="110" xr:uid="{00000000-0005-0000-0000-00009D000000}"/>
    <cellStyle name="Normal 6" xfId="111" xr:uid="{00000000-0005-0000-0000-00009E000000}"/>
    <cellStyle name="Normal 6 2" xfId="112" xr:uid="{00000000-0005-0000-0000-00009F000000}"/>
    <cellStyle name="Normal 7" xfId="113" xr:uid="{00000000-0005-0000-0000-0000A0000000}"/>
    <cellStyle name="Normal 7 2" xfId="114" xr:uid="{00000000-0005-0000-0000-0000A1000000}"/>
    <cellStyle name="Normal 8" xfId="115" xr:uid="{00000000-0005-0000-0000-0000A2000000}"/>
    <cellStyle name="Normal 9" xfId="116" xr:uid="{00000000-0005-0000-0000-0000A3000000}"/>
    <cellStyle name="Note" xfId="166" builtinId="10" customBuiltin="1"/>
    <cellStyle name="Note 2" xfId="117" xr:uid="{00000000-0005-0000-0000-0000A5000000}"/>
    <cellStyle name="Note 2 2" xfId="118" xr:uid="{00000000-0005-0000-0000-0000A6000000}"/>
    <cellStyle name="Output" xfId="161" builtinId="21" customBuiltin="1"/>
    <cellStyle name="Output 2" xfId="119" xr:uid="{00000000-0005-0000-0000-0000A8000000}"/>
    <cellStyle name="Parent row" xfId="3" xr:uid="{00000000-0005-0000-0000-0000A9000000}"/>
    <cellStyle name="Parent row 2" xfId="120" xr:uid="{00000000-0005-0000-0000-0000AA000000}"/>
    <cellStyle name="Parent row 2 2" xfId="225" xr:uid="{A0EC3B3E-2FBE-4405-959C-3851598653E8}"/>
    <cellStyle name="Parent row 3" xfId="219" xr:uid="{83B1DB15-6E9E-42D2-A177-5895380696A6}"/>
    <cellStyle name="Parent row 4" xfId="212" xr:uid="{5BAF48A9-F5B6-4F20-803F-2C380CAC8CDA}"/>
    <cellStyle name="Percent" xfId="207" builtinId="5"/>
    <cellStyle name="Percent 2" xfId="121" xr:uid="{00000000-0005-0000-0000-0000AB000000}"/>
    <cellStyle name="Percent 2 2" xfId="122" xr:uid="{00000000-0005-0000-0000-0000AC000000}"/>
    <cellStyle name="Percent 3" xfId="123" xr:uid="{00000000-0005-0000-0000-0000AD000000}"/>
    <cellStyle name="Percent 3 2" xfId="124" xr:uid="{00000000-0005-0000-0000-0000AE000000}"/>
    <cellStyle name="Percent 4" xfId="125" xr:uid="{00000000-0005-0000-0000-0000AF000000}"/>
    <cellStyle name="Reference" xfId="126" xr:uid="{00000000-0005-0000-0000-0000B0000000}"/>
    <cellStyle name="Row heading" xfId="127" xr:uid="{00000000-0005-0000-0000-0000B1000000}"/>
    <cellStyle name="Source Hed" xfId="128" xr:uid="{00000000-0005-0000-0000-0000B2000000}"/>
    <cellStyle name="Source Letter" xfId="129" xr:uid="{00000000-0005-0000-0000-0000B3000000}"/>
    <cellStyle name="Source Superscript" xfId="130" xr:uid="{00000000-0005-0000-0000-0000B4000000}"/>
    <cellStyle name="Source Superscript 2" xfId="131" xr:uid="{00000000-0005-0000-0000-0000B5000000}"/>
    <cellStyle name="Source Text" xfId="132" xr:uid="{00000000-0005-0000-0000-0000B6000000}"/>
    <cellStyle name="Source Text 2" xfId="133" xr:uid="{00000000-0005-0000-0000-0000B7000000}"/>
    <cellStyle name="State" xfId="134" xr:uid="{00000000-0005-0000-0000-0000B8000000}"/>
    <cellStyle name="Superscript" xfId="135" xr:uid="{00000000-0005-0000-0000-0000B9000000}"/>
    <cellStyle name="Table Data" xfId="136" xr:uid="{00000000-0005-0000-0000-0000BA000000}"/>
    <cellStyle name="Table Head Top" xfId="137" xr:uid="{00000000-0005-0000-0000-0000BB000000}"/>
    <cellStyle name="Table Hed Side" xfId="138" xr:uid="{00000000-0005-0000-0000-0000BC000000}"/>
    <cellStyle name="Table title" xfId="7" xr:uid="{00000000-0005-0000-0000-0000BD000000}"/>
    <cellStyle name="Table title 2" xfId="139" xr:uid="{00000000-0005-0000-0000-0000BE000000}"/>
    <cellStyle name="Table title 2 2" xfId="226" xr:uid="{B364316B-0C80-45CD-8E7F-7AE953291CD4}"/>
    <cellStyle name="Table title 3" xfId="220" xr:uid="{A5BAA771-02BA-462F-80B2-1D60A4CCF809}"/>
    <cellStyle name="Table title 4" xfId="213" xr:uid="{9EE90202-27A6-4017-A4B6-C2010A196C0E}"/>
    <cellStyle name="Title" xfId="153" builtinId="15" customBuiltin="1"/>
    <cellStyle name="Title 2" xfId="140" xr:uid="{00000000-0005-0000-0000-0000C0000000}"/>
    <cellStyle name="Title Text" xfId="141" xr:uid="{00000000-0005-0000-0000-0000C1000000}"/>
    <cellStyle name="Title Text 1" xfId="142" xr:uid="{00000000-0005-0000-0000-0000C2000000}"/>
    <cellStyle name="Title Text 2" xfId="143" xr:uid="{00000000-0005-0000-0000-0000C3000000}"/>
    <cellStyle name="Title-1" xfId="144" xr:uid="{00000000-0005-0000-0000-0000C4000000}"/>
    <cellStyle name="Title-2" xfId="145" xr:uid="{00000000-0005-0000-0000-0000C5000000}"/>
    <cellStyle name="Title-3" xfId="146" xr:uid="{00000000-0005-0000-0000-0000C6000000}"/>
    <cellStyle name="Total" xfId="168" builtinId="25" customBuiltin="1"/>
    <cellStyle name="Total 2" xfId="147" xr:uid="{00000000-0005-0000-0000-0000C8000000}"/>
    <cellStyle name="Warning Text" xfId="165" builtinId="11" customBuiltin="1"/>
    <cellStyle name="Warning Text 2" xfId="148" xr:uid="{00000000-0005-0000-0000-0000CA000000}"/>
    <cellStyle name="Wrap" xfId="149" xr:uid="{00000000-0005-0000-0000-0000CB000000}"/>
    <cellStyle name="Wrap Bold" xfId="150" xr:uid="{00000000-0005-0000-0000-0000CC000000}"/>
    <cellStyle name="Wrap Title" xfId="151" xr:uid="{00000000-0005-0000-0000-0000CD000000}"/>
    <cellStyle name="Wrap_NTS99-~11" xfId="152" xr:uid="{00000000-0005-0000-0000-0000C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nM/Documents/eps-us/InputData/trans/BNVFE/BAU%20New%20Veh%20Fuel%20Econom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7"/>
      <sheetName val="AEO 7 (2020)"/>
      <sheetName val="AEO 35"/>
      <sheetName val="AEO 36"/>
      <sheetName val="AEO 38"/>
      <sheetName val="AEO 40"/>
      <sheetName val="AEO 44"/>
      <sheetName val="AEO 47"/>
      <sheetName val="AEO 48"/>
      <sheetName val="AEO 49"/>
      <sheetName val="AEO 49 (2020)"/>
      <sheetName val="psgr LDVs"/>
      <sheetName val="NTS 1-40"/>
      <sheetName val="NRBS 40"/>
      <sheetName val="NAP F28"/>
      <sheetName val="SYFAFE-passenger"/>
      <sheetName val="SYFAFE-freight"/>
      <sheetName val="Calculations Etc"/>
      <sheetName val="BNVFE-LDVs-psgr"/>
      <sheetName val="BNVFE-LDVs-frgt"/>
      <sheetName val="BNVFE-HDVs-psgr"/>
      <sheetName val="BNVFE-HDVs-frgt"/>
      <sheetName val="BNVFE-aircraft-psgr"/>
      <sheetName val="BNVFE-aircraft-frgt"/>
      <sheetName val="BNVFE-rail-psgr"/>
      <sheetName val="BNVFE-rail-frgt"/>
      <sheetName val="BNVFE-ships-psgr"/>
      <sheetName val="BNVFE-ships-frgt"/>
      <sheetName val="BNVFE-motorbikes-psgr"/>
      <sheetName val="BNVFE-motorbikes-frgt"/>
      <sheetName val="BNVFE_data for BHNVFE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egi.org.mx/lib/olap/consulta/general_ver4/MDXQueryDatos.asp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A16" sqref="A16:XFD22"/>
    </sheetView>
  </sheetViews>
  <sheetFormatPr defaultColWidth="8.85546875" defaultRowHeight="15"/>
  <cols>
    <col min="1" max="1" width="13.42578125" customWidth="1"/>
    <col min="2" max="2" width="107.425781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2015</v>
      </c>
    </row>
    <row r="6" spans="1:2">
      <c r="B6" t="s">
        <v>4</v>
      </c>
    </row>
    <row r="7" spans="1:2">
      <c r="B7" t="s">
        <v>5</v>
      </c>
    </row>
    <row r="10" spans="1:2">
      <c r="B10" s="2" t="s">
        <v>6</v>
      </c>
    </row>
    <row r="11" spans="1:2">
      <c r="B11" t="s">
        <v>7</v>
      </c>
    </row>
    <row r="12" spans="1:2">
      <c r="B12" s="3">
        <v>2016</v>
      </c>
    </row>
    <row r="13" spans="1:2">
      <c r="B13" t="s">
        <v>8</v>
      </c>
    </row>
    <row r="14" spans="1:2">
      <c r="B14" s="10" t="s">
        <v>9</v>
      </c>
    </row>
    <row r="16" spans="1:2">
      <c r="A16" s="1" t="s">
        <v>10</v>
      </c>
    </row>
    <row r="17" spans="1:1">
      <c r="A17" t="s">
        <v>11</v>
      </c>
    </row>
    <row r="18" spans="1:1">
      <c r="A18" t="s">
        <v>12</v>
      </c>
    </row>
    <row r="20" spans="1:1">
      <c r="A20" t="s">
        <v>13</v>
      </c>
    </row>
    <row r="23" spans="1:1">
      <c r="A23" s="1" t="s">
        <v>14</v>
      </c>
    </row>
    <row r="24" spans="1:1">
      <c r="A24" t="s">
        <v>15</v>
      </c>
    </row>
    <row r="25" spans="1:1">
      <c r="A25" t="s">
        <v>16</v>
      </c>
    </row>
    <row r="26" spans="1:1">
      <c r="A26" t="s">
        <v>17</v>
      </c>
    </row>
    <row r="27" spans="1:1">
      <c r="A27" t="s">
        <v>18</v>
      </c>
    </row>
    <row r="28" spans="1:1">
      <c r="A28" t="s">
        <v>19</v>
      </c>
    </row>
    <row r="29" spans="1:1">
      <c r="A29" t="s">
        <v>20</v>
      </c>
    </row>
  </sheetData>
  <hyperlinks>
    <hyperlink ref="B14" r:id="rId1" location="Regreso&amp;c=" xr:uid="{3665ED50-288F-4646-802C-1695CA6DD22B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B34C-3408-3F4C-BB7A-E8814BC6CE3C}">
  <sheetPr>
    <tabColor theme="6"/>
  </sheetPr>
  <dimension ref="B1:DC59"/>
  <sheetViews>
    <sheetView topLeftCell="BS1" zoomScale="75" workbookViewId="0">
      <selection activeCell="BZ42" sqref="BZ42"/>
    </sheetView>
  </sheetViews>
  <sheetFormatPr defaultColWidth="10.85546875" defaultRowHeight="15"/>
  <cols>
    <col min="1" max="1" width="3.42578125" customWidth="1"/>
    <col min="2" max="2" width="17.42578125" customWidth="1"/>
    <col min="3" max="3" width="15.140625" customWidth="1"/>
    <col min="4" max="4" width="14.42578125" customWidth="1"/>
    <col min="5" max="5" width="5.42578125" customWidth="1"/>
    <col min="6" max="6" width="4.42578125" customWidth="1"/>
    <col min="7" max="7" width="3.42578125" customWidth="1"/>
    <col min="8" max="8" width="2.42578125" customWidth="1"/>
    <col min="9" max="9" width="7.85546875" customWidth="1"/>
    <col min="10" max="10" width="23.85546875" customWidth="1"/>
    <col min="11" max="11" width="6.42578125" hidden="1" customWidth="1"/>
    <col min="12" max="39" width="7.42578125" hidden="1" customWidth="1"/>
    <col min="40" max="68" width="7.42578125" bestFit="1" customWidth="1"/>
    <col min="69" max="71" width="9.140625" bestFit="1" customWidth="1"/>
    <col min="73" max="87" width="11" bestFit="1" customWidth="1"/>
    <col min="88" max="95" width="13.42578125" bestFit="1" customWidth="1"/>
    <col min="96" max="107" width="14.42578125" bestFit="1" customWidth="1"/>
  </cols>
  <sheetData>
    <row r="1" spans="2:107">
      <c r="C1" s="6" t="s">
        <v>21</v>
      </c>
      <c r="D1" s="6">
        <v>1.60934</v>
      </c>
      <c r="G1" s="1" t="s">
        <v>3</v>
      </c>
    </row>
    <row r="2" spans="2:107">
      <c r="C2" s="6" t="s">
        <v>22</v>
      </c>
      <c r="D2">
        <v>3.7854100000000002</v>
      </c>
      <c r="G2" t="s">
        <v>23</v>
      </c>
    </row>
    <row r="4" spans="2:107" ht="29.1" customHeight="1">
      <c r="D4" t="s">
        <v>24</v>
      </c>
      <c r="H4" s="11" t="s">
        <v>25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3"/>
      <c r="BU4" s="14" t="s">
        <v>26</v>
      </c>
    </row>
    <row r="5" spans="2:107">
      <c r="D5" s="1" t="s">
        <v>27</v>
      </c>
      <c r="G5" s="1" t="s">
        <v>28</v>
      </c>
    </row>
    <row r="6" spans="2:107" ht="15.95" customHeight="1">
      <c r="B6" s="15"/>
      <c r="C6" s="15"/>
      <c r="D6" t="s">
        <v>29</v>
      </c>
      <c r="E6" t="s">
        <v>30</v>
      </c>
      <c r="G6" s="16"/>
      <c r="I6" s="15"/>
      <c r="J6" s="15"/>
      <c r="K6" s="17">
        <v>1990</v>
      </c>
      <c r="L6" s="17">
        <v>1991</v>
      </c>
      <c r="M6" s="17">
        <v>1992</v>
      </c>
      <c r="N6" s="17">
        <v>1993</v>
      </c>
      <c r="O6" s="17">
        <v>1994</v>
      </c>
      <c r="P6" s="17">
        <v>1995</v>
      </c>
      <c r="Q6" s="17">
        <v>1996</v>
      </c>
      <c r="R6" s="17">
        <v>1997</v>
      </c>
      <c r="S6" s="17">
        <v>1998</v>
      </c>
      <c r="T6" s="17">
        <v>1999</v>
      </c>
      <c r="U6" s="17">
        <v>2000</v>
      </c>
      <c r="V6" s="17">
        <v>2001</v>
      </c>
      <c r="W6" s="17">
        <v>2002</v>
      </c>
      <c r="X6" s="17">
        <v>2003</v>
      </c>
      <c r="Y6" s="17">
        <v>2004</v>
      </c>
      <c r="Z6" s="17">
        <v>2005</v>
      </c>
      <c r="AA6" s="17">
        <v>2006</v>
      </c>
      <c r="AB6" s="17">
        <v>2007</v>
      </c>
      <c r="AC6" s="17">
        <v>2008</v>
      </c>
      <c r="AD6" s="17">
        <v>2009</v>
      </c>
      <c r="AE6" s="17">
        <v>2010</v>
      </c>
      <c r="AF6" s="17">
        <v>2011</v>
      </c>
      <c r="AG6" s="17">
        <v>2012</v>
      </c>
      <c r="AH6" s="17">
        <v>2013</v>
      </c>
      <c r="AI6" s="17">
        <v>2014</v>
      </c>
      <c r="AJ6" s="17">
        <v>2015</v>
      </c>
      <c r="AK6" s="17">
        <v>2016</v>
      </c>
      <c r="AL6" s="17">
        <v>2017</v>
      </c>
      <c r="AM6" s="17">
        <v>2018</v>
      </c>
      <c r="AN6" s="17">
        <v>2019</v>
      </c>
      <c r="AO6" s="17">
        <v>2020</v>
      </c>
      <c r="AP6" s="17">
        <v>2021</v>
      </c>
      <c r="AQ6" s="17">
        <v>2022</v>
      </c>
      <c r="AR6" s="17">
        <v>2023</v>
      </c>
      <c r="AS6" s="17">
        <v>2024</v>
      </c>
      <c r="AT6" s="17">
        <v>2025</v>
      </c>
      <c r="AU6" s="17">
        <v>2026</v>
      </c>
      <c r="AV6" s="17">
        <v>2027</v>
      </c>
      <c r="AW6" s="17">
        <v>2028</v>
      </c>
      <c r="AX6" s="17">
        <v>2029</v>
      </c>
      <c r="AY6" s="17">
        <v>2030</v>
      </c>
      <c r="AZ6" s="17">
        <v>2031</v>
      </c>
      <c r="BA6" s="17">
        <v>2032</v>
      </c>
      <c r="BB6" s="17">
        <v>2033</v>
      </c>
      <c r="BC6" s="17">
        <v>2034</v>
      </c>
      <c r="BD6" s="17">
        <v>2035</v>
      </c>
      <c r="BE6" s="17">
        <v>2036</v>
      </c>
      <c r="BF6" s="17">
        <v>2037</v>
      </c>
      <c r="BG6" s="17">
        <v>2038</v>
      </c>
      <c r="BH6" s="17">
        <v>2039</v>
      </c>
      <c r="BI6" s="17">
        <v>2040</v>
      </c>
      <c r="BJ6" s="17">
        <v>2041</v>
      </c>
      <c r="BK6" s="17">
        <v>2042</v>
      </c>
      <c r="BL6" s="17">
        <v>2043</v>
      </c>
      <c r="BM6" s="17">
        <v>2044</v>
      </c>
      <c r="BN6" s="17">
        <v>2045</v>
      </c>
      <c r="BO6" s="17">
        <v>2046</v>
      </c>
      <c r="BP6" s="17">
        <v>2047</v>
      </c>
      <c r="BQ6" s="17">
        <v>2048</v>
      </c>
      <c r="BR6" s="17">
        <v>2049</v>
      </c>
      <c r="BS6" s="17">
        <v>2050</v>
      </c>
      <c r="BU6" s="17">
        <v>2016</v>
      </c>
      <c r="BV6" s="17">
        <v>2017</v>
      </c>
      <c r="BW6" s="17">
        <v>2018</v>
      </c>
      <c r="BX6" s="17">
        <v>2019</v>
      </c>
      <c r="BY6" s="17">
        <v>2020</v>
      </c>
      <c r="BZ6" s="17">
        <v>2021</v>
      </c>
      <c r="CA6" s="17">
        <v>2022</v>
      </c>
      <c r="CB6" s="17">
        <v>2023</v>
      </c>
      <c r="CC6" s="17">
        <v>2024</v>
      </c>
      <c r="CD6" s="17">
        <v>2025</v>
      </c>
      <c r="CE6" s="17">
        <v>2026</v>
      </c>
      <c r="CF6" s="17">
        <v>2027</v>
      </c>
      <c r="CG6" s="17">
        <v>2028</v>
      </c>
      <c r="CH6" s="17">
        <v>2029</v>
      </c>
      <c r="CI6" s="17">
        <v>2030</v>
      </c>
      <c r="CJ6" s="17">
        <v>2031</v>
      </c>
      <c r="CK6" s="17">
        <v>2032</v>
      </c>
      <c r="CL6" s="17">
        <v>2033</v>
      </c>
      <c r="CM6" s="17">
        <v>2034</v>
      </c>
      <c r="CN6" s="17">
        <v>2035</v>
      </c>
      <c r="CO6" s="17">
        <v>2036</v>
      </c>
      <c r="CP6" s="17">
        <v>2037</v>
      </c>
      <c r="CQ6" s="17">
        <v>2038</v>
      </c>
      <c r="CR6" s="17">
        <v>2039</v>
      </c>
      <c r="CS6" s="17">
        <v>2040</v>
      </c>
      <c r="CT6" s="17">
        <v>2041</v>
      </c>
      <c r="CU6" s="17">
        <v>2042</v>
      </c>
      <c r="CV6" s="17">
        <v>2043</v>
      </c>
      <c r="CW6" s="17">
        <v>2044</v>
      </c>
      <c r="CX6" s="17">
        <v>2045</v>
      </c>
      <c r="CY6" s="17">
        <v>2046</v>
      </c>
      <c r="CZ6" s="17">
        <v>2047</v>
      </c>
      <c r="DA6" s="17">
        <v>2048</v>
      </c>
      <c r="DB6" s="17">
        <v>2049</v>
      </c>
      <c r="DC6" s="17">
        <v>2050</v>
      </c>
    </row>
    <row r="7" spans="2:107">
      <c r="B7" s="18" t="s">
        <v>31</v>
      </c>
      <c r="C7" s="15"/>
      <c r="D7" s="19">
        <f t="shared" ref="D7:D36" si="0">AK7</f>
        <v>132336.29745754285</v>
      </c>
      <c r="E7" s="20">
        <f t="shared" ref="E7:E15" si="1">$C$54</f>
        <v>1.4</v>
      </c>
      <c r="G7" s="21"/>
      <c r="I7" s="18" t="s">
        <v>31</v>
      </c>
      <c r="J7" s="15"/>
      <c r="K7" s="22">
        <v>46792.041388063859</v>
      </c>
      <c r="L7" s="22">
        <v>50346.099245384248</v>
      </c>
      <c r="M7" s="22">
        <v>54310.253143906702</v>
      </c>
      <c r="N7" s="22">
        <v>57449.209651933801</v>
      </c>
      <c r="O7" s="22">
        <v>60691.788181844844</v>
      </c>
      <c r="P7" s="22">
        <v>58959.446414736354</v>
      </c>
      <c r="Q7" s="22">
        <v>58107.117620610195</v>
      </c>
      <c r="R7" s="22">
        <v>59031.222733563496</v>
      </c>
      <c r="S7" s="22">
        <v>61948.932782970762</v>
      </c>
      <c r="T7" s="22">
        <v>65189.03743898488</v>
      </c>
      <c r="U7" s="22">
        <v>70665.332220022872</v>
      </c>
      <c r="V7" s="22">
        <v>77137.352361477868</v>
      </c>
      <c r="W7" s="22">
        <v>84051.540704087412</v>
      </c>
      <c r="X7" s="22">
        <v>90208.584925149073</v>
      </c>
      <c r="Y7" s="22">
        <v>96817.596491528762</v>
      </c>
      <c r="Z7" s="22">
        <v>102528.0342081736</v>
      </c>
      <c r="AA7" s="22">
        <v>107322.39980540962</v>
      </c>
      <c r="AB7" s="22">
        <v>111096.74302876258</v>
      </c>
      <c r="AC7" s="22">
        <v>113646.32293915906</v>
      </c>
      <c r="AD7" s="22">
        <v>113394.12190429671</v>
      </c>
      <c r="AE7" s="22">
        <v>114129.21283610983</v>
      </c>
      <c r="AF7" s="22">
        <v>116180.88482327288</v>
      </c>
      <c r="AG7" s="22">
        <v>119029.86105011351</v>
      </c>
      <c r="AH7" s="22">
        <v>122491.44872710861</v>
      </c>
      <c r="AI7" s="22">
        <v>125828.03918128318</v>
      </c>
      <c r="AJ7" s="22">
        <v>129108.90493784205</v>
      </c>
      <c r="AK7" s="22">
        <v>132336.29745754285</v>
      </c>
      <c r="AL7" s="22">
        <v>135505.41176541775</v>
      </c>
      <c r="AM7" s="22">
        <v>138647.54578416585</v>
      </c>
      <c r="AN7" s="22">
        <v>141688.40223468264</v>
      </c>
      <c r="AO7" s="22">
        <v>144727.31125922877</v>
      </c>
      <c r="AP7" s="22">
        <v>147919.72412795125</v>
      </c>
      <c r="AQ7" s="22">
        <v>151234.16799289838</v>
      </c>
      <c r="AR7" s="22">
        <v>154613.61465761453</v>
      </c>
      <c r="AS7" s="22">
        <v>158062.66900270968</v>
      </c>
      <c r="AT7" s="22">
        <v>161637.85144157705</v>
      </c>
      <c r="AU7" s="22">
        <v>165345.28468116367</v>
      </c>
      <c r="AV7" s="22">
        <v>169197.26266719404</v>
      </c>
      <c r="AW7" s="22">
        <v>173216.55387099294</v>
      </c>
      <c r="AX7" s="22">
        <v>177437.42347015222</v>
      </c>
      <c r="AY7" s="22">
        <v>181846.67405809212</v>
      </c>
      <c r="AZ7" s="22">
        <v>186274.61527665125</v>
      </c>
      <c r="BA7" s="22">
        <v>190731.18861541789</v>
      </c>
      <c r="BB7" s="22">
        <v>195207.23963808967</v>
      </c>
      <c r="BC7" s="22">
        <v>199682.31814579191</v>
      </c>
      <c r="BD7" s="22">
        <f t="shared" ref="BD7:BS7" si="2">SUM(BD8:BD10)</f>
        <v>201705.4908099286</v>
      </c>
      <c r="BE7" s="22">
        <f t="shared" si="2"/>
        <v>203749.16323820056</v>
      </c>
      <c r="BF7" s="22">
        <f t="shared" si="2"/>
        <v>205813.54315491737</v>
      </c>
      <c r="BG7" s="22">
        <f t="shared" si="2"/>
        <v>207898.84038937016</v>
      </c>
      <c r="BH7" s="22">
        <f t="shared" si="2"/>
        <v>210005.26689716367</v>
      </c>
      <c r="BI7" s="22">
        <f t="shared" si="2"/>
        <v>212133.03678176433</v>
      </c>
      <c r="BJ7" s="22">
        <f t="shared" si="2"/>
        <v>214282.36631626691</v>
      </c>
      <c r="BK7" s="22">
        <f t="shared" si="2"/>
        <v>216453.47396538174</v>
      </c>
      <c r="BL7" s="22">
        <f t="shared" si="2"/>
        <v>218646.58040764462</v>
      </c>
      <c r="BM7" s="22">
        <f t="shared" si="2"/>
        <v>220861.908557852</v>
      </c>
      <c r="BN7" s="22">
        <f t="shared" si="2"/>
        <v>223099.68358972337</v>
      </c>
      <c r="BO7" s="22">
        <f t="shared" si="2"/>
        <v>225360.13295879352</v>
      </c>
      <c r="BP7" s="22">
        <f t="shared" si="2"/>
        <v>227643.48642553651</v>
      </c>
      <c r="BQ7" s="22">
        <f t="shared" si="2"/>
        <v>229949.97607872446</v>
      </c>
      <c r="BR7" s="22">
        <f t="shared" si="2"/>
        <v>232279.83635902239</v>
      </c>
      <c r="BS7" s="22">
        <f t="shared" si="2"/>
        <v>234633.3040828229</v>
      </c>
      <c r="BT7" s="8">
        <v>2.0264131778854333E-2</v>
      </c>
      <c r="BU7" s="23">
        <f t="shared" ref="BU7:CJ22" si="3">AK7*$E7</f>
        <v>185270.81644055998</v>
      </c>
      <c r="BV7" s="23">
        <f t="shared" si="3"/>
        <v>189707.57647158485</v>
      </c>
      <c r="BW7" s="23">
        <f t="shared" si="3"/>
        <v>194106.56409783219</v>
      </c>
      <c r="BX7" s="23">
        <f t="shared" si="3"/>
        <v>198363.76312855567</v>
      </c>
      <c r="BY7" s="23">
        <f t="shared" si="3"/>
        <v>202618.23576292026</v>
      </c>
      <c r="BZ7" s="23">
        <f t="shared" si="3"/>
        <v>207087.61377913173</v>
      </c>
      <c r="CA7" s="23">
        <f t="shared" si="3"/>
        <v>211727.83519005773</v>
      </c>
      <c r="CB7" s="23">
        <f t="shared" si="3"/>
        <v>216459.06052066034</v>
      </c>
      <c r="CC7" s="23">
        <f t="shared" si="3"/>
        <v>221287.73660379354</v>
      </c>
      <c r="CD7" s="23">
        <f t="shared" si="3"/>
        <v>226292.99201820785</v>
      </c>
      <c r="CE7" s="23">
        <f t="shared" si="3"/>
        <v>231483.39855362911</v>
      </c>
      <c r="CF7" s="23">
        <f t="shared" si="3"/>
        <v>236876.16773407164</v>
      </c>
      <c r="CG7" s="23">
        <f t="shared" si="3"/>
        <v>242503.17541939009</v>
      </c>
      <c r="CH7" s="24">
        <f t="shared" si="3"/>
        <v>248412.3928582131</v>
      </c>
      <c r="CI7" s="23">
        <f t="shared" si="3"/>
        <v>254585.34368132896</v>
      </c>
      <c r="CJ7" s="23">
        <f t="shared" si="3"/>
        <v>260784.46138731175</v>
      </c>
      <c r="CK7" s="23">
        <f t="shared" ref="CK7:CZ22" si="4">BA7*$E7</f>
        <v>267023.66406158503</v>
      </c>
      <c r="CL7" s="23">
        <f t="shared" si="4"/>
        <v>273290.13549332554</v>
      </c>
      <c r="CM7" s="23">
        <f t="shared" si="4"/>
        <v>279555.24540410866</v>
      </c>
      <c r="CN7" s="23">
        <f t="shared" si="4"/>
        <v>282387.68713390001</v>
      </c>
      <c r="CO7" s="23">
        <f t="shared" si="4"/>
        <v>285248.82853348076</v>
      </c>
      <c r="CP7" s="23">
        <f t="shared" si="4"/>
        <v>288138.96041688428</v>
      </c>
      <c r="CQ7" s="23">
        <f t="shared" si="4"/>
        <v>291058.37654511823</v>
      </c>
      <c r="CR7" s="23">
        <f t="shared" si="4"/>
        <v>294007.37365602911</v>
      </c>
      <c r="CS7" s="23">
        <f t="shared" si="4"/>
        <v>296986.25149447005</v>
      </c>
      <c r="CT7" s="23">
        <f t="shared" si="4"/>
        <v>299995.31284277368</v>
      </c>
      <c r="CU7" s="23">
        <f t="shared" si="4"/>
        <v>303034.86355153442</v>
      </c>
      <c r="CV7" s="23">
        <f t="shared" si="4"/>
        <v>306105.21257070242</v>
      </c>
      <c r="CW7" s="23">
        <f t="shared" si="4"/>
        <v>309206.67198099277</v>
      </c>
      <c r="CX7" s="23">
        <f t="shared" si="4"/>
        <v>312339.55702561268</v>
      </c>
      <c r="CY7" s="23">
        <f t="shared" si="4"/>
        <v>315504.18614231091</v>
      </c>
      <c r="CZ7" s="23">
        <f t="shared" si="4"/>
        <v>318700.88099575107</v>
      </c>
      <c r="DA7" s="23">
        <f t="shared" ref="DA7:DC37" si="5">BQ7*$E7</f>
        <v>321929.9665102142</v>
      </c>
      <c r="DB7" s="23">
        <f t="shared" si="5"/>
        <v>325191.77090263134</v>
      </c>
      <c r="DC7" s="23">
        <f t="shared" si="5"/>
        <v>328486.62571595202</v>
      </c>
    </row>
    <row r="8" spans="2:107">
      <c r="B8" s="25" t="s">
        <v>32</v>
      </c>
      <c r="C8" s="26" t="s">
        <v>32</v>
      </c>
      <c r="D8" s="19">
        <f t="shared" si="0"/>
        <v>65613.418658432944</v>
      </c>
      <c r="E8" s="20">
        <f t="shared" si="1"/>
        <v>1.4</v>
      </c>
      <c r="G8" s="21"/>
      <c r="I8" s="18"/>
      <c r="J8" s="26" t="s">
        <v>32</v>
      </c>
      <c r="K8" s="27">
        <v>24956.06069779491</v>
      </c>
      <c r="L8" s="27">
        <v>26650.422717542893</v>
      </c>
      <c r="M8" s="27">
        <v>28239.792502163367</v>
      </c>
      <c r="N8" s="27">
        <v>29492.795107999027</v>
      </c>
      <c r="O8" s="27">
        <v>31109.882211298933</v>
      </c>
      <c r="P8" s="27">
        <v>30003.167865443018</v>
      </c>
      <c r="Q8" s="27">
        <v>29122.660995332215</v>
      </c>
      <c r="R8" s="27">
        <v>29216.980653554299</v>
      </c>
      <c r="S8" s="27">
        <v>30577.132651182274</v>
      </c>
      <c r="T8" s="27">
        <v>32090.939196165033</v>
      </c>
      <c r="U8" s="27">
        <v>34564.68810889007</v>
      </c>
      <c r="V8" s="27">
        <v>37963.576793724329</v>
      </c>
      <c r="W8" s="27">
        <v>42395.805693780159</v>
      </c>
      <c r="X8" s="27">
        <v>46888.166971593542</v>
      </c>
      <c r="Y8" s="27">
        <v>51885.743509168817</v>
      </c>
      <c r="Z8" s="27">
        <v>56058.909922593142</v>
      </c>
      <c r="AA8" s="27">
        <v>58941.269428796557</v>
      </c>
      <c r="AB8" s="27">
        <v>60526.553072697039</v>
      </c>
      <c r="AC8" s="27">
        <v>61567.165280441404</v>
      </c>
      <c r="AD8" s="27">
        <v>61076.531279300863</v>
      </c>
      <c r="AE8" s="27">
        <v>60951.810653781315</v>
      </c>
      <c r="AF8" s="27">
        <v>61439.432945869528</v>
      </c>
      <c r="AG8" s="27">
        <v>62167.298952440069</v>
      </c>
      <c r="AH8" s="27">
        <v>63064.615870721151</v>
      </c>
      <c r="AI8" s="27">
        <v>63926.140535491511</v>
      </c>
      <c r="AJ8" s="27">
        <v>64778.736586004867</v>
      </c>
      <c r="AK8" s="27">
        <v>65613.418658432944</v>
      </c>
      <c r="AL8" s="27">
        <v>66434.863034143491</v>
      </c>
      <c r="AM8" s="27">
        <v>67271.303450906285</v>
      </c>
      <c r="AN8" s="27">
        <v>68091.406208848726</v>
      </c>
      <c r="AO8" s="27">
        <v>68927.604735277113</v>
      </c>
      <c r="AP8" s="27">
        <v>69860.61108502814</v>
      </c>
      <c r="AQ8" s="27">
        <v>70883.57651128537</v>
      </c>
      <c r="AR8" s="27">
        <v>71964.593009261851</v>
      </c>
      <c r="AS8" s="27">
        <v>73100.53733196565</v>
      </c>
      <c r="AT8" s="27">
        <v>74321.147719428802</v>
      </c>
      <c r="AU8" s="27">
        <v>75638.476806309438</v>
      </c>
      <c r="AV8" s="27">
        <v>77056.106785397686</v>
      </c>
      <c r="AW8" s="27">
        <v>78575.97812069369</v>
      </c>
      <c r="AX8" s="27">
        <v>80221.130935838213</v>
      </c>
      <c r="AY8" s="27">
        <v>81986.957187398584</v>
      </c>
      <c r="AZ8" s="27">
        <v>83801.029954428843</v>
      </c>
      <c r="BA8" s="27">
        <v>85673.282570886338</v>
      </c>
      <c r="BB8" s="27">
        <v>87598.322600362575</v>
      </c>
      <c r="BC8" s="27">
        <v>89543.372268956911</v>
      </c>
      <c r="BD8" s="27">
        <f t="shared" ref="BD8:BS10" si="6">BC8*(1+$BT8/2)</f>
        <v>90443.397480166997</v>
      </c>
      <c r="BE8" s="27">
        <f t="shared" si="6"/>
        <v>91352.469093810767</v>
      </c>
      <c r="BF8" s="27">
        <f t="shared" si="6"/>
        <v>92270.6780377822</v>
      </c>
      <c r="BG8" s="27">
        <f t="shared" si="6"/>
        <v>93198.116153916708</v>
      </c>
      <c r="BH8" s="27">
        <f t="shared" si="6"/>
        <v>94134.876207177411</v>
      </c>
      <c r="BI8" s="27">
        <f t="shared" si="6"/>
        <v>95081.051894933727</v>
      </c>
      <c r="BJ8" s="27">
        <f t="shared" si="6"/>
        <v>96036.73785633326</v>
      </c>
      <c r="BK8" s="27">
        <f t="shared" si="6"/>
        <v>97002.02968176789</v>
      </c>
      <c r="BL8" s="27">
        <f t="shared" si="6"/>
        <v>97977.02392243495</v>
      </c>
      <c r="BM8" s="27">
        <f t="shared" si="6"/>
        <v>98961.818099994605</v>
      </c>
      <c r="BN8" s="27">
        <f t="shared" si="6"/>
        <v>99956.510716324177</v>
      </c>
      <c r="BO8" s="27">
        <f t="shared" si="6"/>
        <v>100961.20126337063</v>
      </c>
      <c r="BP8" s="27">
        <f t="shared" si="6"/>
        <v>101975.99023310203</v>
      </c>
      <c r="BQ8" s="27">
        <f t="shared" si="6"/>
        <v>103000.97912755898</v>
      </c>
      <c r="BR8" s="27">
        <f t="shared" si="6"/>
        <v>104036.27046900721</v>
      </c>
      <c r="BS8" s="27">
        <f t="shared" si="6"/>
        <v>105081.96781019212</v>
      </c>
      <c r="BT8" s="8">
        <v>2.010255339740219E-2</v>
      </c>
      <c r="BU8" s="28">
        <f t="shared" si="3"/>
        <v>91858.786121806115</v>
      </c>
      <c r="BV8" s="28">
        <f t="shared" si="3"/>
        <v>93008.808247800887</v>
      </c>
      <c r="BW8" s="28">
        <f t="shared" si="3"/>
        <v>94179.824831268794</v>
      </c>
      <c r="BX8" s="28">
        <f t="shared" si="3"/>
        <v>95327.968692388211</v>
      </c>
      <c r="BY8" s="28">
        <f t="shared" si="3"/>
        <v>96498.646629387949</v>
      </c>
      <c r="BZ8" s="28">
        <f t="shared" si="3"/>
        <v>97804.855519039396</v>
      </c>
      <c r="CA8" s="28">
        <f t="shared" si="3"/>
        <v>99237.007115799512</v>
      </c>
      <c r="CB8" s="28">
        <f t="shared" si="3"/>
        <v>100750.43021296659</v>
      </c>
      <c r="CC8" s="28">
        <f t="shared" si="3"/>
        <v>102340.75226475191</v>
      </c>
      <c r="CD8" s="28">
        <f t="shared" si="3"/>
        <v>104049.60680720031</v>
      </c>
      <c r="CE8" s="28">
        <f t="shared" si="3"/>
        <v>105893.8675288332</v>
      </c>
      <c r="CF8" s="28">
        <f t="shared" si="3"/>
        <v>107878.54949955676</v>
      </c>
      <c r="CG8" s="28">
        <f t="shared" si="3"/>
        <v>110006.36936897117</v>
      </c>
      <c r="CH8" s="28">
        <f t="shared" si="3"/>
        <v>112309.58331017349</v>
      </c>
      <c r="CI8" s="29">
        <f t="shared" si="3"/>
        <v>114781.740062358</v>
      </c>
      <c r="CJ8" s="28">
        <f t="shared" si="3"/>
        <v>117321.44193620037</v>
      </c>
      <c r="CK8" s="28">
        <f t="shared" si="4"/>
        <v>119942.59559924087</v>
      </c>
      <c r="CL8" s="28">
        <f t="shared" si="4"/>
        <v>122637.6516405076</v>
      </c>
      <c r="CM8" s="28">
        <f t="shared" si="4"/>
        <v>125360.72117653966</v>
      </c>
      <c r="CN8" s="28">
        <f t="shared" si="4"/>
        <v>126620.75647223378</v>
      </c>
      <c r="CO8" s="28">
        <f t="shared" si="4"/>
        <v>127893.45673133507</v>
      </c>
      <c r="CP8" s="28">
        <f t="shared" si="4"/>
        <v>129178.94925289507</v>
      </c>
      <c r="CQ8" s="28">
        <f t="shared" si="4"/>
        <v>130477.36261548338</v>
      </c>
      <c r="CR8" s="28">
        <f t="shared" si="4"/>
        <v>131788.82669004836</v>
      </c>
      <c r="CS8" s="28">
        <f t="shared" si="4"/>
        <v>133113.47265290722</v>
      </c>
      <c r="CT8" s="28">
        <f t="shared" si="4"/>
        <v>134451.43299886657</v>
      </c>
      <c r="CU8" s="28">
        <f t="shared" si="4"/>
        <v>135802.84155447505</v>
      </c>
      <c r="CV8" s="28">
        <f t="shared" si="4"/>
        <v>137167.83349140894</v>
      </c>
      <c r="CW8" s="28">
        <f t="shared" si="4"/>
        <v>138546.54533999244</v>
      </c>
      <c r="CX8" s="28">
        <f t="shared" si="4"/>
        <v>139939.11500285382</v>
      </c>
      <c r="CY8" s="28">
        <f t="shared" si="4"/>
        <v>141345.68176871887</v>
      </c>
      <c r="CZ8" s="28">
        <f t="shared" si="4"/>
        <v>142766.38632634282</v>
      </c>
      <c r="DA8" s="28">
        <f t="shared" si="5"/>
        <v>144201.37077858255</v>
      </c>
      <c r="DB8" s="28">
        <f t="shared" si="5"/>
        <v>145650.77865661008</v>
      </c>
      <c r="DC8" s="28">
        <f t="shared" si="5"/>
        <v>147114.75493426895</v>
      </c>
    </row>
    <row r="9" spans="2:107">
      <c r="B9" s="30" t="s">
        <v>33</v>
      </c>
      <c r="C9" s="31" t="s">
        <v>33</v>
      </c>
      <c r="D9" s="19">
        <f t="shared" si="0"/>
        <v>54807.000087753797</v>
      </c>
      <c r="E9" s="20">
        <f t="shared" si="1"/>
        <v>1.4</v>
      </c>
      <c r="G9" s="21"/>
      <c r="I9" s="32"/>
      <c r="J9" s="31" t="s">
        <v>33</v>
      </c>
      <c r="K9" s="27">
        <v>15682.492969685489</v>
      </c>
      <c r="L9" s="27">
        <v>17094.309186602153</v>
      </c>
      <c r="M9" s="27">
        <v>18895.362138704371</v>
      </c>
      <c r="N9" s="27">
        <v>20430.937678375911</v>
      </c>
      <c r="O9" s="27">
        <v>21750.652258806502</v>
      </c>
      <c r="P9" s="27">
        <v>21332.910864555812</v>
      </c>
      <c r="Q9" s="27">
        <v>21431.650616823557</v>
      </c>
      <c r="R9" s="27">
        <v>22424.837440759755</v>
      </c>
      <c r="S9" s="27">
        <v>23911.662857844491</v>
      </c>
      <c r="T9" s="27">
        <v>25566.86078698633</v>
      </c>
      <c r="U9" s="27">
        <v>28269.656511966696</v>
      </c>
      <c r="V9" s="27">
        <v>31073.924687144019</v>
      </c>
      <c r="W9" s="27">
        <v>33195.027974567507</v>
      </c>
      <c r="X9" s="27">
        <v>34657.345267344484</v>
      </c>
      <c r="Y9" s="27">
        <v>36072.511300271297</v>
      </c>
      <c r="Z9" s="27">
        <v>37416.670651583037</v>
      </c>
      <c r="AA9" s="27">
        <v>39007.411820927497</v>
      </c>
      <c r="AB9" s="27">
        <v>40948.369188644283</v>
      </c>
      <c r="AC9" s="27">
        <v>42244.160881082636</v>
      </c>
      <c r="AD9" s="27">
        <v>42542.167469350075</v>
      </c>
      <c r="AE9" s="27">
        <v>43434.626532384485</v>
      </c>
      <c r="AF9" s="27">
        <v>44932.789217315425</v>
      </c>
      <c r="AG9" s="27">
        <v>46619.716201892428</v>
      </c>
      <c r="AH9" s="27">
        <v>48755.80571815955</v>
      </c>
      <c r="AI9" s="27">
        <v>50813.160042664167</v>
      </c>
      <c r="AJ9" s="27">
        <v>52827.639489769019</v>
      </c>
      <c r="AK9" s="27">
        <v>54807.000087753797</v>
      </c>
      <c r="AL9" s="27">
        <v>56744.463418139669</v>
      </c>
      <c r="AM9" s="27">
        <v>58645.394514080246</v>
      </c>
      <c r="AN9" s="27">
        <v>60472.52759747504</v>
      </c>
      <c r="AO9" s="27">
        <v>62279.741877175555</v>
      </c>
      <c r="AP9" s="27">
        <v>64129.474516616807</v>
      </c>
      <c r="AQ9" s="27">
        <v>66004.952320675002</v>
      </c>
      <c r="AR9" s="27">
        <v>67881.935855829652</v>
      </c>
      <c r="AS9" s="27">
        <v>69771.102884632579</v>
      </c>
      <c r="AT9" s="27">
        <v>71696.092612334614</v>
      </c>
      <c r="AU9" s="27">
        <v>73651.420000951097</v>
      </c>
      <c r="AV9" s="27">
        <v>75642.014945084695</v>
      </c>
      <c r="AW9" s="27">
        <v>77689.205586168886</v>
      </c>
      <c r="AX9" s="27">
        <v>79801.026980111506</v>
      </c>
      <c r="AY9" s="27">
        <v>81967.800275730799</v>
      </c>
      <c r="AZ9" s="27">
        <v>84109.605960213215</v>
      </c>
      <c r="BA9" s="27">
        <v>86228.599779283322</v>
      </c>
      <c r="BB9" s="27">
        <v>88318.17860557072</v>
      </c>
      <c r="BC9" s="27">
        <v>90390.487159197161</v>
      </c>
      <c r="BD9" s="27">
        <f t="shared" si="6"/>
        <v>91311.868270913124</v>
      </c>
      <c r="BE9" s="27">
        <f t="shared" si="6"/>
        <v>92242.641335031469</v>
      </c>
      <c r="BF9" s="27">
        <f t="shared" si="6"/>
        <v>93182.902086931193</v>
      </c>
      <c r="BG9" s="27">
        <f t="shared" si="6"/>
        <v>94132.747237854695</v>
      </c>
      <c r="BH9" s="27">
        <f t="shared" si="6"/>
        <v>95092.274484855137</v>
      </c>
      <c r="BI9" s="27">
        <f t="shared" si="6"/>
        <v>96061.582520845084</v>
      </c>
      <c r="BJ9" s="27">
        <f t="shared" si="6"/>
        <v>97040.771044747686</v>
      </c>
      <c r="BK9" s="27">
        <f t="shared" si="6"/>
        <v>98029.940771751266</v>
      </c>
      <c r="BL9" s="27">
        <f t="shared" si="6"/>
        <v>99029.193443668482</v>
      </c>
      <c r="BM9" s="27">
        <f t="shared" si="6"/>
        <v>100038.63183940103</v>
      </c>
      <c r="BN9" s="27">
        <f t="shared" si="6"/>
        <v>101058.35978551104</v>
      </c>
      <c r="BO9" s="27">
        <f t="shared" si="6"/>
        <v>102088.48216690028</v>
      </c>
      <c r="BP9" s="27">
        <f t="shared" si="6"/>
        <v>103129.10493759815</v>
      </c>
      <c r="BQ9" s="27">
        <f t="shared" si="6"/>
        <v>104180.33513165965</v>
      </c>
      <c r="BR9" s="27">
        <f t="shared" si="6"/>
        <v>105242.28087417448</v>
      </c>
      <c r="BS9" s="27">
        <f t="shared" si="6"/>
        <v>106315.0513923883</v>
      </c>
      <c r="BT9" s="8">
        <v>2.0386683171498499E-2</v>
      </c>
      <c r="BU9" s="28">
        <f t="shared" si="3"/>
        <v>76729.800122855304</v>
      </c>
      <c r="BV9" s="28">
        <f t="shared" si="3"/>
        <v>79442.248785395524</v>
      </c>
      <c r="BW9" s="28">
        <f t="shared" si="3"/>
        <v>82103.55231971234</v>
      </c>
      <c r="BX9" s="28">
        <f t="shared" si="3"/>
        <v>84661.538636465048</v>
      </c>
      <c r="BY9" s="28">
        <f t="shared" si="3"/>
        <v>87191.638628045766</v>
      </c>
      <c r="BZ9" s="28">
        <f t="shared" si="3"/>
        <v>89781.264323263531</v>
      </c>
      <c r="CA9" s="28">
        <f t="shared" si="3"/>
        <v>92406.933248945003</v>
      </c>
      <c r="CB9" s="28">
        <f t="shared" si="3"/>
        <v>95034.710198161512</v>
      </c>
      <c r="CC9" s="28">
        <f t="shared" si="3"/>
        <v>97679.544038485605</v>
      </c>
      <c r="CD9" s="28">
        <f t="shared" si="3"/>
        <v>100374.52965726846</v>
      </c>
      <c r="CE9" s="28">
        <f t="shared" si="3"/>
        <v>103111.98800133153</v>
      </c>
      <c r="CF9" s="28">
        <f t="shared" si="3"/>
        <v>105898.82092311856</v>
      </c>
      <c r="CG9" s="28">
        <f t="shared" si="3"/>
        <v>108764.88782063643</v>
      </c>
      <c r="CH9" s="28">
        <f t="shared" si="3"/>
        <v>111721.4377721561</v>
      </c>
      <c r="CI9" s="29">
        <f t="shared" si="3"/>
        <v>114754.92038602311</v>
      </c>
      <c r="CJ9" s="28">
        <f t="shared" si="3"/>
        <v>117753.44834429849</v>
      </c>
      <c r="CK9" s="28">
        <f t="shared" si="4"/>
        <v>120720.03969099664</v>
      </c>
      <c r="CL9" s="28">
        <f t="shared" si="4"/>
        <v>123645.45004779899</v>
      </c>
      <c r="CM9" s="28">
        <f t="shared" si="4"/>
        <v>126546.68202287602</v>
      </c>
      <c r="CN9" s="28">
        <f t="shared" si="4"/>
        <v>127836.61557927837</v>
      </c>
      <c r="CO9" s="28">
        <f t="shared" si="4"/>
        <v>129139.69786904404</v>
      </c>
      <c r="CP9" s="28">
        <f t="shared" si="4"/>
        <v>130456.06292170366</v>
      </c>
      <c r="CQ9" s="28">
        <f t="shared" si="4"/>
        <v>131785.84613299658</v>
      </c>
      <c r="CR9" s="28">
        <f t="shared" si="4"/>
        <v>133129.18427879718</v>
      </c>
      <c r="CS9" s="28">
        <f t="shared" si="4"/>
        <v>134486.2155291831</v>
      </c>
      <c r="CT9" s="28">
        <f t="shared" si="4"/>
        <v>135857.07946264674</v>
      </c>
      <c r="CU9" s="28">
        <f t="shared" si="4"/>
        <v>137241.91708045176</v>
      </c>
      <c r="CV9" s="28">
        <f t="shared" si="4"/>
        <v>138640.87082113588</v>
      </c>
      <c r="CW9" s="28">
        <f t="shared" si="4"/>
        <v>140054.08457516143</v>
      </c>
      <c r="CX9" s="28">
        <f t="shared" si="4"/>
        <v>141481.70369971544</v>
      </c>
      <c r="CY9" s="28">
        <f t="shared" si="4"/>
        <v>142923.87503366038</v>
      </c>
      <c r="CZ9" s="28">
        <f t="shared" si="4"/>
        <v>144380.74691263741</v>
      </c>
      <c r="DA9" s="28">
        <f t="shared" si="5"/>
        <v>145852.46918432351</v>
      </c>
      <c r="DB9" s="28">
        <f t="shared" si="5"/>
        <v>147339.19322384425</v>
      </c>
      <c r="DC9" s="28">
        <f t="shared" si="5"/>
        <v>148841.0719493436</v>
      </c>
    </row>
    <row r="10" spans="2:107">
      <c r="B10" s="30" t="s">
        <v>34</v>
      </c>
      <c r="C10" s="31" t="s">
        <v>34</v>
      </c>
      <c r="D10" s="19">
        <f t="shared" si="0"/>
        <v>11915.878711356099</v>
      </c>
      <c r="E10" s="20">
        <f t="shared" si="1"/>
        <v>1.4</v>
      </c>
      <c r="G10" s="21"/>
      <c r="I10" s="32"/>
      <c r="J10" s="31" t="s">
        <v>34</v>
      </c>
      <c r="K10" s="27">
        <v>6153.4877205834546</v>
      </c>
      <c r="L10" s="27">
        <v>6601.3673412392</v>
      </c>
      <c r="M10" s="27">
        <v>7175.0985030389647</v>
      </c>
      <c r="N10" s="27">
        <v>7525.4768655588614</v>
      </c>
      <c r="O10" s="27">
        <v>7831.2537117394068</v>
      </c>
      <c r="P10" s="27">
        <v>7623.3676847375236</v>
      </c>
      <c r="Q10" s="27">
        <v>7552.8060084544268</v>
      </c>
      <c r="R10" s="27">
        <v>7389.4046392494383</v>
      </c>
      <c r="S10" s="27">
        <v>7460.1372739440003</v>
      </c>
      <c r="T10" s="27">
        <v>7531.2374558335241</v>
      </c>
      <c r="U10" s="27">
        <v>7830.9875991661147</v>
      </c>
      <c r="V10" s="27">
        <v>8099.8508806095215</v>
      </c>
      <c r="W10" s="27">
        <v>8460.7070357397497</v>
      </c>
      <c r="X10" s="27">
        <v>8663.0726862110496</v>
      </c>
      <c r="Y10" s="27">
        <v>8859.3416820886414</v>
      </c>
      <c r="Z10" s="27">
        <v>9052.4536339974147</v>
      </c>
      <c r="AA10" s="27">
        <v>9373.7185556855529</v>
      </c>
      <c r="AB10" s="27">
        <v>9621.8207674212463</v>
      </c>
      <c r="AC10" s="27">
        <v>9834.996777635015</v>
      </c>
      <c r="AD10" s="27">
        <v>9775.4231556457744</v>
      </c>
      <c r="AE10" s="27">
        <v>9742.7756499440347</v>
      </c>
      <c r="AF10" s="27">
        <v>9808.662660087919</v>
      </c>
      <c r="AG10" s="27">
        <v>10242.845895781003</v>
      </c>
      <c r="AH10" s="27">
        <v>10671.027138227899</v>
      </c>
      <c r="AI10" s="27">
        <v>11088.738603127511</v>
      </c>
      <c r="AJ10" s="27">
        <v>11502.528862068175</v>
      </c>
      <c r="AK10" s="27">
        <v>11915.878711356099</v>
      </c>
      <c r="AL10" s="27">
        <v>12326.085313134599</v>
      </c>
      <c r="AM10" s="27">
        <v>12730.847819179327</v>
      </c>
      <c r="AN10" s="27">
        <v>13124.468428358865</v>
      </c>
      <c r="AO10" s="27">
        <v>13519.964646776079</v>
      </c>
      <c r="AP10" s="27">
        <v>13929.638526306322</v>
      </c>
      <c r="AQ10" s="27">
        <v>14345.639160938015</v>
      </c>
      <c r="AR10" s="27">
        <v>14767.085792523021</v>
      </c>
      <c r="AS10" s="27">
        <v>15191.028786111436</v>
      </c>
      <c r="AT10" s="27">
        <v>15620.61110981365</v>
      </c>
      <c r="AU10" s="27">
        <v>16055.387873903157</v>
      </c>
      <c r="AV10" s="27">
        <v>16499.14093671165</v>
      </c>
      <c r="AW10" s="27">
        <v>16951.370164130367</v>
      </c>
      <c r="AX10" s="27">
        <v>17415.26555420252</v>
      </c>
      <c r="AY10" s="27">
        <v>17891.91659496272</v>
      </c>
      <c r="AZ10" s="27">
        <v>18363.979362009177</v>
      </c>
      <c r="BA10" s="27">
        <v>18829.306265248259</v>
      </c>
      <c r="BB10" s="27">
        <v>19290.738432156402</v>
      </c>
      <c r="BC10" s="27">
        <v>19748.458717637841</v>
      </c>
      <c r="BD10" s="27">
        <f t="shared" si="6"/>
        <v>19950.225058848479</v>
      </c>
      <c r="BE10" s="27">
        <f t="shared" si="6"/>
        <v>20154.052809358323</v>
      </c>
      <c r="BF10" s="27">
        <f t="shared" si="6"/>
        <v>20359.963030203984</v>
      </c>
      <c r="BG10" s="27">
        <f t="shared" si="6"/>
        <v>20567.976997598777</v>
      </c>
      <c r="BH10" s="27">
        <f t="shared" si="6"/>
        <v>20778.116205131144</v>
      </c>
      <c r="BI10" s="27">
        <f t="shared" si="6"/>
        <v>20990.402365985534</v>
      </c>
      <c r="BJ10" s="27">
        <f t="shared" si="6"/>
        <v>21204.857415185979</v>
      </c>
      <c r="BK10" s="27">
        <f t="shared" si="6"/>
        <v>21421.503511862586</v>
      </c>
      <c r="BL10" s="27">
        <f t="shared" si="6"/>
        <v>21640.363041541179</v>
      </c>
      <c r="BM10" s="27">
        <f t="shared" si="6"/>
        <v>21861.458618456356</v>
      </c>
      <c r="BN10" s="27">
        <f t="shared" si="6"/>
        <v>22084.813087888149</v>
      </c>
      <c r="BO10" s="27">
        <f t="shared" si="6"/>
        <v>22310.449528522589</v>
      </c>
      <c r="BP10" s="27">
        <f t="shared" si="6"/>
        <v>22538.391254836359</v>
      </c>
      <c r="BQ10" s="27">
        <f t="shared" si="6"/>
        <v>22768.661819505829</v>
      </c>
      <c r="BR10" s="27">
        <f t="shared" si="6"/>
        <v>23001.285015840695</v>
      </c>
      <c r="BS10" s="27">
        <f t="shared" si="6"/>
        <v>23236.284880242485</v>
      </c>
      <c r="BT10" s="8">
        <v>2.0433629185495183E-2</v>
      </c>
      <c r="BU10" s="28">
        <f t="shared" si="3"/>
        <v>16682.230195898537</v>
      </c>
      <c r="BV10" s="28">
        <f t="shared" si="3"/>
        <v>17256.519438388437</v>
      </c>
      <c r="BW10" s="28">
        <f t="shared" si="3"/>
        <v>17823.186946851056</v>
      </c>
      <c r="BX10" s="28">
        <f t="shared" si="3"/>
        <v>18374.255799702409</v>
      </c>
      <c r="BY10" s="28">
        <f t="shared" si="3"/>
        <v>18927.950505486511</v>
      </c>
      <c r="BZ10" s="28">
        <f t="shared" si="3"/>
        <v>19501.493936828851</v>
      </c>
      <c r="CA10" s="28">
        <f t="shared" si="3"/>
        <v>20083.894825313218</v>
      </c>
      <c r="CB10" s="28">
        <f t="shared" si="3"/>
        <v>20673.920109532228</v>
      </c>
      <c r="CC10" s="28">
        <f t="shared" si="3"/>
        <v>21267.440300556009</v>
      </c>
      <c r="CD10" s="28">
        <f t="shared" si="3"/>
        <v>21868.855553739108</v>
      </c>
      <c r="CE10" s="28">
        <f t="shared" si="3"/>
        <v>22477.543023464419</v>
      </c>
      <c r="CF10" s="28">
        <f t="shared" si="3"/>
        <v>23098.797311396309</v>
      </c>
      <c r="CG10" s="28">
        <f t="shared" si="3"/>
        <v>23731.918229782514</v>
      </c>
      <c r="CH10" s="28">
        <f t="shared" si="3"/>
        <v>24381.371775883526</v>
      </c>
      <c r="CI10" s="29">
        <f t="shared" si="3"/>
        <v>25048.683232947806</v>
      </c>
      <c r="CJ10" s="28">
        <f t="shared" si="3"/>
        <v>25709.571106812848</v>
      </c>
      <c r="CK10" s="28">
        <f t="shared" si="4"/>
        <v>26361.028771347559</v>
      </c>
      <c r="CL10" s="28">
        <f t="shared" si="4"/>
        <v>27007.03380501896</v>
      </c>
      <c r="CM10" s="28">
        <f t="shared" si="4"/>
        <v>27647.842204692977</v>
      </c>
      <c r="CN10" s="28">
        <f t="shared" si="4"/>
        <v>27930.315082387868</v>
      </c>
      <c r="CO10" s="28">
        <f t="shared" si="4"/>
        <v>28215.673933101651</v>
      </c>
      <c r="CP10" s="28">
        <f t="shared" si="4"/>
        <v>28503.948242285576</v>
      </c>
      <c r="CQ10" s="28">
        <f t="shared" si="4"/>
        <v>28795.167796638285</v>
      </c>
      <c r="CR10" s="28">
        <f t="shared" si="4"/>
        <v>29089.362687183599</v>
      </c>
      <c r="CS10" s="28">
        <f t="shared" si="4"/>
        <v>29386.563312379745</v>
      </c>
      <c r="CT10" s="28">
        <f t="shared" si="4"/>
        <v>29686.800381260367</v>
      </c>
      <c r="CU10" s="28">
        <f t="shared" si="4"/>
        <v>29990.104916607619</v>
      </c>
      <c r="CV10" s="28">
        <f t="shared" si="4"/>
        <v>30296.50825815765</v>
      </c>
      <c r="CW10" s="28">
        <f t="shared" si="4"/>
        <v>30606.042065838898</v>
      </c>
      <c r="CX10" s="28">
        <f t="shared" si="4"/>
        <v>30918.738323043406</v>
      </c>
      <c r="CY10" s="28">
        <f t="shared" si="4"/>
        <v>31234.629339931624</v>
      </c>
      <c r="CZ10" s="28">
        <f t="shared" si="4"/>
        <v>31553.747756770899</v>
      </c>
      <c r="DA10" s="28">
        <f t="shared" si="5"/>
        <v>31876.126547308158</v>
      </c>
      <c r="DB10" s="28">
        <f t="shared" si="5"/>
        <v>32201.799022176969</v>
      </c>
      <c r="DC10" s="28">
        <f t="shared" si="5"/>
        <v>32530.798832339478</v>
      </c>
    </row>
    <row r="11" spans="2:107">
      <c r="B11" s="32" t="s">
        <v>35</v>
      </c>
      <c r="C11" s="33"/>
      <c r="D11" s="19">
        <f t="shared" si="0"/>
        <v>92015.038003802634</v>
      </c>
      <c r="E11" s="20">
        <f t="shared" si="1"/>
        <v>1.4</v>
      </c>
      <c r="G11" s="21"/>
      <c r="I11" s="32" t="s">
        <v>35</v>
      </c>
      <c r="J11" s="31"/>
      <c r="K11" s="22">
        <v>27671.216144116621</v>
      </c>
      <c r="L11" s="22">
        <v>30501.391993619232</v>
      </c>
      <c r="M11" s="22">
        <v>33223.729776661457</v>
      </c>
      <c r="N11" s="22">
        <v>34897.639168027628</v>
      </c>
      <c r="O11" s="22">
        <v>36279.100818361832</v>
      </c>
      <c r="P11" s="22">
        <v>35682.340359641996</v>
      </c>
      <c r="Q11" s="22">
        <v>35955.282336227108</v>
      </c>
      <c r="R11" s="22">
        <v>37223.143803266219</v>
      </c>
      <c r="S11" s="22">
        <v>39215.645577692543</v>
      </c>
      <c r="T11" s="22">
        <v>41032.728398936175</v>
      </c>
      <c r="U11" s="22">
        <v>43758.716480516763</v>
      </c>
      <c r="V11" s="22">
        <v>46179.527196345829</v>
      </c>
      <c r="W11" s="22">
        <v>48752.369113412737</v>
      </c>
      <c r="X11" s="22">
        <v>51554.5091287174</v>
      </c>
      <c r="Y11" s="22">
        <v>55556.001988613483</v>
      </c>
      <c r="Z11" s="22">
        <v>60650.394494160835</v>
      </c>
      <c r="AA11" s="22">
        <v>66328.228557552589</v>
      </c>
      <c r="AB11" s="22">
        <v>71726.137956444771</v>
      </c>
      <c r="AC11" s="22">
        <v>76406.744269997158</v>
      </c>
      <c r="AD11" s="22">
        <v>78391.464266051218</v>
      </c>
      <c r="AE11" s="22">
        <v>80177.839264070848</v>
      </c>
      <c r="AF11" s="22">
        <v>81712.342696860593</v>
      </c>
      <c r="AG11" s="22">
        <v>83549.26179271056</v>
      </c>
      <c r="AH11" s="22">
        <v>85743.856236177686</v>
      </c>
      <c r="AI11" s="22">
        <v>87853.615024251863</v>
      </c>
      <c r="AJ11" s="22">
        <v>89939.758682284315</v>
      </c>
      <c r="AK11" s="22">
        <v>92015.038003802634</v>
      </c>
      <c r="AL11" s="22">
        <v>94066.632110119244</v>
      </c>
      <c r="AM11" s="22">
        <v>96100.106278837397</v>
      </c>
      <c r="AN11" s="22">
        <v>97789.249147316325</v>
      </c>
      <c r="AO11" s="22">
        <v>99477.530929262022</v>
      </c>
      <c r="AP11" s="22">
        <v>101210.42382046576</v>
      </c>
      <c r="AQ11" s="22">
        <v>102993.04188938582</v>
      </c>
      <c r="AR11" s="22">
        <v>104847.14263109272</v>
      </c>
      <c r="AS11" s="22">
        <v>106786.25639348211</v>
      </c>
      <c r="AT11" s="22">
        <v>108790.6798914188</v>
      </c>
      <c r="AU11" s="22">
        <v>110857.14942433978</v>
      </c>
      <c r="AV11" s="22">
        <v>113012.52869968172</v>
      </c>
      <c r="AW11" s="22">
        <v>115262.44320743326</v>
      </c>
      <c r="AX11" s="22">
        <v>117631.51974374992</v>
      </c>
      <c r="AY11" s="22">
        <v>120110.20458093345</v>
      </c>
      <c r="AZ11" s="22">
        <v>122606.65980703506</v>
      </c>
      <c r="BA11" s="22">
        <v>125118.89679655434</v>
      </c>
      <c r="BB11" s="22">
        <v>127654.43067366004</v>
      </c>
      <c r="BC11" s="22">
        <v>130220.79153367163</v>
      </c>
      <c r="BD11" s="22">
        <f t="shared" ref="BD11:BS11" si="7">SUM(BD12:BD15)</f>
        <v>131471.27627049456</v>
      </c>
      <c r="BE11" s="22">
        <f t="shared" si="7"/>
        <v>132733.7815886829</v>
      </c>
      <c r="BF11" s="22">
        <f t="shared" si="7"/>
        <v>134008.42315194622</v>
      </c>
      <c r="BG11" s="22">
        <f t="shared" si="7"/>
        <v>135295.31773795563</v>
      </c>
      <c r="BH11" s="22">
        <f t="shared" si="7"/>
        <v>136594.58324908226</v>
      </c>
      <c r="BI11" s="22">
        <f t="shared" si="7"/>
        <v>137906.3387232385</v>
      </c>
      <c r="BJ11" s="22">
        <f t="shared" si="7"/>
        <v>139230.70434482428</v>
      </c>
      <c r="BK11" s="22">
        <f t="shared" si="7"/>
        <v>140567.801455779</v>
      </c>
      <c r="BL11" s="22">
        <f t="shared" si="7"/>
        <v>141917.75256673968</v>
      </c>
      <c r="BM11" s="22">
        <f t="shared" si="7"/>
        <v>143280.6813683073</v>
      </c>
      <c r="BN11" s="22">
        <f t="shared" si="7"/>
        <v>144656.71274242137</v>
      </c>
      <c r="BO11" s="22">
        <f t="shared" si="7"/>
        <v>146045.97277384452</v>
      </c>
      <c r="BP11" s="22">
        <f t="shared" si="7"/>
        <v>147448.58876175783</v>
      </c>
      <c r="BQ11" s="22">
        <f t="shared" si="7"/>
        <v>148864.68923146787</v>
      </c>
      <c r="BR11" s="22">
        <f t="shared" si="7"/>
        <v>150294.40394622699</v>
      </c>
      <c r="BS11" s="22">
        <f t="shared" si="7"/>
        <v>151737.86391916752</v>
      </c>
      <c r="BT11" s="8">
        <v>1.9209643674665156E-2</v>
      </c>
      <c r="BU11" s="23">
        <f t="shared" si="3"/>
        <v>128821.05320532368</v>
      </c>
      <c r="BV11" s="23">
        <f t="shared" si="3"/>
        <v>131693.28495416694</v>
      </c>
      <c r="BW11" s="23">
        <f t="shared" si="3"/>
        <v>134540.14879037236</v>
      </c>
      <c r="BX11" s="23">
        <f t="shared" si="3"/>
        <v>136904.94880624284</v>
      </c>
      <c r="BY11" s="23">
        <f t="shared" si="3"/>
        <v>139268.54330096682</v>
      </c>
      <c r="BZ11" s="23">
        <f t="shared" si="3"/>
        <v>141694.59334865207</v>
      </c>
      <c r="CA11" s="23">
        <f t="shared" si="3"/>
        <v>144190.25864514013</v>
      </c>
      <c r="CB11" s="23">
        <f t="shared" si="3"/>
        <v>146785.99968352981</v>
      </c>
      <c r="CC11" s="23">
        <f t="shared" si="3"/>
        <v>149500.75895087494</v>
      </c>
      <c r="CD11" s="23">
        <f t="shared" si="3"/>
        <v>152306.95184798632</v>
      </c>
      <c r="CE11" s="23">
        <f t="shared" si="3"/>
        <v>155200.00919407568</v>
      </c>
      <c r="CF11" s="23">
        <f t="shared" si="3"/>
        <v>158217.5401795544</v>
      </c>
      <c r="CG11" s="23">
        <f t="shared" si="3"/>
        <v>161367.42049040654</v>
      </c>
      <c r="CH11" s="24">
        <f t="shared" si="3"/>
        <v>164684.12764124988</v>
      </c>
      <c r="CI11" s="23">
        <f t="shared" si="3"/>
        <v>168154.28641330684</v>
      </c>
      <c r="CJ11" s="23">
        <f t="shared" si="3"/>
        <v>171649.32372984907</v>
      </c>
      <c r="CK11" s="23">
        <f t="shared" si="4"/>
        <v>175166.45551517606</v>
      </c>
      <c r="CL11" s="23">
        <f t="shared" si="4"/>
        <v>178716.20294312405</v>
      </c>
      <c r="CM11" s="23">
        <f t="shared" si="4"/>
        <v>182309.10814714027</v>
      </c>
      <c r="CN11" s="23">
        <f t="shared" si="4"/>
        <v>184059.78677869239</v>
      </c>
      <c r="CO11" s="23">
        <f t="shared" si="4"/>
        <v>185827.29422415607</v>
      </c>
      <c r="CP11" s="23">
        <f t="shared" si="4"/>
        <v>187611.7924127247</v>
      </c>
      <c r="CQ11" s="23">
        <f t="shared" si="4"/>
        <v>189413.44483313788</v>
      </c>
      <c r="CR11" s="23">
        <f t="shared" si="4"/>
        <v>191232.41654871515</v>
      </c>
      <c r="CS11" s="23">
        <f t="shared" si="4"/>
        <v>193068.87421253388</v>
      </c>
      <c r="CT11" s="23">
        <f t="shared" si="4"/>
        <v>194922.98608275398</v>
      </c>
      <c r="CU11" s="23">
        <f t="shared" si="4"/>
        <v>196794.92203809059</v>
      </c>
      <c r="CV11" s="23">
        <f t="shared" si="4"/>
        <v>198684.85359343555</v>
      </c>
      <c r="CW11" s="23">
        <f t="shared" si="4"/>
        <v>200592.95391563021</v>
      </c>
      <c r="CX11" s="23">
        <f t="shared" si="4"/>
        <v>202519.39783938992</v>
      </c>
      <c r="CY11" s="23">
        <f t="shared" si="4"/>
        <v>204464.36188338231</v>
      </c>
      <c r="CZ11" s="23">
        <f t="shared" si="4"/>
        <v>206428.02426646094</v>
      </c>
      <c r="DA11" s="23">
        <f t="shared" si="5"/>
        <v>208410.56492405501</v>
      </c>
      <c r="DB11" s="23">
        <f t="shared" si="5"/>
        <v>210412.16552471777</v>
      </c>
      <c r="DC11" s="23">
        <f t="shared" si="5"/>
        <v>212433.00948683452</v>
      </c>
    </row>
    <row r="12" spans="2:107">
      <c r="B12" s="30" t="s">
        <v>36</v>
      </c>
      <c r="C12" s="33" t="s">
        <v>36</v>
      </c>
      <c r="D12" s="19">
        <f t="shared" si="0"/>
        <v>48143.582986108093</v>
      </c>
      <c r="E12" s="20">
        <f t="shared" si="1"/>
        <v>1.4</v>
      </c>
      <c r="G12" s="21"/>
      <c r="I12" s="32"/>
      <c r="J12" s="31" t="s">
        <v>36</v>
      </c>
      <c r="K12" s="27">
        <v>16186.806479372804</v>
      </c>
      <c r="L12" s="27">
        <v>16054.949792108222</v>
      </c>
      <c r="M12" s="27">
        <v>16039.633058339496</v>
      </c>
      <c r="N12" s="27">
        <v>15949.480430748816</v>
      </c>
      <c r="O12" s="27">
        <v>15707.683201736445</v>
      </c>
      <c r="P12" s="27">
        <v>15052.604378898062</v>
      </c>
      <c r="Q12" s="27">
        <v>14823.019455095777</v>
      </c>
      <c r="R12" s="27">
        <v>14917.600228265888</v>
      </c>
      <c r="S12" s="27">
        <v>15373.417382722926</v>
      </c>
      <c r="T12" s="27">
        <v>15797.495257689963</v>
      </c>
      <c r="U12" s="27">
        <v>16700.817098603991</v>
      </c>
      <c r="V12" s="27">
        <v>17799.770568880282</v>
      </c>
      <c r="W12" s="27">
        <v>19091.398373875301</v>
      </c>
      <c r="X12" s="27">
        <v>20744.867204229744</v>
      </c>
      <c r="Y12" s="27">
        <v>23140.539444240927</v>
      </c>
      <c r="Z12" s="27">
        <v>26167.952079794723</v>
      </c>
      <c r="AA12" s="27">
        <v>29485.052468670987</v>
      </c>
      <c r="AB12" s="27">
        <v>32558.618506484192</v>
      </c>
      <c r="AC12" s="27">
        <v>35196.554083412419</v>
      </c>
      <c r="AD12" s="27">
        <v>36441.828258705609</v>
      </c>
      <c r="AE12" s="27">
        <v>37735.072717730844</v>
      </c>
      <c r="AF12" s="27">
        <v>39055.817961678484</v>
      </c>
      <c r="AG12" s="27">
        <v>40600.667850012891</v>
      </c>
      <c r="AH12" s="27">
        <v>42591.427063130977</v>
      </c>
      <c r="AI12" s="27">
        <v>44492.350425145662</v>
      </c>
      <c r="AJ12" s="27">
        <v>46339.608195356246</v>
      </c>
      <c r="AK12" s="27">
        <v>48143.582986108093</v>
      </c>
      <c r="AL12" s="27">
        <v>49916.207815730108</v>
      </c>
      <c r="AM12" s="27">
        <v>51659.295904128005</v>
      </c>
      <c r="AN12" s="27">
        <v>53167.705364881884</v>
      </c>
      <c r="AO12" s="27">
        <v>54642.964258794418</v>
      </c>
      <c r="AP12" s="27">
        <v>56114.145416204192</v>
      </c>
      <c r="AQ12" s="27">
        <v>57578.912489544644</v>
      </c>
      <c r="AR12" s="27">
        <v>59057.634229850024</v>
      </c>
      <c r="AS12" s="27">
        <v>60570.548442005827</v>
      </c>
      <c r="AT12" s="27">
        <v>62094.059960212442</v>
      </c>
      <c r="AU12" s="27">
        <v>63630.55072431601</v>
      </c>
      <c r="AV12" s="27">
        <v>65204.610766933984</v>
      </c>
      <c r="AW12" s="27">
        <v>66814.230697767343</v>
      </c>
      <c r="AX12" s="27">
        <v>68477.578943853237</v>
      </c>
      <c r="AY12" s="27">
        <v>70181.019913381286</v>
      </c>
      <c r="AZ12" s="27">
        <v>71867.454380785028</v>
      </c>
      <c r="BA12" s="27">
        <v>73539.874900040799</v>
      </c>
      <c r="BB12" s="27">
        <v>75203.144136931034</v>
      </c>
      <c r="BC12" s="27">
        <v>76864.711910001613</v>
      </c>
      <c r="BD12" s="27">
        <f t="shared" ref="BD12:BS15" si="8">BC12*(1+$BT12/2)</f>
        <v>77619.319386012416</v>
      </c>
      <c r="BE12" s="27">
        <f t="shared" si="8"/>
        <v>78381.335104748679</v>
      </c>
      <c r="BF12" s="27">
        <f t="shared" si="8"/>
        <v>79150.831795492864</v>
      </c>
      <c r="BG12" s="27">
        <f t="shared" si="8"/>
        <v>79927.882901535981</v>
      </c>
      <c r="BH12" s="27">
        <f t="shared" si="8"/>
        <v>80712.562587187247</v>
      </c>
      <c r="BI12" s="27">
        <f t="shared" si="8"/>
        <v>81504.94574485255</v>
      </c>
      <c r="BJ12" s="27">
        <f t="shared" si="8"/>
        <v>82305.10800218246</v>
      </c>
      <c r="BK12" s="27">
        <f t="shared" si="8"/>
        <v>83113.125729290361</v>
      </c>
      <c r="BL12" s="27">
        <f t="shared" si="8"/>
        <v>83929.07604604146</v>
      </c>
      <c r="BM12" s="27">
        <f t="shared" si="8"/>
        <v>84753.03682941338</v>
      </c>
      <c r="BN12" s="27">
        <f t="shared" si="8"/>
        <v>85585.086720928972</v>
      </c>
      <c r="BO12" s="27">
        <f t="shared" si="8"/>
        <v>86425.305134162132</v>
      </c>
      <c r="BP12" s="27">
        <f t="shared" si="8"/>
        <v>87273.772262317303</v>
      </c>
      <c r="BQ12" s="27">
        <f t="shared" si="8"/>
        <v>88130.569085883355</v>
      </c>
      <c r="BR12" s="27">
        <f t="shared" si="8"/>
        <v>88995.777380362633</v>
      </c>
      <c r="BS12" s="27">
        <f t="shared" si="8"/>
        <v>89869.479724075922</v>
      </c>
      <c r="BT12" s="8">
        <v>1.9634692104078866E-2</v>
      </c>
      <c r="BU12" s="28">
        <f t="shared" si="3"/>
        <v>67401.01618055132</v>
      </c>
      <c r="BV12" s="28">
        <f t="shared" si="3"/>
        <v>69882.690942022149</v>
      </c>
      <c r="BW12" s="28">
        <f t="shared" si="3"/>
        <v>72323.014265779202</v>
      </c>
      <c r="BX12" s="28">
        <f t="shared" si="3"/>
        <v>74434.787510834634</v>
      </c>
      <c r="BY12" s="28">
        <f t="shared" si="3"/>
        <v>76500.149962312178</v>
      </c>
      <c r="BZ12" s="28">
        <f t="shared" si="3"/>
        <v>78559.803582685869</v>
      </c>
      <c r="CA12" s="28">
        <f t="shared" si="3"/>
        <v>80610.477485362499</v>
      </c>
      <c r="CB12" s="28">
        <f t="shared" si="3"/>
        <v>82680.687921790028</v>
      </c>
      <c r="CC12" s="28">
        <f t="shared" si="3"/>
        <v>84798.767818808148</v>
      </c>
      <c r="CD12" s="28">
        <f t="shared" si="3"/>
        <v>86931.683944297416</v>
      </c>
      <c r="CE12" s="28">
        <f t="shared" si="3"/>
        <v>89082.771014042402</v>
      </c>
      <c r="CF12" s="28">
        <f t="shared" si="3"/>
        <v>91286.455073707577</v>
      </c>
      <c r="CG12" s="28">
        <f t="shared" si="3"/>
        <v>93539.922976874281</v>
      </c>
      <c r="CH12" s="28">
        <f t="shared" si="3"/>
        <v>95868.610521394527</v>
      </c>
      <c r="CI12" s="29">
        <f t="shared" si="3"/>
        <v>98253.427878733797</v>
      </c>
      <c r="CJ12" s="28">
        <f t="shared" si="3"/>
        <v>100614.43613309904</v>
      </c>
      <c r="CK12" s="28">
        <f t="shared" si="4"/>
        <v>102955.82486005711</v>
      </c>
      <c r="CL12" s="28">
        <f t="shared" si="4"/>
        <v>105284.40179170344</v>
      </c>
      <c r="CM12" s="28">
        <f t="shared" si="4"/>
        <v>107610.59667400226</v>
      </c>
      <c r="CN12" s="28">
        <f t="shared" si="4"/>
        <v>108667.04714041737</v>
      </c>
      <c r="CO12" s="28">
        <f t="shared" si="4"/>
        <v>109733.86914664814</v>
      </c>
      <c r="CP12" s="28">
        <f t="shared" si="4"/>
        <v>110811.16451369</v>
      </c>
      <c r="CQ12" s="28">
        <f t="shared" si="4"/>
        <v>111899.03606215036</v>
      </c>
      <c r="CR12" s="28">
        <f t="shared" si="4"/>
        <v>112997.58762206214</v>
      </c>
      <c r="CS12" s="28">
        <f t="shared" si="4"/>
        <v>114106.92404279356</v>
      </c>
      <c r="CT12" s="28">
        <f t="shared" si="4"/>
        <v>115227.15120305543</v>
      </c>
      <c r="CU12" s="28">
        <f t="shared" si="4"/>
        <v>116358.37602100649</v>
      </c>
      <c r="CV12" s="28">
        <f t="shared" si="4"/>
        <v>117500.70646445804</v>
      </c>
      <c r="CW12" s="28">
        <f t="shared" si="4"/>
        <v>118654.25156117872</v>
      </c>
      <c r="CX12" s="28">
        <f t="shared" si="4"/>
        <v>119819.12140930055</v>
      </c>
      <c r="CY12" s="28">
        <f t="shared" si="4"/>
        <v>120995.42718782698</v>
      </c>
      <c r="CZ12" s="28">
        <f t="shared" si="4"/>
        <v>122183.28116724422</v>
      </c>
      <c r="DA12" s="28">
        <f t="shared" si="5"/>
        <v>123382.79672023669</v>
      </c>
      <c r="DB12" s="28">
        <f t="shared" si="5"/>
        <v>124594.08833250767</v>
      </c>
      <c r="DC12" s="28">
        <f t="shared" si="5"/>
        <v>125817.27161370628</v>
      </c>
    </row>
    <row r="13" spans="2:107">
      <c r="B13" s="30" t="s">
        <v>37</v>
      </c>
      <c r="C13" s="33" t="s">
        <v>37</v>
      </c>
      <c r="D13" s="19">
        <f t="shared" si="0"/>
        <v>22516.809463712463</v>
      </c>
      <c r="E13" s="20">
        <f t="shared" si="1"/>
        <v>1.4</v>
      </c>
      <c r="G13" s="21"/>
      <c r="I13" s="32"/>
      <c r="J13" s="31" t="s">
        <v>37</v>
      </c>
      <c r="K13" s="27">
        <v>5503.7577716744045</v>
      </c>
      <c r="L13" s="27">
        <v>5883.2622702868985</v>
      </c>
      <c r="M13" s="27">
        <v>6224.466227582815</v>
      </c>
      <c r="N13" s="27">
        <v>6542.0251165430018</v>
      </c>
      <c r="O13" s="27">
        <v>6776.1195806544783</v>
      </c>
      <c r="P13" s="27">
        <v>6763.971839731299</v>
      </c>
      <c r="Q13" s="27">
        <v>6887.4758999162732</v>
      </c>
      <c r="R13" s="27">
        <v>7285.0557906194963</v>
      </c>
      <c r="S13" s="27">
        <v>7908.7612125580672</v>
      </c>
      <c r="T13" s="27">
        <v>8502.6122011893094</v>
      </c>
      <c r="U13" s="27">
        <v>9268.0099271770523</v>
      </c>
      <c r="V13" s="27">
        <v>9939.8483544141855</v>
      </c>
      <c r="W13" s="27">
        <v>10625.269712402438</v>
      </c>
      <c r="X13" s="27">
        <v>11351.222520468669</v>
      </c>
      <c r="Y13" s="27">
        <v>12295.435019116994</v>
      </c>
      <c r="Z13" s="27">
        <v>13548.840975678655</v>
      </c>
      <c r="AA13" s="27">
        <v>15134.737940388462</v>
      </c>
      <c r="AB13" s="27">
        <v>16756.962437798484</v>
      </c>
      <c r="AC13" s="27">
        <v>18130.031457118679</v>
      </c>
      <c r="AD13" s="27">
        <v>18787.827092094169</v>
      </c>
      <c r="AE13" s="27">
        <v>19386.460775554682</v>
      </c>
      <c r="AF13" s="27">
        <v>19929.219397364628</v>
      </c>
      <c r="AG13" s="27">
        <v>20474.820674024046</v>
      </c>
      <c r="AH13" s="27">
        <v>20990.310489812975</v>
      </c>
      <c r="AI13" s="27">
        <v>21496.462238957109</v>
      </c>
      <c r="AJ13" s="27">
        <v>22006.228318178542</v>
      </c>
      <c r="AK13" s="27">
        <v>22516.809463712463</v>
      </c>
      <c r="AL13" s="27">
        <v>23012.141240580422</v>
      </c>
      <c r="AM13" s="27">
        <v>23494.851518400945</v>
      </c>
      <c r="AN13" s="27">
        <v>23889.540137663251</v>
      </c>
      <c r="AO13" s="27">
        <v>24276.908363587492</v>
      </c>
      <c r="AP13" s="27">
        <v>24668.284340677634</v>
      </c>
      <c r="AQ13" s="27">
        <v>25067.858800474609</v>
      </c>
      <c r="AR13" s="27">
        <v>25478.069085250096</v>
      </c>
      <c r="AS13" s="27">
        <v>25901.37511007287</v>
      </c>
      <c r="AT13" s="27">
        <v>26339.211857294275</v>
      </c>
      <c r="AU13" s="27">
        <v>26792.99977341816</v>
      </c>
      <c r="AV13" s="27">
        <v>27264.774336137729</v>
      </c>
      <c r="AW13" s="27">
        <v>27758.813702258052</v>
      </c>
      <c r="AX13" s="27">
        <v>28278.797829222585</v>
      </c>
      <c r="AY13" s="27">
        <v>28826.57000698099</v>
      </c>
      <c r="AZ13" s="27">
        <v>29379.976562212472</v>
      </c>
      <c r="BA13" s="27">
        <v>29939.375062227566</v>
      </c>
      <c r="BB13" s="27">
        <v>30506.371497423857</v>
      </c>
      <c r="BC13" s="27">
        <v>31082.322599834002</v>
      </c>
      <c r="BD13" s="27">
        <f t="shared" si="8"/>
        <v>31376.419677898448</v>
      </c>
      <c r="BE13" s="27">
        <f t="shared" si="8"/>
        <v>31673.299466008073</v>
      </c>
      <c r="BF13" s="27">
        <f t="shared" si="8"/>
        <v>31972.988293819893</v>
      </c>
      <c r="BG13" s="27">
        <f t="shared" si="8"/>
        <v>32275.512740118877</v>
      </c>
      <c r="BH13" s="27">
        <f t="shared" si="8"/>
        <v>32580.899635175152</v>
      </c>
      <c r="BI13" s="27">
        <f t="shared" si="8"/>
        <v>32889.17606312353</v>
      </c>
      <c r="BJ13" s="27">
        <f t="shared" si="8"/>
        <v>33200.36936436555</v>
      </c>
      <c r="BK13" s="27">
        <f t="shared" si="8"/>
        <v>33514.507137994231</v>
      </c>
      <c r="BL13" s="27">
        <f t="shared" si="8"/>
        <v>33831.617244241788</v>
      </c>
      <c r="BM13" s="27">
        <f t="shared" si="8"/>
        <v>34151.72780695049</v>
      </c>
      <c r="BN13" s="27">
        <f t="shared" si="8"/>
        <v>34474.867216066916</v>
      </c>
      <c r="BO13" s="27">
        <f t="shared" si="8"/>
        <v>34801.064130159786</v>
      </c>
      <c r="BP13" s="27">
        <f t="shared" si="8"/>
        <v>35130.347478961659</v>
      </c>
      <c r="BQ13" s="27">
        <f t="shared" si="8"/>
        <v>35462.746465934608</v>
      </c>
      <c r="BR13" s="27">
        <f t="shared" si="8"/>
        <v>35798.290570860256</v>
      </c>
      <c r="BS13" s="27">
        <f t="shared" si="8"/>
        <v>36137.009552454256</v>
      </c>
      <c r="BT13" s="8">
        <v>1.8923751731861449E-2</v>
      </c>
      <c r="BU13" s="28">
        <f t="shared" si="3"/>
        <v>31523.533249197448</v>
      </c>
      <c r="BV13" s="28">
        <f t="shared" si="3"/>
        <v>32216.997736812587</v>
      </c>
      <c r="BW13" s="28">
        <f t="shared" si="3"/>
        <v>32892.79212576132</v>
      </c>
      <c r="BX13" s="28">
        <f t="shared" si="3"/>
        <v>33445.356192728548</v>
      </c>
      <c r="BY13" s="28">
        <f t="shared" si="3"/>
        <v>33987.671709022485</v>
      </c>
      <c r="BZ13" s="28">
        <f t="shared" si="3"/>
        <v>34535.598076948685</v>
      </c>
      <c r="CA13" s="28">
        <f t="shared" si="3"/>
        <v>35095.002320664447</v>
      </c>
      <c r="CB13" s="28">
        <f t="shared" si="3"/>
        <v>35669.296719350132</v>
      </c>
      <c r="CC13" s="28">
        <f t="shared" si="3"/>
        <v>36261.925154102013</v>
      </c>
      <c r="CD13" s="28">
        <f t="shared" si="3"/>
        <v>36874.896600211985</v>
      </c>
      <c r="CE13" s="28">
        <f t="shared" si="3"/>
        <v>37510.199682785424</v>
      </c>
      <c r="CF13" s="28">
        <f t="shared" si="3"/>
        <v>38170.684070592819</v>
      </c>
      <c r="CG13" s="28">
        <f t="shared" si="3"/>
        <v>38862.339183161268</v>
      </c>
      <c r="CH13" s="28">
        <f t="shared" si="3"/>
        <v>39590.316960911616</v>
      </c>
      <c r="CI13" s="29">
        <f t="shared" si="3"/>
        <v>40357.198009773383</v>
      </c>
      <c r="CJ13" s="28">
        <f t="shared" si="3"/>
        <v>41131.967187097456</v>
      </c>
      <c r="CK13" s="28">
        <f t="shared" si="4"/>
        <v>41915.125087118591</v>
      </c>
      <c r="CL13" s="28">
        <f t="shared" si="4"/>
        <v>42708.920096393398</v>
      </c>
      <c r="CM13" s="28">
        <f t="shared" si="4"/>
        <v>43515.251639767601</v>
      </c>
      <c r="CN13" s="28">
        <f t="shared" si="4"/>
        <v>43926.987549057827</v>
      </c>
      <c r="CO13" s="28">
        <f t="shared" si="4"/>
        <v>44342.619252411299</v>
      </c>
      <c r="CP13" s="28">
        <f t="shared" si="4"/>
        <v>44762.183611347849</v>
      </c>
      <c r="CQ13" s="28">
        <f t="shared" si="4"/>
        <v>45185.717836166426</v>
      </c>
      <c r="CR13" s="28">
        <f t="shared" si="4"/>
        <v>45613.259489245211</v>
      </c>
      <c r="CS13" s="28">
        <f t="shared" si="4"/>
        <v>46044.846488372939</v>
      </c>
      <c r="CT13" s="28">
        <f t="shared" si="4"/>
        <v>46480.517110111767</v>
      </c>
      <c r="CU13" s="28">
        <f t="shared" si="4"/>
        <v>46920.309993191921</v>
      </c>
      <c r="CV13" s="28">
        <f t="shared" si="4"/>
        <v>47364.264141938504</v>
      </c>
      <c r="CW13" s="28">
        <f t="shared" si="4"/>
        <v>47812.41892973068</v>
      </c>
      <c r="CX13" s="28">
        <f t="shared" si="4"/>
        <v>48264.814102493678</v>
      </c>
      <c r="CY13" s="28">
        <f t="shared" si="4"/>
        <v>48721.489782223696</v>
      </c>
      <c r="CZ13" s="28">
        <f t="shared" si="4"/>
        <v>49182.486470546319</v>
      </c>
      <c r="DA13" s="28">
        <f t="shared" si="5"/>
        <v>49647.845052308447</v>
      </c>
      <c r="DB13" s="28">
        <f t="shared" si="5"/>
        <v>50117.606799204354</v>
      </c>
      <c r="DC13" s="28">
        <f t="shared" si="5"/>
        <v>50591.813373435958</v>
      </c>
    </row>
    <row r="14" spans="2:107">
      <c r="B14" s="30" t="s">
        <v>38</v>
      </c>
      <c r="C14" s="33" t="s">
        <v>38</v>
      </c>
      <c r="D14" s="19">
        <f t="shared" si="0"/>
        <v>14590.59600752955</v>
      </c>
      <c r="E14" s="20">
        <f t="shared" si="1"/>
        <v>1.4</v>
      </c>
      <c r="G14" s="21"/>
      <c r="I14" s="32"/>
      <c r="J14" s="31" t="s">
        <v>38</v>
      </c>
      <c r="K14" s="27">
        <v>3870.9326233911961</v>
      </c>
      <c r="L14" s="27">
        <v>5178.119824675694</v>
      </c>
      <c r="M14" s="27">
        <v>6408.1437735791624</v>
      </c>
      <c r="N14" s="27">
        <v>7319.7933541122757</v>
      </c>
      <c r="O14" s="27">
        <v>8253.5143266754058</v>
      </c>
      <c r="P14" s="27">
        <v>8363.7576001081761</v>
      </c>
      <c r="Q14" s="27">
        <v>8715.6848668225521</v>
      </c>
      <c r="R14" s="27">
        <v>9321.7374243386803</v>
      </c>
      <c r="S14" s="27">
        <v>9987.177955833442</v>
      </c>
      <c r="T14" s="27">
        <v>10528.08474236966</v>
      </c>
      <c r="U14" s="27">
        <v>11256.756349367157</v>
      </c>
      <c r="V14" s="27">
        <v>11689.755824845417</v>
      </c>
      <c r="W14" s="27">
        <v>12020.270214335045</v>
      </c>
      <c r="X14" s="27">
        <v>12333.978470511616</v>
      </c>
      <c r="Y14" s="27">
        <v>12841.64217447977</v>
      </c>
      <c r="Z14" s="27">
        <v>13445.794619629001</v>
      </c>
      <c r="AA14" s="27">
        <v>14011.730497176739</v>
      </c>
      <c r="AB14" s="27">
        <v>14579.024052536317</v>
      </c>
      <c r="AC14" s="27">
        <v>15133.052091178202</v>
      </c>
      <c r="AD14" s="27">
        <v>15280.905822863808</v>
      </c>
      <c r="AE14" s="27">
        <v>15277.040270114867</v>
      </c>
      <c r="AF14" s="27">
        <v>15075.490747546983</v>
      </c>
      <c r="AG14" s="27">
        <v>14925.866620516936</v>
      </c>
      <c r="AH14" s="27">
        <v>14825.404125609381</v>
      </c>
      <c r="AI14" s="27">
        <v>14730.838089535939</v>
      </c>
      <c r="AJ14" s="27">
        <v>14651.510910390818</v>
      </c>
      <c r="AK14" s="27">
        <v>14590.59600752955</v>
      </c>
      <c r="AL14" s="27">
        <v>14541.566499957864</v>
      </c>
      <c r="AM14" s="27">
        <v>14504.303601249971</v>
      </c>
      <c r="AN14" s="27">
        <v>14443.53329585889</v>
      </c>
      <c r="AO14" s="27">
        <v>14403.530429114138</v>
      </c>
      <c r="AP14" s="27">
        <v>14389.54058521771</v>
      </c>
      <c r="AQ14" s="27">
        <v>14402.463530848408</v>
      </c>
      <c r="AR14" s="27">
        <v>14442.38332057821</v>
      </c>
      <c r="AS14" s="27">
        <v>14505.310831898547</v>
      </c>
      <c r="AT14" s="27">
        <v>14593.595636930339</v>
      </c>
      <c r="AU14" s="27">
        <v>14703.007627633393</v>
      </c>
      <c r="AV14" s="27">
        <v>14834.124691398611</v>
      </c>
      <c r="AW14" s="27">
        <v>14988.726190038826</v>
      </c>
      <c r="AX14" s="27">
        <v>15168.207891700065</v>
      </c>
      <c r="AY14" s="27">
        <v>15374.66350098709</v>
      </c>
      <c r="AZ14" s="27">
        <v>15598.394472462367</v>
      </c>
      <c r="BA14" s="27">
        <v>15835.236203406059</v>
      </c>
      <c r="BB14" s="27">
        <v>16084.94367216044</v>
      </c>
      <c r="BC14" s="27">
        <v>16347.732831431602</v>
      </c>
      <c r="BD14" s="27">
        <f t="shared" si="8"/>
        <v>16498.533179702506</v>
      </c>
      <c r="BE14" s="27">
        <f t="shared" si="8"/>
        <v>16650.724592121151</v>
      </c>
      <c r="BF14" s="27">
        <f t="shared" si="8"/>
        <v>16804.319900617204</v>
      </c>
      <c r="BG14" s="27">
        <f t="shared" si="8"/>
        <v>16959.332055489009</v>
      </c>
      <c r="BH14" s="27">
        <f t="shared" si="8"/>
        <v>17115.774126495482</v>
      </c>
      <c r="BI14" s="27">
        <f t="shared" si="8"/>
        <v>17273.659303958077</v>
      </c>
      <c r="BJ14" s="27">
        <f t="shared" si="8"/>
        <v>17433.000899872924</v>
      </c>
      <c r="BK14" s="27">
        <f t="shared" si="8"/>
        <v>17593.812349033218</v>
      </c>
      <c r="BL14" s="27">
        <f t="shared" si="8"/>
        <v>17756.107210161972</v>
      </c>
      <c r="BM14" s="27">
        <f t="shared" si="8"/>
        <v>17919.899167055206</v>
      </c>
      <c r="BN14" s="27">
        <f t="shared" si="8"/>
        <v>18085.202029735694</v>
      </c>
      <c r="BO14" s="27">
        <f t="shared" si="8"/>
        <v>18252.029735617343</v>
      </c>
      <c r="BP14" s="27">
        <f t="shared" si="8"/>
        <v>18420.396350680319</v>
      </c>
      <c r="BQ14" s="27">
        <f t="shared" si="8"/>
        <v>18590.316070657016</v>
      </c>
      <c r="BR14" s="27">
        <f t="shared" si="8"/>
        <v>18761.803222228955</v>
      </c>
      <c r="BS14" s="27">
        <f t="shared" si="8"/>
        <v>18934.872264234735</v>
      </c>
      <c r="BT14" s="8">
        <v>1.844908401989076E-2</v>
      </c>
      <c r="BU14" s="28">
        <f t="shared" si="3"/>
        <v>20426.834410541367</v>
      </c>
      <c r="BV14" s="28">
        <f t="shared" si="3"/>
        <v>20358.193099941007</v>
      </c>
      <c r="BW14" s="28">
        <f t="shared" si="3"/>
        <v>20306.025041749959</v>
      </c>
      <c r="BX14" s="28">
        <f t="shared" si="3"/>
        <v>20220.946614202443</v>
      </c>
      <c r="BY14" s="28">
        <f t="shared" si="3"/>
        <v>20164.942600759794</v>
      </c>
      <c r="BZ14" s="28">
        <f t="shared" si="3"/>
        <v>20145.356819304794</v>
      </c>
      <c r="CA14" s="28">
        <f t="shared" si="3"/>
        <v>20163.44894318777</v>
      </c>
      <c r="CB14" s="28">
        <f t="shared" si="3"/>
        <v>20219.336648809494</v>
      </c>
      <c r="CC14" s="28">
        <f t="shared" si="3"/>
        <v>20307.435164657963</v>
      </c>
      <c r="CD14" s="28">
        <f t="shared" si="3"/>
        <v>20431.033891702471</v>
      </c>
      <c r="CE14" s="28">
        <f t="shared" si="3"/>
        <v>20584.210678686748</v>
      </c>
      <c r="CF14" s="28">
        <f t="shared" si="3"/>
        <v>20767.774567958055</v>
      </c>
      <c r="CG14" s="28">
        <f t="shared" si="3"/>
        <v>20984.216666054355</v>
      </c>
      <c r="CH14" s="28">
        <f t="shared" si="3"/>
        <v>21235.491048380089</v>
      </c>
      <c r="CI14" s="29">
        <f t="shared" si="3"/>
        <v>21524.528901381924</v>
      </c>
      <c r="CJ14" s="28">
        <f t="shared" si="3"/>
        <v>21837.752261447313</v>
      </c>
      <c r="CK14" s="28">
        <f t="shared" si="4"/>
        <v>22169.33068476848</v>
      </c>
      <c r="CL14" s="28">
        <f t="shared" si="4"/>
        <v>22518.921141024613</v>
      </c>
      <c r="CM14" s="28">
        <f t="shared" si="4"/>
        <v>22886.825964004242</v>
      </c>
      <c r="CN14" s="28">
        <f t="shared" si="4"/>
        <v>23097.946451583506</v>
      </c>
      <c r="CO14" s="28">
        <f t="shared" si="4"/>
        <v>23311.014428969611</v>
      </c>
      <c r="CP14" s="28">
        <f t="shared" si="4"/>
        <v>23526.047860864084</v>
      </c>
      <c r="CQ14" s="28">
        <f t="shared" si="4"/>
        <v>23743.06487768461</v>
      </c>
      <c r="CR14" s="28">
        <f t="shared" si="4"/>
        <v>23962.083777093674</v>
      </c>
      <c r="CS14" s="28">
        <f t="shared" si="4"/>
        <v>24183.123025541307</v>
      </c>
      <c r="CT14" s="28">
        <f t="shared" si="4"/>
        <v>24406.201259822094</v>
      </c>
      <c r="CU14" s="28">
        <f t="shared" si="4"/>
        <v>24631.337288646504</v>
      </c>
      <c r="CV14" s="28">
        <f t="shared" si="4"/>
        <v>24858.550094226761</v>
      </c>
      <c r="CW14" s="28">
        <f t="shared" si="4"/>
        <v>25087.858833877286</v>
      </c>
      <c r="CX14" s="28">
        <f t="shared" si="4"/>
        <v>25319.282841629971</v>
      </c>
      <c r="CY14" s="28">
        <f t="shared" si="4"/>
        <v>25552.841629864281</v>
      </c>
      <c r="CZ14" s="28">
        <f t="shared" si="4"/>
        <v>25788.554890952444</v>
      </c>
      <c r="DA14" s="28">
        <f t="shared" si="5"/>
        <v>26026.44249891982</v>
      </c>
      <c r="DB14" s="28">
        <f t="shared" si="5"/>
        <v>26266.524511120537</v>
      </c>
      <c r="DC14" s="28">
        <f t="shared" si="5"/>
        <v>26508.821169928626</v>
      </c>
    </row>
    <row r="15" spans="2:107">
      <c r="B15" s="30" t="s">
        <v>39</v>
      </c>
      <c r="C15" s="33" t="s">
        <v>39</v>
      </c>
      <c r="D15" s="19">
        <f t="shared" si="0"/>
        <v>6764.0495464525284</v>
      </c>
      <c r="E15" s="20">
        <f t="shared" si="1"/>
        <v>1.4</v>
      </c>
      <c r="G15" s="21"/>
      <c r="I15" s="32"/>
      <c r="J15" s="31" t="s">
        <v>39</v>
      </c>
      <c r="K15" s="27">
        <v>2109.7192696782154</v>
      </c>
      <c r="L15" s="27">
        <v>3385.0601065484193</v>
      </c>
      <c r="M15" s="27">
        <v>4551.4867171599817</v>
      </c>
      <c r="N15" s="27">
        <v>5086.3402666235379</v>
      </c>
      <c r="O15" s="27">
        <v>5541.7837092955033</v>
      </c>
      <c r="P15" s="27">
        <v>5502.0065409044582</v>
      </c>
      <c r="Q15" s="27">
        <v>5529.1021143925118</v>
      </c>
      <c r="R15" s="27">
        <v>5698.7503600421578</v>
      </c>
      <c r="S15" s="27">
        <v>5946.2890265781061</v>
      </c>
      <c r="T15" s="27">
        <v>6204.5361976872482</v>
      </c>
      <c r="U15" s="27">
        <v>6533.1331053685635</v>
      </c>
      <c r="V15" s="27">
        <v>6750.1524482059476</v>
      </c>
      <c r="W15" s="27">
        <v>7015.4308127999557</v>
      </c>
      <c r="X15" s="27">
        <v>7124.4409335073742</v>
      </c>
      <c r="Y15" s="27">
        <v>7278.3853507757858</v>
      </c>
      <c r="Z15" s="27">
        <v>7487.80681905846</v>
      </c>
      <c r="AA15" s="27">
        <v>7696.7076513164038</v>
      </c>
      <c r="AB15" s="27">
        <v>7831.5329596257834</v>
      </c>
      <c r="AC15" s="27">
        <v>7947.1066382878471</v>
      </c>
      <c r="AD15" s="27">
        <v>7880.9030923876417</v>
      </c>
      <c r="AE15" s="27">
        <v>7779.2655006704545</v>
      </c>
      <c r="AF15" s="27">
        <v>7651.8145902705019</v>
      </c>
      <c r="AG15" s="27">
        <v>7547.9066481566888</v>
      </c>
      <c r="AH15" s="27">
        <v>7336.7145576243547</v>
      </c>
      <c r="AI15" s="27">
        <v>7133.9642706131599</v>
      </c>
      <c r="AJ15" s="27">
        <v>6942.4112583587157</v>
      </c>
      <c r="AK15" s="27">
        <v>6764.0495464525284</v>
      </c>
      <c r="AL15" s="27">
        <v>6596.7165538508625</v>
      </c>
      <c r="AM15" s="27">
        <v>6441.6552550584847</v>
      </c>
      <c r="AN15" s="27">
        <v>6288.4703489123085</v>
      </c>
      <c r="AO15" s="27">
        <v>6154.1278777659691</v>
      </c>
      <c r="AP15" s="27">
        <v>6038.4534783662266</v>
      </c>
      <c r="AQ15" s="27">
        <v>5943.8070685181519</v>
      </c>
      <c r="AR15" s="27">
        <v>5869.0559954143864</v>
      </c>
      <c r="AS15" s="27">
        <v>5809.0220095048689</v>
      </c>
      <c r="AT15" s="27">
        <v>5763.8124369817506</v>
      </c>
      <c r="AU15" s="27">
        <v>5730.5912989722101</v>
      </c>
      <c r="AV15" s="27">
        <v>5709.018905211391</v>
      </c>
      <c r="AW15" s="27">
        <v>5700.6726173690449</v>
      </c>
      <c r="AX15" s="27">
        <v>5706.9350789740229</v>
      </c>
      <c r="AY15" s="27">
        <v>5727.9511595840804</v>
      </c>
      <c r="AZ15" s="27">
        <v>5760.834391575183</v>
      </c>
      <c r="BA15" s="27">
        <v>5804.4106308799101</v>
      </c>
      <c r="BB15" s="27">
        <v>5859.971367144708</v>
      </c>
      <c r="BC15" s="27">
        <v>5926.0241924044058</v>
      </c>
      <c r="BD15" s="27">
        <f t="shared" si="8"/>
        <v>5977.0040268811754</v>
      </c>
      <c r="BE15" s="27">
        <f t="shared" si="8"/>
        <v>6028.4224258050172</v>
      </c>
      <c r="BF15" s="27">
        <f t="shared" si="8"/>
        <v>6080.283162016236</v>
      </c>
      <c r="BG15" s="27">
        <f t="shared" si="8"/>
        <v>6132.5900408117659</v>
      </c>
      <c r="BH15" s="27">
        <f t="shared" si="8"/>
        <v>6185.3469002243864</v>
      </c>
      <c r="BI15" s="27">
        <f t="shared" si="8"/>
        <v>6238.5576113043389</v>
      </c>
      <c r="BJ15" s="27">
        <f t="shared" si="8"/>
        <v>6292.2260784033642</v>
      </c>
      <c r="BK15" s="27">
        <f t="shared" si="8"/>
        <v>6346.356239461189</v>
      </c>
      <c r="BL15" s="27">
        <f t="shared" si="8"/>
        <v>6400.9520662944697</v>
      </c>
      <c r="BM15" s="27">
        <f t="shared" si="8"/>
        <v>6456.0175648882287</v>
      </c>
      <c r="BN15" s="27">
        <f t="shared" si="8"/>
        <v>6511.5567756897926</v>
      </c>
      <c r="BO15" s="27">
        <f t="shared" si="8"/>
        <v>6567.5737739052629</v>
      </c>
      <c r="BP15" s="27">
        <f t="shared" si="8"/>
        <v>6624.0726697985338</v>
      </c>
      <c r="BQ15" s="27">
        <f t="shared" si="8"/>
        <v>6681.0576089928854</v>
      </c>
      <c r="BR15" s="27">
        <f t="shared" si="8"/>
        <v>6738.5327727751692</v>
      </c>
      <c r="BS15" s="27">
        <f t="shared" si="8"/>
        <v>6796.5023784026116</v>
      </c>
      <c r="BT15" s="8">
        <v>1.7205408827764224E-2</v>
      </c>
      <c r="BU15" s="28">
        <f t="shared" si="3"/>
        <v>9469.6693650335383</v>
      </c>
      <c r="BV15" s="28">
        <f t="shared" si="3"/>
        <v>9235.4031753912077</v>
      </c>
      <c r="BW15" s="28">
        <f t="shared" si="3"/>
        <v>9018.3173570818781</v>
      </c>
      <c r="BX15" s="28">
        <f t="shared" si="3"/>
        <v>8803.8584884772317</v>
      </c>
      <c r="BY15" s="28">
        <f t="shared" si="3"/>
        <v>8615.7790288723554</v>
      </c>
      <c r="BZ15" s="28">
        <f t="shared" si="3"/>
        <v>8453.8348697127167</v>
      </c>
      <c r="CA15" s="28">
        <f t="shared" si="3"/>
        <v>8321.3298959254116</v>
      </c>
      <c r="CB15" s="28">
        <f t="shared" si="3"/>
        <v>8216.6783935801413</v>
      </c>
      <c r="CC15" s="28">
        <f t="shared" si="3"/>
        <v>8132.630813306816</v>
      </c>
      <c r="CD15" s="28">
        <f t="shared" si="3"/>
        <v>8069.3374117744506</v>
      </c>
      <c r="CE15" s="28">
        <f t="shared" si="3"/>
        <v>8022.8278185610934</v>
      </c>
      <c r="CF15" s="28">
        <f t="shared" si="3"/>
        <v>7992.6264672959469</v>
      </c>
      <c r="CG15" s="28">
        <f t="shared" si="3"/>
        <v>7980.9416643166624</v>
      </c>
      <c r="CH15" s="28">
        <f t="shared" si="3"/>
        <v>7989.7091105636318</v>
      </c>
      <c r="CI15" s="29">
        <f t="shared" si="3"/>
        <v>8019.131623417712</v>
      </c>
      <c r="CJ15" s="28">
        <f t="shared" si="3"/>
        <v>8065.1681482052554</v>
      </c>
      <c r="CK15" s="28">
        <f t="shared" si="4"/>
        <v>8126.1748832318735</v>
      </c>
      <c r="CL15" s="28">
        <f t="shared" si="4"/>
        <v>8203.9599140025912</v>
      </c>
      <c r="CM15" s="28">
        <f t="shared" si="4"/>
        <v>8296.4338693661684</v>
      </c>
      <c r="CN15" s="28">
        <f t="shared" si="4"/>
        <v>8367.8056376336444</v>
      </c>
      <c r="CO15" s="28">
        <f t="shared" si="4"/>
        <v>8439.7913961270242</v>
      </c>
      <c r="CP15" s="28">
        <f t="shared" si="4"/>
        <v>8512.3964268227301</v>
      </c>
      <c r="CQ15" s="28">
        <f t="shared" si="4"/>
        <v>8585.626057136471</v>
      </c>
      <c r="CR15" s="28">
        <f t="shared" si="4"/>
        <v>8659.4856603141397</v>
      </c>
      <c r="CS15" s="28">
        <f t="shared" si="4"/>
        <v>8733.9806558260734</v>
      </c>
      <c r="CT15" s="28">
        <f t="shared" si="4"/>
        <v>8809.1165097647099</v>
      </c>
      <c r="CU15" s="28">
        <f t="shared" si="4"/>
        <v>8884.8987352456643</v>
      </c>
      <c r="CV15" s="28">
        <f t="shared" si="4"/>
        <v>8961.3328928122573</v>
      </c>
      <c r="CW15" s="28">
        <f t="shared" si="4"/>
        <v>9038.4245908435187</v>
      </c>
      <c r="CX15" s="28">
        <f t="shared" si="4"/>
        <v>9116.1794859657093</v>
      </c>
      <c r="CY15" s="28">
        <f t="shared" si="4"/>
        <v>9194.6032834673679</v>
      </c>
      <c r="CZ15" s="28">
        <f t="shared" si="4"/>
        <v>9273.7017377179473</v>
      </c>
      <c r="DA15" s="28">
        <f t="shared" si="5"/>
        <v>9353.4806525900385</v>
      </c>
      <c r="DB15" s="28">
        <f t="shared" si="5"/>
        <v>9433.9458818852363</v>
      </c>
      <c r="DC15" s="28">
        <f t="shared" si="5"/>
        <v>9515.103329763655</v>
      </c>
    </row>
    <row r="16" spans="2:107">
      <c r="B16" s="32" t="s">
        <v>40</v>
      </c>
      <c r="C16" s="33"/>
      <c r="D16" s="19">
        <f t="shared" si="0"/>
        <v>4784.7190222856925</v>
      </c>
      <c r="E16" s="20">
        <f t="shared" ref="E16:E19" si="9">$D$54</f>
        <v>1</v>
      </c>
      <c r="G16" s="21"/>
      <c r="I16" s="32" t="s">
        <v>40</v>
      </c>
      <c r="J16" s="31"/>
      <c r="K16" s="22">
        <v>4593.9598317202745</v>
      </c>
      <c r="L16" s="22">
        <v>4500.493518522062</v>
      </c>
      <c r="M16" s="22">
        <v>4401.8598111131496</v>
      </c>
      <c r="N16" s="22">
        <v>4290.1744051750202</v>
      </c>
      <c r="O16" s="22">
        <v>4201.4340282653084</v>
      </c>
      <c r="P16" s="22">
        <v>4060.1150925124207</v>
      </c>
      <c r="Q16" s="22">
        <v>3967.3439204213655</v>
      </c>
      <c r="R16" s="22">
        <v>4000.1559212046836</v>
      </c>
      <c r="S16" s="22">
        <v>4013.6947605667824</v>
      </c>
      <c r="T16" s="22">
        <v>4086.4012745906457</v>
      </c>
      <c r="U16" s="22">
        <v>4176.0318956483225</v>
      </c>
      <c r="V16" s="22">
        <v>4243.0333614250667</v>
      </c>
      <c r="W16" s="22">
        <v>4347.5066218929032</v>
      </c>
      <c r="X16" s="22">
        <v>4429.2696622654366</v>
      </c>
      <c r="Y16" s="22">
        <v>4515.3656510616574</v>
      </c>
      <c r="Z16" s="22">
        <v>4655.1878417752214</v>
      </c>
      <c r="AA16" s="22">
        <v>4813.7373124743699</v>
      </c>
      <c r="AB16" s="22">
        <v>4933.3549685781709</v>
      </c>
      <c r="AC16" s="22">
        <v>5115.0884117948872</v>
      </c>
      <c r="AD16" s="22">
        <v>5129.4112044407038</v>
      </c>
      <c r="AE16" s="22">
        <v>5211.7822523077175</v>
      </c>
      <c r="AF16" s="22">
        <v>5161.2480703191923</v>
      </c>
      <c r="AG16" s="22">
        <v>5159.0009362531246</v>
      </c>
      <c r="AH16" s="22">
        <v>5063.6372413732879</v>
      </c>
      <c r="AI16" s="22">
        <v>4976.6442278788199</v>
      </c>
      <c r="AJ16" s="22">
        <v>4888.4513062097913</v>
      </c>
      <c r="AK16" s="22">
        <v>4784.7190222856925</v>
      </c>
      <c r="AL16" s="22">
        <v>4719.5642768156931</v>
      </c>
      <c r="AM16" s="22">
        <v>4697.6463321792453</v>
      </c>
      <c r="AN16" s="22">
        <v>4656.9981117195739</v>
      </c>
      <c r="AO16" s="22">
        <v>4586.9760607971521</v>
      </c>
      <c r="AP16" s="22">
        <v>4477.915684352467</v>
      </c>
      <c r="AQ16" s="22">
        <v>4360.6715039069295</v>
      </c>
      <c r="AR16" s="22">
        <v>4348.2891312414949</v>
      </c>
      <c r="AS16" s="22">
        <v>4391.8650208646786</v>
      </c>
      <c r="AT16" s="22">
        <v>4416.801360983739</v>
      </c>
      <c r="AU16" s="22">
        <v>4433.6545904365667</v>
      </c>
      <c r="AV16" s="22">
        <v>4514.6899978563033</v>
      </c>
      <c r="AW16" s="22">
        <v>4599.5289824665151</v>
      </c>
      <c r="AX16" s="22">
        <v>4696.0621667507094</v>
      </c>
      <c r="AY16" s="22">
        <v>4795.1153811329259</v>
      </c>
      <c r="AZ16" s="22">
        <v>4891.2524418885578</v>
      </c>
      <c r="BA16" s="22">
        <v>4987.8437177578598</v>
      </c>
      <c r="BB16" s="22">
        <v>5087.9224936779019</v>
      </c>
      <c r="BC16" s="22">
        <v>5193.2972637285166</v>
      </c>
      <c r="BD16" s="22">
        <f t="shared" ref="BD16:BS16" si="10">SUM(BD17:BD19)</f>
        <v>5231.5426994558702</v>
      </c>
      <c r="BE16" s="22">
        <f t="shared" si="10"/>
        <v>5270.2058838193607</v>
      </c>
      <c r="BF16" s="22">
        <f t="shared" si="10"/>
        <v>5309.2918543759533</v>
      </c>
      <c r="BG16" s="22">
        <f t="shared" si="10"/>
        <v>5348.8057106509214</v>
      </c>
      <c r="BH16" s="22">
        <f t="shared" si="10"/>
        <v>5388.7526149042005</v>
      </c>
      <c r="BI16" s="22">
        <f t="shared" si="10"/>
        <v>5429.1377929062328</v>
      </c>
      <c r="BJ16" s="22">
        <f t="shared" si="10"/>
        <v>5469.9665347234368</v>
      </c>
      <c r="BK16" s="22">
        <f t="shared" si="10"/>
        <v>5511.2441955134209</v>
      </c>
      <c r="BL16" s="22">
        <f t="shared" si="10"/>
        <v>5552.9761963300507</v>
      </c>
      <c r="BM16" s="22">
        <f t="shared" si="10"/>
        <v>5595.1680249385099</v>
      </c>
      <c r="BN16" s="22">
        <f t="shared" si="10"/>
        <v>5637.8252366404686</v>
      </c>
      <c r="BO16" s="22">
        <f t="shared" si="10"/>
        <v>5680.9534551094721</v>
      </c>
      <c r="BP16" s="22">
        <f t="shared" si="10"/>
        <v>5724.5583732367122</v>
      </c>
      <c r="BQ16" s="22">
        <f t="shared" si="10"/>
        <v>5768.6457539872727</v>
      </c>
      <c r="BR16" s="22">
        <f t="shared" si="10"/>
        <v>5813.2214312670012</v>
      </c>
      <c r="BS16" s="22">
        <f t="shared" si="10"/>
        <v>5858.2913108001349</v>
      </c>
      <c r="BT16" s="8">
        <v>1.5526796357470563E-2</v>
      </c>
      <c r="BU16" s="23">
        <f t="shared" si="3"/>
        <v>4784.7190222856925</v>
      </c>
      <c r="BV16" s="23">
        <f t="shared" si="3"/>
        <v>4719.5642768156931</v>
      </c>
      <c r="BW16" s="23">
        <f t="shared" si="3"/>
        <v>4697.6463321792453</v>
      </c>
      <c r="BX16" s="23">
        <f t="shared" si="3"/>
        <v>4656.9981117195739</v>
      </c>
      <c r="BY16" s="23">
        <f t="shared" si="3"/>
        <v>4586.9760607971521</v>
      </c>
      <c r="BZ16" s="23">
        <f t="shared" si="3"/>
        <v>4477.915684352467</v>
      </c>
      <c r="CA16" s="23">
        <f t="shared" si="3"/>
        <v>4360.6715039069295</v>
      </c>
      <c r="CB16" s="23">
        <f t="shared" si="3"/>
        <v>4348.2891312414949</v>
      </c>
      <c r="CC16" s="23">
        <f t="shared" si="3"/>
        <v>4391.8650208646786</v>
      </c>
      <c r="CD16" s="23">
        <f t="shared" si="3"/>
        <v>4416.801360983739</v>
      </c>
      <c r="CE16" s="23">
        <f t="shared" si="3"/>
        <v>4433.6545904365667</v>
      </c>
      <c r="CF16" s="23">
        <f t="shared" si="3"/>
        <v>4514.6899978563033</v>
      </c>
      <c r="CG16" s="23">
        <f t="shared" si="3"/>
        <v>4599.5289824665151</v>
      </c>
      <c r="CH16" s="24">
        <f t="shared" si="3"/>
        <v>4696.0621667507094</v>
      </c>
      <c r="CI16" s="23">
        <f t="shared" si="3"/>
        <v>4795.1153811329259</v>
      </c>
      <c r="CJ16" s="23">
        <f t="shared" si="3"/>
        <v>4891.2524418885578</v>
      </c>
      <c r="CK16" s="23">
        <f t="shared" si="4"/>
        <v>4987.8437177578598</v>
      </c>
      <c r="CL16" s="23">
        <f t="shared" si="4"/>
        <v>5087.9224936779019</v>
      </c>
      <c r="CM16" s="23">
        <f t="shared" si="4"/>
        <v>5193.2972637285166</v>
      </c>
      <c r="CN16" s="23">
        <f t="shared" si="4"/>
        <v>5231.5426994558702</v>
      </c>
      <c r="CO16" s="23">
        <f t="shared" si="4"/>
        <v>5270.2058838193607</v>
      </c>
      <c r="CP16" s="23">
        <f t="shared" si="4"/>
        <v>5309.2918543759533</v>
      </c>
      <c r="CQ16" s="23">
        <f t="shared" si="4"/>
        <v>5348.8057106509214</v>
      </c>
      <c r="CR16" s="23">
        <f t="shared" si="4"/>
        <v>5388.7526149042005</v>
      </c>
      <c r="CS16" s="23">
        <f t="shared" si="4"/>
        <v>5429.1377929062328</v>
      </c>
      <c r="CT16" s="23">
        <f t="shared" si="4"/>
        <v>5469.9665347234368</v>
      </c>
      <c r="CU16" s="23">
        <f t="shared" si="4"/>
        <v>5511.2441955134209</v>
      </c>
      <c r="CV16" s="23">
        <f t="shared" si="4"/>
        <v>5552.9761963300507</v>
      </c>
      <c r="CW16" s="23">
        <f t="shared" si="4"/>
        <v>5595.1680249385099</v>
      </c>
      <c r="CX16" s="23">
        <f t="shared" si="4"/>
        <v>5637.8252366404686</v>
      </c>
      <c r="CY16" s="23">
        <f t="shared" si="4"/>
        <v>5680.9534551094721</v>
      </c>
      <c r="CZ16" s="23">
        <f t="shared" si="4"/>
        <v>5724.5583732367122</v>
      </c>
      <c r="DA16" s="23">
        <f t="shared" si="5"/>
        <v>5768.6457539872727</v>
      </c>
      <c r="DB16" s="23">
        <f t="shared" si="5"/>
        <v>5813.2214312670012</v>
      </c>
      <c r="DC16" s="23">
        <f t="shared" si="5"/>
        <v>5858.2913108001349</v>
      </c>
    </row>
    <row r="17" spans="2:107">
      <c r="B17" s="30" t="s">
        <v>41</v>
      </c>
      <c r="C17" s="33" t="s">
        <v>41</v>
      </c>
      <c r="D17" s="19">
        <f t="shared" si="0"/>
        <v>2230.7087607141766</v>
      </c>
      <c r="E17" s="20">
        <f t="shared" si="9"/>
        <v>1</v>
      </c>
      <c r="G17" s="21"/>
      <c r="I17" s="32"/>
      <c r="J17" s="31" t="s">
        <v>41</v>
      </c>
      <c r="K17" s="27">
        <v>105.5360407940267</v>
      </c>
      <c r="L17" s="27">
        <v>99.366170530856849</v>
      </c>
      <c r="M17" s="27">
        <v>96.708394387997345</v>
      </c>
      <c r="N17" s="27">
        <v>94.07772928192945</v>
      </c>
      <c r="O17" s="27">
        <v>91.474628679565882</v>
      </c>
      <c r="P17" s="27">
        <v>88.899136788843194</v>
      </c>
      <c r="Q17" s="27">
        <v>124.26287045178348</v>
      </c>
      <c r="R17" s="27">
        <v>277.01856495981633</v>
      </c>
      <c r="S17" s="27">
        <v>401.92773546443993</v>
      </c>
      <c r="T17" s="27">
        <v>575.95033967058555</v>
      </c>
      <c r="U17" s="27">
        <v>756.40408235976986</v>
      </c>
      <c r="V17" s="27">
        <v>909.30908813719589</v>
      </c>
      <c r="W17" s="27">
        <v>1101.6775450975813</v>
      </c>
      <c r="X17" s="27">
        <v>1262.9661181622259</v>
      </c>
      <c r="Y17" s="27">
        <v>1419.4347653261514</v>
      </c>
      <c r="Z17" s="27">
        <v>1588.0905496500559</v>
      </c>
      <c r="AA17" s="27">
        <v>1748.5075641822659</v>
      </c>
      <c r="AB17" s="27">
        <v>1857.0428385562811</v>
      </c>
      <c r="AC17" s="27">
        <v>2040.7164618515699</v>
      </c>
      <c r="AD17" s="27">
        <v>2103.8460282374294</v>
      </c>
      <c r="AE17" s="27">
        <v>2181.6234443856292</v>
      </c>
      <c r="AF17" s="27">
        <v>2202.5254082010474</v>
      </c>
      <c r="AG17" s="27">
        <v>2228.4325571867621</v>
      </c>
      <c r="AH17" s="27">
        <v>2223.7367703054547</v>
      </c>
      <c r="AI17" s="27">
        <v>2225.2561438298585</v>
      </c>
      <c r="AJ17" s="27">
        <v>2227.4064180830774</v>
      </c>
      <c r="AK17" s="27">
        <v>2230.7087607141766</v>
      </c>
      <c r="AL17" s="27">
        <v>2234.9286815955679</v>
      </c>
      <c r="AM17" s="27">
        <v>2239.8534273202781</v>
      </c>
      <c r="AN17" s="27">
        <v>2246.0688125616898</v>
      </c>
      <c r="AO17" s="27">
        <v>2253.0863248304536</v>
      </c>
      <c r="AP17" s="27">
        <v>2261.5864137142262</v>
      </c>
      <c r="AQ17" s="27">
        <v>2271.6792590216473</v>
      </c>
      <c r="AR17" s="27">
        <v>2283.2184434544224</v>
      </c>
      <c r="AS17" s="27">
        <v>2296.1187270350465</v>
      </c>
      <c r="AT17" s="27">
        <v>2311.4718597011615</v>
      </c>
      <c r="AU17" s="27">
        <v>2323.6375750821489</v>
      </c>
      <c r="AV17" s="27">
        <v>2338.9303940208406</v>
      </c>
      <c r="AW17" s="27">
        <v>2354.2411272120335</v>
      </c>
      <c r="AX17" s="27">
        <v>2370.3710804371071</v>
      </c>
      <c r="AY17" s="27">
        <v>2386.558771108108</v>
      </c>
      <c r="AZ17" s="27">
        <v>2405.6977010407513</v>
      </c>
      <c r="BA17" s="27">
        <v>2430.4196253021069</v>
      </c>
      <c r="BB17" s="27">
        <v>2456.7116427302053</v>
      </c>
      <c r="BC17" s="27">
        <v>2484.6160492191952</v>
      </c>
      <c r="BD17" s="27">
        <f t="shared" ref="BD17:BS19" si="11">BC17*(1+$BT17/2)</f>
        <v>2489.6885785961554</v>
      </c>
      <c r="BE17" s="27">
        <f t="shared" si="11"/>
        <v>2494.7714639209844</v>
      </c>
      <c r="BF17" s="27">
        <f t="shared" si="11"/>
        <v>2499.864726336124</v>
      </c>
      <c r="BG17" s="27">
        <f t="shared" si="11"/>
        <v>2504.9683870271801</v>
      </c>
      <c r="BH17" s="27">
        <f t="shared" si="11"/>
        <v>2510.0824672230096</v>
      </c>
      <c r="BI17" s="27">
        <f t="shared" si="11"/>
        <v>2515.2069881958105</v>
      </c>
      <c r="BJ17" s="27">
        <f t="shared" si="11"/>
        <v>2520.3419712612094</v>
      </c>
      <c r="BK17" s="27">
        <f t="shared" si="11"/>
        <v>2525.4874377783503</v>
      </c>
      <c r="BL17" s="27">
        <f t="shared" si="11"/>
        <v>2530.6434091499837</v>
      </c>
      <c r="BM17" s="27">
        <f t="shared" si="11"/>
        <v>2535.8099068225551</v>
      </c>
      <c r="BN17" s="27">
        <f t="shared" si="11"/>
        <v>2540.9869522862946</v>
      </c>
      <c r="BO17" s="27">
        <f t="shared" si="11"/>
        <v>2546.1745670753062</v>
      </c>
      <c r="BP17" s="27">
        <f t="shared" si="11"/>
        <v>2551.3727727676574</v>
      </c>
      <c r="BQ17" s="27">
        <f t="shared" si="11"/>
        <v>2556.5815909854691</v>
      </c>
      <c r="BR17" s="27">
        <f t="shared" si="11"/>
        <v>2561.8010433950053</v>
      </c>
      <c r="BS17" s="27">
        <f t="shared" si="11"/>
        <v>2567.0311517067635</v>
      </c>
      <c r="BT17" s="8">
        <v>4.0831494898816434E-3</v>
      </c>
      <c r="BU17" s="28">
        <f t="shared" si="3"/>
        <v>2230.7087607141766</v>
      </c>
      <c r="BV17" s="28">
        <f t="shared" si="3"/>
        <v>2234.9286815955679</v>
      </c>
      <c r="BW17" s="28">
        <f t="shared" si="3"/>
        <v>2239.8534273202781</v>
      </c>
      <c r="BX17" s="28">
        <f t="shared" si="3"/>
        <v>2246.0688125616898</v>
      </c>
      <c r="BY17" s="28">
        <f t="shared" si="3"/>
        <v>2253.0863248304536</v>
      </c>
      <c r="BZ17" s="28">
        <f t="shared" si="3"/>
        <v>2261.5864137142262</v>
      </c>
      <c r="CA17" s="28">
        <f t="shared" si="3"/>
        <v>2271.6792590216473</v>
      </c>
      <c r="CB17" s="28">
        <f t="shared" si="3"/>
        <v>2283.2184434544224</v>
      </c>
      <c r="CC17" s="28">
        <f t="shared" si="3"/>
        <v>2296.1187270350465</v>
      </c>
      <c r="CD17" s="28">
        <f t="shared" si="3"/>
        <v>2311.4718597011615</v>
      </c>
      <c r="CE17" s="28">
        <f t="shared" si="3"/>
        <v>2323.6375750821489</v>
      </c>
      <c r="CF17" s="28">
        <f t="shared" si="3"/>
        <v>2338.9303940208406</v>
      </c>
      <c r="CG17" s="28">
        <f t="shared" si="3"/>
        <v>2354.2411272120335</v>
      </c>
      <c r="CH17" s="28">
        <f t="shared" si="3"/>
        <v>2370.3710804371071</v>
      </c>
      <c r="CI17" s="29">
        <f t="shared" si="3"/>
        <v>2386.558771108108</v>
      </c>
      <c r="CJ17" s="28">
        <f t="shared" si="3"/>
        <v>2405.6977010407513</v>
      </c>
      <c r="CK17" s="28">
        <f t="shared" si="4"/>
        <v>2430.4196253021069</v>
      </c>
      <c r="CL17" s="28">
        <f t="shared" si="4"/>
        <v>2456.7116427302053</v>
      </c>
      <c r="CM17" s="28">
        <f t="shared" si="4"/>
        <v>2484.6160492191952</v>
      </c>
      <c r="CN17" s="28">
        <f t="shared" si="4"/>
        <v>2489.6885785961554</v>
      </c>
      <c r="CO17" s="28">
        <f t="shared" si="4"/>
        <v>2494.7714639209844</v>
      </c>
      <c r="CP17" s="28">
        <f t="shared" si="4"/>
        <v>2499.864726336124</v>
      </c>
      <c r="CQ17" s="28">
        <f t="shared" si="4"/>
        <v>2504.9683870271801</v>
      </c>
      <c r="CR17" s="28">
        <f t="shared" si="4"/>
        <v>2510.0824672230096</v>
      </c>
      <c r="CS17" s="28">
        <f t="shared" si="4"/>
        <v>2515.2069881958105</v>
      </c>
      <c r="CT17" s="28">
        <f t="shared" si="4"/>
        <v>2520.3419712612094</v>
      </c>
      <c r="CU17" s="28">
        <f t="shared" si="4"/>
        <v>2525.4874377783503</v>
      </c>
      <c r="CV17" s="28">
        <f t="shared" si="4"/>
        <v>2530.6434091499837</v>
      </c>
      <c r="CW17" s="28">
        <f t="shared" si="4"/>
        <v>2535.8099068225551</v>
      </c>
      <c r="CX17" s="28">
        <f t="shared" si="4"/>
        <v>2540.9869522862946</v>
      </c>
      <c r="CY17" s="28">
        <f t="shared" si="4"/>
        <v>2546.1745670753062</v>
      </c>
      <c r="CZ17" s="28">
        <f t="shared" si="4"/>
        <v>2551.3727727676574</v>
      </c>
      <c r="DA17" s="28">
        <f t="shared" si="5"/>
        <v>2556.5815909854691</v>
      </c>
      <c r="DB17" s="28">
        <f t="shared" si="5"/>
        <v>2561.8010433950053</v>
      </c>
      <c r="DC17" s="28">
        <f t="shared" si="5"/>
        <v>2567.0311517067635</v>
      </c>
    </row>
    <row r="18" spans="2:107">
      <c r="B18" s="30" t="s">
        <v>42</v>
      </c>
      <c r="C18" s="33" t="s">
        <v>42</v>
      </c>
      <c r="D18" s="19">
        <f t="shared" si="0"/>
        <v>828.16039210151609</v>
      </c>
      <c r="E18" s="20">
        <f t="shared" si="9"/>
        <v>1</v>
      </c>
      <c r="G18" s="21"/>
      <c r="I18" s="32"/>
      <c r="J18" s="31" t="s">
        <v>42</v>
      </c>
      <c r="K18" s="27">
        <v>0</v>
      </c>
      <c r="L18" s="27">
        <v>19.866036688715489</v>
      </c>
      <c r="M18" s="27">
        <v>46.433634809823388</v>
      </c>
      <c r="N18" s="27">
        <v>54.282448615223622</v>
      </c>
      <c r="O18" s="27">
        <v>59.228718411525719</v>
      </c>
      <c r="P18" s="27">
        <v>59.260293835823958</v>
      </c>
      <c r="Q18" s="27">
        <v>58.840341763913855</v>
      </c>
      <c r="R18" s="27">
        <v>56.989384075401915</v>
      </c>
      <c r="S18" s="27">
        <v>55.428455231745431</v>
      </c>
      <c r="T18" s="27">
        <v>53.88388104089006</v>
      </c>
      <c r="U18" s="27">
        <v>66.83703471834896</v>
      </c>
      <c r="V18" s="27">
        <v>77.371029755376611</v>
      </c>
      <c r="W18" s="27">
        <v>88.726601662141519</v>
      </c>
      <c r="X18" s="27">
        <v>98.475509409952892</v>
      </c>
      <c r="Y18" s="27">
        <v>113.43082101793172</v>
      </c>
      <c r="Z18" s="27">
        <v>162.89175729121567</v>
      </c>
      <c r="AA18" s="27">
        <v>232.97954616775502</v>
      </c>
      <c r="AB18" s="27">
        <v>316.34476249777612</v>
      </c>
      <c r="AC18" s="27">
        <v>388.97273942998572</v>
      </c>
      <c r="AD18" s="27">
        <v>426.04097963275711</v>
      </c>
      <c r="AE18" s="27">
        <v>485.27775173013316</v>
      </c>
      <c r="AF18" s="27">
        <v>550.17840402868239</v>
      </c>
      <c r="AG18" s="27">
        <v>633.5577422749991</v>
      </c>
      <c r="AH18" s="27">
        <v>677.94555272595881</v>
      </c>
      <c r="AI18" s="27">
        <v>727.88507337496378</v>
      </c>
      <c r="AJ18" s="27">
        <v>777.97198521699681</v>
      </c>
      <c r="AK18" s="27">
        <v>828.16039210151609</v>
      </c>
      <c r="AL18" s="27">
        <v>878.58646959317593</v>
      </c>
      <c r="AM18" s="27">
        <v>929.18219873554358</v>
      </c>
      <c r="AN18" s="27">
        <v>979.93395525036829</v>
      </c>
      <c r="AO18" s="27">
        <v>1030.7495601658024</v>
      </c>
      <c r="AP18" s="27">
        <v>1081.9799029750579</v>
      </c>
      <c r="AQ18" s="27">
        <v>1133.8826608249481</v>
      </c>
      <c r="AR18" s="27">
        <v>1186.5791182627499</v>
      </c>
      <c r="AS18" s="27">
        <v>1240.1679819961012</v>
      </c>
      <c r="AT18" s="27">
        <v>1294.421784182899</v>
      </c>
      <c r="AU18" s="27">
        <v>1349.0342662214775</v>
      </c>
      <c r="AV18" s="27">
        <v>1404.5336374516467</v>
      </c>
      <c r="AW18" s="27">
        <v>1461.0842684158113</v>
      </c>
      <c r="AX18" s="27">
        <v>1518.763572858559</v>
      </c>
      <c r="AY18" s="27">
        <v>1577.1124226795389</v>
      </c>
      <c r="AZ18" s="27">
        <v>1635.4023688330165</v>
      </c>
      <c r="BA18" s="27">
        <v>1689.5714887899653</v>
      </c>
      <c r="BB18" s="27">
        <v>1741.6458411857959</v>
      </c>
      <c r="BC18" s="27">
        <v>1797.4532963400939</v>
      </c>
      <c r="BD18" s="27">
        <f t="shared" si="11"/>
        <v>1820.2923561355826</v>
      </c>
      <c r="BE18" s="27">
        <f t="shared" si="11"/>
        <v>1843.4216168800497</v>
      </c>
      <c r="BF18" s="27">
        <f t="shared" si="11"/>
        <v>1866.8447659665637</v>
      </c>
      <c r="BG18" s="27">
        <f t="shared" si="11"/>
        <v>1890.5655376414782</v>
      </c>
      <c r="BH18" s="27">
        <f t="shared" si="11"/>
        <v>1914.5877135997648</v>
      </c>
      <c r="BI18" s="27">
        <f t="shared" si="11"/>
        <v>1938.9151235879126</v>
      </c>
      <c r="BJ18" s="27">
        <f t="shared" si="11"/>
        <v>1963.5516460144866</v>
      </c>
      <c r="BK18" s="27">
        <f t="shared" si="11"/>
        <v>1988.5012085684448</v>
      </c>
      <c r="BL18" s="27">
        <f t="shared" si="11"/>
        <v>2013.767788845312</v>
      </c>
      <c r="BM18" s="27">
        <f t="shared" si="11"/>
        <v>2039.3554149813099</v>
      </c>
      <c r="BN18" s="27">
        <f t="shared" si="11"/>
        <v>2065.2681662955447</v>
      </c>
      <c r="BO18" s="27">
        <f t="shared" si="11"/>
        <v>2091.5101739403535</v>
      </c>
      <c r="BP18" s="27">
        <f t="shared" si="11"/>
        <v>2118.0856215599165</v>
      </c>
      <c r="BQ18" s="27">
        <f t="shared" si="11"/>
        <v>2144.9987459572358</v>
      </c>
      <c r="BR18" s="27">
        <f t="shared" si="11"/>
        <v>2172.2538377695887</v>
      </c>
      <c r="BS18" s="27">
        <f t="shared" si="11"/>
        <v>2199.8552421525669</v>
      </c>
      <c r="BT18" s="8">
        <v>2.5412687875666196E-2</v>
      </c>
      <c r="BU18" s="28">
        <f t="shared" si="3"/>
        <v>828.16039210151609</v>
      </c>
      <c r="BV18" s="28">
        <f t="shared" si="3"/>
        <v>878.58646959317593</v>
      </c>
      <c r="BW18" s="28">
        <f t="shared" si="3"/>
        <v>929.18219873554358</v>
      </c>
      <c r="BX18" s="28">
        <f t="shared" si="3"/>
        <v>979.93395525036829</v>
      </c>
      <c r="BY18" s="28">
        <f t="shared" si="3"/>
        <v>1030.7495601658024</v>
      </c>
      <c r="BZ18" s="28">
        <f t="shared" si="3"/>
        <v>1081.9799029750579</v>
      </c>
      <c r="CA18" s="28">
        <f t="shared" si="3"/>
        <v>1133.8826608249481</v>
      </c>
      <c r="CB18" s="28">
        <f t="shared" si="3"/>
        <v>1186.5791182627499</v>
      </c>
      <c r="CC18" s="28">
        <f t="shared" si="3"/>
        <v>1240.1679819961012</v>
      </c>
      <c r="CD18" s="28">
        <f t="shared" si="3"/>
        <v>1294.421784182899</v>
      </c>
      <c r="CE18" s="28">
        <f t="shared" si="3"/>
        <v>1349.0342662214775</v>
      </c>
      <c r="CF18" s="28">
        <f t="shared" si="3"/>
        <v>1404.5336374516467</v>
      </c>
      <c r="CG18" s="28">
        <f t="shared" si="3"/>
        <v>1461.0842684158113</v>
      </c>
      <c r="CH18" s="28">
        <f t="shared" si="3"/>
        <v>1518.763572858559</v>
      </c>
      <c r="CI18" s="29">
        <f t="shared" si="3"/>
        <v>1577.1124226795389</v>
      </c>
      <c r="CJ18" s="28">
        <f t="shared" si="3"/>
        <v>1635.4023688330165</v>
      </c>
      <c r="CK18" s="28">
        <f t="shared" si="4"/>
        <v>1689.5714887899653</v>
      </c>
      <c r="CL18" s="28">
        <f t="shared" si="4"/>
        <v>1741.6458411857959</v>
      </c>
      <c r="CM18" s="28">
        <f t="shared" si="4"/>
        <v>1797.4532963400939</v>
      </c>
      <c r="CN18" s="28">
        <f t="shared" si="4"/>
        <v>1820.2923561355826</v>
      </c>
      <c r="CO18" s="28">
        <f t="shared" si="4"/>
        <v>1843.4216168800497</v>
      </c>
      <c r="CP18" s="28">
        <f t="shared" si="4"/>
        <v>1866.8447659665637</v>
      </c>
      <c r="CQ18" s="28">
        <f t="shared" si="4"/>
        <v>1890.5655376414782</v>
      </c>
      <c r="CR18" s="28">
        <f t="shared" si="4"/>
        <v>1914.5877135997648</v>
      </c>
      <c r="CS18" s="28">
        <f t="shared" si="4"/>
        <v>1938.9151235879126</v>
      </c>
      <c r="CT18" s="28">
        <f t="shared" si="4"/>
        <v>1963.5516460144866</v>
      </c>
      <c r="CU18" s="28">
        <f t="shared" si="4"/>
        <v>1988.5012085684448</v>
      </c>
      <c r="CV18" s="28">
        <f t="shared" si="4"/>
        <v>2013.767788845312</v>
      </c>
      <c r="CW18" s="28">
        <f t="shared" si="4"/>
        <v>2039.3554149813099</v>
      </c>
      <c r="CX18" s="28">
        <f t="shared" si="4"/>
        <v>2065.2681662955447</v>
      </c>
      <c r="CY18" s="28">
        <f t="shared" si="4"/>
        <v>2091.5101739403535</v>
      </c>
      <c r="CZ18" s="28">
        <f t="shared" si="4"/>
        <v>2118.0856215599165</v>
      </c>
      <c r="DA18" s="28">
        <f t="shared" si="5"/>
        <v>2144.9987459572358</v>
      </c>
      <c r="DB18" s="28">
        <f t="shared" si="5"/>
        <v>2172.2538377695887</v>
      </c>
      <c r="DC18" s="28">
        <f t="shared" si="5"/>
        <v>2199.8552421525669</v>
      </c>
    </row>
    <row r="19" spans="2:107">
      <c r="B19" s="30" t="s">
        <v>43</v>
      </c>
      <c r="C19" s="33" t="s">
        <v>43</v>
      </c>
      <c r="D19" s="19">
        <f t="shared" si="0"/>
        <v>1725.8498694699999</v>
      </c>
      <c r="E19" s="20">
        <f t="shared" si="9"/>
        <v>1</v>
      </c>
      <c r="G19" s="21"/>
      <c r="I19" s="32"/>
      <c r="J19" s="31" t="s">
        <v>43</v>
      </c>
      <c r="K19" s="27">
        <v>4488.4237909262474</v>
      </c>
      <c r="L19" s="27">
        <v>4381.26131130249</v>
      </c>
      <c r="M19" s="27">
        <v>4258.7177819153285</v>
      </c>
      <c r="N19" s="27">
        <v>4141.8142272778668</v>
      </c>
      <c r="O19" s="27">
        <v>4050.7306811742164</v>
      </c>
      <c r="P19" s="27">
        <v>3911.9556618877536</v>
      </c>
      <c r="Q19" s="27">
        <v>3784.2407082056679</v>
      </c>
      <c r="R19" s="27">
        <v>3666.1479721694654</v>
      </c>
      <c r="S19" s="27">
        <v>3556.338569870597</v>
      </c>
      <c r="T19" s="27">
        <v>3456.5670538791701</v>
      </c>
      <c r="U19" s="27">
        <v>3352.7907785702037</v>
      </c>
      <c r="V19" s="27">
        <v>3256.3532435324942</v>
      </c>
      <c r="W19" s="27">
        <v>3157.1024751331802</v>
      </c>
      <c r="X19" s="27">
        <v>3067.8280346932579</v>
      </c>
      <c r="Y19" s="27">
        <v>2982.5000647175743</v>
      </c>
      <c r="Z19" s="27">
        <v>2904.20553483395</v>
      </c>
      <c r="AA19" s="27">
        <v>2832.250202124349</v>
      </c>
      <c r="AB19" s="27">
        <v>2759.9673675241143</v>
      </c>
      <c r="AC19" s="27">
        <v>2685.3992105133316</v>
      </c>
      <c r="AD19" s="27">
        <v>2599.5241965705172</v>
      </c>
      <c r="AE19" s="27">
        <v>2544.8810561919554</v>
      </c>
      <c r="AF19" s="27">
        <v>2408.5442580894623</v>
      </c>
      <c r="AG19" s="27">
        <v>2297.0106367913631</v>
      </c>
      <c r="AH19" s="27">
        <v>2161.9549183418749</v>
      </c>
      <c r="AI19" s="27">
        <v>2023.5030106739973</v>
      </c>
      <c r="AJ19" s="27">
        <v>1883.0729029097167</v>
      </c>
      <c r="AK19" s="27">
        <v>1725.8498694699999</v>
      </c>
      <c r="AL19" s="27">
        <v>1606.0491256269495</v>
      </c>
      <c r="AM19" s="27">
        <v>1528.6107061234231</v>
      </c>
      <c r="AN19" s="27">
        <v>1430.9953439075157</v>
      </c>
      <c r="AO19" s="27">
        <v>1303.1401758008963</v>
      </c>
      <c r="AP19" s="27">
        <v>1134.3493676631829</v>
      </c>
      <c r="AQ19" s="27">
        <v>955.10958406033353</v>
      </c>
      <c r="AR19" s="27">
        <v>878.49156952432224</v>
      </c>
      <c r="AS19" s="27">
        <v>855.5783118335313</v>
      </c>
      <c r="AT19" s="27">
        <v>810.90771709967817</v>
      </c>
      <c r="AU19" s="27">
        <v>760.9827491329404</v>
      </c>
      <c r="AV19" s="27">
        <v>771.22596638381594</v>
      </c>
      <c r="AW19" s="27">
        <v>784.20358683866982</v>
      </c>
      <c r="AX19" s="27">
        <v>806.92751345504303</v>
      </c>
      <c r="AY19" s="27">
        <v>831.44418734527869</v>
      </c>
      <c r="AZ19" s="27">
        <v>850.15237201478953</v>
      </c>
      <c r="BA19" s="27">
        <v>867.85260366578723</v>
      </c>
      <c r="BB19" s="27">
        <v>889.56500976190125</v>
      </c>
      <c r="BC19" s="27">
        <v>911.22791816922756</v>
      </c>
      <c r="BD19" s="27">
        <f t="shared" si="11"/>
        <v>921.5617647241321</v>
      </c>
      <c r="BE19" s="27">
        <f t="shared" si="11"/>
        <v>932.01280301832719</v>
      </c>
      <c r="BF19" s="27">
        <f t="shared" si="11"/>
        <v>942.58236207326524</v>
      </c>
      <c r="BG19" s="27">
        <f t="shared" si="11"/>
        <v>953.27178598226328</v>
      </c>
      <c r="BH19" s="27">
        <f t="shared" si="11"/>
        <v>964.08243408142641</v>
      </c>
      <c r="BI19" s="27">
        <f t="shared" si="11"/>
        <v>975.01568112250982</v>
      </c>
      <c r="BJ19" s="27">
        <f t="shared" si="11"/>
        <v>986.07291744774125</v>
      </c>
      <c r="BK19" s="27">
        <f t="shared" si="11"/>
        <v>997.25554916662543</v>
      </c>
      <c r="BL19" s="27">
        <f t="shared" si="11"/>
        <v>1008.5649983347545</v>
      </c>
      <c r="BM19" s="27">
        <f t="shared" si="11"/>
        <v>1020.0027031346456</v>
      </c>
      <c r="BN19" s="27">
        <f t="shared" si="11"/>
        <v>1031.5701180586293</v>
      </c>
      <c r="BO19" s="27">
        <f t="shared" si="11"/>
        <v>1043.2687140938124</v>
      </c>
      <c r="BP19" s="27">
        <f t="shared" si="11"/>
        <v>1055.0999789091381</v>
      </c>
      <c r="BQ19" s="27">
        <f t="shared" si="11"/>
        <v>1067.0654170445675</v>
      </c>
      <c r="BR19" s="27">
        <f t="shared" si="11"/>
        <v>1079.166550102407</v>
      </c>
      <c r="BS19" s="27">
        <f t="shared" si="11"/>
        <v>1091.4049169408042</v>
      </c>
      <c r="BT19" s="8">
        <v>2.2681145625271126E-2</v>
      </c>
      <c r="BU19" s="28">
        <f t="shared" si="3"/>
        <v>1725.8498694699999</v>
      </c>
      <c r="BV19" s="28">
        <f t="shared" si="3"/>
        <v>1606.0491256269495</v>
      </c>
      <c r="BW19" s="28">
        <f t="shared" si="3"/>
        <v>1528.6107061234231</v>
      </c>
      <c r="BX19" s="28">
        <f t="shared" si="3"/>
        <v>1430.9953439075157</v>
      </c>
      <c r="BY19" s="28">
        <f t="shared" si="3"/>
        <v>1303.1401758008963</v>
      </c>
      <c r="BZ19" s="28">
        <f t="shared" si="3"/>
        <v>1134.3493676631829</v>
      </c>
      <c r="CA19" s="28">
        <f t="shared" si="3"/>
        <v>955.10958406033353</v>
      </c>
      <c r="CB19" s="28">
        <f t="shared" si="3"/>
        <v>878.49156952432224</v>
      </c>
      <c r="CC19" s="28">
        <f t="shared" si="3"/>
        <v>855.5783118335313</v>
      </c>
      <c r="CD19" s="28">
        <f t="shared" si="3"/>
        <v>810.90771709967817</v>
      </c>
      <c r="CE19" s="28">
        <f t="shared" si="3"/>
        <v>760.9827491329404</v>
      </c>
      <c r="CF19" s="28">
        <f t="shared" si="3"/>
        <v>771.22596638381594</v>
      </c>
      <c r="CG19" s="28">
        <f t="shared" si="3"/>
        <v>784.20358683866982</v>
      </c>
      <c r="CH19" s="28">
        <f t="shared" si="3"/>
        <v>806.92751345504303</v>
      </c>
      <c r="CI19" s="29">
        <f t="shared" si="3"/>
        <v>831.44418734527869</v>
      </c>
      <c r="CJ19" s="28">
        <f t="shared" si="3"/>
        <v>850.15237201478953</v>
      </c>
      <c r="CK19" s="28">
        <f t="shared" si="4"/>
        <v>867.85260366578723</v>
      </c>
      <c r="CL19" s="28">
        <f t="shared" si="4"/>
        <v>889.56500976190125</v>
      </c>
      <c r="CM19" s="28">
        <f t="shared" si="4"/>
        <v>911.22791816922756</v>
      </c>
      <c r="CN19" s="28">
        <f t="shared" si="4"/>
        <v>921.5617647241321</v>
      </c>
      <c r="CO19" s="28">
        <f t="shared" si="4"/>
        <v>932.01280301832719</v>
      </c>
      <c r="CP19" s="28">
        <f t="shared" si="4"/>
        <v>942.58236207326524</v>
      </c>
      <c r="CQ19" s="28">
        <f t="shared" si="4"/>
        <v>953.27178598226328</v>
      </c>
      <c r="CR19" s="28">
        <f t="shared" si="4"/>
        <v>964.08243408142641</v>
      </c>
      <c r="CS19" s="28">
        <f t="shared" si="4"/>
        <v>975.01568112250982</v>
      </c>
      <c r="CT19" s="28">
        <f t="shared" si="4"/>
        <v>986.07291744774125</v>
      </c>
      <c r="CU19" s="28">
        <f t="shared" si="4"/>
        <v>997.25554916662543</v>
      </c>
      <c r="CV19" s="28">
        <f t="shared" si="4"/>
        <v>1008.5649983347545</v>
      </c>
      <c r="CW19" s="28">
        <f t="shared" si="4"/>
        <v>1020.0027031346456</v>
      </c>
      <c r="CX19" s="28">
        <f t="shared" si="4"/>
        <v>1031.5701180586293</v>
      </c>
      <c r="CY19" s="28">
        <f t="shared" si="4"/>
        <v>1043.2687140938124</v>
      </c>
      <c r="CZ19" s="28">
        <f t="shared" si="4"/>
        <v>1055.0999789091381</v>
      </c>
      <c r="DA19" s="28">
        <f t="shared" si="5"/>
        <v>1067.0654170445675</v>
      </c>
      <c r="DB19" s="28">
        <f t="shared" si="5"/>
        <v>1079.166550102407</v>
      </c>
      <c r="DC19" s="28">
        <f t="shared" si="5"/>
        <v>1091.4049169408042</v>
      </c>
    </row>
    <row r="20" spans="2:107">
      <c r="B20" s="32" t="s">
        <v>44</v>
      </c>
      <c r="C20" s="33"/>
      <c r="D20" s="19">
        <f t="shared" si="0"/>
        <v>2809.9519335211007</v>
      </c>
      <c r="E20" s="20">
        <f t="shared" ref="E20:E23" si="12">$D$55</f>
        <v>18.688701712465154</v>
      </c>
      <c r="G20" s="21"/>
      <c r="I20" s="32" t="s">
        <v>44</v>
      </c>
      <c r="J20" s="31"/>
      <c r="K20" s="22">
        <v>764.19011053661541</v>
      </c>
      <c r="L20" s="22">
        <v>1108.9713223353062</v>
      </c>
      <c r="M20" s="22">
        <v>1661.4373320577768</v>
      </c>
      <c r="N20" s="22">
        <v>2043.8610683528605</v>
      </c>
      <c r="O20" s="22">
        <v>2487.0230930031689</v>
      </c>
      <c r="P20" s="22">
        <v>2375.5594721419725</v>
      </c>
      <c r="Q20" s="22">
        <v>2418.2170224764745</v>
      </c>
      <c r="R20" s="22">
        <v>2535.9102668423684</v>
      </c>
      <c r="S20" s="22">
        <v>2594.5502697386328</v>
      </c>
      <c r="T20" s="22">
        <v>2671.8742312693739</v>
      </c>
      <c r="U20" s="22">
        <v>2764.2078380148932</v>
      </c>
      <c r="V20" s="22">
        <v>2874.6958828864122</v>
      </c>
      <c r="W20" s="22">
        <v>2842.8622108261998</v>
      </c>
      <c r="X20" s="22">
        <v>2826.0250739255171</v>
      </c>
      <c r="Y20" s="22">
        <v>2926.663368800519</v>
      </c>
      <c r="Z20" s="22">
        <v>3014.5456010083344</v>
      </c>
      <c r="AA20" s="22">
        <v>3105.6768597795894</v>
      </c>
      <c r="AB20" s="22">
        <v>3160.1855912559913</v>
      </c>
      <c r="AC20" s="22">
        <v>3247.2148791153695</v>
      </c>
      <c r="AD20" s="22">
        <v>3114.1895865021811</v>
      </c>
      <c r="AE20" s="22">
        <v>3044.9560786189595</v>
      </c>
      <c r="AF20" s="22">
        <v>2983.4308729366799</v>
      </c>
      <c r="AG20" s="22">
        <v>2919.9240412744061</v>
      </c>
      <c r="AH20" s="22">
        <v>2889.597078137781</v>
      </c>
      <c r="AI20" s="22">
        <v>2858.9690938817398</v>
      </c>
      <c r="AJ20" s="22">
        <v>2832.3692420292332</v>
      </c>
      <c r="AK20" s="22">
        <v>2809.9519335211007</v>
      </c>
      <c r="AL20" s="22">
        <v>2792.082473026881</v>
      </c>
      <c r="AM20" s="22">
        <v>2778.2581751049461</v>
      </c>
      <c r="AN20" s="22">
        <v>2766.70594249444</v>
      </c>
      <c r="AO20" s="22">
        <v>2758.9919831094112</v>
      </c>
      <c r="AP20" s="22">
        <v>2752.7526709837321</v>
      </c>
      <c r="AQ20" s="22">
        <v>2746.7834651568364</v>
      </c>
      <c r="AR20" s="22">
        <v>2750.9493297257231</v>
      </c>
      <c r="AS20" s="22">
        <v>2762.6815864848604</v>
      </c>
      <c r="AT20" s="22">
        <v>2778.2423220900992</v>
      </c>
      <c r="AU20" s="22">
        <v>2796.305141868796</v>
      </c>
      <c r="AV20" s="22">
        <v>2818.4377997443535</v>
      </c>
      <c r="AW20" s="22">
        <v>2845.9361153995537</v>
      </c>
      <c r="AX20" s="22">
        <v>2873.8229435256317</v>
      </c>
      <c r="AY20" s="22">
        <v>2901.2332158563909</v>
      </c>
      <c r="AZ20" s="22">
        <v>2923.0959449341353</v>
      </c>
      <c r="BA20" s="22">
        <v>2937.5262628125502</v>
      </c>
      <c r="BB20" s="22">
        <v>2936.3393896536113</v>
      </c>
      <c r="BC20" s="22">
        <v>2947.2646433589266</v>
      </c>
      <c r="BD20" s="22">
        <f t="shared" ref="BD20:BS20" si="13">SUM(BD21)</f>
        <v>2972.2592248880419</v>
      </c>
      <c r="BE20" s="22">
        <f t="shared" si="13"/>
        <v>2997.4657755415533</v>
      </c>
      <c r="BF20" s="22">
        <f t="shared" si="13"/>
        <v>3022.8860929454636</v>
      </c>
      <c r="BG20" s="22">
        <f t="shared" si="13"/>
        <v>3048.521989970729</v>
      </c>
      <c r="BH20" s="22">
        <f t="shared" si="13"/>
        <v>3074.3752948625438</v>
      </c>
      <c r="BI20" s="22">
        <f t="shared" si="13"/>
        <v>3100.4478513707249</v>
      </c>
      <c r="BJ20" s="22">
        <f t="shared" si="13"/>
        <v>3126.7415188811992</v>
      </c>
      <c r="BK20" s="22">
        <f t="shared" si="13"/>
        <v>3153.2581725486075</v>
      </c>
      <c r="BL20" s="22">
        <f t="shared" si="13"/>
        <v>3179.9997034300327</v>
      </c>
      <c r="BM20" s="22">
        <f t="shared" si="13"/>
        <v>3206.9680186198625</v>
      </c>
      <c r="BN20" s="22">
        <f t="shared" si="13"/>
        <v>3234.1650413857947</v>
      </c>
      <c r="BO20" s="22">
        <f t="shared" si="13"/>
        <v>3261.5927113059975</v>
      </c>
      <c r="BP20" s="22">
        <f t="shared" si="13"/>
        <v>3289.2529844074306</v>
      </c>
      <c r="BQ20" s="22">
        <f t="shared" si="13"/>
        <v>3317.1478333053433</v>
      </c>
      <c r="BR20" s="22">
        <f t="shared" si="13"/>
        <v>3345.2792473439508</v>
      </c>
      <c r="BS20" s="22">
        <f t="shared" si="13"/>
        <v>3373.6492327383075</v>
      </c>
      <c r="BT20" s="8">
        <v>1.6961206103724757E-2</v>
      </c>
      <c r="BU20" s="23">
        <f t="shared" si="3"/>
        <v>52514.353511940564</v>
      </c>
      <c r="BV20" s="23">
        <f t="shared" si="3"/>
        <v>52180.396495001412</v>
      </c>
      <c r="BW20" s="23">
        <f t="shared" si="3"/>
        <v>51922.038314754122</v>
      </c>
      <c r="BX20" s="23">
        <f t="shared" si="3"/>
        <v>51706.142085383355</v>
      </c>
      <c r="BY20" s="23">
        <f t="shared" si="3"/>
        <v>51561.97819941448</v>
      </c>
      <c r="BZ20" s="23">
        <f t="shared" si="3"/>
        <v>51445.373556206701</v>
      </c>
      <c r="CA20" s="23">
        <f t="shared" si="3"/>
        <v>51333.816849047536</v>
      </c>
      <c r="CB20" s="23">
        <f t="shared" si="3"/>
        <v>51411.671449349989</v>
      </c>
      <c r="CC20" s="23">
        <f t="shared" si="3"/>
        <v>51630.932096335557</v>
      </c>
      <c r="CD20" s="23">
        <f t="shared" si="3"/>
        <v>51921.742042488404</v>
      </c>
      <c r="CE20" s="23">
        <f t="shared" si="3"/>
        <v>52259.312693418484</v>
      </c>
      <c r="CF20" s="23">
        <f t="shared" si="3"/>
        <v>52672.943334558819</v>
      </c>
      <c r="CG20" s="23">
        <f t="shared" si="3"/>
        <v>53186.851153434065</v>
      </c>
      <c r="CH20" s="24">
        <f t="shared" si="3"/>
        <v>53708.01976598912</v>
      </c>
      <c r="CI20" s="23">
        <f t="shared" si="3"/>
        <v>54220.282169436119</v>
      </c>
      <c r="CJ20" s="23">
        <f t="shared" si="3"/>
        <v>54628.86819179052</v>
      </c>
      <c r="CK20" s="23">
        <f t="shared" si="4"/>
        <v>54898.552098236272</v>
      </c>
      <c r="CL20" s="23">
        <f t="shared" si="4"/>
        <v>54876.370979798332</v>
      </c>
      <c r="CM20" s="23">
        <f t="shared" si="4"/>
        <v>55080.549787429969</v>
      </c>
      <c r="CN20" s="23">
        <f t="shared" si="4"/>
        <v>55547.666066055499</v>
      </c>
      <c r="CO20" s="23">
        <f t="shared" si="4"/>
        <v>56018.743772419119</v>
      </c>
      <c r="CP20" s="23">
        <f t="shared" si="4"/>
        <v>56493.816501816982</v>
      </c>
      <c r="CQ20" s="23">
        <f t="shared" si="4"/>
        <v>56972.918134453641</v>
      </c>
      <c r="CR20" s="23">
        <f t="shared" si="4"/>
        <v>57456.082837858186</v>
      </c>
      <c r="CS20" s="23">
        <f t="shared" si="4"/>
        <v>57943.345069320974</v>
      </c>
      <c r="CT20" s="23">
        <f t="shared" si="4"/>
        <v>58434.739578350964</v>
      </c>
      <c r="CU20" s="23">
        <f t="shared" si="4"/>
        <v>58930.301409153901</v>
      </c>
      <c r="CV20" s="23">
        <f t="shared" si="4"/>
        <v>59430.06590313153</v>
      </c>
      <c r="CW20" s="23">
        <f t="shared" si="4"/>
        <v>59934.068701402008</v>
      </c>
      <c r="CX20" s="23">
        <f t="shared" si="4"/>
        <v>60442.345747341635</v>
      </c>
      <c r="CY20" s="23">
        <f t="shared" si="4"/>
        <v>60954.933289148255</v>
      </c>
      <c r="CZ20" s="23">
        <f t="shared" si="4"/>
        <v>61471.867882426268</v>
      </c>
      <c r="DA20" s="23">
        <f t="shared" si="5"/>
        <v>61993.186392793643</v>
      </c>
      <c r="DB20" s="23">
        <f t="shared" si="5"/>
        <v>62518.925998511033</v>
      </c>
      <c r="DC20" s="23">
        <f t="shared" si="5"/>
        <v>63049.124193133161</v>
      </c>
    </row>
    <row r="21" spans="2:107">
      <c r="B21" s="30" t="s">
        <v>45</v>
      </c>
      <c r="C21" s="33" t="s">
        <v>45</v>
      </c>
      <c r="D21" s="19">
        <f t="shared" si="0"/>
        <v>2809.9519335211007</v>
      </c>
      <c r="E21" s="20">
        <f t="shared" si="12"/>
        <v>18.688701712465154</v>
      </c>
      <c r="G21" s="21"/>
      <c r="I21" s="32"/>
      <c r="J21" s="31" t="s">
        <v>45</v>
      </c>
      <c r="K21" s="27">
        <v>764.19011053661541</v>
      </c>
      <c r="L21" s="27">
        <v>1108.9713223353062</v>
      </c>
      <c r="M21" s="27">
        <v>1661.4373320577768</v>
      </c>
      <c r="N21" s="27">
        <v>2043.8610683528605</v>
      </c>
      <c r="O21" s="27">
        <v>2487.0230930031689</v>
      </c>
      <c r="P21" s="27">
        <v>2375.5594721419725</v>
      </c>
      <c r="Q21" s="27">
        <v>2418.2170224764745</v>
      </c>
      <c r="R21" s="27">
        <v>2535.9102668423684</v>
      </c>
      <c r="S21" s="27">
        <v>2594.5502697386328</v>
      </c>
      <c r="T21" s="27">
        <v>2671.8742312693739</v>
      </c>
      <c r="U21" s="27">
        <v>2764.2078380148932</v>
      </c>
      <c r="V21" s="27">
        <v>2874.6958828864122</v>
      </c>
      <c r="W21" s="27">
        <v>2842.8622108261998</v>
      </c>
      <c r="X21" s="27">
        <v>2826.0250739255171</v>
      </c>
      <c r="Y21" s="27">
        <v>2926.663368800519</v>
      </c>
      <c r="Z21" s="27">
        <v>3014.5456010083344</v>
      </c>
      <c r="AA21" s="27">
        <v>3105.6768597795894</v>
      </c>
      <c r="AB21" s="27">
        <v>3160.1855912559913</v>
      </c>
      <c r="AC21" s="27">
        <v>3247.2148791153695</v>
      </c>
      <c r="AD21" s="27">
        <v>3114.1895865021811</v>
      </c>
      <c r="AE21" s="27">
        <v>3044.9560786189595</v>
      </c>
      <c r="AF21" s="27">
        <v>2983.4308729366799</v>
      </c>
      <c r="AG21" s="27">
        <v>2919.9240412744061</v>
      </c>
      <c r="AH21" s="27">
        <v>2889.597078137781</v>
      </c>
      <c r="AI21" s="27">
        <v>2858.9690938817398</v>
      </c>
      <c r="AJ21" s="27">
        <v>2832.3692420292332</v>
      </c>
      <c r="AK21" s="27">
        <v>2809.9519335211007</v>
      </c>
      <c r="AL21" s="27">
        <v>2792.082473026881</v>
      </c>
      <c r="AM21" s="27">
        <v>2778.2581751049461</v>
      </c>
      <c r="AN21" s="27">
        <v>2766.70594249444</v>
      </c>
      <c r="AO21" s="27">
        <v>2758.9919831094112</v>
      </c>
      <c r="AP21" s="27">
        <v>2752.7526709837321</v>
      </c>
      <c r="AQ21" s="27">
        <v>2746.7834651568364</v>
      </c>
      <c r="AR21" s="27">
        <v>2750.9493297257231</v>
      </c>
      <c r="AS21" s="27">
        <v>2762.6815864848604</v>
      </c>
      <c r="AT21" s="27">
        <v>2778.2423220900992</v>
      </c>
      <c r="AU21" s="27">
        <v>2796.305141868796</v>
      </c>
      <c r="AV21" s="27">
        <v>2818.4377997443535</v>
      </c>
      <c r="AW21" s="27">
        <v>2845.9361153995537</v>
      </c>
      <c r="AX21" s="27">
        <v>2873.8229435256317</v>
      </c>
      <c r="AY21" s="27">
        <v>2901.2332158563909</v>
      </c>
      <c r="AZ21" s="27">
        <v>2923.0959449341353</v>
      </c>
      <c r="BA21" s="27">
        <v>2937.5262628125502</v>
      </c>
      <c r="BB21" s="27">
        <v>2936.3393896536113</v>
      </c>
      <c r="BC21" s="27">
        <v>2947.2646433589266</v>
      </c>
      <c r="BD21" s="27">
        <f t="shared" ref="BD21:BS21" si="14">BC21*(1+$BT21/2)</f>
        <v>2972.2592248880419</v>
      </c>
      <c r="BE21" s="27">
        <f t="shared" si="14"/>
        <v>2997.4657755415533</v>
      </c>
      <c r="BF21" s="27">
        <f t="shared" si="14"/>
        <v>3022.8860929454636</v>
      </c>
      <c r="BG21" s="27">
        <f t="shared" si="14"/>
        <v>3048.521989970729</v>
      </c>
      <c r="BH21" s="27">
        <f t="shared" si="14"/>
        <v>3074.3752948625438</v>
      </c>
      <c r="BI21" s="27">
        <f t="shared" si="14"/>
        <v>3100.4478513707249</v>
      </c>
      <c r="BJ21" s="27">
        <f t="shared" si="14"/>
        <v>3126.7415188811992</v>
      </c>
      <c r="BK21" s="27">
        <f t="shared" si="14"/>
        <v>3153.2581725486075</v>
      </c>
      <c r="BL21" s="27">
        <f t="shared" si="14"/>
        <v>3179.9997034300327</v>
      </c>
      <c r="BM21" s="27">
        <f t="shared" si="14"/>
        <v>3206.9680186198625</v>
      </c>
      <c r="BN21" s="27">
        <f t="shared" si="14"/>
        <v>3234.1650413857947</v>
      </c>
      <c r="BO21" s="27">
        <f t="shared" si="14"/>
        <v>3261.5927113059975</v>
      </c>
      <c r="BP21" s="27">
        <f t="shared" si="14"/>
        <v>3289.2529844074306</v>
      </c>
      <c r="BQ21" s="27">
        <f t="shared" si="14"/>
        <v>3317.1478333053433</v>
      </c>
      <c r="BR21" s="27">
        <f t="shared" si="14"/>
        <v>3345.2792473439508</v>
      </c>
      <c r="BS21" s="27">
        <f t="shared" si="14"/>
        <v>3373.6492327383075</v>
      </c>
      <c r="BT21" s="8">
        <v>1.6961206103724757E-2</v>
      </c>
      <c r="BU21" s="28">
        <f t="shared" si="3"/>
        <v>52514.353511940564</v>
      </c>
      <c r="BV21" s="28">
        <f t="shared" si="3"/>
        <v>52180.396495001412</v>
      </c>
      <c r="BW21" s="28">
        <f t="shared" si="3"/>
        <v>51922.038314754122</v>
      </c>
      <c r="BX21" s="28">
        <f t="shared" si="3"/>
        <v>51706.142085383355</v>
      </c>
      <c r="BY21" s="28">
        <f t="shared" si="3"/>
        <v>51561.97819941448</v>
      </c>
      <c r="BZ21" s="28">
        <f t="shared" si="3"/>
        <v>51445.373556206701</v>
      </c>
      <c r="CA21" s="28">
        <f t="shared" si="3"/>
        <v>51333.816849047536</v>
      </c>
      <c r="CB21" s="28">
        <f t="shared" si="3"/>
        <v>51411.671449349989</v>
      </c>
      <c r="CC21" s="28">
        <f t="shared" si="3"/>
        <v>51630.932096335557</v>
      </c>
      <c r="CD21" s="28">
        <f t="shared" si="3"/>
        <v>51921.742042488404</v>
      </c>
      <c r="CE21" s="28">
        <f t="shared" si="3"/>
        <v>52259.312693418484</v>
      </c>
      <c r="CF21" s="28">
        <f t="shared" si="3"/>
        <v>52672.943334558819</v>
      </c>
      <c r="CG21" s="28">
        <f t="shared" si="3"/>
        <v>53186.851153434065</v>
      </c>
      <c r="CH21" s="28">
        <f t="shared" si="3"/>
        <v>53708.01976598912</v>
      </c>
      <c r="CI21" s="29">
        <f t="shared" si="3"/>
        <v>54220.282169436119</v>
      </c>
      <c r="CJ21" s="28">
        <f t="shared" si="3"/>
        <v>54628.86819179052</v>
      </c>
      <c r="CK21" s="28">
        <f t="shared" si="4"/>
        <v>54898.552098236272</v>
      </c>
      <c r="CL21" s="28">
        <f t="shared" si="4"/>
        <v>54876.370979798332</v>
      </c>
      <c r="CM21" s="28">
        <f t="shared" si="4"/>
        <v>55080.549787429969</v>
      </c>
      <c r="CN21" s="28">
        <f t="shared" si="4"/>
        <v>55547.666066055499</v>
      </c>
      <c r="CO21" s="28">
        <f t="shared" si="4"/>
        <v>56018.743772419119</v>
      </c>
      <c r="CP21" s="28">
        <f t="shared" si="4"/>
        <v>56493.816501816982</v>
      </c>
      <c r="CQ21" s="28">
        <f t="shared" si="4"/>
        <v>56972.918134453641</v>
      </c>
      <c r="CR21" s="28">
        <f t="shared" si="4"/>
        <v>57456.082837858186</v>
      </c>
      <c r="CS21" s="28">
        <f t="shared" si="4"/>
        <v>57943.345069320974</v>
      </c>
      <c r="CT21" s="28">
        <f t="shared" si="4"/>
        <v>58434.739578350964</v>
      </c>
      <c r="CU21" s="28">
        <f t="shared" si="4"/>
        <v>58930.301409153901</v>
      </c>
      <c r="CV21" s="28">
        <f t="shared" si="4"/>
        <v>59430.06590313153</v>
      </c>
      <c r="CW21" s="28">
        <f t="shared" si="4"/>
        <v>59934.068701402008</v>
      </c>
      <c r="CX21" s="28">
        <f t="shared" si="4"/>
        <v>60442.345747341635</v>
      </c>
      <c r="CY21" s="28">
        <f t="shared" si="4"/>
        <v>60954.933289148255</v>
      </c>
      <c r="CZ21" s="28">
        <f t="shared" si="4"/>
        <v>61471.867882426268</v>
      </c>
      <c r="DA21" s="28">
        <f t="shared" si="5"/>
        <v>61993.186392793643</v>
      </c>
      <c r="DB21" s="28">
        <f t="shared" si="5"/>
        <v>62518.925998511033</v>
      </c>
      <c r="DC21" s="28">
        <f t="shared" si="5"/>
        <v>63049.124193133161</v>
      </c>
    </row>
    <row r="22" spans="2:107">
      <c r="B22" s="32" t="s">
        <v>46</v>
      </c>
      <c r="C22" s="33"/>
      <c r="D22" s="19">
        <f t="shared" si="0"/>
        <v>31744.942719295446</v>
      </c>
      <c r="E22" s="20">
        <f t="shared" si="12"/>
        <v>18.688701712465154</v>
      </c>
      <c r="G22" s="21"/>
      <c r="I22" s="32" t="s">
        <v>46</v>
      </c>
      <c r="J22" s="31"/>
      <c r="K22" s="22">
        <v>6638.6400793644161</v>
      </c>
      <c r="L22" s="22">
        <v>7620.6389593938138</v>
      </c>
      <c r="M22" s="22">
        <v>8461.1098718080557</v>
      </c>
      <c r="N22" s="22">
        <v>9097.0713673381197</v>
      </c>
      <c r="O22" s="22">
        <v>9702.2739552171388</v>
      </c>
      <c r="P22" s="22">
        <v>9062.2184607115705</v>
      </c>
      <c r="Q22" s="22">
        <v>8827.287598193745</v>
      </c>
      <c r="R22" s="22">
        <v>9367.8886212603265</v>
      </c>
      <c r="S22" s="22">
        <v>10577.417790239735</v>
      </c>
      <c r="T22" s="22">
        <v>11880.709335591104</v>
      </c>
      <c r="U22" s="22">
        <v>14024.546905683783</v>
      </c>
      <c r="V22" s="22">
        <v>15012.220280641537</v>
      </c>
      <c r="W22" s="22">
        <v>16172.517136044615</v>
      </c>
      <c r="X22" s="22">
        <v>17108.780541477707</v>
      </c>
      <c r="Y22" s="22">
        <v>17957.445471258881</v>
      </c>
      <c r="Z22" s="22">
        <v>19441.776061087705</v>
      </c>
      <c r="AA22" s="22">
        <v>21372.060200705444</v>
      </c>
      <c r="AB22" s="22">
        <v>23845.547145737848</v>
      </c>
      <c r="AC22" s="22">
        <v>25412.180635288478</v>
      </c>
      <c r="AD22" s="22">
        <v>24658.502675237109</v>
      </c>
      <c r="AE22" s="22">
        <v>25117.175907476289</v>
      </c>
      <c r="AF22" s="22">
        <v>25907.751380326179</v>
      </c>
      <c r="AG22" s="22">
        <v>27336.004694451338</v>
      </c>
      <c r="AH22" s="22">
        <v>28437.842847003572</v>
      </c>
      <c r="AI22" s="22">
        <v>29547.666210861084</v>
      </c>
      <c r="AJ22" s="22">
        <v>30649.491845764169</v>
      </c>
      <c r="AK22" s="22">
        <v>31744.942719295446</v>
      </c>
      <c r="AL22" s="22">
        <v>32859.815131531912</v>
      </c>
      <c r="AM22" s="22">
        <v>33980.971843119973</v>
      </c>
      <c r="AN22" s="22">
        <v>35101.325745937305</v>
      </c>
      <c r="AO22" s="22">
        <v>36213.084042593146</v>
      </c>
      <c r="AP22" s="22">
        <v>37323.243945331778</v>
      </c>
      <c r="AQ22" s="22">
        <v>38435.687805994632</v>
      </c>
      <c r="AR22" s="22">
        <v>39611.061012401842</v>
      </c>
      <c r="AS22" s="22">
        <v>40860.754822480194</v>
      </c>
      <c r="AT22" s="22">
        <v>42128.184411325863</v>
      </c>
      <c r="AU22" s="22">
        <v>43389.882049298205</v>
      </c>
      <c r="AV22" s="22">
        <v>44700.819335821441</v>
      </c>
      <c r="AW22" s="22">
        <v>46041.934775278045</v>
      </c>
      <c r="AX22" s="22">
        <v>47411.507021192512</v>
      </c>
      <c r="AY22" s="22">
        <v>48800.296295237618</v>
      </c>
      <c r="AZ22" s="22">
        <v>50168.644843170958</v>
      </c>
      <c r="BA22" s="22">
        <v>51499.685279771853</v>
      </c>
      <c r="BB22" s="22">
        <v>52830.341100422338</v>
      </c>
      <c r="BC22" s="22">
        <v>54172.576931966316</v>
      </c>
      <c r="BD22" s="22">
        <f t="shared" ref="BD22" si="15">SUM(BD23)</f>
        <v>54764.714994688751</v>
      </c>
      <c r="BE22" s="22">
        <f t="shared" ref="BE22:BS22" si="16">SUM(BE23)</f>
        <v>55363.325473995043</v>
      </c>
      <c r="BF22" s="22">
        <f t="shared" si="16"/>
        <v>55968.479117197465</v>
      </c>
      <c r="BG22" s="22">
        <f t="shared" si="16"/>
        <v>56580.24744491795</v>
      </c>
      <c r="BH22" s="22">
        <f t="shared" si="16"/>
        <v>57198.7027595408</v>
      </c>
      <c r="BI22" s="22">
        <f t="shared" si="16"/>
        <v>57823.918153757812</v>
      </c>
      <c r="BJ22" s="22">
        <f t="shared" si="16"/>
        <v>58455.967519206817</v>
      </c>
      <c r="BK22" s="22">
        <f t="shared" si="16"/>
        <v>59094.925555204609</v>
      </c>
      <c r="BL22" s="22">
        <f t="shared" si="16"/>
        <v>59740.867777575368</v>
      </c>
      <c r="BM22" s="22">
        <f t="shared" si="16"/>
        <v>60393.870527575549</v>
      </c>
      <c r="BN22" s="22">
        <f t="shared" si="16"/>
        <v>61054.010980916355</v>
      </c>
      <c r="BO22" s="22">
        <f t="shared" si="16"/>
        <v>61721.367156884808</v>
      </c>
      <c r="BP22" s="22">
        <f t="shared" si="16"/>
        <v>62396.017927564535</v>
      </c>
      <c r="BQ22" s="22">
        <f t="shared" si="16"/>
        <v>63078.04302715732</v>
      </c>
      <c r="BR22" s="22">
        <f t="shared" si="16"/>
        <v>63767.523061406588</v>
      </c>
      <c r="BS22" s="22">
        <f t="shared" si="16"/>
        <v>64464.539517123842</v>
      </c>
      <c r="BT22" s="8">
        <v>2.1861173909673237E-2</v>
      </c>
      <c r="BU22" s="23">
        <f t="shared" si="3"/>
        <v>593271.76536020497</v>
      </c>
      <c r="BV22" s="23">
        <f t="shared" si="3"/>
        <v>614107.28331994882</v>
      </c>
      <c r="BW22" s="23">
        <f t="shared" si="3"/>
        <v>635060.2466757464</v>
      </c>
      <c r="BX22" s="23">
        <f t="shared" si="3"/>
        <v>655998.20657789567</v>
      </c>
      <c r="BY22" s="23">
        <f t="shared" si="3"/>
        <v>676775.52576045506</v>
      </c>
      <c r="BZ22" s="23">
        <f t="shared" si="3"/>
        <v>697522.97303587664</v>
      </c>
      <c r="CA22" s="23">
        <f t="shared" si="3"/>
        <v>718313.10451966792</v>
      </c>
      <c r="CB22" s="23">
        <f t="shared" si="3"/>
        <v>740279.30377503601</v>
      </c>
      <c r="CC22" s="23">
        <f t="shared" si="3"/>
        <v>763634.45862350438</v>
      </c>
      <c r="CD22" s="23">
        <f t="shared" si="3"/>
        <v>787321.07215099339</v>
      </c>
      <c r="CE22" s="23">
        <f t="shared" si="3"/>
        <v>810900.56295838044</v>
      </c>
      <c r="CF22" s="23">
        <f t="shared" si="3"/>
        <v>835400.27886996162</v>
      </c>
      <c r="CG22" s="23">
        <f t="shared" si="3"/>
        <v>860463.98527994775</v>
      </c>
      <c r="CH22" s="24">
        <f t="shared" si="3"/>
        <v>886059.51245751418</v>
      </c>
      <c r="CI22" s="23">
        <f t="shared" si="3"/>
        <v>912014.18094161421</v>
      </c>
      <c r="CJ22" s="23">
        <f t="shared" ref="CJ22:CY37" si="17">AZ22*$E22</f>
        <v>937586.83879262512</v>
      </c>
      <c r="CK22" s="23">
        <f t="shared" si="4"/>
        <v>962462.25647948869</v>
      </c>
      <c r="CL22" s="23">
        <f t="shared" si="4"/>
        <v>987330.48619358114</v>
      </c>
      <c r="CM22" s="23">
        <f t="shared" si="4"/>
        <v>1012415.1312770891</v>
      </c>
      <c r="CN22" s="23">
        <f t="shared" si="4"/>
        <v>1023481.4229039057</v>
      </c>
      <c r="CO22" s="23">
        <f t="shared" si="4"/>
        <v>1034668.6755936168</v>
      </c>
      <c r="CP22" s="23">
        <f t="shared" si="4"/>
        <v>1045978.2115216384</v>
      </c>
      <c r="CQ22" s="23">
        <f t="shared" si="4"/>
        <v>1057411.3673155403</v>
      </c>
      <c r="CR22" s="23">
        <f t="shared" si="4"/>
        <v>1068969.4942130155</v>
      </c>
      <c r="CS22" s="23">
        <f t="shared" si="4"/>
        <v>1080653.9582215785</v>
      </c>
      <c r="CT22" s="23">
        <f t="shared" si="4"/>
        <v>1092466.1402800079</v>
      </c>
      <c r="CU22" s="23">
        <f t="shared" si="4"/>
        <v>1104407.4364215531</v>
      </c>
      <c r="CV22" s="23">
        <f t="shared" si="4"/>
        <v>1116479.257938927</v>
      </c>
      <c r="CW22" s="23">
        <f t="shared" si="4"/>
        <v>1128683.0315510998</v>
      </c>
      <c r="CX22" s="23">
        <f t="shared" si="4"/>
        <v>1141020.1995719178</v>
      </c>
      <c r="CY22" s="23">
        <f t="shared" si="4"/>
        <v>1153492.2200805636</v>
      </c>
      <c r="CZ22" s="23">
        <f t="shared" ref="CZ22:CZ37" si="18">BP22*$E22</f>
        <v>1166100.5670938818</v>
      </c>
      <c r="DA22" s="23">
        <f t="shared" si="5"/>
        <v>1178846.7307405856</v>
      </c>
      <c r="DB22" s="23">
        <f t="shared" si="5"/>
        <v>1191732.2174373704</v>
      </c>
      <c r="DC22" s="23">
        <f t="shared" si="5"/>
        <v>1204758.5500669498</v>
      </c>
    </row>
    <row r="23" spans="2:107">
      <c r="B23" s="30" t="s">
        <v>47</v>
      </c>
      <c r="C23" s="33" t="s">
        <v>47</v>
      </c>
      <c r="D23" s="19">
        <f t="shared" si="0"/>
        <v>31744.942719295446</v>
      </c>
      <c r="E23" s="20">
        <f t="shared" si="12"/>
        <v>18.688701712465154</v>
      </c>
      <c r="G23" s="21"/>
      <c r="I23" s="32"/>
      <c r="J23" s="31" t="s">
        <v>47</v>
      </c>
      <c r="K23" s="27">
        <v>6638.6400793644161</v>
      </c>
      <c r="L23" s="27">
        <v>7620.6389593938138</v>
      </c>
      <c r="M23" s="27">
        <v>8461.1098718080557</v>
      </c>
      <c r="N23" s="27">
        <v>9097.0713673381197</v>
      </c>
      <c r="O23" s="27">
        <v>9702.2739552171388</v>
      </c>
      <c r="P23" s="27">
        <v>9062.2184607115705</v>
      </c>
      <c r="Q23" s="27">
        <v>8827.287598193745</v>
      </c>
      <c r="R23" s="27">
        <v>9367.8886212603265</v>
      </c>
      <c r="S23" s="27">
        <v>10577.417790239735</v>
      </c>
      <c r="T23" s="27">
        <v>11880.709335591104</v>
      </c>
      <c r="U23" s="27">
        <v>14024.546905683783</v>
      </c>
      <c r="V23" s="27">
        <v>15012.220280641537</v>
      </c>
      <c r="W23" s="27">
        <v>16172.517136044615</v>
      </c>
      <c r="X23" s="27">
        <v>17108.780541477707</v>
      </c>
      <c r="Y23" s="27">
        <v>17957.445471258881</v>
      </c>
      <c r="Z23" s="27">
        <v>19441.776061087705</v>
      </c>
      <c r="AA23" s="27">
        <v>21372.060200705444</v>
      </c>
      <c r="AB23" s="27">
        <v>23845.547145737848</v>
      </c>
      <c r="AC23" s="27">
        <v>25412.180635288478</v>
      </c>
      <c r="AD23" s="27">
        <v>24658.502675237109</v>
      </c>
      <c r="AE23" s="27">
        <v>25117.175907476289</v>
      </c>
      <c r="AF23" s="27">
        <v>25907.751380326179</v>
      </c>
      <c r="AG23" s="27">
        <v>27336.004694451338</v>
      </c>
      <c r="AH23" s="27">
        <v>28437.842847003572</v>
      </c>
      <c r="AI23" s="27">
        <v>29547.666210861084</v>
      </c>
      <c r="AJ23" s="27">
        <v>30649.491845764169</v>
      </c>
      <c r="AK23" s="27">
        <v>31744.942719295446</v>
      </c>
      <c r="AL23" s="27">
        <v>32859.815131531912</v>
      </c>
      <c r="AM23" s="27">
        <v>33980.971843119973</v>
      </c>
      <c r="AN23" s="27">
        <v>35101.325745937305</v>
      </c>
      <c r="AO23" s="27">
        <v>36213.084042593146</v>
      </c>
      <c r="AP23" s="27">
        <v>37323.243945331778</v>
      </c>
      <c r="AQ23" s="27">
        <v>38435.687805994632</v>
      </c>
      <c r="AR23" s="27">
        <v>39611.061012401842</v>
      </c>
      <c r="AS23" s="27">
        <v>40860.754822480194</v>
      </c>
      <c r="AT23" s="27">
        <v>42128.184411325863</v>
      </c>
      <c r="AU23" s="27">
        <v>43389.882049298205</v>
      </c>
      <c r="AV23" s="27">
        <v>44700.819335821441</v>
      </c>
      <c r="AW23" s="27">
        <v>46041.934775278045</v>
      </c>
      <c r="AX23" s="27">
        <v>47411.507021192512</v>
      </c>
      <c r="AY23" s="27">
        <v>48800.296295237618</v>
      </c>
      <c r="AZ23" s="27">
        <v>50168.644843170958</v>
      </c>
      <c r="BA23" s="27">
        <v>51499.685279771853</v>
      </c>
      <c r="BB23" s="27">
        <v>52830.341100422338</v>
      </c>
      <c r="BC23" s="27">
        <v>54172.576931966316</v>
      </c>
      <c r="BD23" s="27">
        <f t="shared" ref="BD23:BS23" si="19">BC23*(1+$BT23/2)</f>
        <v>54764.714994688751</v>
      </c>
      <c r="BE23" s="27">
        <f t="shared" si="19"/>
        <v>55363.325473995043</v>
      </c>
      <c r="BF23" s="27">
        <f t="shared" si="19"/>
        <v>55968.479117197465</v>
      </c>
      <c r="BG23" s="27">
        <f t="shared" si="19"/>
        <v>56580.24744491795</v>
      </c>
      <c r="BH23" s="27">
        <f t="shared" si="19"/>
        <v>57198.7027595408</v>
      </c>
      <c r="BI23" s="27">
        <f t="shared" si="19"/>
        <v>57823.918153757812</v>
      </c>
      <c r="BJ23" s="27">
        <f t="shared" si="19"/>
        <v>58455.967519206817</v>
      </c>
      <c r="BK23" s="27">
        <f t="shared" si="19"/>
        <v>59094.925555204609</v>
      </c>
      <c r="BL23" s="27">
        <f t="shared" si="19"/>
        <v>59740.867777575368</v>
      </c>
      <c r="BM23" s="27">
        <f t="shared" si="19"/>
        <v>60393.870527575549</v>
      </c>
      <c r="BN23" s="27">
        <f t="shared" si="19"/>
        <v>61054.010980916355</v>
      </c>
      <c r="BO23" s="27">
        <f t="shared" si="19"/>
        <v>61721.367156884808</v>
      </c>
      <c r="BP23" s="27">
        <f t="shared" si="19"/>
        <v>62396.017927564535</v>
      </c>
      <c r="BQ23" s="27">
        <f t="shared" si="19"/>
        <v>63078.04302715732</v>
      </c>
      <c r="BR23" s="27">
        <f t="shared" si="19"/>
        <v>63767.523061406588</v>
      </c>
      <c r="BS23" s="27">
        <f t="shared" si="19"/>
        <v>64464.539517123842</v>
      </c>
      <c r="BT23" s="8">
        <v>2.1861173909673237E-2</v>
      </c>
      <c r="BU23" s="28">
        <f t="shared" ref="BU23:CI37" si="20">AK23*$E23</f>
        <v>593271.76536020497</v>
      </c>
      <c r="BV23" s="28">
        <f t="shared" si="20"/>
        <v>614107.28331994882</v>
      </c>
      <c r="BW23" s="28">
        <f t="shared" si="20"/>
        <v>635060.2466757464</v>
      </c>
      <c r="BX23" s="28">
        <f t="shared" si="20"/>
        <v>655998.20657789567</v>
      </c>
      <c r="BY23" s="28">
        <f t="shared" si="20"/>
        <v>676775.52576045506</v>
      </c>
      <c r="BZ23" s="28">
        <f t="shared" si="20"/>
        <v>697522.97303587664</v>
      </c>
      <c r="CA23" s="28">
        <f t="shared" si="20"/>
        <v>718313.10451966792</v>
      </c>
      <c r="CB23" s="28">
        <f t="shared" si="20"/>
        <v>740279.30377503601</v>
      </c>
      <c r="CC23" s="28">
        <f t="shared" si="20"/>
        <v>763634.45862350438</v>
      </c>
      <c r="CD23" s="28">
        <f t="shared" si="20"/>
        <v>787321.07215099339</v>
      </c>
      <c r="CE23" s="28">
        <f t="shared" si="20"/>
        <v>810900.56295838044</v>
      </c>
      <c r="CF23" s="28">
        <f t="shared" si="20"/>
        <v>835400.27886996162</v>
      </c>
      <c r="CG23" s="28">
        <f t="shared" si="20"/>
        <v>860463.98527994775</v>
      </c>
      <c r="CH23" s="28">
        <f t="shared" si="20"/>
        <v>886059.51245751418</v>
      </c>
      <c r="CI23" s="29">
        <f t="shared" si="20"/>
        <v>912014.18094161421</v>
      </c>
      <c r="CJ23" s="28">
        <f t="shared" si="17"/>
        <v>937586.83879262512</v>
      </c>
      <c r="CK23" s="28">
        <f t="shared" si="17"/>
        <v>962462.25647948869</v>
      </c>
      <c r="CL23" s="28">
        <f t="shared" si="17"/>
        <v>987330.48619358114</v>
      </c>
      <c r="CM23" s="28">
        <f t="shared" si="17"/>
        <v>1012415.1312770891</v>
      </c>
      <c r="CN23" s="28">
        <f t="shared" si="17"/>
        <v>1023481.4229039057</v>
      </c>
      <c r="CO23" s="28">
        <f t="shared" si="17"/>
        <v>1034668.6755936168</v>
      </c>
      <c r="CP23" s="28">
        <f t="shared" si="17"/>
        <v>1045978.2115216384</v>
      </c>
      <c r="CQ23" s="28">
        <f t="shared" si="17"/>
        <v>1057411.3673155403</v>
      </c>
      <c r="CR23" s="28">
        <f t="shared" si="17"/>
        <v>1068969.4942130155</v>
      </c>
      <c r="CS23" s="28">
        <f t="shared" si="17"/>
        <v>1080653.9582215785</v>
      </c>
      <c r="CT23" s="28">
        <f t="shared" si="17"/>
        <v>1092466.1402800079</v>
      </c>
      <c r="CU23" s="28">
        <f t="shared" si="17"/>
        <v>1104407.4364215531</v>
      </c>
      <c r="CV23" s="28">
        <f t="shared" si="17"/>
        <v>1116479.257938927</v>
      </c>
      <c r="CW23" s="28">
        <f t="shared" si="17"/>
        <v>1128683.0315510998</v>
      </c>
      <c r="CX23" s="28">
        <f t="shared" si="17"/>
        <v>1141020.1995719178</v>
      </c>
      <c r="CY23" s="28">
        <f t="shared" si="17"/>
        <v>1153492.2200805636</v>
      </c>
      <c r="CZ23" s="28">
        <f t="shared" si="18"/>
        <v>1166100.5670938818</v>
      </c>
      <c r="DA23" s="28">
        <f t="shared" si="5"/>
        <v>1178846.7307405856</v>
      </c>
      <c r="DB23" s="28">
        <f t="shared" si="5"/>
        <v>1191732.2174373704</v>
      </c>
      <c r="DC23" s="28">
        <f t="shared" si="5"/>
        <v>1204758.5500669498</v>
      </c>
    </row>
    <row r="24" spans="2:107">
      <c r="B24" s="32" t="s">
        <v>48</v>
      </c>
      <c r="C24" s="33"/>
      <c r="D24" s="19">
        <f t="shared" si="0"/>
        <v>17320.036799862188</v>
      </c>
      <c r="E24" s="34">
        <v>1</v>
      </c>
      <c r="G24" s="21"/>
      <c r="I24" s="32" t="s">
        <v>48</v>
      </c>
      <c r="J24" s="31"/>
      <c r="K24" s="22">
        <v>1093.6158404534033</v>
      </c>
      <c r="L24" s="22">
        <v>1155.4412072649507</v>
      </c>
      <c r="M24" s="22">
        <v>1189.2435531127858</v>
      </c>
      <c r="N24" s="22">
        <v>1247.6441445750088</v>
      </c>
      <c r="O24" s="22">
        <v>1340.4820448374753</v>
      </c>
      <c r="P24" s="22">
        <v>1458.3769483312365</v>
      </c>
      <c r="Q24" s="22">
        <v>1595.3094919499813</v>
      </c>
      <c r="R24" s="22">
        <v>1855.4538258567588</v>
      </c>
      <c r="S24" s="22">
        <v>2091.5895565722349</v>
      </c>
      <c r="T24" s="22">
        <v>2338.7777222528111</v>
      </c>
      <c r="U24" s="22">
        <v>2365.5419646924347</v>
      </c>
      <c r="V24" s="22">
        <v>2360.5698300598565</v>
      </c>
      <c r="W24" s="22">
        <v>2440.0299966707717</v>
      </c>
      <c r="X24" s="22">
        <v>2645.256861147398</v>
      </c>
      <c r="Y24" s="22">
        <v>2926.275862601758</v>
      </c>
      <c r="Z24" s="22">
        <v>3377.3451707152476</v>
      </c>
      <c r="AA24" s="22">
        <v>3884.4333314306718</v>
      </c>
      <c r="AB24" s="22">
        <v>4817.0431673667272</v>
      </c>
      <c r="AC24" s="22">
        <v>5991.3013065372879</v>
      </c>
      <c r="AD24" s="22">
        <v>7376.6412579116168</v>
      </c>
      <c r="AE24" s="22">
        <v>8989.2137762584789</v>
      </c>
      <c r="AF24" s="22">
        <v>10638.118960409165</v>
      </c>
      <c r="AG24" s="22">
        <v>12009.315716450785</v>
      </c>
      <c r="AH24" s="22">
        <v>13428.107927200883</v>
      </c>
      <c r="AI24" s="22">
        <v>14783.393070042308</v>
      </c>
      <c r="AJ24" s="22">
        <v>16080.630987610832</v>
      </c>
      <c r="AK24" s="22">
        <v>17320.036799862188</v>
      </c>
      <c r="AL24" s="22">
        <v>18501.796972281769</v>
      </c>
      <c r="AM24" s="22">
        <v>19628.309706638152</v>
      </c>
      <c r="AN24" s="22">
        <v>20701.862939993684</v>
      </c>
      <c r="AO24" s="22">
        <v>21724.859471252887</v>
      </c>
      <c r="AP24" s="22">
        <v>22711.41335186869</v>
      </c>
      <c r="AQ24" s="22">
        <v>23665.994299172664</v>
      </c>
      <c r="AR24" s="22">
        <v>24591.387761664872</v>
      </c>
      <c r="AS24" s="22">
        <v>25493.213894705612</v>
      </c>
      <c r="AT24" s="22">
        <v>26375.115874543248</v>
      </c>
      <c r="AU24" s="22">
        <v>27243.244195320713</v>
      </c>
      <c r="AV24" s="22">
        <v>28102.491116154411</v>
      </c>
      <c r="AW24" s="22">
        <v>28954.460579953215</v>
      </c>
      <c r="AX24" s="22">
        <v>29804.172187830813</v>
      </c>
      <c r="AY24" s="22">
        <v>30655.734507998259</v>
      </c>
      <c r="AZ24" s="22">
        <v>31480.643844294889</v>
      </c>
      <c r="BA24" s="22">
        <v>32285.483098806555</v>
      </c>
      <c r="BB24" s="22">
        <v>33071.80987208763</v>
      </c>
      <c r="BC24" s="22">
        <v>33842.992747623903</v>
      </c>
      <c r="BD24" s="22">
        <f t="shared" ref="BD24:BS24" si="21">BC24*(1+$BT24*0.66)</f>
        <v>34294.860305512921</v>
      </c>
      <c r="BE24" s="22">
        <f t="shared" si="21"/>
        <v>34752.761144542157</v>
      </c>
      <c r="BF24" s="22">
        <f t="shared" si="21"/>
        <v>35216.775820353811</v>
      </c>
      <c r="BG24" s="22">
        <f t="shared" si="21"/>
        <v>35686.985964159299</v>
      </c>
      <c r="BH24" s="22">
        <f t="shared" si="21"/>
        <v>36163.474297100147</v>
      </c>
      <c r="BI24" s="22">
        <f t="shared" si="21"/>
        <v>36646.324644800567</v>
      </c>
      <c r="BJ24" s="22">
        <f t="shared" si="21"/>
        <v>37135.621952114408</v>
      </c>
      <c r="BK24" s="22">
        <f t="shared" si="21"/>
        <v>37631.452298068965</v>
      </c>
      <c r="BL24" s="22">
        <f t="shared" si="21"/>
        <v>38133.902911008314</v>
      </c>
      <c r="BM24" s="22">
        <f t="shared" si="21"/>
        <v>38643.06218393887</v>
      </c>
      <c r="BN24" s="22">
        <f t="shared" si="21"/>
        <v>39159.019690079811</v>
      </c>
      <c r="BO24" s="22">
        <f t="shared" si="21"/>
        <v>39681.866198621137</v>
      </c>
      <c r="BP24" s="22">
        <f t="shared" si="21"/>
        <v>40211.693690692111</v>
      </c>
      <c r="BQ24" s="22">
        <f t="shared" si="21"/>
        <v>40748.595375542965</v>
      </c>
      <c r="BR24" s="22">
        <f t="shared" si="21"/>
        <v>41292.665706942578</v>
      </c>
      <c r="BS24" s="22">
        <f t="shared" si="21"/>
        <v>41844.000399795172</v>
      </c>
      <c r="BT24" s="8">
        <v>2.0230120311432342E-2</v>
      </c>
      <c r="BU24" s="23">
        <f t="shared" si="20"/>
        <v>17320.036799862188</v>
      </c>
      <c r="BV24" s="23">
        <f t="shared" si="20"/>
        <v>18501.796972281769</v>
      </c>
      <c r="BW24" s="23">
        <f t="shared" si="20"/>
        <v>19628.309706638152</v>
      </c>
      <c r="BX24" s="23">
        <f t="shared" si="20"/>
        <v>20701.862939993684</v>
      </c>
      <c r="BY24" s="23">
        <f t="shared" si="20"/>
        <v>21724.859471252887</v>
      </c>
      <c r="BZ24" s="23">
        <f t="shared" si="20"/>
        <v>22711.41335186869</v>
      </c>
      <c r="CA24" s="23">
        <f t="shared" si="20"/>
        <v>23665.994299172664</v>
      </c>
      <c r="CB24" s="23">
        <f t="shared" si="20"/>
        <v>24591.387761664872</v>
      </c>
      <c r="CC24" s="23">
        <f t="shared" si="20"/>
        <v>25493.213894705612</v>
      </c>
      <c r="CD24" s="23">
        <f t="shared" si="20"/>
        <v>26375.115874543248</v>
      </c>
      <c r="CE24" s="23">
        <f t="shared" si="20"/>
        <v>27243.244195320713</v>
      </c>
      <c r="CF24" s="23">
        <f t="shared" si="20"/>
        <v>28102.491116154411</v>
      </c>
      <c r="CG24" s="23">
        <f t="shared" si="20"/>
        <v>28954.460579953215</v>
      </c>
      <c r="CH24" s="24">
        <f t="shared" si="20"/>
        <v>29804.172187830813</v>
      </c>
      <c r="CI24" s="23">
        <f t="shared" si="20"/>
        <v>30655.734507998259</v>
      </c>
      <c r="CJ24" s="23">
        <f t="shared" si="17"/>
        <v>31480.643844294889</v>
      </c>
      <c r="CK24" s="23">
        <f t="shared" si="17"/>
        <v>32285.483098806555</v>
      </c>
      <c r="CL24" s="23">
        <f t="shared" si="17"/>
        <v>33071.80987208763</v>
      </c>
      <c r="CM24" s="23">
        <f t="shared" si="17"/>
        <v>33842.992747623903</v>
      </c>
      <c r="CN24" s="23">
        <f t="shared" si="17"/>
        <v>34294.860305512921</v>
      </c>
      <c r="CO24" s="23">
        <f t="shared" si="17"/>
        <v>34752.761144542157</v>
      </c>
      <c r="CP24" s="23">
        <f t="shared" si="17"/>
        <v>35216.775820353811</v>
      </c>
      <c r="CQ24" s="23">
        <f t="shared" si="17"/>
        <v>35686.985964159299</v>
      </c>
      <c r="CR24" s="23">
        <f t="shared" si="17"/>
        <v>36163.474297100147</v>
      </c>
      <c r="CS24" s="23">
        <f t="shared" si="17"/>
        <v>36646.324644800567</v>
      </c>
      <c r="CT24" s="23">
        <f t="shared" si="17"/>
        <v>37135.621952114408</v>
      </c>
      <c r="CU24" s="23">
        <f t="shared" si="17"/>
        <v>37631.452298068965</v>
      </c>
      <c r="CV24" s="23">
        <f t="shared" si="17"/>
        <v>38133.902911008314</v>
      </c>
      <c r="CW24" s="23">
        <f t="shared" si="17"/>
        <v>38643.06218393887</v>
      </c>
      <c r="CX24" s="23">
        <f t="shared" si="17"/>
        <v>39159.019690079811</v>
      </c>
      <c r="CY24" s="23">
        <f t="shared" si="17"/>
        <v>39681.866198621137</v>
      </c>
      <c r="CZ24" s="23">
        <f t="shared" si="18"/>
        <v>40211.693690692111</v>
      </c>
      <c r="DA24" s="23">
        <f t="shared" si="5"/>
        <v>40748.595375542965</v>
      </c>
      <c r="DB24" s="23">
        <f t="shared" si="5"/>
        <v>41292.665706942578</v>
      </c>
      <c r="DC24" s="23">
        <f t="shared" si="5"/>
        <v>41844.000399795172</v>
      </c>
    </row>
    <row r="25" spans="2:107">
      <c r="B25" s="32" t="s">
        <v>49</v>
      </c>
      <c r="C25" s="33"/>
      <c r="D25" s="19">
        <f t="shared" si="0"/>
        <v>11186.735738050529</v>
      </c>
      <c r="E25" s="20">
        <f t="shared" ref="E25:E27" si="22">$C$55</f>
        <v>35.666666666666664</v>
      </c>
      <c r="G25" s="21"/>
      <c r="I25" s="32" t="s">
        <v>49</v>
      </c>
      <c r="J25" s="31"/>
      <c r="K25" s="22">
        <v>9276.4810440257315</v>
      </c>
      <c r="L25" s="22">
        <v>10493.189931955818</v>
      </c>
      <c r="M25" s="22">
        <v>12490.734579668206</v>
      </c>
      <c r="N25" s="22">
        <v>14053.904629676907</v>
      </c>
      <c r="O25" s="22">
        <v>15301.476327313771</v>
      </c>
      <c r="P25" s="22">
        <v>14369.233516318605</v>
      </c>
      <c r="Q25" s="22">
        <v>13732.280073177</v>
      </c>
      <c r="R25" s="22">
        <v>13524.302397514817</v>
      </c>
      <c r="S25" s="22">
        <v>13379.111276024898</v>
      </c>
      <c r="T25" s="22">
        <v>13273.073555141067</v>
      </c>
      <c r="U25" s="22">
        <v>13366.427926567232</v>
      </c>
      <c r="V25" s="22">
        <v>13743.915788639115</v>
      </c>
      <c r="W25" s="22">
        <v>13566.8106216245</v>
      </c>
      <c r="X25" s="22">
        <v>13402.710262143908</v>
      </c>
      <c r="Y25" s="22">
        <v>13580.999759687502</v>
      </c>
      <c r="Z25" s="22">
        <v>13814.034212807939</v>
      </c>
      <c r="AA25" s="22">
        <v>14021.887842534337</v>
      </c>
      <c r="AB25" s="22">
        <v>13997.317074929872</v>
      </c>
      <c r="AC25" s="22">
        <v>14156.051806818596</v>
      </c>
      <c r="AD25" s="22">
        <v>13408.916945762974</v>
      </c>
      <c r="AE25" s="22">
        <v>12861.834117037419</v>
      </c>
      <c r="AF25" s="22">
        <v>12417.572991109671</v>
      </c>
      <c r="AG25" s="22">
        <v>12003.886177538629</v>
      </c>
      <c r="AH25" s="22">
        <v>11770.337329754228</v>
      </c>
      <c r="AI25" s="22">
        <v>11558.145694813222</v>
      </c>
      <c r="AJ25" s="22">
        <v>11370.30899541012</v>
      </c>
      <c r="AK25" s="22">
        <v>11186.735738050529</v>
      </c>
      <c r="AL25" s="22">
        <v>11061.668292717533</v>
      </c>
      <c r="AM25" s="22">
        <v>10999.801713807572</v>
      </c>
      <c r="AN25" s="22">
        <v>10935.954490590508</v>
      </c>
      <c r="AO25" s="22">
        <v>10856.477010810897</v>
      </c>
      <c r="AP25" s="22">
        <v>10754.917703571771</v>
      </c>
      <c r="AQ25" s="22">
        <v>10662.248187793622</v>
      </c>
      <c r="AR25" s="22">
        <v>10698.523165380335</v>
      </c>
      <c r="AS25" s="22">
        <v>10811.661618750357</v>
      </c>
      <c r="AT25" s="22">
        <v>10918.243242628165</v>
      </c>
      <c r="AU25" s="22">
        <v>11037.094764722131</v>
      </c>
      <c r="AV25" s="22">
        <v>11236.031234780125</v>
      </c>
      <c r="AW25" s="22">
        <v>11456.486370018692</v>
      </c>
      <c r="AX25" s="22">
        <v>11696.540436388095</v>
      </c>
      <c r="AY25" s="22">
        <v>11948.067769368703</v>
      </c>
      <c r="AZ25" s="22">
        <v>12189.506566957483</v>
      </c>
      <c r="BA25" s="22">
        <v>12424.391088443015</v>
      </c>
      <c r="BB25" s="22">
        <v>12654.056941134184</v>
      </c>
      <c r="BC25" s="22">
        <v>12889.344431153488</v>
      </c>
      <c r="BD25" s="22">
        <f t="shared" ref="BD25" si="23">SUM(BD26:BD28)</f>
        <v>13013.002879787597</v>
      </c>
      <c r="BE25" s="22">
        <f t="shared" ref="BE25:BS25" si="24">SUM(BE26:BE28)</f>
        <v>13137.852324452339</v>
      </c>
      <c r="BF25" s="22">
        <f t="shared" si="24"/>
        <v>13263.90428527264</v>
      </c>
      <c r="BG25" s="22">
        <f t="shared" si="24"/>
        <v>13391.170394326811</v>
      </c>
      <c r="BH25" s="22">
        <f t="shared" si="24"/>
        <v>13519.662396740074</v>
      </c>
      <c r="BI25" s="22">
        <f t="shared" si="24"/>
        <v>13649.392151788814</v>
      </c>
      <c r="BJ25" s="22">
        <f t="shared" si="24"/>
        <v>13780.371634015692</v>
      </c>
      <c r="BK25" s="22">
        <f t="shared" si="24"/>
        <v>13912.612934355688</v>
      </c>
      <c r="BL25" s="22">
        <f t="shared" si="24"/>
        <v>14046.128261273243</v>
      </c>
      <c r="BM25" s="22">
        <f t="shared" si="24"/>
        <v>14180.929941910519</v>
      </c>
      <c r="BN25" s="22">
        <f t="shared" si="24"/>
        <v>14317.030423246995</v>
      </c>
      <c r="BO25" s="22">
        <f t="shared" si="24"/>
        <v>14454.442273270417</v>
      </c>
      <c r="BP25" s="22">
        <f t="shared" si="24"/>
        <v>14593.178182159269</v>
      </c>
      <c r="BQ25" s="22">
        <f t="shared" si="24"/>
        <v>14733.250963476854</v>
      </c>
      <c r="BR25" s="22">
        <f t="shared" si="24"/>
        <v>14874.673555377129</v>
      </c>
      <c r="BS25" s="22">
        <f t="shared" si="24"/>
        <v>15017.45902182236</v>
      </c>
      <c r="BT25" s="8">
        <v>1.9199090904367555E-2</v>
      </c>
      <c r="BU25" s="23">
        <f t="shared" si="20"/>
        <v>398993.57465713553</v>
      </c>
      <c r="BV25" s="23">
        <f t="shared" si="20"/>
        <v>394532.835773592</v>
      </c>
      <c r="BW25" s="23">
        <f t="shared" si="20"/>
        <v>392326.2611258034</v>
      </c>
      <c r="BX25" s="23">
        <f t="shared" si="20"/>
        <v>390049.04349772807</v>
      </c>
      <c r="BY25" s="23">
        <f t="shared" si="20"/>
        <v>387214.34671892197</v>
      </c>
      <c r="BZ25" s="23">
        <f t="shared" si="20"/>
        <v>383592.06476072647</v>
      </c>
      <c r="CA25" s="23">
        <f t="shared" si="20"/>
        <v>380286.85203130584</v>
      </c>
      <c r="CB25" s="23">
        <f t="shared" si="20"/>
        <v>381580.65956523194</v>
      </c>
      <c r="CC25" s="23">
        <f t="shared" si="20"/>
        <v>385615.93106876273</v>
      </c>
      <c r="CD25" s="23">
        <f t="shared" si="20"/>
        <v>389417.34232040454</v>
      </c>
      <c r="CE25" s="23">
        <f t="shared" si="20"/>
        <v>393656.37994175596</v>
      </c>
      <c r="CF25" s="23">
        <f t="shared" si="20"/>
        <v>400751.78070715774</v>
      </c>
      <c r="CG25" s="23">
        <f t="shared" si="20"/>
        <v>408614.68053066666</v>
      </c>
      <c r="CH25" s="24">
        <f t="shared" si="20"/>
        <v>417176.60889784206</v>
      </c>
      <c r="CI25" s="23">
        <f t="shared" si="20"/>
        <v>426147.75044081704</v>
      </c>
      <c r="CJ25" s="23">
        <f t="shared" si="17"/>
        <v>434759.06755481689</v>
      </c>
      <c r="CK25" s="23">
        <f t="shared" si="17"/>
        <v>443136.61548780085</v>
      </c>
      <c r="CL25" s="23">
        <f t="shared" si="17"/>
        <v>451328.03090045252</v>
      </c>
      <c r="CM25" s="23">
        <f t="shared" si="17"/>
        <v>459719.95137780771</v>
      </c>
      <c r="CN25" s="23">
        <f t="shared" si="17"/>
        <v>464130.43604575755</v>
      </c>
      <c r="CO25" s="23">
        <f t="shared" si="17"/>
        <v>468583.39957213338</v>
      </c>
      <c r="CP25" s="23">
        <f t="shared" si="17"/>
        <v>473079.25284139079</v>
      </c>
      <c r="CQ25" s="23">
        <f t="shared" si="17"/>
        <v>477618.41073098959</v>
      </c>
      <c r="CR25" s="23">
        <f t="shared" si="17"/>
        <v>482201.29215039592</v>
      </c>
      <c r="CS25" s="23">
        <f t="shared" si="17"/>
        <v>486828.32008046767</v>
      </c>
      <c r="CT25" s="23">
        <f t="shared" si="17"/>
        <v>491499.9216132263</v>
      </c>
      <c r="CU25" s="23">
        <f t="shared" si="17"/>
        <v>496216.52799201949</v>
      </c>
      <c r="CV25" s="23">
        <f t="shared" si="17"/>
        <v>500978.57465207897</v>
      </c>
      <c r="CW25" s="23">
        <f t="shared" si="17"/>
        <v>505786.50126147515</v>
      </c>
      <c r="CX25" s="23">
        <f t="shared" si="17"/>
        <v>510640.75176247611</v>
      </c>
      <c r="CY25" s="23">
        <f t="shared" si="17"/>
        <v>515541.7744133115</v>
      </c>
      <c r="CZ25" s="23">
        <f t="shared" si="18"/>
        <v>520490.02183034719</v>
      </c>
      <c r="DA25" s="23">
        <f t="shared" si="5"/>
        <v>525485.95103067439</v>
      </c>
      <c r="DB25" s="23">
        <f t="shared" si="5"/>
        <v>530530.02347511752</v>
      </c>
      <c r="DC25" s="23">
        <f t="shared" si="5"/>
        <v>535622.70511166414</v>
      </c>
    </row>
    <row r="26" spans="2:107">
      <c r="B26" s="30" t="s">
        <v>50</v>
      </c>
      <c r="C26" s="33" t="s">
        <v>50</v>
      </c>
      <c r="D26" s="19">
        <f t="shared" si="0"/>
        <v>7317.266291447726</v>
      </c>
      <c r="E26" s="20">
        <f t="shared" si="22"/>
        <v>35.666666666666664</v>
      </c>
      <c r="G26" s="21"/>
      <c r="I26" s="32"/>
      <c r="J26" s="31" t="s">
        <v>50</v>
      </c>
      <c r="K26" s="27">
        <v>3675.3285981541658</v>
      </c>
      <c r="L26" s="27">
        <v>4981.9834515555003</v>
      </c>
      <c r="M26" s="27">
        <v>7084.2413872741654</v>
      </c>
      <c r="N26" s="27">
        <v>8754.9828437261694</v>
      </c>
      <c r="O26" s="27">
        <v>10067.502904363246</v>
      </c>
      <c r="P26" s="27">
        <v>9322.3500563390262</v>
      </c>
      <c r="Q26" s="27">
        <v>8859.8133075245714</v>
      </c>
      <c r="R26" s="27">
        <v>8786.6086963809175</v>
      </c>
      <c r="S26" s="27">
        <v>8727.8887408589435</v>
      </c>
      <c r="T26" s="27">
        <v>8687.3292320837336</v>
      </c>
      <c r="U26" s="27">
        <v>8814.325342372209</v>
      </c>
      <c r="V26" s="27">
        <v>9189.5161558877844</v>
      </c>
      <c r="W26" s="27">
        <v>8979.5581093900983</v>
      </c>
      <c r="X26" s="27">
        <v>8768.5316941373258</v>
      </c>
      <c r="Y26" s="27">
        <v>8877.1198027404262</v>
      </c>
      <c r="Z26" s="27">
        <v>9056.0531908875964</v>
      </c>
      <c r="AA26" s="27">
        <v>9241.82104964055</v>
      </c>
      <c r="AB26" s="27">
        <v>9234.9831194643994</v>
      </c>
      <c r="AC26" s="27">
        <v>9431.4996804335551</v>
      </c>
      <c r="AD26" s="27">
        <v>8781.8097328565182</v>
      </c>
      <c r="AE26" s="27">
        <v>8295.0313596676224</v>
      </c>
      <c r="AF26" s="27">
        <v>7973.7103372385845</v>
      </c>
      <c r="AG26" s="27">
        <v>7653.0977425032243</v>
      </c>
      <c r="AH26" s="27">
        <v>7527.5185306955609</v>
      </c>
      <c r="AI26" s="27">
        <v>7430.9539441946345</v>
      </c>
      <c r="AJ26" s="27">
        <v>7362.1729650331145</v>
      </c>
      <c r="AK26" s="27">
        <v>7317.266291447726</v>
      </c>
      <c r="AL26" s="27">
        <v>7294.86551349819</v>
      </c>
      <c r="AM26" s="27">
        <v>7292.6105365746935</v>
      </c>
      <c r="AN26" s="27">
        <v>7307.9012771886755</v>
      </c>
      <c r="AO26" s="27">
        <v>7339.1596503260125</v>
      </c>
      <c r="AP26" s="27">
        <v>7387.8011771856518</v>
      </c>
      <c r="AQ26" s="27">
        <v>7450.3792915725344</v>
      </c>
      <c r="AR26" s="27">
        <v>7532.6614737130276</v>
      </c>
      <c r="AS26" s="27">
        <v>7634.5616706997553</v>
      </c>
      <c r="AT26" s="27">
        <v>7749.2042467801011</v>
      </c>
      <c r="AU26" s="27">
        <v>7876.9917492392869</v>
      </c>
      <c r="AV26" s="27">
        <v>8019.6893515256788</v>
      </c>
      <c r="AW26" s="27">
        <v>8177.6466891664159</v>
      </c>
      <c r="AX26" s="27">
        <v>8341.4719360290328</v>
      </c>
      <c r="AY26" s="27">
        <v>8511.3661924878234</v>
      </c>
      <c r="AZ26" s="27">
        <v>8675.5739997065848</v>
      </c>
      <c r="BA26" s="27">
        <v>8832.3722525249614</v>
      </c>
      <c r="BB26" s="27">
        <v>8978.1638403468514</v>
      </c>
      <c r="BC26" s="27">
        <v>9129.1171027232194</v>
      </c>
      <c r="BD26" s="27">
        <f t="shared" ref="BD26:BS28" si="25">BC26*(1+$BT26/2)</f>
        <v>9213.6152276183184</v>
      </c>
      <c r="BE26" s="27">
        <f t="shared" si="25"/>
        <v>9298.8954580588324</v>
      </c>
      <c r="BF26" s="27">
        <f t="shared" si="25"/>
        <v>9384.9650331294743</v>
      </c>
      <c r="BG26" s="27">
        <f t="shared" si="25"/>
        <v>9471.8312589191446</v>
      </c>
      <c r="BH26" s="27">
        <f t="shared" si="25"/>
        <v>9559.5015091411187</v>
      </c>
      <c r="BI26" s="27">
        <f t="shared" si="25"/>
        <v>9647.9832257589642</v>
      </c>
      <c r="BJ26" s="27">
        <f t="shared" si="25"/>
        <v>9737.2839196182649</v>
      </c>
      <c r="BK26" s="27">
        <f t="shared" si="25"/>
        <v>9827.4111710841808</v>
      </c>
      <c r="BL26" s="27">
        <f t="shared" si="25"/>
        <v>9918.3726306849185</v>
      </c>
      <c r="BM26" s="27">
        <f t="shared" si="25"/>
        <v>10010.176019761146</v>
      </c>
      <c r="BN26" s="27">
        <f t="shared" si="25"/>
        <v>10102.829131121431</v>
      </c>
      <c r="BO26" s="27">
        <f t="shared" si="25"/>
        <v>10196.339829703738</v>
      </c>
      <c r="BP26" s="27">
        <f t="shared" si="25"/>
        <v>10290.716053243052</v>
      </c>
      <c r="BQ26" s="27">
        <f t="shared" si="25"/>
        <v>10385.965812945175</v>
      </c>
      <c r="BR26" s="27">
        <f t="shared" si="25"/>
        <v>10482.097194166769</v>
      </c>
      <c r="BS26" s="27">
        <f t="shared" si="25"/>
        <v>10579.118357101686</v>
      </c>
      <c r="BT26" s="8">
        <v>1.8511784643422624E-2</v>
      </c>
      <c r="BU26" s="28">
        <f t="shared" si="20"/>
        <v>260982.4977283022</v>
      </c>
      <c r="BV26" s="28">
        <f t="shared" si="20"/>
        <v>260183.5366481021</v>
      </c>
      <c r="BW26" s="28">
        <f t="shared" si="20"/>
        <v>260103.1091378307</v>
      </c>
      <c r="BX26" s="28">
        <f t="shared" si="20"/>
        <v>260648.47888639607</v>
      </c>
      <c r="BY26" s="28">
        <f t="shared" si="20"/>
        <v>261763.36086162776</v>
      </c>
      <c r="BZ26" s="28">
        <f t="shared" si="20"/>
        <v>263498.24198628822</v>
      </c>
      <c r="CA26" s="28">
        <f t="shared" si="20"/>
        <v>265730.19473275373</v>
      </c>
      <c r="CB26" s="28">
        <f t="shared" si="20"/>
        <v>268664.92589576461</v>
      </c>
      <c r="CC26" s="28">
        <f t="shared" si="20"/>
        <v>272299.36625495792</v>
      </c>
      <c r="CD26" s="28">
        <f t="shared" si="20"/>
        <v>276388.28480182361</v>
      </c>
      <c r="CE26" s="28">
        <f t="shared" si="20"/>
        <v>280946.03905620123</v>
      </c>
      <c r="CF26" s="28">
        <f t="shared" si="20"/>
        <v>286035.58687108255</v>
      </c>
      <c r="CG26" s="28">
        <f t="shared" si="20"/>
        <v>291669.39858026884</v>
      </c>
      <c r="CH26" s="28">
        <f t="shared" si="20"/>
        <v>297512.49905170215</v>
      </c>
      <c r="CI26" s="29">
        <f t="shared" si="20"/>
        <v>303572.06086539902</v>
      </c>
      <c r="CJ26" s="28">
        <f t="shared" si="17"/>
        <v>309428.80598953483</v>
      </c>
      <c r="CK26" s="28">
        <f t="shared" si="17"/>
        <v>315021.27700672363</v>
      </c>
      <c r="CL26" s="28">
        <f t="shared" si="17"/>
        <v>320221.176972371</v>
      </c>
      <c r="CM26" s="28">
        <f t="shared" si="17"/>
        <v>325605.17666379479</v>
      </c>
      <c r="CN26" s="28">
        <f t="shared" si="17"/>
        <v>328618.94311838667</v>
      </c>
      <c r="CO26" s="28">
        <f t="shared" si="17"/>
        <v>331660.60467076499</v>
      </c>
      <c r="CP26" s="28">
        <f t="shared" si="17"/>
        <v>334730.41951495124</v>
      </c>
      <c r="CQ26" s="28">
        <f t="shared" si="17"/>
        <v>337828.6482347828</v>
      </c>
      <c r="CR26" s="28">
        <f t="shared" si="17"/>
        <v>340955.5538260332</v>
      </c>
      <c r="CS26" s="28">
        <f t="shared" si="17"/>
        <v>344111.40171873639</v>
      </c>
      <c r="CT26" s="28">
        <f t="shared" si="17"/>
        <v>347296.45979971811</v>
      </c>
      <c r="CU26" s="28">
        <f t="shared" si="17"/>
        <v>350510.99843533576</v>
      </c>
      <c r="CV26" s="28">
        <f t="shared" si="17"/>
        <v>353755.29049442871</v>
      </c>
      <c r="CW26" s="28">
        <f t="shared" si="17"/>
        <v>357029.61137148086</v>
      </c>
      <c r="CX26" s="28">
        <f t="shared" si="17"/>
        <v>360334.23900999769</v>
      </c>
      <c r="CY26" s="28">
        <f t="shared" si="17"/>
        <v>363669.45392609999</v>
      </c>
      <c r="CZ26" s="28">
        <f t="shared" si="18"/>
        <v>367035.53923233546</v>
      </c>
      <c r="DA26" s="28">
        <f t="shared" si="5"/>
        <v>370432.78066171118</v>
      </c>
      <c r="DB26" s="28">
        <f t="shared" si="5"/>
        <v>373861.46659194806</v>
      </c>
      <c r="DC26" s="28">
        <f t="shared" si="5"/>
        <v>377321.88806996011</v>
      </c>
    </row>
    <row r="27" spans="2:107">
      <c r="B27" s="30" t="s">
        <v>51</v>
      </c>
      <c r="C27" s="33" t="s">
        <v>51</v>
      </c>
      <c r="D27" s="19">
        <f t="shared" si="0"/>
        <v>1854.238158639942</v>
      </c>
      <c r="E27" s="20">
        <f t="shared" si="22"/>
        <v>35.666666666666664</v>
      </c>
      <c r="G27" s="21"/>
      <c r="I27" s="32"/>
      <c r="J27" s="31" t="s">
        <v>51</v>
      </c>
      <c r="K27" s="27">
        <v>4834.6593203676894</v>
      </c>
      <c r="L27" s="27">
        <v>4692.6732169925281</v>
      </c>
      <c r="M27" s="27">
        <v>4539.1444917845447</v>
      </c>
      <c r="N27" s="27">
        <v>4393.0887309697064</v>
      </c>
      <c r="O27" s="27">
        <v>4278.4736291748641</v>
      </c>
      <c r="P27" s="27">
        <v>4125.3749658832785</v>
      </c>
      <c r="Q27" s="27">
        <v>3978.0019012007115</v>
      </c>
      <c r="R27" s="27">
        <v>3840.3319303754297</v>
      </c>
      <c r="S27" s="27">
        <v>3712.0854550569052</v>
      </c>
      <c r="T27" s="27">
        <v>3600.1126329165591</v>
      </c>
      <c r="U27" s="27">
        <v>3490.4928958121641</v>
      </c>
      <c r="V27" s="27">
        <v>3388.3974746262979</v>
      </c>
      <c r="W27" s="27">
        <v>3285.1201762062278</v>
      </c>
      <c r="X27" s="27">
        <v>3194.069165869254</v>
      </c>
      <c r="Y27" s="27">
        <v>3110.2764554557812</v>
      </c>
      <c r="Z27" s="27">
        <v>3036.2041117245253</v>
      </c>
      <c r="AA27" s="27">
        <v>2969.7619385849425</v>
      </c>
      <c r="AB27" s="27">
        <v>2903.3391644820126</v>
      </c>
      <c r="AC27" s="27">
        <v>2833.5962773960609</v>
      </c>
      <c r="AD27" s="27">
        <v>2751.2205526635166</v>
      </c>
      <c r="AE27" s="27">
        <v>2694.7467298227357</v>
      </c>
      <c r="AF27" s="27">
        <v>2556.8299383261046</v>
      </c>
      <c r="AG27" s="27">
        <v>2441.4002565397509</v>
      </c>
      <c r="AH27" s="27">
        <v>2305.8706920314444</v>
      </c>
      <c r="AI27" s="27">
        <v>2163.7830278317269</v>
      </c>
      <c r="AJ27" s="27">
        <v>2018.5409226689037</v>
      </c>
      <c r="AK27" s="27">
        <v>1854.238158639942</v>
      </c>
      <c r="AL27" s="27">
        <v>1726.3418897344138</v>
      </c>
      <c r="AM27" s="27">
        <v>1641.0401022212322</v>
      </c>
      <c r="AN27" s="27">
        <v>1534.9527827768338</v>
      </c>
      <c r="AO27" s="27">
        <v>1396.7969065346958</v>
      </c>
      <c r="AP27" s="27">
        <v>1216.2339881748048</v>
      </c>
      <c r="AQ27" s="27">
        <v>1027.8993404162279</v>
      </c>
      <c r="AR27" s="27">
        <v>947.06609137238934</v>
      </c>
      <c r="AS27" s="27">
        <v>921.84012269684899</v>
      </c>
      <c r="AT27" s="27">
        <v>874.76730782086418</v>
      </c>
      <c r="AU27" s="27">
        <v>823.90454355815916</v>
      </c>
      <c r="AV27" s="27">
        <v>835.17271432427151</v>
      </c>
      <c r="AW27" s="27">
        <v>849.59979034083744</v>
      </c>
      <c r="AX27" s="27">
        <v>873.95279359613608</v>
      </c>
      <c r="AY27" s="27">
        <v>900.04817094324392</v>
      </c>
      <c r="AZ27" s="27">
        <v>920.3048642922289</v>
      </c>
      <c r="BA27" s="27">
        <v>939.6750898145898</v>
      </c>
      <c r="BB27" s="27">
        <v>963.2563323542015</v>
      </c>
      <c r="BC27" s="27">
        <v>986.72574494890898</v>
      </c>
      <c r="BD27" s="27">
        <f t="shared" si="25"/>
        <v>997.88066602323727</v>
      </c>
      <c r="BE27" s="27">
        <f t="shared" si="25"/>
        <v>1009.1616933280064</v>
      </c>
      <c r="BF27" s="27">
        <f t="shared" si="25"/>
        <v>1020.5702524924299</v>
      </c>
      <c r="BG27" s="27">
        <f t="shared" si="25"/>
        <v>1032.1077852624396</v>
      </c>
      <c r="BH27" s="27">
        <f t="shared" si="25"/>
        <v>1043.775749682886</v>
      </c>
      <c r="BI27" s="27">
        <f t="shared" si="25"/>
        <v>1055.5756202817963</v>
      </c>
      <c r="BJ27" s="27">
        <f t="shared" si="25"/>
        <v>1067.508888256717</v>
      </c>
      <c r="BK27" s="27">
        <f t="shared" si="25"/>
        <v>1079.5770616631626</v>
      </c>
      <c r="BL27" s="27">
        <f t="shared" si="25"/>
        <v>1091.7816656051946</v>
      </c>
      <c r="BM27" s="27">
        <f t="shared" si="25"/>
        <v>1104.124242428155</v>
      </c>
      <c r="BN27" s="27">
        <f t="shared" si="25"/>
        <v>1116.6063519135787</v>
      </c>
      <c r="BO27" s="27">
        <f t="shared" si="25"/>
        <v>1129.22957147631</v>
      </c>
      <c r="BP27" s="27">
        <f t="shared" si="25"/>
        <v>1141.9954963638461</v>
      </c>
      <c r="BQ27" s="27">
        <f t="shared" si="25"/>
        <v>1154.9057398579355</v>
      </c>
      <c r="BR27" s="27">
        <f t="shared" si="25"/>
        <v>1167.9619334784547</v>
      </c>
      <c r="BS27" s="27">
        <f t="shared" si="25"/>
        <v>1181.1657271895904</v>
      </c>
      <c r="BT27" s="8">
        <v>2.2609972692879898E-2</v>
      </c>
      <c r="BU27" s="28">
        <f t="shared" si="20"/>
        <v>66134.494324824598</v>
      </c>
      <c r="BV27" s="28">
        <f t="shared" si="20"/>
        <v>61572.860733860754</v>
      </c>
      <c r="BW27" s="28">
        <f t="shared" si="20"/>
        <v>58530.430312557277</v>
      </c>
      <c r="BX27" s="28">
        <f t="shared" si="20"/>
        <v>54746.64925237374</v>
      </c>
      <c r="BY27" s="28">
        <f t="shared" si="20"/>
        <v>49819.08966640415</v>
      </c>
      <c r="BZ27" s="28">
        <f t="shared" si="20"/>
        <v>43379.012244901372</v>
      </c>
      <c r="CA27" s="28">
        <f t="shared" si="20"/>
        <v>36661.743141512125</v>
      </c>
      <c r="CB27" s="28">
        <f t="shared" si="20"/>
        <v>33778.690592281884</v>
      </c>
      <c r="CC27" s="28">
        <f t="shared" si="20"/>
        <v>32878.964376187614</v>
      </c>
      <c r="CD27" s="28">
        <f t="shared" si="20"/>
        <v>31200.033978944153</v>
      </c>
      <c r="CE27" s="28">
        <f t="shared" si="20"/>
        <v>29385.928720241009</v>
      </c>
      <c r="CF27" s="28">
        <f t="shared" si="20"/>
        <v>29787.826810899016</v>
      </c>
      <c r="CG27" s="28">
        <f t="shared" si="20"/>
        <v>30302.392522156533</v>
      </c>
      <c r="CH27" s="28">
        <f t="shared" si="20"/>
        <v>31170.982971595517</v>
      </c>
      <c r="CI27" s="29">
        <f t="shared" si="20"/>
        <v>32101.718096975699</v>
      </c>
      <c r="CJ27" s="28">
        <f t="shared" si="17"/>
        <v>32824.206826422829</v>
      </c>
      <c r="CK27" s="28">
        <f t="shared" si="17"/>
        <v>33515.078203387035</v>
      </c>
      <c r="CL27" s="28">
        <f t="shared" si="17"/>
        <v>34356.142520633184</v>
      </c>
      <c r="CM27" s="28">
        <f t="shared" si="17"/>
        <v>35193.218236511086</v>
      </c>
      <c r="CN27" s="28">
        <f t="shared" si="17"/>
        <v>35591.077088162128</v>
      </c>
      <c r="CO27" s="28">
        <f t="shared" si="17"/>
        <v>35993.433728698896</v>
      </c>
      <c r="CP27" s="28">
        <f t="shared" si="17"/>
        <v>36400.339005563328</v>
      </c>
      <c r="CQ27" s="28">
        <f t="shared" si="17"/>
        <v>36811.844341027012</v>
      </c>
      <c r="CR27" s="28">
        <f t="shared" si="17"/>
        <v>37228.0017386896</v>
      </c>
      <c r="CS27" s="28">
        <f t="shared" si="17"/>
        <v>37648.863790050731</v>
      </c>
      <c r="CT27" s="28">
        <f t="shared" si="17"/>
        <v>38074.483681156235</v>
      </c>
      <c r="CU27" s="28">
        <f t="shared" si="17"/>
        <v>38504.915199319461</v>
      </c>
      <c r="CV27" s="28">
        <f t="shared" si="17"/>
        <v>38940.212739918607</v>
      </c>
      <c r="CW27" s="28">
        <f t="shared" si="17"/>
        <v>39380.431313270856</v>
      </c>
      <c r="CX27" s="28">
        <f t="shared" si="17"/>
        <v>39825.626551584304</v>
      </c>
      <c r="CY27" s="28">
        <f t="shared" si="17"/>
        <v>40275.854715988389</v>
      </c>
      <c r="CZ27" s="28">
        <f t="shared" si="18"/>
        <v>40731.172703643839</v>
      </c>
      <c r="DA27" s="28">
        <f t="shared" si="5"/>
        <v>41191.638054933028</v>
      </c>
      <c r="DB27" s="28">
        <f t="shared" si="5"/>
        <v>41657.308960731549</v>
      </c>
      <c r="DC27" s="28">
        <f t="shared" si="5"/>
        <v>42128.244269762057</v>
      </c>
    </row>
    <row r="28" spans="2:107">
      <c r="B28" s="30" t="s">
        <v>52</v>
      </c>
      <c r="C28" s="33" t="s">
        <v>52</v>
      </c>
      <c r="D28" s="19">
        <f t="shared" si="0"/>
        <v>2015.2312879628607</v>
      </c>
      <c r="E28" s="34">
        <f>C54+0.5</f>
        <v>1.9</v>
      </c>
      <c r="G28" s="21"/>
      <c r="I28" s="32"/>
      <c r="J28" s="31" t="s">
        <v>52</v>
      </c>
      <c r="K28" s="27">
        <v>766.4931255038756</v>
      </c>
      <c r="L28" s="27">
        <v>818.53326340778915</v>
      </c>
      <c r="M28" s="27">
        <v>867.34870060949527</v>
      </c>
      <c r="N28" s="27">
        <v>905.83305498103005</v>
      </c>
      <c r="O28" s="27">
        <v>955.49979377566171</v>
      </c>
      <c r="P28" s="27">
        <v>921.50849409630041</v>
      </c>
      <c r="Q28" s="27">
        <v>894.46486445171877</v>
      </c>
      <c r="R28" s="27">
        <v>897.36177075847013</v>
      </c>
      <c r="S28" s="27">
        <v>939.13708010904861</v>
      </c>
      <c r="T28" s="27">
        <v>985.63169014077482</v>
      </c>
      <c r="U28" s="27">
        <v>1061.6096883828595</v>
      </c>
      <c r="V28" s="27">
        <v>1166.0021581250326</v>
      </c>
      <c r="W28" s="27">
        <v>1302.1323360281726</v>
      </c>
      <c r="X28" s="27">
        <v>1440.109402137329</v>
      </c>
      <c r="Y28" s="27">
        <v>1593.6035014912936</v>
      </c>
      <c r="Z28" s="27">
        <v>1721.7769101958183</v>
      </c>
      <c r="AA28" s="27">
        <v>1810.3048543088441</v>
      </c>
      <c r="AB28" s="27">
        <v>1858.9947909834591</v>
      </c>
      <c r="AC28" s="27">
        <v>1890.9558489889785</v>
      </c>
      <c r="AD28" s="27">
        <v>1875.8866602429384</v>
      </c>
      <c r="AE28" s="27">
        <v>1872.0560275470605</v>
      </c>
      <c r="AF28" s="27">
        <v>1887.0327155449818</v>
      </c>
      <c r="AG28" s="27">
        <v>1909.3881784956534</v>
      </c>
      <c r="AH28" s="27">
        <v>1936.9481070272238</v>
      </c>
      <c r="AI28" s="27">
        <v>1963.4087227868608</v>
      </c>
      <c r="AJ28" s="27">
        <v>1989.5951077080999</v>
      </c>
      <c r="AK28" s="27">
        <v>2015.2312879628607</v>
      </c>
      <c r="AL28" s="27">
        <v>2040.46088948493</v>
      </c>
      <c r="AM28" s="27">
        <v>2066.1510750116468</v>
      </c>
      <c r="AN28" s="27">
        <v>2093.1004306249979</v>
      </c>
      <c r="AO28" s="27">
        <v>2120.5204539501892</v>
      </c>
      <c r="AP28" s="27">
        <v>2150.8825382113159</v>
      </c>
      <c r="AQ28" s="27">
        <v>2183.9695558048616</v>
      </c>
      <c r="AR28" s="27">
        <v>2218.7956002949172</v>
      </c>
      <c r="AS28" s="27">
        <v>2255.2598253537535</v>
      </c>
      <c r="AT28" s="27">
        <v>2294.2716880272001</v>
      </c>
      <c r="AU28" s="27">
        <v>2336.1984719246848</v>
      </c>
      <c r="AV28" s="27">
        <v>2381.1691689301756</v>
      </c>
      <c r="AW28" s="27">
        <v>2429.2398905114387</v>
      </c>
      <c r="AX28" s="27">
        <v>2481.1157067629269</v>
      </c>
      <c r="AY28" s="27">
        <v>2536.6534059376359</v>
      </c>
      <c r="AZ28" s="27">
        <v>2593.6277029586686</v>
      </c>
      <c r="BA28" s="27">
        <v>2652.3437461034637</v>
      </c>
      <c r="BB28" s="27">
        <v>2712.6367684331312</v>
      </c>
      <c r="BC28" s="27">
        <v>2773.5015834813585</v>
      </c>
      <c r="BD28" s="27">
        <f t="shared" si="25"/>
        <v>2801.5069861460406</v>
      </c>
      <c r="BE28" s="27">
        <f t="shared" si="25"/>
        <v>2829.7951730655009</v>
      </c>
      <c r="BF28" s="27">
        <f t="shared" si="25"/>
        <v>2858.3689996507364</v>
      </c>
      <c r="BG28" s="27">
        <f t="shared" si="25"/>
        <v>2887.2313501452268</v>
      </c>
      <c r="BH28" s="27">
        <f t="shared" si="25"/>
        <v>2916.3851379160692</v>
      </c>
      <c r="BI28" s="27">
        <f t="shared" si="25"/>
        <v>2945.8333057480536</v>
      </c>
      <c r="BJ28" s="27">
        <f t="shared" si="25"/>
        <v>2975.5788261407088</v>
      </c>
      <c r="BK28" s="27">
        <f t="shared" si="25"/>
        <v>3005.6247016083448</v>
      </c>
      <c r="BL28" s="27">
        <f t="shared" si="25"/>
        <v>3035.973964983129</v>
      </c>
      <c r="BM28" s="27">
        <f t="shared" si="25"/>
        <v>3066.6296797212185</v>
      </c>
      <c r="BN28" s="27">
        <f t="shared" si="25"/>
        <v>3097.5949402119863</v>
      </c>
      <c r="BO28" s="27">
        <f t="shared" si="25"/>
        <v>3128.8728720903696</v>
      </c>
      <c r="BP28" s="27">
        <f t="shared" si="25"/>
        <v>3160.4666325523708</v>
      </c>
      <c r="BQ28" s="27">
        <f t="shared" si="25"/>
        <v>3192.379410673745</v>
      </c>
      <c r="BR28" s="27">
        <f t="shared" si="25"/>
        <v>3224.6144277319063</v>
      </c>
      <c r="BS28" s="27">
        <f t="shared" si="25"/>
        <v>3257.1749375310824</v>
      </c>
      <c r="BT28" s="8">
        <v>2.0194978673514274E-2</v>
      </c>
      <c r="BU28" s="28">
        <f t="shared" si="20"/>
        <v>3828.9394471294354</v>
      </c>
      <c r="BV28" s="28">
        <f t="shared" si="20"/>
        <v>3876.8756900213671</v>
      </c>
      <c r="BW28" s="28">
        <f t="shared" si="20"/>
        <v>3925.6870425221286</v>
      </c>
      <c r="BX28" s="28">
        <f t="shared" si="20"/>
        <v>3976.8908181874958</v>
      </c>
      <c r="BY28" s="28">
        <f t="shared" si="20"/>
        <v>4028.9888625053595</v>
      </c>
      <c r="BZ28" s="28">
        <f t="shared" si="20"/>
        <v>4086.6768226015001</v>
      </c>
      <c r="CA28" s="28">
        <f t="shared" si="20"/>
        <v>4149.542156029237</v>
      </c>
      <c r="CB28" s="28">
        <f t="shared" si="20"/>
        <v>4215.7116405603429</v>
      </c>
      <c r="CC28" s="28">
        <f t="shared" si="20"/>
        <v>4284.993668172131</v>
      </c>
      <c r="CD28" s="28">
        <f t="shared" si="20"/>
        <v>4359.11620725168</v>
      </c>
      <c r="CE28" s="28">
        <f t="shared" si="20"/>
        <v>4438.7770966569005</v>
      </c>
      <c r="CF28" s="28">
        <f t="shared" si="20"/>
        <v>4524.2214209673339</v>
      </c>
      <c r="CG28" s="28">
        <f t="shared" si="20"/>
        <v>4615.555791971733</v>
      </c>
      <c r="CH28" s="28">
        <f t="shared" si="20"/>
        <v>4714.1198428495609</v>
      </c>
      <c r="CI28" s="29">
        <f t="shared" si="20"/>
        <v>4819.6414712815076</v>
      </c>
      <c r="CJ28" s="28">
        <f t="shared" si="17"/>
        <v>4927.8926356214697</v>
      </c>
      <c r="CK28" s="28">
        <f t="shared" si="17"/>
        <v>5039.4531175965803</v>
      </c>
      <c r="CL28" s="28">
        <f t="shared" si="17"/>
        <v>5154.0098600229494</v>
      </c>
      <c r="CM28" s="28">
        <f t="shared" si="17"/>
        <v>5269.6530086145813</v>
      </c>
      <c r="CN28" s="28">
        <f t="shared" si="17"/>
        <v>5322.8632736774771</v>
      </c>
      <c r="CO28" s="28">
        <f t="shared" si="17"/>
        <v>5376.6108288244513</v>
      </c>
      <c r="CP28" s="28">
        <f t="shared" si="17"/>
        <v>5430.9010993363991</v>
      </c>
      <c r="CQ28" s="28">
        <f t="shared" si="17"/>
        <v>5485.7395652759305</v>
      </c>
      <c r="CR28" s="28">
        <f t="shared" si="17"/>
        <v>5541.1317620405316</v>
      </c>
      <c r="CS28" s="28">
        <f t="shared" si="17"/>
        <v>5597.0832809213016</v>
      </c>
      <c r="CT28" s="28">
        <f t="shared" si="17"/>
        <v>5653.5997696673467</v>
      </c>
      <c r="CU28" s="28">
        <f t="shared" si="17"/>
        <v>5710.6869330558548</v>
      </c>
      <c r="CV28" s="28">
        <f t="shared" si="17"/>
        <v>5768.3505334679448</v>
      </c>
      <c r="CW28" s="28">
        <f t="shared" si="17"/>
        <v>5826.5963914703152</v>
      </c>
      <c r="CX28" s="28">
        <f t="shared" si="17"/>
        <v>5885.4303864027734</v>
      </c>
      <c r="CY28" s="28">
        <f t="shared" si="17"/>
        <v>5944.8584569717023</v>
      </c>
      <c r="CZ28" s="28">
        <f t="shared" si="18"/>
        <v>6004.8866018495046</v>
      </c>
      <c r="DA28" s="28">
        <f t="shared" si="5"/>
        <v>6065.5208802801153</v>
      </c>
      <c r="DB28" s="28">
        <f t="shared" si="5"/>
        <v>6126.7674126906213</v>
      </c>
      <c r="DC28" s="28">
        <f t="shared" si="5"/>
        <v>6188.6323813090567</v>
      </c>
    </row>
    <row r="29" spans="2:107">
      <c r="B29" s="32" t="s">
        <v>53</v>
      </c>
      <c r="C29" s="33"/>
      <c r="D29" s="19">
        <f t="shared" si="0"/>
        <v>68672.256791331616</v>
      </c>
      <c r="E29" s="20">
        <f t="shared" ref="E29:E31" si="26">$C$54</f>
        <v>1.4</v>
      </c>
      <c r="G29" s="21"/>
      <c r="I29" s="32" t="s">
        <v>53</v>
      </c>
      <c r="J29" s="31"/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20202.823254486648</v>
      </c>
      <c r="AB29" s="22">
        <v>35138.771079146754</v>
      </c>
      <c r="AC29" s="22">
        <v>45400.67050401109</v>
      </c>
      <c r="AD29" s="22">
        <v>45056.507780919907</v>
      </c>
      <c r="AE29" s="22">
        <v>47356.873218218687</v>
      </c>
      <c r="AF29" s="22">
        <v>50649.316181974486</v>
      </c>
      <c r="AG29" s="22">
        <v>52351.042783257697</v>
      </c>
      <c r="AH29" s="22">
        <v>56421.242022855615</v>
      </c>
      <c r="AI29" s="22">
        <v>60350.004946673318</v>
      </c>
      <c r="AJ29" s="22">
        <v>64554.436363147281</v>
      </c>
      <c r="AK29" s="22">
        <v>68672.256791331616</v>
      </c>
      <c r="AL29" s="22">
        <v>73580.760394903322</v>
      </c>
      <c r="AM29" s="22">
        <v>78489.206095575064</v>
      </c>
      <c r="AN29" s="22">
        <v>84305.898496398659</v>
      </c>
      <c r="AO29" s="22">
        <v>90215.876432576202</v>
      </c>
      <c r="AP29" s="22">
        <v>96218.653227212781</v>
      </c>
      <c r="AQ29" s="22">
        <v>102308.68530906895</v>
      </c>
      <c r="AR29" s="22">
        <v>108471.53055501191</v>
      </c>
      <c r="AS29" s="22">
        <v>114727.75088778937</v>
      </c>
      <c r="AT29" s="22">
        <v>121075.0090965159</v>
      </c>
      <c r="AU29" s="22">
        <v>127502.0334210133</v>
      </c>
      <c r="AV29" s="22">
        <v>134010.49937025254</v>
      </c>
      <c r="AW29" s="22">
        <v>140604.12450818261</v>
      </c>
      <c r="AX29" s="22">
        <v>147268.30241888165</v>
      </c>
      <c r="AY29" s="22">
        <v>153992.66420302086</v>
      </c>
      <c r="AZ29" s="22">
        <v>160786.80794251876</v>
      </c>
      <c r="BA29" s="22">
        <v>167642.29092553651</v>
      </c>
      <c r="BB29" s="22">
        <v>174530.92638808573</v>
      </c>
      <c r="BC29" s="22">
        <v>181459.87100212323</v>
      </c>
      <c r="BD29" s="22">
        <f>SUM(BD30:BD32)</f>
        <v>184562.4616209316</v>
      </c>
      <c r="BE29" s="22">
        <f t="shared" ref="BE29:BS29" si="27">SUM(BE30:BE32)</f>
        <v>187719.46270994272</v>
      </c>
      <c r="BF29" s="22">
        <f t="shared" si="27"/>
        <v>190931.84792239816</v>
      </c>
      <c r="BG29" s="22">
        <f t="shared" si="27"/>
        <v>194200.60860541899</v>
      </c>
      <c r="BH29" s="22">
        <f t="shared" si="27"/>
        <v>197526.75412524509</v>
      </c>
      <c r="BI29" s="22">
        <f t="shared" si="27"/>
        <v>200911.31219850172</v>
      </c>
      <c r="BJ29" s="22">
        <f t="shared" si="27"/>
        <v>204355.32922960736</v>
      </c>
      <c r="BK29" s="22">
        <f t="shared" si="27"/>
        <v>207859.87065443539</v>
      </c>
      <c r="BL29" s="22">
        <f t="shared" si="27"/>
        <v>211426.02129034835</v>
      </c>
      <c r="BM29" s="22">
        <f t="shared" si="27"/>
        <v>215054.88569272161</v>
      </c>
      <c r="BN29" s="22">
        <f t="shared" si="27"/>
        <v>218747.58851807893</v>
      </c>
      <c r="BO29" s="22">
        <f t="shared" si="27"/>
        <v>222505.27489396234</v>
      </c>
      <c r="BP29" s="22">
        <f t="shared" si="27"/>
        <v>226329.11079566256</v>
      </c>
      <c r="BQ29" s="22">
        <f t="shared" si="27"/>
        <v>230220.28342993744</v>
      </c>
      <c r="BR29" s="22">
        <f t="shared" si="27"/>
        <v>234180.00162584902</v>
      </c>
      <c r="BS29" s="22">
        <f t="shared" si="27"/>
        <v>238209.49623285219</v>
      </c>
      <c r="BT29" s="8">
        <v>3.4417789891939332E-2</v>
      </c>
      <c r="BU29" s="23">
        <f t="shared" si="20"/>
        <v>96141.159507864257</v>
      </c>
      <c r="BV29" s="23">
        <f t="shared" si="20"/>
        <v>103013.06455286464</v>
      </c>
      <c r="BW29" s="23">
        <f t="shared" si="20"/>
        <v>109884.88853380509</v>
      </c>
      <c r="BX29" s="23">
        <f t="shared" si="20"/>
        <v>118028.25789495811</v>
      </c>
      <c r="BY29" s="23">
        <f t="shared" si="20"/>
        <v>126302.22700560668</v>
      </c>
      <c r="BZ29" s="23">
        <f t="shared" si="20"/>
        <v>134706.11451809789</v>
      </c>
      <c r="CA29" s="23">
        <f t="shared" si="20"/>
        <v>143232.15943269653</v>
      </c>
      <c r="CB29" s="23">
        <f t="shared" si="20"/>
        <v>151860.14277701665</v>
      </c>
      <c r="CC29" s="23">
        <f t="shared" si="20"/>
        <v>160618.8512429051</v>
      </c>
      <c r="CD29" s="23">
        <f t="shared" si="20"/>
        <v>169505.01273512226</v>
      </c>
      <c r="CE29" s="23">
        <f t="shared" si="20"/>
        <v>178502.8467894186</v>
      </c>
      <c r="CF29" s="23">
        <f t="shared" si="20"/>
        <v>187614.69911835354</v>
      </c>
      <c r="CG29" s="23">
        <f t="shared" si="20"/>
        <v>196845.77431145564</v>
      </c>
      <c r="CH29" s="24">
        <f t="shared" si="20"/>
        <v>206175.62338643431</v>
      </c>
      <c r="CI29" s="23">
        <f t="shared" si="20"/>
        <v>215589.72988422919</v>
      </c>
      <c r="CJ29" s="23">
        <f t="shared" si="17"/>
        <v>225101.53111952625</v>
      </c>
      <c r="CK29" s="23">
        <f t="shared" si="17"/>
        <v>234699.20729575108</v>
      </c>
      <c r="CL29" s="23">
        <f t="shared" si="17"/>
        <v>244343.29694332002</v>
      </c>
      <c r="CM29" s="23">
        <f t="shared" si="17"/>
        <v>254043.8194029725</v>
      </c>
      <c r="CN29" s="23">
        <f t="shared" si="17"/>
        <v>258387.44626930423</v>
      </c>
      <c r="CO29" s="23">
        <f t="shared" si="17"/>
        <v>262807.24779391981</v>
      </c>
      <c r="CP29" s="23">
        <f t="shared" si="17"/>
        <v>267304.58709135739</v>
      </c>
      <c r="CQ29" s="23">
        <f t="shared" si="17"/>
        <v>271880.85204758658</v>
      </c>
      <c r="CR29" s="23">
        <f t="shared" si="17"/>
        <v>276537.45577534311</v>
      </c>
      <c r="CS29" s="23">
        <f t="shared" si="17"/>
        <v>281275.8370779024</v>
      </c>
      <c r="CT29" s="23">
        <f t="shared" si="17"/>
        <v>286097.46092145029</v>
      </c>
      <c r="CU29" s="23">
        <f t="shared" si="17"/>
        <v>291003.81891620951</v>
      </c>
      <c r="CV29" s="23">
        <f t="shared" si="17"/>
        <v>295996.42980648769</v>
      </c>
      <c r="CW29" s="23">
        <f t="shared" si="17"/>
        <v>301076.83996981021</v>
      </c>
      <c r="CX29" s="23">
        <f t="shared" si="17"/>
        <v>306246.6239253105</v>
      </c>
      <c r="CY29" s="23">
        <f t="shared" si="17"/>
        <v>311507.38485154725</v>
      </c>
      <c r="CZ29" s="23">
        <f t="shared" si="18"/>
        <v>316860.75511392759</v>
      </c>
      <c r="DA29" s="23">
        <f t="shared" si="5"/>
        <v>322308.3968019124</v>
      </c>
      <c r="DB29" s="23">
        <f t="shared" si="5"/>
        <v>327852.00227618864</v>
      </c>
      <c r="DC29" s="23">
        <f t="shared" si="5"/>
        <v>333493.29472599307</v>
      </c>
    </row>
    <row r="30" spans="2:107">
      <c r="B30" s="30" t="s">
        <v>54</v>
      </c>
      <c r="C30" s="33" t="s">
        <v>54</v>
      </c>
      <c r="D30" s="19">
        <f t="shared" si="0"/>
        <v>16327.792464911217</v>
      </c>
      <c r="E30" s="20">
        <f t="shared" si="26"/>
        <v>1.4</v>
      </c>
      <c r="G30" s="21"/>
      <c r="I30" s="32"/>
      <c r="J30" s="31" t="s">
        <v>54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5398.2701112807845</v>
      </c>
      <c r="AB30" s="27">
        <v>9373.3795485217779</v>
      </c>
      <c r="AC30" s="27">
        <v>12085.262676813634</v>
      </c>
      <c r="AD30" s="27">
        <v>11903.693115127886</v>
      </c>
      <c r="AE30" s="27">
        <v>12382.785408464317</v>
      </c>
      <c r="AF30" s="27">
        <v>13113.785938645638</v>
      </c>
      <c r="AG30" s="27">
        <v>13351.47910275327</v>
      </c>
      <c r="AH30" s="27">
        <v>14114.042618532581</v>
      </c>
      <c r="AI30" s="27">
        <v>14815.699137850876</v>
      </c>
      <c r="AJ30" s="27">
        <v>15594.775945984093</v>
      </c>
      <c r="AK30" s="27">
        <v>16327.792464911217</v>
      </c>
      <c r="AL30" s="27">
        <v>17310.783988722746</v>
      </c>
      <c r="AM30" s="27">
        <v>18272.041745628554</v>
      </c>
      <c r="AN30" s="27">
        <v>19507.766859140473</v>
      </c>
      <c r="AO30" s="27">
        <v>20747.378367350484</v>
      </c>
      <c r="AP30" s="27">
        <v>21998.973397953319</v>
      </c>
      <c r="AQ30" s="27">
        <v>23265.521457378403</v>
      </c>
      <c r="AR30" s="27">
        <v>24539.436120303009</v>
      </c>
      <c r="AS30" s="27">
        <v>25824.873499456695</v>
      </c>
      <c r="AT30" s="27">
        <v>27119.630055448655</v>
      </c>
      <c r="AU30" s="27">
        <v>28418.283962212077</v>
      </c>
      <c r="AV30" s="27">
        <v>29725.208275001882</v>
      </c>
      <c r="AW30" s="27">
        <v>31037.973600214253</v>
      </c>
      <c r="AX30" s="27">
        <v>32343.570754847045</v>
      </c>
      <c r="AY30" s="27">
        <v>33635.451508381237</v>
      </c>
      <c r="AZ30" s="27">
        <v>34911.072071916897</v>
      </c>
      <c r="BA30" s="27">
        <v>36168.504990725436</v>
      </c>
      <c r="BB30" s="27">
        <v>37401.072709552369</v>
      </c>
      <c r="BC30" s="27">
        <v>38612.236240082777</v>
      </c>
      <c r="BD30" s="27">
        <f t="shared" ref="BD30:BS32" si="28">BC30*(1+$BT30/2)</f>
        <v>39107.82409297007</v>
      </c>
      <c r="BE30" s="27">
        <f t="shared" si="28"/>
        <v>39609.772813391741</v>
      </c>
      <c r="BF30" s="27">
        <f t="shared" si="28"/>
        <v>40118.164043049779</v>
      </c>
      <c r="BG30" s="27">
        <f t="shared" si="28"/>
        <v>40633.08047151698</v>
      </c>
      <c r="BH30" s="27">
        <f t="shared" si="28"/>
        <v>41154.605849686384</v>
      </c>
      <c r="BI30" s="27">
        <f t="shared" si="28"/>
        <v>41682.825003393322</v>
      </c>
      <c r="BJ30" s="27">
        <f t="shared" si="28"/>
        <v>42217.823847212268</v>
      </c>
      <c r="BK30" s="27">
        <f t="shared" si="28"/>
        <v>42759.689398430834</v>
      </c>
      <c r="BL30" s="27">
        <f t="shared" si="28"/>
        <v>43308.509791203047</v>
      </c>
      <c r="BM30" s="27">
        <f t="shared" si="28"/>
        <v>43864.374290884371</v>
      </c>
      <c r="BN30" s="27">
        <f t="shared" si="28"/>
        <v>44427.373308550625</v>
      </c>
      <c r="BO30" s="27">
        <f t="shared" si="28"/>
        <v>44997.598415703331</v>
      </c>
      <c r="BP30" s="27">
        <f t="shared" si="28"/>
        <v>45575.142359163758</v>
      </c>
      <c r="BQ30" s="27">
        <f t="shared" si="28"/>
        <v>46160.099076158149</v>
      </c>
      <c r="BR30" s="27">
        <f t="shared" si="28"/>
        <v>46752.563709596558</v>
      </c>
      <c r="BS30" s="27">
        <f t="shared" si="28"/>
        <v>47352.632623547797</v>
      </c>
      <c r="BT30" s="8">
        <v>2.5669989679221406E-2</v>
      </c>
      <c r="BU30" s="28">
        <f t="shared" si="20"/>
        <v>22858.909450875704</v>
      </c>
      <c r="BV30" s="28">
        <f t="shared" si="20"/>
        <v>24235.097584211842</v>
      </c>
      <c r="BW30" s="28">
        <f t="shared" si="20"/>
        <v>25580.858443879973</v>
      </c>
      <c r="BX30" s="28">
        <f t="shared" si="20"/>
        <v>27310.873602796659</v>
      </c>
      <c r="BY30" s="28">
        <f t="shared" si="20"/>
        <v>29046.329714290674</v>
      </c>
      <c r="BZ30" s="28">
        <f t="shared" si="20"/>
        <v>30798.562757134645</v>
      </c>
      <c r="CA30" s="28">
        <f t="shared" si="20"/>
        <v>32571.730040329763</v>
      </c>
      <c r="CB30" s="28">
        <f t="shared" si="20"/>
        <v>34355.210568424212</v>
      </c>
      <c r="CC30" s="28">
        <f t="shared" si="20"/>
        <v>36154.822899239371</v>
      </c>
      <c r="CD30" s="28">
        <f t="shared" si="20"/>
        <v>37967.482077628112</v>
      </c>
      <c r="CE30" s="28">
        <f t="shared" si="20"/>
        <v>39785.597547096906</v>
      </c>
      <c r="CF30" s="28">
        <f t="shared" si="20"/>
        <v>41615.291585002633</v>
      </c>
      <c r="CG30" s="28">
        <f t="shared" si="20"/>
        <v>43453.163040299951</v>
      </c>
      <c r="CH30" s="28">
        <f t="shared" si="20"/>
        <v>45280.999056785862</v>
      </c>
      <c r="CI30" s="29">
        <f t="shared" si="20"/>
        <v>47089.632111733728</v>
      </c>
      <c r="CJ30" s="28">
        <f t="shared" si="17"/>
        <v>48875.500900683655</v>
      </c>
      <c r="CK30" s="28">
        <f t="shared" si="17"/>
        <v>50635.906987015609</v>
      </c>
      <c r="CL30" s="28">
        <f t="shared" si="17"/>
        <v>52361.501793373311</v>
      </c>
      <c r="CM30" s="28">
        <f t="shared" si="17"/>
        <v>54057.130736115883</v>
      </c>
      <c r="CN30" s="28">
        <f t="shared" si="17"/>
        <v>54750.953730158093</v>
      </c>
      <c r="CO30" s="28">
        <f t="shared" si="17"/>
        <v>55453.681938748436</v>
      </c>
      <c r="CP30" s="28">
        <f t="shared" si="17"/>
        <v>56165.429660269685</v>
      </c>
      <c r="CQ30" s="28">
        <f t="shared" si="17"/>
        <v>56886.312660123767</v>
      </c>
      <c r="CR30" s="28">
        <f t="shared" si="17"/>
        <v>57616.448189560935</v>
      </c>
      <c r="CS30" s="28">
        <f t="shared" si="17"/>
        <v>58355.955004750649</v>
      </c>
      <c r="CT30" s="28">
        <f t="shared" si="17"/>
        <v>59104.953386097171</v>
      </c>
      <c r="CU30" s="28">
        <f t="shared" si="17"/>
        <v>59863.565157803161</v>
      </c>
      <c r="CV30" s="28">
        <f t="shared" si="17"/>
        <v>60631.91370768426</v>
      </c>
      <c r="CW30" s="28">
        <f t="shared" si="17"/>
        <v>61410.124007238112</v>
      </c>
      <c r="CX30" s="28">
        <f t="shared" si="17"/>
        <v>62198.32263197087</v>
      </c>
      <c r="CY30" s="28">
        <f t="shared" si="17"/>
        <v>62996.63778198466</v>
      </c>
      <c r="CZ30" s="28">
        <f t="shared" si="18"/>
        <v>63805.199302829256</v>
      </c>
      <c r="DA30" s="28">
        <f t="shared" si="5"/>
        <v>64624.138706621401</v>
      </c>
      <c r="DB30" s="28">
        <f t="shared" si="5"/>
        <v>65453.589193435175</v>
      </c>
      <c r="DC30" s="28">
        <f t="shared" si="5"/>
        <v>66293.685672966909</v>
      </c>
    </row>
    <row r="31" spans="2:107">
      <c r="B31" s="30" t="s">
        <v>55</v>
      </c>
      <c r="C31" s="33" t="s">
        <v>55</v>
      </c>
      <c r="D31" s="19">
        <f t="shared" si="0"/>
        <v>47767.087419385651</v>
      </c>
      <c r="E31" s="20">
        <f t="shared" si="26"/>
        <v>1.4</v>
      </c>
      <c r="G31" s="21"/>
      <c r="I31" s="32"/>
      <c r="J31" s="31" t="s">
        <v>55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14804.553143205865</v>
      </c>
      <c r="AB31" s="27">
        <v>25765.391530624976</v>
      </c>
      <c r="AC31" s="27">
        <v>33315.407827197458</v>
      </c>
      <c r="AD31" s="27">
        <v>32986.044915117011</v>
      </c>
      <c r="AE31" s="27">
        <v>34502.244247587128</v>
      </c>
      <c r="AF31" s="27">
        <v>36759.673200699268</v>
      </c>
      <c r="AG31" s="27">
        <v>37717.430913439523</v>
      </c>
      <c r="AH31" s="27">
        <v>40161.361861483121</v>
      </c>
      <c r="AI31" s="27">
        <v>42552.605290700769</v>
      </c>
      <c r="AJ31" s="27">
        <v>45168.002608564348</v>
      </c>
      <c r="AK31" s="27">
        <v>47767.087419385651</v>
      </c>
      <c r="AL31" s="27">
        <v>50929.477581725136</v>
      </c>
      <c r="AM31" s="27">
        <v>54134.875588397044</v>
      </c>
      <c r="AN31" s="27">
        <v>57994.041198086394</v>
      </c>
      <c r="AO31" s="27">
        <v>61960.789108846329</v>
      </c>
      <c r="AP31" s="27">
        <v>66025.006274767002</v>
      </c>
      <c r="AQ31" s="27">
        <v>70177.061383763343</v>
      </c>
      <c r="AR31" s="27">
        <v>74409.106200940892</v>
      </c>
      <c r="AS31" s="27">
        <v>78736.823245973224</v>
      </c>
      <c r="AT31" s="27">
        <v>83159.175725872017</v>
      </c>
      <c r="AU31" s="27">
        <v>87669.54560171577</v>
      </c>
      <c r="AV31" s="27">
        <v>92264.252058520695</v>
      </c>
      <c r="AW31" s="27">
        <v>96948.287078255948</v>
      </c>
      <c r="AX31" s="27">
        <v>101719.53835855571</v>
      </c>
      <c r="AY31" s="27">
        <v>106573.59693039191</v>
      </c>
      <c r="AZ31" s="27">
        <v>111521.81609819621</v>
      </c>
      <c r="BA31" s="27">
        <v>116557.01910325247</v>
      </c>
      <c r="BB31" s="27">
        <v>121657.29660431838</v>
      </c>
      <c r="BC31" s="27">
        <v>126827.06753340061</v>
      </c>
      <c r="BD31" s="27">
        <f t="shared" si="28"/>
        <v>129223.5579147681</v>
      </c>
      <c r="BE31" s="27">
        <f t="shared" si="28"/>
        <v>131665.33173806706</v>
      </c>
      <c r="BF31" s="27">
        <f t="shared" si="28"/>
        <v>134153.24466711702</v>
      </c>
      <c r="BG31" s="27">
        <f t="shared" si="28"/>
        <v>136688.16853413239</v>
      </c>
      <c r="BH31" s="27">
        <f t="shared" si="28"/>
        <v>139270.99164523618</v>
      </c>
      <c r="BI31" s="27">
        <f t="shared" si="28"/>
        <v>141902.61909174654</v>
      </c>
      <c r="BJ31" s="27">
        <f t="shared" si="28"/>
        <v>144583.97306734539</v>
      </c>
      <c r="BK31" s="27">
        <f t="shared" si="28"/>
        <v>147315.99319123998</v>
      </c>
      <c r="BL31" s="27">
        <f t="shared" si="28"/>
        <v>150099.63683743111</v>
      </c>
      <c r="BM31" s="27">
        <f t="shared" si="28"/>
        <v>152935.8794702029</v>
      </c>
      <c r="BN31" s="27">
        <f t="shared" si="28"/>
        <v>155825.7149859519</v>
      </c>
      <c r="BO31" s="27">
        <f t="shared" si="28"/>
        <v>158770.15606147546</v>
      </c>
      <c r="BP31" s="27">
        <f t="shared" si="28"/>
        <v>161770.23450884109</v>
      </c>
      <c r="BQ31" s="27">
        <f t="shared" si="28"/>
        <v>164827.00163696148</v>
      </c>
      <c r="BR31" s="27">
        <f t="shared" si="28"/>
        <v>167941.52862000154</v>
      </c>
      <c r="BS31" s="27">
        <f t="shared" si="28"/>
        <v>171114.90687274712</v>
      </c>
      <c r="BT31" s="8">
        <v>3.7791465622846854E-2</v>
      </c>
      <c r="BU31" s="28">
        <f t="shared" si="20"/>
        <v>66873.922387139901</v>
      </c>
      <c r="BV31" s="28">
        <f t="shared" si="20"/>
        <v>71301.268614415181</v>
      </c>
      <c r="BW31" s="28">
        <f t="shared" si="20"/>
        <v>75788.825823755862</v>
      </c>
      <c r="BX31" s="28">
        <f t="shared" si="20"/>
        <v>81191.657677320953</v>
      </c>
      <c r="BY31" s="28">
        <f t="shared" si="20"/>
        <v>86745.104752384854</v>
      </c>
      <c r="BZ31" s="28">
        <f t="shared" si="20"/>
        <v>92435.008784673802</v>
      </c>
      <c r="CA31" s="28">
        <f t="shared" si="20"/>
        <v>98247.885937268671</v>
      </c>
      <c r="CB31" s="28">
        <f t="shared" si="20"/>
        <v>104172.74868131724</v>
      </c>
      <c r="CC31" s="28">
        <f t="shared" si="20"/>
        <v>110231.55254436251</v>
      </c>
      <c r="CD31" s="28">
        <f t="shared" si="20"/>
        <v>116422.84601622082</v>
      </c>
      <c r="CE31" s="28">
        <f t="shared" si="20"/>
        <v>122737.36384240208</v>
      </c>
      <c r="CF31" s="28">
        <f t="shared" si="20"/>
        <v>129169.95288192897</v>
      </c>
      <c r="CG31" s="28">
        <f t="shared" si="20"/>
        <v>135727.60190955832</v>
      </c>
      <c r="CH31" s="28">
        <f t="shared" si="20"/>
        <v>142407.35370197799</v>
      </c>
      <c r="CI31" s="29">
        <f t="shared" si="20"/>
        <v>149203.03570254866</v>
      </c>
      <c r="CJ31" s="28">
        <f t="shared" si="17"/>
        <v>156130.54253747468</v>
      </c>
      <c r="CK31" s="28">
        <f t="shared" si="17"/>
        <v>163179.82674455346</v>
      </c>
      <c r="CL31" s="28">
        <f t="shared" si="17"/>
        <v>170320.21524604573</v>
      </c>
      <c r="CM31" s="28">
        <f t="shared" si="17"/>
        <v>177557.89454676083</v>
      </c>
      <c r="CN31" s="28">
        <f t="shared" si="17"/>
        <v>180912.98108067532</v>
      </c>
      <c r="CO31" s="28">
        <f t="shared" si="17"/>
        <v>184331.46443329388</v>
      </c>
      <c r="CP31" s="28">
        <f t="shared" si="17"/>
        <v>187814.5425339638</v>
      </c>
      <c r="CQ31" s="28">
        <f t="shared" si="17"/>
        <v>191363.43594778533</v>
      </c>
      <c r="CR31" s="28">
        <f t="shared" si="17"/>
        <v>194979.38830333063</v>
      </c>
      <c r="CS31" s="28">
        <f t="shared" si="17"/>
        <v>198663.66672844515</v>
      </c>
      <c r="CT31" s="28">
        <f t="shared" si="17"/>
        <v>202417.56229428353</v>
      </c>
      <c r="CU31" s="28">
        <f t="shared" si="17"/>
        <v>206242.39046773597</v>
      </c>
      <c r="CV31" s="28">
        <f t="shared" si="17"/>
        <v>210139.49157240355</v>
      </c>
      <c r="CW31" s="28">
        <f t="shared" si="17"/>
        <v>214110.23125828404</v>
      </c>
      <c r="CX31" s="28">
        <f t="shared" si="17"/>
        <v>218156.00098033264</v>
      </c>
      <c r="CY31" s="28">
        <f t="shared" si="17"/>
        <v>222278.21848606563</v>
      </c>
      <c r="CZ31" s="28">
        <f t="shared" si="18"/>
        <v>226478.32831237753</v>
      </c>
      <c r="DA31" s="28">
        <f t="shared" si="5"/>
        <v>230757.80229174605</v>
      </c>
      <c r="DB31" s="28">
        <f t="shared" si="5"/>
        <v>235118.14006800213</v>
      </c>
      <c r="DC31" s="28">
        <f t="shared" si="5"/>
        <v>239560.86962184595</v>
      </c>
    </row>
    <row r="32" spans="2:107">
      <c r="B32" s="30" t="s">
        <v>56</v>
      </c>
      <c r="C32" s="33" t="s">
        <v>56</v>
      </c>
      <c r="D32" s="19">
        <f t="shared" si="0"/>
        <v>4577.3769070347489</v>
      </c>
      <c r="E32" s="20">
        <f>$D$55</f>
        <v>18.688701712465154</v>
      </c>
      <c r="G32" s="21"/>
      <c r="I32" s="32"/>
      <c r="J32" s="31" t="s">
        <v>56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166.76975067501149</v>
      </c>
      <c r="AE32" s="27">
        <v>471.84356216723842</v>
      </c>
      <c r="AF32" s="27">
        <v>775.85704262957472</v>
      </c>
      <c r="AG32" s="27">
        <v>1282.1327670649073</v>
      </c>
      <c r="AH32" s="27">
        <v>2145.8375428399181</v>
      </c>
      <c r="AI32" s="27">
        <v>2981.7005181216741</v>
      </c>
      <c r="AJ32" s="27">
        <v>3791.6578085988422</v>
      </c>
      <c r="AK32" s="27">
        <v>4577.3769070347489</v>
      </c>
      <c r="AL32" s="27">
        <v>5340.4988244554443</v>
      </c>
      <c r="AM32" s="27">
        <v>6082.288761549471</v>
      </c>
      <c r="AN32" s="27">
        <v>6804.0904391717904</v>
      </c>
      <c r="AO32" s="27">
        <v>7507.7089563793852</v>
      </c>
      <c r="AP32" s="27">
        <v>8194.6735544924541</v>
      </c>
      <c r="AQ32" s="27">
        <v>8866.1024679272123</v>
      </c>
      <c r="AR32" s="27">
        <v>9522.988233768001</v>
      </c>
      <c r="AS32" s="27">
        <v>10166.054142359453</v>
      </c>
      <c r="AT32" s="27">
        <v>10796.203315195229</v>
      </c>
      <c r="AU32" s="27">
        <v>11414.203857085457</v>
      </c>
      <c r="AV32" s="27">
        <v>12021.039036729941</v>
      </c>
      <c r="AW32" s="27">
        <v>12617.863829712411</v>
      </c>
      <c r="AX32" s="27">
        <v>13205.193305478886</v>
      </c>
      <c r="AY32" s="27">
        <v>13783.615764247732</v>
      </c>
      <c r="AZ32" s="27">
        <v>14353.919772405638</v>
      </c>
      <c r="BA32" s="27">
        <v>14916.766831558596</v>
      </c>
      <c r="BB32" s="27">
        <v>15472.557074214983</v>
      </c>
      <c r="BC32" s="27">
        <v>16020.567228639846</v>
      </c>
      <c r="BD32" s="27">
        <f t="shared" si="28"/>
        <v>16231.079613193444</v>
      </c>
      <c r="BE32" s="27">
        <f t="shared" si="28"/>
        <v>16444.358158483923</v>
      </c>
      <c r="BF32" s="27">
        <f t="shared" si="28"/>
        <v>16660.43921223134</v>
      </c>
      <c r="BG32" s="27">
        <f t="shared" si="28"/>
        <v>16879.359599769632</v>
      </c>
      <c r="BH32" s="27">
        <f t="shared" si="28"/>
        <v>17101.156630322515</v>
      </c>
      <c r="BI32" s="27">
        <f t="shared" si="28"/>
        <v>17325.868103361878</v>
      </c>
      <c r="BJ32" s="27">
        <f t="shared" si="28"/>
        <v>17553.532315049688</v>
      </c>
      <c r="BK32" s="27">
        <f t="shared" si="28"/>
        <v>17784.188064764581</v>
      </c>
      <c r="BL32" s="27">
        <f t="shared" si="28"/>
        <v>18017.874661714188</v>
      </c>
      <c r="BM32" s="27">
        <f t="shared" si="28"/>
        <v>18254.631931634358</v>
      </c>
      <c r="BN32" s="27">
        <f t="shared" si="28"/>
        <v>18494.500223576408</v>
      </c>
      <c r="BO32" s="27">
        <f t="shared" si="28"/>
        <v>18737.520416783555</v>
      </c>
      <c r="BP32" s="27">
        <f t="shared" si="28"/>
        <v>18983.733927657708</v>
      </c>
      <c r="BQ32" s="27">
        <f t="shared" si="28"/>
        <v>19233.182716817813</v>
      </c>
      <c r="BR32" s="27">
        <f t="shared" si="28"/>
        <v>19485.909296250928</v>
      </c>
      <c r="BS32" s="27">
        <f t="shared" si="28"/>
        <v>19741.956736557269</v>
      </c>
      <c r="BT32" s="8">
        <v>2.6280266054159007E-2</v>
      </c>
      <c r="BU32" s="28">
        <f t="shared" si="20"/>
        <v>85545.231641098755</v>
      </c>
      <c r="BV32" s="28">
        <f t="shared" si="20"/>
        <v>99806.989526018602</v>
      </c>
      <c r="BW32" s="28">
        <f t="shared" si="20"/>
        <v>113670.08039367716</v>
      </c>
      <c r="BX32" s="28">
        <f t="shared" si="20"/>
        <v>127159.61664231762</v>
      </c>
      <c r="BY32" s="28">
        <f t="shared" si="20"/>
        <v>140309.33322977737</v>
      </c>
      <c r="BZ32" s="28">
        <f t="shared" si="20"/>
        <v>153147.80969093603</v>
      </c>
      <c r="CA32" s="28">
        <f t="shared" si="20"/>
        <v>165695.94437524281</v>
      </c>
      <c r="CB32" s="28">
        <f t="shared" si="20"/>
        <v>177972.28651220555</v>
      </c>
      <c r="CC32" s="28">
        <f t="shared" si="20"/>
        <v>189990.35345932658</v>
      </c>
      <c r="CD32" s="28">
        <f t="shared" si="20"/>
        <v>201767.02338481104</v>
      </c>
      <c r="CE32" s="28">
        <f t="shared" si="20"/>
        <v>213316.65117033932</v>
      </c>
      <c r="CF32" s="28">
        <f t="shared" si="20"/>
        <v>224657.61283134529</v>
      </c>
      <c r="CG32" s="28">
        <f t="shared" si="20"/>
        <v>235811.49336199844</v>
      </c>
      <c r="CH32" s="28">
        <f t="shared" si="20"/>
        <v>246787.91874153665</v>
      </c>
      <c r="CI32" s="29">
        <f t="shared" si="20"/>
        <v>257597.88353725828</v>
      </c>
      <c r="CJ32" s="28">
        <f t="shared" si="17"/>
        <v>268256.12503114465</v>
      </c>
      <c r="CK32" s="28">
        <f t="shared" si="17"/>
        <v>278775.00582939252</v>
      </c>
      <c r="CL32" s="28">
        <f t="shared" si="17"/>
        <v>289162.00388909638</v>
      </c>
      <c r="CM32" s="28">
        <f t="shared" si="17"/>
        <v>299403.60220054461</v>
      </c>
      <c r="CN32" s="28">
        <f t="shared" si="17"/>
        <v>303337.80536224658</v>
      </c>
      <c r="CO32" s="28">
        <f t="shared" si="17"/>
        <v>307323.70447684883</v>
      </c>
      <c r="CP32" s="28">
        <f t="shared" si="17"/>
        <v>311361.97883604944</v>
      </c>
      <c r="CQ32" s="28">
        <f t="shared" si="17"/>
        <v>315453.31665752985</v>
      </c>
      <c r="CR32" s="28">
        <f t="shared" si="17"/>
        <v>319598.4152022432</v>
      </c>
      <c r="CS32" s="28">
        <f t="shared" si="17"/>
        <v>323797.9808932445</v>
      </c>
      <c r="CT32" s="28">
        <f t="shared" si="17"/>
        <v>328052.72943608148</v>
      </c>
      <c r="CU32" s="28">
        <f t="shared" si="17"/>
        <v>332363.38594076817</v>
      </c>
      <c r="CV32" s="28">
        <f t="shared" si="17"/>
        <v>336730.68504536041</v>
      </c>
      <c r="CW32" s="28">
        <f t="shared" si="17"/>
        <v>341155.37104115612</v>
      </c>
      <c r="CX32" s="28">
        <f t="shared" si="17"/>
        <v>345638.19799953955</v>
      </c>
      <c r="CY32" s="28">
        <f t="shared" si="17"/>
        <v>350179.92990049359</v>
      </c>
      <c r="CZ32" s="28">
        <f t="shared" si="18"/>
        <v>354781.34076279943</v>
      </c>
      <c r="DA32" s="28">
        <f t="shared" si="5"/>
        <v>359443.21477594826</v>
      </c>
      <c r="DB32" s="28">
        <f t="shared" si="5"/>
        <v>364166.34643378534</v>
      </c>
      <c r="DC32" s="28">
        <f t="shared" si="5"/>
        <v>368951.54066991078</v>
      </c>
    </row>
    <row r="33" spans="2:107">
      <c r="B33" s="32" t="s">
        <v>57</v>
      </c>
      <c r="C33" s="33"/>
      <c r="D33" s="19">
        <f t="shared" si="0"/>
        <v>1.6442208511144705</v>
      </c>
      <c r="E33" s="20">
        <f t="shared" ref="E33:E36" si="29">$C$54</f>
        <v>1.4</v>
      </c>
      <c r="G33" s="21"/>
      <c r="I33" s="32" t="s">
        <v>57</v>
      </c>
      <c r="J33" s="31"/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6.0727991908080058E-2</v>
      </c>
      <c r="AE33" s="22">
        <v>0.1061933740839536</v>
      </c>
      <c r="AF33" s="22">
        <v>0.1745521698921384</v>
      </c>
      <c r="AG33" s="22">
        <v>0.26489023423984032</v>
      </c>
      <c r="AH33" s="22">
        <v>0.3937680341990622</v>
      </c>
      <c r="AI33" s="22">
        <v>0.61934465189463017</v>
      </c>
      <c r="AJ33" s="22">
        <v>1.0006289159728494</v>
      </c>
      <c r="AK33" s="22">
        <v>1.6442208511144705</v>
      </c>
      <c r="AL33" s="22">
        <v>2.729651653829527</v>
      </c>
      <c r="AM33" s="22">
        <v>4.5594026317574761</v>
      </c>
      <c r="AN33" s="22">
        <v>6.5178710761790395</v>
      </c>
      <c r="AO33" s="22">
        <v>118.13634832260942</v>
      </c>
      <c r="AP33" s="22">
        <v>305.51923943566413</v>
      </c>
      <c r="AQ33" s="22">
        <v>393.09396198184464</v>
      </c>
      <c r="AR33" s="22">
        <v>557.67719700219573</v>
      </c>
      <c r="AS33" s="22">
        <v>850.87354978667338</v>
      </c>
      <c r="AT33" s="22">
        <v>1363.9251539754159</v>
      </c>
      <c r="AU33" s="22">
        <v>2253.6295245491451</v>
      </c>
      <c r="AV33" s="22">
        <v>3238.5537283819131</v>
      </c>
      <c r="AW33" s="22">
        <v>5058.461569120389</v>
      </c>
      <c r="AX33" s="22">
        <v>7756.8972645515041</v>
      </c>
      <c r="AY33" s="22">
        <v>10289.60220252965</v>
      </c>
      <c r="AZ33" s="22">
        <v>13125.179562950781</v>
      </c>
      <c r="BA33" s="22">
        <v>16281.238887936619</v>
      </c>
      <c r="BB33" s="22">
        <v>19793.919518978681</v>
      </c>
      <c r="BC33" s="22">
        <v>23704.721066381546</v>
      </c>
      <c r="BD33" s="22">
        <f>SUM(BD34:BD36)</f>
        <v>25410.703865037864</v>
      </c>
      <c r="BE33" s="22">
        <f t="shared" ref="BE33:BS33" si="30">SUM(BE34:BE36)</f>
        <v>27239.502845206542</v>
      </c>
      <c r="BF33" s="22">
        <f t="shared" si="30"/>
        <v>29199.96183136159</v>
      </c>
      <c r="BG33" s="22">
        <f t="shared" si="30"/>
        <v>31301.56159104588</v>
      </c>
      <c r="BH33" s="22">
        <f t="shared" si="30"/>
        <v>33554.465714175909</v>
      </c>
      <c r="BI33" s="22">
        <f t="shared" si="30"/>
        <v>35969.569797364937</v>
      </c>
      <c r="BJ33" s="22">
        <f t="shared" si="30"/>
        <v>38558.554171365329</v>
      </c>
      <c r="BK33" s="22">
        <f t="shared" si="30"/>
        <v>41333.940426884998</v>
      </c>
      <c r="BL33" s="22">
        <f t="shared" si="30"/>
        <v>44309.152012423147</v>
      </c>
      <c r="BM33" s="22">
        <f t="shared" si="30"/>
        <v>47498.579197485393</v>
      </c>
      <c r="BN33" s="22">
        <f t="shared" si="30"/>
        <v>50917.648715674026</v>
      </c>
      <c r="BO33" s="22">
        <f t="shared" si="30"/>
        <v>54582.898424807361</v>
      </c>
      <c r="BP33" s="22">
        <f t="shared" si="30"/>
        <v>58512.057345513167</v>
      </c>
      <c r="BQ33" s="22">
        <f t="shared" si="30"/>
        <v>62724.131465781873</v>
      </c>
      <c r="BR33" s="22">
        <f t="shared" si="30"/>
        <v>67239.495726882742</v>
      </c>
      <c r="BS33" s="22">
        <f t="shared" si="30"/>
        <v>72079.992635974559</v>
      </c>
      <c r="BT33" s="8">
        <v>0.14398041285173568</v>
      </c>
      <c r="BU33" s="23">
        <f t="shared" si="20"/>
        <v>2.3019091915602585</v>
      </c>
      <c r="BV33" s="23">
        <f t="shared" si="20"/>
        <v>3.8215123153613377</v>
      </c>
      <c r="BW33" s="23">
        <f t="shared" si="20"/>
        <v>6.3831636844604658</v>
      </c>
      <c r="BX33" s="23">
        <f t="shared" si="20"/>
        <v>9.1250195066506539</v>
      </c>
      <c r="BY33" s="23">
        <f t="shared" si="20"/>
        <v>165.39088765165317</v>
      </c>
      <c r="BZ33" s="23">
        <f t="shared" si="20"/>
        <v>427.72693520992976</v>
      </c>
      <c r="CA33" s="23">
        <f t="shared" si="20"/>
        <v>550.33154677458242</v>
      </c>
      <c r="CB33" s="23">
        <f t="shared" si="20"/>
        <v>780.74807580307402</v>
      </c>
      <c r="CC33" s="23">
        <f t="shared" si="20"/>
        <v>1191.2229697013427</v>
      </c>
      <c r="CD33" s="23">
        <f t="shared" si="20"/>
        <v>1909.4952155655822</v>
      </c>
      <c r="CE33" s="23">
        <f t="shared" si="20"/>
        <v>3155.0813343688028</v>
      </c>
      <c r="CF33" s="23">
        <f t="shared" si="20"/>
        <v>4533.9752197346779</v>
      </c>
      <c r="CG33" s="23">
        <f t="shared" si="20"/>
        <v>7081.8461967685444</v>
      </c>
      <c r="CH33" s="24">
        <f t="shared" si="20"/>
        <v>10859.656170372105</v>
      </c>
      <c r="CI33" s="23">
        <f t="shared" si="20"/>
        <v>14405.443083541508</v>
      </c>
      <c r="CJ33" s="23">
        <f t="shared" si="17"/>
        <v>18375.251388131092</v>
      </c>
      <c r="CK33" s="23">
        <f t="shared" si="17"/>
        <v>22793.734443111265</v>
      </c>
      <c r="CL33" s="23">
        <f t="shared" si="17"/>
        <v>27711.48732657015</v>
      </c>
      <c r="CM33" s="23">
        <f t="shared" si="17"/>
        <v>33186.609492934163</v>
      </c>
      <c r="CN33" s="23">
        <f t="shared" si="17"/>
        <v>35574.985411053007</v>
      </c>
      <c r="CO33" s="23">
        <f t="shared" si="17"/>
        <v>38135.303983289159</v>
      </c>
      <c r="CP33" s="23">
        <f t="shared" si="17"/>
        <v>40879.946563906225</v>
      </c>
      <c r="CQ33" s="23">
        <f t="shared" si="17"/>
        <v>43822.186227464226</v>
      </c>
      <c r="CR33" s="23">
        <f t="shared" si="17"/>
        <v>46976.251999846267</v>
      </c>
      <c r="CS33" s="23">
        <f t="shared" si="17"/>
        <v>50357.397716310908</v>
      </c>
      <c r="CT33" s="23">
        <f t="shared" si="17"/>
        <v>53981.975839911458</v>
      </c>
      <c r="CU33" s="23">
        <f t="shared" si="17"/>
        <v>57867.516597638991</v>
      </c>
      <c r="CV33" s="23">
        <f t="shared" si="17"/>
        <v>62032.812817392398</v>
      </c>
      <c r="CW33" s="23">
        <f t="shared" si="17"/>
        <v>66498.010876479544</v>
      </c>
      <c r="CX33" s="23">
        <f t="shared" si="17"/>
        <v>71284.708201943635</v>
      </c>
      <c r="CY33" s="23">
        <f t="shared" si="17"/>
        <v>76416.057794730295</v>
      </c>
      <c r="CZ33" s="23">
        <f t="shared" si="18"/>
        <v>81916.880283718434</v>
      </c>
      <c r="DA33" s="23">
        <f t="shared" si="5"/>
        <v>87813.784052094619</v>
      </c>
      <c r="DB33" s="23">
        <f t="shared" si="5"/>
        <v>94135.294017635839</v>
      </c>
      <c r="DC33" s="23">
        <f t="shared" si="5"/>
        <v>100911.98969036438</v>
      </c>
    </row>
    <row r="34" spans="2:107">
      <c r="B34" s="30" t="s">
        <v>58</v>
      </c>
      <c r="C34" s="33" t="s">
        <v>58</v>
      </c>
      <c r="D34" s="19">
        <f t="shared" si="0"/>
        <v>1.6442208511144705</v>
      </c>
      <c r="E34" s="20">
        <f t="shared" si="29"/>
        <v>1.4</v>
      </c>
      <c r="G34" s="21"/>
      <c r="I34" s="32"/>
      <c r="J34" s="31" t="s">
        <v>58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6.0727991908080058E-2</v>
      </c>
      <c r="AE34" s="27">
        <v>0.1061933740839536</v>
      </c>
      <c r="AF34" s="27">
        <v>0.1745521698921384</v>
      </c>
      <c r="AG34" s="27">
        <v>0.26489023423984032</v>
      </c>
      <c r="AH34" s="27">
        <v>0.3937680341990622</v>
      </c>
      <c r="AI34" s="27">
        <v>0.61934465189463017</v>
      </c>
      <c r="AJ34" s="27">
        <v>1.0006289159728494</v>
      </c>
      <c r="AK34" s="27">
        <v>1.6442208511144705</v>
      </c>
      <c r="AL34" s="27">
        <v>2.729651653829527</v>
      </c>
      <c r="AM34" s="27">
        <v>4.5594026317574761</v>
      </c>
      <c r="AN34" s="27">
        <v>6.5178710761790395</v>
      </c>
      <c r="AO34" s="27">
        <v>10.129361155236326</v>
      </c>
      <c r="AP34" s="27">
        <v>15.434649027656935</v>
      </c>
      <c r="AQ34" s="27">
        <v>20.216122391648756</v>
      </c>
      <c r="AR34" s="27">
        <v>25.891684228225774</v>
      </c>
      <c r="AS34" s="27">
        <v>30.39216481026914</v>
      </c>
      <c r="AT34" s="27">
        <v>34.111828065433578</v>
      </c>
      <c r="AU34" s="27">
        <v>40.003237453826721</v>
      </c>
      <c r="AV34" s="27">
        <v>46.212794778961843</v>
      </c>
      <c r="AW34" s="27">
        <v>53.192863742717634</v>
      </c>
      <c r="AX34" s="27">
        <v>60.680402605282595</v>
      </c>
      <c r="AY34" s="27">
        <v>68.680750923314235</v>
      </c>
      <c r="AZ34" s="27">
        <v>77.325865733540908</v>
      </c>
      <c r="BA34" s="27">
        <v>86.691213177712001</v>
      </c>
      <c r="BB34" s="27">
        <v>96.861181573045059</v>
      </c>
      <c r="BC34" s="27">
        <v>107.93041558883228</v>
      </c>
      <c r="BD34" s="27">
        <f t="shared" ref="BD34:BS36" si="31">BC34*(1+$BT34/2)</f>
        <v>113.62727936373194</v>
      </c>
      <c r="BE34" s="27">
        <f t="shared" si="31"/>
        <v>119.62483925559461</v>
      </c>
      <c r="BF34" s="27">
        <f t="shared" si="31"/>
        <v>125.93896683136118</v>
      </c>
      <c r="BG34" s="27">
        <f t="shared" si="31"/>
        <v>132.58637140286837</v>
      </c>
      <c r="BH34" s="27">
        <f t="shared" si="31"/>
        <v>139.58464424532511</v>
      </c>
      <c r="BI34" s="27">
        <f t="shared" si="31"/>
        <v>146.95230514976186</v>
      </c>
      <c r="BJ34" s="27">
        <f t="shared" si="31"/>
        <v>154.70885143264584</v>
      </c>
      <c r="BK34" s="27">
        <f t="shared" si="31"/>
        <v>162.87480953235848</v>
      </c>
      <c r="BL34" s="27">
        <f t="shared" si="31"/>
        <v>171.47178932907656</v>
      </c>
      <c r="BM34" s="27">
        <f t="shared" si="31"/>
        <v>180.522541331806</v>
      </c>
      <c r="BN34" s="27">
        <f t="shared" si="31"/>
        <v>190.05101688390425</v>
      </c>
      <c r="BO34" s="27">
        <f t="shared" si="31"/>
        <v>200.08243154641565</v>
      </c>
      <c r="BP34" s="27">
        <f t="shared" si="31"/>
        <v>210.64333182695304</v>
      </c>
      <c r="BQ34" s="27">
        <f t="shared" si="31"/>
        <v>221.76166543071344</v>
      </c>
      <c r="BR34" s="27">
        <f t="shared" si="31"/>
        <v>233.46685521953486</v>
      </c>
      <c r="BS34" s="27">
        <f t="shared" si="31"/>
        <v>245.78987707471555</v>
      </c>
      <c r="BT34" s="8">
        <v>0.10556549317112274</v>
      </c>
      <c r="BU34" s="28">
        <f t="shared" si="20"/>
        <v>2.3019091915602585</v>
      </c>
      <c r="BV34" s="28">
        <f t="shared" si="20"/>
        <v>3.8215123153613377</v>
      </c>
      <c r="BW34" s="28">
        <f t="shared" si="20"/>
        <v>6.3831636844604658</v>
      </c>
      <c r="BX34" s="28">
        <f t="shared" si="20"/>
        <v>9.1250195066506539</v>
      </c>
      <c r="BY34" s="28">
        <f t="shared" si="20"/>
        <v>14.181105617330855</v>
      </c>
      <c r="BZ34" s="28">
        <f t="shared" si="20"/>
        <v>21.608508638719709</v>
      </c>
      <c r="CA34" s="28">
        <f t="shared" si="20"/>
        <v>28.302571348308255</v>
      </c>
      <c r="CB34" s="28">
        <f t="shared" si="20"/>
        <v>36.248357919516081</v>
      </c>
      <c r="CC34" s="28">
        <f t="shared" si="20"/>
        <v>42.549030734376792</v>
      </c>
      <c r="CD34" s="28">
        <f t="shared" si="20"/>
        <v>47.756559291607005</v>
      </c>
      <c r="CE34" s="28">
        <f t="shared" si="20"/>
        <v>56.004532435357405</v>
      </c>
      <c r="CF34" s="28">
        <f t="shared" si="20"/>
        <v>64.697912690546573</v>
      </c>
      <c r="CG34" s="28">
        <f t="shared" si="20"/>
        <v>74.470009239804682</v>
      </c>
      <c r="CH34" s="28">
        <f t="shared" si="20"/>
        <v>84.952563647395621</v>
      </c>
      <c r="CI34" s="29">
        <f t="shared" si="20"/>
        <v>96.15305129263993</v>
      </c>
      <c r="CJ34" s="28">
        <f t="shared" si="17"/>
        <v>108.25621202695727</v>
      </c>
      <c r="CK34" s="28">
        <f t="shared" si="17"/>
        <v>121.36769844879679</v>
      </c>
      <c r="CL34" s="28">
        <f t="shared" si="17"/>
        <v>135.60565420226308</v>
      </c>
      <c r="CM34" s="28">
        <f t="shared" si="17"/>
        <v>151.10258182436519</v>
      </c>
      <c r="CN34" s="28">
        <f t="shared" si="17"/>
        <v>159.07819110922472</v>
      </c>
      <c r="CO34" s="28">
        <f t="shared" si="17"/>
        <v>167.47477495783244</v>
      </c>
      <c r="CP34" s="28">
        <f t="shared" si="17"/>
        <v>176.31455356390566</v>
      </c>
      <c r="CQ34" s="28">
        <f t="shared" si="17"/>
        <v>185.62091996401571</v>
      </c>
      <c r="CR34" s="28">
        <f t="shared" si="17"/>
        <v>195.41850194345514</v>
      </c>
      <c r="CS34" s="28">
        <f t="shared" si="17"/>
        <v>205.73322720966658</v>
      </c>
      <c r="CT34" s="28">
        <f t="shared" si="17"/>
        <v>216.59239200570417</v>
      </c>
      <c r="CU34" s="28">
        <f t="shared" si="17"/>
        <v>228.02473334530185</v>
      </c>
      <c r="CV34" s="28">
        <f t="shared" si="17"/>
        <v>240.06050506070716</v>
      </c>
      <c r="CW34" s="28">
        <f t="shared" si="17"/>
        <v>252.73155786452838</v>
      </c>
      <c r="CX34" s="28">
        <f t="shared" si="17"/>
        <v>266.07142363746595</v>
      </c>
      <c r="CY34" s="28">
        <f t="shared" si="17"/>
        <v>280.1154041649819</v>
      </c>
      <c r="CZ34" s="28">
        <f t="shared" si="18"/>
        <v>294.90066455773422</v>
      </c>
      <c r="DA34" s="28">
        <f t="shared" si="5"/>
        <v>310.46633160299876</v>
      </c>
      <c r="DB34" s="28">
        <f t="shared" si="5"/>
        <v>326.85359730734876</v>
      </c>
      <c r="DC34" s="28">
        <f t="shared" si="5"/>
        <v>344.10582790460177</v>
      </c>
    </row>
    <row r="35" spans="2:107">
      <c r="B35" s="30" t="s">
        <v>59</v>
      </c>
      <c r="C35" s="33" t="s">
        <v>59</v>
      </c>
      <c r="D35" s="19">
        <f t="shared" si="0"/>
        <v>0</v>
      </c>
      <c r="E35" s="20">
        <f t="shared" si="29"/>
        <v>1.4</v>
      </c>
      <c r="G35" s="21"/>
      <c r="I35" s="32"/>
      <c r="J35" s="31" t="s">
        <v>59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0</v>
      </c>
      <c r="AM35" s="27">
        <v>0</v>
      </c>
      <c r="AN35" s="27">
        <v>0</v>
      </c>
      <c r="AO35" s="27">
        <v>108.0069871673731</v>
      </c>
      <c r="AP35" s="27">
        <v>290.08459040800722</v>
      </c>
      <c r="AQ35" s="27">
        <v>372.87783959019589</v>
      </c>
      <c r="AR35" s="27">
        <v>531.78551277396991</v>
      </c>
      <c r="AS35" s="27">
        <v>820.48138497640423</v>
      </c>
      <c r="AT35" s="27">
        <v>1329.8133259099823</v>
      </c>
      <c r="AU35" s="27">
        <v>2213.6262870953183</v>
      </c>
      <c r="AV35" s="27">
        <v>3192.3409336029513</v>
      </c>
      <c r="AW35" s="27">
        <v>5005.2687053776717</v>
      </c>
      <c r="AX35" s="27">
        <v>7696.2168619462218</v>
      </c>
      <c r="AY35" s="27">
        <v>10220.921451606335</v>
      </c>
      <c r="AZ35" s="27">
        <v>13047.853697217241</v>
      </c>
      <c r="BA35" s="27">
        <v>16194.547674758907</v>
      </c>
      <c r="BB35" s="27">
        <v>19697.058337405637</v>
      </c>
      <c r="BC35" s="27">
        <v>23596.790650792715</v>
      </c>
      <c r="BD35" s="27">
        <f t="shared" si="31"/>
        <v>25297.076585674131</v>
      </c>
      <c r="BE35" s="27">
        <f t="shared" si="31"/>
        <v>27119.878005950948</v>
      </c>
      <c r="BF35" s="27">
        <f t="shared" si="31"/>
        <v>29074.02286453023</v>
      </c>
      <c r="BG35" s="27">
        <f t="shared" si="31"/>
        <v>31168.975219643013</v>
      </c>
      <c r="BH35" s="27">
        <f t="shared" si="31"/>
        <v>33414.881069930583</v>
      </c>
      <c r="BI35" s="27">
        <f t="shared" si="31"/>
        <v>35822.617492215177</v>
      </c>
      <c r="BJ35" s="27">
        <f t="shared" si="31"/>
        <v>38403.845319932683</v>
      </c>
      <c r="BK35" s="27">
        <f t="shared" si="31"/>
        <v>41171.065617352637</v>
      </c>
      <c r="BL35" s="27">
        <f t="shared" si="31"/>
        <v>44137.680223094067</v>
      </c>
      <c r="BM35" s="27">
        <f t="shared" si="31"/>
        <v>47318.056656153589</v>
      </c>
      <c r="BN35" s="27">
        <f t="shared" si="31"/>
        <v>50727.597698790123</v>
      </c>
      <c r="BO35" s="27">
        <f t="shared" si="31"/>
        <v>54382.815993260949</v>
      </c>
      <c r="BP35" s="27">
        <f t="shared" si="31"/>
        <v>58301.414013686212</v>
      </c>
      <c r="BQ35" s="27">
        <f t="shared" si="31"/>
        <v>62502.36980035116</v>
      </c>
      <c r="BR35" s="27">
        <f t="shared" si="31"/>
        <v>67006.028871663206</v>
      </c>
      <c r="BS35" s="27">
        <f t="shared" si="31"/>
        <v>71834.202758899846</v>
      </c>
      <c r="BT35" s="8">
        <v>0.14411162602947436</v>
      </c>
      <c r="BU35" s="28">
        <f t="shared" si="20"/>
        <v>0</v>
      </c>
      <c r="BV35" s="28">
        <f t="shared" si="20"/>
        <v>0</v>
      </c>
      <c r="BW35" s="28">
        <f t="shared" si="20"/>
        <v>0</v>
      </c>
      <c r="BX35" s="28">
        <f t="shared" si="20"/>
        <v>0</v>
      </c>
      <c r="BY35" s="28">
        <f t="shared" si="20"/>
        <v>151.20978203432233</v>
      </c>
      <c r="BZ35" s="28">
        <f t="shared" si="20"/>
        <v>406.11842657121008</v>
      </c>
      <c r="CA35" s="28">
        <f t="shared" si="20"/>
        <v>522.0289754262742</v>
      </c>
      <c r="CB35" s="28">
        <f t="shared" si="20"/>
        <v>744.49971788355788</v>
      </c>
      <c r="CC35" s="28">
        <f t="shared" si="20"/>
        <v>1148.6739389669658</v>
      </c>
      <c r="CD35" s="28">
        <f t="shared" si="20"/>
        <v>1861.738656273975</v>
      </c>
      <c r="CE35" s="28">
        <f t="shared" si="20"/>
        <v>3099.0768019334455</v>
      </c>
      <c r="CF35" s="28">
        <f t="shared" si="20"/>
        <v>4469.2773070441317</v>
      </c>
      <c r="CG35" s="28">
        <f t="shared" si="20"/>
        <v>7007.37618752874</v>
      </c>
      <c r="CH35" s="28">
        <f t="shared" si="20"/>
        <v>10774.70360672471</v>
      </c>
      <c r="CI35" s="29">
        <f t="shared" si="20"/>
        <v>14309.290032248868</v>
      </c>
      <c r="CJ35" s="28">
        <f t="shared" si="17"/>
        <v>18266.995176104134</v>
      </c>
      <c r="CK35" s="28">
        <f t="shared" si="17"/>
        <v>22672.366744662468</v>
      </c>
      <c r="CL35" s="28">
        <f t="shared" si="17"/>
        <v>27575.88167236789</v>
      </c>
      <c r="CM35" s="28">
        <f t="shared" si="17"/>
        <v>33035.506911109798</v>
      </c>
      <c r="CN35" s="28">
        <f t="shared" si="17"/>
        <v>35415.90721994378</v>
      </c>
      <c r="CO35" s="28">
        <f t="shared" si="17"/>
        <v>37967.829208331328</v>
      </c>
      <c r="CP35" s="28">
        <f t="shared" si="17"/>
        <v>40703.63201034232</v>
      </c>
      <c r="CQ35" s="28">
        <f t="shared" si="17"/>
        <v>43636.565307500212</v>
      </c>
      <c r="CR35" s="28">
        <f t="shared" si="17"/>
        <v>46780.833497902815</v>
      </c>
      <c r="CS35" s="28">
        <f t="shared" si="17"/>
        <v>50151.664489101247</v>
      </c>
      <c r="CT35" s="28">
        <f t="shared" si="17"/>
        <v>53765.383447905755</v>
      </c>
      <c r="CU35" s="28">
        <f t="shared" si="17"/>
        <v>57639.49186429369</v>
      </c>
      <c r="CV35" s="28">
        <f t="shared" si="17"/>
        <v>61792.752312331686</v>
      </c>
      <c r="CW35" s="28">
        <f t="shared" si="17"/>
        <v>66245.279318615023</v>
      </c>
      <c r="CX35" s="28">
        <f t="shared" si="17"/>
        <v>71018.636778306172</v>
      </c>
      <c r="CY35" s="28">
        <f t="shared" si="17"/>
        <v>76135.942390565324</v>
      </c>
      <c r="CZ35" s="28">
        <f t="shared" si="18"/>
        <v>81621.979619160687</v>
      </c>
      <c r="DA35" s="28">
        <f t="shared" si="5"/>
        <v>87503.317720491614</v>
      </c>
      <c r="DB35" s="28">
        <f t="shared" si="5"/>
        <v>93808.440420328479</v>
      </c>
      <c r="DC35" s="28">
        <f t="shared" si="5"/>
        <v>100567.88386245978</v>
      </c>
    </row>
    <row r="36" spans="2:107">
      <c r="B36" s="30" t="s">
        <v>60</v>
      </c>
      <c r="C36" s="33" t="s">
        <v>60</v>
      </c>
      <c r="D36" s="19">
        <f t="shared" si="0"/>
        <v>0</v>
      </c>
      <c r="E36" s="20">
        <f t="shared" si="29"/>
        <v>1.4</v>
      </c>
      <c r="G36" s="21"/>
      <c r="I36" s="32"/>
      <c r="J36" s="31" t="s">
        <v>60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f t="shared" si="31"/>
        <v>0</v>
      </c>
      <c r="BE36" s="27">
        <f t="shared" si="31"/>
        <v>0</v>
      </c>
      <c r="BF36" s="27">
        <f t="shared" si="31"/>
        <v>0</v>
      </c>
      <c r="BG36" s="27">
        <f t="shared" si="31"/>
        <v>0</v>
      </c>
      <c r="BH36" s="27">
        <f t="shared" si="31"/>
        <v>0</v>
      </c>
      <c r="BI36" s="27">
        <f t="shared" si="31"/>
        <v>0</v>
      </c>
      <c r="BJ36" s="27">
        <f t="shared" si="31"/>
        <v>0</v>
      </c>
      <c r="BK36" s="27">
        <f t="shared" si="31"/>
        <v>0</v>
      </c>
      <c r="BL36" s="27">
        <f t="shared" si="31"/>
        <v>0</v>
      </c>
      <c r="BM36" s="27">
        <f t="shared" si="31"/>
        <v>0</v>
      </c>
      <c r="BN36" s="27">
        <f t="shared" si="31"/>
        <v>0</v>
      </c>
      <c r="BO36" s="27">
        <f t="shared" si="31"/>
        <v>0</v>
      </c>
      <c r="BP36" s="27">
        <f t="shared" si="31"/>
        <v>0</v>
      </c>
      <c r="BQ36" s="27">
        <f t="shared" si="31"/>
        <v>0</v>
      </c>
      <c r="BR36" s="27">
        <f t="shared" si="31"/>
        <v>0</v>
      </c>
      <c r="BS36" s="27">
        <f t="shared" si="31"/>
        <v>0</v>
      </c>
      <c r="BT36" s="8">
        <v>0</v>
      </c>
      <c r="BU36" s="28">
        <f t="shared" si="20"/>
        <v>0</v>
      </c>
      <c r="BV36" s="28">
        <f t="shared" si="20"/>
        <v>0</v>
      </c>
      <c r="BW36" s="28">
        <f t="shared" si="20"/>
        <v>0</v>
      </c>
      <c r="BX36" s="28">
        <f t="shared" si="20"/>
        <v>0</v>
      </c>
      <c r="BY36" s="28">
        <f t="shared" si="20"/>
        <v>0</v>
      </c>
      <c r="BZ36" s="28">
        <f t="shared" si="20"/>
        <v>0</v>
      </c>
      <c r="CA36" s="28">
        <f t="shared" si="20"/>
        <v>0</v>
      </c>
      <c r="CB36" s="28">
        <f t="shared" si="20"/>
        <v>0</v>
      </c>
      <c r="CC36" s="28">
        <f t="shared" si="20"/>
        <v>0</v>
      </c>
      <c r="CD36" s="28">
        <f t="shared" si="20"/>
        <v>0</v>
      </c>
      <c r="CE36" s="28">
        <f t="shared" si="20"/>
        <v>0</v>
      </c>
      <c r="CF36" s="28">
        <f t="shared" si="20"/>
        <v>0</v>
      </c>
      <c r="CG36" s="28">
        <f t="shared" si="20"/>
        <v>0</v>
      </c>
      <c r="CH36" s="28">
        <f t="shared" si="20"/>
        <v>0</v>
      </c>
      <c r="CI36" s="35">
        <f t="shared" si="20"/>
        <v>0</v>
      </c>
      <c r="CJ36" s="28">
        <f t="shared" si="17"/>
        <v>0</v>
      </c>
      <c r="CK36" s="28">
        <f t="shared" si="17"/>
        <v>0</v>
      </c>
      <c r="CL36" s="28">
        <f t="shared" si="17"/>
        <v>0</v>
      </c>
      <c r="CM36" s="28">
        <f t="shared" si="17"/>
        <v>0</v>
      </c>
      <c r="CN36" s="28">
        <f t="shared" si="17"/>
        <v>0</v>
      </c>
      <c r="CO36" s="28">
        <f t="shared" si="17"/>
        <v>0</v>
      </c>
      <c r="CP36" s="28">
        <f t="shared" si="17"/>
        <v>0</v>
      </c>
      <c r="CQ36" s="28">
        <f t="shared" si="17"/>
        <v>0</v>
      </c>
      <c r="CR36" s="28">
        <f t="shared" si="17"/>
        <v>0</v>
      </c>
      <c r="CS36" s="28">
        <f t="shared" si="17"/>
        <v>0</v>
      </c>
      <c r="CT36" s="28">
        <f t="shared" si="17"/>
        <v>0</v>
      </c>
      <c r="CU36" s="28">
        <f t="shared" si="17"/>
        <v>0</v>
      </c>
      <c r="CV36" s="28">
        <f t="shared" si="17"/>
        <v>0</v>
      </c>
      <c r="CW36" s="28">
        <f t="shared" si="17"/>
        <v>0</v>
      </c>
      <c r="CX36" s="28">
        <f t="shared" si="17"/>
        <v>0</v>
      </c>
      <c r="CY36" s="28">
        <f t="shared" si="17"/>
        <v>0</v>
      </c>
      <c r="CZ36" s="28">
        <f t="shared" si="18"/>
        <v>0</v>
      </c>
      <c r="DA36" s="28">
        <f t="shared" si="5"/>
        <v>0</v>
      </c>
      <c r="DB36" s="28">
        <f t="shared" si="5"/>
        <v>0</v>
      </c>
      <c r="DC36" s="28">
        <f t="shared" si="5"/>
        <v>0</v>
      </c>
    </row>
    <row r="37" spans="2:107">
      <c r="C37" s="5"/>
      <c r="G37" s="21"/>
      <c r="K37" s="22">
        <v>96830.144438280913</v>
      </c>
      <c r="L37" s="22">
        <v>105726.22617847544</v>
      </c>
      <c r="M37" s="22">
        <v>115738.36806832813</v>
      </c>
      <c r="N37" s="22">
        <v>123079.50443507935</v>
      </c>
      <c r="O37" s="22">
        <v>130003.57844884355</v>
      </c>
      <c r="P37" s="22">
        <v>125967.29026439418</v>
      </c>
      <c r="Q37" s="22">
        <v>124602.83806305585</v>
      </c>
      <c r="R37" s="22">
        <v>127538.07756950866</v>
      </c>
      <c r="S37" s="22">
        <v>133820.94201380559</v>
      </c>
      <c r="T37" s="22">
        <v>140472.60195676607</v>
      </c>
      <c r="U37" s="22">
        <v>151120.80523114631</v>
      </c>
      <c r="V37" s="22">
        <v>161551.3147014757</v>
      </c>
      <c r="W37" s="22">
        <v>172173.63640455916</v>
      </c>
      <c r="X37" s="22">
        <v>182175.13645482642</v>
      </c>
      <c r="Y37" s="22">
        <v>194280.34859355257</v>
      </c>
      <c r="Z37" s="22">
        <v>207481.31758972889</v>
      </c>
      <c r="AA37" s="22">
        <v>241051.24716437334</v>
      </c>
      <c r="AB37" s="22">
        <v>268715.10001222271</v>
      </c>
      <c r="AC37" s="22">
        <v>289375.57475272194</v>
      </c>
      <c r="AD37" s="22">
        <v>290529.81634911435</v>
      </c>
      <c r="AE37" s="22">
        <v>296888.99364347232</v>
      </c>
      <c r="AF37" s="22">
        <v>305650.84052937874</v>
      </c>
      <c r="AG37" s="22">
        <v>314358.56208228425</v>
      </c>
      <c r="AH37" s="22">
        <v>326246.46317764581</v>
      </c>
      <c r="AI37" s="22">
        <v>337757.09679433744</v>
      </c>
      <c r="AJ37" s="22">
        <v>349425.35298921372</v>
      </c>
      <c r="AK37" s="22">
        <v>360871.62268654321</v>
      </c>
      <c r="AL37" s="22">
        <v>373090.46106846794</v>
      </c>
      <c r="AM37" s="22">
        <v>385326.40533205995</v>
      </c>
      <c r="AN37" s="22">
        <v>397952.91498020932</v>
      </c>
      <c r="AO37" s="22">
        <v>410679.24353795312</v>
      </c>
      <c r="AP37" s="22">
        <v>423674.56377117388</v>
      </c>
      <c r="AQ37" s="22">
        <v>436800.37441535963</v>
      </c>
      <c r="AR37" s="22">
        <v>450490.17544113565</v>
      </c>
      <c r="AS37" s="22">
        <v>464747.72677705355</v>
      </c>
      <c r="AT37" s="22">
        <v>479484.05279505829</v>
      </c>
      <c r="AU37" s="22">
        <v>494858.27779271221</v>
      </c>
      <c r="AV37" s="22">
        <v>510831.31394986692</v>
      </c>
      <c r="AW37" s="22">
        <v>528039.92997884518</v>
      </c>
      <c r="AX37" s="22">
        <v>546576.24765302299</v>
      </c>
      <c r="AY37" s="22">
        <v>565339.59221417003</v>
      </c>
      <c r="AZ37" s="22">
        <v>584446.40623040183</v>
      </c>
      <c r="BA37" s="22">
        <v>603908.54467303713</v>
      </c>
      <c r="BB37" s="22">
        <v>623766.98601578968</v>
      </c>
      <c r="BC37" s="22">
        <v>644113.17776579945</v>
      </c>
      <c r="BD37" s="22">
        <f t="shared" ref="BD37:BS37" si="32">BD33+BD29+BD25+BD24+BD22+BD20+BD16+BD11+BD7</f>
        <v>653426.31267072575</v>
      </c>
      <c r="BE37" s="22">
        <f t="shared" si="32"/>
        <v>662963.52098438318</v>
      </c>
      <c r="BF37" s="22">
        <f t="shared" si="32"/>
        <v>672735.11323076859</v>
      </c>
      <c r="BG37" s="22">
        <f t="shared" si="32"/>
        <v>682752.05982781644</v>
      </c>
      <c r="BH37" s="22">
        <f t="shared" si="32"/>
        <v>693026.03734881466</v>
      </c>
      <c r="BI37" s="22">
        <f t="shared" si="32"/>
        <v>703569.47809549363</v>
      </c>
      <c r="BJ37" s="22">
        <f t="shared" si="32"/>
        <v>714395.62322100543</v>
      </c>
      <c r="BK37" s="22">
        <f t="shared" si="32"/>
        <v>725518.57965817244</v>
      </c>
      <c r="BL37" s="22">
        <f t="shared" si="32"/>
        <v>736953.38112677285</v>
      </c>
      <c r="BM37" s="22">
        <f t="shared" si="32"/>
        <v>748716.05351334962</v>
      </c>
      <c r="BN37" s="22">
        <f t="shared" si="32"/>
        <v>760823.68493816722</v>
      </c>
      <c r="BO37" s="22">
        <f t="shared" si="32"/>
        <v>773294.50084659958</v>
      </c>
      <c r="BP37" s="22">
        <f t="shared" si="32"/>
        <v>786147.94448653026</v>
      </c>
      <c r="BQ37" s="22">
        <f t="shared" si="32"/>
        <v>799404.76315938134</v>
      </c>
      <c r="BR37" s="22">
        <f t="shared" si="32"/>
        <v>813087.10066031828</v>
      </c>
      <c r="BS37" s="22">
        <f t="shared" si="32"/>
        <v>827218.596353097</v>
      </c>
      <c r="BT37" s="8">
        <f>(BS37/BD37)^(1/($BS$6-$BD$6))-1</f>
        <v>1.5846865018650735E-2</v>
      </c>
      <c r="BU37" s="23">
        <f t="shared" si="20"/>
        <v>0</v>
      </c>
      <c r="BV37" s="23">
        <f t="shared" si="20"/>
        <v>0</v>
      </c>
      <c r="BW37" s="23">
        <f t="shared" si="20"/>
        <v>0</v>
      </c>
      <c r="BX37" s="23">
        <f t="shared" si="20"/>
        <v>0</v>
      </c>
      <c r="BY37" s="23">
        <f t="shared" si="20"/>
        <v>0</v>
      </c>
      <c r="BZ37" s="23">
        <f t="shared" si="20"/>
        <v>0</v>
      </c>
      <c r="CA37" s="23">
        <f t="shared" si="20"/>
        <v>0</v>
      </c>
      <c r="CB37" s="23">
        <f t="shared" si="20"/>
        <v>0</v>
      </c>
      <c r="CC37" s="23">
        <f t="shared" si="20"/>
        <v>0</v>
      </c>
      <c r="CD37" s="23">
        <f t="shared" si="20"/>
        <v>0</v>
      </c>
      <c r="CE37" s="23">
        <f t="shared" si="20"/>
        <v>0</v>
      </c>
      <c r="CF37" s="23">
        <f t="shared" si="20"/>
        <v>0</v>
      </c>
      <c r="CG37" s="23">
        <f t="shared" si="20"/>
        <v>0</v>
      </c>
      <c r="CH37" s="23">
        <f t="shared" si="20"/>
        <v>0</v>
      </c>
      <c r="CI37" s="23">
        <f t="shared" si="20"/>
        <v>0</v>
      </c>
      <c r="CJ37" s="23">
        <f t="shared" si="17"/>
        <v>0</v>
      </c>
      <c r="CK37" s="23">
        <f t="shared" si="17"/>
        <v>0</v>
      </c>
      <c r="CL37" s="23">
        <f t="shared" si="17"/>
        <v>0</v>
      </c>
      <c r="CM37" s="23">
        <f t="shared" si="17"/>
        <v>0</v>
      </c>
      <c r="CN37" s="23">
        <f t="shared" si="17"/>
        <v>0</v>
      </c>
      <c r="CO37" s="23">
        <f t="shared" si="17"/>
        <v>0</v>
      </c>
      <c r="CP37" s="23">
        <f t="shared" si="17"/>
        <v>0</v>
      </c>
      <c r="CQ37" s="23">
        <f t="shared" si="17"/>
        <v>0</v>
      </c>
      <c r="CR37" s="23">
        <f t="shared" si="17"/>
        <v>0</v>
      </c>
      <c r="CS37" s="23">
        <f t="shared" si="17"/>
        <v>0</v>
      </c>
      <c r="CT37" s="23">
        <f t="shared" si="17"/>
        <v>0</v>
      </c>
      <c r="CU37" s="23">
        <f t="shared" si="17"/>
        <v>0</v>
      </c>
      <c r="CV37" s="23">
        <f t="shared" si="17"/>
        <v>0</v>
      </c>
      <c r="CW37" s="23">
        <f t="shared" si="17"/>
        <v>0</v>
      </c>
      <c r="CX37" s="23">
        <f t="shared" si="17"/>
        <v>0</v>
      </c>
      <c r="CY37" s="23">
        <f t="shared" si="17"/>
        <v>0</v>
      </c>
      <c r="CZ37" s="23">
        <f t="shared" si="18"/>
        <v>0</v>
      </c>
      <c r="DA37" s="23">
        <f t="shared" si="5"/>
        <v>0</v>
      </c>
      <c r="DB37" s="23">
        <f t="shared" si="5"/>
        <v>0</v>
      </c>
      <c r="DC37" s="23">
        <f t="shared" si="5"/>
        <v>0</v>
      </c>
    </row>
    <row r="38" spans="2:107">
      <c r="C38" s="5"/>
      <c r="D38" s="9">
        <f>SUM(D7:D36)</f>
        <v>704423.20857322414</v>
      </c>
      <c r="E38" s="20"/>
      <c r="G38" s="21"/>
      <c r="J38" s="36" t="s">
        <v>61</v>
      </c>
    </row>
    <row r="39" spans="2:107">
      <c r="C39" s="5"/>
    </row>
    <row r="40" spans="2:107">
      <c r="C40" s="5"/>
      <c r="D40" t="s">
        <v>62</v>
      </c>
      <c r="BU40" t="s">
        <v>63</v>
      </c>
      <c r="BV40">
        <f t="shared" ref="BV40:DC40" si="33">BV6</f>
        <v>2017</v>
      </c>
      <c r="BW40">
        <f t="shared" si="33"/>
        <v>2018</v>
      </c>
      <c r="BX40">
        <f t="shared" si="33"/>
        <v>2019</v>
      </c>
      <c r="BY40">
        <f t="shared" si="33"/>
        <v>2020</v>
      </c>
      <c r="BZ40">
        <f t="shared" si="33"/>
        <v>2021</v>
      </c>
      <c r="CA40">
        <f>CA6</f>
        <v>2022</v>
      </c>
      <c r="CB40">
        <f t="shared" si="33"/>
        <v>2023</v>
      </c>
      <c r="CC40">
        <f t="shared" si="33"/>
        <v>2024</v>
      </c>
      <c r="CD40">
        <f t="shared" si="33"/>
        <v>2025</v>
      </c>
      <c r="CE40">
        <f t="shared" si="33"/>
        <v>2026</v>
      </c>
      <c r="CF40">
        <f t="shared" si="33"/>
        <v>2027</v>
      </c>
      <c r="CG40">
        <f t="shared" si="33"/>
        <v>2028</v>
      </c>
      <c r="CH40">
        <f t="shared" si="33"/>
        <v>2029</v>
      </c>
      <c r="CI40">
        <f t="shared" si="33"/>
        <v>2030</v>
      </c>
      <c r="CJ40">
        <f t="shared" si="33"/>
        <v>2031</v>
      </c>
      <c r="CK40">
        <f t="shared" si="33"/>
        <v>2032</v>
      </c>
      <c r="CL40">
        <f t="shared" si="33"/>
        <v>2033</v>
      </c>
      <c r="CM40">
        <f t="shared" si="33"/>
        <v>2034</v>
      </c>
      <c r="CN40">
        <f t="shared" si="33"/>
        <v>2035</v>
      </c>
      <c r="CO40">
        <f t="shared" si="33"/>
        <v>2036</v>
      </c>
      <c r="CP40">
        <f t="shared" si="33"/>
        <v>2037</v>
      </c>
      <c r="CQ40">
        <f t="shared" si="33"/>
        <v>2038</v>
      </c>
      <c r="CR40">
        <f t="shared" si="33"/>
        <v>2039</v>
      </c>
      <c r="CS40">
        <f t="shared" si="33"/>
        <v>2040</v>
      </c>
      <c r="CT40">
        <f t="shared" si="33"/>
        <v>2041</v>
      </c>
      <c r="CU40">
        <f t="shared" si="33"/>
        <v>2042</v>
      </c>
      <c r="CV40">
        <f t="shared" si="33"/>
        <v>2043</v>
      </c>
      <c r="CW40">
        <f t="shared" si="33"/>
        <v>2044</v>
      </c>
      <c r="CX40">
        <f t="shared" si="33"/>
        <v>2045</v>
      </c>
      <c r="CY40">
        <f t="shared" si="33"/>
        <v>2046</v>
      </c>
      <c r="CZ40">
        <f t="shared" si="33"/>
        <v>2047</v>
      </c>
      <c r="DA40">
        <f t="shared" si="33"/>
        <v>2048</v>
      </c>
      <c r="DB40">
        <f t="shared" si="33"/>
        <v>2049</v>
      </c>
      <c r="DC40">
        <f t="shared" si="33"/>
        <v>2050</v>
      </c>
    </row>
    <row r="41" spans="2:107">
      <c r="B41" t="s">
        <v>64</v>
      </c>
      <c r="C41" s="5" t="s">
        <v>65</v>
      </c>
      <c r="D41" s="37">
        <f>D7+D12+D28+D30+D33</f>
        <v>198824.54841737615</v>
      </c>
      <c r="BS41" t="s">
        <v>64</v>
      </c>
      <c r="BT41" t="s">
        <v>65</v>
      </c>
      <c r="BU41" s="37">
        <f>BU7+BU12+BU28+BU30+BU33</f>
        <v>279361.98342830798</v>
      </c>
      <c r="BV41" s="37">
        <f t="shared" ref="BV41:DC41" si="34">BV7+BV12+BV28+BV30+BV33</f>
        <v>287706.06220015557</v>
      </c>
      <c r="BW41" s="37">
        <f t="shared" si="34"/>
        <v>295942.50701369793</v>
      </c>
      <c r="BX41" s="37">
        <f t="shared" si="34"/>
        <v>304095.44007988111</v>
      </c>
      <c r="BY41" s="37">
        <f t="shared" si="34"/>
        <v>312359.09518968011</v>
      </c>
      <c r="BZ41" s="37">
        <f t="shared" si="34"/>
        <v>320960.38387676375</v>
      </c>
      <c r="CA41" s="37">
        <f>CA7+CA12+CA28+CA30+CA33</f>
        <v>329609.9164185538</v>
      </c>
      <c r="CB41" s="37">
        <f t="shared" si="34"/>
        <v>338491.41872723802</v>
      </c>
      <c r="CC41" s="37">
        <f t="shared" si="34"/>
        <v>347717.54395971453</v>
      </c>
      <c r="CD41" s="37">
        <f t="shared" si="34"/>
        <v>357460.7694629507</v>
      </c>
      <c r="CE41" s="37">
        <f t="shared" si="34"/>
        <v>367945.62554579409</v>
      </c>
      <c r="CF41" s="37">
        <f t="shared" si="34"/>
        <v>378836.11103348382</v>
      </c>
      <c r="CG41" s="37">
        <f t="shared" si="34"/>
        <v>391193.66342530464</v>
      </c>
      <c r="CH41" s="37">
        <f t="shared" si="34"/>
        <v>405135.77844961517</v>
      </c>
      <c r="CI41" s="37">
        <f t="shared" si="34"/>
        <v>419153.48822661955</v>
      </c>
      <c r="CJ41" s="37">
        <f t="shared" si="34"/>
        <v>433577.542444847</v>
      </c>
      <c r="CK41" s="37">
        <f t="shared" si="34"/>
        <v>448448.58346936561</v>
      </c>
      <c r="CL41" s="37">
        <f t="shared" si="34"/>
        <v>463801.53626499535</v>
      </c>
      <c r="CM41" s="37">
        <f t="shared" si="34"/>
        <v>479679.23531577562</v>
      </c>
      <c r="CN41" s="37">
        <f t="shared" si="34"/>
        <v>486703.53668920597</v>
      </c>
      <c r="CO41" s="37">
        <f t="shared" si="34"/>
        <v>493948.29443099099</v>
      </c>
      <c r="CP41" s="37">
        <f t="shared" si="34"/>
        <v>501426.40225408657</v>
      </c>
      <c r="CQ41" s="37">
        <f t="shared" si="34"/>
        <v>509151.65106013254</v>
      </c>
      <c r="CR41" s="37">
        <f t="shared" si="34"/>
        <v>517138.79322953901</v>
      </c>
      <c r="CS41" s="37">
        <f t="shared" si="34"/>
        <v>525403.6115392464</v>
      </c>
      <c r="CT41" s="37">
        <f t="shared" si="34"/>
        <v>533962.99304150511</v>
      </c>
      <c r="CU41" s="37">
        <f t="shared" si="34"/>
        <v>542835.00826103892</v>
      </c>
      <c r="CV41" s="37">
        <f t="shared" si="34"/>
        <v>552038.99609370506</v>
      </c>
      <c r="CW41" s="37">
        <f t="shared" si="34"/>
        <v>561595.65481735941</v>
      </c>
      <c r="CX41" s="37">
        <f t="shared" si="34"/>
        <v>571527.13965523045</v>
      </c>
      <c r="CY41" s="37">
        <f t="shared" si="34"/>
        <v>581857.16736382456</v>
      </c>
      <c r="CZ41" s="37">
        <f t="shared" si="34"/>
        <v>592611.12835139257</v>
      </c>
      <c r="DA41" s="37">
        <f t="shared" si="34"/>
        <v>603816.20686944714</v>
      </c>
      <c r="DB41" s="37">
        <f t="shared" si="34"/>
        <v>615501.50985890056</v>
      </c>
      <c r="DC41" s="37">
        <f t="shared" si="34"/>
        <v>627698.20507429854</v>
      </c>
    </row>
    <row r="42" spans="2:107">
      <c r="B42" t="s">
        <v>66</v>
      </c>
      <c r="C42" s="5" t="s">
        <v>65</v>
      </c>
      <c r="D42" s="37">
        <f>D26+D27</f>
        <v>9171.5044500876684</v>
      </c>
      <c r="BS42" t="s">
        <v>66</v>
      </c>
      <c r="BT42" t="s">
        <v>65</v>
      </c>
      <c r="BU42" s="37">
        <f>BU26+BU27</f>
        <v>327116.9920531268</v>
      </c>
      <c r="BV42" s="37">
        <f t="shared" ref="BV42:DC42" si="35">BV26+BV27</f>
        <v>321756.39738196286</v>
      </c>
      <c r="BW42" s="37">
        <f t="shared" si="35"/>
        <v>318633.53945038799</v>
      </c>
      <c r="BX42" s="37">
        <f t="shared" si="35"/>
        <v>315395.12813876983</v>
      </c>
      <c r="BY42" s="37">
        <f t="shared" si="35"/>
        <v>311582.45052803191</v>
      </c>
      <c r="BZ42" s="37">
        <f t="shared" si="35"/>
        <v>306877.25423118961</v>
      </c>
      <c r="CA42" s="37">
        <f t="shared" si="35"/>
        <v>302391.93787426583</v>
      </c>
      <c r="CB42" s="37">
        <f t="shared" si="35"/>
        <v>302443.61648804648</v>
      </c>
      <c r="CC42" s="37">
        <f t="shared" si="35"/>
        <v>305178.33063114551</v>
      </c>
      <c r="CD42" s="37">
        <f t="shared" si="35"/>
        <v>307588.31878076779</v>
      </c>
      <c r="CE42" s="37">
        <f t="shared" si="35"/>
        <v>310331.96777644224</v>
      </c>
      <c r="CF42" s="37">
        <f t="shared" si="35"/>
        <v>315823.41368198156</v>
      </c>
      <c r="CG42" s="37">
        <f t="shared" si="35"/>
        <v>321971.79110242537</v>
      </c>
      <c r="CH42" s="37">
        <f t="shared" si="35"/>
        <v>328683.48202329769</v>
      </c>
      <c r="CI42" s="37">
        <f t="shared" si="35"/>
        <v>335673.77896237472</v>
      </c>
      <c r="CJ42" s="37">
        <f t="shared" si="35"/>
        <v>342253.01281595766</v>
      </c>
      <c r="CK42" s="37">
        <f t="shared" si="35"/>
        <v>348536.35521011066</v>
      </c>
      <c r="CL42" s="37">
        <f t="shared" si="35"/>
        <v>354577.31949300418</v>
      </c>
      <c r="CM42" s="37">
        <f t="shared" si="35"/>
        <v>360798.3949003059</v>
      </c>
      <c r="CN42" s="37">
        <f t="shared" si="35"/>
        <v>364210.0202065488</v>
      </c>
      <c r="CO42" s="37">
        <f t="shared" si="35"/>
        <v>367654.03839946387</v>
      </c>
      <c r="CP42" s="37">
        <f t="shared" si="35"/>
        <v>371130.75852051459</v>
      </c>
      <c r="CQ42" s="37">
        <f t="shared" si="35"/>
        <v>374640.49257580983</v>
      </c>
      <c r="CR42" s="37">
        <f t="shared" si="35"/>
        <v>378183.5555647228</v>
      </c>
      <c r="CS42" s="37">
        <f t="shared" si="35"/>
        <v>381760.26550878712</v>
      </c>
      <c r="CT42" s="37">
        <f t="shared" si="35"/>
        <v>385370.94348087435</v>
      </c>
      <c r="CU42" s="37">
        <f t="shared" si="35"/>
        <v>389015.91363465524</v>
      </c>
      <c r="CV42" s="37">
        <f t="shared" si="35"/>
        <v>392695.50323434733</v>
      </c>
      <c r="CW42" s="37">
        <f t="shared" si="35"/>
        <v>396410.04268475174</v>
      </c>
      <c r="CX42" s="37">
        <f t="shared" si="35"/>
        <v>400159.86556158197</v>
      </c>
      <c r="CY42" s="37">
        <f t="shared" si="35"/>
        <v>403945.30864208838</v>
      </c>
      <c r="CZ42" s="37">
        <f t="shared" si="35"/>
        <v>407766.71193597931</v>
      </c>
      <c r="DA42" s="37">
        <f t="shared" si="35"/>
        <v>411624.41871664423</v>
      </c>
      <c r="DB42" s="37">
        <f t="shared" si="35"/>
        <v>415518.77555267961</v>
      </c>
      <c r="DC42" s="37">
        <f t="shared" si="35"/>
        <v>419450.13233972219</v>
      </c>
    </row>
    <row r="43" spans="2:107">
      <c r="B43" t="s">
        <v>67</v>
      </c>
      <c r="C43" s="5" t="s">
        <v>65</v>
      </c>
      <c r="D43" s="37">
        <f>D24</f>
        <v>17320.036799862188</v>
      </c>
      <c r="BS43" t="s">
        <v>67</v>
      </c>
      <c r="BT43" t="s">
        <v>65</v>
      </c>
      <c r="BU43" s="37">
        <f>BU24</f>
        <v>17320.036799862188</v>
      </c>
      <c r="BV43" s="37">
        <f t="shared" ref="BV43:DC43" si="36">BV24</f>
        <v>18501.796972281769</v>
      </c>
      <c r="BW43" s="37">
        <f t="shared" si="36"/>
        <v>19628.309706638152</v>
      </c>
      <c r="BX43" s="37">
        <f t="shared" si="36"/>
        <v>20701.862939993684</v>
      </c>
      <c r="BY43" s="37">
        <f t="shared" si="36"/>
        <v>21724.859471252887</v>
      </c>
      <c r="BZ43" s="37">
        <f t="shared" si="36"/>
        <v>22711.41335186869</v>
      </c>
      <c r="CA43" s="37">
        <f t="shared" si="36"/>
        <v>23665.994299172664</v>
      </c>
      <c r="CB43" s="37">
        <f t="shared" si="36"/>
        <v>24591.387761664872</v>
      </c>
      <c r="CC43" s="37">
        <f t="shared" si="36"/>
        <v>25493.213894705612</v>
      </c>
      <c r="CD43" s="37">
        <f t="shared" si="36"/>
        <v>26375.115874543248</v>
      </c>
      <c r="CE43" s="37">
        <f t="shared" si="36"/>
        <v>27243.244195320713</v>
      </c>
      <c r="CF43" s="37">
        <f t="shared" si="36"/>
        <v>28102.491116154411</v>
      </c>
      <c r="CG43" s="37">
        <f t="shared" si="36"/>
        <v>28954.460579953215</v>
      </c>
      <c r="CH43" s="37">
        <f t="shared" si="36"/>
        <v>29804.172187830813</v>
      </c>
      <c r="CI43" s="37">
        <f t="shared" si="36"/>
        <v>30655.734507998259</v>
      </c>
      <c r="CJ43" s="37">
        <f t="shared" si="36"/>
        <v>31480.643844294889</v>
      </c>
      <c r="CK43" s="37">
        <f t="shared" si="36"/>
        <v>32285.483098806555</v>
      </c>
      <c r="CL43" s="37">
        <f t="shared" si="36"/>
        <v>33071.80987208763</v>
      </c>
      <c r="CM43" s="37">
        <f t="shared" si="36"/>
        <v>33842.992747623903</v>
      </c>
      <c r="CN43" s="37">
        <f t="shared" si="36"/>
        <v>34294.860305512921</v>
      </c>
      <c r="CO43" s="37">
        <f t="shared" si="36"/>
        <v>34752.761144542157</v>
      </c>
      <c r="CP43" s="37">
        <f t="shared" si="36"/>
        <v>35216.775820353811</v>
      </c>
      <c r="CQ43" s="37">
        <f t="shared" si="36"/>
        <v>35686.985964159299</v>
      </c>
      <c r="CR43" s="37">
        <f t="shared" si="36"/>
        <v>36163.474297100147</v>
      </c>
      <c r="CS43" s="37">
        <f t="shared" si="36"/>
        <v>36646.324644800567</v>
      </c>
      <c r="CT43" s="37">
        <f t="shared" si="36"/>
        <v>37135.621952114408</v>
      </c>
      <c r="CU43" s="37">
        <f t="shared" si="36"/>
        <v>37631.452298068965</v>
      </c>
      <c r="CV43" s="37">
        <f t="shared" si="36"/>
        <v>38133.902911008314</v>
      </c>
      <c r="CW43" s="37">
        <f t="shared" si="36"/>
        <v>38643.06218393887</v>
      </c>
      <c r="CX43" s="37">
        <f t="shared" si="36"/>
        <v>39159.019690079811</v>
      </c>
      <c r="CY43" s="37">
        <f t="shared" si="36"/>
        <v>39681.866198621137</v>
      </c>
      <c r="CZ43" s="37">
        <f t="shared" si="36"/>
        <v>40211.693690692111</v>
      </c>
      <c r="DA43" s="37">
        <f t="shared" si="36"/>
        <v>40748.595375542965</v>
      </c>
      <c r="DB43" s="37">
        <f t="shared" si="36"/>
        <v>41292.665706942578</v>
      </c>
      <c r="DC43" s="37">
        <f t="shared" si="36"/>
        <v>41844.000399795172</v>
      </c>
    </row>
    <row r="44" spans="2:107">
      <c r="B44" t="s">
        <v>64</v>
      </c>
      <c r="C44" s="5" t="s">
        <v>68</v>
      </c>
      <c r="D44" s="37">
        <f>D13+D14+D15+D17+D18+D19+D31</f>
        <v>96423.261459365895</v>
      </c>
      <c r="BS44" t="s">
        <v>64</v>
      </c>
      <c r="BT44" t="s">
        <v>68</v>
      </c>
      <c r="BU44" s="37">
        <f>BU13+BU14+BU15+BU17+BU18+BU19+BU31</f>
        <v>133078.67843419794</v>
      </c>
      <c r="BV44" s="37">
        <f t="shared" ref="BV44:DC44" si="37">BV13+BV14+BV15+BV17+BV18+BV19+BV31</f>
        <v>137831.42690337566</v>
      </c>
      <c r="BW44" s="37">
        <f t="shared" si="37"/>
        <v>142703.60668052826</v>
      </c>
      <c r="BX44" s="37">
        <f t="shared" si="37"/>
        <v>148318.81708444876</v>
      </c>
      <c r="BY44" s="37">
        <f t="shared" si="37"/>
        <v>154100.47415183665</v>
      </c>
      <c r="BZ44" s="37">
        <f t="shared" si="37"/>
        <v>160047.71423499245</v>
      </c>
      <c r="CA44" s="37">
        <f t="shared" si="37"/>
        <v>166188.33860095323</v>
      </c>
      <c r="CB44" s="37">
        <f t="shared" si="37"/>
        <v>172626.34957429851</v>
      </c>
      <c r="CC44" s="37">
        <f t="shared" si="37"/>
        <v>179325.40869729398</v>
      </c>
      <c r="CD44" s="37">
        <f t="shared" si="37"/>
        <v>186214.91528089345</v>
      </c>
      <c r="CE44" s="37">
        <f t="shared" si="37"/>
        <v>193288.25661287189</v>
      </c>
      <c r="CF44" s="37">
        <f t="shared" si="37"/>
        <v>200615.72798563208</v>
      </c>
      <c r="CG44" s="37">
        <f t="shared" si="37"/>
        <v>208154.62840555713</v>
      </c>
      <c r="CH44" s="37">
        <f t="shared" si="37"/>
        <v>215918.93298858404</v>
      </c>
      <c r="CI44" s="37">
        <f t="shared" si="37"/>
        <v>223899.00961825458</v>
      </c>
      <c r="CJ44" s="37">
        <f t="shared" si="37"/>
        <v>232056.68257611326</v>
      </c>
      <c r="CK44" s="37">
        <f t="shared" si="37"/>
        <v>240378.30111743027</v>
      </c>
      <c r="CL44" s="37">
        <f t="shared" si="37"/>
        <v>248839.93889114424</v>
      </c>
      <c r="CM44" s="37">
        <f t="shared" si="37"/>
        <v>257449.70328362737</v>
      </c>
      <c r="CN44" s="37">
        <f t="shared" si="37"/>
        <v>261537.26341840619</v>
      </c>
      <c r="CO44" s="37">
        <f t="shared" si="37"/>
        <v>265695.0953946212</v>
      </c>
      <c r="CP44" s="37">
        <f t="shared" si="37"/>
        <v>269924.46228737442</v>
      </c>
      <c r="CQ44" s="37">
        <f t="shared" si="37"/>
        <v>274226.65042942378</v>
      </c>
      <c r="CR44" s="37">
        <f t="shared" si="37"/>
        <v>278602.96984488785</v>
      </c>
      <c r="CS44" s="37">
        <f t="shared" si="37"/>
        <v>283054.75469109172</v>
      </c>
      <c r="CT44" s="37">
        <f t="shared" si="37"/>
        <v>287583.36370870552</v>
      </c>
      <c r="CU44" s="37">
        <f t="shared" si="37"/>
        <v>292190.18068033346</v>
      </c>
      <c r="CV44" s="37">
        <f t="shared" si="37"/>
        <v>296876.61489771114</v>
      </c>
      <c r="CW44" s="37">
        <f t="shared" si="37"/>
        <v>301644.10163767403</v>
      </c>
      <c r="CX44" s="37">
        <f t="shared" si="37"/>
        <v>306494.10264706251</v>
      </c>
      <c r="CY44" s="37">
        <f t="shared" si="37"/>
        <v>311428.10663673043</v>
      </c>
      <c r="CZ44" s="37">
        <f t="shared" si="37"/>
        <v>316447.62978483096</v>
      </c>
      <c r="DA44" s="37">
        <f t="shared" si="37"/>
        <v>321554.21624955162</v>
      </c>
      <c r="DB44" s="37">
        <f t="shared" si="37"/>
        <v>326749.43869147927</v>
      </c>
      <c r="DC44" s="37">
        <f t="shared" si="37"/>
        <v>332034.89880577434</v>
      </c>
    </row>
    <row r="45" spans="2:107">
      <c r="B45" t="s">
        <v>66</v>
      </c>
      <c r="C45" t="s">
        <v>68</v>
      </c>
      <c r="D45" s="37">
        <f>D20+D22+D32</f>
        <v>39132.271559851295</v>
      </c>
      <c r="BS45" t="s">
        <v>66</v>
      </c>
      <c r="BT45" t="s">
        <v>68</v>
      </c>
      <c r="BU45" s="37">
        <f>BU20+BU22+BU32</f>
        <v>731331.35051324428</v>
      </c>
      <c r="BV45" s="37">
        <f t="shared" ref="BV45:DC45" si="38">BV20+BV22+BV32</f>
        <v>766094.66934096883</v>
      </c>
      <c r="BW45" s="37">
        <f t="shared" si="38"/>
        <v>800652.36538417765</v>
      </c>
      <c r="BX45" s="37">
        <f t="shared" si="38"/>
        <v>834863.96530559671</v>
      </c>
      <c r="BY45" s="37">
        <f t="shared" si="38"/>
        <v>868646.8371896469</v>
      </c>
      <c r="BZ45" s="37">
        <f t="shared" si="38"/>
        <v>902116.15628301934</v>
      </c>
      <c r="CA45" s="37">
        <f t="shared" si="38"/>
        <v>935342.86574395827</v>
      </c>
      <c r="CB45" s="37">
        <f t="shared" si="38"/>
        <v>969663.26173659158</v>
      </c>
      <c r="CC45" s="37">
        <f t="shared" si="38"/>
        <v>1005255.7441791665</v>
      </c>
      <c r="CD45" s="37">
        <f t="shared" si="38"/>
        <v>1041009.8375782928</v>
      </c>
      <c r="CE45" s="37">
        <f t="shared" si="38"/>
        <v>1076476.5268221381</v>
      </c>
      <c r="CF45" s="37">
        <f t="shared" si="38"/>
        <v>1112730.8350358657</v>
      </c>
      <c r="CG45" s="37">
        <f t="shared" si="38"/>
        <v>1149462.3297953801</v>
      </c>
      <c r="CH45" s="37">
        <f t="shared" si="38"/>
        <v>1186555.4509650399</v>
      </c>
      <c r="CI45" s="37">
        <f t="shared" si="38"/>
        <v>1223832.3466483087</v>
      </c>
      <c r="CJ45" s="37">
        <f t="shared" si="38"/>
        <v>1260471.8320155602</v>
      </c>
      <c r="CK45" s="37">
        <f t="shared" si="38"/>
        <v>1296135.8144071174</v>
      </c>
      <c r="CL45" s="37">
        <f t="shared" si="38"/>
        <v>1331368.8610624759</v>
      </c>
      <c r="CM45" s="37">
        <f t="shared" si="38"/>
        <v>1366899.2832650638</v>
      </c>
      <c r="CN45" s="37">
        <f t="shared" si="38"/>
        <v>1382366.8943322077</v>
      </c>
      <c r="CO45" s="37">
        <f t="shared" si="38"/>
        <v>1398011.1238428848</v>
      </c>
      <c r="CP45" s="37">
        <f t="shared" si="38"/>
        <v>1413834.0068595051</v>
      </c>
      <c r="CQ45" s="37">
        <f t="shared" si="38"/>
        <v>1429837.6021075239</v>
      </c>
      <c r="CR45" s="37">
        <f t="shared" si="38"/>
        <v>1446023.992253117</v>
      </c>
      <c r="CS45" s="37">
        <f t="shared" si="38"/>
        <v>1462395.2841841439</v>
      </c>
      <c r="CT45" s="37">
        <f t="shared" si="38"/>
        <v>1478953.6092944401</v>
      </c>
      <c r="CU45" s="37">
        <f t="shared" si="38"/>
        <v>1495701.1237714752</v>
      </c>
      <c r="CV45" s="37">
        <f t="shared" si="38"/>
        <v>1512640.008887419</v>
      </c>
      <c r="CW45" s="37">
        <f t="shared" si="38"/>
        <v>1529772.471293658</v>
      </c>
      <c r="CX45" s="37">
        <f t="shared" si="38"/>
        <v>1547100.743318799</v>
      </c>
      <c r="CY45" s="37">
        <f t="shared" si="38"/>
        <v>1564627.0832702052</v>
      </c>
      <c r="CZ45" s="37">
        <f t="shared" si="38"/>
        <v>1582353.7757391075</v>
      </c>
      <c r="DA45" s="37">
        <f t="shared" si="38"/>
        <v>1600283.1319093276</v>
      </c>
      <c r="DB45" s="37">
        <f t="shared" si="38"/>
        <v>1618417.4898696668</v>
      </c>
      <c r="DC45" s="37">
        <f t="shared" si="38"/>
        <v>1636759.2149299937</v>
      </c>
    </row>
    <row r="47" spans="2:107">
      <c r="D47" s="37"/>
      <c r="BU47" s="37"/>
      <c r="BY47">
        <v>2020</v>
      </c>
      <c r="BZ47">
        <v>2021</v>
      </c>
      <c r="CA47" s="1">
        <v>2022</v>
      </c>
    </row>
    <row r="48" spans="2:107">
      <c r="B48" s="2" t="s">
        <v>69</v>
      </c>
      <c r="C48" s="38"/>
      <c r="BS48" t="s">
        <v>64</v>
      </c>
      <c r="BT48" t="s">
        <v>65</v>
      </c>
      <c r="BU48" s="51" t="s">
        <v>70</v>
      </c>
      <c r="BV48" s="51" t="s">
        <v>70</v>
      </c>
      <c r="BW48" s="51" t="s">
        <v>70</v>
      </c>
      <c r="BX48" s="51" t="s">
        <v>70</v>
      </c>
      <c r="BY48">
        <f>BY41/$BY41</f>
        <v>1</v>
      </c>
      <c r="BZ48">
        <f t="shared" ref="BZ48:DC48" si="39">BZ41/$BY41</f>
        <v>1.0275365398976473</v>
      </c>
      <c r="CA48">
        <f t="shared" si="39"/>
        <v>1.0552275297711378</v>
      </c>
      <c r="CB48">
        <f t="shared" si="39"/>
        <v>1.0836611577507902</v>
      </c>
      <c r="CC48">
        <f t="shared" si="39"/>
        <v>1.113198076555328</v>
      </c>
      <c r="CD48">
        <f t="shared" si="39"/>
        <v>1.1443904626688799</v>
      </c>
      <c r="CE48">
        <f t="shared" si="39"/>
        <v>1.1779571371928808</v>
      </c>
      <c r="CF48">
        <f t="shared" si="39"/>
        <v>1.2128224113449795</v>
      </c>
      <c r="CG48">
        <f t="shared" si="39"/>
        <v>1.2523844173250414</v>
      </c>
      <c r="CH48">
        <f t="shared" si="39"/>
        <v>1.297019311070793</v>
      </c>
      <c r="CI48">
        <f t="shared" si="39"/>
        <v>1.3418962171474103</v>
      </c>
      <c r="CJ48">
        <f t="shared" si="39"/>
        <v>1.3880740120006974</v>
      </c>
      <c r="CK48">
        <f t="shared" si="39"/>
        <v>1.4356828098667822</v>
      </c>
      <c r="CL48">
        <f t="shared" si="39"/>
        <v>1.4848344210478386</v>
      </c>
      <c r="CM48">
        <f t="shared" si="39"/>
        <v>1.5356659777250614</v>
      </c>
      <c r="CN48">
        <f t="shared" si="39"/>
        <v>1.5581538818123901</v>
      </c>
      <c r="CO48">
        <f t="shared" si="39"/>
        <v>1.5813475645107782</v>
      </c>
      <c r="CP48">
        <f t="shared" si="39"/>
        <v>1.605288304313967</v>
      </c>
      <c r="CQ48">
        <f t="shared" si="39"/>
        <v>1.6300202520145928</v>
      </c>
      <c r="CR48">
        <f t="shared" si="39"/>
        <v>1.6555906365252671</v>
      </c>
      <c r="CS48">
        <f t="shared" si="39"/>
        <v>1.6820499855148927</v>
      </c>
      <c r="CT48">
        <f t="shared" si="39"/>
        <v>1.7094523619274027</v>
      </c>
      <c r="CU48">
        <f t="shared" si="39"/>
        <v>1.7378556175270077</v>
      </c>
      <c r="CV48">
        <f t="shared" si="39"/>
        <v>1.7673216646964587</v>
      </c>
      <c r="CW48">
        <f t="shared" si="39"/>
        <v>1.7979167678031924</v>
      </c>
      <c r="CX48">
        <f t="shared" si="39"/>
        <v>1.8297118555429626</v>
      </c>
      <c r="CY48">
        <f t="shared" si="39"/>
        <v>1.8627828557721096</v>
      </c>
      <c r="CZ48">
        <f t="shared" si="39"/>
        <v>1.8972110544485006</v>
      </c>
      <c r="DA48">
        <f t="shared" si="39"/>
        <v>1.9330834804178814</v>
      </c>
      <c r="DB48">
        <f t="shared" si="39"/>
        <v>1.9704933179075101</v>
      </c>
      <c r="DC48">
        <f t="shared" si="39"/>
        <v>2.0095403487230898</v>
      </c>
    </row>
    <row r="49" spans="2:107">
      <c r="B49" t="s">
        <v>71</v>
      </c>
      <c r="C49">
        <v>120476</v>
      </c>
      <c r="BS49" t="s">
        <v>66</v>
      </c>
      <c r="BT49" t="s">
        <v>65</v>
      </c>
      <c r="BU49" s="51" t="s">
        <v>70</v>
      </c>
      <c r="BV49" s="51" t="s">
        <v>70</v>
      </c>
      <c r="BW49" s="51" t="s">
        <v>70</v>
      </c>
      <c r="BX49" s="51" t="s">
        <v>70</v>
      </c>
      <c r="BY49">
        <f>BY42/$BY42</f>
        <v>1</v>
      </c>
      <c r="BZ49">
        <f t="shared" ref="BZ49:DC49" si="40">BZ42/$BY42</f>
        <v>0.98489903302041404</v>
      </c>
      <c r="CA49">
        <f t="shared" si="40"/>
        <v>0.97050375385972121</v>
      </c>
      <c r="CB49">
        <f t="shared" si="40"/>
        <v>0.97066961241078231</v>
      </c>
      <c r="CC49">
        <f t="shared" si="40"/>
        <v>0.9794464679058994</v>
      </c>
      <c r="CD49">
        <f t="shared" si="40"/>
        <v>0.98718114020704517</v>
      </c>
      <c r="CE49">
        <f t="shared" si="40"/>
        <v>0.99598667142687114</v>
      </c>
      <c r="CF49">
        <f t="shared" si="40"/>
        <v>1.0136110462792836</v>
      </c>
      <c r="CG49">
        <f t="shared" si="40"/>
        <v>1.0333437924914797</v>
      </c>
      <c r="CH49">
        <f t="shared" si="40"/>
        <v>1.0548844502194685</v>
      </c>
      <c r="CI49">
        <f t="shared" si="40"/>
        <v>1.0773192726147309</v>
      </c>
      <c r="CJ49">
        <f t="shared" si="40"/>
        <v>1.098434819534762</v>
      </c>
      <c r="CK49">
        <f t="shared" si="40"/>
        <v>1.1186007254884021</v>
      </c>
      <c r="CL49">
        <f t="shared" si="40"/>
        <v>1.1379887374661499</v>
      </c>
      <c r="CM49">
        <f t="shared" si="40"/>
        <v>1.1579548022966917</v>
      </c>
      <c r="CN49">
        <f t="shared" si="40"/>
        <v>1.1689041523016783</v>
      </c>
      <c r="CO49">
        <f t="shared" si="40"/>
        <v>1.1799574647943383</v>
      </c>
      <c r="CP49">
        <f t="shared" si="40"/>
        <v>1.191115731619568</v>
      </c>
      <c r="CQ49">
        <f t="shared" si="40"/>
        <v>1.2023799541370666</v>
      </c>
      <c r="CR49">
        <f t="shared" si="40"/>
        <v>1.2137511433131856</v>
      </c>
      <c r="CS49">
        <f t="shared" si="40"/>
        <v>1.2252303198136687</v>
      </c>
      <c r="CT49">
        <f t="shared" si="40"/>
        <v>1.2368185140972949</v>
      </c>
      <c r="CU49">
        <f t="shared" si="40"/>
        <v>1.2485167665104326</v>
      </c>
      <c r="CV49">
        <f t="shared" si="40"/>
        <v>1.260326127382511</v>
      </c>
      <c r="CW49">
        <f t="shared" si="40"/>
        <v>1.2722476571224226</v>
      </c>
      <c r="CX49">
        <f t="shared" si="40"/>
        <v>1.2842824263158592</v>
      </c>
      <c r="CY49">
        <f t="shared" si="40"/>
        <v>1.2964315158236004</v>
      </c>
      <c r="CZ49">
        <f t="shared" si="40"/>
        <v>1.308696016880752</v>
      </c>
      <c r="DA49">
        <f t="shared" si="40"/>
        <v>1.3210770311969542</v>
      </c>
      <c r="DB49">
        <f t="shared" si="40"/>
        <v>1.3335756710575615</v>
      </c>
      <c r="DC49">
        <f t="shared" si="40"/>
        <v>1.3461930594258094</v>
      </c>
    </row>
    <row r="50" spans="2:107">
      <c r="B50" t="s">
        <v>72</v>
      </c>
      <c r="C50">
        <v>137452</v>
      </c>
      <c r="BS50" t="s">
        <v>67</v>
      </c>
      <c r="BT50" t="s">
        <v>65</v>
      </c>
      <c r="BU50" s="51" t="s">
        <v>70</v>
      </c>
      <c r="BV50" s="51" t="s">
        <v>70</v>
      </c>
      <c r="BW50" s="51" t="s">
        <v>70</v>
      </c>
      <c r="BX50" s="51" t="s">
        <v>70</v>
      </c>
      <c r="BY50">
        <f>BY43/$BY43</f>
        <v>1</v>
      </c>
      <c r="BZ50">
        <f t="shared" ref="BZ50:DC50" si="41">BZ43/$BY43</f>
        <v>1.0454112893996506</v>
      </c>
      <c r="CA50">
        <f t="shared" si="41"/>
        <v>1.0893508577345854</v>
      </c>
      <c r="CB50">
        <f t="shared" si="41"/>
        <v>1.1319469198042491</v>
      </c>
      <c r="CC50">
        <f t="shared" si="41"/>
        <v>1.1734581725805475</v>
      </c>
      <c r="CD50">
        <f t="shared" si="41"/>
        <v>1.2140523122574738</v>
      </c>
      <c r="CE50">
        <f t="shared" si="41"/>
        <v>1.2540124474162859</v>
      </c>
      <c r="CF50">
        <f t="shared" si="41"/>
        <v>1.2935637698066877</v>
      </c>
      <c r="CG50">
        <f t="shared" si="41"/>
        <v>1.3327801092691438</v>
      </c>
      <c r="CH50">
        <f t="shared" si="41"/>
        <v>1.3718925191331508</v>
      </c>
      <c r="CI50">
        <f t="shared" si="41"/>
        <v>1.4110901176858257</v>
      </c>
      <c r="CJ50">
        <f t="shared" si="41"/>
        <v>1.449060873602023</v>
      </c>
      <c r="CK50">
        <f t="shared" si="41"/>
        <v>1.48610779929453</v>
      </c>
      <c r="CL50">
        <f t="shared" si="41"/>
        <v>1.5223025914551684</v>
      </c>
      <c r="CM50">
        <f t="shared" si="41"/>
        <v>1.5578003067134296</v>
      </c>
      <c r="CN50">
        <f t="shared" si="41"/>
        <v>1.5785998685465887</v>
      </c>
      <c r="CO50">
        <f t="shared" si="41"/>
        <v>1.5996771436210326</v>
      </c>
      <c r="CP50">
        <f t="shared" si="41"/>
        <v>1.6210358399304683</v>
      </c>
      <c r="CQ50">
        <f t="shared" si="41"/>
        <v>1.6426797149772867</v>
      </c>
      <c r="CR50">
        <f t="shared" si="41"/>
        <v>1.6646125764335993</v>
      </c>
      <c r="CS50">
        <f t="shared" si="41"/>
        <v>1.6868382828110948</v>
      </c>
      <c r="CT50">
        <f t="shared" si="41"/>
        <v>1.7093607441398457</v>
      </c>
      <c r="CU50">
        <f t="shared" si="41"/>
        <v>1.7321839226561744</v>
      </c>
      <c r="CV50">
        <f t="shared" si="41"/>
        <v>1.755311833499704</v>
      </c>
      <c r="CW50">
        <f t="shared" si="41"/>
        <v>1.7787485454197187</v>
      </c>
      <c r="CX50">
        <f t="shared" si="41"/>
        <v>1.802498181490952</v>
      </c>
      <c r="CY50">
        <f t="shared" si="41"/>
        <v>1.8265649198389342</v>
      </c>
      <c r="CZ50">
        <f t="shared" si="41"/>
        <v>1.8509529943750231</v>
      </c>
      <c r="DA50">
        <f t="shared" si="41"/>
        <v>1.8756666955412518</v>
      </c>
      <c r="DB50">
        <f t="shared" si="41"/>
        <v>1.9007103710651163</v>
      </c>
      <c r="DC50">
        <f t="shared" si="41"/>
        <v>1.9260884267244469</v>
      </c>
    </row>
    <row r="51" spans="2:107">
      <c r="BS51" t="s">
        <v>64</v>
      </c>
      <c r="BT51" t="s">
        <v>68</v>
      </c>
      <c r="BU51" s="51" t="s">
        <v>70</v>
      </c>
      <c r="BV51" s="51" t="s">
        <v>70</v>
      </c>
      <c r="BW51" s="51" t="s">
        <v>70</v>
      </c>
      <c r="BX51" s="51" t="s">
        <v>70</v>
      </c>
      <c r="BY51">
        <f>BY44/$BY44</f>
        <v>1</v>
      </c>
      <c r="BZ51">
        <f t="shared" ref="BZ51:DC51" si="42">BZ44/$BY44</f>
        <v>1.0385932627131045</v>
      </c>
      <c r="CA51">
        <f t="shared" si="42"/>
        <v>1.0784414487732614</v>
      </c>
      <c r="CB51">
        <f t="shared" si="42"/>
        <v>1.1202194576261209</v>
      </c>
      <c r="CC51">
        <f t="shared" si="42"/>
        <v>1.1636914791099409</v>
      </c>
      <c r="CD51">
        <f t="shared" si="42"/>
        <v>1.2083993661006789</v>
      </c>
      <c r="CE51">
        <f t="shared" si="42"/>
        <v>1.254300206905419</v>
      </c>
      <c r="CF51">
        <f t="shared" si="42"/>
        <v>1.3018501668461027</v>
      </c>
      <c r="CG51">
        <f t="shared" si="42"/>
        <v>1.3507721475305807</v>
      </c>
      <c r="CH51">
        <f t="shared" si="42"/>
        <v>1.401156837297185</v>
      </c>
      <c r="CI51">
        <f t="shared" si="42"/>
        <v>1.4529417307155381</v>
      </c>
      <c r="CJ51">
        <f t="shared" si="42"/>
        <v>1.5058790951380567</v>
      </c>
      <c r="CK51">
        <f t="shared" si="42"/>
        <v>1.5598803471596283</v>
      </c>
      <c r="CL51">
        <f t="shared" si="42"/>
        <v>1.6147902221634951</v>
      </c>
      <c r="CM51">
        <f t="shared" si="42"/>
        <v>1.6706613311907124</v>
      </c>
      <c r="CN51">
        <f t="shared" si="42"/>
        <v>1.6971866235837214</v>
      </c>
      <c r="CO51">
        <f t="shared" si="42"/>
        <v>1.7241679291189547</v>
      </c>
      <c r="CP51">
        <f t="shared" si="42"/>
        <v>1.7516134442351898</v>
      </c>
      <c r="CQ51">
        <f t="shared" si="42"/>
        <v>1.779531516296476</v>
      </c>
      <c r="CR51">
        <f t="shared" si="42"/>
        <v>1.8079306464065628</v>
      </c>
      <c r="CS51">
        <f t="shared" si="42"/>
        <v>1.8368194922761574</v>
      </c>
      <c r="CT51">
        <f t="shared" si="42"/>
        <v>1.8662068711439974</v>
      </c>
      <c r="CU51">
        <f t="shared" si="42"/>
        <v>1.8961017627527592</v>
      </c>
      <c r="CV51">
        <f t="shared" si="42"/>
        <v>1.9265133123808289</v>
      </c>
      <c r="CW51">
        <f t="shared" si="42"/>
        <v>1.9574508339309926</v>
      </c>
      <c r="CX51">
        <f t="shared" si="42"/>
        <v>1.9889238130771161</v>
      </c>
      <c r="CY51">
        <f t="shared" si="42"/>
        <v>2.0209419104699013</v>
      </c>
      <c r="CZ51">
        <f t="shared" si="42"/>
        <v>2.0535149650028468</v>
      </c>
      <c r="DA51">
        <f t="shared" si="42"/>
        <v>2.0866529971395233</v>
      </c>
      <c r="DB51">
        <f t="shared" si="42"/>
        <v>2.120366212303344</v>
      </c>
      <c r="DC51">
        <f t="shared" si="42"/>
        <v>2.1546650043309876</v>
      </c>
    </row>
    <row r="52" spans="2:107">
      <c r="BS52" t="s">
        <v>66</v>
      </c>
      <c r="BT52" t="s">
        <v>68</v>
      </c>
      <c r="BU52" s="51" t="s">
        <v>70</v>
      </c>
      <c r="BV52" s="51" t="s">
        <v>70</v>
      </c>
      <c r="BW52" s="51" t="s">
        <v>70</v>
      </c>
      <c r="BX52" s="51" t="s">
        <v>70</v>
      </c>
      <c r="BY52">
        <f>BY45/$BY45</f>
        <v>1</v>
      </c>
      <c r="BZ52">
        <f t="shared" ref="BZ52:DC52" si="43">BZ45/$BY45</f>
        <v>1.0385304103583184</v>
      </c>
      <c r="CA52">
        <f t="shared" si="43"/>
        <v>1.0767815246643786</v>
      </c>
      <c r="CB52">
        <f t="shared" si="43"/>
        <v>1.116291708231812</v>
      </c>
      <c r="CC52">
        <f t="shared" si="43"/>
        <v>1.1572663378727004</v>
      </c>
      <c r="CD52">
        <f t="shared" si="43"/>
        <v>1.1984270166069975</v>
      </c>
      <c r="CE52">
        <f t="shared" si="43"/>
        <v>1.2392568311247036</v>
      </c>
      <c r="CF52">
        <f t="shared" si="43"/>
        <v>1.280993365077929</v>
      </c>
      <c r="CG52">
        <f t="shared" si="43"/>
        <v>1.3232792437422118</v>
      </c>
      <c r="CH52">
        <f t="shared" si="43"/>
        <v>1.3659814324587078</v>
      </c>
      <c r="CI52">
        <f t="shared" si="43"/>
        <v>1.4088951853066105</v>
      </c>
      <c r="CJ52">
        <f t="shared" si="43"/>
        <v>1.4510751413009155</v>
      </c>
      <c r="CK52">
        <f t="shared" si="43"/>
        <v>1.4921320828157683</v>
      </c>
      <c r="CL52">
        <f t="shared" si="43"/>
        <v>1.5326929242842628</v>
      </c>
      <c r="CM52">
        <f t="shared" si="43"/>
        <v>1.5735961091937254</v>
      </c>
      <c r="CN52">
        <f t="shared" si="43"/>
        <v>1.5914026680907642</v>
      </c>
      <c r="CO52">
        <f t="shared" si="43"/>
        <v>1.6094125529379724</v>
      </c>
      <c r="CP52">
        <f t="shared" si="43"/>
        <v>1.6276281065314355</v>
      </c>
      <c r="CQ52">
        <f t="shared" si="43"/>
        <v>1.6460516989085121</v>
      </c>
      <c r="CR52">
        <f t="shared" si="43"/>
        <v>1.6646857276674969</v>
      </c>
      <c r="CS52">
        <f t="shared" si="43"/>
        <v>1.683532618291071</v>
      </c>
      <c r="CT52">
        <f t="shared" si="43"/>
        <v>1.7025948244735833</v>
      </c>
      <c r="CU52">
        <f t="shared" si="43"/>
        <v>1.7218748284522067</v>
      </c>
      <c r="CV52">
        <f t="shared" si="43"/>
        <v>1.7413751413420189</v>
      </c>
      <c r="CW52">
        <f t="shared" si="43"/>
        <v>1.7610983034750534</v>
      </c>
      <c r="CX52">
        <f t="shared" si="43"/>
        <v>1.7810468847433665</v>
      </c>
      <c r="CY52">
        <f t="shared" si="43"/>
        <v>1.8012234849461712</v>
      </c>
      <c r="CZ52">
        <f t="shared" si="43"/>
        <v>1.8216307341410845</v>
      </c>
      <c r="DA52">
        <f t="shared" si="43"/>
        <v>1.8422712929995353</v>
      </c>
      <c r="DB52">
        <f t="shared" si="43"/>
        <v>1.8631478531663916</v>
      </c>
      <c r="DC52">
        <f t="shared" si="43"/>
        <v>1.8842631376238455</v>
      </c>
    </row>
    <row r="53" spans="2:107">
      <c r="B53" s="1"/>
      <c r="C53" s="39" t="s">
        <v>73</v>
      </c>
      <c r="D53" s="1" t="s">
        <v>74</v>
      </c>
    </row>
    <row r="54" spans="2:107">
      <c r="B54" s="1" t="s">
        <v>75</v>
      </c>
      <c r="C54" s="40">
        <v>1.4</v>
      </c>
      <c r="D54">
        <v>1</v>
      </c>
    </row>
    <row r="55" spans="2:107">
      <c r="B55" s="1" t="s">
        <v>76</v>
      </c>
      <c r="C55" s="41">
        <v>35.666666666666664</v>
      </c>
      <c r="D55">
        <v>18.688701712465154</v>
      </c>
    </row>
    <row r="56" spans="2:107">
      <c r="B56" s="1" t="s">
        <v>77</v>
      </c>
      <c r="C56" s="41">
        <v>111.39416306433705</v>
      </c>
      <c r="D56">
        <v>41.989116133258747</v>
      </c>
    </row>
    <row r="57" spans="2:107">
      <c r="B57" s="1" t="s">
        <v>78</v>
      </c>
      <c r="C57" s="42">
        <v>670.83333333333337</v>
      </c>
      <c r="D57">
        <v>3512.35916421195</v>
      </c>
    </row>
    <row r="58" spans="2:107">
      <c r="B58" s="1" t="s">
        <v>79</v>
      </c>
      <c r="C58" s="42">
        <v>0</v>
      </c>
      <c r="D58">
        <v>1363.3853547764243</v>
      </c>
    </row>
    <row r="59" spans="2:107">
      <c r="B59" s="1" t="s">
        <v>80</v>
      </c>
      <c r="C59" s="40">
        <v>1.2700756740871355</v>
      </c>
      <c r="D5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4F92-5AA2-7144-BB35-0D128D2445C2}">
  <sheetPr>
    <tabColor theme="6"/>
  </sheetPr>
  <dimension ref="A1:BD17"/>
  <sheetViews>
    <sheetView zoomScale="110" workbookViewId="0">
      <selection activeCell="D23" sqref="D23"/>
    </sheetView>
  </sheetViews>
  <sheetFormatPr defaultColWidth="10.85546875" defaultRowHeight="15"/>
  <sheetData>
    <row r="1" spans="1:56">
      <c r="A1" s="1" t="s">
        <v>81</v>
      </c>
      <c r="AL1" t="s">
        <v>82</v>
      </c>
      <c r="AM1" t="s">
        <v>83</v>
      </c>
    </row>
    <row r="2" spans="1:56">
      <c r="C2" s="1">
        <v>2017</v>
      </c>
      <c r="D2" s="1">
        <v>2018</v>
      </c>
      <c r="E2" s="1">
        <v>2019</v>
      </c>
      <c r="F2" s="1">
        <v>2020</v>
      </c>
      <c r="G2" s="1">
        <v>2021</v>
      </c>
      <c r="H2" s="1">
        <v>2022</v>
      </c>
      <c r="I2" s="1">
        <v>2023</v>
      </c>
      <c r="J2" s="1">
        <v>2024</v>
      </c>
      <c r="K2" s="1">
        <v>2025</v>
      </c>
      <c r="L2" s="1">
        <v>2026</v>
      </c>
      <c r="M2" s="1">
        <v>2027</v>
      </c>
      <c r="N2" s="1">
        <v>2028</v>
      </c>
      <c r="O2" s="1">
        <v>2029</v>
      </c>
      <c r="P2" s="1">
        <v>2030</v>
      </c>
      <c r="Q2" s="1">
        <v>2031</v>
      </c>
      <c r="R2" s="38">
        <f t="shared" ref="R2:AK2" si="0">Q2+1</f>
        <v>2032</v>
      </c>
      <c r="S2" s="38">
        <f t="shared" si="0"/>
        <v>2033</v>
      </c>
      <c r="T2" s="38">
        <f t="shared" si="0"/>
        <v>2034</v>
      </c>
      <c r="U2" s="38">
        <f t="shared" si="0"/>
        <v>2035</v>
      </c>
      <c r="V2" s="38">
        <f t="shared" si="0"/>
        <v>2036</v>
      </c>
      <c r="W2" s="38">
        <f t="shared" si="0"/>
        <v>2037</v>
      </c>
      <c r="X2" s="38">
        <f t="shared" si="0"/>
        <v>2038</v>
      </c>
      <c r="Y2" s="38">
        <f t="shared" si="0"/>
        <v>2039</v>
      </c>
      <c r="Z2" s="38">
        <f t="shared" si="0"/>
        <v>2040</v>
      </c>
      <c r="AA2" s="38">
        <f t="shared" si="0"/>
        <v>2041</v>
      </c>
      <c r="AB2" s="38">
        <f t="shared" si="0"/>
        <v>2042</v>
      </c>
      <c r="AC2" s="38">
        <f t="shared" si="0"/>
        <v>2043</v>
      </c>
      <c r="AD2" s="38">
        <f t="shared" si="0"/>
        <v>2044</v>
      </c>
      <c r="AE2" s="38">
        <f t="shared" si="0"/>
        <v>2045</v>
      </c>
      <c r="AF2" s="38">
        <f t="shared" si="0"/>
        <v>2046</v>
      </c>
      <c r="AG2" s="38">
        <f t="shared" si="0"/>
        <v>2047</v>
      </c>
      <c r="AH2" s="38">
        <f t="shared" si="0"/>
        <v>2048</v>
      </c>
      <c r="AI2" s="38">
        <f t="shared" si="0"/>
        <v>2049</v>
      </c>
      <c r="AJ2" s="38">
        <f t="shared" si="0"/>
        <v>2050</v>
      </c>
      <c r="AK2" s="38">
        <f t="shared" si="0"/>
        <v>2051</v>
      </c>
      <c r="AL2" s="1" t="s">
        <v>84</v>
      </c>
      <c r="AM2" t="s">
        <v>84</v>
      </c>
    </row>
    <row r="3" spans="1:56">
      <c r="A3" t="s">
        <v>75</v>
      </c>
      <c r="C3">
        <v>33.9</v>
      </c>
      <c r="D3">
        <v>34</v>
      </c>
      <c r="E3">
        <v>34.299999999999997</v>
      </c>
      <c r="F3">
        <v>34.6</v>
      </c>
      <c r="G3">
        <v>34.9</v>
      </c>
      <c r="H3">
        <v>35.1</v>
      </c>
      <c r="I3">
        <v>35.799999999999997</v>
      </c>
      <c r="J3">
        <v>36</v>
      </c>
      <c r="K3" s="1">
        <v>36.6</v>
      </c>
      <c r="L3">
        <v>36.9</v>
      </c>
      <c r="M3">
        <v>37.1</v>
      </c>
      <c r="N3">
        <v>37</v>
      </c>
      <c r="O3">
        <v>37</v>
      </c>
      <c r="P3">
        <v>37</v>
      </c>
      <c r="Q3">
        <v>36.799999999999997</v>
      </c>
      <c r="R3" s="38" cm="1">
        <f t="array" ref="R3">TREND(M3:Q3,M$2:Q$2,R$2)</f>
        <v>36.799999999999983</v>
      </c>
      <c r="S3" s="38" cm="1">
        <f t="array" ref="S3">TREND(N3:R3,N$2:R$2,S$2)</f>
        <v>36.739999999999966</v>
      </c>
      <c r="T3" s="38" cm="1">
        <f t="array" ref="T3">TREND(O3:S3,O$2:S$2,T$2)</f>
        <v>36.651999999999987</v>
      </c>
      <c r="U3" s="38" cm="1">
        <f t="array" ref="U3">TREND(P3:T3,P$2:T$2,U$2)</f>
        <v>36.571599999999989</v>
      </c>
      <c r="V3" s="38" cm="1">
        <f t="array" ref="V3">TREND(Q3:U3,Q$2:U$2,V$2)</f>
        <v>36.531279999999981</v>
      </c>
      <c r="W3" s="38" cm="1">
        <f t="array" ref="W3">TREND(R3:V3,R$2:V$2,W$2)</f>
        <v>36.447224000000006</v>
      </c>
      <c r="X3" s="38" cm="1">
        <f t="array" ref="X3">TREND(S3:W3,S$2:W$2,X$2)</f>
        <v>36.376539200000025</v>
      </c>
      <c r="Y3" s="38" cm="1">
        <f t="array" ref="Y3">TREND(T3:X3,T$2:X$2,Y$2)</f>
        <v>36.313139360000037</v>
      </c>
      <c r="Z3" s="38" cm="1">
        <f t="array" ref="Z3">TREND(U3:Y3,U$2:Y$2,Z$2)</f>
        <v>36.246457888000066</v>
      </c>
      <c r="AA3" s="38" cm="1">
        <f t="array" ref="AA3">TREND(V3:Z3,V$2:Z$2,AA$2)</f>
        <v>36.171809430400089</v>
      </c>
      <c r="AB3" s="38" cm="1">
        <f t="array" ref="AB3">TREND(W3:AA3,W$2:AA$2,AB$2)</f>
        <v>36.106760840320106</v>
      </c>
      <c r="AC3" s="38" cm="1">
        <f t="array" ref="AC3">TREND(X3:AB3,X$2:AB$2,AC$2)</f>
        <v>36.038675349056149</v>
      </c>
      <c r="AD3" s="38" cm="1">
        <f t="array" ref="AD3">TREND(Y3:AC3,Y$2:AC$2,AD$2)</f>
        <v>35.968781052684989</v>
      </c>
      <c r="AE3" s="38" cm="1">
        <f t="array" ref="AE3">TREND(Z3:AD3,Z$2:AD$2,AE$2)</f>
        <v>35.899950586500069</v>
      </c>
      <c r="AF3" s="38" cm="1">
        <f t="array" ref="AF3">TREND(AA3:AE3,AA$2:AE$2,AF$2)</f>
        <v>35.83268620916175</v>
      </c>
      <c r="AG3" s="38" cm="1">
        <f t="array" ref="AG3">TREND(AB3:AF3,AB$2:AF$2,AG$2)</f>
        <v>35.76330860008278</v>
      </c>
      <c r="AH3" s="38" cm="1">
        <f t="array" ref="AH3">TREND(AC3:AG3,AC$2:AG$2,AH$2)</f>
        <v>35.69463185705618</v>
      </c>
      <c r="AI3" s="38" cm="1">
        <f t="array" ref="AI3">TREND(AD3:AH3,AD$2:AH$2,AI$2)</f>
        <v>35.626389547794673</v>
      </c>
      <c r="AJ3" s="38" cm="1">
        <f t="array" ref="AJ3">TREND(AE3:AI3,AE$2:AI$2,AJ$2)</f>
        <v>35.557840431264196</v>
      </c>
      <c r="AK3" s="38" cm="1">
        <f t="array" ref="AK3">TREND(AF3:AJ3,AF$2:AJ$2,AK$2)</f>
        <v>35.488988146646932</v>
      </c>
      <c r="AL3">
        <v>0.6</v>
      </c>
      <c r="AM3" s="43">
        <f>(AJ3/P3)^(1/(AJ$2-P$2))-1</f>
        <v>-1.9858872175765319E-3</v>
      </c>
    </row>
    <row r="4" spans="1:56">
      <c r="A4" t="s">
        <v>76</v>
      </c>
      <c r="C4">
        <v>0.8</v>
      </c>
      <c r="D4">
        <v>0.8</v>
      </c>
      <c r="E4">
        <v>0.9</v>
      </c>
      <c r="F4">
        <v>0.9</v>
      </c>
      <c r="G4">
        <v>0.9</v>
      </c>
      <c r="H4">
        <v>1</v>
      </c>
      <c r="I4">
        <v>1.1000000000000001</v>
      </c>
      <c r="J4">
        <v>1.1000000000000001</v>
      </c>
      <c r="K4">
        <v>1.2</v>
      </c>
      <c r="L4">
        <v>1.3</v>
      </c>
      <c r="M4">
        <v>1.3</v>
      </c>
      <c r="N4">
        <v>1.4</v>
      </c>
      <c r="O4">
        <v>1.4</v>
      </c>
      <c r="P4">
        <v>1.5</v>
      </c>
      <c r="Q4">
        <v>1.6</v>
      </c>
      <c r="R4" s="38" cm="1">
        <f t="array" ref="R4">TREND(M4:Q4,M$2:Q$2,R$2)</f>
        <v>1.6500000000000057</v>
      </c>
      <c r="S4" s="38" cm="1">
        <f t="array" ref="S4">TREND(N4:R4,N$2:R$2,S$2)</f>
        <v>1.7199999999999989</v>
      </c>
      <c r="T4" s="38" cm="1">
        <f t="array" ref="T4">TREND(O4:S4,O$2:S$2,T$2)</f>
        <v>1.8110000000000355</v>
      </c>
      <c r="U4" s="38" cm="1">
        <f t="array" ref="U4">TREND(P4:T4,P$2:T$2,U$2)</f>
        <v>1.8788000000000125</v>
      </c>
      <c r="V4" s="38" cm="1">
        <f t="array" ref="V4">TREND(Q4:U4,Q$2:U$2,V$2)</f>
        <v>1.947540000000032</v>
      </c>
      <c r="W4" s="38" cm="1">
        <f t="array" ref="W4">TREND(R4:V4,R$2:V$2,W$2)</f>
        <v>2.0276320000000396</v>
      </c>
      <c r="X4" s="38" cm="1">
        <f t="array" ref="X4">TREND(S4:W4,S$2:W$2,X$2)</f>
        <v>2.1025356000000386</v>
      </c>
      <c r="Y4" s="38" cm="1">
        <f t="array" ref="Y4">TREND(T4:X4,T$2:X$2,Y$2)</f>
        <v>2.1730724800000587</v>
      </c>
      <c r="Z4" s="38" cm="1">
        <f t="array" ref="Z4">TREND(U4:Y4,U$2:Y$2,Z$2)</f>
        <v>2.2489781840000376</v>
      </c>
      <c r="AA4" s="38" cm="1">
        <f t="array" ref="AA4">TREND(V4:Z4,V$2:Z$2,AA$2)</f>
        <v>2.3244467072000532</v>
      </c>
      <c r="AB4" s="38" cm="1">
        <f t="array" ref="AB4">TREND(W4:AA4,W$2:AA$2,AB$2)</f>
        <v>2.3973545937600704</v>
      </c>
      <c r="AC4" s="38" cm="1">
        <f t="array" ref="AC4">TREND(X4:AB4,X$2:AB$2,AC$2)</f>
        <v>2.4715811774080692</v>
      </c>
      <c r="AD4" s="38" cm="1">
        <f t="array" ref="AD4">TREND(Y4:AC4,Y$2:AC$2,AD$2)</f>
        <v>2.5467047698464569</v>
      </c>
      <c r="AE4" s="38" cm="1">
        <f t="array" ref="AE4">TREND(Z4:AD4,Z$2:AD$2,AE$2)</f>
        <v>2.6205893790132109</v>
      </c>
      <c r="AF4" s="38" cm="1">
        <f t="array" ref="AF4">TREND(AA4:AE4,AA$2:AE$2,AF$2)</f>
        <v>2.694625981359394</v>
      </c>
      <c r="AG4" s="38" cm="1">
        <f t="array" ref="AG4">TREND(AB4:AF4,AB$2:AF$2,AG$2)</f>
        <v>2.7692364733185855</v>
      </c>
      <c r="AH4" s="38" cm="1">
        <f t="array" ref="AH4">TREND(AC4:AG4,AC$2:AG$2,AH$2)</f>
        <v>2.8435170971893342</v>
      </c>
      <c r="AI4" s="38" cm="1">
        <f t="array" ref="AI4">TREND(AD4:AH4,AD$2:AH$2,AI$2)</f>
        <v>2.9176162648427066</v>
      </c>
      <c r="AJ4" s="38" cm="1">
        <f t="array" ref="AJ4">TREND(AE4:AI4,AE$2:AI$2,AJ$2)</f>
        <v>2.9920005053913314</v>
      </c>
      <c r="AK4" s="38" cm="1">
        <f t="array" ref="AK4">TREND(AF4:AJ4,AF$2:AJ$2,AK$2)</f>
        <v>3.0663379162966748</v>
      </c>
      <c r="AL4">
        <v>4.9000000000000004</v>
      </c>
      <c r="AM4" s="43">
        <f t="shared" ref="AM4:AM7" si="1">(AJ4/P4)^(1/(AJ$2-P$2))-1</f>
        <v>3.5126722112174491E-2</v>
      </c>
    </row>
    <row r="5" spans="1:56">
      <c r="A5" t="s">
        <v>85</v>
      </c>
      <c r="B5" t="s">
        <v>86</v>
      </c>
      <c r="C5">
        <v>76.7</v>
      </c>
      <c r="D5">
        <v>78.900000000000006</v>
      </c>
      <c r="E5">
        <v>81</v>
      </c>
      <c r="F5">
        <v>83.9</v>
      </c>
      <c r="G5">
        <v>86.3</v>
      </c>
      <c r="H5">
        <v>88.8</v>
      </c>
      <c r="I5">
        <v>91.4</v>
      </c>
      <c r="J5">
        <v>94</v>
      </c>
      <c r="K5">
        <v>96.7</v>
      </c>
      <c r="L5">
        <v>99.5</v>
      </c>
      <c r="M5">
        <v>102.5</v>
      </c>
      <c r="N5">
        <v>105.5</v>
      </c>
      <c r="O5">
        <v>108.6</v>
      </c>
      <c r="P5">
        <v>111.9</v>
      </c>
      <c r="Q5">
        <v>115.2</v>
      </c>
      <c r="R5" s="38" cm="1">
        <f t="array" ref="R5">TREND(M5:Q5,M$2:Q$2,R$2)</f>
        <v>118.27999999999975</v>
      </c>
      <c r="S5" s="38" cm="1">
        <f t="array" ref="S5">TREND(N5:R5,N$2:R$2,S$2)</f>
        <v>121.54399999999987</v>
      </c>
      <c r="T5" s="38" cm="1">
        <f t="array" ref="T5">TREND(O5:S5,O$2:S$2,T$2)</f>
        <v>124.78519999999935</v>
      </c>
      <c r="U5" s="38" cm="1">
        <f t="array" ref="U5">TREND(P5:T5,P$2:T$2,U$2)</f>
        <v>127.97616000000016</v>
      </c>
      <c r="V5" s="38" cm="1">
        <f t="array" ref="V5">TREND(Q5:U5,Q$2:U$2,V$2)</f>
        <v>131.17432799999915</v>
      </c>
      <c r="W5" s="38" cm="1">
        <f t="array" ref="W5">TREND(R5:V5,R$2:V$2,W$2)</f>
        <v>134.41818239999975</v>
      </c>
      <c r="X5" s="38" cm="1">
        <f t="array" ref="X5">TREND(S5:W5,S$2:W$2,X$2)</f>
        <v>137.6208219199998</v>
      </c>
      <c r="Y5" s="38" cm="1">
        <f t="array" ref="Y5">TREND(T5:X5,T$2:X$2,Y$2)</f>
        <v>140.82891833599933</v>
      </c>
      <c r="Z5" s="38" cm="1">
        <f t="array" ref="Z5">TREND(U5:Y5,U$2:Y$2,Z$2)</f>
        <v>144.04928530879897</v>
      </c>
      <c r="AA5" s="38" cm="1">
        <f t="array" ref="AA5">TREND(V5:Z5,V$2:Z$2,AA$2)</f>
        <v>147.2665023590389</v>
      </c>
      <c r="AB5" s="38" cm="1">
        <f t="array" ref="AB5">TREND(W5:AA5,W$2:AA$2,AB$2)</f>
        <v>150.4742730568305</v>
      </c>
      <c r="AC5" s="38" cm="1">
        <f t="array" ref="AC5">TREND(X5:AB5,X$2:AB$2,AC$2)</f>
        <v>153.69130608514388</v>
      </c>
      <c r="AD5" s="38" cm="1">
        <f t="array" ref="AD5">TREND(Y5:AC5,Y$2:AC$2,AD$2)</f>
        <v>156.90698600305768</v>
      </c>
      <c r="AE5" s="38" cm="1">
        <f t="array" ref="AE5">TREND(Z5:AD5,Z$2:AD$2,AE$2)</f>
        <v>160.11973209696043</v>
      </c>
      <c r="AF5" s="38" cm="1">
        <f t="array" ref="AF5">TREND(AA5:AE5,AA$2:AE$2,AF$2)</f>
        <v>163.33351164682699</v>
      </c>
      <c r="AG5" s="38" cm="1">
        <f t="array" ref="AG5">TREND(AB5:AF5,AB$2:AF$2,AG$2)</f>
        <v>166.54923273530767</v>
      </c>
      <c r="AH5" s="38" cm="1">
        <f t="array" ref="AH5">TREND(AC5:AG5,AC$2:AG$2,AH$2)</f>
        <v>169.76286739668831</v>
      </c>
      <c r="AI5" s="38" cm="1">
        <f t="array" ref="AI5">TREND(AD5:AH5,AD$2:AH$2,AI$2)</f>
        <v>172.97684500345167</v>
      </c>
      <c r="AJ5" s="38" cm="1">
        <f t="array" ref="AJ5">TREND(AE5:AI5,AE$2:AI$2,AJ$2)</f>
        <v>176.19151224469988</v>
      </c>
      <c r="AK5" s="38" cm="1">
        <f t="array" ref="AK5">TREND(AF5:AJ5,AF$2:AJ$2,AK$2)</f>
        <v>179.40587784456147</v>
      </c>
      <c r="AL5">
        <v>2.9</v>
      </c>
      <c r="AM5" s="43">
        <f t="shared" si="1"/>
        <v>2.2957862806885609E-2</v>
      </c>
    </row>
    <row r="6" spans="1:56">
      <c r="A6" t="s">
        <v>78</v>
      </c>
      <c r="B6" t="s">
        <v>87</v>
      </c>
      <c r="C6">
        <v>13.7</v>
      </c>
      <c r="D6">
        <v>14.1</v>
      </c>
      <c r="E6">
        <v>14.5</v>
      </c>
      <c r="F6">
        <v>14.9</v>
      </c>
      <c r="G6">
        <v>15.4</v>
      </c>
      <c r="H6">
        <v>15.9</v>
      </c>
      <c r="I6">
        <v>16.399999999999999</v>
      </c>
      <c r="J6">
        <v>16.899999999999999</v>
      </c>
      <c r="K6">
        <v>17.399999999999999</v>
      </c>
      <c r="L6">
        <v>17.899999999999999</v>
      </c>
      <c r="M6">
        <v>18.5</v>
      </c>
      <c r="N6">
        <v>19</v>
      </c>
      <c r="O6">
        <v>19.600000000000001</v>
      </c>
      <c r="P6">
        <v>20.2</v>
      </c>
      <c r="Q6">
        <v>20.8</v>
      </c>
      <c r="R6" s="38" cm="1">
        <f t="array" ref="R6">TREND(M6:Q6,M$2:Q$2,R$2)</f>
        <v>21.3599999999999</v>
      </c>
      <c r="S6" s="38" cm="1">
        <f t="array" ref="S6">TREND(N6:R6,N$2:R$2,S$2)</f>
        <v>21.968000000000075</v>
      </c>
      <c r="T6" s="38" cm="1">
        <f t="array" ref="T6">TREND(O6:S6,O$2:S$2,T$2)</f>
        <v>22.554399999999987</v>
      </c>
      <c r="U6" s="38" cm="1">
        <f t="array" ref="U6">TREND(P6:T6,P$2:T$2,U$2)</f>
        <v>23.139519999999948</v>
      </c>
      <c r="V6" s="38" cm="1">
        <f t="array" ref="V6">TREND(Q6:U6,Q$2:U$2,V$2)</f>
        <v>23.726415999999972</v>
      </c>
      <c r="W6" s="38" cm="1">
        <f t="array" ref="W6">TREND(R6:V6,R$2:V$2,W$2)</f>
        <v>24.320972799999936</v>
      </c>
      <c r="X6" s="38" cm="1">
        <f t="array" ref="X6">TREND(S6:W6,S$2:W$2,X$2)</f>
        <v>24.905250239999987</v>
      </c>
      <c r="Y6" s="38" cm="1">
        <f t="array" ref="Y6">TREND(T6:X6,T$2:X$2,Y$2)</f>
        <v>25.494257791999871</v>
      </c>
      <c r="Z6" s="38" cm="1">
        <f t="array" ref="Z6">TREND(U6:Y6,U$2:Y$2,Z$2)</f>
        <v>26.083776313599856</v>
      </c>
      <c r="AA6" s="38" cm="1">
        <f t="array" ref="AA6">TREND(V6:Z6,V$2:Z$2,AA$2)</f>
        <v>26.672536314879835</v>
      </c>
      <c r="AB6" s="38" cm="1">
        <f t="array" ref="AB6">TREND(W6:AA6,W$2:AA$2,AB$2)</f>
        <v>27.259854623103593</v>
      </c>
      <c r="AC6" s="38" cm="1">
        <f t="array" ref="AC6">TREND(X6:AB6,X$2:AB$2,AC$2)</f>
        <v>27.849381243442622</v>
      </c>
      <c r="AD6" s="38" cm="1">
        <f t="array" ref="AD6">TREND(Y6:AC6,Y$2:AC$2,AD$2)</f>
        <v>28.437858821121836</v>
      </c>
      <c r="AE6" s="38" cm="1">
        <f t="array" ref="AE6">TREND(Z6:AD6,Z$2:AD$2,AE$2)</f>
        <v>29.02618444631139</v>
      </c>
      <c r="AF6" s="38" cm="1">
        <f t="array" ref="AF6">TREND(AA6:AE6,AA$2:AE$2,AF$2)</f>
        <v>29.614753228036079</v>
      </c>
      <c r="AG6" s="38" cm="1">
        <f t="array" ref="AG6">TREND(AB6:AF6,AB$2:AF$2,AG$2)</f>
        <v>30.203586596223204</v>
      </c>
      <c r="AH6" s="38" cm="1">
        <f t="array" ref="AH6">TREND(AC6:AG6,AC$2:AG$2,AH$2)</f>
        <v>30.79194440076958</v>
      </c>
      <c r="AI6" s="38" cm="1">
        <f t="array" ref="AI6">TREND(AD6:AH6,AD$2:AH$2,AI$2)</f>
        <v>31.380537491254699</v>
      </c>
      <c r="AJ6" s="38" cm="1">
        <f t="array" ref="AJ6">TREND(AE6:AI6,AE$2:AI$2,AJ$2)</f>
        <v>31.969170411304958</v>
      </c>
      <c r="AK6" s="38" cm="1">
        <f t="array" ref="AK6">TREND(AF6:AJ6,AF$2:AJ$2,AK$2)</f>
        <v>32.557734003988571</v>
      </c>
      <c r="AL6">
        <v>3</v>
      </c>
      <c r="AM6" s="43">
        <f t="shared" si="1"/>
        <v>2.3219951760823143E-2</v>
      </c>
    </row>
    <row r="7" spans="1:56">
      <c r="A7" t="s">
        <v>88</v>
      </c>
      <c r="B7" t="s">
        <v>89</v>
      </c>
      <c r="C7">
        <v>14.3</v>
      </c>
      <c r="D7">
        <v>13.7</v>
      </c>
      <c r="E7">
        <v>13.5</v>
      </c>
      <c r="F7">
        <v>13.3</v>
      </c>
      <c r="G7">
        <v>13.2</v>
      </c>
      <c r="H7">
        <v>13.3</v>
      </c>
      <c r="I7">
        <v>13.4</v>
      </c>
      <c r="J7">
        <v>13.5</v>
      </c>
      <c r="K7">
        <v>13.5</v>
      </c>
      <c r="L7">
        <v>13.6</v>
      </c>
      <c r="M7">
        <v>13.7</v>
      </c>
      <c r="N7">
        <v>13.8</v>
      </c>
      <c r="O7">
        <v>13.9</v>
      </c>
      <c r="P7">
        <v>14</v>
      </c>
      <c r="Q7">
        <v>14.1</v>
      </c>
      <c r="R7" s="38" cm="1">
        <f t="array" ref="R7">TREND(M7:Q7,M$2:Q$2,R$2)</f>
        <v>14.200000000000017</v>
      </c>
      <c r="S7" s="38" cm="1">
        <f t="array" ref="S7">TREND(N7:R7,N$2:R$2,S$2)</f>
        <v>14.300000000000011</v>
      </c>
      <c r="T7" s="38" cm="1">
        <f t="array" ref="T7">TREND(O7:S7,O$2:S$2,T$2)</f>
        <v>14.400000000000006</v>
      </c>
      <c r="U7" s="38" cm="1">
        <f t="array" ref="U7">TREND(P7:T7,P$2:T$2,U$2)</f>
        <v>14.5</v>
      </c>
      <c r="V7" s="38" cm="1">
        <f t="array" ref="V7">TREND(Q7:U7,Q$2:U$2,V$2)</f>
        <v>14.599999999999994</v>
      </c>
      <c r="W7" s="38" cm="1">
        <f t="array" ref="W7">TREND(R7:V7,R$2:V$2,W$2)</f>
        <v>14.699999999999989</v>
      </c>
      <c r="X7" s="38" cm="1">
        <f t="array" ref="X7">TREND(S7:W7,S$2:W$2,X$2)</f>
        <v>14.799999999999983</v>
      </c>
      <c r="Y7" s="38" cm="1">
        <f t="array" ref="Y7">TREND(T7:X7,T$2:X$2,Y$2)</f>
        <v>14.899999999999977</v>
      </c>
      <c r="Z7" s="38" cm="1">
        <f t="array" ref="Z7">TREND(U7:Y7,U$2:Y$2,Z$2)</f>
        <v>14.999999999999972</v>
      </c>
      <c r="AA7" s="38" cm="1">
        <f t="array" ref="AA7">TREND(V7:Z7,V$2:Z$2,AA$2)</f>
        <v>15.099999999999966</v>
      </c>
      <c r="AB7" s="38" cm="1">
        <f t="array" ref="AB7">TREND(W7:AA7,W$2:AA$2,AB$2)</f>
        <v>15.19999999999996</v>
      </c>
      <c r="AC7" s="38" cm="1">
        <f t="array" ref="AC7">TREND(X7:AB7,X$2:AB$2,AC$2)</f>
        <v>15.299999999999955</v>
      </c>
      <c r="AD7" s="38" cm="1">
        <f t="array" ref="AD7">TREND(Y7:AC7,Y$2:AC$2,AD$2)</f>
        <v>15.399999999999949</v>
      </c>
      <c r="AE7" s="38" cm="1">
        <f t="array" ref="AE7">TREND(Z7:AD7,Z$2:AD$2,AE$2)</f>
        <v>15.499999999999943</v>
      </c>
      <c r="AF7" s="38" cm="1">
        <f t="array" ref="AF7">TREND(AA7:AE7,AA$2:AE$2,AF$2)</f>
        <v>15.599999999999937</v>
      </c>
      <c r="AG7" s="38" cm="1">
        <f t="array" ref="AG7">TREND(AB7:AF7,AB$2:AF$2,AG$2)</f>
        <v>15.699999999999932</v>
      </c>
      <c r="AH7" s="38" cm="1">
        <f t="array" ref="AH7">TREND(AC7:AG7,AC$2:AG$2,AH$2)</f>
        <v>15.799999999999926</v>
      </c>
      <c r="AI7" s="38" cm="1">
        <f t="array" ref="AI7">TREND(AD7:AH7,AD$2:AH$2,AI$2)</f>
        <v>15.89999999999992</v>
      </c>
      <c r="AJ7" s="38" cm="1">
        <f t="array" ref="AJ7">TREND(AE7:AI7,AE$2:AI$2,AJ$2)</f>
        <v>15.999999999999915</v>
      </c>
      <c r="AK7" s="38" cm="1">
        <f t="array" ref="AK7">TREND(AF7:AJ7,AF$2:AJ$2,AK$2)</f>
        <v>16.099999999999909</v>
      </c>
      <c r="AL7">
        <v>-0.1</v>
      </c>
      <c r="AM7" s="43">
        <f t="shared" si="1"/>
        <v>6.6989076082604182E-3</v>
      </c>
    </row>
    <row r="12" spans="1:56">
      <c r="C12" s="1"/>
      <c r="D12" s="1"/>
      <c r="E12" s="1"/>
      <c r="F12" s="1">
        <v>2020</v>
      </c>
      <c r="G12" s="1">
        <v>2021</v>
      </c>
      <c r="H12" s="1">
        <v>2022</v>
      </c>
      <c r="I12" s="1">
        <v>2023</v>
      </c>
      <c r="J12" s="1">
        <v>2024</v>
      </c>
      <c r="K12" s="1">
        <v>2025</v>
      </c>
      <c r="L12" s="1">
        <v>2026</v>
      </c>
      <c r="M12" s="1">
        <v>2027</v>
      </c>
      <c r="N12" s="1">
        <v>2028</v>
      </c>
      <c r="O12" s="1">
        <v>2029</v>
      </c>
      <c r="P12" s="1">
        <v>2030</v>
      </c>
      <c r="Q12" s="1">
        <v>2031</v>
      </c>
      <c r="R12" s="1">
        <v>2032</v>
      </c>
      <c r="S12" s="1">
        <v>2033</v>
      </c>
      <c r="T12" s="1">
        <v>2034</v>
      </c>
      <c r="U12" s="1">
        <v>2035</v>
      </c>
      <c r="V12" s="1">
        <v>2036</v>
      </c>
      <c r="W12" s="1">
        <v>2037</v>
      </c>
      <c r="X12" s="1">
        <v>2038</v>
      </c>
      <c r="Y12" s="1">
        <v>2039</v>
      </c>
      <c r="Z12" s="1">
        <v>2040</v>
      </c>
      <c r="AA12" s="1">
        <v>2041</v>
      </c>
      <c r="AB12" s="1">
        <v>2042</v>
      </c>
      <c r="AC12" s="1">
        <v>2043</v>
      </c>
      <c r="AD12" s="1">
        <v>2044</v>
      </c>
      <c r="AE12" s="1">
        <v>2045</v>
      </c>
      <c r="AF12" s="1">
        <v>2046</v>
      </c>
      <c r="AG12" s="1">
        <v>2047</v>
      </c>
      <c r="AH12" s="1">
        <v>2048</v>
      </c>
      <c r="AI12" s="1">
        <v>2049</v>
      </c>
      <c r="AJ12" s="1">
        <v>2050</v>
      </c>
      <c r="AK12" s="1">
        <v>2051</v>
      </c>
      <c r="AL12" s="1">
        <v>2052</v>
      </c>
      <c r="AM12" s="1">
        <v>2053</v>
      </c>
      <c r="AN12" s="1">
        <v>2054</v>
      </c>
      <c r="AO12" s="1">
        <v>2055</v>
      </c>
      <c r="AP12" s="1">
        <v>2056</v>
      </c>
      <c r="AQ12" s="1">
        <v>2057</v>
      </c>
      <c r="AR12" s="1">
        <v>2058</v>
      </c>
      <c r="AS12" s="1">
        <v>2059</v>
      </c>
      <c r="AT12" s="1">
        <v>2060</v>
      </c>
      <c r="AU12" s="1">
        <v>2061</v>
      </c>
      <c r="AV12" s="1">
        <v>2062</v>
      </c>
      <c r="AW12" s="1">
        <v>2063</v>
      </c>
      <c r="AX12" s="1">
        <v>2064</v>
      </c>
      <c r="AY12" s="1">
        <v>2065</v>
      </c>
      <c r="AZ12" s="1">
        <v>2066</v>
      </c>
      <c r="BA12" s="1">
        <v>2067</v>
      </c>
      <c r="BB12" s="1">
        <v>2068</v>
      </c>
      <c r="BC12" s="1">
        <v>2069</v>
      </c>
      <c r="BD12" s="1">
        <v>2070</v>
      </c>
    </row>
    <row r="13" spans="1:56">
      <c r="A13" t="s">
        <v>64</v>
      </c>
      <c r="D13" t="s">
        <v>64</v>
      </c>
      <c r="F13">
        <f>F3/$F3</f>
        <v>1</v>
      </c>
      <c r="G13">
        <f t="shared" ref="G13:AJ13" si="2">G3/$F3</f>
        <v>1.0086705202312138</v>
      </c>
      <c r="H13">
        <f t="shared" si="2"/>
        <v>1.0144508670520231</v>
      </c>
      <c r="I13">
        <f t="shared" si="2"/>
        <v>1.0346820809248554</v>
      </c>
      <c r="J13">
        <f t="shared" si="2"/>
        <v>1.0404624277456647</v>
      </c>
      <c r="K13">
        <f t="shared" si="2"/>
        <v>1.0578034682080926</v>
      </c>
      <c r="L13">
        <f t="shared" si="2"/>
        <v>1.0664739884393062</v>
      </c>
      <c r="M13">
        <f t="shared" si="2"/>
        <v>1.0722543352601157</v>
      </c>
      <c r="N13">
        <f t="shared" si="2"/>
        <v>1.0693641618497109</v>
      </c>
      <c r="O13">
        <f t="shared" si="2"/>
        <v>1.0693641618497109</v>
      </c>
      <c r="P13">
        <f t="shared" si="2"/>
        <v>1.0693641618497109</v>
      </c>
      <c r="Q13">
        <f t="shared" si="2"/>
        <v>1.0635838150289016</v>
      </c>
      <c r="R13">
        <f t="shared" si="2"/>
        <v>1.0635838150289012</v>
      </c>
      <c r="S13">
        <f t="shared" si="2"/>
        <v>1.0618497109826579</v>
      </c>
      <c r="T13">
        <f t="shared" si="2"/>
        <v>1.0593063583815026</v>
      </c>
      <c r="U13">
        <f t="shared" si="2"/>
        <v>1.0569826589595372</v>
      </c>
      <c r="V13">
        <f t="shared" si="2"/>
        <v>1.0558173410404619</v>
      </c>
      <c r="W13">
        <f t="shared" si="2"/>
        <v>1.0533879768786127</v>
      </c>
      <c r="X13">
        <f t="shared" si="2"/>
        <v>1.0513450635838157</v>
      </c>
      <c r="Y13">
        <f t="shared" si="2"/>
        <v>1.0495126982658969</v>
      </c>
      <c r="Z13">
        <f t="shared" si="2"/>
        <v>1.0475854880924873</v>
      </c>
      <c r="AA13">
        <f t="shared" si="2"/>
        <v>1.0454280182196556</v>
      </c>
      <c r="AB13">
        <f t="shared" si="2"/>
        <v>1.0435480011653209</v>
      </c>
      <c r="AC13">
        <f t="shared" si="2"/>
        <v>1.0415802124004667</v>
      </c>
      <c r="AD13">
        <f t="shared" si="2"/>
        <v>1.0395601460313579</v>
      </c>
      <c r="AE13">
        <f t="shared" si="2"/>
        <v>1.0375708261994239</v>
      </c>
      <c r="AF13">
        <f t="shared" si="2"/>
        <v>1.0356267690509176</v>
      </c>
      <c r="AG13">
        <f t="shared" si="2"/>
        <v>1.0336216358405428</v>
      </c>
      <c r="AH13">
        <f t="shared" si="2"/>
        <v>1.0316367588744559</v>
      </c>
      <c r="AI13">
        <f t="shared" si="2"/>
        <v>1.0296644377975339</v>
      </c>
      <c r="AJ13">
        <f t="shared" si="2"/>
        <v>1.0276832494585026</v>
      </c>
    </row>
    <row r="14" spans="1:56">
      <c r="A14" t="s">
        <v>66</v>
      </c>
      <c r="D14" t="s">
        <v>66</v>
      </c>
      <c r="F14">
        <f>F4/$F4</f>
        <v>1</v>
      </c>
      <c r="G14">
        <f t="shared" ref="G14:AJ14" si="3">G4/$F4</f>
        <v>1</v>
      </c>
      <c r="H14">
        <f t="shared" si="3"/>
        <v>1.1111111111111112</v>
      </c>
      <c r="I14">
        <f t="shared" si="3"/>
        <v>1.2222222222222223</v>
      </c>
      <c r="J14">
        <f t="shared" si="3"/>
        <v>1.2222222222222223</v>
      </c>
      <c r="K14">
        <f t="shared" si="3"/>
        <v>1.3333333333333333</v>
      </c>
      <c r="L14">
        <f t="shared" si="3"/>
        <v>1.4444444444444444</v>
      </c>
      <c r="M14">
        <f t="shared" si="3"/>
        <v>1.4444444444444444</v>
      </c>
      <c r="N14">
        <f t="shared" si="3"/>
        <v>1.5555555555555554</v>
      </c>
      <c r="O14">
        <f t="shared" si="3"/>
        <v>1.5555555555555554</v>
      </c>
      <c r="P14">
        <f t="shared" si="3"/>
        <v>1.6666666666666665</v>
      </c>
      <c r="Q14">
        <f t="shared" si="3"/>
        <v>1.7777777777777779</v>
      </c>
      <c r="R14">
        <f t="shared" si="3"/>
        <v>1.8333333333333397</v>
      </c>
      <c r="S14">
        <f t="shared" si="3"/>
        <v>1.9111111111111099</v>
      </c>
      <c r="T14">
        <f t="shared" si="3"/>
        <v>2.0122222222222614</v>
      </c>
      <c r="U14">
        <f t="shared" si="3"/>
        <v>2.0875555555555692</v>
      </c>
      <c r="V14">
        <f t="shared" si="3"/>
        <v>2.163933333333369</v>
      </c>
      <c r="W14">
        <f t="shared" si="3"/>
        <v>2.2529244444444885</v>
      </c>
      <c r="X14">
        <f t="shared" si="3"/>
        <v>2.3361506666667093</v>
      </c>
      <c r="Y14">
        <f t="shared" si="3"/>
        <v>2.4145249777778428</v>
      </c>
      <c r="Z14">
        <f t="shared" si="3"/>
        <v>2.4988646488889308</v>
      </c>
      <c r="AA14">
        <f t="shared" si="3"/>
        <v>2.5827185635556145</v>
      </c>
      <c r="AB14">
        <f t="shared" si="3"/>
        <v>2.6637273264000783</v>
      </c>
      <c r="AC14">
        <f t="shared" si="3"/>
        <v>2.7462013082311878</v>
      </c>
      <c r="AD14">
        <f t="shared" si="3"/>
        <v>2.829671966496063</v>
      </c>
      <c r="AE14">
        <f t="shared" si="3"/>
        <v>2.9117659766813455</v>
      </c>
      <c r="AF14">
        <f t="shared" si="3"/>
        <v>2.9940288681771046</v>
      </c>
      <c r="AG14">
        <f t="shared" si="3"/>
        <v>3.0769294147984283</v>
      </c>
      <c r="AH14">
        <f t="shared" si="3"/>
        <v>3.1594634413214822</v>
      </c>
      <c r="AI14">
        <f t="shared" si="3"/>
        <v>3.2417958498252295</v>
      </c>
      <c r="AJ14">
        <f t="shared" si="3"/>
        <v>3.3244450059903681</v>
      </c>
    </row>
    <row r="15" spans="1:56">
      <c r="A15" t="s">
        <v>85</v>
      </c>
      <c r="B15" t="s">
        <v>86</v>
      </c>
      <c r="D15" t="s">
        <v>85</v>
      </c>
      <c r="F15">
        <f>F5/$F5</f>
        <v>1</v>
      </c>
      <c r="G15">
        <f t="shared" ref="G15:AJ15" si="4">G5/$F5</f>
        <v>1.0286054827175208</v>
      </c>
      <c r="H15">
        <f t="shared" si="4"/>
        <v>1.0584028605482716</v>
      </c>
      <c r="I15">
        <f t="shared" si="4"/>
        <v>1.0893921334922527</v>
      </c>
      <c r="J15">
        <f t="shared" si="4"/>
        <v>1.1203814064362336</v>
      </c>
      <c r="K15">
        <f t="shared" si="4"/>
        <v>1.1525625744934445</v>
      </c>
      <c r="L15">
        <f t="shared" si="4"/>
        <v>1.1859356376638854</v>
      </c>
      <c r="M15">
        <f t="shared" si="4"/>
        <v>1.2216924910607865</v>
      </c>
      <c r="N15">
        <f t="shared" si="4"/>
        <v>1.2574493444576877</v>
      </c>
      <c r="O15">
        <f t="shared" si="4"/>
        <v>1.2943980929678187</v>
      </c>
      <c r="P15">
        <f t="shared" si="4"/>
        <v>1.33373063170441</v>
      </c>
      <c r="Q15">
        <f t="shared" si="4"/>
        <v>1.3730631704410012</v>
      </c>
      <c r="R15">
        <f t="shared" si="4"/>
        <v>1.4097735399284832</v>
      </c>
      <c r="S15">
        <f t="shared" si="4"/>
        <v>1.4486769964243129</v>
      </c>
      <c r="T15">
        <f t="shared" si="4"/>
        <v>1.4873087008343187</v>
      </c>
      <c r="U15">
        <f t="shared" si="4"/>
        <v>1.5253415971394535</v>
      </c>
      <c r="V15">
        <f t="shared" si="4"/>
        <v>1.5634604052443282</v>
      </c>
      <c r="W15">
        <f t="shared" si="4"/>
        <v>1.6021237473182328</v>
      </c>
      <c r="X15">
        <f t="shared" si="4"/>
        <v>1.6402958512514874</v>
      </c>
      <c r="Y15">
        <f t="shared" si="4"/>
        <v>1.6785329956614938</v>
      </c>
      <c r="Z15">
        <f t="shared" si="4"/>
        <v>1.7169163922383666</v>
      </c>
      <c r="AA15">
        <f t="shared" si="4"/>
        <v>1.7552622450421798</v>
      </c>
      <c r="AB15">
        <f t="shared" si="4"/>
        <v>1.7934955072327829</v>
      </c>
      <c r="AC15">
        <f t="shared" si="4"/>
        <v>1.8318391666882463</v>
      </c>
      <c r="AD15">
        <f t="shared" si="4"/>
        <v>1.8701666984869807</v>
      </c>
      <c r="AE15">
        <f t="shared" si="4"/>
        <v>1.9084592621806964</v>
      </c>
      <c r="AF15">
        <f t="shared" si="4"/>
        <v>1.9467641435855421</v>
      </c>
      <c r="AG15">
        <f t="shared" si="4"/>
        <v>1.9850921660942509</v>
      </c>
      <c r="AH15">
        <f t="shared" si="4"/>
        <v>2.0233953205803132</v>
      </c>
      <c r="AI15">
        <f t="shared" si="4"/>
        <v>2.0617025626156336</v>
      </c>
      <c r="AJ15">
        <f t="shared" si="4"/>
        <v>2.1000180243706779</v>
      </c>
    </row>
    <row r="16" spans="1:56">
      <c r="A16" t="s">
        <v>78</v>
      </c>
      <c r="B16" t="s">
        <v>87</v>
      </c>
      <c r="D16" t="s">
        <v>78</v>
      </c>
      <c r="F16">
        <f>F6/$F6</f>
        <v>1</v>
      </c>
      <c r="G16">
        <f t="shared" ref="G16:AJ16" si="5">G6/$F6</f>
        <v>1.0335570469798658</v>
      </c>
      <c r="H16">
        <f t="shared" si="5"/>
        <v>1.0671140939597314</v>
      </c>
      <c r="I16">
        <f t="shared" si="5"/>
        <v>1.1006711409395973</v>
      </c>
      <c r="J16">
        <f t="shared" si="5"/>
        <v>1.1342281879194629</v>
      </c>
      <c r="K16">
        <f t="shared" si="5"/>
        <v>1.1677852348993287</v>
      </c>
      <c r="L16">
        <f t="shared" si="5"/>
        <v>1.2013422818791946</v>
      </c>
      <c r="M16">
        <f t="shared" si="5"/>
        <v>1.2416107382550334</v>
      </c>
      <c r="N16">
        <f t="shared" si="5"/>
        <v>1.2751677852348993</v>
      </c>
      <c r="O16">
        <f t="shared" si="5"/>
        <v>1.3154362416107384</v>
      </c>
      <c r="P16">
        <f t="shared" si="5"/>
        <v>1.355704697986577</v>
      </c>
      <c r="Q16">
        <f t="shared" si="5"/>
        <v>1.3959731543624161</v>
      </c>
      <c r="R16">
        <f t="shared" si="5"/>
        <v>1.4335570469798591</v>
      </c>
      <c r="S16">
        <f t="shared" si="5"/>
        <v>1.4743624161073876</v>
      </c>
      <c r="T16">
        <f t="shared" si="5"/>
        <v>1.5137181208053683</v>
      </c>
      <c r="U16">
        <f t="shared" si="5"/>
        <v>1.5529879194630838</v>
      </c>
      <c r="V16">
        <f t="shared" si="5"/>
        <v>1.592376912751676</v>
      </c>
      <c r="W16">
        <f t="shared" si="5"/>
        <v>1.6322800536912707</v>
      </c>
      <c r="X16">
        <f t="shared" si="5"/>
        <v>1.6714933046979856</v>
      </c>
      <c r="Y16">
        <f t="shared" si="5"/>
        <v>1.7110240128858973</v>
      </c>
      <c r="Z16">
        <f t="shared" si="5"/>
        <v>1.7505890143355607</v>
      </c>
      <c r="AA16">
        <f t="shared" si="5"/>
        <v>1.7901031083811969</v>
      </c>
      <c r="AB16">
        <f t="shared" si="5"/>
        <v>1.8295204445035969</v>
      </c>
      <c r="AC16">
        <f t="shared" si="5"/>
        <v>1.8690859894927934</v>
      </c>
      <c r="AD16">
        <f t="shared" si="5"/>
        <v>1.9085811289343513</v>
      </c>
      <c r="AE16">
        <f t="shared" si="5"/>
        <v>1.948066070222241</v>
      </c>
      <c r="AF16">
        <f t="shared" si="5"/>
        <v>1.9875673307406765</v>
      </c>
      <c r="AG16">
        <f t="shared" si="5"/>
        <v>2.0270863487398123</v>
      </c>
      <c r="AH16">
        <f t="shared" si="5"/>
        <v>2.066573449716079</v>
      </c>
      <c r="AI16">
        <f t="shared" si="5"/>
        <v>2.1060763416949464</v>
      </c>
      <c r="AJ16">
        <f t="shared" si="5"/>
        <v>2.1455819067989905</v>
      </c>
    </row>
    <row r="17" spans="1:36">
      <c r="A17" t="s">
        <v>88</v>
      </c>
      <c r="B17" t="s">
        <v>89</v>
      </c>
      <c r="D17" t="s">
        <v>88</v>
      </c>
      <c r="F17">
        <f>MAX(1,F7/$F7)</f>
        <v>1</v>
      </c>
      <c r="G17">
        <f t="shared" ref="G17:AJ17" si="6">MAX(1,G7/$F7)</f>
        <v>1</v>
      </c>
      <c r="H17">
        <f>MAX(1,H7/$F7)</f>
        <v>1</v>
      </c>
      <c r="I17">
        <f t="shared" si="6"/>
        <v>1.0075187969924813</v>
      </c>
      <c r="J17">
        <f t="shared" si="6"/>
        <v>1.0150375939849623</v>
      </c>
      <c r="K17">
        <f t="shared" si="6"/>
        <v>1.0150375939849623</v>
      </c>
      <c r="L17">
        <f t="shared" si="6"/>
        <v>1.0225563909774436</v>
      </c>
      <c r="M17">
        <f t="shared" si="6"/>
        <v>1.0300751879699248</v>
      </c>
      <c r="N17">
        <f t="shared" si="6"/>
        <v>1.0375939849624061</v>
      </c>
      <c r="O17">
        <f t="shared" si="6"/>
        <v>1.0451127819548871</v>
      </c>
      <c r="P17">
        <f t="shared" si="6"/>
        <v>1.0526315789473684</v>
      </c>
      <c r="Q17">
        <f t="shared" si="6"/>
        <v>1.0601503759398496</v>
      </c>
      <c r="R17">
        <f t="shared" si="6"/>
        <v>1.067669172932332</v>
      </c>
      <c r="S17">
        <f t="shared" si="6"/>
        <v>1.0751879699248128</v>
      </c>
      <c r="T17">
        <f t="shared" si="6"/>
        <v>1.0827067669172936</v>
      </c>
      <c r="U17">
        <f t="shared" si="6"/>
        <v>1.0902255639097744</v>
      </c>
      <c r="V17">
        <f t="shared" si="6"/>
        <v>1.0977443609022552</v>
      </c>
      <c r="W17">
        <f t="shared" si="6"/>
        <v>1.1052631578947358</v>
      </c>
      <c r="X17">
        <f t="shared" si="6"/>
        <v>1.1127819548872167</v>
      </c>
      <c r="Y17">
        <f t="shared" si="6"/>
        <v>1.1203007518796975</v>
      </c>
      <c r="Z17">
        <f t="shared" si="6"/>
        <v>1.1278195488721783</v>
      </c>
      <c r="AA17">
        <f t="shared" si="6"/>
        <v>1.1353383458646591</v>
      </c>
      <c r="AB17">
        <f t="shared" si="6"/>
        <v>1.1428571428571399</v>
      </c>
      <c r="AC17">
        <f t="shared" si="6"/>
        <v>1.1503759398496205</v>
      </c>
      <c r="AD17">
        <f t="shared" si="6"/>
        <v>1.1578947368421013</v>
      </c>
      <c r="AE17">
        <f t="shared" si="6"/>
        <v>1.1654135338345821</v>
      </c>
      <c r="AF17">
        <f t="shared" si="6"/>
        <v>1.1729323308270629</v>
      </c>
      <c r="AG17">
        <f t="shared" si="6"/>
        <v>1.1804511278195438</v>
      </c>
      <c r="AH17">
        <f t="shared" si="6"/>
        <v>1.1879699248120243</v>
      </c>
      <c r="AI17">
        <f t="shared" si="6"/>
        <v>1.1954887218045052</v>
      </c>
      <c r="AJ17">
        <f t="shared" si="6"/>
        <v>1.203007518796986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6EF9-2EA2-A54C-9078-3E6BB40BCCAA}">
  <sheetPr>
    <tabColor theme="6"/>
  </sheetPr>
  <dimension ref="B2:BD44"/>
  <sheetViews>
    <sheetView workbookViewId="0">
      <selection activeCell="L17" sqref="L17"/>
    </sheetView>
  </sheetViews>
  <sheetFormatPr defaultColWidth="10.85546875" defaultRowHeight="15"/>
  <cols>
    <col min="3" max="3" width="14.85546875" bestFit="1" customWidth="1"/>
    <col min="4" max="4" width="12.140625" bestFit="1" customWidth="1"/>
  </cols>
  <sheetData>
    <row r="2" spans="2:56" ht="29.25" customHeight="1">
      <c r="B2" s="44" t="s">
        <v>90</v>
      </c>
      <c r="C2" s="45" t="s">
        <v>91</v>
      </c>
      <c r="D2" s="44" t="s">
        <v>92</v>
      </c>
      <c r="H2" s="46" t="s">
        <v>93</v>
      </c>
      <c r="I2" s="47"/>
      <c r="J2" s="48"/>
    </row>
    <row r="3" spans="2:56">
      <c r="B3" s="49">
        <v>2009</v>
      </c>
      <c r="C3" s="49">
        <v>1198253</v>
      </c>
      <c r="D3" s="49"/>
      <c r="F3">
        <v>2020</v>
      </c>
      <c r="G3">
        <v>2021</v>
      </c>
      <c r="H3">
        <v>2022</v>
      </c>
      <c r="I3">
        <v>2023</v>
      </c>
      <c r="J3">
        <v>2024</v>
      </c>
      <c r="K3">
        <v>2025</v>
      </c>
      <c r="L3">
        <v>2026</v>
      </c>
      <c r="M3">
        <v>2027</v>
      </c>
      <c r="N3">
        <v>2028</v>
      </c>
      <c r="O3">
        <v>2029</v>
      </c>
      <c r="P3">
        <v>2030</v>
      </c>
      <c r="Q3">
        <v>2031</v>
      </c>
      <c r="R3">
        <v>2032</v>
      </c>
      <c r="S3">
        <v>2033</v>
      </c>
      <c r="T3">
        <v>2034</v>
      </c>
      <c r="U3">
        <v>2035</v>
      </c>
      <c r="V3">
        <v>2036</v>
      </c>
      <c r="W3">
        <v>2037</v>
      </c>
      <c r="X3">
        <v>2038</v>
      </c>
      <c r="Y3">
        <v>2039</v>
      </c>
      <c r="Z3">
        <v>2040</v>
      </c>
      <c r="AA3">
        <v>2041</v>
      </c>
      <c r="AB3">
        <v>2042</v>
      </c>
      <c r="AC3">
        <v>2043</v>
      </c>
      <c r="AD3">
        <v>2044</v>
      </c>
      <c r="AE3">
        <v>2045</v>
      </c>
      <c r="AF3">
        <v>2046</v>
      </c>
      <c r="AG3">
        <v>2047</v>
      </c>
      <c r="AH3">
        <v>2048</v>
      </c>
      <c r="AI3">
        <v>2049</v>
      </c>
      <c r="AJ3">
        <v>2050</v>
      </c>
      <c r="AK3" s="1">
        <v>2051</v>
      </c>
      <c r="AL3" s="1">
        <v>2052</v>
      </c>
      <c r="AM3" s="1">
        <v>2053</v>
      </c>
      <c r="AN3" s="1">
        <v>2054</v>
      </c>
      <c r="AO3" s="1">
        <v>2055</v>
      </c>
      <c r="AP3" s="1">
        <v>2056</v>
      </c>
      <c r="AQ3" s="1">
        <v>2057</v>
      </c>
      <c r="AR3" s="1">
        <v>2058</v>
      </c>
      <c r="AS3" s="1">
        <v>2059</v>
      </c>
      <c r="AT3" s="1">
        <v>2060</v>
      </c>
      <c r="AU3" s="1">
        <v>2061</v>
      </c>
      <c r="AV3" s="1">
        <v>2062</v>
      </c>
      <c r="AW3" s="1">
        <v>2063</v>
      </c>
      <c r="AX3" s="1">
        <v>2064</v>
      </c>
      <c r="AY3" s="1">
        <v>2065</v>
      </c>
      <c r="AZ3" s="1">
        <v>2066</v>
      </c>
      <c r="BA3" s="1">
        <v>2067</v>
      </c>
      <c r="BB3" s="1">
        <v>2068</v>
      </c>
      <c r="BC3" s="1">
        <v>2069</v>
      </c>
      <c r="BD3" s="1">
        <v>2070</v>
      </c>
    </row>
    <row r="4" spans="2:56">
      <c r="B4" s="49">
        <v>2010</v>
      </c>
      <c r="C4" s="49">
        <v>1154145</v>
      </c>
      <c r="D4" s="49"/>
      <c r="F4" cm="1">
        <f t="array" ref="F4:AJ4">TRANSPOSE(D14:D44)</f>
        <v>1</v>
      </c>
      <c r="G4">
        <v>1.0670054940538001</v>
      </c>
      <c r="H4">
        <v>1.1340109881076001</v>
      </c>
      <c r="I4">
        <v>1.2010164821614002</v>
      </c>
      <c r="J4">
        <v>1.2680219762152003</v>
      </c>
      <c r="K4">
        <v>1.3350274702690004</v>
      </c>
      <c r="L4">
        <v>1.4020329643228002</v>
      </c>
      <c r="M4">
        <v>1.4690384583766003</v>
      </c>
      <c r="N4">
        <v>1.5360439524304004</v>
      </c>
      <c r="O4">
        <v>1.6030494464842004</v>
      </c>
      <c r="P4">
        <v>1.6700549405380005</v>
      </c>
      <c r="Q4">
        <v>1.7370604345918006</v>
      </c>
      <c r="R4">
        <v>1.8040659286456007</v>
      </c>
      <c r="S4">
        <v>1.8710714226994007</v>
      </c>
      <c r="T4">
        <v>1.9380769167532008</v>
      </c>
      <c r="U4">
        <v>2.0050824108070007</v>
      </c>
      <c r="V4">
        <v>2.0720879048608007</v>
      </c>
      <c r="W4">
        <v>2.1390933989146008</v>
      </c>
      <c r="X4">
        <v>2.2060988929684009</v>
      </c>
      <c r="Y4">
        <v>2.273104387022201</v>
      </c>
      <c r="Z4">
        <v>2.340109881076001</v>
      </c>
      <c r="AA4">
        <v>2.4071153751298011</v>
      </c>
      <c r="AB4">
        <v>2.4741208691836012</v>
      </c>
      <c r="AC4">
        <v>2.5411263632374013</v>
      </c>
      <c r="AD4">
        <v>2.6081318572912013</v>
      </c>
      <c r="AE4">
        <v>2.6751373513450014</v>
      </c>
      <c r="AF4">
        <v>2.7421428453988015</v>
      </c>
      <c r="AG4">
        <v>2.8091483394526016</v>
      </c>
      <c r="AH4">
        <v>2.8761538335064016</v>
      </c>
      <c r="AI4">
        <v>2.9431593275602017</v>
      </c>
      <c r="AJ4">
        <v>3.0101648216140018</v>
      </c>
      <c r="AK4" s="5">
        <f t="shared" ref="AK4:BD4" si="0">AJ4+(AJ4-AE4)/5</f>
        <v>3.0771703156678019</v>
      </c>
      <c r="AL4" s="5">
        <f t="shared" si="0"/>
        <v>3.1441758097216019</v>
      </c>
      <c r="AM4" s="5">
        <f t="shared" si="0"/>
        <v>3.211181303775402</v>
      </c>
      <c r="AN4" s="5">
        <f t="shared" si="0"/>
        <v>3.2781867978292021</v>
      </c>
      <c r="AO4" s="5">
        <f t="shared" si="0"/>
        <v>3.3451922918830022</v>
      </c>
      <c r="AP4" s="5">
        <f t="shared" si="0"/>
        <v>3.4121977859368022</v>
      </c>
      <c r="AQ4" s="5">
        <f t="shared" si="0"/>
        <v>3.4792032799906023</v>
      </c>
      <c r="AR4" s="5">
        <f t="shared" si="0"/>
        <v>3.5462087740444024</v>
      </c>
      <c r="AS4" s="5">
        <f t="shared" si="0"/>
        <v>3.6132142680982025</v>
      </c>
      <c r="AT4" s="5">
        <f t="shared" si="0"/>
        <v>3.6802197621520025</v>
      </c>
      <c r="AU4" s="5">
        <f t="shared" si="0"/>
        <v>3.7472252562058026</v>
      </c>
      <c r="AV4" s="5">
        <f t="shared" si="0"/>
        <v>3.8142307502596027</v>
      </c>
      <c r="AW4" s="5">
        <f t="shared" si="0"/>
        <v>3.8812362443134028</v>
      </c>
      <c r="AX4" s="5">
        <f t="shared" si="0"/>
        <v>3.9482417383672028</v>
      </c>
      <c r="AY4" s="5">
        <f t="shared" si="0"/>
        <v>4.0152472324210029</v>
      </c>
      <c r="AZ4" s="5">
        <f t="shared" si="0"/>
        <v>4.0822527264748025</v>
      </c>
      <c r="BA4" s="5">
        <f t="shared" si="0"/>
        <v>4.1492582205286022</v>
      </c>
      <c r="BB4" s="5">
        <f t="shared" si="0"/>
        <v>4.2162637145824018</v>
      </c>
      <c r="BC4" s="5">
        <f t="shared" si="0"/>
        <v>4.2832692086362014</v>
      </c>
      <c r="BD4" s="5">
        <f t="shared" si="0"/>
        <v>4.350274702690001</v>
      </c>
    </row>
    <row r="5" spans="2:56">
      <c r="B5" s="49">
        <v>2011</v>
      </c>
      <c r="C5" s="49">
        <v>1313122</v>
      </c>
      <c r="D5" s="49"/>
    </row>
    <row r="6" spans="2:56">
      <c r="B6" s="49">
        <v>2012</v>
      </c>
      <c r="C6" s="49">
        <v>1582228</v>
      </c>
      <c r="D6" s="49"/>
    </row>
    <row r="7" spans="2:56">
      <c r="B7" s="49">
        <v>2013</v>
      </c>
      <c r="C7" s="49">
        <v>1873641</v>
      </c>
      <c r="D7" s="49"/>
    </row>
    <row r="8" spans="2:56">
      <c r="B8" s="49">
        <v>2014</v>
      </c>
      <c r="C8" s="49">
        <v>2271563</v>
      </c>
      <c r="D8" s="49"/>
    </row>
    <row r="9" spans="2:56">
      <c r="B9" s="49">
        <v>2015</v>
      </c>
      <c r="C9" s="49">
        <v>2610199</v>
      </c>
      <c r="D9" s="49"/>
    </row>
    <row r="10" spans="2:56">
      <c r="B10" s="49">
        <v>2016</v>
      </c>
      <c r="C10" s="49">
        <v>2987057</v>
      </c>
      <c r="D10" s="49"/>
    </row>
    <row r="11" spans="2:56">
      <c r="B11" s="49">
        <v>2017</v>
      </c>
      <c r="C11" s="50">
        <v>3260493.1190476189</v>
      </c>
      <c r="D11" s="49"/>
    </row>
    <row r="12" spans="2:56">
      <c r="B12" s="49">
        <v>2018</v>
      </c>
      <c r="C12" s="50">
        <v>3533929.2380952379</v>
      </c>
      <c r="D12" s="49"/>
    </row>
    <row r="13" spans="2:56">
      <c r="B13" s="49">
        <v>2019</v>
      </c>
      <c r="C13" s="50">
        <v>3807365.3571428568</v>
      </c>
      <c r="D13" s="49"/>
    </row>
    <row r="14" spans="2:56">
      <c r="B14" s="49">
        <v>2020</v>
      </c>
      <c r="C14" s="50">
        <v>4080801.4761904757</v>
      </c>
      <c r="D14" s="49">
        <f>C14/C$14</f>
        <v>1</v>
      </c>
    </row>
    <row r="15" spans="2:56">
      <c r="B15" s="49">
        <v>2021</v>
      </c>
      <c r="C15" s="50">
        <v>4354237.5952380951</v>
      </c>
      <c r="D15" s="49">
        <f t="shared" ref="D15:D44" si="1">C15/C$14</f>
        <v>1.0670054940538001</v>
      </c>
    </row>
    <row r="16" spans="2:56">
      <c r="B16" s="49">
        <v>2022</v>
      </c>
      <c r="C16" s="50">
        <v>4627673.7142857146</v>
      </c>
      <c r="D16" s="49">
        <f t="shared" si="1"/>
        <v>1.1340109881076001</v>
      </c>
    </row>
    <row r="17" spans="2:4">
      <c r="B17" s="49">
        <v>2023</v>
      </c>
      <c r="C17" s="50">
        <v>4901109.833333334</v>
      </c>
      <c r="D17" s="49">
        <f t="shared" si="1"/>
        <v>1.2010164821614002</v>
      </c>
    </row>
    <row r="18" spans="2:4">
      <c r="B18" s="49">
        <v>2024</v>
      </c>
      <c r="C18" s="50">
        <v>5174545.9523809534</v>
      </c>
      <c r="D18" s="49">
        <f t="shared" si="1"/>
        <v>1.2680219762152003</v>
      </c>
    </row>
    <row r="19" spans="2:4">
      <c r="B19" s="49">
        <v>2025</v>
      </c>
      <c r="C19" s="50">
        <v>5447982.0714285728</v>
      </c>
      <c r="D19" s="49">
        <f t="shared" si="1"/>
        <v>1.3350274702690004</v>
      </c>
    </row>
    <row r="20" spans="2:4">
      <c r="B20" s="49">
        <v>2026</v>
      </c>
      <c r="C20" s="50">
        <v>5721418.1904761922</v>
      </c>
      <c r="D20" s="49">
        <f t="shared" si="1"/>
        <v>1.4020329643228002</v>
      </c>
    </row>
    <row r="21" spans="2:4">
      <c r="B21" s="49">
        <v>2027</v>
      </c>
      <c r="C21" s="50">
        <v>5994854.3095238116</v>
      </c>
      <c r="D21" s="49">
        <f t="shared" si="1"/>
        <v>1.4690384583766003</v>
      </c>
    </row>
    <row r="22" spans="2:4">
      <c r="B22" s="49">
        <v>2028</v>
      </c>
      <c r="C22" s="50">
        <v>6268290.428571431</v>
      </c>
      <c r="D22" s="49">
        <f t="shared" si="1"/>
        <v>1.5360439524304004</v>
      </c>
    </row>
    <row r="23" spans="2:4">
      <c r="B23" s="49">
        <v>2029</v>
      </c>
      <c r="C23" s="50">
        <v>6541726.5476190504</v>
      </c>
      <c r="D23" s="49">
        <f t="shared" si="1"/>
        <v>1.6030494464842004</v>
      </c>
    </row>
    <row r="24" spans="2:4">
      <c r="B24" s="49">
        <v>2030</v>
      </c>
      <c r="C24" s="50">
        <v>6815162.6666666698</v>
      </c>
      <c r="D24" s="49">
        <f t="shared" si="1"/>
        <v>1.6700549405380005</v>
      </c>
    </row>
    <row r="25" spans="2:4">
      <c r="B25" s="49">
        <v>2031</v>
      </c>
      <c r="C25" s="50">
        <v>7088598.7857142892</v>
      </c>
      <c r="D25" s="49">
        <f t="shared" si="1"/>
        <v>1.7370604345918006</v>
      </c>
    </row>
    <row r="26" spans="2:4">
      <c r="B26" s="49">
        <v>2032</v>
      </c>
      <c r="C26" s="50">
        <v>7362034.9047619086</v>
      </c>
      <c r="D26" s="49">
        <f t="shared" si="1"/>
        <v>1.8040659286456007</v>
      </c>
    </row>
    <row r="27" spans="2:4">
      <c r="B27" s="49">
        <v>2033</v>
      </c>
      <c r="C27" s="50">
        <v>7635471.023809528</v>
      </c>
      <c r="D27" s="49">
        <f t="shared" si="1"/>
        <v>1.8710714226994007</v>
      </c>
    </row>
    <row r="28" spans="2:4">
      <c r="B28" s="49">
        <v>2034</v>
      </c>
      <c r="C28" s="50">
        <v>7908907.1428571474</v>
      </c>
      <c r="D28" s="49">
        <f t="shared" si="1"/>
        <v>1.9380769167532008</v>
      </c>
    </row>
    <row r="29" spans="2:4">
      <c r="B29" s="49">
        <v>2035</v>
      </c>
      <c r="C29" s="50">
        <v>8182343.2619047668</v>
      </c>
      <c r="D29" s="49">
        <f t="shared" si="1"/>
        <v>2.0050824108070007</v>
      </c>
    </row>
    <row r="30" spans="2:4">
      <c r="B30" s="49">
        <v>2036</v>
      </c>
      <c r="C30" s="50">
        <v>8455779.3809523862</v>
      </c>
      <c r="D30" s="49">
        <f t="shared" si="1"/>
        <v>2.0720879048608007</v>
      </c>
    </row>
    <row r="31" spans="2:4">
      <c r="B31" s="49">
        <v>2037</v>
      </c>
      <c r="C31" s="50">
        <v>8729215.5000000056</v>
      </c>
      <c r="D31" s="49">
        <f t="shared" si="1"/>
        <v>2.1390933989146008</v>
      </c>
    </row>
    <row r="32" spans="2:4">
      <c r="B32" s="49">
        <v>2038</v>
      </c>
      <c r="C32" s="50">
        <v>9002651.619047625</v>
      </c>
      <c r="D32" s="49">
        <f t="shared" si="1"/>
        <v>2.2060988929684009</v>
      </c>
    </row>
    <row r="33" spans="2:4">
      <c r="B33" s="49">
        <v>2039</v>
      </c>
      <c r="C33" s="50">
        <v>9276087.7380952444</v>
      </c>
      <c r="D33" s="49">
        <f t="shared" si="1"/>
        <v>2.273104387022201</v>
      </c>
    </row>
    <row r="34" spans="2:4">
      <c r="B34" s="49">
        <v>2040</v>
      </c>
      <c r="C34" s="50">
        <v>9549523.8571428638</v>
      </c>
      <c r="D34" s="49">
        <f t="shared" si="1"/>
        <v>2.340109881076001</v>
      </c>
    </row>
    <row r="35" spans="2:4">
      <c r="B35" s="49">
        <v>2041</v>
      </c>
      <c r="C35" s="50">
        <v>9822959.9761904832</v>
      </c>
      <c r="D35" s="49">
        <f t="shared" si="1"/>
        <v>2.4071153751298011</v>
      </c>
    </row>
    <row r="36" spans="2:4">
      <c r="B36" s="49">
        <v>2042</v>
      </c>
      <c r="C36" s="50">
        <v>10096396.095238103</v>
      </c>
      <c r="D36" s="49">
        <f t="shared" si="1"/>
        <v>2.4741208691836012</v>
      </c>
    </row>
    <row r="37" spans="2:4">
      <c r="B37" s="49">
        <v>2043</v>
      </c>
      <c r="C37" s="50">
        <v>10369832.214285722</v>
      </c>
      <c r="D37" s="49">
        <f t="shared" si="1"/>
        <v>2.5411263632374013</v>
      </c>
    </row>
    <row r="38" spans="2:4">
      <c r="B38" s="49">
        <v>2044</v>
      </c>
      <c r="C38" s="50">
        <v>10643268.333333341</v>
      </c>
      <c r="D38" s="49">
        <f t="shared" si="1"/>
        <v>2.6081318572912013</v>
      </c>
    </row>
    <row r="39" spans="2:4">
      <c r="B39" s="49">
        <v>2045</v>
      </c>
      <c r="C39" s="50">
        <v>10916704.452380961</v>
      </c>
      <c r="D39" s="49">
        <f t="shared" si="1"/>
        <v>2.6751373513450014</v>
      </c>
    </row>
    <row r="40" spans="2:4">
      <c r="B40" s="49">
        <v>2046</v>
      </c>
      <c r="C40" s="50">
        <v>11190140.57142858</v>
      </c>
      <c r="D40" s="49">
        <f t="shared" si="1"/>
        <v>2.7421428453988015</v>
      </c>
    </row>
    <row r="41" spans="2:4">
      <c r="B41" s="49">
        <v>2047</v>
      </c>
      <c r="C41" s="50">
        <v>11463576.6904762</v>
      </c>
      <c r="D41" s="49">
        <f t="shared" si="1"/>
        <v>2.8091483394526016</v>
      </c>
    </row>
    <row r="42" spans="2:4">
      <c r="B42" s="49">
        <v>2048</v>
      </c>
      <c r="C42" s="50">
        <v>11737012.809523819</v>
      </c>
      <c r="D42" s="49">
        <f t="shared" si="1"/>
        <v>2.8761538335064016</v>
      </c>
    </row>
    <row r="43" spans="2:4">
      <c r="B43" s="49">
        <v>2049</v>
      </c>
      <c r="C43" s="50">
        <v>12010448.928571438</v>
      </c>
      <c r="D43" s="49">
        <f t="shared" si="1"/>
        <v>2.9431593275602017</v>
      </c>
    </row>
    <row r="44" spans="2:4">
      <c r="B44" s="49">
        <v>2050</v>
      </c>
      <c r="C44" s="50">
        <v>12283885.047619058</v>
      </c>
      <c r="D44" s="49">
        <f t="shared" si="1"/>
        <v>3.0101648216140018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Z7"/>
  <sheetViews>
    <sheetView workbookViewId="0">
      <selection activeCell="E7" sqref="E7"/>
    </sheetView>
  </sheetViews>
  <sheetFormatPr defaultColWidth="8.85546875" defaultRowHeight="15"/>
  <cols>
    <col min="1" max="1" width="16.42578125" customWidth="1"/>
    <col min="2" max="52" width="9.42578125" customWidth="1"/>
  </cols>
  <sheetData>
    <row r="1" spans="1:52" ht="75">
      <c r="A1" s="4" t="s">
        <v>94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t="s">
        <v>75</v>
      </c>
      <c r="B2">
        <f>'Mexico-Christopher'!BY48</f>
        <v>1</v>
      </c>
      <c r="C2">
        <f>'Mexico-Christopher'!BZ48</f>
        <v>1.0275365398976473</v>
      </c>
      <c r="D2">
        <f>'Mexico-Christopher'!CA48</f>
        <v>1.0552275297711378</v>
      </c>
      <c r="E2">
        <f>'Mexico-Christopher'!CB48</f>
        <v>1.0836611577507902</v>
      </c>
      <c r="F2">
        <f>'Mexico-Christopher'!CC48</f>
        <v>1.113198076555328</v>
      </c>
      <c r="G2">
        <f>'Mexico-Christopher'!CD48</f>
        <v>1.1443904626688799</v>
      </c>
      <c r="H2">
        <f>'Mexico-Christopher'!CE48</f>
        <v>1.1779571371928808</v>
      </c>
      <c r="I2">
        <f>'Mexico-Christopher'!CF48</f>
        <v>1.2128224113449795</v>
      </c>
      <c r="J2">
        <f>'Mexico-Christopher'!CG48</f>
        <v>1.2523844173250414</v>
      </c>
      <c r="K2">
        <f>'Mexico-Christopher'!CH48</f>
        <v>1.297019311070793</v>
      </c>
      <c r="L2">
        <f>'Mexico-Christopher'!CI48</f>
        <v>1.3418962171474103</v>
      </c>
      <c r="M2">
        <f>'Mexico-Christopher'!CJ48</f>
        <v>1.3880740120006974</v>
      </c>
      <c r="N2">
        <f>'Mexico-Christopher'!CK48</f>
        <v>1.4356828098667822</v>
      </c>
      <c r="O2">
        <f>'Mexico-Christopher'!CL48</f>
        <v>1.4848344210478386</v>
      </c>
      <c r="P2">
        <f>'Mexico-Christopher'!CM48</f>
        <v>1.5356659777250614</v>
      </c>
      <c r="Q2">
        <f>'Mexico-Christopher'!CN48</f>
        <v>1.5581538818123901</v>
      </c>
      <c r="R2">
        <f>'Mexico-Christopher'!CO48</f>
        <v>1.5813475645107782</v>
      </c>
      <c r="S2">
        <f>'Mexico-Christopher'!CP48</f>
        <v>1.605288304313967</v>
      </c>
      <c r="T2">
        <f>'Mexico-Christopher'!CQ48</f>
        <v>1.6300202520145928</v>
      </c>
      <c r="U2">
        <f>'Mexico-Christopher'!CR48</f>
        <v>1.6555906365252671</v>
      </c>
      <c r="V2">
        <f>'Mexico-Christopher'!CS48</f>
        <v>1.6820499855148927</v>
      </c>
      <c r="W2">
        <f>'Mexico-Christopher'!CT48</f>
        <v>1.7094523619274027</v>
      </c>
      <c r="X2">
        <f>'Mexico-Christopher'!CU48</f>
        <v>1.7378556175270077</v>
      </c>
      <c r="Y2">
        <f>'Mexico-Christopher'!CV48</f>
        <v>1.7673216646964587</v>
      </c>
      <c r="Z2">
        <f>'Mexico-Christopher'!CW48</f>
        <v>1.7979167678031924</v>
      </c>
      <c r="AA2">
        <f>'Mexico-Christopher'!CX48</f>
        <v>1.8297118555429626</v>
      </c>
      <c r="AB2">
        <f>'Mexico-Christopher'!CY48</f>
        <v>1.8627828557721096</v>
      </c>
      <c r="AC2">
        <f>'Mexico-Christopher'!CZ48</f>
        <v>1.8972110544485006</v>
      </c>
      <c r="AD2">
        <f>'Mexico-Christopher'!DA48</f>
        <v>1.9330834804178814</v>
      </c>
      <c r="AE2">
        <f>'Mexico-Christopher'!DB48</f>
        <v>1.9704933179075101</v>
      </c>
      <c r="AF2">
        <f>'Mexico-Christopher'!DC48</f>
        <v>2.0095403487230898</v>
      </c>
      <c r="AG2" s="5">
        <f t="shared" ref="AG2:AP7" si="0">AF2+(AF2-AA2)/5</f>
        <v>2.0455060473591153</v>
      </c>
      <c r="AH2" s="5">
        <f t="shared" si="0"/>
        <v>2.0820506856765166</v>
      </c>
      <c r="AI2" s="5">
        <f t="shared" si="0"/>
        <v>2.1190186119221197</v>
      </c>
      <c r="AJ2" s="5">
        <f t="shared" si="0"/>
        <v>2.1562056382229673</v>
      </c>
      <c r="AK2" s="5">
        <f t="shared" si="0"/>
        <v>2.1933481022860586</v>
      </c>
      <c r="AL2" s="5">
        <f t="shared" si="0"/>
        <v>2.2301096529986522</v>
      </c>
      <c r="AM2" s="5">
        <f t="shared" si="0"/>
        <v>2.2670303741265596</v>
      </c>
      <c r="AN2" s="5">
        <f t="shared" si="0"/>
        <v>2.304026311816568</v>
      </c>
      <c r="AO2" s="5">
        <f t="shared" si="0"/>
        <v>2.3410278517954577</v>
      </c>
      <c r="AP2" s="5">
        <f t="shared" si="0"/>
        <v>2.3779922945099559</v>
      </c>
      <c r="AQ2" s="5">
        <f t="shared" ref="AQ2:AZ7" si="1">AP2+(AP2-AK2)/5</f>
        <v>2.4149211329547353</v>
      </c>
      <c r="AR2" s="5">
        <f t="shared" si="1"/>
        <v>2.4518834289459521</v>
      </c>
      <c r="AS2" s="5">
        <f t="shared" si="1"/>
        <v>2.4888540399098305</v>
      </c>
      <c r="AT2" s="5">
        <f t="shared" si="1"/>
        <v>2.5258195855284828</v>
      </c>
      <c r="AU2" s="5">
        <f t="shared" si="1"/>
        <v>2.5627779322750879</v>
      </c>
      <c r="AV2" s="5">
        <f t="shared" si="1"/>
        <v>2.5997350598281144</v>
      </c>
      <c r="AW2" s="5">
        <f t="shared" si="1"/>
        <v>2.6366978452027903</v>
      </c>
      <c r="AX2" s="5">
        <f t="shared" si="1"/>
        <v>2.6736607284541578</v>
      </c>
      <c r="AY2" s="5">
        <f t="shared" si="1"/>
        <v>2.7106220661630234</v>
      </c>
      <c r="AZ2" s="5">
        <f t="shared" si="1"/>
        <v>2.7475825622899315</v>
      </c>
    </row>
    <row r="3" spans="1:52">
      <c r="A3" t="s">
        <v>76</v>
      </c>
      <c r="B3">
        <f>'Mexico-Christopher'!BY49</f>
        <v>1</v>
      </c>
      <c r="C3">
        <f>'Mexico-Christopher'!BZ49</f>
        <v>0.98489903302041404</v>
      </c>
      <c r="D3">
        <f>'Mexico-Christopher'!CA49</f>
        <v>0.97050375385972121</v>
      </c>
      <c r="E3">
        <f>'Mexico-Christopher'!CB49</f>
        <v>0.97066961241078231</v>
      </c>
      <c r="F3">
        <f>'Mexico-Christopher'!CC49</f>
        <v>0.9794464679058994</v>
      </c>
      <c r="G3">
        <f>'Mexico-Christopher'!CD49</f>
        <v>0.98718114020704517</v>
      </c>
      <c r="H3">
        <f>'Mexico-Christopher'!CE49</f>
        <v>0.99598667142687114</v>
      </c>
      <c r="I3">
        <f>'Mexico-Christopher'!CF49</f>
        <v>1.0136110462792836</v>
      </c>
      <c r="J3">
        <f>'Mexico-Christopher'!CG49</f>
        <v>1.0333437924914797</v>
      </c>
      <c r="K3">
        <f>'Mexico-Christopher'!CH49</f>
        <v>1.0548844502194685</v>
      </c>
      <c r="L3">
        <f>'Mexico-Christopher'!CI49</f>
        <v>1.0773192726147309</v>
      </c>
      <c r="M3">
        <f>'Mexico-Christopher'!CJ49</f>
        <v>1.098434819534762</v>
      </c>
      <c r="N3">
        <f>'Mexico-Christopher'!CK49</f>
        <v>1.1186007254884021</v>
      </c>
      <c r="O3">
        <f>'Mexico-Christopher'!CL49</f>
        <v>1.1379887374661499</v>
      </c>
      <c r="P3">
        <f>'Mexico-Christopher'!CM49</f>
        <v>1.1579548022966917</v>
      </c>
      <c r="Q3">
        <f>'Mexico-Christopher'!CN49</f>
        <v>1.1689041523016783</v>
      </c>
      <c r="R3">
        <f>'Mexico-Christopher'!CO49</f>
        <v>1.1799574647943383</v>
      </c>
      <c r="S3">
        <f>'Mexico-Christopher'!CP49</f>
        <v>1.191115731619568</v>
      </c>
      <c r="T3">
        <f>'Mexico-Christopher'!CQ49</f>
        <v>1.2023799541370666</v>
      </c>
      <c r="U3">
        <f>'Mexico-Christopher'!CR49</f>
        <v>1.2137511433131856</v>
      </c>
      <c r="V3">
        <f>'Mexico-Christopher'!CS49</f>
        <v>1.2252303198136687</v>
      </c>
      <c r="W3">
        <f>'Mexico-Christopher'!CT49</f>
        <v>1.2368185140972949</v>
      </c>
      <c r="X3">
        <f>'Mexico-Christopher'!CU49</f>
        <v>1.2485167665104326</v>
      </c>
      <c r="Y3">
        <f>'Mexico-Christopher'!CV49</f>
        <v>1.260326127382511</v>
      </c>
      <c r="Z3">
        <f>'Mexico-Christopher'!CW49</f>
        <v>1.2722476571224226</v>
      </c>
      <c r="AA3">
        <f>'Mexico-Christopher'!CX49</f>
        <v>1.2842824263158592</v>
      </c>
      <c r="AB3">
        <f>'Mexico-Christopher'!CY49</f>
        <v>1.2964315158236004</v>
      </c>
      <c r="AC3">
        <f>'Mexico-Christopher'!CZ49</f>
        <v>1.308696016880752</v>
      </c>
      <c r="AD3">
        <f>'Mexico-Christopher'!DA49</f>
        <v>1.3210770311969542</v>
      </c>
      <c r="AE3">
        <f>'Mexico-Christopher'!DB49</f>
        <v>1.3335756710575615</v>
      </c>
      <c r="AF3">
        <f>'Mexico-Christopher'!DC49</f>
        <v>1.3461930594258094</v>
      </c>
      <c r="AG3" s="5">
        <f t="shared" si="0"/>
        <v>1.3585751860477995</v>
      </c>
      <c r="AH3" s="5">
        <f t="shared" si="0"/>
        <v>1.3710039200926394</v>
      </c>
      <c r="AI3" s="5">
        <f t="shared" si="0"/>
        <v>1.383465500735017</v>
      </c>
      <c r="AJ3" s="5">
        <f t="shared" si="0"/>
        <v>1.3959431946426295</v>
      </c>
      <c r="AK3" s="5">
        <f t="shared" si="0"/>
        <v>1.4084166993596432</v>
      </c>
      <c r="AL3" s="5">
        <f t="shared" si="0"/>
        <v>1.42086142734641</v>
      </c>
      <c r="AM3" s="5">
        <f t="shared" si="0"/>
        <v>1.433318675606132</v>
      </c>
      <c r="AN3" s="5">
        <f t="shared" si="0"/>
        <v>1.4457816267088306</v>
      </c>
      <c r="AO3" s="5">
        <f t="shared" si="0"/>
        <v>1.4582448519035933</v>
      </c>
      <c r="AP3" s="5">
        <f t="shared" si="0"/>
        <v>1.470705183355786</v>
      </c>
      <c r="AQ3" s="5">
        <f t="shared" si="1"/>
        <v>1.4831628801550145</v>
      </c>
      <c r="AR3" s="5">
        <f t="shared" si="1"/>
        <v>1.4956231707167353</v>
      </c>
      <c r="AS3" s="5">
        <f t="shared" si="1"/>
        <v>1.508084069738856</v>
      </c>
      <c r="AT3" s="5">
        <f t="shared" si="1"/>
        <v>1.5205445583448611</v>
      </c>
      <c r="AU3" s="5">
        <f t="shared" si="1"/>
        <v>1.5330044996331147</v>
      </c>
      <c r="AV3" s="5">
        <f t="shared" si="1"/>
        <v>1.5454643628885805</v>
      </c>
      <c r="AW3" s="5">
        <f t="shared" si="1"/>
        <v>1.5579246594352936</v>
      </c>
      <c r="AX3" s="5">
        <f t="shared" si="1"/>
        <v>1.5703849571790052</v>
      </c>
      <c r="AY3" s="5">
        <f t="shared" si="1"/>
        <v>1.5828451346670349</v>
      </c>
      <c r="AZ3" s="5">
        <f t="shared" si="1"/>
        <v>1.5953052499314697</v>
      </c>
    </row>
    <row r="4" spans="1:52">
      <c r="A4" t="s">
        <v>77</v>
      </c>
      <c r="B4">
        <f>'Oil Prospective'!F15</f>
        <v>1</v>
      </c>
      <c r="C4">
        <f>'Oil Prospective'!G15</f>
        <v>1.0286054827175208</v>
      </c>
      <c r="D4">
        <f>'Oil Prospective'!H15</f>
        <v>1.0584028605482716</v>
      </c>
      <c r="E4">
        <f>'Oil Prospective'!I15</f>
        <v>1.0893921334922527</v>
      </c>
      <c r="F4">
        <f>'Oil Prospective'!J15</f>
        <v>1.1203814064362336</v>
      </c>
      <c r="G4">
        <f>'Oil Prospective'!K15</f>
        <v>1.1525625744934445</v>
      </c>
      <c r="H4">
        <f>'Oil Prospective'!L15</f>
        <v>1.1859356376638854</v>
      </c>
      <c r="I4">
        <f>'Oil Prospective'!M15</f>
        <v>1.2216924910607865</v>
      </c>
      <c r="J4">
        <f>'Oil Prospective'!N15</f>
        <v>1.2574493444576877</v>
      </c>
      <c r="K4">
        <f>'Oil Prospective'!O15</f>
        <v>1.2943980929678187</v>
      </c>
      <c r="L4">
        <f>'Oil Prospective'!P15</f>
        <v>1.33373063170441</v>
      </c>
      <c r="M4">
        <f>'Oil Prospective'!Q15</f>
        <v>1.3730631704410012</v>
      </c>
      <c r="N4">
        <f>'Oil Prospective'!R15</f>
        <v>1.4097735399284832</v>
      </c>
      <c r="O4">
        <f>'Oil Prospective'!S15</f>
        <v>1.4486769964243129</v>
      </c>
      <c r="P4">
        <f>'Oil Prospective'!T15</f>
        <v>1.4873087008343187</v>
      </c>
      <c r="Q4">
        <f>'Oil Prospective'!U15</f>
        <v>1.5253415971394535</v>
      </c>
      <c r="R4">
        <f>'Oil Prospective'!V15</f>
        <v>1.5634604052443282</v>
      </c>
      <c r="S4">
        <f>'Oil Prospective'!W15</f>
        <v>1.6021237473182328</v>
      </c>
      <c r="T4">
        <f>'Oil Prospective'!X15</f>
        <v>1.6402958512514874</v>
      </c>
      <c r="U4">
        <f>'Oil Prospective'!Y15</f>
        <v>1.6785329956614938</v>
      </c>
      <c r="V4">
        <f>'Oil Prospective'!Z15</f>
        <v>1.7169163922383666</v>
      </c>
      <c r="W4">
        <f>'Oil Prospective'!AA15</f>
        <v>1.7552622450421798</v>
      </c>
      <c r="X4">
        <f>'Oil Prospective'!AB15</f>
        <v>1.7934955072327829</v>
      </c>
      <c r="Y4">
        <f>'Oil Prospective'!AC15</f>
        <v>1.8318391666882463</v>
      </c>
      <c r="Z4">
        <f>'Oil Prospective'!AD15</f>
        <v>1.8701666984869807</v>
      </c>
      <c r="AA4">
        <f>'Oil Prospective'!AE15</f>
        <v>1.9084592621806964</v>
      </c>
      <c r="AB4">
        <f>'Oil Prospective'!AF15</f>
        <v>1.9467641435855421</v>
      </c>
      <c r="AC4">
        <f>'Oil Prospective'!AG15</f>
        <v>1.9850921660942509</v>
      </c>
      <c r="AD4">
        <f>'Oil Prospective'!AH15</f>
        <v>2.0233953205803132</v>
      </c>
      <c r="AE4">
        <f>'Oil Prospective'!AI15</f>
        <v>2.0617025626156336</v>
      </c>
      <c r="AF4">
        <f>'Oil Prospective'!AJ15</f>
        <v>2.1000180243706779</v>
      </c>
      <c r="AG4" s="5">
        <f t="shared" si="0"/>
        <v>2.138329776808674</v>
      </c>
      <c r="AH4" s="5">
        <f t="shared" si="0"/>
        <v>2.1766429034533004</v>
      </c>
      <c r="AI4" s="5">
        <f t="shared" si="0"/>
        <v>2.2149530509251103</v>
      </c>
      <c r="AJ4" s="5">
        <f t="shared" si="0"/>
        <v>2.2532645969940699</v>
      </c>
      <c r="AK4" s="5">
        <f t="shared" si="0"/>
        <v>2.2915770038697572</v>
      </c>
      <c r="AL4" s="5">
        <f t="shared" si="0"/>
        <v>2.3298887997695732</v>
      </c>
      <c r="AM4" s="5">
        <f t="shared" si="0"/>
        <v>2.3682006043617529</v>
      </c>
      <c r="AN4" s="5">
        <f t="shared" si="0"/>
        <v>2.4065121445434436</v>
      </c>
      <c r="AO4" s="5">
        <f t="shared" si="0"/>
        <v>2.4448239632671105</v>
      </c>
      <c r="AP4" s="5">
        <f t="shared" si="0"/>
        <v>2.4831358365217184</v>
      </c>
      <c r="AQ4" s="5">
        <f t="shared" si="1"/>
        <v>2.5214476030521107</v>
      </c>
      <c r="AR4" s="5">
        <f t="shared" si="1"/>
        <v>2.559759363708618</v>
      </c>
      <c r="AS4" s="5">
        <f t="shared" si="1"/>
        <v>2.5980711155779912</v>
      </c>
      <c r="AT4" s="5">
        <f t="shared" si="1"/>
        <v>2.6363829097849005</v>
      </c>
      <c r="AU4" s="5">
        <f t="shared" si="1"/>
        <v>2.6746946990884584</v>
      </c>
      <c r="AV4" s="5">
        <f t="shared" si="1"/>
        <v>2.7130064716018065</v>
      </c>
      <c r="AW4" s="5">
        <f t="shared" si="1"/>
        <v>2.7513182453117455</v>
      </c>
      <c r="AX4" s="5">
        <f t="shared" si="1"/>
        <v>2.7896300216323708</v>
      </c>
      <c r="AY4" s="5">
        <f t="shared" si="1"/>
        <v>2.8279418028432466</v>
      </c>
      <c r="AZ4" s="5">
        <f t="shared" si="1"/>
        <v>2.8662535814549157</v>
      </c>
    </row>
    <row r="5" spans="1:52">
      <c r="A5" t="s">
        <v>78</v>
      </c>
      <c r="B5">
        <f>'Oil Prospective'!F16</f>
        <v>1</v>
      </c>
      <c r="C5">
        <f>'Oil Prospective'!G16</f>
        <v>1.0335570469798658</v>
      </c>
      <c r="D5">
        <f>'Oil Prospective'!H16</f>
        <v>1.0671140939597314</v>
      </c>
      <c r="E5">
        <f>'Oil Prospective'!I16</f>
        <v>1.1006711409395973</v>
      </c>
      <c r="F5">
        <f>'Oil Prospective'!J16</f>
        <v>1.1342281879194629</v>
      </c>
      <c r="G5">
        <f>'Oil Prospective'!K16</f>
        <v>1.1677852348993287</v>
      </c>
      <c r="H5">
        <f>'Oil Prospective'!L16</f>
        <v>1.2013422818791946</v>
      </c>
      <c r="I5">
        <f>'Oil Prospective'!M16</f>
        <v>1.2416107382550334</v>
      </c>
      <c r="J5">
        <f>'Oil Prospective'!N16</f>
        <v>1.2751677852348993</v>
      </c>
      <c r="K5">
        <f>'Oil Prospective'!O16</f>
        <v>1.3154362416107384</v>
      </c>
      <c r="L5">
        <f>'Oil Prospective'!P16</f>
        <v>1.355704697986577</v>
      </c>
      <c r="M5">
        <f>'Oil Prospective'!Q16</f>
        <v>1.3959731543624161</v>
      </c>
      <c r="N5">
        <f>'Oil Prospective'!R16</f>
        <v>1.4335570469798591</v>
      </c>
      <c r="O5">
        <f>'Oil Prospective'!S16</f>
        <v>1.4743624161073876</v>
      </c>
      <c r="P5">
        <f>'Oil Prospective'!T16</f>
        <v>1.5137181208053683</v>
      </c>
      <c r="Q5">
        <f>'Oil Prospective'!U16</f>
        <v>1.5529879194630838</v>
      </c>
      <c r="R5">
        <f>'Oil Prospective'!V16</f>
        <v>1.592376912751676</v>
      </c>
      <c r="S5">
        <f>'Oil Prospective'!W16</f>
        <v>1.6322800536912707</v>
      </c>
      <c r="T5">
        <f>'Oil Prospective'!X16</f>
        <v>1.6714933046979856</v>
      </c>
      <c r="U5">
        <f>'Oil Prospective'!Y16</f>
        <v>1.7110240128858973</v>
      </c>
      <c r="V5">
        <f>'Oil Prospective'!Z16</f>
        <v>1.7505890143355607</v>
      </c>
      <c r="W5">
        <f>'Oil Prospective'!AA16</f>
        <v>1.7901031083811969</v>
      </c>
      <c r="X5">
        <f>'Oil Prospective'!AB16</f>
        <v>1.8295204445035969</v>
      </c>
      <c r="Y5">
        <f>'Oil Prospective'!AC16</f>
        <v>1.8690859894927934</v>
      </c>
      <c r="Z5">
        <f>'Oil Prospective'!AD16</f>
        <v>1.9085811289343513</v>
      </c>
      <c r="AA5">
        <f>'Oil Prospective'!AE16</f>
        <v>1.948066070222241</v>
      </c>
      <c r="AB5">
        <f>'Oil Prospective'!AF16</f>
        <v>1.9875673307406765</v>
      </c>
      <c r="AC5">
        <f>'Oil Prospective'!AG16</f>
        <v>2.0270863487398123</v>
      </c>
      <c r="AD5">
        <f>'Oil Prospective'!AH16</f>
        <v>2.066573449716079</v>
      </c>
      <c r="AE5">
        <f>'Oil Prospective'!AI16</f>
        <v>2.1060763416949464</v>
      </c>
      <c r="AF5">
        <f>'Oil Prospective'!AJ16</f>
        <v>2.1455819067989905</v>
      </c>
      <c r="AG5" s="5">
        <f t="shared" si="0"/>
        <v>2.1850850741143404</v>
      </c>
      <c r="AH5" s="5">
        <f t="shared" si="0"/>
        <v>2.224588622789073</v>
      </c>
      <c r="AI5" s="5">
        <f t="shared" si="0"/>
        <v>2.2640890775989253</v>
      </c>
      <c r="AJ5" s="5">
        <f t="shared" si="0"/>
        <v>2.3035922031754947</v>
      </c>
      <c r="AK5" s="5">
        <f t="shared" si="0"/>
        <v>2.3430953754716044</v>
      </c>
      <c r="AL5" s="5">
        <f t="shared" si="0"/>
        <v>2.3825980692061273</v>
      </c>
      <c r="AM5" s="5">
        <f t="shared" si="0"/>
        <v>2.4221006682244846</v>
      </c>
      <c r="AN5" s="5">
        <f t="shared" si="0"/>
        <v>2.4616030773115667</v>
      </c>
      <c r="AO5" s="5">
        <f t="shared" si="0"/>
        <v>2.5011058772540951</v>
      </c>
      <c r="AP5" s="5">
        <f t="shared" si="0"/>
        <v>2.540608612069815</v>
      </c>
      <c r="AQ5" s="5">
        <f t="shared" si="1"/>
        <v>2.5801112593894571</v>
      </c>
      <c r="AR5" s="5">
        <f t="shared" si="1"/>
        <v>2.6196138974261229</v>
      </c>
      <c r="AS5" s="5">
        <f t="shared" si="1"/>
        <v>2.6591165432664505</v>
      </c>
      <c r="AT5" s="5">
        <f t="shared" si="1"/>
        <v>2.6986192364574273</v>
      </c>
      <c r="AU5" s="5">
        <f t="shared" si="1"/>
        <v>2.7381219082980937</v>
      </c>
      <c r="AV5" s="5">
        <f t="shared" si="1"/>
        <v>2.7776245675437492</v>
      </c>
      <c r="AW5" s="5">
        <f t="shared" si="1"/>
        <v>2.8171272291746075</v>
      </c>
      <c r="AX5" s="5">
        <f t="shared" si="1"/>
        <v>2.8566298955243044</v>
      </c>
      <c r="AY5" s="5">
        <f t="shared" si="1"/>
        <v>2.8961325659758752</v>
      </c>
      <c r="AZ5" s="5">
        <f t="shared" si="1"/>
        <v>2.9356352318795649</v>
      </c>
    </row>
    <row r="6" spans="1:52">
      <c r="A6" t="s">
        <v>79</v>
      </c>
      <c r="B6">
        <f>'Oil Prospective'!F17</f>
        <v>1</v>
      </c>
      <c r="C6">
        <f>'Oil Prospective'!G17</f>
        <v>1</v>
      </c>
      <c r="D6">
        <f>'Oil Prospective'!H17</f>
        <v>1</v>
      </c>
      <c r="E6">
        <f>'Oil Prospective'!I17</f>
        <v>1.0075187969924813</v>
      </c>
      <c r="F6">
        <f>'Oil Prospective'!J17</f>
        <v>1.0150375939849623</v>
      </c>
      <c r="G6">
        <f>'Oil Prospective'!K17</f>
        <v>1.0150375939849623</v>
      </c>
      <c r="H6">
        <f>'Oil Prospective'!L17</f>
        <v>1.0225563909774436</v>
      </c>
      <c r="I6">
        <f>'Oil Prospective'!M17</f>
        <v>1.0300751879699248</v>
      </c>
      <c r="J6">
        <f>'Oil Prospective'!N17</f>
        <v>1.0375939849624061</v>
      </c>
      <c r="K6">
        <f>'Oil Prospective'!O17</f>
        <v>1.0451127819548871</v>
      </c>
      <c r="L6">
        <f>'Oil Prospective'!P17</f>
        <v>1.0526315789473684</v>
      </c>
      <c r="M6">
        <f>'Oil Prospective'!Q17</f>
        <v>1.0601503759398496</v>
      </c>
      <c r="N6">
        <f>'Oil Prospective'!R17</f>
        <v>1.067669172932332</v>
      </c>
      <c r="O6">
        <f>'Oil Prospective'!S17</f>
        <v>1.0751879699248128</v>
      </c>
      <c r="P6">
        <f>'Oil Prospective'!T17</f>
        <v>1.0827067669172936</v>
      </c>
      <c r="Q6">
        <f>'Oil Prospective'!U17</f>
        <v>1.0902255639097744</v>
      </c>
      <c r="R6">
        <f>'Oil Prospective'!V17</f>
        <v>1.0977443609022552</v>
      </c>
      <c r="S6">
        <f>'Oil Prospective'!W17</f>
        <v>1.1052631578947358</v>
      </c>
      <c r="T6">
        <f>'Oil Prospective'!X17</f>
        <v>1.1127819548872167</v>
      </c>
      <c r="U6">
        <f>'Oil Prospective'!Y17</f>
        <v>1.1203007518796975</v>
      </c>
      <c r="V6">
        <f>'Oil Prospective'!Z17</f>
        <v>1.1278195488721783</v>
      </c>
      <c r="W6">
        <f>'Oil Prospective'!AA17</f>
        <v>1.1353383458646591</v>
      </c>
      <c r="X6">
        <f>'Oil Prospective'!AB17</f>
        <v>1.1428571428571399</v>
      </c>
      <c r="Y6">
        <f>'Oil Prospective'!AC17</f>
        <v>1.1503759398496205</v>
      </c>
      <c r="Z6">
        <f>'Oil Prospective'!AD17</f>
        <v>1.1578947368421013</v>
      </c>
      <c r="AA6">
        <f>'Oil Prospective'!AE17</f>
        <v>1.1654135338345821</v>
      </c>
      <c r="AB6">
        <f>'Oil Prospective'!AF17</f>
        <v>1.1729323308270629</v>
      </c>
      <c r="AC6">
        <f>'Oil Prospective'!AG17</f>
        <v>1.1804511278195438</v>
      </c>
      <c r="AD6">
        <f>'Oil Prospective'!AH17</f>
        <v>1.1879699248120243</v>
      </c>
      <c r="AE6">
        <f>'Oil Prospective'!AI17</f>
        <v>1.1954887218045052</v>
      </c>
      <c r="AF6">
        <f>'Oil Prospective'!AJ17</f>
        <v>1.203007518796986</v>
      </c>
      <c r="AG6" s="5">
        <f t="shared" si="0"/>
        <v>1.2105263157894668</v>
      </c>
      <c r="AH6" s="5">
        <f t="shared" si="0"/>
        <v>1.2180451127819476</v>
      </c>
      <c r="AI6" s="5">
        <f t="shared" si="0"/>
        <v>1.2255639097744284</v>
      </c>
      <c r="AJ6" s="5">
        <f t="shared" si="0"/>
        <v>1.2330827067669092</v>
      </c>
      <c r="AK6" s="5">
        <f t="shared" si="0"/>
        <v>1.24060150375939</v>
      </c>
      <c r="AL6" s="5">
        <f t="shared" si="0"/>
        <v>1.2481203007518709</v>
      </c>
      <c r="AM6" s="5">
        <f t="shared" si="0"/>
        <v>1.2556390977443517</v>
      </c>
      <c r="AN6" s="5">
        <f t="shared" si="0"/>
        <v>1.2631578947368325</v>
      </c>
      <c r="AO6" s="5">
        <f t="shared" si="0"/>
        <v>1.2706766917293133</v>
      </c>
      <c r="AP6" s="5">
        <f t="shared" si="0"/>
        <v>1.2781954887217941</v>
      </c>
      <c r="AQ6" s="5">
        <f t="shared" si="1"/>
        <v>1.2857142857142749</v>
      </c>
      <c r="AR6" s="5">
        <f t="shared" si="1"/>
        <v>1.2932330827067557</v>
      </c>
      <c r="AS6" s="5">
        <f t="shared" si="1"/>
        <v>1.3007518796992366</v>
      </c>
      <c r="AT6" s="5">
        <f t="shared" si="1"/>
        <v>1.3082706766917174</v>
      </c>
      <c r="AU6" s="5">
        <f t="shared" si="1"/>
        <v>1.3157894736841982</v>
      </c>
      <c r="AV6" s="5">
        <f t="shared" si="1"/>
        <v>1.323308270676679</v>
      </c>
      <c r="AW6" s="5">
        <f t="shared" si="1"/>
        <v>1.3308270676691598</v>
      </c>
      <c r="AX6" s="5">
        <f t="shared" si="1"/>
        <v>1.3383458646616406</v>
      </c>
      <c r="AY6" s="5">
        <f t="shared" si="1"/>
        <v>1.3458646616541214</v>
      </c>
      <c r="AZ6" s="5">
        <f t="shared" si="1"/>
        <v>1.3533834586466023</v>
      </c>
    </row>
    <row r="7" spans="1:52">
      <c r="A7" t="s">
        <v>80</v>
      </c>
      <c r="B7">
        <f>'Motorcycles INEGI'!F4</f>
        <v>1</v>
      </c>
      <c r="C7">
        <f>'Motorcycles INEGI'!G4</f>
        <v>1.0670054940538001</v>
      </c>
      <c r="D7">
        <f>'Motorcycles INEGI'!H4</f>
        <v>1.1340109881076001</v>
      </c>
      <c r="E7">
        <f>'Motorcycles INEGI'!I4</f>
        <v>1.2010164821614002</v>
      </c>
      <c r="F7">
        <f>'Motorcycles INEGI'!J4</f>
        <v>1.2680219762152003</v>
      </c>
      <c r="G7">
        <f>'Motorcycles INEGI'!K4</f>
        <v>1.3350274702690004</v>
      </c>
      <c r="H7">
        <f>'Motorcycles INEGI'!L4</f>
        <v>1.4020329643228002</v>
      </c>
      <c r="I7">
        <f>'Motorcycles INEGI'!M4</f>
        <v>1.4690384583766003</v>
      </c>
      <c r="J7">
        <f>'Motorcycles INEGI'!N4</f>
        <v>1.5360439524304004</v>
      </c>
      <c r="K7">
        <f>'Motorcycles INEGI'!O4</f>
        <v>1.6030494464842004</v>
      </c>
      <c r="L7">
        <f>'Motorcycles INEGI'!P4</f>
        <v>1.6700549405380005</v>
      </c>
      <c r="M7">
        <f>'Motorcycles INEGI'!Q4</f>
        <v>1.7370604345918006</v>
      </c>
      <c r="N7">
        <f>'Motorcycles INEGI'!R4</f>
        <v>1.8040659286456007</v>
      </c>
      <c r="O7">
        <f>'Motorcycles INEGI'!S4</f>
        <v>1.8710714226994007</v>
      </c>
      <c r="P7">
        <f>'Motorcycles INEGI'!T4</f>
        <v>1.9380769167532008</v>
      </c>
      <c r="Q7">
        <f>'Motorcycles INEGI'!U4</f>
        <v>2.0050824108070007</v>
      </c>
      <c r="R7">
        <f>'Motorcycles INEGI'!V4</f>
        <v>2.0720879048608007</v>
      </c>
      <c r="S7">
        <f>'Motorcycles INEGI'!W4</f>
        <v>2.1390933989146008</v>
      </c>
      <c r="T7">
        <f>'Motorcycles INEGI'!X4</f>
        <v>2.2060988929684009</v>
      </c>
      <c r="U7">
        <f>'Motorcycles INEGI'!Y4</f>
        <v>2.273104387022201</v>
      </c>
      <c r="V7">
        <f>'Motorcycles INEGI'!Z4</f>
        <v>2.340109881076001</v>
      </c>
      <c r="W7">
        <f>'Motorcycles INEGI'!AA4</f>
        <v>2.4071153751298011</v>
      </c>
      <c r="X7">
        <f>'Motorcycles INEGI'!AB4</f>
        <v>2.4741208691836012</v>
      </c>
      <c r="Y7">
        <f>'Motorcycles INEGI'!AC4</f>
        <v>2.5411263632374013</v>
      </c>
      <c r="Z7">
        <f>'Motorcycles INEGI'!AD4</f>
        <v>2.6081318572912013</v>
      </c>
      <c r="AA7">
        <f>'Motorcycles INEGI'!AE4</f>
        <v>2.6751373513450014</v>
      </c>
      <c r="AB7">
        <f>'Motorcycles INEGI'!AF4</f>
        <v>2.7421428453988015</v>
      </c>
      <c r="AC7">
        <f>'Motorcycles INEGI'!AG4</f>
        <v>2.8091483394526016</v>
      </c>
      <c r="AD7">
        <f>'Motorcycles INEGI'!AH4</f>
        <v>2.8761538335064016</v>
      </c>
      <c r="AE7">
        <f>'Motorcycles INEGI'!AI4</f>
        <v>2.9431593275602017</v>
      </c>
      <c r="AF7">
        <f>'Motorcycles INEGI'!AJ4</f>
        <v>3.0101648216140018</v>
      </c>
      <c r="AG7" s="5">
        <f t="shared" si="0"/>
        <v>3.0771703156678019</v>
      </c>
      <c r="AH7" s="5">
        <f t="shared" si="0"/>
        <v>3.1441758097216019</v>
      </c>
      <c r="AI7" s="5">
        <f t="shared" si="0"/>
        <v>3.211181303775402</v>
      </c>
      <c r="AJ7" s="5">
        <f t="shared" si="0"/>
        <v>3.2781867978292021</v>
      </c>
      <c r="AK7" s="5">
        <f t="shared" si="0"/>
        <v>3.3451922918830022</v>
      </c>
      <c r="AL7" s="5">
        <f t="shared" si="0"/>
        <v>3.4121977859368022</v>
      </c>
      <c r="AM7" s="5">
        <f t="shared" si="0"/>
        <v>3.4792032799906023</v>
      </c>
      <c r="AN7" s="5">
        <f t="shared" si="0"/>
        <v>3.5462087740444024</v>
      </c>
      <c r="AO7" s="5">
        <f t="shared" si="0"/>
        <v>3.6132142680982025</v>
      </c>
      <c r="AP7" s="5">
        <f t="shared" si="0"/>
        <v>3.6802197621520025</v>
      </c>
      <c r="AQ7" s="5">
        <f t="shared" si="1"/>
        <v>3.7472252562058026</v>
      </c>
      <c r="AR7" s="5">
        <f t="shared" si="1"/>
        <v>3.8142307502596027</v>
      </c>
      <c r="AS7" s="5">
        <f t="shared" si="1"/>
        <v>3.8812362443134028</v>
      </c>
      <c r="AT7" s="5">
        <f t="shared" si="1"/>
        <v>3.9482417383672028</v>
      </c>
      <c r="AU7" s="5">
        <f t="shared" si="1"/>
        <v>4.0152472324210029</v>
      </c>
      <c r="AV7" s="5">
        <f t="shared" si="1"/>
        <v>4.0822527264748025</v>
      </c>
      <c r="AW7" s="5">
        <f t="shared" si="1"/>
        <v>4.1492582205286022</v>
      </c>
      <c r="AX7" s="5">
        <f t="shared" si="1"/>
        <v>4.2162637145824018</v>
      </c>
      <c r="AY7" s="5">
        <f t="shared" si="1"/>
        <v>4.2832692086362014</v>
      </c>
      <c r="AZ7" s="5">
        <f t="shared" si="1"/>
        <v>4.350274702690001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Z7"/>
  <sheetViews>
    <sheetView tabSelected="1" workbookViewId="0">
      <selection activeCell="K17" sqref="K17"/>
    </sheetView>
  </sheetViews>
  <sheetFormatPr defaultColWidth="8.85546875" defaultRowHeight="15"/>
  <cols>
    <col min="1" max="1" width="16.42578125" customWidth="1"/>
    <col min="2" max="3" width="9.140625" customWidth="1"/>
  </cols>
  <sheetData>
    <row r="1" spans="1:52" ht="75">
      <c r="A1" s="4" t="s">
        <v>94</v>
      </c>
      <c r="B1" s="4">
        <v>2020</v>
      </c>
      <c r="C1" s="4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t="s">
        <v>75</v>
      </c>
      <c r="B2">
        <f>'Mexico-Christopher'!BY51</f>
        <v>1</v>
      </c>
      <c r="C2">
        <f>'Mexico-Christopher'!BZ51</f>
        <v>1.0385932627131045</v>
      </c>
      <c r="D2">
        <f>'Mexico-Christopher'!CA51</f>
        <v>1.0784414487732614</v>
      </c>
      <c r="E2">
        <f>'Mexico-Christopher'!CB51</f>
        <v>1.1202194576261209</v>
      </c>
      <c r="F2">
        <f>'Mexico-Christopher'!CC51</f>
        <v>1.1636914791099409</v>
      </c>
      <c r="G2">
        <f>'Mexico-Christopher'!CD51</f>
        <v>1.2083993661006789</v>
      </c>
      <c r="H2">
        <f>'Mexico-Christopher'!CE51</f>
        <v>1.254300206905419</v>
      </c>
      <c r="I2">
        <f>'Mexico-Christopher'!CF51</f>
        <v>1.3018501668461027</v>
      </c>
      <c r="J2">
        <f>'Mexico-Christopher'!CG51</f>
        <v>1.3507721475305807</v>
      </c>
      <c r="K2">
        <f>'Mexico-Christopher'!CH51</f>
        <v>1.401156837297185</v>
      </c>
      <c r="L2">
        <f>'Mexico-Christopher'!CI51</f>
        <v>1.4529417307155381</v>
      </c>
      <c r="M2">
        <f>'Mexico-Christopher'!CJ51</f>
        <v>1.5058790951380567</v>
      </c>
      <c r="N2">
        <f>'Mexico-Christopher'!CK51</f>
        <v>1.5598803471596283</v>
      </c>
      <c r="O2">
        <f>'Mexico-Christopher'!CL51</f>
        <v>1.6147902221634951</v>
      </c>
      <c r="P2">
        <f>'Mexico-Christopher'!CM51</f>
        <v>1.6706613311907124</v>
      </c>
      <c r="Q2">
        <f>'Mexico-Christopher'!CN51</f>
        <v>1.6971866235837214</v>
      </c>
      <c r="R2">
        <f>'Mexico-Christopher'!CO51</f>
        <v>1.7241679291189547</v>
      </c>
      <c r="S2">
        <f>'Mexico-Christopher'!CP51</f>
        <v>1.7516134442351898</v>
      </c>
      <c r="T2">
        <f>'Mexico-Christopher'!CQ51</f>
        <v>1.779531516296476</v>
      </c>
      <c r="U2">
        <f>'Mexico-Christopher'!CR51</f>
        <v>1.8079306464065628</v>
      </c>
      <c r="V2">
        <f>'Mexico-Christopher'!CS51</f>
        <v>1.8368194922761574</v>
      </c>
      <c r="W2">
        <f>'Mexico-Christopher'!CT51</f>
        <v>1.8662068711439974</v>
      </c>
      <c r="X2">
        <f>'Mexico-Christopher'!CU51</f>
        <v>1.8961017627527592</v>
      </c>
      <c r="Y2">
        <f>'Mexico-Christopher'!CV51</f>
        <v>1.9265133123808289</v>
      </c>
      <c r="Z2">
        <f>'Mexico-Christopher'!CW51</f>
        <v>1.9574508339309926</v>
      </c>
      <c r="AA2">
        <f>'Mexico-Christopher'!CX51</f>
        <v>1.9889238130771161</v>
      </c>
      <c r="AB2">
        <f>'Mexico-Christopher'!CY51</f>
        <v>2.0209419104699013</v>
      </c>
      <c r="AC2">
        <f>'Mexico-Christopher'!CZ51</f>
        <v>2.0535149650028468</v>
      </c>
      <c r="AD2">
        <f>'Mexico-Christopher'!DA51</f>
        <v>2.0866529971395233</v>
      </c>
      <c r="AE2">
        <f>'Mexico-Christopher'!DB51</f>
        <v>2.120366212303344</v>
      </c>
      <c r="AF2">
        <f>'Mexico-Christopher'!DC51</f>
        <v>2.1546650043309876</v>
      </c>
      <c r="AG2" s="5">
        <f t="shared" ref="AG2:AZ7" si="0">AF2+(AF2-AA2)/5</f>
        <v>2.187813242581762</v>
      </c>
      <c r="AH2" s="5">
        <f t="shared" si="0"/>
        <v>2.221187509004134</v>
      </c>
      <c r="AI2" s="5">
        <f t="shared" si="0"/>
        <v>2.2547220178043914</v>
      </c>
      <c r="AJ2" s="5">
        <f t="shared" si="0"/>
        <v>2.2883358219373648</v>
      </c>
      <c r="AK2" s="5">
        <f t="shared" si="0"/>
        <v>2.3219297438641688</v>
      </c>
      <c r="AL2" s="5">
        <f t="shared" si="0"/>
        <v>2.3553826917708052</v>
      </c>
      <c r="AM2" s="5">
        <f t="shared" si="0"/>
        <v>2.3888965816086136</v>
      </c>
      <c r="AN2" s="5">
        <f t="shared" si="0"/>
        <v>2.4224383961295097</v>
      </c>
      <c r="AO2" s="5">
        <f t="shared" si="0"/>
        <v>2.4559816717945333</v>
      </c>
      <c r="AP2" s="5">
        <f t="shared" si="0"/>
        <v>2.4895108417659668</v>
      </c>
      <c r="AQ2" s="5">
        <f t="shared" si="0"/>
        <v>2.5230270613463266</v>
      </c>
      <c r="AR2" s="5">
        <f t="shared" si="0"/>
        <v>2.5565559352614309</v>
      </c>
      <c r="AS2" s="5">
        <f t="shared" si="0"/>
        <v>2.5900878059919945</v>
      </c>
      <c r="AT2" s="5">
        <f t="shared" si="0"/>
        <v>2.6236176879644915</v>
      </c>
      <c r="AU2" s="5">
        <f t="shared" si="0"/>
        <v>2.6571448911984832</v>
      </c>
      <c r="AV2" s="5">
        <f t="shared" si="0"/>
        <v>2.6906717010849865</v>
      </c>
      <c r="AW2" s="5">
        <f t="shared" si="0"/>
        <v>2.7242006290327185</v>
      </c>
      <c r="AX2" s="5">
        <f t="shared" si="0"/>
        <v>2.757729567786976</v>
      </c>
      <c r="AY2" s="5">
        <f t="shared" si="0"/>
        <v>2.7912579201459722</v>
      </c>
      <c r="AZ2" s="5">
        <f t="shared" si="0"/>
        <v>2.8247859665822683</v>
      </c>
    </row>
    <row r="3" spans="1:52">
      <c r="A3" t="s">
        <v>76</v>
      </c>
      <c r="B3">
        <f>'Mexico-Christopher'!BY52</f>
        <v>1</v>
      </c>
      <c r="C3">
        <f>'Mexico-Christopher'!BZ52</f>
        <v>1.0385304103583184</v>
      </c>
      <c r="D3">
        <f>'Mexico-Christopher'!CA52</f>
        <v>1.0767815246643786</v>
      </c>
      <c r="E3">
        <f>'Mexico-Christopher'!CB52</f>
        <v>1.116291708231812</v>
      </c>
      <c r="F3">
        <f>'Mexico-Christopher'!CC52</f>
        <v>1.1572663378727004</v>
      </c>
      <c r="G3">
        <f>'Mexico-Christopher'!CD52</f>
        <v>1.1984270166069975</v>
      </c>
      <c r="H3">
        <f>'Mexico-Christopher'!CE52</f>
        <v>1.2392568311247036</v>
      </c>
      <c r="I3">
        <f>'Mexico-Christopher'!CF52</f>
        <v>1.280993365077929</v>
      </c>
      <c r="J3">
        <f>'Mexico-Christopher'!CG52</f>
        <v>1.3232792437422118</v>
      </c>
      <c r="K3">
        <f>'Mexico-Christopher'!CH52</f>
        <v>1.3659814324587078</v>
      </c>
      <c r="L3">
        <f>'Mexico-Christopher'!CI52</f>
        <v>1.4088951853066105</v>
      </c>
      <c r="M3">
        <f>'Mexico-Christopher'!CJ52</f>
        <v>1.4510751413009155</v>
      </c>
      <c r="N3">
        <f>'Mexico-Christopher'!CK52</f>
        <v>1.4921320828157683</v>
      </c>
      <c r="O3">
        <f>'Mexico-Christopher'!CL52</f>
        <v>1.5326929242842628</v>
      </c>
      <c r="P3">
        <f>'Mexico-Christopher'!CM52</f>
        <v>1.5735961091937254</v>
      </c>
      <c r="Q3">
        <f>'Mexico-Christopher'!CN52</f>
        <v>1.5914026680907642</v>
      </c>
      <c r="R3">
        <f>'Mexico-Christopher'!CO52</f>
        <v>1.6094125529379724</v>
      </c>
      <c r="S3">
        <f>'Mexico-Christopher'!CP52</f>
        <v>1.6276281065314355</v>
      </c>
      <c r="T3">
        <f>'Mexico-Christopher'!CQ52</f>
        <v>1.6460516989085121</v>
      </c>
      <c r="U3">
        <f>'Mexico-Christopher'!CR52</f>
        <v>1.6646857276674969</v>
      </c>
      <c r="V3">
        <f>'Mexico-Christopher'!CS52</f>
        <v>1.683532618291071</v>
      </c>
      <c r="W3">
        <f>'Mexico-Christopher'!CT52</f>
        <v>1.7025948244735833</v>
      </c>
      <c r="X3">
        <f>'Mexico-Christopher'!CU52</f>
        <v>1.7218748284522067</v>
      </c>
      <c r="Y3">
        <f>'Mexico-Christopher'!CV52</f>
        <v>1.7413751413420189</v>
      </c>
      <c r="Z3">
        <f>'Mexico-Christopher'!CW52</f>
        <v>1.7610983034750534</v>
      </c>
      <c r="AA3">
        <f>'Mexico-Christopher'!CX52</f>
        <v>1.7810468847433665</v>
      </c>
      <c r="AB3">
        <f>'Mexico-Christopher'!CY52</f>
        <v>1.8012234849461712</v>
      </c>
      <c r="AC3">
        <f>'Mexico-Christopher'!CZ52</f>
        <v>1.8216307341410845</v>
      </c>
      <c r="AD3">
        <f>'Mexico-Christopher'!DA52</f>
        <v>1.8422712929995353</v>
      </c>
      <c r="AE3">
        <f>'Mexico-Christopher'!DB52</f>
        <v>1.8631478531663916</v>
      </c>
      <c r="AF3">
        <f>'Mexico-Christopher'!DC52</f>
        <v>1.8842631376238455</v>
      </c>
      <c r="AG3" s="5">
        <f t="shared" si="0"/>
        <v>1.9049063881999413</v>
      </c>
      <c r="AH3" s="5">
        <f t="shared" si="0"/>
        <v>1.9256429688506953</v>
      </c>
      <c r="AI3" s="5">
        <f t="shared" si="0"/>
        <v>1.9464454157926174</v>
      </c>
      <c r="AJ3" s="5">
        <f t="shared" si="0"/>
        <v>1.9672802403512339</v>
      </c>
      <c r="AK3" s="5">
        <f t="shared" si="0"/>
        <v>1.9881067177882024</v>
      </c>
      <c r="AL3" s="5">
        <f t="shared" si="0"/>
        <v>2.0088754338210739</v>
      </c>
      <c r="AM3" s="5">
        <f t="shared" si="0"/>
        <v>2.0296692429453005</v>
      </c>
      <c r="AN3" s="5">
        <f t="shared" si="0"/>
        <v>2.0504744977642213</v>
      </c>
      <c r="AO3" s="5">
        <f t="shared" si="0"/>
        <v>2.0712803141585421</v>
      </c>
      <c r="AP3" s="5">
        <f t="shared" si="0"/>
        <v>2.0920803289200038</v>
      </c>
      <c r="AQ3" s="5">
        <f t="shared" si="0"/>
        <v>2.1128750511463643</v>
      </c>
      <c r="AR3" s="5">
        <f t="shared" si="0"/>
        <v>2.1336749746114223</v>
      </c>
      <c r="AS3" s="5">
        <f t="shared" si="0"/>
        <v>2.1544761209446466</v>
      </c>
      <c r="AT3" s="5">
        <f t="shared" si="0"/>
        <v>2.1752764455807316</v>
      </c>
      <c r="AU3" s="5">
        <f t="shared" si="0"/>
        <v>2.1960756718651697</v>
      </c>
      <c r="AV3" s="5">
        <f t="shared" si="0"/>
        <v>2.2168747404542031</v>
      </c>
      <c r="AW3" s="5">
        <f t="shared" si="0"/>
        <v>2.2376746783157708</v>
      </c>
      <c r="AX3" s="5">
        <f t="shared" si="0"/>
        <v>2.2584746190566407</v>
      </c>
      <c r="AY3" s="5">
        <f t="shared" si="0"/>
        <v>2.2792743186790396</v>
      </c>
      <c r="AZ3" s="5">
        <f t="shared" si="0"/>
        <v>2.300073893298701</v>
      </c>
    </row>
    <row r="4" spans="1:52">
      <c r="A4" t="s">
        <v>77</v>
      </c>
      <c r="B4">
        <f>'Oil Prospective'!F15</f>
        <v>1</v>
      </c>
      <c r="C4">
        <f>'Oil Prospective'!G15</f>
        <v>1.0286054827175208</v>
      </c>
      <c r="D4">
        <f>'Oil Prospective'!H15</f>
        <v>1.0584028605482716</v>
      </c>
      <c r="E4" s="7">
        <f>'Oil Prospective'!I15</f>
        <v>1.0893921334922527</v>
      </c>
      <c r="F4" s="7">
        <f>'Oil Prospective'!J15</f>
        <v>1.1203814064362336</v>
      </c>
      <c r="G4" s="7">
        <f>'Oil Prospective'!K15</f>
        <v>1.1525625744934445</v>
      </c>
      <c r="H4" s="7">
        <f>'Oil Prospective'!L15</f>
        <v>1.1859356376638854</v>
      </c>
      <c r="I4" s="7">
        <f>'Oil Prospective'!M15</f>
        <v>1.2216924910607865</v>
      </c>
      <c r="J4" s="7">
        <f>'Oil Prospective'!N15</f>
        <v>1.2574493444576877</v>
      </c>
      <c r="K4" s="7">
        <f>'Oil Prospective'!O15</f>
        <v>1.2943980929678187</v>
      </c>
      <c r="L4" s="7">
        <f>'Oil Prospective'!P15</f>
        <v>1.33373063170441</v>
      </c>
      <c r="M4" s="7">
        <f>'Oil Prospective'!Q15</f>
        <v>1.3730631704410012</v>
      </c>
      <c r="N4" s="7">
        <f>'Oil Prospective'!R15</f>
        <v>1.4097735399284832</v>
      </c>
      <c r="O4" s="7">
        <f>'Oil Prospective'!S15</f>
        <v>1.4486769964243129</v>
      </c>
      <c r="P4" s="7">
        <f>'Oil Prospective'!T15</f>
        <v>1.4873087008343187</v>
      </c>
      <c r="Q4" s="7">
        <f>'Oil Prospective'!U15</f>
        <v>1.5253415971394535</v>
      </c>
      <c r="R4" s="7">
        <f>'Oil Prospective'!V15</f>
        <v>1.5634604052443282</v>
      </c>
      <c r="S4" s="7">
        <f>'Oil Prospective'!W15</f>
        <v>1.6021237473182328</v>
      </c>
      <c r="T4" s="7">
        <f>'Oil Prospective'!X15</f>
        <v>1.6402958512514874</v>
      </c>
      <c r="U4" s="7">
        <f>'Oil Prospective'!Y15</f>
        <v>1.6785329956614938</v>
      </c>
      <c r="V4" s="7">
        <f>'Oil Prospective'!Z15</f>
        <v>1.7169163922383666</v>
      </c>
      <c r="W4" s="7">
        <f>'Oil Prospective'!AA15</f>
        <v>1.7552622450421798</v>
      </c>
      <c r="X4" s="7">
        <f>'Oil Prospective'!AB15</f>
        <v>1.7934955072327829</v>
      </c>
      <c r="Y4" s="7">
        <f>'Oil Prospective'!AC15</f>
        <v>1.8318391666882463</v>
      </c>
      <c r="Z4" s="7">
        <f>'Oil Prospective'!AD15</f>
        <v>1.8701666984869807</v>
      </c>
      <c r="AA4" s="7">
        <f>'Oil Prospective'!AE15</f>
        <v>1.9084592621806964</v>
      </c>
      <c r="AB4" s="7">
        <f>'Oil Prospective'!AF15</f>
        <v>1.9467641435855421</v>
      </c>
      <c r="AC4" s="7">
        <f>'Oil Prospective'!AG15</f>
        <v>1.9850921660942509</v>
      </c>
      <c r="AD4" s="7">
        <f>'Oil Prospective'!AH15</f>
        <v>2.0233953205803132</v>
      </c>
      <c r="AE4" s="7">
        <f>'Oil Prospective'!AI15</f>
        <v>2.0617025626156336</v>
      </c>
      <c r="AF4" s="7">
        <f>'Oil Prospective'!AJ15</f>
        <v>2.1000180243706779</v>
      </c>
      <c r="AG4" s="5">
        <f t="shared" si="0"/>
        <v>2.138329776808674</v>
      </c>
      <c r="AH4" s="5">
        <f t="shared" si="0"/>
        <v>2.1766429034533004</v>
      </c>
      <c r="AI4" s="5">
        <f t="shared" si="0"/>
        <v>2.2149530509251103</v>
      </c>
      <c r="AJ4" s="5">
        <f t="shared" si="0"/>
        <v>2.2532645969940699</v>
      </c>
      <c r="AK4" s="5">
        <f t="shared" si="0"/>
        <v>2.2915770038697572</v>
      </c>
      <c r="AL4" s="5">
        <f t="shared" si="0"/>
        <v>2.3298887997695732</v>
      </c>
      <c r="AM4" s="5">
        <f t="shared" si="0"/>
        <v>2.3682006043617529</v>
      </c>
      <c r="AN4" s="5">
        <f t="shared" si="0"/>
        <v>2.4065121445434436</v>
      </c>
      <c r="AO4" s="5">
        <f t="shared" si="0"/>
        <v>2.4448239632671105</v>
      </c>
      <c r="AP4" s="5">
        <f t="shared" si="0"/>
        <v>2.4831358365217184</v>
      </c>
      <c r="AQ4" s="5">
        <f t="shared" si="0"/>
        <v>2.5214476030521107</v>
      </c>
      <c r="AR4" s="5">
        <f t="shared" si="0"/>
        <v>2.559759363708618</v>
      </c>
      <c r="AS4" s="5">
        <f t="shared" si="0"/>
        <v>2.5980711155779912</v>
      </c>
      <c r="AT4" s="5">
        <f t="shared" si="0"/>
        <v>2.6363829097849005</v>
      </c>
      <c r="AU4" s="5">
        <f t="shared" si="0"/>
        <v>2.6746946990884584</v>
      </c>
      <c r="AV4" s="5">
        <f t="shared" si="0"/>
        <v>2.7130064716018065</v>
      </c>
      <c r="AW4" s="5">
        <f t="shared" si="0"/>
        <v>2.7513182453117455</v>
      </c>
      <c r="AX4" s="5">
        <f t="shared" si="0"/>
        <v>2.7896300216323708</v>
      </c>
      <c r="AY4" s="5">
        <f t="shared" si="0"/>
        <v>2.8279418028432466</v>
      </c>
      <c r="AZ4" s="5">
        <f t="shared" si="0"/>
        <v>2.8662535814549157</v>
      </c>
    </row>
    <row r="5" spans="1:52">
      <c r="A5" t="s">
        <v>78</v>
      </c>
      <c r="B5">
        <f>'Oil Prospective'!F16</f>
        <v>1</v>
      </c>
      <c r="C5">
        <f>'Oil Prospective'!G16</f>
        <v>1.0335570469798658</v>
      </c>
      <c r="D5">
        <f>'Oil Prospective'!H16</f>
        <v>1.0671140939597314</v>
      </c>
      <c r="E5">
        <f>'Oil Prospective'!I16</f>
        <v>1.1006711409395973</v>
      </c>
      <c r="F5">
        <f>'Oil Prospective'!J16</f>
        <v>1.1342281879194629</v>
      </c>
      <c r="G5">
        <f>'Oil Prospective'!K16</f>
        <v>1.1677852348993287</v>
      </c>
      <c r="H5">
        <f>'Oil Prospective'!L16</f>
        <v>1.2013422818791946</v>
      </c>
      <c r="I5">
        <f>'Oil Prospective'!M16</f>
        <v>1.2416107382550334</v>
      </c>
      <c r="J5">
        <f>'Oil Prospective'!N16</f>
        <v>1.2751677852348993</v>
      </c>
      <c r="K5">
        <f>'Oil Prospective'!O16</f>
        <v>1.3154362416107384</v>
      </c>
      <c r="L5">
        <f>'Oil Prospective'!P16</f>
        <v>1.355704697986577</v>
      </c>
      <c r="M5">
        <f>'Oil Prospective'!Q16</f>
        <v>1.3959731543624161</v>
      </c>
      <c r="N5">
        <f>'Oil Prospective'!R16</f>
        <v>1.4335570469798591</v>
      </c>
      <c r="O5">
        <f>'Oil Prospective'!S16</f>
        <v>1.4743624161073876</v>
      </c>
      <c r="P5">
        <f>'Oil Prospective'!T16</f>
        <v>1.5137181208053683</v>
      </c>
      <c r="Q5">
        <f>'Oil Prospective'!U16</f>
        <v>1.5529879194630838</v>
      </c>
      <c r="R5">
        <f>'Oil Prospective'!V16</f>
        <v>1.592376912751676</v>
      </c>
      <c r="S5">
        <f>'Oil Prospective'!W16</f>
        <v>1.6322800536912707</v>
      </c>
      <c r="T5">
        <f>'Oil Prospective'!X16</f>
        <v>1.6714933046979856</v>
      </c>
      <c r="U5">
        <f>'Oil Prospective'!Y16</f>
        <v>1.7110240128858973</v>
      </c>
      <c r="V5">
        <f>'Oil Prospective'!Z16</f>
        <v>1.7505890143355607</v>
      </c>
      <c r="W5">
        <f>'Oil Prospective'!AA16</f>
        <v>1.7901031083811969</v>
      </c>
      <c r="X5">
        <f>'Oil Prospective'!AB16</f>
        <v>1.8295204445035969</v>
      </c>
      <c r="Y5">
        <f>'Oil Prospective'!AC16</f>
        <v>1.8690859894927934</v>
      </c>
      <c r="Z5">
        <f>'Oil Prospective'!AD16</f>
        <v>1.9085811289343513</v>
      </c>
      <c r="AA5">
        <f>'Oil Prospective'!AE16</f>
        <v>1.948066070222241</v>
      </c>
      <c r="AB5">
        <f>'Oil Prospective'!AF16</f>
        <v>1.9875673307406765</v>
      </c>
      <c r="AC5">
        <f>'Oil Prospective'!AG16</f>
        <v>2.0270863487398123</v>
      </c>
      <c r="AD5">
        <f>'Oil Prospective'!AH16</f>
        <v>2.066573449716079</v>
      </c>
      <c r="AE5">
        <f>'Oil Prospective'!AI16</f>
        <v>2.1060763416949464</v>
      </c>
      <c r="AF5">
        <f>'Oil Prospective'!AJ16</f>
        <v>2.1455819067989905</v>
      </c>
      <c r="AG5" s="5">
        <f t="shared" si="0"/>
        <v>2.1850850741143404</v>
      </c>
      <c r="AH5" s="5">
        <f t="shared" si="0"/>
        <v>2.224588622789073</v>
      </c>
      <c r="AI5" s="5">
        <f t="shared" si="0"/>
        <v>2.2640890775989253</v>
      </c>
      <c r="AJ5" s="5">
        <f t="shared" si="0"/>
        <v>2.3035922031754947</v>
      </c>
      <c r="AK5" s="5">
        <f t="shared" si="0"/>
        <v>2.3430953754716044</v>
      </c>
      <c r="AL5" s="5">
        <f t="shared" si="0"/>
        <v>2.3825980692061273</v>
      </c>
      <c r="AM5" s="5">
        <f t="shared" si="0"/>
        <v>2.4221006682244846</v>
      </c>
      <c r="AN5" s="5">
        <f t="shared" si="0"/>
        <v>2.4616030773115667</v>
      </c>
      <c r="AO5" s="5">
        <f t="shared" si="0"/>
        <v>2.5011058772540951</v>
      </c>
      <c r="AP5" s="5">
        <f t="shared" si="0"/>
        <v>2.540608612069815</v>
      </c>
      <c r="AQ5" s="5">
        <f t="shared" si="0"/>
        <v>2.5801112593894571</v>
      </c>
      <c r="AR5" s="5">
        <f t="shared" si="0"/>
        <v>2.6196138974261229</v>
      </c>
      <c r="AS5" s="5">
        <f t="shared" si="0"/>
        <v>2.6591165432664505</v>
      </c>
      <c r="AT5" s="5">
        <f t="shared" si="0"/>
        <v>2.6986192364574273</v>
      </c>
      <c r="AU5" s="5">
        <f t="shared" si="0"/>
        <v>2.7381219082980937</v>
      </c>
      <c r="AV5" s="5">
        <f t="shared" si="0"/>
        <v>2.7776245675437492</v>
      </c>
      <c r="AW5" s="5">
        <f t="shared" si="0"/>
        <v>2.8171272291746075</v>
      </c>
      <c r="AX5" s="5">
        <f t="shared" si="0"/>
        <v>2.8566298955243044</v>
      </c>
      <c r="AY5" s="5">
        <f t="shared" si="0"/>
        <v>2.8961325659758752</v>
      </c>
      <c r="AZ5" s="5">
        <f t="shared" si="0"/>
        <v>2.9356352318795649</v>
      </c>
    </row>
    <row r="6" spans="1:52">
      <c r="A6" t="s">
        <v>79</v>
      </c>
      <c r="B6">
        <f>'Oil Prospective'!F17</f>
        <v>1</v>
      </c>
      <c r="C6">
        <f>'Oil Prospective'!G17</f>
        <v>1</v>
      </c>
      <c r="D6">
        <f>'Oil Prospective'!H17</f>
        <v>1</v>
      </c>
      <c r="E6">
        <f>'Oil Prospective'!I17</f>
        <v>1.0075187969924813</v>
      </c>
      <c r="F6">
        <f>'Oil Prospective'!J17</f>
        <v>1.0150375939849623</v>
      </c>
      <c r="G6">
        <f>'Oil Prospective'!K17</f>
        <v>1.0150375939849623</v>
      </c>
      <c r="H6">
        <f>'Oil Prospective'!L17</f>
        <v>1.0225563909774436</v>
      </c>
      <c r="I6">
        <f>'Oil Prospective'!M17</f>
        <v>1.0300751879699248</v>
      </c>
      <c r="J6">
        <f>'Oil Prospective'!N17</f>
        <v>1.0375939849624061</v>
      </c>
      <c r="K6">
        <f>'Oil Prospective'!O17</f>
        <v>1.0451127819548871</v>
      </c>
      <c r="L6">
        <f>'Oil Prospective'!P17</f>
        <v>1.0526315789473684</v>
      </c>
      <c r="M6">
        <f>'Oil Prospective'!Q17</f>
        <v>1.0601503759398496</v>
      </c>
      <c r="N6">
        <f>'Oil Prospective'!R17</f>
        <v>1.067669172932332</v>
      </c>
      <c r="O6">
        <f>'Oil Prospective'!S17</f>
        <v>1.0751879699248128</v>
      </c>
      <c r="P6">
        <f>'Oil Prospective'!T17</f>
        <v>1.0827067669172936</v>
      </c>
      <c r="Q6">
        <f>'Oil Prospective'!U17</f>
        <v>1.0902255639097744</v>
      </c>
      <c r="R6">
        <f>'Oil Prospective'!V17</f>
        <v>1.0977443609022552</v>
      </c>
      <c r="S6">
        <f>'Oil Prospective'!W17</f>
        <v>1.1052631578947358</v>
      </c>
      <c r="T6">
        <f>'Oil Prospective'!X17</f>
        <v>1.1127819548872167</v>
      </c>
      <c r="U6">
        <f>'Oil Prospective'!Y17</f>
        <v>1.1203007518796975</v>
      </c>
      <c r="V6">
        <f>'Oil Prospective'!Z17</f>
        <v>1.1278195488721783</v>
      </c>
      <c r="W6">
        <f>'Oil Prospective'!AA17</f>
        <v>1.1353383458646591</v>
      </c>
      <c r="X6">
        <f>'Oil Prospective'!AB17</f>
        <v>1.1428571428571399</v>
      </c>
      <c r="Y6">
        <f>'Oil Prospective'!AC17</f>
        <v>1.1503759398496205</v>
      </c>
      <c r="Z6">
        <f>'Oil Prospective'!AD17</f>
        <v>1.1578947368421013</v>
      </c>
      <c r="AA6">
        <f>'Oil Prospective'!AE17</f>
        <v>1.1654135338345821</v>
      </c>
      <c r="AB6">
        <f>'Oil Prospective'!AF17</f>
        <v>1.1729323308270629</v>
      </c>
      <c r="AC6">
        <f>'Oil Prospective'!AG17</f>
        <v>1.1804511278195438</v>
      </c>
      <c r="AD6">
        <f>'Oil Prospective'!AH17</f>
        <v>1.1879699248120243</v>
      </c>
      <c r="AE6">
        <f>'Oil Prospective'!AI17</f>
        <v>1.1954887218045052</v>
      </c>
      <c r="AF6">
        <f>'Oil Prospective'!AJ17</f>
        <v>1.203007518796986</v>
      </c>
      <c r="AG6" s="5">
        <f t="shared" si="0"/>
        <v>1.2105263157894668</v>
      </c>
      <c r="AH6" s="5">
        <f t="shared" si="0"/>
        <v>1.2180451127819476</v>
      </c>
      <c r="AI6" s="5">
        <f t="shared" si="0"/>
        <v>1.2255639097744284</v>
      </c>
      <c r="AJ6" s="5">
        <f t="shared" si="0"/>
        <v>1.2330827067669092</v>
      </c>
      <c r="AK6" s="5">
        <f t="shared" si="0"/>
        <v>1.24060150375939</v>
      </c>
      <c r="AL6" s="5">
        <f t="shared" si="0"/>
        <v>1.2481203007518709</v>
      </c>
      <c r="AM6" s="5">
        <f t="shared" si="0"/>
        <v>1.2556390977443517</v>
      </c>
      <c r="AN6" s="5">
        <f t="shared" si="0"/>
        <v>1.2631578947368325</v>
      </c>
      <c r="AO6" s="5">
        <f t="shared" si="0"/>
        <v>1.2706766917293133</v>
      </c>
      <c r="AP6" s="5">
        <f t="shared" si="0"/>
        <v>1.2781954887217941</v>
      </c>
      <c r="AQ6" s="5">
        <f t="shared" si="0"/>
        <v>1.2857142857142749</v>
      </c>
      <c r="AR6" s="5">
        <f t="shared" si="0"/>
        <v>1.2932330827067557</v>
      </c>
      <c r="AS6" s="5">
        <f t="shared" si="0"/>
        <v>1.3007518796992366</v>
      </c>
      <c r="AT6" s="5">
        <f t="shared" si="0"/>
        <v>1.3082706766917174</v>
      </c>
      <c r="AU6" s="5">
        <f t="shared" si="0"/>
        <v>1.3157894736841982</v>
      </c>
      <c r="AV6" s="5">
        <f t="shared" si="0"/>
        <v>1.323308270676679</v>
      </c>
      <c r="AW6" s="5">
        <f t="shared" si="0"/>
        <v>1.3308270676691598</v>
      </c>
      <c r="AX6" s="5">
        <f t="shared" si="0"/>
        <v>1.3383458646616406</v>
      </c>
      <c r="AY6" s="5">
        <f t="shared" si="0"/>
        <v>1.3458646616541214</v>
      </c>
      <c r="AZ6" s="5">
        <f t="shared" si="0"/>
        <v>1.3533834586466023</v>
      </c>
    </row>
    <row r="7" spans="1:52">
      <c r="A7" t="s">
        <v>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5">
        <f t="shared" si="0"/>
        <v>0</v>
      </c>
      <c r="AH7" s="5">
        <f t="shared" si="0"/>
        <v>0</v>
      </c>
      <c r="AI7" s="5">
        <f t="shared" si="0"/>
        <v>0</v>
      </c>
      <c r="AJ7" s="5">
        <f t="shared" si="0"/>
        <v>0</v>
      </c>
      <c r="AK7" s="5">
        <f t="shared" si="0"/>
        <v>0</v>
      </c>
      <c r="AL7" s="5">
        <f t="shared" si="0"/>
        <v>0</v>
      </c>
      <c r="AM7" s="5">
        <f t="shared" si="0"/>
        <v>0</v>
      </c>
      <c r="AN7" s="5">
        <f t="shared" si="0"/>
        <v>0</v>
      </c>
      <c r="AO7" s="5">
        <f t="shared" si="0"/>
        <v>0</v>
      </c>
      <c r="AP7" s="5">
        <f t="shared" si="0"/>
        <v>0</v>
      </c>
      <c r="AQ7" s="5">
        <f t="shared" si="0"/>
        <v>0</v>
      </c>
      <c r="AR7" s="5">
        <f t="shared" si="0"/>
        <v>0</v>
      </c>
      <c r="AS7" s="5">
        <f t="shared" si="0"/>
        <v>0</v>
      </c>
      <c r="AT7" s="5">
        <f t="shared" si="0"/>
        <v>0</v>
      </c>
      <c r="AU7" s="5">
        <f t="shared" si="0"/>
        <v>0</v>
      </c>
      <c r="AV7" s="5">
        <f t="shared" si="0"/>
        <v>0</v>
      </c>
      <c r="AW7" s="5">
        <f t="shared" si="0"/>
        <v>0</v>
      </c>
      <c r="AX7" s="5">
        <f t="shared" si="0"/>
        <v>0</v>
      </c>
      <c r="AY7" s="5">
        <f t="shared" si="0"/>
        <v>0</v>
      </c>
      <c r="AZ7" s="5">
        <f t="shared" si="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13B344-85D4-4D88-AA3A-B806A8982D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735FF9-3953-491F-9D62-08844ADA2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C39C73-B2AB-45B7-8076-125344F91E0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Mexico-Christopher</vt:lpstr>
      <vt:lpstr>Oil Prospective</vt:lpstr>
      <vt:lpstr>Motorcycles INEGI</vt:lpstr>
      <vt:lpstr>BCDTRtSY-psgr</vt:lpstr>
      <vt:lpstr>BCDTRtSY-frgt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Olivia Ashmoore</cp:lastModifiedBy>
  <cp:revision/>
  <dcterms:created xsi:type="dcterms:W3CDTF">2017-06-26T22:04:22Z</dcterms:created>
  <dcterms:modified xsi:type="dcterms:W3CDTF">2026-01-23T19:35:45Z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