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317_Trans2/AVIC/"/>
    </mc:Choice>
  </mc:AlternateContent>
  <xr:revisionPtr revIDLastSave="0" documentId="13_ncr:1_{083E375C-7A30-454F-A137-714553A6D949}" xr6:coauthVersionLast="47" xr6:coauthVersionMax="47" xr10:uidLastSave="{00000000-0000-0000-0000-000000000000}"/>
  <bookViews>
    <workbookView xWindow="6320" yWindow="1320" windowWidth="27280" windowHeight="19680" activeTab="2" xr2:uid="{D78DFE5E-0A7F-4A12-AD34-4FEABB0CFCE7}"/>
  </bookViews>
  <sheets>
    <sheet name="About" sheetId="1" r:id="rId1"/>
    <sheet name="Data" sheetId="3" r:id="rId2"/>
    <sheet name="AVI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10" i="3"/>
  <c r="B45" i="3"/>
  <c r="B9" i="3"/>
  <c r="B2" i="2" s="1"/>
  <c r="C2" i="2" s="1"/>
  <c r="A41" i="3"/>
  <c r="A43" i="3" s="1"/>
  <c r="D18" i="3"/>
  <c r="C3" i="2" l="1"/>
  <c r="M6" i="3" l="1"/>
  <c r="L5" i="3"/>
  <c r="L6" i="3" s="1"/>
  <c r="M3" i="3"/>
  <c r="L4" i="3"/>
  <c r="K4" i="3"/>
  <c r="O4" i="3"/>
  <c r="U4" i="3" l="1"/>
  <c r="K5" i="3" l="1"/>
  <c r="K6" i="3" s="1"/>
  <c r="A5" i="3" l="1"/>
  <c r="A7" i="3" s="1"/>
  <c r="B7" i="2"/>
  <c r="C7" i="2" s="1"/>
  <c r="D17" i="3" l="1"/>
  <c r="D19" i="3"/>
  <c r="D20" i="3"/>
  <c r="D16" i="3"/>
  <c r="B28" i="3"/>
  <c r="B29" i="3" s="1"/>
</calcChain>
</file>

<file path=xl/sharedStrings.xml><?xml version="1.0" encoding="utf-8"?>
<sst xmlns="http://schemas.openxmlformats.org/spreadsheetml/2006/main" count="112" uniqueCount="89">
  <si>
    <t>AVIC Annual Vehicle Insurance Cost</t>
  </si>
  <si>
    <t>Source:</t>
  </si>
  <si>
    <t>Passenger LDVs</t>
  </si>
  <si>
    <t>Freight LDVs</t>
  </si>
  <si>
    <t>Car and Driver magazine</t>
  </si>
  <si>
    <t>Commercial Auto Insurance Cost: Everything You Need to Know</t>
  </si>
  <si>
    <t>https://www.caranddriver.com/car-insurance/a36232977/commercial-auto-insurance-cost/</t>
  </si>
  <si>
    <t>Freight HDVs</t>
  </si>
  <si>
    <t>Progressive Commercial</t>
  </si>
  <si>
    <t>undated</t>
  </si>
  <si>
    <t>What does commercial truck insurance cost?</t>
  </si>
  <si>
    <t>https://www.progressivecommercial.com/commercial-auto-insurance/truck-insurance/commercial-truck-insurance-cost/</t>
  </si>
  <si>
    <t>Passenger HDVs (buses)</t>
  </si>
  <si>
    <t>Bus Insurance HQ</t>
  </si>
  <si>
    <t>https://www.businsurancehq.com/bus-insurance-cost/</t>
  </si>
  <si>
    <t>Passenger Motorbikes</t>
  </si>
  <si>
    <t>Average Cost of Motorcycle Insurance (2022)</t>
  </si>
  <si>
    <t>Notes</t>
  </si>
  <si>
    <t>Insurance costs for rail, commercial airlines, and freight shipping is harder to come by.  It appears these firms</t>
  </si>
  <si>
    <t>often buy policies covering a broader share of company operations, not just individual vehicles.  For instance,</t>
  </si>
  <si>
    <t>a railroad's insurance might cover up to $X million in damages/liability from covered causes across the railroad's</t>
  </si>
  <si>
    <t>entire system, and would include things like damage caused by spills, collisions, etc.</t>
  </si>
  <si>
    <t>It appears that per-vehicle insurance may not be the correct way to price insurance costs for commercial</t>
  </si>
  <si>
    <t>airlines, rail, or freight shipping, so we leave those values set to zero in this variable.</t>
  </si>
  <si>
    <t>2019 to 2012 USD</t>
  </si>
  <si>
    <t>2020 to 2012 USD</t>
  </si>
  <si>
    <t>Passenger LDV</t>
  </si>
  <si>
    <t>Using data from Car and Driver magazine (2021):</t>
  </si>
  <si>
    <t>Low</t>
  </si>
  <si>
    <t>High</t>
  </si>
  <si>
    <t>Simple Avg</t>
  </si>
  <si>
    <t>standard car used for business purposes</t>
  </si>
  <si>
    <t>$/yr (2021 USD)</t>
  </si>
  <si>
    <t>Limousine</t>
  </si>
  <si>
    <t>Cargo or delivery van</t>
  </si>
  <si>
    <t>Taxi</t>
  </si>
  <si>
    <t>Semi-truck</t>
  </si>
  <si>
    <t>For freight LDVs, the value for "cargo or delivery van" is most appropriate.</t>
  </si>
  <si>
    <t>Avg. for specialty truckers</t>
  </si>
  <si>
    <t>$/mth</t>
  </si>
  <si>
    <t>Avg. for transport truckers</t>
  </si>
  <si>
    <t>Overall simple average</t>
  </si>
  <si>
    <t>Annualized</t>
  </si>
  <si>
    <t>$/yr</t>
  </si>
  <si>
    <t>Likely includes primary liability insurance, physical damage insurance, occupational accident coverage, and general liability insurance.</t>
  </si>
  <si>
    <t>For more on these insurance types, see https://www.caranddriver.com/car-insurance/a36320549/truck-insurance-cost/</t>
  </si>
  <si>
    <t>50-state average</t>
  </si>
  <si>
    <t>2012 USD/year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</si>
  <si>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</si>
  <si>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</si>
  <si>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</si>
  <si>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</si>
  <si>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</si>
  <si>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</si>
  <si>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</si>
  <si>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</si>
  <si>
    <t>Parque</t>
  </si>
  <si>
    <t>Asegurados</t>
  </si>
  <si>
    <t>Primas</t>
  </si>
  <si>
    <t>Aseguradora</t>
  </si>
  <si>
    <t>R.C.</t>
  </si>
  <si>
    <t>Limitada</t>
  </si>
  <si>
    <t>Amplia</t>
  </si>
  <si>
    <t>Quálitas</t>
  </si>
  <si>
    <t>GNP</t>
  </si>
  <si>
    <t>Mapfre</t>
  </si>
  <si>
    <t>https://cotizator.com/seguros-para-motos/</t>
  </si>
  <si>
    <t>Data from AMIS:</t>
  </si>
  <si>
    <t>https://centroestadisticoamis.mx/finanzas-reportes-en-excel/</t>
  </si>
  <si>
    <t>Q3</t>
  </si>
  <si>
    <t>Q2</t>
  </si>
  <si>
    <t>Q1</t>
  </si>
  <si>
    <t>$ / yr (2022 Mexican pesos)</t>
  </si>
  <si>
    <t>MXN/USD FIX 2022</t>
  </si>
  <si>
    <t>USD 2022</t>
  </si>
  <si>
    <t>Q4</t>
  </si>
  <si>
    <t>Primas total</t>
  </si>
  <si>
    <t>2022 to 2012 USD</t>
  </si>
  <si>
    <t>2021 to 2012 USD</t>
  </si>
  <si>
    <t>Currency Conversion from CPI</t>
  </si>
  <si>
    <t>$/yr (2012 USD)</t>
  </si>
  <si>
    <t>(2022)</t>
  </si>
  <si>
    <t>Freight multipier</t>
  </si>
  <si>
    <t>Motorbikes</t>
  </si>
  <si>
    <t>Asociación Mexicana de Instituciones de seguros AMIS</t>
  </si>
  <si>
    <t>US Ref</t>
  </si>
  <si>
    <t>Cotizador.com</t>
  </si>
  <si>
    <t>Data on insurnace costs for LDVs is available online.</t>
  </si>
  <si>
    <t>Freight and HDV costs derived from US price ratios.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</si>
</sst>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0.000"/>
    <numFmt numFmtId="169" formatCode="_(* #,##0.000_);_(* \(#,##0.000\);_(* &quot;-&quot;??_);_(@_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entury Gothic"/>
      <family val="2"/>
    </font>
    <font>
      <b/>
      <sz val="11"/>
      <color rgb="FFFFFFFF"/>
      <name val="Inter"/>
    </font>
    <font>
      <sz val="11"/>
      <color theme="1"/>
      <name val="Inter"/>
    </font>
    <font>
      <sz val="18"/>
      <color rgb="FF00335A"/>
      <name val="Inter"/>
    </font>
    <font>
      <b/>
      <sz val="11"/>
      <name val="Inte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4" borderId="0" xfId="0" applyFill="1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right"/>
    </xf>
    <xf numFmtId="3" fontId="4" fillId="0" borderId="0" xfId="0" applyNumberFormat="1" applyFont="1" applyAlignment="1" applyProtection="1">
      <alignment horizontal="right" vertical="center" indent="1"/>
      <protection locked="0" hidden="1"/>
    </xf>
    <xf numFmtId="0" fontId="5" fillId="0" borderId="0" xfId="0" applyFont="1"/>
    <xf numFmtId="0" fontId="6" fillId="0" borderId="0" xfId="0" applyFont="1"/>
    <xf numFmtId="8" fontId="6" fillId="0" borderId="0" xfId="0" applyNumberFormat="1" applyFont="1"/>
    <xf numFmtId="0" fontId="7" fillId="0" borderId="0" xfId="0" applyFont="1"/>
    <xf numFmtId="0" fontId="8" fillId="0" borderId="0" xfId="0" applyFont="1"/>
    <xf numFmtId="0" fontId="0" fillId="0" borderId="0" xfId="0" quotePrefix="1"/>
    <xf numFmtId="0" fontId="4" fillId="0" borderId="0" xfId="2" applyNumberFormat="1" applyFont="1" applyAlignment="1" applyProtection="1">
      <alignment horizontal="right" vertical="center" indent="1"/>
      <protection locked="0" hidden="1"/>
    </xf>
    <xf numFmtId="0" fontId="9" fillId="0" borderId="0" xfId="0" applyFont="1"/>
    <xf numFmtId="169" fontId="10" fillId="5" borderId="0" xfId="2" applyNumberFormat="1" applyFont="1" applyFill="1"/>
    <xf numFmtId="43" fontId="0" fillId="0" borderId="0" xfId="0" applyNumberFormat="1"/>
    <xf numFmtId="9" fontId="0" fillId="0" borderId="0" xfId="3" applyFont="1"/>
    <xf numFmtId="10" fontId="0" fillId="0" borderId="0" xfId="3" applyNumberFormat="1" applyFont="1"/>
    <xf numFmtId="43" fontId="0" fillId="0" borderId="0" xfId="2" applyFont="1"/>
    <xf numFmtId="43" fontId="0" fillId="4" borderId="0" xfId="0" applyNumberFormat="1" applyFill="1"/>
    <xf numFmtId="8" fontId="0" fillId="0" borderId="0" xfId="2" applyNumberFormat="1" applyFont="1"/>
  </cellXfs>
  <cellStyles count="4">
    <cellStyle name="Comma" xfId="2" builtinId="3"/>
    <cellStyle name="Hyperlink" xfId="1" builtinId="8"/>
    <cellStyle name="Normal" xfId="0" builtinId="0"/>
    <cellStyle name="Per cent" xfId="3" builtinId="5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surancehq.com/bus-insurance-cost/" TargetMode="External"/><Relationship Id="rId2" Type="http://schemas.openxmlformats.org/officeDocument/2006/relationships/hyperlink" Target="https://www.progressivecommercial.com/commercial-auto-insurance/truck-insurance/commercial-truck-insurance-cost/" TargetMode="External"/><Relationship Id="rId1" Type="http://schemas.openxmlformats.org/officeDocument/2006/relationships/hyperlink" Target="https://centroestadisticoamis.mx/finanzas-reportes-en-excel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aranddriver.com/car-insurance/a36232977/commercial-auto-insurance-cos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entroestadisticoamis.mx/finanzas-reportes-en-excel/" TargetMode="External"/><Relationship Id="rId1" Type="http://schemas.openxmlformats.org/officeDocument/2006/relationships/hyperlink" Target="https://cotizator.com/seguros-para-mot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0369-4F84-43C0-97E9-6D0C01E4139F}">
  <dimension ref="A1:B48"/>
  <sheetViews>
    <sheetView topLeftCell="A3" workbookViewId="0">
      <selection activeCell="A35" sqref="A35:XFD35"/>
    </sheetView>
  </sheetViews>
  <sheetFormatPr baseColWidth="10" defaultColWidth="8.83203125" defaultRowHeight="15"/>
  <cols>
    <col min="2" max="2" width="60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84</v>
      </c>
    </row>
    <row r="5" spans="1:2">
      <c r="B5" s="3">
        <v>2022</v>
      </c>
    </row>
    <row r="6" spans="1:2">
      <c r="B6" s="4" t="s">
        <v>68</v>
      </c>
    </row>
    <row r="8" spans="1:2">
      <c r="B8" s="2" t="s">
        <v>3</v>
      </c>
    </row>
    <row r="9" spans="1:2">
      <c r="B9" t="s">
        <v>4</v>
      </c>
    </row>
    <row r="10" spans="1:2">
      <c r="B10" s="3">
        <v>2021</v>
      </c>
    </row>
    <row r="11" spans="1:2">
      <c r="B11" t="s">
        <v>5</v>
      </c>
    </row>
    <row r="12" spans="1:2">
      <c r="B12" s="4" t="s">
        <v>6</v>
      </c>
    </row>
    <row r="14" spans="1:2">
      <c r="B14" s="2" t="s">
        <v>7</v>
      </c>
    </row>
    <row r="15" spans="1:2">
      <c r="B15" t="s">
        <v>8</v>
      </c>
    </row>
    <row r="16" spans="1:2">
      <c r="B16" t="s">
        <v>9</v>
      </c>
    </row>
    <row r="17" spans="1:2">
      <c r="B17" t="s">
        <v>10</v>
      </c>
    </row>
    <row r="18" spans="1:2">
      <c r="B18" s="4" t="s">
        <v>11</v>
      </c>
    </row>
    <row r="20" spans="1:2">
      <c r="B20" s="2" t="s">
        <v>12</v>
      </c>
    </row>
    <row r="21" spans="1:2">
      <c r="B21" t="s">
        <v>13</v>
      </c>
    </row>
    <row r="22" spans="1:2">
      <c r="B22" t="s">
        <v>9</v>
      </c>
    </row>
    <row r="23" spans="1:2">
      <c r="B23" s="4" t="s">
        <v>14</v>
      </c>
    </row>
    <row r="25" spans="1:2">
      <c r="B25" s="2" t="s">
        <v>15</v>
      </c>
    </row>
    <row r="26" spans="1:2">
      <c r="B26" t="s">
        <v>86</v>
      </c>
    </row>
    <row r="27" spans="1:2">
      <c r="B27" s="3">
        <v>2022</v>
      </c>
    </row>
    <row r="28" spans="1:2">
      <c r="B28" t="s">
        <v>16</v>
      </c>
    </row>
    <row r="29" spans="1:2">
      <c r="B29" s="4" t="s">
        <v>66</v>
      </c>
    </row>
    <row r="31" spans="1:2">
      <c r="A31" s="1" t="s">
        <v>17</v>
      </c>
    </row>
    <row r="32" spans="1:2">
      <c r="A32" t="s">
        <v>87</v>
      </c>
    </row>
    <row r="33" spans="1:2">
      <c r="A33" t="s">
        <v>88</v>
      </c>
    </row>
    <row r="35" spans="1:2">
      <c r="A35" t="s">
        <v>18</v>
      </c>
    </row>
    <row r="36" spans="1:2">
      <c r="A36" t="s">
        <v>19</v>
      </c>
    </row>
    <row r="37" spans="1:2">
      <c r="A37" t="s">
        <v>20</v>
      </c>
    </row>
    <row r="38" spans="1:2">
      <c r="A38" t="s">
        <v>21</v>
      </c>
    </row>
    <row r="39" spans="1:2">
      <c r="A39" t="s">
        <v>22</v>
      </c>
    </row>
    <row r="40" spans="1:2">
      <c r="A40" t="s">
        <v>23</v>
      </c>
    </row>
    <row r="42" spans="1:2">
      <c r="A42" s="1" t="s">
        <v>79</v>
      </c>
    </row>
    <row r="44" spans="1:2">
      <c r="A44">
        <v>0.89805481563188172</v>
      </c>
      <c r="B44" t="s">
        <v>24</v>
      </c>
    </row>
    <row r="45" spans="1:2">
      <c r="A45">
        <v>0.88711067149387013</v>
      </c>
      <c r="B45" t="s">
        <v>25</v>
      </c>
    </row>
    <row r="46" spans="1:2">
      <c r="A46" s="10">
        <v>0.84730412960844359</v>
      </c>
      <c r="B46" t="s">
        <v>78</v>
      </c>
    </row>
    <row r="47" spans="1:2">
      <c r="A47">
        <v>0.78452102304761584</v>
      </c>
      <c r="B47" t="s">
        <v>77</v>
      </c>
    </row>
    <row r="48" spans="1:2">
      <c r="A48" s="9"/>
    </row>
  </sheetData>
  <hyperlinks>
    <hyperlink ref="B6" r:id="rId1" xr:uid="{E31DF05E-B87F-4D1B-AC11-F88AEEDA7D2F}"/>
    <hyperlink ref="B18" r:id="rId2" xr:uid="{DC3E2816-48AF-4FA2-A726-B61F86FC64CE}"/>
    <hyperlink ref="B23" r:id="rId3" xr:uid="{929BA16D-4044-4610-8C77-D354B466069A}"/>
    <hyperlink ref="B12" r:id="rId4" xr:uid="{3786F80B-C165-478C-A885-8E7EE782E47E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7FFC-9E03-403C-A103-2A580B24C105}">
  <dimension ref="A1:U52"/>
  <sheetViews>
    <sheetView workbookViewId="0">
      <selection activeCell="B10" sqref="B10"/>
    </sheetView>
  </sheetViews>
  <sheetFormatPr baseColWidth="10" defaultColWidth="8.83203125" defaultRowHeight="15"/>
  <cols>
    <col min="1" max="1" width="27.5" customWidth="1"/>
    <col min="2" max="2" width="11.1640625" customWidth="1"/>
    <col min="7" max="12" width="10.83203125" customWidth="1"/>
    <col min="18" max="18" width="11.1640625" bestFit="1" customWidth="1"/>
  </cols>
  <sheetData>
    <row r="1" spans="1:21">
      <c r="A1" s="6" t="s">
        <v>2</v>
      </c>
      <c r="B1" s="7"/>
      <c r="C1" s="7"/>
      <c r="J1">
        <v>2020</v>
      </c>
      <c r="K1">
        <v>2021</v>
      </c>
      <c r="L1">
        <v>2022</v>
      </c>
      <c r="N1" t="s">
        <v>58</v>
      </c>
    </row>
    <row r="2" spans="1:21">
      <c r="I2" t="s">
        <v>56</v>
      </c>
      <c r="J2" s="13">
        <v>50347569</v>
      </c>
      <c r="K2" s="13">
        <v>53115396</v>
      </c>
      <c r="L2" s="13">
        <v>55167421</v>
      </c>
      <c r="N2" s="20">
        <v>2022</v>
      </c>
      <c r="O2" s="13">
        <v>2021</v>
      </c>
      <c r="P2" s="20">
        <v>2022</v>
      </c>
      <c r="Q2" s="13">
        <v>2021</v>
      </c>
      <c r="R2" s="20">
        <v>2022</v>
      </c>
      <c r="S2" s="13">
        <v>2021</v>
      </c>
      <c r="T2" s="20">
        <v>2022</v>
      </c>
      <c r="U2" s="13">
        <v>2021</v>
      </c>
    </row>
    <row r="3" spans="1:21">
      <c r="A3" t="s">
        <v>67</v>
      </c>
      <c r="B3" s="4" t="s">
        <v>68</v>
      </c>
      <c r="I3" t="s">
        <v>57</v>
      </c>
      <c r="J3" s="13">
        <v>14386107</v>
      </c>
      <c r="K3" s="13">
        <v>15011246</v>
      </c>
      <c r="L3" s="13">
        <v>15353091</v>
      </c>
      <c r="M3" s="24">
        <f>L3/L2</f>
        <v>0.27829995895584825</v>
      </c>
      <c r="N3" t="s">
        <v>75</v>
      </c>
      <c r="O3" t="s">
        <v>75</v>
      </c>
      <c r="P3" t="s">
        <v>69</v>
      </c>
      <c r="Q3" t="s">
        <v>69</v>
      </c>
      <c r="R3" t="s">
        <v>70</v>
      </c>
      <c r="S3" t="s">
        <v>70</v>
      </c>
      <c r="T3" t="s">
        <v>71</v>
      </c>
      <c r="U3" t="s">
        <v>71</v>
      </c>
    </row>
    <row r="4" spans="1:21">
      <c r="J4" t="s">
        <v>76</v>
      </c>
      <c r="K4" s="13">
        <f>O4+Q4+S4+U4</f>
        <v>1469005433.2865109</v>
      </c>
      <c r="L4" s="13">
        <f>N4+P4+R4+T4</f>
        <v>1556552653.6220899</v>
      </c>
      <c r="N4" s="13">
        <v>666940231.74629998</v>
      </c>
      <c r="O4" s="13">
        <f>633397048.49517</f>
        <v>633397048.49517</v>
      </c>
      <c r="P4">
        <v>514131958.56499976</v>
      </c>
      <c r="Q4">
        <v>479330104.92046976</v>
      </c>
      <c r="R4">
        <v>350560952.33578008</v>
      </c>
      <c r="S4">
        <v>335852451.20283002</v>
      </c>
      <c r="T4">
        <v>24919510.97501</v>
      </c>
      <c r="U4">
        <f>T4/1.22</f>
        <v>20425828.668040983</v>
      </c>
    </row>
    <row r="5" spans="1:21">
      <c r="A5" s="26">
        <f>L6*1000</f>
        <v>8448.6388529302767</v>
      </c>
      <c r="B5" s="21" t="s">
        <v>72</v>
      </c>
      <c r="K5">
        <f t="shared" ref="K5:L5" si="0">K4/K3</f>
        <v>97.860326403718318</v>
      </c>
      <c r="L5">
        <f t="shared" si="0"/>
        <v>101.38366623516332</v>
      </c>
      <c r="M5" s="24"/>
    </row>
    <row r="6" spans="1:21">
      <c r="A6" s="22">
        <v>20.124999726027369</v>
      </c>
      <c r="B6" t="s">
        <v>73</v>
      </c>
      <c r="K6">
        <f>K5/12</f>
        <v>8.1550272003098598</v>
      </c>
      <c r="L6">
        <f>L5/12</f>
        <v>8.4486388529302765</v>
      </c>
      <c r="M6" s="25">
        <f t="shared" ref="M5:M6" si="1">L6/K6-1</f>
        <v>3.6003761288406322E-2</v>
      </c>
    </row>
    <row r="7" spans="1:21">
      <c r="A7" s="23">
        <f>A5/A6</f>
        <v>419.80814747558856</v>
      </c>
      <c r="B7" t="s">
        <v>74</v>
      </c>
    </row>
    <row r="8" spans="1:21">
      <c r="E8" t="s">
        <v>85</v>
      </c>
    </row>
    <row r="9" spans="1:21">
      <c r="A9" t="s">
        <v>26</v>
      </c>
      <c r="B9" s="27">
        <f>A7*About!$A$47</f>
        <v>329.34831734127312</v>
      </c>
      <c r="C9" t="s">
        <v>80</v>
      </c>
      <c r="E9">
        <v>1194</v>
      </c>
    </row>
    <row r="10" spans="1:21">
      <c r="A10" t="s">
        <v>82</v>
      </c>
      <c r="B10">
        <f>D18/E9</f>
        <v>3.9782244556113904</v>
      </c>
    </row>
    <row r="11" spans="1:21">
      <c r="A11" s="6" t="s">
        <v>3</v>
      </c>
      <c r="B11" s="7"/>
      <c r="C11" s="7"/>
    </row>
    <row r="13" spans="1:21">
      <c r="A13" t="s">
        <v>27</v>
      </c>
    </row>
    <row r="15" spans="1:21">
      <c r="B15" t="s">
        <v>28</v>
      </c>
      <c r="C15" t="s">
        <v>29</v>
      </c>
      <c r="D15" t="s">
        <v>30</v>
      </c>
    </row>
    <row r="16" spans="1:21">
      <c r="A16" t="s">
        <v>31</v>
      </c>
      <c r="B16">
        <v>600</v>
      </c>
      <c r="C16">
        <v>2400</v>
      </c>
      <c r="D16">
        <f>AVERAGE(B16:C16)</f>
        <v>1500</v>
      </c>
      <c r="E16" t="s">
        <v>32</v>
      </c>
    </row>
    <row r="17" spans="1:5">
      <c r="A17" t="s">
        <v>33</v>
      </c>
      <c r="B17">
        <v>4000</v>
      </c>
      <c r="C17">
        <v>10000</v>
      </c>
      <c r="D17">
        <f t="shared" ref="D17:D20" si="2">AVERAGE(B17:C17)</f>
        <v>7000</v>
      </c>
      <c r="E17" t="s">
        <v>32</v>
      </c>
    </row>
    <row r="18" spans="1:5">
      <c r="A18" t="s">
        <v>34</v>
      </c>
      <c r="B18">
        <v>3300</v>
      </c>
      <c r="C18">
        <v>6200</v>
      </c>
      <c r="D18" s="8">
        <f>AVERAGE(B18:C18)</f>
        <v>4750</v>
      </c>
      <c r="E18" t="s">
        <v>32</v>
      </c>
    </row>
    <row r="19" spans="1:5">
      <c r="A19" t="s">
        <v>35</v>
      </c>
      <c r="B19">
        <v>5000</v>
      </c>
      <c r="C19">
        <v>10000</v>
      </c>
      <c r="D19">
        <f t="shared" si="2"/>
        <v>7500</v>
      </c>
      <c r="E19" t="s">
        <v>32</v>
      </c>
    </row>
    <row r="20" spans="1:5">
      <c r="A20" t="s">
        <v>36</v>
      </c>
      <c r="B20">
        <v>8000</v>
      </c>
      <c r="C20">
        <v>12500</v>
      </c>
      <c r="D20">
        <f t="shared" si="2"/>
        <v>10250</v>
      </c>
      <c r="E20" t="s">
        <v>32</v>
      </c>
    </row>
    <row r="22" spans="1:5">
      <c r="A22" t="s">
        <v>37</v>
      </c>
    </row>
    <row r="24" spans="1:5">
      <c r="A24" s="6" t="s">
        <v>7</v>
      </c>
      <c r="B24" s="7"/>
      <c r="C24" s="7"/>
    </row>
    <row r="26" spans="1:5">
      <c r="A26" t="s">
        <v>38</v>
      </c>
      <c r="B26">
        <v>640</v>
      </c>
      <c r="C26" t="s">
        <v>39</v>
      </c>
    </row>
    <row r="27" spans="1:5">
      <c r="A27" t="s">
        <v>40</v>
      </c>
      <c r="B27">
        <v>982</v>
      </c>
      <c r="C27" t="s">
        <v>39</v>
      </c>
    </row>
    <row r="28" spans="1:5">
      <c r="A28" t="s">
        <v>41</v>
      </c>
      <c r="B28">
        <f>AVERAGE(B26:B27)</f>
        <v>811</v>
      </c>
      <c r="C28" t="s">
        <v>39</v>
      </c>
    </row>
    <row r="29" spans="1:5">
      <c r="A29" t="s">
        <v>42</v>
      </c>
      <c r="B29" s="8">
        <f>B28*12</f>
        <v>9732</v>
      </c>
      <c r="C29" t="s">
        <v>43</v>
      </c>
    </row>
    <row r="31" spans="1:5">
      <c r="A31" t="s">
        <v>44</v>
      </c>
    </row>
    <row r="32" spans="1:5">
      <c r="A32" t="s">
        <v>45</v>
      </c>
    </row>
    <row r="34" spans="1:9">
      <c r="A34" s="6" t="s">
        <v>12</v>
      </c>
      <c r="B34" s="7"/>
      <c r="C34" s="7"/>
    </row>
    <row r="36" spans="1:9">
      <c r="A36" t="s">
        <v>46</v>
      </c>
      <c r="B36" s="8">
        <v>9420</v>
      </c>
      <c r="C36" t="s">
        <v>43</v>
      </c>
    </row>
    <row r="38" spans="1:9">
      <c r="A38" s="6" t="s">
        <v>15</v>
      </c>
      <c r="B38" s="7"/>
      <c r="C38" s="7"/>
    </row>
    <row r="39" spans="1:9">
      <c r="F39" s="14" t="s">
        <v>59</v>
      </c>
      <c r="G39" s="18" t="s">
        <v>60</v>
      </c>
      <c r="H39" s="18" t="s">
        <v>61</v>
      </c>
      <c r="I39" s="18" t="s">
        <v>62</v>
      </c>
    </row>
    <row r="40" spans="1:9">
      <c r="A40" s="4" t="s">
        <v>66</v>
      </c>
      <c r="C40" s="19" t="s">
        <v>81</v>
      </c>
      <c r="F40" s="15" t="s">
        <v>63</v>
      </c>
      <c r="G40" s="16">
        <v>3879.75</v>
      </c>
      <c r="H40" s="16">
        <v>5029.91</v>
      </c>
      <c r="I40" s="16">
        <v>5741.5</v>
      </c>
    </row>
    <row r="41" spans="1:9">
      <c r="A41" s="28">
        <f>AVERAGE(H40:H42)</f>
        <v>4031.47</v>
      </c>
      <c r="B41" s="21" t="s">
        <v>72</v>
      </c>
      <c r="F41" s="15" t="s">
        <v>64</v>
      </c>
      <c r="G41" s="16">
        <v>3184.2</v>
      </c>
      <c r="H41" s="16">
        <v>3703.85</v>
      </c>
      <c r="I41" s="16">
        <v>4940.21</v>
      </c>
    </row>
    <row r="42" spans="1:9">
      <c r="A42" s="22">
        <v>20.124999726027369</v>
      </c>
      <c r="B42" t="s">
        <v>73</v>
      </c>
      <c r="F42" s="15" t="s">
        <v>65</v>
      </c>
      <c r="G42" s="16">
        <v>2803.5</v>
      </c>
      <c r="H42" s="16">
        <v>3360.65</v>
      </c>
      <c r="I42" s="16">
        <v>4468.25</v>
      </c>
    </row>
    <row r="43" spans="1:9">
      <c r="A43" s="23">
        <f>A41/A42</f>
        <v>200.32149341031584</v>
      </c>
      <c r="B43" t="s">
        <v>74</v>
      </c>
    </row>
    <row r="44" spans="1:9">
      <c r="F44" s="14"/>
      <c r="G44" s="14"/>
      <c r="H44" s="14"/>
      <c r="I44" s="14"/>
    </row>
    <row r="45" spans="1:9">
      <c r="A45" t="s">
        <v>83</v>
      </c>
      <c r="B45" s="27">
        <f>A43*About!$A$47</f>
        <v>157.15642294868721</v>
      </c>
      <c r="C45" t="s">
        <v>32</v>
      </c>
      <c r="F45" s="15"/>
      <c r="G45" s="16"/>
      <c r="H45" s="16"/>
      <c r="I45" s="16"/>
    </row>
    <row r="46" spans="1:9">
      <c r="F46" s="15"/>
      <c r="G46" s="16"/>
      <c r="H46" s="16"/>
      <c r="I46" s="16"/>
    </row>
    <row r="47" spans="1:9">
      <c r="F47" s="15"/>
      <c r="G47" s="16"/>
      <c r="H47" s="16"/>
      <c r="I47" s="16"/>
    </row>
    <row r="48" spans="1:9" ht="23">
      <c r="F48" s="17"/>
    </row>
    <row r="49" spans="6:9">
      <c r="F49" s="14"/>
      <c r="G49" s="14"/>
      <c r="H49" s="14"/>
      <c r="I49" s="14"/>
    </row>
    <row r="50" spans="6:9">
      <c r="F50" s="15"/>
      <c r="G50" s="16"/>
      <c r="H50" s="16"/>
      <c r="I50" s="16"/>
    </row>
    <row r="51" spans="6:9">
      <c r="F51" s="15"/>
      <c r="G51" s="16"/>
      <c r="H51" s="16"/>
      <c r="I51" s="16"/>
    </row>
    <row r="52" spans="6:9">
      <c r="F52" s="15"/>
      <c r="G52" s="16"/>
      <c r="H52" s="16"/>
      <c r="I52" s="16"/>
    </row>
  </sheetData>
  <conditionalFormatting sqref="N2:U2 N4:O4 K4:L4 J2:L3">
    <cfRule type="cellIs" dxfId="0" priority="3" operator="notEqual">
      <formula>""</formula>
    </cfRule>
  </conditionalFormatting>
  <hyperlinks>
    <hyperlink ref="A40" r:id="rId1" xr:uid="{671F9E8F-1BF1-C54B-929F-FA72E2D897E4}"/>
    <hyperlink ref="B3" r:id="rId2" xr:uid="{C2CDF93E-835F-D64A-837D-E6BEE34C10C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F2D4-8FE2-493C-8905-78A0E4F67148}">
  <sheetPr>
    <tabColor theme="4" tint="-0.249977111117893"/>
  </sheetPr>
  <dimension ref="A1:C7"/>
  <sheetViews>
    <sheetView tabSelected="1" workbookViewId="0">
      <selection activeCell="B7" sqref="B7"/>
    </sheetView>
  </sheetViews>
  <sheetFormatPr baseColWidth="10" defaultColWidth="8.83203125" defaultRowHeight="15"/>
  <cols>
    <col min="1" max="1" width="16.1640625" customWidth="1"/>
    <col min="2" max="3" width="12.33203125" customWidth="1"/>
  </cols>
  <sheetData>
    <row r="1" spans="1:3" ht="16">
      <c r="A1" s="5" t="s">
        <v>47</v>
      </c>
      <c r="B1" s="12" t="s">
        <v>48</v>
      </c>
      <c r="C1" s="12" t="s">
        <v>49</v>
      </c>
    </row>
    <row r="2" spans="1:3">
      <c r="A2" s="1" t="s">
        <v>50</v>
      </c>
      <c r="B2" s="11">
        <f>Data!B9</f>
        <v>329.34831734127312</v>
      </c>
      <c r="C2" s="11">
        <f>B2*Data!B10</f>
        <v>1310.2215304615138</v>
      </c>
    </row>
    <row r="3" spans="1:3">
      <c r="A3" s="1" t="s">
        <v>51</v>
      </c>
      <c r="B3" s="11">
        <f>Data!B9*Data!B36/Data!E9</f>
        <v>2598.3761719889385</v>
      </c>
      <c r="C3" s="11">
        <f>Data!B9*Data!B29/Data!E9</f>
        <v>2684.4370388318844</v>
      </c>
    </row>
    <row r="4" spans="1:3">
      <c r="A4" s="1" t="s">
        <v>52</v>
      </c>
      <c r="B4">
        <v>0</v>
      </c>
      <c r="C4">
        <v>0</v>
      </c>
    </row>
    <row r="5" spans="1:3">
      <c r="A5" s="1" t="s">
        <v>53</v>
      </c>
      <c r="B5">
        <v>0</v>
      </c>
      <c r="C5">
        <v>0</v>
      </c>
    </row>
    <row r="6" spans="1:3">
      <c r="A6" s="1" t="s">
        <v>54</v>
      </c>
      <c r="B6">
        <v>0</v>
      </c>
      <c r="C6">
        <v>0</v>
      </c>
    </row>
    <row r="7" spans="1:3">
      <c r="A7" s="1" t="s">
        <v>55</v>
      </c>
      <c r="B7" s="11">
        <f>Data!B45*About!A46</f>
        <v>133.15928615891386</v>
      </c>
      <c r="C7" s="11">
        <f>B7</f>
        <v>133.15928615891386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7473B2-83D9-45A8-83D2-E2A069A84A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927D8B-79E8-4806-AD7F-CBF8CB098B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BF38D7-E59B-40FC-B81B-BCE3E87E076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AVIC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>Updated for Mexico by Fernando Olea, March2025</dc:description>
  <cp:lastModifiedBy>Fernando Olea</cp:lastModifiedBy>
  <cp:revision/>
  <dcterms:created xsi:type="dcterms:W3CDTF">2021-12-14T23:26:11Z</dcterms:created>
  <dcterms:modified xsi:type="dcterms:W3CDTF">2025-03-18T02:30:47Z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