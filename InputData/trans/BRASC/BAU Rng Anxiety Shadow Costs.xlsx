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1"/>
  <workbookPr/>
  <mc:AlternateContent xmlns:mc="http://schemas.openxmlformats.org/markup-compatibility/2006">
    <mc:Choice Requires="x15">
      <x15ac:absPath xmlns:x15ac="http://schemas.microsoft.com/office/spreadsheetml/2010/11/ac" url="/Users/andreazafra/Downloads/Variables EPS en proceso/"/>
    </mc:Choice>
  </mc:AlternateContent>
  <xr:revisionPtr revIDLastSave="0" documentId="13_ncr:1_{CEC3C5A2-5768-764E-9429-BF9293703E4D}" xr6:coauthVersionLast="47" xr6:coauthVersionMax="47" xr10:uidLastSave="{00000000-0000-0000-0000-000000000000}"/>
  <bookViews>
    <workbookView xWindow="35420" yWindow="3200" windowWidth="28880" windowHeight="17740" firstSheet="2" activeTab="2" xr2:uid="{00000000-000D-0000-FFFF-FFFF00000000}"/>
  </bookViews>
  <sheets>
    <sheet name="About" sheetId="1" r:id="rId1"/>
    <sheet name="Calculations" sheetId="4" r:id="rId2"/>
    <sheet name="BRASC" sheetId="3" r:id="rId3"/>
  </sheets>
  <definedNames>
    <definedName name="income">Calculations!#REF!</definedName>
    <definedName name="Range_EV">Calculations!$B$9</definedName>
    <definedName name="range_ICE">Calculations!$B$8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4" l="1"/>
  <c r="D11" i="4" s="1"/>
  <c r="C10" i="4"/>
  <c r="C11" i="4" s="1"/>
  <c r="C15" i="4" s="1"/>
  <c r="B10" i="4"/>
  <c r="B11" i="4" s="1"/>
  <c r="B15" i="4" s="1"/>
  <c r="D8" i="4"/>
  <c r="D15" i="4" l="1"/>
  <c r="H2" i="3" a="1"/>
  <c r="H2" i="3" s="1"/>
  <c r="I2" i="3" a="1"/>
  <c r="I2" i="3" s="1"/>
  <c r="C2" i="3" a="1"/>
  <c r="C2" i="3" s="1"/>
  <c r="J2" i="3" a="1"/>
  <c r="J2" i="3" s="1"/>
  <c r="B2" i="3" a="1"/>
  <c r="B2" i="3" s="1"/>
  <c r="D2" i="3" a="1"/>
  <c r="D2" i="3" s="1"/>
  <c r="E2" i="3" a="1"/>
  <c r="E2" i="3" s="1"/>
  <c r="F2" i="3" a="1"/>
  <c r="F2" i="3" s="1"/>
  <c r="K2" i="3" a="1"/>
  <c r="K2" i="3" s="1"/>
  <c r="L2" i="3" a="1"/>
  <c r="L2" i="3" s="1"/>
  <c r="G2" i="3" a="1"/>
  <c r="G2" i="3" s="1"/>
  <c r="AF2" i="3" a="1"/>
  <c r="AF2" i="3" s="1"/>
  <c r="N2" i="3" a="1"/>
  <c r="N2" i="3" s="1"/>
  <c r="O2" i="3" a="1"/>
  <c r="O2" i="3" s="1"/>
  <c r="Z2" i="3" a="1"/>
  <c r="Z2" i="3" s="1"/>
  <c r="M2" i="3" a="1"/>
  <c r="M2" i="3" s="1"/>
  <c r="U2" i="3" a="1"/>
  <c r="U2" i="3" s="1"/>
  <c r="AA2" i="3" a="1"/>
  <c r="AA2" i="3" s="1"/>
  <c r="S2" i="3" a="1"/>
  <c r="S2" i="3" s="1"/>
  <c r="AE2" i="3" a="1"/>
  <c r="AE2" i="3" s="1"/>
  <c r="T2" i="3" a="1"/>
  <c r="T2" i="3" s="1"/>
  <c r="P2" i="3" a="1"/>
  <c r="P2" i="3" s="1"/>
  <c r="Q2" i="3" a="1"/>
  <c r="Q2" i="3" s="1"/>
  <c r="V2" i="3" a="1"/>
  <c r="V2" i="3" s="1"/>
  <c r="AB2" i="3" a="1"/>
  <c r="AB2" i="3" s="1"/>
  <c r="AC2" i="3" a="1"/>
  <c r="AC2" i="3" s="1"/>
  <c r="R2" i="3" a="1"/>
  <c r="R2" i="3" s="1"/>
  <c r="X2" i="3" a="1"/>
  <c r="X2" i="3" s="1"/>
  <c r="AD2" i="3" a="1"/>
  <c r="AD2" i="3" s="1"/>
  <c r="Y2" i="3" a="1"/>
  <c r="Y2" i="3" s="1"/>
  <c r="W2" i="3" a="1"/>
  <c r="W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<sst xmlns="http://schemas.openxmlformats.org/spreadsheetml/2006/main" count="42" uniqueCount="41">
  <si>
    <t>BRAaCTSC BAU Range Anxiety Shadow Cost</t>
  </si>
  <si>
    <t>Source:</t>
  </si>
  <si>
    <t>Median MEX Income</t>
  </si>
  <si>
    <t>Encuesta Nacional de Ingresos y Gastos de los Hogares Estacional (ENIGH E) 2022</t>
  </si>
  <si>
    <t>https://www.inegi.org.mx/contenidos/saladeprensa/boletines/2023/ENIGH-E/ENIGH-E2022.pdf</t>
  </si>
  <si>
    <t>First bullet of "Highlights"</t>
  </si>
  <si>
    <t>Range and Fueling Availability 'Costs'</t>
  </si>
  <si>
    <t>US Department of Energy</t>
  </si>
  <si>
    <t>https://www.nrel.gov/docs/fy13osti/55639.pdf</t>
  </si>
  <si>
    <t>Gasoline vehicle range</t>
  </si>
  <si>
    <t>All-Electric Vehicle Ranges Can Exceed Those of Some Gasoline Vehicles</t>
  </si>
  <si>
    <t>https://www.energy.gov/eere/vehicles/fact-939-august-22-2016-all-electric-vehicle-ranges-can-exceed-those-some-gasoline</t>
  </si>
  <si>
    <t>First Figure</t>
  </si>
  <si>
    <t>EV range</t>
  </si>
  <si>
    <t>Inside Evs</t>
  </si>
  <si>
    <t>The Median Range of Fully Electric Vehicles Exceeded 250 Miles in 2020</t>
  </si>
  <si>
    <t>https://insideevs.com/news/464449/median-range-evs-2020-exceeded-250-miles/</t>
  </si>
  <si>
    <t>Notes</t>
  </si>
  <si>
    <t>This variable represents the perceived cost of range anxiety - the fear (or inconvenience around) that</t>
  </si>
  <si>
    <t>the vehicle has insufficient range to reach its destination.</t>
  </si>
  <si>
    <t>In the US, we use a DOE study to calculate a Range Compensating Value and a Fuel Availability Value.</t>
  </si>
  <si>
    <t>The Range Compensating Value uses parameters from the DOE study, the median household income (MEX),</t>
  </si>
  <si>
    <t>and the median ranges of ICE and EV vehicles. For EV vehicles, the current median range has already surpassed</t>
  </si>
  <si>
    <t xml:space="preserve">250 miles and is forecated to continue improving. Therefore, we start with today's median range, and assume </t>
  </si>
  <si>
    <t>the range will reach 300 miles by 2050.</t>
  </si>
  <si>
    <t>Currency Conversion</t>
  </si>
  <si>
    <t>2022 to 2012 USD</t>
  </si>
  <si>
    <t>Range Compensating Value</t>
  </si>
  <si>
    <t>b1</t>
  </si>
  <si>
    <t>b2</t>
  </si>
  <si>
    <t>b3</t>
  </si>
  <si>
    <t>b4</t>
  </si>
  <si>
    <t>median range ice (hundred miles)</t>
  </si>
  <si>
    <t>range ev (hundred miles)</t>
  </si>
  <si>
    <t>income (MXN) - MEX</t>
  </si>
  <si>
    <t xml:space="preserve">income (thousand USD 2022) - MEX </t>
  </si>
  <si>
    <t xml:space="preserve">*2020 median range taken from historical data. 2030 and 2050 are estimated, with the 2050 </t>
  </si>
  <si>
    <t>range roughly corresponding to today's maximum range</t>
  </si>
  <si>
    <t>cv (thousand USD) - MX</t>
  </si>
  <si>
    <t>Cost ($/vehicle)</t>
  </si>
  <si>
    <t>Shadow cost (MX)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</si>
</sst>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4" fillId="0" borderId="0"/>
  </cellStyleXfs>
  <cellXfs count="13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1"/>
    <xf numFmtId="0" fontId="3" fillId="0" borderId="0" xfId="0" applyFont="1"/>
    <xf numFmtId="0" fontId="5" fillId="0" borderId="0" xfId="0" applyFont="1"/>
    <xf numFmtId="0" fontId="0" fillId="3" borderId="0" xfId="0" applyFill="1"/>
    <xf numFmtId="2" fontId="0" fillId="3" borderId="0" xfId="0" applyNumberFormat="1" applyFill="1"/>
  </cellXfs>
  <cellStyles count="3">
    <cellStyle name="Hyperlink" xfId="1" builtinId="8"/>
    <cellStyle name="Normal" xfId="0" builtinId="0"/>
    <cellStyle name="Normal 3 2" xfId="2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sideevs.com/news/464449/median-range-evs-2020-exceeded-250-miles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topLeftCell="A18" zoomScale="166" workbookViewId="0">
      <selection activeCell="A37" sqref="A37:XFD37"/>
    </sheetView>
  </sheetViews>
  <sheetFormatPr defaultColWidth="8.85546875" defaultRowHeight="15"/>
  <cols>
    <col min="1" max="1" width="16.42578125" customWidth="1"/>
    <col min="2" max="2" width="31.85546875" customWidth="1"/>
  </cols>
  <sheetData>
    <row r="1" spans="1:2">
      <c r="A1" s="1" t="s">
        <v>0</v>
      </c>
    </row>
    <row r="3" spans="1:2">
      <c r="A3" s="1" t="s">
        <v>1</v>
      </c>
      <c r="B3" s="6" t="s">
        <v>2</v>
      </c>
    </row>
    <row r="4" spans="1:2">
      <c r="B4" s="7" t="s">
        <v>3</v>
      </c>
    </row>
    <row r="5" spans="1:2">
      <c r="B5" s="7">
        <v>2022</v>
      </c>
    </row>
    <row r="6" spans="1:2">
      <c r="B6" t="s">
        <v>4</v>
      </c>
    </row>
    <row r="7" spans="1:2">
      <c r="A7" s="2"/>
      <c r="B7" t="s">
        <v>5</v>
      </c>
    </row>
    <row r="9" spans="1:2">
      <c r="B9" s="6" t="s">
        <v>6</v>
      </c>
    </row>
    <row r="10" spans="1:2">
      <c r="B10" t="s">
        <v>7</v>
      </c>
    </row>
    <row r="11" spans="1:2">
      <c r="B11" s="7">
        <v>2013</v>
      </c>
    </row>
    <row r="12" spans="1:2">
      <c r="B12" t="s">
        <v>8</v>
      </c>
    </row>
    <row r="14" spans="1:2">
      <c r="B14" s="6" t="s">
        <v>9</v>
      </c>
    </row>
    <row r="15" spans="1:2">
      <c r="B15" t="s">
        <v>7</v>
      </c>
    </row>
    <row r="16" spans="1:2">
      <c r="B16" s="7">
        <v>2016</v>
      </c>
    </row>
    <row r="17" spans="1:2">
      <c r="B17" t="s">
        <v>10</v>
      </c>
    </row>
    <row r="18" spans="1:2">
      <c r="B18" t="s">
        <v>11</v>
      </c>
    </row>
    <row r="19" spans="1:2">
      <c r="B19" t="s">
        <v>12</v>
      </c>
    </row>
    <row r="21" spans="1:2">
      <c r="B21" s="6" t="s">
        <v>13</v>
      </c>
    </row>
    <row r="22" spans="1:2">
      <c r="B22" t="s">
        <v>14</v>
      </c>
    </row>
    <row r="23" spans="1:2">
      <c r="B23" s="7">
        <v>2021</v>
      </c>
    </row>
    <row r="24" spans="1:2">
      <c r="B24" t="s">
        <v>15</v>
      </c>
    </row>
    <row r="25" spans="1:2">
      <c r="B25" s="8" t="s">
        <v>16</v>
      </c>
    </row>
    <row r="27" spans="1:2">
      <c r="A27" s="1" t="s">
        <v>17</v>
      </c>
    </row>
    <row r="28" spans="1:2">
      <c r="A28" t="s">
        <v>18</v>
      </c>
    </row>
    <row r="29" spans="1:2">
      <c r="A29" t="s">
        <v>19</v>
      </c>
    </row>
    <row r="30" spans="1:2">
      <c r="A30" s="1"/>
    </row>
    <row r="31" spans="1:2">
      <c r="A31" t="s">
        <v>20</v>
      </c>
    </row>
    <row r="32" spans="1:2">
      <c r="A32" t="s">
        <v>21</v>
      </c>
    </row>
    <row r="33" spans="1:2">
      <c r="A33" t="s">
        <v>22</v>
      </c>
    </row>
    <row r="34" spans="1:2">
      <c r="A34" t="s">
        <v>23</v>
      </c>
    </row>
    <row r="35" spans="1:2">
      <c r="A35" t="s">
        <v>24</v>
      </c>
    </row>
    <row r="36" spans="1:2">
      <c r="A36" t="s">
        <v>25</v>
      </c>
    </row>
    <row r="37" spans="1:2">
      <c r="A37" t="s">
        <v>26</v>
      </c>
      <c r="B37" s="10">
        <v>0.78452100000000002</v>
      </c>
    </row>
  </sheetData>
  <hyperlinks>
    <hyperlink ref="B25" r:id="rId1" xr:uid="{14EF0A86-0973-41E2-9D23-51C96C77958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A17B3-AFD9-42DA-AB68-E46FC6CF1D40}">
  <dimension ref="A1:D15"/>
  <sheetViews>
    <sheetView zoomScale="150" zoomScaleNormal="150" workbookViewId="0">
      <selection activeCell="A20" sqref="A20"/>
    </sheetView>
  </sheetViews>
  <sheetFormatPr defaultColWidth="8.85546875" defaultRowHeight="15"/>
  <cols>
    <col min="1" max="1" width="31.42578125" customWidth="1"/>
    <col min="2" max="2" width="26.42578125" customWidth="1"/>
    <col min="3" max="4" width="12" bestFit="1" customWidth="1"/>
  </cols>
  <sheetData>
    <row r="1" spans="1:4" s="1" customFormat="1">
      <c r="A1" s="1" t="s">
        <v>27</v>
      </c>
    </row>
    <row r="2" spans="1:4">
      <c r="A2" t="s">
        <v>28</v>
      </c>
      <c r="B2">
        <v>-0.36099999999999999</v>
      </c>
    </row>
    <row r="3" spans="1:4">
      <c r="A3" t="s">
        <v>29</v>
      </c>
    </row>
    <row r="4" spans="1:4">
      <c r="A4" t="s">
        <v>30</v>
      </c>
      <c r="B4">
        <v>1.268</v>
      </c>
    </row>
    <row r="5" spans="1:4">
      <c r="A5" t="s">
        <v>31</v>
      </c>
      <c r="B5">
        <v>-0.11600000000000001</v>
      </c>
    </row>
    <row r="7" spans="1:4">
      <c r="B7">
        <v>2020</v>
      </c>
      <c r="C7">
        <v>2030</v>
      </c>
      <c r="D7">
        <v>2050</v>
      </c>
    </row>
    <row r="8" spans="1:4">
      <c r="A8" t="s">
        <v>32</v>
      </c>
      <c r="B8">
        <v>4.12</v>
      </c>
      <c r="C8">
        <v>4.12</v>
      </c>
      <c r="D8">
        <f>B8</f>
        <v>4.12</v>
      </c>
    </row>
    <row r="9" spans="1:4">
      <c r="A9" t="s">
        <v>33</v>
      </c>
      <c r="B9">
        <v>2.59</v>
      </c>
      <c r="C9" s="9">
        <v>3</v>
      </c>
      <c r="D9" s="9">
        <v>4.12</v>
      </c>
    </row>
    <row r="10" spans="1:4">
      <c r="A10" t="s">
        <v>34</v>
      </c>
      <c r="B10">
        <f>66485*4</f>
        <v>265940</v>
      </c>
      <c r="C10">
        <f>66485*4</f>
        <v>265940</v>
      </c>
      <c r="D10">
        <f>66485*4</f>
        <v>265940</v>
      </c>
    </row>
    <row r="11" spans="1:4">
      <c r="A11" s="11" t="s">
        <v>35</v>
      </c>
      <c r="B11" s="12">
        <f>B10/20.1205/1000</f>
        <v>13.217365373623915</v>
      </c>
      <c r="C11" s="12">
        <f t="shared" ref="C11:D11" si="0">C10/20.1205/1000</f>
        <v>13.217365373623915</v>
      </c>
      <c r="D11" s="12">
        <f t="shared" si="0"/>
        <v>13.217365373623915</v>
      </c>
    </row>
    <row r="12" spans="1:4">
      <c r="A12" t="s">
        <v>36</v>
      </c>
    </row>
    <row r="13" spans="1:4">
      <c r="A13" t="s">
        <v>37</v>
      </c>
    </row>
    <row r="15" spans="1:4">
      <c r="A15" t="s">
        <v>38</v>
      </c>
      <c r="B15" s="5">
        <f>($B$4/$B$2*B9*(1-B8/B9)+$B$5/$B$2*B9^2*(1-B8^2/B9^2))*LN(B11)*About!$B$37</f>
        <v>4.2028425852495674</v>
      </c>
      <c r="C15" s="5">
        <f>($B$4/$B$2*C9*(1-C8/C9)+$B$5/$B$2*C9^2*(1-C8^2/C9^2))*LN(C11)*About!$B$37</f>
        <v>2.7777534409668769</v>
      </c>
      <c r="D15" s="5">
        <f>($B$4/$B$2*D9*(1-D8/D9)+$B$5/$B$2*D9^2*(1-D8^2/D9^2))*LN(D11)*About!$B$37</f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Z2"/>
  <sheetViews>
    <sheetView tabSelected="1" topLeftCell="AF1" workbookViewId="0">
      <selection activeCell="AZ16" sqref="AZ16"/>
    </sheetView>
  </sheetViews>
  <sheetFormatPr defaultColWidth="8.85546875" defaultRowHeight="15"/>
  <cols>
    <col min="1" max="1" width="17.85546875" customWidth="1"/>
  </cols>
  <sheetData>
    <row r="1" spans="1:52">
      <c r="A1" s="1" t="s">
        <v>39</v>
      </c>
      <c r="B1" s="4">
        <v>2020</v>
      </c>
      <c r="C1">
        <v>2021</v>
      </c>
      <c r="D1" s="4">
        <v>2022</v>
      </c>
      <c r="E1">
        <v>2023</v>
      </c>
      <c r="F1" s="4">
        <v>2024</v>
      </c>
      <c r="G1">
        <v>2025</v>
      </c>
      <c r="H1" s="4">
        <v>2026</v>
      </c>
      <c r="I1">
        <v>2027</v>
      </c>
      <c r="J1" s="4">
        <v>2028</v>
      </c>
      <c r="K1">
        <v>2029</v>
      </c>
      <c r="L1" s="4">
        <v>2030</v>
      </c>
      <c r="M1">
        <v>2031</v>
      </c>
      <c r="N1" s="4">
        <v>2032</v>
      </c>
      <c r="O1">
        <v>2033</v>
      </c>
      <c r="P1" s="4">
        <v>2034</v>
      </c>
      <c r="Q1">
        <v>2035</v>
      </c>
      <c r="R1" s="4">
        <v>2036</v>
      </c>
      <c r="S1">
        <v>2037</v>
      </c>
      <c r="T1" s="4">
        <v>2038</v>
      </c>
      <c r="U1">
        <v>2039</v>
      </c>
      <c r="V1" s="4">
        <v>2040</v>
      </c>
      <c r="W1">
        <v>2041</v>
      </c>
      <c r="X1" s="4">
        <v>2042</v>
      </c>
      <c r="Y1">
        <v>2043</v>
      </c>
      <c r="Z1" s="4">
        <v>2044</v>
      </c>
      <c r="AA1">
        <v>2045</v>
      </c>
      <c r="AB1" s="4">
        <v>2046</v>
      </c>
      <c r="AC1">
        <v>2047</v>
      </c>
      <c r="AD1" s="4">
        <v>2048</v>
      </c>
      <c r="AE1">
        <v>2049</v>
      </c>
      <c r="AF1" s="4">
        <v>2050</v>
      </c>
      <c r="AG1">
        <v>2051</v>
      </c>
      <c r="AH1" s="4">
        <v>2052</v>
      </c>
      <c r="AI1">
        <v>2053</v>
      </c>
      <c r="AJ1" s="4">
        <v>2054</v>
      </c>
      <c r="AK1">
        <v>2055</v>
      </c>
      <c r="AL1" s="4">
        <v>2056</v>
      </c>
      <c r="AM1">
        <v>2057</v>
      </c>
      <c r="AN1" s="4">
        <v>2058</v>
      </c>
      <c r="AO1">
        <v>2059</v>
      </c>
      <c r="AP1" s="4">
        <v>2060</v>
      </c>
      <c r="AQ1">
        <v>2061</v>
      </c>
      <c r="AR1" s="4">
        <v>2062</v>
      </c>
      <c r="AS1">
        <v>2063</v>
      </c>
      <c r="AT1" s="4">
        <v>2064</v>
      </c>
      <c r="AU1">
        <v>2065</v>
      </c>
      <c r="AV1" s="4">
        <v>2066</v>
      </c>
      <c r="AW1">
        <v>2067</v>
      </c>
      <c r="AX1" s="4">
        <v>2068</v>
      </c>
      <c r="AY1">
        <v>2069</v>
      </c>
      <c r="AZ1" s="4">
        <v>2070</v>
      </c>
    </row>
    <row r="2" spans="1:52">
      <c r="A2" t="s">
        <v>40</v>
      </c>
      <c r="B2" s="3" cm="1">
        <f t="array" ref="B2">TREND(Calculations!$B$15:$C$15,Calculations!$B$7:$C$7,B1)*1000*About!$B$37</f>
        <v>3297.2182678225445</v>
      </c>
      <c r="C2" s="3" cm="1">
        <f t="array" ref="C2">TREND(Calculations!$B$15:$C$15,Calculations!$B$7:$C$7,C1)*1000*About!$B$37</f>
        <v>3185.4170317663588</v>
      </c>
      <c r="D2" s="3" cm="1">
        <f t="array" ref="D2">TREND(Calculations!$B$15:$C$15,Calculations!$B$7:$C$7,D1)*1000*About!$B$37</f>
        <v>3073.6157957102173</v>
      </c>
      <c r="E2" s="3" cm="1">
        <f t="array" ref="E2">TREND(Calculations!$B$15:$C$15,Calculations!$B$7:$C$7,E1)*1000*About!$B$37</f>
        <v>2961.8145596540317</v>
      </c>
      <c r="F2" s="3" cm="1">
        <f t="array" ref="F2">TREND(Calculations!$B$15:$C$15,Calculations!$B$7:$C$7,F1)*1000*About!$B$37</f>
        <v>2850.0133235978456</v>
      </c>
      <c r="G2" s="3" cm="1">
        <f t="array" ref="G2">TREND(Calculations!$B$15:$C$15,Calculations!$B$7:$C$7,G1)*1000*About!$B$37</f>
        <v>2738.2120875416595</v>
      </c>
      <c r="H2" s="3" cm="1">
        <f t="array" ref="H2">TREND(Calculations!$B$15:$C$15,Calculations!$B$7:$C$7,H1)*1000*About!$B$37</f>
        <v>2626.4108514854738</v>
      </c>
      <c r="I2" s="3" cm="1">
        <f t="array" ref="I2">TREND(Calculations!$B$15:$C$15,Calculations!$B$7:$C$7,I1)*1000*About!$B$37</f>
        <v>2514.6096154292877</v>
      </c>
      <c r="J2" s="3" cm="1">
        <f t="array" ref="J2">TREND(Calculations!$B$15:$C$15,Calculations!$B$7:$C$7,J1)*1000*About!$B$37</f>
        <v>2402.8083793731021</v>
      </c>
      <c r="K2" s="3" cm="1">
        <f t="array" ref="K2">TREND(Calculations!$B$15:$C$15,Calculations!$B$7:$C$7,K1)*1000*About!$B$37</f>
        <v>2291.007143316916</v>
      </c>
      <c r="L2" s="3" cm="1">
        <f t="array" ref="L2">TREND(Calculations!$B$15:$C$15,Calculations!$B$7:$C$7,L1)*1000*About!$B$37</f>
        <v>2179.2059072607744</v>
      </c>
      <c r="M2" s="3" cm="1">
        <f t="array" ref="M2">TREND(Calculations!$C$15:$D$15,Calculations!$C$7:$D$7,M1)*1000*About!$B$37</f>
        <v>2070.2456118977493</v>
      </c>
      <c r="N2" s="3" cm="1">
        <f t="array" ref="N2">TREND(Calculations!$C$15:$D$15,Calculations!$C$7:$D$7,N1)*1000*About!$B$37</f>
        <v>1961.285316534724</v>
      </c>
      <c r="O2" s="3" cm="1">
        <f t="array" ref="O2">TREND(Calculations!$C$15:$D$15,Calculations!$C$7:$D$7,O1)*1000*About!$B$37</f>
        <v>1852.3250211716986</v>
      </c>
      <c r="P2" s="3" cm="1">
        <f t="array" ref="P2">TREND(Calculations!$C$15:$D$15,Calculations!$C$7:$D$7,P1)*1000*About!$B$37</f>
        <v>1743.3647258086287</v>
      </c>
      <c r="Q2" s="3" cm="1">
        <f t="array" ref="Q2">TREND(Calculations!$C$15:$D$15,Calculations!$C$7:$D$7,Q1)*1000*About!$B$37</f>
        <v>1634.4044304456033</v>
      </c>
      <c r="R2" s="3" cm="1">
        <f t="array" ref="R2">TREND(Calculations!$C$15:$D$15,Calculations!$C$7:$D$7,R1)*1000*About!$B$37</f>
        <v>1525.444135082578</v>
      </c>
      <c r="S2" s="3" cm="1">
        <f t="array" ref="S2">TREND(Calculations!$C$15:$D$15,Calculations!$C$7:$D$7,S1)*1000*About!$B$37</f>
        <v>1416.4838397195081</v>
      </c>
      <c r="T2" s="3" cm="1">
        <f t="array" ref="T2">TREND(Calculations!$C$15:$D$15,Calculations!$C$7:$D$7,T1)*1000*About!$B$37</f>
        <v>1307.5235443564827</v>
      </c>
      <c r="U2" s="3" cm="1">
        <f t="array" ref="U2">TREND(Calculations!$C$15:$D$15,Calculations!$C$7:$D$7,U1)*1000*About!$B$37</f>
        <v>1198.5632489934574</v>
      </c>
      <c r="V2" s="3" cm="1">
        <f t="array" ref="V2">TREND(Calculations!$C$15:$D$15,Calculations!$C$7:$D$7,V1)*1000*About!$B$37</f>
        <v>1089.6029536303872</v>
      </c>
      <c r="W2" s="3" cm="1">
        <f t="array" ref="W2">TREND(Calculations!$C$15:$D$15,Calculations!$C$7:$D$7,W1)*1000*About!$B$37</f>
        <v>980.64265826736198</v>
      </c>
      <c r="X2" s="3" cm="1">
        <f t="array" ref="X2">TREND(Calculations!$C$15:$D$15,Calculations!$C$7:$D$7,X1)*1000*About!$B$37</f>
        <v>871.68236290433663</v>
      </c>
      <c r="Y2" s="3" cm="1">
        <f t="array" ref="Y2">TREND(Calculations!$C$15:$D$15,Calculations!$C$7:$D$7,Y1)*1000*About!$B$37</f>
        <v>762.72206754131128</v>
      </c>
      <c r="Z2" s="3" cm="1">
        <f t="array" ref="Z2">TREND(Calculations!$C$15:$D$15,Calculations!$C$7:$D$7,Z1)*1000*About!$B$37</f>
        <v>653.76177217824136</v>
      </c>
      <c r="AA2" s="3" cm="1">
        <f t="array" ref="AA2">TREND(Calculations!$C$15:$D$15,Calculations!$C$7:$D$7,AA1)*1000*About!$B$37</f>
        <v>544.80147681521601</v>
      </c>
      <c r="AB2" s="3" cm="1">
        <f t="array" ref="AB2">TREND(Calculations!$C$15:$D$15,Calculations!$C$7:$D$7,AB1)*1000*About!$B$37</f>
        <v>435.8411814521906</v>
      </c>
      <c r="AC2" s="3" cm="1">
        <f t="array" ref="AC2">TREND(Calculations!$C$15:$D$15,Calculations!$C$7:$D$7,AC1)*1000*About!$B$37</f>
        <v>326.88088608912068</v>
      </c>
      <c r="AD2" s="3" cm="1">
        <f t="array" ref="AD2">TREND(Calculations!$C$15:$D$15,Calculations!$C$7:$D$7,AD1)*1000*About!$B$37</f>
        <v>217.9205907260953</v>
      </c>
      <c r="AE2" s="3" cm="1">
        <f t="array" ref="AE2">TREND(Calculations!$C$15:$D$15,Calculations!$C$7:$D$7,AE1)*1000*About!$B$37</f>
        <v>108.96029536306995</v>
      </c>
      <c r="AF2" s="3" cm="1">
        <f t="array" ref="AF2">TREND(Calculations!$C$15:$D$15,Calculations!$C$7:$D$7,AF1)*1000*About!$B$37</f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  <c r="AV2" s="3">
        <v>0</v>
      </c>
      <c r="AW2" s="3">
        <v>0</v>
      </c>
      <c r="AX2" s="3">
        <v>0</v>
      </c>
      <c r="AY2" s="3">
        <v>0</v>
      </c>
      <c r="AZ2" s="3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860F72-6668-44D6-ABA2-A8DCDA1DF425}"/>
</file>

<file path=customXml/itemProps2.xml><?xml version="1.0" encoding="utf-8"?>
<ds:datastoreItem xmlns:ds="http://schemas.openxmlformats.org/officeDocument/2006/customXml" ds:itemID="{7CD95629-301F-4C96-9A88-1FC4F5CEC348}"/>
</file>

<file path=customXml/itemProps3.xml><?xml version="1.0" encoding="utf-8"?>
<ds:datastoreItem xmlns:ds="http://schemas.openxmlformats.org/officeDocument/2006/customXml" ds:itemID="{DC1A03E8-2034-4548-8A6C-F380F8EF6E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2019-06-04T20:20:37Z</dcterms:created>
  <dcterms:modified xsi:type="dcterms:W3CDTF">2025-01-29T18:52:23Z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