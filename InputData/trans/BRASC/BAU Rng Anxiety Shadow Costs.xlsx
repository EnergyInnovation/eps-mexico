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eps-mexico\InputData\trans\BRASC\"/>
    </mc:Choice>
  </mc:AlternateContent>
  <xr:revisionPtr revIDLastSave="0" documentId="13_ncr:1_{F59AFF6E-F4BF-4D48-B5C8-3EC72A4FF345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Calculations" sheetId="4" r:id="rId2"/>
    <sheet name="BRASC" sheetId="3" r:id="rId3"/>
  </sheets>
  <definedNames>
    <definedName name="income">Calculations!#REF!</definedName>
    <definedName name="Range_EV">Calculations!#REF!</definedName>
    <definedName name="range_ICE">Calculations!#REF!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2" i="3" l="1"/>
  <c r="AH2" i="3" s="1"/>
  <c r="AI2" i="3" s="1"/>
  <c r="AJ2" i="3" s="1"/>
  <c r="AK2" i="3" s="1"/>
  <c r="AL2" i="3" s="1"/>
  <c r="AM2" i="3" s="1"/>
  <c r="AN2" i="3" s="1"/>
  <c r="AO2" i="3" s="1"/>
  <c r="AP2" i="3" s="1"/>
  <c r="AQ2" i="3" s="1"/>
  <c r="AR2" i="3" s="1"/>
  <c r="AS2" i="3" s="1"/>
  <c r="AT2" i="3" s="1"/>
  <c r="AU2" i="3" s="1"/>
  <c r="AV2" i="3" s="1"/>
  <c r="AW2" i="3" s="1"/>
  <c r="AX2" i="3" s="1"/>
  <c r="AY2" i="3" s="1"/>
  <c r="AF2" i="3"/>
  <c r="B2" i="3"/>
  <c r="C2" i="3"/>
  <c r="D2" i="3"/>
  <c r="F2" i="3" a="1"/>
  <c r="F2" i="3" s="1"/>
  <c r="G2" i="3" a="1"/>
  <c r="G2" i="3" s="1"/>
  <c r="H2" i="3" a="1"/>
  <c r="H2" i="3" s="1"/>
  <c r="I2" i="3" a="1"/>
  <c r="I2" i="3" s="1"/>
  <c r="J2" i="3" a="1"/>
  <c r="J2" i="3"/>
  <c r="K2" i="3" a="1"/>
  <c r="K2" i="3" s="1"/>
  <c r="L2" i="3" a="1"/>
  <c r="L2" i="3" s="1"/>
  <c r="M2" i="3" a="1"/>
  <c r="M2" i="3" s="1"/>
  <c r="N2" i="3" a="1"/>
  <c r="N2" i="3"/>
  <c r="O2" i="3" a="1"/>
  <c r="O2" i="3" s="1"/>
  <c r="P2" i="3" a="1"/>
  <c r="P2" i="3" s="1"/>
  <c r="Q2" i="3" a="1"/>
  <c r="Q2" i="3" s="1"/>
  <c r="R2" i="3" a="1"/>
  <c r="R2" i="3"/>
  <c r="S2" i="3" a="1"/>
  <c r="S2" i="3" s="1"/>
  <c r="T2" i="3" a="1"/>
  <c r="T2" i="3" s="1"/>
  <c r="U2" i="3" a="1"/>
  <c r="U2" i="3" s="1"/>
  <c r="V2" i="3" a="1"/>
  <c r="V2" i="3" s="1"/>
  <c r="W2" i="3" a="1"/>
  <c r="W2" i="3" s="1"/>
  <c r="X2" i="3" a="1"/>
  <c r="X2" i="3" s="1"/>
  <c r="Y2" i="3" a="1"/>
  <c r="Y2" i="3"/>
  <c r="Z2" i="3" a="1"/>
  <c r="Z2" i="3" s="1"/>
  <c r="AA2" i="3" a="1"/>
  <c r="AA2" i="3" s="1"/>
  <c r="AB2" i="3" a="1"/>
  <c r="AB2" i="3"/>
  <c r="AC2" i="3" a="1"/>
  <c r="AC2" i="3" s="1"/>
  <c r="AD2" i="3" a="1"/>
  <c r="AD2" i="3"/>
  <c r="AE2" i="3" a="1"/>
  <c r="AE2" i="3" s="1"/>
  <c r="E2" i="3" a="1"/>
  <c r="E2" i="3" s="1"/>
  <c r="B10" i="4"/>
  <c r="C10" i="4" s="1"/>
  <c r="B12" i="4"/>
  <c r="C8" i="4"/>
  <c r="C12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<sst xmlns="http://schemas.openxmlformats.org/spreadsheetml/2006/main" count="39" uniqueCount="37">
  <si>
    <t>Source:</t>
  </si>
  <si>
    <t>Notes</t>
  </si>
  <si>
    <t>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</si>
  <si>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</si>
  <si>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</si>
  <si>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</si>
  <si>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</si>
  <si>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</si>
  <si>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</si>
  <si>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</si>
  <si>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</si>
  <si>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</si>
  <si>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</si>
  <si>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</si>
  <si>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Median US Income</t>
  </si>
  <si>
    <t>United States Census Bureau</t>
  </si>
  <si>
    <t>First bullet of "Highlights"</t>
  </si>
  <si>
    <t>Range and Fueling Availability 'Costs'</t>
  </si>
  <si>
    <t>US Department of Energy</t>
  </si>
  <si>
    <t>https://www.nrel.gov/docs/fy13osti/55639.pdf</t>
  </si>
  <si>
    <t>Gasoline vehicle range</t>
  </si>
  <si>
    <t>median range ice (hundred miles)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</si>
  <si>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</si>
  <si>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</si>
  <si>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</si>
  <si>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Currency Conversion</t>
  </si>
  <si>
    <t xml:space="preserve">250 miles and is forecated to continue improving. Therefore, we start with today's median range, and assume </t>
  </si>
  <si>
    <t>BRAaCTSC BAU Range Anxiety Shadow Cost</t>
  </si>
  <si>
    <t>2024 EV range</t>
  </si>
  <si>
    <t>https://www.energy.gov/eere/vehicles/articles/fotw-1375-december-30-2024-median-ev-range-model-year-2024-reached-record</t>
  </si>
  <si>
    <t>FOTW #1375, December 30, 2024: Median EV Range in Model Year 2024 Reached a Record High of 283 Miles per Charge</t>
  </si>
  <si>
    <t>https://www.energy.gov/eere/vehicles/articles/fotw-1221-january-17-2022-model-year-2021-all-electric-vehicles-had-median</t>
  </si>
  <si>
    <t>FOTW #1221, January 17, 2022: Model Year 2021 All-Electric Vehicles Had a Median Driving Range about 60% That of Gasoline Powered Vehicles</t>
  </si>
  <si>
    <t>the range will reach the equivalent of a gasoline vehicle (eliminating range anxiety) by 2050.</t>
  </si>
  <si>
    <t>2024 to 2012 USD</t>
  </si>
  <si>
    <t>https://www.census.gov/library/publications/2025/demo/p60-286.html</t>
  </si>
  <si>
    <t>Income in the United States: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</si>
</sst>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workbookViewId="0">
      <selection activeCell="B7" sqref="B7"/>
    </sheetView>
  </sheetViews>
  <sheetFormatPr defaultRowHeight="15" x14ac:dyDescent="0.25"/>
  <cols>
    <col min="1" max="1" width="16.5703125" customWidth="1"/>
    <col min="2" max="2" width="31.85546875" customWidth="1"/>
  </cols>
  <sheetData>
    <row r="1" spans="1:2" x14ac:dyDescent="0.25">
      <c r="A1" s="1" t="s">
        <v>27</v>
      </c>
    </row>
    <row r="3" spans="1:2" x14ac:dyDescent="0.25">
      <c r="A3" s="1" t="s">
        <v>0</v>
      </c>
      <c r="B3" s="6" t="s">
        <v>14</v>
      </c>
    </row>
    <row r="4" spans="1:2" x14ac:dyDescent="0.25">
      <c r="B4" t="s">
        <v>15</v>
      </c>
    </row>
    <row r="5" spans="1:2" x14ac:dyDescent="0.25">
      <c r="B5" s="7">
        <v>2025</v>
      </c>
    </row>
    <row r="6" spans="1:2" x14ac:dyDescent="0.25">
      <c r="B6" t="s">
        <v>36</v>
      </c>
    </row>
    <row r="7" spans="1:2" x14ac:dyDescent="0.25">
      <c r="B7" t="s">
        <v>35</v>
      </c>
    </row>
    <row r="8" spans="1:2" x14ac:dyDescent="0.25">
      <c r="A8" s="2"/>
      <c r="B8" t="s">
        <v>16</v>
      </c>
    </row>
    <row r="10" spans="1:2" x14ac:dyDescent="0.25">
      <c r="B10" s="6" t="s">
        <v>17</v>
      </c>
    </row>
    <row r="11" spans="1:2" x14ac:dyDescent="0.25">
      <c r="B11" t="s">
        <v>18</v>
      </c>
    </row>
    <row r="12" spans="1:2" x14ac:dyDescent="0.25">
      <c r="B12" s="7">
        <v>2013</v>
      </c>
    </row>
    <row r="13" spans="1:2" x14ac:dyDescent="0.25">
      <c r="B13" t="s">
        <v>19</v>
      </c>
    </row>
    <row r="15" spans="1:2" x14ac:dyDescent="0.25">
      <c r="B15" s="6" t="s">
        <v>20</v>
      </c>
    </row>
    <row r="16" spans="1:2" x14ac:dyDescent="0.25">
      <c r="B16" t="s">
        <v>18</v>
      </c>
    </row>
    <row r="17" spans="1:2" x14ac:dyDescent="0.25">
      <c r="B17" s="7">
        <v>2022</v>
      </c>
    </row>
    <row r="18" spans="1:2" x14ac:dyDescent="0.25">
      <c r="B18" t="s">
        <v>32</v>
      </c>
    </row>
    <row r="19" spans="1:2" x14ac:dyDescent="0.25">
      <c r="B19" t="s">
        <v>31</v>
      </c>
    </row>
    <row r="21" spans="1:2" x14ac:dyDescent="0.25">
      <c r="B21" s="6" t="s">
        <v>28</v>
      </c>
    </row>
    <row r="22" spans="1:2" x14ac:dyDescent="0.25">
      <c r="B22" t="s">
        <v>18</v>
      </c>
    </row>
    <row r="23" spans="1:2" x14ac:dyDescent="0.25">
      <c r="B23" s="7">
        <v>2024</v>
      </c>
    </row>
    <row r="24" spans="1:2" x14ac:dyDescent="0.25">
      <c r="B24" t="s">
        <v>30</v>
      </c>
    </row>
    <row r="25" spans="1:2" x14ac:dyDescent="0.25">
      <c r="B25" s="8" t="s">
        <v>29</v>
      </c>
    </row>
    <row r="27" spans="1:2" x14ac:dyDescent="0.25">
      <c r="A27" s="1" t="s">
        <v>1</v>
      </c>
    </row>
    <row r="28" spans="1:2" x14ac:dyDescent="0.25">
      <c r="A28" t="s">
        <v>3</v>
      </c>
    </row>
    <row r="29" spans="1:2" x14ac:dyDescent="0.25">
      <c r="A29" t="s">
        <v>4</v>
      </c>
    </row>
    <row r="30" spans="1:2" x14ac:dyDescent="0.25">
      <c r="A30" s="1"/>
    </row>
    <row r="31" spans="1:2" x14ac:dyDescent="0.25">
      <c r="A31" t="s">
        <v>22</v>
      </c>
    </row>
    <row r="32" spans="1:2" x14ac:dyDescent="0.25">
      <c r="A32" t="s">
        <v>23</v>
      </c>
    </row>
    <row r="33" spans="1:2" x14ac:dyDescent="0.25">
      <c r="A33" t="s">
        <v>24</v>
      </c>
    </row>
    <row r="34" spans="1:2" x14ac:dyDescent="0.25">
      <c r="A34" t="s">
        <v>26</v>
      </c>
    </row>
    <row r="35" spans="1:2" x14ac:dyDescent="0.25">
      <c r="A35" t="s">
        <v>33</v>
      </c>
    </row>
    <row r="36" spans="1:2" x14ac:dyDescent="0.25">
      <c r="A36" t="s">
        <v>25</v>
      </c>
    </row>
    <row r="37" spans="1:2" x14ac:dyDescent="0.25">
      <c r="A37" t="s">
        <v>34</v>
      </c>
      <c r="B37">
        <v>0.73199999999999998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C12"/>
  <sheetViews>
    <sheetView workbookViewId="0">
      <selection activeCell="B12" sqref="B12:C12"/>
    </sheetView>
  </sheetViews>
  <sheetFormatPr defaultRowHeight="15" x14ac:dyDescent="0.25"/>
  <cols>
    <col min="1" max="1" width="31.5703125" customWidth="1"/>
    <col min="2" max="2" width="26.42578125" customWidth="1"/>
    <col min="3" max="4" width="12" bestFit="1" customWidth="1"/>
  </cols>
  <sheetData>
    <row r="1" spans="1:3" s="1" customFormat="1" x14ac:dyDescent="0.25">
      <c r="A1" s="1" t="s">
        <v>12</v>
      </c>
    </row>
    <row r="2" spans="1:3" x14ac:dyDescent="0.25">
      <c r="A2" t="s">
        <v>11</v>
      </c>
      <c r="B2">
        <v>-0.36099999999999999</v>
      </c>
    </row>
    <row r="3" spans="1:3" x14ac:dyDescent="0.25">
      <c r="A3" t="s">
        <v>10</v>
      </c>
    </row>
    <row r="4" spans="1:3" x14ac:dyDescent="0.25">
      <c r="A4" t="s">
        <v>9</v>
      </c>
      <c r="B4">
        <v>1.268</v>
      </c>
    </row>
    <row r="5" spans="1:3" x14ac:dyDescent="0.25">
      <c r="A5" t="s">
        <v>8</v>
      </c>
      <c r="B5">
        <v>-0.11600000000000001</v>
      </c>
    </row>
    <row r="7" spans="1:3" x14ac:dyDescent="0.25">
      <c r="B7">
        <v>2024</v>
      </c>
      <c r="C7">
        <v>2050</v>
      </c>
    </row>
    <row r="8" spans="1:3" x14ac:dyDescent="0.25">
      <c r="A8" t="s">
        <v>21</v>
      </c>
      <c r="B8">
        <v>4.03</v>
      </c>
      <c r="C8">
        <f>B8</f>
        <v>4.03</v>
      </c>
    </row>
    <row r="9" spans="1:3" x14ac:dyDescent="0.25">
      <c r="A9" t="s">
        <v>7</v>
      </c>
      <c r="B9" s="9">
        <v>2.83</v>
      </c>
      <c r="C9" s="9">
        <v>4.03</v>
      </c>
    </row>
    <row r="10" spans="1:3" x14ac:dyDescent="0.25">
      <c r="A10" t="s">
        <v>6</v>
      </c>
      <c r="B10">
        <f>83730/1000*About!B37</f>
        <v>61.29036</v>
      </c>
      <c r="C10" s="9">
        <f>B10</f>
        <v>61.29036</v>
      </c>
    </row>
    <row r="12" spans="1:3" x14ac:dyDescent="0.25">
      <c r="A12" t="s">
        <v>13</v>
      </c>
      <c r="B12" s="5">
        <f>($B$4/$B$2*B9*(1-B8/B9)+$B$5/$B$2*B9^2*(1-B8^2/B9^2))*LN(B10)*About!$B$37</f>
        <v>4.7291537731134952</v>
      </c>
      <c r="C12" s="5">
        <f>($B$4/$B$2*C9*(1-C8/C9)+$B$5/$B$2*C9^2*(1-C8^2/C9^2))*LN(C10)*About!$B$37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Y2"/>
  <sheetViews>
    <sheetView tabSelected="1" topLeftCell="AE1" workbookViewId="0">
      <selection activeCell="AY6" sqref="AY6"/>
    </sheetView>
  </sheetViews>
  <sheetFormatPr defaultRowHeight="15" x14ac:dyDescent="0.25"/>
  <cols>
    <col min="1" max="4" width="17.85546875" customWidth="1"/>
  </cols>
  <sheetData>
    <row r="1" spans="1:51" x14ac:dyDescent="0.25">
      <c r="A1" s="1" t="s">
        <v>5</v>
      </c>
      <c r="B1">
        <v>2021</v>
      </c>
      <c r="C1" s="4">
        <v>2022</v>
      </c>
      <c r="D1">
        <v>2023</v>
      </c>
      <c r="E1" s="4">
        <v>2024</v>
      </c>
      <c r="F1">
        <v>2025</v>
      </c>
      <c r="G1" s="4">
        <v>2026</v>
      </c>
      <c r="H1">
        <v>2027</v>
      </c>
      <c r="I1" s="4">
        <v>2028</v>
      </c>
      <c r="J1">
        <v>2029</v>
      </c>
      <c r="K1" s="4">
        <v>2030</v>
      </c>
      <c r="L1">
        <v>2031</v>
      </c>
      <c r="M1" s="4">
        <v>2032</v>
      </c>
      <c r="N1">
        <v>2033</v>
      </c>
      <c r="O1" s="4">
        <v>2034</v>
      </c>
      <c r="P1">
        <v>2035</v>
      </c>
      <c r="Q1" s="4">
        <v>2036</v>
      </c>
      <c r="R1">
        <v>2037</v>
      </c>
      <c r="S1" s="4">
        <v>2038</v>
      </c>
      <c r="T1">
        <v>2039</v>
      </c>
      <c r="U1" s="4">
        <v>2040</v>
      </c>
      <c r="V1">
        <v>2041</v>
      </c>
      <c r="W1" s="4">
        <v>2042</v>
      </c>
      <c r="X1">
        <v>2043</v>
      </c>
      <c r="Y1" s="4">
        <v>2044</v>
      </c>
      <c r="Z1">
        <v>2045</v>
      </c>
      <c r="AA1" s="4">
        <v>2046</v>
      </c>
      <c r="AB1">
        <v>2047</v>
      </c>
      <c r="AC1" s="4">
        <v>2048</v>
      </c>
      <c r="AD1">
        <v>2049</v>
      </c>
      <c r="AE1" s="4">
        <v>2050</v>
      </c>
      <c r="AF1">
        <v>2051</v>
      </c>
      <c r="AG1" s="4">
        <v>2052</v>
      </c>
      <c r="AH1">
        <v>2053</v>
      </c>
      <c r="AI1" s="4">
        <v>2054</v>
      </c>
      <c r="AJ1">
        <v>2055</v>
      </c>
      <c r="AK1" s="4">
        <v>2056</v>
      </c>
      <c r="AL1">
        <v>2057</v>
      </c>
      <c r="AM1" s="4">
        <v>2058</v>
      </c>
      <c r="AN1">
        <v>2059</v>
      </c>
      <c r="AO1" s="4">
        <v>2060</v>
      </c>
      <c r="AP1">
        <v>2061</v>
      </c>
      <c r="AQ1" s="4">
        <v>2062</v>
      </c>
      <c r="AR1">
        <v>2063</v>
      </c>
      <c r="AS1" s="4">
        <v>2064</v>
      </c>
      <c r="AT1">
        <v>2065</v>
      </c>
      <c r="AU1" s="4">
        <v>2066</v>
      </c>
      <c r="AV1">
        <v>2067</v>
      </c>
      <c r="AW1" s="4">
        <v>2068</v>
      </c>
      <c r="AX1">
        <v>2069</v>
      </c>
      <c r="AY1" s="4">
        <v>2070</v>
      </c>
    </row>
    <row r="2" spans="1:51" x14ac:dyDescent="0.25">
      <c r="A2" t="s">
        <v>2</v>
      </c>
      <c r="B2" s="3">
        <f t="shared" ref="B2:C2" si="0">C2</f>
        <v>4729.1537731134667</v>
      </c>
      <c r="C2" s="3">
        <f t="shared" si="0"/>
        <v>4729.1537731134667</v>
      </c>
      <c r="D2" s="3">
        <f>E2</f>
        <v>4729.1537731134667</v>
      </c>
      <c r="E2" s="3" cm="1">
        <f t="array" ref="E2">TREND(Calculations!$B$12:$C$12,Calculations!$B$7:$C$7,BRASC!E1)*1000</f>
        <v>4729.1537731134667</v>
      </c>
      <c r="F2" s="3" cm="1">
        <f t="array" ref="F2">TREND(Calculations!$B$12:$C$12,Calculations!$B$7:$C$7,BRASC!F1)*1000</f>
        <v>4547.2632433783247</v>
      </c>
      <c r="G2" s="3" cm="1">
        <f t="array" ref="G2">TREND(Calculations!$B$12:$C$12,Calculations!$B$7:$C$7,BRASC!G1)*1000</f>
        <v>4365.3727136431826</v>
      </c>
      <c r="H2" s="3" cm="1">
        <f t="array" ref="H2">TREND(Calculations!$B$12:$C$12,Calculations!$B$7:$C$7,BRASC!H1)*1000</f>
        <v>4183.4821839080405</v>
      </c>
      <c r="I2" s="3" cm="1">
        <f t="array" ref="I2">TREND(Calculations!$B$12:$C$12,Calculations!$B$7:$C$7,BRASC!I1)*1000</f>
        <v>4001.5916541728984</v>
      </c>
      <c r="J2" s="3" cm="1">
        <f t="array" ref="J2">TREND(Calculations!$B$12:$C$12,Calculations!$B$7:$C$7,BRASC!J1)*1000</f>
        <v>3819.7011244377563</v>
      </c>
      <c r="K2" s="3" cm="1">
        <f t="array" ref="K2">TREND(Calculations!$B$12:$C$12,Calculations!$B$7:$C$7,BRASC!K1)*1000</f>
        <v>3637.8105947026711</v>
      </c>
      <c r="L2" s="3" cm="1">
        <f t="array" ref="L2">TREND(Calculations!$B$12:$C$12,Calculations!$B$7:$C$7,BRASC!L1)*1000</f>
        <v>3455.920064967529</v>
      </c>
      <c r="M2" s="3" cm="1">
        <f t="array" ref="M2">TREND(Calculations!$B$12:$C$12,Calculations!$B$7:$C$7,BRASC!M1)*1000</f>
        <v>3274.0295352323869</v>
      </c>
      <c r="N2" s="3" cm="1">
        <f t="array" ref="N2">TREND(Calculations!$B$12:$C$12,Calculations!$B$7:$C$7,BRASC!N1)*1000</f>
        <v>3092.1390054972449</v>
      </c>
      <c r="O2" s="3" cm="1">
        <f t="array" ref="O2">TREND(Calculations!$B$12:$C$12,Calculations!$B$7:$C$7,BRASC!O1)*1000</f>
        <v>2910.2484757621028</v>
      </c>
      <c r="P2" s="3" cm="1">
        <f t="array" ref="P2">TREND(Calculations!$B$12:$C$12,Calculations!$B$7:$C$7,BRASC!P1)*1000</f>
        <v>2728.3579460269607</v>
      </c>
      <c r="Q2" s="3" cm="1">
        <f t="array" ref="Q2">TREND(Calculations!$B$12:$C$12,Calculations!$B$7:$C$7,BRASC!Q1)*1000</f>
        <v>2546.4674162918186</v>
      </c>
      <c r="R2" s="3" cm="1">
        <f t="array" ref="R2">TREND(Calculations!$B$12:$C$12,Calculations!$B$7:$C$7,BRASC!R1)*1000</f>
        <v>2364.5768865567334</v>
      </c>
      <c r="S2" s="3" cm="1">
        <f t="array" ref="S2">TREND(Calculations!$B$12:$C$12,Calculations!$B$7:$C$7,BRASC!S1)*1000</f>
        <v>2182.6863568215913</v>
      </c>
      <c r="T2" s="3" cm="1">
        <f t="array" ref="T2">TREND(Calculations!$B$12:$C$12,Calculations!$B$7:$C$7,BRASC!T1)*1000</f>
        <v>2000.7958270864492</v>
      </c>
      <c r="U2" s="3" cm="1">
        <f t="array" ref="U2">TREND(Calculations!$B$12:$C$12,Calculations!$B$7:$C$7,BRASC!U1)*1000</f>
        <v>1818.9052973513071</v>
      </c>
      <c r="V2" s="3" cm="1">
        <f t="array" ref="V2">TREND(Calculations!$B$12:$C$12,Calculations!$B$7:$C$7,BRASC!V1)*1000</f>
        <v>1637.014767616165</v>
      </c>
      <c r="W2" s="3" cm="1">
        <f t="array" ref="W2">TREND(Calculations!$B$12:$C$12,Calculations!$B$7:$C$7,BRASC!W1)*1000</f>
        <v>1455.124237881023</v>
      </c>
      <c r="X2" s="3" cm="1">
        <f t="array" ref="X2">TREND(Calculations!$B$12:$C$12,Calculations!$B$7:$C$7,BRASC!X1)*1000</f>
        <v>1273.2337081458809</v>
      </c>
      <c r="Y2" s="3" cm="1">
        <f t="array" ref="Y2">TREND(Calculations!$B$12:$C$12,Calculations!$B$7:$C$7,BRASC!Y1)*1000</f>
        <v>1091.3431784107388</v>
      </c>
      <c r="Z2" s="3" cm="1">
        <f t="array" ref="Z2">TREND(Calculations!$B$12:$C$12,Calculations!$B$7:$C$7,BRASC!Z1)*1000</f>
        <v>909.45264867565356</v>
      </c>
      <c r="AA2" s="3" cm="1">
        <f t="array" ref="AA2">TREND(Calculations!$B$12:$C$12,Calculations!$B$7:$C$7,BRASC!AA1)*1000</f>
        <v>727.56211894051148</v>
      </c>
      <c r="AB2" s="3" cm="1">
        <f t="array" ref="AB2">TREND(Calculations!$B$12:$C$12,Calculations!$B$7:$C$7,BRASC!AB1)*1000</f>
        <v>545.6715892053694</v>
      </c>
      <c r="AC2" s="3" cm="1">
        <f t="array" ref="AC2">TREND(Calculations!$B$12:$C$12,Calculations!$B$7:$C$7,BRASC!AC1)*1000</f>
        <v>363.78105947022732</v>
      </c>
      <c r="AD2" s="3" cm="1">
        <f t="array" ref="AD2">TREND(Calculations!$B$12:$C$12,Calculations!$B$7:$C$7,BRASC!AD1)*1000</f>
        <v>181.89052973508524</v>
      </c>
      <c r="AE2" s="3" cm="1">
        <f t="array" ref="AE2">TREND(Calculations!$B$12:$C$12,Calculations!$B$7:$C$7,BRASC!AE1)*1000</f>
        <v>-5.6843418860808015E-11</v>
      </c>
      <c r="AF2" s="3">
        <f>AE2</f>
        <v>-5.6843418860808015E-11</v>
      </c>
      <c r="AG2" s="3">
        <f t="shared" ref="AG2:AY2" si="1">AF2</f>
        <v>-5.6843418860808015E-11</v>
      </c>
      <c r="AH2" s="3">
        <f t="shared" si="1"/>
        <v>-5.6843418860808015E-11</v>
      </c>
      <c r="AI2" s="3">
        <f t="shared" si="1"/>
        <v>-5.6843418860808015E-11</v>
      </c>
      <c r="AJ2" s="3">
        <f t="shared" si="1"/>
        <v>-5.6843418860808015E-11</v>
      </c>
      <c r="AK2" s="3">
        <f t="shared" si="1"/>
        <v>-5.6843418860808015E-11</v>
      </c>
      <c r="AL2" s="3">
        <f t="shared" si="1"/>
        <v>-5.6843418860808015E-11</v>
      </c>
      <c r="AM2" s="3">
        <f t="shared" si="1"/>
        <v>-5.6843418860808015E-11</v>
      </c>
      <c r="AN2" s="3">
        <f t="shared" si="1"/>
        <v>-5.6843418860808015E-11</v>
      </c>
      <c r="AO2" s="3">
        <f t="shared" si="1"/>
        <v>-5.6843418860808015E-11</v>
      </c>
      <c r="AP2" s="3">
        <f t="shared" si="1"/>
        <v>-5.6843418860808015E-11</v>
      </c>
      <c r="AQ2" s="3">
        <f t="shared" si="1"/>
        <v>-5.6843418860808015E-11</v>
      </c>
      <c r="AR2" s="3">
        <f t="shared" si="1"/>
        <v>-5.6843418860808015E-11</v>
      </c>
      <c r="AS2" s="3">
        <f t="shared" si="1"/>
        <v>-5.6843418860808015E-11</v>
      </c>
      <c r="AT2" s="3">
        <f t="shared" si="1"/>
        <v>-5.6843418860808015E-11</v>
      </c>
      <c r="AU2" s="3">
        <f t="shared" si="1"/>
        <v>-5.6843418860808015E-11</v>
      </c>
      <c r="AV2" s="3">
        <f t="shared" si="1"/>
        <v>-5.6843418860808015E-11</v>
      </c>
      <c r="AW2" s="3">
        <f t="shared" si="1"/>
        <v>-5.6843418860808015E-11</v>
      </c>
      <c r="AX2" s="3">
        <f t="shared" si="1"/>
        <v>-5.6843418860808015E-11</v>
      </c>
      <c r="AY2" s="3">
        <f t="shared" si="1"/>
        <v>-5.6843418860808015E-11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BRASC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2026-02-14T00:27:43Z</dcterms:modified>
</cp:coreProperties>
</file>