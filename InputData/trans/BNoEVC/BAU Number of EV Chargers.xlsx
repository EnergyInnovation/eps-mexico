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mc:AlternateContent xmlns:mc="http://schemas.openxmlformats.org/markup-compatibility/2006">
    <mc:Choice Requires="x15">
      <x15ac:absPath xmlns:x15ac="http://schemas.microsoft.com/office/spreadsheetml/2010/11/ac" url="/Users/skorpius/My Drive/2024/FO local_EPS ICM/Diario/20250507_FINAL/BNoEVC/BNoEVC_PENDIENTE/"/>
    </mc:Choice>
  </mc:AlternateContent>
  <xr:revisionPtr revIDLastSave="0" documentId="13_ncr:1_{7E49203F-2DEF-0B43-A72B-C0E0639D4AA3}" xr6:coauthVersionLast="47" xr6:coauthVersionMax="47" xr10:uidLastSave="{00000000-0000-0000-0000-000000000000}"/>
  <bookViews>
    <workbookView xWindow="20" yWindow="520" windowWidth="27300" windowHeight="18920" xr2:uid="{00000000-000D-0000-FFFF-FFFF00000000}"/>
  </bookViews>
  <sheets>
    <sheet name="About" sheetId="1" r:id="rId1"/>
    <sheet name="Mexico" sheetId="7" r:id="rId2"/>
    <sheet name="BNoEVC" sheetId="3" r:id="rId3"/>
  </sheets>
  <definedNames>
    <definedName name="income">#REF!</definedName>
    <definedName name="Range_EV">#REF!</definedName>
    <definedName name="range_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3" l="1" a="1"/>
  <c r="V2" i="3" s="1"/>
  <c r="W2" i="3" a="1"/>
  <c r="W2" i="3" s="1"/>
  <c r="X2" i="3" a="1"/>
  <c r="X2" i="3" s="1"/>
  <c r="Y2" i="3" a="1"/>
  <c r="Y2" i="3"/>
  <c r="Z2" i="3" a="1"/>
  <c r="Z2" i="3" s="1"/>
  <c r="AA2" i="3" a="1"/>
  <c r="AA2" i="3" s="1"/>
  <c r="AB2" i="3" a="1"/>
  <c r="AB2" i="3" s="1"/>
  <c r="AC2" i="3" a="1"/>
  <c r="AC2" i="3"/>
  <c r="AD2" i="3" a="1"/>
  <c r="AD2" i="3" s="1"/>
  <c r="AE2" i="3" a="1"/>
  <c r="AE2" i="3" s="1"/>
  <c r="AF2" i="3" a="1"/>
  <c r="AF2" i="3" s="1"/>
  <c r="AG2" i="3" a="1"/>
  <c r="AG2" i="3"/>
  <c r="AH2" i="3" a="1"/>
  <c r="AH2" i="3" s="1"/>
  <c r="AI2" i="3" a="1"/>
  <c r="AI2" i="3" s="1"/>
  <c r="AJ2" i="3" a="1"/>
  <c r="AJ2" i="3" s="1"/>
  <c r="AK2" i="3" a="1"/>
  <c r="AK2" i="3"/>
  <c r="AL2" i="3" a="1"/>
  <c r="AL2" i="3" s="1"/>
  <c r="AM2" i="3" a="1"/>
  <c r="AM2" i="3" s="1"/>
  <c r="AN2" i="3" a="1"/>
  <c r="AN2" i="3" s="1"/>
  <c r="AO2" i="3" a="1"/>
  <c r="AO2" i="3" s="1"/>
  <c r="AP2" i="3" a="1"/>
  <c r="AP2" i="3" s="1"/>
  <c r="AQ2" i="3" a="1"/>
  <c r="AQ2" i="3" s="1"/>
  <c r="AR2" i="3" a="1"/>
  <c r="AR2" i="3" s="1"/>
  <c r="AS2" i="3" a="1"/>
  <c r="AS2" i="3" s="1"/>
  <c r="AT2" i="3" a="1"/>
  <c r="AT2" i="3" s="1"/>
  <c r="AU2" i="3" a="1"/>
  <c r="AU2" i="3" s="1"/>
  <c r="AV2" i="3" a="1"/>
  <c r="AV2" i="3" s="1"/>
  <c r="AW2" i="3" a="1"/>
  <c r="AW2" i="3" s="1"/>
  <c r="AX2" i="3" a="1"/>
  <c r="AX2" i="3" s="1"/>
  <c r="AY2" i="3" a="1"/>
  <c r="AY2" i="3" s="1"/>
  <c r="D2" i="3"/>
  <c r="E2" i="3"/>
  <c r="F7" i="7"/>
  <c r="G7" i="7" s="1"/>
  <c r="H7" i="7" s="1"/>
  <c r="I7" i="7" s="1"/>
  <c r="J7" i="7" s="1"/>
  <c r="K7" i="7" s="1"/>
  <c r="L7" i="7" s="1"/>
  <c r="M7" i="7" s="1"/>
  <c r="N7" i="7" s="1"/>
  <c r="O7" i="7" s="1"/>
  <c r="P7" i="7" s="1"/>
  <c r="Q7" i="7" s="1"/>
  <c r="R7" i="7" s="1"/>
  <c r="S7" i="7" s="1"/>
  <c r="T7" i="7" s="1"/>
  <c r="D7" i="7"/>
  <c r="C7" i="7" s="1"/>
  <c r="C6" i="7" s="1"/>
  <c r="C2" i="3" s="1"/>
  <c r="B2" i="3" s="1"/>
  <c r="E8" i="7"/>
  <c r="F8" i="7" s="1"/>
  <c r="G8" i="7" s="1"/>
  <c r="F6" i="7" l="1"/>
  <c r="F2" i="3" s="1"/>
  <c r="G6" i="7"/>
  <c r="G2" i="3" s="1"/>
  <c r="H8" i="7"/>
  <c r="D8" i="7"/>
  <c r="I8" i="7" l="1"/>
  <c r="H6" i="7"/>
  <c r="H2" i="3" s="1"/>
  <c r="I6" i="7" l="1"/>
  <c r="I2" i="3" s="1"/>
  <c r="J8" i="7"/>
  <c r="J6" i="7" l="1"/>
  <c r="J2" i="3" s="1"/>
  <c r="K8" i="7"/>
  <c r="L8" i="7" l="1"/>
  <c r="K6" i="7"/>
  <c r="K2" i="3" s="1"/>
  <c r="M8" i="7" l="1"/>
  <c r="L6" i="7"/>
  <c r="L2" i="3" s="1"/>
  <c r="N8" i="7" l="1"/>
  <c r="M6" i="7"/>
  <c r="M2" i="3" s="1"/>
  <c r="O8" i="7" l="1"/>
  <c r="N6" i="7"/>
  <c r="N2" i="3" s="1"/>
  <c r="P8" i="7" l="1"/>
  <c r="O6" i="7"/>
  <c r="O2" i="3" s="1"/>
  <c r="Q8" i="7" l="1"/>
  <c r="P6" i="7"/>
  <c r="P2" i="3" s="1"/>
  <c r="R8" i="7" l="1"/>
  <c r="Q6" i="7"/>
  <c r="Q2" i="3" s="1"/>
  <c r="R6" i="7" l="1"/>
  <c r="R2" i="3" s="1"/>
  <c r="S8" i="7"/>
  <c r="T8" i="7" l="1"/>
  <c r="S6" i="7"/>
  <c r="S2" i="3" s="1"/>
  <c r="U8" i="7" l="1"/>
  <c r="U6" i="7" s="1"/>
  <c r="U2" i="3" s="1"/>
  <c r="T6" i="7"/>
  <c r="T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<sst xmlns="http://schemas.openxmlformats.org/spreadsheetml/2006/main" count="33" uniqueCount="31">
  <si>
    <t>BNoEVC BAU Number of EV Chargers</t>
  </si>
  <si>
    <t>Source:</t>
  </si>
  <si>
    <t>Notes</t>
  </si>
  <si>
    <t>Currency Conversion</t>
  </si>
  <si>
    <t>2019 to 2012 USD</t>
  </si>
  <si>
    <t>2021 to 2012 USD</t>
  </si>
  <si>
    <t>2022 to 2012 USD</t>
  </si>
  <si>
    <t>We assume that prior to the IIJA or IRA, the number of EV ports would slowly grow with time to equal the number of gas pumps by 2050.</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</si>
  <si>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</si>
  <si>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</si>
  <si>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</si>
  <si>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</si>
  <si>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EV Chargers</t>
  </si>
  <si>
    <t xml:space="preserve">¿Cuántos puntos de carga hay y cuántos hacen falta? </t>
  </si>
  <si>
    <r>
      <t xml:space="preserve">Según información recopilada por la empresa XC Power, fabricante, comercializadora e instaladora de soluciones de carga para vehículos eléctricos, hoy en día </t>
    </r>
    <r>
      <rPr>
        <b/>
        <sz val="10"/>
        <color theme="1"/>
        <rFont val="MontserratThin"/>
      </rPr>
      <t>hacen falta en todo el territorio 15.400 puntos de carga</t>
    </r>
    <r>
      <rPr>
        <sz val="10"/>
        <color theme="1"/>
        <rFont val="MontserratThin"/>
      </rPr>
      <t xml:space="preserve">. </t>
    </r>
  </si>
  <si>
    <r>
      <t xml:space="preserve">De este total, se estima que se cuentan con </t>
    </r>
    <r>
      <rPr>
        <b/>
        <sz val="10"/>
        <color theme="1"/>
        <rFont val="MontserratThin"/>
      </rPr>
      <t>3.723 estaciones</t>
    </r>
    <r>
      <rPr>
        <sz val="10"/>
        <color theme="1"/>
        <rFont val="MontserratThin"/>
      </rPr>
      <t xml:space="preserve">. </t>
    </r>
  </si>
  <si>
    <t>https://mobilityportal.lat/infraestructura-de-carga-sre-mexico/</t>
  </si>
  <si>
    <t>“De continuar así, para 2026 tendremos una cobertura de 26.7% con tan sólo 7.278 puntos de carga de los 27.231 que se deberían tener para satisfacer la demanda”, indican desde la firma.</t>
  </si>
  <si>
    <t>https://www.liderempresarial.com/cuantos-cargadores-de-autos-electricos-hay-en-mexico-en-2025/</t>
  </si>
  <si>
    <t>Public</t>
  </si>
  <si>
    <t>Private</t>
  </si>
  <si>
    <t>La respuesta está firmada por Guillermo García Alcocer, expresidente de la Comisión Reguladora de Energía (CRE), quien durante su participación en un seminario web organizado por la Asociación Mexicana de Proveedores de Estaciones de Servicio (AMPES), dio la cifra aproximada de las electrolineras que México necesita para dar el paso a la automoción eléctrica.  Según sus estimaciones, México debe tener, para 2041, alrededor de 38,000 puntos de carga para autos eléctricos para cubrir la demanda y fortalecer una industria que crece.</t>
  </si>
  <si>
    <t>https://es.wired.com/articulos/cuantos-cargadores-electricos-necesita-mexico-en-sus-calles-para-dar-el-salto-a-la-automocion-electrica</t>
  </si>
  <si>
    <t>crecimiento puntos privados</t>
  </si>
  <si>
    <t>objetivo puntos públicos</t>
  </si>
  <si>
    <t>Mobility Portal Latinoamerica</t>
  </si>
  <si>
    <t>Electric Vehicle Charging Station Targets</t>
  </si>
  <si>
    <t>EV Charging Stations</t>
  </si>
  <si>
    <t>Lider Empresarial</t>
  </si>
  <si>
    <t>Number of EV chargers</t>
  </si>
  <si>
    <t>Target 2040 chargers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</si>
</sst>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8">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0"/>
      <color theme="1"/>
      <name val="MontserratThin"/>
    </font>
    <font>
      <b/>
      <sz val="10"/>
      <color theme="1"/>
      <name val="MontserratThin"/>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13">
    <xf numFmtId="0" fontId="0" fillId="0" borderId="0" xfId="0"/>
    <xf numFmtId="0" fontId="1" fillId="0" borderId="0" xfId="0" applyFont="1"/>
    <xf numFmtId="1" fontId="0" fillId="0" borderId="0" xfId="0" applyNumberForma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3" fontId="0" fillId="0" borderId="0" xfId="0" applyNumberFormat="1"/>
    <xf numFmtId="168" fontId="0" fillId="3" borderId="0" xfId="0" applyNumberFormat="1" applyFill="1"/>
    <xf numFmtId="3" fontId="0" fillId="3" borderId="0" xfId="0" applyNumberFormat="1" applyFill="1"/>
  </cellXfs>
  <cellStyles count="3">
    <cellStyle name="Hyperlink" xfId="1" builtinId="8"/>
    <cellStyle name="Normal" xfId="0" builtinId="0"/>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obilityportal.lat/infraestructura-de-carga-sre-mexico/" TargetMode="External"/><Relationship Id="rId1" Type="http://schemas.openxmlformats.org/officeDocument/2006/relationships/hyperlink" Target="https://www.liderempresarial.com/cuantos-cargadores-de-autos-electricos-hay-en-mexico-en-2025/"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liderempresarial.com/cuantos-cargadores-de-autos-electricos-hay-en-mexico-en-2025/" TargetMode="External"/><Relationship Id="rId1" Type="http://schemas.openxmlformats.org/officeDocument/2006/relationships/hyperlink" Target="https://mobilityportal.lat/infraestructura-de-carga-sre-mexi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workbookViewId="0">
      <selection activeCell="B10" sqref="B10"/>
    </sheetView>
  </sheetViews>
  <sheetFormatPr baseColWidth="10" defaultColWidth="8.83203125" defaultRowHeight="15"/>
  <cols>
    <col min="1" max="1" width="16.5" customWidth="1"/>
    <col min="2" max="2" width="31.83203125" customWidth="1"/>
  </cols>
  <sheetData>
    <row r="1" spans="1:2">
      <c r="A1" s="1" t="s">
        <v>0</v>
      </c>
    </row>
    <row r="3" spans="1:2">
      <c r="A3" s="1" t="s">
        <v>1</v>
      </c>
      <c r="B3" s="4" t="s">
        <v>29</v>
      </c>
    </row>
    <row r="4" spans="1:2">
      <c r="B4" t="s">
        <v>28</v>
      </c>
    </row>
    <row r="5" spans="1:2">
      <c r="B5" s="5">
        <v>2025</v>
      </c>
    </row>
    <row r="6" spans="1:2">
      <c r="B6" t="s">
        <v>27</v>
      </c>
    </row>
    <row r="7" spans="1:2">
      <c r="B7" s="6" t="s">
        <v>18</v>
      </c>
    </row>
    <row r="9" spans="1:2">
      <c r="B9" s="4" t="s">
        <v>30</v>
      </c>
    </row>
    <row r="10" spans="1:2">
      <c r="B10" t="s">
        <v>25</v>
      </c>
    </row>
    <row r="11" spans="1:2">
      <c r="B11" s="5">
        <v>2023</v>
      </c>
    </row>
    <row r="12" spans="1:2">
      <c r="B12" t="s">
        <v>26</v>
      </c>
    </row>
    <row r="13" spans="1:2">
      <c r="B13" s="6" t="s">
        <v>16</v>
      </c>
    </row>
    <row r="15" spans="1:2">
      <c r="A15" s="1" t="s">
        <v>2</v>
      </c>
    </row>
    <row r="16" spans="1:2">
      <c r="A16" t="s">
        <v>3</v>
      </c>
      <c r="B16">
        <v>0.89805481563188172</v>
      </c>
    </row>
    <row r="17" spans="1:2">
      <c r="A17" t="s">
        <v>4</v>
      </c>
      <c r="B17">
        <v>0.84730412960844359</v>
      </c>
    </row>
    <row r="18" spans="1:2">
      <c r="A18" t="s">
        <v>5</v>
      </c>
      <c r="B18" s="8">
        <v>0.78500000000000003</v>
      </c>
    </row>
    <row r="19" spans="1:2">
      <c r="A19" s="7" t="s">
        <v>6</v>
      </c>
      <c r="B19" s="8"/>
    </row>
    <row r="20" spans="1:2">
      <c r="A20" s="9"/>
    </row>
    <row r="21" spans="1:2">
      <c r="A21" t="s">
        <v>7</v>
      </c>
    </row>
    <row r="22" spans="1:2">
      <c r="A22" t="s">
        <v>8</v>
      </c>
    </row>
    <row r="23" spans="1:2">
      <c r="A23" t="s">
        <v>9</v>
      </c>
    </row>
  </sheetData>
  <hyperlinks>
    <hyperlink ref="B7" r:id="rId1" xr:uid="{A3CE25E6-A759-6A4B-9502-3F86EFF99B9C}"/>
    <hyperlink ref="B13" r:id="rId2" xr:uid="{6A3053C2-313E-744F-98F8-AF93EB22A141}"/>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304C-4869-2345-AD46-7E153BF8F5CC}">
  <dimension ref="B5:V20"/>
  <sheetViews>
    <sheetView workbookViewId="0">
      <selection activeCell="U7" sqref="U7"/>
    </sheetView>
  </sheetViews>
  <sheetFormatPr baseColWidth="10" defaultRowHeight="15"/>
  <sheetData>
    <row r="5" spans="2:22">
      <c r="C5">
        <v>2022</v>
      </c>
      <c r="D5">
        <v>2023</v>
      </c>
      <c r="E5">
        <v>2024</v>
      </c>
      <c r="F5">
        <v>2025</v>
      </c>
      <c r="G5">
        <v>2026</v>
      </c>
      <c r="H5">
        <v>2027</v>
      </c>
      <c r="I5">
        <v>2028</v>
      </c>
      <c r="J5">
        <v>2029</v>
      </c>
      <c r="K5">
        <v>2030</v>
      </c>
      <c r="L5">
        <v>2031</v>
      </c>
      <c r="M5">
        <v>2032</v>
      </c>
      <c r="N5">
        <v>2033</v>
      </c>
      <c r="O5">
        <v>2034</v>
      </c>
      <c r="P5">
        <v>2035</v>
      </c>
      <c r="Q5">
        <v>2036</v>
      </c>
      <c r="R5">
        <v>2037</v>
      </c>
      <c r="S5">
        <v>2038</v>
      </c>
      <c r="T5">
        <v>2039</v>
      </c>
      <c r="U5">
        <v>2040</v>
      </c>
    </row>
    <row r="6" spans="2:22">
      <c r="B6" t="s">
        <v>12</v>
      </c>
      <c r="C6" s="10">
        <f>C7+C8</f>
        <v>2673</v>
      </c>
      <c r="D6" s="10">
        <v>3723</v>
      </c>
      <c r="E6" s="10">
        <v>42915</v>
      </c>
      <c r="F6" s="10">
        <f t="shared" ref="F6:U6" si="0">F7+F8</f>
        <v>44465.777500000004</v>
      </c>
      <c r="G6" s="10">
        <f t="shared" si="0"/>
        <v>46032.411800000002</v>
      </c>
      <c r="H6" s="10">
        <f t="shared" si="0"/>
        <v>47615.220036000006</v>
      </c>
      <c r="I6" s="10">
        <f t="shared" si="0"/>
        <v>49214.525686720008</v>
      </c>
      <c r="J6" s="10">
        <f t="shared" si="0"/>
        <v>50830.658700454405</v>
      </c>
      <c r="K6" s="10">
        <f t="shared" si="0"/>
        <v>52463.955624463495</v>
      </c>
      <c r="L6" s="10">
        <f t="shared" si="0"/>
        <v>54114.759736952765</v>
      </c>
      <c r="M6" s="10">
        <f t="shared" si="0"/>
        <v>55783.421181691818</v>
      </c>
      <c r="N6" s="10">
        <f t="shared" si="0"/>
        <v>57470.297105325655</v>
      </c>
      <c r="O6" s="10">
        <f t="shared" si="0"/>
        <v>59175.751797432167</v>
      </c>
      <c r="P6" s="10">
        <f t="shared" si="0"/>
        <v>60900.15683338081</v>
      </c>
      <c r="Q6" s="10">
        <f t="shared" si="0"/>
        <v>62643.891220048426</v>
      </c>
      <c r="R6" s="10">
        <f t="shared" si="0"/>
        <v>64407.341544449395</v>
      </c>
      <c r="S6" s="10">
        <f t="shared" si="0"/>
        <v>66190.902125338383</v>
      </c>
      <c r="T6" s="10">
        <f t="shared" si="0"/>
        <v>67994.975167845143</v>
      </c>
      <c r="U6" s="10">
        <f t="shared" si="0"/>
        <v>69819.970921202053</v>
      </c>
    </row>
    <row r="7" spans="2:22">
      <c r="B7" t="s">
        <v>19</v>
      </c>
      <c r="C7" s="10">
        <f>D7-600</f>
        <v>2673</v>
      </c>
      <c r="D7" s="10">
        <f>E7</f>
        <v>3273</v>
      </c>
      <c r="E7" s="10">
        <v>3273</v>
      </c>
      <c r="F7" s="10">
        <f t="shared" ref="F7:T7" si="1">($U7-$E7)/($U$5-$E$5)+E7</f>
        <v>4030.9375</v>
      </c>
      <c r="G7" s="10">
        <f t="shared" si="1"/>
        <v>4788.875</v>
      </c>
      <c r="H7" s="10">
        <f t="shared" si="1"/>
        <v>5546.8125</v>
      </c>
      <c r="I7" s="10">
        <f t="shared" si="1"/>
        <v>6304.75</v>
      </c>
      <c r="J7" s="10">
        <f t="shared" si="1"/>
        <v>7062.6875</v>
      </c>
      <c r="K7" s="10">
        <f t="shared" si="1"/>
        <v>7820.625</v>
      </c>
      <c r="L7" s="10">
        <f t="shared" si="1"/>
        <v>8578.5625</v>
      </c>
      <c r="M7" s="10">
        <f t="shared" si="1"/>
        <v>9336.5</v>
      </c>
      <c r="N7" s="10">
        <f t="shared" si="1"/>
        <v>10094.4375</v>
      </c>
      <c r="O7" s="10">
        <f t="shared" si="1"/>
        <v>10852.375</v>
      </c>
      <c r="P7" s="10">
        <f t="shared" si="1"/>
        <v>11610.3125</v>
      </c>
      <c r="Q7" s="10">
        <f t="shared" si="1"/>
        <v>12368.25</v>
      </c>
      <c r="R7" s="10">
        <f t="shared" si="1"/>
        <v>13126.1875</v>
      </c>
      <c r="S7" s="10">
        <f t="shared" si="1"/>
        <v>13884.125</v>
      </c>
      <c r="T7" s="10">
        <f t="shared" si="1"/>
        <v>14642.0625</v>
      </c>
      <c r="U7" s="12">
        <v>15400</v>
      </c>
      <c r="V7" t="s">
        <v>24</v>
      </c>
    </row>
    <row r="8" spans="2:22">
      <c r="B8" t="s">
        <v>20</v>
      </c>
      <c r="C8" s="10"/>
      <c r="D8" s="10">
        <f>D6-D7</f>
        <v>450</v>
      </c>
      <c r="E8" s="10">
        <f>E6-E7</f>
        <v>39642</v>
      </c>
      <c r="F8" s="10">
        <f t="shared" ref="F8:U8" si="2">E8*(1+$F$9)</f>
        <v>40434.840000000004</v>
      </c>
      <c r="G8" s="10">
        <f t="shared" si="2"/>
        <v>41243.536800000002</v>
      </c>
      <c r="H8" s="10">
        <f t="shared" si="2"/>
        <v>42068.407536000006</v>
      </c>
      <c r="I8" s="10">
        <f t="shared" si="2"/>
        <v>42909.775686720008</v>
      </c>
      <c r="J8" s="10">
        <f t="shared" si="2"/>
        <v>43767.971200454405</v>
      </c>
      <c r="K8" s="10">
        <f t="shared" si="2"/>
        <v>44643.330624463495</v>
      </c>
      <c r="L8" s="10">
        <f t="shared" si="2"/>
        <v>45536.197236952765</v>
      </c>
      <c r="M8" s="10">
        <f t="shared" si="2"/>
        <v>46446.921181691818</v>
      </c>
      <c r="N8" s="10">
        <f t="shared" si="2"/>
        <v>47375.859605325655</v>
      </c>
      <c r="O8" s="10">
        <f t="shared" si="2"/>
        <v>48323.376797432167</v>
      </c>
      <c r="P8" s="10">
        <f t="shared" si="2"/>
        <v>49289.84433338081</v>
      </c>
      <c r="Q8" s="10">
        <f t="shared" si="2"/>
        <v>50275.641220048426</v>
      </c>
      <c r="R8" s="10">
        <f t="shared" si="2"/>
        <v>51281.154044449395</v>
      </c>
      <c r="S8" s="10">
        <f t="shared" si="2"/>
        <v>52306.777125338383</v>
      </c>
      <c r="T8" s="10">
        <f t="shared" si="2"/>
        <v>53352.91266784515</v>
      </c>
      <c r="U8" s="10">
        <f t="shared" si="2"/>
        <v>54419.970921202053</v>
      </c>
    </row>
    <row r="9" spans="2:22">
      <c r="F9" s="11">
        <v>0.02</v>
      </c>
      <c r="G9" t="s">
        <v>23</v>
      </c>
    </row>
    <row r="11" spans="2:22">
      <c r="B11" s="6" t="s">
        <v>16</v>
      </c>
    </row>
    <row r="12" spans="2:22">
      <c r="B12" t="s">
        <v>13</v>
      </c>
    </row>
    <row r="13" spans="2:22">
      <c r="B13" t="s">
        <v>14</v>
      </c>
    </row>
    <row r="14" spans="2:22">
      <c r="B14" t="s">
        <v>15</v>
      </c>
    </row>
    <row r="15" spans="2:22">
      <c r="B15" t="s">
        <v>17</v>
      </c>
    </row>
    <row r="17" spans="2:2">
      <c r="B17" s="6" t="s">
        <v>18</v>
      </c>
    </row>
    <row r="18" spans="2:2">
      <c r="B18" s="6"/>
    </row>
    <row r="19" spans="2:2">
      <c r="B19" t="s">
        <v>22</v>
      </c>
    </row>
    <row r="20" spans="2:2">
      <c r="B20" t="s">
        <v>21</v>
      </c>
    </row>
  </sheetData>
  <hyperlinks>
    <hyperlink ref="B11" r:id="rId1" xr:uid="{13EA2D02-EB94-D64E-B5F4-607E0EFC2DEF}"/>
    <hyperlink ref="B17" r:id="rId2" xr:uid="{DA353DEE-F016-7144-8B59-6BA3D39E65D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Y2"/>
  <sheetViews>
    <sheetView workbookViewId="0">
      <selection activeCell="A2" sqref="A2"/>
    </sheetView>
  </sheetViews>
  <sheetFormatPr baseColWidth="10" defaultColWidth="8.83203125" defaultRowHeight="15"/>
  <cols>
    <col min="1" max="1" width="21" customWidth="1"/>
  </cols>
  <sheetData>
    <row r="1" spans="1:51">
      <c r="A1" t="s">
        <v>10</v>
      </c>
      <c r="B1">
        <v>2021</v>
      </c>
      <c r="C1" s="3">
        <v>2022</v>
      </c>
      <c r="D1">
        <v>2023</v>
      </c>
      <c r="E1" s="3">
        <v>2024</v>
      </c>
      <c r="F1">
        <v>2025</v>
      </c>
      <c r="G1" s="3">
        <v>2026</v>
      </c>
      <c r="H1">
        <v>2027</v>
      </c>
      <c r="I1" s="3">
        <v>2028</v>
      </c>
      <c r="J1">
        <v>2029</v>
      </c>
      <c r="K1" s="3">
        <v>2030</v>
      </c>
      <c r="L1">
        <v>2031</v>
      </c>
      <c r="M1" s="3">
        <v>2032</v>
      </c>
      <c r="N1">
        <v>2033</v>
      </c>
      <c r="O1" s="3">
        <v>2034</v>
      </c>
      <c r="P1">
        <v>2035</v>
      </c>
      <c r="Q1" s="3">
        <v>2036</v>
      </c>
      <c r="R1">
        <v>2037</v>
      </c>
      <c r="S1" s="3">
        <v>2038</v>
      </c>
      <c r="T1">
        <v>2039</v>
      </c>
      <c r="U1" s="3">
        <v>2040</v>
      </c>
      <c r="V1">
        <v>2041</v>
      </c>
      <c r="W1" s="3">
        <v>2042</v>
      </c>
      <c r="X1">
        <v>2043</v>
      </c>
      <c r="Y1" s="3">
        <v>2044</v>
      </c>
      <c r="Z1">
        <v>2045</v>
      </c>
      <c r="AA1" s="3">
        <v>2046</v>
      </c>
      <c r="AB1">
        <v>2047</v>
      </c>
      <c r="AC1" s="3">
        <v>2048</v>
      </c>
      <c r="AD1">
        <v>2049</v>
      </c>
      <c r="AE1" s="3">
        <v>2050</v>
      </c>
      <c r="AF1">
        <v>2051</v>
      </c>
      <c r="AG1" s="3">
        <v>2052</v>
      </c>
      <c r="AH1">
        <v>2053</v>
      </c>
      <c r="AI1" s="3">
        <v>2054</v>
      </c>
      <c r="AJ1">
        <v>2055</v>
      </c>
      <c r="AK1" s="3">
        <v>2056</v>
      </c>
      <c r="AL1">
        <v>2057</v>
      </c>
      <c r="AM1" s="3">
        <v>2058</v>
      </c>
      <c r="AN1">
        <v>2059</v>
      </c>
      <c r="AO1" s="3">
        <v>2060</v>
      </c>
      <c r="AP1">
        <v>2061</v>
      </c>
      <c r="AQ1" s="3">
        <v>2062</v>
      </c>
      <c r="AR1">
        <v>2063</v>
      </c>
      <c r="AS1" s="3">
        <v>2064</v>
      </c>
      <c r="AT1">
        <v>2065</v>
      </c>
      <c r="AU1" s="3">
        <v>2066</v>
      </c>
      <c r="AV1">
        <v>2067</v>
      </c>
      <c r="AW1" s="3">
        <v>2068</v>
      </c>
      <c r="AX1">
        <v>2069</v>
      </c>
      <c r="AY1" s="3">
        <v>2070</v>
      </c>
    </row>
    <row r="2" spans="1:51">
      <c r="A2" s="1" t="s">
        <v>11</v>
      </c>
      <c r="B2" s="2">
        <f>C2</f>
        <v>2673</v>
      </c>
      <c r="C2" s="2">
        <f>Mexico!C6</f>
        <v>2673</v>
      </c>
      <c r="D2" s="2">
        <f>Mexico!D6</f>
        <v>3723</v>
      </c>
      <c r="E2" s="2">
        <f>Mexico!E6</f>
        <v>42915</v>
      </c>
      <c r="F2" s="2">
        <f>Mexico!F6</f>
        <v>44465.777500000004</v>
      </c>
      <c r="G2" s="2">
        <f>Mexico!G6</f>
        <v>46032.411800000002</v>
      </c>
      <c r="H2" s="2">
        <f>Mexico!H6</f>
        <v>47615.220036000006</v>
      </c>
      <c r="I2" s="2">
        <f>Mexico!I6</f>
        <v>49214.525686720008</v>
      </c>
      <c r="J2" s="2">
        <f>Mexico!J6</f>
        <v>50830.658700454405</v>
      </c>
      <c r="K2" s="2">
        <f>Mexico!K6</f>
        <v>52463.955624463495</v>
      </c>
      <c r="L2" s="2">
        <f>Mexico!L6</f>
        <v>54114.759736952765</v>
      </c>
      <c r="M2" s="2">
        <f>Mexico!M6</f>
        <v>55783.421181691818</v>
      </c>
      <c r="N2" s="2">
        <f>Mexico!N6</f>
        <v>57470.297105325655</v>
      </c>
      <c r="O2" s="2">
        <f>Mexico!O6</f>
        <v>59175.751797432167</v>
      </c>
      <c r="P2" s="2">
        <f>Mexico!P6</f>
        <v>60900.15683338081</v>
      </c>
      <c r="Q2" s="2">
        <f>Mexico!Q6</f>
        <v>62643.891220048426</v>
      </c>
      <c r="R2" s="2">
        <f>Mexico!R6</f>
        <v>64407.341544449395</v>
      </c>
      <c r="S2" s="2">
        <f>Mexico!S6</f>
        <v>66190.902125338383</v>
      </c>
      <c r="T2" s="2">
        <f>Mexico!T6</f>
        <v>67994.975167845143</v>
      </c>
      <c r="U2" s="2">
        <f>Mexico!U6</f>
        <v>69819.970921202053</v>
      </c>
      <c r="V2" s="2" cm="1">
        <f t="array" ref="V2">TREND($P$2:$U$2,$P$1:$U$1,V$1)</f>
        <v>71569.794588382356</v>
      </c>
      <c r="W2" s="2" cm="1">
        <f t="array" ref="W2">TREND($P$2:$U$2,$P$1:$U$1,W$1)</f>
        <v>73353.676955907606</v>
      </c>
      <c r="X2" s="2" cm="1">
        <f t="array" ref="X2">TREND($P$2:$U$2,$P$1:$U$1,X$1)</f>
        <v>75137.559323433321</v>
      </c>
      <c r="Y2" s="2" cm="1">
        <f t="array" ref="Y2">TREND($P$2:$U$2,$P$1:$U$1,Y$1)</f>
        <v>76921.441690958571</v>
      </c>
      <c r="Z2" s="2" cm="1">
        <f t="array" ref="Z2">TREND($P$2:$U$2,$P$1:$U$1,Z$1)</f>
        <v>78705.32405848382</v>
      </c>
      <c r="AA2" s="2" cm="1">
        <f t="array" ref="AA2">TREND($P$2:$U$2,$P$1:$U$1,AA$1)</f>
        <v>80489.20642600907</v>
      </c>
      <c r="AB2" s="2" cm="1">
        <f t="array" ref="AB2">TREND($P$2:$U$2,$P$1:$U$1,AB$1)</f>
        <v>82273.08879353432</v>
      </c>
      <c r="AC2" s="2" cm="1">
        <f t="array" ref="AC2">TREND($P$2:$U$2,$P$1:$U$1,AC$1)</f>
        <v>84056.97116105957</v>
      </c>
      <c r="AD2" s="2" cm="1">
        <f t="array" ref="AD2">TREND($P$2:$U$2,$P$1:$U$1,AD$1)</f>
        <v>85840.853528584819</v>
      </c>
      <c r="AE2" s="2" cm="1">
        <f t="array" ref="AE2">TREND($P$2:$U$2,$P$1:$U$1,AE$1)</f>
        <v>87624.735896110069</v>
      </c>
      <c r="AF2" s="2" cm="1">
        <f t="array" ref="AF2">TREND($P$2:$U$2,$P$1:$U$1,AF$1)</f>
        <v>89408.618263635319</v>
      </c>
      <c r="AG2" s="2" cm="1">
        <f t="array" ref="AG2">TREND($P$2:$U$2,$P$1:$U$1,AG$1)</f>
        <v>91192.500631160568</v>
      </c>
      <c r="AH2" s="2" cm="1">
        <f t="array" ref="AH2">TREND($P$2:$U$2,$P$1:$U$1,AH$1)</f>
        <v>92976.382998685818</v>
      </c>
      <c r="AI2" s="2" cm="1">
        <f t="array" ref="AI2">TREND($P$2:$U$2,$P$1:$U$1,AI$1)</f>
        <v>94760.265366211534</v>
      </c>
      <c r="AJ2" s="2" cm="1">
        <f t="array" ref="AJ2">TREND($P$2:$U$2,$P$1:$U$1,AJ$1)</f>
        <v>96544.147733736783</v>
      </c>
      <c r="AK2" s="2" cm="1">
        <f t="array" ref="AK2">TREND($P$2:$U$2,$P$1:$U$1,AK$1)</f>
        <v>98328.030101262033</v>
      </c>
      <c r="AL2" s="2" cm="1">
        <f t="array" ref="AL2">TREND($P$2:$U$2,$P$1:$U$1,AL$1)</f>
        <v>100111.91246878728</v>
      </c>
      <c r="AM2" s="2" cm="1">
        <f t="array" ref="AM2">TREND($P$2:$U$2,$P$1:$U$1,AM$1)</f>
        <v>101895.79483631253</v>
      </c>
      <c r="AN2" s="2" cm="1">
        <f t="array" ref="AN2">TREND($P$2:$U$2,$P$1:$U$1,AN$1)</f>
        <v>103679.67720383778</v>
      </c>
      <c r="AO2" s="2" cm="1">
        <f t="array" ref="AO2">TREND($P$2:$U$2,$P$1:$U$1,AO$1)</f>
        <v>105463.55957136303</v>
      </c>
      <c r="AP2" s="2" cm="1">
        <f t="array" ref="AP2">TREND($P$2:$U$2,$P$1:$U$1,AP$1)</f>
        <v>107247.44193888828</v>
      </c>
      <c r="AQ2" s="2" cm="1">
        <f t="array" ref="AQ2">TREND($P$2:$U$2,$P$1:$U$1,AQ$1)</f>
        <v>109031.32430641353</v>
      </c>
      <c r="AR2" s="2" cm="1">
        <f t="array" ref="AR2">TREND($P$2:$U$2,$P$1:$U$1,AR$1)</f>
        <v>110815.20667393878</v>
      </c>
      <c r="AS2" s="2" cm="1">
        <f t="array" ref="AS2">TREND($P$2:$U$2,$P$1:$U$1,AS$1)</f>
        <v>112599.0890414645</v>
      </c>
      <c r="AT2" s="2" cm="1">
        <f t="array" ref="AT2">TREND($P$2:$U$2,$P$1:$U$1,AT$1)</f>
        <v>114382.97140898975</v>
      </c>
      <c r="AU2" s="2" cm="1">
        <f t="array" ref="AU2">TREND($P$2:$U$2,$P$1:$U$1,AU$1)</f>
        <v>116166.853776515</v>
      </c>
      <c r="AV2" s="2" cm="1">
        <f t="array" ref="AV2">TREND($P$2:$U$2,$P$1:$U$1,AV$1)</f>
        <v>117950.73614404025</v>
      </c>
      <c r="AW2" s="2" cm="1">
        <f t="array" ref="AW2">TREND($P$2:$U$2,$P$1:$U$1,AW$1)</f>
        <v>119734.6185115655</v>
      </c>
      <c r="AX2" s="2" cm="1">
        <f t="array" ref="AX2">TREND($P$2:$U$2,$P$1:$U$1,AX$1)</f>
        <v>121518.50087909075</v>
      </c>
      <c r="AY2" s="2" cm="1">
        <f t="array" ref="AY2">TREND($P$2:$U$2,$P$1:$U$1,AY$1)</f>
        <v>123302.38324661599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CB4659-5844-4DB6-B6BE-BED5F168CBAA}">
  <ds:schemaRefs>
    <ds:schemaRef ds:uri="http://schemas.microsoft.com/sharepoint/v3/contenttype/forms"/>
  </ds:schemaRefs>
</ds:datastoreItem>
</file>

<file path=customXml/itemProps2.xml><?xml version="1.0" encoding="utf-8"?>
<ds:datastoreItem xmlns:ds="http://schemas.openxmlformats.org/officeDocument/2006/customXml" ds:itemID="{331BC3CF-7759-49D4-B59A-60025DBA72D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A624A-8DBA-4884-983A-E95A250793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Mexico</vt:lpstr>
      <vt:lpstr>BNoEVC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Fernando Olea</cp:lastModifiedBy>
  <cp:revision/>
  <dcterms:created xsi:type="dcterms:W3CDTF">2019-06-04T20:20:37Z</dcterms:created>
  <dcterms:modified xsi:type="dcterms:W3CDTF">2025-05-15T02:27:12Z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