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Rachel Goldstein\Desktop\EPS Models\Mexico EPS\InputData\trans\BNoGP\"/>
    </mc:Choice>
  </mc:AlternateContent>
  <xr:revisionPtr revIDLastSave="0" documentId="13_ncr:1_{1B732D1B-93F6-40E7-8140-32335FB531E2}" xr6:coauthVersionLast="47" xr6:coauthVersionMax="47" xr10:uidLastSave="{00000000-0000-0000-0000-000000000000}"/>
  <bookViews>
    <workbookView xWindow="37050" yWindow="1065" windowWidth="22785" windowHeight="14115" activeTab="2" xr2:uid="{00000000-000D-0000-FFFF-FFFF00000000}"/>
  </bookViews>
  <sheets>
    <sheet name="About" sheetId="1" r:id="rId1"/>
    <sheet name="Hist data" sheetId="4" r:id="rId2"/>
    <sheet name="BNoGP" sheetId="3" r:id="rId3"/>
  </sheets>
  <definedNames>
    <definedName name="income">#REF!</definedName>
    <definedName name="Range_EV">#REF!</definedName>
    <definedName name="range_IC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2" i="3" l="1"/>
  <c r="AG2" i="3" s="1"/>
  <c r="AH2" i="3" s="1"/>
  <c r="AI2" i="3" s="1"/>
  <c r="AJ2" i="3" s="1"/>
  <c r="AK2" i="3" s="1"/>
  <c r="AL2" i="3" s="1"/>
  <c r="AM2" i="3" s="1"/>
  <c r="AN2" i="3" s="1"/>
  <c r="AO2" i="3" s="1"/>
  <c r="AP2" i="3" s="1"/>
  <c r="AQ2" i="3" s="1"/>
  <c r="AR2" i="3" s="1"/>
  <c r="AS2" i="3" s="1"/>
  <c r="AT2" i="3" s="1"/>
  <c r="AU2" i="3" s="1"/>
  <c r="AV2" i="3" s="1"/>
  <c r="AW2" i="3" s="1"/>
  <c r="AX2" i="3" s="1"/>
  <c r="AY2" i="3" s="1"/>
  <c r="R2" i="3"/>
  <c r="S2" i="3"/>
  <c r="T2" i="3"/>
  <c r="U2" i="3" s="1"/>
  <c r="V2" i="3" s="1"/>
  <c r="W2" i="3" s="1"/>
  <c r="X2" i="3" s="1"/>
  <c r="Y2" i="3" s="1"/>
  <c r="Z2" i="3" s="1"/>
  <c r="AA2" i="3" s="1"/>
  <c r="AB2" i="3" s="1"/>
  <c r="AC2" i="3" s="1"/>
  <c r="AD2" i="3" s="1"/>
  <c r="AE2" i="3" s="1"/>
  <c r="Q2" i="3"/>
  <c r="F2" i="3"/>
  <c r="G2" i="3"/>
  <c r="H2" i="3"/>
  <c r="I2" i="3"/>
  <c r="J2" i="3"/>
  <c r="K2" i="3"/>
  <c r="L2" i="3"/>
  <c r="M2" i="3"/>
  <c r="N2" i="3"/>
  <c r="O2" i="3"/>
  <c r="P2" i="3"/>
  <c r="C2" i="3"/>
  <c r="D2" i="3"/>
  <c r="E2" i="3"/>
  <c r="B2" i="3"/>
</calcChain>
</file>

<file path=xl/sharedStrings.xml><?xml version="1.0" encoding="utf-8"?>
<sst xmlns="http://schemas.openxmlformats.org/spreadsheetml/2006/main" count="15" uniqueCount="15">
  <si>
    <t>BNoEVC BAU Number of Gas Pumps</t>
  </si>
  <si>
    <t>Source:</t>
  </si>
  <si>
    <t>Number of Gas pumps</t>
  </si>
  <si>
    <t>Notes</t>
  </si>
  <si>
    <t>Number of chargers</t>
  </si>
  <si>
    <t>BAU Gas Pumps</t>
  </si>
  <si>
    <t>Petro Intelligence</t>
  </si>
  <si>
    <t>2019-204</t>
  </si>
  <si>
    <t>https://petrointelligence.com/files/fotografias_del_sector_gasolinero_en_mexico/diciembre_2024.pdf</t>
  </si>
  <si>
    <t xml:space="preserve">We apply the observed grow rate between 2019-2024, to the period 2025-2035. </t>
  </si>
  <si>
    <t xml:space="preserve">Afterwards its kept constant. </t>
  </si>
  <si>
    <t>Year</t>
  </si>
  <si>
    <t>Number of gas pumps</t>
  </si>
  <si>
    <t>Historic data</t>
  </si>
  <si>
    <t>Projected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</si>
</sst>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1" fillId="2" borderId="0" xfId="0" applyFont="1" applyFill="1"/>
    <xf numFmtId="0" fontId="0" fillId="0" borderId="0" xfId="0" applyAlignment="1">
      <alignment horizontal="left"/>
    </xf>
    <xf numFmtId="3" fontId="0" fillId="0" borderId="0" xfId="0" applyNumberFormat="1"/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11" fontId="0" fillId="0" borderId="0" xfId="0" applyNumberFormat="1"/>
  </cellXfs>
  <cellStyles count="2">
    <cellStyle name="Normal" xfId="0" builtinId="0"/>
    <cellStyle name="Normal 3 2" xfId="1" xr:uid="{3F0B3957-5839-491A-BB84-14323CF388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>
      <selection activeCell="A12" sqref="A12"/>
    </sheetView>
  </sheetViews>
  <sheetFormatPr defaultColWidth="8.77734375" defaultRowHeight="14.4" x14ac:dyDescent="0.3"/>
  <cols>
    <col min="1" max="1" width="16.44140625" customWidth="1"/>
    <col min="2" max="2" width="31.77734375" customWidth="1"/>
  </cols>
  <sheetData>
    <row r="1" spans="1:2" x14ac:dyDescent="0.3">
      <c r="A1" s="1" t="s">
        <v>0</v>
      </c>
    </row>
    <row r="3" spans="1:2" x14ac:dyDescent="0.3">
      <c r="A3" s="1" t="s">
        <v>1</v>
      </c>
      <c r="B3" s="3" t="s">
        <v>2</v>
      </c>
    </row>
    <row r="4" spans="1:2" x14ac:dyDescent="0.3">
      <c r="B4" t="s">
        <v>6</v>
      </c>
    </row>
    <row r="5" spans="1:2" x14ac:dyDescent="0.3">
      <c r="B5" s="4" t="s">
        <v>7</v>
      </c>
    </row>
    <row r="6" spans="1:2" x14ac:dyDescent="0.3">
      <c r="B6" t="s">
        <v>8</v>
      </c>
    </row>
    <row r="9" spans="1:2" x14ac:dyDescent="0.3">
      <c r="A9" s="1" t="s">
        <v>3</v>
      </c>
    </row>
    <row r="10" spans="1:2" x14ac:dyDescent="0.3">
      <c r="A10" t="s">
        <v>9</v>
      </c>
    </row>
    <row r="11" spans="1:2" x14ac:dyDescent="0.3">
      <c r="A11" t="s">
        <v>10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11F65-9F20-D140-A7B1-D6BBDE3C3CF4}">
  <dimension ref="A1:R3"/>
  <sheetViews>
    <sheetView workbookViewId="0">
      <selection activeCell="H3" sqref="H3"/>
    </sheetView>
  </sheetViews>
  <sheetFormatPr defaultColWidth="11.5546875" defaultRowHeight="14.4" x14ac:dyDescent="0.3"/>
  <sheetData>
    <row r="1" spans="1:18" x14ac:dyDescent="0.3">
      <c r="B1" s="6" t="s">
        <v>13</v>
      </c>
      <c r="C1" s="6"/>
      <c r="D1" s="6"/>
      <c r="E1" s="6"/>
      <c r="F1" s="6"/>
      <c r="G1" s="6"/>
      <c r="H1" s="7" t="s">
        <v>14</v>
      </c>
      <c r="I1" s="7"/>
      <c r="J1" s="7"/>
      <c r="K1" s="7"/>
      <c r="L1" s="7"/>
      <c r="M1" s="7"/>
      <c r="N1" s="7"/>
      <c r="O1" s="7"/>
      <c r="P1" s="7"/>
      <c r="Q1" s="7"/>
      <c r="R1" s="7"/>
    </row>
    <row r="2" spans="1:18" x14ac:dyDescent="0.3">
      <c r="A2" t="s">
        <v>11</v>
      </c>
      <c r="B2">
        <v>2019</v>
      </c>
      <c r="C2">
        <v>2020</v>
      </c>
      <c r="D2">
        <v>2021</v>
      </c>
      <c r="E2">
        <v>2022</v>
      </c>
      <c r="F2">
        <v>2023</v>
      </c>
      <c r="G2">
        <v>2024</v>
      </c>
      <c r="H2">
        <v>2025</v>
      </c>
      <c r="I2">
        <v>2026</v>
      </c>
      <c r="J2">
        <v>2027</v>
      </c>
      <c r="K2">
        <v>2028</v>
      </c>
      <c r="L2">
        <v>2029</v>
      </c>
      <c r="M2">
        <v>2030</v>
      </c>
      <c r="N2">
        <v>2031</v>
      </c>
      <c r="O2">
        <v>2032</v>
      </c>
      <c r="P2">
        <v>2033</v>
      </c>
      <c r="Q2">
        <v>2034</v>
      </c>
      <c r="R2">
        <v>2035</v>
      </c>
    </row>
    <row r="3" spans="1:18" x14ac:dyDescent="0.3">
      <c r="A3" t="s">
        <v>12</v>
      </c>
      <c r="B3" s="5">
        <v>12607</v>
      </c>
      <c r="C3" s="5">
        <v>12769</v>
      </c>
      <c r="D3" s="5">
        <v>12884</v>
      </c>
      <c r="E3" s="5">
        <v>13389</v>
      </c>
      <c r="F3" s="5">
        <v>13633</v>
      </c>
      <c r="G3" s="5">
        <v>13837</v>
      </c>
      <c r="H3" s="5">
        <v>14111.2</v>
      </c>
      <c r="I3" s="5">
        <v>14375.4</v>
      </c>
      <c r="J3" s="5">
        <v>14639.6</v>
      </c>
      <c r="K3" s="5">
        <v>14903.8</v>
      </c>
      <c r="L3" s="5">
        <v>15168</v>
      </c>
      <c r="M3" s="5">
        <v>15432.2</v>
      </c>
      <c r="N3" s="5">
        <v>15696.4</v>
      </c>
      <c r="O3" s="5">
        <v>15960.6</v>
      </c>
      <c r="P3" s="5">
        <v>16224.8</v>
      </c>
      <c r="Q3" s="5">
        <v>16489</v>
      </c>
      <c r="R3" s="5">
        <v>16753.2</v>
      </c>
    </row>
  </sheetData>
  <mergeCells count="2">
    <mergeCell ref="B1:G1"/>
    <mergeCell ref="H1:R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Z3"/>
  <sheetViews>
    <sheetView tabSelected="1" workbookViewId="0">
      <selection activeCell="B2" sqref="B2:AY3"/>
    </sheetView>
  </sheetViews>
  <sheetFormatPr defaultColWidth="8.77734375" defaultRowHeight="14.4" x14ac:dyDescent="0.3"/>
  <cols>
    <col min="1" max="1" width="21" customWidth="1"/>
    <col min="2" max="2" width="17.77734375" bestFit="1" customWidth="1"/>
  </cols>
  <sheetData>
    <row r="1" spans="1:52" x14ac:dyDescent="0.3">
      <c r="A1" t="s">
        <v>4</v>
      </c>
      <c r="B1">
        <v>2021</v>
      </c>
      <c r="C1" s="2">
        <v>2022</v>
      </c>
      <c r="D1">
        <v>2023</v>
      </c>
      <c r="E1" s="2">
        <v>2024</v>
      </c>
      <c r="F1">
        <v>2025</v>
      </c>
      <c r="G1" s="2">
        <v>2026</v>
      </c>
      <c r="H1">
        <v>2027</v>
      </c>
      <c r="I1" s="2">
        <v>2028</v>
      </c>
      <c r="J1">
        <v>2029</v>
      </c>
      <c r="K1" s="2">
        <v>2030</v>
      </c>
      <c r="L1">
        <v>2031</v>
      </c>
      <c r="M1" s="2">
        <v>2032</v>
      </c>
      <c r="N1">
        <v>2033</v>
      </c>
      <c r="O1" s="2">
        <v>2034</v>
      </c>
      <c r="P1">
        <v>2035</v>
      </c>
      <c r="Q1" s="2">
        <v>2036</v>
      </c>
      <c r="R1">
        <v>2037</v>
      </c>
      <c r="S1" s="2">
        <v>2038</v>
      </c>
      <c r="T1">
        <v>2039</v>
      </c>
      <c r="U1" s="2">
        <v>2040</v>
      </c>
      <c r="V1">
        <v>2041</v>
      </c>
      <c r="W1" s="2">
        <v>2042</v>
      </c>
      <c r="X1">
        <v>2043</v>
      </c>
      <c r="Y1" s="2">
        <v>2044</v>
      </c>
      <c r="Z1">
        <v>2045</v>
      </c>
      <c r="AA1" s="2">
        <v>2046</v>
      </c>
      <c r="AB1">
        <v>2047</v>
      </c>
      <c r="AC1" s="2">
        <v>2048</v>
      </c>
      <c r="AD1">
        <v>2049</v>
      </c>
      <c r="AE1" s="2">
        <v>2050</v>
      </c>
      <c r="AF1">
        <v>2051</v>
      </c>
      <c r="AG1" s="2">
        <v>2052</v>
      </c>
      <c r="AH1">
        <v>2053</v>
      </c>
      <c r="AI1" s="2">
        <v>2054</v>
      </c>
      <c r="AJ1">
        <v>2055</v>
      </c>
      <c r="AK1" s="2">
        <v>2056</v>
      </c>
      <c r="AL1">
        <v>2057</v>
      </c>
      <c r="AM1" s="2">
        <v>2058</v>
      </c>
      <c r="AN1">
        <v>2059</v>
      </c>
      <c r="AO1" s="2">
        <v>2060</v>
      </c>
      <c r="AP1">
        <v>2061</v>
      </c>
      <c r="AQ1" s="2">
        <v>2062</v>
      </c>
      <c r="AR1">
        <v>2063</v>
      </c>
      <c r="AS1" s="2">
        <v>2064</v>
      </c>
      <c r="AT1">
        <v>2065</v>
      </c>
      <c r="AU1" s="2">
        <v>2066</v>
      </c>
      <c r="AV1">
        <v>2067</v>
      </c>
      <c r="AW1" s="2">
        <v>2068</v>
      </c>
      <c r="AX1">
        <v>2069</v>
      </c>
      <c r="AY1" s="2">
        <v>2070</v>
      </c>
    </row>
    <row r="2" spans="1:52" x14ac:dyDescent="0.3">
      <c r="A2" s="1" t="s">
        <v>5</v>
      </c>
      <c r="B2" s="8">
        <f>'Hist data'!D3</f>
        <v>12884</v>
      </c>
      <c r="C2" s="8">
        <f>'Hist data'!E3</f>
        <v>13389</v>
      </c>
      <c r="D2" s="8">
        <f>'Hist data'!F3</f>
        <v>13633</v>
      </c>
      <c r="E2" s="8">
        <f>'Hist data'!G3</f>
        <v>13837</v>
      </c>
      <c r="F2" s="8">
        <f>'Hist data'!H3</f>
        <v>14111.2</v>
      </c>
      <c r="G2" s="8">
        <f>'Hist data'!I3</f>
        <v>14375.4</v>
      </c>
      <c r="H2" s="8">
        <f>'Hist data'!J3</f>
        <v>14639.6</v>
      </c>
      <c r="I2" s="8">
        <f>'Hist data'!K3</f>
        <v>14903.8</v>
      </c>
      <c r="J2" s="8">
        <f>'Hist data'!L3</f>
        <v>15168</v>
      </c>
      <c r="K2" s="8">
        <f>'Hist data'!M3</f>
        <v>15432.2</v>
      </c>
      <c r="L2" s="8">
        <f>'Hist data'!N3</f>
        <v>15696.4</v>
      </c>
      <c r="M2" s="8">
        <f>'Hist data'!O3</f>
        <v>15960.6</v>
      </c>
      <c r="N2" s="8">
        <f>'Hist data'!P3</f>
        <v>16224.8</v>
      </c>
      <c r="O2" s="8">
        <f>'Hist data'!Q3</f>
        <v>16489</v>
      </c>
      <c r="P2" s="8">
        <f>'Hist data'!R3</f>
        <v>16753.2</v>
      </c>
      <c r="Q2" s="8">
        <f>P2</f>
        <v>16753.2</v>
      </c>
      <c r="R2" s="8">
        <f t="shared" ref="R2:AY2" si="0">Q2</f>
        <v>16753.2</v>
      </c>
      <c r="S2" s="8">
        <f t="shared" si="0"/>
        <v>16753.2</v>
      </c>
      <c r="T2" s="8">
        <f t="shared" si="0"/>
        <v>16753.2</v>
      </c>
      <c r="U2" s="8">
        <f t="shared" si="0"/>
        <v>16753.2</v>
      </c>
      <c r="V2" s="8">
        <f t="shared" si="0"/>
        <v>16753.2</v>
      </c>
      <c r="W2" s="8">
        <f t="shared" si="0"/>
        <v>16753.2</v>
      </c>
      <c r="X2" s="8">
        <f t="shared" si="0"/>
        <v>16753.2</v>
      </c>
      <c r="Y2" s="8">
        <f t="shared" si="0"/>
        <v>16753.2</v>
      </c>
      <c r="Z2" s="8">
        <f t="shared" si="0"/>
        <v>16753.2</v>
      </c>
      <c r="AA2" s="8">
        <f t="shared" si="0"/>
        <v>16753.2</v>
      </c>
      <c r="AB2" s="8">
        <f t="shared" si="0"/>
        <v>16753.2</v>
      </c>
      <c r="AC2" s="8">
        <f t="shared" si="0"/>
        <v>16753.2</v>
      </c>
      <c r="AD2" s="8">
        <f t="shared" si="0"/>
        <v>16753.2</v>
      </c>
      <c r="AE2" s="8">
        <f t="shared" si="0"/>
        <v>16753.2</v>
      </c>
      <c r="AF2" s="8">
        <f t="shared" si="0"/>
        <v>16753.2</v>
      </c>
      <c r="AG2" s="8">
        <f t="shared" si="0"/>
        <v>16753.2</v>
      </c>
      <c r="AH2" s="8">
        <f t="shared" si="0"/>
        <v>16753.2</v>
      </c>
      <c r="AI2" s="8">
        <f t="shared" si="0"/>
        <v>16753.2</v>
      </c>
      <c r="AJ2" s="8">
        <f t="shared" si="0"/>
        <v>16753.2</v>
      </c>
      <c r="AK2" s="8">
        <f t="shared" si="0"/>
        <v>16753.2</v>
      </c>
      <c r="AL2" s="8">
        <f t="shared" si="0"/>
        <v>16753.2</v>
      </c>
      <c r="AM2" s="8">
        <f t="shared" si="0"/>
        <v>16753.2</v>
      </c>
      <c r="AN2" s="8">
        <f t="shared" si="0"/>
        <v>16753.2</v>
      </c>
      <c r="AO2" s="8">
        <f t="shared" si="0"/>
        <v>16753.2</v>
      </c>
      <c r="AP2" s="8">
        <f t="shared" si="0"/>
        <v>16753.2</v>
      </c>
      <c r="AQ2" s="8">
        <f t="shared" si="0"/>
        <v>16753.2</v>
      </c>
      <c r="AR2" s="8">
        <f t="shared" si="0"/>
        <v>16753.2</v>
      </c>
      <c r="AS2" s="8">
        <f t="shared" si="0"/>
        <v>16753.2</v>
      </c>
      <c r="AT2" s="8">
        <f t="shared" si="0"/>
        <v>16753.2</v>
      </c>
      <c r="AU2" s="8">
        <f t="shared" si="0"/>
        <v>16753.2</v>
      </c>
      <c r="AV2" s="8">
        <f t="shared" si="0"/>
        <v>16753.2</v>
      </c>
      <c r="AW2" s="8">
        <f t="shared" si="0"/>
        <v>16753.2</v>
      </c>
      <c r="AX2" s="8">
        <f t="shared" si="0"/>
        <v>16753.2</v>
      </c>
      <c r="AY2" s="8">
        <f t="shared" si="0"/>
        <v>16753.2</v>
      </c>
      <c r="AZ2" s="5"/>
    </row>
    <row r="3" spans="1:52" x14ac:dyDescent="0.3"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139C56C-C4C4-4C76-9FCD-364FA7D0987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9B79048-0458-4BC9-9339-43089CB361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748b23-d81a-423e-9112-21109dc864e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B17D107-A6C5-491E-A74E-1FE4C658B85E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Hist data</vt:lpstr>
      <vt:lpstr>BNoGP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Rachel Goldstein</cp:lastModifiedBy>
  <cp:revision/>
  <dcterms:created xsi:type="dcterms:W3CDTF">2019-06-04T20:20:37Z</dcterms:created>
  <dcterms:modified xsi:type="dcterms:W3CDTF">2025-05-14T15:41:02Z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