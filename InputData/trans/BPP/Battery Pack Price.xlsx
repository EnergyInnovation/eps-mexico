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trans\BPP\"/>
    </mc:Choice>
  </mc:AlternateContent>
  <xr:revisionPtr revIDLastSave="0" documentId="13_ncr:1_{7076CB28-61DD-47F5-AE13-A59E054F1AFD}" xr6:coauthVersionLast="47" xr6:coauthVersionMax="47" xr10:uidLastSave="{00000000-0000-0000-0000-000000000000}"/>
  <bookViews>
    <workbookView xWindow="-90" yWindow="-90" windowWidth="19380" windowHeight="10260" activeTab="1" xr2:uid="{DC12087C-9A27-4A43-B4A9-6B3F1E517F08}"/>
  </bookViews>
  <sheets>
    <sheet name="About" sheetId="1" r:id="rId1"/>
    <sheet name="BPP" sheetId="2" r:id="rId2"/>
    <sheet name="SYBPP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2" i="2"/>
  <c r="C2" i="2"/>
  <c r="D2" i="2"/>
</calcChain>
</file>

<file path=xl/sharedStrings.xml><?xml version="1.0" encoding="utf-8"?>
<sst xmlns="http://schemas.openxmlformats.org/spreadsheetml/2006/main" count="12" uniqueCount="10">
  <si>
    <t>BPP Battery Pack Price</t>
  </si>
  <si>
    <t>Sources:</t>
  </si>
  <si>
    <t>BNEF</t>
  </si>
  <si>
    <t>Lithium-ion Battery Pack Prices Hit Record Low of $139/kWh</t>
  </si>
  <si>
    <t>https://about.bnef.com/blog/lithium-ion-battery-pack-prices-hit-record-low-of-139-kwh/#:~:text=Given%20this%2C%20BNEF%20expects%20average,and%20%2480%2FkWh%20in%202030.</t>
  </si>
  <si>
    <t>Notes:</t>
  </si>
  <si>
    <t>The EPS applies endogenous learning for battery pack prices in years where the battery pack price is listed as 0.</t>
  </si>
  <si>
    <t>2023 to 2012</t>
  </si>
  <si>
    <t>$/kWh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</si>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</sst>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bout.bnef.com/blog/lithium-ion-battery-pack-prices-hit-record-low-of-139-kw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11"/>
  <sheetViews>
    <sheetView workbookViewId="0">
      <selection activeCell="B16" sqref="B16"/>
    </sheetView>
  </sheetViews>
  <sheetFormatPr defaultRowHeight="14.75" x14ac:dyDescent="0.75"/>
  <cols>
    <col min="1" max="1" width="19.40625" customWidth="1"/>
    <col min="2" max="2" width="101.26953125" customWidth="1"/>
  </cols>
  <sheetData>
    <row r="1" spans="1:2" x14ac:dyDescent="0.75">
      <c r="A1" s="1" t="s">
        <v>0</v>
      </c>
    </row>
    <row r="3" spans="1:2" x14ac:dyDescent="0.75">
      <c r="A3" s="1" t="s">
        <v>1</v>
      </c>
      <c r="B3" t="s">
        <v>2</v>
      </c>
    </row>
    <row r="4" spans="1:2" x14ac:dyDescent="0.75">
      <c r="B4" t="s">
        <v>3</v>
      </c>
    </row>
    <row r="5" spans="1:2" x14ac:dyDescent="0.75">
      <c r="B5" s="2">
        <v>2023</v>
      </c>
    </row>
    <row r="6" spans="1:2" x14ac:dyDescent="0.75">
      <c r="B6" s="3" t="s">
        <v>4</v>
      </c>
    </row>
    <row r="8" spans="1:2" x14ac:dyDescent="0.75">
      <c r="A8" s="1" t="s">
        <v>5</v>
      </c>
    </row>
    <row r="9" spans="1:2" x14ac:dyDescent="0.75">
      <c r="A9" t="s">
        <v>6</v>
      </c>
    </row>
    <row r="11" spans="1:2" x14ac:dyDescent="0.75">
      <c r="A11" t="s">
        <v>7</v>
      </c>
      <c r="B11" s="2">
        <v>0.75350342301658668</v>
      </c>
    </row>
  </sheetData>
  <hyperlinks>
    <hyperlink ref="B6" r:id="rId1" location=":~:text=Given%20this%2C%20BNEF%20expects%20average,and%20%2480%2FkWh%20in%202030" xr:uid="{96C10B99-B75C-4A91-A1D1-2211BAD3764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Y2"/>
  <sheetViews>
    <sheetView tabSelected="1" topLeftCell="AM1" workbookViewId="0">
      <selection activeCell="AZ6" sqref="AZ6"/>
    </sheetView>
  </sheetViews>
  <sheetFormatPr defaultRowHeight="14.75" x14ac:dyDescent="0.75"/>
  <sheetData>
    <row r="1" spans="1:51" x14ac:dyDescent="0.75">
      <c r="A1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</row>
    <row r="2" spans="1:51" x14ac:dyDescent="0.75">
      <c r="A2" t="s">
        <v>9</v>
      </c>
      <c r="B2">
        <f>150*About!$B$11</f>
        <v>113.025513452488</v>
      </c>
      <c r="C2">
        <f>161*About!$B$11</f>
        <v>121.31405110567046</v>
      </c>
      <c r="D2">
        <f>139*About!$B$11</f>
        <v>104.73697579930555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3C966-6AEE-455B-8285-F6B514229E67}">
  <sheetPr>
    <tabColor theme="4" tint="-0.249977111117893"/>
  </sheetPr>
  <dimension ref="A1:B2"/>
  <sheetViews>
    <sheetView workbookViewId="0">
      <selection activeCell="D13" sqref="D13"/>
    </sheetView>
  </sheetViews>
  <sheetFormatPr defaultRowHeight="14.75" x14ac:dyDescent="0.75"/>
  <sheetData>
    <row r="1" spans="1:2" x14ac:dyDescent="0.75">
      <c r="A1" t="s">
        <v>8</v>
      </c>
      <c r="B1">
        <v>2020</v>
      </c>
    </row>
    <row r="2" spans="1:2" x14ac:dyDescent="0.75">
      <c r="A2" t="s">
        <v>9</v>
      </c>
      <c r="B2">
        <f>160*About!B11</f>
        <v>120.56054768265386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F0F99D9-296A-4796-81B6-0ADFBD815F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30DE3-387E-4298-B73E-3C028184DC5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C3B3C5C-201F-4528-9C86-EBD693CAD12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BPP</vt:lpstr>
      <vt:lpstr>SYBPP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Olivia Ashmoore</cp:lastModifiedBy>
  <cp:revision/>
  <dcterms:created xsi:type="dcterms:W3CDTF">2023-05-03T18:24:38Z</dcterms:created>
  <dcterms:modified xsi:type="dcterms:W3CDTF">2026-01-23T21:59:14Z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