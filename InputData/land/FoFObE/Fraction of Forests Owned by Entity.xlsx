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korpius/My Drive/2024/FO local_EPS ICM/Diario/20250226_CATCHUP/land_CPL/FoFObE/"/>
    </mc:Choice>
  </mc:AlternateContent>
  <xr:revisionPtr revIDLastSave="0" documentId="13_ncr:1_{A7E6E38F-0B98-184D-83F1-3375CA0DFC6B}" xr6:coauthVersionLast="47" xr6:coauthVersionMax="47" xr10:uidLastSave="{00000000-0000-0000-0000-000000000000}"/>
  <bookViews>
    <workbookView xWindow="13600" yWindow="-21100" windowWidth="29520" windowHeight="20500" xr2:uid="{00000000-000D-0000-FFFF-FFFF00000000}"/>
  </bookViews>
  <sheets>
    <sheet name="About" sheetId="1" r:id="rId1"/>
    <sheet name="MexData" sheetId="4" r:id="rId2"/>
    <sheet name="FoFOb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4" l="1"/>
  <c r="P13" i="4"/>
  <c r="O14" i="4"/>
  <c r="O13" i="4"/>
  <c r="B2" i="3"/>
  <c r="B3" i="3"/>
  <c r="B4" i="3"/>
  <c r="B5" i="3"/>
  <c r="P7" i="4"/>
  <c r="P8" i="4"/>
  <c r="P9" i="4"/>
  <c r="P10" i="4"/>
  <c r="O11" i="4"/>
  <c r="O9" i="4"/>
  <c r="O8" i="4"/>
  <c r="O7" i="4"/>
  <c r="K21" i="4"/>
  <c r="H21" i="4"/>
  <c r="F21" i="4"/>
  <c r="E21" i="4"/>
  <c r="L20" i="4"/>
  <c r="L19" i="4"/>
  <c r="K18" i="4"/>
  <c r="J18" i="4"/>
  <c r="J21" i="4" s="1"/>
  <c r="I18" i="4"/>
  <c r="I21" i="4" s="1"/>
  <c r="H18" i="4"/>
  <c r="G18" i="4"/>
  <c r="G21" i="4" s="1"/>
  <c r="F18" i="4"/>
  <c r="E18" i="4"/>
  <c r="D18" i="4"/>
  <c r="D21" i="4" s="1"/>
  <c r="L17" i="4"/>
  <c r="L16" i="4"/>
  <c r="L15" i="4"/>
  <c r="L14" i="4"/>
  <c r="L13" i="4"/>
  <c r="L12" i="4"/>
  <c r="L11" i="4"/>
  <c r="L10" i="4"/>
  <c r="L9" i="4"/>
  <c r="L8" i="4"/>
  <c r="L7" i="4"/>
  <c r="L21" i="4" l="1"/>
  <c r="L18" i="4"/>
</calcChain>
</file>

<file path=xl/sharedStrings.xml><?xml version="1.0" encoding="utf-8"?>
<sst xmlns="http://schemas.openxmlformats.org/spreadsheetml/2006/main" count="79" uniqueCount="67">
  <si>
    <t>FoFObE Fraction of Forests Owned by Entity</t>
  </si>
  <si>
    <t>Source:</t>
  </si>
  <si>
    <t>Notes</t>
  </si>
  <si>
    <t>Fraction of Forest Owned (dimensionless)</t>
  </si>
  <si>
    <t>government</t>
  </si>
  <si>
    <t>domestic industries</t>
  </si>
  <si>
    <t>labor and consumers</t>
  </si>
  <si>
    <t>foreign entities</t>
  </si>
  <si>
    <t xml:space="preserve">Secretaría de Medio Ambiente y Recursos Naturales- Comisión Nacional Forestal </t>
  </si>
  <si>
    <t>Inventario Nacional Forestal y de Suelos</t>
  </si>
  <si>
    <t>MexSource:</t>
  </si>
  <si>
    <t>https://idefor.cnf.gob.mx/documents/1232/download</t>
  </si>
  <si>
    <t>2015-2020</t>
  </si>
  <si>
    <t>Ecosistema</t>
  </si>
  <si>
    <t>Formación forestal</t>
  </si>
  <si>
    <t>Superficie por tipo de tenencia de la tierra (ha)</t>
  </si>
  <si>
    <t>Ejido forestal</t>
  </si>
  <si>
    <t>Ejido no forestal</t>
  </si>
  <si>
    <t>Comunidad forestal</t>
  </si>
  <si>
    <t>Comunidad no forestal</t>
  </si>
  <si>
    <t>Propiedad privada</t>
  </si>
  <si>
    <t>Propiedad pública</t>
  </si>
  <si>
    <t>Otros tipos de propiedad</t>
  </si>
  <si>
    <t>No definido</t>
  </si>
  <si>
    <t>Total general</t>
  </si>
  <si>
    <t>Bosques</t>
  </si>
  <si>
    <t>Coníferas</t>
  </si>
  <si>
    <t>Coníferas y latifoliadas</t>
  </si>
  <si>
    <t>Latifoliadas</t>
  </si>
  <si>
    <t>Bosque mesófilo</t>
  </si>
  <si>
    <t>Selvas</t>
  </si>
  <si>
    <t>Selvas altas y medianas</t>
  </si>
  <si>
    <t>Selvas bajas</t>
  </si>
  <si>
    <t>Otras asociaciones</t>
  </si>
  <si>
    <t>Manglar</t>
  </si>
  <si>
    <t>Matorral xerófilo</t>
  </si>
  <si>
    <t>Zonas semiáridas</t>
  </si>
  <si>
    <t>Zonas áridas</t>
  </si>
  <si>
    <t>Otras áreas forestales</t>
  </si>
  <si>
    <t>Total forestal</t>
  </si>
  <si>
    <t>Áreas no forestales</t>
  </si>
  <si>
    <t>Cuerpos de agua</t>
  </si>
  <si>
    <t>Fuente: CONAFOR, 2022. Inventario Nacional Forestal 2015-2020 con información de superficies estimadas a partir de la información del Registro Nacional Agrario (RAN, 2021) y la Distribución de la Propiedad (SEDATU, 2009), así como de la Carta de Uso de Suelo y Vegetación del INEGI, Serie VII (2018) y el Marco Geoestadístico Municipal del INEGI 2021</t>
  </si>
  <si>
    <t>Tipos de tenencia de la propiedad</t>
  </si>
  <si>
    <t>Propiedad social</t>
  </si>
  <si>
    <t>Ejidos</t>
  </si>
  <si>
    <t>Comunidades</t>
  </si>
  <si>
    <t>Terreno baldío</t>
  </si>
  <si>
    <t>Terreno nacional</t>
  </si>
  <si>
    <t>Parque nacional</t>
  </si>
  <si>
    <t>Zona federal</t>
  </si>
  <si>
    <t>Condueñazgo</t>
  </si>
  <si>
    <t>Fraccionamiento</t>
  </si>
  <si>
    <t>Pequeña propiedad</t>
  </si>
  <si>
    <t>Área urbana</t>
  </si>
  <si>
    <t>Colonia</t>
  </si>
  <si>
    <t>Nuevo centro de población</t>
  </si>
  <si>
    <t>Terreno nacional en posesión</t>
  </si>
  <si>
    <t>Terreno en excedencia</t>
  </si>
  <si>
    <t>Terreno en demasía</t>
  </si>
  <si>
    <t>No identificado</t>
  </si>
  <si>
    <t>Terrenos sin tipo de propiedad identificado</t>
  </si>
  <si>
    <t>Tipo-propiedad_INFyS-2015-2020_Tablas</t>
  </si>
  <si>
    <t>We only include Forest  land types.</t>
  </si>
  <si>
    <t>Other</t>
  </si>
  <si>
    <t>Undefined</t>
  </si>
  <si>
    <t>Undefined land and "other" (includes mixed property: settlements, contested, exceeded properties) are not considered in fraction, they represent 18% of considered land.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</si>
</sst>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8" formatCode="_-* #,##0.0_-;\-* #,##0.0_-;_-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Protection="0"/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right" wrapText="1"/>
    </xf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/>
    </xf>
    <xf numFmtId="168" fontId="7" fillId="3" borderId="5" xfId="1" applyNumberFormat="1" applyFont="1" applyFill="1" applyBorder="1" applyAlignment="1">
      <alignment vertical="center"/>
    </xf>
    <xf numFmtId="168" fontId="6" fillId="3" borderId="2" xfId="1" applyNumberFormat="1" applyFont="1" applyFill="1" applyBorder="1" applyAlignment="1">
      <alignment horizontal="right" vertical="center"/>
    </xf>
    <xf numFmtId="168" fontId="6" fillId="3" borderId="6" xfId="1" applyNumberFormat="1" applyFont="1" applyFill="1" applyBorder="1" applyAlignment="1">
      <alignment horizontal="right" vertical="center"/>
    </xf>
    <xf numFmtId="168" fontId="6" fillId="3" borderId="5" xfId="1" applyNumberFormat="1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168" fontId="0" fillId="0" borderId="0" xfId="0" applyNumberFormat="1"/>
    <xf numFmtId="9" fontId="0" fillId="0" borderId="0" xfId="2" applyFont="1"/>
  </cellXfs>
  <cellStyles count="4">
    <cellStyle name="Comma" xfId="1" builtinId="3"/>
    <cellStyle name="Normal" xfId="0" builtinId="0"/>
    <cellStyle name="Normal 2" xfId="3" xr:uid="{EEA629D3-D445-214C-9447-9BB5F4B19791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12" sqref="A12"/>
    </sheetView>
  </sheetViews>
  <sheetFormatPr baseColWidth="10" defaultColWidth="8.83203125" defaultRowHeight="15" x14ac:dyDescent="0.2"/>
  <sheetData>
    <row r="1" spans="1:2" x14ac:dyDescent="0.2">
      <c r="A1" s="1" t="s">
        <v>0</v>
      </c>
    </row>
    <row r="3" spans="1:2" x14ac:dyDescent="0.2">
      <c r="A3" s="1" t="s">
        <v>10</v>
      </c>
    </row>
    <row r="4" spans="1:2" x14ac:dyDescent="0.2">
      <c r="B4" t="s">
        <v>8</v>
      </c>
    </row>
    <row r="5" spans="1:2" x14ac:dyDescent="0.2">
      <c r="B5" s="2" t="s">
        <v>12</v>
      </c>
    </row>
    <row r="6" spans="1:2" x14ac:dyDescent="0.2">
      <c r="B6" t="s">
        <v>9</v>
      </c>
    </row>
    <row r="7" spans="1:2" x14ac:dyDescent="0.2">
      <c r="B7" t="s">
        <v>11</v>
      </c>
    </row>
    <row r="8" spans="1:2" x14ac:dyDescent="0.2">
      <c r="B8" t="s">
        <v>62</v>
      </c>
    </row>
    <row r="10" spans="1:2" x14ac:dyDescent="0.2">
      <c r="A10" s="1" t="s">
        <v>2</v>
      </c>
    </row>
    <row r="11" spans="1:2" x14ac:dyDescent="0.2">
      <c r="A11" t="s">
        <v>63</v>
      </c>
    </row>
    <row r="12" spans="1:2" x14ac:dyDescent="0.2">
      <c r="A12" t="s">
        <v>66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BE367-D94D-1841-B502-881E97F751F9}">
  <dimension ref="B2:P42"/>
  <sheetViews>
    <sheetView workbookViewId="0">
      <selection activeCell="P13" sqref="P13:P14"/>
    </sheetView>
  </sheetViews>
  <sheetFormatPr baseColWidth="10" defaultRowHeight="15" x14ac:dyDescent="0.2"/>
  <cols>
    <col min="14" max="14" width="17" bestFit="1" customWidth="1"/>
    <col min="15" max="15" width="13.6640625" bestFit="1" customWidth="1"/>
  </cols>
  <sheetData>
    <row r="2" spans="2:16" x14ac:dyDescent="0.2">
      <c r="C2" t="s">
        <v>62</v>
      </c>
    </row>
    <row r="3" spans="2:16" x14ac:dyDescent="0.2">
      <c r="B3" s="5" t="s">
        <v>1</v>
      </c>
      <c r="C3" s="6" t="s">
        <v>11</v>
      </c>
      <c r="D3" s="6"/>
      <c r="E3" s="6"/>
      <c r="F3" s="6"/>
      <c r="G3" s="6"/>
      <c r="H3" s="6"/>
      <c r="I3" s="6"/>
      <c r="J3" s="6"/>
    </row>
    <row r="4" spans="2:16" x14ac:dyDescent="0.2">
      <c r="B4" s="6"/>
      <c r="C4" s="6"/>
      <c r="D4" s="6"/>
      <c r="E4" s="6"/>
      <c r="F4" s="6"/>
      <c r="G4" s="6"/>
      <c r="H4" s="6"/>
      <c r="I4" s="6"/>
      <c r="J4" s="6"/>
    </row>
    <row r="5" spans="2:16" x14ac:dyDescent="0.2">
      <c r="B5" s="7" t="s">
        <v>13</v>
      </c>
      <c r="C5" s="7" t="s">
        <v>14</v>
      </c>
      <c r="D5" s="8" t="s">
        <v>15</v>
      </c>
      <c r="E5" s="9"/>
      <c r="F5" s="9"/>
      <c r="G5" s="9"/>
      <c r="H5" s="9"/>
      <c r="I5" s="9"/>
      <c r="J5" s="9"/>
      <c r="K5" s="9"/>
      <c r="L5" s="9"/>
    </row>
    <row r="6" spans="2:16" ht="80" x14ac:dyDescent="0.2">
      <c r="B6" s="10"/>
      <c r="C6" s="10"/>
      <c r="D6" s="11" t="s">
        <v>16</v>
      </c>
      <c r="E6" s="11" t="s">
        <v>17</v>
      </c>
      <c r="F6" s="11" t="s">
        <v>18</v>
      </c>
      <c r="G6" s="11" t="s">
        <v>19</v>
      </c>
      <c r="H6" s="11" t="s">
        <v>20</v>
      </c>
      <c r="I6" s="11" t="s">
        <v>21</v>
      </c>
      <c r="J6" s="11" t="s">
        <v>22</v>
      </c>
      <c r="K6" s="11" t="s">
        <v>23</v>
      </c>
      <c r="L6" s="11" t="s">
        <v>24</v>
      </c>
      <c r="P6" s="4" t="s">
        <v>3</v>
      </c>
    </row>
    <row r="7" spans="2:16" x14ac:dyDescent="0.2">
      <c r="B7" s="12" t="s">
        <v>25</v>
      </c>
      <c r="C7" s="13" t="s">
        <v>26</v>
      </c>
      <c r="D7" s="14">
        <v>4152369.820681633</v>
      </c>
      <c r="E7" s="14">
        <v>33020.516533560032</v>
      </c>
      <c r="F7" s="14">
        <v>1014724.1825054622</v>
      </c>
      <c r="G7" s="14">
        <v>1309.6936129629516</v>
      </c>
      <c r="H7" s="14">
        <v>1551777.2511971865</v>
      </c>
      <c r="I7" s="14">
        <v>68456.593022333487</v>
      </c>
      <c r="J7" s="14">
        <v>68469.711038350841</v>
      </c>
      <c r="K7" s="14">
        <v>1315674.6433599871</v>
      </c>
      <c r="L7" s="14">
        <f>SUM(D7:K7)</f>
        <v>8205802.4119514758</v>
      </c>
      <c r="N7" t="s">
        <v>4</v>
      </c>
      <c r="O7" s="3">
        <f>I18</f>
        <v>4058174.0181257566</v>
      </c>
      <c r="P7">
        <f t="shared" ref="P7:P10" si="0">O7/$O$11</f>
        <v>3.3737614092500284E-2</v>
      </c>
    </row>
    <row r="8" spans="2:16" x14ac:dyDescent="0.2">
      <c r="B8" s="12"/>
      <c r="C8" s="13" t="s">
        <v>27</v>
      </c>
      <c r="D8" s="14">
        <v>4597691.5484023755</v>
      </c>
      <c r="E8" s="14">
        <v>39709.181590188418</v>
      </c>
      <c r="F8" s="14">
        <v>2757333.4198973854</v>
      </c>
      <c r="G8" s="14">
        <v>2318.4677355512667</v>
      </c>
      <c r="H8" s="14">
        <v>3246959.1698927423</v>
      </c>
      <c r="I8" s="14">
        <v>225374.65147508169</v>
      </c>
      <c r="J8" s="14">
        <v>160993.85597042021</v>
      </c>
      <c r="K8" s="14">
        <v>2211687.2089447561</v>
      </c>
      <c r="L8" s="14">
        <f t="shared" ref="L8:L21" si="1">SUM(D8:K8)</f>
        <v>13242067.503908502</v>
      </c>
      <c r="N8" t="s">
        <v>5</v>
      </c>
      <c r="O8" s="3">
        <f>J18+H18</f>
        <v>45617658.463577144</v>
      </c>
      <c r="P8">
        <f t="shared" si="0"/>
        <v>0.37924222819760633</v>
      </c>
    </row>
    <row r="9" spans="2:16" x14ac:dyDescent="0.2">
      <c r="B9" s="12"/>
      <c r="C9" s="13" t="s">
        <v>28</v>
      </c>
      <c r="D9" s="14">
        <v>3870499.235997587</v>
      </c>
      <c r="E9" s="14">
        <v>52590.637367447125</v>
      </c>
      <c r="F9" s="14">
        <v>1540373.184983382</v>
      </c>
      <c r="G9" s="14">
        <v>3372.8278360585114</v>
      </c>
      <c r="H9" s="14">
        <v>3863363.4459774233</v>
      </c>
      <c r="I9" s="14">
        <v>463737.56567991106</v>
      </c>
      <c r="J9" s="14">
        <v>149639.29158338803</v>
      </c>
      <c r="K9" s="14">
        <v>1662925.0174292622</v>
      </c>
      <c r="L9" s="14">
        <f t="shared" si="1"/>
        <v>11606501.206854457</v>
      </c>
      <c r="N9" t="s">
        <v>6</v>
      </c>
      <c r="O9" s="3">
        <f>D18+E18+F18+G18</f>
        <v>70610504.512941599</v>
      </c>
      <c r="P9">
        <f t="shared" si="0"/>
        <v>0.58702015770989346</v>
      </c>
    </row>
    <row r="10" spans="2:16" x14ac:dyDescent="0.2">
      <c r="B10" s="12"/>
      <c r="C10" s="13" t="s">
        <v>29</v>
      </c>
      <c r="D10" s="14">
        <v>399257.8757610647</v>
      </c>
      <c r="E10" s="14">
        <v>16907.408678235108</v>
      </c>
      <c r="F10" s="14">
        <v>364865.35803232569</v>
      </c>
      <c r="G10" s="14">
        <v>2830.0268356928541</v>
      </c>
      <c r="H10" s="14">
        <v>373151.15689801646</v>
      </c>
      <c r="I10" s="14">
        <v>69627.547079908647</v>
      </c>
      <c r="J10" s="14">
        <v>7678.9172926853435</v>
      </c>
      <c r="K10" s="14">
        <v>557917.41261240048</v>
      </c>
      <c r="L10" s="14">
        <f t="shared" si="1"/>
        <v>1792235.703190329</v>
      </c>
      <c r="N10" t="s">
        <v>7</v>
      </c>
      <c r="O10">
        <v>0</v>
      </c>
      <c r="P10">
        <f t="shared" si="0"/>
        <v>0</v>
      </c>
    </row>
    <row r="11" spans="2:16" x14ac:dyDescent="0.2">
      <c r="B11" s="12" t="s">
        <v>30</v>
      </c>
      <c r="C11" s="13" t="s">
        <v>31</v>
      </c>
      <c r="D11" s="14">
        <v>7211791.1359498203</v>
      </c>
      <c r="E11" s="14">
        <v>118629.00968896796</v>
      </c>
      <c r="F11" s="14">
        <v>1110180.1815122485</v>
      </c>
      <c r="G11" s="14">
        <v>7863.3748357690638</v>
      </c>
      <c r="H11" s="14">
        <v>1601318.1920589563</v>
      </c>
      <c r="I11" s="14">
        <v>711551.919260617</v>
      </c>
      <c r="J11" s="14">
        <v>502045.21313902427</v>
      </c>
      <c r="K11" s="14">
        <v>2662387.2797752568</v>
      </c>
      <c r="L11" s="14">
        <f t="shared" si="1"/>
        <v>13925766.306220658</v>
      </c>
      <c r="O11" s="3">
        <f>SUM(O7:O10)</f>
        <v>120286336.99464449</v>
      </c>
    </row>
    <row r="12" spans="2:16" x14ac:dyDescent="0.2">
      <c r="B12" s="12"/>
      <c r="C12" s="13" t="s">
        <v>32</v>
      </c>
      <c r="D12" s="14">
        <v>6641599.5918042222</v>
      </c>
      <c r="E12" s="14">
        <v>138554.8641717204</v>
      </c>
      <c r="F12" s="14">
        <v>2162433.8933528005</v>
      </c>
      <c r="G12" s="14">
        <v>3445.4493164691835</v>
      </c>
      <c r="H12" s="14">
        <v>3928356.7833177955</v>
      </c>
      <c r="I12" s="14">
        <v>582993.12911654112</v>
      </c>
      <c r="J12" s="14">
        <v>230359.44102425655</v>
      </c>
      <c r="K12" s="14">
        <v>2718812.6221410511</v>
      </c>
      <c r="L12" s="14">
        <f t="shared" si="1"/>
        <v>16406555.774244856</v>
      </c>
    </row>
    <row r="13" spans="2:16" x14ac:dyDescent="0.2">
      <c r="B13" s="12" t="s">
        <v>33</v>
      </c>
      <c r="C13" s="12"/>
      <c r="D13" s="14">
        <v>149907.05049489986</v>
      </c>
      <c r="E13" s="14">
        <v>8028.4142894097567</v>
      </c>
      <c r="F13" s="14">
        <v>55445.744220122571</v>
      </c>
      <c r="G13" s="14">
        <v>251.86220140967714</v>
      </c>
      <c r="H13" s="14">
        <v>131349.91279050621</v>
      </c>
      <c r="I13" s="14">
        <v>23946.0367499403</v>
      </c>
      <c r="J13" s="14">
        <v>26116.502005025784</v>
      </c>
      <c r="K13" s="14">
        <v>132008.45283717985</v>
      </c>
      <c r="L13" s="14">
        <f t="shared" si="1"/>
        <v>527053.9755884941</v>
      </c>
      <c r="N13" t="s">
        <v>64</v>
      </c>
      <c r="O13" s="24">
        <f>J18</f>
        <v>3428171.8218800393</v>
      </c>
      <c r="P13" s="25">
        <f t="shared" ref="P13:P14" si="2">O13/$O$11</f>
        <v>2.8500093256914723E-2</v>
      </c>
    </row>
    <row r="14" spans="2:16" x14ac:dyDescent="0.2">
      <c r="B14" s="12" t="s">
        <v>34</v>
      </c>
      <c r="C14" s="12"/>
      <c r="D14" s="14">
        <v>206770.40635218989</v>
      </c>
      <c r="E14" s="14">
        <v>5814.0397849414248</v>
      </c>
      <c r="F14" s="14">
        <v>23360.604693080877</v>
      </c>
      <c r="G14" s="14">
        <v>3.1474634276655098</v>
      </c>
      <c r="H14" s="14">
        <v>106128.22674084296</v>
      </c>
      <c r="I14" s="14">
        <v>164164.96428444222</v>
      </c>
      <c r="J14" s="14">
        <v>33820.505776069047</v>
      </c>
      <c r="K14" s="14">
        <v>407831.44698110514</v>
      </c>
      <c r="L14" s="14">
        <f t="shared" si="1"/>
        <v>947893.34207609913</v>
      </c>
      <c r="N14" t="s">
        <v>65</v>
      </c>
      <c r="O14" s="24">
        <f>K18</f>
        <v>18408892.791368328</v>
      </c>
      <c r="P14" s="25">
        <f t="shared" si="2"/>
        <v>0.15304225942292971</v>
      </c>
    </row>
    <row r="15" spans="2:16" x14ac:dyDescent="0.2">
      <c r="B15" s="12" t="s">
        <v>35</v>
      </c>
      <c r="C15" s="13" t="s">
        <v>36</v>
      </c>
      <c r="D15" s="14">
        <v>9370174.0069583841</v>
      </c>
      <c r="E15" s="14">
        <v>25126.065395093341</v>
      </c>
      <c r="F15" s="14">
        <v>423197.98545681039</v>
      </c>
      <c r="G15" s="14">
        <v>263.59064271179687</v>
      </c>
      <c r="H15" s="14">
        <v>6820494.2654834008</v>
      </c>
      <c r="I15" s="14">
        <v>552149.11313684157</v>
      </c>
      <c r="J15" s="14">
        <v>470233.40975811146</v>
      </c>
      <c r="K15" s="14">
        <v>2748709.6515910551</v>
      </c>
      <c r="L15" s="14">
        <f t="shared" si="1"/>
        <v>20410348.08842241</v>
      </c>
    </row>
    <row r="16" spans="2:16" x14ac:dyDescent="0.2">
      <c r="B16" s="12"/>
      <c r="C16" s="13" t="s">
        <v>37</v>
      </c>
      <c r="D16" s="14">
        <v>17303354.354700487</v>
      </c>
      <c r="E16" s="14">
        <v>39863.520625485791</v>
      </c>
      <c r="F16" s="14">
        <v>361480.60784041951</v>
      </c>
      <c r="G16" s="14">
        <v>1555.9547661054853</v>
      </c>
      <c r="H16" s="14">
        <v>13681751.514863525</v>
      </c>
      <c r="I16" s="14">
        <v>789854.58100604126</v>
      </c>
      <c r="J16" s="14">
        <v>1323074.5156329689</v>
      </c>
      <c r="K16" s="14">
        <v>2288923.2034640838</v>
      </c>
      <c r="L16" s="14">
        <f t="shared" si="1"/>
        <v>35789858.252899118</v>
      </c>
    </row>
    <row r="17" spans="2:12" x14ac:dyDescent="0.2">
      <c r="B17" s="12" t="s">
        <v>38</v>
      </c>
      <c r="C17" s="12"/>
      <c r="D17" s="14">
        <v>6067832.7418927625</v>
      </c>
      <c r="E17" s="14">
        <v>59725.325709766679</v>
      </c>
      <c r="F17" s="14">
        <v>263091.4245534747</v>
      </c>
      <c r="G17" s="14">
        <v>1586.7778176806189</v>
      </c>
      <c r="H17" s="14">
        <v>6884836.722476704</v>
      </c>
      <c r="I17" s="14">
        <v>406317.91731409839</v>
      </c>
      <c r="J17" s="14">
        <v>455740.45865973888</v>
      </c>
      <c r="K17" s="14">
        <v>1702015.8522321922</v>
      </c>
      <c r="L17" s="14">
        <f t="shared" si="1"/>
        <v>15841147.220656417</v>
      </c>
    </row>
    <row r="18" spans="2:12" x14ac:dyDescent="0.2">
      <c r="B18" s="15" t="s">
        <v>39</v>
      </c>
      <c r="C18" s="16"/>
      <c r="D18" s="17">
        <f t="shared" ref="D18:K18" si="3">SUM(D7:D17)</f>
        <v>59971247.768995427</v>
      </c>
      <c r="E18" s="17">
        <f t="shared" si="3"/>
        <v>537968.98383481603</v>
      </c>
      <c r="F18" s="17">
        <f>SUM(F7:F17)</f>
        <v>10076486.587047512</v>
      </c>
      <c r="G18" s="17">
        <f t="shared" ref="G18" si="4">SUM(G7:G17)</f>
        <v>24801.173063839073</v>
      </c>
      <c r="H18" s="17">
        <f t="shared" si="3"/>
        <v>42189486.641697101</v>
      </c>
      <c r="I18" s="17">
        <f t="shared" si="3"/>
        <v>4058174.0181257566</v>
      </c>
      <c r="J18" s="17">
        <f t="shared" si="3"/>
        <v>3428171.8218800393</v>
      </c>
      <c r="K18" s="17">
        <f t="shared" si="3"/>
        <v>18408892.791368328</v>
      </c>
      <c r="L18" s="17">
        <f t="shared" si="1"/>
        <v>138695229.78601283</v>
      </c>
    </row>
    <row r="19" spans="2:12" x14ac:dyDescent="0.2">
      <c r="B19" s="18" t="s">
        <v>40</v>
      </c>
      <c r="C19" s="19"/>
      <c r="D19" s="14">
        <v>16304409.644405879</v>
      </c>
      <c r="E19" s="14">
        <v>7250749.8854867732</v>
      </c>
      <c r="F19" s="14">
        <v>2123375.7306665676</v>
      </c>
      <c r="G19" s="14">
        <v>139958.40564362847</v>
      </c>
      <c r="H19" s="14">
        <v>17683622.473173633</v>
      </c>
      <c r="I19" s="14">
        <v>1397075.7560672201</v>
      </c>
      <c r="J19" s="14">
        <v>1299172.869511226</v>
      </c>
      <c r="K19" s="14">
        <v>8837573.5224247985</v>
      </c>
      <c r="L19" s="14">
        <f t="shared" si="1"/>
        <v>55035938.287379712</v>
      </c>
    </row>
    <row r="20" spans="2:12" x14ac:dyDescent="0.2">
      <c r="B20" s="18" t="s">
        <v>41</v>
      </c>
      <c r="C20" s="19"/>
      <c r="D20" s="14">
        <v>200659.22804926438</v>
      </c>
      <c r="E20" s="14">
        <v>36456.395883698307</v>
      </c>
      <c r="F20" s="14">
        <v>37057.677787587258</v>
      </c>
      <c r="G20" s="14">
        <v>169.79565332690248</v>
      </c>
      <c r="H20" s="14">
        <v>185663.96303313744</v>
      </c>
      <c r="I20" s="14">
        <v>624117.9653068427</v>
      </c>
      <c r="J20" s="14">
        <v>28516.898864841722</v>
      </c>
      <c r="K20" s="14">
        <v>1524055.2001697065</v>
      </c>
      <c r="L20" s="14">
        <f t="shared" si="1"/>
        <v>2636697.1247484051</v>
      </c>
    </row>
    <row r="21" spans="2:12" x14ac:dyDescent="0.2">
      <c r="B21" s="18" t="s">
        <v>24</v>
      </c>
      <c r="C21" s="19"/>
      <c r="D21" s="14">
        <f>SUM(D18:D20)</f>
        <v>76476316.641450569</v>
      </c>
      <c r="E21" s="14">
        <f t="shared" ref="E21:K21" si="5">SUM(E18:E20)</f>
        <v>7825175.2652052874</v>
      </c>
      <c r="F21" s="14">
        <f t="shared" si="5"/>
        <v>12236919.995501667</v>
      </c>
      <c r="G21" s="14">
        <f t="shared" si="5"/>
        <v>164929.37436079443</v>
      </c>
      <c r="H21" s="14">
        <f t="shared" si="5"/>
        <v>60058773.077903874</v>
      </c>
      <c r="I21" s="14">
        <f t="shared" si="5"/>
        <v>6079367.7394998195</v>
      </c>
      <c r="J21" s="14">
        <f t="shared" si="5"/>
        <v>4755861.590256107</v>
      </c>
      <c r="K21" s="14">
        <f t="shared" si="5"/>
        <v>28770521.513962831</v>
      </c>
      <c r="L21" s="17">
        <f t="shared" si="1"/>
        <v>196367865.19814095</v>
      </c>
    </row>
    <row r="22" spans="2:12" ht="35" customHeight="1" x14ac:dyDescent="0.2">
      <c r="B22" s="20" t="s">
        <v>42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5" spans="2:12" x14ac:dyDescent="0.2">
      <c r="B25" s="18" t="s">
        <v>43</v>
      </c>
      <c r="C25" s="19"/>
    </row>
    <row r="26" spans="2:12" x14ac:dyDescent="0.2">
      <c r="B26" s="21" t="s">
        <v>44</v>
      </c>
      <c r="C26" s="14" t="s">
        <v>45</v>
      </c>
    </row>
    <row r="27" spans="2:12" x14ac:dyDescent="0.2">
      <c r="B27" s="22"/>
      <c r="C27" s="14" t="s">
        <v>46</v>
      </c>
    </row>
    <row r="28" spans="2:12" x14ac:dyDescent="0.2">
      <c r="B28" s="21" t="s">
        <v>21</v>
      </c>
      <c r="C28" s="14" t="s">
        <v>47</v>
      </c>
    </row>
    <row r="29" spans="2:12" x14ac:dyDescent="0.2">
      <c r="B29" s="23"/>
      <c r="C29" s="14" t="s">
        <v>48</v>
      </c>
    </row>
    <row r="30" spans="2:12" x14ac:dyDescent="0.2">
      <c r="B30" s="23"/>
      <c r="C30" s="14" t="s">
        <v>49</v>
      </c>
    </row>
    <row r="31" spans="2:12" x14ac:dyDescent="0.2">
      <c r="B31" s="22"/>
      <c r="C31" s="14" t="s">
        <v>50</v>
      </c>
    </row>
    <row r="32" spans="2:12" x14ac:dyDescent="0.2">
      <c r="B32" s="21" t="s">
        <v>20</v>
      </c>
      <c r="C32" s="14" t="s">
        <v>51</v>
      </c>
    </row>
    <row r="33" spans="2:3" x14ac:dyDescent="0.2">
      <c r="B33" s="23"/>
      <c r="C33" s="14" t="s">
        <v>52</v>
      </c>
    </row>
    <row r="34" spans="2:3" x14ac:dyDescent="0.2">
      <c r="B34" s="23"/>
      <c r="C34" s="14" t="s">
        <v>53</v>
      </c>
    </row>
    <row r="35" spans="2:3" x14ac:dyDescent="0.2">
      <c r="B35" s="22"/>
      <c r="C35" s="14" t="s">
        <v>20</v>
      </c>
    </row>
    <row r="36" spans="2:3" x14ac:dyDescent="0.2">
      <c r="B36" s="21" t="s">
        <v>22</v>
      </c>
      <c r="C36" s="14" t="s">
        <v>54</v>
      </c>
    </row>
    <row r="37" spans="2:3" x14ac:dyDescent="0.2">
      <c r="B37" s="23"/>
      <c r="C37" s="14" t="s">
        <v>55</v>
      </c>
    </row>
    <row r="38" spans="2:3" x14ac:dyDescent="0.2">
      <c r="B38" s="23"/>
      <c r="C38" s="14" t="s">
        <v>56</v>
      </c>
    </row>
    <row r="39" spans="2:3" x14ac:dyDescent="0.2">
      <c r="B39" s="23"/>
      <c r="C39" s="14" t="s">
        <v>57</v>
      </c>
    </row>
    <row r="40" spans="2:3" x14ac:dyDescent="0.2">
      <c r="B40" s="23"/>
      <c r="C40" s="14" t="s">
        <v>58</v>
      </c>
    </row>
    <row r="41" spans="2:3" x14ac:dyDescent="0.2">
      <c r="B41" s="22"/>
      <c r="C41" s="14" t="s">
        <v>59</v>
      </c>
    </row>
    <row r="42" spans="2:3" x14ac:dyDescent="0.2">
      <c r="B42" s="13" t="s">
        <v>60</v>
      </c>
      <c r="C42" s="14" t="s">
        <v>61</v>
      </c>
    </row>
  </sheetData>
  <mergeCells count="19">
    <mergeCell ref="B36:B41"/>
    <mergeCell ref="B21:C21"/>
    <mergeCell ref="B22:L22"/>
    <mergeCell ref="B25:C25"/>
    <mergeCell ref="B26:B27"/>
    <mergeCell ref="B28:B31"/>
    <mergeCell ref="B32:B35"/>
    <mergeCell ref="B14:C14"/>
    <mergeCell ref="B15:B16"/>
    <mergeCell ref="B17:C17"/>
    <mergeCell ref="B18:C18"/>
    <mergeCell ref="B19:C19"/>
    <mergeCell ref="B20:C20"/>
    <mergeCell ref="B5:B6"/>
    <mergeCell ref="C5:C6"/>
    <mergeCell ref="D5:L5"/>
    <mergeCell ref="B7:B10"/>
    <mergeCell ref="B11:B12"/>
    <mergeCell ref="B13:C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5"/>
  <sheetViews>
    <sheetView workbookViewId="0">
      <selection activeCell="B2" sqref="B2:B5"/>
    </sheetView>
  </sheetViews>
  <sheetFormatPr baseColWidth="10" defaultColWidth="8.83203125" defaultRowHeight="15" x14ac:dyDescent="0.2"/>
  <cols>
    <col min="1" max="1" width="34.83203125" customWidth="1"/>
    <col min="2" max="2" width="23.6640625" customWidth="1"/>
  </cols>
  <sheetData>
    <row r="1" spans="1:2" ht="32" x14ac:dyDescent="0.2">
      <c r="B1" s="4" t="s">
        <v>3</v>
      </c>
    </row>
    <row r="2" spans="1:2" x14ac:dyDescent="0.2">
      <c r="A2" t="s">
        <v>4</v>
      </c>
      <c r="B2" s="3">
        <f>MexData!P7</f>
        <v>3.3737614092500284E-2</v>
      </c>
    </row>
    <row r="3" spans="1:2" x14ac:dyDescent="0.2">
      <c r="A3" t="s">
        <v>5</v>
      </c>
      <c r="B3" s="3">
        <f>MexData!P8</f>
        <v>0.37924222819760633</v>
      </c>
    </row>
    <row r="4" spans="1:2" x14ac:dyDescent="0.2">
      <c r="A4" t="s">
        <v>6</v>
      </c>
      <c r="B4" s="3">
        <f>MexData!P9</f>
        <v>0.58702015770989346</v>
      </c>
    </row>
    <row r="5" spans="1:2" x14ac:dyDescent="0.2">
      <c r="A5" t="s">
        <v>7</v>
      </c>
      <c r="B5">
        <f>MexData!P10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8D89CE-C03E-4236-97FB-4B606982E2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48b23-d81a-423e-9112-21109dc86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5EAF29-FCD5-460E-AB3B-1081A4475B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1994E3-7ACB-411D-8262-77B571988E5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MexData</vt:lpstr>
      <vt:lpstr>FoFObE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>Adapted to Mexican data by Fernando Olea, Feb,2025</dc:description>
  <cp:lastModifiedBy>Fernando Olea</cp:lastModifiedBy>
  <cp:revision/>
  <dcterms:created xsi:type="dcterms:W3CDTF">2015-08-05T23:45:13Z</dcterms:created>
  <dcterms:modified xsi:type="dcterms:W3CDTF">2025-02-27T00:18:07Z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