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619"/>
  <workbookPr defaultThemeVersion="124226"/>
  <mc:AlternateContent xmlns:mc="http://schemas.openxmlformats.org/markup-compatibility/2006">
    <mc:Choice Requires="x15">
      <x15ac:absPath xmlns:x15ac="http://schemas.microsoft.com/office/spreadsheetml/2010/11/ac" url="/Users/skorpius/My Drive/2024/FO local_EPS ICM/Diario/20250226_CATCHUP/land_CPL/RPEpUACE/"/>
    </mc:Choice>
  </mc:AlternateContent>
  <xr:revisionPtr revIDLastSave="0" documentId="13_ncr:1_{35DAEEDE-B0CE-AD4E-B751-A1E19CC79CDA}" xr6:coauthVersionLast="47" xr6:coauthVersionMax="47" xr10:uidLastSave="{00000000-0000-0000-0000-000000000000}"/>
  <bookViews>
    <workbookView xWindow="0" yWindow="500" windowWidth="33600" windowHeight="20500" xr2:uid="{00000000-000D-0000-FFFF-FFFF00000000}"/>
  </bookViews>
  <sheets>
    <sheet name="About" sheetId="1" r:id="rId1"/>
    <sheet name="Data" sheetId="2" r:id="rId2"/>
    <sheet name="RPEpUACE"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3" i="2" l="1"/>
  <c r="C43" i="2"/>
  <c r="D43" i="2"/>
  <c r="E43" i="2"/>
  <c r="F43" i="2"/>
  <c r="C44" i="2"/>
  <c r="D44" i="2"/>
  <c r="E44" i="2"/>
  <c r="F44" i="2"/>
  <c r="B44" i="2"/>
  <c r="B11" i="3" l="1"/>
  <c r="B12" i="3"/>
</calcChain>
</file>

<file path=xl/sharedStrings.xml><?xml version="1.0" encoding="utf-8"?>
<sst xmlns="http://schemas.openxmlformats.org/spreadsheetml/2006/main" count="87" uniqueCount="64">
  <si>
    <t>RPEpUACE Rebound Pollutant Emissions per Unit Avoided CO2 Emissions</t>
  </si>
  <si>
    <t>Source:</t>
  </si>
  <si>
    <t>US EPA</t>
  </si>
  <si>
    <t>Inventory of US Greenhouse Gas Emissions Emissions and Sinks: 1990-2020</t>
  </si>
  <si>
    <t>https://www.epa.gov/ghgemissions/inventory-us-greenhouse-gas-emissions-and-sinks-1990-2020</t>
  </si>
  <si>
    <t>Table 6-3</t>
  </si>
  <si>
    <t>Notes</t>
  </si>
  <si>
    <t>For each (net) gram of CO2 abated via LULUCF, there is a positive amount of CH4</t>
  </si>
  <si>
    <t>and N2O released, mostly from forest fires, but also some from soils.</t>
  </si>
  <si>
    <t>We use the historical relationship between net CO2 sequestration and CH4/N2O</t>
  </si>
  <si>
    <t>emissions to establish a relationship that we apply to future years (in the BAU case)</t>
  </si>
  <si>
    <t>and to the effects of policy levers in the model.</t>
  </si>
  <si>
    <t>Mexico Notes</t>
  </si>
  <si>
    <t>No specific data for Mexico available.</t>
  </si>
  <si>
    <t>Latest US EPA data used.</t>
  </si>
  <si>
    <t>Table 6-3:</t>
  </si>
  <si>
    <t>Unit: kt</t>
  </si>
  <si>
    <t>Table 6-3:  Emissions and Removals from Land Use, Land-Use Change, and Forestry by Gas (kt)</t>
  </si>
  <si>
    <t>Gas/Land-Use Category</t>
  </si>
  <si>
    <t>Carbon Stock Change (CO2)a</t>
  </si>
  <si>
    <t>Forest Land Remaining Forest Land</t>
  </si>
  <si>
    <t>Land Converted to Forest Land</t>
  </si>
  <si>
    <t>Cropland Remaining Cropland</t>
  </si>
  <si>
    <t>Land Converted to Cropland</t>
  </si>
  <si>
    <t>Grassland Remaining Grassland</t>
  </si>
  <si>
    <t>Land Converted to Grassland</t>
  </si>
  <si>
    <t>Wetlands Remaining Wetlands</t>
  </si>
  <si>
    <t>Land Converted to Wetlands</t>
  </si>
  <si>
    <t>Settlements Remaining Settlements</t>
  </si>
  <si>
    <t>Land Converted to Settlements</t>
  </si>
  <si>
    <t>CH4</t>
  </si>
  <si>
    <t>Forest Land Remaining Forest Land: Forest Firesb</t>
  </si>
  <si>
    <t>Forest Land Remaining Forest Land: Drained Organic Soilsd</t>
  </si>
  <si>
    <t>Grassland Remaining Grassland: Grassland Firesc</t>
  </si>
  <si>
    <t>Wetlands Remaining Wetlands: Flooded Land Remaining Flooded Land</t>
  </si>
  <si>
    <t>Wetlands Remaining Wetlands: Coastal Wetlands Remaining Coastal Wetlands</t>
  </si>
  <si>
    <t>Wetlands Remaining Wetlands: Peatlands Remaining Peatlands</t>
  </si>
  <si>
    <t xml:space="preserve">+ </t>
  </si>
  <si>
    <t>Land Converted to Wetlands: Land Converted to Flooded Lands</t>
  </si>
  <si>
    <t>Land Converted to Wetlands: Land Converted to Coastal Wetlands</t>
  </si>
  <si>
    <t>N2O</t>
  </si>
  <si>
    <t>Forest Land Remaining Forest Land: Forest Soilsf</t>
  </si>
  <si>
    <t>Settlements Remaining Settlements: Settlement Soilse</t>
  </si>
  <si>
    <t>+ Absolute value does not exceed 0.5 kt.</t>
  </si>
  <si>
    <t>a LULUCF Carbon Stock Change is the net C stock change from the following categories: Forest Land Remaining Forest Land, Land Converted to Forest Land, Cropland Remaining Cropland, Land Converted to Cropland, Grassland Remaining Grassland, Land Converted to Grassland, Wetlands Remaining Wetlands, Land Converted to Wetlands, Settlements Remaining Settlements, and Land Converted to Settlements.</t>
  </si>
  <si>
    <t xml:space="preserve">b Estimates include CH4 and N2O emissions from fires on both Forest Land Remaining Forest Land and Land Converted to Forest Land. </t>
  </si>
  <si>
    <t>c Estimates include CH4 and N2O emissions from drained organic soils on both Forest Land Remaining Forest Land and Land Converted to Forest Land.</t>
  </si>
  <si>
    <t>d Estimates include CH4 and N2O emissions from fires on both Grassland Remaining Grassland and Land Converted to Grassland.</t>
  </si>
  <si>
    <t xml:space="preserve">e Estimates include N2O emissions from N fertilizer additions on both Forest Land Remaining Forest Land and Land Converted to Forest Land. </t>
  </si>
  <si>
    <t>f Estimates include N2O emissions from N fertilizer additions on both Settlements Remaining Settlements and Land Converted to Settlements.</t>
  </si>
  <si>
    <t>Notes: Totals may not sum due to independent rounding. Parentheses indicate net sequestration.</t>
  </si>
  <si>
    <t>CH4/CO2 Ratio</t>
  </si>
  <si>
    <t>N2O/CO2 Ratio</t>
  </si>
  <si>
    <t>Rebound Emis Factor (dimensionless)</t>
  </si>
  <si>
    <t>CO2</t>
  </si>
  <si>
    <t>VOC</t>
  </si>
  <si>
    <t>CO</t>
  </si>
  <si>
    <t>NOx</t>
  </si>
  <si>
    <t>PM10</t>
  </si>
  <si>
    <t>PM25</t>
  </si>
  <si>
    <t>SOx</t>
  </si>
  <si>
    <t>BC</t>
  </si>
  <si>
    <t>OC</t>
  </si>
  <si>
    <t>F gases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</si>
</sst>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b/>
      <sz val="11"/>
      <color theme="1"/>
      <name val="Calibri"/>
      <family val="2"/>
      <scheme val="minor"/>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6">
    <xf numFmtId="0" fontId="0" fillId="0" borderId="0" xfId="0"/>
    <xf numFmtId="0" fontId="1" fillId="0" borderId="0" xfId="0" applyFont="1"/>
    <xf numFmtId="0" fontId="2" fillId="0" borderId="0" xfId="1"/>
    <xf numFmtId="11" fontId="0" fillId="0" borderId="0" xfId="0" applyNumberFormat="1"/>
    <xf numFmtId="0" fontId="0" fillId="0" borderId="0" xfId="0" applyAlignment="1">
      <alignment horizontal="left"/>
    </xf>
    <xf numFmtId="3" fontId="0" fillId="0" borderId="0" xfId="0" applyNumberForma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8"/>
  <sheetViews>
    <sheetView tabSelected="1" workbookViewId="0">
      <selection activeCell="A19" sqref="A19"/>
    </sheetView>
  </sheetViews>
  <sheetFormatPr defaultColWidth="8.85546875" defaultRowHeight="15"/>
  <sheetData>
    <row r="1" spans="1:2">
      <c r="A1" s="1" t="s">
        <v>0</v>
      </c>
    </row>
    <row r="3" spans="1:2">
      <c r="A3" s="1" t="s">
        <v>1</v>
      </c>
      <c r="B3" t="s">
        <v>2</v>
      </c>
    </row>
    <row r="4" spans="1:2">
      <c r="B4" s="4">
        <v>2022</v>
      </c>
    </row>
    <row r="5" spans="1:2">
      <c r="B5" t="s">
        <v>3</v>
      </c>
    </row>
    <row r="6" spans="1:2">
      <c r="B6" s="2" t="s">
        <v>4</v>
      </c>
    </row>
    <row r="7" spans="1:2">
      <c r="B7" t="s">
        <v>5</v>
      </c>
    </row>
    <row r="9" spans="1:2">
      <c r="A9" s="1" t="s">
        <v>6</v>
      </c>
    </row>
    <row r="10" spans="1:2">
      <c r="A10" t="s">
        <v>7</v>
      </c>
    </row>
    <row r="11" spans="1:2">
      <c r="A11" t="s">
        <v>8</v>
      </c>
    </row>
    <row r="12" spans="1:2">
      <c r="A12" t="s">
        <v>9</v>
      </c>
    </row>
    <row r="13" spans="1:2">
      <c r="A13" t="s">
        <v>10</v>
      </c>
    </row>
    <row r="14" spans="1:2">
      <c r="A14" t="s">
        <v>11</v>
      </c>
    </row>
    <row r="16" spans="1:2">
      <c r="A16" s="1" t="s">
        <v>12</v>
      </c>
    </row>
    <row r="17" spans="1:1">
      <c r="A17" t="s">
        <v>13</v>
      </c>
    </row>
    <row r="18" spans="1:1">
      <c r="A18" t="s">
        <v>14</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44"/>
  <sheetViews>
    <sheetView topLeftCell="A7" workbookViewId="0">
      <selection activeCell="L31" sqref="L31"/>
    </sheetView>
  </sheetViews>
  <sheetFormatPr defaultColWidth="8.85546875" defaultRowHeight="15"/>
  <cols>
    <col min="1" max="1" width="14.140625" customWidth="1"/>
    <col min="2" max="2" width="8.85546875" customWidth="1"/>
  </cols>
  <sheetData>
    <row r="1" spans="1:6">
      <c r="A1" s="1" t="s">
        <v>15</v>
      </c>
    </row>
    <row r="2" spans="1:6">
      <c r="A2" s="1" t="s">
        <v>16</v>
      </c>
    </row>
    <row r="3" spans="1:6">
      <c r="A3" t="s">
        <v>17</v>
      </c>
    </row>
    <row r="4" spans="1:6">
      <c r="A4" t="s">
        <v>18</v>
      </c>
      <c r="B4">
        <v>2016</v>
      </c>
      <c r="C4">
        <v>2017</v>
      </c>
      <c r="D4">
        <v>2018</v>
      </c>
      <c r="E4">
        <v>2019</v>
      </c>
      <c r="F4">
        <v>2020</v>
      </c>
    </row>
    <row r="5" spans="1:6">
      <c r="A5" t="s">
        <v>19</v>
      </c>
      <c r="B5" s="5">
        <v>-862045</v>
      </c>
      <c r="C5" s="5">
        <v>-826667</v>
      </c>
      <c r="D5" s="5">
        <v>-809026</v>
      </c>
      <c r="E5" s="5">
        <v>-760820</v>
      </c>
      <c r="F5" s="5">
        <v>-812176</v>
      </c>
    </row>
    <row r="6" spans="1:6">
      <c r="A6" t="s">
        <v>20</v>
      </c>
      <c r="B6" s="5">
        <v>-725571</v>
      </c>
      <c r="C6" s="5">
        <v>-688301</v>
      </c>
      <c r="D6" s="5">
        <v>-677101</v>
      </c>
      <c r="E6" s="5">
        <v>-634824</v>
      </c>
      <c r="F6" s="5">
        <v>-668057</v>
      </c>
    </row>
    <row r="7" spans="1:6">
      <c r="A7" t="s">
        <v>21</v>
      </c>
      <c r="B7" s="5">
        <v>-99454</v>
      </c>
      <c r="C7" s="5">
        <v>-99523</v>
      </c>
      <c r="D7" s="5">
        <v>-99518</v>
      </c>
      <c r="E7" s="5">
        <v>-99520</v>
      </c>
      <c r="F7" s="5">
        <v>-99521</v>
      </c>
    </row>
    <row r="8" spans="1:6">
      <c r="A8" t="s">
        <v>22</v>
      </c>
      <c r="B8" s="5">
        <v>-22731</v>
      </c>
      <c r="C8" s="5">
        <v>-22293</v>
      </c>
      <c r="D8" s="5">
        <v>-16597</v>
      </c>
      <c r="E8" s="5">
        <v>-14544</v>
      </c>
      <c r="F8" s="5">
        <v>-23335</v>
      </c>
    </row>
    <row r="9" spans="1:6">
      <c r="A9" t="s">
        <v>23</v>
      </c>
      <c r="B9" s="5">
        <v>54107</v>
      </c>
      <c r="C9" s="5">
        <v>54273</v>
      </c>
      <c r="D9" s="5">
        <v>53975</v>
      </c>
      <c r="E9" s="5">
        <v>53935</v>
      </c>
      <c r="F9" s="5">
        <v>54380</v>
      </c>
    </row>
    <row r="10" spans="1:6">
      <c r="A10" t="s">
        <v>24</v>
      </c>
      <c r="B10" s="5">
        <v>7958</v>
      </c>
      <c r="C10" s="5">
        <v>9308</v>
      </c>
      <c r="D10" s="5">
        <v>9670</v>
      </c>
      <c r="E10" s="5">
        <v>12425</v>
      </c>
      <c r="F10" s="5">
        <v>4497</v>
      </c>
    </row>
    <row r="11" spans="1:6">
      <c r="A11" t="s">
        <v>25</v>
      </c>
      <c r="B11" s="5">
        <v>-22553</v>
      </c>
      <c r="C11" s="5">
        <v>-22693</v>
      </c>
      <c r="D11" s="5">
        <v>-22397</v>
      </c>
      <c r="E11" s="5">
        <v>-21485</v>
      </c>
      <c r="F11" s="5">
        <v>-24101</v>
      </c>
    </row>
    <row r="12" spans="1:6">
      <c r="A12" t="s">
        <v>26</v>
      </c>
      <c r="B12" s="5">
        <v>-8046</v>
      </c>
      <c r="C12" s="5">
        <v>-7954</v>
      </c>
      <c r="D12" s="5">
        <v>-7994</v>
      </c>
      <c r="E12" s="5">
        <v>-8034</v>
      </c>
      <c r="F12" s="5">
        <v>-8084</v>
      </c>
    </row>
    <row r="13" spans="1:6">
      <c r="A13" t="s">
        <v>27</v>
      </c>
      <c r="B13">
        <v>254</v>
      </c>
      <c r="C13">
        <v>258</v>
      </c>
      <c r="D13">
        <v>265</v>
      </c>
      <c r="E13">
        <v>271</v>
      </c>
      <c r="F13">
        <v>279</v>
      </c>
    </row>
    <row r="14" spans="1:6">
      <c r="A14" t="s">
        <v>28</v>
      </c>
      <c r="B14" s="5">
        <v>-123794</v>
      </c>
      <c r="C14" s="5">
        <v>-127679</v>
      </c>
      <c r="D14" s="5">
        <v>-127299</v>
      </c>
      <c r="E14" s="5">
        <v>-126977</v>
      </c>
      <c r="F14" s="5">
        <v>-126128</v>
      </c>
    </row>
    <row r="15" spans="1:6">
      <c r="A15" t="s">
        <v>29</v>
      </c>
      <c r="B15" s="5">
        <v>77784</v>
      </c>
      <c r="C15" s="5">
        <v>77938</v>
      </c>
      <c r="D15" s="5">
        <v>77970</v>
      </c>
      <c r="E15" s="5">
        <v>77932</v>
      </c>
      <c r="F15" s="5">
        <v>77895</v>
      </c>
    </row>
    <row r="16" spans="1:6">
      <c r="A16" t="s">
        <v>30</v>
      </c>
      <c r="B16" s="5">
        <v>1131</v>
      </c>
      <c r="C16" s="5">
        <v>1359</v>
      </c>
      <c r="D16" s="5">
        <v>1226</v>
      </c>
      <c r="E16" s="5">
        <v>1022</v>
      </c>
      <c r="F16" s="5">
        <v>1522</v>
      </c>
    </row>
    <row r="17" spans="1:6">
      <c r="A17" t="s">
        <v>31</v>
      </c>
      <c r="B17">
        <v>154</v>
      </c>
      <c r="C17">
        <v>381</v>
      </c>
      <c r="D17">
        <v>249</v>
      </c>
      <c r="E17">
        <v>45</v>
      </c>
      <c r="F17">
        <v>545</v>
      </c>
    </row>
    <row r="18" spans="1:6">
      <c r="A18" t="s">
        <v>32</v>
      </c>
      <c r="B18">
        <v>1</v>
      </c>
      <c r="C18">
        <v>1</v>
      </c>
      <c r="D18">
        <v>1</v>
      </c>
      <c r="E18">
        <v>1</v>
      </c>
      <c r="F18">
        <v>1</v>
      </c>
    </row>
    <row r="19" spans="1:6">
      <c r="A19" t="s">
        <v>33</v>
      </c>
      <c r="B19">
        <v>11</v>
      </c>
      <c r="C19">
        <v>12</v>
      </c>
      <c r="D19">
        <v>12</v>
      </c>
      <c r="E19">
        <v>12</v>
      </c>
      <c r="F19">
        <v>12</v>
      </c>
    </row>
    <row r="20" spans="1:6">
      <c r="A20" t="s">
        <v>34</v>
      </c>
      <c r="B20">
        <v>796.7</v>
      </c>
      <c r="C20">
        <v>796.8</v>
      </c>
      <c r="D20">
        <v>796.9</v>
      </c>
      <c r="E20">
        <v>796.9</v>
      </c>
      <c r="F20">
        <v>797</v>
      </c>
    </row>
    <row r="21" spans="1:6">
      <c r="A21" t="s">
        <v>35</v>
      </c>
      <c r="B21">
        <v>153</v>
      </c>
      <c r="C21">
        <v>153</v>
      </c>
      <c r="D21">
        <v>153</v>
      </c>
      <c r="E21">
        <v>153</v>
      </c>
      <c r="F21">
        <v>154</v>
      </c>
    </row>
    <row r="22" spans="1:6">
      <c r="A22" t="s">
        <v>36</v>
      </c>
      <c r="B22" t="s">
        <v>37</v>
      </c>
      <c r="C22" t="s">
        <v>37</v>
      </c>
      <c r="D22" t="s">
        <v>37</v>
      </c>
      <c r="E22" t="s">
        <v>37</v>
      </c>
      <c r="F22" t="s">
        <v>37</v>
      </c>
    </row>
    <row r="23" spans="1:6">
      <c r="A23" t="s">
        <v>38</v>
      </c>
      <c r="B23">
        <v>7</v>
      </c>
      <c r="C23">
        <v>7</v>
      </c>
      <c r="D23">
        <v>7</v>
      </c>
      <c r="E23">
        <v>7</v>
      </c>
      <c r="F23">
        <v>7</v>
      </c>
    </row>
    <row r="24" spans="1:6">
      <c r="A24" t="s">
        <v>39</v>
      </c>
      <c r="B24">
        <v>8</v>
      </c>
      <c r="C24">
        <v>8</v>
      </c>
      <c r="D24">
        <v>7</v>
      </c>
      <c r="E24">
        <v>7</v>
      </c>
      <c r="F24">
        <v>7</v>
      </c>
    </row>
    <row r="25" spans="1:6">
      <c r="A25" t="s">
        <v>40</v>
      </c>
      <c r="B25">
        <v>24</v>
      </c>
      <c r="C25">
        <v>39</v>
      </c>
      <c r="D25">
        <v>31</v>
      </c>
      <c r="E25">
        <v>16</v>
      </c>
      <c r="F25">
        <v>51</v>
      </c>
    </row>
    <row r="26" spans="1:6">
      <c r="A26" t="s">
        <v>31</v>
      </c>
      <c r="B26">
        <v>13</v>
      </c>
      <c r="C26">
        <v>27</v>
      </c>
      <c r="D26">
        <v>19</v>
      </c>
      <c r="E26">
        <v>4</v>
      </c>
      <c r="F26">
        <v>39</v>
      </c>
    </row>
    <row r="27" spans="1:6">
      <c r="A27" t="s">
        <v>41</v>
      </c>
      <c r="B27">
        <v>2</v>
      </c>
      <c r="C27">
        <v>2</v>
      </c>
      <c r="D27">
        <v>2</v>
      </c>
      <c r="E27">
        <v>2</v>
      </c>
      <c r="F27">
        <v>2</v>
      </c>
    </row>
    <row r="28" spans="1:6">
      <c r="A28" t="s">
        <v>32</v>
      </c>
      <c r="B28" t="s">
        <v>37</v>
      </c>
      <c r="C28" t="s">
        <v>37</v>
      </c>
      <c r="D28" t="s">
        <v>37</v>
      </c>
      <c r="E28" t="s">
        <v>37</v>
      </c>
      <c r="F28" t="s">
        <v>37</v>
      </c>
    </row>
    <row r="29" spans="1:6">
      <c r="A29" t="s">
        <v>33</v>
      </c>
      <c r="B29">
        <v>1</v>
      </c>
      <c r="C29">
        <v>1</v>
      </c>
      <c r="D29">
        <v>1</v>
      </c>
      <c r="E29">
        <v>1</v>
      </c>
      <c r="F29">
        <v>1</v>
      </c>
    </row>
    <row r="30" spans="1:6">
      <c r="A30" t="s">
        <v>35</v>
      </c>
      <c r="B30" t="s">
        <v>37</v>
      </c>
      <c r="C30" t="s">
        <v>37</v>
      </c>
      <c r="D30">
        <v>1</v>
      </c>
      <c r="E30">
        <v>1</v>
      </c>
      <c r="F30">
        <v>1</v>
      </c>
    </row>
    <row r="31" spans="1:6">
      <c r="A31" t="s">
        <v>36</v>
      </c>
      <c r="B31" t="s">
        <v>37</v>
      </c>
      <c r="C31" t="s">
        <v>37</v>
      </c>
      <c r="D31" t="s">
        <v>37</v>
      </c>
      <c r="E31" t="s">
        <v>37</v>
      </c>
      <c r="F31" t="s">
        <v>37</v>
      </c>
    </row>
    <row r="32" spans="1:6">
      <c r="A32" t="s">
        <v>42</v>
      </c>
      <c r="B32">
        <v>8</v>
      </c>
      <c r="C32">
        <v>8</v>
      </c>
      <c r="D32">
        <v>8</v>
      </c>
      <c r="E32">
        <v>8</v>
      </c>
      <c r="F32">
        <v>8</v>
      </c>
    </row>
    <row r="33" spans="1:6">
      <c r="A33" t="s">
        <v>43</v>
      </c>
    </row>
    <row r="34" spans="1:6">
      <c r="A34" t="s">
        <v>44</v>
      </c>
    </row>
    <row r="35" spans="1:6">
      <c r="A35" t="s">
        <v>45</v>
      </c>
    </row>
    <row r="36" spans="1:6">
      <c r="A36" t="s">
        <v>46</v>
      </c>
    </row>
    <row r="37" spans="1:6">
      <c r="A37" t="s">
        <v>47</v>
      </c>
    </row>
    <row r="38" spans="1:6">
      <c r="A38" t="s">
        <v>48</v>
      </c>
    </row>
    <row r="39" spans="1:6">
      <c r="A39" t="s">
        <v>49</v>
      </c>
    </row>
    <row r="40" spans="1:6">
      <c r="A40" t="s">
        <v>50</v>
      </c>
    </row>
    <row r="43" spans="1:6">
      <c r="A43" t="s">
        <v>51</v>
      </c>
      <c r="B43" s="3">
        <f>B16/B5</f>
        <v>-1.3119964735019633E-3</v>
      </c>
      <c r="C43" s="3">
        <f t="shared" ref="C43:F43" si="0">C16/C5</f>
        <v>-1.6439509500197783E-3</v>
      </c>
      <c r="D43" s="3">
        <f t="shared" si="0"/>
        <v>-1.5154024716140149E-3</v>
      </c>
      <c r="E43" s="3">
        <f t="shared" si="0"/>
        <v>-1.3432875055860781E-3</v>
      </c>
      <c r="F43" s="3">
        <f t="shared" si="0"/>
        <v>-1.8739780540178485E-3</v>
      </c>
    </row>
    <row r="44" spans="1:6">
      <c r="A44" t="s">
        <v>52</v>
      </c>
      <c r="B44" s="3">
        <f>B25/B5</f>
        <v>-2.7840773973516463E-5</v>
      </c>
      <c r="C44" s="3">
        <f t="shared" ref="C44:F44" si="1">C25/C5</f>
        <v>-4.7177400331693413E-5</v>
      </c>
      <c r="D44" s="3">
        <f t="shared" si="1"/>
        <v>-3.8317680766749151E-5</v>
      </c>
      <c r="E44" s="3">
        <f t="shared" si="1"/>
        <v>-2.1029941379038406E-5</v>
      </c>
      <c r="F44" s="3">
        <f t="shared" si="1"/>
        <v>-6.2794271192450897E-5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3"/>
  </sheetPr>
  <dimension ref="A1:B13"/>
  <sheetViews>
    <sheetView workbookViewId="0">
      <selection activeCell="B11" sqref="B11"/>
    </sheetView>
  </sheetViews>
  <sheetFormatPr defaultColWidth="8.85546875" defaultRowHeight="15"/>
  <cols>
    <col min="2" max="2" width="21.28515625" customWidth="1"/>
  </cols>
  <sheetData>
    <row r="1" spans="1:2">
      <c r="B1" t="s">
        <v>53</v>
      </c>
    </row>
    <row r="2" spans="1:2">
      <c r="A2" t="s">
        <v>54</v>
      </c>
      <c r="B2">
        <v>0</v>
      </c>
    </row>
    <row r="3" spans="1:2">
      <c r="A3" t="s">
        <v>55</v>
      </c>
      <c r="B3">
        <v>0</v>
      </c>
    </row>
    <row r="4" spans="1:2">
      <c r="A4" t="s">
        <v>56</v>
      </c>
      <c r="B4">
        <v>0</v>
      </c>
    </row>
    <row r="5" spans="1:2">
      <c r="A5" t="s">
        <v>57</v>
      </c>
      <c r="B5">
        <v>0</v>
      </c>
    </row>
    <row r="6" spans="1:2">
      <c r="A6" t="s">
        <v>58</v>
      </c>
      <c r="B6">
        <v>0</v>
      </c>
    </row>
    <row r="7" spans="1:2">
      <c r="A7" t="s">
        <v>59</v>
      </c>
      <c r="B7">
        <v>0</v>
      </c>
    </row>
    <row r="8" spans="1:2">
      <c r="A8" t="s">
        <v>60</v>
      </c>
      <c r="B8">
        <v>0</v>
      </c>
    </row>
    <row r="9" spans="1:2">
      <c r="A9" t="s">
        <v>61</v>
      </c>
      <c r="B9">
        <v>0</v>
      </c>
    </row>
    <row r="10" spans="1:2">
      <c r="A10" t="s">
        <v>62</v>
      </c>
      <c r="B10">
        <v>0</v>
      </c>
    </row>
    <row r="11" spans="1:2">
      <c r="A11" t="s">
        <v>30</v>
      </c>
      <c r="B11" s="3">
        <f>-AVERAGE(Data!B43:F43)</f>
        <v>1.5377230909479366E-3</v>
      </c>
    </row>
    <row r="12" spans="1:2">
      <c r="A12" t="s">
        <v>40</v>
      </c>
      <c r="B12" s="3">
        <f>-AVERAGE(Data!B44:F44)</f>
        <v>3.9432013528689668E-5</v>
      </c>
    </row>
    <row r="13" spans="1:2">
      <c r="A13" t="s">
        <v>63</v>
      </c>
      <c r="B13">
        <v>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9A9DAB439B36DB4795F39C4E722C7BC4" ma:contentTypeVersion="4" ma:contentTypeDescription="Create a new document." ma:contentTypeScope="" ma:versionID="44674c89fa9bc5e97a878a6680c46188">
  <xsd:schema xmlns:xsd="http://www.w3.org/2001/XMLSchema" xmlns:xs="http://www.w3.org/2001/XMLSchema" xmlns:p="http://schemas.microsoft.com/office/2006/metadata/properties" xmlns:ns2="79748b23-d81a-423e-9112-21109dc864e6" targetNamespace="http://schemas.microsoft.com/office/2006/metadata/properties" ma:root="true" ma:fieldsID="447839a363ea5a12024b5bf1ab53ed90" ns2:_="">
    <xsd:import namespace="79748b23-d81a-423e-9112-21109dc864e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9748b23-d81a-423e-9112-21109dc864e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3B0B29A-4667-41A9-8548-8F5BCDA4B544}"/>
</file>

<file path=customXml/itemProps2.xml><?xml version="1.0" encoding="utf-8"?>
<ds:datastoreItem xmlns:ds="http://schemas.openxmlformats.org/officeDocument/2006/customXml" ds:itemID="{A86E6733-3BC7-4600-9DAD-D9FF63ADAF89}"/>
</file>

<file path=customXml/itemProps3.xml><?xml version="1.0" encoding="utf-8"?>
<ds:datastoreItem xmlns:ds="http://schemas.openxmlformats.org/officeDocument/2006/customXml" ds:itemID="{45287B9A-E4B2-46F7-9137-D38C6602A4F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Jeffrey Rissman</dc:creator>
  <cp:keywords/>
  <dc:description>Reviewed by Fernando Olea for EPS Mexico. Feb,2025</dc:description>
  <cp:lastModifiedBy>Rachel Goldstein</cp:lastModifiedBy>
  <cp:revision/>
  <dcterms:created xsi:type="dcterms:W3CDTF">2015-08-06T01:12:53Z</dcterms:created>
  <dcterms:modified xsi:type="dcterms:W3CDTF">2025-02-27T14:30:45Z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0x0101009A9DAB439B36DB4795F39C4E722C7BC4</vt:lpwstr>
  </property>
</Properties>
</file>