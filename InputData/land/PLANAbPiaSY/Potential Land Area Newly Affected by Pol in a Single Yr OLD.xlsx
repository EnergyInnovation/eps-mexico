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226_CATCHUP/land_CPL/PLANAbPiaSY/"/>
    </mc:Choice>
  </mc:AlternateContent>
  <xr:revisionPtr revIDLastSave="0" documentId="8_{2BA0548D-53DC-6D41-95F8-2DDE122A686A}" xr6:coauthVersionLast="47" xr6:coauthVersionMax="47" xr10:uidLastSave="{00000000-0000-0000-0000-000000000000}"/>
  <bookViews>
    <workbookView xWindow="0" yWindow="500" windowWidth="33200" windowHeight="14600" firstSheet="3" activeTab="3" xr2:uid="{00000000-000D-0000-FFFF-FFFF00000000}"/>
  </bookViews>
  <sheets>
    <sheet name="About" sheetId="1" r:id="rId1"/>
    <sheet name="Potential Areas" sheetId="10" r:id="rId2"/>
    <sheet name="Calculations &amp; Conversions" sheetId="11" r:id="rId3"/>
    <sheet name="PLANAbPiaSY" sheetId="3" r:id="rId4"/>
  </sheets>
  <definedNames>
    <definedName name="acres_per_million_hectar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3" l="1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C14" i="11" l="1"/>
  <c r="C12" i="11" l="1"/>
  <c r="B2" i="3" s="1"/>
  <c r="C13" i="11"/>
  <c r="B3" i="3" s="1"/>
  <c r="C15" i="11"/>
  <c r="E4" i="3" l="1"/>
  <c r="I4" i="3"/>
  <c r="M4" i="3"/>
  <c r="Q4" i="3"/>
  <c r="U4" i="3"/>
  <c r="Y4" i="3"/>
  <c r="AC4" i="3"/>
  <c r="AG4" i="3"/>
  <c r="F4" i="3"/>
  <c r="J4" i="3"/>
  <c r="R4" i="3"/>
  <c r="V4" i="3"/>
  <c r="Z4" i="3"/>
  <c r="AD4" i="3"/>
  <c r="AH4" i="3"/>
  <c r="B4" i="3"/>
  <c r="N4" i="3"/>
  <c r="C4" i="3"/>
  <c r="G4" i="3"/>
  <c r="K4" i="3"/>
  <c r="O4" i="3"/>
  <c r="S4" i="3"/>
  <c r="W4" i="3"/>
  <c r="AA4" i="3"/>
  <c r="AE4" i="3"/>
  <c r="AI4" i="3"/>
  <c r="D4" i="3"/>
  <c r="H4" i="3"/>
  <c r="L4" i="3"/>
  <c r="P4" i="3"/>
  <c r="T4" i="3"/>
  <c r="X4" i="3"/>
  <c r="AB4" i="3"/>
  <c r="AF4" i="3"/>
  <c r="AJ4" i="3"/>
  <c r="C3" i="3"/>
  <c r="G3" i="3"/>
  <c r="K3" i="3"/>
  <c r="O3" i="3"/>
  <c r="S3" i="3"/>
  <c r="W3" i="3"/>
  <c r="AA3" i="3"/>
  <c r="AE3" i="3"/>
  <c r="AI3" i="3"/>
  <c r="D3" i="3"/>
  <c r="H3" i="3"/>
  <c r="L3" i="3"/>
  <c r="T3" i="3"/>
  <c r="X3" i="3"/>
  <c r="AB3" i="3"/>
  <c r="AF3" i="3"/>
  <c r="P3" i="3"/>
  <c r="AJ3" i="3"/>
  <c r="E3" i="3"/>
  <c r="I3" i="3"/>
  <c r="M3" i="3"/>
  <c r="Q3" i="3"/>
  <c r="U3" i="3"/>
  <c r="Y3" i="3"/>
  <c r="AC3" i="3"/>
  <c r="AG3" i="3"/>
  <c r="F3" i="3"/>
  <c r="J3" i="3"/>
  <c r="N3" i="3"/>
  <c r="R3" i="3"/>
  <c r="V3" i="3"/>
  <c r="Z3" i="3"/>
  <c r="AD3" i="3"/>
  <c r="AH3" i="3"/>
  <c r="E2" i="3"/>
  <c r="I2" i="3"/>
  <c r="M2" i="3"/>
  <c r="Q2" i="3"/>
  <c r="U2" i="3"/>
  <c r="Y2" i="3"/>
  <c r="AC2" i="3"/>
  <c r="AG2" i="3"/>
  <c r="F2" i="3"/>
  <c r="N2" i="3"/>
  <c r="V2" i="3"/>
  <c r="AD2" i="3"/>
  <c r="T2" i="3"/>
  <c r="AB2" i="3"/>
  <c r="J2" i="3"/>
  <c r="R2" i="3"/>
  <c r="Z2" i="3"/>
  <c r="AH2" i="3"/>
  <c r="L2" i="3"/>
  <c r="AF2" i="3"/>
  <c r="C2" i="3"/>
  <c r="G2" i="3"/>
  <c r="K2" i="3"/>
  <c r="O2" i="3"/>
  <c r="S2" i="3"/>
  <c r="W2" i="3"/>
  <c r="AA2" i="3"/>
  <c r="AE2" i="3"/>
  <c r="AI2" i="3"/>
  <c r="D2" i="3"/>
  <c r="H2" i="3"/>
  <c r="P2" i="3"/>
  <c r="X2" i="3"/>
  <c r="AJ2" i="3"/>
</calcChain>
</file>

<file path=xl/sharedStrings.xml><?xml version="1.0" encoding="utf-8"?>
<sst xmlns="http://schemas.openxmlformats.org/spreadsheetml/2006/main" count="42" uniqueCount="31">
  <si>
    <t>PLANAbPiaSY Potential Land Area Newly Affected by Policy in a Single Year</t>
  </si>
  <si>
    <t>Sources:</t>
  </si>
  <si>
    <t>Potential land areas for carbon capture</t>
  </si>
  <si>
    <t>Instituto Nacional de Ecología y Cambio Climático (INECC)</t>
  </si>
  <si>
    <t>1997 (estimates for 2000,2010,2030)</t>
  </si>
  <si>
    <t>Carbon emissions capture in Mexico</t>
  </si>
  <si>
    <t>Notes</t>
  </si>
  <si>
    <t>Avoid deforestion, peatland restoration, and forest restoration policies</t>
  </si>
  <si>
    <t>are not used in the Mexico version of the model.</t>
  </si>
  <si>
    <t xml:space="preserve">We considered Natural Protected Areas (ANP, in Spanish) as forest set-asides. </t>
  </si>
  <si>
    <t>Potencial Técnico</t>
  </si>
  <si>
    <t>Translation</t>
  </si>
  <si>
    <t>Forestry policy</t>
  </si>
  <si>
    <t>Set-asides</t>
  </si>
  <si>
    <t>Áreas Naturales Protegidas</t>
  </si>
  <si>
    <t>Reforestation</t>
  </si>
  <si>
    <t>Reforestación</t>
  </si>
  <si>
    <t>Improved forest mgmt</t>
  </si>
  <si>
    <t>Manejo forestal</t>
  </si>
  <si>
    <t>Sistemas agroforestales</t>
  </si>
  <si>
    <t>Conversion factor</t>
  </si>
  <si>
    <t>1 ha =</t>
  </si>
  <si>
    <t>acres</t>
  </si>
  <si>
    <t xml:space="preserve">Potencial Técnico </t>
  </si>
  <si>
    <t>years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</si>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</sst>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164" fontId="0" fillId="0" borderId="0" xfId="2" applyFont="1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504825</xdr:colOff>
      <xdr:row>30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1767B0-8578-4B5B-B7BB-8382FD1C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86825" cy="575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26</xdr:col>
      <xdr:colOff>63500</xdr:colOff>
      <xdr:row>28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4A2B79-ACA7-9B40-959B-C858006DB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0"/>
          <a:ext cx="10795000" cy="534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8" sqref="B8"/>
    </sheetView>
  </sheetViews>
  <sheetFormatPr defaultColWidth="9.140625" defaultRowHeight="15"/>
  <cols>
    <col min="2" max="2" width="57.7109375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t="s">
        <v>3</v>
      </c>
    </row>
    <row r="5" spans="1:2">
      <c r="B5" s="5" t="s">
        <v>4</v>
      </c>
    </row>
    <row r="6" spans="1:2">
      <c r="B6" t="s">
        <v>5</v>
      </c>
    </row>
    <row r="7" spans="1:2">
      <c r="B7" s="6"/>
    </row>
    <row r="11" spans="1:2">
      <c r="A11" s="1" t="s">
        <v>6</v>
      </c>
    </row>
    <row r="12" spans="1:2">
      <c r="A12" t="s">
        <v>7</v>
      </c>
    </row>
    <row r="13" spans="1:2">
      <c r="A13" t="s">
        <v>8</v>
      </c>
    </row>
    <row r="15" spans="1:2">
      <c r="A15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N1" sqref="N1"/>
    </sheetView>
  </sheetViews>
  <sheetFormatPr defaultColWidth="11.42578125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5"/>
  <sheetViews>
    <sheetView workbookViewId="0">
      <selection activeCell="B4" sqref="A2:B4"/>
    </sheetView>
  </sheetViews>
  <sheetFormatPr defaultColWidth="11.42578125" defaultRowHeight="15"/>
  <cols>
    <col min="1" max="1" width="21" bestFit="1" customWidth="1"/>
    <col min="2" max="2" width="25.140625" bestFit="1" customWidth="1"/>
  </cols>
  <sheetData>
    <row r="2" spans="1:7" ht="29.25" customHeight="1">
      <c r="A2" s="12" t="s">
        <v>10</v>
      </c>
      <c r="B2" s="13"/>
      <c r="C2" s="11"/>
    </row>
    <row r="3" spans="1:7">
      <c r="A3" s="10" t="s">
        <v>11</v>
      </c>
      <c r="B3" s="10" t="s">
        <v>12</v>
      </c>
      <c r="C3" s="10">
        <v>2030</v>
      </c>
    </row>
    <row r="4" spans="1:7">
      <c r="A4" s="8" t="s">
        <v>13</v>
      </c>
      <c r="B4" s="8" t="s">
        <v>14</v>
      </c>
      <c r="C4" s="8">
        <v>6</v>
      </c>
    </row>
    <row r="5" spans="1:7">
      <c r="A5" s="8" t="s">
        <v>15</v>
      </c>
      <c r="B5" s="8" t="s">
        <v>16</v>
      </c>
      <c r="C5" s="8">
        <v>4.2</v>
      </c>
    </row>
    <row r="6" spans="1:7">
      <c r="A6" s="8" t="s">
        <v>17</v>
      </c>
      <c r="B6" s="8" t="s">
        <v>18</v>
      </c>
      <c r="C6" s="8">
        <v>18.7</v>
      </c>
    </row>
    <row r="7" spans="1:7">
      <c r="A7" s="8" t="s">
        <v>17</v>
      </c>
      <c r="B7" s="8" t="s">
        <v>19</v>
      </c>
      <c r="C7" s="8">
        <v>1.9</v>
      </c>
      <c r="E7" s="10" t="s">
        <v>20</v>
      </c>
      <c r="F7" s="10"/>
    </row>
    <row r="8" spans="1:7">
      <c r="E8" s="8" t="s">
        <v>21</v>
      </c>
      <c r="F8" s="8">
        <v>2.4700000000000002</v>
      </c>
      <c r="G8" t="s">
        <v>22</v>
      </c>
    </row>
    <row r="10" spans="1:7">
      <c r="A10" s="12" t="s">
        <v>23</v>
      </c>
      <c r="B10" s="13"/>
      <c r="C10" s="11"/>
      <c r="E10" s="8">
        <v>30</v>
      </c>
      <c r="F10" s="9" t="s">
        <v>24</v>
      </c>
    </row>
    <row r="11" spans="1:7">
      <c r="A11" s="10" t="s">
        <v>11</v>
      </c>
      <c r="B11" s="10" t="s">
        <v>12</v>
      </c>
      <c r="C11" s="10">
        <v>2030</v>
      </c>
    </row>
    <row r="12" spans="1:7">
      <c r="A12" s="8" t="s">
        <v>13</v>
      </c>
      <c r="B12" s="8" t="s">
        <v>14</v>
      </c>
      <c r="C12" s="8">
        <f>C4*$F$8*1000000</f>
        <v>14820000</v>
      </c>
    </row>
    <row r="13" spans="1:7">
      <c r="A13" s="8" t="s">
        <v>15</v>
      </c>
      <c r="B13" s="8" t="s">
        <v>16</v>
      </c>
      <c r="C13" s="8">
        <f>C5*$F$8*1000000</f>
        <v>10374000</v>
      </c>
    </row>
    <row r="14" spans="1:7">
      <c r="A14" s="8" t="s">
        <v>17</v>
      </c>
      <c r="B14" s="8" t="s">
        <v>18</v>
      </c>
      <c r="C14" s="8">
        <f>C6*$F$8*1000000</f>
        <v>46189000</v>
      </c>
    </row>
    <row r="15" spans="1:7">
      <c r="A15" s="8" t="s">
        <v>17</v>
      </c>
      <c r="B15" s="8" t="s">
        <v>19</v>
      </c>
      <c r="C15" s="8">
        <f>C7*$F$8*1000000</f>
        <v>4693000.0000000009</v>
      </c>
    </row>
  </sheetData>
  <mergeCells count="2">
    <mergeCell ref="A2:B2"/>
    <mergeCell ref="A10:B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D11"/>
  <sheetViews>
    <sheetView tabSelected="1" workbookViewId="0">
      <selection activeCell="A2" sqref="A2"/>
    </sheetView>
  </sheetViews>
  <sheetFormatPr defaultColWidth="9.140625" defaultRowHeight="15"/>
  <cols>
    <col min="1" max="1" width="29.28515625" customWidth="1"/>
    <col min="2" max="2" width="10.85546875" customWidth="1"/>
  </cols>
  <sheetData>
    <row r="1" spans="1:56">
      <c r="B1" s="2">
        <v>2016</v>
      </c>
      <c r="C1">
        <v>2017</v>
      </c>
      <c r="D1" s="2">
        <v>2018</v>
      </c>
      <c r="E1">
        <v>2019</v>
      </c>
      <c r="F1" s="2">
        <v>2020</v>
      </c>
      <c r="G1">
        <v>2021</v>
      </c>
      <c r="H1" s="2">
        <v>2022</v>
      </c>
      <c r="I1">
        <v>2023</v>
      </c>
      <c r="J1" s="2">
        <v>2024</v>
      </c>
      <c r="K1">
        <v>2025</v>
      </c>
      <c r="L1" s="2">
        <v>2026</v>
      </c>
      <c r="M1">
        <v>2027</v>
      </c>
      <c r="N1" s="2">
        <v>2028</v>
      </c>
      <c r="O1">
        <v>2029</v>
      </c>
      <c r="P1" s="2">
        <v>2030</v>
      </c>
      <c r="Q1">
        <v>2031</v>
      </c>
      <c r="R1" s="2">
        <v>2032</v>
      </c>
      <c r="S1">
        <v>2033</v>
      </c>
      <c r="T1" s="2">
        <v>2034</v>
      </c>
      <c r="U1">
        <v>2035</v>
      </c>
      <c r="V1" s="2">
        <v>2036</v>
      </c>
      <c r="W1">
        <v>2037</v>
      </c>
      <c r="X1" s="2">
        <v>2038</v>
      </c>
      <c r="Y1">
        <v>2039</v>
      </c>
      <c r="Z1" s="2">
        <v>2040</v>
      </c>
      <c r="AA1">
        <v>2041</v>
      </c>
      <c r="AB1" s="2">
        <v>2042</v>
      </c>
      <c r="AC1">
        <v>2043</v>
      </c>
      <c r="AD1" s="2">
        <v>2044</v>
      </c>
      <c r="AE1">
        <v>2045</v>
      </c>
      <c r="AF1" s="2">
        <v>2046</v>
      </c>
      <c r="AG1">
        <v>2047</v>
      </c>
      <c r="AH1" s="2">
        <v>2048</v>
      </c>
      <c r="AI1">
        <v>2049</v>
      </c>
      <c r="AJ1" s="2">
        <v>2050</v>
      </c>
      <c r="AK1">
        <v>2051</v>
      </c>
      <c r="AL1" s="2">
        <v>2052</v>
      </c>
      <c r="AM1">
        <v>2053</v>
      </c>
      <c r="AN1" s="2">
        <v>2054</v>
      </c>
      <c r="AO1">
        <v>2055</v>
      </c>
      <c r="AP1" s="2">
        <v>2056</v>
      </c>
      <c r="AQ1">
        <v>2057</v>
      </c>
      <c r="AR1" s="2">
        <v>2058</v>
      </c>
      <c r="AS1">
        <v>2059</v>
      </c>
      <c r="AT1" s="2">
        <v>2060</v>
      </c>
      <c r="AU1">
        <v>2061</v>
      </c>
      <c r="AV1" s="2">
        <v>2062</v>
      </c>
      <c r="AW1">
        <v>2063</v>
      </c>
      <c r="AX1" s="2">
        <v>2064</v>
      </c>
      <c r="AY1">
        <v>2065</v>
      </c>
      <c r="AZ1" s="2">
        <v>2066</v>
      </c>
      <c r="BA1">
        <v>2067</v>
      </c>
      <c r="BB1" s="2">
        <v>2068</v>
      </c>
      <c r="BC1">
        <v>2069</v>
      </c>
      <c r="BD1" s="2">
        <v>2070</v>
      </c>
    </row>
    <row r="2" spans="1:56">
      <c r="A2" t="s">
        <v>25</v>
      </c>
      <c r="B2" s="3">
        <f>'Calculations &amp; Conversions'!$C$12/'Calculations &amp; Conversions'!$E$10</f>
        <v>494000</v>
      </c>
      <c r="C2" s="3">
        <f>'Calculations &amp; Conversions'!$C$12/'Calculations &amp; Conversions'!$E$10</f>
        <v>494000</v>
      </c>
      <c r="D2" s="3">
        <f>'Calculations &amp; Conversions'!$C$12/'Calculations &amp; Conversions'!$E$10</f>
        <v>494000</v>
      </c>
      <c r="E2" s="3">
        <f>'Calculations &amp; Conversions'!$C$12/'Calculations &amp; Conversions'!$E$10</f>
        <v>494000</v>
      </c>
      <c r="F2" s="3">
        <f>'Calculations &amp; Conversions'!$C$12/'Calculations &amp; Conversions'!$E$10</f>
        <v>494000</v>
      </c>
      <c r="G2" s="3">
        <f>'Calculations &amp; Conversions'!$C$12/'Calculations &amp; Conversions'!$E$10</f>
        <v>494000</v>
      </c>
      <c r="H2" s="3">
        <f>'Calculations &amp; Conversions'!$C$12/'Calculations &amp; Conversions'!$E$10</f>
        <v>494000</v>
      </c>
      <c r="I2" s="3">
        <f>'Calculations &amp; Conversions'!$C$12/'Calculations &amp; Conversions'!$E$10</f>
        <v>494000</v>
      </c>
      <c r="J2" s="3">
        <f>'Calculations &amp; Conversions'!$C$12/'Calculations &amp; Conversions'!$E$10</f>
        <v>494000</v>
      </c>
      <c r="K2" s="3">
        <f>'Calculations &amp; Conversions'!$C$12/'Calculations &amp; Conversions'!$E$10</f>
        <v>494000</v>
      </c>
      <c r="L2" s="3">
        <f>'Calculations &amp; Conversions'!$C$12/'Calculations &amp; Conversions'!$E$10</f>
        <v>494000</v>
      </c>
      <c r="M2" s="3">
        <f>'Calculations &amp; Conversions'!$C$12/'Calculations &amp; Conversions'!$E$10</f>
        <v>494000</v>
      </c>
      <c r="N2" s="3">
        <f>'Calculations &amp; Conversions'!$C$12/'Calculations &amp; Conversions'!$E$10</f>
        <v>494000</v>
      </c>
      <c r="O2" s="3">
        <f>'Calculations &amp; Conversions'!$C$12/'Calculations &amp; Conversions'!$E$10</f>
        <v>494000</v>
      </c>
      <c r="P2" s="3">
        <f>'Calculations &amp; Conversions'!$C$12/'Calculations &amp; Conversions'!$E$10</f>
        <v>494000</v>
      </c>
      <c r="Q2" s="3">
        <f>'Calculations &amp; Conversions'!$C$12/'Calculations &amp; Conversions'!$E$10</f>
        <v>494000</v>
      </c>
      <c r="R2" s="3">
        <f>'Calculations &amp; Conversions'!$C$12/'Calculations &amp; Conversions'!$E$10</f>
        <v>494000</v>
      </c>
      <c r="S2" s="3">
        <f>'Calculations &amp; Conversions'!$C$12/'Calculations &amp; Conversions'!$E$10</f>
        <v>494000</v>
      </c>
      <c r="T2" s="3">
        <f>'Calculations &amp; Conversions'!$C$12/'Calculations &amp; Conversions'!$E$10</f>
        <v>494000</v>
      </c>
      <c r="U2" s="3">
        <f>'Calculations &amp; Conversions'!$C$12/'Calculations &amp; Conversions'!$E$10</f>
        <v>494000</v>
      </c>
      <c r="V2" s="3">
        <f>'Calculations &amp; Conversions'!$C$12/'Calculations &amp; Conversions'!$E$10</f>
        <v>494000</v>
      </c>
      <c r="W2" s="3">
        <f>'Calculations &amp; Conversions'!$C$12/'Calculations &amp; Conversions'!$E$10</f>
        <v>494000</v>
      </c>
      <c r="X2" s="3">
        <f>'Calculations &amp; Conversions'!$C$12/'Calculations &amp; Conversions'!$E$10</f>
        <v>494000</v>
      </c>
      <c r="Y2" s="3">
        <f>'Calculations &amp; Conversions'!$C$12/'Calculations &amp; Conversions'!$E$10</f>
        <v>494000</v>
      </c>
      <c r="Z2" s="3">
        <f>'Calculations &amp; Conversions'!$C$12/'Calculations &amp; Conversions'!$E$10</f>
        <v>494000</v>
      </c>
      <c r="AA2" s="3">
        <f>'Calculations &amp; Conversions'!$C$12/'Calculations &amp; Conversions'!$E$10</f>
        <v>494000</v>
      </c>
      <c r="AB2" s="3">
        <f>'Calculations &amp; Conversions'!$C$12/'Calculations &amp; Conversions'!$E$10</f>
        <v>494000</v>
      </c>
      <c r="AC2" s="3">
        <f>'Calculations &amp; Conversions'!$C$12/'Calculations &amp; Conversions'!$E$10</f>
        <v>494000</v>
      </c>
      <c r="AD2" s="3">
        <f>'Calculations &amp; Conversions'!$C$12/'Calculations &amp; Conversions'!$E$10</f>
        <v>494000</v>
      </c>
      <c r="AE2" s="3">
        <f>'Calculations &amp; Conversions'!$C$12/'Calculations &amp; Conversions'!$E$10</f>
        <v>494000</v>
      </c>
      <c r="AF2" s="3">
        <f>'Calculations &amp; Conversions'!$C$12/'Calculations &amp; Conversions'!$E$10</f>
        <v>494000</v>
      </c>
      <c r="AG2" s="3">
        <f>'Calculations &amp; Conversions'!$C$12/'Calculations &amp; Conversions'!$E$10</f>
        <v>494000</v>
      </c>
      <c r="AH2" s="3">
        <f>'Calculations &amp; Conversions'!$C$12/'Calculations &amp; Conversions'!$E$10</f>
        <v>494000</v>
      </c>
      <c r="AI2" s="3">
        <f>'Calculations &amp; Conversions'!$C$12/'Calculations &amp; Conversions'!$E$10</f>
        <v>494000</v>
      </c>
      <c r="AJ2" s="3">
        <f>'Calculations &amp; Conversions'!$C$12/'Calculations &amp; Conversions'!$E$10</f>
        <v>494000</v>
      </c>
      <c r="AK2" s="3">
        <f>'Calculations &amp; Conversions'!$C$12/'Calculations &amp; Conversions'!$E$10</f>
        <v>494000</v>
      </c>
      <c r="AL2" s="3">
        <f>'Calculations &amp; Conversions'!$C$12/'Calculations &amp; Conversions'!$E$10</f>
        <v>494000</v>
      </c>
      <c r="AM2" s="3">
        <f>'Calculations &amp; Conversions'!$C$12/'Calculations &amp; Conversions'!$E$10</f>
        <v>494000</v>
      </c>
      <c r="AN2" s="3">
        <f>'Calculations &amp; Conversions'!$C$12/'Calculations &amp; Conversions'!$E$10</f>
        <v>494000</v>
      </c>
      <c r="AO2" s="3">
        <f>'Calculations &amp; Conversions'!$C$12/'Calculations &amp; Conversions'!$E$10</f>
        <v>494000</v>
      </c>
      <c r="AP2" s="3">
        <f>'Calculations &amp; Conversions'!$C$12/'Calculations &amp; Conversions'!$E$10</f>
        <v>494000</v>
      </c>
      <c r="AQ2" s="3">
        <f>'Calculations &amp; Conversions'!$C$12/'Calculations &amp; Conversions'!$E$10</f>
        <v>494000</v>
      </c>
      <c r="AR2" s="3">
        <f>'Calculations &amp; Conversions'!$C$12/'Calculations &amp; Conversions'!$E$10</f>
        <v>494000</v>
      </c>
      <c r="AS2" s="3">
        <f>'Calculations &amp; Conversions'!$C$12/'Calculations &amp; Conversions'!$E$10</f>
        <v>494000</v>
      </c>
      <c r="AT2" s="3">
        <f>'Calculations &amp; Conversions'!$C$12/'Calculations &amp; Conversions'!$E$10</f>
        <v>494000</v>
      </c>
      <c r="AU2" s="3">
        <f>'Calculations &amp; Conversions'!$C$12/'Calculations &amp; Conversions'!$E$10</f>
        <v>494000</v>
      </c>
      <c r="AV2" s="3">
        <f>'Calculations &amp; Conversions'!$C$12/'Calculations &amp; Conversions'!$E$10</f>
        <v>494000</v>
      </c>
      <c r="AW2" s="3">
        <f>'Calculations &amp; Conversions'!$C$12/'Calculations &amp; Conversions'!$E$10</f>
        <v>494000</v>
      </c>
      <c r="AX2" s="3">
        <f>'Calculations &amp; Conversions'!$C$12/'Calculations &amp; Conversions'!$E$10</f>
        <v>494000</v>
      </c>
      <c r="AY2" s="3">
        <f>'Calculations &amp; Conversions'!$C$12/'Calculations &amp; Conversions'!$E$10</f>
        <v>494000</v>
      </c>
      <c r="AZ2" s="3">
        <f>'Calculations &amp; Conversions'!$C$12/'Calculations &amp; Conversions'!$E$10</f>
        <v>494000</v>
      </c>
      <c r="BA2" s="3">
        <f>'Calculations &amp; Conversions'!$C$12/'Calculations &amp; Conversions'!$E$10</f>
        <v>494000</v>
      </c>
      <c r="BB2" s="3">
        <f>'Calculations &amp; Conversions'!$C$12/'Calculations &amp; Conversions'!$E$10</f>
        <v>494000</v>
      </c>
      <c r="BC2" s="3">
        <f>'Calculations &amp; Conversions'!$C$12/'Calculations &amp; Conversions'!$E$10</f>
        <v>494000</v>
      </c>
      <c r="BD2" s="3">
        <f>'Calculations &amp; Conversions'!$C$12/'Calculations &amp; Conversions'!$E$10</f>
        <v>494000</v>
      </c>
    </row>
    <row r="3" spans="1:56">
      <c r="A3" t="s">
        <v>26</v>
      </c>
      <c r="B3" s="3">
        <f>'Calculations &amp; Conversions'!$C$13/'Calculations &amp; Conversions'!$E$10</f>
        <v>345800</v>
      </c>
      <c r="C3" s="3">
        <f>'Calculations &amp; Conversions'!$C$13/'Calculations &amp; Conversions'!$E$10</f>
        <v>345800</v>
      </c>
      <c r="D3" s="3">
        <f>'Calculations &amp; Conversions'!$C$13/'Calculations &amp; Conversions'!$E$10</f>
        <v>345800</v>
      </c>
      <c r="E3" s="3">
        <f>'Calculations &amp; Conversions'!$C$13/'Calculations &amp; Conversions'!$E$10</f>
        <v>345800</v>
      </c>
      <c r="F3" s="3">
        <f>'Calculations &amp; Conversions'!$C$13/'Calculations &amp; Conversions'!$E$10</f>
        <v>345800</v>
      </c>
      <c r="G3" s="3">
        <f>'Calculations &amp; Conversions'!$C$13/'Calculations &amp; Conversions'!$E$10</f>
        <v>345800</v>
      </c>
      <c r="H3" s="3">
        <f>'Calculations &amp; Conversions'!$C$13/'Calculations &amp; Conversions'!$E$10</f>
        <v>345800</v>
      </c>
      <c r="I3" s="3">
        <f>'Calculations &amp; Conversions'!$C$13/'Calculations &amp; Conversions'!$E$10</f>
        <v>345800</v>
      </c>
      <c r="J3" s="3">
        <f>'Calculations &amp; Conversions'!$C$13/'Calculations &amp; Conversions'!$E$10</f>
        <v>345800</v>
      </c>
      <c r="K3" s="3">
        <f>'Calculations &amp; Conversions'!$C$13/'Calculations &amp; Conversions'!$E$10</f>
        <v>345800</v>
      </c>
      <c r="L3" s="3">
        <f>'Calculations &amp; Conversions'!$C$13/'Calculations &amp; Conversions'!$E$10</f>
        <v>345800</v>
      </c>
      <c r="M3" s="3">
        <f>'Calculations &amp; Conversions'!$C$13/'Calculations &amp; Conversions'!$E$10</f>
        <v>345800</v>
      </c>
      <c r="N3" s="3">
        <f>'Calculations &amp; Conversions'!$C$13/'Calculations &amp; Conversions'!$E$10</f>
        <v>345800</v>
      </c>
      <c r="O3" s="3">
        <f>'Calculations &amp; Conversions'!$C$13/'Calculations &amp; Conversions'!$E$10</f>
        <v>345800</v>
      </c>
      <c r="P3" s="3">
        <f>'Calculations &amp; Conversions'!$C$13/'Calculations &amp; Conversions'!$E$10</f>
        <v>345800</v>
      </c>
      <c r="Q3" s="3">
        <f>'Calculations &amp; Conversions'!$C$13/'Calculations &amp; Conversions'!$E$10</f>
        <v>345800</v>
      </c>
      <c r="R3" s="3">
        <f>'Calculations &amp; Conversions'!$C$13/'Calculations &amp; Conversions'!$E$10</f>
        <v>345800</v>
      </c>
      <c r="S3" s="3">
        <f>'Calculations &amp; Conversions'!$C$13/'Calculations &amp; Conversions'!$E$10</f>
        <v>345800</v>
      </c>
      <c r="T3" s="3">
        <f>'Calculations &amp; Conversions'!$C$13/'Calculations &amp; Conversions'!$E$10</f>
        <v>345800</v>
      </c>
      <c r="U3" s="3">
        <f>'Calculations &amp; Conversions'!$C$13/'Calculations &amp; Conversions'!$E$10</f>
        <v>345800</v>
      </c>
      <c r="V3" s="3">
        <f>'Calculations &amp; Conversions'!$C$13/'Calculations &amp; Conversions'!$E$10</f>
        <v>345800</v>
      </c>
      <c r="W3" s="3">
        <f>'Calculations &amp; Conversions'!$C$13/'Calculations &amp; Conversions'!$E$10</f>
        <v>345800</v>
      </c>
      <c r="X3" s="3">
        <f>'Calculations &amp; Conversions'!$C$13/'Calculations &amp; Conversions'!$E$10</f>
        <v>345800</v>
      </c>
      <c r="Y3" s="3">
        <f>'Calculations &amp; Conversions'!$C$13/'Calculations &amp; Conversions'!$E$10</f>
        <v>345800</v>
      </c>
      <c r="Z3" s="3">
        <f>'Calculations &amp; Conversions'!$C$13/'Calculations &amp; Conversions'!$E$10</f>
        <v>345800</v>
      </c>
      <c r="AA3" s="3">
        <f>'Calculations &amp; Conversions'!$C$13/'Calculations &amp; Conversions'!$E$10</f>
        <v>345800</v>
      </c>
      <c r="AB3" s="3">
        <f>'Calculations &amp; Conversions'!$C$13/'Calculations &amp; Conversions'!$E$10</f>
        <v>345800</v>
      </c>
      <c r="AC3" s="3">
        <f>'Calculations &amp; Conversions'!$C$13/'Calculations &amp; Conversions'!$E$10</f>
        <v>345800</v>
      </c>
      <c r="AD3" s="3">
        <f>'Calculations &amp; Conversions'!$C$13/'Calculations &amp; Conversions'!$E$10</f>
        <v>345800</v>
      </c>
      <c r="AE3" s="3">
        <f>'Calculations &amp; Conversions'!$C$13/'Calculations &amp; Conversions'!$E$10</f>
        <v>345800</v>
      </c>
      <c r="AF3" s="3">
        <f>'Calculations &amp; Conversions'!$C$13/'Calculations &amp; Conversions'!$E$10</f>
        <v>345800</v>
      </c>
      <c r="AG3" s="3">
        <f>'Calculations &amp; Conversions'!$C$13/'Calculations &amp; Conversions'!$E$10</f>
        <v>345800</v>
      </c>
      <c r="AH3" s="3">
        <f>'Calculations &amp; Conversions'!$C$13/'Calculations &amp; Conversions'!$E$10</f>
        <v>345800</v>
      </c>
      <c r="AI3" s="3">
        <f>'Calculations &amp; Conversions'!$C$13/'Calculations &amp; Conversions'!$E$10</f>
        <v>345800</v>
      </c>
      <c r="AJ3" s="3">
        <f>'Calculations &amp; Conversions'!$C$13/'Calculations &amp; Conversions'!$E$10</f>
        <v>345800</v>
      </c>
      <c r="AK3" s="3">
        <f>'Calculations &amp; Conversions'!$C$13/'Calculations &amp; Conversions'!$E$10</f>
        <v>345800</v>
      </c>
      <c r="AL3" s="3">
        <f>'Calculations &amp; Conversions'!$C$13/'Calculations &amp; Conversions'!$E$10</f>
        <v>345800</v>
      </c>
      <c r="AM3" s="3">
        <f>'Calculations &amp; Conversions'!$C$13/'Calculations &amp; Conversions'!$E$10</f>
        <v>345800</v>
      </c>
      <c r="AN3" s="3">
        <f>'Calculations &amp; Conversions'!$C$13/'Calculations &amp; Conversions'!$E$10</f>
        <v>345800</v>
      </c>
      <c r="AO3" s="3">
        <f>'Calculations &amp; Conversions'!$C$13/'Calculations &amp; Conversions'!$E$10</f>
        <v>345800</v>
      </c>
      <c r="AP3" s="3">
        <f>'Calculations &amp; Conversions'!$C$13/'Calculations &amp; Conversions'!$E$10</f>
        <v>345800</v>
      </c>
      <c r="AQ3" s="3">
        <f>'Calculations &amp; Conversions'!$C$13/'Calculations &amp; Conversions'!$E$10</f>
        <v>345800</v>
      </c>
      <c r="AR3" s="3">
        <f>'Calculations &amp; Conversions'!$C$13/'Calculations &amp; Conversions'!$E$10</f>
        <v>345800</v>
      </c>
      <c r="AS3" s="3">
        <f>'Calculations &amp; Conversions'!$C$13/'Calculations &amp; Conversions'!$E$10</f>
        <v>345800</v>
      </c>
      <c r="AT3" s="3">
        <f>'Calculations &amp; Conversions'!$C$13/'Calculations &amp; Conversions'!$E$10</f>
        <v>345800</v>
      </c>
      <c r="AU3" s="3">
        <f>'Calculations &amp; Conversions'!$C$13/'Calculations &amp; Conversions'!$E$10</f>
        <v>345800</v>
      </c>
      <c r="AV3" s="3">
        <f>'Calculations &amp; Conversions'!$C$13/'Calculations &amp; Conversions'!$E$10</f>
        <v>345800</v>
      </c>
      <c r="AW3" s="3">
        <f>'Calculations &amp; Conversions'!$C$13/'Calculations &amp; Conversions'!$E$10</f>
        <v>345800</v>
      </c>
      <c r="AX3" s="3">
        <f>'Calculations &amp; Conversions'!$C$13/'Calculations &amp; Conversions'!$E$10</f>
        <v>345800</v>
      </c>
      <c r="AY3" s="3">
        <f>'Calculations &amp; Conversions'!$C$13/'Calculations &amp; Conversions'!$E$10</f>
        <v>345800</v>
      </c>
      <c r="AZ3" s="3">
        <f>'Calculations &amp; Conversions'!$C$13/'Calculations &amp; Conversions'!$E$10</f>
        <v>345800</v>
      </c>
      <c r="BA3" s="3">
        <f>'Calculations &amp; Conversions'!$C$13/'Calculations &amp; Conversions'!$E$10</f>
        <v>345800</v>
      </c>
      <c r="BB3" s="3">
        <f>'Calculations &amp; Conversions'!$C$13/'Calculations &amp; Conversions'!$E$10</f>
        <v>345800</v>
      </c>
      <c r="BC3" s="3">
        <f>'Calculations &amp; Conversions'!$C$13/'Calculations &amp; Conversions'!$E$10</f>
        <v>345800</v>
      </c>
      <c r="BD3" s="3">
        <f>'Calculations &amp; Conversions'!$C$13/'Calculations &amp; Conversions'!$E$10</f>
        <v>345800</v>
      </c>
    </row>
    <row r="4" spans="1:56">
      <c r="A4" t="s">
        <v>27</v>
      </c>
      <c r="B4" s="3">
        <f>('Calculations &amp; Conversions'!$C$14+'Calculations &amp; Conversions'!$C$15)/'Calculations &amp; Conversions'!$E$10</f>
        <v>1696066.6666666667</v>
      </c>
      <c r="C4" s="3">
        <f>('Calculations &amp; Conversions'!$C$14+'Calculations &amp; Conversions'!$C$15)/'Calculations &amp; Conversions'!$E$10</f>
        <v>1696066.6666666667</v>
      </c>
      <c r="D4" s="3">
        <f>('Calculations &amp; Conversions'!$C$14+'Calculations &amp; Conversions'!$C$15)/'Calculations &amp; Conversions'!$E$10</f>
        <v>1696066.6666666667</v>
      </c>
      <c r="E4" s="3">
        <f>('Calculations &amp; Conversions'!$C$14+'Calculations &amp; Conversions'!$C$15)/'Calculations &amp; Conversions'!$E$10</f>
        <v>1696066.6666666667</v>
      </c>
      <c r="F4" s="3">
        <f>('Calculations &amp; Conversions'!$C$14+'Calculations &amp; Conversions'!$C$15)/'Calculations &amp; Conversions'!$E$10</f>
        <v>1696066.6666666667</v>
      </c>
      <c r="G4" s="3">
        <f>('Calculations &amp; Conversions'!$C$14+'Calculations &amp; Conversions'!$C$15)/'Calculations &amp; Conversions'!$E$10</f>
        <v>1696066.6666666667</v>
      </c>
      <c r="H4" s="3">
        <f>('Calculations &amp; Conversions'!$C$14+'Calculations &amp; Conversions'!$C$15)/'Calculations &amp; Conversions'!$E$10</f>
        <v>1696066.6666666667</v>
      </c>
      <c r="I4" s="3">
        <f>('Calculations &amp; Conversions'!$C$14+'Calculations &amp; Conversions'!$C$15)/'Calculations &amp; Conversions'!$E$10</f>
        <v>1696066.6666666667</v>
      </c>
      <c r="J4" s="3">
        <f>('Calculations &amp; Conversions'!$C$14+'Calculations &amp; Conversions'!$C$15)/'Calculations &amp; Conversions'!$E$10</f>
        <v>1696066.6666666667</v>
      </c>
      <c r="K4" s="3">
        <f>('Calculations &amp; Conversions'!$C$14+'Calculations &amp; Conversions'!$C$15)/'Calculations &amp; Conversions'!$E$10</f>
        <v>1696066.6666666667</v>
      </c>
      <c r="L4" s="3">
        <f>('Calculations &amp; Conversions'!$C$14+'Calculations &amp; Conversions'!$C$15)/'Calculations &amp; Conversions'!$E$10</f>
        <v>1696066.6666666667</v>
      </c>
      <c r="M4" s="3">
        <f>('Calculations &amp; Conversions'!$C$14+'Calculations &amp; Conversions'!$C$15)/'Calculations &amp; Conversions'!$E$10</f>
        <v>1696066.6666666667</v>
      </c>
      <c r="N4" s="3">
        <f>('Calculations &amp; Conversions'!$C$14+'Calculations &amp; Conversions'!$C$15)/'Calculations &amp; Conversions'!$E$10</f>
        <v>1696066.6666666667</v>
      </c>
      <c r="O4" s="3">
        <f>('Calculations &amp; Conversions'!$C$14+'Calculations &amp; Conversions'!$C$15)/'Calculations &amp; Conversions'!$E$10</f>
        <v>1696066.6666666667</v>
      </c>
      <c r="P4" s="3">
        <f>('Calculations &amp; Conversions'!$C$14+'Calculations &amp; Conversions'!$C$15)/'Calculations &amp; Conversions'!$E$10</f>
        <v>1696066.6666666667</v>
      </c>
      <c r="Q4" s="3">
        <f>('Calculations &amp; Conversions'!$C$14+'Calculations &amp; Conversions'!$C$15)/'Calculations &amp; Conversions'!$E$10</f>
        <v>1696066.6666666667</v>
      </c>
      <c r="R4" s="3">
        <f>('Calculations &amp; Conversions'!$C$14+'Calculations &amp; Conversions'!$C$15)/'Calculations &amp; Conversions'!$E$10</f>
        <v>1696066.6666666667</v>
      </c>
      <c r="S4" s="3">
        <f>('Calculations &amp; Conversions'!$C$14+'Calculations &amp; Conversions'!$C$15)/'Calculations &amp; Conversions'!$E$10</f>
        <v>1696066.6666666667</v>
      </c>
      <c r="T4" s="3">
        <f>('Calculations &amp; Conversions'!$C$14+'Calculations &amp; Conversions'!$C$15)/'Calculations &amp; Conversions'!$E$10</f>
        <v>1696066.6666666667</v>
      </c>
      <c r="U4" s="3">
        <f>('Calculations &amp; Conversions'!$C$14+'Calculations &amp; Conversions'!$C$15)/'Calculations &amp; Conversions'!$E$10</f>
        <v>1696066.6666666667</v>
      </c>
      <c r="V4" s="3">
        <f>('Calculations &amp; Conversions'!$C$14+'Calculations &amp; Conversions'!$C$15)/'Calculations &amp; Conversions'!$E$10</f>
        <v>1696066.6666666667</v>
      </c>
      <c r="W4" s="3">
        <f>('Calculations &amp; Conversions'!$C$14+'Calculations &amp; Conversions'!$C$15)/'Calculations &amp; Conversions'!$E$10</f>
        <v>1696066.6666666667</v>
      </c>
      <c r="X4" s="3">
        <f>('Calculations &amp; Conversions'!$C$14+'Calculations &amp; Conversions'!$C$15)/'Calculations &amp; Conversions'!$E$10</f>
        <v>1696066.6666666667</v>
      </c>
      <c r="Y4" s="3">
        <f>('Calculations &amp; Conversions'!$C$14+'Calculations &amp; Conversions'!$C$15)/'Calculations &amp; Conversions'!$E$10</f>
        <v>1696066.6666666667</v>
      </c>
      <c r="Z4" s="3">
        <f>('Calculations &amp; Conversions'!$C$14+'Calculations &amp; Conversions'!$C$15)/'Calculations &amp; Conversions'!$E$10</f>
        <v>1696066.6666666667</v>
      </c>
      <c r="AA4" s="3">
        <f>('Calculations &amp; Conversions'!$C$14+'Calculations &amp; Conversions'!$C$15)/'Calculations &amp; Conversions'!$E$10</f>
        <v>1696066.6666666667</v>
      </c>
      <c r="AB4" s="3">
        <f>('Calculations &amp; Conversions'!$C$14+'Calculations &amp; Conversions'!$C$15)/'Calculations &amp; Conversions'!$E$10</f>
        <v>1696066.6666666667</v>
      </c>
      <c r="AC4" s="3">
        <f>('Calculations &amp; Conversions'!$C$14+'Calculations &amp; Conversions'!$C$15)/'Calculations &amp; Conversions'!$E$10</f>
        <v>1696066.6666666667</v>
      </c>
      <c r="AD4" s="3">
        <f>('Calculations &amp; Conversions'!$C$14+'Calculations &amp; Conversions'!$C$15)/'Calculations &amp; Conversions'!$E$10</f>
        <v>1696066.6666666667</v>
      </c>
      <c r="AE4" s="3">
        <f>('Calculations &amp; Conversions'!$C$14+'Calculations &amp; Conversions'!$C$15)/'Calculations &amp; Conversions'!$E$10</f>
        <v>1696066.6666666667</v>
      </c>
      <c r="AF4" s="3">
        <f>('Calculations &amp; Conversions'!$C$14+'Calculations &amp; Conversions'!$C$15)/'Calculations &amp; Conversions'!$E$10</f>
        <v>1696066.6666666667</v>
      </c>
      <c r="AG4" s="3">
        <f>('Calculations &amp; Conversions'!$C$14+'Calculations &amp; Conversions'!$C$15)/'Calculations &amp; Conversions'!$E$10</f>
        <v>1696066.6666666667</v>
      </c>
      <c r="AH4" s="3">
        <f>('Calculations &amp; Conversions'!$C$14+'Calculations &amp; Conversions'!$C$15)/'Calculations &amp; Conversions'!$E$10</f>
        <v>1696066.6666666667</v>
      </c>
      <c r="AI4" s="3">
        <f>('Calculations &amp; Conversions'!$C$14+'Calculations &amp; Conversions'!$C$15)/'Calculations &amp; Conversions'!$E$10</f>
        <v>1696066.6666666667</v>
      </c>
      <c r="AJ4" s="3">
        <f>('Calculations &amp; Conversions'!$C$14+'Calculations &amp; Conversions'!$C$15)/'Calculations &amp; Conversions'!$E$10</f>
        <v>1696066.6666666667</v>
      </c>
      <c r="AK4" s="3">
        <f>('Calculations &amp; Conversions'!$C$14+'Calculations &amp; Conversions'!$C$15)/'Calculations &amp; Conversions'!$E$10</f>
        <v>1696066.6666666667</v>
      </c>
      <c r="AL4" s="3">
        <f>('Calculations &amp; Conversions'!$C$14+'Calculations &amp; Conversions'!$C$15)/'Calculations &amp; Conversions'!$E$10</f>
        <v>1696066.6666666667</v>
      </c>
      <c r="AM4" s="3">
        <f>('Calculations &amp; Conversions'!$C$14+'Calculations &amp; Conversions'!$C$15)/'Calculations &amp; Conversions'!$E$10</f>
        <v>1696066.6666666667</v>
      </c>
      <c r="AN4" s="3">
        <f>('Calculations &amp; Conversions'!$C$14+'Calculations &amp; Conversions'!$C$15)/'Calculations &amp; Conversions'!$E$10</f>
        <v>1696066.6666666667</v>
      </c>
      <c r="AO4" s="3">
        <f>('Calculations &amp; Conversions'!$C$14+'Calculations &amp; Conversions'!$C$15)/'Calculations &amp; Conversions'!$E$10</f>
        <v>1696066.6666666667</v>
      </c>
      <c r="AP4" s="3">
        <f>('Calculations &amp; Conversions'!$C$14+'Calculations &amp; Conversions'!$C$15)/'Calculations &amp; Conversions'!$E$10</f>
        <v>1696066.6666666667</v>
      </c>
      <c r="AQ4" s="3">
        <f>('Calculations &amp; Conversions'!$C$14+'Calculations &amp; Conversions'!$C$15)/'Calculations &amp; Conversions'!$E$10</f>
        <v>1696066.6666666667</v>
      </c>
      <c r="AR4" s="3">
        <f>('Calculations &amp; Conversions'!$C$14+'Calculations &amp; Conversions'!$C$15)/'Calculations &amp; Conversions'!$E$10</f>
        <v>1696066.6666666667</v>
      </c>
      <c r="AS4" s="3">
        <f>('Calculations &amp; Conversions'!$C$14+'Calculations &amp; Conversions'!$C$15)/'Calculations &amp; Conversions'!$E$10</f>
        <v>1696066.6666666667</v>
      </c>
      <c r="AT4" s="3">
        <f>('Calculations &amp; Conversions'!$C$14+'Calculations &amp; Conversions'!$C$15)/'Calculations &amp; Conversions'!$E$10</f>
        <v>1696066.6666666667</v>
      </c>
      <c r="AU4" s="3">
        <f>('Calculations &amp; Conversions'!$C$14+'Calculations &amp; Conversions'!$C$15)/'Calculations &amp; Conversions'!$E$10</f>
        <v>1696066.6666666667</v>
      </c>
      <c r="AV4" s="3">
        <f>('Calculations &amp; Conversions'!$C$14+'Calculations &amp; Conversions'!$C$15)/'Calculations &amp; Conversions'!$E$10</f>
        <v>1696066.6666666667</v>
      </c>
      <c r="AW4" s="3">
        <f>('Calculations &amp; Conversions'!$C$14+'Calculations &amp; Conversions'!$C$15)/'Calculations &amp; Conversions'!$E$10</f>
        <v>1696066.6666666667</v>
      </c>
      <c r="AX4" s="3">
        <f>('Calculations &amp; Conversions'!$C$14+'Calculations &amp; Conversions'!$C$15)/'Calculations &amp; Conversions'!$E$10</f>
        <v>1696066.6666666667</v>
      </c>
      <c r="AY4" s="3">
        <f>('Calculations &amp; Conversions'!$C$14+'Calculations &amp; Conversions'!$C$15)/'Calculations &amp; Conversions'!$E$10</f>
        <v>1696066.6666666667</v>
      </c>
      <c r="AZ4" s="3">
        <f>('Calculations &amp; Conversions'!$C$14+'Calculations &amp; Conversions'!$C$15)/'Calculations &amp; Conversions'!$E$10</f>
        <v>1696066.6666666667</v>
      </c>
      <c r="BA4" s="3">
        <f>('Calculations &amp; Conversions'!$C$14+'Calculations &amp; Conversions'!$C$15)/'Calculations &amp; Conversions'!$E$10</f>
        <v>1696066.6666666667</v>
      </c>
      <c r="BB4" s="3">
        <f>('Calculations &amp; Conversions'!$C$14+'Calculations &amp; Conversions'!$C$15)/'Calculations &amp; Conversions'!$E$10</f>
        <v>1696066.6666666667</v>
      </c>
      <c r="BC4" s="3">
        <f>('Calculations &amp; Conversions'!$C$14+'Calculations &amp; Conversions'!$C$15)/'Calculations &amp; Conversions'!$E$10</f>
        <v>1696066.6666666667</v>
      </c>
      <c r="BD4" s="3">
        <f>('Calculations &amp; Conversions'!$C$14+'Calculations &amp; Conversions'!$C$15)/'Calculations &amp; Conversions'!$E$10</f>
        <v>1696066.6666666667</v>
      </c>
    </row>
    <row r="5" spans="1:56">
      <c r="A5" t="s">
        <v>28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</row>
    <row r="6" spans="1:56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11" spans="1:56">
      <c r="A1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A869E2-791B-41A0-B65B-6011022F31CC}"/>
</file>

<file path=customXml/itemProps2.xml><?xml version="1.0" encoding="utf-8"?>
<ds:datastoreItem xmlns:ds="http://schemas.openxmlformats.org/officeDocument/2006/customXml" ds:itemID="{7CE26BC1-C84C-4C3F-990C-52F7BA333174}"/>
</file>

<file path=customXml/itemProps3.xml><?xml version="1.0" encoding="utf-8"?>
<ds:datastoreItem xmlns:ds="http://schemas.openxmlformats.org/officeDocument/2006/customXml" ds:itemID="{0085AE3C-E105-4F11-98DA-4EE89E9D8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2017-01-27T05:17:42Z</dcterms:created>
  <dcterms:modified xsi:type="dcterms:W3CDTF">2025-02-27T15:21:18Z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