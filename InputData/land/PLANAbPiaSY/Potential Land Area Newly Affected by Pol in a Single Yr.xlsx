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226_CATCHUP/land_CPL/PLANAbPiaSY/"/>
    </mc:Choice>
  </mc:AlternateContent>
  <xr:revisionPtr revIDLastSave="81" documentId="8_{2BA0548D-53DC-6D41-95F8-2DDE122A686A}" xr6:coauthVersionLast="47" xr6:coauthVersionMax="47" xr10:uidLastSave="{8C235864-086F-4C92-BA72-94B12EEA6E90}"/>
  <bookViews>
    <workbookView xWindow="0" yWindow="500" windowWidth="33200" windowHeight="14600" firstSheet="3" xr2:uid="{00000000-000D-0000-FFFF-FFFF00000000}"/>
  </bookViews>
  <sheets>
    <sheet name="About" sheetId="1" r:id="rId1"/>
    <sheet name="Potential Areas" sheetId="10" r:id="rId2"/>
    <sheet name="CatOnBLU ICM data" sheetId="12" r:id="rId3"/>
    <sheet name="Calculations &amp; Conversions" sheetId="11" r:id="rId4"/>
    <sheet name="PLANAbPiaSY" sheetId="3" r:id="rId5"/>
  </sheets>
  <definedNames>
    <definedName name="acres_per_million_hectar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3" l="1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Q5" i="3"/>
  <c r="R5" i="3"/>
  <c r="S5" i="3"/>
  <c r="T5" i="3"/>
  <c r="U5" i="3"/>
  <c r="V5" i="3"/>
  <c r="W5" i="3"/>
  <c r="X5" i="3"/>
  <c r="Y5" i="3"/>
  <c r="Q6" i="3"/>
  <c r="R6" i="3"/>
  <c r="S6" i="3"/>
  <c r="T6" i="3"/>
  <c r="U6" i="3"/>
  <c r="V6" i="3"/>
  <c r="W6" i="3"/>
  <c r="X6" i="3"/>
  <c r="Y6" i="3"/>
  <c r="Q7" i="3"/>
  <c r="R7" i="3"/>
  <c r="S7" i="3"/>
  <c r="T7" i="3"/>
  <c r="U7" i="3"/>
  <c r="V7" i="3"/>
  <c r="W7" i="3"/>
  <c r="X7" i="3"/>
  <c r="Y7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B3" i="3"/>
  <c r="B4" i="3"/>
  <c r="B2" i="3"/>
  <c r="D7" i="11"/>
  <c r="D5" i="11"/>
  <c r="D6" i="11"/>
  <c r="D2" i="11"/>
  <c r="D4" i="11"/>
  <c r="D15" i="11"/>
  <c r="D14" i="11"/>
  <c r="D13" i="11"/>
  <c r="D12" i="11"/>
  <c r="C14" i="11" l="1"/>
  <c r="C12" i="11" l="1"/>
  <c r="C13" i="11"/>
  <c r="C15" i="11"/>
  <c r="Z4" i="3" l="1"/>
  <c r="Q4" i="3" s="1"/>
  <c r="Z3" i="3"/>
  <c r="Q3" i="3" s="1"/>
  <c r="R3" i="3" s="1"/>
  <c r="S3" i="3" s="1"/>
  <c r="T3" i="3" s="1"/>
  <c r="Z2" i="3"/>
  <c r="Q2" i="3" s="1"/>
  <c r="R2" i="3" l="1"/>
  <c r="S2" i="3" s="1"/>
  <c r="T2" i="3" s="1"/>
  <c r="U2" i="3" s="1"/>
  <c r="V2" i="3" s="1"/>
  <c r="W2" i="3" s="1"/>
  <c r="X2" i="3" s="1"/>
  <c r="Y2" i="3" s="1"/>
  <c r="U3" i="3"/>
  <c r="V3" i="3" s="1"/>
  <c r="W3" i="3" s="1"/>
  <c r="X3" i="3" s="1"/>
  <c r="Y3" i="3" s="1"/>
  <c r="R4" i="3"/>
  <c r="S4" i="3" s="1"/>
  <c r="T4" i="3" s="1"/>
  <c r="U4" i="3" s="1"/>
  <c r="V4" i="3" s="1"/>
  <c r="W4" i="3" s="1"/>
  <c r="X4" i="3" s="1"/>
  <c r="Y4" i="3" s="1"/>
</calcChain>
</file>

<file path=xl/sharedStrings.xml><?xml version="1.0" encoding="utf-8"?>
<sst xmlns="http://schemas.openxmlformats.org/spreadsheetml/2006/main" count="89" uniqueCount="62">
  <si>
    <t>PLANAbPiaSY Potential Land Area Newly Affected by Policy in a Single Year</t>
  </si>
  <si>
    <t>Sources:</t>
  </si>
  <si>
    <t>Potential land areas for carbon capture</t>
  </si>
  <si>
    <t>Instituto Nacional de Ecología y Cambio Climático (INECC)</t>
  </si>
  <si>
    <t>1997 (estimates for 2000,2010,2030)</t>
  </si>
  <si>
    <t>Carbon emissions capture in Mexico</t>
  </si>
  <si>
    <t>Notes</t>
  </si>
  <si>
    <t>Avoid deforestion, peatland restoration, and forest restoration policies</t>
  </si>
  <si>
    <t>are not used in the Mexico version of the model.</t>
  </si>
  <si>
    <t xml:space="preserve">We considered Natural Protected Areas (ANP, in Spanish) as forest set-asides. </t>
  </si>
  <si>
    <t>Climate Action Tool on Biodiversity &amp; Land Use</t>
  </si>
  <si>
    <t>Resumen: Medidas de Mitigación</t>
  </si>
  <si>
    <t>Costos por Implementación de Medidas de Mitigación</t>
  </si>
  <si>
    <t>Id</t>
  </si>
  <si>
    <t>Medida</t>
  </si>
  <si>
    <t>Costo CAPEX
[US2024/ha]</t>
  </si>
  <si>
    <t>Costo OPEX
[US2024/ha]</t>
  </si>
  <si>
    <t>Años seguimiento</t>
  </si>
  <si>
    <t>Costo Total Unitario
[US2024/ha]</t>
  </si>
  <si>
    <t>Costo Total
[US2024/ha]</t>
  </si>
  <si>
    <t>Meta</t>
  </si>
  <si>
    <t>Unidad</t>
  </si>
  <si>
    <t>Medida 1.1: Incrementar tierras forestales: regeneración natural asistida</t>
  </si>
  <si>
    <t>Ha</t>
  </si>
  <si>
    <t>Medida 1.1: Incrementar tierras forestales: enriquecimiento forestal</t>
  </si>
  <si>
    <t>Medida 1.1: Incrementar tierras forestales: restauración activa</t>
  </si>
  <si>
    <t>Medida 1.3: Fortalecer áreas de conservación</t>
  </si>
  <si>
    <t>Medida 1.6: Fortalecer el manejo forestal sostenible</t>
  </si>
  <si>
    <t>Medida 2.1: Incrementar superficie agrícola con agricultura de conservación</t>
  </si>
  <si>
    <t>Medida 2.2: Restaurar la productividad de tierras agrícolas degradadas</t>
  </si>
  <si>
    <t xml:space="preserve">Medida 2.3: Incrementar superficie agrícola con riego tecnificado </t>
  </si>
  <si>
    <t>Medida 2.4: Incrementar superficie agrícola con sistemas agroforestales</t>
  </si>
  <si>
    <t>Medida 3.1: Incrementar superficie de pastoreo mejorado</t>
  </si>
  <si>
    <t>Medida 3.2: Incrementar superficie de pastoreo con sistemas silvopastoriles</t>
  </si>
  <si>
    <t>km2</t>
  </si>
  <si>
    <t>Ha/Km2</t>
  </si>
  <si>
    <t>TOTAL HA</t>
  </si>
  <si>
    <t>Total superficie República</t>
  </si>
  <si>
    <t>Potencial Técnico</t>
  </si>
  <si>
    <t>Translation</t>
  </si>
  <si>
    <t>Forestry policy</t>
  </si>
  <si>
    <t>CATONBLU 2060</t>
  </si>
  <si>
    <t>Set-asides</t>
  </si>
  <si>
    <t>Áreas Naturales Protegidas</t>
  </si>
  <si>
    <t>Reforestation</t>
  </si>
  <si>
    <t>Reforestación</t>
  </si>
  <si>
    <t>Improved forest mgmt</t>
  </si>
  <si>
    <t>Manejo forestal</t>
  </si>
  <si>
    <t>Sistemas agroforestales</t>
  </si>
  <si>
    <t>Conversion factor</t>
  </si>
  <si>
    <t>1 ha =</t>
  </si>
  <si>
    <t>acres</t>
  </si>
  <si>
    <t xml:space="preserve">Potencial Técnico </t>
  </si>
  <si>
    <t>CATONBLU 2060 ICM DATA USED 2040 onwards, 2030-2040 period by linear ajustment</t>
  </si>
  <si>
    <t>Original policy surface over</t>
  </si>
  <si>
    <t>years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</si>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</sst>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74" formatCode="_(* #,##0_);_(* \(#,##0\);_(* &quot;-&quot;??_);_(@_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164" fontId="0" fillId="0" borderId="0" xfId="2" applyFont="1"/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0" fillId="4" borderId="0" xfId="0" applyFill="1"/>
    <xf numFmtId="4" fontId="0" fillId="4" borderId="0" xfId="0" applyNumberFormat="1" applyFill="1"/>
    <xf numFmtId="1" fontId="0" fillId="4" borderId="0" xfId="0" applyNumberFormat="1" applyFill="1"/>
    <xf numFmtId="1" fontId="0" fillId="5" borderId="0" xfId="0" applyNumberFormat="1" applyFill="1"/>
    <xf numFmtId="174" fontId="0" fillId="0" borderId="1" xfId="0" applyNumberFormat="1" applyBorder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504825</xdr:colOff>
      <xdr:row>30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1767B0-8578-4B5B-B7BB-8382FD1CE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86825" cy="575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26</xdr:col>
      <xdr:colOff>63500</xdr:colOff>
      <xdr:row>28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4A2B79-ACA7-9B40-959B-C858006DB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0"/>
          <a:ext cx="10795000" cy="534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8" sqref="B8"/>
    </sheetView>
  </sheetViews>
  <sheetFormatPr defaultColWidth="9.140625" defaultRowHeight="15"/>
  <cols>
    <col min="2" max="2" width="57.7109375" customWidth="1"/>
  </cols>
  <sheetData>
    <row r="1" spans="1:2">
      <c r="A1" s="1" t="s">
        <v>0</v>
      </c>
    </row>
    <row r="3" spans="1:2">
      <c r="A3" s="1" t="s">
        <v>1</v>
      </c>
      <c r="B3" s="4" t="s">
        <v>2</v>
      </c>
    </row>
    <row r="4" spans="1:2">
      <c r="B4" t="s">
        <v>3</v>
      </c>
    </row>
    <row r="5" spans="1:2">
      <c r="B5" s="5" t="s">
        <v>4</v>
      </c>
    </row>
    <row r="6" spans="1:2">
      <c r="B6" t="s">
        <v>5</v>
      </c>
    </row>
    <row r="7" spans="1:2">
      <c r="B7" s="6"/>
    </row>
    <row r="11" spans="1:2">
      <c r="A11" s="1" t="s">
        <v>6</v>
      </c>
    </row>
    <row r="12" spans="1:2">
      <c r="A12" t="s">
        <v>7</v>
      </c>
    </row>
    <row r="13" spans="1:2">
      <c r="A13" t="s">
        <v>8</v>
      </c>
    </row>
    <row r="15" spans="1:2">
      <c r="A15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5" workbookViewId="0">
      <selection activeCell="N1" sqref="N1"/>
    </sheetView>
  </sheetViews>
  <sheetFormatPr defaultColWidth="11.42578125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4B9B-AAE5-41B8-A6FE-9CA83ED3CBD8}">
  <dimension ref="B2:L28"/>
  <sheetViews>
    <sheetView topLeftCell="A8" workbookViewId="0">
      <selection activeCell="I30" sqref="I30"/>
    </sheetView>
  </sheetViews>
  <sheetFormatPr defaultRowHeight="15"/>
  <cols>
    <col min="3" max="3" width="69.28515625" bestFit="1" customWidth="1"/>
    <col min="8" max="8" width="17.7109375" bestFit="1" customWidth="1"/>
    <col min="9" max="9" width="23.7109375" bestFit="1" customWidth="1"/>
    <col min="10" max="10" width="14.85546875" bestFit="1" customWidth="1"/>
    <col min="11" max="11" width="7.42578125" bestFit="1" customWidth="1"/>
  </cols>
  <sheetData>
    <row r="2" spans="2:12">
      <c r="C2" t="s">
        <v>10</v>
      </c>
    </row>
    <row r="3" spans="2:12">
      <c r="C3" t="s">
        <v>11</v>
      </c>
    </row>
    <row r="7" spans="2:12">
      <c r="B7" t="s">
        <v>12</v>
      </c>
    </row>
    <row r="8" spans="2:12" ht="76.5">
      <c r="B8" t="s">
        <v>13</v>
      </c>
      <c r="C8" t="s">
        <v>14</v>
      </c>
      <c r="D8" s="14" t="s">
        <v>15</v>
      </c>
      <c r="E8" s="14" t="s">
        <v>16</v>
      </c>
      <c r="F8" t="s">
        <v>17</v>
      </c>
      <c r="G8" s="14" t="s">
        <v>18</v>
      </c>
      <c r="J8">
        <v>2060</v>
      </c>
    </row>
    <row r="9" spans="2:12" ht="60.75">
      <c r="H9" s="14" t="s">
        <v>19</v>
      </c>
      <c r="I9" s="14" t="s">
        <v>19</v>
      </c>
      <c r="J9" t="s">
        <v>20</v>
      </c>
      <c r="K9" t="s">
        <v>21</v>
      </c>
      <c r="L9" s="14" t="s">
        <v>19</v>
      </c>
    </row>
    <row r="10" spans="2:12">
      <c r="B10">
        <v>1</v>
      </c>
      <c r="C10" t="s">
        <v>22</v>
      </c>
      <c r="D10">
        <v>304</v>
      </c>
      <c r="E10">
        <v>213</v>
      </c>
      <c r="F10">
        <v>3</v>
      </c>
      <c r="G10">
        <v>943</v>
      </c>
      <c r="H10" s="15">
        <v>362889042.77999997</v>
      </c>
      <c r="I10" s="15">
        <v>725778085.54999995</v>
      </c>
      <c r="J10" s="15">
        <v>2693768.08</v>
      </c>
      <c r="K10" t="s">
        <v>23</v>
      </c>
      <c r="L10" s="15">
        <v>2540223299.4400001</v>
      </c>
    </row>
    <row r="11" spans="2:12">
      <c r="B11">
        <v>2</v>
      </c>
      <c r="C11" t="s">
        <v>24</v>
      </c>
      <c r="D11" s="15">
        <v>1542</v>
      </c>
      <c r="E11">
        <v>213</v>
      </c>
      <c r="F11">
        <v>5</v>
      </c>
      <c r="G11" s="15">
        <v>2607</v>
      </c>
      <c r="H11" s="15">
        <v>2681576504.9200001</v>
      </c>
      <c r="I11" s="15">
        <v>5363153009.8500004</v>
      </c>
      <c r="J11" s="15">
        <v>7200243.7800000003</v>
      </c>
      <c r="K11" t="s">
        <v>23</v>
      </c>
      <c r="L11" s="15">
        <v>18771035534.459999</v>
      </c>
    </row>
    <row r="12" spans="2:12">
      <c r="B12">
        <v>3</v>
      </c>
      <c r="C12" t="s">
        <v>25</v>
      </c>
      <c r="D12" s="15">
        <v>1048</v>
      </c>
      <c r="E12">
        <v>213</v>
      </c>
      <c r="F12">
        <v>5</v>
      </c>
      <c r="G12" s="15">
        <v>2113</v>
      </c>
      <c r="H12" s="15">
        <v>5253257103.3000002</v>
      </c>
      <c r="I12" s="15">
        <v>10506514206.59</v>
      </c>
      <c r="J12" s="15">
        <v>17403123.390000001</v>
      </c>
      <c r="K12" t="s">
        <v>23</v>
      </c>
      <c r="L12" s="15">
        <v>36772799723.07</v>
      </c>
    </row>
    <row r="13" spans="2:12">
      <c r="B13">
        <v>4</v>
      </c>
      <c r="C13" t="s">
        <v>26</v>
      </c>
      <c r="E13">
        <v>14.49</v>
      </c>
      <c r="F13">
        <v>35</v>
      </c>
      <c r="G13">
        <v>507.21</v>
      </c>
      <c r="H13" s="15">
        <v>12374814618.59</v>
      </c>
      <c r="I13" s="15">
        <v>12374814618.59</v>
      </c>
      <c r="J13" s="15">
        <v>24397601.129999999</v>
      </c>
      <c r="K13" t="s">
        <v>23</v>
      </c>
      <c r="L13" s="15">
        <v>12374814618.59</v>
      </c>
    </row>
    <row r="14" spans="2:12">
      <c r="B14">
        <v>5</v>
      </c>
      <c r="C14" t="s">
        <v>27</v>
      </c>
      <c r="E14">
        <v>460.01</v>
      </c>
      <c r="F14">
        <v>25</v>
      </c>
      <c r="G14" s="15">
        <v>11500.25</v>
      </c>
      <c r="H14" s="15">
        <v>13866015714.290001</v>
      </c>
      <c r="I14" s="15">
        <v>27732031428.57</v>
      </c>
      <c r="J14" s="15">
        <v>8440000</v>
      </c>
      <c r="K14" t="s">
        <v>23</v>
      </c>
      <c r="L14" s="15">
        <v>97062110000</v>
      </c>
    </row>
    <row r="15" spans="2:12">
      <c r="B15">
        <v>6</v>
      </c>
      <c r="C15" t="s">
        <v>28</v>
      </c>
      <c r="E15" s="15">
        <v>2448.35</v>
      </c>
      <c r="F15">
        <v>3</v>
      </c>
      <c r="G15" s="15">
        <v>7345.05</v>
      </c>
      <c r="H15" s="15">
        <v>3559312481.0500002</v>
      </c>
      <c r="I15" s="15">
        <v>7118624962.1000004</v>
      </c>
      <c r="J15" s="15">
        <v>3392105.89</v>
      </c>
      <c r="K15" t="s">
        <v>23</v>
      </c>
      <c r="L15" s="15">
        <v>24915187367.34</v>
      </c>
    </row>
    <row r="16" spans="2:12">
      <c r="B16">
        <v>7</v>
      </c>
      <c r="C16" t="s">
        <v>29</v>
      </c>
      <c r="E16" s="15">
        <v>2833.59</v>
      </c>
      <c r="F16">
        <v>3</v>
      </c>
      <c r="G16" s="15">
        <v>8500.77</v>
      </c>
      <c r="H16" s="15">
        <v>1619367150.9000001</v>
      </c>
      <c r="I16" s="15">
        <v>3238734301.79</v>
      </c>
      <c r="J16" s="15">
        <v>1333475.68</v>
      </c>
      <c r="K16" t="s">
        <v>23</v>
      </c>
      <c r="L16" s="15">
        <v>11335570056.27</v>
      </c>
    </row>
    <row r="17" spans="2:12">
      <c r="B17">
        <v>8</v>
      </c>
      <c r="C17" t="s">
        <v>30</v>
      </c>
      <c r="D17" s="15">
        <v>9236.49</v>
      </c>
      <c r="E17" s="15">
        <v>2349.84</v>
      </c>
      <c r="F17">
        <v>3</v>
      </c>
      <c r="G17" s="15">
        <v>16286</v>
      </c>
      <c r="H17" s="15">
        <v>3081345121.0999999</v>
      </c>
      <c r="I17" s="15">
        <v>6162690242.21</v>
      </c>
      <c r="J17" s="15">
        <v>1324414.58</v>
      </c>
      <c r="K17" t="s">
        <v>23</v>
      </c>
      <c r="L17" s="15">
        <v>21569415847.720001</v>
      </c>
    </row>
    <row r="18" spans="2:12">
      <c r="B18">
        <v>9</v>
      </c>
      <c r="C18" t="s">
        <v>31</v>
      </c>
      <c r="D18" s="15">
        <v>4193.09</v>
      </c>
      <c r="E18">
        <v>937.98</v>
      </c>
      <c r="F18">
        <v>4</v>
      </c>
      <c r="G18" s="15">
        <v>7945</v>
      </c>
      <c r="H18" s="15">
        <v>7410807710</v>
      </c>
      <c r="I18" s="15">
        <v>14821615420</v>
      </c>
      <c r="J18" s="15">
        <v>6529346</v>
      </c>
      <c r="K18" t="s">
        <v>23</v>
      </c>
      <c r="L18" s="15">
        <v>51875653970</v>
      </c>
    </row>
    <row r="19" spans="2:12">
      <c r="B19">
        <v>10</v>
      </c>
      <c r="C19" t="s">
        <v>32</v>
      </c>
      <c r="D19" s="15">
        <v>3128.67</v>
      </c>
      <c r="E19" s="15">
        <v>1199.28</v>
      </c>
      <c r="F19">
        <v>3</v>
      </c>
      <c r="G19" s="15">
        <v>6726.5</v>
      </c>
      <c r="H19" s="15">
        <v>8293774500</v>
      </c>
      <c r="I19" s="15">
        <v>16587549000</v>
      </c>
      <c r="J19" s="15">
        <v>8631000</v>
      </c>
      <c r="K19" t="s">
        <v>23</v>
      </c>
      <c r="L19" s="15">
        <v>58056421500</v>
      </c>
    </row>
    <row r="20" spans="2:12">
      <c r="B20">
        <v>11</v>
      </c>
      <c r="C20" t="s">
        <v>33</v>
      </c>
      <c r="D20" s="15">
        <v>3003.18</v>
      </c>
      <c r="E20">
        <v>671.8</v>
      </c>
      <c r="F20">
        <v>4</v>
      </c>
      <c r="G20" s="15">
        <v>5690.38</v>
      </c>
      <c r="H20" s="15">
        <v>3508119270</v>
      </c>
      <c r="I20" s="15">
        <v>7016238540</v>
      </c>
      <c r="J20" s="15">
        <v>4315500</v>
      </c>
      <c r="K20" t="s">
        <v>23</v>
      </c>
      <c r="L20" s="15">
        <v>24556834890</v>
      </c>
    </row>
    <row r="22" spans="2:12">
      <c r="H22" s="15">
        <v>3044465547.6999998</v>
      </c>
      <c r="I22" s="15">
        <v>6088931095.3999996</v>
      </c>
    </row>
    <row r="25" spans="2:12">
      <c r="G25" t="s">
        <v>34</v>
      </c>
      <c r="H25" t="s">
        <v>35</v>
      </c>
      <c r="I25" s="16" t="s">
        <v>36</v>
      </c>
      <c r="J25" s="17">
        <v>85660578.530000001</v>
      </c>
      <c r="K25" s="16" t="s">
        <v>23</v>
      </c>
    </row>
    <row r="26" spans="2:12">
      <c r="G26">
        <v>1964375</v>
      </c>
      <c r="H26">
        <v>100</v>
      </c>
      <c r="I26" t="s">
        <v>37</v>
      </c>
      <c r="J26" s="15">
        <v>196437500</v>
      </c>
    </row>
    <row r="28" spans="2:12">
      <c r="J28">
        <v>0.436070397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0"/>
  <sheetViews>
    <sheetView workbookViewId="0">
      <selection activeCell="E21" sqref="E21"/>
    </sheetView>
  </sheetViews>
  <sheetFormatPr defaultColWidth="11.42578125" defaultRowHeight="15"/>
  <cols>
    <col min="1" max="1" width="21" bestFit="1" customWidth="1"/>
    <col min="2" max="2" width="25.140625" bestFit="1" customWidth="1"/>
    <col min="3" max="3" width="13.85546875" customWidth="1"/>
    <col min="4" max="4" width="16.42578125" customWidth="1"/>
  </cols>
  <sheetData>
    <row r="2" spans="1:8" ht="29.25" customHeight="1">
      <c r="A2" s="12" t="s">
        <v>38</v>
      </c>
      <c r="B2" s="13"/>
      <c r="C2" s="11"/>
      <c r="D2">
        <f>'CatOnBLU ICM data'!J25/1000000</f>
        <v>85.660578529999995</v>
      </c>
    </row>
    <row r="3" spans="1:8">
      <c r="A3" s="10" t="s">
        <v>39</v>
      </c>
      <c r="B3" s="10" t="s">
        <v>40</v>
      </c>
      <c r="C3" s="10">
        <v>2030</v>
      </c>
      <c r="D3" s="1" t="s">
        <v>41</v>
      </c>
    </row>
    <row r="4" spans="1:8">
      <c r="A4" s="8" t="s">
        <v>42</v>
      </c>
      <c r="B4" s="8" t="s">
        <v>43</v>
      </c>
      <c r="C4" s="8">
        <v>6</v>
      </c>
      <c r="D4" s="15">
        <f>'CatOnBLU ICM data'!J13/1000000</f>
        <v>24.397601129999998</v>
      </c>
    </row>
    <row r="5" spans="1:8">
      <c r="A5" s="8" t="s">
        <v>44</v>
      </c>
      <c r="B5" s="8" t="s">
        <v>45</v>
      </c>
      <c r="C5" s="8">
        <v>4.2</v>
      </c>
      <c r="D5">
        <f>('CatOnBLU ICM data'!J10+'CatOnBLU ICM data'!J11+'CatOnBLU ICM data'!J12)/1000000</f>
        <v>27.29713525</v>
      </c>
    </row>
    <row r="6" spans="1:8">
      <c r="A6" s="8" t="s">
        <v>46</v>
      </c>
      <c r="B6" s="8" t="s">
        <v>47</v>
      </c>
      <c r="C6" s="8">
        <v>18.7</v>
      </c>
      <c r="D6" s="15">
        <f>'CatOnBLU ICM data'!J14/1000000</f>
        <v>8.44</v>
      </c>
    </row>
    <row r="7" spans="1:8">
      <c r="A7" s="8" t="s">
        <v>46</v>
      </c>
      <c r="B7" s="8" t="s">
        <v>48</v>
      </c>
      <c r="C7" s="8">
        <v>1.9</v>
      </c>
      <c r="D7">
        <f>SUM('CatOnBLU ICM data'!J15:J20)/1000000</f>
        <v>25.525842149999999</v>
      </c>
      <c r="F7" s="10" t="s">
        <v>49</v>
      </c>
      <c r="G7" s="10"/>
    </row>
    <row r="8" spans="1:8">
      <c r="F8" s="8" t="s">
        <v>50</v>
      </c>
      <c r="G8" s="8">
        <v>2.4700000000000002</v>
      </c>
      <c r="H8" t="s">
        <v>51</v>
      </c>
    </row>
    <row r="10" spans="1:8">
      <c r="A10" s="12" t="s">
        <v>52</v>
      </c>
      <c r="B10" s="13"/>
      <c r="C10" s="11"/>
    </row>
    <row r="11" spans="1:8">
      <c r="A11" s="10" t="s">
        <v>39</v>
      </c>
      <c r="B11" s="10" t="s">
        <v>40</v>
      </c>
      <c r="C11" s="10">
        <v>2030</v>
      </c>
      <c r="D11" s="1" t="s">
        <v>41</v>
      </c>
    </row>
    <row r="12" spans="1:8">
      <c r="A12" s="8" t="s">
        <v>42</v>
      </c>
      <c r="B12" s="8" t="s">
        <v>43</v>
      </c>
      <c r="C12" s="20">
        <f>C4*$G$8*1000000</f>
        <v>14820000</v>
      </c>
      <c r="D12" s="20">
        <f>D4*$G$8*1000000</f>
        <v>60262074.791099995</v>
      </c>
    </row>
    <row r="13" spans="1:8">
      <c r="A13" s="8" t="s">
        <v>44</v>
      </c>
      <c r="B13" s="8" t="s">
        <v>45</v>
      </c>
      <c r="C13" s="20">
        <f>C5*$G$8*1000000</f>
        <v>10374000</v>
      </c>
      <c r="D13" s="20">
        <f>D5*$G$8*1000000</f>
        <v>67423924.06750001</v>
      </c>
    </row>
    <row r="14" spans="1:8">
      <c r="A14" s="8" t="s">
        <v>46</v>
      </c>
      <c r="B14" s="8" t="s">
        <v>47</v>
      </c>
      <c r="C14" s="20">
        <f>C6*$G$8*1000000</f>
        <v>46189000</v>
      </c>
      <c r="D14" s="20">
        <f>D6*$G$8*1000000</f>
        <v>20846800</v>
      </c>
    </row>
    <row r="15" spans="1:8">
      <c r="A15" s="8" t="s">
        <v>46</v>
      </c>
      <c r="B15" s="8" t="s">
        <v>48</v>
      </c>
      <c r="C15" s="20">
        <f>C7*$G$8*1000000</f>
        <v>4693000.0000000009</v>
      </c>
      <c r="D15" s="20">
        <f>D7*$G$8*1000000</f>
        <v>63048830.1105</v>
      </c>
    </row>
    <row r="17" spans="4:6">
      <c r="D17" s="16" t="s">
        <v>53</v>
      </c>
    </row>
    <row r="19" spans="4:6">
      <c r="D19" s="2" t="s">
        <v>54</v>
      </c>
      <c r="E19" s="8">
        <v>20</v>
      </c>
      <c r="F19" s="9" t="s">
        <v>55</v>
      </c>
    </row>
    <row r="20" spans="4:6">
      <c r="D20" s="2" t="s">
        <v>54</v>
      </c>
      <c r="E20" s="8">
        <v>20</v>
      </c>
      <c r="F20" s="9" t="s">
        <v>55</v>
      </c>
    </row>
  </sheetData>
  <mergeCells count="2">
    <mergeCell ref="A2:B2"/>
    <mergeCell ref="A10:B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D11"/>
  <sheetViews>
    <sheetView topLeftCell="E1" workbookViewId="0">
      <selection activeCell="Z4" sqref="Z4"/>
    </sheetView>
  </sheetViews>
  <sheetFormatPr defaultColWidth="9.140625" defaultRowHeight="15"/>
  <cols>
    <col min="1" max="1" width="29.28515625" customWidth="1"/>
    <col min="2" max="2" width="10.85546875" customWidth="1"/>
  </cols>
  <sheetData>
    <row r="1" spans="1:56">
      <c r="B1" s="2">
        <v>2016</v>
      </c>
      <c r="C1">
        <v>2017</v>
      </c>
      <c r="D1" s="2">
        <v>2018</v>
      </c>
      <c r="E1">
        <v>2019</v>
      </c>
      <c r="F1" s="2">
        <v>2020</v>
      </c>
      <c r="G1">
        <v>2021</v>
      </c>
      <c r="H1" s="2">
        <v>2022</v>
      </c>
      <c r="I1">
        <v>2023</v>
      </c>
      <c r="J1" s="2">
        <v>2024</v>
      </c>
      <c r="K1">
        <v>2025</v>
      </c>
      <c r="L1" s="2">
        <v>2026</v>
      </c>
      <c r="M1">
        <v>2027</v>
      </c>
      <c r="N1" s="2">
        <v>2028</v>
      </c>
      <c r="O1">
        <v>2029</v>
      </c>
      <c r="P1" s="2">
        <v>2030</v>
      </c>
      <c r="Q1">
        <v>2031</v>
      </c>
      <c r="R1" s="2">
        <v>2032</v>
      </c>
      <c r="S1">
        <v>2033</v>
      </c>
      <c r="T1" s="2">
        <v>2034</v>
      </c>
      <c r="U1">
        <v>2035</v>
      </c>
      <c r="V1" s="2">
        <v>2036</v>
      </c>
      <c r="W1">
        <v>2037</v>
      </c>
      <c r="X1" s="2">
        <v>2038</v>
      </c>
      <c r="Y1">
        <v>2039</v>
      </c>
      <c r="Z1" s="2">
        <v>2040</v>
      </c>
      <c r="AA1">
        <v>2041</v>
      </c>
      <c r="AB1" s="2">
        <v>2042</v>
      </c>
      <c r="AC1">
        <v>2043</v>
      </c>
      <c r="AD1" s="2">
        <v>2044</v>
      </c>
      <c r="AE1">
        <v>2045</v>
      </c>
      <c r="AF1" s="2">
        <v>2046</v>
      </c>
      <c r="AG1">
        <v>2047</v>
      </c>
      <c r="AH1" s="2">
        <v>2048</v>
      </c>
      <c r="AI1">
        <v>2049</v>
      </c>
      <c r="AJ1" s="2">
        <v>2050</v>
      </c>
      <c r="AK1">
        <v>2051</v>
      </c>
      <c r="AL1" s="2">
        <v>2052</v>
      </c>
      <c r="AM1">
        <v>2053</v>
      </c>
      <c r="AN1" s="2">
        <v>2054</v>
      </c>
      <c r="AO1">
        <v>2055</v>
      </c>
      <c r="AP1" s="2">
        <v>2056</v>
      </c>
      <c r="AQ1">
        <v>2057</v>
      </c>
      <c r="AR1" s="2">
        <v>2058</v>
      </c>
      <c r="AS1">
        <v>2059</v>
      </c>
      <c r="AT1" s="2">
        <v>2060</v>
      </c>
      <c r="AU1">
        <v>2061</v>
      </c>
      <c r="AV1" s="2">
        <v>2062</v>
      </c>
      <c r="AW1">
        <v>2063</v>
      </c>
      <c r="AX1" s="2">
        <v>2064</v>
      </c>
      <c r="AY1">
        <v>2065</v>
      </c>
      <c r="AZ1" s="2">
        <v>2066</v>
      </c>
      <c r="BA1">
        <v>2067</v>
      </c>
      <c r="BB1" s="2">
        <v>2068</v>
      </c>
      <c r="BC1">
        <v>2069</v>
      </c>
      <c r="BD1" s="2">
        <v>2070</v>
      </c>
    </row>
    <row r="2" spans="1:56">
      <c r="A2" t="s">
        <v>56</v>
      </c>
      <c r="B2" s="3">
        <f>'Calculations &amp; Conversions'!$C12/'Calculations &amp; Conversions'!$E$19</f>
        <v>741000</v>
      </c>
      <c r="C2" s="3">
        <f>'Calculations &amp; Conversions'!$C12/'Calculations &amp; Conversions'!$E$19</f>
        <v>741000</v>
      </c>
      <c r="D2" s="3">
        <f>'Calculations &amp; Conversions'!$C12/'Calculations &amp; Conversions'!$E$19</f>
        <v>741000</v>
      </c>
      <c r="E2" s="3">
        <f>'Calculations &amp; Conversions'!$C12/'Calculations &amp; Conversions'!$E$19</f>
        <v>741000</v>
      </c>
      <c r="F2" s="3">
        <f>'Calculations &amp; Conversions'!$C12/'Calculations &amp; Conversions'!$E$19</f>
        <v>741000</v>
      </c>
      <c r="G2" s="3">
        <f>'Calculations &amp; Conversions'!$C12/'Calculations &amp; Conversions'!$E$19</f>
        <v>741000</v>
      </c>
      <c r="H2" s="3">
        <f>'Calculations &amp; Conversions'!$C12/'Calculations &amp; Conversions'!$E$19</f>
        <v>741000</v>
      </c>
      <c r="I2" s="3">
        <f>'Calculations &amp; Conversions'!$C12/'Calculations &amp; Conversions'!$E$19</f>
        <v>741000</v>
      </c>
      <c r="J2" s="3">
        <f>'Calculations &amp; Conversions'!$C12/'Calculations &amp; Conversions'!$E$19</f>
        <v>741000</v>
      </c>
      <c r="K2" s="3">
        <f>'Calculations &amp; Conversions'!$C12/'Calculations &amp; Conversions'!$E$19</f>
        <v>741000</v>
      </c>
      <c r="L2" s="3">
        <f>'Calculations &amp; Conversions'!$C12/'Calculations &amp; Conversions'!$E$19</f>
        <v>741000</v>
      </c>
      <c r="M2" s="3">
        <f>'Calculations &amp; Conversions'!$C12/'Calculations &amp; Conversions'!$E$19</f>
        <v>741000</v>
      </c>
      <c r="N2" s="3">
        <f>'Calculations &amp; Conversions'!$C12/'Calculations &amp; Conversions'!$E$19</f>
        <v>741000</v>
      </c>
      <c r="O2" s="3">
        <f>'Calculations &amp; Conversions'!$C12/'Calculations &amp; Conversions'!$E$19</f>
        <v>741000</v>
      </c>
      <c r="P2" s="3">
        <f>'Calculations &amp; Conversions'!$C12/'Calculations &amp; Conversions'!$E$19</f>
        <v>741000</v>
      </c>
      <c r="Q2" s="18">
        <f>(Z2-P2)/(Z$1-P$1)*(Q$1-$P$1)+$P2</f>
        <v>741000</v>
      </c>
      <c r="R2" s="18">
        <f t="shared" ref="R2:Y2" si="0">(AA2-Q2)/(AA$1-Q$1)*(R$1-$P$1)+$P2</f>
        <v>741000</v>
      </c>
      <c r="S2" s="18">
        <f t="shared" si="0"/>
        <v>741000</v>
      </c>
      <c r="T2" s="18">
        <f t="shared" si="0"/>
        <v>741000</v>
      </c>
      <c r="U2" s="18">
        <f t="shared" si="0"/>
        <v>741000</v>
      </c>
      <c r="V2" s="18">
        <f t="shared" si="0"/>
        <v>741000</v>
      </c>
      <c r="W2" s="18">
        <f t="shared" si="0"/>
        <v>741000</v>
      </c>
      <c r="X2" s="18">
        <f t="shared" si="0"/>
        <v>741000</v>
      </c>
      <c r="Y2" s="18">
        <f t="shared" si="0"/>
        <v>741000</v>
      </c>
      <c r="Z2" s="19">
        <f>'Calculations &amp; Conversions'!$C$12/'Calculations &amp; Conversions'!$E$20</f>
        <v>741000</v>
      </c>
      <c r="AA2" s="19">
        <f>'Calculations &amp; Conversions'!$C$12/'Calculations &amp; Conversions'!$E$20</f>
        <v>741000</v>
      </c>
      <c r="AB2" s="19">
        <f>'Calculations &amp; Conversions'!$C$12/'Calculations &amp; Conversions'!$E$20</f>
        <v>741000</v>
      </c>
      <c r="AC2" s="19">
        <f>'Calculations &amp; Conversions'!$C$12/'Calculations &amp; Conversions'!$E$20</f>
        <v>741000</v>
      </c>
      <c r="AD2" s="19">
        <f>'Calculations &amp; Conversions'!$C$12/'Calculations &amp; Conversions'!$E$20</f>
        <v>741000</v>
      </c>
      <c r="AE2" s="19">
        <f>'Calculations &amp; Conversions'!$C$12/'Calculations &amp; Conversions'!$E$20</f>
        <v>741000</v>
      </c>
      <c r="AF2" s="19">
        <f>'Calculations &amp; Conversions'!$C$12/'Calculations &amp; Conversions'!$E$20</f>
        <v>741000</v>
      </c>
      <c r="AG2" s="19">
        <f>'Calculations &amp; Conversions'!$C$12/'Calculations &amp; Conversions'!$E$20</f>
        <v>741000</v>
      </c>
      <c r="AH2" s="19">
        <f>'Calculations &amp; Conversions'!$C$12/'Calculations &amp; Conversions'!$E$20</f>
        <v>741000</v>
      </c>
      <c r="AI2" s="19">
        <f>'Calculations &amp; Conversions'!$C$12/'Calculations &amp; Conversions'!$E$20</f>
        <v>741000</v>
      </c>
      <c r="AJ2" s="19">
        <f>'Calculations &amp; Conversions'!$C$12/'Calculations &amp; Conversions'!$E$20</f>
        <v>741000</v>
      </c>
      <c r="AK2" s="19">
        <f>'Calculations &amp; Conversions'!$C$12/'Calculations &amp; Conversions'!$E$20</f>
        <v>741000</v>
      </c>
      <c r="AL2" s="19">
        <f>'Calculations &amp; Conversions'!$C$12/'Calculations &amp; Conversions'!$E$20</f>
        <v>741000</v>
      </c>
      <c r="AM2" s="19">
        <f>'Calculations &amp; Conversions'!$C$12/'Calculations &amp; Conversions'!$E$20</f>
        <v>741000</v>
      </c>
      <c r="AN2" s="19">
        <f>'Calculations &amp; Conversions'!$C$12/'Calculations &amp; Conversions'!$E$20</f>
        <v>741000</v>
      </c>
      <c r="AO2" s="19">
        <f>'Calculations &amp; Conversions'!$C$12/'Calculations &amp; Conversions'!$E$20</f>
        <v>741000</v>
      </c>
      <c r="AP2" s="19">
        <f>'Calculations &amp; Conversions'!$C$12/'Calculations &amp; Conversions'!$E$20</f>
        <v>741000</v>
      </c>
      <c r="AQ2" s="19">
        <f>'Calculations &amp; Conversions'!$C$12/'Calculations &amp; Conversions'!$E$20</f>
        <v>741000</v>
      </c>
      <c r="AR2" s="19">
        <f>'Calculations &amp; Conversions'!$C$12/'Calculations &amp; Conversions'!$E$20</f>
        <v>741000</v>
      </c>
      <c r="AS2" s="19">
        <f>'Calculations &amp; Conversions'!$C$12/'Calculations &amp; Conversions'!$E$20</f>
        <v>741000</v>
      </c>
      <c r="AT2" s="19">
        <f>'Calculations &amp; Conversions'!$C$12/'Calculations &amp; Conversions'!$E$20</f>
        <v>741000</v>
      </c>
      <c r="AU2" s="19">
        <f>'Calculations &amp; Conversions'!$C$12/'Calculations &amp; Conversions'!$E$20</f>
        <v>741000</v>
      </c>
      <c r="AV2" s="19">
        <f>'Calculations &amp; Conversions'!$C$12/'Calculations &amp; Conversions'!$E$20</f>
        <v>741000</v>
      </c>
      <c r="AW2" s="19">
        <f>'Calculations &amp; Conversions'!$C$12/'Calculations &amp; Conversions'!$E$20</f>
        <v>741000</v>
      </c>
      <c r="AX2" s="19">
        <f>'Calculations &amp; Conversions'!$C$12/'Calculations &amp; Conversions'!$E$20</f>
        <v>741000</v>
      </c>
      <c r="AY2" s="19">
        <f>'Calculations &amp; Conversions'!$C$12/'Calculations &amp; Conversions'!$E$20</f>
        <v>741000</v>
      </c>
      <c r="AZ2" s="19">
        <f>'Calculations &amp; Conversions'!$C$12/'Calculations &amp; Conversions'!$E$20</f>
        <v>741000</v>
      </c>
      <c r="BA2" s="19">
        <f>'Calculations &amp; Conversions'!$C$12/'Calculations &amp; Conversions'!$E$20</f>
        <v>741000</v>
      </c>
      <c r="BB2" s="19">
        <f>'Calculations &amp; Conversions'!$C$12/'Calculations &amp; Conversions'!$E$20</f>
        <v>741000</v>
      </c>
      <c r="BC2" s="19">
        <f>'Calculations &amp; Conversions'!$C$12/'Calculations &amp; Conversions'!$E$20</f>
        <v>741000</v>
      </c>
      <c r="BD2" s="19">
        <f>'Calculations &amp; Conversions'!$C$12/'Calculations &amp; Conversions'!$E$20</f>
        <v>741000</v>
      </c>
    </row>
    <row r="3" spans="1:56">
      <c r="A3" t="s">
        <v>57</v>
      </c>
      <c r="B3" s="3">
        <f>'Calculations &amp; Conversions'!$C13/'Calculations &amp; Conversions'!$E$19</f>
        <v>518700</v>
      </c>
      <c r="C3" s="3">
        <f>'Calculations &amp; Conversions'!$C13/'Calculations &amp; Conversions'!$E$19</f>
        <v>518700</v>
      </c>
      <c r="D3" s="3">
        <f>'Calculations &amp; Conversions'!$C13/'Calculations &amp; Conversions'!$E$19</f>
        <v>518700</v>
      </c>
      <c r="E3" s="3">
        <f>'Calculations &amp; Conversions'!$C13/'Calculations &amp; Conversions'!$E$19</f>
        <v>518700</v>
      </c>
      <c r="F3" s="3">
        <f>'Calculations &amp; Conversions'!$C13/'Calculations &amp; Conversions'!$E$19</f>
        <v>518700</v>
      </c>
      <c r="G3" s="3">
        <f>'Calculations &amp; Conversions'!$C13/'Calculations &amp; Conversions'!$E$19</f>
        <v>518700</v>
      </c>
      <c r="H3" s="3">
        <f>'Calculations &amp; Conversions'!$C13/'Calculations &amp; Conversions'!$E$19</f>
        <v>518700</v>
      </c>
      <c r="I3" s="3">
        <f>'Calculations &amp; Conversions'!$C13/'Calculations &amp; Conversions'!$E$19</f>
        <v>518700</v>
      </c>
      <c r="J3" s="3">
        <f>'Calculations &amp; Conversions'!$C13/'Calculations &amp; Conversions'!$E$19</f>
        <v>518700</v>
      </c>
      <c r="K3" s="3">
        <f>'Calculations &amp; Conversions'!$C13/'Calculations &amp; Conversions'!$E$19</f>
        <v>518700</v>
      </c>
      <c r="L3" s="3">
        <f>'Calculations &amp; Conversions'!$C13/'Calculations &amp; Conversions'!$E$19</f>
        <v>518700</v>
      </c>
      <c r="M3" s="3">
        <f>'Calculations &amp; Conversions'!$C13/'Calculations &amp; Conversions'!$E$19</f>
        <v>518700</v>
      </c>
      <c r="N3" s="3">
        <f>'Calculations &amp; Conversions'!$C13/'Calculations &amp; Conversions'!$E$19</f>
        <v>518700</v>
      </c>
      <c r="O3" s="3">
        <f>'Calculations &amp; Conversions'!$C13/'Calculations &amp; Conversions'!$E$19</f>
        <v>518700</v>
      </c>
      <c r="P3" s="3">
        <f>'Calculations &amp; Conversions'!$C13/'Calculations &amp; Conversions'!$E$19</f>
        <v>518700</v>
      </c>
      <c r="Q3" s="18">
        <f>(Z3-P3)/(Z$1-P$1)*(Q$1-$P$1)+$P3</f>
        <v>518700</v>
      </c>
      <c r="R3" s="18">
        <f t="shared" ref="R3:R7" si="1">(AA3-Q3)/(AA$1-Q$1)*(R$1-$P$1)+$P3</f>
        <v>518700</v>
      </c>
      <c r="S3" s="18">
        <f t="shared" ref="S3:S7" si="2">(AB3-R3)/(AB$1-R$1)*(S$1-$P$1)+$P3</f>
        <v>518700</v>
      </c>
      <c r="T3" s="18">
        <f t="shared" ref="T3:T7" si="3">(AC3-S3)/(AC$1-S$1)*(T$1-$P$1)+$P3</f>
        <v>518700</v>
      </c>
      <c r="U3" s="18">
        <f t="shared" ref="U3:U7" si="4">(AD3-T3)/(AD$1-T$1)*(U$1-$P$1)+$P3</f>
        <v>518700</v>
      </c>
      <c r="V3" s="18">
        <f t="shared" ref="V3:V7" si="5">(AE3-U3)/(AE$1-U$1)*(V$1-$P$1)+$P3</f>
        <v>518700</v>
      </c>
      <c r="W3" s="18">
        <f t="shared" ref="W3:W7" si="6">(AF3-V3)/(AF$1-V$1)*(W$1-$P$1)+$P3</f>
        <v>518700</v>
      </c>
      <c r="X3" s="18">
        <f t="shared" ref="X3:X7" si="7">(AG3-W3)/(AG$1-W$1)*(X$1-$P$1)+$P3</f>
        <v>518700</v>
      </c>
      <c r="Y3" s="18">
        <f t="shared" ref="Y3:Y7" si="8">(AH3-X3)/(AH$1-X$1)*(Y$1-$P$1)+$P3</f>
        <v>518700</v>
      </c>
      <c r="Z3" s="19">
        <f>'Calculations &amp; Conversions'!$C$13/'Calculations &amp; Conversions'!$E$20</f>
        <v>518700</v>
      </c>
      <c r="AA3" s="19">
        <f>'Calculations &amp; Conversions'!$C$13/'Calculations &amp; Conversions'!$E$20</f>
        <v>518700</v>
      </c>
      <c r="AB3" s="19">
        <f>'Calculations &amp; Conversions'!$C$13/'Calculations &amp; Conversions'!$E$20</f>
        <v>518700</v>
      </c>
      <c r="AC3" s="19">
        <f>'Calculations &amp; Conversions'!$C$13/'Calculations &amp; Conversions'!$E$20</f>
        <v>518700</v>
      </c>
      <c r="AD3" s="19">
        <f>'Calculations &amp; Conversions'!$C$13/'Calculations &amp; Conversions'!$E$20</f>
        <v>518700</v>
      </c>
      <c r="AE3" s="19">
        <f>'Calculations &amp; Conversions'!$C$13/'Calculations &amp; Conversions'!$E$20</f>
        <v>518700</v>
      </c>
      <c r="AF3" s="19">
        <f>'Calculations &amp; Conversions'!$C$13/'Calculations &amp; Conversions'!$E$20</f>
        <v>518700</v>
      </c>
      <c r="AG3" s="19">
        <f>'Calculations &amp; Conversions'!$C$13/'Calculations &amp; Conversions'!$E$20</f>
        <v>518700</v>
      </c>
      <c r="AH3" s="19">
        <f>'Calculations &amp; Conversions'!$C$13/'Calculations &amp; Conversions'!$E$20</f>
        <v>518700</v>
      </c>
      <c r="AI3" s="19">
        <f>'Calculations &amp; Conversions'!$C$13/'Calculations &amp; Conversions'!$E$20</f>
        <v>518700</v>
      </c>
      <c r="AJ3" s="19">
        <f>'Calculations &amp; Conversions'!$C$13/'Calculations &amp; Conversions'!$E$20</f>
        <v>518700</v>
      </c>
      <c r="AK3" s="19">
        <f>'Calculations &amp; Conversions'!$C$13/'Calculations &amp; Conversions'!$E$20</f>
        <v>518700</v>
      </c>
      <c r="AL3" s="19">
        <f>'Calculations &amp; Conversions'!$C$13/'Calculations &amp; Conversions'!$E$20</f>
        <v>518700</v>
      </c>
      <c r="AM3" s="19">
        <f>'Calculations &amp; Conversions'!$C$13/'Calculations &amp; Conversions'!$E$20</f>
        <v>518700</v>
      </c>
      <c r="AN3" s="19">
        <f>'Calculations &amp; Conversions'!$C$13/'Calculations &amp; Conversions'!$E$20</f>
        <v>518700</v>
      </c>
      <c r="AO3" s="19">
        <f>'Calculations &amp; Conversions'!$C$13/'Calculations &amp; Conversions'!$E$20</f>
        <v>518700</v>
      </c>
      <c r="AP3" s="19">
        <f>'Calculations &amp; Conversions'!$C$13/'Calculations &amp; Conversions'!$E$20</f>
        <v>518700</v>
      </c>
      <c r="AQ3" s="19">
        <f>'Calculations &amp; Conversions'!$C$13/'Calculations &amp; Conversions'!$E$20</f>
        <v>518700</v>
      </c>
      <c r="AR3" s="19">
        <f>'Calculations &amp; Conversions'!$C$13/'Calculations &amp; Conversions'!$E$20</f>
        <v>518700</v>
      </c>
      <c r="AS3" s="19">
        <f>'Calculations &amp; Conversions'!$C$13/'Calculations &amp; Conversions'!$E$20</f>
        <v>518700</v>
      </c>
      <c r="AT3" s="19">
        <f>'Calculations &amp; Conversions'!$C$13/'Calculations &amp; Conversions'!$E$20</f>
        <v>518700</v>
      </c>
      <c r="AU3" s="19">
        <f>'Calculations &amp; Conversions'!$C$13/'Calculations &amp; Conversions'!$E$20</f>
        <v>518700</v>
      </c>
      <c r="AV3" s="19">
        <f>'Calculations &amp; Conversions'!$C$13/'Calculations &amp; Conversions'!$E$20</f>
        <v>518700</v>
      </c>
      <c r="AW3" s="19">
        <f>'Calculations &amp; Conversions'!$C$13/'Calculations &amp; Conversions'!$E$20</f>
        <v>518700</v>
      </c>
      <c r="AX3" s="19">
        <f>'Calculations &amp; Conversions'!$C$13/'Calculations &amp; Conversions'!$E$20</f>
        <v>518700</v>
      </c>
      <c r="AY3" s="19">
        <f>'Calculations &amp; Conversions'!$C$13/'Calculations &amp; Conversions'!$E$20</f>
        <v>518700</v>
      </c>
      <c r="AZ3" s="19">
        <f>'Calculations &amp; Conversions'!$C$13/'Calculations &amp; Conversions'!$E$20</f>
        <v>518700</v>
      </c>
      <c r="BA3" s="19">
        <f>'Calculations &amp; Conversions'!$C$13/'Calculations &amp; Conversions'!$E$20</f>
        <v>518700</v>
      </c>
      <c r="BB3" s="19">
        <f>'Calculations &amp; Conversions'!$C$13/'Calculations &amp; Conversions'!$E$20</f>
        <v>518700</v>
      </c>
      <c r="BC3" s="19">
        <f>'Calculations &amp; Conversions'!$C$13/'Calculations &amp; Conversions'!$E$20</f>
        <v>518700</v>
      </c>
      <c r="BD3" s="19">
        <f>'Calculations &amp; Conversions'!$C$13/'Calculations &amp; Conversions'!$E$20</f>
        <v>518700</v>
      </c>
    </row>
    <row r="4" spans="1:56">
      <c r="A4" t="s">
        <v>58</v>
      </c>
      <c r="B4" s="3">
        <f>'Calculations &amp; Conversions'!$C14/'Calculations &amp; Conversions'!$E$19</f>
        <v>2309450</v>
      </c>
      <c r="C4" s="3">
        <f>'Calculations &amp; Conversions'!$C14/'Calculations &amp; Conversions'!$E$19</f>
        <v>2309450</v>
      </c>
      <c r="D4" s="3">
        <f>'Calculations &amp; Conversions'!$C14/'Calculations &amp; Conversions'!$E$19</f>
        <v>2309450</v>
      </c>
      <c r="E4" s="3">
        <f>'Calculations &amp; Conversions'!$C14/'Calculations &amp; Conversions'!$E$19</f>
        <v>2309450</v>
      </c>
      <c r="F4" s="3">
        <f>'Calculations &amp; Conversions'!$C14/'Calculations &amp; Conversions'!$E$19</f>
        <v>2309450</v>
      </c>
      <c r="G4" s="3">
        <f>'Calculations &amp; Conversions'!$C14/'Calculations &amp; Conversions'!$E$19</f>
        <v>2309450</v>
      </c>
      <c r="H4" s="3">
        <f>'Calculations &amp; Conversions'!$C14/'Calculations &amp; Conversions'!$E$19</f>
        <v>2309450</v>
      </c>
      <c r="I4" s="3">
        <f>'Calculations &amp; Conversions'!$C14/'Calculations &amp; Conversions'!$E$19</f>
        <v>2309450</v>
      </c>
      <c r="J4" s="3">
        <f>'Calculations &amp; Conversions'!$C14/'Calculations &amp; Conversions'!$E$19</f>
        <v>2309450</v>
      </c>
      <c r="K4" s="3">
        <f>'Calculations &amp; Conversions'!$C14/'Calculations &amp; Conversions'!$E$19</f>
        <v>2309450</v>
      </c>
      <c r="L4" s="3">
        <f>'Calculations &amp; Conversions'!$C14/'Calculations &amp; Conversions'!$E$19</f>
        <v>2309450</v>
      </c>
      <c r="M4" s="3">
        <f>'Calculations &amp; Conversions'!$C14/'Calculations &amp; Conversions'!$E$19</f>
        <v>2309450</v>
      </c>
      <c r="N4" s="3">
        <f>'Calculations &amp; Conversions'!$C14/'Calculations &amp; Conversions'!$E$19</f>
        <v>2309450</v>
      </c>
      <c r="O4" s="3">
        <f>'Calculations &amp; Conversions'!$C14/'Calculations &amp; Conversions'!$E$19</f>
        <v>2309450</v>
      </c>
      <c r="P4" s="3">
        <f>'Calculations &amp; Conversions'!$C14/'Calculations &amp; Conversions'!$E$19</f>
        <v>2309450</v>
      </c>
      <c r="Q4" s="18">
        <f t="shared" ref="Q3:Q7" si="9">(Z4-P4)/(Z$1-P$1)*(Q$1-$P$1)+$P4</f>
        <v>2332915</v>
      </c>
      <c r="R4" s="18">
        <f t="shared" si="1"/>
        <v>2351687</v>
      </c>
      <c r="S4" s="18">
        <f t="shared" si="2"/>
        <v>2367173.9</v>
      </c>
      <c r="T4" s="18">
        <f t="shared" si="3"/>
        <v>2380220.44</v>
      </c>
      <c r="U4" s="18">
        <f t="shared" si="4"/>
        <v>2391389.7800000003</v>
      </c>
      <c r="V4" s="18">
        <f t="shared" si="5"/>
        <v>2401076.1319999998</v>
      </c>
      <c r="W4" s="18">
        <f t="shared" si="6"/>
        <v>2409566.7076000003</v>
      </c>
      <c r="X4" s="18">
        <f t="shared" si="7"/>
        <v>2417076.6339199999</v>
      </c>
      <c r="Y4" s="18">
        <f t="shared" si="8"/>
        <v>2423771.029472</v>
      </c>
      <c r="Z4" s="19">
        <f>('Calculations &amp; Conversions'!$C$14+'Calculations &amp; Conversions'!$C$15)/'Calculations &amp; Conversions'!$E$20</f>
        <v>2544100</v>
      </c>
      <c r="AA4" s="19">
        <f>('Calculations &amp; Conversions'!$C$14+'Calculations &amp; Conversions'!$C$15)/'Calculations &amp; Conversions'!$E$20</f>
        <v>2544100</v>
      </c>
      <c r="AB4" s="19">
        <f>('Calculations &amp; Conversions'!$C$14+'Calculations &amp; Conversions'!$C$15)/'Calculations &amp; Conversions'!$E$20</f>
        <v>2544100</v>
      </c>
      <c r="AC4" s="19">
        <f>('Calculations &amp; Conversions'!$C$14+'Calculations &amp; Conversions'!$C$15)/'Calculations &amp; Conversions'!$E$20</f>
        <v>2544100</v>
      </c>
      <c r="AD4" s="19">
        <f>('Calculations &amp; Conversions'!$C$14+'Calculations &amp; Conversions'!$C$15)/'Calculations &amp; Conversions'!$E$20</f>
        <v>2544100</v>
      </c>
      <c r="AE4" s="19">
        <f>('Calculations &amp; Conversions'!$C$14+'Calculations &amp; Conversions'!$C$15)/'Calculations &amp; Conversions'!$E$20</f>
        <v>2544100</v>
      </c>
      <c r="AF4" s="19">
        <f>('Calculations &amp; Conversions'!$C$14+'Calculations &amp; Conversions'!$C$15)/'Calculations &amp; Conversions'!$E$20</f>
        <v>2544100</v>
      </c>
      <c r="AG4" s="19">
        <f>('Calculations &amp; Conversions'!$C$14+'Calculations &amp; Conversions'!$C$15)/'Calculations &amp; Conversions'!$E$20</f>
        <v>2544100</v>
      </c>
      <c r="AH4" s="19">
        <f>('Calculations &amp; Conversions'!$C$14+'Calculations &amp; Conversions'!$C$15)/'Calculations &amp; Conversions'!$E$20</f>
        <v>2544100</v>
      </c>
      <c r="AI4" s="19">
        <f>('Calculations &amp; Conversions'!$C$14+'Calculations &amp; Conversions'!$C$15)/'Calculations &amp; Conversions'!$E$20</f>
        <v>2544100</v>
      </c>
      <c r="AJ4" s="19">
        <f>('Calculations &amp; Conversions'!$C$14+'Calculations &amp; Conversions'!$C$15)/'Calculations &amp; Conversions'!$E$20</f>
        <v>2544100</v>
      </c>
      <c r="AK4" s="19">
        <f>('Calculations &amp; Conversions'!$C$14+'Calculations &amp; Conversions'!$C$15)/'Calculations &amp; Conversions'!$E$20</f>
        <v>2544100</v>
      </c>
      <c r="AL4" s="19">
        <f>('Calculations &amp; Conversions'!$C$14+'Calculations &amp; Conversions'!$C$15)/'Calculations &amp; Conversions'!$E$20</f>
        <v>2544100</v>
      </c>
      <c r="AM4" s="19">
        <f>('Calculations &amp; Conversions'!$C$14+'Calculations &amp; Conversions'!$C$15)/'Calculations &amp; Conversions'!$E$20</f>
        <v>2544100</v>
      </c>
      <c r="AN4" s="19">
        <f>('Calculations &amp; Conversions'!$C$14+'Calculations &amp; Conversions'!$C$15)/'Calculations &amp; Conversions'!$E$20</f>
        <v>2544100</v>
      </c>
      <c r="AO4" s="19">
        <f>('Calculations &amp; Conversions'!$C$14+'Calculations &amp; Conversions'!$C$15)/'Calculations &amp; Conversions'!$E$20</f>
        <v>2544100</v>
      </c>
      <c r="AP4" s="19">
        <f>('Calculations &amp; Conversions'!$C$14+'Calculations &amp; Conversions'!$C$15)/'Calculations &amp; Conversions'!$E$20</f>
        <v>2544100</v>
      </c>
      <c r="AQ4" s="19">
        <f>('Calculations &amp; Conversions'!$C$14+'Calculations &amp; Conversions'!$C$15)/'Calculations &amp; Conversions'!$E$20</f>
        <v>2544100</v>
      </c>
      <c r="AR4" s="19">
        <f>('Calculations &amp; Conversions'!$C$14+'Calculations &amp; Conversions'!$C$15)/'Calculations &amp; Conversions'!$E$20</f>
        <v>2544100</v>
      </c>
      <c r="AS4" s="19">
        <f>('Calculations &amp; Conversions'!$C$14+'Calculations &amp; Conversions'!$C$15)/'Calculations &amp; Conversions'!$E$20</f>
        <v>2544100</v>
      </c>
      <c r="AT4" s="19">
        <f>('Calculations &amp; Conversions'!$C$14+'Calculations &amp; Conversions'!$C$15)/'Calculations &amp; Conversions'!$E$20</f>
        <v>2544100</v>
      </c>
      <c r="AU4" s="19">
        <f>('Calculations &amp; Conversions'!$C$14+'Calculations &amp; Conversions'!$C$15)/'Calculations &amp; Conversions'!$E$20</f>
        <v>2544100</v>
      </c>
      <c r="AV4" s="19">
        <f>('Calculations &amp; Conversions'!$C$14+'Calculations &amp; Conversions'!$C$15)/'Calculations &amp; Conversions'!$E$20</f>
        <v>2544100</v>
      </c>
      <c r="AW4" s="19">
        <f>('Calculations &amp; Conversions'!$C$14+'Calculations &amp; Conversions'!$C$15)/'Calculations &amp; Conversions'!$E$20</f>
        <v>2544100</v>
      </c>
      <c r="AX4" s="19">
        <f>('Calculations &amp; Conversions'!$C$14+'Calculations &amp; Conversions'!$C$15)/'Calculations &amp; Conversions'!$E$20</f>
        <v>2544100</v>
      </c>
      <c r="AY4" s="19">
        <f>('Calculations &amp; Conversions'!$C$14+'Calculations &amp; Conversions'!$C$15)/'Calculations &amp; Conversions'!$E$20</f>
        <v>2544100</v>
      </c>
      <c r="AZ4" s="19">
        <f>('Calculations &amp; Conversions'!$C$14+'Calculations &amp; Conversions'!$C$15)/'Calculations &amp; Conversions'!$E$20</f>
        <v>2544100</v>
      </c>
      <c r="BA4" s="19">
        <f>('Calculations &amp; Conversions'!$C$14+'Calculations &amp; Conversions'!$C$15)/'Calculations &amp; Conversions'!$E$20</f>
        <v>2544100</v>
      </c>
      <c r="BB4" s="19">
        <f>('Calculations &amp; Conversions'!$C$14+'Calculations &amp; Conversions'!$C$15)/'Calculations &amp; Conversions'!$E$20</f>
        <v>2544100</v>
      </c>
      <c r="BC4" s="19">
        <f>('Calculations &amp; Conversions'!$C$14+'Calculations &amp; Conversions'!$C$15)/'Calculations &amp; Conversions'!$E$20</f>
        <v>2544100</v>
      </c>
      <c r="BD4" s="19">
        <f>('Calculations &amp; Conversions'!$C$14+'Calculations &amp; Conversions'!$C$15)/'Calculations &amp; Conversions'!$E$20</f>
        <v>2544100</v>
      </c>
    </row>
    <row r="5" spans="1:56">
      <c r="A5" t="s">
        <v>59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18">
        <f t="shared" si="9"/>
        <v>0</v>
      </c>
      <c r="R5" s="18">
        <f t="shared" si="1"/>
        <v>0</v>
      </c>
      <c r="S5" s="18">
        <f t="shared" si="2"/>
        <v>0</v>
      </c>
      <c r="T5" s="18">
        <f t="shared" si="3"/>
        <v>0</v>
      </c>
      <c r="U5" s="18">
        <f t="shared" si="4"/>
        <v>0</v>
      </c>
      <c r="V5" s="18">
        <f t="shared" si="5"/>
        <v>0</v>
      </c>
      <c r="W5" s="18">
        <f t="shared" si="6"/>
        <v>0</v>
      </c>
      <c r="X5" s="18">
        <f t="shared" si="7"/>
        <v>0</v>
      </c>
      <c r="Y5" s="18">
        <f t="shared" si="8"/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</row>
    <row r="6" spans="1:56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8">
        <f t="shared" si="9"/>
        <v>0</v>
      </c>
      <c r="R6" s="18">
        <f t="shared" si="1"/>
        <v>0</v>
      </c>
      <c r="S6" s="18">
        <f t="shared" si="2"/>
        <v>0</v>
      </c>
      <c r="T6" s="18">
        <f t="shared" si="3"/>
        <v>0</v>
      </c>
      <c r="U6" s="18">
        <f t="shared" si="4"/>
        <v>0</v>
      </c>
      <c r="V6" s="18">
        <f t="shared" si="5"/>
        <v>0</v>
      </c>
      <c r="W6" s="18">
        <f t="shared" si="6"/>
        <v>0</v>
      </c>
      <c r="X6" s="18">
        <f t="shared" si="7"/>
        <v>0</v>
      </c>
      <c r="Y6" s="18">
        <f t="shared" si="8"/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8">
        <f t="shared" si="9"/>
        <v>0</v>
      </c>
      <c r="R7" s="18">
        <f t="shared" si="1"/>
        <v>0</v>
      </c>
      <c r="S7" s="18">
        <f t="shared" si="2"/>
        <v>0</v>
      </c>
      <c r="T7" s="18">
        <f t="shared" si="3"/>
        <v>0</v>
      </c>
      <c r="U7" s="18">
        <f t="shared" si="4"/>
        <v>0</v>
      </c>
      <c r="V7" s="18">
        <f t="shared" si="5"/>
        <v>0</v>
      </c>
      <c r="W7" s="18">
        <f t="shared" si="6"/>
        <v>0</v>
      </c>
      <c r="X7" s="18">
        <f t="shared" si="7"/>
        <v>0</v>
      </c>
      <c r="Y7" s="18">
        <f t="shared" si="8"/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11" spans="1:56">
      <c r="A11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6b365794f824c3a5fb2e977be4d8f3b3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e910879461a45d0cdddc64f187ce3652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85AE3C-E105-4F11-98DA-4EE89E9D85CC}"/>
</file>

<file path=customXml/itemProps2.xml><?xml version="1.0" encoding="utf-8"?>
<ds:datastoreItem xmlns:ds="http://schemas.openxmlformats.org/officeDocument/2006/customXml" ds:itemID="{ED40BE3F-2539-4D6A-AD05-872209C36F4A}"/>
</file>

<file path=customXml/itemProps3.xml><?xml version="1.0" encoding="utf-8"?>
<ds:datastoreItem xmlns:ds="http://schemas.openxmlformats.org/officeDocument/2006/customXml" ds:itemID="{C1A869E2-791B-41A0-B65B-6011022F31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ferolea@gmail.com</cp:lastModifiedBy>
  <cp:revision/>
  <dcterms:created xsi:type="dcterms:W3CDTF">2017-01-27T05:17:42Z</dcterms:created>
  <dcterms:modified xsi:type="dcterms:W3CDTF">2025-11-06T19:23:22Z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