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26_CATCHUP/land_CPL/CApULAbIFM/"/>
    </mc:Choice>
  </mc:AlternateContent>
  <xr:revisionPtr revIDLastSave="0" documentId="13_ncr:1_{7184B9D8-C2A5-A142-81BA-C3E26AF66944}" xr6:coauthVersionLast="47" xr6:coauthVersionMax="47" xr10:uidLastSave="{00000000-0000-0000-0000-000000000000}"/>
  <bookViews>
    <workbookView xWindow="9620" yWindow="-21100" windowWidth="33340" windowHeight="20700" xr2:uid="{00000000-000D-0000-FFFF-FFFF00000000}"/>
  </bookViews>
  <sheets>
    <sheet name="About" sheetId="1" r:id="rId1"/>
    <sheet name="Carbon capture" sheetId="5" r:id="rId2"/>
    <sheet name="Calculations" sheetId="4" r:id="rId3"/>
    <sheet name="CApULAbIFM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E17" i="4"/>
  <c r="E13" i="4"/>
  <c r="D13" i="4"/>
  <c r="F12" i="4"/>
  <c r="E12" i="4"/>
  <c r="D12" i="4"/>
  <c r="E43" i="5"/>
  <c r="D43" i="5"/>
  <c r="F42" i="5"/>
  <c r="E42" i="5"/>
  <c r="D42" i="5"/>
</calcChain>
</file>

<file path=xl/sharedStrings.xml><?xml version="1.0" encoding="utf-8"?>
<sst xmlns="http://schemas.openxmlformats.org/spreadsheetml/2006/main" count="69" uniqueCount="36">
  <si>
    <t>CApULAbIFM CO2 Abated per Unit Land Area by Improved Forest Management</t>
  </si>
  <si>
    <t>Source:</t>
  </si>
  <si>
    <t>Instituto Nacional de Ecología y Cambio Climático (INECC)</t>
  </si>
  <si>
    <t>1997 (estimates for 2000,2010,2030)</t>
  </si>
  <si>
    <t>Carbon emissions capture in Mexico</t>
  </si>
  <si>
    <t>Cuadro 3.4</t>
  </si>
  <si>
    <t>Note</t>
  </si>
  <si>
    <t>Estimation based on Masera,Ordoñez,1997 study.</t>
  </si>
  <si>
    <t>No newer studies available</t>
  </si>
  <si>
    <t>The study defines the carbon capture potential for a forested area,</t>
  </si>
  <si>
    <t>yet it does not establish a value per year or for how long a period.</t>
  </si>
  <si>
    <t>A 30 year period was assumed.</t>
  </si>
  <si>
    <t>It returns a value 2.5e6 compared to US value of 1.5e6</t>
  </si>
  <si>
    <t>This could be calibrated by adjusting the period.</t>
  </si>
  <si>
    <t>Technical potential</t>
  </si>
  <si>
    <t>Area (million hectares)</t>
  </si>
  <si>
    <t>Accumulated CO2 (Gton)</t>
  </si>
  <si>
    <t>Translation</t>
  </si>
  <si>
    <t>Forestry policy</t>
  </si>
  <si>
    <t>Improved forest mgmt</t>
  </si>
  <si>
    <t>Manejo forestal</t>
  </si>
  <si>
    <t>Sistemas agroforestales</t>
  </si>
  <si>
    <t>Conversion factors</t>
  </si>
  <si>
    <t xml:space="preserve">1 G = </t>
  </si>
  <si>
    <t>1 ton =</t>
  </si>
  <si>
    <t>kg</t>
  </si>
  <si>
    <t>1 kg =</t>
  </si>
  <si>
    <t>g</t>
  </si>
  <si>
    <t xml:space="preserve">Technical Potential </t>
  </si>
  <si>
    <t>Area (acres)</t>
  </si>
  <si>
    <t>Accumulated CO2 (g)</t>
  </si>
  <si>
    <t xml:space="preserve">1 ha = </t>
  </si>
  <si>
    <t>acres</t>
  </si>
  <si>
    <t>Se consideran 30 años de acumulación</t>
  </si>
  <si>
    <t>Per Acre</t>
  </si>
  <si>
    <t>CO2 Abated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</si>
</sst>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3" xfId="0" applyNumberFormat="1" applyBorder="1"/>
    <xf numFmtId="0" fontId="1" fillId="3" borderId="0" xfId="0" applyFont="1" applyFill="1"/>
    <xf numFmtId="0" fontId="2" fillId="3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85325" cy="5753100"/>
    <xdr:pic>
      <xdr:nvPicPr>
        <xdr:cNvPr id="2" name="Imagen 1">
          <a:extLst>
            <a:ext uri="{FF2B5EF4-FFF2-40B4-BE49-F238E27FC236}">
              <a16:creationId xmlns:a16="http://schemas.microsoft.com/office/drawing/2014/main" id="{16E880EB-D246-0842-8481-F766B1E1D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85325" cy="575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6" sqref="A16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A4" s="1"/>
      <c r="B4" s="4" t="s">
        <v>3</v>
      </c>
    </row>
    <row r="5" spans="1:2">
      <c r="A5" s="1"/>
      <c r="B5" t="s">
        <v>4</v>
      </c>
    </row>
    <row r="6" spans="1:2">
      <c r="A6" s="1"/>
      <c r="B6" t="s">
        <v>5</v>
      </c>
    </row>
    <row r="7" spans="1:2">
      <c r="A7" s="1"/>
    </row>
    <row r="8" spans="1:2">
      <c r="A8" s="1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D21A-600C-324F-968E-57E19A5EC2D8}">
  <dimension ref="B33:J43"/>
  <sheetViews>
    <sheetView workbookViewId="0">
      <selection activeCell="B33" sqref="B33:J44"/>
    </sheetView>
  </sheetViews>
  <sheetFormatPr defaultColWidth="11.42578125" defaultRowHeight="15"/>
  <sheetData>
    <row r="33" spans="2:10" ht="48">
      <c r="B33" s="18" t="s">
        <v>14</v>
      </c>
      <c r="C33" s="19"/>
      <c r="D33" s="5" t="s">
        <v>15</v>
      </c>
      <c r="E33" s="20" t="s">
        <v>16</v>
      </c>
      <c r="F33" s="20"/>
    </row>
    <row r="34" spans="2:10">
      <c r="B34" s="6" t="s">
        <v>17</v>
      </c>
      <c r="C34" s="6" t="s">
        <v>18</v>
      </c>
      <c r="D34" s="7">
        <v>2030</v>
      </c>
      <c r="E34" s="16">
        <v>2030</v>
      </c>
      <c r="F34" s="17"/>
    </row>
    <row r="35" spans="2:10">
      <c r="B35" s="8" t="s">
        <v>19</v>
      </c>
      <c r="C35" s="8" t="s">
        <v>20</v>
      </c>
      <c r="D35" s="9">
        <v>18.7</v>
      </c>
      <c r="E35" s="8">
        <v>2.13</v>
      </c>
      <c r="F35" s="8">
        <v>2.8</v>
      </c>
    </row>
    <row r="36" spans="2:10">
      <c r="B36" s="8" t="s">
        <v>19</v>
      </c>
      <c r="C36" s="8" t="s">
        <v>21</v>
      </c>
      <c r="D36" s="10">
        <v>1.9</v>
      </c>
      <c r="E36" s="23">
        <v>0.1</v>
      </c>
      <c r="F36" s="22"/>
      <c r="H36" s="16" t="s">
        <v>22</v>
      </c>
      <c r="I36" s="17"/>
    </row>
    <row r="37" spans="2:10">
      <c r="D37" s="11"/>
      <c r="E37" s="11"/>
      <c r="F37" s="11"/>
      <c r="H37" s="9" t="s">
        <v>23</v>
      </c>
      <c r="I37" s="12">
        <v>1000000000</v>
      </c>
    </row>
    <row r="38" spans="2:10">
      <c r="H38" s="8" t="s">
        <v>24</v>
      </c>
      <c r="I38" s="8">
        <v>1000</v>
      </c>
      <c r="J38" t="s">
        <v>25</v>
      </c>
    </row>
    <row r="39" spans="2:10">
      <c r="H39" s="8" t="s">
        <v>26</v>
      </c>
      <c r="I39" s="8">
        <v>1000</v>
      </c>
      <c r="J39" t="s">
        <v>27</v>
      </c>
    </row>
    <row r="40" spans="2:10" ht="15.95">
      <c r="B40" s="18" t="s">
        <v>28</v>
      </c>
      <c r="C40" s="19"/>
      <c r="D40" s="5" t="s">
        <v>29</v>
      </c>
      <c r="E40" s="20" t="s">
        <v>30</v>
      </c>
      <c r="F40" s="20"/>
      <c r="H40" s="8" t="s">
        <v>31</v>
      </c>
      <c r="I40" s="8">
        <v>2.4700000000000002</v>
      </c>
      <c r="J40" t="s">
        <v>32</v>
      </c>
    </row>
    <row r="41" spans="2:10">
      <c r="B41" s="6" t="s">
        <v>17</v>
      </c>
      <c r="C41" s="6" t="s">
        <v>18</v>
      </c>
      <c r="D41" s="7">
        <v>2030</v>
      </c>
      <c r="E41" s="16">
        <v>2030</v>
      </c>
      <c r="F41" s="17"/>
    </row>
    <row r="42" spans="2:10">
      <c r="B42" s="8" t="s">
        <v>19</v>
      </c>
      <c r="C42" s="8" t="s">
        <v>20</v>
      </c>
      <c r="D42" s="9">
        <f>D35*I40*1000000</f>
        <v>46189000</v>
      </c>
      <c r="E42" s="13">
        <f>E35*I38*I39*I37</f>
        <v>2130000000000000</v>
      </c>
      <c r="F42" s="13">
        <f>F35*I38*I39*I37</f>
        <v>2800000000000000</v>
      </c>
    </row>
    <row r="43" spans="2:10">
      <c r="B43" s="8" t="s">
        <v>19</v>
      </c>
      <c r="C43" s="8" t="s">
        <v>21</v>
      </c>
      <c r="D43" s="10">
        <f>D36*I40*1000000</f>
        <v>4693000.0000000009</v>
      </c>
      <c r="E43" s="21">
        <f>E36*I38*I39*I37</f>
        <v>100000000000000</v>
      </c>
      <c r="F43" s="22"/>
    </row>
  </sheetData>
  <mergeCells count="9">
    <mergeCell ref="B33:C33"/>
    <mergeCell ref="E33:F33"/>
    <mergeCell ref="E34:F34"/>
    <mergeCell ref="E36:F36"/>
    <mergeCell ref="H36:I36"/>
    <mergeCell ref="B40:C40"/>
    <mergeCell ref="E40:F40"/>
    <mergeCell ref="E41:F41"/>
    <mergeCell ref="E43:F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7"/>
  <sheetViews>
    <sheetView workbookViewId="0">
      <selection activeCell="E17" sqref="E17"/>
    </sheetView>
  </sheetViews>
  <sheetFormatPr defaultColWidth="8.85546875" defaultRowHeight="15"/>
  <cols>
    <col min="2" max="2" width="19" customWidth="1"/>
  </cols>
  <sheetData>
    <row r="3" spans="2:10" ht="48">
      <c r="B3" s="18" t="s">
        <v>14</v>
      </c>
      <c r="C3" s="19"/>
      <c r="D3" s="5" t="s">
        <v>15</v>
      </c>
      <c r="E3" s="20" t="s">
        <v>16</v>
      </c>
      <c r="F3" s="20"/>
    </row>
    <row r="4" spans="2:10">
      <c r="B4" s="6" t="s">
        <v>17</v>
      </c>
      <c r="C4" s="6" t="s">
        <v>18</v>
      </c>
      <c r="D4" s="7">
        <v>2030</v>
      </c>
      <c r="E4" s="16">
        <v>2030</v>
      </c>
      <c r="F4" s="17"/>
    </row>
    <row r="5" spans="2:10">
      <c r="B5" s="8" t="s">
        <v>19</v>
      </c>
      <c r="C5" s="8" t="s">
        <v>20</v>
      </c>
      <c r="D5" s="9">
        <v>18.7</v>
      </c>
      <c r="E5" s="8">
        <v>2.13</v>
      </c>
      <c r="F5" s="8">
        <v>2.8</v>
      </c>
    </row>
    <row r="6" spans="2:10">
      <c r="B6" s="8" t="s">
        <v>19</v>
      </c>
      <c r="C6" s="8" t="s">
        <v>21</v>
      </c>
      <c r="D6" s="10">
        <v>1.9</v>
      </c>
      <c r="E6" s="23">
        <v>0.1</v>
      </c>
      <c r="F6" s="22"/>
      <c r="H6" s="16" t="s">
        <v>22</v>
      </c>
      <c r="I6" s="17"/>
    </row>
    <row r="7" spans="2:10">
      <c r="D7" s="11"/>
      <c r="E7" s="11"/>
      <c r="F7" s="11"/>
      <c r="H7" s="9" t="s">
        <v>23</v>
      </c>
      <c r="I7" s="12">
        <v>1000000000</v>
      </c>
    </row>
    <row r="8" spans="2:10">
      <c r="H8" s="8" t="s">
        <v>24</v>
      </c>
      <c r="I8" s="8">
        <v>1000</v>
      </c>
      <c r="J8" t="s">
        <v>25</v>
      </c>
    </row>
    <row r="9" spans="2:10">
      <c r="H9" s="8" t="s">
        <v>26</v>
      </c>
      <c r="I9" s="8">
        <v>1000</v>
      </c>
      <c r="J9" t="s">
        <v>27</v>
      </c>
    </row>
    <row r="10" spans="2:10" ht="32.1">
      <c r="B10" s="18" t="s">
        <v>28</v>
      </c>
      <c r="C10" s="19"/>
      <c r="D10" s="5" t="s">
        <v>29</v>
      </c>
      <c r="E10" s="20" t="s">
        <v>30</v>
      </c>
      <c r="F10" s="20"/>
      <c r="H10" s="8" t="s">
        <v>31</v>
      </c>
      <c r="I10" s="8">
        <v>2.4700000000000002</v>
      </c>
      <c r="J10" t="s">
        <v>32</v>
      </c>
    </row>
    <row r="11" spans="2:10">
      <c r="B11" s="6" t="s">
        <v>17</v>
      </c>
      <c r="C11" s="6" t="s">
        <v>18</v>
      </c>
      <c r="D11" s="7">
        <v>2030</v>
      </c>
      <c r="E11" s="16">
        <v>2030</v>
      </c>
      <c r="F11" s="17"/>
    </row>
    <row r="12" spans="2:10">
      <c r="B12" s="8" t="s">
        <v>19</v>
      </c>
      <c r="C12" s="8" t="s">
        <v>20</v>
      </c>
      <c r="D12" s="9">
        <f>D5*I10*1000000</f>
        <v>46189000</v>
      </c>
      <c r="E12" s="13">
        <f>E5*I8*I9*I7</f>
        <v>2130000000000000</v>
      </c>
      <c r="F12" s="13">
        <f>F5*I8*I9*I7</f>
        <v>2800000000000000</v>
      </c>
    </row>
    <row r="13" spans="2:10">
      <c r="B13" s="8" t="s">
        <v>19</v>
      </c>
      <c r="C13" s="8" t="s">
        <v>21</v>
      </c>
      <c r="D13" s="10">
        <f>D6*I10*1000000</f>
        <v>4693000.0000000009</v>
      </c>
      <c r="E13" s="21">
        <f>E6*I8*I9*I7</f>
        <v>100000000000000</v>
      </c>
      <c r="F13" s="22"/>
    </row>
    <row r="15" spans="2:10">
      <c r="B15" s="14" t="s">
        <v>33</v>
      </c>
      <c r="E15" s="15">
        <v>30</v>
      </c>
    </row>
    <row r="17" spans="5:5">
      <c r="E17" s="3">
        <f>((AVERAGE(Calculations!E12:F12)/Calculations!D12)+(Calculations!E13/Calculations!D13))/E15</f>
        <v>2489200.5501423785</v>
      </c>
    </row>
  </sheetData>
  <mergeCells count="9">
    <mergeCell ref="B3:C3"/>
    <mergeCell ref="E3:F3"/>
    <mergeCell ref="E4:F4"/>
    <mergeCell ref="E6:F6"/>
    <mergeCell ref="H6:I6"/>
    <mergeCell ref="B10:C10"/>
    <mergeCell ref="E10:F10"/>
    <mergeCell ref="E11:F11"/>
    <mergeCell ref="E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85546875" defaultRowHeight="15"/>
  <cols>
    <col min="1" max="1" width="15.140625" customWidth="1"/>
  </cols>
  <sheetData>
    <row r="1" spans="1:2">
      <c r="B1" s="2" t="s">
        <v>34</v>
      </c>
    </row>
    <row r="2" spans="1:2">
      <c r="A2" t="s">
        <v>35</v>
      </c>
      <c r="B2" s="3">
        <f>Calculations!E17</f>
        <v>2489200.5501423785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9EC1CE-ACBC-4818-80F6-C59E6D5B6243}"/>
</file>

<file path=customXml/itemProps2.xml><?xml version="1.0" encoding="utf-8"?>
<ds:datastoreItem xmlns:ds="http://schemas.openxmlformats.org/officeDocument/2006/customXml" ds:itemID="{760667F4-47D9-4BFE-BCEA-A1FBB290E7CA}"/>
</file>

<file path=customXml/itemProps3.xml><?xml version="1.0" encoding="utf-8"?>
<ds:datastoreItem xmlns:ds="http://schemas.openxmlformats.org/officeDocument/2006/customXml" ds:itemID="{A3EBD543-73CF-4F31-8523-903D5BD0D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Mexican data collected and calculated by Fernando Olea, Feb,2025</dc:description>
  <cp:lastModifiedBy>Rachel Goldstein</cp:lastModifiedBy>
  <cp:revision/>
  <dcterms:created xsi:type="dcterms:W3CDTF">2017-01-27T07:34:22Z</dcterms:created>
  <dcterms:modified xsi:type="dcterms:W3CDTF">2025-02-27T14:31:43Z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